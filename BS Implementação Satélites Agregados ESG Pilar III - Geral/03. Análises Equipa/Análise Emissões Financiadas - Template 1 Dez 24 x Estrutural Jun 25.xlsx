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Ficheiros a enviar\"/>
    </mc:Choice>
  </mc:AlternateContent>
  <bookViews>
    <workbookView xWindow="0" yWindow="0" windowWidth="10110" windowHeight="3435"/>
  </bookViews>
  <sheets>
    <sheet name="1. Resumo" sheetId="1" r:id="rId1"/>
    <sheet name="ID1" sheetId="3" r:id="rId2"/>
    <sheet name="ID1_Exemplo 1" sheetId="4" r:id="rId3"/>
    <sheet name="ID1_Exemplo 2" sheetId="5" r:id="rId4"/>
    <sheet name="ID1_Exemplo 3" sheetId="6" r:id="rId5"/>
    <sheet name="ID2" sheetId="7" r:id="rId6"/>
    <sheet name="ID3" sheetId="8" r:id="rId7"/>
    <sheet name="ID4" sheetId="9" r:id="rId8"/>
    <sheet name="ID4_Exemplo 1" sheetId="10" r:id="rId9"/>
    <sheet name="ID4_Exemplo 2" sheetId="11" r:id="rId10"/>
  </sheets>
  <definedNames>
    <definedName name="_xlnm._FilterDatabase" localSheetId="1" hidden="1">'ID1'!$A$8:$AN$797</definedName>
    <definedName name="_xlnm._FilterDatabase" localSheetId="2" hidden="1">'ID1_Exemplo 1'!$B$8:$CA$13</definedName>
    <definedName name="_xlnm._FilterDatabase" localSheetId="3" hidden="1">'ID1_Exemplo 2'!$B$8:$CA$18</definedName>
    <definedName name="_xlnm._FilterDatabase" localSheetId="4" hidden="1">'ID1_Exemplo 3'!$B$10:$CA$15</definedName>
    <definedName name="_xlnm._FilterDatabase" localSheetId="5" hidden="1">'ID2'!$A$22:$CA$36</definedName>
    <definedName name="_xlnm._FilterDatabase" localSheetId="6" hidden="1">'ID3'!$A$28:$BA$81</definedName>
    <definedName name="_xlnm._FilterDatabase" localSheetId="9" hidden="1">'ID4_Exemplo 2'!$B$6:$GK$110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" l="1"/>
  <c r="H12" i="1"/>
  <c r="G12" i="1"/>
  <c r="E12" i="1"/>
  <c r="D12" i="1"/>
  <c r="J5" i="9"/>
  <c r="F26" i="10"/>
  <c r="F25" i="10"/>
  <c r="D52" i="10"/>
  <c r="D51" i="10"/>
  <c r="C51" i="10"/>
  <c r="D50" i="10"/>
  <c r="D49" i="10"/>
  <c r="C50" i="10"/>
  <c r="C52" i="10" s="1"/>
  <c r="C49" i="10"/>
  <c r="C47" i="10"/>
  <c r="D18" i="10"/>
  <c r="D17" i="10"/>
  <c r="C14" i="10"/>
  <c r="C16" i="10" s="1"/>
  <c r="C5" i="9"/>
  <c r="C25" i="8"/>
  <c r="B25" i="8"/>
  <c r="B23" i="8"/>
  <c r="B24" i="8"/>
  <c r="B22" i="8"/>
  <c r="B20" i="8"/>
  <c r="C5" i="8"/>
  <c r="C49" i="6"/>
  <c r="D49" i="6"/>
  <c r="C52" i="6"/>
  <c r="C48" i="6"/>
  <c r="C46" i="6"/>
  <c r="G30" i="6"/>
  <c r="G29" i="6"/>
  <c r="C17" i="6"/>
  <c r="C19" i="6" s="1"/>
  <c r="O48" i="5"/>
  <c r="N48" i="5"/>
  <c r="C18" i="10" l="1"/>
  <c r="C17" i="10"/>
  <c r="C19" i="10" s="1"/>
  <c r="C22" i="6"/>
  <c r="C21" i="6"/>
  <c r="C23" i="6" s="1"/>
  <c r="C20" i="5"/>
  <c r="C22" i="5" s="1"/>
  <c r="D73" i="4"/>
  <c r="C73" i="4"/>
  <c r="C72" i="4"/>
  <c r="C70" i="4"/>
  <c r="U34" i="4"/>
  <c r="C15" i="4"/>
  <c r="C17" i="4" s="1"/>
  <c r="C28" i="5" l="1"/>
  <c r="C25" i="5"/>
  <c r="C24" i="5"/>
  <c r="C23" i="5"/>
  <c r="C29" i="5"/>
  <c r="C26" i="5"/>
  <c r="C30" i="5"/>
  <c r="C20" i="4"/>
  <c r="C19" i="4"/>
  <c r="C18" i="4"/>
  <c r="C31" i="5" l="1"/>
  <c r="C76" i="4"/>
  <c r="C21" i="4"/>
</calcChain>
</file>

<file path=xl/sharedStrings.xml><?xml version="1.0" encoding="utf-8"?>
<sst xmlns="http://schemas.openxmlformats.org/spreadsheetml/2006/main" count="52871" uniqueCount="3625">
  <si>
    <t>meto_dez24</t>
  </si>
  <si>
    <t>meto_jun25</t>
  </si>
  <si>
    <t>amount_dez24</t>
  </si>
  <si>
    <t>amount_jun25</t>
  </si>
  <si>
    <t>EMI CLIENTE</t>
  </si>
  <si>
    <t>EMI BEM MOV</t>
  </si>
  <si>
    <t>EMI RE</t>
  </si>
  <si>
    <t>EMI MVL</t>
  </si>
  <si>
    <t>EMI BEM IMO</t>
  </si>
  <si>
    <t>METO_DEZ24</t>
  </si>
  <si>
    <t>METO_JUN25</t>
  </si>
  <si>
    <t>EMI_SCP1_DEZ24</t>
  </si>
  <si>
    <t>EMI_SCP1_JUN25</t>
  </si>
  <si>
    <t>DIFF_SCP1</t>
  </si>
  <si>
    <t>AMOUNT_DEZ24</t>
  </si>
  <si>
    <t>AMOUNT_JUN25</t>
  </si>
  <si>
    <t/>
  </si>
  <si>
    <t>QUERY:</t>
  </si>
  <si>
    <t>chave</t>
  </si>
  <si>
    <t>scp1</t>
  </si>
  <si>
    <t>scp2</t>
  </si>
  <si>
    <t>scp3</t>
  </si>
  <si>
    <t>chave_ct</t>
  </si>
  <si>
    <t>emi_dez_scp1</t>
  </si>
  <si>
    <t>emi_dez_scp2</t>
  </si>
  <si>
    <t>emi_dez_scp3</t>
  </si>
  <si>
    <t>chave_cdg</t>
  </si>
  <si>
    <t>cempresa_fr012</t>
  </si>
  <si>
    <t>cbalcao_fr012</t>
  </si>
  <si>
    <t>cnumecta_fr012</t>
  </si>
  <si>
    <t>zdeposit_fr012</t>
  </si>
  <si>
    <t>cempresa_ct</t>
  </si>
  <si>
    <t>cbalcao_ct</t>
  </si>
  <si>
    <t>cnumecta_ct</t>
  </si>
  <si>
    <t>zdeposit_ct</t>
  </si>
  <si>
    <t>ckbalbem</t>
  </si>
  <si>
    <t>ckctabem</t>
  </si>
  <si>
    <t>ckrefbem</t>
  </si>
  <si>
    <t>sfcs_tag_comgloval</t>
  </si>
  <si>
    <t>sfcs_green_activity_comgloval</t>
  </si>
  <si>
    <t>tipo_produto</t>
  </si>
  <si>
    <t>flag_green_dashboard</t>
  </si>
  <si>
    <t>cmetanseg</t>
  </si>
  <si>
    <t>fonte_n1</t>
  </si>
  <si>
    <t>des_combustivel</t>
  </si>
  <si>
    <t>des_detalle_lease</t>
  </si>
  <si>
    <t>valor_financeiro</t>
  </si>
  <si>
    <t>activity_template</t>
  </si>
  <si>
    <t>co2</t>
  </si>
  <si>
    <t>dinioper</t>
  </si>
  <si>
    <t>ckprodmi</t>
  </si>
  <si>
    <t>tipo_viatura</t>
  </si>
  <si>
    <t>tipo_viatura_score5</t>
  </si>
  <si>
    <t>tipo_combustivel</t>
  </si>
  <si>
    <t>Comentário HF</t>
  </si>
  <si>
    <t>89000000000250313000450000661942</t>
  </si>
  <si>
    <t>NULL</t>
  </si>
  <si>
    <t>82</t>
  </si>
  <si>
    <t>0000</t>
  </si>
  <si>
    <t>00000250313</t>
  </si>
  <si>
    <t>000450000661942</t>
  </si>
  <si>
    <t>89</t>
  </si>
  <si>
    <t>Green</t>
  </si>
  <si>
    <t>Transport - Motor vehicle loans</t>
  </si>
  <si>
    <t>Leasing - Resto</t>
  </si>
  <si>
    <t>EC6</t>
  </si>
  <si>
    <t>Não Manual</t>
  </si>
  <si>
    <t>HIBRIDO/GASOLINA</t>
  </si>
  <si>
    <t>VEICULOS LIGEIROS DE PASSAGEIROS</t>
  </si>
  <si>
    <t>AGFGR002</t>
  </si>
  <si>
    <t>31</t>
  </si>
  <si>
    <t>2024-11-15</t>
  </si>
  <si>
    <t>000045</t>
  </si>
  <si>
    <t>Passenger car</t>
  </si>
  <si>
    <t>PETROL/ELECTRIC</t>
  </si>
  <si>
    <t>89000000000249181000450000707911</t>
  </si>
  <si>
    <t>00000249181</t>
  </si>
  <si>
    <t>000450000707911</t>
  </si>
  <si>
    <t>EC8</t>
  </si>
  <si>
    <t>14</t>
  </si>
  <si>
    <t>2024-10-15</t>
  </si>
  <si>
    <t>89000000000246384000450000676102</t>
  </si>
  <si>
    <t>00000246384</t>
  </si>
  <si>
    <t>000450000676102</t>
  </si>
  <si>
    <t>EC7</t>
  </si>
  <si>
    <t>GASOLINA</t>
  </si>
  <si>
    <t>TT DE 2601KG A 3500KG</t>
  </si>
  <si>
    <t>27</t>
  </si>
  <si>
    <t>2023-10-01</t>
  </si>
  <si>
    <t>89000000000248337000450000755003</t>
  </si>
  <si>
    <t>00000248337</t>
  </si>
  <si>
    <t>000450000755003</t>
  </si>
  <si>
    <t>20</t>
  </si>
  <si>
    <t>2024-04-15</t>
  </si>
  <si>
    <t>89000000008046335000530000777001</t>
  </si>
  <si>
    <t>00008046335</t>
  </si>
  <si>
    <t>000530000777001</t>
  </si>
  <si>
    <t>35</t>
  </si>
  <si>
    <t>2024-11-01</t>
  </si>
  <si>
    <t>000053</t>
  </si>
  <si>
    <t>89000000000247149000450000770267</t>
  </si>
  <si>
    <t>00000247149</t>
  </si>
  <si>
    <t>000450000770267</t>
  </si>
  <si>
    <t>TT DE 1601KG A 2600KG</t>
  </si>
  <si>
    <t>19</t>
  </si>
  <si>
    <t>2023-11-15</t>
  </si>
  <si>
    <t>89000000008046250000530000737909</t>
  </si>
  <si>
    <t>00008046250</t>
  </si>
  <si>
    <t>000530000737909</t>
  </si>
  <si>
    <t>2024-09-01</t>
  </si>
  <si>
    <t>89000000008046635000530000738417</t>
  </si>
  <si>
    <t>00008046635</t>
  </si>
  <si>
    <t>000530000738417</t>
  </si>
  <si>
    <t>HIBRIDO</t>
  </si>
  <si>
    <t>28</t>
  </si>
  <si>
    <t>2024-12-15</t>
  </si>
  <si>
    <t>PETROL</t>
  </si>
  <si>
    <t>89000000000242753000450000325060</t>
  </si>
  <si>
    <t>00000242753</t>
  </si>
  <si>
    <t>000450000325060</t>
  </si>
  <si>
    <t>EC5</t>
  </si>
  <si>
    <t>HIBRIDO/GASOLEO</t>
  </si>
  <si>
    <t>33</t>
  </si>
  <si>
    <t>2022-01-01</t>
  </si>
  <si>
    <t>DIESEL/ELECTRIC</t>
  </si>
  <si>
    <t>89000000008046372000530000777230</t>
  </si>
  <si>
    <t>00008046372</t>
  </si>
  <si>
    <t>000530000777230</t>
  </si>
  <si>
    <t>23</t>
  </si>
  <si>
    <t>89000000008045650000530000770705</t>
  </si>
  <si>
    <t>00008045650</t>
  </si>
  <si>
    <t>000530000770705</t>
  </si>
  <si>
    <t>32</t>
  </si>
  <si>
    <t>2024-03-01</t>
  </si>
  <si>
    <t>89000000008045200000530000735136</t>
  </si>
  <si>
    <t>00008045200</t>
  </si>
  <si>
    <t>000530000735136</t>
  </si>
  <si>
    <t>42</t>
  </si>
  <si>
    <t>2023-09-15</t>
  </si>
  <si>
    <t>89000000000248624000450000612203</t>
  </si>
  <si>
    <t>00000248624</t>
  </si>
  <si>
    <t>000450000612203</t>
  </si>
  <si>
    <t>10</t>
  </si>
  <si>
    <t>2024-05-15</t>
  </si>
  <si>
    <t>89000000000247291000450000570833</t>
  </si>
  <si>
    <t>00000247291</t>
  </si>
  <si>
    <t>000450000570833</t>
  </si>
  <si>
    <t>EC4</t>
  </si>
  <si>
    <t>2023-12-01</t>
  </si>
  <si>
    <t>89000000000242173000450000751604</t>
  </si>
  <si>
    <t>00000242173</t>
  </si>
  <si>
    <t>000450000751604</t>
  </si>
  <si>
    <t>39</t>
  </si>
  <si>
    <t>2021-11-01</t>
  </si>
  <si>
    <t>89000000000250398000450000479263</t>
  </si>
  <si>
    <t>00000250398</t>
  </si>
  <si>
    <t>000450000479263</t>
  </si>
  <si>
    <t>89000000000249918000450000520796</t>
  </si>
  <si>
    <t>00000249918</t>
  </si>
  <si>
    <t>000450000520796</t>
  </si>
  <si>
    <t>89000000000248643000450000472175</t>
  </si>
  <si>
    <t>00000248643</t>
  </si>
  <si>
    <t>000450000472175</t>
  </si>
  <si>
    <t>13</t>
  </si>
  <si>
    <t>2024-05-01</t>
  </si>
  <si>
    <t>89000000000246929000450000755687</t>
  </si>
  <si>
    <t>00000246929</t>
  </si>
  <si>
    <t>000450000755687</t>
  </si>
  <si>
    <t>36</t>
  </si>
  <si>
    <t>89000000008045556000530000736358</t>
  </si>
  <si>
    <t>00008045556</t>
  </si>
  <si>
    <t>000530000736358</t>
  </si>
  <si>
    <t>2024-01-01</t>
  </si>
  <si>
    <t>89000000000246018000450000633073</t>
  </si>
  <si>
    <t>00000246018</t>
  </si>
  <si>
    <t>000450000633073</t>
  </si>
  <si>
    <t>37</t>
  </si>
  <si>
    <t>2023-06-15</t>
  </si>
  <si>
    <t>89000000000246187000450000679296</t>
  </si>
  <si>
    <t>00000246187</t>
  </si>
  <si>
    <t>000450000679296</t>
  </si>
  <si>
    <t>46</t>
  </si>
  <si>
    <t>2023-07-15</t>
  </si>
  <si>
    <t>89000000000247365000450000666479</t>
  </si>
  <si>
    <t>00000247365</t>
  </si>
  <si>
    <t>000450000666479</t>
  </si>
  <si>
    <t>26</t>
  </si>
  <si>
    <t>2023-12-15</t>
  </si>
  <si>
    <t>89000000000247552000450000705597</t>
  </si>
  <si>
    <t>00000247552</t>
  </si>
  <si>
    <t>000450000705597</t>
  </si>
  <si>
    <t>89000000008045156000530000575339</t>
  </si>
  <si>
    <t>00008045156</t>
  </si>
  <si>
    <t>000530000575339</t>
  </si>
  <si>
    <t>43</t>
  </si>
  <si>
    <t>2023-08-15</t>
  </si>
  <si>
    <t>89000000000240757000450000683257</t>
  </si>
  <si>
    <t>00000240757</t>
  </si>
  <si>
    <t>000450000683257</t>
  </si>
  <si>
    <t>2021-06-01</t>
  </si>
  <si>
    <t>89000000000245501000450000660490</t>
  </si>
  <si>
    <t>00000245501</t>
  </si>
  <si>
    <t>000450000660490</t>
  </si>
  <si>
    <t>12</t>
  </si>
  <si>
    <t>2023-03-15</t>
  </si>
  <si>
    <t>89000000000248213000450000836962</t>
  </si>
  <si>
    <t>00000248213</t>
  </si>
  <si>
    <t>000450000836962</t>
  </si>
  <si>
    <t>17</t>
  </si>
  <si>
    <t>2024-04-01</t>
  </si>
  <si>
    <t>89000000000246575000450000746379</t>
  </si>
  <si>
    <t>00000246575</t>
  </si>
  <si>
    <t>000450000746379</t>
  </si>
  <si>
    <t>89000000008046682000530000778109</t>
  </si>
  <si>
    <t>00008046682</t>
  </si>
  <si>
    <t>000530000778109</t>
  </si>
  <si>
    <t>11</t>
  </si>
  <si>
    <t>89000000000247464000450000757489</t>
  </si>
  <si>
    <t>00000247464</t>
  </si>
  <si>
    <t>000450000757489</t>
  </si>
  <si>
    <t>24</t>
  </si>
  <si>
    <t>89000000000248773000450000320597</t>
  </si>
  <si>
    <t>00000248773</t>
  </si>
  <si>
    <t>000450000320597</t>
  </si>
  <si>
    <t>2024-08-01</t>
  </si>
  <si>
    <t>89000000000249790000450000775113</t>
  </si>
  <si>
    <t>00000249790</t>
  </si>
  <si>
    <t>000450000775113</t>
  </si>
  <si>
    <t>2024-09-15</t>
  </si>
  <si>
    <t>89000000000246135000450000474954</t>
  </si>
  <si>
    <t>00000246135</t>
  </si>
  <si>
    <t>000450000474954</t>
  </si>
  <si>
    <t>89000000000243976000450000761303</t>
  </si>
  <si>
    <t>00000243976</t>
  </si>
  <si>
    <t>000450000761303</t>
  </si>
  <si>
    <t>TT ATE 1600KG</t>
  </si>
  <si>
    <t>2022-07-15</t>
  </si>
  <si>
    <t>89000000000247676000450000324369</t>
  </si>
  <si>
    <t>00000247676</t>
  </si>
  <si>
    <t>000450000324369</t>
  </si>
  <si>
    <t>2024-01-15</t>
  </si>
  <si>
    <t>89000000008044068000530000580797</t>
  </si>
  <si>
    <t>00008044068</t>
  </si>
  <si>
    <t>000530000580797</t>
  </si>
  <si>
    <t>47</t>
  </si>
  <si>
    <t>2022-01-15</t>
  </si>
  <si>
    <t>89000000008040611000530000731081</t>
  </si>
  <si>
    <t>00008040611</t>
  </si>
  <si>
    <t>000530000731081</t>
  </si>
  <si>
    <t>2020-03-01</t>
  </si>
  <si>
    <t>89000000008046106000530000775115</t>
  </si>
  <si>
    <t>00008046106</t>
  </si>
  <si>
    <t>000530000775115</t>
  </si>
  <si>
    <t>44</t>
  </si>
  <si>
    <t>2024-07-01</t>
  </si>
  <si>
    <t>89000000008045930000530000728933</t>
  </si>
  <si>
    <t>00008045930</t>
  </si>
  <si>
    <t>000530000728933</t>
  </si>
  <si>
    <t>89000000000236327000450000738537</t>
  </si>
  <si>
    <t>00000236327</t>
  </si>
  <si>
    <t>000450000738537</t>
  </si>
  <si>
    <t>2020-10-15</t>
  </si>
  <si>
    <t>89000000008046219000530000776054</t>
  </si>
  <si>
    <t>00008046219</t>
  </si>
  <si>
    <t>000530000776054</t>
  </si>
  <si>
    <t>2024-08-15</t>
  </si>
  <si>
    <t>89000000000243973000450000650407</t>
  </si>
  <si>
    <t>00000243973</t>
  </si>
  <si>
    <t>000450000650407</t>
  </si>
  <si>
    <t>49</t>
  </si>
  <si>
    <t>89000000008044762000530000676709</t>
  </si>
  <si>
    <t>00008044762</t>
  </si>
  <si>
    <t>000530000676709</t>
  </si>
  <si>
    <t>2023-01-15</t>
  </si>
  <si>
    <t>89000000005110975000510000733984</t>
  </si>
  <si>
    <t>00005110975</t>
  </si>
  <si>
    <t>000510000733984</t>
  </si>
  <si>
    <t>COMERCIAIS DE 2601KG A 3500KG</t>
  </si>
  <si>
    <t>41</t>
  </si>
  <si>
    <t>2022-10-01</t>
  </si>
  <si>
    <t>000051</t>
  </si>
  <si>
    <t>Van</t>
  </si>
  <si>
    <t>89000000000247539000450000595012</t>
  </si>
  <si>
    <t>00000247539</t>
  </si>
  <si>
    <t>000450000595012</t>
  </si>
  <si>
    <t>18</t>
  </si>
  <si>
    <t>89000000008046307000530000707321</t>
  </si>
  <si>
    <t>00008046307</t>
  </si>
  <si>
    <t>000530000707321</t>
  </si>
  <si>
    <t>GASOLEO</t>
  </si>
  <si>
    <t>89000000008045683000530000772009</t>
  </si>
  <si>
    <t>00008045683</t>
  </si>
  <si>
    <t>000530000772009</t>
  </si>
  <si>
    <t>2024-02-15</t>
  </si>
  <si>
    <t>89000000000243197000450000679334</t>
  </si>
  <si>
    <t>00000243197</t>
  </si>
  <si>
    <t>000450000679334</t>
  </si>
  <si>
    <t>30</t>
  </si>
  <si>
    <t>2022-03-01</t>
  </si>
  <si>
    <t>89000000008044837000530000741557</t>
  </si>
  <si>
    <t>00008044837</t>
  </si>
  <si>
    <t>000530000741557</t>
  </si>
  <si>
    <t>2023-02-15</t>
  </si>
  <si>
    <t>89000000008046507000530000777942</t>
  </si>
  <si>
    <t>00008046507</t>
  </si>
  <si>
    <t>000530000777942</t>
  </si>
  <si>
    <t>89000000000247064000450000452438</t>
  </si>
  <si>
    <t>00000247064</t>
  </si>
  <si>
    <t>000450000452438</t>
  </si>
  <si>
    <t>89000000000246739000450000769216</t>
  </si>
  <si>
    <t>00000246739</t>
  </si>
  <si>
    <t>000450000769216</t>
  </si>
  <si>
    <t>89000000000244200000450000761498</t>
  </si>
  <si>
    <t>00000244200</t>
  </si>
  <si>
    <t>000450000761498</t>
  </si>
  <si>
    <t>2022-09-01</t>
  </si>
  <si>
    <t>89000000000241129000450000747518</t>
  </si>
  <si>
    <t>00000241129</t>
  </si>
  <si>
    <t>000450000747518</t>
  </si>
  <si>
    <t>2021-06-15</t>
  </si>
  <si>
    <t>89000000000248897000450000774548</t>
  </si>
  <si>
    <t>00000248897</t>
  </si>
  <si>
    <t>000450000774548</t>
  </si>
  <si>
    <t>34</t>
  </si>
  <si>
    <t>2024-07-15</t>
  </si>
  <si>
    <t>89000000000248501000450000454367</t>
  </si>
  <si>
    <t>00000248501</t>
  </si>
  <si>
    <t>000450000454367</t>
  </si>
  <si>
    <t>89000000000228469000420000426506</t>
  </si>
  <si>
    <t>00000228469</t>
  </si>
  <si>
    <t>000420000426506</t>
  </si>
  <si>
    <t>VEICULOS PESADOS DE PASSAGEIROS</t>
  </si>
  <si>
    <t>2</t>
  </si>
  <si>
    <t>2019-03-15</t>
  </si>
  <si>
    <t>000042</t>
  </si>
  <si>
    <t>Bus</t>
  </si>
  <si>
    <t>89000000000247455000450000758994</t>
  </si>
  <si>
    <t>00000247455</t>
  </si>
  <si>
    <t>000450000758994</t>
  </si>
  <si>
    <t>2024-03-15</t>
  </si>
  <si>
    <t>89000000008045449000530000770455</t>
  </si>
  <si>
    <t>00008045449</t>
  </si>
  <si>
    <t>000530000770455</t>
  </si>
  <si>
    <t>16</t>
  </si>
  <si>
    <t>89000000005110854000510000755706</t>
  </si>
  <si>
    <t>00005110854</t>
  </si>
  <si>
    <t>000510000755706</t>
  </si>
  <si>
    <t>2022-08-01</t>
  </si>
  <si>
    <t>89000000000233794000450000763516</t>
  </si>
  <si>
    <t>00000233794</t>
  </si>
  <si>
    <t>000450000763516</t>
  </si>
  <si>
    <t>2022-12-15</t>
  </si>
  <si>
    <t>89000000000246350000450000739542</t>
  </si>
  <si>
    <t>00000246350</t>
  </si>
  <si>
    <t>000450000739542</t>
  </si>
  <si>
    <t>22</t>
  </si>
  <si>
    <t>89000000000248880000450000514448</t>
  </si>
  <si>
    <t>00000248880</t>
  </si>
  <si>
    <t>000450000514448</t>
  </si>
  <si>
    <t>2024-06-15</t>
  </si>
  <si>
    <t>89000000000245859000450000637596</t>
  </si>
  <si>
    <t>00000245859</t>
  </si>
  <si>
    <t>000450000637596</t>
  </si>
  <si>
    <t>2023-05-15</t>
  </si>
  <si>
    <t>89000000000236352000450000738510</t>
  </si>
  <si>
    <t>00000236352</t>
  </si>
  <si>
    <t>000450000738510</t>
  </si>
  <si>
    <t>COMERCIAIS DE 1601KG A 2600KG</t>
  </si>
  <si>
    <t>2020-09-15</t>
  </si>
  <si>
    <t>89000000000246691000450000692807</t>
  </si>
  <si>
    <t>00000246691</t>
  </si>
  <si>
    <t>000450000692807</t>
  </si>
  <si>
    <t>89000000000227465000450000676000</t>
  </si>
  <si>
    <t>00000227465</t>
  </si>
  <si>
    <t>000450000676000</t>
  </si>
  <si>
    <t>2019-01-15</t>
  </si>
  <si>
    <t>89000000000247877000450000695157</t>
  </si>
  <si>
    <t>00000247877</t>
  </si>
  <si>
    <t>000450000695157</t>
  </si>
  <si>
    <t>89000000008045701000530000454249</t>
  </si>
  <si>
    <t>00008045701</t>
  </si>
  <si>
    <t>000530000454249</t>
  </si>
  <si>
    <t>15</t>
  </si>
  <si>
    <t>89000000000246270000450000504609</t>
  </si>
  <si>
    <t>00000246270</t>
  </si>
  <si>
    <t>000450000504609</t>
  </si>
  <si>
    <t>89000000008046110000530000698702</t>
  </si>
  <si>
    <t>00008046110</t>
  </si>
  <si>
    <t>000530000698702</t>
  </si>
  <si>
    <t>89000000000237696000450000741134</t>
  </si>
  <si>
    <t>00000237696</t>
  </si>
  <si>
    <t>000450000741134</t>
  </si>
  <si>
    <t>2020-11-15</t>
  </si>
  <si>
    <t>89000000000244618000450000327022</t>
  </si>
  <si>
    <t>00000244618</t>
  </si>
  <si>
    <t>000450000327022</t>
  </si>
  <si>
    <t>2022-12-01</t>
  </si>
  <si>
    <t>89000000000249866000450000700084</t>
  </si>
  <si>
    <t>00000249866</t>
  </si>
  <si>
    <t>000450000700084</t>
  </si>
  <si>
    <t>25</t>
  </si>
  <si>
    <t>2024-10-01</t>
  </si>
  <si>
    <t>89000000008046457000530000768050</t>
  </si>
  <si>
    <t>00008046457</t>
  </si>
  <si>
    <t>000530000768050</t>
  </si>
  <si>
    <t>89000000000248999000450000639822</t>
  </si>
  <si>
    <t>00000248999</t>
  </si>
  <si>
    <t>000450000639822</t>
  </si>
  <si>
    <t>89000000000247063000450000107657</t>
  </si>
  <si>
    <t>00000247063</t>
  </si>
  <si>
    <t>000450000107657</t>
  </si>
  <si>
    <t>89000000008043824000530000102003</t>
  </si>
  <si>
    <t>00008043824</t>
  </si>
  <si>
    <t>000530000102003</t>
  </si>
  <si>
    <t>2021-11-15</t>
  </si>
  <si>
    <t>89000000000239539000450000744546</t>
  </si>
  <si>
    <t>00000239539</t>
  </si>
  <si>
    <t>000450000744546</t>
  </si>
  <si>
    <t>2021-04-01</t>
  </si>
  <si>
    <t>89000000000249483000450000424275</t>
  </si>
  <si>
    <t>00000249483</t>
  </si>
  <si>
    <t>000450000424275</t>
  </si>
  <si>
    <t>89000000000247937000450000320597</t>
  </si>
  <si>
    <t>00000247937</t>
  </si>
  <si>
    <t>89000000000247481000450000695285</t>
  </si>
  <si>
    <t>00000247481</t>
  </si>
  <si>
    <t>000450000695285</t>
  </si>
  <si>
    <t>89000000000247431000450000771057</t>
  </si>
  <si>
    <t>00000247431</t>
  </si>
  <si>
    <t>000450000771057</t>
  </si>
  <si>
    <t>89000000000248766000450000507008</t>
  </si>
  <si>
    <t>00000248766</t>
  </si>
  <si>
    <t>000450000507008</t>
  </si>
  <si>
    <t>2024-06-01</t>
  </si>
  <si>
    <t>89000000008046655000530000778900</t>
  </si>
  <si>
    <t>00008046655</t>
  </si>
  <si>
    <t>000530000778900</t>
  </si>
  <si>
    <t>89000000000250120000450000777369</t>
  </si>
  <si>
    <t>00000250120</t>
  </si>
  <si>
    <t>000450000777369</t>
  </si>
  <si>
    <t>89000000000243716000450000758822</t>
  </si>
  <si>
    <t>00000243716</t>
  </si>
  <si>
    <t>000450000758822</t>
  </si>
  <si>
    <t>2022-06-01</t>
  </si>
  <si>
    <t>89000000000247191000450000514108</t>
  </si>
  <si>
    <t>00000247191</t>
  </si>
  <si>
    <t>000450000514108</t>
  </si>
  <si>
    <t>89000000000249025000450000428130</t>
  </si>
  <si>
    <t>00000249025</t>
  </si>
  <si>
    <t>000450000428130</t>
  </si>
  <si>
    <t>89000000000243600000450000477576</t>
  </si>
  <si>
    <t>00000243600</t>
  </si>
  <si>
    <t>000450000477576</t>
  </si>
  <si>
    <t>2022-05-01</t>
  </si>
  <si>
    <t>89000000000241467000450000420638</t>
  </si>
  <si>
    <t>00000241467</t>
  </si>
  <si>
    <t>000450000420638</t>
  </si>
  <si>
    <t>2021-07-15</t>
  </si>
  <si>
    <t>89000000000244830000450000675785</t>
  </si>
  <si>
    <t>00000244830</t>
  </si>
  <si>
    <t>000450000675785</t>
  </si>
  <si>
    <t>89000000000243910000450000474954</t>
  </si>
  <si>
    <t>00000243910</t>
  </si>
  <si>
    <t>2022-08-15</t>
  </si>
  <si>
    <t>89000000008046593000530000507721</t>
  </si>
  <si>
    <t>00008046593</t>
  </si>
  <si>
    <t>000530000507721</t>
  </si>
  <si>
    <t>89000000008045234000530000738082</t>
  </si>
  <si>
    <t>00008045234</t>
  </si>
  <si>
    <t>000530000738082</t>
  </si>
  <si>
    <t>2023-09-01</t>
  </si>
  <si>
    <t>89000000005112836000510000648777</t>
  </si>
  <si>
    <t>00005112836</t>
  </si>
  <si>
    <t>000510000648777</t>
  </si>
  <si>
    <t>89000000000247115000450000769859</t>
  </si>
  <si>
    <t>00000247115</t>
  </si>
  <si>
    <t>000450000769859</t>
  </si>
  <si>
    <t>2023-11-01</t>
  </si>
  <si>
    <t>89000000008045141000530000744160</t>
  </si>
  <si>
    <t>00008045141</t>
  </si>
  <si>
    <t>000530000744160</t>
  </si>
  <si>
    <t>89000000000245488000450000738500</t>
  </si>
  <si>
    <t>00000245488</t>
  </si>
  <si>
    <t>000450000738500</t>
  </si>
  <si>
    <t>40</t>
  </si>
  <si>
    <t>2023-05-01</t>
  </si>
  <si>
    <t>89000000000246269000450000504609</t>
  </si>
  <si>
    <t>00000246269</t>
  </si>
  <si>
    <t>89000000008046334000530000746735</t>
  </si>
  <si>
    <t>00008046334</t>
  </si>
  <si>
    <t>000530000746735</t>
  </si>
  <si>
    <t>21</t>
  </si>
  <si>
    <t>89000000000247122000450000411134</t>
  </si>
  <si>
    <t>00000247122</t>
  </si>
  <si>
    <t>000450000411134</t>
  </si>
  <si>
    <t>89000000000249002000450000768015</t>
  </si>
  <si>
    <t>00000249002</t>
  </si>
  <si>
    <t>000450000768015</t>
  </si>
  <si>
    <t>89000000000247188000450000501645</t>
  </si>
  <si>
    <t>00000247188</t>
  </si>
  <si>
    <t>000450000501645</t>
  </si>
  <si>
    <t>45</t>
  </si>
  <si>
    <t>89000000000249322000450000731604</t>
  </si>
  <si>
    <t>00000249322</t>
  </si>
  <si>
    <t>000450000731604</t>
  </si>
  <si>
    <t>89000000008045697000530000750816</t>
  </si>
  <si>
    <t>00008045697</t>
  </si>
  <si>
    <t>000530000750816</t>
  </si>
  <si>
    <t>89000000000242694000450000751558</t>
  </si>
  <si>
    <t>00000242694</t>
  </si>
  <si>
    <t>000450000751558</t>
  </si>
  <si>
    <t>2022-02-01</t>
  </si>
  <si>
    <t>89000000000248502000450000454367</t>
  </si>
  <si>
    <t>00000248502</t>
  </si>
  <si>
    <t>89000000000248564000450000718573</t>
  </si>
  <si>
    <t>00000248564</t>
  </si>
  <si>
    <t>000450000718573</t>
  </si>
  <si>
    <t>89000000008045712000530000771799</t>
  </si>
  <si>
    <t>00008045712</t>
  </si>
  <si>
    <t>000530000771799</t>
  </si>
  <si>
    <t>89000000008043926000530000102968</t>
  </si>
  <si>
    <t>00008043926</t>
  </si>
  <si>
    <t>000530000102968</t>
  </si>
  <si>
    <t>89000000000246624000450000638036</t>
  </si>
  <si>
    <t>00000246624</t>
  </si>
  <si>
    <t>000450000638036</t>
  </si>
  <si>
    <t>89000000000240908000450000747049</t>
  </si>
  <si>
    <t>00000240908</t>
  </si>
  <si>
    <t>000450000747049</t>
  </si>
  <si>
    <t>2021-12-01</t>
  </si>
  <si>
    <t>89000000000247056000450000765252</t>
  </si>
  <si>
    <t>00000247056</t>
  </si>
  <si>
    <t>000450000765252</t>
  </si>
  <si>
    <t>89000000000248468000450000736616</t>
  </si>
  <si>
    <t>00000248468</t>
  </si>
  <si>
    <t>000450000736616</t>
  </si>
  <si>
    <t>29</t>
  </si>
  <si>
    <t>89000000000250396000450000479263</t>
  </si>
  <si>
    <t>00000250396</t>
  </si>
  <si>
    <t>89000000000248178000450000772830</t>
  </si>
  <si>
    <t>00000248178</t>
  </si>
  <si>
    <t>000450000772830</t>
  </si>
  <si>
    <t>89000000008046430000530000509837</t>
  </si>
  <si>
    <t>00008046430</t>
  </si>
  <si>
    <t>000530000509837</t>
  </si>
  <si>
    <t>89000000000241064000450000747483</t>
  </si>
  <si>
    <t>00000241064</t>
  </si>
  <si>
    <t>000450000747483</t>
  </si>
  <si>
    <t>2021-07-01</t>
  </si>
  <si>
    <t>89000000000250270000450000756441</t>
  </si>
  <si>
    <t>00000250270</t>
  </si>
  <si>
    <t>000450000756441</t>
  </si>
  <si>
    <t>89000000000243421000450000757107</t>
  </si>
  <si>
    <t>00000243421</t>
  </si>
  <si>
    <t>000450000757107</t>
  </si>
  <si>
    <t>2022-06-15</t>
  </si>
  <si>
    <t>89000000000249938000450000413048</t>
  </si>
  <si>
    <t>00000249938</t>
  </si>
  <si>
    <t>000450000413048</t>
  </si>
  <si>
    <t>8</t>
  </si>
  <si>
    <t>89000000008045576000530000657002</t>
  </si>
  <si>
    <t>00008045576</t>
  </si>
  <si>
    <t>000530000657002</t>
  </si>
  <si>
    <t>89000000000245771000450000746651</t>
  </si>
  <si>
    <t>00000245771</t>
  </si>
  <si>
    <t>000450000746651</t>
  </si>
  <si>
    <t>89000000008041886000530000832607</t>
  </si>
  <si>
    <t>00008041886</t>
  </si>
  <si>
    <t>000530000832607</t>
  </si>
  <si>
    <t>89000000000249327000450000762430</t>
  </si>
  <si>
    <t>00000249327</t>
  </si>
  <si>
    <t>000450000762430</t>
  </si>
  <si>
    <t>89000000000249885000450000482771</t>
  </si>
  <si>
    <t>00000249885</t>
  </si>
  <si>
    <t>000450000482771</t>
  </si>
  <si>
    <t>89000000008046592000530000778534</t>
  </si>
  <si>
    <t>00008046592</t>
  </si>
  <si>
    <t>000530000778534</t>
  </si>
  <si>
    <t>89000000008043540000530000748589</t>
  </si>
  <si>
    <t>00008043540</t>
  </si>
  <si>
    <t>000530000748589</t>
  </si>
  <si>
    <t>2021-08-15</t>
  </si>
  <si>
    <t>89000000000243139000450000755263</t>
  </si>
  <si>
    <t>00000243139</t>
  </si>
  <si>
    <t>000450000755263</t>
  </si>
  <si>
    <t>89000000000248550000450000615035</t>
  </si>
  <si>
    <t>00000248550</t>
  </si>
  <si>
    <t>000450000615035</t>
  </si>
  <si>
    <t>89000000000248608000450000649144</t>
  </si>
  <si>
    <t>00000248608</t>
  </si>
  <si>
    <t>000450000649144</t>
  </si>
  <si>
    <t>89000000000241942000450000562993</t>
  </si>
  <si>
    <t>00000241942</t>
  </si>
  <si>
    <t>000450000562993</t>
  </si>
  <si>
    <t>2021-10-01</t>
  </si>
  <si>
    <t>89000000000247415000450000653195</t>
  </si>
  <si>
    <t>00000247415</t>
  </si>
  <si>
    <t>000450000653195</t>
  </si>
  <si>
    <t>89000000000249179000450000480111</t>
  </si>
  <si>
    <t>00000249179</t>
  </si>
  <si>
    <t>000450000480111</t>
  </si>
  <si>
    <t>89000000000247052000450000670333</t>
  </si>
  <si>
    <t>00000247052</t>
  </si>
  <si>
    <t>000450000670333</t>
  </si>
  <si>
    <t>89000000000250070000450000507008</t>
  </si>
  <si>
    <t>00000250070</t>
  </si>
  <si>
    <t>2024-12-01</t>
  </si>
  <si>
    <t>89000000000249534000450000775908</t>
  </si>
  <si>
    <t>00000249534</t>
  </si>
  <si>
    <t>000450000775908</t>
  </si>
  <si>
    <t>89000000000250356000450000777388</t>
  </si>
  <si>
    <t>00000250356</t>
  </si>
  <si>
    <t>000450000777388</t>
  </si>
  <si>
    <t>89000000008046606000530000778327</t>
  </si>
  <si>
    <t>00008046606</t>
  </si>
  <si>
    <t>000530000778327</t>
  </si>
  <si>
    <t>89000000000247054000450000761716</t>
  </si>
  <si>
    <t>00000247054</t>
  </si>
  <si>
    <t>000450000761716</t>
  </si>
  <si>
    <t>2023-10-15</t>
  </si>
  <si>
    <t>89000000008045211000530000474863</t>
  </si>
  <si>
    <t>00008045211</t>
  </si>
  <si>
    <t>000530000474863</t>
  </si>
  <si>
    <t>89000000008046246000530000776270</t>
  </si>
  <si>
    <t>00008046246</t>
  </si>
  <si>
    <t>000530000776270</t>
  </si>
  <si>
    <t>89000000000245896000450000748474</t>
  </si>
  <si>
    <t>00000245896</t>
  </si>
  <si>
    <t>000450000748474</t>
  </si>
  <si>
    <t>89000000000235379000450000473752</t>
  </si>
  <si>
    <t>00000235379</t>
  </si>
  <si>
    <t>000450000473752</t>
  </si>
  <si>
    <t>2020-07-01</t>
  </si>
  <si>
    <t>89000000000248891000450000101676</t>
  </si>
  <si>
    <t>00000248891</t>
  </si>
  <si>
    <t>000450000101676</t>
  </si>
  <si>
    <t>89000000000240574000450000564193</t>
  </si>
  <si>
    <t>00000240574</t>
  </si>
  <si>
    <t>000450000564193</t>
  </si>
  <si>
    <t>89000000000249332000450000464766</t>
  </si>
  <si>
    <t>00000249332</t>
  </si>
  <si>
    <t>000450000464766</t>
  </si>
  <si>
    <t>89000000000248645000450000773866</t>
  </si>
  <si>
    <t>00000248645</t>
  </si>
  <si>
    <t>000450000773866</t>
  </si>
  <si>
    <t>EC3</t>
  </si>
  <si>
    <t>89000000008046030000530000728121</t>
  </si>
  <si>
    <t>00008046030</t>
  </si>
  <si>
    <t>000530000728121</t>
  </si>
  <si>
    <t>89000000000247304000450000501645</t>
  </si>
  <si>
    <t>00000247304</t>
  </si>
  <si>
    <t>89000000000249952000450000763019</t>
  </si>
  <si>
    <t>00000249952</t>
  </si>
  <si>
    <t>000450000763019</t>
  </si>
  <si>
    <t>89000000005116469000510000521440</t>
  </si>
  <si>
    <t>00005116469</t>
  </si>
  <si>
    <t>000510000521440</t>
  </si>
  <si>
    <t>89000000008040348000530000732671</t>
  </si>
  <si>
    <t>00008040348</t>
  </si>
  <si>
    <t>000530000732671</t>
  </si>
  <si>
    <t>2020-01-15</t>
  </si>
  <si>
    <t>89000000000246975000450000483294</t>
  </si>
  <si>
    <t>00000246975</t>
  </si>
  <si>
    <t>000450000483294</t>
  </si>
  <si>
    <t>89000000000248300000450000733270</t>
  </si>
  <si>
    <t>00000248300</t>
  </si>
  <si>
    <t>000450000733270</t>
  </si>
  <si>
    <t>89000000008046598000530000562271</t>
  </si>
  <si>
    <t>00008046598</t>
  </si>
  <si>
    <t>000530000562271</t>
  </si>
  <si>
    <t>89000000000248586000450000662355</t>
  </si>
  <si>
    <t>00000248586</t>
  </si>
  <si>
    <t>000450000662355</t>
  </si>
  <si>
    <t>89000000008046564000530000610062</t>
  </si>
  <si>
    <t>00008046564</t>
  </si>
  <si>
    <t>000530000610062</t>
  </si>
  <si>
    <t>89000000000234413000450000734269</t>
  </si>
  <si>
    <t>00000234413</t>
  </si>
  <si>
    <t>000450000734269</t>
  </si>
  <si>
    <t>2020-03-15</t>
  </si>
  <si>
    <t>89000000000246882000450000414583</t>
  </si>
  <si>
    <t>00000246882</t>
  </si>
  <si>
    <t>000450000414583</t>
  </si>
  <si>
    <t>89000000008045350000530000743712</t>
  </si>
  <si>
    <t>00008045350</t>
  </si>
  <si>
    <t>000530000743712</t>
  </si>
  <si>
    <t>89000000000246933000450000592203</t>
  </si>
  <si>
    <t>00000246933</t>
  </si>
  <si>
    <t>000450000592203</t>
  </si>
  <si>
    <t>89000000000243162000450000837222</t>
  </si>
  <si>
    <t>00000243162</t>
  </si>
  <si>
    <t>000450000837222</t>
  </si>
  <si>
    <t>2022-03-15</t>
  </si>
  <si>
    <t>89000000000249066000450000744538</t>
  </si>
  <si>
    <t>00000249066</t>
  </si>
  <si>
    <t>000450000744538</t>
  </si>
  <si>
    <t>89000000000250501000450000479263</t>
  </si>
  <si>
    <t>00000250501</t>
  </si>
  <si>
    <t>89000000000249396000450000411515</t>
  </si>
  <si>
    <t>00000249396</t>
  </si>
  <si>
    <t>000450000411515</t>
  </si>
  <si>
    <t>89000000000242586000450000753242</t>
  </si>
  <si>
    <t>00000242586</t>
  </si>
  <si>
    <t>000450000753242</t>
  </si>
  <si>
    <t>2021-12-15</t>
  </si>
  <si>
    <t>89000000008045455000530000757697</t>
  </si>
  <si>
    <t>00008045455</t>
  </si>
  <si>
    <t>000530000757697</t>
  </si>
  <si>
    <t>89000000000249982000450000665429</t>
  </si>
  <si>
    <t>00000249982</t>
  </si>
  <si>
    <t>000450000665429</t>
  </si>
  <si>
    <t>89000000000246476000450000599890</t>
  </si>
  <si>
    <t>00000246476</t>
  </si>
  <si>
    <t>000450000599890</t>
  </si>
  <si>
    <t>89000000000246600000450000654284</t>
  </si>
  <si>
    <t>00000246600</t>
  </si>
  <si>
    <t>000450000654284</t>
  </si>
  <si>
    <t>89000000008045791000530000773084</t>
  </si>
  <si>
    <t>00008045791</t>
  </si>
  <si>
    <t>000530000773084</t>
  </si>
  <si>
    <t>89000000000243409000450000757433</t>
  </si>
  <si>
    <t>00000243409</t>
  </si>
  <si>
    <t>000450000757433</t>
  </si>
  <si>
    <t>89000000008045726000530000688865</t>
  </si>
  <si>
    <t>00008045726</t>
  </si>
  <si>
    <t>000530000688865</t>
  </si>
  <si>
    <t>89000000005116350000510000527089</t>
  </si>
  <si>
    <t>00005116350</t>
  </si>
  <si>
    <t>000510000527089</t>
  </si>
  <si>
    <t>89000000000248230000450000772488</t>
  </si>
  <si>
    <t>00000248230</t>
  </si>
  <si>
    <t>000450000772488</t>
  </si>
  <si>
    <t>89000000000249704000450000749218</t>
  </si>
  <si>
    <t>00000249704</t>
  </si>
  <si>
    <t>000450000749218</t>
  </si>
  <si>
    <t>89000000008045117000530000677980</t>
  </si>
  <si>
    <t>00008045117</t>
  </si>
  <si>
    <t>000530000677980</t>
  </si>
  <si>
    <t>89000000005117790000510000772830</t>
  </si>
  <si>
    <t>00005117790</t>
  </si>
  <si>
    <t>000510000772830</t>
  </si>
  <si>
    <t>89000000000247892000450000464248</t>
  </si>
  <si>
    <t>00000247892</t>
  </si>
  <si>
    <t>000450000464248</t>
  </si>
  <si>
    <t>EP0</t>
  </si>
  <si>
    <t>89000000000249468000450000469470</t>
  </si>
  <si>
    <t>00000249468</t>
  </si>
  <si>
    <t>000450000469470</t>
  </si>
  <si>
    <t>89000000008045990000530000479811</t>
  </si>
  <si>
    <t>00008045990</t>
  </si>
  <si>
    <t>000530000479811</t>
  </si>
  <si>
    <t>89000000000246041000450000714425</t>
  </si>
  <si>
    <t>00000246041</t>
  </si>
  <si>
    <t>000450000714425</t>
  </si>
  <si>
    <t>2023-07-01</t>
  </si>
  <si>
    <t>89000000000248400000450000750284</t>
  </si>
  <si>
    <t>00000248400</t>
  </si>
  <si>
    <t>000450000750284</t>
  </si>
  <si>
    <t>89000000000244386000450000763148</t>
  </si>
  <si>
    <t>00000244386</t>
  </si>
  <si>
    <t>000450000763148</t>
  </si>
  <si>
    <t>2022-10-15</t>
  </si>
  <si>
    <t>89000000005117791000510000627217</t>
  </si>
  <si>
    <t>00005117791</t>
  </si>
  <si>
    <t>000510000627217</t>
  </si>
  <si>
    <t>38</t>
  </si>
  <si>
    <t>89000000000248574000450000752609</t>
  </si>
  <si>
    <t>00000248574</t>
  </si>
  <si>
    <t>000450000752609</t>
  </si>
  <si>
    <t>89000000000250395000450000479263</t>
  </si>
  <si>
    <t>00000250395</t>
  </si>
  <si>
    <t>89000000008045381000530000678089</t>
  </si>
  <si>
    <t>00008045381</t>
  </si>
  <si>
    <t>000530000678089</t>
  </si>
  <si>
    <t>89000000000246712000450000756136</t>
  </si>
  <si>
    <t>00000246712</t>
  </si>
  <si>
    <t>000450000756136</t>
  </si>
  <si>
    <t>89000000000245667000450000586478</t>
  </si>
  <si>
    <t>00000245667</t>
  </si>
  <si>
    <t>000450000586478</t>
  </si>
  <si>
    <t>89000000000248199000450000681874</t>
  </si>
  <si>
    <t>00000248199</t>
  </si>
  <si>
    <t>000450000681874</t>
  </si>
  <si>
    <t>89000000000235280000450000735840</t>
  </si>
  <si>
    <t>00000235280</t>
  </si>
  <si>
    <t>000450000735840</t>
  </si>
  <si>
    <t>2020-06-01</t>
  </si>
  <si>
    <t>89000000000248040000450000725865</t>
  </si>
  <si>
    <t>00000248040</t>
  </si>
  <si>
    <t>000450000725865</t>
  </si>
  <si>
    <t>89000000000246409000450000761791</t>
  </si>
  <si>
    <t>00000246409</t>
  </si>
  <si>
    <t>000450000761791</t>
  </si>
  <si>
    <t>89000000008046193000530000761054</t>
  </si>
  <si>
    <t>00008046193</t>
  </si>
  <si>
    <t>000530000761054</t>
  </si>
  <si>
    <t>89000000000248177000450000772830</t>
  </si>
  <si>
    <t>00000248177</t>
  </si>
  <si>
    <t>89000000008046614000530000778700</t>
  </si>
  <si>
    <t>00008046614</t>
  </si>
  <si>
    <t>000530000778700</t>
  </si>
  <si>
    <t>89000000000247009000450000709599</t>
  </si>
  <si>
    <t>00000247009</t>
  </si>
  <si>
    <t>000450000709599</t>
  </si>
  <si>
    <t>89000000005114178000510000767358</t>
  </si>
  <si>
    <t>00005114178</t>
  </si>
  <si>
    <t>000510000767358</t>
  </si>
  <si>
    <t>89000000005105244000510000511351</t>
  </si>
  <si>
    <t>00005105244</t>
  </si>
  <si>
    <t>000510000511351</t>
  </si>
  <si>
    <t>89000000000238626000450000712803</t>
  </si>
  <si>
    <t>00000238626</t>
  </si>
  <si>
    <t>000450000712803</t>
  </si>
  <si>
    <t>2021-03-15</t>
  </si>
  <si>
    <t>89000000000248870000450000649720</t>
  </si>
  <si>
    <t>00000248870</t>
  </si>
  <si>
    <t>000450000649720</t>
  </si>
  <si>
    <t>89000000000247147000450000419668</t>
  </si>
  <si>
    <t>00000247147</t>
  </si>
  <si>
    <t>000450000419668</t>
  </si>
  <si>
    <t>89000000000246910000450000739494</t>
  </si>
  <si>
    <t>00000246910</t>
  </si>
  <si>
    <t>000450000739494</t>
  </si>
  <si>
    <t>89000000000249163000450000679140</t>
  </si>
  <si>
    <t>00000249163</t>
  </si>
  <si>
    <t>000450000679140</t>
  </si>
  <si>
    <t>89000000000242910000450000414184</t>
  </si>
  <si>
    <t>00000242910</t>
  </si>
  <si>
    <t>000450000414184</t>
  </si>
  <si>
    <t>48</t>
  </si>
  <si>
    <t>89000000000245477000450000743508</t>
  </si>
  <si>
    <t>00000245477</t>
  </si>
  <si>
    <t>000450000743508</t>
  </si>
  <si>
    <t>2023-04-01</t>
  </si>
  <si>
    <t>89000000000248644000450000750969</t>
  </si>
  <si>
    <t>00000248644</t>
  </si>
  <si>
    <t>000450000750969</t>
  </si>
  <si>
    <t>89000000000250432000450000740236</t>
  </si>
  <si>
    <t>00000250432</t>
  </si>
  <si>
    <t>000450000740236</t>
  </si>
  <si>
    <t>89000000000249277000450000466030</t>
  </si>
  <si>
    <t>00000249277</t>
  </si>
  <si>
    <t>000450000466030</t>
  </si>
  <si>
    <t>89000000000249744000450000776431</t>
  </si>
  <si>
    <t>00000249744</t>
  </si>
  <si>
    <t>000450000776431</t>
  </si>
  <si>
    <t>89000000008045635000530000511179</t>
  </si>
  <si>
    <t>00008045635</t>
  </si>
  <si>
    <t>000530000511179</t>
  </si>
  <si>
    <t>89000000000247396000450000472174</t>
  </si>
  <si>
    <t>00000247396</t>
  </si>
  <si>
    <t>000450000472174</t>
  </si>
  <si>
    <t>89000000000250427000450000778145</t>
  </si>
  <si>
    <t>00000250427</t>
  </si>
  <si>
    <t>000450000778145</t>
  </si>
  <si>
    <t>89000000008046590000530000778327</t>
  </si>
  <si>
    <t>00008046590</t>
  </si>
  <si>
    <t>89000000000241409000450000744183</t>
  </si>
  <si>
    <t>00000241409</t>
  </si>
  <si>
    <t>000450000744183</t>
  </si>
  <si>
    <t>2021-08-01</t>
  </si>
  <si>
    <t>89000000000241761000450000419381</t>
  </si>
  <si>
    <t>00000241761</t>
  </si>
  <si>
    <t>000450000419381</t>
  </si>
  <si>
    <t>2021-09-15</t>
  </si>
  <si>
    <t>89000000008044797000530000765227</t>
  </si>
  <si>
    <t>00008044797</t>
  </si>
  <si>
    <t>000530000765227</t>
  </si>
  <si>
    <t>2023-02-01</t>
  </si>
  <si>
    <t>89000000000240009000450000745536</t>
  </si>
  <si>
    <t>00000240009</t>
  </si>
  <si>
    <t>000450000745536</t>
  </si>
  <si>
    <t>2021-04-15</t>
  </si>
  <si>
    <t>89000000000247896000450000502831</t>
  </si>
  <si>
    <t>00000247896</t>
  </si>
  <si>
    <t>000450000502831</t>
  </si>
  <si>
    <t>89000000000250234000450000511064</t>
  </si>
  <si>
    <t>00000250234</t>
  </si>
  <si>
    <t>000450000511064</t>
  </si>
  <si>
    <t>89000000000250343000450000738505</t>
  </si>
  <si>
    <t>00000250343</t>
  </si>
  <si>
    <t>000450000738505</t>
  </si>
  <si>
    <t>89000000000247895000450000464640</t>
  </si>
  <si>
    <t>00000247895</t>
  </si>
  <si>
    <t>000450000464640</t>
  </si>
  <si>
    <t>89000000000245939000450000664737</t>
  </si>
  <si>
    <t>00000245939</t>
  </si>
  <si>
    <t>000450000664737</t>
  </si>
  <si>
    <t>89000000000248390000450000773132</t>
  </si>
  <si>
    <t>00000248390</t>
  </si>
  <si>
    <t>000450000773132</t>
  </si>
  <si>
    <t>89000000008044901000530000695093</t>
  </si>
  <si>
    <t>00008044901</t>
  </si>
  <si>
    <t>000530000695093</t>
  </si>
  <si>
    <t>89000000000248523000450000659266</t>
  </si>
  <si>
    <t>00000248523</t>
  </si>
  <si>
    <t>000450000659266</t>
  </si>
  <si>
    <t>89000000008044488000530000761617</t>
  </si>
  <si>
    <t>00008044488</t>
  </si>
  <si>
    <t>000530000761617</t>
  </si>
  <si>
    <t>89000000000249595000450000704694</t>
  </si>
  <si>
    <t>00000249595</t>
  </si>
  <si>
    <t>000450000704694</t>
  </si>
  <si>
    <t>89000000000247026000450000502850</t>
  </si>
  <si>
    <t>00000247026</t>
  </si>
  <si>
    <t>000450000502850</t>
  </si>
  <si>
    <t>89000000000247883000450000510402</t>
  </si>
  <si>
    <t>00000247883</t>
  </si>
  <si>
    <t>000450000510402</t>
  </si>
  <si>
    <t>89000000008044866000530000674465</t>
  </si>
  <si>
    <t>00008044866</t>
  </si>
  <si>
    <t>000530000674465</t>
  </si>
  <si>
    <t>2023-03-01</t>
  </si>
  <si>
    <t>89000000000245761000450000766682</t>
  </si>
  <si>
    <t>00000245761</t>
  </si>
  <si>
    <t>000450000766682</t>
  </si>
  <si>
    <t>89000000000249728000450000682775</t>
  </si>
  <si>
    <t>00000249728</t>
  </si>
  <si>
    <t>000450000682775</t>
  </si>
  <si>
    <t>89000000000248191000450000836511</t>
  </si>
  <si>
    <t>00000248191</t>
  </si>
  <si>
    <t>000450000836511</t>
  </si>
  <si>
    <t>89000000008045005000530000666429</t>
  </si>
  <si>
    <t>00008045005</t>
  </si>
  <si>
    <t>000530000666429</t>
  </si>
  <si>
    <t>89000000005113045000510000505547</t>
  </si>
  <si>
    <t>00005113045</t>
  </si>
  <si>
    <t>000510000505547</t>
  </si>
  <si>
    <t>2024-02-01</t>
  </si>
  <si>
    <t>89000000000245936000450000584154</t>
  </si>
  <si>
    <t>00000245936</t>
  </si>
  <si>
    <t>000450000584154</t>
  </si>
  <si>
    <t>2023-06-01</t>
  </si>
  <si>
    <t>89000000000235563000450000405277</t>
  </si>
  <si>
    <t>00000235563</t>
  </si>
  <si>
    <t>000450000405277</t>
  </si>
  <si>
    <t>89000000000246202000450000564472</t>
  </si>
  <si>
    <t>00000246202</t>
  </si>
  <si>
    <t>000450000564472</t>
  </si>
  <si>
    <t>1</t>
  </si>
  <si>
    <t>89000000008045194000530000687718</t>
  </si>
  <si>
    <t>00008045194</t>
  </si>
  <si>
    <t>000530000687718</t>
  </si>
  <si>
    <t>2023-08-01</t>
  </si>
  <si>
    <t>89000000008045245000530000767904</t>
  </si>
  <si>
    <t>00008045245</t>
  </si>
  <si>
    <t>000530000767904</t>
  </si>
  <si>
    <t>89000000000248041000450000730374</t>
  </si>
  <si>
    <t>00000248041</t>
  </si>
  <si>
    <t>000450000730374</t>
  </si>
  <si>
    <t>89000000008045447000530000509286</t>
  </si>
  <si>
    <t>00008045447</t>
  </si>
  <si>
    <t>000530000509286</t>
  </si>
  <si>
    <t>89000000000247775000450000320597</t>
  </si>
  <si>
    <t>00000247775</t>
  </si>
  <si>
    <t>89000000008038138000530000703992</t>
  </si>
  <si>
    <t>00008038138</t>
  </si>
  <si>
    <t>000530000703992</t>
  </si>
  <si>
    <t>2019-03-01</t>
  </si>
  <si>
    <t>89000000000246055000450000703650</t>
  </si>
  <si>
    <t>00000246055</t>
  </si>
  <si>
    <t>000450000703650</t>
  </si>
  <si>
    <t>89000000000249317000450000775261</t>
  </si>
  <si>
    <t>00000249317</t>
  </si>
  <si>
    <t>000450000775261</t>
  </si>
  <si>
    <t>89000000000247244000450000745830</t>
  </si>
  <si>
    <t>00000247244</t>
  </si>
  <si>
    <t>000450000745830</t>
  </si>
  <si>
    <t>89000000008045900000530000771135</t>
  </si>
  <si>
    <t>00008045900</t>
  </si>
  <si>
    <t>000530000771135</t>
  </si>
  <si>
    <t>89000000008046280000530000730704</t>
  </si>
  <si>
    <t>00008046280</t>
  </si>
  <si>
    <t>000530000730704</t>
  </si>
  <si>
    <t>89000000000247922000450000772201</t>
  </si>
  <si>
    <t>00000247922</t>
  </si>
  <si>
    <t>000450000772201</t>
  </si>
  <si>
    <t>89000000008045067000530000767417</t>
  </si>
  <si>
    <t>00008045067</t>
  </si>
  <si>
    <t>000530000767417</t>
  </si>
  <si>
    <t>89000000000232776000420000647903</t>
  </si>
  <si>
    <t>00000232776</t>
  </si>
  <si>
    <t>000420000647903</t>
  </si>
  <si>
    <t>VEICULOS PESADOS DE MERCADORIAS</t>
  </si>
  <si>
    <t>2019-12-15</t>
  </si>
  <si>
    <t>Heavy Vehicle</t>
  </si>
  <si>
    <t>89000000000246523000450000768676</t>
  </si>
  <si>
    <t>00000246523</t>
  </si>
  <si>
    <t>000450000768676</t>
  </si>
  <si>
    <t>89000000000248072000450000515093</t>
  </si>
  <si>
    <t>00000248072</t>
  </si>
  <si>
    <t>000450000515093</t>
  </si>
  <si>
    <t>89000000000249888000450000755263</t>
  </si>
  <si>
    <t>00000249888</t>
  </si>
  <si>
    <t>89000000000248016000450000715308</t>
  </si>
  <si>
    <t>00000248016</t>
  </si>
  <si>
    <t>000450000715308</t>
  </si>
  <si>
    <t>89000000008045391000530000517033</t>
  </si>
  <si>
    <t>00008045391</t>
  </si>
  <si>
    <t>000530000517033</t>
  </si>
  <si>
    <t>89000000000247541000450000668105</t>
  </si>
  <si>
    <t>00000247541</t>
  </si>
  <si>
    <t>000450000668105</t>
  </si>
  <si>
    <t>89000000000241170000450000727611</t>
  </si>
  <si>
    <t>00000241170</t>
  </si>
  <si>
    <t>000450000727611</t>
  </si>
  <si>
    <t>89000000000245337000420000409991</t>
  </si>
  <si>
    <t>00000245337</t>
  </si>
  <si>
    <t>000420000409991</t>
  </si>
  <si>
    <t>7</t>
  </si>
  <si>
    <t>89000000000247733000450000771703</t>
  </si>
  <si>
    <t>00000247733</t>
  </si>
  <si>
    <t>000450000771703</t>
  </si>
  <si>
    <t>89000000000248429000450000772610</t>
  </si>
  <si>
    <t>00000248429</t>
  </si>
  <si>
    <t>000450000772610</t>
  </si>
  <si>
    <t>89000000000246205000450000742048</t>
  </si>
  <si>
    <t>00000246205</t>
  </si>
  <si>
    <t>000450000742048</t>
  </si>
  <si>
    <t>89000000000246105000450000700634</t>
  </si>
  <si>
    <t>00000246105</t>
  </si>
  <si>
    <t>000450000700634</t>
  </si>
  <si>
    <t>89000000000247857000450000766075</t>
  </si>
  <si>
    <t>00000247857</t>
  </si>
  <si>
    <t>000450000766075</t>
  </si>
  <si>
    <t>89000000000246296000450000752407</t>
  </si>
  <si>
    <t>00000246296</t>
  </si>
  <si>
    <t>000450000752407</t>
  </si>
  <si>
    <t>89000000000242374000450000744480</t>
  </si>
  <si>
    <t>00000242374</t>
  </si>
  <si>
    <t>000450000744480</t>
  </si>
  <si>
    <t>89000000000230727000450000590729</t>
  </si>
  <si>
    <t>00000230727</t>
  </si>
  <si>
    <t>000450000590729</t>
  </si>
  <si>
    <t>2019-10-01</t>
  </si>
  <si>
    <t>89000000000247812000450000657699</t>
  </si>
  <si>
    <t>00000247812</t>
  </si>
  <si>
    <t>000450000657699</t>
  </si>
  <si>
    <t>89000000005117990000510000772830</t>
  </si>
  <si>
    <t>00005117990</t>
  </si>
  <si>
    <t>89000000000245729000450000320597</t>
  </si>
  <si>
    <t>00000245729</t>
  </si>
  <si>
    <t>89000000000241688000450000746379</t>
  </si>
  <si>
    <t>00000241688</t>
  </si>
  <si>
    <t>89000000008045323000530000668836</t>
  </si>
  <si>
    <t>00008045323</t>
  </si>
  <si>
    <t>000530000668836</t>
  </si>
  <si>
    <t>89000000000248763000450000773024</t>
  </si>
  <si>
    <t>00000248763</t>
  </si>
  <si>
    <t>000450000773024</t>
  </si>
  <si>
    <t>89000000000242034000450000624516</t>
  </si>
  <si>
    <t>00000242034</t>
  </si>
  <si>
    <t>000450000624516</t>
  </si>
  <si>
    <t>89000000000242264000450000748579</t>
  </si>
  <si>
    <t>00000242264</t>
  </si>
  <si>
    <t>000450000748579</t>
  </si>
  <si>
    <t>89000000008045972000530000773963</t>
  </si>
  <si>
    <t>00008045972</t>
  </si>
  <si>
    <t>000530000773963</t>
  </si>
  <si>
    <t>89000000000235940000450000661428</t>
  </si>
  <si>
    <t>00000235940</t>
  </si>
  <si>
    <t>000450000661428</t>
  </si>
  <si>
    <t>89000000000241545000450000623234</t>
  </si>
  <si>
    <t>00000241545</t>
  </si>
  <si>
    <t>000450000623234</t>
  </si>
  <si>
    <t>2021-09-01</t>
  </si>
  <si>
    <t>89000000008041176000530000690030</t>
  </si>
  <si>
    <t>00008041176</t>
  </si>
  <si>
    <t>000530000690030</t>
  </si>
  <si>
    <t>2020-07-15</t>
  </si>
  <si>
    <t>89000000000246255000450000702171</t>
  </si>
  <si>
    <t>00000246255</t>
  </si>
  <si>
    <t>000450000702171</t>
  </si>
  <si>
    <t>89000000000248092000450000772262</t>
  </si>
  <si>
    <t>00000248092</t>
  </si>
  <si>
    <t>000450000772262</t>
  </si>
  <si>
    <t>89000000000245318000450000765656</t>
  </si>
  <si>
    <t>00000245318</t>
  </si>
  <si>
    <t>000450000765656</t>
  </si>
  <si>
    <t>89000000008045518000530000513516</t>
  </si>
  <si>
    <t>00008045518</t>
  </si>
  <si>
    <t>000530000513516</t>
  </si>
  <si>
    <t>89000000000246066000450000766227</t>
  </si>
  <si>
    <t>00000246066</t>
  </si>
  <si>
    <t>000450000766227</t>
  </si>
  <si>
    <t>89000000000248541000450000763769</t>
  </si>
  <si>
    <t>00000248541</t>
  </si>
  <si>
    <t>000450000763769</t>
  </si>
  <si>
    <t>89000000000250204000450000657028</t>
  </si>
  <si>
    <t>00000250204</t>
  </si>
  <si>
    <t>000450000657028</t>
  </si>
  <si>
    <t>89000000000247806000450000626427</t>
  </si>
  <si>
    <t>00000247806</t>
  </si>
  <si>
    <t>000450000626427</t>
  </si>
  <si>
    <t>89000000000246533000420000472175</t>
  </si>
  <si>
    <t>00000246533</t>
  </si>
  <si>
    <t>000420000472175</t>
  </si>
  <si>
    <t>89000000000247864000450000548931</t>
  </si>
  <si>
    <t>00000247864</t>
  </si>
  <si>
    <t>000450000548931</t>
  </si>
  <si>
    <t>89000000000249395000450000775558</t>
  </si>
  <si>
    <t>00000249395</t>
  </si>
  <si>
    <t>000450000775558</t>
  </si>
  <si>
    <t>89000000008045501000530000613298</t>
  </si>
  <si>
    <t>00008045501</t>
  </si>
  <si>
    <t>000530000613298</t>
  </si>
  <si>
    <t>89000000000245049000450000482771</t>
  </si>
  <si>
    <t>00000245049</t>
  </si>
  <si>
    <t>89000000000225168000420000105889</t>
  </si>
  <si>
    <t>00000225168</t>
  </si>
  <si>
    <t>000420000105889</t>
  </si>
  <si>
    <t>5</t>
  </si>
  <si>
    <t>2019-02-01</t>
  </si>
  <si>
    <t>89000000000245234000450000753432</t>
  </si>
  <si>
    <t>00000245234</t>
  </si>
  <si>
    <t>000450000753432</t>
  </si>
  <si>
    <t>89000000008045001000530000412437</t>
  </si>
  <si>
    <t>00008045001</t>
  </si>
  <si>
    <t>000530000412437</t>
  </si>
  <si>
    <t>89000000008044164000530000640680</t>
  </si>
  <si>
    <t>00008044164</t>
  </si>
  <si>
    <t>000530000640680</t>
  </si>
  <si>
    <t>2022-02-15</t>
  </si>
  <si>
    <t>89000000008046000000530000773659</t>
  </si>
  <si>
    <t>00008046000</t>
  </si>
  <si>
    <t>000530000773659</t>
  </si>
  <si>
    <t>89000000008044553000530000696011</t>
  </si>
  <si>
    <t>00008044553</t>
  </si>
  <si>
    <t>000530000696011</t>
  </si>
  <si>
    <t>89000000000249590000450000775752</t>
  </si>
  <si>
    <t>00000249590</t>
  </si>
  <si>
    <t>000450000775752</t>
  </si>
  <si>
    <t>89000000000247381000450000698423</t>
  </si>
  <si>
    <t>00000247381</t>
  </si>
  <si>
    <t>000450000698423</t>
  </si>
  <si>
    <t>89000000000244591000450000761159</t>
  </si>
  <si>
    <t>00000244591</t>
  </si>
  <si>
    <t>000450000761159</t>
  </si>
  <si>
    <t>89000000000242583000420000422249</t>
  </si>
  <si>
    <t>00000242583</t>
  </si>
  <si>
    <t>000420000422249</t>
  </si>
  <si>
    <t>89000000008046419000530000777517</t>
  </si>
  <si>
    <t>00008046419</t>
  </si>
  <si>
    <t>000530000777517</t>
  </si>
  <si>
    <t>89000000000250196000450000777717</t>
  </si>
  <si>
    <t>00000250196</t>
  </si>
  <si>
    <t>000450000777717</t>
  </si>
  <si>
    <t>89000000008045978000530000774107</t>
  </si>
  <si>
    <t>00008045978</t>
  </si>
  <si>
    <t>000530000774107</t>
  </si>
  <si>
    <t>89000000008046323000530000610953</t>
  </si>
  <si>
    <t>00008046323</t>
  </si>
  <si>
    <t>000530000610953</t>
  </si>
  <si>
    <t>89000000000246652000450000687782</t>
  </si>
  <si>
    <t>00000246652</t>
  </si>
  <si>
    <t>000450000687782</t>
  </si>
  <si>
    <t>89000000008046293000530000775293</t>
  </si>
  <si>
    <t>00008046293</t>
  </si>
  <si>
    <t>000530000775293</t>
  </si>
  <si>
    <t>89000000000246504000450000705641</t>
  </si>
  <si>
    <t>00000246504</t>
  </si>
  <si>
    <t>000450000705641</t>
  </si>
  <si>
    <t>89000000000249314000450000775261</t>
  </si>
  <si>
    <t>00000249314</t>
  </si>
  <si>
    <t>89000000000242099000450000408176</t>
  </si>
  <si>
    <t>00000242099</t>
  </si>
  <si>
    <t>000450000408176</t>
  </si>
  <si>
    <t>89000000008045256000530000611865</t>
  </si>
  <si>
    <t>00008045256</t>
  </si>
  <si>
    <t>000530000611865</t>
  </si>
  <si>
    <t>89000000000247498000450000477631</t>
  </si>
  <si>
    <t>00000247498</t>
  </si>
  <si>
    <t>000450000477631</t>
  </si>
  <si>
    <t>89000000000248451000450000678173</t>
  </si>
  <si>
    <t>00000248451</t>
  </si>
  <si>
    <t>000450000678173</t>
  </si>
  <si>
    <t>89000000000246958000450000320597</t>
  </si>
  <si>
    <t>00000246958</t>
  </si>
  <si>
    <t>89000000000242570000450000401482</t>
  </si>
  <si>
    <t>00000242570</t>
  </si>
  <si>
    <t>000450000401482</t>
  </si>
  <si>
    <t>89000000000249867000450000700084</t>
  </si>
  <si>
    <t>00000249867</t>
  </si>
  <si>
    <t>89000000000246759000450000502587</t>
  </si>
  <si>
    <t>00000246759</t>
  </si>
  <si>
    <t>000450000502587</t>
  </si>
  <si>
    <t>89000000000247084000450000689466</t>
  </si>
  <si>
    <t>00000247084</t>
  </si>
  <si>
    <t>000450000689466</t>
  </si>
  <si>
    <t>89000000000250307000450000690334</t>
  </si>
  <si>
    <t>00000250307</t>
  </si>
  <si>
    <t>000450000690334</t>
  </si>
  <si>
    <t>89000000000244987000450000744489</t>
  </si>
  <si>
    <t>00000244987</t>
  </si>
  <si>
    <t>000450000744489</t>
  </si>
  <si>
    <t>2023-01-01</t>
  </si>
  <si>
    <t>89000000000248452000450000700344</t>
  </si>
  <si>
    <t>00000248452</t>
  </si>
  <si>
    <t>000450000700344</t>
  </si>
  <si>
    <t>89000000000246133000450000576206</t>
  </si>
  <si>
    <t>00000246133</t>
  </si>
  <si>
    <t>000450000576206</t>
  </si>
  <si>
    <t>89000000000243541000450000756229</t>
  </si>
  <si>
    <t>00000243541</t>
  </si>
  <si>
    <t>000450000756229</t>
  </si>
  <si>
    <t>89000000000244267000450000762629</t>
  </si>
  <si>
    <t>00000244267</t>
  </si>
  <si>
    <t>000450000762629</t>
  </si>
  <si>
    <t>2022-11-01</t>
  </si>
  <si>
    <t>89000000000250134000450000777515</t>
  </si>
  <si>
    <t>00000250134</t>
  </si>
  <si>
    <t>000450000777515</t>
  </si>
  <si>
    <t>89000000008044743000530000693234</t>
  </si>
  <si>
    <t>00008044743</t>
  </si>
  <si>
    <t>000530000693234</t>
  </si>
  <si>
    <t>89000000000248923000450000481756</t>
  </si>
  <si>
    <t>00000248923</t>
  </si>
  <si>
    <t>000450000481756</t>
  </si>
  <si>
    <t>89000000000243627000450000684420</t>
  </si>
  <si>
    <t>00000243627</t>
  </si>
  <si>
    <t>000450000684420</t>
  </si>
  <si>
    <t>2022-05-15</t>
  </si>
  <si>
    <t>89000000000248246000450000321985</t>
  </si>
  <si>
    <t>00000248246</t>
  </si>
  <si>
    <t>000450000321985</t>
  </si>
  <si>
    <t>89000000000248603000450000474582</t>
  </si>
  <si>
    <t>00000248603</t>
  </si>
  <si>
    <t>000450000474582</t>
  </si>
  <si>
    <t>89000000000245487000450000513314</t>
  </si>
  <si>
    <t>00000245487</t>
  </si>
  <si>
    <t>000450000513314</t>
  </si>
  <si>
    <t>2023-04-15</t>
  </si>
  <si>
    <t>89000000000241507000450000505163</t>
  </si>
  <si>
    <t>00000241507</t>
  </si>
  <si>
    <t>000450000505163</t>
  </si>
  <si>
    <t>89000000000249848000450000476492</t>
  </si>
  <si>
    <t>00000249848</t>
  </si>
  <si>
    <t>000450000476492</t>
  </si>
  <si>
    <t>89000000005106609000510000108186</t>
  </si>
  <si>
    <t>00005106609</t>
  </si>
  <si>
    <t>000510000108186</t>
  </si>
  <si>
    <t>2021-01-01</t>
  </si>
  <si>
    <t>89000000008045677000530000771928</t>
  </si>
  <si>
    <t>00008045677</t>
  </si>
  <si>
    <t>000530000771928</t>
  </si>
  <si>
    <t>89000000000249971000450000662487</t>
  </si>
  <si>
    <t>00000249971</t>
  </si>
  <si>
    <t>000450000662487</t>
  </si>
  <si>
    <t>89000000005109068000510000696057</t>
  </si>
  <si>
    <t>00005109068</t>
  </si>
  <si>
    <t>000510000696057</t>
  </si>
  <si>
    <t>89000000008045662000530000772015</t>
  </si>
  <si>
    <t>00008045662</t>
  </si>
  <si>
    <t>000530000772015</t>
  </si>
  <si>
    <t>89000000005108793000510000750397</t>
  </si>
  <si>
    <t>00005108793</t>
  </si>
  <si>
    <t>000510000750397</t>
  </si>
  <si>
    <t>89000000008045621000530000686142</t>
  </si>
  <si>
    <t>00008045621</t>
  </si>
  <si>
    <t>000530000686142</t>
  </si>
  <si>
    <t>89000000000249092000450000772045</t>
  </si>
  <si>
    <t>00000249092</t>
  </si>
  <si>
    <t>000450000772045</t>
  </si>
  <si>
    <t>89000000000246256000450000702171</t>
  </si>
  <si>
    <t>00000246256</t>
  </si>
  <si>
    <t>89000000008039639000530000729270</t>
  </si>
  <si>
    <t>00008039639</t>
  </si>
  <si>
    <t>000530000729270</t>
  </si>
  <si>
    <t>ECK</t>
  </si>
  <si>
    <t>89000000008044056000530000468680</t>
  </si>
  <si>
    <t>00008044056</t>
  </si>
  <si>
    <t>000530000468680</t>
  </si>
  <si>
    <t>89000000000239627000450000694683</t>
  </si>
  <si>
    <t>00000239627</t>
  </si>
  <si>
    <t>000450000694683</t>
  </si>
  <si>
    <t>89000000008045411000530000730575</t>
  </si>
  <si>
    <t>00008045411</t>
  </si>
  <si>
    <t>000530000730575</t>
  </si>
  <si>
    <t>89000000000243999000450000761349</t>
  </si>
  <si>
    <t>00000243999</t>
  </si>
  <si>
    <t>000450000761349</t>
  </si>
  <si>
    <t>89000000008045891000530000773667</t>
  </si>
  <si>
    <t>00008045891</t>
  </si>
  <si>
    <t>000530000773667</t>
  </si>
  <si>
    <t>89000000008044918000530000766196</t>
  </si>
  <si>
    <t>00008044918</t>
  </si>
  <si>
    <t>000530000766196</t>
  </si>
  <si>
    <t>89000000000249535000450000775878</t>
  </si>
  <si>
    <t>00000249535</t>
  </si>
  <si>
    <t>000450000775878</t>
  </si>
  <si>
    <t>89000000000245314000450000765497</t>
  </si>
  <si>
    <t>00000245314</t>
  </si>
  <si>
    <t>000450000765497</t>
  </si>
  <si>
    <t>89000000000246700000450000738842</t>
  </si>
  <si>
    <t>00000246700</t>
  </si>
  <si>
    <t>000450000738842</t>
  </si>
  <si>
    <t>89000000008045593000530000771528</t>
  </si>
  <si>
    <t>00008045593</t>
  </si>
  <si>
    <t>000530000771528</t>
  </si>
  <si>
    <t>89000000000246240000420000736086</t>
  </si>
  <si>
    <t>00000246240</t>
  </si>
  <si>
    <t>000420000736086</t>
  </si>
  <si>
    <t>TRACTOR,TRACTOR BASCULANTE,DUMPERS</t>
  </si>
  <si>
    <t>89000000000239745000450000741886</t>
  </si>
  <si>
    <t>00000239745</t>
  </si>
  <si>
    <t>000450000741886</t>
  </si>
  <si>
    <t>89000000000245906000450000599985</t>
  </si>
  <si>
    <t>00000245906</t>
  </si>
  <si>
    <t>000450000599985</t>
  </si>
  <si>
    <t>89000000005110973000510000612876</t>
  </si>
  <si>
    <t>00005110973</t>
  </si>
  <si>
    <t>000510000612876</t>
  </si>
  <si>
    <t>89000000000249141000450000610326</t>
  </si>
  <si>
    <t>00000249141</t>
  </si>
  <si>
    <t>000450000610326</t>
  </si>
  <si>
    <t>89000000000248691000450000685827</t>
  </si>
  <si>
    <t>00000248691</t>
  </si>
  <si>
    <t>000450000685827</t>
  </si>
  <si>
    <t>89000000000248543000450000760987</t>
  </si>
  <si>
    <t>00000248543</t>
  </si>
  <si>
    <t>000450000760987</t>
  </si>
  <si>
    <t>89000000000245407000450000105876</t>
  </si>
  <si>
    <t>00000245407</t>
  </si>
  <si>
    <t>000450000105876</t>
  </si>
  <si>
    <t>ELECTRICO</t>
  </si>
  <si>
    <t>0</t>
  </si>
  <si>
    <t>Electric</t>
  </si>
  <si>
    <t>89000000000249855000450000767075</t>
  </si>
  <si>
    <t>00000249855</t>
  </si>
  <si>
    <t>000450000767075</t>
  </si>
  <si>
    <t>89000000000248164000450000320597</t>
  </si>
  <si>
    <t>00000248164</t>
  </si>
  <si>
    <t>89000000000248347000450000481142</t>
  </si>
  <si>
    <t>00000248347</t>
  </si>
  <si>
    <t>000450000481142</t>
  </si>
  <si>
    <t>89000000005112969000510000504655</t>
  </si>
  <si>
    <t>00005112969</t>
  </si>
  <si>
    <t>000510000504655</t>
  </si>
  <si>
    <t>89000000000243336000450000659564</t>
  </si>
  <si>
    <t>00000243336</t>
  </si>
  <si>
    <t>000450000659564</t>
  </si>
  <si>
    <t>2022-04-01</t>
  </si>
  <si>
    <t>89000000000249367000450000704714</t>
  </si>
  <si>
    <t>00000249367</t>
  </si>
  <si>
    <t>000450000704714</t>
  </si>
  <si>
    <t>89000000000247721000450000750969</t>
  </si>
  <si>
    <t>00000247721</t>
  </si>
  <si>
    <t>89000000000247233000450000419668</t>
  </si>
  <si>
    <t>00000247233</t>
  </si>
  <si>
    <t>89000000000245468000450000320597</t>
  </si>
  <si>
    <t>00000245468</t>
  </si>
  <si>
    <t>89000000008041888000530000739750</t>
  </si>
  <si>
    <t>00008041888</t>
  </si>
  <si>
    <t>000530000739750</t>
  </si>
  <si>
    <t>89000000008046467000530000473183</t>
  </si>
  <si>
    <t>00008046467</t>
  </si>
  <si>
    <t>000530000473183</t>
  </si>
  <si>
    <t>89000000000245758000450000704717</t>
  </si>
  <si>
    <t>00000245758</t>
  </si>
  <si>
    <t>000450000704717</t>
  </si>
  <si>
    <t>89000000000249633000450000537073</t>
  </si>
  <si>
    <t>00000249633</t>
  </si>
  <si>
    <t>000450000537073</t>
  </si>
  <si>
    <t>89000000000250118000450000465865</t>
  </si>
  <si>
    <t>00000250118</t>
  </si>
  <si>
    <t>000450000465865</t>
  </si>
  <si>
    <t>89000000000246792000450000422074</t>
  </si>
  <si>
    <t>00000246792</t>
  </si>
  <si>
    <t>000450000422074</t>
  </si>
  <si>
    <t>89000000008042512000530000743484</t>
  </si>
  <si>
    <t>00008042512</t>
  </si>
  <si>
    <t>000530000743484</t>
  </si>
  <si>
    <t>2021-02-15</t>
  </si>
  <si>
    <t>89000000000249589000450000464671</t>
  </si>
  <si>
    <t>00000249589</t>
  </si>
  <si>
    <t>000450000464671</t>
  </si>
  <si>
    <t>89000000005113044000510000505547</t>
  </si>
  <si>
    <t>00005113044</t>
  </si>
  <si>
    <t>89000000000226043000420000507884</t>
  </si>
  <si>
    <t>00000226043</t>
  </si>
  <si>
    <t>000420000507884</t>
  </si>
  <si>
    <t>2019-02-15</t>
  </si>
  <si>
    <t>89000000000249153000450000483659</t>
  </si>
  <si>
    <t>00000249153</t>
  </si>
  <si>
    <t>000450000483659</t>
  </si>
  <si>
    <t>89000000005113046000510000771607</t>
  </si>
  <si>
    <t>00005113046</t>
  </si>
  <si>
    <t>000510000771607</t>
  </si>
  <si>
    <t>89000000000250246000450000623414</t>
  </si>
  <si>
    <t>00000250246</t>
  </si>
  <si>
    <t>000450000623414</t>
  </si>
  <si>
    <t>9</t>
  </si>
  <si>
    <t>89000000000246914000450000739262</t>
  </si>
  <si>
    <t>00000246914</t>
  </si>
  <si>
    <t>000450000739262</t>
  </si>
  <si>
    <t>89000000008044825000530000702760</t>
  </si>
  <si>
    <t>00008044825</t>
  </si>
  <si>
    <t>000530000702760</t>
  </si>
  <si>
    <t>89000000000247310000450000767142</t>
  </si>
  <si>
    <t>00000247310</t>
  </si>
  <si>
    <t>000450000767142</t>
  </si>
  <si>
    <t>89000000000245792000450000668624</t>
  </si>
  <si>
    <t>00000245792</t>
  </si>
  <si>
    <t>000450000668624</t>
  </si>
  <si>
    <t>89000000000241675000450000749704</t>
  </si>
  <si>
    <t>00000241675</t>
  </si>
  <si>
    <t>000450000749704</t>
  </si>
  <si>
    <t>89000000000247697000450000661329</t>
  </si>
  <si>
    <t>00000247697</t>
  </si>
  <si>
    <t>000450000661329</t>
  </si>
  <si>
    <t>89000000000248918000450000564472</t>
  </si>
  <si>
    <t>00000248918</t>
  </si>
  <si>
    <t>89000000000247120000450000689603</t>
  </si>
  <si>
    <t>00000247120</t>
  </si>
  <si>
    <t>000450000689603</t>
  </si>
  <si>
    <t>89000000000249940000450000326339</t>
  </si>
  <si>
    <t>00000249940</t>
  </si>
  <si>
    <t>000450000326339</t>
  </si>
  <si>
    <t>89000000000247547000450000735784</t>
  </si>
  <si>
    <t>00000247547</t>
  </si>
  <si>
    <t>000450000735784</t>
  </si>
  <si>
    <t>89000000000249675000450000594468</t>
  </si>
  <si>
    <t>00000249675</t>
  </si>
  <si>
    <t>000450000594468</t>
  </si>
  <si>
    <t>89000000008040651000530000668863</t>
  </si>
  <si>
    <t>00008040651</t>
  </si>
  <si>
    <t>000530000668863</t>
  </si>
  <si>
    <t>89000000008045966000530000469454</t>
  </si>
  <si>
    <t>00008045966</t>
  </si>
  <si>
    <t>000530000469454</t>
  </si>
  <si>
    <t>89000000000246564000450000754840</t>
  </si>
  <si>
    <t>00000246564</t>
  </si>
  <si>
    <t>000450000754840</t>
  </si>
  <si>
    <t>89000000008045710000530000706114</t>
  </si>
  <si>
    <t>00008045710</t>
  </si>
  <si>
    <t>000530000706114</t>
  </si>
  <si>
    <t>89000000008045186000530000638541</t>
  </si>
  <si>
    <t>00008045186</t>
  </si>
  <si>
    <t>000530000638541</t>
  </si>
  <si>
    <t>89000000000240142000450000705715</t>
  </si>
  <si>
    <t>00000240142</t>
  </si>
  <si>
    <t>000450000705715</t>
  </si>
  <si>
    <t>2021-05-01</t>
  </si>
  <si>
    <t>89000000008043941000530000751879</t>
  </si>
  <si>
    <t>00008043941</t>
  </si>
  <si>
    <t>000530000751879</t>
  </si>
  <si>
    <t>89000000000248894000450000481303</t>
  </si>
  <si>
    <t>00000248894</t>
  </si>
  <si>
    <t>000450000481303</t>
  </si>
  <si>
    <t>89000000000249375000450000107434</t>
  </si>
  <si>
    <t>00000249375</t>
  </si>
  <si>
    <t>000450000107434</t>
  </si>
  <si>
    <t>89000000000248842000450000469083</t>
  </si>
  <si>
    <t>00000248842</t>
  </si>
  <si>
    <t>000450000469083</t>
  </si>
  <si>
    <t>89000000000249149000450000774789</t>
  </si>
  <si>
    <t>00000249149</t>
  </si>
  <si>
    <t>000450000774789</t>
  </si>
  <si>
    <t>89000000008045613000530000712818</t>
  </si>
  <si>
    <t>00008045613</t>
  </si>
  <si>
    <t>000530000712818</t>
  </si>
  <si>
    <t>89000000005110980000510000737375</t>
  </si>
  <si>
    <t>00005110980</t>
  </si>
  <si>
    <t>000510000737375</t>
  </si>
  <si>
    <t>89000000000250265000450000751110</t>
  </si>
  <si>
    <t>00000250265</t>
  </si>
  <si>
    <t>000450000751110</t>
  </si>
  <si>
    <t>89000000000244421000450000627202</t>
  </si>
  <si>
    <t>00000244421</t>
  </si>
  <si>
    <t>000450000627202</t>
  </si>
  <si>
    <t>89000000000248745000450000530051</t>
  </si>
  <si>
    <t>00000248745</t>
  </si>
  <si>
    <t>000450000530051</t>
  </si>
  <si>
    <t>89000000008046523000530000746423</t>
  </si>
  <si>
    <t>00008046523</t>
  </si>
  <si>
    <t>000530000746423</t>
  </si>
  <si>
    <t>89000000008045204000530000735136</t>
  </si>
  <si>
    <t>00008045204</t>
  </si>
  <si>
    <t>89000000000235604000450000737467</t>
  </si>
  <si>
    <t>00000235604</t>
  </si>
  <si>
    <t>000450000737467</t>
  </si>
  <si>
    <t>89000000000245438000450000765820</t>
  </si>
  <si>
    <t>00000245438</t>
  </si>
  <si>
    <t>000450000765820</t>
  </si>
  <si>
    <t>89000000008046572000530000738417</t>
  </si>
  <si>
    <t>00008046572</t>
  </si>
  <si>
    <t>89000000000248022000450000747185</t>
  </si>
  <si>
    <t>00000248022</t>
  </si>
  <si>
    <t>000450000747185</t>
  </si>
  <si>
    <t>89000000000249857000450000661942</t>
  </si>
  <si>
    <t>00000249857</t>
  </si>
  <si>
    <t>89000000008045783000530000103429</t>
  </si>
  <si>
    <t>00008045783</t>
  </si>
  <si>
    <t>000530000103429</t>
  </si>
  <si>
    <t>89000000008046142000530000600902</t>
  </si>
  <si>
    <t>00008046142</t>
  </si>
  <si>
    <t>000530000600902</t>
  </si>
  <si>
    <t>89000000008045055000530000731201</t>
  </si>
  <si>
    <t>00008045055</t>
  </si>
  <si>
    <t>000530000731201</t>
  </si>
  <si>
    <t>89000000000243528000450000507008</t>
  </si>
  <si>
    <t>00000243528</t>
  </si>
  <si>
    <t>89000000000246444000450000668094</t>
  </si>
  <si>
    <t>00000246444</t>
  </si>
  <si>
    <t>000450000668094</t>
  </si>
  <si>
    <t>89000000008045832000530000558503</t>
  </si>
  <si>
    <t>00008045832</t>
  </si>
  <si>
    <t>000530000558503</t>
  </si>
  <si>
    <t>89000000008045237000530000709152</t>
  </si>
  <si>
    <t>00008045237</t>
  </si>
  <si>
    <t>000530000709152</t>
  </si>
  <si>
    <t>89000000000246784000450000769200</t>
  </si>
  <si>
    <t>00000246784</t>
  </si>
  <si>
    <t>000450000769200</t>
  </si>
  <si>
    <t>89000000000248018000450000772336</t>
  </si>
  <si>
    <t>00000248018</t>
  </si>
  <si>
    <t>000450000772336</t>
  </si>
  <si>
    <t>89000000000245542000450000712748</t>
  </si>
  <si>
    <t>00000245542</t>
  </si>
  <si>
    <t>000450000712748</t>
  </si>
  <si>
    <t>89000000000241356000450000709931</t>
  </si>
  <si>
    <t>00000241356</t>
  </si>
  <si>
    <t>000450000709931</t>
  </si>
  <si>
    <t>89000000000246973000450000470695</t>
  </si>
  <si>
    <t>00000246973</t>
  </si>
  <si>
    <t>000450000470695</t>
  </si>
  <si>
    <t>89000000000248208000450000464248</t>
  </si>
  <si>
    <t>00000248208</t>
  </si>
  <si>
    <t>89000000000247725000450000771577</t>
  </si>
  <si>
    <t>00000247725</t>
  </si>
  <si>
    <t>000450000771577</t>
  </si>
  <si>
    <t>89000000005115853000510000774135</t>
  </si>
  <si>
    <t>00005115853</t>
  </si>
  <si>
    <t>000510000774135</t>
  </si>
  <si>
    <t>89000000000250144000450000464215</t>
  </si>
  <si>
    <t>00000250144</t>
  </si>
  <si>
    <t>000450000464215</t>
  </si>
  <si>
    <t>89000000000238573000450000730806</t>
  </si>
  <si>
    <t>00000238573</t>
  </si>
  <si>
    <t>000450000730806</t>
  </si>
  <si>
    <t>2021-02-01</t>
  </si>
  <si>
    <t>89000000008044960000530000766700</t>
  </si>
  <si>
    <t>00008044960</t>
  </si>
  <si>
    <t>000530000766700</t>
  </si>
  <si>
    <t>89000000000249586000450000776069</t>
  </si>
  <si>
    <t>00000249586</t>
  </si>
  <si>
    <t>000450000776069</t>
  </si>
  <si>
    <t>89000000008042822000530000739372</t>
  </si>
  <si>
    <t>00008042822</t>
  </si>
  <si>
    <t>000530000739372</t>
  </si>
  <si>
    <t>89000000008044035000530000693659</t>
  </si>
  <si>
    <t>00008044035</t>
  </si>
  <si>
    <t>000530000693659</t>
  </si>
  <si>
    <t>89000000000244144000450000761963</t>
  </si>
  <si>
    <t>00000244144</t>
  </si>
  <si>
    <t>000450000761963</t>
  </si>
  <si>
    <t>89000000000243975000450000639484</t>
  </si>
  <si>
    <t>00000243975</t>
  </si>
  <si>
    <t>000450000639484</t>
  </si>
  <si>
    <t>89000000000244461000450000763071</t>
  </si>
  <si>
    <t>00000244461</t>
  </si>
  <si>
    <t>000450000763071</t>
  </si>
  <si>
    <t>2022-11-15</t>
  </si>
  <si>
    <t>89000000008046050000530000738967</t>
  </si>
  <si>
    <t>00008046050</t>
  </si>
  <si>
    <t>000530000738967</t>
  </si>
  <si>
    <t>89000000000248348000450000477702</t>
  </si>
  <si>
    <t>00000248348</t>
  </si>
  <si>
    <t>000450000477702</t>
  </si>
  <si>
    <t>89000000008046425000530000609702</t>
  </si>
  <si>
    <t>00008046425</t>
  </si>
  <si>
    <t>000530000609702</t>
  </si>
  <si>
    <t>89000000000245686000450000741452</t>
  </si>
  <si>
    <t>00000245686</t>
  </si>
  <si>
    <t>000450000741452</t>
  </si>
  <si>
    <t>89000000000249774000450000645770</t>
  </si>
  <si>
    <t>00000249774</t>
  </si>
  <si>
    <t>000450000645770</t>
  </si>
  <si>
    <t>89000000000244185000450000755354</t>
  </si>
  <si>
    <t>00000244185</t>
  </si>
  <si>
    <t>000450000755354</t>
  </si>
  <si>
    <t>89000000000248668000450000773921</t>
  </si>
  <si>
    <t>00000248668</t>
  </si>
  <si>
    <t>000450000773921</t>
  </si>
  <si>
    <t>89000000005115849000510000765352</t>
  </si>
  <si>
    <t>00005115849</t>
  </si>
  <si>
    <t>000510000765352</t>
  </si>
  <si>
    <t>89000000008046314000530000775498</t>
  </si>
  <si>
    <t>00008046314</t>
  </si>
  <si>
    <t>000530000775498</t>
  </si>
  <si>
    <t>89000000008046163000530000775681</t>
  </si>
  <si>
    <t>00008046163</t>
  </si>
  <si>
    <t>000530000775681</t>
  </si>
  <si>
    <t>89000000008045688000530000528713</t>
  </si>
  <si>
    <t>00008045688</t>
  </si>
  <si>
    <t>000530000528713</t>
  </si>
  <si>
    <t>89000000000248847000450000470778</t>
  </si>
  <si>
    <t>00000248847</t>
  </si>
  <si>
    <t>000450000470778</t>
  </si>
  <si>
    <t>89000000000246752000450000768908</t>
  </si>
  <si>
    <t>00000246752</t>
  </si>
  <si>
    <t>000450000768908</t>
  </si>
  <si>
    <t>89000000000244392000450000761960</t>
  </si>
  <si>
    <t>00000244392</t>
  </si>
  <si>
    <t>000450000761960</t>
  </si>
  <si>
    <t>89000000000248604000450000474582</t>
  </si>
  <si>
    <t>00000248604</t>
  </si>
  <si>
    <t>89000000008041920000530000740588</t>
  </si>
  <si>
    <t>00008041920</t>
  </si>
  <si>
    <t>000530000740588</t>
  </si>
  <si>
    <t>2020-12-01</t>
  </si>
  <si>
    <t>89000000000246644000450000672655</t>
  </si>
  <si>
    <t>00000246644</t>
  </si>
  <si>
    <t>000450000672655</t>
  </si>
  <si>
    <t>89000000000245397000450000765914</t>
  </si>
  <si>
    <t>00000245397</t>
  </si>
  <si>
    <t>000450000765914</t>
  </si>
  <si>
    <t>89000000008040553000530000704780</t>
  </si>
  <si>
    <t>00008040553</t>
  </si>
  <si>
    <t>000530000704780</t>
  </si>
  <si>
    <t>89000000000243920000450000537220</t>
  </si>
  <si>
    <t>00000243920</t>
  </si>
  <si>
    <t>000450000537220</t>
  </si>
  <si>
    <t>89000000008040722000530000681739</t>
  </si>
  <si>
    <t>00008040722</t>
  </si>
  <si>
    <t>000530000681739</t>
  </si>
  <si>
    <t>89000000000246328000450000765165</t>
  </si>
  <si>
    <t>00000246328</t>
  </si>
  <si>
    <t>000450000765165</t>
  </si>
  <si>
    <t>89000000000249671000450000775361</t>
  </si>
  <si>
    <t>00000249671</t>
  </si>
  <si>
    <t>000450000775361</t>
  </si>
  <si>
    <t>89000000000250458000450000765471</t>
  </si>
  <si>
    <t>00000250458</t>
  </si>
  <si>
    <t>000450000765471</t>
  </si>
  <si>
    <t>89000000008046588000530000778621</t>
  </si>
  <si>
    <t>00008046588</t>
  </si>
  <si>
    <t>000530000778621</t>
  </si>
  <si>
    <t>89000000000241748000450000611388</t>
  </si>
  <si>
    <t>00000241748</t>
  </si>
  <si>
    <t>000450000611388</t>
  </si>
  <si>
    <t>89000000008044637000530000763829</t>
  </si>
  <si>
    <t>00008044637</t>
  </si>
  <si>
    <t>000530000763829</t>
  </si>
  <si>
    <t>89000000008044874000530000759452</t>
  </si>
  <si>
    <t>00008044874</t>
  </si>
  <si>
    <t>000530000759452</t>
  </si>
  <si>
    <t>MOTOCICLOS CILINDRADA SUPERIOR A 50CM3</t>
  </si>
  <si>
    <t>Motorcycle</t>
  </si>
  <si>
    <t>89000000000249276000450000320597</t>
  </si>
  <si>
    <t>00000249276</t>
  </si>
  <si>
    <t>89000000008044039000530000693659</t>
  </si>
  <si>
    <t>00008044039</t>
  </si>
  <si>
    <t>89000000000238802000450000743118</t>
  </si>
  <si>
    <t>00000238802</t>
  </si>
  <si>
    <t>000450000743118</t>
  </si>
  <si>
    <t>89000000008045484000530000655203</t>
  </si>
  <si>
    <t>00008045484</t>
  </si>
  <si>
    <t>000530000655203</t>
  </si>
  <si>
    <t>89000000000246957000450000727532</t>
  </si>
  <si>
    <t>00000246957</t>
  </si>
  <si>
    <t>000450000727532</t>
  </si>
  <si>
    <t>89000000000241634000450000681966</t>
  </si>
  <si>
    <t>00000241634</t>
  </si>
  <si>
    <t>000450000681966</t>
  </si>
  <si>
    <t>89000000000247690000450000753149</t>
  </si>
  <si>
    <t>00000247690</t>
  </si>
  <si>
    <t>000450000753149</t>
  </si>
  <si>
    <t>89000000000250397000450000479263</t>
  </si>
  <si>
    <t>00000250397</t>
  </si>
  <si>
    <t>89000000000240476000450000465171</t>
  </si>
  <si>
    <t>00000240476</t>
  </si>
  <si>
    <t>000450000465171</t>
  </si>
  <si>
    <t>89000000000248826000450000733143</t>
  </si>
  <si>
    <t>00000248826</t>
  </si>
  <si>
    <t>000450000733143</t>
  </si>
  <si>
    <t>89000000000247132000450000502850</t>
  </si>
  <si>
    <t>00000247132</t>
  </si>
  <si>
    <t>89000000008045361000530000665279</t>
  </si>
  <si>
    <t>00008045361</t>
  </si>
  <si>
    <t>000530000665279</t>
  </si>
  <si>
    <t>89000000000248086000450000506564</t>
  </si>
  <si>
    <t>00000248086</t>
  </si>
  <si>
    <t>000450000506564</t>
  </si>
  <si>
    <t>89000000000248841000450000667142</t>
  </si>
  <si>
    <t>00000248841</t>
  </si>
  <si>
    <t>000450000667142</t>
  </si>
  <si>
    <t>89000000000243954000450000416132</t>
  </si>
  <si>
    <t>00000243954</t>
  </si>
  <si>
    <t>000450000416132</t>
  </si>
  <si>
    <t>89000000000249333000450000610274</t>
  </si>
  <si>
    <t>00000249333</t>
  </si>
  <si>
    <t>000450000610274</t>
  </si>
  <si>
    <t>89000000008044349000530000744010</t>
  </si>
  <si>
    <t>00008044349</t>
  </si>
  <si>
    <t>000530000744010</t>
  </si>
  <si>
    <t>89000000000245938000450000470559</t>
  </si>
  <si>
    <t>00000245938</t>
  </si>
  <si>
    <t>000450000470559</t>
  </si>
  <si>
    <t>89000000005118002000510000730045</t>
  </si>
  <si>
    <t>00005118002</t>
  </si>
  <si>
    <t>000510000730045</t>
  </si>
  <si>
    <t>89000000000243616000450000477576</t>
  </si>
  <si>
    <t>00000243616</t>
  </si>
  <si>
    <t>89000000000248566000450000773537</t>
  </si>
  <si>
    <t>00000248566</t>
  </si>
  <si>
    <t>000450000773537</t>
  </si>
  <si>
    <t>89000000000248971000450000517782</t>
  </si>
  <si>
    <t>00000248971</t>
  </si>
  <si>
    <t>000450000517782</t>
  </si>
  <si>
    <t>89000000000248830000450000691523</t>
  </si>
  <si>
    <t>00000248830</t>
  </si>
  <si>
    <t>000450000691523</t>
  </si>
  <si>
    <t>89000000008044847000530000517867</t>
  </si>
  <si>
    <t>00008044847</t>
  </si>
  <si>
    <t>000530000517867</t>
  </si>
  <si>
    <t>89000000000249363000450000402549</t>
  </si>
  <si>
    <t>00000249363</t>
  </si>
  <si>
    <t>000450000402549</t>
  </si>
  <si>
    <t>89000000000240550000450000746427</t>
  </si>
  <si>
    <t>00000240550</t>
  </si>
  <si>
    <t>000450000746427</t>
  </si>
  <si>
    <t>89000000000248623000450000773775</t>
  </si>
  <si>
    <t>00000248623</t>
  </si>
  <si>
    <t>000450000773775</t>
  </si>
  <si>
    <t>89000000008045529000530000626434</t>
  </si>
  <si>
    <t>00008045529</t>
  </si>
  <si>
    <t>000530000626434</t>
  </si>
  <si>
    <t>89000000000242216000450000707978</t>
  </si>
  <si>
    <t>00000242216</t>
  </si>
  <si>
    <t>000450000707978</t>
  </si>
  <si>
    <t>89000000000249207000450000504202</t>
  </si>
  <si>
    <t>00000249207</t>
  </si>
  <si>
    <t>000450000504202</t>
  </si>
  <si>
    <t>89000000008046072000530000728700</t>
  </si>
  <si>
    <t>00008046072</t>
  </si>
  <si>
    <t>000530000728700</t>
  </si>
  <si>
    <t>89000000008045678000530000528713</t>
  </si>
  <si>
    <t>00008045678</t>
  </si>
  <si>
    <t>89000000000241468000450000327320</t>
  </si>
  <si>
    <t>00000241468</t>
  </si>
  <si>
    <t>000450000327320</t>
  </si>
  <si>
    <t>89000000008046165000530000775094</t>
  </si>
  <si>
    <t>00008046165</t>
  </si>
  <si>
    <t>000530000775094</t>
  </si>
  <si>
    <t>89000000000246308000450000507008</t>
  </si>
  <si>
    <t>00000246308</t>
  </si>
  <si>
    <t>89000000008045397000530000744984</t>
  </si>
  <si>
    <t>00008045397</t>
  </si>
  <si>
    <t>000530000744984</t>
  </si>
  <si>
    <t>89000000000249913000450000776963</t>
  </si>
  <si>
    <t>00000249913</t>
  </si>
  <si>
    <t>000450000776963</t>
  </si>
  <si>
    <t>89000000000246290000450000573809</t>
  </si>
  <si>
    <t>00000246290</t>
  </si>
  <si>
    <t>000450000573809</t>
  </si>
  <si>
    <t>89000000000242698000450000547242</t>
  </si>
  <si>
    <t>00000242698</t>
  </si>
  <si>
    <t>000450000547242</t>
  </si>
  <si>
    <t>2022-04-15</t>
  </si>
  <si>
    <t>89000000005115854000510000511351</t>
  </si>
  <si>
    <t>00005115854</t>
  </si>
  <si>
    <t>89000000008045388000530000770134</t>
  </si>
  <si>
    <t>00008045388</t>
  </si>
  <si>
    <t>000530000770134</t>
  </si>
  <si>
    <t>89000000008044448000530000760857</t>
  </si>
  <si>
    <t>00008044448</t>
  </si>
  <si>
    <t>000530000760857</t>
  </si>
  <si>
    <t>2022-07-01</t>
  </si>
  <si>
    <t>89000000000236958000450000739815</t>
  </si>
  <si>
    <t>00000236958</t>
  </si>
  <si>
    <t>000450000739815</t>
  </si>
  <si>
    <t>89000000008044610000530000327400</t>
  </si>
  <si>
    <t>00008044610</t>
  </si>
  <si>
    <t>000530000327400</t>
  </si>
  <si>
    <t>89000000008044060000530000701037</t>
  </si>
  <si>
    <t>00008044060</t>
  </si>
  <si>
    <t>000530000701037</t>
  </si>
  <si>
    <t>89000000000248114000450000509945</t>
  </si>
  <si>
    <t>00000248114</t>
  </si>
  <si>
    <t>000450000509945</t>
  </si>
  <si>
    <t>89000000008043862000530000636978</t>
  </si>
  <si>
    <t>00008043862</t>
  </si>
  <si>
    <t>000530000636978</t>
  </si>
  <si>
    <t>89000000008046449000530000777627</t>
  </si>
  <si>
    <t>00008046449</t>
  </si>
  <si>
    <t>000530000777627</t>
  </si>
  <si>
    <t>89000000008046202000530000626934</t>
  </si>
  <si>
    <t>00008046202</t>
  </si>
  <si>
    <t>000530000626934</t>
  </si>
  <si>
    <t>89000000000245594000450000470559</t>
  </si>
  <si>
    <t>00000245594</t>
  </si>
  <si>
    <t>89000000008045720000530000414429</t>
  </si>
  <si>
    <t>00008045720</t>
  </si>
  <si>
    <t>000530000414429</t>
  </si>
  <si>
    <t>89000000000244687000450000613976</t>
  </si>
  <si>
    <t>00000244687</t>
  </si>
  <si>
    <t>000450000613976</t>
  </si>
  <si>
    <t>89000000008041921000530000740478</t>
  </si>
  <si>
    <t>00008041921</t>
  </si>
  <si>
    <t>000530000740478</t>
  </si>
  <si>
    <t>89000000000250287000450000693659</t>
  </si>
  <si>
    <t>00000250287</t>
  </si>
  <si>
    <t>000450000693659</t>
  </si>
  <si>
    <t>89000000000247346000450000507008</t>
  </si>
  <si>
    <t>00000247346</t>
  </si>
  <si>
    <t>89000000000248053000450000733175</t>
  </si>
  <si>
    <t>00000248053</t>
  </si>
  <si>
    <t>000450000733175</t>
  </si>
  <si>
    <t>89000000008045835000530000634803</t>
  </si>
  <si>
    <t>00008045835</t>
  </si>
  <si>
    <t>000530000634803</t>
  </si>
  <si>
    <t>89000000000250236000450000777267</t>
  </si>
  <si>
    <t>00000250236</t>
  </si>
  <si>
    <t>000450000777267</t>
  </si>
  <si>
    <t>89000000008046288000530000572022</t>
  </si>
  <si>
    <t>00008046288</t>
  </si>
  <si>
    <t>000530000572022</t>
  </si>
  <si>
    <t>89000000000247548000450000101714</t>
  </si>
  <si>
    <t>00000247548</t>
  </si>
  <si>
    <t>000450000101714</t>
  </si>
  <si>
    <t>89000000008044844000530000765652</t>
  </si>
  <si>
    <t>00008044844</t>
  </si>
  <si>
    <t>000530000765652</t>
  </si>
  <si>
    <t>89000000000241037000450000738279</t>
  </si>
  <si>
    <t>00000241037</t>
  </si>
  <si>
    <t>000450000738279</t>
  </si>
  <si>
    <t>89000000008045752000530000744405</t>
  </si>
  <si>
    <t>00008045752</t>
  </si>
  <si>
    <t>000530000744405</t>
  </si>
  <si>
    <t>89000000000248596000450000654855</t>
  </si>
  <si>
    <t>00000248596</t>
  </si>
  <si>
    <t>000450000654855</t>
  </si>
  <si>
    <t>89000000000245913000450000746651</t>
  </si>
  <si>
    <t>00000245913</t>
  </si>
  <si>
    <t>89000000008045715000530000557254</t>
  </si>
  <si>
    <t>00008045715</t>
  </si>
  <si>
    <t>000530000557254</t>
  </si>
  <si>
    <t>89000000008046517000530000761564</t>
  </si>
  <si>
    <t>00008046517</t>
  </si>
  <si>
    <t>000530000761564</t>
  </si>
  <si>
    <t>89000000000239263000450000541585</t>
  </si>
  <si>
    <t>00000239263</t>
  </si>
  <si>
    <t>000450000541585</t>
  </si>
  <si>
    <t>89000000000236673000450000641955</t>
  </si>
  <si>
    <t>00000236673</t>
  </si>
  <si>
    <t>000450000641955</t>
  </si>
  <si>
    <t>89000000000236934000450000659383</t>
  </si>
  <si>
    <t>00000236934</t>
  </si>
  <si>
    <t>000450000659383</t>
  </si>
  <si>
    <t>2020-12-15</t>
  </si>
  <si>
    <t>89000000000248021000450000481504</t>
  </si>
  <si>
    <t>00000248021</t>
  </si>
  <si>
    <t>000450000481504</t>
  </si>
  <si>
    <t>89000000000249305000450000658499</t>
  </si>
  <si>
    <t>00000249305</t>
  </si>
  <si>
    <t>000450000658499</t>
  </si>
  <si>
    <t>89000000008041248000530000703018</t>
  </si>
  <si>
    <t>00008041248</t>
  </si>
  <si>
    <t>000530000703018</t>
  </si>
  <si>
    <t>89000000000244793000450000740912</t>
  </si>
  <si>
    <t>00000244793</t>
  </si>
  <si>
    <t>000450000740912</t>
  </si>
  <si>
    <t>89000000000241925000450000708655</t>
  </si>
  <si>
    <t>00000241925</t>
  </si>
  <si>
    <t>000450000708655</t>
  </si>
  <si>
    <t>89000000000244982000450000702261</t>
  </si>
  <si>
    <t>00000244982</t>
  </si>
  <si>
    <t>000450000702261</t>
  </si>
  <si>
    <t>89000000000248421000450000479293</t>
  </si>
  <si>
    <t>00000248421</t>
  </si>
  <si>
    <t>000450000479293</t>
  </si>
  <si>
    <t>89000000000243466000450000741691</t>
  </si>
  <si>
    <t>00000243466</t>
  </si>
  <si>
    <t>000450000741691</t>
  </si>
  <si>
    <t>89000000000244829000450000737954</t>
  </si>
  <si>
    <t>00000244829</t>
  </si>
  <si>
    <t>000450000737954</t>
  </si>
  <si>
    <t>89000000000247789000450000464248</t>
  </si>
  <si>
    <t>00000247789</t>
  </si>
  <si>
    <t>89000000000249452000450000452438</t>
  </si>
  <si>
    <t>00000249452</t>
  </si>
  <si>
    <t>89000000008046443000530000661077</t>
  </si>
  <si>
    <t>00008046443</t>
  </si>
  <si>
    <t>000530000661077</t>
  </si>
  <si>
    <t>89000000005113041000510000505547</t>
  </si>
  <si>
    <t>00005113041</t>
  </si>
  <si>
    <t>89000000000247866000450000766555</t>
  </si>
  <si>
    <t>00000247866</t>
  </si>
  <si>
    <t>000450000766555</t>
  </si>
  <si>
    <t>89000000000249743000450000470349</t>
  </si>
  <si>
    <t>00000249743</t>
  </si>
  <si>
    <t>000450000470349</t>
  </si>
  <si>
    <t>89000000000245921000450000694131</t>
  </si>
  <si>
    <t>00000245921</t>
  </si>
  <si>
    <t>000450000694131</t>
  </si>
  <si>
    <t>89000000000247704000450000508941</t>
  </si>
  <si>
    <t>00000247704</t>
  </si>
  <si>
    <t>000450000508941</t>
  </si>
  <si>
    <t>89000000000247786000450000690446</t>
  </si>
  <si>
    <t>00000247786</t>
  </si>
  <si>
    <t>000450000690446</t>
  </si>
  <si>
    <t>89000000005112975000510000770495</t>
  </si>
  <si>
    <t>00005112975</t>
  </si>
  <si>
    <t>000510000770495</t>
  </si>
  <si>
    <t>89000000000246635000450000768815</t>
  </si>
  <si>
    <t>00000246635</t>
  </si>
  <si>
    <t>000450000768815</t>
  </si>
  <si>
    <t>89000000000250100000450000605797</t>
  </si>
  <si>
    <t>00000250100</t>
  </si>
  <si>
    <t>000450000605797</t>
  </si>
  <si>
    <t>89000000000250393000450000479263</t>
  </si>
  <si>
    <t>00000250393</t>
  </si>
  <si>
    <t>89000000000244238000450000730426</t>
  </si>
  <si>
    <t>00000244238</t>
  </si>
  <si>
    <t>000450000730426</t>
  </si>
  <si>
    <t>89000000008044763000530000731504</t>
  </si>
  <si>
    <t>00008044763</t>
  </si>
  <si>
    <t>000530000731504</t>
  </si>
  <si>
    <t>89000000000246920000450000661237</t>
  </si>
  <si>
    <t>00000246920</t>
  </si>
  <si>
    <t>000450000661237</t>
  </si>
  <si>
    <t>89000000008042331000530000687127</t>
  </si>
  <si>
    <t>00008042331</t>
  </si>
  <si>
    <t>000530000687127</t>
  </si>
  <si>
    <t>89000000008043570000530000749285</t>
  </si>
  <si>
    <t>00008043570</t>
  </si>
  <si>
    <t>000530000749285</t>
  </si>
  <si>
    <t>89000000000247166000450000510005</t>
  </si>
  <si>
    <t>00000247166</t>
  </si>
  <si>
    <t>000450000510005</t>
  </si>
  <si>
    <t>89000000000244637000450000710794</t>
  </si>
  <si>
    <t>00000244637</t>
  </si>
  <si>
    <t>000450000710794</t>
  </si>
  <si>
    <t>89000000005116339000510000663816</t>
  </si>
  <si>
    <t>00005116339</t>
  </si>
  <si>
    <t>000510000663816</t>
  </si>
  <si>
    <t>89000000000249413000450000109315</t>
  </si>
  <si>
    <t>00000249413</t>
  </si>
  <si>
    <t>000450000109315</t>
  </si>
  <si>
    <t>89000000005118094000510000778293</t>
  </si>
  <si>
    <t>00005118094</t>
  </si>
  <si>
    <t>000510000778293</t>
  </si>
  <si>
    <t>89000000008045486000530000747594</t>
  </si>
  <si>
    <t>00008045486</t>
  </si>
  <si>
    <t>000530000747594</t>
  </si>
  <si>
    <t>89000000000245304000450000478091</t>
  </si>
  <si>
    <t>00000245304</t>
  </si>
  <si>
    <t>000450000478091</t>
  </si>
  <si>
    <t>89000000000248193000450000772259</t>
  </si>
  <si>
    <t>00000248193</t>
  </si>
  <si>
    <t>000450000772259</t>
  </si>
  <si>
    <t>89000000000250249000450000777784</t>
  </si>
  <si>
    <t>00000250249</t>
  </si>
  <si>
    <t>000450000777784</t>
  </si>
  <si>
    <t>89000000000248858000450000422904</t>
  </si>
  <si>
    <t>00000248858</t>
  </si>
  <si>
    <t>000450000422904</t>
  </si>
  <si>
    <t>89000000000243795000450000759416</t>
  </si>
  <si>
    <t>00000243795</t>
  </si>
  <si>
    <t>000450000759416</t>
  </si>
  <si>
    <t>89000000000247136000450000502850</t>
  </si>
  <si>
    <t>00000247136</t>
  </si>
  <si>
    <t>89000000000245910000450000692656</t>
  </si>
  <si>
    <t>00000245910</t>
  </si>
  <si>
    <t>000450000692656</t>
  </si>
  <si>
    <t>89000000008044440000530000463912</t>
  </si>
  <si>
    <t>00008044440</t>
  </si>
  <si>
    <t>000530000463912</t>
  </si>
  <si>
    <t>89000000008045555000530000626575</t>
  </si>
  <si>
    <t>00008045555</t>
  </si>
  <si>
    <t>000530000626575</t>
  </si>
  <si>
    <t>89000000008044987000530000412437</t>
  </si>
  <si>
    <t>00008044987</t>
  </si>
  <si>
    <t>89000000000243901000450000320597</t>
  </si>
  <si>
    <t>00000243901</t>
  </si>
  <si>
    <t>89000000000249401000450000711949</t>
  </si>
  <si>
    <t>00000249401</t>
  </si>
  <si>
    <t>000450000711949</t>
  </si>
  <si>
    <t>89000000000248706000420000688634</t>
  </si>
  <si>
    <t>00000248706</t>
  </si>
  <si>
    <t>000420000688634</t>
  </si>
  <si>
    <t>89000000000248889000450000706162</t>
  </si>
  <si>
    <t>00000248889</t>
  </si>
  <si>
    <t>000450000706162</t>
  </si>
  <si>
    <t>89000000005106603000510000108186</t>
  </si>
  <si>
    <t>00005106603</t>
  </si>
  <si>
    <t>89000000008045445000530000477550</t>
  </si>
  <si>
    <t>00008045445</t>
  </si>
  <si>
    <t>000530000477550</t>
  </si>
  <si>
    <t>89000000000233022000420000110203</t>
  </si>
  <si>
    <t>00000233022</t>
  </si>
  <si>
    <t>000420000110203</t>
  </si>
  <si>
    <t>REBOQUE/SEMI-REBOQUE C/MATRICULA</t>
  </si>
  <si>
    <t>89000000000238559000450000535714</t>
  </si>
  <si>
    <t>00000238559</t>
  </si>
  <si>
    <t>000450000535714</t>
  </si>
  <si>
    <t>89000000000246380000450000327316</t>
  </si>
  <si>
    <t>00000246380</t>
  </si>
  <si>
    <t>000450000327316</t>
  </si>
  <si>
    <t>89000000000249664000450000775844</t>
  </si>
  <si>
    <t>00000249664</t>
  </si>
  <si>
    <t>000450000775844</t>
  </si>
  <si>
    <t>89000000005112983000510000109318</t>
  </si>
  <si>
    <t>00005112983</t>
  </si>
  <si>
    <t>000510000109318</t>
  </si>
  <si>
    <t>89000000008046278000530000105668</t>
  </si>
  <si>
    <t>00008046278</t>
  </si>
  <si>
    <t>000530000105668</t>
  </si>
  <si>
    <t>89000000008044914000530000402632</t>
  </si>
  <si>
    <t>00008044914</t>
  </si>
  <si>
    <t>000530000402632</t>
  </si>
  <si>
    <t>89000000000242228000450000549699</t>
  </si>
  <si>
    <t>00000242228</t>
  </si>
  <si>
    <t>000450000549699</t>
  </si>
  <si>
    <t>89000000000250043000450000777196</t>
  </si>
  <si>
    <t>00000250043</t>
  </si>
  <si>
    <t>000450000777196</t>
  </si>
  <si>
    <t>89000000000243296000450000471591</t>
  </si>
  <si>
    <t>00000243296</t>
  </si>
  <si>
    <t>000450000471591</t>
  </si>
  <si>
    <t>89000000000241331000450000672518</t>
  </si>
  <si>
    <t>00000241331</t>
  </si>
  <si>
    <t>000450000672518</t>
  </si>
  <si>
    <t>89000000008045462000530000740092</t>
  </si>
  <si>
    <t>00008045462</t>
  </si>
  <si>
    <t>000530000740092</t>
  </si>
  <si>
    <t>89000000008045746000530000668649</t>
  </si>
  <si>
    <t>00008045746</t>
  </si>
  <si>
    <t>000530000668649</t>
  </si>
  <si>
    <t>89000000008042466000530000734533</t>
  </si>
  <si>
    <t>00008042466</t>
  </si>
  <si>
    <t>000530000734533</t>
  </si>
  <si>
    <t>89000000000246453000450000767144</t>
  </si>
  <si>
    <t>00000246453</t>
  </si>
  <si>
    <t>000450000767144</t>
  </si>
  <si>
    <t>89000000000245558000450000466212</t>
  </si>
  <si>
    <t>00000245558</t>
  </si>
  <si>
    <t>000450000466212</t>
  </si>
  <si>
    <t>89000000000247460000450000727783</t>
  </si>
  <si>
    <t>00000247460</t>
  </si>
  <si>
    <t>000450000727783</t>
  </si>
  <si>
    <t>89000000000247480000450000766689</t>
  </si>
  <si>
    <t>00000247480</t>
  </si>
  <si>
    <t>000450000766689</t>
  </si>
  <si>
    <t>89000000008045831000530000770293</t>
  </si>
  <si>
    <t>00008045831</t>
  </si>
  <si>
    <t>000530000770293</t>
  </si>
  <si>
    <t>89000000005115670000510000422074</t>
  </si>
  <si>
    <t>00005115670</t>
  </si>
  <si>
    <t>000510000422074</t>
  </si>
  <si>
    <t>89000000008043227000530000746777</t>
  </si>
  <si>
    <t>00008043227</t>
  </si>
  <si>
    <t>000530000746777</t>
  </si>
  <si>
    <t>89000000005118089000510000663003</t>
  </si>
  <si>
    <t>00005118089</t>
  </si>
  <si>
    <t>000510000663003</t>
  </si>
  <si>
    <t>89000000000246641000450000768722</t>
  </si>
  <si>
    <t>00000246641</t>
  </si>
  <si>
    <t>000450000768722</t>
  </si>
  <si>
    <t>89000000000245795000450000766793</t>
  </si>
  <si>
    <t>00000245795</t>
  </si>
  <si>
    <t>000450000766793</t>
  </si>
  <si>
    <t>89000000000243589000450000689124</t>
  </si>
  <si>
    <t>00000243589</t>
  </si>
  <si>
    <t>000450000689124</t>
  </si>
  <si>
    <t>89000000008046010000530000754340</t>
  </si>
  <si>
    <t>00008046010</t>
  </si>
  <si>
    <t>000530000754340</t>
  </si>
  <si>
    <t>89000000005114177000510000767358</t>
  </si>
  <si>
    <t>00005114177</t>
  </si>
  <si>
    <t>89000000000243074000450000755508</t>
  </si>
  <si>
    <t>00000243074</t>
  </si>
  <si>
    <t>000450000755508</t>
  </si>
  <si>
    <t>89000000000236698000450000683719</t>
  </si>
  <si>
    <t>00000236698</t>
  </si>
  <si>
    <t>000450000683719</t>
  </si>
  <si>
    <t>2020-10-01</t>
  </si>
  <si>
    <t>89000000000247148000450000419668</t>
  </si>
  <si>
    <t>00000247148</t>
  </si>
  <si>
    <t>89000000000246608000450000768826</t>
  </si>
  <si>
    <t>00000246608</t>
  </si>
  <si>
    <t>000450000768826</t>
  </si>
  <si>
    <t>89000000000245351000450000765609</t>
  </si>
  <si>
    <t>00000245351</t>
  </si>
  <si>
    <t>000450000765609</t>
  </si>
  <si>
    <t>89000000000249064000450000766227</t>
  </si>
  <si>
    <t>00000249064</t>
  </si>
  <si>
    <t>89000000000249043000450000556920</t>
  </si>
  <si>
    <t>00000249043</t>
  </si>
  <si>
    <t>000450000556920</t>
  </si>
  <si>
    <t>89000000008045247000530000768945</t>
  </si>
  <si>
    <t>00008045247</t>
  </si>
  <si>
    <t>000530000768945</t>
  </si>
  <si>
    <t>89000000008046113000530000775245</t>
  </si>
  <si>
    <t>00008046113</t>
  </si>
  <si>
    <t>000530000775245</t>
  </si>
  <si>
    <t>89000000000248934000450000745600</t>
  </si>
  <si>
    <t>00000248934</t>
  </si>
  <si>
    <t>000450000745600</t>
  </si>
  <si>
    <t>89000000000245285000450000740752</t>
  </si>
  <si>
    <t>00000245285</t>
  </si>
  <si>
    <t>000450000740752</t>
  </si>
  <si>
    <t>89000000000249941000450000621029</t>
  </si>
  <si>
    <t>00000249941</t>
  </si>
  <si>
    <t>000450000621029</t>
  </si>
  <si>
    <t>89000000000249298000450000686087</t>
  </si>
  <si>
    <t>00000249298</t>
  </si>
  <si>
    <t>000450000686087</t>
  </si>
  <si>
    <t>89000000000244862000450000537320</t>
  </si>
  <si>
    <t>00000244862</t>
  </si>
  <si>
    <t>000450000537320</t>
  </si>
  <si>
    <t>89000000000245715000450000327320</t>
  </si>
  <si>
    <t>00000245715</t>
  </si>
  <si>
    <t>89000000000246141000450000746975</t>
  </si>
  <si>
    <t>00000246141</t>
  </si>
  <si>
    <t>000450000746975</t>
  </si>
  <si>
    <t>89000000000250291000450000777918</t>
  </si>
  <si>
    <t>00000250291</t>
  </si>
  <si>
    <t>000450000777918</t>
  </si>
  <si>
    <t>89000000008046333000530000688067</t>
  </si>
  <si>
    <t>00008046333</t>
  </si>
  <si>
    <t>000530000688067</t>
  </si>
  <si>
    <t>89000000000244680000450000738112</t>
  </si>
  <si>
    <t>00000244680</t>
  </si>
  <si>
    <t>000450000738112</t>
  </si>
  <si>
    <t>89000000000245769000450000576206</t>
  </si>
  <si>
    <t>00000245769</t>
  </si>
  <si>
    <t>89000000000243609000450000757731</t>
  </si>
  <si>
    <t>00000243609</t>
  </si>
  <si>
    <t>000450000757731</t>
  </si>
  <si>
    <t>89000000000246676000450000667818</t>
  </si>
  <si>
    <t>00000246676</t>
  </si>
  <si>
    <t>000450000667818</t>
  </si>
  <si>
    <t>89000000000248401000450000465865</t>
  </si>
  <si>
    <t>00000248401</t>
  </si>
  <si>
    <t>89000000000249020000450000420806</t>
  </si>
  <si>
    <t>00000249020</t>
  </si>
  <si>
    <t>000450000420806</t>
  </si>
  <si>
    <t>89000000008046031000530000774674</t>
  </si>
  <si>
    <t>00008046031</t>
  </si>
  <si>
    <t>000530000774674</t>
  </si>
  <si>
    <t>89000000000248170000450000477576</t>
  </si>
  <si>
    <t>00000248170</t>
  </si>
  <si>
    <t>89000000008045301000530000767904</t>
  </si>
  <si>
    <t>00008045301</t>
  </si>
  <si>
    <t>89000000000242581000450000726129</t>
  </si>
  <si>
    <t>00000242581</t>
  </si>
  <si>
    <t>000450000726129</t>
  </si>
  <si>
    <t>89000000008045495000530000324118</t>
  </si>
  <si>
    <t>00008045495</t>
  </si>
  <si>
    <t>000530000324118</t>
  </si>
  <si>
    <t>89000000008045367000530000758143</t>
  </si>
  <si>
    <t>00008045367</t>
  </si>
  <si>
    <t>000530000758143</t>
  </si>
  <si>
    <t>89000000000246211000450000683225</t>
  </si>
  <si>
    <t>00000246211</t>
  </si>
  <si>
    <t>000450000683225</t>
  </si>
  <si>
    <t>89000000000235615000450000482971</t>
  </si>
  <si>
    <t>00000235615</t>
  </si>
  <si>
    <t>000450000482971</t>
  </si>
  <si>
    <t>89000000000241177000450000321606</t>
  </si>
  <si>
    <t>00000241177</t>
  </si>
  <si>
    <t>000450000321606</t>
  </si>
  <si>
    <t>89000000000246873000450000749006</t>
  </si>
  <si>
    <t>00000246873</t>
  </si>
  <si>
    <t>000450000749006</t>
  </si>
  <si>
    <t>89000000000248615000450000476924</t>
  </si>
  <si>
    <t>00000248615</t>
  </si>
  <si>
    <t>000450000476924</t>
  </si>
  <si>
    <t>89000000000241983000450000428589</t>
  </si>
  <si>
    <t>00000241983</t>
  </si>
  <si>
    <t>000450000428589</t>
  </si>
  <si>
    <t>2021-10-15</t>
  </si>
  <si>
    <t>89000000008045228000530000426399</t>
  </si>
  <si>
    <t>00008045228</t>
  </si>
  <si>
    <t>000530000426399</t>
  </si>
  <si>
    <t>89000000000247767000450000549761</t>
  </si>
  <si>
    <t>00000247767</t>
  </si>
  <si>
    <t>000450000549761</t>
  </si>
  <si>
    <t>89000000008045910000530000743417</t>
  </si>
  <si>
    <t>00008045910</t>
  </si>
  <si>
    <t>000530000743417</t>
  </si>
  <si>
    <t>89000000000250215000450000693478</t>
  </si>
  <si>
    <t>00000250215</t>
  </si>
  <si>
    <t>000450000693478</t>
  </si>
  <si>
    <t>89000000000242548000450000752758</t>
  </si>
  <si>
    <t>00000242548</t>
  </si>
  <si>
    <t>000450000752758</t>
  </si>
  <si>
    <t>89000000000249023000450000661942</t>
  </si>
  <si>
    <t>00000249023</t>
  </si>
  <si>
    <t>89000000008043178000530000746412</t>
  </si>
  <si>
    <t>00008043178</t>
  </si>
  <si>
    <t>000530000746412</t>
  </si>
  <si>
    <t>2021-05-15</t>
  </si>
  <si>
    <t>89000000000243123000450000477576</t>
  </si>
  <si>
    <t>00000243123</t>
  </si>
  <si>
    <t>89000000000246391000450000586862</t>
  </si>
  <si>
    <t>00000246391</t>
  </si>
  <si>
    <t>000450000586862</t>
  </si>
  <si>
    <t>89000000000246306000450000699427</t>
  </si>
  <si>
    <t>00000246306</t>
  </si>
  <si>
    <t>000450000699427</t>
  </si>
  <si>
    <t>89000000000248017000450000481504</t>
  </si>
  <si>
    <t>00000248017</t>
  </si>
  <si>
    <t>89000000000249803000450000659880</t>
  </si>
  <si>
    <t>00000249803</t>
  </si>
  <si>
    <t>000450000659880</t>
  </si>
  <si>
    <t>89000000000238377000450000612083</t>
  </si>
  <si>
    <t>00000238377</t>
  </si>
  <si>
    <t>000450000612083</t>
  </si>
  <si>
    <t>89000000000247016000450000482167</t>
  </si>
  <si>
    <t>00000247016</t>
  </si>
  <si>
    <t>000450000482167</t>
  </si>
  <si>
    <t>89000000000247977000450000666688</t>
  </si>
  <si>
    <t>00000247977</t>
  </si>
  <si>
    <t>000450000666688</t>
  </si>
  <si>
    <t>89000000005112160000510000678389</t>
  </si>
  <si>
    <t>00005112160</t>
  </si>
  <si>
    <t>000510000678389</t>
  </si>
  <si>
    <t>89000000000242128000450000595198</t>
  </si>
  <si>
    <t>00000242128</t>
  </si>
  <si>
    <t>000450000595198</t>
  </si>
  <si>
    <t>89000000008044695000530000764195</t>
  </si>
  <si>
    <t>00008044695</t>
  </si>
  <si>
    <t>000530000764195</t>
  </si>
  <si>
    <t>89000000000248247000450000321985</t>
  </si>
  <si>
    <t>00000248247</t>
  </si>
  <si>
    <t>89000000008045907000530000676158</t>
  </si>
  <si>
    <t>00008045907</t>
  </si>
  <si>
    <t>000530000676158</t>
  </si>
  <si>
    <t>89000000008044760000530000707086</t>
  </si>
  <si>
    <t>00008044760</t>
  </si>
  <si>
    <t>000530000707086</t>
  </si>
  <si>
    <t>89000000008042700000530000744250</t>
  </si>
  <si>
    <t>00008042700</t>
  </si>
  <si>
    <t>000530000744250</t>
  </si>
  <si>
    <t>89000000000236710000450000739259</t>
  </si>
  <si>
    <t>00000236710</t>
  </si>
  <si>
    <t>000450000739259</t>
  </si>
  <si>
    <t>89000000000249698000450000531229</t>
  </si>
  <si>
    <t>00000249698</t>
  </si>
  <si>
    <t>000450000531229</t>
  </si>
  <si>
    <t>89000000000243148000450000756057</t>
  </si>
  <si>
    <t>00000243148</t>
  </si>
  <si>
    <t>000450000756057</t>
  </si>
  <si>
    <t>89000000005112441000510000502240</t>
  </si>
  <si>
    <t>00005112441</t>
  </si>
  <si>
    <t>000510000502240</t>
  </si>
  <si>
    <t>89000000000248353000450000100068</t>
  </si>
  <si>
    <t>00000248353</t>
  </si>
  <si>
    <t>000450000100068</t>
  </si>
  <si>
    <t>89000000000232510000420000688610</t>
  </si>
  <si>
    <t>00000232510</t>
  </si>
  <si>
    <t>000420000688610</t>
  </si>
  <si>
    <t>2019-11-15</t>
  </si>
  <si>
    <t>89000000008045731000530000659809</t>
  </si>
  <si>
    <t>00008045731</t>
  </si>
  <si>
    <t>000530000659809</t>
  </si>
  <si>
    <t>89000000008046442000530000777715</t>
  </si>
  <si>
    <t>00008046442</t>
  </si>
  <si>
    <t>000530000777715</t>
  </si>
  <si>
    <t>89000000000245492000450000765901</t>
  </si>
  <si>
    <t>00000245492</t>
  </si>
  <si>
    <t>000450000765901</t>
  </si>
  <si>
    <t>89000000008045784000530000103429</t>
  </si>
  <si>
    <t>00008045784</t>
  </si>
  <si>
    <t>89000000008044444000530000755976</t>
  </si>
  <si>
    <t>00008044444</t>
  </si>
  <si>
    <t>000530000755976</t>
  </si>
  <si>
    <t>2022-09-15</t>
  </si>
  <si>
    <t>89000000000248848000450000689920</t>
  </si>
  <si>
    <t>00000248848</t>
  </si>
  <si>
    <t>000450000689920</t>
  </si>
  <si>
    <t>89000000008043896000530000636978</t>
  </si>
  <si>
    <t>00008043896</t>
  </si>
  <si>
    <t>89000000000242691000450000104597</t>
  </si>
  <si>
    <t>00000242691</t>
  </si>
  <si>
    <t>000450000104597</t>
  </si>
  <si>
    <t>89000000005113054000510000771852</t>
  </si>
  <si>
    <t>00005113054</t>
  </si>
  <si>
    <t>000510000771852</t>
  </si>
  <si>
    <t>89000000008045809000530000732105</t>
  </si>
  <si>
    <t>00008045809</t>
  </si>
  <si>
    <t>000530000732105</t>
  </si>
  <si>
    <t>89000000008044929000530000766321</t>
  </si>
  <si>
    <t>00008044929</t>
  </si>
  <si>
    <t>000530000766321</t>
  </si>
  <si>
    <t>89000000008046048000530000515382</t>
  </si>
  <si>
    <t>00008046048</t>
  </si>
  <si>
    <t>000530000515382</t>
  </si>
  <si>
    <t>89000000000246095000450000587303</t>
  </si>
  <si>
    <t>00000246095</t>
  </si>
  <si>
    <t>000450000587303</t>
  </si>
  <si>
    <t>89000000000248666000450000773803</t>
  </si>
  <si>
    <t>00000248666</t>
  </si>
  <si>
    <t>000450000773803</t>
  </si>
  <si>
    <t>89000000000248587000450000773403</t>
  </si>
  <si>
    <t>00000248587</t>
  </si>
  <si>
    <t>000450000773403</t>
  </si>
  <si>
    <t>89000000000245762000450000766803</t>
  </si>
  <si>
    <t>00000245762</t>
  </si>
  <si>
    <t>000450000766803</t>
  </si>
  <si>
    <t>89000000000249959000450000701482</t>
  </si>
  <si>
    <t>00000249959</t>
  </si>
  <si>
    <t>000450000701482</t>
  </si>
  <si>
    <t>89000000000241110000450000652877</t>
  </si>
  <si>
    <t>00000241110</t>
  </si>
  <si>
    <t>000450000652877</t>
  </si>
  <si>
    <t>89000000000248788000450000773966</t>
  </si>
  <si>
    <t>00000248788</t>
  </si>
  <si>
    <t>000450000773966</t>
  </si>
  <si>
    <t>89000000000231692000450000683293</t>
  </si>
  <si>
    <t>00000231692</t>
  </si>
  <si>
    <t>000450000683293</t>
  </si>
  <si>
    <t>2019-10-15</t>
  </si>
  <si>
    <t>89000000000248573000450000516858</t>
  </si>
  <si>
    <t>00000248573</t>
  </si>
  <si>
    <t>000450000516858</t>
  </si>
  <si>
    <t>89000000008044971000530000766625</t>
  </si>
  <si>
    <t>00008044971</t>
  </si>
  <si>
    <t>000530000766625</t>
  </si>
  <si>
    <t>89000000000249925000450000730426</t>
  </si>
  <si>
    <t>00000249925</t>
  </si>
  <si>
    <t>89000000008046473000530000777658</t>
  </si>
  <si>
    <t>00008046473</t>
  </si>
  <si>
    <t>000530000777658</t>
  </si>
  <si>
    <t>89000000008046252000530000657167</t>
  </si>
  <si>
    <t>00008046252</t>
  </si>
  <si>
    <t>000530000657167</t>
  </si>
  <si>
    <t>89000000008045713000530000761672</t>
  </si>
  <si>
    <t>00008045713</t>
  </si>
  <si>
    <t>000530000761672</t>
  </si>
  <si>
    <t>89000000000249660000450000773693</t>
  </si>
  <si>
    <t>00000249660</t>
  </si>
  <si>
    <t>000450000773693</t>
  </si>
  <si>
    <t>89000000008042590000530000743252</t>
  </si>
  <si>
    <t>00008042590</t>
  </si>
  <si>
    <t>000530000743252</t>
  </si>
  <si>
    <t>89000000008045258000530000700425</t>
  </si>
  <si>
    <t>00008045258</t>
  </si>
  <si>
    <t>000530000700425</t>
  </si>
  <si>
    <t>89000000000247152000450000670035</t>
  </si>
  <si>
    <t>00000247152</t>
  </si>
  <si>
    <t>000450000670035</t>
  </si>
  <si>
    <t>89000000000245901000450000763770</t>
  </si>
  <si>
    <t>00000245901</t>
  </si>
  <si>
    <t>000450000763770</t>
  </si>
  <si>
    <t>89000000000249591000450000687669</t>
  </si>
  <si>
    <t>00000249591</t>
  </si>
  <si>
    <t>000450000687669</t>
  </si>
  <si>
    <t>89000000000247261000450000107657</t>
  </si>
  <si>
    <t>00000247261</t>
  </si>
  <si>
    <t>89000000000246273000450000744925</t>
  </si>
  <si>
    <t>00000246273</t>
  </si>
  <si>
    <t>000450000744925</t>
  </si>
  <si>
    <t>89000000000249934000450000320597</t>
  </si>
  <si>
    <t>00000249934</t>
  </si>
  <si>
    <t>89000000000250394000450000479263</t>
  </si>
  <si>
    <t>00000250394</t>
  </si>
  <si>
    <t>89000000008046532000530000759112</t>
  </si>
  <si>
    <t>00008046532</t>
  </si>
  <si>
    <t>000530000759112</t>
  </si>
  <si>
    <t>89000000000244026000450000765636</t>
  </si>
  <si>
    <t>00000244026</t>
  </si>
  <si>
    <t>000450000765636</t>
  </si>
  <si>
    <t>89000000008045431000530000770413</t>
  </si>
  <si>
    <t>00008045431</t>
  </si>
  <si>
    <t>000530000770413</t>
  </si>
  <si>
    <t>89000000000247477000450000739441</t>
  </si>
  <si>
    <t>00000247477</t>
  </si>
  <si>
    <t>000450000739441</t>
  </si>
  <si>
    <t>89000000000250498000450000615853</t>
  </si>
  <si>
    <t>00000250498</t>
  </si>
  <si>
    <t>000450000615853</t>
  </si>
  <si>
    <t>89000000000250399000450000703859</t>
  </si>
  <si>
    <t>00000250399</t>
  </si>
  <si>
    <t>000450000703859</t>
  </si>
  <si>
    <t>89000000000249360000450000684846</t>
  </si>
  <si>
    <t>00000249360</t>
  </si>
  <si>
    <t>000450000684846</t>
  </si>
  <si>
    <t>89000000008045160000530000100288</t>
  </si>
  <si>
    <t>00008045160</t>
  </si>
  <si>
    <t>000530000100288</t>
  </si>
  <si>
    <t>89000000000243136000450000708655</t>
  </si>
  <si>
    <t>00000243136</t>
  </si>
  <si>
    <t>89000000000250047000450000479262</t>
  </si>
  <si>
    <t>00000250047</t>
  </si>
  <si>
    <t>000450000479262</t>
  </si>
  <si>
    <t>89000000000241929000450000672518</t>
  </si>
  <si>
    <t>00000241929</t>
  </si>
  <si>
    <t>89000000000250596000450000101714</t>
  </si>
  <si>
    <t>00000250596</t>
  </si>
  <si>
    <t>89000000000246508000450000742651</t>
  </si>
  <si>
    <t>00000246508</t>
  </si>
  <si>
    <t>000450000742651</t>
  </si>
  <si>
    <t>89000000000246396000450000464660</t>
  </si>
  <si>
    <t>00000246396</t>
  </si>
  <si>
    <t>000450000464660</t>
  </si>
  <si>
    <t>89000000008046312000530000774981</t>
  </si>
  <si>
    <t>00008046312</t>
  </si>
  <si>
    <t>000530000774981</t>
  </si>
  <si>
    <t>89000000000247938000450000320597</t>
  </si>
  <si>
    <t>00000247938</t>
  </si>
  <si>
    <t>89000000000246902000450000769505</t>
  </si>
  <si>
    <t>00000246902</t>
  </si>
  <si>
    <t>000450000769505</t>
  </si>
  <si>
    <t>89000000000246203000450000564472</t>
  </si>
  <si>
    <t>00000246203</t>
  </si>
  <si>
    <t>89000000000246464000450000768539</t>
  </si>
  <si>
    <t>00000246464</t>
  </si>
  <si>
    <t>000450000768539</t>
  </si>
  <si>
    <t>89000000000247678000450000700344</t>
  </si>
  <si>
    <t>00000247678</t>
  </si>
  <si>
    <t>89000000000246015000450000746651</t>
  </si>
  <si>
    <t>00000246015</t>
  </si>
  <si>
    <t>89000000000248014000450000772365</t>
  </si>
  <si>
    <t>00000248014</t>
  </si>
  <si>
    <t>000450000772365</t>
  </si>
  <si>
    <t>89000000008046557000530000772819</t>
  </si>
  <si>
    <t>00008046557</t>
  </si>
  <si>
    <t>000530000772819</t>
  </si>
  <si>
    <t>89000000008044773000530000513243</t>
  </si>
  <si>
    <t>00008044773</t>
  </si>
  <si>
    <t>000530000513243</t>
  </si>
  <si>
    <t>89000000000248528000450000769888</t>
  </si>
  <si>
    <t>00000248528</t>
  </si>
  <si>
    <t>000450000769888</t>
  </si>
  <si>
    <t>89000000000228751000420000599212</t>
  </si>
  <si>
    <t>00000228751</t>
  </si>
  <si>
    <t>000420000599212</t>
  </si>
  <si>
    <t>2019-04-15</t>
  </si>
  <si>
    <t>89000000000247273000450000730739</t>
  </si>
  <si>
    <t>00000247273</t>
  </si>
  <si>
    <t>000450000730739</t>
  </si>
  <si>
    <t>89000000000247015000450000566718</t>
  </si>
  <si>
    <t>00000247015</t>
  </si>
  <si>
    <t>000450000566718</t>
  </si>
  <si>
    <t>89000000008045523000530000110027</t>
  </si>
  <si>
    <t>00008045523</t>
  </si>
  <si>
    <t>000530000110027</t>
  </si>
  <si>
    <t>89000000008045091000530000737511</t>
  </si>
  <si>
    <t>00008045091</t>
  </si>
  <si>
    <t>000530000737511</t>
  </si>
  <si>
    <t>89000000000243012000450000705864</t>
  </si>
  <si>
    <t>00000243012</t>
  </si>
  <si>
    <t>000450000705864</t>
  </si>
  <si>
    <t>89000000000241424000450000514108</t>
  </si>
  <si>
    <t>00000241424</t>
  </si>
  <si>
    <t>89000000008045339000530000508191</t>
  </si>
  <si>
    <t>00008045339</t>
  </si>
  <si>
    <t>000530000508191</t>
  </si>
  <si>
    <t>89000000000245264000450000697842</t>
  </si>
  <si>
    <t>00000245264</t>
  </si>
  <si>
    <t>000450000697842</t>
  </si>
  <si>
    <t>89000000008045316000530000729270</t>
  </si>
  <si>
    <t>00008045316</t>
  </si>
  <si>
    <t>89000000000242895000450000676569</t>
  </si>
  <si>
    <t>00000242895</t>
  </si>
  <si>
    <t>000450000676569</t>
  </si>
  <si>
    <t>89000000000247150000450000419668</t>
  </si>
  <si>
    <t>00000247150</t>
  </si>
  <si>
    <t>89000000008046231000530000772269</t>
  </si>
  <si>
    <t>00008046231</t>
  </si>
  <si>
    <t>000530000772269</t>
  </si>
  <si>
    <t>89000000008046327000530000745121</t>
  </si>
  <si>
    <t>00008046327</t>
  </si>
  <si>
    <t>000530000745121</t>
  </si>
  <si>
    <t>89000000000248774000450000320597</t>
  </si>
  <si>
    <t>00000248774</t>
  </si>
  <si>
    <t>89000000000249729000450000326001</t>
  </si>
  <si>
    <t>00000249729</t>
  </si>
  <si>
    <t>000450000326001</t>
  </si>
  <si>
    <t>89000000000244375000450000746651</t>
  </si>
  <si>
    <t>00000244375</t>
  </si>
  <si>
    <t>89000000000244399000450000599985</t>
  </si>
  <si>
    <t>00000244399</t>
  </si>
  <si>
    <t>89000000000247558000450000768451</t>
  </si>
  <si>
    <t>00000247558</t>
  </si>
  <si>
    <t>000450000768451</t>
  </si>
  <si>
    <t>89000000000250447000450000775362</t>
  </si>
  <si>
    <t>00000250447</t>
  </si>
  <si>
    <t>000450000775362</t>
  </si>
  <si>
    <t>89000000000242113000450000524587</t>
  </si>
  <si>
    <t>00000242113</t>
  </si>
  <si>
    <t>000450000524587</t>
  </si>
  <si>
    <t>89000000000248517000450000773571</t>
  </si>
  <si>
    <t>00000248517</t>
  </si>
  <si>
    <t>000450000773571</t>
  </si>
  <si>
    <t>89000000008046658000530000687784</t>
  </si>
  <si>
    <t>00008046658</t>
  </si>
  <si>
    <t>000530000687784</t>
  </si>
  <si>
    <t>89000000000249693000450000757314</t>
  </si>
  <si>
    <t>00000249693</t>
  </si>
  <si>
    <t>000450000757314</t>
  </si>
  <si>
    <t>89000000000244124000450000617741</t>
  </si>
  <si>
    <t>00000244124</t>
  </si>
  <si>
    <t>000450000617741</t>
  </si>
  <si>
    <t>89000000000245576000450000320597</t>
  </si>
  <si>
    <t>00000245576</t>
  </si>
  <si>
    <t>89000000000249797000450000771710</t>
  </si>
  <si>
    <t>00000249797</t>
  </si>
  <si>
    <t>000450000771710</t>
  </si>
  <si>
    <t>89000000000246637000450000663808</t>
  </si>
  <si>
    <t>00000246637</t>
  </si>
  <si>
    <t>000450000663808</t>
  </si>
  <si>
    <t>89000000000250161000450000741255</t>
  </si>
  <si>
    <t>00000250161</t>
  </si>
  <si>
    <t>000450000741255</t>
  </si>
  <si>
    <t>89000000008046032000530000774250</t>
  </si>
  <si>
    <t>00008046032</t>
  </si>
  <si>
    <t>000530000774250</t>
  </si>
  <si>
    <t>89000000000246207000450000737485</t>
  </si>
  <si>
    <t>00000246207</t>
  </si>
  <si>
    <t>000450000737485</t>
  </si>
  <si>
    <t>89000000000243634000450000649820</t>
  </si>
  <si>
    <t>00000243634</t>
  </si>
  <si>
    <t>000450000649820</t>
  </si>
  <si>
    <t>89000000000237500000450000698802</t>
  </si>
  <si>
    <t>00000237500</t>
  </si>
  <si>
    <t>000450000698802</t>
  </si>
  <si>
    <t>89000000000242217000450000515393</t>
  </si>
  <si>
    <t>00000242217</t>
  </si>
  <si>
    <t>000450000515393</t>
  </si>
  <si>
    <t>89000000000244215000450000752351</t>
  </si>
  <si>
    <t>00000244215</t>
  </si>
  <si>
    <t>000450000752351</t>
  </si>
  <si>
    <t>89000000008046370000530000777185</t>
  </si>
  <si>
    <t>00008046370</t>
  </si>
  <si>
    <t>000530000777185</t>
  </si>
  <si>
    <t>89000000000248371000450000773101</t>
  </si>
  <si>
    <t>00000248371</t>
  </si>
  <si>
    <t>000450000773101</t>
  </si>
  <si>
    <t>89000000000248169000450000409829</t>
  </si>
  <si>
    <t>00000248169</t>
  </si>
  <si>
    <t>000450000409829</t>
  </si>
  <si>
    <t>89000000000249505000450000560464</t>
  </si>
  <si>
    <t>00000249505</t>
  </si>
  <si>
    <t>000450000560464</t>
  </si>
  <si>
    <t>89000000000249654000450000775643</t>
  </si>
  <si>
    <t>00000249654</t>
  </si>
  <si>
    <t>000450000775643</t>
  </si>
  <si>
    <t>Campos Estrutural Jun 25</t>
  </si>
  <si>
    <t>Campos Template 1 Dez 24</t>
  </si>
  <si>
    <t>Campos CdG</t>
  </si>
  <si>
    <t>Estrutural:</t>
  </si>
  <si>
    <t>cempresa</t>
  </si>
  <si>
    <t>cbalcao</t>
  </si>
  <si>
    <t>cnumecta</t>
  </si>
  <si>
    <t>zdeposit</t>
  </si>
  <si>
    <t>zcliente</t>
  </si>
  <si>
    <t>purpose_code</t>
  </si>
  <si>
    <t>flag_perimetro</t>
  </si>
  <si>
    <t>sum_msaldo_final_ct</t>
  </si>
  <si>
    <t>chave_cto</t>
  </si>
  <si>
    <t>cempbem</t>
  </si>
  <si>
    <t>chave_bem</t>
  </si>
  <si>
    <t>flag_bem</t>
  </si>
  <si>
    <t>cgarant_bem</t>
  </si>
  <si>
    <t>sum_mavaliaa</t>
  </si>
  <si>
    <t>preco_aquis</t>
  </si>
  <si>
    <t>preco_aquisicao</t>
  </si>
  <si>
    <t>num_bens</t>
  </si>
  <si>
    <t>cto_mavaliaa</t>
  </si>
  <si>
    <t>flag_cobert</t>
  </si>
  <si>
    <t>peso_colat_cobert</t>
  </si>
  <si>
    <t>peso_colat_n_cobert</t>
  </si>
  <si>
    <t>flag_linhas</t>
  </si>
  <si>
    <t>amount</t>
  </si>
  <si>
    <t>row_ordem_1</t>
  </si>
  <si>
    <t>ccligrupo</t>
  </si>
  <si>
    <t>dano</t>
  </si>
  <si>
    <t>cgestor</t>
  </si>
  <si>
    <t>timestamp</t>
  </si>
  <si>
    <t>dfim</t>
  </si>
  <si>
    <t>cperiodo</t>
  </si>
  <si>
    <t>itip_inf</t>
  </si>
  <si>
    <t>data_date_part</t>
  </si>
  <si>
    <t>vcpim</t>
  </si>
  <si>
    <t>vpnicsfin</t>
  </si>
  <si>
    <t>vpnpaslf</t>
  </si>
  <si>
    <t>vpnopfin</t>
  </si>
  <si>
    <t>vpcicsfin</t>
  </si>
  <si>
    <t>vpcopfin</t>
  </si>
  <si>
    <t>vpcpaslf</t>
  </si>
  <si>
    <t>client_own_funds</t>
  </si>
  <si>
    <t>client_debt</t>
  </si>
  <si>
    <t>scp1_emss_cli</t>
  </si>
  <si>
    <t>scp2_emss_cli</t>
  </si>
  <si>
    <t>scp3_emss_cli</t>
  </si>
  <si>
    <t>origem_scp1_emss_cli</t>
  </si>
  <si>
    <t>origem_scp2_emss_cli</t>
  </si>
  <si>
    <t>origem_scp3_emss_cli</t>
  </si>
  <si>
    <t>divida_total</t>
  </si>
  <si>
    <t>capital_proprio</t>
  </si>
  <si>
    <t>scp1_emss_mob</t>
  </si>
  <si>
    <t>scp2_emss_mob</t>
  </si>
  <si>
    <t>scp3_emss_mob</t>
  </si>
  <si>
    <t>origem_scp1_emss_mob</t>
  </si>
  <si>
    <t>origem_scp2_emss_mob</t>
  </si>
  <si>
    <t>origem_scp3_emss_mob</t>
  </si>
  <si>
    <t>scp1_emss_imo</t>
  </si>
  <si>
    <t>scp2_emss_imo</t>
  </si>
  <si>
    <t>scp3_emss_imo</t>
  </si>
  <si>
    <t>origem_scp1_emss_imo</t>
  </si>
  <si>
    <t>origem_scp2_emss_imo</t>
  </si>
  <si>
    <t>origem_scp3_emss_imo</t>
  </si>
  <si>
    <t>flag_aux_metodo</t>
  </si>
  <si>
    <t>flag_aux_metodo_cto</t>
  </si>
  <si>
    <t>preco_aquisicao_cto</t>
  </si>
  <si>
    <t>scp1_emss_fncd_aux</t>
  </si>
  <si>
    <t>scp1_emss_fncd_aux_2</t>
  </si>
  <si>
    <t>scp1_emss_fncd</t>
  </si>
  <si>
    <t>origem_scp1_emss</t>
  </si>
  <si>
    <t>scp2_emss_fncd_aux</t>
  </si>
  <si>
    <t>scp2_emss_fncd</t>
  </si>
  <si>
    <t>origem_scp2_emss</t>
  </si>
  <si>
    <t>scp3_emss_fncd_aux</t>
  </si>
  <si>
    <t>scp3_emss_fncd</t>
  </si>
  <si>
    <t>origem_scp3_emss</t>
  </si>
  <si>
    <t>7401164947</t>
  </si>
  <si>
    <t>ST SGPS Cons;Individual Idcomb</t>
  </si>
  <si>
    <t>000000000000003</t>
  </si>
  <si>
    <t>89000000000250313000000000000003</t>
  </si>
  <si>
    <t>MUG_MOV</t>
  </si>
  <si>
    <t>7101</t>
  </si>
  <si>
    <t>SUM_COLAT_N_COBRE</t>
  </si>
  <si>
    <t>LINHA INI</t>
  </si>
  <si>
    <t>0008638199</t>
  </si>
  <si>
    <t>2023</t>
  </si>
  <si>
    <t>212</t>
  </si>
  <si>
    <t>I</t>
  </si>
  <si>
    <t>2024-07-31</t>
  </si>
  <si>
    <t>BCL_DQS4_3A</t>
  </si>
  <si>
    <t>MVL_DQS4_3A</t>
  </si>
  <si>
    <t>Nao Aplicavel</t>
  </si>
  <si>
    <t>000000000000002</t>
  </si>
  <si>
    <t>89000000000250313000000000000002</t>
  </si>
  <si>
    <t>000000000000001</t>
  </si>
  <si>
    <t>89000000000250313000000000000001</t>
  </si>
  <si>
    <t>SEM_COLATERAL</t>
  </si>
  <si>
    <t>LINHA ADI</t>
  </si>
  <si>
    <t>Saldo</t>
  </si>
  <si>
    <t xml:space="preserve">Número de Bens </t>
  </si>
  <si>
    <t>Emissões Finan Bem 1</t>
  </si>
  <si>
    <t>Emissões Finan Bem 2</t>
  </si>
  <si>
    <t>Emissões Finan Bem 3</t>
  </si>
  <si>
    <t>Total Emiss Contrato</t>
  </si>
  <si>
    <t>Template 1:</t>
  </si>
  <si>
    <t>Fator de atribuição</t>
  </si>
  <si>
    <t>sociedade_contraparte</t>
  </si>
  <si>
    <t>cod_ajust</t>
  </si>
  <si>
    <t>stages</t>
  </si>
  <si>
    <t>non_performing</t>
  </si>
  <si>
    <t>contraparte</t>
  </si>
  <si>
    <t>data_vencimento</t>
  </si>
  <si>
    <t>flag_project_finance</t>
  </si>
  <si>
    <t>cnatureza_juri</t>
  </si>
  <si>
    <t>cpais_residencia</t>
  </si>
  <si>
    <t>nace_code</t>
  </si>
  <si>
    <t>client_revenue</t>
  </si>
  <si>
    <t>ps_date</t>
  </si>
  <si>
    <t>id_corrida</t>
  </si>
  <si>
    <t>dt_rfrnc</t>
  </si>
  <si>
    <t>stage</t>
  </si>
  <si>
    <t>flag_mesg5</t>
  </si>
  <si>
    <t>nace_original</t>
  </si>
  <si>
    <t>excluded_paris</t>
  </si>
  <si>
    <t>years_to_maturity</t>
  </si>
  <si>
    <t>regiao</t>
  </si>
  <si>
    <t>nace_esg</t>
  </si>
  <si>
    <t>glcs_code</t>
  </si>
  <si>
    <t>cib_scope1</t>
  </si>
  <si>
    <t>cib_scope2</t>
  </si>
  <si>
    <t>cib_scope3</t>
  </si>
  <si>
    <t>total_debt</t>
  </si>
  <si>
    <t>total_equity</t>
  </si>
  <si>
    <t>calculation_approach_1</t>
  </si>
  <si>
    <t>calculation_approach_2</t>
  </si>
  <si>
    <t>emi_cib_scope1</t>
  </si>
  <si>
    <t>emi_cib_scope2</t>
  </si>
  <si>
    <t>emi_cib_scope3</t>
  </si>
  <si>
    <t>revenue_scope1</t>
  </si>
  <si>
    <t>revenue_scope2</t>
  </si>
  <si>
    <t>revenue_scope3</t>
  </si>
  <si>
    <t>emi_score4_scope1</t>
  </si>
  <si>
    <t>emi_score4_scope2</t>
  </si>
  <si>
    <t>emi_score4_scope3</t>
  </si>
  <si>
    <t>assets_scope1</t>
  </si>
  <si>
    <t>assets_scope2</t>
  </si>
  <si>
    <t>assets_scope3</t>
  </si>
  <si>
    <t>emi_score5_scope1</t>
  </si>
  <si>
    <t>emi_score5_scope2</t>
  </si>
  <si>
    <t>emi_score5_scope3</t>
  </si>
  <si>
    <t>european_union</t>
  </si>
  <si>
    <t>source_emissions_scope1_cib</t>
  </si>
  <si>
    <t>source_emissions_scope2_cib</t>
  </si>
  <si>
    <t>source_emissions_scope3_cib</t>
  </si>
  <si>
    <t>flg_cib_scope1</t>
  </si>
  <si>
    <t>flg_cib_scope2</t>
  </si>
  <si>
    <t>flg_cib_scope3</t>
  </si>
  <si>
    <t>flg_ncib_scope1</t>
  </si>
  <si>
    <t>flg_ncib_scope2</t>
  </si>
  <si>
    <t>flg_ncib_scope3</t>
  </si>
  <si>
    <t>flg_physical_scope1</t>
  </si>
  <si>
    <t>flg_physical_scope2</t>
  </si>
  <si>
    <t>flg_physical_scope3</t>
  </si>
  <si>
    <t>flg_economic_rev_scope1</t>
  </si>
  <si>
    <t>flg_economic_rev_scope2</t>
  </si>
  <si>
    <t>flg_economic_rev_scope3</t>
  </si>
  <si>
    <t>flg_economic_asset_scope1</t>
  </si>
  <si>
    <t>flg_economic_asset_scope2</t>
  </si>
  <si>
    <t>flg_economic_asset_scope3</t>
  </si>
  <si>
    <t>flg1_motor_vehi_scope1</t>
  </si>
  <si>
    <t>flg1_motor_vehi_scope2</t>
  </si>
  <si>
    <t>flg2_motor_vehi_scope1</t>
  </si>
  <si>
    <t>flg2_motor_vehi_scope2</t>
  </si>
  <si>
    <t>dqs_scope1_cib</t>
  </si>
  <si>
    <t>dqs_scope2_cib</t>
  </si>
  <si>
    <t>dqs_scope3_cib</t>
  </si>
  <si>
    <t>dqs_revenues</t>
  </si>
  <si>
    <t>dqs_assets</t>
  </si>
  <si>
    <t>gesi_aux_ctr</t>
  </si>
  <si>
    <t>gesii_aux_ctr</t>
  </si>
  <si>
    <t>gesiii_aux_ctr</t>
  </si>
  <si>
    <t>asci_aux_ctr</t>
  </si>
  <si>
    <t>asc2_aux_ctr</t>
  </si>
  <si>
    <t>asciii_aux_ctr</t>
  </si>
  <si>
    <t>dqs_scope1</t>
  </si>
  <si>
    <t>dqs_scope2</t>
  </si>
  <si>
    <t>dqs_scope3</t>
  </si>
  <si>
    <t>flg_building_scope1</t>
  </si>
  <si>
    <t>flg_building_scope2</t>
  </si>
  <si>
    <t>flg_nbuilding_scope1</t>
  </si>
  <si>
    <t>flg_nbuilding_scope2</t>
  </si>
  <si>
    <t>flg_totalfloor_scope1</t>
  </si>
  <si>
    <t>flg_totalfloor_scope2</t>
  </si>
  <si>
    <t>flg_intensity_scope1</t>
  </si>
  <si>
    <t>flg_intensity_scope2</t>
  </si>
  <si>
    <t>flg_nbuilding_eur_scope1</t>
  </si>
  <si>
    <t>flg_nbuilding_eur_scope2</t>
  </si>
  <si>
    <t>flg_nbuilding_canada_scope1</t>
  </si>
  <si>
    <t>flg_nbuilding_canada_scope2</t>
  </si>
  <si>
    <t>flg_nbuilding_us_scope1</t>
  </si>
  <si>
    <t>flg_nbuilding_us_scope2</t>
  </si>
  <si>
    <t>flg_nbuilding_res_scope1</t>
  </si>
  <si>
    <t>flg_nbuilding_res_scope2</t>
  </si>
  <si>
    <t>flg_dwelling_intens_scope1</t>
  </si>
  <si>
    <t>flg_dwelling_intens_scope2</t>
  </si>
  <si>
    <t>flg_nbuildings_eur_scope1</t>
  </si>
  <si>
    <t>flg_nbuildings_eur_scope2</t>
  </si>
  <si>
    <t>flg_nbuildings_canada_scope1</t>
  </si>
  <si>
    <t>flg_nbuildings_canada_scope2</t>
  </si>
  <si>
    <t>flg_nbuilding_us_met3_scope1</t>
  </si>
  <si>
    <t>flg_nbuilding_us_met3_scope2</t>
  </si>
  <si>
    <t>flg_nbuilding_res_met3_scope1</t>
  </si>
  <si>
    <t>flg_nbuilding_res_met3_scope2</t>
  </si>
  <si>
    <t>emi_scope1_building</t>
  </si>
  <si>
    <t>emi_scope2_building</t>
  </si>
  <si>
    <t>emi_scope1_nbuilding</t>
  </si>
  <si>
    <t>emi_scope2_nbuilding</t>
  </si>
  <si>
    <t>emi_scope1_totalfloor</t>
  </si>
  <si>
    <t>emi_scope2_totalfloor</t>
  </si>
  <si>
    <t>emi_scope1_intensity</t>
  </si>
  <si>
    <t>emi_scope2_intensity</t>
  </si>
  <si>
    <t>emi_scope1_nbuilding_eur</t>
  </si>
  <si>
    <t>emi_scope2_nbuilding_eur</t>
  </si>
  <si>
    <t>emi_scope1_nbuilding_canada</t>
  </si>
  <si>
    <t>emi_scope2_nbuilding_canada</t>
  </si>
  <si>
    <t>emi_scope1_nbuilding_us</t>
  </si>
  <si>
    <t>emi_scope2_nbuilding_us</t>
  </si>
  <si>
    <t>emi_scope1_nbuilding_res</t>
  </si>
  <si>
    <t>emi_scope2_nbuilding_res</t>
  </si>
  <si>
    <t>emi_scope1_dwelling_intens</t>
  </si>
  <si>
    <t>emi_scope2_dwelling_intens</t>
  </si>
  <si>
    <t>emi_scope1_nbuildings_eur</t>
  </si>
  <si>
    <t>emi_scope2_nbuildings_eur</t>
  </si>
  <si>
    <t>emi_scope1_nbuildings_canada</t>
  </si>
  <si>
    <t>emi_scope2_nbuildings_canada</t>
  </si>
  <si>
    <t>emi_scope1_nbuilding_us_met3</t>
  </si>
  <si>
    <t>emi_scope2_nbuilding_us_met3</t>
  </si>
  <si>
    <t>emi_scope1_nbuilding_res_met3</t>
  </si>
  <si>
    <t>emi_scope2_nbuilding_res_met3</t>
  </si>
  <si>
    <t>gesi_aux_2</t>
  </si>
  <si>
    <t>gesii_aux_2</t>
  </si>
  <si>
    <t>asci_aux_2</t>
  </si>
  <si>
    <t>ascii_aux_2</t>
  </si>
  <si>
    <t>asciii_aux2</t>
  </si>
  <si>
    <t>dqs_scope1_gar</t>
  </si>
  <si>
    <t>dqs_scope2_gar</t>
  </si>
  <si>
    <t>dqs_scope3_gar</t>
  </si>
  <si>
    <t>client_emission_area</t>
  </si>
  <si>
    <t>source_emission</t>
  </si>
  <si>
    <t>calculation_approach</t>
  </si>
  <si>
    <t>data_quality_score</t>
  </si>
  <si>
    <t>vb_imp</t>
  </si>
  <si>
    <t>geography</t>
  </si>
  <si>
    <t>BI00411</t>
  </si>
  <si>
    <t>stage 1</t>
  </si>
  <si>
    <t>performing</t>
  </si>
  <si>
    <t>outras empresas nao financeiras</t>
  </si>
  <si>
    <t>nao excluido</t>
  </si>
  <si>
    <t>0.000000</t>
  </si>
  <si>
    <t>non-EU</t>
  </si>
  <si>
    <t>EU member states</t>
  </si>
  <si>
    <t>Motor vehicle loans</t>
  </si>
  <si>
    <t>EU1</t>
  </si>
  <si>
    <t>CLIEA2</t>
  </si>
  <si>
    <t>SOUR2</t>
  </si>
  <si>
    <t>CAAP4</t>
  </si>
  <si>
    <t>DQS4</t>
  </si>
  <si>
    <t>valor bruto</t>
  </si>
  <si>
    <t>2028-11-15</t>
  </si>
  <si>
    <t>131210</t>
  </si>
  <si>
    <t>620</t>
  </si>
  <si>
    <t>2025-02-19</t>
  </si>
  <si>
    <t>2024-12-31</t>
  </si>
  <si>
    <t>2025-02-16</t>
  </si>
  <si>
    <t>4</t>
  </si>
  <si>
    <t>bu_esg_work.local_pilar3_temp1_emi_tabaux18_dez24</t>
  </si>
  <si>
    <t>entidade</t>
  </si>
  <si>
    <t>53_client_own_funds</t>
  </si>
  <si>
    <t>country</t>
  </si>
  <si>
    <t>nace_new</t>
  </si>
  <si>
    <t>amount_score4_km</t>
  </si>
  <si>
    <t>avg_motor_vehicle_scope1</t>
  </si>
  <si>
    <t>avg_motor_vehicle_scope2</t>
  </si>
  <si>
    <t>emi_veh_score4_scope1</t>
  </si>
  <si>
    <t>emi_veh_score4_scope2</t>
  </si>
  <si>
    <t>amount_veh_score5_type_km</t>
  </si>
  <si>
    <t>amount_veh_score5_type_scope1</t>
  </si>
  <si>
    <t>amount_veh_score5_type_scope2</t>
  </si>
  <si>
    <t>amount_veh_score5_proxy_scope1</t>
  </si>
  <si>
    <t>amount_veh_score5_proxy_scope2</t>
  </si>
  <si>
    <t>amount_score5_km</t>
  </si>
  <si>
    <t>emi_veh_score5_scope1</t>
  </si>
  <si>
    <t>emi_veh_score5_scope2</t>
  </si>
  <si>
    <t>dqs4_motor_vehicle_loans</t>
  </si>
  <si>
    <t>dqs5_motor_vehicle_loans</t>
  </si>
  <si>
    <t>PORTUGAL</t>
  </si>
  <si>
    <t>00100</t>
  </si>
  <si>
    <t>*</t>
  </si>
  <si>
    <t>F41,2,0</t>
  </si>
  <si>
    <t>F41,20</t>
  </si>
  <si>
    <t>bu_esg_work,rf_pilar3_cdg_tabaux1_dez24_v2</t>
  </si>
  <si>
    <t>Left Join com a tabela de CdG na bu_esg_work,local_pilar3_temp1_emi_tabaux1_dez24</t>
  </si>
  <si>
    <t>bu_esg_work,local_pilar3_temp1_emi_tabaux1_dez24</t>
  </si>
  <si>
    <t>region</t>
  </si>
  <si>
    <t>state</t>
  </si>
  <si>
    <t>data_level_1_information</t>
  </si>
  <si>
    <t>data_level_2_information</t>
  </si>
  <si>
    <t>data_level_3_information</t>
  </si>
  <si>
    <t>data_level_4_information</t>
  </si>
  <si>
    <t>data_level_5_information</t>
  </si>
  <si>
    <t>emission_factor_functional_unit_name</t>
  </si>
  <si>
    <t>emission_factor_functional_unit_unit</t>
  </si>
  <si>
    <t>emission_factor_name</t>
  </si>
  <si>
    <t>emission_factor_unit</t>
  </si>
  <si>
    <t>pcaf_data_quality_score</t>
  </si>
  <si>
    <t>scope_1_emission_factor</t>
  </si>
  <si>
    <t>scope_2_emission_factor</t>
  </si>
  <si>
    <t>scope_3_upstream_emission_factor</t>
  </si>
  <si>
    <t>Europe</t>
  </si>
  <si>
    <t>Portugal</t>
  </si>
  <si>
    <t>DIESEL</t>
  </si>
  <si>
    <t>Average</t>
  </si>
  <si>
    <t>Distance driven</t>
  </si>
  <si>
    <t>km</t>
  </si>
  <si>
    <t>Emission intensity per Distance driven</t>
  </si>
  <si>
    <t>kgCO2/km</t>
  </si>
  <si>
    <t>ELECTRIC</t>
  </si>
  <si>
    <t>average_km</t>
  </si>
  <si>
    <t>Não calculado</t>
  </si>
  <si>
    <t xml:space="preserve">SELECT *,
  case when ckprodmi in ('000045','000051','000053','000042') and des_detalle_lease = 'VEICULOS PESADOS DE PASSAGEIROS' then 'Bus' -- Validar este mapeamento em exercícios futuros
    when ckprodmi in ('000045','000051','000053','000042') and des_detalle_lease in ('COMERCIAIS ATE 1600KG','COMERCIAIS DE 1601KG A 2600KG','COMERCIAIS DE 2601KG A 3500KG') then 'Van'
    when ckprodmi in ('000045','000051','000053','000042') and des_detalle_lease = 'VEICULOS PESADOS DE MERCADORIAS' then 'Heavy Vehicle'
    when ckprodmi in ('000045','000051','000053','000042') and des_detalle_lease = 'VEICULOS LIGEIROS DE PASSAGEIROS' then 'Passenger car'
    when ckprodmi in ('000045','000051','000053','000042') and des_detalle_lease = 'MOTOCICLOS CILINDRADA SUPERIOR A 50CM3' then 'Motorcycle' 
    when ckprodmi in ('000045','000051','000053','000042') and des_detalle_lease like 'CICLOMOTOR%' then 'Motorcycle'        
    when ckprodmi in ('000045','000051','000053','000042') and des_detalle_lease = 'REBOQUE/SEMI-REBOQUE C/MATRICULA' then 'Heavy Vehicle'
    when ckprodmi in ('000045','000051','000053','000042') and des_detalle_lease in ('TT ATE 1600KG','TT DE 1601KG A 2600KG','TT DE 2601KG A 3500KG') then 'Passenger car'
  else ''
  end as tipo_viatura,
  case when ((ckprodmi in ('000045','000051','000053')) or (ckprodmi = '000042' and sfcs_green_activity_comgloval like 'Transport%')) then 'Passenger car' else '' end as tipo_viatura_score5,     
  case
    when ckprodmi in ('000045','000051','000053','000042') and des_combustivel = 'HIBRIDO' then 'PETROL' -- O datapoint HIBRIDO para a corporação são o tipo de hibridos não plug-in e como mapeamos ficou fechado este tipo mapear como se fosse um carro a combustão (e-mail Corporação 03/07/24) - AC
    when ckprodmi in ('000045','000051','000053','000042') and des_combustivel = 'ELECTRICO' then 'Electric'
    when ckprodmi in ('000045','000051','000053','000042') and des_combustivel = 'HIBRIDO/GASOLEO' then 'DIESEL/ELECTRIC'
    WHEN ckprodmi in ('000045','000051','000053','000042') and des_combustivel = 'HIBRIDO/GASOLINA' then 'PETROL/ELECTRIC'
  end as tipo_combustivel
FROM 
    (
    SELECT *
    FROM 
        (
        SELECT F1.*,F2.AMOUNT_JUN25
        FROM 
            (
            SELECT CHAVE
                ,CASE
                    WHEN FLAG_AUX_METODO_CTO=1 AND FLAG_BEM='MUG_MOV' THEN 'EMI BEM MOV'
                    WHEN FLAG_AUX_METODO_CTO=1 AND FLAG_BEM='MUG_IMO' THEN 'EMI BEM IMO'
                    WHEN FLAG_AUX_METODO_CTO=0 THEN 'EMI CLIENTE'
                END AS METO_JUN25
                ,SUM(SCP1_EMSS_FNCD) AS SCP1
                ,SUM(SCP2_EMSS_FNCD) AS SCP2
                ,SUM(SCP3_EMSS_FNCD) AS SCP3
            FROM BU_CAPTOOLS_WORK.EMI_FINAN
            WHERE FLAG_PERIMETRO LIKE '%ST SGPS Cons%'
                AND scp1_emss_fncd IS NOT NULL 
                AND origem_scp1_emss&lt;&gt;'Nao Aplicavel'
            GROUP BY 1,2
            )F1
        LEFT JOIN 
            (
            SELECT CHAVE, SUM(sum_msaldo_final_ct) AS AMOUNT_JUN25
            FROM 
                (
                SELECT DISTINCT CHAVE,FLAG_PERIMETRO,sum_msaldo_final_ct
                FROM BU_CAPTOOLS_WORK.EMI_FINAN
                WHERE FLAG_PERIMETRO LIKE '%ST SGPS Cons%'
                )AUX GROUP BY 1 
            )F2 ON F1.CHAVE=F2.CHAVE
        )F1
    INNER JOIN 
        (
        SELECT CONCAT(cempresa_ct,cbalcao_ct,cnumecta_ct,zdeposit_ct) AS CHAVE_CT
            ,CASE 
                WHEN TRIM(calculation_approach)='CAAP4' THEN 'EMI MVL'
                WHEN TRIM(calculation_approach)='CAAP3' THEN 'EMI RE'
                WHEN TRIM(calculation_approach) IN ('CAAP1','CAAP2') THEN 'EMI CLIENTE'
            END AS METO_DEZ24
            ,sum(amount) AS AMOUNT_DEZ24
            ,SUM(NVL(gesi_aux_ctr,0) + NVL(gesi_aux_2,0)) AS EMI_DEZ_SCP1
            ,SUM(NVL(gesii_aux_ctr,0) + NVL(gesii_aux_2,0)) AS EMI_DEZ_SCP2
            ,SUM(NVL(gesiii_aux_ctr,0)) AS EMI_DEZ_SCP3
        from bu_esg_work.local_pilar3_temp1_emi_tabaux18_dez24
        WHERE VB_IMP='valor bruto'
        GROUP BY 1,2
        )F2 ON F1.CHAVE=F2.CHAVE_CT
    WHERE F1.METO_JUN25='EMI BEM MOV' AND F2.METO_DEZ24='EMI MVL' 
    )A1
LEFT JOIN 
    (
    SELECT CONCAT(cempresa_ct,cbalcao_ct,cnumecta_ct,zdeposit_ct) AS CHAVE_CDG,*
    FROM bu_esg_work.rf_pilar3_cdg_tabaux1_dez24_v2
    )A2 ON A1.CHAVE_CT=A2.CHAVE_CDG
</t>
  </si>
  <si>
    <t>Query:</t>
  </si>
  <si>
    <t>E32314</t>
  </si>
  <si>
    <t>MISS</t>
  </si>
  <si>
    <t>7401507987</t>
  </si>
  <si>
    <t>89000000000232510000000000000001</t>
  </si>
  <si>
    <t>7104</t>
  </si>
  <si>
    <t>0008470210</t>
  </si>
  <si>
    <t>2024-08-07</t>
  </si>
  <si>
    <t>000000000000004</t>
  </si>
  <si>
    <t>89000000000232510000000000000004</t>
  </si>
  <si>
    <t>000000000000005</t>
  </si>
  <si>
    <t>89000000000232510000000000000005</t>
  </si>
  <si>
    <t>000000000000006</t>
  </si>
  <si>
    <t>89000000000232510000000000000006</t>
  </si>
  <si>
    <t>89000000000232510000000000000003</t>
  </si>
  <si>
    <t>000000000000007</t>
  </si>
  <si>
    <t>89000000000232510000000000000007</t>
  </si>
  <si>
    <t>89000000000232510000000000000002</t>
  </si>
  <si>
    <t>000000000000008</t>
  </si>
  <si>
    <t>89000000000232510000000000000008</t>
  </si>
  <si>
    <t>Emissões Finan Bem 4</t>
  </si>
  <si>
    <t>Emissões Finan Bem 5</t>
  </si>
  <si>
    <t>Emissões Finan Bem 6</t>
  </si>
  <si>
    <t>Emissões Finan Bem 7</t>
  </si>
  <si>
    <t>Emissões Finan Bem 8</t>
  </si>
  <si>
    <t>cnsm_co2</t>
  </si>
  <si>
    <t>origem_scp1_emss_aux</t>
  </si>
  <si>
    <t>origem_scp2_emss_aux</t>
  </si>
  <si>
    <t>scp1_emss</t>
  </si>
  <si>
    <t>scp2_emss</t>
  </si>
  <si>
    <t>scp3_emss</t>
  </si>
  <si>
    <t>marca</t>
  </si>
  <si>
    <t>modelo</t>
  </si>
  <si>
    <t>tipo_combust</t>
  </si>
  <si>
    <t>marca_gt013</t>
  </si>
  <si>
    <t>modelo_gt013</t>
  </si>
  <si>
    <t>tipo_motor_gt013</t>
  </si>
  <si>
    <t>tipo_veiculo_gt013</t>
  </si>
  <si>
    <t>chave_bem_levensh</t>
  </si>
  <si>
    <t>marca_levensh</t>
  </si>
  <si>
    <t>modelo_levensh</t>
  </si>
  <si>
    <t>tipo_motor_levensh</t>
  </si>
  <si>
    <t>tipo_veiculo_levensh</t>
  </si>
  <si>
    <t>scp1_ftr_emss</t>
  </si>
  <si>
    <t>scp2_ftr_emss</t>
  </si>
  <si>
    <t>scp3_ftr_emss</t>
  </si>
  <si>
    <t>scp1_ftr_emss_1b</t>
  </si>
  <si>
    <t>scp2_ftr_emss_1b</t>
  </si>
  <si>
    <t>modelo_aux_1b</t>
  </si>
  <si>
    <t>marca_aux_1b</t>
  </si>
  <si>
    <t>marca_aux2_1b</t>
  </si>
  <si>
    <t>modelo_aux2_1b</t>
  </si>
  <si>
    <t>tipo_veiculo_aux_1b</t>
  </si>
  <si>
    <t>tipo_motor_aux_1b</t>
  </si>
  <si>
    <t>rank_1</t>
  </si>
  <si>
    <t>_c1</t>
  </si>
  <si>
    <t>modelo_tratado_corp</t>
  </si>
  <si>
    <t>modelo_tratado_gt013</t>
  </si>
  <si>
    <t>modelo_final_tratado</t>
  </si>
  <si>
    <t>rank_levensh</t>
  </si>
  <si>
    <t>rank_levensh_2</t>
  </si>
  <si>
    <t>rank_levensh_3</t>
  </si>
  <si>
    <t>media_km</t>
  </si>
  <si>
    <t>media_km_1</t>
  </si>
  <si>
    <t>tipo_veiculo_km_1</t>
  </si>
  <si>
    <t>tipo_motor_km_1</t>
  </si>
  <si>
    <t>scp1_ftr_emss_2</t>
  </si>
  <si>
    <t>scp2_ftr_emss_2</t>
  </si>
  <si>
    <t>tipo_veiculo_emi_2</t>
  </si>
  <si>
    <t>tipo_motor_emi_2</t>
  </si>
  <si>
    <t>media_km_2</t>
  </si>
  <si>
    <t>tipo_veiculo_km_2</t>
  </si>
  <si>
    <t>tipo_motor_km_2</t>
  </si>
  <si>
    <t>scp1_ftr_emss_3</t>
  </si>
  <si>
    <t>scp2_ftr_emss_3</t>
  </si>
  <si>
    <t>tipo_motor_emi_3</t>
  </si>
  <si>
    <t>tipo_veiculo_emi_3</t>
  </si>
  <si>
    <t>media_km_3</t>
  </si>
  <si>
    <t>tipo_veiculo_km_3</t>
  </si>
  <si>
    <t>tipo_motor_km_3</t>
  </si>
  <si>
    <t>KOGEL</t>
  </si>
  <si>
    <t>CARGO</t>
  </si>
  <si>
    <t>HEAVY VEHICLE</t>
  </si>
  <si>
    <t>90</t>
  </si>
  <si>
    <t>2027-05-15</t>
  </si>
  <si>
    <t>SOUR3</t>
  </si>
  <si>
    <t>bu_esg_work,local_pilar3_temp1_emi_tabaux18_dez24</t>
  </si>
  <si>
    <t>N77,1,2</t>
  </si>
  <si>
    <t xml:space="preserve">Casuística: </t>
  </si>
  <si>
    <t xml:space="preserve">Contrato com 8 bens no Estrutural vs 1 linha de bem em CdG (dez24) // O tático não calculou emissões </t>
  </si>
  <si>
    <t>Contrato com 3 bens no Estrutural e 3 linhas no ficheiro de dez24 de CdG // No entanto, o tático considera apenas 1 linha (ou seja 1 bem) no cálculo da emissão</t>
  </si>
  <si>
    <t>Estes valores deveriam estar calculados acima</t>
  </si>
  <si>
    <t>7401987321</t>
  </si>
  <si>
    <t>89000000000246240000000000000003</t>
  </si>
  <si>
    <t>7505</t>
  </si>
  <si>
    <t>3</t>
  </si>
  <si>
    <t>0009258461</t>
  </si>
  <si>
    <t>2024-07-26</t>
  </si>
  <si>
    <t>89000000000246240000000000000002</t>
  </si>
  <si>
    <t>89000000000246240000000000000001</t>
  </si>
  <si>
    <t>7107</t>
  </si>
  <si>
    <t>Não aplicável</t>
  </si>
  <si>
    <t xml:space="preserve">No entanto, apenas 2 bens tem emissões </t>
  </si>
  <si>
    <t>Leasing mobiliário - Viatura - Pesado mercadorias</t>
  </si>
  <si>
    <t>Leasing mobiliário - Viatura - Construção</t>
  </si>
  <si>
    <t>Leasing mobiliário - Equipamento - Construção // Este bem não é considerado no cálculo das emissões</t>
  </si>
  <si>
    <t>COSTA</t>
  </si>
  <si>
    <t>RF10000X</t>
  </si>
  <si>
    <t>VALTRA</t>
  </si>
  <si>
    <t>N121H</t>
  </si>
  <si>
    <t xml:space="preserve">*fator individual do bem </t>
  </si>
  <si>
    <t xml:space="preserve">
SELECT 
    BASE.CHAVE_BEM
    ,CAST(BASE.CO2 AS DECIMAL(32,10)) AS CNSM_CO2
 ,CASE
  WHEN TIPO_VEICULO_GT013='NOT APPLICABLE' THEN 'MISS'
  WHEN EMISS_1B.CHAVE_BEM_LEVENSH IS NOT NULL AND KM_1.TIPO_VEICULO_KM_1 IS NOT NULL THEN 'MVL_DQS3_2B'
  WHEN EMISS_2.TIPO_VEICULO_EMI_2 IS NOT NULL AND KM_2.TIPO_VEICULO_KM_2 IS NOT NULL THEN 'MVL_DQS4_3A'
  WHEN EMISS_3.TIPO_VEICULO_EMI_3 IS NOT NULL AND KM_3.TIPO_VEICULO_KM_3 IS NOT NULL THEN 'MVL_DQS5_3B'
  ELSE 'MISS'
 END AS ORIGEM_SCP1_EMSS_AUX
 ,CASE
  WHEN TIPO_VEICULO_GT013='NOT APPLICABLE' THEN 'MISS'
  WHEN EMISS_1B.CHAVE_BEM_LEVENSH IS NOT NULL AND KM_1.TIPO_VEICULO_KM_1 IS NOT NULL THEN 'MVL_DQS3_2B'
  WHEN EMISS_2.TIPO_VEICULO_EMI_2 IS NOT NULL AND KM_2.TIPO_VEICULO_KM_2 IS NOT NULL THEN 'MVL_DQS4_3A'
  WHEN EMISS_3.TIPO_VEICULO_EMI_3 IS NOT NULL AND KM_3.TIPO_VEICULO_KM_3 IS NOT NULL THEN 'MVL_DQS5_3B'
  ELSE 'MISS'
 END AS ORIGEM_SCP2_EMSS_AUX
 ,'Nao Aplicavel' AS ORIGEM_SCP3_EMSS
 ,CASE
  WHEN TIPO_VEICULO_GT013='NOT APPLICABLE' THEN NULL
  WHEN EMISS_1B.CHAVE_BEM_LEVENSH IS NOT NULL AND KM_1.TIPO_VEICULO_KM_1 IS NOT NULL THEN EMISS_1B.SCP1_FTR_EMSS_1B*KM_1.MEDIA_KM_1
  WHEN EMISS_2.TIPO_VEICULO_EMI_2 IS NOT NULL AND KM_2.TIPO_VEICULO_KM_2 IS NOT NULL THEN EMISS_2.SCP1_FTR_EMSS_2*KM_2.MEDIA_KM_2
  WHEN EMISS_3.TIPO_VEICULO_EMI_3 IS NOT NULL AND KM_3.TIPO_VEICULO_KM_3 IS NOT NULL THEN EMISS_3.SCP1_FTR_EMSS_3*KM_3.MEDIA_KM_3
 END AS SCP1_EMSS
 ,CASE
  WHEN TIPO_VEICULO_GT013='NOT APPLICABLE' THEN NULL
  WHEN EMISS_1B.CHAVE_BEM_LEVENSH IS NOT NULL AND KM_1.TIPO_VEICULO_KM_1 IS NOT NULL THEN EMISS_1B.SCP2_FTR_EMSS_1B*KM_1.MEDIA_KM_1
  WHEN EMISS_2.TIPO_VEICULO_EMI_2 IS NOT NULL AND KM_2.TIPO_VEICULO_KM_2 IS NOT NULL THEN EMISS_2.SCP2_FTR_EMSS_2*KM_2.MEDIA_KM_2
  WHEN EMISS_3.TIPO_VEICULO_EMI_3 IS NOT NULL AND KM_3.TIPO_VEICULO_KM_3 IS NOT NULL THEN EMISS_3.SCP2_FTR_EMSS_3*KM_3.MEDIA_KM_3
 END AS SCP2_EMSS
 ,CASE WHEN TRIM(BASE.CHAVE_BEM)='' THEN '1'END AS SCP3_EMSS,*
FROM
 -- 1º Cruzamento: Obter o Universo Base, CNSM_CO2, TIPO_MOTOR E TIPO_VEICULO  
 --&gt; OUT24 20.643 Registos 
 (
 SELECT  
  CONCAT(CEMPBEM,CKBALBEM,CKCTABEM,CKREFBEM) AS CHAVE_BEM
  ,CO2 
  ,MARCA
  ,MODELO
  ,TIPO_COMBUST
  ,CGARANT_BEM
  ,REGEXP_REPLACE(TRIM(UPPER(MARCA)),'[^a-zA-Z0-9]','') AS MARCA_GT013
  ,REGEXP_REPLACE(TRIM(UPPER(MODELO)),'[^a-zA-Z0-9]','') AS MODELO_GT013
  ,TRIM(UPPER(CASE
    WHEN TRIM(TIPO_COMBUST) ='2' THEN 'DIESEL'
    WHEN TRIM(TIPO_COMBUST) ='7' THEN 'DIESEL/ELECTRIC'
    WHEN TRIM(TIPO_COMBUST) ='5' THEN 'DIESEL'
    WHEN TRIM(TIPO_COMBUST) ='4' THEN 'ELECTRIC'
    WHEN TRIM(TIPO_COMBUST) ='3' THEN 'LPG'
    WHEN TRIM(TIPO_COMBUST) ='1' THEN 'PETROL'
    WHEN TRIM(TIPO_COMBUST) ='6' THEN 'PETROL/ELECTRIC'
    WHEN TRIM(TIPO_COMBUST) ='' THEN 'Average'
   END)) AS TIPO_MOTOR_GT013
  ,TRIM(UPPER(CASE
    WHEN TRIM(CGARANT_BEM) ='7101' THEN 'Passenger car'
    WHEN TRIM(CGARANT_BEM) ='7102' THEN 'Van'
    WHEN TRIM(CGARANT_BEM) ='7103' THEN 'Heavy Vehicle'
    WHEN TRIM(CGARANT_BEM) ='7104' THEN 'Heavy Vehicle'
    WHEN TRIM(CGARANT_BEM) ='7105' THEN 'Passenger car'
    WHEN TRIM(CGARANT_BEM) ='7100' THEN 'NOT APPLICABLE'
    WHEN TRIM(CGARANT_BEM) ='7106' THEN 'Heavy Vehicle'
    WHEN TRIM(CGARANT_BEM) ='7107' THEN 'Heavy Vehicle'
    WHEN TRIM(CGARANT_BEM) ='7108' THEN 'NOT APPLICABLE'
    WHEN TRIM(CGARANT_BEM) ='7109' THEN 'NOT APPLICABLE'
    WHEN TRIM(CGARANT_BEM) ='7110' THEN 'Passenger car'
    WHEN TRIM(CGARANT_BEM) ='7111' THEN 'NOT APPLICABLE'
   END)) AS TIPO_VEICULO_GT013 
 FROM cd_garantias.GT013_BENS_MOB
    WHERE ref_date = '${ref_date}'
        AND CGARANT_BEM LIKE '71%'
 )BASE
LEFT JOIN 
 -- 2Aº Cruzamento: Obtenção Scope 1ª Metodologia 
 --&gt; OUT24 20.643 Registos
 (
 SELECT 
  *
 FROM
  (
  SELECT
   *
   ,RANK () OVER (PARTITION BY CHAVE_BEM_LEVENSH ORDER BY MODELO_AUX2_1B) AS RANK_LEVENSH_3 --HF 04/12 - Este rank serve para casos onde empatam na média das scopes mas tem modelos diferentes. Dado que as scopes são iguais não é relevante o modelo a escolher no tratamento do levenshtein (Verificamos 2 casos para esta casuística em Out: ('89000000005110422000000000000001','89000000000248335000000000000001'))
  FROM
   (
   SELECT
    *
    ,RANK () OVER (PARTITION BY CONCAT(CHAVE_BEM_LEVENSH,MARCA_LEVENSH,MODELO_LEVENSH,TIPO_MOTOR_LEVENSH,TIPO_VEICULO_LEVENSH)  ORDER BY (NVL(CAST(SCP1_FTR_EMSS_1B AS DECIMAL(32,10)),0)+NVL(CAST(SCP2_FTR_EMSS_1B AS DECIMAL(32,10)),0))/2 DESC) AS RANK_LEVENSH_2
   FROM
    (
    SELECT
     *
    FROM BU_CAPTOOLS_WORK.VEICU_LEVENSH_AUX
    )AUX_TRAT_1 WHERE RANK_LEVENSH = 1 AND MODELO_FINAL_TRATADO &gt; 75
   )AUX_TRAT_2 WHERE RANK_LEVENSH_2=1
  )FINAL_TRAT WHERE RANK_LEVENSH_3=1
 )EMISS_1B ON BASE.MARCA_GT013 IS NOT NULL AND BASE.MODELO_GT013 IS NOT NULL AND BASE.TIPO_MOTOR_GT013 IS NOT NULL AND BASE.TIPO_VEICULO_GT013 IS NOT NULL  
    AND EMISS_1B.MARCA_LEVENSH=BASE.MARCA_GT013 
    AND EMISS_1B.TIPO_VEICULO_LEVENSH=BASE.TIPO_VEICULO_GT013 
    AND EMISS_1B.TIPO_MOTOR_LEVENSH=BASE.TIPO_MOTOR_GT013
    AND EMISS_1B.CHAVE_BEM_LEVENSH=BASE.CHAVE_BEM
LEFT JOIN 
 -- 2Bº Cruzamento: Obtenção KM Médios 1ª Metodologia 
 --&gt; OUT24 20.643 Registos
 (
 SELECT 
   MEDIA_KM
   ,CAST(MEDIA_KM AS DECIMAL(32,10)) AS MEDIA_KM_1
  ,TRIM(UPPER(TIPO_VCL)) AS TIPO_VEICULO_KM_1
  ,TRIM(UPPER(TIPO_MOTOR))AS TIPO_MOTOR_KM_1
 FROM BUSINESS_ESG.MODESG_INP_KM_MEDIOS_EMSS_VCLS
 WHERE REF_DATE='${ref_date}'
  AND TRIM(UPPER(NOME_PAIS))='PORTUGAL'
  AND TRIM(UPPER(SUBGRUPO))='AVERAGE'
 )KM_1 ON BASE.TIPO_MOTOR_GT013 IS NOT NULL AND BASE.TIPO_VEICULO_GT013 IS NOT NULL
    AND KM_1.TIPO_VEICULO_KM_1=BASE.TIPO_VEICULO_GT013 
    AND KM_1.TIPO_MOTOR_KM_1=BASE.TIPO_MOTOR_GT013
LEFT JOIN
 -- 3Aº Cruzamento: Obtenção Scope 2ª Metodologia 
 --&gt; OUT24 20.643 Registos
 (
 SELECT 
      SCP1_FTR_EMSS 
     ,SCP2_FTR_EMSS 
     ,SCP3_FTR_EMSS
  ,CAST(SCP1_FTR_EMSS AS DECIMAL(32,10)) AS SCP1_FTR_EMSS_2
     ,CAST(SCP2_FTR_EMSS AS DECIMAL(32,10)) AS SCP2_FTR_EMSS_2  
  ,TRIM(UPPER(TIPO_VEICULO)) AS TIPO_VEICULO_EMI_2
  ,TRIM(UPPER(TIPO_MOTOR))AS TIPO_MOTOR_EMI_2
 FROM BUSINESS_ESG.MODESG_INP_EMSS_VCLS
 WHERE REF_DATE='${ref_date}'
  AND TRIM(UPPER(NOME_PAIS))='PORTUGAL'
  AND TRIM(UPPER(SUBGRUPO))='AVERAGE'
 )EMISS_2 ON BASE.TIPO_MOTOR_GT013 IS NOT NULL AND BASE.TIPO_VEICULO_GT013 IS NOT NULL AND BASE.TIPO_MOTOR_GT013&lt;&gt;'AVERAGE'
    AND EMISS_2.TIPO_VEICULO_EMI_2=BASE.TIPO_VEICULO_GT013 
    AND EMISS_2.TIPO_MOTOR_EMI_2=BASE.TIPO_MOTOR_GT013
LEFT JOIN
 -- 3Bº Cruzamento: Obtenção KMs Médios 2ª Metodologia 
 --&gt; OUT24 20.643 Registos
 (
 SELECT 
   MEDIA_KM 
  ,CAST(MEDIA_KM AS DECIMAL(32,10)) AS MEDIA_KM_2
  ,TRIM(UPPER(TIPO_VCL)) AS TIPO_VEICULO_KM_2
  ,TRIM(UPPER(TIPO_MOTOR))AS TIPO_MOTOR_KM_2
 FROM BUSINESS_ESG.MODESG_INP_KM_MEDIOS_EMSS_VCLS
 WHERE REF_DATE='${ref_date}'
  AND TRIM(UPPER(NOME_PAIS))='PORTUGAL'
  AND TRIM(UPPER(SUBGRUPO))='AVERAGE'
 )KM_2 ON BASE.TIPO_MOTOR_GT013 IS NOT NULL AND BASE.TIPO_VEICULO_GT013 IS NOT NULL AND BASE.TIPO_MOTOR_GT013&lt;&gt;'AVERAGE'
    AND KM_2.TIPO_VEICULO_KM_2=BASE.TIPO_VEICULO_GT013 
    AND KM_2.TIPO_MOTOR_KM_2=BASE.TIPO_MOTOR_GT013
LEFT JOIN
 -- 4Aº Cruzamento: Obtenção Scope 3ª Metodologia 
 --&gt; OUT24 20.643 Registos
 (
 SELECT 
      SCP1_FTR_EMSS
     ,SCP2_FTR_EMSS
     ,SCP3_FTR_EMSS
  ,CAST(SCP1_FTR_EMSS AS DECIMAL(32,10)) AS SCP1_FTR_EMSS_3
     ,CAST(SCP2_FTR_EMSS AS DECIMAL(32,10)) AS SCP2_FTR_EMSS_3
     ,TRIM(UPPER(TIPO_MOTOR))AS TIPO_MOTOR_EMI_3
  ,TRIM(UPPER(TIPO_VEICULO)) AS TIPO_VEICULO_EMI_3
 FROM BUSINESS_ESG.MODESG_INP_EMSS_VCLS
 WHERE REF_DATE='${ref_date}'
  AND TRIM(UPPER(NOME_PAIS))='PORTUGAL'
  AND TRIM(UPPER(SUBGRUPO))='AVERAGE'
  AND TRIM(UPPER(TIPO_MOTOR))='AVERAGE'
 )EMISS_3 ON BASE.TIPO_VEICULO_GT013 IS NOT NULL 
    AND EMISS_3.TIPO_VEICULO_EMI_3=BASE.TIPO_VEICULO_GT013 
LEFT JOIN
    -- 4Bº Cruzamento: Obtenção KMs Médios 3ª Metodologia 
 --&gt; OUT24 20.643 Registos
 (
 SELECT 
   MEDIA_KM
  ,CAST(MEDIA_KM AS DECIMAL(32,10)) AS MEDIA_KM_3
  ,TRIM(UPPER(TIPO_VCL)) AS TIPO_VEICULO_KM_3
  ,TRIM(UPPER(TIPO_MOTOR))AS TIPO_MOTOR_KM_3
 FROM BUSINESS_ESG.MODESG_INP_KM_MEDIOS_EMSS_VCLS
 WHERE REF_DATE='${ref_date}'
  AND TRIM(UPPER(NOME_PAIS))='PORTUGAL'
  AND TRIM(UPPER(SUBGRUPO))='AVERAGE'
  AND TRIM(UPPER(TIPO_MOTOR))='AVERAGE'
 )KM_3 ON BASE.TIPO_VEICULO_GT013 IS NOT NULL 
    AND KM_3.TIPO_VEICULO_KM_3=BASE.TIPO_VEICULO_GT013 
WHERE CHAVE_BEM IN (
'89000000000246240000000000000003'
,'89000000000246240000000000000002'
,'89000000000246240000000000000001'
)</t>
  </si>
  <si>
    <t>stage 2</t>
  </si>
  <si>
    <t>1100.54</t>
  </si>
  <si>
    <t>84.3053</t>
  </si>
  <si>
    <t>444.681</t>
  </si>
  <si>
    <t>1235.33</t>
  </si>
  <si>
    <t>94.6305</t>
  </si>
  <si>
    <t>499.143</t>
  </si>
  <si>
    <t>DQS5</t>
  </si>
  <si>
    <t>2028-07-15</t>
  </si>
  <si>
    <t>A2,2,0</t>
  </si>
  <si>
    <t>A2,20</t>
  </si>
  <si>
    <t>NOK</t>
  </si>
  <si>
    <t xml:space="preserve">Estrutual - Contrato com 2 bens (pesados) </t>
  </si>
  <si>
    <t>Adicionalmente, template 1 não calcula scope 2, no entanto, tem os fatores</t>
  </si>
  <si>
    <r>
      <t xml:space="preserve">Template 1 - Contrato considera apenas 1 bem como </t>
    </r>
    <r>
      <rPr>
        <i/>
        <sz val="11"/>
        <color theme="1"/>
        <rFont val="Calibri"/>
        <family val="2"/>
        <scheme val="minor"/>
      </rPr>
      <t xml:space="preserve">Passenger car </t>
    </r>
    <r>
      <rPr>
        <sz val="11"/>
        <color theme="1"/>
        <rFont val="Calibri"/>
        <family val="2"/>
        <scheme val="minor"/>
      </rPr>
      <t>por assumption de não ter tipo de veiculo</t>
    </r>
    <r>
      <rPr>
        <i/>
        <sz val="11"/>
        <color theme="1"/>
        <rFont val="Calibri"/>
        <family val="2"/>
        <scheme val="minor"/>
      </rPr>
      <t xml:space="preserve"> // </t>
    </r>
    <r>
      <rPr>
        <sz val="11"/>
        <color theme="1"/>
        <rFont val="Calibri"/>
        <family val="2"/>
        <scheme val="minor"/>
      </rPr>
      <t>Ou seja, fator individual do bem bastante inferior (devidos aos KMS) face ao estrutural</t>
    </r>
  </si>
  <si>
    <r>
      <t xml:space="preserve">Contrato com 3 bens na tabela de CdG (analisado na </t>
    </r>
    <r>
      <rPr>
        <i/>
        <sz val="11"/>
        <color theme="1"/>
        <rFont val="Calibri"/>
        <family val="2"/>
        <scheme val="minor"/>
      </rPr>
      <t>sheet ID1_Exemplo 1</t>
    </r>
    <r>
      <rPr>
        <sz val="11"/>
        <color theme="1"/>
        <rFont val="Calibri"/>
        <family val="2"/>
        <scheme val="minor"/>
      </rPr>
      <t>)</t>
    </r>
  </si>
  <si>
    <t>89000000000238731000450000742949</t>
  </si>
  <si>
    <t>89000000000238586000450000742502</t>
  </si>
  <si>
    <t>89000000000241742000450000750000</t>
  </si>
  <si>
    <t>89000000000230064000450000714496</t>
  </si>
  <si>
    <t>89000000000239370000450000470568</t>
  </si>
  <si>
    <t>89000000000248863000420000471695</t>
  </si>
  <si>
    <t>89000000005112970000510000769154</t>
  </si>
  <si>
    <t>89000000000226723000450000703434</t>
  </si>
  <si>
    <t>89000000000231656000450000661569</t>
  </si>
  <si>
    <t>89000000008043745000530000751108</t>
  </si>
  <si>
    <t>89000000000239148000450000742724</t>
  </si>
  <si>
    <t>89000000000234759000450000734865</t>
  </si>
  <si>
    <t>89000000005098160000510000696833</t>
  </si>
  <si>
    <t>BCL_DQS5_3B</t>
  </si>
  <si>
    <t>E31335</t>
  </si>
  <si>
    <t>E31307</t>
  </si>
  <si>
    <t>E32398</t>
  </si>
  <si>
    <t>E31316</t>
  </si>
  <si>
    <t>00008043745</t>
  </si>
  <si>
    <t>000530000751108</t>
  </si>
  <si>
    <t>7402141517</t>
  </si>
  <si>
    <t>0009390260</t>
  </si>
  <si>
    <t>2021</t>
  </si>
  <si>
    <t>2023-10-27</t>
  </si>
  <si>
    <t>00000239370</t>
  </si>
  <si>
    <t>000450000470568</t>
  </si>
  <si>
    <t>5100394625</t>
  </si>
  <si>
    <t>0002643825</t>
  </si>
  <si>
    <t>2022</t>
  </si>
  <si>
    <t>2023-10-30</t>
  </si>
  <si>
    <t>00000230064</t>
  </si>
  <si>
    <t>000450000714496</t>
  </si>
  <si>
    <t>7401749522</t>
  </si>
  <si>
    <t>0009013195</t>
  </si>
  <si>
    <t>00000238586</t>
  </si>
  <si>
    <t>000450000742502</t>
  </si>
  <si>
    <t>7401918902</t>
  </si>
  <si>
    <t>0009192793</t>
  </si>
  <si>
    <t>2024-04-30</t>
  </si>
  <si>
    <t>00000239148</t>
  </si>
  <si>
    <t>000450000742724</t>
  </si>
  <si>
    <t>7401764697</t>
  </si>
  <si>
    <t>0009036829</t>
  </si>
  <si>
    <t>2024-07-30</t>
  </si>
  <si>
    <t>00005112970</t>
  </si>
  <si>
    <t>000510000769154</t>
  </si>
  <si>
    <t>7402358390</t>
  </si>
  <si>
    <t>0009582442</t>
  </si>
  <si>
    <t>00000241742</t>
  </si>
  <si>
    <t>000450000750000</t>
  </si>
  <si>
    <t>5100520142</t>
  </si>
  <si>
    <t>0006933505</t>
  </si>
  <si>
    <t>2024-02-06</t>
  </si>
  <si>
    <t>00005098160</t>
  </si>
  <si>
    <t>000510000696833</t>
  </si>
  <si>
    <t>7401314722</t>
  </si>
  <si>
    <t>0007184419</t>
  </si>
  <si>
    <t>2024-06-26</t>
  </si>
  <si>
    <t>00000231656</t>
  </si>
  <si>
    <t>000450000661569</t>
  </si>
  <si>
    <t>7401174377</t>
  </si>
  <si>
    <t>0007046229</t>
  </si>
  <si>
    <t>2023-09-29</t>
  </si>
  <si>
    <t>00000234759</t>
  </si>
  <si>
    <t>000450000734865</t>
  </si>
  <si>
    <t>7401525237</t>
  </si>
  <si>
    <t>0008487787</t>
  </si>
  <si>
    <t>00000226723</t>
  </si>
  <si>
    <t>000450000703434</t>
  </si>
  <si>
    <t>7401535071</t>
  </si>
  <si>
    <t>0008497769</t>
  </si>
  <si>
    <t>2018</t>
  </si>
  <si>
    <t>00000248863</t>
  </si>
  <si>
    <t>000420000471695</t>
  </si>
  <si>
    <t>7400490445</t>
  </si>
  <si>
    <t>0006377202</t>
  </si>
  <si>
    <t>89000000000248863000000000000001</t>
  </si>
  <si>
    <t>00000238731</t>
  </si>
  <si>
    <t>000450000742949</t>
  </si>
  <si>
    <t>7402073651</t>
  </si>
  <si>
    <t>0009332281</t>
  </si>
  <si>
    <t>2024-07-23</t>
  </si>
  <si>
    <t>34990.120000</t>
  </si>
  <si>
    <t>30235.770000</t>
  </si>
  <si>
    <t>43974.820000</t>
  </si>
  <si>
    <t>49990.000000</t>
  </si>
  <si>
    <t>46747.970000</t>
  </si>
  <si>
    <t>24614.350000</t>
  </si>
  <si>
    <t>11875.000000</t>
  </si>
  <si>
    <t>62500.000000</t>
  </si>
  <si>
    <t>29093.510000</t>
  </si>
  <si>
    <t>Transport - Other</t>
  </si>
  <si>
    <t>Leasing - Laso Transportes</t>
  </si>
  <si>
    <t>N/A - Manual</t>
  </si>
  <si>
    <t>24893.020000</t>
  </si>
  <si>
    <t>25020.330000</t>
  </si>
  <si>
    <t>17073.170000</t>
  </si>
  <si>
    <t>O único com cálculo de emissão</t>
  </si>
  <si>
    <t>89000000000249244000420000775049</t>
  </si>
  <si>
    <t>89000000000249242000420000775049</t>
  </si>
  <si>
    <t>89000000000249943000420000771887</t>
  </si>
  <si>
    <t>89000000000248311000420000321896</t>
  </si>
  <si>
    <t>89000000000249788000420000322610</t>
  </si>
  <si>
    <t>89000000000247818000420000323361</t>
  </si>
  <si>
    <t>89000000000247436000420000455041</t>
  </si>
  <si>
    <t>89000000000249240000420000703372</t>
  </si>
  <si>
    <t>89000000000218733000420000507884</t>
  </si>
  <si>
    <t>89000000000248309000420000322385</t>
  </si>
  <si>
    <t>00000249244</t>
  </si>
  <si>
    <t>000420000775049</t>
  </si>
  <si>
    <t>7402874534</t>
  </si>
  <si>
    <t>000000000000046</t>
  </si>
  <si>
    <t>89000000000249244000000000000046</t>
  </si>
  <si>
    <t>7103</t>
  </si>
  <si>
    <t>52</t>
  </si>
  <si>
    <t>000000000000042</t>
  </si>
  <si>
    <t>89000000000249244000000000000042</t>
  </si>
  <si>
    <t>000000000000038</t>
  </si>
  <si>
    <t>89000000000249244000000000000038</t>
  </si>
  <si>
    <t>000000000000035</t>
  </si>
  <si>
    <t>89000000000249244000000000000035</t>
  </si>
  <si>
    <t>000000000000033</t>
  </si>
  <si>
    <t>89000000000249244000000000000033</t>
  </si>
  <si>
    <t>000000000000018</t>
  </si>
  <si>
    <t>89000000000249244000000000000018</t>
  </si>
  <si>
    <t>000000000000009</t>
  </si>
  <si>
    <t>89000000000249244000000000000009</t>
  </si>
  <si>
    <t>89000000000249244000000000000002</t>
  </si>
  <si>
    <t>89000000000249244000000000000001</t>
  </si>
  <si>
    <t>000000000000043</t>
  </si>
  <si>
    <t>89000000000249244000000000000043</t>
  </si>
  <si>
    <t>000000000000025</t>
  </si>
  <si>
    <t>89000000000249244000000000000025</t>
  </si>
  <si>
    <t>000000000000014</t>
  </si>
  <si>
    <t>89000000000249244000000000000014</t>
  </si>
  <si>
    <t>89000000000249244000000000000005</t>
  </si>
  <si>
    <t>89000000000249244000000000000004</t>
  </si>
  <si>
    <t>000000000000037</t>
  </si>
  <si>
    <t>89000000000249244000000000000037</t>
  </si>
  <si>
    <t>000000000000034</t>
  </si>
  <si>
    <t>89000000000249244000000000000034</t>
  </si>
  <si>
    <t>000000000000024</t>
  </si>
  <si>
    <t>89000000000249244000000000000024</t>
  </si>
  <si>
    <t>000000000000019</t>
  </si>
  <si>
    <t>89000000000249244000000000000019</t>
  </si>
  <si>
    <t>000000000000011</t>
  </si>
  <si>
    <t>89000000000249244000000000000011</t>
  </si>
  <si>
    <t>89000000000249244000000000000008</t>
  </si>
  <si>
    <t>000000000000049</t>
  </si>
  <si>
    <t>89000000000249244000000000000049</t>
  </si>
  <si>
    <t>000000000000044</t>
  </si>
  <si>
    <t>89000000000249244000000000000044</t>
  </si>
  <si>
    <t>000000000000036</t>
  </si>
  <si>
    <t>89000000000249244000000000000036</t>
  </si>
  <si>
    <t>000000000000020</t>
  </si>
  <si>
    <t>89000000000249244000000000000020</t>
  </si>
  <si>
    <t>000000000000013</t>
  </si>
  <si>
    <t>89000000000249244000000000000013</t>
  </si>
  <si>
    <t>000000000000047</t>
  </si>
  <si>
    <t>89000000000249244000000000000047</t>
  </si>
  <si>
    <t>000000000000032</t>
  </si>
  <si>
    <t>89000000000249244000000000000032</t>
  </si>
  <si>
    <t>000000000000029</t>
  </si>
  <si>
    <t>89000000000249244000000000000029</t>
  </si>
  <si>
    <t>000000000000028</t>
  </si>
  <si>
    <t>89000000000249244000000000000028</t>
  </si>
  <si>
    <t>000000000000023</t>
  </si>
  <si>
    <t>89000000000249244000000000000023</t>
  </si>
  <si>
    <t>000000000000021</t>
  </si>
  <si>
    <t>89000000000249244000000000000021</t>
  </si>
  <si>
    <t>000000000000015</t>
  </si>
  <si>
    <t>89000000000249244000000000000015</t>
  </si>
  <si>
    <t>000000000000012</t>
  </si>
  <si>
    <t>89000000000249244000000000000012</t>
  </si>
  <si>
    <t>000000000000052</t>
  </si>
  <si>
    <t>89000000000249244000000000000052</t>
  </si>
  <si>
    <t>000000000000050</t>
  </si>
  <si>
    <t>89000000000249244000000000000050</t>
  </si>
  <si>
    <t>000000000000048</t>
  </si>
  <si>
    <t>89000000000249244000000000000048</t>
  </si>
  <si>
    <t>000000000000039</t>
  </si>
  <si>
    <t>89000000000249244000000000000039</t>
  </si>
  <si>
    <t>000000000000031</t>
  </si>
  <si>
    <t>89000000000249244000000000000031</t>
  </si>
  <si>
    <t>000000000000026</t>
  </si>
  <si>
    <t>89000000000249244000000000000026</t>
  </si>
  <si>
    <t>89000000000249244000000000000006</t>
  </si>
  <si>
    <t>000000000000030</t>
  </si>
  <si>
    <t>89000000000249244000000000000030</t>
  </si>
  <si>
    <t>000000000000027</t>
  </si>
  <si>
    <t>89000000000249244000000000000027</t>
  </si>
  <si>
    <t>000000000000017</t>
  </si>
  <si>
    <t>89000000000249244000000000000017</t>
  </si>
  <si>
    <t>000000000000016</t>
  </si>
  <si>
    <t>89000000000249244000000000000016</t>
  </si>
  <si>
    <t>89000000000249244000000000000003</t>
  </si>
  <si>
    <t>000000000000051</t>
  </si>
  <si>
    <t>89000000000249244000000000000051</t>
  </si>
  <si>
    <t>000000000000022</t>
  </si>
  <si>
    <t>89000000000249244000000000000022</t>
  </si>
  <si>
    <t>89000000000249244000000000000007</t>
  </si>
  <si>
    <t>000000000000045</t>
  </si>
  <si>
    <t>89000000000249244000000000000045</t>
  </si>
  <si>
    <t>000000000000041</t>
  </si>
  <si>
    <t>89000000000249244000000000000041</t>
  </si>
  <si>
    <t>000000000000040</t>
  </si>
  <si>
    <t>89000000000249244000000000000040</t>
  </si>
  <si>
    <t>000000000000010</t>
  </si>
  <si>
    <t>89000000000249244000000000000010</t>
  </si>
  <si>
    <t xml:space="preserve">Scope Bem </t>
  </si>
  <si>
    <t>Emissão de cada bem</t>
  </si>
  <si>
    <t>Emissão do contrato</t>
  </si>
  <si>
    <t>Tabela HF emissões financ</t>
  </si>
  <si>
    <t>IVECO</t>
  </si>
  <si>
    <t>AWCE121MBUS</t>
  </si>
  <si>
    <t>621</t>
  </si>
  <si>
    <t>AWCE 12,1 M BUS</t>
  </si>
  <si>
    <t xml:space="preserve">Tabela HF auxiliar emissoes bens móveis </t>
  </si>
  <si>
    <t>Abaixo tem mais 1 linha referente ao amount não coberto // são 52 pesados, info mais abaixo</t>
  </si>
  <si>
    <t>31000314594708096000000000000000</t>
  </si>
  <si>
    <t>31000316382987096000000000000000</t>
  </si>
  <si>
    <t>31000801119450096000000000000000</t>
  </si>
  <si>
    <t>31000312250238096000000000000000</t>
  </si>
  <si>
    <t>31000312439732096000000000000000</t>
  </si>
  <si>
    <t>31000320693718096000000000000000</t>
  </si>
  <si>
    <t>31000801119435096000000000000000</t>
  </si>
  <si>
    <t>31000801119476096000000000000000</t>
  </si>
  <si>
    <t>31000319477594096000000000000000</t>
  </si>
  <si>
    <t>31000320325741096000000000000000</t>
  </si>
  <si>
    <t>CRE_OUTRO</t>
  </si>
  <si>
    <t>MUG_IMO</t>
  </si>
  <si>
    <t>SUM_COLAT_COBRE</t>
  </si>
  <si>
    <t>RE_DQS4_2B</t>
  </si>
  <si>
    <t>0003</t>
  </si>
  <si>
    <t>14594708096</t>
  </si>
  <si>
    <t>000000000000000</t>
  </si>
  <si>
    <t>7401082302</t>
  </si>
  <si>
    <t>0006956678</t>
  </si>
  <si>
    <t>0032</t>
  </si>
  <si>
    <t>16575210000</t>
  </si>
  <si>
    <t>31003216575210000000000000000000</t>
  </si>
  <si>
    <t>16575230000</t>
  </si>
  <si>
    <t>31003216575230000000000000000000</t>
  </si>
  <si>
    <t>flg_economic_rev_scope2_prel</t>
  </si>
  <si>
    <t>flg_economic_rev_scope3_prel</t>
  </si>
  <si>
    <t>narutil</t>
  </si>
  <si>
    <t>clase_energetica</t>
  </si>
  <si>
    <t>cfinbem</t>
  </si>
  <si>
    <t>n_bens</t>
  </si>
  <si>
    <t>peso</t>
  </si>
  <si>
    <t>amount_bem</t>
  </si>
  <si>
    <t>af</t>
  </si>
  <si>
    <t>32_type_collateral</t>
  </si>
  <si>
    <t>tayd91c0_gelem30</t>
  </si>
  <si>
    <t>epc_rating_of</t>
  </si>
  <si>
    <t>data_lvl2_info_office</t>
  </si>
  <si>
    <t>scope1_emission_factor_office</t>
  </si>
  <si>
    <t>scope2_emission_factor_office</t>
  </si>
  <si>
    <t>region_nbuilding</t>
  </si>
  <si>
    <t>asset_class_nbuilding</t>
  </si>
  <si>
    <t>data_lvl2_info_nbuilding</t>
  </si>
  <si>
    <t>scope1_emission_factor_nbuilding</t>
  </si>
  <si>
    <t>scope2_emission_factor_nbuilding</t>
  </si>
  <si>
    <t>asset_class_totalfloor</t>
  </si>
  <si>
    <t>scope1_emission_factor_totalfool</t>
  </si>
  <si>
    <t>scope2_emission_factor_totalfloor</t>
  </si>
  <si>
    <t>data_lvl2_info_intensity_office</t>
  </si>
  <si>
    <t>scope1_emission_factor_intensity_office</t>
  </si>
  <si>
    <t>scope2_emission_factor_intensity_office</t>
  </si>
  <si>
    <t>region_eu_america_com</t>
  </si>
  <si>
    <t>asset_class_eu_america_com</t>
  </si>
  <si>
    <t>data_lvl2_info_eu_america_com</t>
  </si>
  <si>
    <t>scope1_emission_factor_eu_america_com</t>
  </si>
  <si>
    <t>scope2_emission_factor_eu_america_com</t>
  </si>
  <si>
    <t>asset_class_eu_america</t>
  </si>
  <si>
    <t>scope1_emission_factor_eu_america</t>
  </si>
  <si>
    <t>scope2_emission_factor_eu_america</t>
  </si>
  <si>
    <t>data_lvl2_info_dwelling_office</t>
  </si>
  <si>
    <t>scope1_emission_factor_dwelling_office</t>
  </si>
  <si>
    <t>scope2_emission_factor_dwelling_office</t>
  </si>
  <si>
    <t>data_lvl2_info_dwelling_residential</t>
  </si>
  <si>
    <t>scope1_emission_factor_dwelling_residential</t>
  </si>
  <si>
    <t>scope2_emission_factor_dwelling_residential</t>
  </si>
  <si>
    <t>region_eu_america3</t>
  </si>
  <si>
    <t>asset_class_eu_america_3</t>
  </si>
  <si>
    <t>data_lvl2_info_eu_america3</t>
  </si>
  <si>
    <t>scope1_emission_factor_eu_america3</t>
  </si>
  <si>
    <t>scope2_emission_factor_eu_america3</t>
  </si>
  <si>
    <t>asset_class_dwell_eu_am</t>
  </si>
  <si>
    <t>scope1_emission_factor_eu_am</t>
  </si>
  <si>
    <t>scope2_emission_factor_eu_am</t>
  </si>
  <si>
    <t>dqs_office</t>
  </si>
  <si>
    <t>dqs_others</t>
  </si>
  <si>
    <t>dqs_totalfloor</t>
  </si>
  <si>
    <t>dqs_emintensity</t>
  </si>
  <si>
    <t>dqs_eu_america_com</t>
  </si>
  <si>
    <t>dqs_eu_america</t>
  </si>
  <si>
    <t>dqs_dwelling_intens</t>
  </si>
  <si>
    <t>dqs_eu_america3</t>
  </si>
  <si>
    <t>dqs_dwelling_eu_am_3</t>
  </si>
  <si>
    <t>A1.1.1</t>
  </si>
  <si>
    <t>3130000.000000</t>
  </si>
  <si>
    <t>964939.500000</t>
  </si>
  <si>
    <t>8.063</t>
  </si>
  <si>
    <t>2025225.390000</t>
  </si>
  <si>
    <t>A</t>
  </si>
  <si>
    <t>COMERCIAL</t>
  </si>
  <si>
    <t>Commercial real estate</t>
  </si>
  <si>
    <t>Non-residential total</t>
  </si>
  <si>
    <t>Residential real estate</t>
  </si>
  <si>
    <t>Non-residential buildings</t>
  </si>
  <si>
    <t>Residential Total</t>
  </si>
  <si>
    <t>5.1664268546842695</t>
  </si>
  <si>
    <t>27.74396614193466</t>
  </si>
  <si>
    <t>5.1664269314933104</t>
  </si>
  <si>
    <t>27.74396655440298</t>
  </si>
  <si>
    <t>2033-01-23</t>
  </si>
  <si>
    <t>2832130</t>
  </si>
  <si>
    <t>08</t>
  </si>
  <si>
    <t>3804500</t>
  </si>
  <si>
    <t>bu_esg_work,local_pilar3_temp1_emi_tabaux5_dez24</t>
  </si>
  <si>
    <t>A1,1,1</t>
  </si>
  <si>
    <t>A1,11</t>
  </si>
  <si>
    <t>msaldo_final</t>
  </si>
  <si>
    <t>13_gross_carrying_amount</t>
  </si>
  <si>
    <t>accumulated_impairment</t>
  </si>
  <si>
    <t>produto</t>
  </si>
  <si>
    <t>ccli_grupo</t>
  </si>
  <si>
    <t>15_nace_esg</t>
  </si>
  <si>
    <t>16_percent_collateral</t>
  </si>
  <si>
    <t>mavaliaa</t>
  </si>
  <si>
    <t>5_collateral_zip_code</t>
  </si>
  <si>
    <t>4_collateral_nuts</t>
  </si>
  <si>
    <t>mavalbem</t>
  </si>
  <si>
    <t>19_type_of_asset</t>
  </si>
  <si>
    <t>flag_colateral</t>
  </si>
  <si>
    <t>n_union</t>
  </si>
  <si>
    <t>htimest</t>
  </si>
  <si>
    <t>ref_date</t>
  </si>
  <si>
    <t>gar_key</t>
  </si>
  <si>
    <t>outros emprestimos a prazo</t>
  </si>
  <si>
    <t>Y</t>
  </si>
  <si>
    <t>PT1D3</t>
  </si>
  <si>
    <t>OUTROS</t>
  </si>
  <si>
    <t>2140524</t>
  </si>
  <si>
    <t>2025-02-19 10:34:48</t>
  </si>
  <si>
    <t>003216575230000000000000000000</t>
  </si>
  <si>
    <t>2140526</t>
  </si>
  <si>
    <t>003216575210000000000000000000</t>
  </si>
  <si>
    <t>bu_esg_work.p3_reparticao_garantias_local_dez24</t>
  </si>
  <si>
    <t>Fator de atribuição bem 1</t>
  </si>
  <si>
    <t>Fator de atribuição bem 2</t>
  </si>
  <si>
    <t>Real Estate</t>
  </si>
  <si>
    <t>5.17</t>
  </si>
  <si>
    <t>27.74</t>
  </si>
  <si>
    <t>1230221.10</t>
  </si>
  <si>
    <t>CAAP3</t>
  </si>
  <si>
    <t>795002.20</t>
  </si>
  <si>
    <t>unidade_funcional_scp1_emss</t>
  </si>
  <si>
    <t>unidade_funcional_scp2_emss</t>
  </si>
  <si>
    <t>unidade_funcional_scp3_emss</t>
  </si>
  <si>
    <t>net_floor_area</t>
  </si>
  <si>
    <t>epc</t>
  </si>
  <si>
    <t>trim(quality_score)</t>
  </si>
  <si>
    <t>property_purpose_code</t>
  </si>
  <si>
    <t>valor_original</t>
  </si>
  <si>
    <t>tipo_finalidade_bem</t>
  </si>
  <si>
    <t>tipo_finalidade_bem_2</t>
  </si>
  <si>
    <t>nome_pais</t>
  </si>
  <si>
    <t>nome_estado</t>
  </si>
  <si>
    <t>tipo_bem</t>
  </si>
  <si>
    <t>nome_unidade_funcional</t>
  </si>
  <si>
    <t>unidade_funcional</t>
  </si>
  <si>
    <t>nome_fator_emissao</t>
  </si>
  <si>
    <t>unidade_fator_de_emissao</t>
  </si>
  <si>
    <t>score_qualidade</t>
  </si>
  <si>
    <t>classe_ativo</t>
  </si>
  <si>
    <t>tipo_fator_emissao</t>
  </si>
  <si>
    <t>ano_fator_emissao</t>
  </si>
  <si>
    <t>ckutulmo</t>
  </si>
  <si>
    <t>cod_visao</t>
  </si>
  <si>
    <t>epc_aux</t>
  </si>
  <si>
    <t>tipo_finalidade_bem_aux</t>
  </si>
  <si>
    <t>row_1</t>
  </si>
  <si>
    <t>chave_respons</t>
  </si>
  <si>
    <t>tCO2e/m2</t>
  </si>
  <si>
    <t>0_08</t>
  </si>
  <si>
    <t>NON-RESIDENTIAL BUILDINGS</t>
  </si>
  <si>
    <t>Floor area</t>
  </si>
  <si>
    <t>m²</t>
  </si>
  <si>
    <t>Emission Intensity per m²</t>
  </si>
  <si>
    <t>Emissions</t>
  </si>
  <si>
    <t>E859358</t>
  </si>
  <si>
    <t>2019</t>
  </si>
  <si>
    <t>2025-06-30</t>
  </si>
  <si>
    <t xml:space="preserve">Metodologia do número de bens </t>
  </si>
  <si>
    <t xml:space="preserve">Metodologia </t>
  </si>
  <si>
    <t>Sem EPC, mas com área útil conhecida // Ou seja, no input corporativo filtrado com epc a vazio e pela finalidade do imóvel</t>
  </si>
  <si>
    <t>Estrutual - Para os 2 bens, apesar de ter EPC (mas como não é real) foi assumido que não tinha epc. No entanto, dado que sabemos a área, então a metodologia adotada foi cruzar com input sem epc e finalidade para obter o scope do imóvel e posteriormente, multiplicado pela área.</t>
  </si>
  <si>
    <t>Template 1 - Diferente metodologia, cruzamento com o input na metodologia sem área e sem epc</t>
  </si>
  <si>
    <t>O n no templ é apenas 2, ou seja, a emissão é bastante inferior no temp1 vs estr (que tem uma área bastante elevada)</t>
  </si>
  <si>
    <t>stage 3</t>
  </si>
  <si>
    <t>E</t>
  </si>
  <si>
    <t>D</t>
  </si>
  <si>
    <t>B</t>
  </si>
  <si>
    <t>A+</t>
  </si>
  <si>
    <t>F</t>
  </si>
  <si>
    <t>RESIDENCIAL</t>
  </si>
  <si>
    <t>Residential total</t>
  </si>
  <si>
    <t>0008</t>
  </si>
  <si>
    <t>01119450096</t>
  </si>
  <si>
    <t>2100139297</t>
  </si>
  <si>
    <t>2027-03-01</t>
  </si>
  <si>
    <t>0832</t>
  </si>
  <si>
    <t>15180990000</t>
  </si>
  <si>
    <t>13840</t>
  </si>
  <si>
    <t>104</t>
  </si>
  <si>
    <t>15181210000</t>
  </si>
  <si>
    <t>1450</t>
  </si>
  <si>
    <t>15180960000</t>
  </si>
  <si>
    <t>2340</t>
  </si>
  <si>
    <t>15181070000</t>
  </si>
  <si>
    <t>4500</t>
  </si>
  <si>
    <t>15180890000</t>
  </si>
  <si>
    <t>450</t>
  </si>
  <si>
    <t>15181300000</t>
  </si>
  <si>
    <t>600</t>
  </si>
  <si>
    <t>15180870000</t>
  </si>
  <si>
    <t>780</t>
  </si>
  <si>
    <t>15181620000</t>
  </si>
  <si>
    <t>21850</t>
  </si>
  <si>
    <t>15181460000</t>
  </si>
  <si>
    <t>2130</t>
  </si>
  <si>
    <t>15180930000</t>
  </si>
  <si>
    <t>860</t>
  </si>
  <si>
    <t>15181580000</t>
  </si>
  <si>
    <t>3995</t>
  </si>
  <si>
    <t>15181570000</t>
  </si>
  <si>
    <t>3375</t>
  </si>
  <si>
    <t>15180860000</t>
  </si>
  <si>
    <t>15181050000</t>
  </si>
  <si>
    <t>1200</t>
  </si>
  <si>
    <t>15181690000</t>
  </si>
  <si>
    <t>1870</t>
  </si>
  <si>
    <t>15181110000</t>
  </si>
  <si>
    <t>3116</t>
  </si>
  <si>
    <t>15181330000</t>
  </si>
  <si>
    <t>4330</t>
  </si>
  <si>
    <t>15180940000</t>
  </si>
  <si>
    <t>540</t>
  </si>
  <si>
    <t>15181700000</t>
  </si>
  <si>
    <t>470</t>
  </si>
  <si>
    <t>15181760000</t>
  </si>
  <si>
    <t>2520</t>
  </si>
  <si>
    <t>15181380000</t>
  </si>
  <si>
    <t>80</t>
  </si>
  <si>
    <t>15181590000</t>
  </si>
  <si>
    <t>960</t>
  </si>
  <si>
    <t>15181130000</t>
  </si>
  <si>
    <t>1300</t>
  </si>
  <si>
    <t>15181820000</t>
  </si>
  <si>
    <t>1490</t>
  </si>
  <si>
    <t>15180880000</t>
  </si>
  <si>
    <t>1030</t>
  </si>
  <si>
    <t>15181540000</t>
  </si>
  <si>
    <t>5500</t>
  </si>
  <si>
    <t>15180840000</t>
  </si>
  <si>
    <t>1330</t>
  </si>
  <si>
    <t>15181850000</t>
  </si>
  <si>
    <t>5780</t>
  </si>
  <si>
    <t>15181370000</t>
  </si>
  <si>
    <t>1670</t>
  </si>
  <si>
    <t>15180850000</t>
  </si>
  <si>
    <t>1480</t>
  </si>
  <si>
    <t>15180950000</t>
  </si>
  <si>
    <t>15181670000</t>
  </si>
  <si>
    <t>260</t>
  </si>
  <si>
    <t>15181520000</t>
  </si>
  <si>
    <t>4940</t>
  </si>
  <si>
    <t>15181350000</t>
  </si>
  <si>
    <t>6600</t>
  </si>
  <si>
    <t>15181360000</t>
  </si>
  <si>
    <t>2650</t>
  </si>
  <si>
    <t>15180910000</t>
  </si>
  <si>
    <t>1260</t>
  </si>
  <si>
    <t>15181450000</t>
  </si>
  <si>
    <t>350</t>
  </si>
  <si>
    <t>15181090000</t>
  </si>
  <si>
    <t>20800</t>
  </si>
  <si>
    <t>15181080000</t>
  </si>
  <si>
    <t>6500</t>
  </si>
  <si>
    <t>15180800000</t>
  </si>
  <si>
    <t>1770</t>
  </si>
  <si>
    <t>15181770000</t>
  </si>
  <si>
    <t>2420</t>
  </si>
  <si>
    <t>15181750000</t>
  </si>
  <si>
    <t>8510</t>
  </si>
  <si>
    <t>15181610000</t>
  </si>
  <si>
    <t>15181710000</t>
  </si>
  <si>
    <t>330</t>
  </si>
  <si>
    <t>15181430000</t>
  </si>
  <si>
    <t>3610</t>
  </si>
  <si>
    <t>15181100000</t>
  </si>
  <si>
    <t>3150</t>
  </si>
  <si>
    <t>15181550000</t>
  </si>
  <si>
    <t>1615</t>
  </si>
  <si>
    <t>15181290000</t>
  </si>
  <si>
    <t>2600</t>
  </si>
  <si>
    <t>15181470000</t>
  </si>
  <si>
    <t>1920</t>
  </si>
  <si>
    <t>15181650000</t>
  </si>
  <si>
    <t>240</t>
  </si>
  <si>
    <t>15181790000</t>
  </si>
  <si>
    <t>1290</t>
  </si>
  <si>
    <t>15181340000</t>
  </si>
  <si>
    <t>1400</t>
  </si>
  <si>
    <t>15181480000</t>
  </si>
  <si>
    <t>140</t>
  </si>
  <si>
    <t>15181030000</t>
  </si>
  <si>
    <t>88740</t>
  </si>
  <si>
    <t>15181720000</t>
  </si>
  <si>
    <t>9900</t>
  </si>
  <si>
    <t>15181060000</t>
  </si>
  <si>
    <t>6076</t>
  </si>
  <si>
    <t>15181250000</t>
  </si>
  <si>
    <t>4350</t>
  </si>
  <si>
    <t>15181890000</t>
  </si>
  <si>
    <t>1630</t>
  </si>
  <si>
    <t>15181310000</t>
  </si>
  <si>
    <t>810</t>
  </si>
  <si>
    <t>15180830000</t>
  </si>
  <si>
    <t>500</t>
  </si>
  <si>
    <t>15181600000</t>
  </si>
  <si>
    <t>6750</t>
  </si>
  <si>
    <t>15181000000</t>
  </si>
  <si>
    <t>4050</t>
  </si>
  <si>
    <t>15181680000</t>
  </si>
  <si>
    <t>1230</t>
  </si>
  <si>
    <t>15181910000</t>
  </si>
  <si>
    <t>150</t>
  </si>
  <si>
    <t>15181120000</t>
  </si>
  <si>
    <t>1495</t>
  </si>
  <si>
    <t>15180820000</t>
  </si>
  <si>
    <t>15181900000</t>
  </si>
  <si>
    <t>670</t>
  </si>
  <si>
    <t>15180920000</t>
  </si>
  <si>
    <t>1080</t>
  </si>
  <si>
    <t>15181280000</t>
  </si>
  <si>
    <t>15181530000</t>
  </si>
  <si>
    <t>15181190000</t>
  </si>
  <si>
    <t>3960</t>
  </si>
  <si>
    <t>15181880000</t>
  </si>
  <si>
    <t>15180790000</t>
  </si>
  <si>
    <t>9990</t>
  </si>
  <si>
    <t>15181560000</t>
  </si>
  <si>
    <t>320</t>
  </si>
  <si>
    <t>15181660000</t>
  </si>
  <si>
    <t>530</t>
  </si>
  <si>
    <t>15181830000</t>
  </si>
  <si>
    <t>1150</t>
  </si>
  <si>
    <t>15180970000</t>
  </si>
  <si>
    <t>930</t>
  </si>
  <si>
    <t>15181410000</t>
  </si>
  <si>
    <t>1790</t>
  </si>
  <si>
    <t>15181490000</t>
  </si>
  <si>
    <t>1410</t>
  </si>
  <si>
    <t>15181010000</t>
  </si>
  <si>
    <t>3560</t>
  </si>
  <si>
    <t>15181420000</t>
  </si>
  <si>
    <t>5275</t>
  </si>
  <si>
    <t>15181020000</t>
  </si>
  <si>
    <t>2040</t>
  </si>
  <si>
    <t>15181510000</t>
  </si>
  <si>
    <t>2540</t>
  </si>
  <si>
    <t>15180900000</t>
  </si>
  <si>
    <t>1050</t>
  </si>
  <si>
    <t>15181260000</t>
  </si>
  <si>
    <t>3330</t>
  </si>
  <si>
    <t>15181780000</t>
  </si>
  <si>
    <t>3296</t>
  </si>
  <si>
    <t>15181040000</t>
  </si>
  <si>
    <t>1890</t>
  </si>
  <si>
    <t>15181320000</t>
  </si>
  <si>
    <t>830</t>
  </si>
  <si>
    <t>15181740000</t>
  </si>
  <si>
    <t>01</t>
  </si>
  <si>
    <t>15181160000</t>
  </si>
  <si>
    <t>1650</t>
  </si>
  <si>
    <t>15181870000</t>
  </si>
  <si>
    <t>4800</t>
  </si>
  <si>
    <t>15180810000</t>
  </si>
  <si>
    <t>1140</t>
  </si>
  <si>
    <t>15181400000</t>
  </si>
  <si>
    <t>1320</t>
  </si>
  <si>
    <t>15181270000</t>
  </si>
  <si>
    <t>3840</t>
  </si>
  <si>
    <t>15181840000</t>
  </si>
  <si>
    <t>2390</t>
  </si>
  <si>
    <t>15181390000</t>
  </si>
  <si>
    <t>1800</t>
  </si>
  <si>
    <t>15181860000</t>
  </si>
  <si>
    <t>2500</t>
  </si>
  <si>
    <t>15181500000</t>
  </si>
  <si>
    <t>8600</t>
  </si>
  <si>
    <t>15181440000</t>
  </si>
  <si>
    <t>15181730000</t>
  </si>
  <si>
    <t>3090</t>
  </si>
  <si>
    <t>15181810000</t>
  </si>
  <si>
    <t>15181630000</t>
  </si>
  <si>
    <t>1000</t>
  </si>
  <si>
    <t>15180980000</t>
  </si>
  <si>
    <t>6000</t>
  </si>
  <si>
    <t>15181640000</t>
  </si>
  <si>
    <t>410</t>
  </si>
  <si>
    <t>B8,1,2</t>
  </si>
  <si>
    <t>B8,12</t>
  </si>
  <si>
    <t xml:space="preserve">
SELECT METO_DEZ24,METO_JUN25
    ,SUM(F2.EMI_DEZ_SCP1) AS EMI_SCP1_DEZ24
    ,SUM(F1.SCP1) AS EMI_SCP1_JUN25
    ,SUM(F1.SCP1)-SUM(F2.EMI_DEZ_SCP1) AS DIFF_SCP1
    ,SUM(AMOUNT_DEZ24) AS AMOUNT_DEZ24
    ,SUM(AMOUNT_JUN25) AS AMOUNT_JUN25
    ,COUNT(*) AS NUM_REG
FROM 
    (
    SELECT F1.*,F2.AMOUNT_JUN25
    FROM 
        (
        SELECT CHAVE
            ,CASE
                WHEN FLAG_AUX_METODO_CTO=1 AND FLAG_BEM='MUG_MOV' THEN 'EMI BEM MOV'
                WHEN FLAG_AUX_METODO_CTO=1 AND FLAG_BEM='MUG_IMO' THEN 'EMI BEM IMO'
                WHEN FLAG_AUX_METODO_CTO=0 THEN 'EMI CLIENTE'
            END AS METO_JUN25
            ,SUM(SCP1_EMSS_FNCD) AS SCP1
            ,SUM(SCP2_EMSS_FNCD) AS SCP2
            ,SUM(SCP3_EMSS_FNCD) AS SCP3
        FROM BU_CAPTOOLS_WORK.EMI_FINAN
        WHERE FLAG_PERIMETRO LIKE '%ST SGPS Cons%'
            AND SCP1_EMSS_FNCD IS NOT NULL 
            AND ORIGEM_SCP1_EMSS&lt;&gt;'Nao Aplicavel'
        GROUP BY 1,2
        )F1
    LEFT JOIN 
        (
        SELECT CHAVE, SUM(SUM_MSALDO_FINAL_CT) AS AMOUNT_JUN25
        FROM 
            (
            SELECT DISTINCT CHAVE,FLAG_PERIMETRO,SUM_MSALDO_FINAL_CT
            FROM BU_CAPTOOLS_WORK.EMI_FINAN
            WHERE FLAG_PERIMETRO LIKE '%ST SGPS Cons%'
            )AUX GROUP BY 1 
        )F2 ON F1.CHAVE=F2.CHAVE
    )F1
INNER JOIN 
    (
    SELECT CONCAT(CEMPRESA_CT,CBALCAO_CT,CNUMECTA_CT,ZDEPOSIT_CT) AS CHAVE_CT
        ,CASE 
            WHEN TRIM(CALCULATION_APPROACH)='CAAP4' THEN 'EMI MVL'
            WHEN TRIM(CALCULATION_APPROACH)='CAAP3' THEN 'EMI RE'
            WHEN TRIM(CALCULATION_APPROACH) IN ('CAAP1','CAAP2') THEN 'EMI CLIENTE'
        END AS METO_DEZ24
        ,ROUND(SUM(COALESCE(ASCI_AUX_CTR,0)+COALESCE(ASCI_AUX_2,0)),2) AS AMOUNT_DEZ24
        ,SUM(NVL(GESI_AUX_CTR,0) + NVL(GESI_AUX_2,0)) AS EMI_DEZ_SCP1
        ,SUM(NVL(GESII_AUX_CTR,0) + NVL(GESII_AUX_2,0)) AS EMI_DEZ_SCP2
        ,SUM(NVL(GESIII_AUX_CTR,0)) AS EMI_DEZ_SCP3
    FROM BU_ESG_WORK.LOCAL_PILAR3_TEMP1_EMI_TABAUX18_DEZ24
    WHERE VB_IMP='valor bruto'
    GROUP BY 1,2
    )F2 ON F1.CHAVE=F2.CHAVE_CT
-- ORDER BY ABS(NVL(SCP1,0)-NVL(EMI_DEZ_SCP1,0)) DESC
GROUP BY 1,2</t>
  </si>
  <si>
    <t># de Contratos</t>
  </si>
  <si>
    <t>Observação</t>
  </si>
  <si>
    <r>
      <t xml:space="preserve">Operações na </t>
    </r>
    <r>
      <rPr>
        <i/>
        <sz val="11"/>
        <color theme="1"/>
        <rFont val="Calibri"/>
        <family val="2"/>
        <scheme val="minor"/>
      </rPr>
      <t>sheet ID1</t>
    </r>
    <r>
      <rPr>
        <sz val="11"/>
        <color theme="1"/>
        <rFont val="Calibri"/>
        <family val="2"/>
        <scheme val="minor"/>
      </rPr>
      <t xml:space="preserve"> (e exemplos nas </t>
    </r>
    <r>
      <rPr>
        <i/>
        <sz val="11"/>
        <color theme="1"/>
        <rFont val="Calibri"/>
        <family val="2"/>
        <scheme val="minor"/>
      </rPr>
      <t>sheets ID1_Exemplo X)</t>
    </r>
  </si>
  <si>
    <r>
      <t xml:space="preserve">Exemplos na </t>
    </r>
    <r>
      <rPr>
        <i/>
        <sz val="11"/>
        <color theme="1"/>
        <rFont val="Calibri"/>
        <family val="2"/>
        <scheme val="minor"/>
      </rPr>
      <t xml:space="preserve">sheet ID3 </t>
    </r>
    <r>
      <rPr>
        <sz val="11"/>
        <color theme="1"/>
        <rFont val="Calibri"/>
        <family val="2"/>
        <scheme val="minor"/>
      </rPr>
      <t>(top10 com maior diff</t>
    </r>
    <r>
      <rPr>
        <i/>
        <sz val="11"/>
        <color theme="1"/>
        <rFont val="Calibri"/>
        <family val="2"/>
        <scheme val="minor"/>
      </rPr>
      <t>)</t>
    </r>
  </si>
  <si>
    <r>
      <t xml:space="preserve">Operações na </t>
    </r>
    <r>
      <rPr>
        <i/>
        <sz val="11"/>
        <color theme="1"/>
        <rFont val="Calibri"/>
        <family val="2"/>
        <scheme val="minor"/>
      </rPr>
      <t>sheet ID4</t>
    </r>
    <r>
      <rPr>
        <sz val="11"/>
        <color theme="1"/>
        <rFont val="Calibri"/>
        <family val="2"/>
        <scheme val="minor"/>
      </rPr>
      <t xml:space="preserve"> (e exemplos nas </t>
    </r>
    <r>
      <rPr>
        <i/>
        <sz val="11"/>
        <color theme="1"/>
        <rFont val="Calibri"/>
        <family val="2"/>
        <scheme val="minor"/>
      </rPr>
      <t>sheets ID4_Exemplo X)</t>
    </r>
  </si>
  <si>
    <r>
      <t xml:space="preserve">Operações na </t>
    </r>
    <r>
      <rPr>
        <i/>
        <sz val="11"/>
        <color theme="1"/>
        <rFont val="Calibri"/>
        <family val="2"/>
        <scheme val="minor"/>
      </rPr>
      <t>sheet ID2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</si>
</sst>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9"/>
      <name val="Calibri"/>
      <family val="2"/>
      <scheme val="minor"/>
    </font>
    <font>
      <b/>
      <i/>
      <sz val="11"/>
      <color theme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/>
    <xf numFmtId="0" fontId="0" fillId="0" borderId="0" xfId="0" quotePrefix="1"/>
    <xf numFmtId="0" fontId="0" fillId="3" borderId="0" xfId="0" applyFill="1"/>
    <xf numFmtId="0" fontId="0" fillId="0" borderId="0" xfId="0" applyFill="1"/>
    <xf numFmtId="0" fontId="0" fillId="6" borderId="0" xfId="0" applyFill="1"/>
    <xf numFmtId="0" fontId="1" fillId="5" borderId="0" xfId="0" applyFont="1" applyFill="1"/>
    <xf numFmtId="0" fontId="1" fillId="6" borderId="0" xfId="0" applyFont="1" applyFill="1"/>
    <xf numFmtId="0" fontId="1" fillId="12" borderId="0" xfId="0" applyFont="1" applyFill="1"/>
    <xf numFmtId="0" fontId="0" fillId="12" borderId="0" xfId="0" applyFill="1"/>
    <xf numFmtId="0" fontId="0" fillId="9" borderId="0" xfId="0" applyFill="1"/>
    <xf numFmtId="0" fontId="0" fillId="11" borderId="0" xfId="0" applyFill="1"/>
    <xf numFmtId="47" fontId="0" fillId="0" borderId="0" xfId="0" applyNumberFormat="1"/>
    <xf numFmtId="49" fontId="0" fillId="0" borderId="0" xfId="0" applyNumberFormat="1"/>
    <xf numFmtId="0" fontId="4" fillId="0" borderId="0" xfId="0" applyFont="1"/>
    <xf numFmtId="49" fontId="0" fillId="3" borderId="0" xfId="0" applyNumberFormat="1" applyFill="1"/>
    <xf numFmtId="49" fontId="4" fillId="0" borderId="0" xfId="0" applyNumberFormat="1" applyFont="1"/>
    <xf numFmtId="49" fontId="0" fillId="0" borderId="0" xfId="0" applyNumberFormat="1" applyFill="1"/>
    <xf numFmtId="49" fontId="0" fillId="8" borderId="0" xfId="0" applyNumberFormat="1" applyFill="1"/>
    <xf numFmtId="49" fontId="0" fillId="10" borderId="0" xfId="0" applyNumberFormat="1" applyFill="1"/>
    <xf numFmtId="0" fontId="0" fillId="14" borderId="0" xfId="0" applyFill="1"/>
    <xf numFmtId="0" fontId="0" fillId="0" borderId="0" xfId="0" applyNumberFormat="1"/>
    <xf numFmtId="0" fontId="3" fillId="11" borderId="0" xfId="0" applyFont="1" applyFill="1"/>
    <xf numFmtId="0" fontId="0" fillId="0" borderId="0" xfId="0" quotePrefix="1" applyAlignment="1"/>
    <xf numFmtId="0" fontId="3" fillId="0" borderId="0" xfId="0" applyFont="1" applyAlignment="1"/>
    <xf numFmtId="0" fontId="3" fillId="0" borderId="0" xfId="0" applyFont="1" applyFill="1"/>
    <xf numFmtId="4" fontId="2" fillId="0" borderId="0" xfId="0" applyNumberFormat="1" applyFont="1"/>
    <xf numFmtId="49" fontId="0" fillId="2" borderId="0" xfId="0" applyNumberFormat="1" applyFill="1"/>
    <xf numFmtId="49" fontId="0" fillId="13" borderId="0" xfId="0" applyNumberFormat="1" applyFill="1"/>
    <xf numFmtId="49" fontId="5" fillId="0" borderId="0" xfId="0" applyNumberFormat="1" applyFont="1"/>
    <xf numFmtId="0" fontId="4" fillId="13" borderId="0" xfId="0" applyFont="1" applyFill="1"/>
    <xf numFmtId="49" fontId="0" fillId="4" borderId="0" xfId="0" applyNumberFormat="1" applyFill="1"/>
    <xf numFmtId="49" fontId="1" fillId="12" borderId="0" xfId="0" applyNumberFormat="1" applyFont="1" applyFill="1"/>
    <xf numFmtId="49" fontId="1" fillId="7" borderId="0" xfId="0" applyNumberFormat="1" applyFont="1" applyFill="1"/>
    <xf numFmtId="47" fontId="0" fillId="3" borderId="0" xfId="0" applyNumberFormat="1" applyFill="1"/>
    <xf numFmtId="49" fontId="6" fillId="8" borderId="0" xfId="0" applyNumberFormat="1" applyFont="1" applyFill="1"/>
    <xf numFmtId="49" fontId="7" fillId="0" borderId="0" xfId="0" applyNumberFormat="1" applyFont="1"/>
    <xf numFmtId="49" fontId="0" fillId="0" borderId="0" xfId="0" applyNumberFormat="1" applyFont="1"/>
    <xf numFmtId="47" fontId="0" fillId="0" borderId="0" xfId="0" applyNumberFormat="1" applyFont="1"/>
    <xf numFmtId="4" fontId="0" fillId="0" borderId="0" xfId="0" applyNumberFormat="1" applyFont="1"/>
    <xf numFmtId="49" fontId="8" fillId="0" borderId="0" xfId="0" applyNumberFormat="1" applyFont="1"/>
    <xf numFmtId="4" fontId="4" fillId="0" borderId="0" xfId="0" applyNumberFormat="1" applyFont="1"/>
    <xf numFmtId="0" fontId="1" fillId="2" borderId="1" xfId="0" applyFont="1" applyFill="1" applyBorder="1"/>
    <xf numFmtId="0" fontId="0" fillId="0" borderId="2" xfId="0" applyBorder="1"/>
    <xf numFmtId="4" fontId="0" fillId="0" borderId="2" xfId="0" applyNumberFormat="1" applyBorder="1"/>
    <xf numFmtId="3" fontId="0" fillId="0" borderId="2" xfId="0" applyNumberFormat="1" applyBorder="1"/>
    <xf numFmtId="0" fontId="0" fillId="0" borderId="3" xfId="0" applyBorder="1"/>
    <xf numFmtId="4" fontId="0" fillId="0" borderId="3" xfId="0" applyNumberFormat="1" applyBorder="1"/>
    <xf numFmtId="3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showGridLines="0" tabSelected="1" workbookViewId="0">
      <selection activeCell="G4" sqref="G4"/>
    </sheetView>
  </sheetViews>
  <sheetFormatPr defaultColWidth="0" defaultRowHeight="15" zeroHeight="1" x14ac:dyDescent="0.25"/>
  <cols>
    <col min="1" max="1" width="3.7109375" customWidth="1"/>
    <col min="2" max="2" width="12.5703125" bestFit="1" customWidth="1"/>
    <col min="3" max="3" width="13.5703125" bestFit="1" customWidth="1"/>
    <col min="4" max="4" width="16.140625" customWidth="1"/>
    <col min="5" max="5" width="16.42578125" bestFit="1" customWidth="1"/>
    <col min="6" max="6" width="12.42578125" customWidth="1"/>
    <col min="7" max="7" width="15.85546875" customWidth="1"/>
    <col min="8" max="8" width="16.140625" customWidth="1"/>
    <col min="9" max="9" width="13.85546875" customWidth="1"/>
    <col min="10" max="10" width="57.42578125" customWidth="1"/>
    <col min="11" max="11" width="3.7109375" customWidth="1"/>
    <col min="12" max="16384" width="9.140625" hidden="1"/>
  </cols>
  <sheetData>
    <row r="1" spans="2:10" x14ac:dyDescent="0.25"/>
    <row r="2" spans="2:10" x14ac:dyDescent="0.25">
      <c r="B2" s="4" t="s">
        <v>17</v>
      </c>
      <c r="C2" s="5" t="s">
        <v>3618</v>
      </c>
      <c r="D2" s="6" t="s">
        <v>16</v>
      </c>
    </row>
    <row r="3" spans="2:10" x14ac:dyDescent="0.25">
      <c r="G3" s="6" t="s">
        <v>16</v>
      </c>
    </row>
    <row r="4" spans="2:10" x14ac:dyDescent="0.25">
      <c r="B4" s="46" t="s">
        <v>9</v>
      </c>
      <c r="C4" s="46" t="s">
        <v>10</v>
      </c>
      <c r="D4" s="46" t="s">
        <v>11</v>
      </c>
      <c r="E4" s="46" t="s">
        <v>12</v>
      </c>
      <c r="F4" s="46" t="s">
        <v>13</v>
      </c>
      <c r="G4" s="46" t="s">
        <v>14</v>
      </c>
      <c r="H4" s="46" t="s">
        <v>15</v>
      </c>
      <c r="I4" s="46" t="s">
        <v>3619</v>
      </c>
      <c r="J4" s="46" t="s">
        <v>3620</v>
      </c>
    </row>
    <row r="5" spans="2:10" x14ac:dyDescent="0.25">
      <c r="B5" s="47" t="s">
        <v>4</v>
      </c>
      <c r="C5" s="47" t="s">
        <v>5</v>
      </c>
      <c r="D5" s="48">
        <v>36945.495693999997</v>
      </c>
      <c r="E5" s="48">
        <v>53024774.975146003</v>
      </c>
      <c r="F5" s="48">
        <v>52987829.479451902</v>
      </c>
      <c r="G5" s="48">
        <v>215411004.66999999</v>
      </c>
      <c r="H5" s="48">
        <v>-184525894.75999999</v>
      </c>
      <c r="I5" s="49">
        <v>8166</v>
      </c>
      <c r="J5" s="49" t="s">
        <v>3622</v>
      </c>
    </row>
    <row r="6" spans="2:10" x14ac:dyDescent="0.25">
      <c r="B6" s="47" t="s">
        <v>4</v>
      </c>
      <c r="C6" s="47" t="s">
        <v>4</v>
      </c>
      <c r="D6" s="48">
        <v>676886.84058900096</v>
      </c>
      <c r="E6" s="48">
        <v>536477.02364300005</v>
      </c>
      <c r="F6" s="48">
        <v>-140409.816946001</v>
      </c>
      <c r="G6" s="48">
        <v>4980813148.1000004</v>
      </c>
      <c r="H6" s="48">
        <v>-4477427517.9674702</v>
      </c>
      <c r="I6" s="49">
        <v>115893</v>
      </c>
      <c r="J6" s="49"/>
    </row>
    <row r="7" spans="2:10" x14ac:dyDescent="0.25">
      <c r="B7" s="47" t="s">
        <v>6</v>
      </c>
      <c r="C7" s="47" t="s">
        <v>4</v>
      </c>
      <c r="D7" s="48">
        <v>2296.7599999999902</v>
      </c>
      <c r="E7" s="48">
        <v>539.49057900000003</v>
      </c>
      <c r="F7" s="48">
        <v>-1757.26942099999</v>
      </c>
      <c r="G7" s="48">
        <v>13307084.5</v>
      </c>
      <c r="H7" s="48">
        <v>-12688165.48</v>
      </c>
      <c r="I7" s="49">
        <v>41</v>
      </c>
      <c r="J7" s="49"/>
    </row>
    <row r="8" spans="2:10" x14ac:dyDescent="0.25">
      <c r="B8" s="47" t="s">
        <v>7</v>
      </c>
      <c r="C8" s="47" t="s">
        <v>5</v>
      </c>
      <c r="D8" s="48">
        <v>565062.11835799995</v>
      </c>
      <c r="E8" s="48">
        <v>1301708.031279</v>
      </c>
      <c r="F8" s="48">
        <v>736645.91292099899</v>
      </c>
      <c r="G8" s="48">
        <v>24772276.82</v>
      </c>
      <c r="H8" s="48">
        <v>-21340892.109999999</v>
      </c>
      <c r="I8" s="49">
        <v>787</v>
      </c>
      <c r="J8" s="49" t="s">
        <v>3621</v>
      </c>
    </row>
    <row r="9" spans="2:10" x14ac:dyDescent="0.25">
      <c r="B9" s="47" t="s">
        <v>4</v>
      </c>
      <c r="C9" s="47" t="s">
        <v>8</v>
      </c>
      <c r="D9" s="48">
        <v>1516.5143149999999</v>
      </c>
      <c r="E9" s="48">
        <v>20951.773298</v>
      </c>
      <c r="F9" s="48">
        <v>19435.258982999901</v>
      </c>
      <c r="G9" s="48">
        <v>317145011.76999998</v>
      </c>
      <c r="H9" s="48">
        <v>-324876314.14999998</v>
      </c>
      <c r="I9" s="49">
        <v>105</v>
      </c>
      <c r="J9" s="49"/>
    </row>
    <row r="10" spans="2:10" x14ac:dyDescent="0.25">
      <c r="B10" s="47" t="s">
        <v>6</v>
      </c>
      <c r="C10" s="47" t="s">
        <v>8</v>
      </c>
      <c r="D10" s="48">
        <v>59245.21</v>
      </c>
      <c r="E10" s="48">
        <v>161066.773828</v>
      </c>
      <c r="F10" s="48">
        <v>101821.56382799899</v>
      </c>
      <c r="G10" s="48">
        <v>1880197244.2</v>
      </c>
      <c r="H10" s="48">
        <v>-1862591454.4897699</v>
      </c>
      <c r="I10" s="49">
        <v>2342</v>
      </c>
      <c r="J10" s="49" t="s">
        <v>3623</v>
      </c>
    </row>
    <row r="11" spans="2:10" x14ac:dyDescent="0.25">
      <c r="B11" s="50" t="s">
        <v>7</v>
      </c>
      <c r="C11" s="50" t="s">
        <v>4</v>
      </c>
      <c r="D11" s="51">
        <v>811.64181900000005</v>
      </c>
      <c r="E11" s="51">
        <v>1.790333</v>
      </c>
      <c r="F11" s="51">
        <v>-809.85148600000002</v>
      </c>
      <c r="G11" s="51">
        <v>378467.82</v>
      </c>
      <c r="H11" s="51">
        <v>-320959.21000000002</v>
      </c>
      <c r="I11" s="52">
        <v>13</v>
      </c>
      <c r="J11" s="52" t="s">
        <v>3624</v>
      </c>
    </row>
    <row r="12" spans="2:10" x14ac:dyDescent="0.25">
      <c r="D12" s="45">
        <f>+SUM(D5:D11)</f>
        <v>1342764.5807750011</v>
      </c>
      <c r="E12" s="45">
        <f>+SUM(E5:E11)</f>
        <v>55045519.85810601</v>
      </c>
      <c r="F12" s="18"/>
      <c r="G12" s="45">
        <f>+SUM(G5:G11)</f>
        <v>7432024237.8800001</v>
      </c>
      <c r="H12" s="45">
        <f>+SUM(H5:H11)</f>
        <v>-6883771198.1672392</v>
      </c>
      <c r="I12" s="45">
        <f>+SUM(I5:I11)</f>
        <v>127347</v>
      </c>
      <c r="J12" s="45"/>
    </row>
    <row r="13" spans="2:10" x14ac:dyDescent="0.25"/>
    <row r="14" spans="2:10" hidden="1" x14ac:dyDescent="0.25"/>
    <row r="15" spans="2:10" hidden="1" x14ac:dyDescent="0.25"/>
    <row r="16" spans="2:10" hidden="1" x14ac:dyDescent="0.25"/>
    <row r="17" hidden="1" x14ac:dyDescent="0.25"/>
    <row r="18" hidden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797"/>
  <sheetViews>
    <sheetView showGridLines="0" workbookViewId="0">
      <selection activeCell="B9" sqref="B9"/>
    </sheetView>
  </sheetViews>
  <sheetFormatPr defaultColWidth="11.42578125" defaultRowHeight="15" x14ac:dyDescent="0.25"/>
  <cols>
    <col min="1" max="1" width="8.42578125" customWidth="1"/>
    <col min="2" max="2" width="13.85546875" bestFit="1" customWidth="1"/>
    <col min="3" max="3" width="12" customWidth="1"/>
    <col min="4" max="5" width="7.140625" customWidth="1"/>
    <col min="6" max="6" width="16.140625" bestFit="1" customWidth="1"/>
    <col min="7" max="7" width="11" customWidth="1"/>
    <col min="8" max="8" width="14.140625" bestFit="1" customWidth="1"/>
    <col min="9" max="9" width="16.42578125" bestFit="1" customWidth="1"/>
    <col min="10" max="12" width="15.85546875" bestFit="1" customWidth="1"/>
    <col min="13" max="13" width="12.42578125" bestFit="1" customWidth="1"/>
    <col min="14" max="14" width="17.42578125" bestFit="1" customWidth="1"/>
    <col min="15" max="15" width="15.42578125" bestFit="1" customWidth="1"/>
    <col min="16" max="16" width="17.42578125" bestFit="1" customWidth="1"/>
    <col min="17" max="17" width="16.42578125" bestFit="1" customWidth="1"/>
    <col min="18" max="18" width="14.42578125" bestFit="1" customWidth="1"/>
    <col min="19" max="19" width="12.42578125" bestFit="1" customWidth="1"/>
    <col min="20" max="20" width="14.42578125" bestFit="1" customWidth="1"/>
    <col min="21" max="21" width="13.42578125" bestFit="1" customWidth="1"/>
    <col min="22" max="22" width="11.85546875" bestFit="1" customWidth="1"/>
    <col min="23" max="24" width="11.7109375" bestFit="1" customWidth="1"/>
    <col min="25" max="25" width="20.5703125" bestFit="1" customWidth="1"/>
    <col min="26" max="26" width="30.7109375" bestFit="1" customWidth="1"/>
    <col min="27" max="27" width="15" bestFit="1" customWidth="1"/>
    <col min="28" max="28" width="23.28515625" bestFit="1" customWidth="1"/>
    <col min="29" max="29" width="12.85546875" bestFit="1" customWidth="1"/>
    <col min="30" max="30" width="11.28515625" customWidth="1"/>
    <col min="31" max="31" width="18.42578125" bestFit="1" customWidth="1"/>
    <col min="32" max="32" width="19.7109375" bestFit="1" customWidth="1"/>
    <col min="33" max="33" width="17.85546875" bestFit="1" customWidth="1"/>
    <col min="34" max="34" width="19" bestFit="1" customWidth="1"/>
    <col min="35" max="35" width="6.28515625" customWidth="1"/>
    <col min="36" max="36" width="10.85546875" customWidth="1"/>
    <col min="37" max="37" width="11.5703125" bestFit="1" customWidth="1"/>
    <col min="38" max="38" width="14" bestFit="1" customWidth="1"/>
    <col min="39" max="39" width="21" bestFit="1" customWidth="1"/>
    <col min="40" max="40" width="18.85546875" bestFit="1" customWidth="1"/>
  </cols>
  <sheetData>
    <row r="2" spans="1:41" x14ac:dyDescent="0.25">
      <c r="A2" s="13"/>
      <c r="B2" t="s">
        <v>2542</v>
      </c>
    </row>
    <row r="3" spans="1:41" x14ac:dyDescent="0.25">
      <c r="A3" s="14"/>
      <c r="B3" t="s">
        <v>2543</v>
      </c>
    </row>
    <row r="4" spans="1:41" x14ac:dyDescent="0.25">
      <c r="A4" s="9"/>
      <c r="B4" t="s">
        <v>2544</v>
      </c>
    </row>
    <row r="5" spans="1:41" x14ac:dyDescent="0.25">
      <c r="A5" s="7"/>
      <c r="B5" t="s">
        <v>3001</v>
      </c>
    </row>
    <row r="6" spans="1:41" x14ac:dyDescent="0.25">
      <c r="A6" s="28" t="s">
        <v>2874</v>
      </c>
      <c r="B6" s="5" t="s">
        <v>2873</v>
      </c>
      <c r="C6" s="27" t="s">
        <v>16</v>
      </c>
      <c r="D6" s="5"/>
      <c r="E6" s="5"/>
      <c r="F6" s="5"/>
    </row>
    <row r="7" spans="1:41" x14ac:dyDescent="0.25">
      <c r="A7" s="5"/>
      <c r="B7" s="5"/>
      <c r="C7" s="27"/>
      <c r="D7" s="5"/>
      <c r="E7" s="5"/>
      <c r="F7" s="5"/>
    </row>
    <row r="8" spans="1:41" x14ac:dyDescent="0.25">
      <c r="A8" s="12" t="s">
        <v>18</v>
      </c>
      <c r="B8" s="12" t="s">
        <v>1</v>
      </c>
      <c r="C8" s="12" t="s">
        <v>19</v>
      </c>
      <c r="D8" s="12" t="s">
        <v>20</v>
      </c>
      <c r="E8" s="12" t="s">
        <v>21</v>
      </c>
      <c r="F8" s="12" t="s">
        <v>3</v>
      </c>
      <c r="G8" s="10" t="s">
        <v>22</v>
      </c>
      <c r="H8" s="10" t="s">
        <v>0</v>
      </c>
      <c r="I8" s="10" t="s">
        <v>2</v>
      </c>
      <c r="J8" s="10" t="s">
        <v>23</v>
      </c>
      <c r="K8" s="10" t="s">
        <v>24</v>
      </c>
      <c r="L8" s="10" t="s">
        <v>25</v>
      </c>
      <c r="M8" s="11" t="s">
        <v>26</v>
      </c>
      <c r="N8" s="11" t="s">
        <v>27</v>
      </c>
      <c r="O8" s="11" t="s">
        <v>28</v>
      </c>
      <c r="P8" s="11" t="s">
        <v>29</v>
      </c>
      <c r="Q8" s="11" t="s">
        <v>30</v>
      </c>
      <c r="R8" s="11" t="s">
        <v>31</v>
      </c>
      <c r="S8" s="11" t="s">
        <v>32</v>
      </c>
      <c r="T8" s="11" t="s">
        <v>33</v>
      </c>
      <c r="U8" s="11" t="s">
        <v>34</v>
      </c>
      <c r="V8" s="11" t="s">
        <v>35</v>
      </c>
      <c r="W8" s="11" t="s">
        <v>36</v>
      </c>
      <c r="X8" s="11" t="s">
        <v>37</v>
      </c>
      <c r="Y8" s="11" t="s">
        <v>38</v>
      </c>
      <c r="Z8" s="11" t="s">
        <v>39</v>
      </c>
      <c r="AA8" s="11" t="s">
        <v>40</v>
      </c>
      <c r="AB8" s="11" t="s">
        <v>41</v>
      </c>
      <c r="AC8" s="11" t="s">
        <v>42</v>
      </c>
      <c r="AD8" s="11" t="s">
        <v>43</v>
      </c>
      <c r="AE8" s="11" t="s">
        <v>44</v>
      </c>
      <c r="AF8" s="11" t="s">
        <v>45</v>
      </c>
      <c r="AG8" s="11" t="s">
        <v>46</v>
      </c>
      <c r="AH8" s="11" t="s">
        <v>47</v>
      </c>
      <c r="AI8" s="11" t="s">
        <v>48</v>
      </c>
      <c r="AJ8" s="11" t="s">
        <v>49</v>
      </c>
      <c r="AK8" s="11" t="s">
        <v>50</v>
      </c>
      <c r="AL8" s="11" t="s">
        <v>51</v>
      </c>
      <c r="AM8" s="11" t="s">
        <v>52</v>
      </c>
      <c r="AN8" s="11" t="s">
        <v>53</v>
      </c>
      <c r="AO8" t="s">
        <v>54</v>
      </c>
    </row>
    <row r="9" spans="1:41" x14ac:dyDescent="0.25">
      <c r="A9" t="s">
        <v>2252</v>
      </c>
      <c r="B9" t="s">
        <v>5</v>
      </c>
      <c r="C9" s="2">
        <v>134182.833239</v>
      </c>
      <c r="D9" t="s">
        <v>56</v>
      </c>
      <c r="E9" t="s">
        <v>56</v>
      </c>
      <c r="F9">
        <v>-64730.69</v>
      </c>
      <c r="G9" t="s">
        <v>2252</v>
      </c>
      <c r="H9" t="s">
        <v>7</v>
      </c>
      <c r="I9">
        <v>79208.61</v>
      </c>
      <c r="J9">
        <v>0</v>
      </c>
      <c r="K9">
        <v>0</v>
      </c>
      <c r="L9">
        <v>0</v>
      </c>
      <c r="M9" t="s">
        <v>2252</v>
      </c>
      <c r="N9" t="s">
        <v>57</v>
      </c>
      <c r="O9" t="s">
        <v>58</v>
      </c>
      <c r="P9" t="s">
        <v>2253</v>
      </c>
      <c r="Q9" t="s">
        <v>2254</v>
      </c>
      <c r="R9" t="s">
        <v>61</v>
      </c>
      <c r="S9" t="s">
        <v>58</v>
      </c>
      <c r="T9" t="s">
        <v>2253</v>
      </c>
      <c r="U9" t="s">
        <v>2254</v>
      </c>
      <c r="V9" t="s">
        <v>56</v>
      </c>
      <c r="W9" t="s">
        <v>56</v>
      </c>
      <c r="X9" t="s">
        <v>56</v>
      </c>
      <c r="Y9" t="s">
        <v>62</v>
      </c>
      <c r="Z9" t="s">
        <v>63</v>
      </c>
      <c r="AA9" t="s">
        <v>64</v>
      </c>
      <c r="AB9">
        <v>1</v>
      </c>
      <c r="AC9" t="s">
        <v>65</v>
      </c>
      <c r="AD9" t="s">
        <v>66</v>
      </c>
      <c r="AE9" t="s">
        <v>289</v>
      </c>
      <c r="AF9" t="s">
        <v>1993</v>
      </c>
      <c r="AG9">
        <v>23300</v>
      </c>
      <c r="AH9" t="s">
        <v>69</v>
      </c>
      <c r="AI9" t="s">
        <v>332</v>
      </c>
      <c r="AJ9" t="s">
        <v>2255</v>
      </c>
      <c r="AK9" t="s">
        <v>334</v>
      </c>
      <c r="AL9" t="s">
        <v>985</v>
      </c>
      <c r="AM9" t="s">
        <v>73</v>
      </c>
      <c r="AN9" t="s">
        <v>56</v>
      </c>
    </row>
    <row r="10" spans="1:41" x14ac:dyDescent="0.25">
      <c r="A10" t="s">
        <v>1378</v>
      </c>
      <c r="B10" t="s">
        <v>5</v>
      </c>
      <c r="C10" s="2">
        <v>121047.042306</v>
      </c>
      <c r="D10" t="s">
        <v>56</v>
      </c>
      <c r="E10" t="s">
        <v>56</v>
      </c>
      <c r="F10">
        <v>-276089.19</v>
      </c>
      <c r="G10" t="s">
        <v>1378</v>
      </c>
      <c r="H10" t="s">
        <v>7</v>
      </c>
      <c r="I10">
        <v>315870.62</v>
      </c>
      <c r="J10">
        <v>0</v>
      </c>
      <c r="K10">
        <v>0</v>
      </c>
      <c r="L10">
        <v>0</v>
      </c>
      <c r="M10" t="s">
        <v>1378</v>
      </c>
      <c r="N10" t="s">
        <v>57</v>
      </c>
      <c r="O10" t="s">
        <v>58</v>
      </c>
      <c r="P10" t="s">
        <v>1379</v>
      </c>
      <c r="Q10" t="s">
        <v>1380</v>
      </c>
      <c r="R10" t="s">
        <v>61</v>
      </c>
      <c r="S10" t="s">
        <v>58</v>
      </c>
      <c r="T10" t="s">
        <v>1379</v>
      </c>
      <c r="U10" t="s">
        <v>1380</v>
      </c>
      <c r="V10" t="s">
        <v>56</v>
      </c>
      <c r="W10" t="s">
        <v>56</v>
      </c>
      <c r="X10" t="s">
        <v>56</v>
      </c>
      <c r="Y10" t="s">
        <v>62</v>
      </c>
      <c r="Z10" t="s">
        <v>63</v>
      </c>
      <c r="AA10" t="s">
        <v>64</v>
      </c>
      <c r="AB10">
        <v>1</v>
      </c>
      <c r="AC10" t="s">
        <v>65</v>
      </c>
      <c r="AD10" t="s">
        <v>66</v>
      </c>
      <c r="AE10" t="s">
        <v>1324</v>
      </c>
      <c r="AF10" t="s">
        <v>331</v>
      </c>
      <c r="AG10">
        <v>145000</v>
      </c>
      <c r="AH10" t="s">
        <v>69</v>
      </c>
      <c r="AI10" t="s">
        <v>1325</v>
      </c>
      <c r="AJ10" t="s">
        <v>1381</v>
      </c>
      <c r="AK10" t="s">
        <v>334</v>
      </c>
      <c r="AL10" t="s">
        <v>335</v>
      </c>
      <c r="AM10" t="s">
        <v>73</v>
      </c>
      <c r="AN10" t="s">
        <v>1326</v>
      </c>
    </row>
    <row r="11" spans="1:41" x14ac:dyDescent="0.25">
      <c r="A11" t="s">
        <v>1299</v>
      </c>
      <c r="B11" t="s">
        <v>5</v>
      </c>
      <c r="C11">
        <v>91244.628060000003</v>
      </c>
      <c r="D11" t="s">
        <v>56</v>
      </c>
      <c r="E11" t="s">
        <v>56</v>
      </c>
      <c r="F11">
        <v>-36066.959999999999</v>
      </c>
      <c r="G11" t="s">
        <v>1299</v>
      </c>
      <c r="H11" t="s">
        <v>7</v>
      </c>
      <c r="I11">
        <v>41262.410000000003</v>
      </c>
      <c r="J11">
        <v>3610.757642</v>
      </c>
      <c r="K11">
        <v>0</v>
      </c>
      <c r="L11">
        <v>0</v>
      </c>
      <c r="M11" t="s">
        <v>1299</v>
      </c>
      <c r="N11" t="s">
        <v>57</v>
      </c>
      <c r="O11" t="s">
        <v>58</v>
      </c>
      <c r="P11" t="s">
        <v>1300</v>
      </c>
      <c r="Q11" t="s">
        <v>1301</v>
      </c>
      <c r="R11" t="s">
        <v>61</v>
      </c>
      <c r="S11" t="s">
        <v>58</v>
      </c>
      <c r="T11" t="s">
        <v>1300</v>
      </c>
      <c r="U11" t="s">
        <v>1301</v>
      </c>
      <c r="V11" t="s">
        <v>56</v>
      </c>
      <c r="W11" t="s">
        <v>56</v>
      </c>
      <c r="X11" t="s">
        <v>56</v>
      </c>
      <c r="Y11" t="s">
        <v>62</v>
      </c>
      <c r="Z11" t="s">
        <v>63</v>
      </c>
      <c r="AA11" t="s">
        <v>64</v>
      </c>
      <c r="AB11">
        <v>1</v>
      </c>
      <c r="AC11" t="s">
        <v>78</v>
      </c>
      <c r="AD11" t="s">
        <v>66</v>
      </c>
      <c r="AE11" t="s">
        <v>289</v>
      </c>
      <c r="AF11" t="s">
        <v>1302</v>
      </c>
      <c r="AG11">
        <v>35000</v>
      </c>
      <c r="AH11" t="s">
        <v>69</v>
      </c>
      <c r="AI11" t="s">
        <v>332</v>
      </c>
      <c r="AJ11" t="s">
        <v>182</v>
      </c>
      <c r="AK11" t="s">
        <v>334</v>
      </c>
      <c r="AM11" t="s">
        <v>73</v>
      </c>
      <c r="AN11" t="s">
        <v>56</v>
      </c>
    </row>
    <row r="12" spans="1:41" x14ac:dyDescent="0.25">
      <c r="A12" t="s">
        <v>1979</v>
      </c>
      <c r="B12" t="s">
        <v>5</v>
      </c>
      <c r="C12" s="2">
        <v>43384.142168999999</v>
      </c>
      <c r="D12" t="s">
        <v>56</v>
      </c>
      <c r="E12" t="s">
        <v>56</v>
      </c>
      <c r="F12">
        <v>-32420.55</v>
      </c>
      <c r="G12" t="s">
        <v>1979</v>
      </c>
      <c r="H12" t="s">
        <v>7</v>
      </c>
      <c r="I12">
        <v>34699.839999999997</v>
      </c>
      <c r="J12">
        <v>0</v>
      </c>
      <c r="K12">
        <v>0</v>
      </c>
      <c r="L12">
        <v>0</v>
      </c>
      <c r="M12" t="s">
        <v>1979</v>
      </c>
      <c r="N12" t="s">
        <v>57</v>
      </c>
      <c r="O12" t="s">
        <v>58</v>
      </c>
      <c r="P12" t="s">
        <v>1980</v>
      </c>
      <c r="Q12" t="s">
        <v>1981</v>
      </c>
      <c r="R12" t="s">
        <v>61</v>
      </c>
      <c r="S12" t="s">
        <v>58</v>
      </c>
      <c r="T12" t="s">
        <v>1980</v>
      </c>
      <c r="U12" t="s">
        <v>1981</v>
      </c>
      <c r="V12" t="s">
        <v>56</v>
      </c>
      <c r="W12" t="s">
        <v>56</v>
      </c>
      <c r="X12" t="s">
        <v>56</v>
      </c>
      <c r="Y12" t="s">
        <v>62</v>
      </c>
      <c r="Z12" t="s">
        <v>63</v>
      </c>
      <c r="AA12" t="s">
        <v>64</v>
      </c>
      <c r="AB12">
        <v>1</v>
      </c>
      <c r="AC12" t="s">
        <v>78</v>
      </c>
      <c r="AD12" t="s">
        <v>66</v>
      </c>
      <c r="AE12" t="s">
        <v>289</v>
      </c>
      <c r="AF12" t="s">
        <v>983</v>
      </c>
      <c r="AG12">
        <v>41250</v>
      </c>
      <c r="AH12" t="s">
        <v>69</v>
      </c>
      <c r="AI12" t="s">
        <v>137</v>
      </c>
      <c r="AJ12" t="s">
        <v>143</v>
      </c>
      <c r="AK12" t="s">
        <v>334</v>
      </c>
      <c r="AL12" t="s">
        <v>985</v>
      </c>
      <c r="AM12" t="s">
        <v>73</v>
      </c>
      <c r="AN12" t="s">
        <v>56</v>
      </c>
    </row>
    <row r="13" spans="1:41" x14ac:dyDescent="0.25">
      <c r="A13" t="s">
        <v>1599</v>
      </c>
      <c r="B13" t="s">
        <v>5</v>
      </c>
      <c r="C13">
        <v>36400.023955999997</v>
      </c>
      <c r="D13">
        <v>426.04528499999998</v>
      </c>
      <c r="E13" t="s">
        <v>56</v>
      </c>
      <c r="F13">
        <v>-234709.47</v>
      </c>
      <c r="G13" t="s">
        <v>1599</v>
      </c>
      <c r="H13" t="s">
        <v>7</v>
      </c>
      <c r="I13">
        <v>298652.34999999998</v>
      </c>
      <c r="J13">
        <v>12368.642411999999</v>
      </c>
      <c r="K13">
        <v>10506.329755999999</v>
      </c>
      <c r="L13">
        <v>0</v>
      </c>
      <c r="M13" t="s">
        <v>1599</v>
      </c>
      <c r="N13" t="s">
        <v>57</v>
      </c>
      <c r="O13" t="s">
        <v>58</v>
      </c>
      <c r="P13" t="s">
        <v>1600</v>
      </c>
      <c r="Q13" t="s">
        <v>1601</v>
      </c>
      <c r="R13" t="s">
        <v>61</v>
      </c>
      <c r="S13" t="s">
        <v>58</v>
      </c>
      <c r="T13" t="s">
        <v>1600</v>
      </c>
      <c r="U13" t="s">
        <v>1601</v>
      </c>
      <c r="V13" t="s">
        <v>56</v>
      </c>
      <c r="W13" t="s">
        <v>56</v>
      </c>
      <c r="X13" t="s">
        <v>56</v>
      </c>
      <c r="Y13" t="s">
        <v>62</v>
      </c>
      <c r="Z13" t="s">
        <v>63</v>
      </c>
      <c r="AA13" t="s">
        <v>64</v>
      </c>
      <c r="AB13">
        <v>1</v>
      </c>
      <c r="AC13" t="s">
        <v>65</v>
      </c>
      <c r="AD13" t="s">
        <v>66</v>
      </c>
      <c r="AE13" t="s">
        <v>67</v>
      </c>
      <c r="AF13" t="s">
        <v>68</v>
      </c>
      <c r="AG13">
        <v>27069.99</v>
      </c>
      <c r="AH13" t="s">
        <v>69</v>
      </c>
      <c r="AI13" t="s">
        <v>132</v>
      </c>
      <c r="AJ13" t="s">
        <v>619</v>
      </c>
      <c r="AK13" t="s">
        <v>72</v>
      </c>
      <c r="AL13" t="s">
        <v>73</v>
      </c>
      <c r="AM13" t="s">
        <v>73</v>
      </c>
      <c r="AN13" t="s">
        <v>74</v>
      </c>
    </row>
    <row r="14" spans="1:41" x14ac:dyDescent="0.25">
      <c r="A14" t="s">
        <v>1094</v>
      </c>
      <c r="B14" t="s">
        <v>5</v>
      </c>
      <c r="C14" s="2">
        <v>31622.825712999998</v>
      </c>
      <c r="D14" t="s">
        <v>56</v>
      </c>
      <c r="E14" t="s">
        <v>56</v>
      </c>
      <c r="F14">
        <v>-28644.12</v>
      </c>
      <c r="G14" t="s">
        <v>1094</v>
      </c>
      <c r="H14" t="s">
        <v>7</v>
      </c>
      <c r="I14">
        <v>34681.58</v>
      </c>
      <c r="J14">
        <v>0</v>
      </c>
      <c r="K14">
        <v>0</v>
      </c>
      <c r="L14">
        <v>0</v>
      </c>
      <c r="M14" t="s">
        <v>1094</v>
      </c>
      <c r="N14" t="s">
        <v>57</v>
      </c>
      <c r="O14" t="s">
        <v>58</v>
      </c>
      <c r="P14" t="s">
        <v>1095</v>
      </c>
      <c r="Q14" t="s">
        <v>1096</v>
      </c>
      <c r="R14" t="s">
        <v>61</v>
      </c>
      <c r="S14" t="s">
        <v>58</v>
      </c>
      <c r="T14" t="s">
        <v>1095</v>
      </c>
      <c r="U14" t="s">
        <v>1096</v>
      </c>
      <c r="V14" t="s">
        <v>56</v>
      </c>
      <c r="W14" t="s">
        <v>56</v>
      </c>
      <c r="X14" t="s">
        <v>56</v>
      </c>
      <c r="Y14" t="s">
        <v>62</v>
      </c>
      <c r="Z14" t="s">
        <v>63</v>
      </c>
      <c r="AA14" t="s">
        <v>64</v>
      </c>
      <c r="AB14">
        <v>1</v>
      </c>
      <c r="AC14" t="s">
        <v>120</v>
      </c>
      <c r="AD14" t="s">
        <v>66</v>
      </c>
      <c r="AE14" t="s">
        <v>289</v>
      </c>
      <c r="AF14" t="s">
        <v>983</v>
      </c>
      <c r="AG14">
        <v>50000</v>
      </c>
      <c r="AH14" t="s">
        <v>69</v>
      </c>
      <c r="AI14" t="s">
        <v>285</v>
      </c>
      <c r="AJ14" t="s">
        <v>470</v>
      </c>
      <c r="AK14" t="s">
        <v>334</v>
      </c>
      <c r="AL14" t="s">
        <v>985</v>
      </c>
      <c r="AM14" t="s">
        <v>73</v>
      </c>
      <c r="AN14" t="s">
        <v>56</v>
      </c>
    </row>
    <row r="15" spans="1:41" x14ac:dyDescent="0.25">
      <c r="A15" t="s">
        <v>1006</v>
      </c>
      <c r="B15" t="s">
        <v>5</v>
      </c>
      <c r="C15" s="2">
        <v>29083.673544000001</v>
      </c>
      <c r="D15" t="s">
        <v>56</v>
      </c>
      <c r="E15" t="s">
        <v>56</v>
      </c>
      <c r="F15">
        <v>-31613.01</v>
      </c>
      <c r="G15" t="s">
        <v>1006</v>
      </c>
      <c r="H15" t="s">
        <v>7</v>
      </c>
      <c r="I15">
        <v>36935.53</v>
      </c>
      <c r="J15">
        <v>0</v>
      </c>
      <c r="K15">
        <v>0</v>
      </c>
      <c r="L15">
        <v>0</v>
      </c>
      <c r="M15" t="s">
        <v>1006</v>
      </c>
      <c r="N15" t="s">
        <v>57</v>
      </c>
      <c r="O15" t="s">
        <v>58</v>
      </c>
      <c r="P15" t="s">
        <v>1007</v>
      </c>
      <c r="Q15" t="s">
        <v>1008</v>
      </c>
      <c r="R15" t="s">
        <v>61</v>
      </c>
      <c r="S15" t="s">
        <v>58</v>
      </c>
      <c r="T15" t="s">
        <v>1007</v>
      </c>
      <c r="U15" t="s">
        <v>1008</v>
      </c>
      <c r="V15" t="s">
        <v>56</v>
      </c>
      <c r="W15" t="s">
        <v>56</v>
      </c>
      <c r="X15" t="s">
        <v>56</v>
      </c>
      <c r="Y15" t="s">
        <v>62</v>
      </c>
      <c r="Z15" t="s">
        <v>63</v>
      </c>
      <c r="AA15" t="s">
        <v>64</v>
      </c>
      <c r="AB15">
        <v>1</v>
      </c>
      <c r="AC15" t="s">
        <v>84</v>
      </c>
      <c r="AD15" t="s">
        <v>66</v>
      </c>
      <c r="AE15" t="s">
        <v>289</v>
      </c>
      <c r="AF15" t="s">
        <v>983</v>
      </c>
      <c r="AG15">
        <v>60000</v>
      </c>
      <c r="AH15" t="s">
        <v>69</v>
      </c>
      <c r="AI15" t="s">
        <v>1009</v>
      </c>
      <c r="AJ15" t="s">
        <v>912</v>
      </c>
      <c r="AK15" t="s">
        <v>334</v>
      </c>
      <c r="AL15" t="s">
        <v>985</v>
      </c>
      <c r="AM15" t="s">
        <v>73</v>
      </c>
      <c r="AN15" t="s">
        <v>56</v>
      </c>
    </row>
    <row r="16" spans="1:41" x14ac:dyDescent="0.25">
      <c r="A16" t="s">
        <v>328</v>
      </c>
      <c r="B16" t="s">
        <v>5</v>
      </c>
      <c r="C16" s="2">
        <v>29012.383374000001</v>
      </c>
      <c r="D16" t="s">
        <v>56</v>
      </c>
      <c r="E16" t="s">
        <v>56</v>
      </c>
      <c r="F16">
        <v>-68064.31</v>
      </c>
      <c r="G16" t="s">
        <v>328</v>
      </c>
      <c r="H16" t="s">
        <v>7</v>
      </c>
      <c r="I16">
        <v>88419.38</v>
      </c>
      <c r="J16">
        <v>0</v>
      </c>
      <c r="K16">
        <v>0</v>
      </c>
      <c r="L16">
        <v>0</v>
      </c>
      <c r="M16" t="s">
        <v>328</v>
      </c>
      <c r="N16" t="s">
        <v>57</v>
      </c>
      <c r="O16" t="s">
        <v>58</v>
      </c>
      <c r="P16" t="s">
        <v>329</v>
      </c>
      <c r="Q16" t="s">
        <v>330</v>
      </c>
      <c r="R16" t="s">
        <v>61</v>
      </c>
      <c r="S16" t="s">
        <v>58</v>
      </c>
      <c r="T16" t="s">
        <v>329</v>
      </c>
      <c r="U16" t="s">
        <v>330</v>
      </c>
      <c r="V16" t="s">
        <v>56</v>
      </c>
      <c r="W16" t="s">
        <v>56</v>
      </c>
      <c r="X16" t="s">
        <v>56</v>
      </c>
      <c r="Y16" t="s">
        <v>62</v>
      </c>
      <c r="Z16" t="s">
        <v>63</v>
      </c>
      <c r="AA16" t="s">
        <v>64</v>
      </c>
      <c r="AB16">
        <v>1</v>
      </c>
      <c r="AC16" t="s">
        <v>120</v>
      </c>
      <c r="AD16" t="s">
        <v>66</v>
      </c>
      <c r="AE16" t="s">
        <v>289</v>
      </c>
      <c r="AF16" t="s">
        <v>331</v>
      </c>
      <c r="AG16">
        <v>129500</v>
      </c>
      <c r="AH16" t="s">
        <v>69</v>
      </c>
      <c r="AI16" t="s">
        <v>332</v>
      </c>
      <c r="AJ16" t="s">
        <v>333</v>
      </c>
      <c r="AK16" t="s">
        <v>334</v>
      </c>
      <c r="AL16" t="s">
        <v>335</v>
      </c>
      <c r="AM16" t="s">
        <v>73</v>
      </c>
      <c r="AN16" t="s">
        <v>56</v>
      </c>
    </row>
    <row r="17" spans="1:40" x14ac:dyDescent="0.25">
      <c r="A17" t="s">
        <v>1990</v>
      </c>
      <c r="B17" t="s">
        <v>5</v>
      </c>
      <c r="C17" s="2">
        <v>12987.575274999999</v>
      </c>
      <c r="D17" t="s">
        <v>56</v>
      </c>
      <c r="E17" t="s">
        <v>56</v>
      </c>
      <c r="F17">
        <v>-19410.990000000002</v>
      </c>
      <c r="G17" t="s">
        <v>1990</v>
      </c>
      <c r="H17" t="s">
        <v>7</v>
      </c>
      <c r="I17">
        <v>27542.92</v>
      </c>
      <c r="J17">
        <v>0</v>
      </c>
      <c r="K17">
        <v>0</v>
      </c>
      <c r="L17">
        <v>0</v>
      </c>
      <c r="M17" t="s">
        <v>1990</v>
      </c>
      <c r="N17" t="s">
        <v>57</v>
      </c>
      <c r="O17" t="s">
        <v>58</v>
      </c>
      <c r="P17" t="s">
        <v>1991</v>
      </c>
      <c r="Q17" t="s">
        <v>1992</v>
      </c>
      <c r="R17" t="s">
        <v>61</v>
      </c>
      <c r="S17" t="s">
        <v>58</v>
      </c>
      <c r="T17" t="s">
        <v>1991</v>
      </c>
      <c r="U17" t="s">
        <v>1992</v>
      </c>
      <c r="V17" t="s">
        <v>56</v>
      </c>
      <c r="W17" t="s">
        <v>56</v>
      </c>
      <c r="X17" t="s">
        <v>56</v>
      </c>
      <c r="Y17" t="s">
        <v>62</v>
      </c>
      <c r="Z17" t="s">
        <v>63</v>
      </c>
      <c r="AA17" t="s">
        <v>64</v>
      </c>
      <c r="AB17">
        <v>1</v>
      </c>
      <c r="AC17" t="s">
        <v>78</v>
      </c>
      <c r="AD17" t="s">
        <v>66</v>
      </c>
      <c r="AE17" t="s">
        <v>289</v>
      </c>
      <c r="AF17" t="s">
        <v>1993</v>
      </c>
      <c r="AG17">
        <v>82500</v>
      </c>
      <c r="AH17" t="s">
        <v>69</v>
      </c>
      <c r="AI17" t="s">
        <v>332</v>
      </c>
      <c r="AJ17" t="s">
        <v>984</v>
      </c>
      <c r="AK17" t="s">
        <v>334</v>
      </c>
      <c r="AL17" t="s">
        <v>985</v>
      </c>
      <c r="AM17" t="s">
        <v>73</v>
      </c>
      <c r="AN17" t="s">
        <v>56</v>
      </c>
    </row>
    <row r="18" spans="1:40" x14ac:dyDescent="0.25">
      <c r="A18" t="s">
        <v>2428</v>
      </c>
      <c r="B18" t="s">
        <v>5</v>
      </c>
      <c r="C18" s="2">
        <v>12444.819447</v>
      </c>
      <c r="D18" t="s">
        <v>56</v>
      </c>
      <c r="E18" t="s">
        <v>56</v>
      </c>
      <c r="F18">
        <v>-8567.19</v>
      </c>
      <c r="G18" t="s">
        <v>2428</v>
      </c>
      <c r="H18" t="s">
        <v>7</v>
      </c>
      <c r="I18">
        <v>11557.26</v>
      </c>
      <c r="J18">
        <v>0</v>
      </c>
      <c r="K18">
        <v>0</v>
      </c>
      <c r="L18">
        <v>0</v>
      </c>
      <c r="M18" t="s">
        <v>2428</v>
      </c>
      <c r="N18" t="s">
        <v>57</v>
      </c>
      <c r="O18" t="s">
        <v>58</v>
      </c>
      <c r="P18" t="s">
        <v>2429</v>
      </c>
      <c r="Q18" t="s">
        <v>2430</v>
      </c>
      <c r="R18" t="s">
        <v>61</v>
      </c>
      <c r="S18" t="s">
        <v>58</v>
      </c>
      <c r="T18" t="s">
        <v>2429</v>
      </c>
      <c r="U18" t="s">
        <v>2430</v>
      </c>
      <c r="V18" t="s">
        <v>56</v>
      </c>
      <c r="W18" t="s">
        <v>56</v>
      </c>
      <c r="X18" t="s">
        <v>56</v>
      </c>
      <c r="Y18" t="s">
        <v>62</v>
      </c>
      <c r="Z18" t="s">
        <v>63</v>
      </c>
      <c r="AA18" t="s">
        <v>64</v>
      </c>
      <c r="AB18">
        <v>1</v>
      </c>
      <c r="AC18" t="s">
        <v>65</v>
      </c>
      <c r="AD18" t="s">
        <v>66</v>
      </c>
      <c r="AE18" t="s">
        <v>289</v>
      </c>
      <c r="AF18" t="s">
        <v>983</v>
      </c>
      <c r="AG18">
        <v>38000</v>
      </c>
      <c r="AH18" t="s">
        <v>69</v>
      </c>
      <c r="AI18" t="s">
        <v>220</v>
      </c>
      <c r="AJ18" t="s">
        <v>2431</v>
      </c>
      <c r="AK18" t="s">
        <v>334</v>
      </c>
      <c r="AL18" t="s">
        <v>985</v>
      </c>
      <c r="AM18" t="s">
        <v>73</v>
      </c>
      <c r="AN18" t="s">
        <v>56</v>
      </c>
    </row>
    <row r="19" spans="1:40" x14ac:dyDescent="0.25">
      <c r="A19" t="s">
        <v>1138</v>
      </c>
      <c r="B19" t="s">
        <v>5</v>
      </c>
      <c r="C19" s="2">
        <v>7418.0477170000004</v>
      </c>
      <c r="D19" t="s">
        <v>56</v>
      </c>
      <c r="E19" t="s">
        <v>56</v>
      </c>
      <c r="F19">
        <v>-6316.17</v>
      </c>
      <c r="G19" t="s">
        <v>1138</v>
      </c>
      <c r="H19" t="s">
        <v>7</v>
      </c>
      <c r="I19">
        <v>11581.29</v>
      </c>
      <c r="J19">
        <v>0</v>
      </c>
      <c r="K19">
        <v>0</v>
      </c>
      <c r="L19">
        <v>0</v>
      </c>
      <c r="M19" t="s">
        <v>1138</v>
      </c>
      <c r="N19" t="s">
        <v>57</v>
      </c>
      <c r="O19" t="s">
        <v>58</v>
      </c>
      <c r="P19" t="s">
        <v>1139</v>
      </c>
      <c r="Q19" t="s">
        <v>1140</v>
      </c>
      <c r="R19" t="s">
        <v>61</v>
      </c>
      <c r="S19" t="s">
        <v>58</v>
      </c>
      <c r="T19" t="s">
        <v>1139</v>
      </c>
      <c r="U19" t="s">
        <v>1140</v>
      </c>
      <c r="V19" t="s">
        <v>56</v>
      </c>
      <c r="W19" t="s">
        <v>56</v>
      </c>
      <c r="X19" t="s">
        <v>56</v>
      </c>
      <c r="Y19" t="s">
        <v>62</v>
      </c>
      <c r="Z19" t="s">
        <v>63</v>
      </c>
      <c r="AA19" t="s">
        <v>64</v>
      </c>
      <c r="AB19">
        <v>1</v>
      </c>
      <c r="AC19" t="s">
        <v>84</v>
      </c>
      <c r="AD19" t="s">
        <v>66</v>
      </c>
      <c r="AE19" t="s">
        <v>289</v>
      </c>
      <c r="AF19" t="s">
        <v>983</v>
      </c>
      <c r="AG19">
        <v>47000</v>
      </c>
      <c r="AH19" t="s">
        <v>69</v>
      </c>
      <c r="AI19" t="s">
        <v>332</v>
      </c>
      <c r="AJ19" t="s">
        <v>123</v>
      </c>
      <c r="AK19" t="s">
        <v>334</v>
      </c>
      <c r="AL19" t="s">
        <v>985</v>
      </c>
      <c r="AM19" t="s">
        <v>73</v>
      </c>
      <c r="AN19" t="s">
        <v>56</v>
      </c>
    </row>
    <row r="20" spans="1:40" x14ac:dyDescent="0.25">
      <c r="A20" t="s">
        <v>980</v>
      </c>
      <c r="B20" t="s">
        <v>5</v>
      </c>
      <c r="C20" s="2">
        <v>5272.2814959999996</v>
      </c>
      <c r="D20" t="s">
        <v>56</v>
      </c>
      <c r="E20" t="s">
        <v>56</v>
      </c>
      <c r="F20">
        <v>-8602.76</v>
      </c>
      <c r="G20" t="s">
        <v>980</v>
      </c>
      <c r="H20" t="s">
        <v>7</v>
      </c>
      <c r="I20">
        <v>16638.09</v>
      </c>
      <c r="J20">
        <v>0</v>
      </c>
      <c r="K20">
        <v>0</v>
      </c>
      <c r="L20">
        <v>0</v>
      </c>
      <c r="M20" t="s">
        <v>980</v>
      </c>
      <c r="N20" t="s">
        <v>57</v>
      </c>
      <c r="O20" t="s">
        <v>58</v>
      </c>
      <c r="P20" t="s">
        <v>981</v>
      </c>
      <c r="Q20" t="s">
        <v>982</v>
      </c>
      <c r="R20" t="s">
        <v>61</v>
      </c>
      <c r="S20" t="s">
        <v>58</v>
      </c>
      <c r="T20" t="s">
        <v>981</v>
      </c>
      <c r="U20" t="s">
        <v>982</v>
      </c>
      <c r="V20" t="s">
        <v>56</v>
      </c>
      <c r="W20" t="s">
        <v>56</v>
      </c>
      <c r="X20" t="s">
        <v>56</v>
      </c>
      <c r="Y20" t="s">
        <v>62</v>
      </c>
      <c r="Z20" t="s">
        <v>63</v>
      </c>
      <c r="AA20" t="s">
        <v>64</v>
      </c>
      <c r="AB20">
        <v>1</v>
      </c>
      <c r="AC20" t="s">
        <v>65</v>
      </c>
      <c r="AD20" t="s">
        <v>66</v>
      </c>
      <c r="AE20" t="s">
        <v>289</v>
      </c>
      <c r="AF20" t="s">
        <v>983</v>
      </c>
      <c r="AG20">
        <v>90067.74</v>
      </c>
      <c r="AH20" t="s">
        <v>69</v>
      </c>
      <c r="AI20" t="s">
        <v>332</v>
      </c>
      <c r="AJ20" t="s">
        <v>984</v>
      </c>
      <c r="AK20" t="s">
        <v>334</v>
      </c>
      <c r="AL20" t="s">
        <v>985</v>
      </c>
      <c r="AM20" t="s">
        <v>73</v>
      </c>
      <c r="AN20" t="s">
        <v>56</v>
      </c>
    </row>
    <row r="21" spans="1:40" x14ac:dyDescent="0.25">
      <c r="A21" t="s">
        <v>356</v>
      </c>
      <c r="B21" t="s">
        <v>5</v>
      </c>
      <c r="C21">
        <v>3500.2630079999999</v>
      </c>
      <c r="D21" t="s">
        <v>56</v>
      </c>
      <c r="E21" t="s">
        <v>56</v>
      </c>
      <c r="F21">
        <v>-65234.64</v>
      </c>
      <c r="G21" t="s">
        <v>356</v>
      </c>
      <c r="H21" t="s">
        <v>7</v>
      </c>
      <c r="I21">
        <v>73118.31</v>
      </c>
      <c r="J21">
        <v>2976.9985710000001</v>
      </c>
      <c r="K21">
        <v>0</v>
      </c>
      <c r="L21">
        <v>0</v>
      </c>
      <c r="M21" t="s">
        <v>356</v>
      </c>
      <c r="N21" t="s">
        <v>57</v>
      </c>
      <c r="O21" t="s">
        <v>58</v>
      </c>
      <c r="P21" t="s">
        <v>357</v>
      </c>
      <c r="Q21" t="s">
        <v>358</v>
      </c>
      <c r="R21" t="s">
        <v>61</v>
      </c>
      <c r="S21" t="s">
        <v>58</v>
      </c>
      <c r="T21" t="s">
        <v>357</v>
      </c>
      <c r="U21" t="s">
        <v>358</v>
      </c>
      <c r="V21" t="s">
        <v>56</v>
      </c>
      <c r="W21" t="s">
        <v>56</v>
      </c>
      <c r="X21" t="s">
        <v>56</v>
      </c>
      <c r="Y21" t="s">
        <v>62</v>
      </c>
      <c r="Z21" t="s">
        <v>63</v>
      </c>
      <c r="AA21" t="s">
        <v>64</v>
      </c>
      <c r="AB21">
        <v>1</v>
      </c>
      <c r="AC21" t="s">
        <v>147</v>
      </c>
      <c r="AD21" t="s">
        <v>66</v>
      </c>
      <c r="AE21" t="s">
        <v>113</v>
      </c>
      <c r="AF21" t="s">
        <v>68</v>
      </c>
      <c r="AG21">
        <v>82113.83</v>
      </c>
      <c r="AH21" t="s">
        <v>69</v>
      </c>
      <c r="AI21" t="s">
        <v>216</v>
      </c>
      <c r="AJ21" t="s">
        <v>359</v>
      </c>
      <c r="AK21" t="s">
        <v>72</v>
      </c>
      <c r="AL21" t="s">
        <v>73</v>
      </c>
      <c r="AM21" t="s">
        <v>73</v>
      </c>
      <c r="AN21" t="s">
        <v>116</v>
      </c>
    </row>
    <row r="22" spans="1:40" x14ac:dyDescent="0.25">
      <c r="A22" t="s">
        <v>1890</v>
      </c>
      <c r="B22" t="s">
        <v>5</v>
      </c>
      <c r="C22">
        <v>3429.4055069999999</v>
      </c>
      <c r="D22" t="s">
        <v>56</v>
      </c>
      <c r="E22" t="s">
        <v>56</v>
      </c>
      <c r="F22">
        <v>-55371.11</v>
      </c>
      <c r="G22" t="s">
        <v>1890</v>
      </c>
      <c r="H22" t="s">
        <v>7</v>
      </c>
      <c r="I22">
        <v>62895.46</v>
      </c>
      <c r="J22">
        <v>2955.8392490000001</v>
      </c>
      <c r="K22">
        <v>0</v>
      </c>
      <c r="L22">
        <v>0</v>
      </c>
      <c r="M22" t="s">
        <v>1890</v>
      </c>
      <c r="N22" t="s">
        <v>57</v>
      </c>
      <c r="O22" t="s">
        <v>58</v>
      </c>
      <c r="P22" t="s">
        <v>1891</v>
      </c>
      <c r="Q22" t="s">
        <v>1892</v>
      </c>
      <c r="R22" t="s">
        <v>61</v>
      </c>
      <c r="S22" t="s">
        <v>58</v>
      </c>
      <c r="T22" t="s">
        <v>1891</v>
      </c>
      <c r="U22" t="s">
        <v>1892</v>
      </c>
      <c r="V22" t="s">
        <v>56</v>
      </c>
      <c r="W22" t="s">
        <v>56</v>
      </c>
      <c r="X22" t="s">
        <v>56</v>
      </c>
      <c r="Y22" t="s">
        <v>62</v>
      </c>
      <c r="Z22" t="s">
        <v>63</v>
      </c>
      <c r="AA22" t="s">
        <v>64</v>
      </c>
      <c r="AB22">
        <v>1</v>
      </c>
      <c r="AC22" t="s">
        <v>65</v>
      </c>
      <c r="AD22" t="s">
        <v>66</v>
      </c>
      <c r="AE22" t="s">
        <v>113</v>
      </c>
      <c r="AF22" t="s">
        <v>68</v>
      </c>
      <c r="AG22">
        <v>71138.210000000006</v>
      </c>
      <c r="AH22" t="s">
        <v>69</v>
      </c>
      <c r="AI22" t="s">
        <v>216</v>
      </c>
      <c r="AJ22" t="s">
        <v>71</v>
      </c>
      <c r="AK22" t="s">
        <v>72</v>
      </c>
      <c r="AL22" t="s">
        <v>73</v>
      </c>
      <c r="AM22" t="s">
        <v>73</v>
      </c>
      <c r="AN22" t="s">
        <v>116</v>
      </c>
    </row>
    <row r="23" spans="1:40" x14ac:dyDescent="0.25">
      <c r="A23" t="s">
        <v>2503</v>
      </c>
      <c r="B23" t="s">
        <v>5</v>
      </c>
      <c r="C23" s="2">
        <v>3244.0206720000001</v>
      </c>
      <c r="D23" t="s">
        <v>56</v>
      </c>
      <c r="E23" t="s">
        <v>56</v>
      </c>
      <c r="F23">
        <v>-26693.74</v>
      </c>
      <c r="G23" t="s">
        <v>2503</v>
      </c>
      <c r="H23" t="s">
        <v>7</v>
      </c>
      <c r="I23">
        <v>30500.76</v>
      </c>
      <c r="J23">
        <v>0</v>
      </c>
      <c r="K23">
        <v>0</v>
      </c>
      <c r="L23">
        <v>0</v>
      </c>
      <c r="M23" t="s">
        <v>2503</v>
      </c>
      <c r="N23" t="s">
        <v>57</v>
      </c>
      <c r="O23" t="s">
        <v>58</v>
      </c>
      <c r="P23" t="s">
        <v>2504</v>
      </c>
      <c r="Q23" t="s">
        <v>2505</v>
      </c>
      <c r="R23" t="s">
        <v>61</v>
      </c>
      <c r="S23" t="s">
        <v>58</v>
      </c>
      <c r="T23" t="s">
        <v>2504</v>
      </c>
      <c r="U23" t="s">
        <v>2505</v>
      </c>
      <c r="V23" t="s">
        <v>56</v>
      </c>
      <c r="W23" t="s">
        <v>56</v>
      </c>
      <c r="X23" t="s">
        <v>56</v>
      </c>
      <c r="Y23" t="s">
        <v>62</v>
      </c>
      <c r="Z23" t="s">
        <v>63</v>
      </c>
      <c r="AA23" t="s">
        <v>64</v>
      </c>
      <c r="AB23">
        <v>1</v>
      </c>
      <c r="AC23" t="s">
        <v>84</v>
      </c>
      <c r="AD23" t="s">
        <v>66</v>
      </c>
      <c r="AE23" t="s">
        <v>85</v>
      </c>
      <c r="AF23" t="s">
        <v>86</v>
      </c>
      <c r="AG23">
        <v>49987.81</v>
      </c>
      <c r="AH23" t="s">
        <v>69</v>
      </c>
      <c r="AI23" t="s">
        <v>501</v>
      </c>
      <c r="AJ23" t="s">
        <v>195</v>
      </c>
      <c r="AK23" t="s">
        <v>72</v>
      </c>
      <c r="AL23" t="s">
        <v>73</v>
      </c>
      <c r="AM23" t="s">
        <v>73</v>
      </c>
      <c r="AN23" t="s">
        <v>56</v>
      </c>
    </row>
    <row r="24" spans="1:40" x14ac:dyDescent="0.25">
      <c r="A24" t="s">
        <v>1082</v>
      </c>
      <c r="B24" t="s">
        <v>5</v>
      </c>
      <c r="C24" s="2">
        <v>3228.8074360000001</v>
      </c>
      <c r="D24" t="s">
        <v>56</v>
      </c>
      <c r="E24" t="s">
        <v>56</v>
      </c>
      <c r="F24">
        <v>-26981.98</v>
      </c>
      <c r="G24" t="s">
        <v>1082</v>
      </c>
      <c r="H24" t="s">
        <v>7</v>
      </c>
      <c r="I24">
        <v>30845.14</v>
      </c>
      <c r="J24">
        <v>0</v>
      </c>
      <c r="K24">
        <v>0</v>
      </c>
      <c r="L24">
        <v>0</v>
      </c>
      <c r="M24" t="s">
        <v>1082</v>
      </c>
      <c r="N24" t="s">
        <v>57</v>
      </c>
      <c r="O24" t="s">
        <v>58</v>
      </c>
      <c r="P24" t="s">
        <v>1083</v>
      </c>
      <c r="Q24" t="s">
        <v>1084</v>
      </c>
      <c r="R24" t="s">
        <v>61</v>
      </c>
      <c r="S24" t="s">
        <v>58</v>
      </c>
      <c r="T24" t="s">
        <v>1083</v>
      </c>
      <c r="U24" t="s">
        <v>1084</v>
      </c>
      <c r="V24" t="s">
        <v>56</v>
      </c>
      <c r="W24" t="s">
        <v>56</v>
      </c>
      <c r="X24" t="s">
        <v>56</v>
      </c>
      <c r="Y24" t="s">
        <v>62</v>
      </c>
      <c r="Z24" t="s">
        <v>63</v>
      </c>
      <c r="AA24" t="s">
        <v>64</v>
      </c>
      <c r="AB24">
        <v>1</v>
      </c>
      <c r="AC24" t="s">
        <v>84</v>
      </c>
      <c r="AD24" t="s">
        <v>66</v>
      </c>
      <c r="AE24" t="s">
        <v>85</v>
      </c>
      <c r="AF24" t="s">
        <v>68</v>
      </c>
      <c r="AG24">
        <v>50765.68</v>
      </c>
      <c r="AH24" t="s">
        <v>69</v>
      </c>
      <c r="AI24" t="s">
        <v>501</v>
      </c>
      <c r="AJ24" t="s">
        <v>195</v>
      </c>
      <c r="AK24" t="s">
        <v>72</v>
      </c>
      <c r="AL24" t="s">
        <v>73</v>
      </c>
      <c r="AM24" t="s">
        <v>73</v>
      </c>
      <c r="AN24" t="s">
        <v>56</v>
      </c>
    </row>
    <row r="25" spans="1:40" x14ac:dyDescent="0.25">
      <c r="A25" t="s">
        <v>1290</v>
      </c>
      <c r="B25" t="s">
        <v>5</v>
      </c>
      <c r="C25" s="2">
        <v>3228.6699269999999</v>
      </c>
      <c r="D25" t="s">
        <v>56</v>
      </c>
      <c r="E25" t="s">
        <v>56</v>
      </c>
      <c r="F25">
        <v>-59041.88</v>
      </c>
      <c r="G25" t="s">
        <v>1290</v>
      </c>
      <c r="H25" t="s">
        <v>7</v>
      </c>
      <c r="I25">
        <v>64029.26</v>
      </c>
      <c r="J25">
        <v>0</v>
      </c>
      <c r="K25">
        <v>0</v>
      </c>
      <c r="L25">
        <v>0</v>
      </c>
      <c r="M25" t="s">
        <v>1290</v>
      </c>
      <c r="N25" t="s">
        <v>57</v>
      </c>
      <c r="O25" t="s">
        <v>58</v>
      </c>
      <c r="P25" t="s">
        <v>1291</v>
      </c>
      <c r="Q25" t="s">
        <v>1292</v>
      </c>
      <c r="R25" t="s">
        <v>61</v>
      </c>
      <c r="S25" t="s">
        <v>58</v>
      </c>
      <c r="T25" t="s">
        <v>1291</v>
      </c>
      <c r="U25" t="s">
        <v>1292</v>
      </c>
      <c r="V25" t="s">
        <v>56</v>
      </c>
      <c r="W25" t="s">
        <v>56</v>
      </c>
      <c r="X25" t="s">
        <v>56</v>
      </c>
      <c r="Y25" t="s">
        <v>62</v>
      </c>
      <c r="Z25" t="s">
        <v>63</v>
      </c>
      <c r="AA25" t="s">
        <v>64</v>
      </c>
      <c r="AB25">
        <v>1</v>
      </c>
      <c r="AC25" t="s">
        <v>78</v>
      </c>
      <c r="AD25" t="s">
        <v>66</v>
      </c>
      <c r="AE25" t="s">
        <v>85</v>
      </c>
      <c r="AF25" t="s">
        <v>86</v>
      </c>
      <c r="AG25">
        <v>100602.66</v>
      </c>
      <c r="AH25" t="s">
        <v>69</v>
      </c>
      <c r="AI25" t="s">
        <v>104</v>
      </c>
      <c r="AJ25" t="s">
        <v>912</v>
      </c>
      <c r="AK25" t="s">
        <v>72</v>
      </c>
      <c r="AL25" t="s">
        <v>73</v>
      </c>
      <c r="AM25" t="s">
        <v>73</v>
      </c>
      <c r="AN25" t="s">
        <v>56</v>
      </c>
    </row>
    <row r="26" spans="1:40" x14ac:dyDescent="0.25">
      <c r="A26" t="s">
        <v>2399</v>
      </c>
      <c r="B26" t="s">
        <v>5</v>
      </c>
      <c r="C26">
        <v>3122.1728189999999</v>
      </c>
      <c r="D26" t="s">
        <v>56</v>
      </c>
      <c r="E26" t="s">
        <v>56</v>
      </c>
      <c r="F26">
        <v>-51069.71</v>
      </c>
      <c r="G26" t="s">
        <v>2399</v>
      </c>
      <c r="H26" t="s">
        <v>7</v>
      </c>
      <c r="I26">
        <v>54578.92</v>
      </c>
      <c r="J26">
        <v>3317.5804069999999</v>
      </c>
      <c r="K26">
        <v>0</v>
      </c>
      <c r="L26">
        <v>0</v>
      </c>
      <c r="M26" t="s">
        <v>2399</v>
      </c>
      <c r="N26" t="s">
        <v>57</v>
      </c>
      <c r="O26" t="s">
        <v>58</v>
      </c>
      <c r="P26" t="s">
        <v>2400</v>
      </c>
      <c r="Q26" t="s">
        <v>2401</v>
      </c>
      <c r="R26" t="s">
        <v>61</v>
      </c>
      <c r="S26" t="s">
        <v>58</v>
      </c>
      <c r="T26" t="s">
        <v>2400</v>
      </c>
      <c r="U26" t="s">
        <v>2401</v>
      </c>
      <c r="V26" t="s">
        <v>56</v>
      </c>
      <c r="W26" t="s">
        <v>56</v>
      </c>
      <c r="X26" t="s">
        <v>56</v>
      </c>
      <c r="Y26" t="s">
        <v>62</v>
      </c>
      <c r="Z26" t="s">
        <v>63</v>
      </c>
      <c r="AA26" t="s">
        <v>64</v>
      </c>
      <c r="AB26">
        <v>1</v>
      </c>
      <c r="AC26" t="s">
        <v>78</v>
      </c>
      <c r="AD26" t="s">
        <v>66</v>
      </c>
      <c r="AE26" t="s">
        <v>113</v>
      </c>
      <c r="AF26" t="s">
        <v>68</v>
      </c>
      <c r="AG26">
        <v>55000</v>
      </c>
      <c r="AH26" t="s">
        <v>69</v>
      </c>
      <c r="AI26" t="s">
        <v>355</v>
      </c>
      <c r="AJ26" t="s">
        <v>98</v>
      </c>
      <c r="AK26" t="s">
        <v>99</v>
      </c>
      <c r="AL26" t="s">
        <v>73</v>
      </c>
      <c r="AM26" t="s">
        <v>73</v>
      </c>
      <c r="AN26" t="s">
        <v>116</v>
      </c>
    </row>
    <row r="27" spans="1:40" x14ac:dyDescent="0.25">
      <c r="A27" t="s">
        <v>2462</v>
      </c>
      <c r="B27" t="s">
        <v>5</v>
      </c>
      <c r="C27">
        <v>3062.8221480000002</v>
      </c>
      <c r="D27" t="s">
        <v>56</v>
      </c>
      <c r="E27" t="s">
        <v>56</v>
      </c>
      <c r="F27">
        <v>-31881.14</v>
      </c>
      <c r="G27" t="s">
        <v>2462</v>
      </c>
      <c r="H27" t="s">
        <v>7</v>
      </c>
      <c r="I27">
        <v>34058.639999999999</v>
      </c>
      <c r="J27">
        <v>3253.2499170000001</v>
      </c>
      <c r="K27">
        <v>0</v>
      </c>
      <c r="L27">
        <v>0</v>
      </c>
      <c r="M27" t="s">
        <v>2462</v>
      </c>
      <c r="N27" t="s">
        <v>57</v>
      </c>
      <c r="O27" t="s">
        <v>58</v>
      </c>
      <c r="P27" t="s">
        <v>2463</v>
      </c>
      <c r="Q27" t="s">
        <v>2464</v>
      </c>
      <c r="R27" t="s">
        <v>61</v>
      </c>
      <c r="S27" t="s">
        <v>58</v>
      </c>
      <c r="T27" t="s">
        <v>2463</v>
      </c>
      <c r="U27" t="s">
        <v>2464</v>
      </c>
      <c r="V27" t="s">
        <v>56</v>
      </c>
      <c r="W27" t="s">
        <v>56</v>
      </c>
      <c r="X27" t="s">
        <v>56</v>
      </c>
      <c r="Y27" t="s">
        <v>62</v>
      </c>
      <c r="Z27" t="s">
        <v>63</v>
      </c>
      <c r="AA27" t="s">
        <v>64</v>
      </c>
      <c r="AB27">
        <v>1</v>
      </c>
      <c r="AC27" t="s">
        <v>84</v>
      </c>
      <c r="AD27" t="s">
        <v>66</v>
      </c>
      <c r="AE27" t="s">
        <v>113</v>
      </c>
      <c r="AF27" t="s">
        <v>68</v>
      </c>
      <c r="AG27">
        <v>35000</v>
      </c>
      <c r="AH27" t="s">
        <v>69</v>
      </c>
      <c r="AI27" t="s">
        <v>104</v>
      </c>
      <c r="AJ27" t="s">
        <v>109</v>
      </c>
      <c r="AK27" t="s">
        <v>99</v>
      </c>
      <c r="AL27" t="s">
        <v>73</v>
      </c>
      <c r="AM27" t="s">
        <v>73</v>
      </c>
      <c r="AN27" t="s">
        <v>116</v>
      </c>
    </row>
    <row r="28" spans="1:40" x14ac:dyDescent="0.25">
      <c r="A28" t="s">
        <v>2360</v>
      </c>
      <c r="B28" t="s">
        <v>5</v>
      </c>
      <c r="C28">
        <v>3061.9949839999999</v>
      </c>
      <c r="D28" t="s">
        <v>56</v>
      </c>
      <c r="E28" t="s">
        <v>56</v>
      </c>
      <c r="F28">
        <v>-20944.810000000001</v>
      </c>
      <c r="G28" t="s">
        <v>2360</v>
      </c>
      <c r="H28" t="s">
        <v>7</v>
      </c>
      <c r="I28">
        <v>23067.200000000001</v>
      </c>
      <c r="J28">
        <v>3352.9718720000001</v>
      </c>
      <c r="K28">
        <v>0</v>
      </c>
      <c r="L28">
        <v>0</v>
      </c>
      <c r="M28" t="s">
        <v>2360</v>
      </c>
      <c r="N28" t="s">
        <v>57</v>
      </c>
      <c r="O28" t="s">
        <v>58</v>
      </c>
      <c r="P28" t="s">
        <v>2361</v>
      </c>
      <c r="Q28" t="s">
        <v>2362</v>
      </c>
      <c r="R28" t="s">
        <v>61</v>
      </c>
      <c r="S28" t="s">
        <v>58</v>
      </c>
      <c r="T28" t="s">
        <v>2361</v>
      </c>
      <c r="U28" t="s">
        <v>2362</v>
      </c>
      <c r="V28" t="s">
        <v>56</v>
      </c>
      <c r="W28" t="s">
        <v>56</v>
      </c>
      <c r="X28" t="s">
        <v>56</v>
      </c>
      <c r="Y28" t="s">
        <v>62</v>
      </c>
      <c r="Z28" t="s">
        <v>63</v>
      </c>
      <c r="AA28" t="s">
        <v>64</v>
      </c>
      <c r="AB28">
        <v>1</v>
      </c>
      <c r="AC28" t="s">
        <v>78</v>
      </c>
      <c r="AD28" t="s">
        <v>66</v>
      </c>
      <c r="AE28" t="s">
        <v>113</v>
      </c>
      <c r="AF28" t="s">
        <v>68</v>
      </c>
      <c r="AG28">
        <v>23000</v>
      </c>
      <c r="AH28" t="s">
        <v>69</v>
      </c>
      <c r="AI28" t="s">
        <v>244</v>
      </c>
      <c r="AJ28" t="s">
        <v>606</v>
      </c>
      <c r="AK28" t="s">
        <v>99</v>
      </c>
      <c r="AL28" t="s">
        <v>73</v>
      </c>
      <c r="AM28" t="s">
        <v>73</v>
      </c>
      <c r="AN28" t="s">
        <v>116</v>
      </c>
    </row>
    <row r="29" spans="1:40" x14ac:dyDescent="0.25">
      <c r="A29" t="s">
        <v>1784</v>
      </c>
      <c r="B29" t="s">
        <v>5</v>
      </c>
      <c r="C29">
        <v>3059.486594</v>
      </c>
      <c r="D29" t="s">
        <v>56</v>
      </c>
      <c r="E29" t="s">
        <v>56</v>
      </c>
      <c r="F29">
        <v>-36395.910000000003</v>
      </c>
      <c r="G29" t="s">
        <v>1784</v>
      </c>
      <c r="H29" t="s">
        <v>7</v>
      </c>
      <c r="I29">
        <v>40108.53</v>
      </c>
      <c r="J29">
        <v>3352.259763</v>
      </c>
      <c r="K29">
        <v>0</v>
      </c>
      <c r="L29">
        <v>0</v>
      </c>
      <c r="M29" t="s">
        <v>1784</v>
      </c>
      <c r="N29" t="s">
        <v>57</v>
      </c>
      <c r="O29" t="s">
        <v>58</v>
      </c>
      <c r="P29" t="s">
        <v>1785</v>
      </c>
      <c r="Q29" t="s">
        <v>1786</v>
      </c>
      <c r="R29" t="s">
        <v>61</v>
      </c>
      <c r="S29" t="s">
        <v>58</v>
      </c>
      <c r="T29" t="s">
        <v>1785</v>
      </c>
      <c r="U29" t="s">
        <v>1786</v>
      </c>
      <c r="V29" t="s">
        <v>56</v>
      </c>
      <c r="W29" t="s">
        <v>56</v>
      </c>
      <c r="X29" t="s">
        <v>56</v>
      </c>
      <c r="Y29" t="s">
        <v>62</v>
      </c>
      <c r="Z29" t="s">
        <v>63</v>
      </c>
      <c r="AA29" t="s">
        <v>64</v>
      </c>
      <c r="AB29">
        <v>1</v>
      </c>
      <c r="AC29" t="s">
        <v>84</v>
      </c>
      <c r="AD29" t="s">
        <v>66</v>
      </c>
      <c r="AE29" t="s">
        <v>113</v>
      </c>
      <c r="AF29" t="s">
        <v>68</v>
      </c>
      <c r="AG29">
        <v>40000</v>
      </c>
      <c r="AH29" t="s">
        <v>69</v>
      </c>
      <c r="AI29" t="s">
        <v>355</v>
      </c>
      <c r="AJ29" t="s">
        <v>606</v>
      </c>
      <c r="AK29" t="s">
        <v>99</v>
      </c>
      <c r="AL29" t="s">
        <v>73</v>
      </c>
      <c r="AM29" t="s">
        <v>73</v>
      </c>
      <c r="AN29" t="s">
        <v>116</v>
      </c>
    </row>
    <row r="30" spans="1:40" x14ac:dyDescent="0.25">
      <c r="A30" t="s">
        <v>352</v>
      </c>
      <c r="B30" t="s">
        <v>5</v>
      </c>
      <c r="C30" s="2">
        <v>2978.680339</v>
      </c>
      <c r="D30" t="s">
        <v>56</v>
      </c>
      <c r="E30" t="s">
        <v>56</v>
      </c>
      <c r="F30">
        <v>-71541.679999999993</v>
      </c>
      <c r="G30" t="s">
        <v>352</v>
      </c>
      <c r="H30" t="s">
        <v>7</v>
      </c>
      <c r="I30">
        <v>77629.14</v>
      </c>
      <c r="J30">
        <v>0</v>
      </c>
      <c r="K30">
        <v>0</v>
      </c>
      <c r="L30">
        <v>0</v>
      </c>
      <c r="M30" t="s">
        <v>352</v>
      </c>
      <c r="N30" t="s">
        <v>57</v>
      </c>
      <c r="O30" t="s">
        <v>58</v>
      </c>
      <c r="P30" t="s">
        <v>353</v>
      </c>
      <c r="Q30" t="s">
        <v>354</v>
      </c>
      <c r="R30" t="s">
        <v>61</v>
      </c>
      <c r="S30" t="s">
        <v>58</v>
      </c>
      <c r="T30" t="s">
        <v>353</v>
      </c>
      <c r="U30" t="s">
        <v>354</v>
      </c>
      <c r="V30" t="s">
        <v>56</v>
      </c>
      <c r="W30" t="s">
        <v>56</v>
      </c>
      <c r="X30" t="s">
        <v>56</v>
      </c>
      <c r="Y30" t="s">
        <v>62</v>
      </c>
      <c r="Z30" t="s">
        <v>63</v>
      </c>
      <c r="AA30" t="s">
        <v>64</v>
      </c>
      <c r="AB30">
        <v>1</v>
      </c>
      <c r="AC30" t="s">
        <v>84</v>
      </c>
      <c r="AD30" t="s">
        <v>66</v>
      </c>
      <c r="AE30" t="s">
        <v>85</v>
      </c>
      <c r="AF30" t="s">
        <v>68</v>
      </c>
      <c r="AG30">
        <v>114097.56</v>
      </c>
      <c r="AH30" t="s">
        <v>69</v>
      </c>
      <c r="AI30" t="s">
        <v>355</v>
      </c>
      <c r="AJ30" t="s">
        <v>182</v>
      </c>
      <c r="AK30" t="s">
        <v>72</v>
      </c>
      <c r="AL30" t="s">
        <v>73</v>
      </c>
      <c r="AM30" t="s">
        <v>73</v>
      </c>
      <c r="AN30" t="s">
        <v>56</v>
      </c>
    </row>
    <row r="31" spans="1:40" x14ac:dyDescent="0.25">
      <c r="A31" t="s">
        <v>110</v>
      </c>
      <c r="B31" t="s">
        <v>5</v>
      </c>
      <c r="C31">
        <v>2976.3129370000001</v>
      </c>
      <c r="D31" t="s">
        <v>56</v>
      </c>
      <c r="E31" t="s">
        <v>56</v>
      </c>
      <c r="F31">
        <v>-26919.52</v>
      </c>
      <c r="G31" t="s">
        <v>110</v>
      </c>
      <c r="H31" t="s">
        <v>7</v>
      </c>
      <c r="I31">
        <v>30773.99</v>
      </c>
      <c r="J31">
        <v>3382.9172100000001</v>
      </c>
      <c r="K31">
        <v>0</v>
      </c>
      <c r="L31">
        <v>0</v>
      </c>
      <c r="M31" t="s">
        <v>110</v>
      </c>
      <c r="N31" t="s">
        <v>57</v>
      </c>
      <c r="O31" t="s">
        <v>58</v>
      </c>
      <c r="P31" t="s">
        <v>111</v>
      </c>
      <c r="Q31" t="s">
        <v>112</v>
      </c>
      <c r="R31" t="s">
        <v>61</v>
      </c>
      <c r="S31" t="s">
        <v>58</v>
      </c>
      <c r="T31" t="s">
        <v>111</v>
      </c>
      <c r="U31" t="s">
        <v>112</v>
      </c>
      <c r="V31" t="s">
        <v>56</v>
      </c>
      <c r="W31" t="s">
        <v>56</v>
      </c>
      <c r="X31" t="s">
        <v>56</v>
      </c>
      <c r="Y31" t="s">
        <v>62</v>
      </c>
      <c r="Z31" t="s">
        <v>63</v>
      </c>
      <c r="AA31" t="s">
        <v>64</v>
      </c>
      <c r="AB31">
        <v>1</v>
      </c>
      <c r="AC31" t="s">
        <v>84</v>
      </c>
      <c r="AD31" t="s">
        <v>66</v>
      </c>
      <c r="AE31" t="s">
        <v>113</v>
      </c>
      <c r="AF31" t="s">
        <v>68</v>
      </c>
      <c r="AG31">
        <v>30412</v>
      </c>
      <c r="AH31" t="s">
        <v>69</v>
      </c>
      <c r="AI31" t="s">
        <v>114</v>
      </c>
      <c r="AJ31" t="s">
        <v>115</v>
      </c>
      <c r="AK31" t="s">
        <v>99</v>
      </c>
      <c r="AL31" t="s">
        <v>73</v>
      </c>
      <c r="AM31" t="s">
        <v>73</v>
      </c>
      <c r="AN31" t="s">
        <v>116</v>
      </c>
    </row>
    <row r="32" spans="1:40" x14ac:dyDescent="0.25">
      <c r="A32" t="s">
        <v>1484</v>
      </c>
      <c r="B32" t="s">
        <v>5</v>
      </c>
      <c r="C32">
        <v>2976.30285</v>
      </c>
      <c r="D32" t="s">
        <v>56</v>
      </c>
      <c r="E32" t="s">
        <v>56</v>
      </c>
      <c r="F32">
        <v>-26932.71</v>
      </c>
      <c r="G32" t="s">
        <v>1484</v>
      </c>
      <c r="H32" t="s">
        <v>7</v>
      </c>
      <c r="I32">
        <v>30480.959999999999</v>
      </c>
      <c r="J32">
        <v>3349.0536029999998</v>
      </c>
      <c r="K32">
        <v>0</v>
      </c>
      <c r="L32">
        <v>0</v>
      </c>
      <c r="M32" t="s">
        <v>1484</v>
      </c>
      <c r="N32" t="s">
        <v>57</v>
      </c>
      <c r="O32" t="s">
        <v>58</v>
      </c>
      <c r="P32" t="s">
        <v>1485</v>
      </c>
      <c r="Q32" t="s">
        <v>112</v>
      </c>
      <c r="R32" t="s">
        <v>61</v>
      </c>
      <c r="S32" t="s">
        <v>58</v>
      </c>
      <c r="T32" t="s">
        <v>1485</v>
      </c>
      <c r="U32" t="s">
        <v>112</v>
      </c>
      <c r="V32" t="s">
        <v>56</v>
      </c>
      <c r="W32" t="s">
        <v>56</v>
      </c>
      <c r="X32" t="s">
        <v>56</v>
      </c>
      <c r="Y32" t="s">
        <v>62</v>
      </c>
      <c r="Z32" t="s">
        <v>63</v>
      </c>
      <c r="AA32" t="s">
        <v>64</v>
      </c>
      <c r="AB32">
        <v>1</v>
      </c>
      <c r="AC32" t="s">
        <v>84</v>
      </c>
      <c r="AD32" t="s">
        <v>66</v>
      </c>
      <c r="AE32" t="s">
        <v>113</v>
      </c>
      <c r="AF32" t="s">
        <v>68</v>
      </c>
      <c r="AG32">
        <v>30427</v>
      </c>
      <c r="AH32" t="s">
        <v>69</v>
      </c>
      <c r="AI32" t="s">
        <v>114</v>
      </c>
      <c r="AJ32" t="s">
        <v>115</v>
      </c>
      <c r="AK32" t="s">
        <v>99</v>
      </c>
      <c r="AL32" t="s">
        <v>73</v>
      </c>
      <c r="AM32" t="s">
        <v>73</v>
      </c>
      <c r="AN32" t="s">
        <v>116</v>
      </c>
    </row>
    <row r="33" spans="1:40" x14ac:dyDescent="0.25">
      <c r="A33" t="s">
        <v>1838</v>
      </c>
      <c r="B33" t="s">
        <v>5</v>
      </c>
      <c r="C33" s="2">
        <v>2960.0851550000002</v>
      </c>
      <c r="D33" t="s">
        <v>56</v>
      </c>
      <c r="E33" t="s">
        <v>56</v>
      </c>
      <c r="F33">
        <v>-30988.880000000001</v>
      </c>
      <c r="G33" t="s">
        <v>1838</v>
      </c>
      <c r="H33" t="s">
        <v>7</v>
      </c>
      <c r="I33">
        <v>35102.26</v>
      </c>
      <c r="J33">
        <v>0</v>
      </c>
      <c r="K33">
        <v>0</v>
      </c>
      <c r="L33">
        <v>0</v>
      </c>
      <c r="M33" t="s">
        <v>1838</v>
      </c>
      <c r="N33" t="s">
        <v>57</v>
      </c>
      <c r="O33" t="s">
        <v>58</v>
      </c>
      <c r="P33" t="s">
        <v>1839</v>
      </c>
      <c r="Q33" t="s">
        <v>1840</v>
      </c>
      <c r="R33" t="s">
        <v>61</v>
      </c>
      <c r="S33" t="s">
        <v>58</v>
      </c>
      <c r="T33" t="s">
        <v>1839</v>
      </c>
      <c r="U33" t="s">
        <v>1840</v>
      </c>
      <c r="V33" t="s">
        <v>56</v>
      </c>
      <c r="W33" t="s">
        <v>56</v>
      </c>
      <c r="X33" t="s">
        <v>56</v>
      </c>
      <c r="Y33" t="s">
        <v>62</v>
      </c>
      <c r="Z33" t="s">
        <v>63</v>
      </c>
      <c r="AA33" t="s">
        <v>64</v>
      </c>
      <c r="AB33">
        <v>1</v>
      </c>
      <c r="AC33" t="s">
        <v>84</v>
      </c>
      <c r="AD33" t="s">
        <v>66</v>
      </c>
      <c r="AE33" t="s">
        <v>85</v>
      </c>
      <c r="AF33" t="s">
        <v>68</v>
      </c>
      <c r="AG33">
        <v>35000</v>
      </c>
      <c r="AH33" t="s">
        <v>69</v>
      </c>
      <c r="AI33" t="s">
        <v>1009</v>
      </c>
      <c r="AJ33" t="s">
        <v>606</v>
      </c>
      <c r="AK33" t="s">
        <v>99</v>
      </c>
      <c r="AL33" t="s">
        <v>73</v>
      </c>
      <c r="AM33" t="s">
        <v>73</v>
      </c>
      <c r="AN33" t="s">
        <v>56</v>
      </c>
    </row>
    <row r="34" spans="1:40" x14ac:dyDescent="0.25">
      <c r="A34" t="s">
        <v>929</v>
      </c>
      <c r="B34" t="s">
        <v>5</v>
      </c>
      <c r="C34" s="2">
        <v>2955.2905030000002</v>
      </c>
      <c r="D34" t="s">
        <v>56</v>
      </c>
      <c r="E34" t="s">
        <v>56</v>
      </c>
      <c r="F34">
        <v>-27628.68</v>
      </c>
      <c r="G34" t="s">
        <v>929</v>
      </c>
      <c r="H34" t="s">
        <v>7</v>
      </c>
      <c r="I34">
        <v>31806.49</v>
      </c>
      <c r="J34">
        <v>0</v>
      </c>
      <c r="K34">
        <v>0</v>
      </c>
      <c r="L34">
        <v>0</v>
      </c>
      <c r="M34" t="s">
        <v>929</v>
      </c>
      <c r="N34" t="s">
        <v>57</v>
      </c>
      <c r="O34" t="s">
        <v>58</v>
      </c>
      <c r="P34" t="s">
        <v>930</v>
      </c>
      <c r="Q34" t="s">
        <v>931</v>
      </c>
      <c r="R34" t="s">
        <v>61</v>
      </c>
      <c r="S34" t="s">
        <v>58</v>
      </c>
      <c r="T34" t="s">
        <v>930</v>
      </c>
      <c r="U34" t="s">
        <v>931</v>
      </c>
      <c r="V34" t="s">
        <v>56</v>
      </c>
      <c r="W34" t="s">
        <v>56</v>
      </c>
      <c r="X34" t="s">
        <v>56</v>
      </c>
      <c r="Y34" t="s">
        <v>62</v>
      </c>
      <c r="Z34" t="s">
        <v>63</v>
      </c>
      <c r="AA34" t="s">
        <v>64</v>
      </c>
      <c r="AB34">
        <v>1</v>
      </c>
      <c r="AC34" t="s">
        <v>84</v>
      </c>
      <c r="AD34" t="s">
        <v>66</v>
      </c>
      <c r="AE34" t="s">
        <v>85</v>
      </c>
      <c r="AF34" t="s">
        <v>103</v>
      </c>
      <c r="AG34">
        <v>56793.49</v>
      </c>
      <c r="AH34" t="s">
        <v>69</v>
      </c>
      <c r="AI34" t="s">
        <v>181</v>
      </c>
      <c r="AJ34" t="s">
        <v>932</v>
      </c>
      <c r="AK34" t="s">
        <v>72</v>
      </c>
      <c r="AL34" t="s">
        <v>73</v>
      </c>
      <c r="AM34" t="s">
        <v>73</v>
      </c>
      <c r="AN34" t="s">
        <v>56</v>
      </c>
    </row>
    <row r="35" spans="1:40" x14ac:dyDescent="0.25">
      <c r="A35" t="s">
        <v>2094</v>
      </c>
      <c r="B35" t="s">
        <v>5</v>
      </c>
      <c r="C35">
        <v>2906.5352969999999</v>
      </c>
      <c r="D35" t="s">
        <v>56</v>
      </c>
      <c r="E35" t="s">
        <v>56</v>
      </c>
      <c r="F35">
        <v>-21610.23</v>
      </c>
      <c r="G35" t="s">
        <v>2094</v>
      </c>
      <c r="H35" t="s">
        <v>7</v>
      </c>
      <c r="I35">
        <v>23500.81</v>
      </c>
      <c r="J35">
        <v>3142.639052</v>
      </c>
      <c r="K35">
        <v>0</v>
      </c>
      <c r="L35">
        <v>0</v>
      </c>
      <c r="M35" t="s">
        <v>2094</v>
      </c>
      <c r="N35" t="s">
        <v>57</v>
      </c>
      <c r="O35" t="s">
        <v>58</v>
      </c>
      <c r="P35" t="s">
        <v>2095</v>
      </c>
      <c r="Q35" t="s">
        <v>2096</v>
      </c>
      <c r="R35" t="s">
        <v>61</v>
      </c>
      <c r="S35" t="s">
        <v>58</v>
      </c>
      <c r="T35" t="s">
        <v>2095</v>
      </c>
      <c r="U35" t="s">
        <v>2096</v>
      </c>
      <c r="V35" t="s">
        <v>56</v>
      </c>
      <c r="W35" t="s">
        <v>56</v>
      </c>
      <c r="X35" t="s">
        <v>56</v>
      </c>
      <c r="Y35" t="s">
        <v>62</v>
      </c>
      <c r="Z35" t="s">
        <v>63</v>
      </c>
      <c r="AA35" t="s">
        <v>64</v>
      </c>
      <c r="AB35">
        <v>1</v>
      </c>
      <c r="AC35" t="s">
        <v>78</v>
      </c>
      <c r="AD35" t="s">
        <v>66</v>
      </c>
      <c r="AE35" t="s">
        <v>113</v>
      </c>
      <c r="AF35" t="s">
        <v>68</v>
      </c>
      <c r="AG35">
        <v>25000</v>
      </c>
      <c r="AH35" t="s">
        <v>69</v>
      </c>
      <c r="AI35" t="s">
        <v>87</v>
      </c>
      <c r="AJ35" t="s">
        <v>324</v>
      </c>
      <c r="AK35" t="s">
        <v>99</v>
      </c>
      <c r="AL35" t="s">
        <v>73</v>
      </c>
      <c r="AM35" t="s">
        <v>73</v>
      </c>
      <c r="AN35" t="s">
        <v>116</v>
      </c>
    </row>
    <row r="36" spans="1:40" x14ac:dyDescent="0.25">
      <c r="A36" t="s">
        <v>246</v>
      </c>
      <c r="B36" t="s">
        <v>5</v>
      </c>
      <c r="C36" s="2">
        <v>2900.9634219999998</v>
      </c>
      <c r="D36" t="s">
        <v>56</v>
      </c>
      <c r="E36" t="s">
        <v>56</v>
      </c>
      <c r="F36">
        <v>-48019.22</v>
      </c>
      <c r="G36" t="s">
        <v>246</v>
      </c>
      <c r="H36" t="s">
        <v>7</v>
      </c>
      <c r="I36">
        <v>47841.06</v>
      </c>
      <c r="J36">
        <v>0</v>
      </c>
      <c r="K36">
        <v>0</v>
      </c>
      <c r="L36">
        <v>0</v>
      </c>
      <c r="M36" t="s">
        <v>246</v>
      </c>
      <c r="N36" t="s">
        <v>57</v>
      </c>
      <c r="O36" t="s">
        <v>58</v>
      </c>
      <c r="P36" t="s">
        <v>247</v>
      </c>
      <c r="Q36" t="s">
        <v>248</v>
      </c>
      <c r="R36" t="s">
        <v>61</v>
      </c>
      <c r="S36" t="s">
        <v>58</v>
      </c>
      <c r="T36" t="s">
        <v>247</v>
      </c>
      <c r="U36" t="s">
        <v>248</v>
      </c>
      <c r="V36" t="s">
        <v>56</v>
      </c>
      <c r="W36" t="s">
        <v>56</v>
      </c>
      <c r="X36" t="s">
        <v>56</v>
      </c>
      <c r="Y36" t="s">
        <v>62</v>
      </c>
      <c r="Z36" t="s">
        <v>63</v>
      </c>
      <c r="AA36" t="s">
        <v>64</v>
      </c>
      <c r="AB36">
        <v>1</v>
      </c>
      <c r="AC36" t="s">
        <v>84</v>
      </c>
      <c r="AD36" t="s">
        <v>66</v>
      </c>
      <c r="AE36" t="s">
        <v>85</v>
      </c>
      <c r="AF36" t="s">
        <v>68</v>
      </c>
      <c r="AG36">
        <v>55340</v>
      </c>
      <c r="AH36" t="s">
        <v>69</v>
      </c>
      <c r="AI36" t="s">
        <v>176</v>
      </c>
      <c r="AJ36" t="s">
        <v>249</v>
      </c>
      <c r="AK36" t="s">
        <v>99</v>
      </c>
      <c r="AL36" t="s">
        <v>73</v>
      </c>
      <c r="AM36" t="s">
        <v>73</v>
      </c>
      <c r="AN36" t="s">
        <v>56</v>
      </c>
    </row>
    <row r="37" spans="1:40" x14ac:dyDescent="0.25">
      <c r="A37" t="s">
        <v>1590</v>
      </c>
      <c r="B37" t="s">
        <v>5</v>
      </c>
      <c r="C37">
        <v>2857.9814649999998</v>
      </c>
      <c r="D37" t="s">
        <v>56</v>
      </c>
      <c r="E37" t="s">
        <v>56</v>
      </c>
      <c r="F37">
        <v>-40798.53</v>
      </c>
      <c r="G37" t="s">
        <v>1590</v>
      </c>
      <c r="H37" t="s">
        <v>7</v>
      </c>
      <c r="I37">
        <v>45208.89</v>
      </c>
      <c r="J37">
        <v>3148.767198</v>
      </c>
      <c r="K37">
        <v>0</v>
      </c>
      <c r="L37">
        <v>0</v>
      </c>
      <c r="M37" t="s">
        <v>1590</v>
      </c>
      <c r="N37" t="s">
        <v>57</v>
      </c>
      <c r="O37" t="s">
        <v>58</v>
      </c>
      <c r="P37" t="s">
        <v>1591</v>
      </c>
      <c r="Q37" t="s">
        <v>1592</v>
      </c>
      <c r="R37" t="s">
        <v>61</v>
      </c>
      <c r="S37" t="s">
        <v>58</v>
      </c>
      <c r="T37" t="s">
        <v>1591</v>
      </c>
      <c r="U37" t="s">
        <v>1592</v>
      </c>
      <c r="V37" t="s">
        <v>56</v>
      </c>
      <c r="W37" t="s">
        <v>56</v>
      </c>
      <c r="X37" t="s">
        <v>56</v>
      </c>
      <c r="Y37" t="s">
        <v>62</v>
      </c>
      <c r="Z37" t="s">
        <v>63</v>
      </c>
      <c r="AA37" t="s">
        <v>64</v>
      </c>
      <c r="AB37">
        <v>1</v>
      </c>
      <c r="AC37" t="s">
        <v>84</v>
      </c>
      <c r="AD37" t="s">
        <v>66</v>
      </c>
      <c r="AE37" t="s">
        <v>113</v>
      </c>
      <c r="AF37" t="s">
        <v>68</v>
      </c>
      <c r="AG37">
        <v>48000</v>
      </c>
      <c r="AH37" t="s">
        <v>69</v>
      </c>
      <c r="AI37" t="s">
        <v>491</v>
      </c>
      <c r="AJ37" t="s">
        <v>265</v>
      </c>
      <c r="AK37" t="s">
        <v>99</v>
      </c>
      <c r="AL37" t="s">
        <v>73</v>
      </c>
      <c r="AM37" t="s">
        <v>73</v>
      </c>
      <c r="AN37" t="s">
        <v>116</v>
      </c>
    </row>
    <row r="38" spans="1:40" x14ac:dyDescent="0.25">
      <c r="A38" t="s">
        <v>680</v>
      </c>
      <c r="B38" t="s">
        <v>5</v>
      </c>
      <c r="C38">
        <v>2812.1729949999999</v>
      </c>
      <c r="D38" t="s">
        <v>56</v>
      </c>
      <c r="E38" t="s">
        <v>56</v>
      </c>
      <c r="F38">
        <v>-41658.61</v>
      </c>
      <c r="G38" t="s">
        <v>680</v>
      </c>
      <c r="H38" t="s">
        <v>7</v>
      </c>
      <c r="I38">
        <v>46775.28</v>
      </c>
      <c r="J38">
        <v>2395.9613859999999</v>
      </c>
      <c r="K38">
        <v>0</v>
      </c>
      <c r="L38">
        <v>0</v>
      </c>
      <c r="M38" t="s">
        <v>680</v>
      </c>
      <c r="N38" t="s">
        <v>57</v>
      </c>
      <c r="O38" t="s">
        <v>58</v>
      </c>
      <c r="P38" t="s">
        <v>681</v>
      </c>
      <c r="Q38" t="s">
        <v>682</v>
      </c>
      <c r="R38" t="s">
        <v>61</v>
      </c>
      <c r="S38" t="s">
        <v>58</v>
      </c>
      <c r="T38" t="s">
        <v>681</v>
      </c>
      <c r="U38" t="s">
        <v>682</v>
      </c>
      <c r="V38" t="s">
        <v>56</v>
      </c>
      <c r="W38" t="s">
        <v>56</v>
      </c>
      <c r="X38" t="s">
        <v>56</v>
      </c>
      <c r="Y38" t="s">
        <v>62</v>
      </c>
      <c r="Z38" t="s">
        <v>63</v>
      </c>
      <c r="AA38" t="s">
        <v>64</v>
      </c>
      <c r="AB38">
        <v>1</v>
      </c>
      <c r="AC38" t="s">
        <v>84</v>
      </c>
      <c r="AD38" t="s">
        <v>66</v>
      </c>
      <c r="AE38" t="s">
        <v>113</v>
      </c>
      <c r="AF38" t="s">
        <v>103</v>
      </c>
      <c r="AG38">
        <v>65268.14</v>
      </c>
      <c r="AH38" t="s">
        <v>69</v>
      </c>
      <c r="AI38" t="s">
        <v>142</v>
      </c>
      <c r="AJ38" t="s">
        <v>138</v>
      </c>
      <c r="AK38" t="s">
        <v>72</v>
      </c>
      <c r="AL38" t="s">
        <v>73</v>
      </c>
      <c r="AM38" t="s">
        <v>73</v>
      </c>
      <c r="AN38" t="s">
        <v>116</v>
      </c>
    </row>
    <row r="39" spans="1:40" x14ac:dyDescent="0.25">
      <c r="A39" t="s">
        <v>1281</v>
      </c>
      <c r="B39" t="s">
        <v>5</v>
      </c>
      <c r="C39">
        <v>2703.153918</v>
      </c>
      <c r="D39" t="s">
        <v>56</v>
      </c>
      <c r="E39" t="s">
        <v>56</v>
      </c>
      <c r="F39">
        <v>-28836.59</v>
      </c>
      <c r="G39" t="s">
        <v>1281</v>
      </c>
      <c r="H39" t="s">
        <v>7</v>
      </c>
      <c r="I39">
        <v>32218.48</v>
      </c>
      <c r="J39">
        <v>3002.9320299999999</v>
      </c>
      <c r="K39">
        <v>0</v>
      </c>
      <c r="L39">
        <v>0</v>
      </c>
      <c r="M39" t="s">
        <v>1281</v>
      </c>
      <c r="N39" t="s">
        <v>57</v>
      </c>
      <c r="O39" t="s">
        <v>58</v>
      </c>
      <c r="P39" t="s">
        <v>1282</v>
      </c>
      <c r="Q39" t="s">
        <v>1283</v>
      </c>
      <c r="R39" t="s">
        <v>61</v>
      </c>
      <c r="S39" t="s">
        <v>58</v>
      </c>
      <c r="T39" t="s">
        <v>1282</v>
      </c>
      <c r="U39" t="s">
        <v>1283</v>
      </c>
      <c r="V39" t="s">
        <v>56</v>
      </c>
      <c r="W39" t="s">
        <v>56</v>
      </c>
      <c r="X39" t="s">
        <v>56</v>
      </c>
      <c r="Y39" t="s">
        <v>62</v>
      </c>
      <c r="Z39" t="s">
        <v>63</v>
      </c>
      <c r="AA39" t="s">
        <v>64</v>
      </c>
      <c r="AB39">
        <v>1</v>
      </c>
      <c r="AC39" t="s">
        <v>78</v>
      </c>
      <c r="AD39" t="s">
        <v>66</v>
      </c>
      <c r="AE39" t="s">
        <v>113</v>
      </c>
      <c r="AF39" t="s">
        <v>68</v>
      </c>
      <c r="AG39">
        <v>35869.800000000003</v>
      </c>
      <c r="AH39" t="s">
        <v>69</v>
      </c>
      <c r="AI39" t="s">
        <v>128</v>
      </c>
      <c r="AJ39" t="s">
        <v>164</v>
      </c>
      <c r="AK39" t="s">
        <v>99</v>
      </c>
      <c r="AL39" t="s">
        <v>73</v>
      </c>
      <c r="AM39" t="s">
        <v>73</v>
      </c>
      <c r="AN39" t="s">
        <v>116</v>
      </c>
    </row>
    <row r="40" spans="1:40" x14ac:dyDescent="0.25">
      <c r="A40" t="s">
        <v>262</v>
      </c>
      <c r="B40" t="s">
        <v>5</v>
      </c>
      <c r="C40" s="2">
        <v>2699.9849680000002</v>
      </c>
      <c r="D40" t="s">
        <v>56</v>
      </c>
      <c r="E40" t="s">
        <v>56</v>
      </c>
      <c r="F40">
        <v>-22612.720000000001</v>
      </c>
      <c r="G40" t="s">
        <v>262</v>
      </c>
      <c r="H40" t="s">
        <v>7</v>
      </c>
      <c r="I40">
        <v>25902.57</v>
      </c>
      <c r="J40">
        <v>0</v>
      </c>
      <c r="K40">
        <v>0</v>
      </c>
      <c r="L40">
        <v>0</v>
      </c>
      <c r="M40" t="s">
        <v>262</v>
      </c>
      <c r="N40" t="s">
        <v>57</v>
      </c>
      <c r="O40" t="s">
        <v>58</v>
      </c>
      <c r="P40" t="s">
        <v>263</v>
      </c>
      <c r="Q40" t="s">
        <v>264</v>
      </c>
      <c r="R40" t="s">
        <v>61</v>
      </c>
      <c r="S40" t="s">
        <v>58</v>
      </c>
      <c r="T40" t="s">
        <v>263</v>
      </c>
      <c r="U40" t="s">
        <v>264</v>
      </c>
      <c r="V40" t="s">
        <v>56</v>
      </c>
      <c r="W40" t="s">
        <v>56</v>
      </c>
      <c r="X40" t="s">
        <v>56</v>
      </c>
      <c r="Y40" t="s">
        <v>62</v>
      </c>
      <c r="Z40" t="s">
        <v>63</v>
      </c>
      <c r="AA40" t="s">
        <v>64</v>
      </c>
      <c r="AB40">
        <v>1</v>
      </c>
      <c r="AC40" t="s">
        <v>78</v>
      </c>
      <c r="AD40" t="s">
        <v>66</v>
      </c>
      <c r="AE40" t="s">
        <v>85</v>
      </c>
      <c r="AF40" t="s">
        <v>68</v>
      </c>
      <c r="AG40">
        <v>28000</v>
      </c>
      <c r="AH40" t="s">
        <v>69</v>
      </c>
      <c r="AI40" t="s">
        <v>70</v>
      </c>
      <c r="AJ40" t="s">
        <v>265</v>
      </c>
      <c r="AK40" t="s">
        <v>99</v>
      </c>
      <c r="AL40" t="s">
        <v>73</v>
      </c>
      <c r="AM40" t="s">
        <v>73</v>
      </c>
      <c r="AN40" t="s">
        <v>56</v>
      </c>
    </row>
    <row r="41" spans="1:40" x14ac:dyDescent="0.25">
      <c r="A41" t="s">
        <v>1572</v>
      </c>
      <c r="B41" t="s">
        <v>5</v>
      </c>
      <c r="C41" s="2">
        <v>2639.2273209999998</v>
      </c>
      <c r="D41" t="s">
        <v>56</v>
      </c>
      <c r="E41" t="s">
        <v>56</v>
      </c>
      <c r="F41">
        <v>-21721.7</v>
      </c>
      <c r="G41" t="s">
        <v>1572</v>
      </c>
      <c r="H41" t="s">
        <v>7</v>
      </c>
      <c r="I41">
        <v>27365.77</v>
      </c>
      <c r="J41">
        <v>0</v>
      </c>
      <c r="K41">
        <v>0</v>
      </c>
      <c r="L41">
        <v>0</v>
      </c>
      <c r="M41" t="s">
        <v>1572</v>
      </c>
      <c r="N41" t="s">
        <v>57</v>
      </c>
      <c r="O41" t="s">
        <v>58</v>
      </c>
      <c r="P41" t="s">
        <v>1573</v>
      </c>
      <c r="Q41" t="s">
        <v>1574</v>
      </c>
      <c r="R41" t="s">
        <v>61</v>
      </c>
      <c r="S41" t="s">
        <v>58</v>
      </c>
      <c r="T41" t="s">
        <v>1573</v>
      </c>
      <c r="U41" t="s">
        <v>1574</v>
      </c>
      <c r="V41" t="s">
        <v>56</v>
      </c>
      <c r="W41" t="s">
        <v>56</v>
      </c>
      <c r="X41" t="s">
        <v>56</v>
      </c>
      <c r="Y41" t="s">
        <v>62</v>
      </c>
      <c r="Z41" t="s">
        <v>63</v>
      </c>
      <c r="AA41" t="s">
        <v>64</v>
      </c>
      <c r="AB41">
        <v>1</v>
      </c>
      <c r="AC41" t="s">
        <v>84</v>
      </c>
      <c r="AD41" t="s">
        <v>66</v>
      </c>
      <c r="AE41" t="s">
        <v>85</v>
      </c>
      <c r="AF41" t="s">
        <v>103</v>
      </c>
      <c r="AG41">
        <v>49998.31</v>
      </c>
      <c r="AH41" t="s">
        <v>69</v>
      </c>
      <c r="AI41" t="s">
        <v>244</v>
      </c>
      <c r="AJ41" t="s">
        <v>1231</v>
      </c>
      <c r="AK41" t="s">
        <v>72</v>
      </c>
      <c r="AL41" t="s">
        <v>73</v>
      </c>
      <c r="AM41" t="s">
        <v>73</v>
      </c>
      <c r="AN41" t="s">
        <v>56</v>
      </c>
    </row>
    <row r="42" spans="1:40" x14ac:dyDescent="0.25">
      <c r="A42" t="s">
        <v>1851</v>
      </c>
      <c r="B42" t="s">
        <v>5</v>
      </c>
      <c r="C42">
        <v>2624.34069</v>
      </c>
      <c r="D42" t="s">
        <v>56</v>
      </c>
      <c r="E42" t="s">
        <v>56</v>
      </c>
      <c r="F42">
        <v>-50530.23</v>
      </c>
      <c r="G42" t="s">
        <v>1851</v>
      </c>
      <c r="H42" t="s">
        <v>7</v>
      </c>
      <c r="I42">
        <v>55834.09</v>
      </c>
      <c r="J42">
        <v>2523.365311</v>
      </c>
      <c r="K42">
        <v>0</v>
      </c>
      <c r="L42">
        <v>0</v>
      </c>
      <c r="M42" t="s">
        <v>1851</v>
      </c>
      <c r="N42" t="s">
        <v>57</v>
      </c>
      <c r="O42" t="s">
        <v>58</v>
      </c>
      <c r="P42" t="s">
        <v>1852</v>
      </c>
      <c r="Q42" t="s">
        <v>1853</v>
      </c>
      <c r="R42" t="s">
        <v>61</v>
      </c>
      <c r="S42" t="s">
        <v>58</v>
      </c>
      <c r="T42" t="s">
        <v>1852</v>
      </c>
      <c r="U42" t="s">
        <v>1853</v>
      </c>
      <c r="V42" t="s">
        <v>56</v>
      </c>
      <c r="W42" t="s">
        <v>56</v>
      </c>
      <c r="X42" t="s">
        <v>56</v>
      </c>
      <c r="Y42" t="s">
        <v>62</v>
      </c>
      <c r="Z42" t="s">
        <v>63</v>
      </c>
      <c r="AA42" t="s">
        <v>64</v>
      </c>
      <c r="AB42">
        <v>1</v>
      </c>
      <c r="AC42" t="s">
        <v>84</v>
      </c>
      <c r="AD42" t="s">
        <v>66</v>
      </c>
      <c r="AE42" t="s">
        <v>113</v>
      </c>
      <c r="AF42" t="s">
        <v>68</v>
      </c>
      <c r="AG42">
        <v>73975.61</v>
      </c>
      <c r="AH42" t="s">
        <v>69</v>
      </c>
      <c r="AI42" t="s">
        <v>285</v>
      </c>
      <c r="AJ42" t="s">
        <v>143</v>
      </c>
      <c r="AK42" t="s">
        <v>72</v>
      </c>
      <c r="AL42" t="s">
        <v>73</v>
      </c>
      <c r="AM42" t="s">
        <v>73</v>
      </c>
      <c r="AN42" t="s">
        <v>116</v>
      </c>
    </row>
    <row r="43" spans="1:40" x14ac:dyDescent="0.25">
      <c r="A43" t="s">
        <v>717</v>
      </c>
      <c r="B43" t="s">
        <v>5</v>
      </c>
      <c r="C43">
        <v>2597.3879350000002</v>
      </c>
      <c r="D43" t="s">
        <v>56</v>
      </c>
      <c r="E43" t="s">
        <v>56</v>
      </c>
      <c r="F43">
        <v>-30898.720000000001</v>
      </c>
      <c r="G43" t="s">
        <v>717</v>
      </c>
      <c r="H43" t="s">
        <v>7</v>
      </c>
      <c r="I43">
        <v>34681.129999999997</v>
      </c>
      <c r="J43">
        <v>2898.6666209999999</v>
      </c>
      <c r="K43">
        <v>0</v>
      </c>
      <c r="L43">
        <v>0</v>
      </c>
      <c r="M43" t="s">
        <v>717</v>
      </c>
      <c r="N43" t="s">
        <v>57</v>
      </c>
      <c r="O43" t="s">
        <v>58</v>
      </c>
      <c r="P43" t="s">
        <v>718</v>
      </c>
      <c r="Q43" t="s">
        <v>719</v>
      </c>
      <c r="R43" t="s">
        <v>61</v>
      </c>
      <c r="S43" t="s">
        <v>58</v>
      </c>
      <c r="T43" t="s">
        <v>718</v>
      </c>
      <c r="U43" t="s">
        <v>719</v>
      </c>
      <c r="V43" t="s">
        <v>56</v>
      </c>
      <c r="W43" t="s">
        <v>56</v>
      </c>
      <c r="X43" t="s">
        <v>56</v>
      </c>
      <c r="Y43" t="s">
        <v>62</v>
      </c>
      <c r="Z43" t="s">
        <v>63</v>
      </c>
      <c r="AA43" t="s">
        <v>64</v>
      </c>
      <c r="AB43">
        <v>1</v>
      </c>
      <c r="AC43" t="s">
        <v>84</v>
      </c>
      <c r="AD43" t="s">
        <v>66</v>
      </c>
      <c r="AE43" t="s">
        <v>113</v>
      </c>
      <c r="AF43" t="s">
        <v>68</v>
      </c>
      <c r="AG43">
        <v>40000</v>
      </c>
      <c r="AH43" t="s">
        <v>69</v>
      </c>
      <c r="AI43" t="s">
        <v>168</v>
      </c>
      <c r="AJ43" t="s">
        <v>339</v>
      </c>
      <c r="AK43" t="s">
        <v>99</v>
      </c>
      <c r="AL43" t="s">
        <v>73</v>
      </c>
      <c r="AM43" t="s">
        <v>73</v>
      </c>
      <c r="AN43" t="s">
        <v>116</v>
      </c>
    </row>
    <row r="44" spans="1:40" x14ac:dyDescent="0.25">
      <c r="A44" t="s">
        <v>1737</v>
      </c>
      <c r="B44" t="s">
        <v>5</v>
      </c>
      <c r="C44" s="2">
        <v>2593.9844210000001</v>
      </c>
      <c r="D44" t="s">
        <v>56</v>
      </c>
      <c r="E44" t="s">
        <v>56</v>
      </c>
      <c r="F44">
        <v>-16992.03</v>
      </c>
      <c r="G44" t="s">
        <v>1737</v>
      </c>
      <c r="H44" t="s">
        <v>7</v>
      </c>
      <c r="I44">
        <v>19059.36</v>
      </c>
      <c r="J44">
        <v>0</v>
      </c>
      <c r="K44">
        <v>0</v>
      </c>
      <c r="L44">
        <v>0</v>
      </c>
      <c r="M44" t="s">
        <v>1737</v>
      </c>
      <c r="N44" t="s">
        <v>57</v>
      </c>
      <c r="O44" t="s">
        <v>58</v>
      </c>
      <c r="P44" t="s">
        <v>1738</v>
      </c>
      <c r="Q44" t="s">
        <v>1595</v>
      </c>
      <c r="R44" t="s">
        <v>61</v>
      </c>
      <c r="S44" t="s">
        <v>58</v>
      </c>
      <c r="T44" t="s">
        <v>1738</v>
      </c>
      <c r="U44" t="s">
        <v>1595</v>
      </c>
      <c r="V44" t="s">
        <v>56</v>
      </c>
      <c r="W44" t="s">
        <v>56</v>
      </c>
      <c r="X44" t="s">
        <v>56</v>
      </c>
      <c r="Y44" t="s">
        <v>62</v>
      </c>
      <c r="Z44" t="s">
        <v>63</v>
      </c>
      <c r="AA44" t="s">
        <v>64</v>
      </c>
      <c r="AB44">
        <v>1</v>
      </c>
      <c r="AC44" t="s">
        <v>78</v>
      </c>
      <c r="AD44" t="s">
        <v>66</v>
      </c>
      <c r="AE44" t="s">
        <v>85</v>
      </c>
      <c r="AF44" t="s">
        <v>68</v>
      </c>
      <c r="AG44">
        <v>0</v>
      </c>
      <c r="AH44" t="s">
        <v>69</v>
      </c>
      <c r="AI44" t="s">
        <v>128</v>
      </c>
      <c r="AJ44" t="s">
        <v>133</v>
      </c>
      <c r="AK44" t="s">
        <v>99</v>
      </c>
      <c r="AL44" t="s">
        <v>73</v>
      </c>
      <c r="AM44" t="s">
        <v>73</v>
      </c>
      <c r="AN44" t="s">
        <v>56</v>
      </c>
    </row>
    <row r="45" spans="1:40" x14ac:dyDescent="0.25">
      <c r="A45" t="s">
        <v>922</v>
      </c>
      <c r="B45" t="s">
        <v>5</v>
      </c>
      <c r="C45" s="2">
        <v>2590.8540739999999</v>
      </c>
      <c r="D45" t="s">
        <v>56</v>
      </c>
      <c r="E45" t="s">
        <v>56</v>
      </c>
      <c r="F45">
        <v>-28248.44</v>
      </c>
      <c r="G45" t="s">
        <v>922</v>
      </c>
      <c r="H45" t="s">
        <v>7</v>
      </c>
      <c r="I45">
        <v>32685.85</v>
      </c>
      <c r="J45">
        <v>0</v>
      </c>
      <c r="K45">
        <v>0</v>
      </c>
      <c r="L45">
        <v>0</v>
      </c>
      <c r="M45" t="s">
        <v>922</v>
      </c>
      <c r="N45" t="s">
        <v>57</v>
      </c>
      <c r="O45" t="s">
        <v>58</v>
      </c>
      <c r="P45" t="s">
        <v>923</v>
      </c>
      <c r="Q45" t="s">
        <v>924</v>
      </c>
      <c r="R45" t="s">
        <v>61</v>
      </c>
      <c r="S45" t="s">
        <v>58</v>
      </c>
      <c r="T45" t="s">
        <v>923</v>
      </c>
      <c r="U45" t="s">
        <v>924</v>
      </c>
      <c r="V45" t="s">
        <v>56</v>
      </c>
      <c r="W45" t="s">
        <v>56</v>
      </c>
      <c r="X45" t="s">
        <v>56</v>
      </c>
      <c r="Y45" t="s">
        <v>62</v>
      </c>
      <c r="Z45" t="s">
        <v>63</v>
      </c>
      <c r="AA45" t="s">
        <v>64</v>
      </c>
      <c r="AB45">
        <v>1</v>
      </c>
      <c r="AC45" t="s">
        <v>84</v>
      </c>
      <c r="AD45" t="s">
        <v>66</v>
      </c>
      <c r="AE45" t="s">
        <v>85</v>
      </c>
      <c r="AF45" t="s">
        <v>68</v>
      </c>
      <c r="AG45">
        <v>45693.49</v>
      </c>
      <c r="AH45" t="s">
        <v>69</v>
      </c>
      <c r="AI45" t="s">
        <v>382</v>
      </c>
      <c r="AJ45" t="s">
        <v>363</v>
      </c>
      <c r="AK45" t="s">
        <v>99</v>
      </c>
      <c r="AL45" t="s">
        <v>73</v>
      </c>
      <c r="AM45" t="s">
        <v>73</v>
      </c>
      <c r="AN45" t="s">
        <v>56</v>
      </c>
    </row>
    <row r="46" spans="1:40" x14ac:dyDescent="0.25">
      <c r="A46" t="s">
        <v>1296</v>
      </c>
      <c r="B46" t="s">
        <v>5</v>
      </c>
      <c r="C46">
        <v>2587.0517519999999</v>
      </c>
      <c r="D46" t="s">
        <v>56</v>
      </c>
      <c r="E46" t="s">
        <v>56</v>
      </c>
      <c r="F46">
        <v>-19635.72</v>
      </c>
      <c r="G46" t="s">
        <v>1296</v>
      </c>
      <c r="H46" t="s">
        <v>7</v>
      </c>
      <c r="I46">
        <v>21825.200000000001</v>
      </c>
      <c r="J46">
        <v>2859.0593399999998</v>
      </c>
      <c r="K46">
        <v>0</v>
      </c>
      <c r="L46">
        <v>0</v>
      </c>
      <c r="M46" t="s">
        <v>1296</v>
      </c>
      <c r="N46" t="s">
        <v>57</v>
      </c>
      <c r="O46" t="s">
        <v>58</v>
      </c>
      <c r="P46" t="s">
        <v>1297</v>
      </c>
      <c r="Q46" t="s">
        <v>1298</v>
      </c>
      <c r="R46" t="s">
        <v>61</v>
      </c>
      <c r="S46" t="s">
        <v>58</v>
      </c>
      <c r="T46" t="s">
        <v>1297</v>
      </c>
      <c r="U46" t="s">
        <v>1298</v>
      </c>
      <c r="V46" t="s">
        <v>56</v>
      </c>
      <c r="W46" t="s">
        <v>56</v>
      </c>
      <c r="X46" t="s">
        <v>56</v>
      </c>
      <c r="Y46" t="s">
        <v>62</v>
      </c>
      <c r="Z46" t="s">
        <v>63</v>
      </c>
      <c r="AA46" t="s">
        <v>64</v>
      </c>
      <c r="AB46">
        <v>1</v>
      </c>
      <c r="AC46" t="s">
        <v>78</v>
      </c>
      <c r="AD46" t="s">
        <v>66</v>
      </c>
      <c r="AE46" t="s">
        <v>113</v>
      </c>
      <c r="AF46" t="s">
        <v>68</v>
      </c>
      <c r="AG46">
        <v>25521</v>
      </c>
      <c r="AH46" t="s">
        <v>69</v>
      </c>
      <c r="AI46" t="s">
        <v>297</v>
      </c>
      <c r="AJ46" t="s">
        <v>240</v>
      </c>
      <c r="AK46" t="s">
        <v>99</v>
      </c>
      <c r="AL46" t="s">
        <v>73</v>
      </c>
      <c r="AM46" t="s">
        <v>73</v>
      </c>
      <c r="AN46" t="s">
        <v>116</v>
      </c>
    </row>
    <row r="47" spans="1:40" x14ac:dyDescent="0.25">
      <c r="A47" t="s">
        <v>1593</v>
      </c>
      <c r="B47" t="s">
        <v>5</v>
      </c>
      <c r="C47" s="2">
        <v>2536.5510210000002</v>
      </c>
      <c r="D47" t="s">
        <v>56</v>
      </c>
      <c r="E47" t="s">
        <v>56</v>
      </c>
      <c r="F47">
        <v>-16615.810000000001</v>
      </c>
      <c r="G47" t="s">
        <v>1593</v>
      </c>
      <c r="H47" t="s">
        <v>7</v>
      </c>
      <c r="I47">
        <v>18684.509999999998</v>
      </c>
      <c r="J47">
        <v>0</v>
      </c>
      <c r="K47">
        <v>0</v>
      </c>
      <c r="L47">
        <v>0</v>
      </c>
      <c r="M47" t="s">
        <v>1593</v>
      </c>
      <c r="N47" t="s">
        <v>57</v>
      </c>
      <c r="O47" t="s">
        <v>58</v>
      </c>
      <c r="P47" t="s">
        <v>1594</v>
      </c>
      <c r="Q47" t="s">
        <v>1595</v>
      </c>
      <c r="R47" t="s">
        <v>61</v>
      </c>
      <c r="S47" t="s">
        <v>58</v>
      </c>
      <c r="T47" t="s">
        <v>1594</v>
      </c>
      <c r="U47" t="s">
        <v>1595</v>
      </c>
      <c r="V47" t="s">
        <v>56</v>
      </c>
      <c r="W47" t="s">
        <v>56</v>
      </c>
      <c r="X47" t="s">
        <v>56</v>
      </c>
      <c r="Y47" t="s">
        <v>62</v>
      </c>
      <c r="Z47" t="s">
        <v>63</v>
      </c>
      <c r="AA47" t="s">
        <v>64</v>
      </c>
      <c r="AB47">
        <v>1</v>
      </c>
      <c r="AC47" t="s">
        <v>78</v>
      </c>
      <c r="AD47" t="s">
        <v>66</v>
      </c>
      <c r="AE47" t="s">
        <v>85</v>
      </c>
      <c r="AF47" t="s">
        <v>68</v>
      </c>
      <c r="AG47">
        <v>21900</v>
      </c>
      <c r="AH47" t="s">
        <v>69</v>
      </c>
      <c r="AI47" t="s">
        <v>128</v>
      </c>
      <c r="AJ47" t="s">
        <v>293</v>
      </c>
      <c r="AK47" t="s">
        <v>99</v>
      </c>
      <c r="AL47" t="s">
        <v>73</v>
      </c>
      <c r="AM47" t="s">
        <v>73</v>
      </c>
      <c r="AN47" t="s">
        <v>56</v>
      </c>
    </row>
    <row r="48" spans="1:40" x14ac:dyDescent="0.25">
      <c r="A48" t="s">
        <v>741</v>
      </c>
      <c r="B48" t="s">
        <v>5</v>
      </c>
      <c r="C48">
        <v>2536.0727000000002</v>
      </c>
      <c r="D48" t="s">
        <v>56</v>
      </c>
      <c r="E48" t="s">
        <v>56</v>
      </c>
      <c r="F48">
        <v>-49101.67</v>
      </c>
      <c r="G48" t="s">
        <v>741</v>
      </c>
      <c r="H48" t="s">
        <v>7</v>
      </c>
      <c r="I48">
        <v>57515.92</v>
      </c>
      <c r="J48">
        <v>2745.2958060000001</v>
      </c>
      <c r="K48">
        <v>0</v>
      </c>
      <c r="L48">
        <v>0</v>
      </c>
      <c r="M48" t="s">
        <v>741</v>
      </c>
      <c r="N48" t="s">
        <v>57</v>
      </c>
      <c r="O48" t="s">
        <v>58</v>
      </c>
      <c r="P48" t="s">
        <v>742</v>
      </c>
      <c r="Q48" t="s">
        <v>743</v>
      </c>
      <c r="R48" t="s">
        <v>61</v>
      </c>
      <c r="S48" t="s">
        <v>58</v>
      </c>
      <c r="T48" t="s">
        <v>742</v>
      </c>
      <c r="U48" t="s">
        <v>743</v>
      </c>
      <c r="V48" t="s">
        <v>56</v>
      </c>
      <c r="W48" t="s">
        <v>56</v>
      </c>
      <c r="X48" t="s">
        <v>56</v>
      </c>
      <c r="Y48" t="s">
        <v>62</v>
      </c>
      <c r="Z48" t="s">
        <v>63</v>
      </c>
      <c r="AA48" t="s">
        <v>64</v>
      </c>
      <c r="AB48">
        <v>1</v>
      </c>
      <c r="AC48" t="s">
        <v>744</v>
      </c>
      <c r="AD48" t="s">
        <v>66</v>
      </c>
      <c r="AE48" t="s">
        <v>113</v>
      </c>
      <c r="AF48" t="s">
        <v>68</v>
      </c>
      <c r="AG48">
        <v>70042.11</v>
      </c>
      <c r="AH48" t="s">
        <v>69</v>
      </c>
      <c r="AI48" t="s">
        <v>285</v>
      </c>
      <c r="AJ48" t="s">
        <v>133</v>
      </c>
      <c r="AK48" t="s">
        <v>72</v>
      </c>
      <c r="AL48" t="s">
        <v>73</v>
      </c>
      <c r="AM48" t="s">
        <v>73</v>
      </c>
      <c r="AN48" t="s">
        <v>116</v>
      </c>
    </row>
    <row r="49" spans="1:40" x14ac:dyDescent="0.25">
      <c r="A49" t="s">
        <v>2203</v>
      </c>
      <c r="B49" t="s">
        <v>5</v>
      </c>
      <c r="C49">
        <v>2535.1957670000002</v>
      </c>
      <c r="D49" t="s">
        <v>56</v>
      </c>
      <c r="E49" t="s">
        <v>56</v>
      </c>
      <c r="F49">
        <v>-48813.79</v>
      </c>
      <c r="G49" t="s">
        <v>2203</v>
      </c>
      <c r="H49" t="s">
        <v>7</v>
      </c>
      <c r="I49">
        <v>54157.4</v>
      </c>
      <c r="J49">
        <v>2447.5742180000002</v>
      </c>
      <c r="K49">
        <v>0</v>
      </c>
      <c r="L49">
        <v>0</v>
      </c>
      <c r="M49" t="s">
        <v>2203</v>
      </c>
      <c r="N49" t="s">
        <v>57</v>
      </c>
      <c r="O49" t="s">
        <v>58</v>
      </c>
      <c r="P49" t="s">
        <v>2204</v>
      </c>
      <c r="Q49" t="s">
        <v>1853</v>
      </c>
      <c r="R49" t="s">
        <v>61</v>
      </c>
      <c r="S49" t="s">
        <v>58</v>
      </c>
      <c r="T49" t="s">
        <v>2204</v>
      </c>
      <c r="U49" t="s">
        <v>1853</v>
      </c>
      <c r="V49" t="s">
        <v>56</v>
      </c>
      <c r="W49" t="s">
        <v>56</v>
      </c>
      <c r="X49" t="s">
        <v>56</v>
      </c>
      <c r="Y49" t="s">
        <v>62</v>
      </c>
      <c r="Z49" t="s">
        <v>63</v>
      </c>
      <c r="AA49" t="s">
        <v>64</v>
      </c>
      <c r="AB49">
        <v>1</v>
      </c>
      <c r="AC49" t="s">
        <v>84</v>
      </c>
      <c r="AD49" t="s">
        <v>66</v>
      </c>
      <c r="AE49" t="s">
        <v>113</v>
      </c>
      <c r="AF49" t="s">
        <v>68</v>
      </c>
      <c r="AG49">
        <v>73975.600000000006</v>
      </c>
      <c r="AH49" t="s">
        <v>69</v>
      </c>
      <c r="AI49" t="s">
        <v>285</v>
      </c>
      <c r="AJ49" t="s">
        <v>133</v>
      </c>
      <c r="AK49" t="s">
        <v>72</v>
      </c>
      <c r="AL49" t="s">
        <v>73</v>
      </c>
      <c r="AM49" t="s">
        <v>73</v>
      </c>
      <c r="AN49" t="s">
        <v>116</v>
      </c>
    </row>
    <row r="50" spans="1:40" x14ac:dyDescent="0.25">
      <c r="A50" t="s">
        <v>1449</v>
      </c>
      <c r="B50" t="s">
        <v>5</v>
      </c>
      <c r="C50">
        <v>2492.9730260000001</v>
      </c>
      <c r="D50">
        <v>2581.52891</v>
      </c>
      <c r="E50" t="s">
        <v>56</v>
      </c>
      <c r="F50">
        <v>-110740.02</v>
      </c>
      <c r="G50" t="s">
        <v>1449</v>
      </c>
      <c r="H50" t="s">
        <v>7</v>
      </c>
      <c r="I50">
        <v>127011.85</v>
      </c>
      <c r="J50">
        <v>4070.98918</v>
      </c>
      <c r="K50">
        <v>3458.0314739999999</v>
      </c>
      <c r="L50">
        <v>0</v>
      </c>
      <c r="M50" t="s">
        <v>1449</v>
      </c>
      <c r="N50" t="s">
        <v>57</v>
      </c>
      <c r="O50" t="s">
        <v>58</v>
      </c>
      <c r="P50" t="s">
        <v>1450</v>
      </c>
      <c r="Q50" t="s">
        <v>1451</v>
      </c>
      <c r="R50" t="s">
        <v>61</v>
      </c>
      <c r="S50" t="s">
        <v>58</v>
      </c>
      <c r="T50" t="s">
        <v>1450</v>
      </c>
      <c r="U50" t="s">
        <v>1451</v>
      </c>
      <c r="V50" t="s">
        <v>56</v>
      </c>
      <c r="W50" t="s">
        <v>56</v>
      </c>
      <c r="X50" t="s">
        <v>56</v>
      </c>
      <c r="Y50" t="s">
        <v>62</v>
      </c>
      <c r="Z50" t="s">
        <v>63</v>
      </c>
      <c r="AA50" t="s">
        <v>64</v>
      </c>
      <c r="AB50">
        <v>1</v>
      </c>
      <c r="AC50" t="s">
        <v>120</v>
      </c>
      <c r="AD50" t="s">
        <v>66</v>
      </c>
      <c r="AE50" t="s">
        <v>67</v>
      </c>
      <c r="AF50" t="s">
        <v>68</v>
      </c>
      <c r="AG50">
        <v>34976.83</v>
      </c>
      <c r="AH50" t="s">
        <v>69</v>
      </c>
      <c r="AI50" t="s">
        <v>382</v>
      </c>
      <c r="AJ50" t="s">
        <v>228</v>
      </c>
      <c r="AK50" t="s">
        <v>72</v>
      </c>
      <c r="AL50" t="s">
        <v>73</v>
      </c>
      <c r="AM50" t="s">
        <v>73</v>
      </c>
      <c r="AN50" t="s">
        <v>74</v>
      </c>
    </row>
    <row r="51" spans="1:40" x14ac:dyDescent="0.25">
      <c r="A51" t="s">
        <v>169</v>
      </c>
      <c r="B51" t="s">
        <v>5</v>
      </c>
      <c r="C51">
        <v>2489.0261380000002</v>
      </c>
      <c r="D51" t="s">
        <v>56</v>
      </c>
      <c r="E51" t="s">
        <v>56</v>
      </c>
      <c r="F51">
        <v>-45517.47</v>
      </c>
      <c r="G51" t="s">
        <v>169</v>
      </c>
      <c r="H51" t="s">
        <v>7</v>
      </c>
      <c r="I51">
        <v>51464.71</v>
      </c>
      <c r="J51">
        <v>2798.1155450000001</v>
      </c>
      <c r="K51">
        <v>0</v>
      </c>
      <c r="L51">
        <v>0</v>
      </c>
      <c r="M51" t="s">
        <v>169</v>
      </c>
      <c r="N51" t="s">
        <v>57</v>
      </c>
      <c r="O51" t="s">
        <v>58</v>
      </c>
      <c r="P51" t="s">
        <v>170</v>
      </c>
      <c r="Q51" t="s">
        <v>171</v>
      </c>
      <c r="R51" t="s">
        <v>61</v>
      </c>
      <c r="S51" t="s">
        <v>58</v>
      </c>
      <c r="T51" t="s">
        <v>170</v>
      </c>
      <c r="U51" t="s">
        <v>171</v>
      </c>
      <c r="V51" t="s">
        <v>56</v>
      </c>
      <c r="W51" t="s">
        <v>56</v>
      </c>
      <c r="X51" t="s">
        <v>56</v>
      </c>
      <c r="Y51" t="s">
        <v>62</v>
      </c>
      <c r="Z51" t="s">
        <v>63</v>
      </c>
      <c r="AA51" t="s">
        <v>64</v>
      </c>
      <c r="AB51">
        <v>1</v>
      </c>
      <c r="AC51" t="s">
        <v>84</v>
      </c>
      <c r="AD51" t="s">
        <v>66</v>
      </c>
      <c r="AE51" t="s">
        <v>113</v>
      </c>
      <c r="AF51" t="s">
        <v>68</v>
      </c>
      <c r="AG51">
        <v>61490</v>
      </c>
      <c r="AH51" t="s">
        <v>69</v>
      </c>
      <c r="AI51" t="s">
        <v>122</v>
      </c>
      <c r="AJ51" t="s">
        <v>172</v>
      </c>
      <c r="AK51" t="s">
        <v>99</v>
      </c>
      <c r="AL51" t="s">
        <v>73</v>
      </c>
      <c r="AM51" t="s">
        <v>73</v>
      </c>
      <c r="AN51" t="s">
        <v>116</v>
      </c>
    </row>
    <row r="52" spans="1:40" x14ac:dyDescent="0.25">
      <c r="A52" t="s">
        <v>1781</v>
      </c>
      <c r="B52" t="s">
        <v>5</v>
      </c>
      <c r="C52" s="2">
        <v>2428.2819159999999</v>
      </c>
      <c r="D52" t="s">
        <v>56</v>
      </c>
      <c r="E52" t="s">
        <v>56</v>
      </c>
      <c r="F52">
        <v>-19985.91</v>
      </c>
      <c r="G52" t="s">
        <v>1781</v>
      </c>
      <c r="H52" t="s">
        <v>7</v>
      </c>
      <c r="I52">
        <v>26343.29</v>
      </c>
      <c r="J52">
        <v>0</v>
      </c>
      <c r="K52">
        <v>0</v>
      </c>
      <c r="L52">
        <v>0</v>
      </c>
      <c r="M52" t="s">
        <v>1781</v>
      </c>
      <c r="N52" t="s">
        <v>57</v>
      </c>
      <c r="O52" t="s">
        <v>58</v>
      </c>
      <c r="P52" t="s">
        <v>1782</v>
      </c>
      <c r="Q52" t="s">
        <v>1783</v>
      </c>
      <c r="R52" t="s">
        <v>61</v>
      </c>
      <c r="S52" t="s">
        <v>58</v>
      </c>
      <c r="T52" t="s">
        <v>1782</v>
      </c>
      <c r="U52" t="s">
        <v>1783</v>
      </c>
      <c r="V52" t="s">
        <v>56</v>
      </c>
      <c r="W52" t="s">
        <v>56</v>
      </c>
      <c r="X52" t="s">
        <v>56</v>
      </c>
      <c r="Y52" t="s">
        <v>62</v>
      </c>
      <c r="Z52" t="s">
        <v>63</v>
      </c>
      <c r="AA52" t="s">
        <v>64</v>
      </c>
      <c r="AB52">
        <v>1</v>
      </c>
      <c r="AC52" t="s">
        <v>84</v>
      </c>
      <c r="AD52" t="s">
        <v>66</v>
      </c>
      <c r="AE52" t="s">
        <v>85</v>
      </c>
      <c r="AF52" t="s">
        <v>103</v>
      </c>
      <c r="AG52">
        <v>0</v>
      </c>
      <c r="AH52" t="s">
        <v>69</v>
      </c>
      <c r="AI52" t="s">
        <v>829</v>
      </c>
      <c r="AJ52" t="s">
        <v>529</v>
      </c>
      <c r="AK52" t="s">
        <v>99</v>
      </c>
      <c r="AL52" t="s">
        <v>73</v>
      </c>
      <c r="AM52" t="s">
        <v>73</v>
      </c>
      <c r="AN52" t="s">
        <v>56</v>
      </c>
    </row>
    <row r="53" spans="1:40" x14ac:dyDescent="0.25">
      <c r="A53" t="s">
        <v>1821</v>
      </c>
      <c r="B53" t="s">
        <v>5</v>
      </c>
      <c r="C53" s="2">
        <v>2425.4892110000001</v>
      </c>
      <c r="D53" t="s">
        <v>56</v>
      </c>
      <c r="E53" t="s">
        <v>56</v>
      </c>
      <c r="F53">
        <v>-23893.68</v>
      </c>
      <c r="G53" t="s">
        <v>1821</v>
      </c>
      <c r="H53" t="s">
        <v>7</v>
      </c>
      <c r="I53">
        <v>26123.82</v>
      </c>
      <c r="J53">
        <v>0</v>
      </c>
      <c r="K53">
        <v>0</v>
      </c>
      <c r="L53">
        <v>0</v>
      </c>
      <c r="M53" t="s">
        <v>1821</v>
      </c>
      <c r="N53" t="s">
        <v>57</v>
      </c>
      <c r="O53" t="s">
        <v>58</v>
      </c>
      <c r="P53" t="s">
        <v>1822</v>
      </c>
      <c r="Q53" t="s">
        <v>1823</v>
      </c>
      <c r="R53" t="s">
        <v>61</v>
      </c>
      <c r="S53" t="s">
        <v>58</v>
      </c>
      <c r="T53" t="s">
        <v>1822</v>
      </c>
      <c r="U53" t="s">
        <v>1823</v>
      </c>
      <c r="V53" t="s">
        <v>56</v>
      </c>
      <c r="W53" t="s">
        <v>56</v>
      </c>
      <c r="X53" t="s">
        <v>56</v>
      </c>
      <c r="Y53" t="s">
        <v>62</v>
      </c>
      <c r="Z53" t="s">
        <v>63</v>
      </c>
      <c r="AA53" t="s">
        <v>64</v>
      </c>
      <c r="AB53">
        <v>1</v>
      </c>
      <c r="AC53" t="s">
        <v>84</v>
      </c>
      <c r="AD53" t="s">
        <v>66</v>
      </c>
      <c r="AE53" t="s">
        <v>289</v>
      </c>
      <c r="AF53" t="s">
        <v>68</v>
      </c>
      <c r="AG53">
        <v>33123.78</v>
      </c>
      <c r="AH53" t="s">
        <v>69</v>
      </c>
      <c r="AI53" t="s">
        <v>114</v>
      </c>
      <c r="AJ53" t="s">
        <v>912</v>
      </c>
      <c r="AK53" t="s">
        <v>99</v>
      </c>
      <c r="AL53" t="s">
        <v>73</v>
      </c>
      <c r="AM53" t="s">
        <v>73</v>
      </c>
      <c r="AN53" t="s">
        <v>56</v>
      </c>
    </row>
    <row r="54" spans="1:40" x14ac:dyDescent="0.25">
      <c r="A54" t="s">
        <v>909</v>
      </c>
      <c r="B54" t="s">
        <v>5</v>
      </c>
      <c r="C54" s="2">
        <v>2411.6311190000001</v>
      </c>
      <c r="D54" t="s">
        <v>56</v>
      </c>
      <c r="E54" t="s">
        <v>56</v>
      </c>
      <c r="F54">
        <v>-28853.89</v>
      </c>
      <c r="G54" t="s">
        <v>909</v>
      </c>
      <c r="H54" t="s">
        <v>7</v>
      </c>
      <c r="I54">
        <v>31547.01</v>
      </c>
      <c r="J54">
        <v>0</v>
      </c>
      <c r="K54">
        <v>0</v>
      </c>
      <c r="L54">
        <v>0</v>
      </c>
      <c r="M54" t="s">
        <v>909</v>
      </c>
      <c r="N54" t="s">
        <v>57</v>
      </c>
      <c r="O54" t="s">
        <v>58</v>
      </c>
      <c r="P54" t="s">
        <v>910</v>
      </c>
      <c r="Q54" t="s">
        <v>911</v>
      </c>
      <c r="R54" t="s">
        <v>61</v>
      </c>
      <c r="S54" t="s">
        <v>58</v>
      </c>
      <c r="T54" t="s">
        <v>910</v>
      </c>
      <c r="U54" t="s">
        <v>911</v>
      </c>
      <c r="V54" t="s">
        <v>56</v>
      </c>
      <c r="W54" t="s">
        <v>56</v>
      </c>
      <c r="X54" t="s">
        <v>56</v>
      </c>
      <c r="Y54" t="s">
        <v>62</v>
      </c>
      <c r="Z54" t="s">
        <v>63</v>
      </c>
      <c r="AA54" t="s">
        <v>64</v>
      </c>
      <c r="AB54">
        <v>1</v>
      </c>
      <c r="AC54" t="s">
        <v>78</v>
      </c>
      <c r="AD54" t="s">
        <v>66</v>
      </c>
      <c r="AE54" t="s">
        <v>85</v>
      </c>
      <c r="AF54" t="s">
        <v>103</v>
      </c>
      <c r="AG54">
        <v>40000</v>
      </c>
      <c r="AH54" t="s">
        <v>69</v>
      </c>
      <c r="AI54" t="s">
        <v>220</v>
      </c>
      <c r="AJ54" t="s">
        <v>912</v>
      </c>
      <c r="AK54" t="s">
        <v>99</v>
      </c>
      <c r="AL54" t="s">
        <v>73</v>
      </c>
      <c r="AM54" t="s">
        <v>73</v>
      </c>
      <c r="AN54" t="s">
        <v>56</v>
      </c>
    </row>
    <row r="55" spans="1:40" x14ac:dyDescent="0.25">
      <c r="A55" t="s">
        <v>1934</v>
      </c>
      <c r="B55" t="s">
        <v>5</v>
      </c>
      <c r="C55" s="2">
        <v>2387.8951000000002</v>
      </c>
      <c r="D55" t="s">
        <v>56</v>
      </c>
      <c r="E55" t="s">
        <v>56</v>
      </c>
      <c r="F55">
        <v>-21542.560000000001</v>
      </c>
      <c r="G55" t="s">
        <v>1934</v>
      </c>
      <c r="H55" t="s">
        <v>7</v>
      </c>
      <c r="I55">
        <v>24420.36</v>
      </c>
      <c r="J55">
        <v>0</v>
      </c>
      <c r="K55">
        <v>0</v>
      </c>
      <c r="L55">
        <v>0</v>
      </c>
      <c r="M55" t="s">
        <v>1934</v>
      </c>
      <c r="N55" t="s">
        <v>57</v>
      </c>
      <c r="O55" t="s">
        <v>58</v>
      </c>
      <c r="P55" t="s">
        <v>1935</v>
      </c>
      <c r="Q55" t="s">
        <v>1936</v>
      </c>
      <c r="R55" t="s">
        <v>61</v>
      </c>
      <c r="S55" t="s">
        <v>58</v>
      </c>
      <c r="T55" t="s">
        <v>1935</v>
      </c>
      <c r="U55" t="s">
        <v>1936</v>
      </c>
      <c r="V55" t="s">
        <v>56</v>
      </c>
      <c r="W55" t="s">
        <v>56</v>
      </c>
      <c r="X55" t="s">
        <v>56</v>
      </c>
      <c r="Y55" t="s">
        <v>62</v>
      </c>
      <c r="Z55" t="s">
        <v>63</v>
      </c>
      <c r="AA55" t="s">
        <v>64</v>
      </c>
      <c r="AB55">
        <v>1</v>
      </c>
      <c r="AC55" t="s">
        <v>65</v>
      </c>
      <c r="AD55" t="s">
        <v>66</v>
      </c>
      <c r="AE55" t="s">
        <v>85</v>
      </c>
      <c r="AF55" t="s">
        <v>68</v>
      </c>
      <c r="AG55">
        <v>27499</v>
      </c>
      <c r="AH55" t="s">
        <v>69</v>
      </c>
      <c r="AI55" t="s">
        <v>186</v>
      </c>
      <c r="AJ55" t="s">
        <v>254</v>
      </c>
      <c r="AK55" t="s">
        <v>280</v>
      </c>
      <c r="AL55" t="s">
        <v>73</v>
      </c>
      <c r="AM55" t="s">
        <v>73</v>
      </c>
      <c r="AN55" t="s">
        <v>56</v>
      </c>
    </row>
    <row r="56" spans="1:40" x14ac:dyDescent="0.25">
      <c r="A56" t="s">
        <v>997</v>
      </c>
      <c r="B56" t="s">
        <v>5</v>
      </c>
      <c r="C56">
        <v>2382.4397159999999</v>
      </c>
      <c r="D56" t="s">
        <v>56</v>
      </c>
      <c r="E56" t="s">
        <v>56</v>
      </c>
      <c r="F56">
        <v>-20540.63</v>
      </c>
      <c r="G56" t="s">
        <v>997</v>
      </c>
      <c r="H56" t="s">
        <v>7</v>
      </c>
      <c r="I56">
        <v>23342.69</v>
      </c>
      <c r="J56">
        <v>2691.9745819999998</v>
      </c>
      <c r="K56">
        <v>0</v>
      </c>
      <c r="L56">
        <v>0</v>
      </c>
      <c r="M56" t="s">
        <v>997</v>
      </c>
      <c r="N56" t="s">
        <v>57</v>
      </c>
      <c r="O56" t="s">
        <v>58</v>
      </c>
      <c r="P56" t="s">
        <v>998</v>
      </c>
      <c r="Q56" t="s">
        <v>999</v>
      </c>
      <c r="R56" t="s">
        <v>61</v>
      </c>
      <c r="S56" t="s">
        <v>58</v>
      </c>
      <c r="T56" t="s">
        <v>998</v>
      </c>
      <c r="U56" t="s">
        <v>999</v>
      </c>
      <c r="V56" t="s">
        <v>56</v>
      </c>
      <c r="W56" t="s">
        <v>56</v>
      </c>
      <c r="X56" t="s">
        <v>56</v>
      </c>
      <c r="Y56" t="s">
        <v>62</v>
      </c>
      <c r="Z56" t="s">
        <v>63</v>
      </c>
      <c r="AA56" t="s">
        <v>64</v>
      </c>
      <c r="AB56">
        <v>1</v>
      </c>
      <c r="AC56" t="s">
        <v>84</v>
      </c>
      <c r="AD56" t="s">
        <v>66</v>
      </c>
      <c r="AE56" t="s">
        <v>113</v>
      </c>
      <c r="AF56" t="s">
        <v>68</v>
      </c>
      <c r="AG56">
        <v>28989.99</v>
      </c>
      <c r="AH56" t="s">
        <v>69</v>
      </c>
      <c r="AI56" t="s">
        <v>87</v>
      </c>
      <c r="AJ56" t="s">
        <v>105</v>
      </c>
      <c r="AK56" t="s">
        <v>99</v>
      </c>
      <c r="AL56" t="s">
        <v>73</v>
      </c>
      <c r="AM56" t="s">
        <v>73</v>
      </c>
      <c r="AN56" t="s">
        <v>116</v>
      </c>
    </row>
    <row r="57" spans="1:40" x14ac:dyDescent="0.25">
      <c r="A57" t="s">
        <v>1410</v>
      </c>
      <c r="B57" t="s">
        <v>5</v>
      </c>
      <c r="C57">
        <v>2354.4372010000002</v>
      </c>
      <c r="D57" t="s">
        <v>56</v>
      </c>
      <c r="E57" t="s">
        <v>56</v>
      </c>
      <c r="F57">
        <v>-30135.62</v>
      </c>
      <c r="G57" t="s">
        <v>1410</v>
      </c>
      <c r="H57" t="s">
        <v>7</v>
      </c>
      <c r="I57">
        <v>32386.99</v>
      </c>
      <c r="J57">
        <v>3094.4229449999998</v>
      </c>
      <c r="K57">
        <v>0</v>
      </c>
      <c r="L57">
        <v>0</v>
      </c>
      <c r="M57" t="s">
        <v>1410</v>
      </c>
      <c r="N57" t="s">
        <v>57</v>
      </c>
      <c r="O57" t="s">
        <v>58</v>
      </c>
      <c r="P57" t="s">
        <v>1411</v>
      </c>
      <c r="Q57" t="s">
        <v>938</v>
      </c>
      <c r="R57" t="s">
        <v>61</v>
      </c>
      <c r="S57" t="s">
        <v>58</v>
      </c>
      <c r="T57" t="s">
        <v>1411</v>
      </c>
      <c r="U57" t="s">
        <v>938</v>
      </c>
      <c r="V57" t="s">
        <v>56</v>
      </c>
      <c r="W57" t="s">
        <v>56</v>
      </c>
      <c r="X57" t="s">
        <v>56</v>
      </c>
      <c r="Y57" t="s">
        <v>62</v>
      </c>
      <c r="Z57" t="s">
        <v>63</v>
      </c>
      <c r="AA57" t="s">
        <v>64</v>
      </c>
      <c r="AB57">
        <v>1</v>
      </c>
      <c r="AC57" t="s">
        <v>120</v>
      </c>
      <c r="AD57" t="s">
        <v>66</v>
      </c>
      <c r="AE57" t="s">
        <v>113</v>
      </c>
      <c r="AF57" t="s">
        <v>68</v>
      </c>
      <c r="AG57">
        <v>34990</v>
      </c>
      <c r="AH57" t="s">
        <v>69</v>
      </c>
      <c r="AI57" t="s">
        <v>87</v>
      </c>
      <c r="AJ57" t="s">
        <v>359</v>
      </c>
      <c r="AK57" t="s">
        <v>72</v>
      </c>
      <c r="AL57" t="s">
        <v>73</v>
      </c>
      <c r="AM57" t="s">
        <v>73</v>
      </c>
      <c r="AN57" t="s">
        <v>116</v>
      </c>
    </row>
    <row r="58" spans="1:40" x14ac:dyDescent="0.25">
      <c r="A58" t="s">
        <v>735</v>
      </c>
      <c r="B58" t="s">
        <v>5</v>
      </c>
      <c r="C58" s="2">
        <v>2343.8504119999998</v>
      </c>
      <c r="D58" t="s">
        <v>56</v>
      </c>
      <c r="E58" t="s">
        <v>56</v>
      </c>
      <c r="F58">
        <v>-28042.95</v>
      </c>
      <c r="G58" t="s">
        <v>735</v>
      </c>
      <c r="H58" t="s">
        <v>7</v>
      </c>
      <c r="I58">
        <v>31193.31</v>
      </c>
      <c r="J58">
        <v>0</v>
      </c>
      <c r="K58">
        <v>0</v>
      </c>
      <c r="L58">
        <v>0</v>
      </c>
      <c r="M58" t="s">
        <v>735</v>
      </c>
      <c r="N58" t="s">
        <v>57</v>
      </c>
      <c r="O58" t="s">
        <v>58</v>
      </c>
      <c r="P58" t="s">
        <v>736</v>
      </c>
      <c r="Q58" t="s">
        <v>737</v>
      </c>
      <c r="R58" t="s">
        <v>61</v>
      </c>
      <c r="S58" t="s">
        <v>58</v>
      </c>
      <c r="T58" t="s">
        <v>736</v>
      </c>
      <c r="U58" t="s">
        <v>737</v>
      </c>
      <c r="V58" t="s">
        <v>56</v>
      </c>
      <c r="W58" t="s">
        <v>56</v>
      </c>
      <c r="X58" t="s">
        <v>56</v>
      </c>
      <c r="Y58" t="s">
        <v>62</v>
      </c>
      <c r="Z58" t="s">
        <v>63</v>
      </c>
      <c r="AA58" t="s">
        <v>64</v>
      </c>
      <c r="AB58">
        <v>1</v>
      </c>
      <c r="AC58" t="s">
        <v>84</v>
      </c>
      <c r="AD58" t="s">
        <v>66</v>
      </c>
      <c r="AE58" t="s">
        <v>85</v>
      </c>
      <c r="AF58" t="s">
        <v>68</v>
      </c>
      <c r="AG58">
        <v>40000</v>
      </c>
      <c r="AH58" t="s">
        <v>69</v>
      </c>
      <c r="AI58" t="s">
        <v>114</v>
      </c>
      <c r="AJ58" t="s">
        <v>177</v>
      </c>
      <c r="AK58" t="s">
        <v>99</v>
      </c>
      <c r="AL58" t="s">
        <v>73</v>
      </c>
      <c r="AM58" t="s">
        <v>73</v>
      </c>
      <c r="AN58" t="s">
        <v>56</v>
      </c>
    </row>
    <row r="59" spans="1:40" x14ac:dyDescent="0.25">
      <c r="A59" t="s">
        <v>2455</v>
      </c>
      <c r="B59" t="s">
        <v>5</v>
      </c>
      <c r="C59" s="2">
        <v>2325.686627</v>
      </c>
      <c r="D59" t="s">
        <v>56</v>
      </c>
      <c r="E59" t="s">
        <v>56</v>
      </c>
      <c r="F59">
        <v>-38260.21</v>
      </c>
      <c r="G59" t="s">
        <v>2455</v>
      </c>
      <c r="H59" t="s">
        <v>7</v>
      </c>
      <c r="I59">
        <v>43601.34</v>
      </c>
      <c r="J59">
        <v>0</v>
      </c>
      <c r="K59">
        <v>0</v>
      </c>
      <c r="L59">
        <v>0</v>
      </c>
      <c r="M59" t="s">
        <v>2455</v>
      </c>
      <c r="N59" t="s">
        <v>57</v>
      </c>
      <c r="O59" t="s">
        <v>58</v>
      </c>
      <c r="P59" t="s">
        <v>2456</v>
      </c>
      <c r="Q59" t="s">
        <v>1267</v>
      </c>
      <c r="R59" t="s">
        <v>61</v>
      </c>
      <c r="S59" t="s">
        <v>58</v>
      </c>
      <c r="T59" t="s">
        <v>2456</v>
      </c>
      <c r="U59" t="s">
        <v>1267</v>
      </c>
      <c r="V59" t="s">
        <v>56</v>
      </c>
      <c r="W59" t="s">
        <v>56</v>
      </c>
      <c r="X59" t="s">
        <v>56</v>
      </c>
      <c r="Y59" t="s">
        <v>62</v>
      </c>
      <c r="Z59" t="s">
        <v>63</v>
      </c>
      <c r="AA59" t="s">
        <v>64</v>
      </c>
      <c r="AB59">
        <v>1</v>
      </c>
      <c r="AC59" t="s">
        <v>1268</v>
      </c>
      <c r="AD59" t="s">
        <v>66</v>
      </c>
      <c r="AE59" t="s">
        <v>85</v>
      </c>
      <c r="AF59" t="s">
        <v>68</v>
      </c>
      <c r="AG59">
        <v>55000</v>
      </c>
      <c r="AH59" t="s">
        <v>69</v>
      </c>
      <c r="AI59" t="s">
        <v>132</v>
      </c>
      <c r="AJ59" t="s">
        <v>88</v>
      </c>
      <c r="AK59" t="s">
        <v>99</v>
      </c>
      <c r="AL59" t="s">
        <v>73</v>
      </c>
      <c r="AM59" t="s">
        <v>73</v>
      </c>
      <c r="AN59" t="s">
        <v>56</v>
      </c>
    </row>
    <row r="60" spans="1:40" x14ac:dyDescent="0.25">
      <c r="A60" t="s">
        <v>2240</v>
      </c>
      <c r="B60" t="s">
        <v>5</v>
      </c>
      <c r="C60">
        <v>2310.3688820000002</v>
      </c>
      <c r="D60" t="s">
        <v>56</v>
      </c>
      <c r="E60" t="s">
        <v>56</v>
      </c>
      <c r="F60">
        <v>-27206.87</v>
      </c>
      <c r="G60" t="s">
        <v>2240</v>
      </c>
      <c r="H60" t="s">
        <v>7</v>
      </c>
      <c r="I60">
        <v>30918.82</v>
      </c>
      <c r="J60">
        <v>3211.0215400000002</v>
      </c>
      <c r="K60">
        <v>0</v>
      </c>
      <c r="L60">
        <v>0</v>
      </c>
      <c r="M60" t="s">
        <v>2240</v>
      </c>
      <c r="N60" t="s">
        <v>57</v>
      </c>
      <c r="O60" t="s">
        <v>58</v>
      </c>
      <c r="P60" t="s">
        <v>2241</v>
      </c>
      <c r="Q60" t="s">
        <v>2242</v>
      </c>
      <c r="R60" t="s">
        <v>61</v>
      </c>
      <c r="S60" t="s">
        <v>58</v>
      </c>
      <c r="T60" t="s">
        <v>2241</v>
      </c>
      <c r="U60" t="s">
        <v>2242</v>
      </c>
      <c r="V60" t="s">
        <v>56</v>
      </c>
      <c r="W60" t="s">
        <v>56</v>
      </c>
      <c r="X60" t="s">
        <v>56</v>
      </c>
      <c r="Y60" t="s">
        <v>62</v>
      </c>
      <c r="Z60" t="s">
        <v>63</v>
      </c>
      <c r="AA60" t="s">
        <v>64</v>
      </c>
      <c r="AB60">
        <v>1</v>
      </c>
      <c r="AC60" t="s">
        <v>65</v>
      </c>
      <c r="AD60" t="s">
        <v>66</v>
      </c>
      <c r="AE60" t="s">
        <v>113</v>
      </c>
      <c r="AF60" t="s">
        <v>68</v>
      </c>
      <c r="AG60">
        <v>32191.99</v>
      </c>
      <c r="AH60" t="s">
        <v>69</v>
      </c>
      <c r="AI60" t="s">
        <v>70</v>
      </c>
      <c r="AJ60" t="s">
        <v>71</v>
      </c>
      <c r="AK60" t="s">
        <v>72</v>
      </c>
      <c r="AL60" t="s">
        <v>73</v>
      </c>
      <c r="AM60" t="s">
        <v>73</v>
      </c>
      <c r="AN60" t="s">
        <v>116</v>
      </c>
    </row>
    <row r="61" spans="1:40" x14ac:dyDescent="0.25">
      <c r="A61" t="s">
        <v>962</v>
      </c>
      <c r="B61" t="s">
        <v>5</v>
      </c>
      <c r="C61">
        <v>2292.965631</v>
      </c>
      <c r="D61">
        <v>1947.720069</v>
      </c>
      <c r="E61" t="s">
        <v>56</v>
      </c>
      <c r="F61">
        <v>-82020.73</v>
      </c>
      <c r="G61" t="s">
        <v>962</v>
      </c>
      <c r="H61" t="s">
        <v>7</v>
      </c>
      <c r="I61">
        <v>91043.57</v>
      </c>
      <c r="J61">
        <v>3105.1948870000001</v>
      </c>
      <c r="K61">
        <v>2637.6541860000002</v>
      </c>
      <c r="L61">
        <v>0</v>
      </c>
      <c r="M61" t="s">
        <v>962</v>
      </c>
      <c r="N61" t="s">
        <v>57</v>
      </c>
      <c r="O61" t="s">
        <v>58</v>
      </c>
      <c r="P61" t="s">
        <v>963</v>
      </c>
      <c r="Q61" t="s">
        <v>964</v>
      </c>
      <c r="R61" t="s">
        <v>61</v>
      </c>
      <c r="S61" t="s">
        <v>58</v>
      </c>
      <c r="T61" t="s">
        <v>963</v>
      </c>
      <c r="U61" t="s">
        <v>964</v>
      </c>
      <c r="V61" t="s">
        <v>56</v>
      </c>
      <c r="W61" t="s">
        <v>56</v>
      </c>
      <c r="X61" t="s">
        <v>56</v>
      </c>
      <c r="Y61" t="s">
        <v>62</v>
      </c>
      <c r="Z61" t="s">
        <v>63</v>
      </c>
      <c r="AA61" t="s">
        <v>64</v>
      </c>
      <c r="AB61">
        <v>1</v>
      </c>
      <c r="AC61" t="s">
        <v>84</v>
      </c>
      <c r="AD61" t="s">
        <v>66</v>
      </c>
      <c r="AE61" t="s">
        <v>67</v>
      </c>
      <c r="AF61" t="s">
        <v>68</v>
      </c>
      <c r="AG61">
        <v>32869.64</v>
      </c>
      <c r="AH61" t="s">
        <v>69</v>
      </c>
      <c r="AI61" t="s">
        <v>152</v>
      </c>
      <c r="AJ61" t="s">
        <v>265</v>
      </c>
      <c r="AK61" t="s">
        <v>72</v>
      </c>
      <c r="AL61" t="s">
        <v>73</v>
      </c>
      <c r="AM61" t="s">
        <v>73</v>
      </c>
      <c r="AN61" t="s">
        <v>74</v>
      </c>
    </row>
    <row r="62" spans="1:40" x14ac:dyDescent="0.25">
      <c r="A62" t="s">
        <v>944</v>
      </c>
      <c r="B62" t="s">
        <v>5</v>
      </c>
      <c r="C62" s="2">
        <v>2285.7684250000002</v>
      </c>
      <c r="D62" t="s">
        <v>56</v>
      </c>
      <c r="E62" t="s">
        <v>56</v>
      </c>
      <c r="F62">
        <v>-41022.04</v>
      </c>
      <c r="G62" t="s">
        <v>944</v>
      </c>
      <c r="H62" t="s">
        <v>7</v>
      </c>
      <c r="I62">
        <v>46762.37</v>
      </c>
      <c r="J62">
        <v>0</v>
      </c>
      <c r="K62">
        <v>0</v>
      </c>
      <c r="L62">
        <v>0</v>
      </c>
      <c r="M62" t="s">
        <v>944</v>
      </c>
      <c r="N62" t="s">
        <v>57</v>
      </c>
      <c r="O62" t="s">
        <v>58</v>
      </c>
      <c r="P62" t="s">
        <v>945</v>
      </c>
      <c r="Q62" t="s">
        <v>946</v>
      </c>
      <c r="R62" t="s">
        <v>61</v>
      </c>
      <c r="S62" t="s">
        <v>58</v>
      </c>
      <c r="T62" t="s">
        <v>945</v>
      </c>
      <c r="U62" t="s">
        <v>946</v>
      </c>
      <c r="V62" t="s">
        <v>56</v>
      </c>
      <c r="W62" t="s">
        <v>56</v>
      </c>
      <c r="X62" t="s">
        <v>56</v>
      </c>
      <c r="Y62" t="s">
        <v>62</v>
      </c>
      <c r="Z62" t="s">
        <v>63</v>
      </c>
      <c r="AA62" t="s">
        <v>64</v>
      </c>
      <c r="AB62">
        <v>1</v>
      </c>
      <c r="AC62" t="s">
        <v>78</v>
      </c>
      <c r="AD62" t="s">
        <v>66</v>
      </c>
      <c r="AE62" t="s">
        <v>85</v>
      </c>
      <c r="AF62" t="s">
        <v>68</v>
      </c>
      <c r="AG62">
        <v>0</v>
      </c>
      <c r="AH62" t="s">
        <v>69</v>
      </c>
      <c r="AI62" t="s">
        <v>203</v>
      </c>
      <c r="AJ62" t="s">
        <v>470</v>
      </c>
      <c r="AK62" t="s">
        <v>99</v>
      </c>
      <c r="AL62" t="s">
        <v>73</v>
      </c>
      <c r="AM62" t="s">
        <v>73</v>
      </c>
      <c r="AN62" t="s">
        <v>56</v>
      </c>
    </row>
    <row r="63" spans="1:40" x14ac:dyDescent="0.25">
      <c r="A63" t="s">
        <v>840</v>
      </c>
      <c r="B63" t="s">
        <v>5</v>
      </c>
      <c r="C63">
        <v>2280.567454</v>
      </c>
      <c r="D63" t="s">
        <v>56</v>
      </c>
      <c r="E63" t="s">
        <v>56</v>
      </c>
      <c r="F63">
        <v>-29140.5</v>
      </c>
      <c r="G63" t="s">
        <v>840</v>
      </c>
      <c r="H63" t="s">
        <v>7</v>
      </c>
      <c r="I63">
        <v>32291.05</v>
      </c>
      <c r="J63">
        <v>3090.6450920000002</v>
      </c>
      <c r="K63">
        <v>0</v>
      </c>
      <c r="L63">
        <v>0</v>
      </c>
      <c r="M63" t="s">
        <v>840</v>
      </c>
      <c r="N63" t="s">
        <v>57</v>
      </c>
      <c r="O63" t="s">
        <v>58</v>
      </c>
      <c r="P63" t="s">
        <v>841</v>
      </c>
      <c r="Q63" t="s">
        <v>842</v>
      </c>
      <c r="R63" t="s">
        <v>61</v>
      </c>
      <c r="S63" t="s">
        <v>58</v>
      </c>
      <c r="T63" t="s">
        <v>841</v>
      </c>
      <c r="U63" t="s">
        <v>842</v>
      </c>
      <c r="V63" t="s">
        <v>56</v>
      </c>
      <c r="W63" t="s">
        <v>56</v>
      </c>
      <c r="X63" t="s">
        <v>56</v>
      </c>
      <c r="Y63" t="s">
        <v>62</v>
      </c>
      <c r="Z63" t="s">
        <v>63</v>
      </c>
      <c r="AA63" t="s">
        <v>64</v>
      </c>
      <c r="AB63">
        <v>1</v>
      </c>
      <c r="AC63" t="s">
        <v>65</v>
      </c>
      <c r="AD63" t="s">
        <v>66</v>
      </c>
      <c r="AE63" t="s">
        <v>113</v>
      </c>
      <c r="AF63" t="s">
        <v>68</v>
      </c>
      <c r="AG63">
        <v>34930.54</v>
      </c>
      <c r="AH63" t="s">
        <v>69</v>
      </c>
      <c r="AI63" t="s">
        <v>122</v>
      </c>
      <c r="AJ63" t="s">
        <v>224</v>
      </c>
      <c r="AK63" t="s">
        <v>72</v>
      </c>
      <c r="AL63" t="s">
        <v>73</v>
      </c>
      <c r="AM63" t="s">
        <v>73</v>
      </c>
      <c r="AN63" t="s">
        <v>116</v>
      </c>
    </row>
    <row r="64" spans="1:40" x14ac:dyDescent="0.25">
      <c r="A64" t="s">
        <v>1489</v>
      </c>
      <c r="B64" t="s">
        <v>5</v>
      </c>
      <c r="C64">
        <v>2277.666612</v>
      </c>
      <c r="D64" t="s">
        <v>56</v>
      </c>
      <c r="E64" t="s">
        <v>56</v>
      </c>
      <c r="F64">
        <v>-32806.11</v>
      </c>
      <c r="G64" t="s">
        <v>1489</v>
      </c>
      <c r="H64" t="s">
        <v>7</v>
      </c>
      <c r="I64">
        <v>37390.22</v>
      </c>
      <c r="J64">
        <v>2901.050346</v>
      </c>
      <c r="K64">
        <v>0</v>
      </c>
      <c r="L64">
        <v>0</v>
      </c>
      <c r="M64" t="s">
        <v>1489</v>
      </c>
      <c r="N64" t="s">
        <v>57</v>
      </c>
      <c r="O64" t="s">
        <v>58</v>
      </c>
      <c r="P64" t="s">
        <v>1490</v>
      </c>
      <c r="Q64" t="s">
        <v>60</v>
      </c>
      <c r="R64" t="s">
        <v>61</v>
      </c>
      <c r="S64" t="s">
        <v>58</v>
      </c>
      <c r="T64" t="s">
        <v>1490</v>
      </c>
      <c r="U64" t="s">
        <v>60</v>
      </c>
      <c r="V64" t="s">
        <v>56</v>
      </c>
      <c r="W64" t="s">
        <v>56</v>
      </c>
      <c r="X64" t="s">
        <v>56</v>
      </c>
      <c r="Y64" t="s">
        <v>62</v>
      </c>
      <c r="Z64" t="s">
        <v>63</v>
      </c>
      <c r="AA64" t="s">
        <v>64</v>
      </c>
      <c r="AB64">
        <v>1</v>
      </c>
      <c r="AC64" t="s">
        <v>65</v>
      </c>
      <c r="AD64" t="s">
        <v>66</v>
      </c>
      <c r="AE64" t="s">
        <v>113</v>
      </c>
      <c r="AF64" t="s">
        <v>68</v>
      </c>
      <c r="AG64">
        <v>43089.43</v>
      </c>
      <c r="AH64" t="s">
        <v>69</v>
      </c>
      <c r="AI64" t="s">
        <v>382</v>
      </c>
      <c r="AJ64" t="s">
        <v>401</v>
      </c>
      <c r="AK64" t="s">
        <v>72</v>
      </c>
      <c r="AL64" t="s">
        <v>73</v>
      </c>
      <c r="AM64" t="s">
        <v>73</v>
      </c>
      <c r="AN64" t="s">
        <v>116</v>
      </c>
    </row>
    <row r="65" spans="1:40" x14ac:dyDescent="0.25">
      <c r="A65" t="s">
        <v>1162</v>
      </c>
      <c r="B65" t="s">
        <v>5</v>
      </c>
      <c r="C65">
        <v>2277.3193240000001</v>
      </c>
      <c r="D65" t="s">
        <v>56</v>
      </c>
      <c r="E65" t="s">
        <v>56</v>
      </c>
      <c r="F65">
        <v>-27429.81</v>
      </c>
      <c r="G65" t="s">
        <v>1162</v>
      </c>
      <c r="H65" t="s">
        <v>7</v>
      </c>
      <c r="I65">
        <v>30393.61</v>
      </c>
      <c r="J65">
        <v>3086.0347729999999</v>
      </c>
      <c r="K65">
        <v>0</v>
      </c>
      <c r="L65">
        <v>0</v>
      </c>
      <c r="M65" t="s">
        <v>1162</v>
      </c>
      <c r="N65" t="s">
        <v>57</v>
      </c>
      <c r="O65" t="s">
        <v>58</v>
      </c>
      <c r="P65" t="s">
        <v>1163</v>
      </c>
      <c r="Q65" t="s">
        <v>964</v>
      </c>
      <c r="R65" t="s">
        <v>61</v>
      </c>
      <c r="S65" t="s">
        <v>58</v>
      </c>
      <c r="T65" t="s">
        <v>1163</v>
      </c>
      <c r="U65" t="s">
        <v>964</v>
      </c>
      <c r="V65" t="s">
        <v>56</v>
      </c>
      <c r="W65" t="s">
        <v>56</v>
      </c>
      <c r="X65" t="s">
        <v>56</v>
      </c>
      <c r="Y65" t="s">
        <v>62</v>
      </c>
      <c r="Z65" t="s">
        <v>63</v>
      </c>
      <c r="AA65" t="s">
        <v>64</v>
      </c>
      <c r="AB65">
        <v>1</v>
      </c>
      <c r="AC65" t="s">
        <v>84</v>
      </c>
      <c r="AD65" t="s">
        <v>66</v>
      </c>
      <c r="AE65" t="s">
        <v>113</v>
      </c>
      <c r="AF65" t="s">
        <v>68</v>
      </c>
      <c r="AG65">
        <v>32926.83</v>
      </c>
      <c r="AH65" t="s">
        <v>69</v>
      </c>
      <c r="AI65" t="s">
        <v>137</v>
      </c>
      <c r="AJ65" t="s">
        <v>265</v>
      </c>
      <c r="AK65" t="s">
        <v>72</v>
      </c>
      <c r="AL65" t="s">
        <v>73</v>
      </c>
      <c r="AM65" t="s">
        <v>73</v>
      </c>
      <c r="AN65" t="s">
        <v>116</v>
      </c>
    </row>
    <row r="66" spans="1:40" x14ac:dyDescent="0.25">
      <c r="A66" t="s">
        <v>2339</v>
      </c>
      <c r="B66" t="s">
        <v>5</v>
      </c>
      <c r="C66" s="2">
        <v>2272.0812289999999</v>
      </c>
      <c r="D66" t="s">
        <v>56</v>
      </c>
      <c r="E66" t="s">
        <v>56</v>
      </c>
      <c r="F66">
        <v>-25485.25</v>
      </c>
      <c r="G66" t="s">
        <v>2339</v>
      </c>
      <c r="H66" t="s">
        <v>7</v>
      </c>
      <c r="I66">
        <v>29097.8</v>
      </c>
      <c r="J66">
        <v>0</v>
      </c>
      <c r="K66">
        <v>0</v>
      </c>
      <c r="L66">
        <v>0</v>
      </c>
      <c r="M66" t="s">
        <v>2339</v>
      </c>
      <c r="N66" t="s">
        <v>57</v>
      </c>
      <c r="O66" t="s">
        <v>58</v>
      </c>
      <c r="P66" t="s">
        <v>2340</v>
      </c>
      <c r="Q66" t="s">
        <v>2341</v>
      </c>
      <c r="R66" t="s">
        <v>61</v>
      </c>
      <c r="S66" t="s">
        <v>58</v>
      </c>
      <c r="T66" t="s">
        <v>2340</v>
      </c>
      <c r="U66" t="s">
        <v>2341</v>
      </c>
      <c r="V66" t="s">
        <v>56</v>
      </c>
      <c r="W66" t="s">
        <v>56</v>
      </c>
      <c r="X66" t="s">
        <v>56</v>
      </c>
      <c r="Y66" t="s">
        <v>62</v>
      </c>
      <c r="Z66" t="s">
        <v>63</v>
      </c>
      <c r="AA66" t="s">
        <v>64</v>
      </c>
      <c r="AB66">
        <v>1</v>
      </c>
      <c r="AC66" t="s">
        <v>78</v>
      </c>
      <c r="AD66" t="s">
        <v>66</v>
      </c>
      <c r="AE66" t="s">
        <v>85</v>
      </c>
      <c r="AF66" t="s">
        <v>68</v>
      </c>
      <c r="AG66">
        <v>37500</v>
      </c>
      <c r="AH66" t="s">
        <v>69</v>
      </c>
      <c r="AI66" t="s">
        <v>87</v>
      </c>
      <c r="AJ66" t="s">
        <v>470</v>
      </c>
      <c r="AK66" t="s">
        <v>99</v>
      </c>
      <c r="AL66" t="s">
        <v>73</v>
      </c>
      <c r="AM66" t="s">
        <v>73</v>
      </c>
      <c r="AN66" t="s">
        <v>56</v>
      </c>
    </row>
    <row r="67" spans="1:40" x14ac:dyDescent="0.25">
      <c r="A67" t="s">
        <v>467</v>
      </c>
      <c r="B67" t="s">
        <v>5</v>
      </c>
      <c r="C67" s="2">
        <v>2266.7989210000001</v>
      </c>
      <c r="D67" t="s">
        <v>56</v>
      </c>
      <c r="E67" t="s">
        <v>56</v>
      </c>
      <c r="F67">
        <v>-16141.32</v>
      </c>
      <c r="G67" t="s">
        <v>467</v>
      </c>
      <c r="H67" t="s">
        <v>7</v>
      </c>
      <c r="I67">
        <v>18440.72</v>
      </c>
      <c r="J67">
        <v>0</v>
      </c>
      <c r="K67">
        <v>0</v>
      </c>
      <c r="L67">
        <v>0</v>
      </c>
      <c r="M67" t="s">
        <v>467</v>
      </c>
      <c r="N67" t="s">
        <v>57</v>
      </c>
      <c r="O67" t="s">
        <v>58</v>
      </c>
      <c r="P67" t="s">
        <v>468</v>
      </c>
      <c r="Q67" t="s">
        <v>469</v>
      </c>
      <c r="R67" t="s">
        <v>61</v>
      </c>
      <c r="S67" t="s">
        <v>58</v>
      </c>
      <c r="T67" t="s">
        <v>468</v>
      </c>
      <c r="U67" t="s">
        <v>469</v>
      </c>
      <c r="V67" t="s">
        <v>56</v>
      </c>
      <c r="W67" t="s">
        <v>56</v>
      </c>
      <c r="X67" t="s">
        <v>56</v>
      </c>
      <c r="Y67" t="s">
        <v>62</v>
      </c>
      <c r="Z67" t="s">
        <v>63</v>
      </c>
      <c r="AA67" t="s">
        <v>64</v>
      </c>
      <c r="AB67">
        <v>1</v>
      </c>
      <c r="AC67" t="s">
        <v>84</v>
      </c>
      <c r="AD67" t="s">
        <v>66</v>
      </c>
      <c r="AE67" t="s">
        <v>85</v>
      </c>
      <c r="AF67" t="s">
        <v>68</v>
      </c>
      <c r="AG67">
        <v>23806.31</v>
      </c>
      <c r="AH67" t="s">
        <v>69</v>
      </c>
      <c r="AI67" t="s">
        <v>114</v>
      </c>
      <c r="AJ67" t="s">
        <v>470</v>
      </c>
      <c r="AK67" t="s">
        <v>99</v>
      </c>
      <c r="AL67" t="s">
        <v>73</v>
      </c>
      <c r="AM67" t="s">
        <v>73</v>
      </c>
      <c r="AN67" t="s">
        <v>56</v>
      </c>
    </row>
    <row r="68" spans="1:40" x14ac:dyDescent="0.25">
      <c r="A68" t="s">
        <v>376</v>
      </c>
      <c r="B68" t="s">
        <v>5</v>
      </c>
      <c r="C68">
        <v>2266.5561090000001</v>
      </c>
      <c r="D68" t="s">
        <v>56</v>
      </c>
      <c r="E68" t="s">
        <v>56</v>
      </c>
      <c r="F68">
        <v>-41034.42</v>
      </c>
      <c r="G68" t="s">
        <v>376</v>
      </c>
      <c r="H68" t="s">
        <v>7</v>
      </c>
      <c r="I68">
        <v>43947.63</v>
      </c>
      <c r="J68">
        <v>2968.720726</v>
      </c>
      <c r="K68">
        <v>0</v>
      </c>
      <c r="L68">
        <v>0</v>
      </c>
      <c r="M68" t="s">
        <v>376</v>
      </c>
      <c r="N68" t="s">
        <v>57</v>
      </c>
      <c r="O68" t="s">
        <v>58</v>
      </c>
      <c r="P68" t="s">
        <v>377</v>
      </c>
      <c r="Q68" t="s">
        <v>378</v>
      </c>
      <c r="R68" t="s">
        <v>61</v>
      </c>
      <c r="S68" t="s">
        <v>58</v>
      </c>
      <c r="T68" t="s">
        <v>377</v>
      </c>
      <c r="U68" t="s">
        <v>378</v>
      </c>
      <c r="V68" t="s">
        <v>56</v>
      </c>
      <c r="W68" t="s">
        <v>56</v>
      </c>
      <c r="X68" t="s">
        <v>56</v>
      </c>
      <c r="Y68" t="s">
        <v>62</v>
      </c>
      <c r="Z68" t="s">
        <v>63</v>
      </c>
      <c r="AA68" t="s">
        <v>64</v>
      </c>
      <c r="AB68">
        <v>1</v>
      </c>
      <c r="AC68" t="s">
        <v>84</v>
      </c>
      <c r="AD68" t="s">
        <v>66</v>
      </c>
      <c r="AE68" t="s">
        <v>113</v>
      </c>
      <c r="AF68" t="s">
        <v>68</v>
      </c>
      <c r="AG68">
        <v>49491.77</v>
      </c>
      <c r="AH68" t="s">
        <v>69</v>
      </c>
      <c r="AI68" t="s">
        <v>203</v>
      </c>
      <c r="AJ68" t="s">
        <v>293</v>
      </c>
      <c r="AK68" t="s">
        <v>72</v>
      </c>
      <c r="AL68" t="s">
        <v>73</v>
      </c>
      <c r="AM68" t="s">
        <v>73</v>
      </c>
      <c r="AN68" t="s">
        <v>116</v>
      </c>
    </row>
    <row r="69" spans="1:40" x14ac:dyDescent="0.25">
      <c r="A69" t="s">
        <v>1436</v>
      </c>
      <c r="B69" t="s">
        <v>5</v>
      </c>
      <c r="C69" s="2">
        <v>2263.9705450000001</v>
      </c>
      <c r="D69" t="s">
        <v>56</v>
      </c>
      <c r="E69" t="s">
        <v>56</v>
      </c>
      <c r="F69">
        <v>-37365.15</v>
      </c>
      <c r="G69" t="s">
        <v>1436</v>
      </c>
      <c r="H69" t="s">
        <v>7</v>
      </c>
      <c r="I69">
        <v>42723.44</v>
      </c>
      <c r="J69">
        <v>0</v>
      </c>
      <c r="K69">
        <v>0</v>
      </c>
      <c r="L69">
        <v>0</v>
      </c>
      <c r="M69" t="s">
        <v>1436</v>
      </c>
      <c r="N69" t="s">
        <v>57</v>
      </c>
      <c r="O69" t="s">
        <v>58</v>
      </c>
      <c r="P69" t="s">
        <v>1437</v>
      </c>
      <c r="Q69" t="s">
        <v>1438</v>
      </c>
      <c r="R69" t="s">
        <v>61</v>
      </c>
      <c r="S69" t="s">
        <v>58</v>
      </c>
      <c r="T69" t="s">
        <v>1437</v>
      </c>
      <c r="U69" t="s">
        <v>1438</v>
      </c>
      <c r="V69" t="s">
        <v>56</v>
      </c>
      <c r="W69" t="s">
        <v>56</v>
      </c>
      <c r="X69" t="s">
        <v>56</v>
      </c>
      <c r="Y69" t="s">
        <v>62</v>
      </c>
      <c r="Z69" t="s">
        <v>63</v>
      </c>
      <c r="AA69" t="s">
        <v>64</v>
      </c>
      <c r="AB69">
        <v>1</v>
      </c>
      <c r="AC69" t="s">
        <v>120</v>
      </c>
      <c r="AD69" t="s">
        <v>66</v>
      </c>
      <c r="AE69" t="s">
        <v>85</v>
      </c>
      <c r="AF69" t="s">
        <v>103</v>
      </c>
      <c r="AG69">
        <v>55177.5</v>
      </c>
      <c r="AH69" t="s">
        <v>69</v>
      </c>
      <c r="AI69" t="s">
        <v>355</v>
      </c>
      <c r="AJ69" t="s">
        <v>138</v>
      </c>
      <c r="AK69" t="s">
        <v>99</v>
      </c>
      <c r="AL69" t="s">
        <v>73</v>
      </c>
      <c r="AM69" t="s">
        <v>73</v>
      </c>
      <c r="AN69" t="s">
        <v>56</v>
      </c>
    </row>
    <row r="70" spans="1:40" x14ac:dyDescent="0.25">
      <c r="A70" t="s">
        <v>1497</v>
      </c>
      <c r="B70" t="s">
        <v>5</v>
      </c>
      <c r="C70" s="2">
        <v>2258.1332609999999</v>
      </c>
      <c r="D70" t="s">
        <v>56</v>
      </c>
      <c r="E70" t="s">
        <v>56</v>
      </c>
      <c r="F70">
        <v>-19587.61</v>
      </c>
      <c r="G70" t="s">
        <v>1497</v>
      </c>
      <c r="H70" t="s">
        <v>7</v>
      </c>
      <c r="I70">
        <v>22315.82</v>
      </c>
      <c r="J70">
        <v>0</v>
      </c>
      <c r="K70">
        <v>0</v>
      </c>
      <c r="L70">
        <v>0</v>
      </c>
      <c r="M70" t="s">
        <v>1497</v>
      </c>
      <c r="N70" t="s">
        <v>57</v>
      </c>
      <c r="O70" t="s">
        <v>58</v>
      </c>
      <c r="P70" t="s">
        <v>1498</v>
      </c>
      <c r="Q70" t="s">
        <v>1499</v>
      </c>
      <c r="R70" t="s">
        <v>61</v>
      </c>
      <c r="S70" t="s">
        <v>58</v>
      </c>
      <c r="T70" t="s">
        <v>1498</v>
      </c>
      <c r="U70" t="s">
        <v>1499</v>
      </c>
      <c r="V70" t="s">
        <v>56</v>
      </c>
      <c r="W70" t="s">
        <v>56</v>
      </c>
      <c r="X70" t="s">
        <v>56</v>
      </c>
      <c r="Y70" t="s">
        <v>62</v>
      </c>
      <c r="Z70" t="s">
        <v>63</v>
      </c>
      <c r="AA70" t="s">
        <v>64</v>
      </c>
      <c r="AB70">
        <v>1</v>
      </c>
      <c r="AC70" t="s">
        <v>78</v>
      </c>
      <c r="AD70" t="s">
        <v>66</v>
      </c>
      <c r="AE70" t="s">
        <v>85</v>
      </c>
      <c r="AF70" t="s">
        <v>68</v>
      </c>
      <c r="AG70">
        <v>29000</v>
      </c>
      <c r="AH70" t="s">
        <v>69</v>
      </c>
      <c r="AI70" t="s">
        <v>97</v>
      </c>
      <c r="AJ70" t="s">
        <v>943</v>
      </c>
      <c r="AK70" t="s">
        <v>99</v>
      </c>
      <c r="AL70" t="s">
        <v>73</v>
      </c>
      <c r="AM70" t="s">
        <v>73</v>
      </c>
      <c r="AN70" t="s">
        <v>56</v>
      </c>
    </row>
    <row r="71" spans="1:40" x14ac:dyDescent="0.25">
      <c r="A71" t="s">
        <v>1632</v>
      </c>
      <c r="B71" t="s">
        <v>5</v>
      </c>
      <c r="C71" s="2">
        <v>2249.935653</v>
      </c>
      <c r="D71" t="s">
        <v>56</v>
      </c>
      <c r="E71" t="s">
        <v>56</v>
      </c>
      <c r="F71">
        <v>-20495.259999999998</v>
      </c>
      <c r="G71" t="s">
        <v>1632</v>
      </c>
      <c r="H71" t="s">
        <v>7</v>
      </c>
      <c r="I71">
        <v>22353.439999999999</v>
      </c>
      <c r="J71">
        <v>0</v>
      </c>
      <c r="K71">
        <v>0</v>
      </c>
      <c r="L71">
        <v>0</v>
      </c>
      <c r="M71" t="s">
        <v>1632</v>
      </c>
      <c r="N71" t="s">
        <v>57</v>
      </c>
      <c r="O71" t="s">
        <v>58</v>
      </c>
      <c r="P71" t="s">
        <v>1633</v>
      </c>
      <c r="Q71" t="s">
        <v>1634</v>
      </c>
      <c r="R71" t="s">
        <v>61</v>
      </c>
      <c r="S71" t="s">
        <v>58</v>
      </c>
      <c r="T71" t="s">
        <v>1633</v>
      </c>
      <c r="U71" t="s">
        <v>1634</v>
      </c>
      <c r="V71" t="s">
        <v>56</v>
      </c>
      <c r="W71" t="s">
        <v>56</v>
      </c>
      <c r="X71" t="s">
        <v>56</v>
      </c>
      <c r="Y71" t="s">
        <v>62</v>
      </c>
      <c r="Z71" t="s">
        <v>63</v>
      </c>
      <c r="AA71" t="s">
        <v>64</v>
      </c>
      <c r="AB71">
        <v>1</v>
      </c>
      <c r="AC71" t="s">
        <v>84</v>
      </c>
      <c r="AD71" t="s">
        <v>66</v>
      </c>
      <c r="AE71" t="s">
        <v>85</v>
      </c>
      <c r="AF71" t="s">
        <v>68</v>
      </c>
      <c r="AG71">
        <v>24759.66</v>
      </c>
      <c r="AH71" t="s">
        <v>69</v>
      </c>
      <c r="AI71" t="s">
        <v>400</v>
      </c>
      <c r="AJ71" t="s">
        <v>606</v>
      </c>
      <c r="AK71" t="s">
        <v>72</v>
      </c>
      <c r="AL71" t="s">
        <v>73</v>
      </c>
      <c r="AM71" t="s">
        <v>73</v>
      </c>
      <c r="AN71" t="s">
        <v>56</v>
      </c>
    </row>
    <row r="72" spans="1:40" x14ac:dyDescent="0.25">
      <c r="A72" t="s">
        <v>2356</v>
      </c>
      <c r="B72" t="s">
        <v>5</v>
      </c>
      <c r="C72">
        <v>2245.2751389999999</v>
      </c>
      <c r="D72" t="s">
        <v>56</v>
      </c>
      <c r="E72" t="s">
        <v>56</v>
      </c>
      <c r="F72">
        <v>-92149.49</v>
      </c>
      <c r="G72" t="s">
        <v>2356</v>
      </c>
      <c r="H72" t="s">
        <v>7</v>
      </c>
      <c r="I72">
        <v>105057.08</v>
      </c>
      <c r="J72">
        <v>3130.5298619999999</v>
      </c>
      <c r="K72">
        <v>0</v>
      </c>
      <c r="L72">
        <v>0</v>
      </c>
      <c r="M72" t="s">
        <v>2356</v>
      </c>
      <c r="N72" t="s">
        <v>57</v>
      </c>
      <c r="O72" t="s">
        <v>58</v>
      </c>
      <c r="P72" t="s">
        <v>2357</v>
      </c>
      <c r="Q72" t="s">
        <v>223</v>
      </c>
      <c r="R72" t="s">
        <v>61</v>
      </c>
      <c r="S72" t="s">
        <v>58</v>
      </c>
      <c r="T72" t="s">
        <v>2357</v>
      </c>
      <c r="U72" t="s">
        <v>223</v>
      </c>
      <c r="V72" t="s">
        <v>56</v>
      </c>
      <c r="W72" t="s">
        <v>56</v>
      </c>
      <c r="X72" t="s">
        <v>56</v>
      </c>
      <c r="Y72" t="s">
        <v>62</v>
      </c>
      <c r="Z72" t="s">
        <v>63</v>
      </c>
      <c r="AA72" t="s">
        <v>64</v>
      </c>
      <c r="AB72">
        <v>1</v>
      </c>
      <c r="AC72" t="s">
        <v>147</v>
      </c>
      <c r="AD72" t="s">
        <v>66</v>
      </c>
      <c r="AE72" t="s">
        <v>113</v>
      </c>
      <c r="AF72" t="s">
        <v>68</v>
      </c>
      <c r="AG72">
        <v>112195.12</v>
      </c>
      <c r="AH72" t="s">
        <v>69</v>
      </c>
      <c r="AI72" t="s">
        <v>132</v>
      </c>
      <c r="AJ72" t="s">
        <v>606</v>
      </c>
      <c r="AK72" t="s">
        <v>72</v>
      </c>
      <c r="AL72" t="s">
        <v>73</v>
      </c>
      <c r="AM72" t="s">
        <v>73</v>
      </c>
      <c r="AN72" t="s">
        <v>116</v>
      </c>
    </row>
    <row r="73" spans="1:40" x14ac:dyDescent="0.25">
      <c r="A73" t="s">
        <v>843</v>
      </c>
      <c r="B73" t="s">
        <v>5</v>
      </c>
      <c r="C73" s="2">
        <v>2240.932327</v>
      </c>
      <c r="D73" t="s">
        <v>56</v>
      </c>
      <c r="E73" t="s">
        <v>56</v>
      </c>
      <c r="F73">
        <v>-26650.15</v>
      </c>
      <c r="G73" t="s">
        <v>843</v>
      </c>
      <c r="H73" t="s">
        <v>7</v>
      </c>
      <c r="I73">
        <v>28818.45</v>
      </c>
      <c r="J73">
        <v>0</v>
      </c>
      <c r="K73">
        <v>0</v>
      </c>
      <c r="L73">
        <v>0</v>
      </c>
      <c r="M73" t="s">
        <v>843</v>
      </c>
      <c r="N73" t="s">
        <v>57</v>
      </c>
      <c r="O73" t="s">
        <v>58</v>
      </c>
      <c r="P73" t="s">
        <v>844</v>
      </c>
      <c r="Q73" t="s">
        <v>845</v>
      </c>
      <c r="R73" t="s">
        <v>61</v>
      </c>
      <c r="S73" t="s">
        <v>58</v>
      </c>
      <c r="T73" t="s">
        <v>844</v>
      </c>
      <c r="U73" t="s">
        <v>845</v>
      </c>
      <c r="V73" t="s">
        <v>56</v>
      </c>
      <c r="W73" t="s">
        <v>56</v>
      </c>
      <c r="X73" t="s">
        <v>56</v>
      </c>
      <c r="Y73" t="s">
        <v>62</v>
      </c>
      <c r="Z73" t="s">
        <v>63</v>
      </c>
      <c r="AA73" t="s">
        <v>64</v>
      </c>
      <c r="AB73">
        <v>1</v>
      </c>
      <c r="AC73" t="s">
        <v>78</v>
      </c>
      <c r="AD73" t="s">
        <v>66</v>
      </c>
      <c r="AE73" t="s">
        <v>85</v>
      </c>
      <c r="AF73" t="s">
        <v>68</v>
      </c>
      <c r="AG73">
        <v>32324.5</v>
      </c>
      <c r="AH73" t="s">
        <v>69</v>
      </c>
      <c r="AI73" t="s">
        <v>186</v>
      </c>
      <c r="AJ73" t="s">
        <v>80</v>
      </c>
      <c r="AK73" t="s">
        <v>72</v>
      </c>
      <c r="AL73" t="s">
        <v>73</v>
      </c>
      <c r="AM73" t="s">
        <v>73</v>
      </c>
      <c r="AN73" t="s">
        <v>56</v>
      </c>
    </row>
    <row r="74" spans="1:40" x14ac:dyDescent="0.25">
      <c r="A74" t="s">
        <v>437</v>
      </c>
      <c r="B74" t="s">
        <v>5</v>
      </c>
      <c r="C74">
        <v>2233.590612</v>
      </c>
      <c r="D74" t="s">
        <v>56</v>
      </c>
      <c r="E74" t="s">
        <v>56</v>
      </c>
      <c r="F74">
        <v>-31667.16</v>
      </c>
      <c r="G74" t="s">
        <v>437</v>
      </c>
      <c r="H74" t="s">
        <v>7</v>
      </c>
      <c r="I74">
        <v>34406.699999999997</v>
      </c>
      <c r="J74">
        <v>2967.9083209999999</v>
      </c>
      <c r="K74">
        <v>0</v>
      </c>
      <c r="L74">
        <v>0</v>
      </c>
      <c r="M74" t="s">
        <v>437</v>
      </c>
      <c r="N74" t="s">
        <v>57</v>
      </c>
      <c r="O74" t="s">
        <v>58</v>
      </c>
      <c r="P74" t="s">
        <v>438</v>
      </c>
      <c r="Q74" t="s">
        <v>439</v>
      </c>
      <c r="R74" t="s">
        <v>61</v>
      </c>
      <c r="S74" t="s">
        <v>58</v>
      </c>
      <c r="T74" t="s">
        <v>438</v>
      </c>
      <c r="U74" t="s">
        <v>439</v>
      </c>
      <c r="V74" t="s">
        <v>56</v>
      </c>
      <c r="W74" t="s">
        <v>56</v>
      </c>
      <c r="X74" t="s">
        <v>56</v>
      </c>
      <c r="Y74" t="s">
        <v>62</v>
      </c>
      <c r="Z74" t="s">
        <v>63</v>
      </c>
      <c r="AA74" t="s">
        <v>64</v>
      </c>
      <c r="AB74">
        <v>1</v>
      </c>
      <c r="AC74" t="s">
        <v>78</v>
      </c>
      <c r="AD74" t="s">
        <v>66</v>
      </c>
      <c r="AE74" t="s">
        <v>113</v>
      </c>
      <c r="AF74" t="s">
        <v>68</v>
      </c>
      <c r="AG74">
        <v>38757.550000000003</v>
      </c>
      <c r="AH74" t="s">
        <v>69</v>
      </c>
      <c r="AI74" t="s">
        <v>142</v>
      </c>
      <c r="AJ74" t="s">
        <v>98</v>
      </c>
      <c r="AK74" t="s">
        <v>72</v>
      </c>
      <c r="AL74" t="s">
        <v>73</v>
      </c>
      <c r="AM74" t="s">
        <v>73</v>
      </c>
      <c r="AN74" t="s">
        <v>116</v>
      </c>
    </row>
    <row r="75" spans="1:40" x14ac:dyDescent="0.25">
      <c r="A75" t="s">
        <v>560</v>
      </c>
      <c r="B75" t="s">
        <v>5</v>
      </c>
      <c r="C75" s="2">
        <v>2228.9602089999998</v>
      </c>
      <c r="D75" t="s">
        <v>56</v>
      </c>
      <c r="E75" t="s">
        <v>56</v>
      </c>
      <c r="F75">
        <v>-16667.72</v>
      </c>
      <c r="G75" t="s">
        <v>560</v>
      </c>
      <c r="H75" t="s">
        <v>7</v>
      </c>
      <c r="I75">
        <v>19742.599999999999</v>
      </c>
      <c r="J75">
        <v>0</v>
      </c>
      <c r="K75">
        <v>0</v>
      </c>
      <c r="L75">
        <v>0</v>
      </c>
      <c r="M75" t="s">
        <v>560</v>
      </c>
      <c r="N75" t="s">
        <v>57</v>
      </c>
      <c r="O75" t="s">
        <v>58</v>
      </c>
      <c r="P75" t="s">
        <v>561</v>
      </c>
      <c r="Q75" t="s">
        <v>562</v>
      </c>
      <c r="R75" t="s">
        <v>61</v>
      </c>
      <c r="S75" t="s">
        <v>58</v>
      </c>
      <c r="T75" t="s">
        <v>561</v>
      </c>
      <c r="U75" t="s">
        <v>562</v>
      </c>
      <c r="V75" t="s">
        <v>56</v>
      </c>
      <c r="W75" t="s">
        <v>56</v>
      </c>
      <c r="X75" t="s">
        <v>56</v>
      </c>
      <c r="Y75" t="s">
        <v>62</v>
      </c>
      <c r="Z75" t="s">
        <v>63</v>
      </c>
      <c r="AA75" t="s">
        <v>64</v>
      </c>
      <c r="AB75">
        <v>1</v>
      </c>
      <c r="AC75" t="s">
        <v>84</v>
      </c>
      <c r="AD75" t="s">
        <v>66</v>
      </c>
      <c r="AE75" t="s">
        <v>85</v>
      </c>
      <c r="AF75" t="s">
        <v>68</v>
      </c>
      <c r="AG75">
        <v>25000</v>
      </c>
      <c r="AH75" t="s">
        <v>69</v>
      </c>
      <c r="AI75" t="s">
        <v>297</v>
      </c>
      <c r="AJ75" t="s">
        <v>172</v>
      </c>
      <c r="AK75" t="s">
        <v>99</v>
      </c>
      <c r="AL75" t="s">
        <v>73</v>
      </c>
      <c r="AM75" t="s">
        <v>73</v>
      </c>
      <c r="AN75" t="s">
        <v>56</v>
      </c>
    </row>
    <row r="76" spans="1:40" x14ac:dyDescent="0.25">
      <c r="A76" t="s">
        <v>478</v>
      </c>
      <c r="B76" t="s">
        <v>5</v>
      </c>
      <c r="C76" s="2">
        <v>2227.8903749999999</v>
      </c>
      <c r="D76" t="s">
        <v>56</v>
      </c>
      <c r="E76" t="s">
        <v>56</v>
      </c>
      <c r="F76">
        <v>-18755.87</v>
      </c>
      <c r="G76" t="s">
        <v>478</v>
      </c>
      <c r="H76" t="s">
        <v>7</v>
      </c>
      <c r="I76">
        <v>21431.439999999999</v>
      </c>
      <c r="J76">
        <v>0</v>
      </c>
      <c r="K76">
        <v>0</v>
      </c>
      <c r="L76">
        <v>0</v>
      </c>
      <c r="M76" t="s">
        <v>478</v>
      </c>
      <c r="N76" t="s">
        <v>57</v>
      </c>
      <c r="O76" t="s">
        <v>58</v>
      </c>
      <c r="P76" t="s">
        <v>479</v>
      </c>
      <c r="Q76" t="s">
        <v>480</v>
      </c>
      <c r="R76" t="s">
        <v>61</v>
      </c>
      <c r="S76" t="s">
        <v>58</v>
      </c>
      <c r="T76" t="s">
        <v>479</v>
      </c>
      <c r="U76" t="s">
        <v>480</v>
      </c>
      <c r="V76" t="s">
        <v>56</v>
      </c>
      <c r="W76" t="s">
        <v>56</v>
      </c>
      <c r="X76" t="s">
        <v>56</v>
      </c>
      <c r="Y76" t="s">
        <v>62</v>
      </c>
      <c r="Z76" t="s">
        <v>63</v>
      </c>
      <c r="AA76" t="s">
        <v>64</v>
      </c>
      <c r="AB76">
        <v>1</v>
      </c>
      <c r="AC76" t="s">
        <v>84</v>
      </c>
      <c r="AD76" t="s">
        <v>66</v>
      </c>
      <c r="AE76" t="s">
        <v>85</v>
      </c>
      <c r="AF76" t="s">
        <v>235</v>
      </c>
      <c r="AG76">
        <v>28145.53</v>
      </c>
      <c r="AH76" t="s">
        <v>69</v>
      </c>
      <c r="AI76" t="s">
        <v>132</v>
      </c>
      <c r="AJ76" t="s">
        <v>195</v>
      </c>
      <c r="AK76" t="s">
        <v>99</v>
      </c>
      <c r="AL76" t="s">
        <v>73</v>
      </c>
      <c r="AM76" t="s">
        <v>73</v>
      </c>
      <c r="AN76" t="s">
        <v>56</v>
      </c>
    </row>
    <row r="77" spans="1:40" x14ac:dyDescent="0.25">
      <c r="A77" t="s">
        <v>1725</v>
      </c>
      <c r="B77" t="s">
        <v>5</v>
      </c>
      <c r="C77" s="2">
        <v>2226.198699</v>
      </c>
      <c r="D77" t="s">
        <v>56</v>
      </c>
      <c r="E77" t="s">
        <v>56</v>
      </c>
      <c r="F77">
        <v>-22307.08</v>
      </c>
      <c r="G77" t="s">
        <v>1725</v>
      </c>
      <c r="H77" t="s">
        <v>7</v>
      </c>
      <c r="I77">
        <v>26411.09</v>
      </c>
      <c r="J77">
        <v>0</v>
      </c>
      <c r="K77">
        <v>0</v>
      </c>
      <c r="L77">
        <v>0</v>
      </c>
      <c r="M77" t="s">
        <v>1725</v>
      </c>
      <c r="N77" t="s">
        <v>57</v>
      </c>
      <c r="O77" t="s">
        <v>58</v>
      </c>
      <c r="P77" t="s">
        <v>1726</v>
      </c>
      <c r="Q77" t="s">
        <v>1727</v>
      </c>
      <c r="R77" t="s">
        <v>61</v>
      </c>
      <c r="S77" t="s">
        <v>58</v>
      </c>
      <c r="T77" t="s">
        <v>1726</v>
      </c>
      <c r="U77" t="s">
        <v>1727</v>
      </c>
      <c r="V77" t="s">
        <v>56</v>
      </c>
      <c r="W77" t="s">
        <v>56</v>
      </c>
      <c r="X77" t="s">
        <v>56</v>
      </c>
      <c r="Y77" t="s">
        <v>62</v>
      </c>
      <c r="Z77" t="s">
        <v>63</v>
      </c>
      <c r="AA77" t="s">
        <v>64</v>
      </c>
      <c r="AB77">
        <v>1</v>
      </c>
      <c r="AC77" t="s">
        <v>78</v>
      </c>
      <c r="AD77" t="s">
        <v>66</v>
      </c>
      <c r="AE77" t="s">
        <v>85</v>
      </c>
      <c r="AF77" t="s">
        <v>68</v>
      </c>
      <c r="AG77">
        <v>33500</v>
      </c>
      <c r="AH77" t="s">
        <v>69</v>
      </c>
      <c r="AI77" t="s">
        <v>128</v>
      </c>
      <c r="AJ77" t="s">
        <v>240</v>
      </c>
      <c r="AK77" t="s">
        <v>99</v>
      </c>
      <c r="AL77" t="s">
        <v>73</v>
      </c>
      <c r="AM77" t="s">
        <v>73</v>
      </c>
      <c r="AN77" t="s">
        <v>56</v>
      </c>
    </row>
    <row r="78" spans="1:40" x14ac:dyDescent="0.25">
      <c r="A78" t="s">
        <v>936</v>
      </c>
      <c r="B78" t="s">
        <v>5</v>
      </c>
      <c r="C78">
        <v>2222.4617779999999</v>
      </c>
      <c r="D78" t="s">
        <v>56</v>
      </c>
      <c r="E78" t="s">
        <v>56</v>
      </c>
      <c r="F78">
        <v>-27322.03</v>
      </c>
      <c r="G78" t="s">
        <v>936</v>
      </c>
      <c r="H78" t="s">
        <v>7</v>
      </c>
      <c r="I78">
        <v>29312.44</v>
      </c>
      <c r="J78">
        <v>2815.6775480000001</v>
      </c>
      <c r="K78">
        <v>0</v>
      </c>
      <c r="L78">
        <v>0</v>
      </c>
      <c r="M78" t="s">
        <v>936</v>
      </c>
      <c r="N78" t="s">
        <v>57</v>
      </c>
      <c r="O78" t="s">
        <v>58</v>
      </c>
      <c r="P78" t="s">
        <v>937</v>
      </c>
      <c r="Q78" t="s">
        <v>938</v>
      </c>
      <c r="R78" t="s">
        <v>61</v>
      </c>
      <c r="S78" t="s">
        <v>58</v>
      </c>
      <c r="T78" t="s">
        <v>937</v>
      </c>
      <c r="U78" t="s">
        <v>938</v>
      </c>
      <c r="V78" t="s">
        <v>56</v>
      </c>
      <c r="W78" t="s">
        <v>56</v>
      </c>
      <c r="X78" t="s">
        <v>56</v>
      </c>
      <c r="Y78" t="s">
        <v>62</v>
      </c>
      <c r="Z78" t="s">
        <v>63</v>
      </c>
      <c r="AA78" t="s">
        <v>64</v>
      </c>
      <c r="AB78">
        <v>1</v>
      </c>
      <c r="AC78" t="s">
        <v>120</v>
      </c>
      <c r="AD78" t="s">
        <v>66</v>
      </c>
      <c r="AE78" t="s">
        <v>113</v>
      </c>
      <c r="AF78" t="s">
        <v>68</v>
      </c>
      <c r="AG78">
        <v>34804.44</v>
      </c>
      <c r="AH78" t="s">
        <v>69</v>
      </c>
      <c r="AI78" t="s">
        <v>939</v>
      </c>
      <c r="AJ78" t="s">
        <v>138</v>
      </c>
      <c r="AK78" t="s">
        <v>72</v>
      </c>
      <c r="AL78" t="s">
        <v>73</v>
      </c>
      <c r="AM78" t="s">
        <v>73</v>
      </c>
      <c r="AN78" t="s">
        <v>116</v>
      </c>
    </row>
    <row r="79" spans="1:40" x14ac:dyDescent="0.25">
      <c r="A79" t="s">
        <v>217</v>
      </c>
      <c r="B79" t="s">
        <v>5</v>
      </c>
      <c r="C79">
        <v>2216.4790849999999</v>
      </c>
      <c r="D79" t="s">
        <v>56</v>
      </c>
      <c r="E79" t="s">
        <v>56</v>
      </c>
      <c r="F79">
        <v>-23071.49</v>
      </c>
      <c r="G79" t="s">
        <v>217</v>
      </c>
      <c r="H79" t="s">
        <v>7</v>
      </c>
      <c r="I79">
        <v>24681.59</v>
      </c>
      <c r="J79">
        <v>2899.8166930000002</v>
      </c>
      <c r="K79">
        <v>0</v>
      </c>
      <c r="L79">
        <v>0</v>
      </c>
      <c r="M79" t="s">
        <v>217</v>
      </c>
      <c r="N79" t="s">
        <v>57</v>
      </c>
      <c r="O79" t="s">
        <v>58</v>
      </c>
      <c r="P79" t="s">
        <v>218</v>
      </c>
      <c r="Q79" t="s">
        <v>219</v>
      </c>
      <c r="R79" t="s">
        <v>61</v>
      </c>
      <c r="S79" t="s">
        <v>58</v>
      </c>
      <c r="T79" t="s">
        <v>218</v>
      </c>
      <c r="U79" t="s">
        <v>219</v>
      </c>
      <c r="V79" t="s">
        <v>56</v>
      </c>
      <c r="W79" t="s">
        <v>56</v>
      </c>
      <c r="X79" t="s">
        <v>56</v>
      </c>
      <c r="Y79" t="s">
        <v>62</v>
      </c>
      <c r="Z79" t="s">
        <v>63</v>
      </c>
      <c r="AA79" t="s">
        <v>64</v>
      </c>
      <c r="AB79">
        <v>1</v>
      </c>
      <c r="AC79" t="s">
        <v>78</v>
      </c>
      <c r="AD79" t="s">
        <v>66</v>
      </c>
      <c r="AE79" t="s">
        <v>113</v>
      </c>
      <c r="AF79" t="s">
        <v>68</v>
      </c>
      <c r="AG79">
        <v>28455.29</v>
      </c>
      <c r="AH79" t="s">
        <v>69</v>
      </c>
      <c r="AI79" t="s">
        <v>220</v>
      </c>
      <c r="AJ79" t="s">
        <v>187</v>
      </c>
      <c r="AK79" t="s">
        <v>72</v>
      </c>
      <c r="AL79" t="s">
        <v>73</v>
      </c>
      <c r="AM79" t="s">
        <v>73</v>
      </c>
      <c r="AN79" t="s">
        <v>116</v>
      </c>
    </row>
    <row r="80" spans="1:40" x14ac:dyDescent="0.25">
      <c r="A80" t="s">
        <v>891</v>
      </c>
      <c r="B80" t="s">
        <v>5</v>
      </c>
      <c r="C80" s="2">
        <v>2212.732156</v>
      </c>
      <c r="D80" t="s">
        <v>56</v>
      </c>
      <c r="E80" t="s">
        <v>56</v>
      </c>
      <c r="F80">
        <v>-23164.92</v>
      </c>
      <c r="G80" t="s">
        <v>891</v>
      </c>
      <c r="H80" t="s">
        <v>7</v>
      </c>
      <c r="I80">
        <v>25972.29</v>
      </c>
      <c r="J80">
        <v>0</v>
      </c>
      <c r="K80">
        <v>0</v>
      </c>
      <c r="L80">
        <v>0</v>
      </c>
      <c r="M80" t="s">
        <v>891</v>
      </c>
      <c r="N80" t="s">
        <v>57</v>
      </c>
      <c r="O80" t="s">
        <v>58</v>
      </c>
      <c r="P80" t="s">
        <v>892</v>
      </c>
      <c r="Q80" t="s">
        <v>893</v>
      </c>
      <c r="R80" t="s">
        <v>61</v>
      </c>
      <c r="S80" t="s">
        <v>58</v>
      </c>
      <c r="T80" t="s">
        <v>892</v>
      </c>
      <c r="U80" t="s">
        <v>893</v>
      </c>
      <c r="V80" t="s">
        <v>56</v>
      </c>
      <c r="W80" t="s">
        <v>56</v>
      </c>
      <c r="X80" t="s">
        <v>56</v>
      </c>
      <c r="Y80" t="s">
        <v>62</v>
      </c>
      <c r="Z80" t="s">
        <v>63</v>
      </c>
      <c r="AA80" t="s">
        <v>64</v>
      </c>
      <c r="AB80">
        <v>1</v>
      </c>
      <c r="AC80" t="s">
        <v>84</v>
      </c>
      <c r="AD80" t="s">
        <v>66</v>
      </c>
      <c r="AE80" t="s">
        <v>85</v>
      </c>
      <c r="AF80" t="s">
        <v>103</v>
      </c>
      <c r="AG80">
        <v>35000</v>
      </c>
      <c r="AH80" t="s">
        <v>69</v>
      </c>
      <c r="AI80" t="s">
        <v>132</v>
      </c>
      <c r="AJ80" t="s">
        <v>204</v>
      </c>
      <c r="AK80" t="s">
        <v>99</v>
      </c>
      <c r="AL80" t="s">
        <v>73</v>
      </c>
      <c r="AM80" t="s">
        <v>73</v>
      </c>
      <c r="AN80" t="s">
        <v>56</v>
      </c>
    </row>
    <row r="81" spans="1:40" x14ac:dyDescent="0.25">
      <c r="A81" t="s">
        <v>299</v>
      </c>
      <c r="B81" t="s">
        <v>5</v>
      </c>
      <c r="C81" s="2">
        <v>2189.9313069999998</v>
      </c>
      <c r="D81" t="s">
        <v>56</v>
      </c>
      <c r="E81" t="s">
        <v>56</v>
      </c>
      <c r="F81">
        <v>-33699.43</v>
      </c>
      <c r="G81" t="s">
        <v>299</v>
      </c>
      <c r="H81" t="s">
        <v>7</v>
      </c>
      <c r="I81">
        <v>37804.050000000003</v>
      </c>
      <c r="J81">
        <v>0</v>
      </c>
      <c r="K81">
        <v>0</v>
      </c>
      <c r="L81">
        <v>0</v>
      </c>
      <c r="M81" t="s">
        <v>299</v>
      </c>
      <c r="N81" t="s">
        <v>57</v>
      </c>
      <c r="O81" t="s">
        <v>58</v>
      </c>
      <c r="P81" t="s">
        <v>300</v>
      </c>
      <c r="Q81" t="s">
        <v>301</v>
      </c>
      <c r="R81" t="s">
        <v>61</v>
      </c>
      <c r="S81" t="s">
        <v>58</v>
      </c>
      <c r="T81" t="s">
        <v>300</v>
      </c>
      <c r="U81" t="s">
        <v>301</v>
      </c>
      <c r="V81" t="s">
        <v>56</v>
      </c>
      <c r="W81" t="s">
        <v>56</v>
      </c>
      <c r="X81" t="s">
        <v>56</v>
      </c>
      <c r="Y81" t="s">
        <v>62</v>
      </c>
      <c r="Z81" t="s">
        <v>63</v>
      </c>
      <c r="AA81" t="s">
        <v>64</v>
      </c>
      <c r="AB81">
        <v>1</v>
      </c>
      <c r="AC81" t="s">
        <v>84</v>
      </c>
      <c r="AD81" t="s">
        <v>66</v>
      </c>
      <c r="AE81" t="s">
        <v>85</v>
      </c>
      <c r="AF81" t="s">
        <v>103</v>
      </c>
      <c r="AG81">
        <v>51446.81</v>
      </c>
      <c r="AH81" t="s">
        <v>69</v>
      </c>
      <c r="AI81" t="s">
        <v>253</v>
      </c>
      <c r="AJ81" t="s">
        <v>302</v>
      </c>
      <c r="AK81" t="s">
        <v>99</v>
      </c>
      <c r="AL81" t="s">
        <v>73</v>
      </c>
      <c r="AM81" t="s">
        <v>73</v>
      </c>
      <c r="AN81" t="s">
        <v>56</v>
      </c>
    </row>
    <row r="82" spans="1:40" x14ac:dyDescent="0.25">
      <c r="A82" t="s">
        <v>950</v>
      </c>
      <c r="B82" t="s">
        <v>5</v>
      </c>
      <c r="C82" s="2">
        <v>2189.8577559999999</v>
      </c>
      <c r="D82" t="s">
        <v>56</v>
      </c>
      <c r="E82" t="s">
        <v>56</v>
      </c>
      <c r="F82">
        <v>-20370.89</v>
      </c>
      <c r="G82" t="s">
        <v>950</v>
      </c>
      <c r="H82" t="s">
        <v>7</v>
      </c>
      <c r="I82">
        <v>24155.01</v>
      </c>
      <c r="J82">
        <v>0</v>
      </c>
      <c r="K82">
        <v>0</v>
      </c>
      <c r="L82">
        <v>0</v>
      </c>
      <c r="M82" t="s">
        <v>950</v>
      </c>
      <c r="N82" t="s">
        <v>57</v>
      </c>
      <c r="O82" t="s">
        <v>58</v>
      </c>
      <c r="P82" t="s">
        <v>951</v>
      </c>
      <c r="Q82" t="s">
        <v>952</v>
      </c>
      <c r="R82" t="s">
        <v>61</v>
      </c>
      <c r="S82" t="s">
        <v>58</v>
      </c>
      <c r="T82" t="s">
        <v>951</v>
      </c>
      <c r="U82" t="s">
        <v>952</v>
      </c>
      <c r="V82" t="s">
        <v>56</v>
      </c>
      <c r="W82" t="s">
        <v>56</v>
      </c>
      <c r="X82" t="s">
        <v>56</v>
      </c>
      <c r="Y82" t="s">
        <v>62</v>
      </c>
      <c r="Z82" t="s">
        <v>63</v>
      </c>
      <c r="AA82" t="s">
        <v>64</v>
      </c>
      <c r="AB82">
        <v>1</v>
      </c>
      <c r="AC82" t="s">
        <v>84</v>
      </c>
      <c r="AD82" t="s">
        <v>66</v>
      </c>
      <c r="AE82" t="s">
        <v>85</v>
      </c>
      <c r="AF82" t="s">
        <v>68</v>
      </c>
      <c r="AG82">
        <v>31100</v>
      </c>
      <c r="AH82" t="s">
        <v>69</v>
      </c>
      <c r="AI82" t="s">
        <v>400</v>
      </c>
      <c r="AJ82" t="s">
        <v>148</v>
      </c>
      <c r="AK82" t="s">
        <v>99</v>
      </c>
      <c r="AL82" t="s">
        <v>73</v>
      </c>
      <c r="AM82" t="s">
        <v>73</v>
      </c>
      <c r="AN82" t="s">
        <v>56</v>
      </c>
    </row>
    <row r="83" spans="1:40" x14ac:dyDescent="0.25">
      <c r="A83" t="s">
        <v>977</v>
      </c>
      <c r="B83" t="s">
        <v>5</v>
      </c>
      <c r="C83" s="2">
        <v>2139.050643</v>
      </c>
      <c r="D83" t="s">
        <v>56</v>
      </c>
      <c r="E83" t="s">
        <v>56</v>
      </c>
      <c r="F83">
        <v>-28791.7</v>
      </c>
      <c r="G83" t="s">
        <v>977</v>
      </c>
      <c r="H83" t="s">
        <v>7</v>
      </c>
      <c r="I83">
        <v>33100.71</v>
      </c>
      <c r="J83">
        <v>0</v>
      </c>
      <c r="K83">
        <v>0</v>
      </c>
      <c r="L83">
        <v>0</v>
      </c>
      <c r="M83" t="s">
        <v>977</v>
      </c>
      <c r="N83" t="s">
        <v>57</v>
      </c>
      <c r="O83" t="s">
        <v>58</v>
      </c>
      <c r="P83" t="s">
        <v>978</v>
      </c>
      <c r="Q83" t="s">
        <v>979</v>
      </c>
      <c r="R83" t="s">
        <v>61</v>
      </c>
      <c r="S83" t="s">
        <v>58</v>
      </c>
      <c r="T83" t="s">
        <v>978</v>
      </c>
      <c r="U83" t="s">
        <v>979</v>
      </c>
      <c r="V83" t="s">
        <v>56</v>
      </c>
      <c r="W83" t="s">
        <v>56</v>
      </c>
      <c r="X83" t="s">
        <v>56</v>
      </c>
      <c r="Y83" t="s">
        <v>62</v>
      </c>
      <c r="Z83" t="s">
        <v>63</v>
      </c>
      <c r="AA83" t="s">
        <v>64</v>
      </c>
      <c r="AB83">
        <v>1</v>
      </c>
      <c r="AC83" t="s">
        <v>78</v>
      </c>
      <c r="AD83" t="s">
        <v>66</v>
      </c>
      <c r="AE83" t="s">
        <v>85</v>
      </c>
      <c r="AF83" t="s">
        <v>68</v>
      </c>
      <c r="AG83">
        <v>45000</v>
      </c>
      <c r="AH83" t="s">
        <v>69</v>
      </c>
      <c r="AI83" t="s">
        <v>114</v>
      </c>
      <c r="AJ83" t="s">
        <v>177</v>
      </c>
      <c r="AK83" t="s">
        <v>99</v>
      </c>
      <c r="AL83" t="s">
        <v>73</v>
      </c>
      <c r="AM83" t="s">
        <v>73</v>
      </c>
      <c r="AN83" t="s">
        <v>56</v>
      </c>
    </row>
    <row r="84" spans="1:40" x14ac:dyDescent="0.25">
      <c r="A84" t="s">
        <v>1584</v>
      </c>
      <c r="B84" t="s">
        <v>5</v>
      </c>
      <c r="C84">
        <v>2137.6900690000002</v>
      </c>
      <c r="D84" t="s">
        <v>56</v>
      </c>
      <c r="E84" t="s">
        <v>56</v>
      </c>
      <c r="F84">
        <v>-51600.6</v>
      </c>
      <c r="G84" t="s">
        <v>1584</v>
      </c>
      <c r="H84" t="s">
        <v>7</v>
      </c>
      <c r="I84">
        <v>56016.39</v>
      </c>
      <c r="J84">
        <v>2838.050463</v>
      </c>
      <c r="K84">
        <v>0</v>
      </c>
      <c r="L84">
        <v>0</v>
      </c>
      <c r="M84" t="s">
        <v>1584</v>
      </c>
      <c r="N84" t="s">
        <v>57</v>
      </c>
      <c r="O84" t="s">
        <v>58</v>
      </c>
      <c r="P84" t="s">
        <v>1585</v>
      </c>
      <c r="Q84" t="s">
        <v>1586</v>
      </c>
      <c r="R84" t="s">
        <v>61</v>
      </c>
      <c r="S84" t="s">
        <v>58</v>
      </c>
      <c r="T84" t="s">
        <v>1585</v>
      </c>
      <c r="U84" t="s">
        <v>1586</v>
      </c>
      <c r="V84" t="s">
        <v>56</v>
      </c>
      <c r="W84" t="s">
        <v>56</v>
      </c>
      <c r="X84" t="s">
        <v>56</v>
      </c>
      <c r="Y84" t="s">
        <v>62</v>
      </c>
      <c r="Z84" t="s">
        <v>63</v>
      </c>
      <c r="AA84" t="s">
        <v>64</v>
      </c>
      <c r="AB84">
        <v>1</v>
      </c>
      <c r="AC84" t="s">
        <v>78</v>
      </c>
      <c r="AD84" t="s">
        <v>66</v>
      </c>
      <c r="AE84" t="s">
        <v>113</v>
      </c>
      <c r="AF84" t="s">
        <v>68</v>
      </c>
      <c r="AG84">
        <v>65987.34</v>
      </c>
      <c r="AH84" t="s">
        <v>69</v>
      </c>
      <c r="AI84" t="s">
        <v>176</v>
      </c>
      <c r="AJ84" t="s">
        <v>254</v>
      </c>
      <c r="AK84" t="s">
        <v>280</v>
      </c>
      <c r="AL84" t="s">
        <v>73</v>
      </c>
      <c r="AM84" t="s">
        <v>73</v>
      </c>
      <c r="AN84" t="s">
        <v>116</v>
      </c>
    </row>
    <row r="85" spans="1:40" x14ac:dyDescent="0.25">
      <c r="A85" t="s">
        <v>732</v>
      </c>
      <c r="B85" t="s">
        <v>5</v>
      </c>
      <c r="C85">
        <v>2128.6248930000002</v>
      </c>
      <c r="D85" t="s">
        <v>56</v>
      </c>
      <c r="E85" t="s">
        <v>56</v>
      </c>
      <c r="F85">
        <v>-37983.449999999997</v>
      </c>
      <c r="G85" t="s">
        <v>732</v>
      </c>
      <c r="H85" t="s">
        <v>7</v>
      </c>
      <c r="I85">
        <v>40360.410000000003</v>
      </c>
      <c r="J85">
        <v>2766.1508939999999</v>
      </c>
      <c r="K85">
        <v>0</v>
      </c>
      <c r="L85">
        <v>0</v>
      </c>
      <c r="M85" t="s">
        <v>732</v>
      </c>
      <c r="N85" t="s">
        <v>57</v>
      </c>
      <c r="O85" t="s">
        <v>58</v>
      </c>
      <c r="P85" t="s">
        <v>733</v>
      </c>
      <c r="Q85" t="s">
        <v>734</v>
      </c>
      <c r="R85" t="s">
        <v>61</v>
      </c>
      <c r="S85" t="s">
        <v>58</v>
      </c>
      <c r="T85" t="s">
        <v>733</v>
      </c>
      <c r="U85" t="s">
        <v>734</v>
      </c>
      <c r="V85" t="s">
        <v>56</v>
      </c>
      <c r="W85" t="s">
        <v>56</v>
      </c>
      <c r="X85" t="s">
        <v>56</v>
      </c>
      <c r="Y85" t="s">
        <v>62</v>
      </c>
      <c r="Z85" t="s">
        <v>63</v>
      </c>
      <c r="AA85" t="s">
        <v>64</v>
      </c>
      <c r="AB85">
        <v>1</v>
      </c>
      <c r="AC85" t="s">
        <v>84</v>
      </c>
      <c r="AD85" t="s">
        <v>66</v>
      </c>
      <c r="AE85" t="s">
        <v>113</v>
      </c>
      <c r="AF85" t="s">
        <v>68</v>
      </c>
      <c r="AG85">
        <v>48780.5</v>
      </c>
      <c r="AH85" t="s">
        <v>69</v>
      </c>
      <c r="AI85" t="s">
        <v>355</v>
      </c>
      <c r="AJ85" t="s">
        <v>228</v>
      </c>
      <c r="AK85" t="s">
        <v>72</v>
      </c>
      <c r="AL85" t="s">
        <v>73</v>
      </c>
      <c r="AM85" t="s">
        <v>73</v>
      </c>
      <c r="AN85" t="s">
        <v>116</v>
      </c>
    </row>
    <row r="86" spans="1:40" x14ac:dyDescent="0.25">
      <c r="A86" s="7" t="s">
        <v>55</v>
      </c>
      <c r="B86" s="7" t="s">
        <v>5</v>
      </c>
      <c r="C86" s="7">
        <v>2124.90753</v>
      </c>
      <c r="D86" s="7">
        <v>1804.9660140000001</v>
      </c>
      <c r="E86" s="7" t="s">
        <v>56</v>
      </c>
      <c r="F86" s="7">
        <v>-264541.15999999997</v>
      </c>
      <c r="G86" s="7" t="s">
        <v>55</v>
      </c>
      <c r="H86" s="7" t="s">
        <v>7</v>
      </c>
      <c r="I86" s="7">
        <v>300836.90000000002</v>
      </c>
      <c r="J86" s="7">
        <v>990.74348199999997</v>
      </c>
      <c r="K86" s="7">
        <v>841.56994599999996</v>
      </c>
      <c r="L86" s="7">
        <v>0</v>
      </c>
      <c r="M86" s="7" t="s">
        <v>55</v>
      </c>
      <c r="N86" s="7" t="s">
        <v>57</v>
      </c>
      <c r="O86" s="7" t="s">
        <v>58</v>
      </c>
      <c r="P86" s="7" t="s">
        <v>59</v>
      </c>
      <c r="Q86" s="7" t="s">
        <v>60</v>
      </c>
      <c r="R86" s="7" t="s">
        <v>61</v>
      </c>
      <c r="S86" s="7" t="s">
        <v>58</v>
      </c>
      <c r="T86" s="7" t="s">
        <v>59</v>
      </c>
      <c r="U86" s="7" t="s">
        <v>60</v>
      </c>
      <c r="V86" s="7" t="s">
        <v>56</v>
      </c>
      <c r="W86" s="7" t="s">
        <v>56</v>
      </c>
      <c r="X86" s="7" t="s">
        <v>56</v>
      </c>
      <c r="Y86" s="7" t="s">
        <v>62</v>
      </c>
      <c r="Z86" s="7" t="s">
        <v>63</v>
      </c>
      <c r="AA86" s="7" t="s">
        <v>64</v>
      </c>
      <c r="AB86" s="7">
        <v>1</v>
      </c>
      <c r="AC86" s="7" t="s">
        <v>65</v>
      </c>
      <c r="AD86" s="7" t="s">
        <v>66</v>
      </c>
      <c r="AE86" s="7" t="s">
        <v>67</v>
      </c>
      <c r="AF86" s="7" t="s">
        <v>68</v>
      </c>
      <c r="AG86" s="7">
        <v>114227.64</v>
      </c>
      <c r="AH86" s="7" t="s">
        <v>69</v>
      </c>
      <c r="AI86" s="7" t="s">
        <v>70</v>
      </c>
      <c r="AJ86" s="7" t="s">
        <v>71</v>
      </c>
      <c r="AK86" s="7" t="s">
        <v>72</v>
      </c>
      <c r="AL86" s="7" t="s">
        <v>73</v>
      </c>
      <c r="AM86" s="7" t="s">
        <v>73</v>
      </c>
      <c r="AN86" s="7" t="s">
        <v>74</v>
      </c>
    </row>
    <row r="87" spans="1:40" x14ac:dyDescent="0.25">
      <c r="A87" t="s">
        <v>664</v>
      </c>
      <c r="B87" t="s">
        <v>5</v>
      </c>
      <c r="C87">
        <v>2120.6054410000002</v>
      </c>
      <c r="D87" t="s">
        <v>56</v>
      </c>
      <c r="E87" t="s">
        <v>56</v>
      </c>
      <c r="F87">
        <v>-30835.27</v>
      </c>
      <c r="G87" t="s">
        <v>664</v>
      </c>
      <c r="H87" t="s">
        <v>7</v>
      </c>
      <c r="I87">
        <v>33046.89</v>
      </c>
      <c r="J87">
        <v>2779.3800670000001</v>
      </c>
      <c r="K87">
        <v>0</v>
      </c>
      <c r="L87">
        <v>0</v>
      </c>
      <c r="M87" t="s">
        <v>664</v>
      </c>
      <c r="N87" t="s">
        <v>57</v>
      </c>
      <c r="O87" t="s">
        <v>58</v>
      </c>
      <c r="P87" t="s">
        <v>665</v>
      </c>
      <c r="Q87" t="s">
        <v>666</v>
      </c>
      <c r="R87" t="s">
        <v>61</v>
      </c>
      <c r="S87" t="s">
        <v>58</v>
      </c>
      <c r="T87" t="s">
        <v>665</v>
      </c>
      <c r="U87" t="s">
        <v>666</v>
      </c>
      <c r="V87" t="s">
        <v>56</v>
      </c>
      <c r="W87" t="s">
        <v>56</v>
      </c>
      <c r="X87" t="s">
        <v>56</v>
      </c>
      <c r="Y87" t="s">
        <v>62</v>
      </c>
      <c r="Z87" t="s">
        <v>63</v>
      </c>
      <c r="AA87" t="s">
        <v>64</v>
      </c>
      <c r="AB87">
        <v>1</v>
      </c>
      <c r="AC87" t="s">
        <v>78</v>
      </c>
      <c r="AD87" t="s">
        <v>66</v>
      </c>
      <c r="AE87" t="s">
        <v>113</v>
      </c>
      <c r="AF87" t="s">
        <v>68</v>
      </c>
      <c r="AG87">
        <v>39750.17</v>
      </c>
      <c r="AH87" t="s">
        <v>69</v>
      </c>
      <c r="AI87" t="s">
        <v>70</v>
      </c>
      <c r="AJ87" t="s">
        <v>93</v>
      </c>
      <c r="AK87" t="s">
        <v>72</v>
      </c>
      <c r="AL87" t="s">
        <v>73</v>
      </c>
      <c r="AM87" t="s">
        <v>73</v>
      </c>
      <c r="AN87" t="s">
        <v>116</v>
      </c>
    </row>
    <row r="88" spans="1:40" x14ac:dyDescent="0.25">
      <c r="A88" t="s">
        <v>2407</v>
      </c>
      <c r="B88" t="s">
        <v>5</v>
      </c>
      <c r="C88" s="2">
        <v>2100.9277569999999</v>
      </c>
      <c r="D88" t="s">
        <v>56</v>
      </c>
      <c r="E88" t="s">
        <v>56</v>
      </c>
      <c r="F88">
        <v>-22172.23</v>
      </c>
      <c r="G88" t="s">
        <v>2407</v>
      </c>
      <c r="H88" t="s">
        <v>7</v>
      </c>
      <c r="I88">
        <v>23794.79</v>
      </c>
      <c r="J88">
        <v>0</v>
      </c>
      <c r="K88">
        <v>0</v>
      </c>
      <c r="L88">
        <v>0</v>
      </c>
      <c r="M88" t="s">
        <v>2407</v>
      </c>
      <c r="N88" t="s">
        <v>57</v>
      </c>
      <c r="O88" t="s">
        <v>58</v>
      </c>
      <c r="P88" t="s">
        <v>2408</v>
      </c>
      <c r="Q88" t="s">
        <v>938</v>
      </c>
      <c r="R88" t="s">
        <v>61</v>
      </c>
      <c r="S88" t="s">
        <v>58</v>
      </c>
      <c r="T88" t="s">
        <v>2408</v>
      </c>
      <c r="U88" t="s">
        <v>938</v>
      </c>
      <c r="V88" t="s">
        <v>56</v>
      </c>
      <c r="W88" t="s">
        <v>56</v>
      </c>
      <c r="X88" t="s">
        <v>56</v>
      </c>
      <c r="Y88" t="s">
        <v>62</v>
      </c>
      <c r="Z88" t="s">
        <v>63</v>
      </c>
      <c r="AA88" t="s">
        <v>64</v>
      </c>
      <c r="AB88">
        <v>1</v>
      </c>
      <c r="AC88" t="s">
        <v>120</v>
      </c>
      <c r="AD88" t="s">
        <v>66</v>
      </c>
      <c r="AE88" t="s">
        <v>85</v>
      </c>
      <c r="AF88" t="s">
        <v>68</v>
      </c>
      <c r="AG88">
        <v>28685.31</v>
      </c>
      <c r="AH88" t="s">
        <v>69</v>
      </c>
      <c r="AI88" t="s">
        <v>114</v>
      </c>
      <c r="AJ88" t="s">
        <v>943</v>
      </c>
      <c r="AK88" t="s">
        <v>72</v>
      </c>
      <c r="AL88" t="s">
        <v>73</v>
      </c>
      <c r="AM88" t="s">
        <v>73</v>
      </c>
      <c r="AN88" t="s">
        <v>56</v>
      </c>
    </row>
    <row r="89" spans="1:40" x14ac:dyDescent="0.25">
      <c r="A89" t="s">
        <v>1116</v>
      </c>
      <c r="B89" t="s">
        <v>5</v>
      </c>
      <c r="C89">
        <v>2089.7448399999998</v>
      </c>
      <c r="D89" t="s">
        <v>56</v>
      </c>
      <c r="E89" t="s">
        <v>56</v>
      </c>
      <c r="F89">
        <v>-24859.759999999998</v>
      </c>
      <c r="G89" t="s">
        <v>1116</v>
      </c>
      <c r="H89" t="s">
        <v>7</v>
      </c>
      <c r="I89">
        <v>28755.66</v>
      </c>
      <c r="J89">
        <v>2403.3666469999998</v>
      </c>
      <c r="K89">
        <v>0</v>
      </c>
      <c r="L89">
        <v>0</v>
      </c>
      <c r="M89" t="s">
        <v>1116</v>
      </c>
      <c r="N89" t="s">
        <v>57</v>
      </c>
      <c r="O89" t="s">
        <v>58</v>
      </c>
      <c r="P89" t="s">
        <v>1117</v>
      </c>
      <c r="Q89" t="s">
        <v>1118</v>
      </c>
      <c r="R89" t="s">
        <v>61</v>
      </c>
      <c r="S89" t="s">
        <v>58</v>
      </c>
      <c r="T89" t="s">
        <v>1117</v>
      </c>
      <c r="U89" t="s">
        <v>1118</v>
      </c>
      <c r="V89" t="s">
        <v>56</v>
      </c>
      <c r="W89" t="s">
        <v>56</v>
      </c>
      <c r="X89" t="s">
        <v>56</v>
      </c>
      <c r="Y89" t="s">
        <v>62</v>
      </c>
      <c r="Z89" t="s">
        <v>63</v>
      </c>
      <c r="AA89" t="s">
        <v>64</v>
      </c>
      <c r="AB89">
        <v>1</v>
      </c>
      <c r="AC89" t="s">
        <v>65</v>
      </c>
      <c r="AD89" t="s">
        <v>66</v>
      </c>
      <c r="AE89" t="s">
        <v>113</v>
      </c>
      <c r="AF89" t="s">
        <v>68</v>
      </c>
      <c r="AG89">
        <v>40000</v>
      </c>
      <c r="AH89" t="s">
        <v>69</v>
      </c>
      <c r="AI89" t="s">
        <v>355</v>
      </c>
      <c r="AJ89" t="s">
        <v>485</v>
      </c>
      <c r="AK89" t="s">
        <v>99</v>
      </c>
      <c r="AL89" t="s">
        <v>73</v>
      </c>
      <c r="AM89" t="s">
        <v>73</v>
      </c>
      <c r="AN89" t="s">
        <v>116</v>
      </c>
    </row>
    <row r="90" spans="1:40" x14ac:dyDescent="0.25">
      <c r="A90" t="s">
        <v>1972</v>
      </c>
      <c r="B90" t="s">
        <v>5</v>
      </c>
      <c r="C90" s="2">
        <v>2089.7448399999998</v>
      </c>
      <c r="D90" t="s">
        <v>56</v>
      </c>
      <c r="E90" t="s">
        <v>56</v>
      </c>
      <c r="F90">
        <v>-24859.759999999998</v>
      </c>
      <c r="G90" t="s">
        <v>1972</v>
      </c>
      <c r="H90" t="s">
        <v>7</v>
      </c>
      <c r="I90">
        <v>28755.66</v>
      </c>
      <c r="J90">
        <v>0</v>
      </c>
      <c r="K90">
        <v>0</v>
      </c>
      <c r="L90">
        <v>0</v>
      </c>
      <c r="M90" t="s">
        <v>1972</v>
      </c>
      <c r="N90" t="s">
        <v>57</v>
      </c>
      <c r="O90" t="s">
        <v>58</v>
      </c>
      <c r="P90" t="s">
        <v>1973</v>
      </c>
      <c r="Q90" t="s">
        <v>1118</v>
      </c>
      <c r="R90" t="s">
        <v>61</v>
      </c>
      <c r="S90" t="s">
        <v>58</v>
      </c>
      <c r="T90" t="s">
        <v>1973</v>
      </c>
      <c r="U90" t="s">
        <v>1118</v>
      </c>
      <c r="V90" t="s">
        <v>56</v>
      </c>
      <c r="W90" t="s">
        <v>56</v>
      </c>
      <c r="X90" t="s">
        <v>56</v>
      </c>
      <c r="Y90" t="s">
        <v>62</v>
      </c>
      <c r="Z90" t="s">
        <v>63</v>
      </c>
      <c r="AA90" t="s">
        <v>64</v>
      </c>
      <c r="AB90">
        <v>1</v>
      </c>
      <c r="AC90" t="s">
        <v>65</v>
      </c>
      <c r="AD90" t="s">
        <v>66</v>
      </c>
      <c r="AE90" t="s">
        <v>113</v>
      </c>
      <c r="AF90" t="s">
        <v>68</v>
      </c>
      <c r="AG90">
        <v>0</v>
      </c>
      <c r="AH90" t="s">
        <v>69</v>
      </c>
      <c r="AI90" t="s">
        <v>355</v>
      </c>
      <c r="AJ90" t="s">
        <v>485</v>
      </c>
      <c r="AK90" t="s">
        <v>99</v>
      </c>
      <c r="AL90" t="s">
        <v>73</v>
      </c>
      <c r="AM90" t="s">
        <v>73</v>
      </c>
      <c r="AN90" t="s">
        <v>116</v>
      </c>
    </row>
    <row r="91" spans="1:40" x14ac:dyDescent="0.25">
      <c r="A91" t="s">
        <v>539</v>
      </c>
      <c r="B91" t="s">
        <v>5</v>
      </c>
      <c r="C91">
        <v>2060.9857729999999</v>
      </c>
      <c r="D91" t="s">
        <v>56</v>
      </c>
      <c r="E91" t="s">
        <v>56</v>
      </c>
      <c r="F91">
        <v>-34723.15</v>
      </c>
      <c r="G91" t="s">
        <v>539</v>
      </c>
      <c r="H91" t="s">
        <v>7</v>
      </c>
      <c r="I91">
        <v>39021.21</v>
      </c>
      <c r="J91">
        <v>2832.5575309999999</v>
      </c>
      <c r="K91">
        <v>0</v>
      </c>
      <c r="L91">
        <v>0</v>
      </c>
      <c r="M91" t="s">
        <v>539</v>
      </c>
      <c r="N91" t="s">
        <v>57</v>
      </c>
      <c r="O91" t="s">
        <v>58</v>
      </c>
      <c r="P91" t="s">
        <v>540</v>
      </c>
      <c r="Q91" t="s">
        <v>541</v>
      </c>
      <c r="R91" t="s">
        <v>61</v>
      </c>
      <c r="S91" t="s">
        <v>58</v>
      </c>
      <c r="T91" t="s">
        <v>540</v>
      </c>
      <c r="U91" t="s">
        <v>541</v>
      </c>
      <c r="V91" t="s">
        <v>56</v>
      </c>
      <c r="W91" t="s">
        <v>56</v>
      </c>
      <c r="X91" t="s">
        <v>56</v>
      </c>
      <c r="Y91" t="s">
        <v>62</v>
      </c>
      <c r="Z91" t="s">
        <v>63</v>
      </c>
      <c r="AA91" t="s">
        <v>64</v>
      </c>
      <c r="AB91">
        <v>1</v>
      </c>
      <c r="AC91" t="s">
        <v>65</v>
      </c>
      <c r="AD91" t="s">
        <v>66</v>
      </c>
      <c r="AE91" t="s">
        <v>113</v>
      </c>
      <c r="AF91" t="s">
        <v>68</v>
      </c>
      <c r="AG91">
        <v>46056.91</v>
      </c>
      <c r="AH91" t="s">
        <v>69</v>
      </c>
      <c r="AI91" t="s">
        <v>186</v>
      </c>
      <c r="AJ91" t="s">
        <v>133</v>
      </c>
      <c r="AK91" t="s">
        <v>72</v>
      </c>
      <c r="AL91" t="s">
        <v>73</v>
      </c>
      <c r="AM91" t="s">
        <v>73</v>
      </c>
      <c r="AN91" t="s">
        <v>116</v>
      </c>
    </row>
    <row r="92" spans="1:40" x14ac:dyDescent="0.25">
      <c r="A92" t="s">
        <v>1982</v>
      </c>
      <c r="B92" t="s">
        <v>5</v>
      </c>
      <c r="C92">
        <v>2052.3341799999998</v>
      </c>
      <c r="D92" t="s">
        <v>56</v>
      </c>
      <c r="E92" t="s">
        <v>56</v>
      </c>
      <c r="F92">
        <v>-35706.559999999998</v>
      </c>
      <c r="G92" t="s">
        <v>1982</v>
      </c>
      <c r="H92" t="s">
        <v>7</v>
      </c>
      <c r="I92">
        <v>39755.980000000003</v>
      </c>
      <c r="J92">
        <v>2794.5784039999999</v>
      </c>
      <c r="K92">
        <v>0</v>
      </c>
      <c r="L92">
        <v>0</v>
      </c>
      <c r="M92" t="s">
        <v>1982</v>
      </c>
      <c r="N92" t="s">
        <v>57</v>
      </c>
      <c r="O92" t="s">
        <v>58</v>
      </c>
      <c r="P92" t="s">
        <v>1983</v>
      </c>
      <c r="Q92" t="s">
        <v>1984</v>
      </c>
      <c r="R92" t="s">
        <v>61</v>
      </c>
      <c r="S92" t="s">
        <v>58</v>
      </c>
      <c r="T92" t="s">
        <v>1983</v>
      </c>
      <c r="U92" t="s">
        <v>1984</v>
      </c>
      <c r="V92" t="s">
        <v>56</v>
      </c>
      <c r="W92" t="s">
        <v>56</v>
      </c>
      <c r="X92" t="s">
        <v>56</v>
      </c>
      <c r="Y92" t="s">
        <v>62</v>
      </c>
      <c r="Z92" t="s">
        <v>63</v>
      </c>
      <c r="AA92" t="s">
        <v>64</v>
      </c>
      <c r="AB92">
        <v>1</v>
      </c>
      <c r="AC92" t="s">
        <v>84</v>
      </c>
      <c r="AD92" t="s">
        <v>66</v>
      </c>
      <c r="AE92" t="s">
        <v>113</v>
      </c>
      <c r="AF92" t="s">
        <v>68</v>
      </c>
      <c r="AG92">
        <v>47560.97</v>
      </c>
      <c r="AH92" t="s">
        <v>69</v>
      </c>
      <c r="AI92" t="s">
        <v>186</v>
      </c>
      <c r="AJ92" t="s">
        <v>433</v>
      </c>
      <c r="AK92" t="s">
        <v>72</v>
      </c>
      <c r="AL92" t="s">
        <v>73</v>
      </c>
      <c r="AM92" t="s">
        <v>73</v>
      </c>
      <c r="AN92" t="s">
        <v>116</v>
      </c>
    </row>
    <row r="93" spans="1:40" x14ac:dyDescent="0.25">
      <c r="A93" t="s">
        <v>447</v>
      </c>
      <c r="B93" t="s">
        <v>5</v>
      </c>
      <c r="C93">
        <v>2049.7350029999998</v>
      </c>
      <c r="D93" t="s">
        <v>56</v>
      </c>
      <c r="E93" t="s">
        <v>56</v>
      </c>
      <c r="F93">
        <v>-25596.93</v>
      </c>
      <c r="G93" t="s">
        <v>447</v>
      </c>
      <c r="H93" t="s">
        <v>7</v>
      </c>
      <c r="I93">
        <v>29573.95</v>
      </c>
      <c r="J93">
        <v>2896.169226</v>
      </c>
      <c r="K93">
        <v>0</v>
      </c>
      <c r="L93">
        <v>0</v>
      </c>
      <c r="M93" t="s">
        <v>447</v>
      </c>
      <c r="N93" t="s">
        <v>57</v>
      </c>
      <c r="O93" t="s">
        <v>58</v>
      </c>
      <c r="P93" t="s">
        <v>448</v>
      </c>
      <c r="Q93" t="s">
        <v>449</v>
      </c>
      <c r="R93" t="s">
        <v>61</v>
      </c>
      <c r="S93" t="s">
        <v>58</v>
      </c>
      <c r="T93" t="s">
        <v>448</v>
      </c>
      <c r="U93" t="s">
        <v>449</v>
      </c>
      <c r="V93" t="s">
        <v>56</v>
      </c>
      <c r="W93" t="s">
        <v>56</v>
      </c>
      <c r="X93" t="s">
        <v>56</v>
      </c>
      <c r="Y93" t="s">
        <v>62</v>
      </c>
      <c r="Z93" t="s">
        <v>63</v>
      </c>
      <c r="AA93" t="s">
        <v>64</v>
      </c>
      <c r="AB93">
        <v>1</v>
      </c>
      <c r="AC93" t="s">
        <v>120</v>
      </c>
      <c r="AD93" t="s">
        <v>66</v>
      </c>
      <c r="AE93" t="s">
        <v>113</v>
      </c>
      <c r="AF93" t="s">
        <v>68</v>
      </c>
      <c r="AG93">
        <v>34138.199999999997</v>
      </c>
      <c r="AH93" t="s">
        <v>69</v>
      </c>
      <c r="AI93" t="s">
        <v>87</v>
      </c>
      <c r="AJ93" t="s">
        <v>359</v>
      </c>
      <c r="AK93" t="s">
        <v>72</v>
      </c>
      <c r="AL93" t="s">
        <v>73</v>
      </c>
      <c r="AM93" t="s">
        <v>73</v>
      </c>
      <c r="AN93" t="s">
        <v>116</v>
      </c>
    </row>
    <row r="94" spans="1:40" x14ac:dyDescent="0.25">
      <c r="A94" t="s">
        <v>2223</v>
      </c>
      <c r="B94" t="s">
        <v>5</v>
      </c>
      <c r="C94" s="2">
        <v>2039.428985</v>
      </c>
      <c r="D94" t="s">
        <v>56</v>
      </c>
      <c r="E94" t="s">
        <v>56</v>
      </c>
      <c r="F94">
        <v>-17019.48</v>
      </c>
      <c r="G94" t="s">
        <v>2223</v>
      </c>
      <c r="H94" t="s">
        <v>7</v>
      </c>
      <c r="I94">
        <v>17900.66</v>
      </c>
      <c r="J94">
        <v>0</v>
      </c>
      <c r="K94">
        <v>0</v>
      </c>
      <c r="L94">
        <v>0</v>
      </c>
      <c r="M94" t="s">
        <v>2223</v>
      </c>
      <c r="N94" t="s">
        <v>57</v>
      </c>
      <c r="O94" t="s">
        <v>58</v>
      </c>
      <c r="P94" t="s">
        <v>2224</v>
      </c>
      <c r="Q94" t="s">
        <v>2225</v>
      </c>
      <c r="R94" t="s">
        <v>61</v>
      </c>
      <c r="S94" t="s">
        <v>58</v>
      </c>
      <c r="T94" t="s">
        <v>2224</v>
      </c>
      <c r="U94" t="s">
        <v>2225</v>
      </c>
      <c r="V94" t="s">
        <v>56</v>
      </c>
      <c r="W94" t="s">
        <v>56</v>
      </c>
      <c r="X94" t="s">
        <v>56</v>
      </c>
      <c r="Y94" t="s">
        <v>62</v>
      </c>
      <c r="Z94" t="s">
        <v>63</v>
      </c>
      <c r="AA94" t="s">
        <v>64</v>
      </c>
      <c r="AB94">
        <v>1</v>
      </c>
      <c r="AC94" t="s">
        <v>78</v>
      </c>
      <c r="AD94" t="s">
        <v>66</v>
      </c>
      <c r="AE94" t="s">
        <v>85</v>
      </c>
      <c r="AF94" t="s">
        <v>68</v>
      </c>
      <c r="AG94">
        <v>27900</v>
      </c>
      <c r="AH94" t="s">
        <v>69</v>
      </c>
      <c r="AI94" t="s">
        <v>269</v>
      </c>
      <c r="AJ94" t="s">
        <v>396</v>
      </c>
      <c r="AK94" t="s">
        <v>99</v>
      </c>
      <c r="AL94" t="s">
        <v>73</v>
      </c>
      <c r="AM94" t="s">
        <v>73</v>
      </c>
      <c r="AN94" t="s">
        <v>56</v>
      </c>
    </row>
    <row r="95" spans="1:40" x14ac:dyDescent="0.25">
      <c r="A95" t="s">
        <v>657</v>
      </c>
      <c r="B95" t="s">
        <v>5</v>
      </c>
      <c r="C95" s="2">
        <v>2033.295967</v>
      </c>
      <c r="D95" t="s">
        <v>56</v>
      </c>
      <c r="E95" t="s">
        <v>56</v>
      </c>
      <c r="F95">
        <v>-31314.26</v>
      </c>
      <c r="G95" t="s">
        <v>657</v>
      </c>
      <c r="H95" t="s">
        <v>7</v>
      </c>
      <c r="I95">
        <v>33197.480000000003</v>
      </c>
      <c r="J95">
        <v>0</v>
      </c>
      <c r="K95">
        <v>0</v>
      </c>
      <c r="L95">
        <v>0</v>
      </c>
      <c r="M95" t="s">
        <v>657</v>
      </c>
      <c r="N95" t="s">
        <v>57</v>
      </c>
      <c r="O95" t="s">
        <v>58</v>
      </c>
      <c r="P95" t="s">
        <v>658</v>
      </c>
      <c r="Q95" t="s">
        <v>659</v>
      </c>
      <c r="R95" t="s">
        <v>61</v>
      </c>
      <c r="S95" t="s">
        <v>58</v>
      </c>
      <c r="T95" t="s">
        <v>658</v>
      </c>
      <c r="U95" t="s">
        <v>659</v>
      </c>
      <c r="V95" t="s">
        <v>56</v>
      </c>
      <c r="W95" t="s">
        <v>56</v>
      </c>
      <c r="X95" t="s">
        <v>56</v>
      </c>
      <c r="Y95" t="s">
        <v>62</v>
      </c>
      <c r="Z95" t="s">
        <v>63</v>
      </c>
      <c r="AA95" t="s">
        <v>64</v>
      </c>
      <c r="AB95">
        <v>1</v>
      </c>
      <c r="AC95" t="s">
        <v>78</v>
      </c>
      <c r="AD95" t="s">
        <v>66</v>
      </c>
      <c r="AE95" t="s">
        <v>289</v>
      </c>
      <c r="AF95" t="s">
        <v>68</v>
      </c>
      <c r="AG95">
        <v>51784.2</v>
      </c>
      <c r="AH95" t="s">
        <v>69</v>
      </c>
      <c r="AI95" t="s">
        <v>332</v>
      </c>
      <c r="AJ95" t="s">
        <v>660</v>
      </c>
      <c r="AK95" t="s">
        <v>99</v>
      </c>
      <c r="AL95" t="s">
        <v>73</v>
      </c>
      <c r="AM95" t="s">
        <v>73</v>
      </c>
      <c r="AN95" t="s">
        <v>56</v>
      </c>
    </row>
    <row r="96" spans="1:40" x14ac:dyDescent="0.25">
      <c r="A96" t="s">
        <v>1044</v>
      </c>
      <c r="B96" t="s">
        <v>5</v>
      </c>
      <c r="C96" s="2">
        <v>2033.170453</v>
      </c>
      <c r="D96" t="s">
        <v>56</v>
      </c>
      <c r="E96" t="s">
        <v>56</v>
      </c>
      <c r="F96">
        <v>-25208.240000000002</v>
      </c>
      <c r="G96" t="s">
        <v>1044</v>
      </c>
      <c r="H96" t="s">
        <v>7</v>
      </c>
      <c r="I96">
        <v>30317.18</v>
      </c>
      <c r="J96">
        <v>0</v>
      </c>
      <c r="K96">
        <v>0</v>
      </c>
      <c r="L96">
        <v>0</v>
      </c>
      <c r="M96" t="s">
        <v>1044</v>
      </c>
      <c r="N96" t="s">
        <v>57</v>
      </c>
      <c r="O96" t="s">
        <v>58</v>
      </c>
      <c r="P96" t="s">
        <v>1045</v>
      </c>
      <c r="Q96" t="s">
        <v>1046</v>
      </c>
      <c r="R96" t="s">
        <v>61</v>
      </c>
      <c r="S96" t="s">
        <v>58</v>
      </c>
      <c r="T96" t="s">
        <v>1045</v>
      </c>
      <c r="U96" t="s">
        <v>1046</v>
      </c>
      <c r="V96" t="s">
        <v>56</v>
      </c>
      <c r="W96" t="s">
        <v>56</v>
      </c>
      <c r="X96" t="s">
        <v>56</v>
      </c>
      <c r="Y96" t="s">
        <v>62</v>
      </c>
      <c r="Z96" t="s">
        <v>63</v>
      </c>
      <c r="AA96" t="s">
        <v>64</v>
      </c>
      <c r="AB96">
        <v>1</v>
      </c>
      <c r="AC96" t="s">
        <v>78</v>
      </c>
      <c r="AD96" t="s">
        <v>66</v>
      </c>
      <c r="AE96" t="s">
        <v>85</v>
      </c>
      <c r="AF96" t="s">
        <v>68</v>
      </c>
      <c r="AG96">
        <v>41450.980000000003</v>
      </c>
      <c r="AH96" t="s">
        <v>69</v>
      </c>
      <c r="AI96" t="s">
        <v>297</v>
      </c>
      <c r="AJ96" t="s">
        <v>88</v>
      </c>
      <c r="AK96" t="s">
        <v>99</v>
      </c>
      <c r="AL96" t="s">
        <v>73</v>
      </c>
      <c r="AM96" t="s">
        <v>73</v>
      </c>
      <c r="AN96" t="s">
        <v>56</v>
      </c>
    </row>
    <row r="97" spans="1:40" x14ac:dyDescent="0.25">
      <c r="A97" t="s">
        <v>1713</v>
      </c>
      <c r="B97" t="s">
        <v>5</v>
      </c>
      <c r="C97" s="2">
        <v>2002.773778</v>
      </c>
      <c r="D97" t="s">
        <v>56</v>
      </c>
      <c r="E97" t="s">
        <v>56</v>
      </c>
      <c r="F97">
        <v>-32154.46</v>
      </c>
      <c r="G97" t="s">
        <v>1713</v>
      </c>
      <c r="H97" t="s">
        <v>7</v>
      </c>
      <c r="I97">
        <v>37438.83</v>
      </c>
      <c r="J97">
        <v>0</v>
      </c>
      <c r="K97">
        <v>0</v>
      </c>
      <c r="L97">
        <v>0</v>
      </c>
      <c r="M97" t="s">
        <v>1713</v>
      </c>
      <c r="N97" t="s">
        <v>57</v>
      </c>
      <c r="O97" t="s">
        <v>58</v>
      </c>
      <c r="P97" t="s">
        <v>1714</v>
      </c>
      <c r="Q97" t="s">
        <v>1715</v>
      </c>
      <c r="R97" t="s">
        <v>61</v>
      </c>
      <c r="S97" t="s">
        <v>58</v>
      </c>
      <c r="T97" t="s">
        <v>1714</v>
      </c>
      <c r="U97" t="s">
        <v>1715</v>
      </c>
      <c r="V97" t="s">
        <v>56</v>
      </c>
      <c r="W97" t="s">
        <v>56</v>
      </c>
      <c r="X97" t="s">
        <v>56</v>
      </c>
      <c r="Y97" t="s">
        <v>62</v>
      </c>
      <c r="Z97" t="s">
        <v>63</v>
      </c>
      <c r="AA97" t="s">
        <v>64</v>
      </c>
      <c r="AB97">
        <v>1</v>
      </c>
      <c r="AC97" t="s">
        <v>84</v>
      </c>
      <c r="AD97" t="s">
        <v>66</v>
      </c>
      <c r="AE97" t="s">
        <v>85</v>
      </c>
      <c r="AF97" t="s">
        <v>68</v>
      </c>
      <c r="AG97">
        <v>53675.42</v>
      </c>
      <c r="AH97" t="s">
        <v>69</v>
      </c>
      <c r="AI97" t="s">
        <v>536</v>
      </c>
      <c r="AJ97" t="s">
        <v>833</v>
      </c>
      <c r="AK97" t="s">
        <v>99</v>
      </c>
      <c r="AL97" t="s">
        <v>73</v>
      </c>
      <c r="AM97" t="s">
        <v>73</v>
      </c>
      <c r="AN97" t="s">
        <v>56</v>
      </c>
    </row>
    <row r="98" spans="1:40" x14ac:dyDescent="0.25">
      <c r="A98" t="s">
        <v>1129</v>
      </c>
      <c r="B98" t="s">
        <v>5</v>
      </c>
      <c r="C98">
        <v>1984.701785</v>
      </c>
      <c r="D98" t="s">
        <v>56</v>
      </c>
      <c r="E98" t="s">
        <v>56</v>
      </c>
      <c r="F98">
        <v>-42203.17</v>
      </c>
      <c r="G98" t="s">
        <v>1129</v>
      </c>
      <c r="H98" t="s">
        <v>7</v>
      </c>
      <c r="I98">
        <v>44860.46</v>
      </c>
      <c r="J98">
        <v>2580.0331110000002</v>
      </c>
      <c r="K98">
        <v>0</v>
      </c>
      <c r="L98">
        <v>0</v>
      </c>
      <c r="M98" t="s">
        <v>1129</v>
      </c>
      <c r="N98" t="s">
        <v>57</v>
      </c>
      <c r="O98" t="s">
        <v>58</v>
      </c>
      <c r="P98" t="s">
        <v>1130</v>
      </c>
      <c r="Q98" t="s">
        <v>1131</v>
      </c>
      <c r="R98" t="s">
        <v>61</v>
      </c>
      <c r="S98" t="s">
        <v>58</v>
      </c>
      <c r="T98" t="s">
        <v>1130</v>
      </c>
      <c r="U98" t="s">
        <v>1131</v>
      </c>
      <c r="V98" t="s">
        <v>56</v>
      </c>
      <c r="W98" t="s">
        <v>56</v>
      </c>
      <c r="X98" t="s">
        <v>56</v>
      </c>
      <c r="Y98" t="s">
        <v>62</v>
      </c>
      <c r="Z98" t="s">
        <v>63</v>
      </c>
      <c r="AA98" t="s">
        <v>64</v>
      </c>
      <c r="AB98">
        <v>1</v>
      </c>
      <c r="AC98" t="s">
        <v>78</v>
      </c>
      <c r="AD98" t="s">
        <v>66</v>
      </c>
      <c r="AE98" t="s">
        <v>113</v>
      </c>
      <c r="AF98" t="s">
        <v>68</v>
      </c>
      <c r="AG98">
        <v>58130.080000000002</v>
      </c>
      <c r="AH98" t="s">
        <v>69</v>
      </c>
      <c r="AI98" t="s">
        <v>216</v>
      </c>
      <c r="AJ98" t="s">
        <v>265</v>
      </c>
      <c r="AK98" t="s">
        <v>72</v>
      </c>
      <c r="AL98" t="s">
        <v>73</v>
      </c>
      <c r="AM98" t="s">
        <v>73</v>
      </c>
      <c r="AN98" t="s">
        <v>116</v>
      </c>
    </row>
    <row r="99" spans="1:40" x14ac:dyDescent="0.25">
      <c r="A99" t="s">
        <v>2091</v>
      </c>
      <c r="B99" t="s">
        <v>5</v>
      </c>
      <c r="C99" s="2">
        <v>1980.818767</v>
      </c>
      <c r="D99" t="s">
        <v>56</v>
      </c>
      <c r="E99" t="s">
        <v>56</v>
      </c>
      <c r="F99">
        <v>-11849.72</v>
      </c>
      <c r="G99" t="s">
        <v>2091</v>
      </c>
      <c r="H99" t="s">
        <v>7</v>
      </c>
      <c r="I99">
        <v>14303.33</v>
      </c>
      <c r="J99">
        <v>0</v>
      </c>
      <c r="K99">
        <v>0</v>
      </c>
      <c r="L99">
        <v>0</v>
      </c>
      <c r="M99" t="s">
        <v>2091</v>
      </c>
      <c r="N99" t="s">
        <v>57</v>
      </c>
      <c r="O99" t="s">
        <v>58</v>
      </c>
      <c r="P99" t="s">
        <v>2092</v>
      </c>
      <c r="Q99" t="s">
        <v>2093</v>
      </c>
      <c r="R99" t="s">
        <v>61</v>
      </c>
      <c r="S99" t="s">
        <v>58</v>
      </c>
      <c r="T99" t="s">
        <v>2092</v>
      </c>
      <c r="U99" t="s">
        <v>2093</v>
      </c>
      <c r="V99" t="s">
        <v>56</v>
      </c>
      <c r="W99" t="s">
        <v>56</v>
      </c>
      <c r="X99" t="s">
        <v>56</v>
      </c>
      <c r="Y99" t="s">
        <v>62</v>
      </c>
      <c r="Z99" t="s">
        <v>63</v>
      </c>
      <c r="AA99" t="s">
        <v>64</v>
      </c>
      <c r="AB99">
        <v>1</v>
      </c>
      <c r="AC99" t="s">
        <v>78</v>
      </c>
      <c r="AD99" t="s">
        <v>66</v>
      </c>
      <c r="AE99" t="s">
        <v>85</v>
      </c>
      <c r="AF99" t="s">
        <v>103</v>
      </c>
      <c r="AG99">
        <v>20000</v>
      </c>
      <c r="AH99" t="s">
        <v>69</v>
      </c>
      <c r="AI99" t="s">
        <v>70</v>
      </c>
      <c r="AJ99" t="s">
        <v>470</v>
      </c>
      <c r="AK99" t="s">
        <v>99</v>
      </c>
      <c r="AL99" t="s">
        <v>73</v>
      </c>
      <c r="AM99" t="s">
        <v>73</v>
      </c>
      <c r="AN99" t="s">
        <v>56</v>
      </c>
    </row>
    <row r="100" spans="1:40" x14ac:dyDescent="0.25">
      <c r="A100" t="s">
        <v>1108</v>
      </c>
      <c r="B100" t="s">
        <v>5</v>
      </c>
      <c r="C100" s="2">
        <v>1972.1576829999999</v>
      </c>
      <c r="D100" t="s">
        <v>56</v>
      </c>
      <c r="E100" t="s">
        <v>56</v>
      </c>
      <c r="F100">
        <v>-5111.67</v>
      </c>
      <c r="G100" t="s">
        <v>1108</v>
      </c>
      <c r="H100" t="s">
        <v>7</v>
      </c>
      <c r="I100">
        <v>18421.23</v>
      </c>
      <c r="J100">
        <v>0</v>
      </c>
      <c r="K100">
        <v>0</v>
      </c>
      <c r="L100">
        <v>0</v>
      </c>
      <c r="M100" t="s">
        <v>1108</v>
      </c>
      <c r="N100" t="s">
        <v>57</v>
      </c>
      <c r="O100" t="s">
        <v>58</v>
      </c>
      <c r="P100" t="s">
        <v>1109</v>
      </c>
      <c r="Q100" t="s">
        <v>1110</v>
      </c>
      <c r="R100" t="s">
        <v>61</v>
      </c>
      <c r="S100" t="s">
        <v>58</v>
      </c>
      <c r="T100" t="s">
        <v>1109</v>
      </c>
      <c r="U100" t="s">
        <v>1110</v>
      </c>
      <c r="V100" t="s">
        <v>56</v>
      </c>
      <c r="W100" t="s">
        <v>56</v>
      </c>
      <c r="X100" t="s">
        <v>56</v>
      </c>
      <c r="Y100" t="s">
        <v>62</v>
      </c>
      <c r="Z100" t="s">
        <v>63</v>
      </c>
      <c r="AA100" t="s">
        <v>64</v>
      </c>
      <c r="AB100">
        <v>1</v>
      </c>
      <c r="AC100" t="s">
        <v>84</v>
      </c>
      <c r="AD100" t="s">
        <v>66</v>
      </c>
      <c r="AE100" t="s">
        <v>289</v>
      </c>
      <c r="AF100" t="s">
        <v>983</v>
      </c>
      <c r="AG100">
        <v>143070.43</v>
      </c>
      <c r="AH100" t="s">
        <v>69</v>
      </c>
      <c r="AI100" t="s">
        <v>1111</v>
      </c>
      <c r="AJ100" t="s">
        <v>1112</v>
      </c>
      <c r="AK100" t="s">
        <v>334</v>
      </c>
      <c r="AL100" t="s">
        <v>985</v>
      </c>
      <c r="AM100" t="s">
        <v>73</v>
      </c>
      <c r="AN100" t="s">
        <v>56</v>
      </c>
    </row>
    <row r="101" spans="1:40" x14ac:dyDescent="0.25">
      <c r="A101" t="s">
        <v>2285</v>
      </c>
      <c r="B101" t="s">
        <v>5</v>
      </c>
      <c r="C101" s="2">
        <v>1953.695117</v>
      </c>
      <c r="D101" t="s">
        <v>56</v>
      </c>
      <c r="E101" t="s">
        <v>56</v>
      </c>
      <c r="F101">
        <v>-21329.64</v>
      </c>
      <c r="G101" t="s">
        <v>2285</v>
      </c>
      <c r="H101" t="s">
        <v>7</v>
      </c>
      <c r="I101">
        <v>24920.02</v>
      </c>
      <c r="J101">
        <v>0</v>
      </c>
      <c r="K101">
        <v>0</v>
      </c>
      <c r="L101">
        <v>0</v>
      </c>
      <c r="M101" t="s">
        <v>2285</v>
      </c>
      <c r="N101" t="s">
        <v>57</v>
      </c>
      <c r="O101" t="s">
        <v>58</v>
      </c>
      <c r="P101" t="s">
        <v>2286</v>
      </c>
      <c r="Q101" t="s">
        <v>2287</v>
      </c>
      <c r="R101" t="s">
        <v>61</v>
      </c>
      <c r="S101" t="s">
        <v>58</v>
      </c>
      <c r="T101" t="s">
        <v>2286</v>
      </c>
      <c r="U101" t="s">
        <v>2287</v>
      </c>
      <c r="V101" t="s">
        <v>56</v>
      </c>
      <c r="W101" t="s">
        <v>56</v>
      </c>
      <c r="X101" t="s">
        <v>56</v>
      </c>
      <c r="Y101" t="s">
        <v>62</v>
      </c>
      <c r="Z101" t="s">
        <v>63</v>
      </c>
      <c r="AA101" t="s">
        <v>64</v>
      </c>
      <c r="AB101">
        <v>1</v>
      </c>
      <c r="AC101" t="s">
        <v>84</v>
      </c>
      <c r="AD101" t="s">
        <v>66</v>
      </c>
      <c r="AE101" t="s">
        <v>85</v>
      </c>
      <c r="AF101" t="s">
        <v>103</v>
      </c>
      <c r="AG101">
        <v>36500</v>
      </c>
      <c r="AH101" t="s">
        <v>69</v>
      </c>
      <c r="AI101" t="s">
        <v>484</v>
      </c>
      <c r="AJ101" t="s">
        <v>204</v>
      </c>
      <c r="AK101" t="s">
        <v>99</v>
      </c>
      <c r="AL101" t="s">
        <v>73</v>
      </c>
      <c r="AM101" t="s">
        <v>73</v>
      </c>
      <c r="AN101" t="s">
        <v>56</v>
      </c>
    </row>
    <row r="102" spans="1:40" x14ac:dyDescent="0.25">
      <c r="A102" t="s">
        <v>1644</v>
      </c>
      <c r="B102" t="s">
        <v>5</v>
      </c>
      <c r="C102" s="2">
        <v>1951.1342010000001</v>
      </c>
      <c r="D102" t="s">
        <v>56</v>
      </c>
      <c r="E102" t="s">
        <v>56</v>
      </c>
      <c r="F102">
        <v>-23898.73</v>
      </c>
      <c r="G102" t="s">
        <v>1644</v>
      </c>
      <c r="H102" t="s">
        <v>7</v>
      </c>
      <c r="I102">
        <v>27950.53</v>
      </c>
      <c r="J102">
        <v>0</v>
      </c>
      <c r="K102">
        <v>0</v>
      </c>
      <c r="L102">
        <v>0</v>
      </c>
      <c r="M102" t="s">
        <v>1644</v>
      </c>
      <c r="N102" t="s">
        <v>57</v>
      </c>
      <c r="O102" t="s">
        <v>58</v>
      </c>
      <c r="P102" t="s">
        <v>1645</v>
      </c>
      <c r="Q102" t="s">
        <v>1646</v>
      </c>
      <c r="R102" t="s">
        <v>61</v>
      </c>
      <c r="S102" t="s">
        <v>58</v>
      </c>
      <c r="T102" t="s">
        <v>1645</v>
      </c>
      <c r="U102" t="s">
        <v>1646</v>
      </c>
      <c r="V102" t="s">
        <v>56</v>
      </c>
      <c r="W102" t="s">
        <v>56</v>
      </c>
      <c r="X102" t="s">
        <v>56</v>
      </c>
      <c r="Y102" t="s">
        <v>62</v>
      </c>
      <c r="Z102" t="s">
        <v>63</v>
      </c>
      <c r="AA102" t="s">
        <v>64</v>
      </c>
      <c r="AB102">
        <v>1</v>
      </c>
      <c r="AC102" t="s">
        <v>78</v>
      </c>
      <c r="AD102" t="s">
        <v>66</v>
      </c>
      <c r="AE102" t="s">
        <v>85</v>
      </c>
      <c r="AF102" t="s">
        <v>1647</v>
      </c>
      <c r="AG102">
        <v>40950</v>
      </c>
      <c r="AH102" t="s">
        <v>69</v>
      </c>
      <c r="AI102" t="s">
        <v>97</v>
      </c>
      <c r="AJ102" t="s">
        <v>912</v>
      </c>
      <c r="AK102" t="s">
        <v>99</v>
      </c>
      <c r="AL102" t="s">
        <v>1648</v>
      </c>
      <c r="AM102" t="s">
        <v>73</v>
      </c>
      <c r="AN102" t="s">
        <v>56</v>
      </c>
    </row>
    <row r="103" spans="1:40" x14ac:dyDescent="0.25">
      <c r="A103" t="s">
        <v>1395</v>
      </c>
      <c r="B103" t="s">
        <v>5</v>
      </c>
      <c r="C103" s="2">
        <v>1932.8567459999999</v>
      </c>
      <c r="D103" t="s">
        <v>56</v>
      </c>
      <c r="E103" t="s">
        <v>56</v>
      </c>
      <c r="F103">
        <v>-14453.52</v>
      </c>
      <c r="G103" t="s">
        <v>1395</v>
      </c>
      <c r="H103" t="s">
        <v>7</v>
      </c>
      <c r="I103">
        <v>16886</v>
      </c>
      <c r="J103">
        <v>0</v>
      </c>
      <c r="K103">
        <v>0</v>
      </c>
      <c r="L103">
        <v>0</v>
      </c>
      <c r="M103" t="s">
        <v>1395</v>
      </c>
      <c r="N103" t="s">
        <v>57</v>
      </c>
      <c r="O103" t="s">
        <v>58</v>
      </c>
      <c r="P103" t="s">
        <v>1396</v>
      </c>
      <c r="Q103" t="s">
        <v>1397</v>
      </c>
      <c r="R103" t="s">
        <v>61</v>
      </c>
      <c r="S103" t="s">
        <v>58</v>
      </c>
      <c r="T103" t="s">
        <v>1396</v>
      </c>
      <c r="U103" t="s">
        <v>1397</v>
      </c>
      <c r="V103" t="s">
        <v>56</v>
      </c>
      <c r="W103" t="s">
        <v>56</v>
      </c>
      <c r="X103" t="s">
        <v>56</v>
      </c>
      <c r="Y103" t="s">
        <v>62</v>
      </c>
      <c r="Z103" t="s">
        <v>63</v>
      </c>
      <c r="AA103" t="s">
        <v>64</v>
      </c>
      <c r="AB103">
        <v>1</v>
      </c>
      <c r="AC103" t="s">
        <v>65</v>
      </c>
      <c r="AD103" t="s">
        <v>66</v>
      </c>
      <c r="AE103" t="s">
        <v>85</v>
      </c>
      <c r="AF103" t="s">
        <v>68</v>
      </c>
      <c r="AG103">
        <v>25000</v>
      </c>
      <c r="AH103" t="s">
        <v>69</v>
      </c>
      <c r="AI103" t="s">
        <v>152</v>
      </c>
      <c r="AJ103" t="s">
        <v>868</v>
      </c>
      <c r="AK103" t="s">
        <v>99</v>
      </c>
      <c r="AL103" t="s">
        <v>73</v>
      </c>
      <c r="AM103" t="s">
        <v>73</v>
      </c>
      <c r="AN103" t="s">
        <v>56</v>
      </c>
    </row>
    <row r="104" spans="1:40" x14ac:dyDescent="0.25">
      <c r="A104" t="s">
        <v>1517</v>
      </c>
      <c r="B104" t="s">
        <v>5</v>
      </c>
      <c r="C104" s="2">
        <v>1915.9466729999999</v>
      </c>
      <c r="D104" t="s">
        <v>56</v>
      </c>
      <c r="E104" t="s">
        <v>56</v>
      </c>
      <c r="F104">
        <v>-22206.95</v>
      </c>
      <c r="G104" t="s">
        <v>1517</v>
      </c>
      <c r="H104" t="s">
        <v>7</v>
      </c>
      <c r="I104">
        <v>23809.33</v>
      </c>
      <c r="J104">
        <v>0</v>
      </c>
      <c r="K104">
        <v>0</v>
      </c>
      <c r="L104">
        <v>0</v>
      </c>
      <c r="M104" t="s">
        <v>1517</v>
      </c>
      <c r="N104" t="s">
        <v>57</v>
      </c>
      <c r="O104" t="s">
        <v>58</v>
      </c>
      <c r="P104" t="s">
        <v>1518</v>
      </c>
      <c r="Q104" t="s">
        <v>1519</v>
      </c>
      <c r="R104" t="s">
        <v>61</v>
      </c>
      <c r="S104" t="s">
        <v>58</v>
      </c>
      <c r="T104" t="s">
        <v>1518</v>
      </c>
      <c r="U104" t="s">
        <v>1519</v>
      </c>
      <c r="V104" t="s">
        <v>56</v>
      </c>
      <c r="W104" t="s">
        <v>56</v>
      </c>
      <c r="X104" t="s">
        <v>56</v>
      </c>
      <c r="Y104" t="s">
        <v>62</v>
      </c>
      <c r="Z104" t="s">
        <v>63</v>
      </c>
      <c r="AA104" t="s">
        <v>64</v>
      </c>
      <c r="AB104">
        <v>1</v>
      </c>
      <c r="AC104" t="s">
        <v>84</v>
      </c>
      <c r="AD104" t="s">
        <v>66</v>
      </c>
      <c r="AE104" t="s">
        <v>85</v>
      </c>
      <c r="AF104" t="s">
        <v>103</v>
      </c>
      <c r="AG104">
        <v>31504.07</v>
      </c>
      <c r="AH104" t="s">
        <v>69</v>
      </c>
      <c r="AI104" t="s">
        <v>181</v>
      </c>
      <c r="AJ104" t="s">
        <v>485</v>
      </c>
      <c r="AK104" t="s">
        <v>72</v>
      </c>
      <c r="AL104" t="s">
        <v>73</v>
      </c>
      <c r="AM104" t="s">
        <v>73</v>
      </c>
      <c r="AN104" t="s">
        <v>56</v>
      </c>
    </row>
    <row r="105" spans="1:40" x14ac:dyDescent="0.25">
      <c r="A105" t="s">
        <v>940</v>
      </c>
      <c r="B105" t="s">
        <v>5</v>
      </c>
      <c r="C105" s="2">
        <v>1908.0700159999999</v>
      </c>
      <c r="D105" t="s">
        <v>56</v>
      </c>
      <c r="E105" t="s">
        <v>56</v>
      </c>
      <c r="F105">
        <v>-29217.05</v>
      </c>
      <c r="G105" t="s">
        <v>940</v>
      </c>
      <c r="H105" t="s">
        <v>7</v>
      </c>
      <c r="I105">
        <v>35516.51</v>
      </c>
      <c r="J105">
        <v>0</v>
      </c>
      <c r="K105">
        <v>0</v>
      </c>
      <c r="L105">
        <v>0</v>
      </c>
      <c r="M105" t="s">
        <v>940</v>
      </c>
      <c r="N105" t="s">
        <v>57</v>
      </c>
      <c r="O105" t="s">
        <v>58</v>
      </c>
      <c r="P105" t="s">
        <v>941</v>
      </c>
      <c r="Q105" t="s">
        <v>942</v>
      </c>
      <c r="R105" t="s">
        <v>61</v>
      </c>
      <c r="S105" t="s">
        <v>58</v>
      </c>
      <c r="T105" t="s">
        <v>941</v>
      </c>
      <c r="U105" t="s">
        <v>942</v>
      </c>
      <c r="V105" t="s">
        <v>56</v>
      </c>
      <c r="W105" t="s">
        <v>56</v>
      </c>
      <c r="X105" t="s">
        <v>56</v>
      </c>
      <c r="Y105" t="s">
        <v>62</v>
      </c>
      <c r="Z105" t="s">
        <v>63</v>
      </c>
      <c r="AA105" t="s">
        <v>64</v>
      </c>
      <c r="AB105">
        <v>1</v>
      </c>
      <c r="AC105" t="s">
        <v>84</v>
      </c>
      <c r="AD105" t="s">
        <v>66</v>
      </c>
      <c r="AE105" t="s">
        <v>85</v>
      </c>
      <c r="AF105" t="s">
        <v>68</v>
      </c>
      <c r="AG105">
        <v>51192.71</v>
      </c>
      <c r="AH105" t="s">
        <v>69</v>
      </c>
      <c r="AI105" t="s">
        <v>114</v>
      </c>
      <c r="AJ105" t="s">
        <v>943</v>
      </c>
      <c r="AK105" t="s">
        <v>99</v>
      </c>
      <c r="AL105" t="s">
        <v>73</v>
      </c>
      <c r="AM105" t="s">
        <v>73</v>
      </c>
      <c r="AN105" t="s">
        <v>56</v>
      </c>
    </row>
    <row r="106" spans="1:40" x14ac:dyDescent="0.25">
      <c r="A106" t="s">
        <v>205</v>
      </c>
      <c r="B106" t="s">
        <v>5</v>
      </c>
      <c r="C106">
        <v>1907.7587550000001</v>
      </c>
      <c r="D106" t="s">
        <v>56</v>
      </c>
      <c r="E106" t="s">
        <v>56</v>
      </c>
      <c r="F106">
        <v>-30624.639999999999</v>
      </c>
      <c r="G106" t="s">
        <v>205</v>
      </c>
      <c r="H106" t="s">
        <v>7</v>
      </c>
      <c r="I106">
        <v>35545.21</v>
      </c>
      <c r="J106">
        <v>2707.9986979999999</v>
      </c>
      <c r="K106">
        <v>0</v>
      </c>
      <c r="L106">
        <v>0</v>
      </c>
      <c r="M106" t="s">
        <v>205</v>
      </c>
      <c r="N106" t="s">
        <v>57</v>
      </c>
      <c r="O106" t="s">
        <v>58</v>
      </c>
      <c r="P106" t="s">
        <v>206</v>
      </c>
      <c r="Q106" t="s">
        <v>207</v>
      </c>
      <c r="R106" t="s">
        <v>61</v>
      </c>
      <c r="S106" t="s">
        <v>58</v>
      </c>
      <c r="T106" t="s">
        <v>206</v>
      </c>
      <c r="U106" t="s">
        <v>207</v>
      </c>
      <c r="V106" t="s">
        <v>56</v>
      </c>
      <c r="W106" t="s">
        <v>56</v>
      </c>
      <c r="X106" t="s">
        <v>56</v>
      </c>
      <c r="Y106" t="s">
        <v>62</v>
      </c>
      <c r="Z106" t="s">
        <v>63</v>
      </c>
      <c r="AA106" t="s">
        <v>64</v>
      </c>
      <c r="AB106">
        <v>1</v>
      </c>
      <c r="AC106" t="s">
        <v>84</v>
      </c>
      <c r="AD106" t="s">
        <v>66</v>
      </c>
      <c r="AE106" t="s">
        <v>113</v>
      </c>
      <c r="AF106" t="s">
        <v>68</v>
      </c>
      <c r="AG106">
        <v>43883.22</v>
      </c>
      <c r="AH106" t="s">
        <v>69</v>
      </c>
      <c r="AI106" t="s">
        <v>208</v>
      </c>
      <c r="AJ106" t="s">
        <v>209</v>
      </c>
      <c r="AK106" t="s">
        <v>72</v>
      </c>
      <c r="AL106" t="s">
        <v>73</v>
      </c>
      <c r="AM106" t="s">
        <v>73</v>
      </c>
      <c r="AN106" t="s">
        <v>116</v>
      </c>
    </row>
    <row r="107" spans="1:40" x14ac:dyDescent="0.25">
      <c r="A107" t="s">
        <v>1916</v>
      </c>
      <c r="B107" t="s">
        <v>5</v>
      </c>
      <c r="C107" s="2">
        <v>1904.8437960000001</v>
      </c>
      <c r="D107" t="s">
        <v>56</v>
      </c>
      <c r="E107" t="s">
        <v>56</v>
      </c>
      <c r="F107">
        <v>-18232.36</v>
      </c>
      <c r="G107" t="s">
        <v>1916</v>
      </c>
      <c r="H107" t="s">
        <v>7</v>
      </c>
      <c r="I107">
        <v>21404.22</v>
      </c>
      <c r="J107">
        <v>0</v>
      </c>
      <c r="K107">
        <v>0</v>
      </c>
      <c r="L107">
        <v>0</v>
      </c>
      <c r="M107" t="s">
        <v>1916</v>
      </c>
      <c r="N107" t="s">
        <v>57</v>
      </c>
      <c r="O107" t="s">
        <v>58</v>
      </c>
      <c r="P107" t="s">
        <v>1917</v>
      </c>
      <c r="Q107" t="s">
        <v>1918</v>
      </c>
      <c r="R107" t="s">
        <v>61</v>
      </c>
      <c r="S107" t="s">
        <v>58</v>
      </c>
      <c r="T107" t="s">
        <v>1917</v>
      </c>
      <c r="U107" t="s">
        <v>1918</v>
      </c>
      <c r="V107" t="s">
        <v>56</v>
      </c>
      <c r="W107" t="s">
        <v>56</v>
      </c>
      <c r="X107" t="s">
        <v>56</v>
      </c>
      <c r="Y107" t="s">
        <v>62</v>
      </c>
      <c r="Z107" t="s">
        <v>63</v>
      </c>
      <c r="AA107" t="s">
        <v>64</v>
      </c>
      <c r="AB107">
        <v>1</v>
      </c>
      <c r="AC107" t="s">
        <v>78</v>
      </c>
      <c r="AD107" t="s">
        <v>66</v>
      </c>
      <c r="AE107" t="s">
        <v>85</v>
      </c>
      <c r="AF107" t="s">
        <v>68</v>
      </c>
      <c r="AG107">
        <v>32000</v>
      </c>
      <c r="AH107" t="s">
        <v>69</v>
      </c>
      <c r="AI107" t="s">
        <v>181</v>
      </c>
      <c r="AJ107" t="s">
        <v>868</v>
      </c>
      <c r="AK107" t="s">
        <v>99</v>
      </c>
      <c r="AL107" t="s">
        <v>73</v>
      </c>
      <c r="AM107" t="s">
        <v>73</v>
      </c>
      <c r="AN107" t="s">
        <v>56</v>
      </c>
    </row>
    <row r="108" spans="1:40" x14ac:dyDescent="0.25">
      <c r="A108" t="s">
        <v>191</v>
      </c>
      <c r="B108" t="s">
        <v>5</v>
      </c>
      <c r="C108" s="2">
        <v>1902.670695</v>
      </c>
      <c r="D108" t="s">
        <v>56</v>
      </c>
      <c r="E108" t="s">
        <v>56</v>
      </c>
      <c r="F108">
        <v>-34262.69</v>
      </c>
      <c r="G108" t="s">
        <v>191</v>
      </c>
      <c r="H108" t="s">
        <v>7</v>
      </c>
      <c r="I108">
        <v>41662.93</v>
      </c>
      <c r="J108">
        <v>0</v>
      </c>
      <c r="K108">
        <v>0</v>
      </c>
      <c r="L108">
        <v>0</v>
      </c>
      <c r="M108" t="s">
        <v>191</v>
      </c>
      <c r="N108" t="s">
        <v>57</v>
      </c>
      <c r="O108" t="s">
        <v>58</v>
      </c>
      <c r="P108" t="s">
        <v>192</v>
      </c>
      <c r="Q108" t="s">
        <v>193</v>
      </c>
      <c r="R108" t="s">
        <v>61</v>
      </c>
      <c r="S108" t="s">
        <v>58</v>
      </c>
      <c r="T108" t="s">
        <v>192</v>
      </c>
      <c r="U108" t="s">
        <v>193</v>
      </c>
      <c r="V108" t="s">
        <v>56</v>
      </c>
      <c r="W108" t="s">
        <v>56</v>
      </c>
      <c r="X108" t="s">
        <v>56</v>
      </c>
      <c r="Y108" t="s">
        <v>62</v>
      </c>
      <c r="Z108" t="s">
        <v>63</v>
      </c>
      <c r="AA108" t="s">
        <v>64</v>
      </c>
      <c r="AB108">
        <v>1</v>
      </c>
      <c r="AC108" t="s">
        <v>84</v>
      </c>
      <c r="AD108" t="s">
        <v>66</v>
      </c>
      <c r="AE108" t="s">
        <v>85</v>
      </c>
      <c r="AF108" t="s">
        <v>68</v>
      </c>
      <c r="AG108">
        <v>60203.8</v>
      </c>
      <c r="AH108" t="s">
        <v>69</v>
      </c>
      <c r="AI108" t="s">
        <v>194</v>
      </c>
      <c r="AJ108" t="s">
        <v>195</v>
      </c>
      <c r="AK108" t="s">
        <v>99</v>
      </c>
      <c r="AL108" t="s">
        <v>73</v>
      </c>
      <c r="AM108" t="s">
        <v>73</v>
      </c>
      <c r="AN108" t="s">
        <v>56</v>
      </c>
    </row>
    <row r="109" spans="1:40" x14ac:dyDescent="0.25">
      <c r="A109" t="s">
        <v>1676</v>
      </c>
      <c r="B109" t="s">
        <v>5</v>
      </c>
      <c r="C109">
        <v>1902.634376</v>
      </c>
      <c r="D109" t="s">
        <v>56</v>
      </c>
      <c r="E109" t="s">
        <v>56</v>
      </c>
      <c r="F109">
        <v>-30539.759999999998</v>
      </c>
      <c r="G109" t="s">
        <v>1676</v>
      </c>
      <c r="H109" t="s">
        <v>7</v>
      </c>
      <c r="I109">
        <v>34703.29</v>
      </c>
      <c r="J109">
        <v>2644.092799</v>
      </c>
      <c r="K109">
        <v>0</v>
      </c>
      <c r="L109">
        <v>0</v>
      </c>
      <c r="M109" t="s">
        <v>1676</v>
      </c>
      <c r="N109" t="s">
        <v>57</v>
      </c>
      <c r="O109" t="s">
        <v>58</v>
      </c>
      <c r="P109" t="s">
        <v>1677</v>
      </c>
      <c r="Q109" t="s">
        <v>905</v>
      </c>
      <c r="R109" t="s">
        <v>61</v>
      </c>
      <c r="S109" t="s">
        <v>58</v>
      </c>
      <c r="T109" t="s">
        <v>1677</v>
      </c>
      <c r="U109" t="s">
        <v>905</v>
      </c>
      <c r="V109" t="s">
        <v>56</v>
      </c>
      <c r="W109" t="s">
        <v>56</v>
      </c>
      <c r="X109" t="s">
        <v>56</v>
      </c>
      <c r="Y109" t="s">
        <v>62</v>
      </c>
      <c r="Z109" t="s">
        <v>63</v>
      </c>
      <c r="AA109" t="s">
        <v>64</v>
      </c>
      <c r="AB109">
        <v>1</v>
      </c>
      <c r="AC109" t="s">
        <v>84</v>
      </c>
      <c r="AD109" t="s">
        <v>66</v>
      </c>
      <c r="AE109" t="s">
        <v>113</v>
      </c>
      <c r="AF109" t="s">
        <v>103</v>
      </c>
      <c r="AG109">
        <v>43879.39</v>
      </c>
      <c r="AH109" t="s">
        <v>69</v>
      </c>
      <c r="AI109" t="s">
        <v>186</v>
      </c>
      <c r="AJ109" t="s">
        <v>477</v>
      </c>
      <c r="AK109" t="s">
        <v>72</v>
      </c>
      <c r="AL109" t="s">
        <v>73</v>
      </c>
      <c r="AM109" t="s">
        <v>73</v>
      </c>
      <c r="AN109" t="s">
        <v>116</v>
      </c>
    </row>
    <row r="110" spans="1:40" x14ac:dyDescent="0.25">
      <c r="A110" t="s">
        <v>865</v>
      </c>
      <c r="B110" t="s">
        <v>5</v>
      </c>
      <c r="C110" s="2">
        <v>1899.0900919999999</v>
      </c>
      <c r="D110" t="s">
        <v>56</v>
      </c>
      <c r="E110" t="s">
        <v>56</v>
      </c>
      <c r="F110">
        <v>-13632.97</v>
      </c>
      <c r="G110" t="s">
        <v>865</v>
      </c>
      <c r="H110" t="s">
        <v>7</v>
      </c>
      <c r="I110">
        <v>16014.6</v>
      </c>
      <c r="J110">
        <v>0</v>
      </c>
      <c r="K110">
        <v>0</v>
      </c>
      <c r="L110">
        <v>0</v>
      </c>
      <c r="M110" t="s">
        <v>865</v>
      </c>
      <c r="N110" t="s">
        <v>57</v>
      </c>
      <c r="O110" t="s">
        <v>58</v>
      </c>
      <c r="P110" t="s">
        <v>866</v>
      </c>
      <c r="Q110" t="s">
        <v>867</v>
      </c>
      <c r="R110" t="s">
        <v>61</v>
      </c>
      <c r="S110" t="s">
        <v>58</v>
      </c>
      <c r="T110" t="s">
        <v>866</v>
      </c>
      <c r="U110" t="s">
        <v>867</v>
      </c>
      <c r="V110" t="s">
        <v>56</v>
      </c>
      <c r="W110" t="s">
        <v>56</v>
      </c>
      <c r="X110" t="s">
        <v>56</v>
      </c>
      <c r="Y110" t="s">
        <v>62</v>
      </c>
      <c r="Z110" t="s">
        <v>63</v>
      </c>
      <c r="AA110" t="s">
        <v>64</v>
      </c>
      <c r="AB110">
        <v>1</v>
      </c>
      <c r="AC110" t="s">
        <v>78</v>
      </c>
      <c r="AD110" t="s">
        <v>66</v>
      </c>
      <c r="AE110" t="s">
        <v>85</v>
      </c>
      <c r="AF110" t="s">
        <v>68</v>
      </c>
      <c r="AG110">
        <v>24000</v>
      </c>
      <c r="AH110" t="s">
        <v>69</v>
      </c>
      <c r="AI110" t="s">
        <v>278</v>
      </c>
      <c r="AJ110" t="s">
        <v>868</v>
      </c>
      <c r="AK110" t="s">
        <v>99</v>
      </c>
      <c r="AL110" t="s">
        <v>73</v>
      </c>
      <c r="AM110" t="s">
        <v>73</v>
      </c>
      <c r="AN110" t="s">
        <v>56</v>
      </c>
    </row>
    <row r="111" spans="1:40" x14ac:dyDescent="0.25">
      <c r="A111" t="s">
        <v>2404</v>
      </c>
      <c r="B111" t="s">
        <v>5</v>
      </c>
      <c r="C111">
        <v>1898.0479889999999</v>
      </c>
      <c r="D111" t="s">
        <v>56</v>
      </c>
      <c r="E111" t="s">
        <v>56</v>
      </c>
      <c r="F111">
        <v>-24300.46</v>
      </c>
      <c r="G111" t="s">
        <v>2404</v>
      </c>
      <c r="H111" t="s">
        <v>7</v>
      </c>
      <c r="I111">
        <v>26939.52</v>
      </c>
      <c r="J111">
        <v>2573.3098690000002</v>
      </c>
      <c r="K111">
        <v>0</v>
      </c>
      <c r="L111">
        <v>0</v>
      </c>
      <c r="M111" t="s">
        <v>2404</v>
      </c>
      <c r="N111" t="s">
        <v>57</v>
      </c>
      <c r="O111" t="s">
        <v>58</v>
      </c>
      <c r="P111" t="s">
        <v>2405</v>
      </c>
      <c r="Q111" t="s">
        <v>2406</v>
      </c>
      <c r="R111" t="s">
        <v>61</v>
      </c>
      <c r="S111" t="s">
        <v>58</v>
      </c>
      <c r="T111" t="s">
        <v>2405</v>
      </c>
      <c r="U111" t="s">
        <v>2406</v>
      </c>
      <c r="V111" t="s">
        <v>56</v>
      </c>
      <c r="W111" t="s">
        <v>56</v>
      </c>
      <c r="X111" t="s">
        <v>56</v>
      </c>
      <c r="Y111" t="s">
        <v>62</v>
      </c>
      <c r="Z111" t="s">
        <v>63</v>
      </c>
      <c r="AA111" t="s">
        <v>64</v>
      </c>
      <c r="AB111">
        <v>1</v>
      </c>
      <c r="AC111" t="s">
        <v>78</v>
      </c>
      <c r="AD111" t="s">
        <v>66</v>
      </c>
      <c r="AE111" t="s">
        <v>113</v>
      </c>
      <c r="AF111" t="s">
        <v>68</v>
      </c>
      <c r="AG111">
        <v>34999.18</v>
      </c>
      <c r="AH111" t="s">
        <v>69</v>
      </c>
      <c r="AI111" t="s">
        <v>278</v>
      </c>
      <c r="AJ111" t="s">
        <v>88</v>
      </c>
      <c r="AK111" t="s">
        <v>72</v>
      </c>
      <c r="AL111" t="s">
        <v>73</v>
      </c>
      <c r="AM111" t="s">
        <v>73</v>
      </c>
      <c r="AN111" t="s">
        <v>116</v>
      </c>
    </row>
    <row r="112" spans="1:40" x14ac:dyDescent="0.25">
      <c r="A112" t="s">
        <v>1212</v>
      </c>
      <c r="B112" t="s">
        <v>5</v>
      </c>
      <c r="C112" s="2">
        <v>1893.3564469999999</v>
      </c>
      <c r="D112" t="s">
        <v>56</v>
      </c>
      <c r="E112" t="s">
        <v>56</v>
      </c>
      <c r="F112">
        <v>-28316.26</v>
      </c>
      <c r="G112" t="s">
        <v>1212</v>
      </c>
      <c r="H112" t="s">
        <v>7</v>
      </c>
      <c r="I112">
        <v>33283.49</v>
      </c>
      <c r="J112">
        <v>0</v>
      </c>
      <c r="K112">
        <v>0</v>
      </c>
      <c r="L112">
        <v>0</v>
      </c>
      <c r="M112" t="s">
        <v>1212</v>
      </c>
      <c r="N112" t="s">
        <v>57</v>
      </c>
      <c r="O112" t="s">
        <v>58</v>
      </c>
      <c r="P112" t="s">
        <v>1213</v>
      </c>
      <c r="Q112" t="s">
        <v>1214</v>
      </c>
      <c r="R112" t="s">
        <v>61</v>
      </c>
      <c r="S112" t="s">
        <v>58</v>
      </c>
      <c r="T112" t="s">
        <v>1213</v>
      </c>
      <c r="U112" t="s">
        <v>1214</v>
      </c>
      <c r="V112" t="s">
        <v>56</v>
      </c>
      <c r="W112" t="s">
        <v>56</v>
      </c>
      <c r="X112" t="s">
        <v>56</v>
      </c>
      <c r="Y112" t="s">
        <v>62</v>
      </c>
      <c r="Z112" t="s">
        <v>63</v>
      </c>
      <c r="AA112" t="s">
        <v>64</v>
      </c>
      <c r="AB112">
        <v>1</v>
      </c>
      <c r="AC112" t="s">
        <v>84</v>
      </c>
      <c r="AD112" t="s">
        <v>66</v>
      </c>
      <c r="AE112" t="s">
        <v>85</v>
      </c>
      <c r="AF112" t="s">
        <v>103</v>
      </c>
      <c r="AG112">
        <v>50000</v>
      </c>
      <c r="AH112" t="s">
        <v>69</v>
      </c>
      <c r="AI112" t="s">
        <v>87</v>
      </c>
      <c r="AJ112" t="s">
        <v>868</v>
      </c>
      <c r="AK112" t="s">
        <v>99</v>
      </c>
      <c r="AL112" t="s">
        <v>73</v>
      </c>
      <c r="AM112" t="s">
        <v>73</v>
      </c>
      <c r="AN112" t="s">
        <v>56</v>
      </c>
    </row>
    <row r="113" spans="1:40" x14ac:dyDescent="0.25">
      <c r="A113" t="s">
        <v>481</v>
      </c>
      <c r="B113" t="s">
        <v>5</v>
      </c>
      <c r="C113" s="2">
        <v>1891.0563030000001</v>
      </c>
      <c r="D113" t="s">
        <v>56</v>
      </c>
      <c r="E113" t="s">
        <v>56</v>
      </c>
      <c r="F113">
        <v>-24348.04</v>
      </c>
      <c r="G113" t="s">
        <v>481</v>
      </c>
      <c r="H113" t="s">
        <v>7</v>
      </c>
      <c r="I113">
        <v>25057.94</v>
      </c>
      <c r="J113">
        <v>0</v>
      </c>
      <c r="K113">
        <v>0</v>
      </c>
      <c r="L113">
        <v>0</v>
      </c>
      <c r="M113" t="s">
        <v>481</v>
      </c>
      <c r="N113" t="s">
        <v>57</v>
      </c>
      <c r="O113" t="s">
        <v>58</v>
      </c>
      <c r="P113" t="s">
        <v>482</v>
      </c>
      <c r="Q113" t="s">
        <v>483</v>
      </c>
      <c r="R113" t="s">
        <v>61</v>
      </c>
      <c r="S113" t="s">
        <v>58</v>
      </c>
      <c r="T113" t="s">
        <v>482</v>
      </c>
      <c r="U113" t="s">
        <v>483</v>
      </c>
      <c r="V113" t="s">
        <v>56</v>
      </c>
      <c r="W113" t="s">
        <v>56</v>
      </c>
      <c r="X113" t="s">
        <v>56</v>
      </c>
      <c r="Y113" t="s">
        <v>62</v>
      </c>
      <c r="Z113" t="s">
        <v>63</v>
      </c>
      <c r="AA113" t="s">
        <v>64</v>
      </c>
      <c r="AB113">
        <v>1</v>
      </c>
      <c r="AC113" t="s">
        <v>78</v>
      </c>
      <c r="AD113" t="s">
        <v>66</v>
      </c>
      <c r="AE113" t="s">
        <v>85</v>
      </c>
      <c r="AF113" t="s">
        <v>68</v>
      </c>
      <c r="AG113">
        <v>34996.18</v>
      </c>
      <c r="AH113" t="s">
        <v>69</v>
      </c>
      <c r="AI113" t="s">
        <v>484</v>
      </c>
      <c r="AJ113" t="s">
        <v>485</v>
      </c>
      <c r="AK113" t="s">
        <v>72</v>
      </c>
      <c r="AL113" t="s">
        <v>73</v>
      </c>
      <c r="AM113" t="s">
        <v>73</v>
      </c>
      <c r="AN113" t="s">
        <v>56</v>
      </c>
    </row>
    <row r="114" spans="1:40" x14ac:dyDescent="0.25">
      <c r="A114" t="s">
        <v>885</v>
      </c>
      <c r="B114" t="s">
        <v>5</v>
      </c>
      <c r="C114" s="2">
        <v>1865.7781179999999</v>
      </c>
      <c r="D114" t="s">
        <v>56</v>
      </c>
      <c r="E114" t="s">
        <v>56</v>
      </c>
      <c r="F114">
        <v>-35456.949999999997</v>
      </c>
      <c r="G114" t="s">
        <v>885</v>
      </c>
      <c r="H114" t="s">
        <v>7</v>
      </c>
      <c r="I114">
        <v>39462.03</v>
      </c>
      <c r="J114">
        <v>0</v>
      </c>
      <c r="K114">
        <v>0</v>
      </c>
      <c r="L114">
        <v>0</v>
      </c>
      <c r="M114" t="s">
        <v>885</v>
      </c>
      <c r="N114" t="s">
        <v>57</v>
      </c>
      <c r="O114" t="s">
        <v>58</v>
      </c>
      <c r="P114" t="s">
        <v>886</v>
      </c>
      <c r="Q114" t="s">
        <v>887</v>
      </c>
      <c r="R114" t="s">
        <v>61</v>
      </c>
      <c r="S114" t="s">
        <v>58</v>
      </c>
      <c r="T114" t="s">
        <v>886</v>
      </c>
      <c r="U114" t="s">
        <v>887</v>
      </c>
      <c r="V114" t="s">
        <v>56</v>
      </c>
      <c r="W114" t="s">
        <v>56</v>
      </c>
      <c r="X114" t="s">
        <v>56</v>
      </c>
      <c r="Y114" t="s">
        <v>62</v>
      </c>
      <c r="Z114" t="s">
        <v>63</v>
      </c>
      <c r="AA114" t="s">
        <v>64</v>
      </c>
      <c r="AB114">
        <v>1</v>
      </c>
      <c r="AC114" t="s">
        <v>65</v>
      </c>
      <c r="AD114" t="s">
        <v>66</v>
      </c>
      <c r="AE114" t="s">
        <v>85</v>
      </c>
      <c r="AF114" t="s">
        <v>103</v>
      </c>
      <c r="AG114">
        <v>51653.82</v>
      </c>
      <c r="AH114" t="s">
        <v>69</v>
      </c>
      <c r="AI114" t="s">
        <v>323</v>
      </c>
      <c r="AJ114" t="s">
        <v>177</v>
      </c>
      <c r="AK114" t="s">
        <v>72</v>
      </c>
      <c r="AL114" t="s">
        <v>73</v>
      </c>
      <c r="AM114" t="s">
        <v>73</v>
      </c>
      <c r="AN114" t="s">
        <v>56</v>
      </c>
    </row>
    <row r="115" spans="1:40" x14ac:dyDescent="0.25">
      <c r="A115" t="s">
        <v>270</v>
      </c>
      <c r="B115" t="s">
        <v>5</v>
      </c>
      <c r="C115" s="2">
        <v>1862.839416</v>
      </c>
      <c r="D115" t="s">
        <v>56</v>
      </c>
      <c r="E115" t="s">
        <v>56</v>
      </c>
      <c r="F115">
        <v>-12815.54</v>
      </c>
      <c r="G115" t="s">
        <v>270</v>
      </c>
      <c r="H115" t="s">
        <v>7</v>
      </c>
      <c r="I115">
        <v>15065.95</v>
      </c>
      <c r="J115">
        <v>0</v>
      </c>
      <c r="K115">
        <v>0</v>
      </c>
      <c r="L115">
        <v>0</v>
      </c>
      <c r="M115" t="s">
        <v>270</v>
      </c>
      <c r="N115" t="s">
        <v>57</v>
      </c>
      <c r="O115" t="s">
        <v>58</v>
      </c>
      <c r="P115" t="s">
        <v>271</v>
      </c>
      <c r="Q115" t="s">
        <v>272</v>
      </c>
      <c r="R115" t="s">
        <v>61</v>
      </c>
      <c r="S115" t="s">
        <v>58</v>
      </c>
      <c r="T115" t="s">
        <v>271</v>
      </c>
      <c r="U115" t="s">
        <v>272</v>
      </c>
      <c r="V115" t="s">
        <v>56</v>
      </c>
      <c r="W115" t="s">
        <v>56</v>
      </c>
      <c r="X115" t="s">
        <v>56</v>
      </c>
      <c r="Y115" t="s">
        <v>62</v>
      </c>
      <c r="Z115" t="s">
        <v>63</v>
      </c>
      <c r="AA115" t="s">
        <v>64</v>
      </c>
      <c r="AB115">
        <v>1</v>
      </c>
      <c r="AC115" t="s">
        <v>78</v>
      </c>
      <c r="AD115" t="s">
        <v>66</v>
      </c>
      <c r="AE115" t="s">
        <v>85</v>
      </c>
      <c r="AF115" t="s">
        <v>103</v>
      </c>
      <c r="AG115">
        <v>23000</v>
      </c>
      <c r="AH115" t="s">
        <v>69</v>
      </c>
      <c r="AI115" t="s">
        <v>181</v>
      </c>
      <c r="AJ115" t="s">
        <v>273</v>
      </c>
      <c r="AK115" t="s">
        <v>99</v>
      </c>
      <c r="AL115" t="s">
        <v>73</v>
      </c>
      <c r="AM115" t="s">
        <v>73</v>
      </c>
      <c r="AN115" t="s">
        <v>56</v>
      </c>
    </row>
    <row r="116" spans="1:40" x14ac:dyDescent="0.25">
      <c r="A116" t="s">
        <v>2381</v>
      </c>
      <c r="B116" t="s">
        <v>5</v>
      </c>
      <c r="C116" s="2">
        <v>1845.94606</v>
      </c>
      <c r="D116" t="s">
        <v>56</v>
      </c>
      <c r="E116" t="s">
        <v>56</v>
      </c>
      <c r="F116">
        <v>-21386.89</v>
      </c>
      <c r="G116" t="s">
        <v>2381</v>
      </c>
      <c r="H116" t="s">
        <v>7</v>
      </c>
      <c r="I116">
        <v>26158.880000000001</v>
      </c>
      <c r="J116">
        <v>0</v>
      </c>
      <c r="K116">
        <v>0</v>
      </c>
      <c r="L116">
        <v>0</v>
      </c>
      <c r="M116" t="s">
        <v>2381</v>
      </c>
      <c r="N116" t="s">
        <v>57</v>
      </c>
      <c r="O116" t="s">
        <v>58</v>
      </c>
      <c r="P116" t="s">
        <v>2382</v>
      </c>
      <c r="Q116" t="s">
        <v>2383</v>
      </c>
      <c r="R116" t="s">
        <v>61</v>
      </c>
      <c r="S116" t="s">
        <v>58</v>
      </c>
      <c r="T116" t="s">
        <v>2382</v>
      </c>
      <c r="U116" t="s">
        <v>2383</v>
      </c>
      <c r="V116" t="s">
        <v>56</v>
      </c>
      <c r="W116" t="s">
        <v>56</v>
      </c>
      <c r="X116" t="s">
        <v>56</v>
      </c>
      <c r="Y116" t="s">
        <v>62</v>
      </c>
      <c r="Z116" t="s">
        <v>63</v>
      </c>
      <c r="AA116" t="s">
        <v>64</v>
      </c>
      <c r="AB116">
        <v>1</v>
      </c>
      <c r="AC116" t="s">
        <v>84</v>
      </c>
      <c r="AD116" t="s">
        <v>66</v>
      </c>
      <c r="AE116" t="s">
        <v>85</v>
      </c>
      <c r="AF116" t="s">
        <v>103</v>
      </c>
      <c r="AG116">
        <v>38734.199999999997</v>
      </c>
      <c r="AH116" t="s">
        <v>69</v>
      </c>
      <c r="AI116" t="s">
        <v>181</v>
      </c>
      <c r="AJ116" t="s">
        <v>754</v>
      </c>
      <c r="AK116" t="s">
        <v>99</v>
      </c>
      <c r="AL116" t="s">
        <v>73</v>
      </c>
      <c r="AM116" t="s">
        <v>73</v>
      </c>
      <c r="AN116" t="s">
        <v>56</v>
      </c>
    </row>
    <row r="117" spans="1:40" x14ac:dyDescent="0.25">
      <c r="A117" t="s">
        <v>888</v>
      </c>
      <c r="B117" t="s">
        <v>5</v>
      </c>
      <c r="C117">
        <v>1835.930018</v>
      </c>
      <c r="D117" t="s">
        <v>56</v>
      </c>
      <c r="E117" t="s">
        <v>56</v>
      </c>
      <c r="F117">
        <v>-33572.870000000003</v>
      </c>
      <c r="G117" t="s">
        <v>888</v>
      </c>
      <c r="H117" t="s">
        <v>7</v>
      </c>
      <c r="I117">
        <v>38967.269999999997</v>
      </c>
      <c r="J117">
        <v>2606.0334339999999</v>
      </c>
      <c r="K117">
        <v>0</v>
      </c>
      <c r="L117">
        <v>0</v>
      </c>
      <c r="M117" t="s">
        <v>888</v>
      </c>
      <c r="N117" t="s">
        <v>57</v>
      </c>
      <c r="O117" t="s">
        <v>58</v>
      </c>
      <c r="P117" t="s">
        <v>889</v>
      </c>
      <c r="Q117" t="s">
        <v>890</v>
      </c>
      <c r="R117" t="s">
        <v>61</v>
      </c>
      <c r="S117" t="s">
        <v>58</v>
      </c>
      <c r="T117" t="s">
        <v>889</v>
      </c>
      <c r="U117" t="s">
        <v>890</v>
      </c>
      <c r="V117" t="s">
        <v>56</v>
      </c>
      <c r="W117" t="s">
        <v>56</v>
      </c>
      <c r="X117" t="s">
        <v>56</v>
      </c>
      <c r="Y117" t="s">
        <v>62</v>
      </c>
      <c r="Z117" t="s">
        <v>63</v>
      </c>
      <c r="AA117" t="s">
        <v>64</v>
      </c>
      <c r="AB117">
        <v>1</v>
      </c>
      <c r="AC117" t="s">
        <v>78</v>
      </c>
      <c r="AD117" t="s">
        <v>66</v>
      </c>
      <c r="AE117" t="s">
        <v>113</v>
      </c>
      <c r="AF117" t="s">
        <v>68</v>
      </c>
      <c r="AG117">
        <v>49990</v>
      </c>
      <c r="AH117" t="s">
        <v>69</v>
      </c>
      <c r="AI117" t="s">
        <v>128</v>
      </c>
      <c r="AJ117" t="s">
        <v>164</v>
      </c>
      <c r="AK117" t="s">
        <v>72</v>
      </c>
      <c r="AL117" t="s">
        <v>73</v>
      </c>
      <c r="AM117" t="s">
        <v>73</v>
      </c>
      <c r="AN117" t="s">
        <v>116</v>
      </c>
    </row>
    <row r="118" spans="1:40" x14ac:dyDescent="0.25">
      <c r="A118" t="s">
        <v>1772</v>
      </c>
      <c r="B118" t="s">
        <v>5</v>
      </c>
      <c r="C118" s="2">
        <v>1835.2109390000001</v>
      </c>
      <c r="D118" t="s">
        <v>56</v>
      </c>
      <c r="E118" t="s">
        <v>56</v>
      </c>
      <c r="F118">
        <v>-30191.33</v>
      </c>
      <c r="G118" t="s">
        <v>1772</v>
      </c>
      <c r="H118" t="s">
        <v>7</v>
      </c>
      <c r="I118">
        <v>35666.1</v>
      </c>
      <c r="J118">
        <v>0</v>
      </c>
      <c r="K118">
        <v>0</v>
      </c>
      <c r="L118">
        <v>0</v>
      </c>
      <c r="M118" t="s">
        <v>1772</v>
      </c>
      <c r="N118" t="s">
        <v>57</v>
      </c>
      <c r="O118" t="s">
        <v>58</v>
      </c>
      <c r="P118" t="s">
        <v>1773</v>
      </c>
      <c r="Q118" t="s">
        <v>1774</v>
      </c>
      <c r="R118" t="s">
        <v>61</v>
      </c>
      <c r="S118" t="s">
        <v>58</v>
      </c>
      <c r="T118" t="s">
        <v>1773</v>
      </c>
      <c r="U118" t="s">
        <v>1774</v>
      </c>
      <c r="V118" t="s">
        <v>56</v>
      </c>
      <c r="W118" t="s">
        <v>56</v>
      </c>
      <c r="X118" t="s">
        <v>56</v>
      </c>
      <c r="Y118" t="s">
        <v>62</v>
      </c>
      <c r="Z118" t="s">
        <v>63</v>
      </c>
      <c r="AA118" t="s">
        <v>64</v>
      </c>
      <c r="AB118">
        <v>1</v>
      </c>
      <c r="AC118" t="s">
        <v>84</v>
      </c>
      <c r="AD118" t="s">
        <v>66</v>
      </c>
      <c r="AE118" t="s">
        <v>85</v>
      </c>
      <c r="AF118" t="s">
        <v>68</v>
      </c>
      <c r="AG118">
        <v>55000</v>
      </c>
      <c r="AH118" t="s">
        <v>69</v>
      </c>
      <c r="AI118" t="s">
        <v>163</v>
      </c>
      <c r="AJ118" t="s">
        <v>273</v>
      </c>
      <c r="AK118" t="s">
        <v>99</v>
      </c>
      <c r="AL118" t="s">
        <v>73</v>
      </c>
      <c r="AM118" t="s">
        <v>73</v>
      </c>
      <c r="AN118" t="s">
        <v>56</v>
      </c>
    </row>
    <row r="119" spans="1:40" x14ac:dyDescent="0.25">
      <c r="A119" t="s">
        <v>1443</v>
      </c>
      <c r="B119" t="s">
        <v>5</v>
      </c>
      <c r="C119" s="2">
        <v>1830.861392</v>
      </c>
      <c r="D119" t="s">
        <v>56</v>
      </c>
      <c r="E119" t="s">
        <v>56</v>
      </c>
      <c r="F119">
        <v>-24045.43</v>
      </c>
      <c r="G119" t="s">
        <v>1443</v>
      </c>
      <c r="H119" t="s">
        <v>7</v>
      </c>
      <c r="I119">
        <v>27143.69</v>
      </c>
      <c r="J119">
        <v>0</v>
      </c>
      <c r="K119">
        <v>0</v>
      </c>
      <c r="L119">
        <v>0</v>
      </c>
      <c r="M119" t="s">
        <v>1443</v>
      </c>
      <c r="N119" t="s">
        <v>57</v>
      </c>
      <c r="O119" t="s">
        <v>58</v>
      </c>
      <c r="P119" t="s">
        <v>1444</v>
      </c>
      <c r="Q119" t="s">
        <v>1445</v>
      </c>
      <c r="R119" t="s">
        <v>61</v>
      </c>
      <c r="S119" t="s">
        <v>58</v>
      </c>
      <c r="T119" t="s">
        <v>1444</v>
      </c>
      <c r="U119" t="s">
        <v>1445</v>
      </c>
      <c r="V119" t="s">
        <v>56</v>
      </c>
      <c r="W119" t="s">
        <v>56</v>
      </c>
      <c r="X119" t="s">
        <v>56</v>
      </c>
      <c r="Y119" t="s">
        <v>62</v>
      </c>
      <c r="Z119" t="s">
        <v>63</v>
      </c>
      <c r="AA119" t="s">
        <v>64</v>
      </c>
      <c r="AB119">
        <v>1</v>
      </c>
      <c r="AC119" t="s">
        <v>78</v>
      </c>
      <c r="AD119" t="s">
        <v>66</v>
      </c>
      <c r="AE119" t="s">
        <v>85</v>
      </c>
      <c r="AF119" t="s">
        <v>68</v>
      </c>
      <c r="AG119">
        <v>43908</v>
      </c>
      <c r="AH119" t="s">
        <v>69</v>
      </c>
      <c r="AI119" t="s">
        <v>278</v>
      </c>
      <c r="AJ119" t="s">
        <v>123</v>
      </c>
      <c r="AK119" t="s">
        <v>99</v>
      </c>
      <c r="AL119" t="s">
        <v>73</v>
      </c>
      <c r="AM119" t="s">
        <v>73</v>
      </c>
      <c r="AN119" t="s">
        <v>56</v>
      </c>
    </row>
    <row r="120" spans="1:40" x14ac:dyDescent="0.25">
      <c r="A120" t="s">
        <v>2083</v>
      </c>
      <c r="B120" t="s">
        <v>5</v>
      </c>
      <c r="C120" s="2">
        <v>1825.3383710000001</v>
      </c>
      <c r="D120" t="s">
        <v>56</v>
      </c>
      <c r="E120" t="s">
        <v>56</v>
      </c>
      <c r="F120">
        <v>-23498.19</v>
      </c>
      <c r="G120" t="s">
        <v>2083</v>
      </c>
      <c r="H120" t="s">
        <v>7</v>
      </c>
      <c r="I120">
        <v>23717.01</v>
      </c>
      <c r="J120">
        <v>0</v>
      </c>
      <c r="K120">
        <v>0</v>
      </c>
      <c r="L120">
        <v>0</v>
      </c>
      <c r="M120" t="s">
        <v>2083</v>
      </c>
      <c r="N120" t="s">
        <v>57</v>
      </c>
      <c r="O120" t="s">
        <v>58</v>
      </c>
      <c r="P120" t="s">
        <v>2084</v>
      </c>
      <c r="Q120" t="s">
        <v>2085</v>
      </c>
      <c r="R120" t="s">
        <v>61</v>
      </c>
      <c r="S120" t="s">
        <v>58</v>
      </c>
      <c r="T120" t="s">
        <v>2084</v>
      </c>
      <c r="U120" t="s">
        <v>2085</v>
      </c>
      <c r="V120" t="s">
        <v>56</v>
      </c>
      <c r="W120" t="s">
        <v>56</v>
      </c>
      <c r="X120" t="s">
        <v>56</v>
      </c>
      <c r="Y120" t="s">
        <v>62</v>
      </c>
      <c r="Z120" t="s">
        <v>63</v>
      </c>
      <c r="AA120" t="s">
        <v>64</v>
      </c>
      <c r="AB120">
        <v>1</v>
      </c>
      <c r="AC120" t="s">
        <v>78</v>
      </c>
      <c r="AD120" t="s">
        <v>66</v>
      </c>
      <c r="AE120" t="s">
        <v>85</v>
      </c>
      <c r="AF120" t="s">
        <v>103</v>
      </c>
      <c r="AG120">
        <v>34990.639999999999</v>
      </c>
      <c r="AH120" t="s">
        <v>69</v>
      </c>
      <c r="AI120" t="s">
        <v>181</v>
      </c>
      <c r="AJ120" t="s">
        <v>204</v>
      </c>
      <c r="AK120" t="s">
        <v>72</v>
      </c>
      <c r="AL120" t="s">
        <v>73</v>
      </c>
      <c r="AM120" t="s">
        <v>73</v>
      </c>
      <c r="AN120" t="s">
        <v>56</v>
      </c>
    </row>
    <row r="121" spans="1:40" x14ac:dyDescent="0.25">
      <c r="A121" t="s">
        <v>1866</v>
      </c>
      <c r="B121" t="s">
        <v>5</v>
      </c>
      <c r="C121" s="2">
        <v>1817.2644640000001</v>
      </c>
      <c r="D121" t="s">
        <v>56</v>
      </c>
      <c r="E121" t="s">
        <v>56</v>
      </c>
      <c r="F121">
        <v>-33302.559999999998</v>
      </c>
      <c r="G121" t="s">
        <v>1866</v>
      </c>
      <c r="H121" t="s">
        <v>7</v>
      </c>
      <c r="I121">
        <v>35907.86</v>
      </c>
      <c r="J121">
        <v>0</v>
      </c>
      <c r="K121">
        <v>0</v>
      </c>
      <c r="L121">
        <v>0</v>
      </c>
      <c r="M121" t="s">
        <v>1866</v>
      </c>
      <c r="N121" t="s">
        <v>57</v>
      </c>
      <c r="O121" t="s">
        <v>58</v>
      </c>
      <c r="P121" t="s">
        <v>1867</v>
      </c>
      <c r="Q121" t="s">
        <v>1868</v>
      </c>
      <c r="R121" t="s">
        <v>61</v>
      </c>
      <c r="S121" t="s">
        <v>58</v>
      </c>
      <c r="T121" t="s">
        <v>1867</v>
      </c>
      <c r="U121" t="s">
        <v>1868</v>
      </c>
      <c r="V121" t="s">
        <v>56</v>
      </c>
      <c r="W121" t="s">
        <v>56</v>
      </c>
      <c r="X121" t="s">
        <v>56</v>
      </c>
      <c r="Y121" t="s">
        <v>62</v>
      </c>
      <c r="Z121" t="s">
        <v>63</v>
      </c>
      <c r="AA121" t="s">
        <v>64</v>
      </c>
      <c r="AB121">
        <v>1</v>
      </c>
      <c r="AC121" t="s">
        <v>84</v>
      </c>
      <c r="AD121" t="s">
        <v>66</v>
      </c>
      <c r="AE121" t="s">
        <v>85</v>
      </c>
      <c r="AF121" t="s">
        <v>68</v>
      </c>
      <c r="AG121">
        <v>49810.47</v>
      </c>
      <c r="AH121" t="s">
        <v>69</v>
      </c>
      <c r="AI121" t="s">
        <v>168</v>
      </c>
      <c r="AJ121" t="s">
        <v>1195</v>
      </c>
      <c r="AK121" t="s">
        <v>72</v>
      </c>
      <c r="AL121" t="s">
        <v>73</v>
      </c>
      <c r="AM121" t="s">
        <v>73</v>
      </c>
      <c r="AN121" t="s">
        <v>56</v>
      </c>
    </row>
    <row r="122" spans="1:40" x14ac:dyDescent="0.25">
      <c r="A122" t="s">
        <v>1446</v>
      </c>
      <c r="B122" t="s">
        <v>5</v>
      </c>
      <c r="C122" s="2">
        <v>1813.249241</v>
      </c>
      <c r="D122" t="s">
        <v>56</v>
      </c>
      <c r="E122" t="s">
        <v>56</v>
      </c>
      <c r="F122">
        <v>-47278.55</v>
      </c>
      <c r="G122" t="s">
        <v>1446</v>
      </c>
      <c r="H122" t="s">
        <v>7</v>
      </c>
      <c r="I122">
        <v>52530.42</v>
      </c>
      <c r="J122">
        <v>0</v>
      </c>
      <c r="K122">
        <v>0</v>
      </c>
      <c r="L122">
        <v>0</v>
      </c>
      <c r="M122" t="s">
        <v>1446</v>
      </c>
      <c r="N122" t="s">
        <v>57</v>
      </c>
      <c r="O122" t="s">
        <v>58</v>
      </c>
      <c r="P122" t="s">
        <v>1447</v>
      </c>
      <c r="Q122" t="s">
        <v>1448</v>
      </c>
      <c r="R122" t="s">
        <v>61</v>
      </c>
      <c r="S122" t="s">
        <v>58</v>
      </c>
      <c r="T122" t="s">
        <v>1447</v>
      </c>
      <c r="U122" t="s">
        <v>1448</v>
      </c>
      <c r="V122" t="s">
        <v>56</v>
      </c>
      <c r="W122" t="s">
        <v>56</v>
      </c>
      <c r="X122" t="s">
        <v>56</v>
      </c>
      <c r="Y122" t="s">
        <v>62</v>
      </c>
      <c r="Z122" t="s">
        <v>63</v>
      </c>
      <c r="AA122" t="s">
        <v>64</v>
      </c>
      <c r="AB122">
        <v>1</v>
      </c>
      <c r="AC122" t="s">
        <v>84</v>
      </c>
      <c r="AD122" t="s">
        <v>66</v>
      </c>
      <c r="AE122" t="s">
        <v>85</v>
      </c>
      <c r="AF122" t="s">
        <v>68</v>
      </c>
      <c r="AG122">
        <v>70870.86</v>
      </c>
      <c r="AH122" t="s">
        <v>69</v>
      </c>
      <c r="AI122" t="s">
        <v>142</v>
      </c>
      <c r="AJ122" t="s">
        <v>324</v>
      </c>
      <c r="AK122" t="s">
        <v>72</v>
      </c>
      <c r="AL122" t="s">
        <v>73</v>
      </c>
      <c r="AM122" t="s">
        <v>73</v>
      </c>
      <c r="AN122" t="s">
        <v>56</v>
      </c>
    </row>
    <row r="123" spans="1:40" x14ac:dyDescent="0.25">
      <c r="A123" t="s">
        <v>2164</v>
      </c>
      <c r="B123" t="s">
        <v>5</v>
      </c>
      <c r="C123" s="2">
        <v>1808.0003650000001</v>
      </c>
      <c r="D123" t="s">
        <v>56</v>
      </c>
      <c r="E123" t="s">
        <v>56</v>
      </c>
      <c r="F123">
        <v>-18285.71</v>
      </c>
      <c r="G123" t="s">
        <v>2164</v>
      </c>
      <c r="H123" t="s">
        <v>7</v>
      </c>
      <c r="I123">
        <v>20632.09</v>
      </c>
      <c r="J123">
        <v>0</v>
      </c>
      <c r="K123">
        <v>0</v>
      </c>
      <c r="L123">
        <v>0</v>
      </c>
      <c r="M123" t="s">
        <v>2164</v>
      </c>
      <c r="N123" t="s">
        <v>57</v>
      </c>
      <c r="O123" t="s">
        <v>58</v>
      </c>
      <c r="P123" t="s">
        <v>2165</v>
      </c>
      <c r="Q123" t="s">
        <v>2166</v>
      </c>
      <c r="R123" t="s">
        <v>61</v>
      </c>
      <c r="S123" t="s">
        <v>58</v>
      </c>
      <c r="T123" t="s">
        <v>2165</v>
      </c>
      <c r="U123" t="s">
        <v>2166</v>
      </c>
      <c r="V123" t="s">
        <v>56</v>
      </c>
      <c r="W123" t="s">
        <v>56</v>
      </c>
      <c r="X123" t="s">
        <v>56</v>
      </c>
      <c r="Y123" t="s">
        <v>62</v>
      </c>
      <c r="Z123" t="s">
        <v>63</v>
      </c>
      <c r="AA123" t="s">
        <v>64</v>
      </c>
      <c r="AB123">
        <v>1</v>
      </c>
      <c r="AC123" t="s">
        <v>84</v>
      </c>
      <c r="AD123" t="s">
        <v>66</v>
      </c>
      <c r="AE123" t="s">
        <v>85</v>
      </c>
      <c r="AF123" t="s">
        <v>68</v>
      </c>
      <c r="AG123">
        <v>27490</v>
      </c>
      <c r="AH123" t="s">
        <v>69</v>
      </c>
      <c r="AI123" t="s">
        <v>186</v>
      </c>
      <c r="AJ123" t="s">
        <v>172</v>
      </c>
      <c r="AK123" t="s">
        <v>72</v>
      </c>
      <c r="AL123" t="s">
        <v>73</v>
      </c>
      <c r="AM123" t="s">
        <v>73</v>
      </c>
      <c r="AN123" t="s">
        <v>56</v>
      </c>
    </row>
    <row r="124" spans="1:40" x14ac:dyDescent="0.25">
      <c r="A124" t="s">
        <v>2262</v>
      </c>
      <c r="B124" t="s">
        <v>5</v>
      </c>
      <c r="C124" s="2">
        <v>1805.4528210000001</v>
      </c>
      <c r="D124" t="s">
        <v>56</v>
      </c>
      <c r="E124" t="s">
        <v>56</v>
      </c>
      <c r="F124">
        <v>-27114.17</v>
      </c>
      <c r="G124" t="s">
        <v>2262</v>
      </c>
      <c r="H124" t="s">
        <v>7</v>
      </c>
      <c r="I124">
        <v>29023.83</v>
      </c>
      <c r="J124">
        <v>0</v>
      </c>
      <c r="K124">
        <v>0</v>
      </c>
      <c r="L124">
        <v>0</v>
      </c>
      <c r="M124" t="s">
        <v>2262</v>
      </c>
      <c r="N124" t="s">
        <v>57</v>
      </c>
      <c r="O124" t="s">
        <v>58</v>
      </c>
      <c r="P124" t="s">
        <v>2263</v>
      </c>
      <c r="Q124" t="s">
        <v>2264</v>
      </c>
      <c r="R124" t="s">
        <v>61</v>
      </c>
      <c r="S124" t="s">
        <v>58</v>
      </c>
      <c r="T124" t="s">
        <v>2263</v>
      </c>
      <c r="U124" t="s">
        <v>2264</v>
      </c>
      <c r="V124" t="s">
        <v>56</v>
      </c>
      <c r="W124" t="s">
        <v>56</v>
      </c>
      <c r="X124" t="s">
        <v>56</v>
      </c>
      <c r="Y124" t="s">
        <v>62</v>
      </c>
      <c r="Z124" t="s">
        <v>63</v>
      </c>
      <c r="AA124" t="s">
        <v>64</v>
      </c>
      <c r="AB124">
        <v>1</v>
      </c>
      <c r="AC124" t="s">
        <v>78</v>
      </c>
      <c r="AD124" t="s">
        <v>66</v>
      </c>
      <c r="AE124" t="s">
        <v>85</v>
      </c>
      <c r="AF124" t="s">
        <v>103</v>
      </c>
      <c r="AG124">
        <v>40819.870000000003</v>
      </c>
      <c r="AH124" t="s">
        <v>69</v>
      </c>
      <c r="AI124" t="s">
        <v>70</v>
      </c>
      <c r="AJ124" t="s">
        <v>363</v>
      </c>
      <c r="AK124" t="s">
        <v>72</v>
      </c>
      <c r="AL124" t="s">
        <v>73</v>
      </c>
      <c r="AM124" t="s">
        <v>73</v>
      </c>
      <c r="AN124" t="s">
        <v>56</v>
      </c>
    </row>
    <row r="125" spans="1:40" x14ac:dyDescent="0.25">
      <c r="A125" t="s">
        <v>626</v>
      </c>
      <c r="B125" t="s">
        <v>5</v>
      </c>
      <c r="C125" s="2">
        <v>1805.1753329999999</v>
      </c>
      <c r="D125" t="s">
        <v>56</v>
      </c>
      <c r="E125" t="s">
        <v>56</v>
      </c>
      <c r="F125">
        <v>-23232.27</v>
      </c>
      <c r="G125" t="s">
        <v>626</v>
      </c>
      <c r="H125" t="s">
        <v>7</v>
      </c>
      <c r="I125">
        <v>25195.86</v>
      </c>
      <c r="J125">
        <v>0</v>
      </c>
      <c r="K125">
        <v>0</v>
      </c>
      <c r="L125">
        <v>0</v>
      </c>
      <c r="M125" t="s">
        <v>626</v>
      </c>
      <c r="N125" t="s">
        <v>57</v>
      </c>
      <c r="O125" t="s">
        <v>58</v>
      </c>
      <c r="P125" t="s">
        <v>627</v>
      </c>
      <c r="Q125" t="s">
        <v>628</v>
      </c>
      <c r="R125" t="s">
        <v>61</v>
      </c>
      <c r="S125" t="s">
        <v>58</v>
      </c>
      <c r="T125" t="s">
        <v>627</v>
      </c>
      <c r="U125" t="s">
        <v>628</v>
      </c>
      <c r="V125" t="s">
        <v>56</v>
      </c>
      <c r="W125" t="s">
        <v>56</v>
      </c>
      <c r="X125" t="s">
        <v>56</v>
      </c>
      <c r="Y125" t="s">
        <v>62</v>
      </c>
      <c r="Z125" t="s">
        <v>63</v>
      </c>
      <c r="AA125" t="s">
        <v>64</v>
      </c>
      <c r="AB125">
        <v>1</v>
      </c>
      <c r="AC125" t="s">
        <v>84</v>
      </c>
      <c r="AD125" t="s">
        <v>66</v>
      </c>
      <c r="AE125" t="s">
        <v>85</v>
      </c>
      <c r="AF125" t="s">
        <v>68</v>
      </c>
      <c r="AG125">
        <v>34981.11</v>
      </c>
      <c r="AH125" t="s">
        <v>69</v>
      </c>
      <c r="AI125" t="s">
        <v>536</v>
      </c>
      <c r="AJ125" t="s">
        <v>363</v>
      </c>
      <c r="AK125" t="s">
        <v>72</v>
      </c>
      <c r="AL125" t="s">
        <v>73</v>
      </c>
      <c r="AM125" t="s">
        <v>73</v>
      </c>
      <c r="AN125" t="s">
        <v>56</v>
      </c>
    </row>
    <row r="126" spans="1:40" x14ac:dyDescent="0.25">
      <c r="A126" t="s">
        <v>1710</v>
      </c>
      <c r="B126" t="s">
        <v>5</v>
      </c>
      <c r="C126">
        <v>1804.5852239999999</v>
      </c>
      <c r="D126" t="s">
        <v>56</v>
      </c>
      <c r="E126" t="s">
        <v>56</v>
      </c>
      <c r="F126">
        <v>-44920.73</v>
      </c>
      <c r="G126" t="s">
        <v>1710</v>
      </c>
      <c r="H126" t="s">
        <v>7</v>
      </c>
      <c r="I126">
        <v>55764.43</v>
      </c>
      <c r="J126">
        <v>2739.7126069999999</v>
      </c>
      <c r="K126">
        <v>0</v>
      </c>
      <c r="L126">
        <v>0</v>
      </c>
      <c r="M126" t="s">
        <v>1710</v>
      </c>
      <c r="N126" t="s">
        <v>57</v>
      </c>
      <c r="O126" t="s">
        <v>58</v>
      </c>
      <c r="P126" t="s">
        <v>1711</v>
      </c>
      <c r="Q126" t="s">
        <v>1712</v>
      </c>
      <c r="R126" t="s">
        <v>61</v>
      </c>
      <c r="S126" t="s">
        <v>58</v>
      </c>
      <c r="T126" t="s">
        <v>1711</v>
      </c>
      <c r="U126" t="s">
        <v>1712</v>
      </c>
      <c r="V126" t="s">
        <v>56</v>
      </c>
      <c r="W126" t="s">
        <v>56</v>
      </c>
      <c r="X126" t="s">
        <v>56</v>
      </c>
      <c r="Y126" t="s">
        <v>62</v>
      </c>
      <c r="Z126" t="s">
        <v>63</v>
      </c>
      <c r="AA126" t="s">
        <v>64</v>
      </c>
      <c r="AB126">
        <v>1</v>
      </c>
      <c r="AC126" t="s">
        <v>65</v>
      </c>
      <c r="AD126" t="s">
        <v>66</v>
      </c>
      <c r="AE126" t="s">
        <v>113</v>
      </c>
      <c r="AF126" t="s">
        <v>68</v>
      </c>
      <c r="AG126">
        <v>68048.759999999995</v>
      </c>
      <c r="AH126" t="s">
        <v>69</v>
      </c>
      <c r="AI126" t="s">
        <v>163</v>
      </c>
      <c r="AJ126" t="s">
        <v>433</v>
      </c>
      <c r="AK126" t="s">
        <v>72</v>
      </c>
      <c r="AL126" t="s">
        <v>73</v>
      </c>
      <c r="AM126" t="s">
        <v>73</v>
      </c>
      <c r="AN126" t="s">
        <v>116</v>
      </c>
    </row>
    <row r="127" spans="1:40" x14ac:dyDescent="0.25">
      <c r="A127" t="s">
        <v>1611</v>
      </c>
      <c r="B127" t="s">
        <v>5</v>
      </c>
      <c r="C127" s="2">
        <v>1787.900848</v>
      </c>
      <c r="D127" t="s">
        <v>56</v>
      </c>
      <c r="E127" t="s">
        <v>56</v>
      </c>
      <c r="F127">
        <v>-24643.56</v>
      </c>
      <c r="G127" t="s">
        <v>1611</v>
      </c>
      <c r="H127" t="s">
        <v>7</v>
      </c>
      <c r="I127">
        <v>28285.57</v>
      </c>
      <c r="J127">
        <v>0</v>
      </c>
      <c r="K127">
        <v>0</v>
      </c>
      <c r="L127">
        <v>0</v>
      </c>
      <c r="M127" t="s">
        <v>1611</v>
      </c>
      <c r="N127" t="s">
        <v>57</v>
      </c>
      <c r="O127" t="s">
        <v>58</v>
      </c>
      <c r="P127" t="s">
        <v>1612</v>
      </c>
      <c r="Q127" t="s">
        <v>1613</v>
      </c>
      <c r="R127" t="s">
        <v>61</v>
      </c>
      <c r="S127" t="s">
        <v>58</v>
      </c>
      <c r="T127" t="s">
        <v>1612</v>
      </c>
      <c r="U127" t="s">
        <v>1613</v>
      </c>
      <c r="V127" t="s">
        <v>56</v>
      </c>
      <c r="W127" t="s">
        <v>56</v>
      </c>
      <c r="X127" t="s">
        <v>56</v>
      </c>
      <c r="Y127" t="s">
        <v>62</v>
      </c>
      <c r="Z127" t="s">
        <v>63</v>
      </c>
      <c r="AA127" t="s">
        <v>64</v>
      </c>
      <c r="AB127">
        <v>1</v>
      </c>
      <c r="AC127" t="s">
        <v>84</v>
      </c>
      <c r="AD127" t="s">
        <v>66</v>
      </c>
      <c r="AE127" t="s">
        <v>85</v>
      </c>
      <c r="AF127" t="s">
        <v>68</v>
      </c>
      <c r="AG127">
        <v>37464.6</v>
      </c>
      <c r="AH127" t="s">
        <v>69</v>
      </c>
      <c r="AI127" t="s">
        <v>323</v>
      </c>
      <c r="AJ127" t="s">
        <v>470</v>
      </c>
      <c r="AK127" t="s">
        <v>72</v>
      </c>
      <c r="AL127" t="s">
        <v>73</v>
      </c>
      <c r="AM127" t="s">
        <v>73</v>
      </c>
      <c r="AN127" t="s">
        <v>56</v>
      </c>
    </row>
    <row r="128" spans="1:40" x14ac:dyDescent="0.25">
      <c r="A128" t="s">
        <v>1025</v>
      </c>
      <c r="B128" t="s">
        <v>5</v>
      </c>
      <c r="C128" s="2">
        <v>1750.724097</v>
      </c>
      <c r="D128" t="s">
        <v>56</v>
      </c>
      <c r="E128" t="s">
        <v>56</v>
      </c>
      <c r="F128">
        <v>-17711.560000000001</v>
      </c>
      <c r="G128" t="s">
        <v>1025</v>
      </c>
      <c r="H128" t="s">
        <v>7</v>
      </c>
      <c r="I128">
        <v>19635.939999999999</v>
      </c>
      <c r="J128">
        <v>0</v>
      </c>
      <c r="K128">
        <v>0</v>
      </c>
      <c r="L128">
        <v>0</v>
      </c>
      <c r="M128" t="s">
        <v>1025</v>
      </c>
      <c r="N128" t="s">
        <v>57</v>
      </c>
      <c r="O128" t="s">
        <v>58</v>
      </c>
      <c r="P128" t="s">
        <v>1026</v>
      </c>
      <c r="Q128" t="s">
        <v>1027</v>
      </c>
      <c r="R128" t="s">
        <v>61</v>
      </c>
      <c r="S128" t="s">
        <v>58</v>
      </c>
      <c r="T128" t="s">
        <v>1026</v>
      </c>
      <c r="U128" t="s">
        <v>1027</v>
      </c>
      <c r="V128" t="s">
        <v>56</v>
      </c>
      <c r="W128" t="s">
        <v>56</v>
      </c>
      <c r="X128" t="s">
        <v>56</v>
      </c>
      <c r="Y128" t="s">
        <v>62</v>
      </c>
      <c r="Z128" t="s">
        <v>63</v>
      </c>
      <c r="AA128" t="s">
        <v>64</v>
      </c>
      <c r="AB128">
        <v>1</v>
      </c>
      <c r="AC128" t="s">
        <v>78</v>
      </c>
      <c r="AD128" t="s">
        <v>66</v>
      </c>
      <c r="AE128" t="s">
        <v>85</v>
      </c>
      <c r="AF128" t="s">
        <v>68</v>
      </c>
      <c r="AG128">
        <v>27497.919999999998</v>
      </c>
      <c r="AH128" t="s">
        <v>69</v>
      </c>
      <c r="AI128" t="s">
        <v>297</v>
      </c>
      <c r="AJ128" t="s">
        <v>182</v>
      </c>
      <c r="AK128" t="s">
        <v>72</v>
      </c>
      <c r="AL128" t="s">
        <v>73</v>
      </c>
      <c r="AM128" t="s">
        <v>73</v>
      </c>
      <c r="AN128" t="s">
        <v>56</v>
      </c>
    </row>
    <row r="129" spans="1:40" x14ac:dyDescent="0.25">
      <c r="A129" t="s">
        <v>2319</v>
      </c>
      <c r="B129" t="s">
        <v>5</v>
      </c>
      <c r="C129" s="2">
        <v>1735.5977600000001</v>
      </c>
      <c r="D129" t="s">
        <v>56</v>
      </c>
      <c r="E129" t="s">
        <v>56</v>
      </c>
      <c r="F129">
        <v>-12749.41</v>
      </c>
      <c r="G129" t="s">
        <v>2319</v>
      </c>
      <c r="H129" t="s">
        <v>7</v>
      </c>
      <c r="I129">
        <v>15809.22</v>
      </c>
      <c r="J129">
        <v>0</v>
      </c>
      <c r="K129">
        <v>0</v>
      </c>
      <c r="L129">
        <v>0</v>
      </c>
      <c r="M129" t="s">
        <v>2319</v>
      </c>
      <c r="N129" t="s">
        <v>57</v>
      </c>
      <c r="O129" t="s">
        <v>58</v>
      </c>
      <c r="P129" t="s">
        <v>2320</v>
      </c>
      <c r="Q129" t="s">
        <v>2321</v>
      </c>
      <c r="R129" t="s">
        <v>61</v>
      </c>
      <c r="S129" t="s">
        <v>58</v>
      </c>
      <c r="T129" t="s">
        <v>2320</v>
      </c>
      <c r="U129" t="s">
        <v>2321</v>
      </c>
      <c r="V129" t="s">
        <v>56</v>
      </c>
      <c r="W129" t="s">
        <v>56</v>
      </c>
      <c r="X129" t="s">
        <v>56</v>
      </c>
      <c r="Y129" t="s">
        <v>62</v>
      </c>
      <c r="Z129" t="s">
        <v>63</v>
      </c>
      <c r="AA129" t="s">
        <v>64</v>
      </c>
      <c r="AB129">
        <v>1</v>
      </c>
      <c r="AC129" t="s">
        <v>78</v>
      </c>
      <c r="AD129" t="s">
        <v>66</v>
      </c>
      <c r="AE129" t="s">
        <v>289</v>
      </c>
      <c r="AF129" t="s">
        <v>103</v>
      </c>
      <c r="AG129">
        <v>24700</v>
      </c>
      <c r="AH129" t="s">
        <v>69</v>
      </c>
      <c r="AI129" t="s">
        <v>70</v>
      </c>
      <c r="AJ129" t="s">
        <v>485</v>
      </c>
      <c r="AK129" t="s">
        <v>99</v>
      </c>
      <c r="AL129" t="s">
        <v>73</v>
      </c>
      <c r="AM129" t="s">
        <v>73</v>
      </c>
      <c r="AN129" t="s">
        <v>56</v>
      </c>
    </row>
    <row r="130" spans="1:40" x14ac:dyDescent="0.25">
      <c r="A130" t="s">
        <v>1257</v>
      </c>
      <c r="B130" t="s">
        <v>5</v>
      </c>
      <c r="C130" s="2">
        <v>1734.58851</v>
      </c>
      <c r="D130">
        <v>13.084208</v>
      </c>
      <c r="E130" t="s">
        <v>56</v>
      </c>
      <c r="F130">
        <v>-31382.16</v>
      </c>
      <c r="G130" t="s">
        <v>1257</v>
      </c>
      <c r="H130" t="s">
        <v>7</v>
      </c>
      <c r="I130">
        <v>35269.42</v>
      </c>
      <c r="J130">
        <v>0</v>
      </c>
      <c r="K130">
        <v>0</v>
      </c>
      <c r="L130">
        <v>0</v>
      </c>
      <c r="M130" t="s">
        <v>1257</v>
      </c>
      <c r="N130" t="s">
        <v>57</v>
      </c>
      <c r="O130" t="s">
        <v>58</v>
      </c>
      <c r="P130" t="s">
        <v>1258</v>
      </c>
      <c r="Q130" t="s">
        <v>1259</v>
      </c>
      <c r="R130" t="s">
        <v>61</v>
      </c>
      <c r="S130" t="s">
        <v>58</v>
      </c>
      <c r="T130" t="s">
        <v>1258</v>
      </c>
      <c r="U130" t="s">
        <v>1259</v>
      </c>
      <c r="V130" t="s">
        <v>56</v>
      </c>
      <c r="W130" t="s">
        <v>56</v>
      </c>
      <c r="X130" t="s">
        <v>56</v>
      </c>
      <c r="Y130" t="s">
        <v>62</v>
      </c>
      <c r="Z130" t="s">
        <v>63</v>
      </c>
      <c r="AA130" t="s">
        <v>64</v>
      </c>
      <c r="AB130">
        <v>1</v>
      </c>
      <c r="AC130" t="s">
        <v>78</v>
      </c>
      <c r="AD130" t="s">
        <v>66</v>
      </c>
      <c r="AE130" t="s">
        <v>67</v>
      </c>
      <c r="AF130" t="s">
        <v>367</v>
      </c>
      <c r="AG130">
        <v>42000</v>
      </c>
      <c r="AH130" t="s">
        <v>69</v>
      </c>
      <c r="AI130" t="s">
        <v>297</v>
      </c>
      <c r="AJ130" t="s">
        <v>240</v>
      </c>
      <c r="AK130" t="s">
        <v>99</v>
      </c>
      <c r="AL130" t="s">
        <v>281</v>
      </c>
      <c r="AM130" t="s">
        <v>73</v>
      </c>
      <c r="AN130" t="s">
        <v>74</v>
      </c>
    </row>
    <row r="131" spans="1:40" x14ac:dyDescent="0.25">
      <c r="A131" t="s">
        <v>1860</v>
      </c>
      <c r="B131" t="s">
        <v>5</v>
      </c>
      <c r="C131" s="2">
        <v>1730.0228119999999</v>
      </c>
      <c r="D131" t="s">
        <v>56</v>
      </c>
      <c r="E131" t="s">
        <v>56</v>
      </c>
      <c r="F131">
        <v>-40440.71</v>
      </c>
      <c r="G131" t="s">
        <v>1860</v>
      </c>
      <c r="H131" t="s">
        <v>7</v>
      </c>
      <c r="I131">
        <v>43974.15</v>
      </c>
      <c r="J131">
        <v>0</v>
      </c>
      <c r="K131">
        <v>0</v>
      </c>
      <c r="L131">
        <v>0</v>
      </c>
      <c r="M131" t="s">
        <v>1860</v>
      </c>
      <c r="N131" t="s">
        <v>57</v>
      </c>
      <c r="O131" t="s">
        <v>58</v>
      </c>
      <c r="P131" t="s">
        <v>1861</v>
      </c>
      <c r="Q131" t="s">
        <v>1862</v>
      </c>
      <c r="R131" t="s">
        <v>61</v>
      </c>
      <c r="S131" t="s">
        <v>58</v>
      </c>
      <c r="T131" t="s">
        <v>1861</v>
      </c>
      <c r="U131" t="s">
        <v>1862</v>
      </c>
      <c r="V131" t="s">
        <v>56</v>
      </c>
      <c r="W131" t="s">
        <v>56</v>
      </c>
      <c r="X131" t="s">
        <v>56</v>
      </c>
      <c r="Y131" t="s">
        <v>62</v>
      </c>
      <c r="Z131" t="s">
        <v>63</v>
      </c>
      <c r="AA131" t="s">
        <v>64</v>
      </c>
      <c r="AB131">
        <v>1</v>
      </c>
      <c r="AC131" t="s">
        <v>84</v>
      </c>
      <c r="AD131" t="s">
        <v>66</v>
      </c>
      <c r="AE131" t="s">
        <v>289</v>
      </c>
      <c r="AF131" t="s">
        <v>86</v>
      </c>
      <c r="AG131">
        <v>63902.44</v>
      </c>
      <c r="AH131" t="s">
        <v>69</v>
      </c>
      <c r="AI131" t="s">
        <v>128</v>
      </c>
      <c r="AJ131" t="s">
        <v>396</v>
      </c>
      <c r="AK131" t="s">
        <v>72</v>
      </c>
      <c r="AL131" t="s">
        <v>73</v>
      </c>
      <c r="AM131" t="s">
        <v>73</v>
      </c>
      <c r="AN131" t="s">
        <v>56</v>
      </c>
    </row>
    <row r="132" spans="1:40" x14ac:dyDescent="0.25">
      <c r="A132" t="s">
        <v>2078</v>
      </c>
      <c r="B132" t="s">
        <v>5</v>
      </c>
      <c r="C132" s="2">
        <v>1725.8359620000001</v>
      </c>
      <c r="D132">
        <v>1465.9815599999999</v>
      </c>
      <c r="E132" t="s">
        <v>56</v>
      </c>
      <c r="F132">
        <v>-52046.86</v>
      </c>
      <c r="G132" t="s">
        <v>2078</v>
      </c>
      <c r="H132" t="s">
        <v>7</v>
      </c>
      <c r="I132">
        <v>61988.61</v>
      </c>
      <c r="J132">
        <v>0</v>
      </c>
      <c r="K132">
        <v>0</v>
      </c>
      <c r="L132">
        <v>0</v>
      </c>
      <c r="M132" t="s">
        <v>2078</v>
      </c>
      <c r="N132" t="s">
        <v>57</v>
      </c>
      <c r="O132" t="s">
        <v>58</v>
      </c>
      <c r="P132" t="s">
        <v>2079</v>
      </c>
      <c r="Q132" t="s">
        <v>819</v>
      </c>
      <c r="R132" t="s">
        <v>61</v>
      </c>
      <c r="S132" t="s">
        <v>58</v>
      </c>
      <c r="T132" t="s">
        <v>2079</v>
      </c>
      <c r="U132" t="s">
        <v>819</v>
      </c>
      <c r="V132" t="s">
        <v>56</v>
      </c>
      <c r="W132" t="s">
        <v>56</v>
      </c>
      <c r="X132" t="s">
        <v>56</v>
      </c>
      <c r="Y132" t="s">
        <v>62</v>
      </c>
      <c r="Z132" t="s">
        <v>63</v>
      </c>
      <c r="AA132" t="s">
        <v>64</v>
      </c>
      <c r="AB132">
        <v>1</v>
      </c>
      <c r="AC132" t="s">
        <v>147</v>
      </c>
      <c r="AD132" t="s">
        <v>66</v>
      </c>
      <c r="AE132" t="s">
        <v>67</v>
      </c>
      <c r="AF132" t="s">
        <v>68</v>
      </c>
      <c r="AG132">
        <v>0</v>
      </c>
      <c r="AH132" t="s">
        <v>69</v>
      </c>
      <c r="AI132" t="s">
        <v>536</v>
      </c>
      <c r="AJ132" t="s">
        <v>148</v>
      </c>
      <c r="AK132" t="s">
        <v>72</v>
      </c>
      <c r="AL132" t="s">
        <v>73</v>
      </c>
      <c r="AM132" t="s">
        <v>73</v>
      </c>
      <c r="AN132" t="s">
        <v>74</v>
      </c>
    </row>
    <row r="133" spans="1:40" x14ac:dyDescent="0.25">
      <c r="A133" t="s">
        <v>1199</v>
      </c>
      <c r="B133" t="s">
        <v>5</v>
      </c>
      <c r="C133" s="2">
        <v>1719.3411679999999</v>
      </c>
      <c r="D133" t="s">
        <v>56</v>
      </c>
      <c r="E133" t="s">
        <v>56</v>
      </c>
      <c r="F133">
        <v>-27513.73</v>
      </c>
      <c r="G133" t="s">
        <v>1199</v>
      </c>
      <c r="H133" t="s">
        <v>7</v>
      </c>
      <c r="I133">
        <v>31690.73</v>
      </c>
      <c r="J133">
        <v>0</v>
      </c>
      <c r="K133">
        <v>0</v>
      </c>
      <c r="L133">
        <v>0</v>
      </c>
      <c r="M133" t="s">
        <v>1199</v>
      </c>
      <c r="N133" t="s">
        <v>57</v>
      </c>
      <c r="O133" t="s">
        <v>58</v>
      </c>
      <c r="P133" t="s">
        <v>1200</v>
      </c>
      <c r="Q133" t="s">
        <v>1201</v>
      </c>
      <c r="R133" t="s">
        <v>61</v>
      </c>
      <c r="S133" t="s">
        <v>58</v>
      </c>
      <c r="T133" t="s">
        <v>1200</v>
      </c>
      <c r="U133" t="s">
        <v>1201</v>
      </c>
      <c r="V133" t="s">
        <v>56</v>
      </c>
      <c r="W133" t="s">
        <v>56</v>
      </c>
      <c r="X133" t="s">
        <v>56</v>
      </c>
      <c r="Y133" t="s">
        <v>62</v>
      </c>
      <c r="Z133" t="s">
        <v>63</v>
      </c>
      <c r="AA133" t="s">
        <v>64</v>
      </c>
      <c r="AB133">
        <v>1</v>
      </c>
      <c r="AC133" t="s">
        <v>120</v>
      </c>
      <c r="AD133" t="s">
        <v>66</v>
      </c>
      <c r="AE133" t="s">
        <v>85</v>
      </c>
      <c r="AF133" t="s">
        <v>103</v>
      </c>
      <c r="AG133">
        <v>43495.93</v>
      </c>
      <c r="AH133" t="s">
        <v>69</v>
      </c>
      <c r="AI133" t="s">
        <v>355</v>
      </c>
      <c r="AJ133" t="s">
        <v>182</v>
      </c>
      <c r="AK133" t="s">
        <v>72</v>
      </c>
      <c r="AL133" t="s">
        <v>73</v>
      </c>
      <c r="AM133" t="s">
        <v>73</v>
      </c>
      <c r="AN133" t="s">
        <v>56</v>
      </c>
    </row>
    <row r="134" spans="1:40" x14ac:dyDescent="0.25">
      <c r="A134" t="s">
        <v>1617</v>
      </c>
      <c r="B134" t="s">
        <v>5</v>
      </c>
      <c r="C134" s="2">
        <v>1714.192589</v>
      </c>
      <c r="D134" t="s">
        <v>56</v>
      </c>
      <c r="E134" t="s">
        <v>56</v>
      </c>
      <c r="F134">
        <v>-27682.61</v>
      </c>
      <c r="G134" t="s">
        <v>1617</v>
      </c>
      <c r="H134" t="s">
        <v>7</v>
      </c>
      <c r="I134">
        <v>31559.42</v>
      </c>
      <c r="J134">
        <v>0</v>
      </c>
      <c r="K134">
        <v>0</v>
      </c>
      <c r="L134">
        <v>0</v>
      </c>
      <c r="M134" t="s">
        <v>1617</v>
      </c>
      <c r="N134" t="s">
        <v>57</v>
      </c>
      <c r="O134" t="s">
        <v>58</v>
      </c>
      <c r="P134" t="s">
        <v>1618</v>
      </c>
      <c r="Q134" t="s">
        <v>1619</v>
      </c>
      <c r="R134" t="s">
        <v>61</v>
      </c>
      <c r="S134" t="s">
        <v>58</v>
      </c>
      <c r="T134" t="s">
        <v>1618</v>
      </c>
      <c r="U134" t="s">
        <v>1619</v>
      </c>
      <c r="V134" t="s">
        <v>56</v>
      </c>
      <c r="W134" t="s">
        <v>56</v>
      </c>
      <c r="X134" t="s">
        <v>56</v>
      </c>
      <c r="Y134" t="s">
        <v>62</v>
      </c>
      <c r="Z134" t="s">
        <v>63</v>
      </c>
      <c r="AA134" t="s">
        <v>64</v>
      </c>
      <c r="AB134">
        <v>1</v>
      </c>
      <c r="AC134" t="s">
        <v>84</v>
      </c>
      <c r="AD134" t="s">
        <v>66</v>
      </c>
      <c r="AE134" t="s">
        <v>85</v>
      </c>
      <c r="AF134" t="s">
        <v>68</v>
      </c>
      <c r="AG134">
        <v>53990</v>
      </c>
      <c r="AH134" t="s">
        <v>69</v>
      </c>
      <c r="AI134" t="s">
        <v>97</v>
      </c>
      <c r="AJ134" t="s">
        <v>679</v>
      </c>
      <c r="AK134" t="s">
        <v>99</v>
      </c>
      <c r="AL134" t="s">
        <v>73</v>
      </c>
      <c r="AM134" t="s">
        <v>73</v>
      </c>
      <c r="AN134" t="s">
        <v>56</v>
      </c>
    </row>
    <row r="135" spans="1:40" x14ac:dyDescent="0.25">
      <c r="A135" t="s">
        <v>178</v>
      </c>
      <c r="B135" t="s">
        <v>5</v>
      </c>
      <c r="C135" s="2">
        <v>1701.367947</v>
      </c>
      <c r="D135" t="s">
        <v>56</v>
      </c>
      <c r="E135" t="s">
        <v>56</v>
      </c>
      <c r="F135">
        <v>-21373.759999999998</v>
      </c>
      <c r="G135" t="s">
        <v>178</v>
      </c>
      <c r="H135" t="s">
        <v>7</v>
      </c>
      <c r="I135">
        <v>24558.02</v>
      </c>
      <c r="J135">
        <v>0</v>
      </c>
      <c r="K135">
        <v>0</v>
      </c>
      <c r="L135">
        <v>0</v>
      </c>
      <c r="M135" t="s">
        <v>178</v>
      </c>
      <c r="N135" t="s">
        <v>57</v>
      </c>
      <c r="O135" t="s">
        <v>58</v>
      </c>
      <c r="P135" t="s">
        <v>179</v>
      </c>
      <c r="Q135" t="s">
        <v>180</v>
      </c>
      <c r="R135" t="s">
        <v>61</v>
      </c>
      <c r="S135" t="s">
        <v>58</v>
      </c>
      <c r="T135" t="s">
        <v>179</v>
      </c>
      <c r="U135" t="s">
        <v>180</v>
      </c>
      <c r="V135" t="s">
        <v>56</v>
      </c>
      <c r="W135" t="s">
        <v>56</v>
      </c>
      <c r="X135" t="s">
        <v>56</v>
      </c>
      <c r="Y135" t="s">
        <v>62</v>
      </c>
      <c r="Z135" t="s">
        <v>63</v>
      </c>
      <c r="AA135" t="s">
        <v>64</v>
      </c>
      <c r="AB135">
        <v>1</v>
      </c>
      <c r="AC135" t="s">
        <v>84</v>
      </c>
      <c r="AD135" t="s">
        <v>66</v>
      </c>
      <c r="AE135" t="s">
        <v>85</v>
      </c>
      <c r="AF135" t="s">
        <v>68</v>
      </c>
      <c r="AG135">
        <v>34146.339999999997</v>
      </c>
      <c r="AH135" t="s">
        <v>69</v>
      </c>
      <c r="AI135" t="s">
        <v>181</v>
      </c>
      <c r="AJ135" t="s">
        <v>182</v>
      </c>
      <c r="AK135" t="s">
        <v>72</v>
      </c>
      <c r="AL135" t="s">
        <v>73</v>
      </c>
      <c r="AM135" t="s">
        <v>73</v>
      </c>
      <c r="AN135" t="s">
        <v>56</v>
      </c>
    </row>
    <row r="136" spans="1:40" x14ac:dyDescent="0.25">
      <c r="A136" t="s">
        <v>2088</v>
      </c>
      <c r="B136" t="s">
        <v>5</v>
      </c>
      <c r="C136">
        <v>1696.176352</v>
      </c>
      <c r="D136" t="s">
        <v>56</v>
      </c>
      <c r="E136" t="s">
        <v>56</v>
      </c>
      <c r="F136">
        <v>-21707.06</v>
      </c>
      <c r="G136" t="s">
        <v>2088</v>
      </c>
      <c r="H136" t="s">
        <v>7</v>
      </c>
      <c r="I136">
        <v>28392.78</v>
      </c>
      <c r="J136">
        <v>2713.2709770000001</v>
      </c>
      <c r="K136">
        <v>0</v>
      </c>
      <c r="L136">
        <v>0</v>
      </c>
      <c r="M136" t="s">
        <v>2088</v>
      </c>
      <c r="N136" t="s">
        <v>57</v>
      </c>
      <c r="O136" t="s">
        <v>58</v>
      </c>
      <c r="P136" t="s">
        <v>2089</v>
      </c>
      <c r="Q136" t="s">
        <v>2090</v>
      </c>
      <c r="R136" t="s">
        <v>61</v>
      </c>
      <c r="S136" t="s">
        <v>58</v>
      </c>
      <c r="T136" t="s">
        <v>2089</v>
      </c>
      <c r="U136" t="s">
        <v>2090</v>
      </c>
      <c r="V136" t="s">
        <v>56</v>
      </c>
      <c r="W136" t="s">
        <v>56</v>
      </c>
      <c r="X136" t="s">
        <v>56</v>
      </c>
      <c r="Y136" t="s">
        <v>62</v>
      </c>
      <c r="Z136" t="s">
        <v>63</v>
      </c>
      <c r="AA136" t="s">
        <v>64</v>
      </c>
      <c r="AB136">
        <v>1</v>
      </c>
      <c r="AC136" t="s">
        <v>84</v>
      </c>
      <c r="AD136" t="s">
        <v>66</v>
      </c>
      <c r="AE136" t="s">
        <v>113</v>
      </c>
      <c r="AF136" t="s">
        <v>68</v>
      </c>
      <c r="AG136">
        <v>34984.89</v>
      </c>
      <c r="AH136" t="s">
        <v>69</v>
      </c>
      <c r="AI136" t="s">
        <v>114</v>
      </c>
      <c r="AJ136" t="s">
        <v>324</v>
      </c>
      <c r="AK136" t="s">
        <v>72</v>
      </c>
      <c r="AL136" t="s">
        <v>73</v>
      </c>
      <c r="AM136" t="s">
        <v>73</v>
      </c>
      <c r="AN136" t="s">
        <v>116</v>
      </c>
    </row>
    <row r="137" spans="1:40" x14ac:dyDescent="0.25">
      <c r="A137" t="s">
        <v>925</v>
      </c>
      <c r="B137" t="s">
        <v>5</v>
      </c>
      <c r="C137">
        <v>1691.61014</v>
      </c>
      <c r="D137" t="s">
        <v>56</v>
      </c>
      <c r="E137" t="s">
        <v>56</v>
      </c>
      <c r="F137">
        <v>-30933.919999999998</v>
      </c>
      <c r="G137" t="s">
        <v>925</v>
      </c>
      <c r="H137" t="s">
        <v>7</v>
      </c>
      <c r="I137">
        <v>36422.03</v>
      </c>
      <c r="J137">
        <v>2435.82944</v>
      </c>
      <c r="K137">
        <v>0</v>
      </c>
      <c r="L137">
        <v>0</v>
      </c>
      <c r="M137" t="s">
        <v>925</v>
      </c>
      <c r="N137" t="s">
        <v>57</v>
      </c>
      <c r="O137" t="s">
        <v>58</v>
      </c>
      <c r="P137" t="s">
        <v>926</v>
      </c>
      <c r="Q137" t="s">
        <v>927</v>
      </c>
      <c r="R137" t="s">
        <v>61</v>
      </c>
      <c r="S137" t="s">
        <v>58</v>
      </c>
      <c r="T137" t="s">
        <v>926</v>
      </c>
      <c r="U137" t="s">
        <v>927</v>
      </c>
      <c r="V137" t="s">
        <v>56</v>
      </c>
      <c r="W137" t="s">
        <v>56</v>
      </c>
      <c r="X137" t="s">
        <v>56</v>
      </c>
      <c r="Y137" t="s">
        <v>62</v>
      </c>
      <c r="Z137" t="s">
        <v>63</v>
      </c>
      <c r="AA137" t="s">
        <v>64</v>
      </c>
      <c r="AB137">
        <v>1</v>
      </c>
      <c r="AC137" t="s">
        <v>120</v>
      </c>
      <c r="AD137" t="s">
        <v>66</v>
      </c>
      <c r="AE137" t="s">
        <v>113</v>
      </c>
      <c r="AF137" t="s">
        <v>68</v>
      </c>
      <c r="AG137">
        <v>49990.31</v>
      </c>
      <c r="AH137" t="s">
        <v>69</v>
      </c>
      <c r="AI137" t="s">
        <v>297</v>
      </c>
      <c r="AJ137" t="s">
        <v>928</v>
      </c>
      <c r="AK137" t="s">
        <v>280</v>
      </c>
      <c r="AL137" t="s">
        <v>73</v>
      </c>
      <c r="AM137" t="s">
        <v>73</v>
      </c>
      <c r="AN137" t="s">
        <v>116</v>
      </c>
    </row>
    <row r="138" spans="1:40" x14ac:dyDescent="0.25">
      <c r="A138" t="s">
        <v>1376</v>
      </c>
      <c r="B138" t="s">
        <v>5</v>
      </c>
      <c r="C138" s="2">
        <v>1691.61014</v>
      </c>
      <c r="D138" t="s">
        <v>56</v>
      </c>
      <c r="E138" t="s">
        <v>56</v>
      </c>
      <c r="F138">
        <v>-30933.919999999998</v>
      </c>
      <c r="G138" t="s">
        <v>1376</v>
      </c>
      <c r="H138" t="s">
        <v>7</v>
      </c>
      <c r="I138">
        <v>36422.03</v>
      </c>
      <c r="J138">
        <v>0</v>
      </c>
      <c r="K138">
        <v>0</v>
      </c>
      <c r="L138">
        <v>0</v>
      </c>
      <c r="M138" t="s">
        <v>1376</v>
      </c>
      <c r="N138" t="s">
        <v>57</v>
      </c>
      <c r="O138" t="s">
        <v>58</v>
      </c>
      <c r="P138" t="s">
        <v>1377</v>
      </c>
      <c r="Q138" t="s">
        <v>927</v>
      </c>
      <c r="R138" t="s">
        <v>61</v>
      </c>
      <c r="S138" t="s">
        <v>58</v>
      </c>
      <c r="T138" t="s">
        <v>1377</v>
      </c>
      <c r="U138" t="s">
        <v>927</v>
      </c>
      <c r="V138" t="s">
        <v>56</v>
      </c>
      <c r="W138" t="s">
        <v>56</v>
      </c>
      <c r="X138" t="s">
        <v>56</v>
      </c>
      <c r="Y138" t="s">
        <v>62</v>
      </c>
      <c r="Z138" t="s">
        <v>63</v>
      </c>
      <c r="AA138" t="s">
        <v>64</v>
      </c>
      <c r="AB138">
        <v>1</v>
      </c>
      <c r="AC138" t="s">
        <v>120</v>
      </c>
      <c r="AD138" t="s">
        <v>66</v>
      </c>
      <c r="AE138" t="s">
        <v>113</v>
      </c>
      <c r="AF138" t="s">
        <v>68</v>
      </c>
      <c r="AG138">
        <v>0</v>
      </c>
      <c r="AH138" t="s">
        <v>69</v>
      </c>
      <c r="AI138" t="s">
        <v>297</v>
      </c>
      <c r="AJ138" t="s">
        <v>928</v>
      </c>
      <c r="AK138" t="s">
        <v>280</v>
      </c>
      <c r="AL138" t="s">
        <v>73</v>
      </c>
      <c r="AM138" t="s">
        <v>73</v>
      </c>
      <c r="AN138" t="s">
        <v>116</v>
      </c>
    </row>
    <row r="139" spans="1:40" x14ac:dyDescent="0.25">
      <c r="A139" t="s">
        <v>1885</v>
      </c>
      <c r="B139" t="s">
        <v>5</v>
      </c>
      <c r="C139" s="2">
        <v>1691.61014</v>
      </c>
      <c r="D139" t="s">
        <v>56</v>
      </c>
      <c r="E139" t="s">
        <v>56</v>
      </c>
      <c r="F139">
        <v>-30933.919999999998</v>
      </c>
      <c r="G139" t="s">
        <v>1885</v>
      </c>
      <c r="H139" t="s">
        <v>7</v>
      </c>
      <c r="I139">
        <v>36422.03</v>
      </c>
      <c r="J139">
        <v>0</v>
      </c>
      <c r="K139">
        <v>0</v>
      </c>
      <c r="L139">
        <v>0</v>
      </c>
      <c r="M139" t="s">
        <v>1885</v>
      </c>
      <c r="N139" t="s">
        <v>57</v>
      </c>
      <c r="O139" t="s">
        <v>58</v>
      </c>
      <c r="P139" t="s">
        <v>1886</v>
      </c>
      <c r="Q139" t="s">
        <v>927</v>
      </c>
      <c r="R139" t="s">
        <v>61</v>
      </c>
      <c r="S139" t="s">
        <v>58</v>
      </c>
      <c r="T139" t="s">
        <v>1886</v>
      </c>
      <c r="U139" t="s">
        <v>927</v>
      </c>
      <c r="V139" t="s">
        <v>56</v>
      </c>
      <c r="W139" t="s">
        <v>56</v>
      </c>
      <c r="X139" t="s">
        <v>56</v>
      </c>
      <c r="Y139" t="s">
        <v>62</v>
      </c>
      <c r="Z139" t="s">
        <v>63</v>
      </c>
      <c r="AA139" t="s">
        <v>64</v>
      </c>
      <c r="AB139">
        <v>1</v>
      </c>
      <c r="AC139" t="s">
        <v>120</v>
      </c>
      <c r="AD139" t="s">
        <v>66</v>
      </c>
      <c r="AE139" t="s">
        <v>113</v>
      </c>
      <c r="AF139" t="s">
        <v>68</v>
      </c>
      <c r="AG139">
        <v>0</v>
      </c>
      <c r="AH139" t="s">
        <v>69</v>
      </c>
      <c r="AI139" t="s">
        <v>297</v>
      </c>
      <c r="AJ139" t="s">
        <v>928</v>
      </c>
      <c r="AK139" t="s">
        <v>280</v>
      </c>
      <c r="AL139" t="s">
        <v>73</v>
      </c>
      <c r="AM139" t="s">
        <v>73</v>
      </c>
      <c r="AN139" t="s">
        <v>116</v>
      </c>
    </row>
    <row r="140" spans="1:40" x14ac:dyDescent="0.25">
      <c r="A140" t="s">
        <v>787</v>
      </c>
      <c r="B140" t="s">
        <v>5</v>
      </c>
      <c r="C140">
        <v>1679.421245</v>
      </c>
      <c r="D140" t="s">
        <v>56</v>
      </c>
      <c r="E140" t="s">
        <v>56</v>
      </c>
      <c r="F140">
        <v>-30714.51</v>
      </c>
      <c r="G140" t="s">
        <v>787</v>
      </c>
      <c r="H140" t="s">
        <v>7</v>
      </c>
      <c r="I140">
        <v>34462.720000000001</v>
      </c>
      <c r="J140">
        <v>2304.517276</v>
      </c>
      <c r="K140">
        <v>0</v>
      </c>
      <c r="L140">
        <v>0</v>
      </c>
      <c r="M140" t="s">
        <v>787</v>
      </c>
      <c r="N140" t="s">
        <v>57</v>
      </c>
      <c r="O140" t="s">
        <v>58</v>
      </c>
      <c r="P140" t="s">
        <v>788</v>
      </c>
      <c r="Q140" t="s">
        <v>789</v>
      </c>
      <c r="R140" t="s">
        <v>61</v>
      </c>
      <c r="S140" t="s">
        <v>58</v>
      </c>
      <c r="T140" t="s">
        <v>788</v>
      </c>
      <c r="U140" t="s">
        <v>789</v>
      </c>
      <c r="V140" t="s">
        <v>56</v>
      </c>
      <c r="W140" t="s">
        <v>56</v>
      </c>
      <c r="X140" t="s">
        <v>56</v>
      </c>
      <c r="Y140" t="s">
        <v>62</v>
      </c>
      <c r="Z140" t="s">
        <v>63</v>
      </c>
      <c r="AA140" t="s">
        <v>64</v>
      </c>
      <c r="AB140">
        <v>1</v>
      </c>
      <c r="AC140" t="s">
        <v>65</v>
      </c>
      <c r="AD140" t="s">
        <v>66</v>
      </c>
      <c r="AE140" t="s">
        <v>113</v>
      </c>
      <c r="AF140" t="s">
        <v>68</v>
      </c>
      <c r="AG140">
        <v>49995.93</v>
      </c>
      <c r="AH140" t="s">
        <v>69</v>
      </c>
      <c r="AI140" t="s">
        <v>203</v>
      </c>
      <c r="AJ140" t="s">
        <v>133</v>
      </c>
      <c r="AK140" t="s">
        <v>72</v>
      </c>
      <c r="AL140" t="s">
        <v>73</v>
      </c>
      <c r="AM140" t="s">
        <v>73</v>
      </c>
      <c r="AN140" t="s">
        <v>116</v>
      </c>
    </row>
    <row r="141" spans="1:40" x14ac:dyDescent="0.25">
      <c r="A141" t="s">
        <v>2069</v>
      </c>
      <c r="B141" t="s">
        <v>5</v>
      </c>
      <c r="C141">
        <v>1665.9243550000001</v>
      </c>
      <c r="D141" t="s">
        <v>56</v>
      </c>
      <c r="E141" t="s">
        <v>56</v>
      </c>
      <c r="F141">
        <v>-22719.599999999999</v>
      </c>
      <c r="G141" t="s">
        <v>2069</v>
      </c>
      <c r="H141" t="s">
        <v>7</v>
      </c>
      <c r="I141">
        <v>25046.94</v>
      </c>
      <c r="J141">
        <v>2246.0374440000001</v>
      </c>
      <c r="K141">
        <v>0</v>
      </c>
      <c r="L141">
        <v>0</v>
      </c>
      <c r="M141" t="s">
        <v>2069</v>
      </c>
      <c r="N141" t="s">
        <v>57</v>
      </c>
      <c r="O141" t="s">
        <v>58</v>
      </c>
      <c r="P141" t="s">
        <v>2070</v>
      </c>
      <c r="Q141" t="s">
        <v>806</v>
      </c>
      <c r="R141" t="s">
        <v>61</v>
      </c>
      <c r="S141" t="s">
        <v>58</v>
      </c>
      <c r="T141" t="s">
        <v>2070</v>
      </c>
      <c r="U141" t="s">
        <v>806</v>
      </c>
      <c r="V141" t="s">
        <v>56</v>
      </c>
      <c r="W141" t="s">
        <v>56</v>
      </c>
      <c r="X141" t="s">
        <v>56</v>
      </c>
      <c r="Y141" t="s">
        <v>62</v>
      </c>
      <c r="Z141" t="s">
        <v>63</v>
      </c>
      <c r="AA141" t="s">
        <v>64</v>
      </c>
      <c r="AB141">
        <v>1</v>
      </c>
      <c r="AC141" t="s">
        <v>78</v>
      </c>
      <c r="AD141" t="s">
        <v>66</v>
      </c>
      <c r="AE141" t="s">
        <v>113</v>
      </c>
      <c r="AF141" t="s">
        <v>68</v>
      </c>
      <c r="AG141">
        <v>37281.74</v>
      </c>
      <c r="AH141" t="s">
        <v>69</v>
      </c>
      <c r="AI141" t="s">
        <v>491</v>
      </c>
      <c r="AJ141" t="s">
        <v>93</v>
      </c>
      <c r="AK141" t="s">
        <v>280</v>
      </c>
      <c r="AL141" t="s">
        <v>73</v>
      </c>
      <c r="AM141" t="s">
        <v>73</v>
      </c>
      <c r="AN141" t="s">
        <v>116</v>
      </c>
    </row>
    <row r="142" spans="1:40" x14ac:dyDescent="0.25">
      <c r="A142" t="s">
        <v>2057</v>
      </c>
      <c r="B142" t="s">
        <v>5</v>
      </c>
      <c r="C142" s="2">
        <v>1657.8747189999999</v>
      </c>
      <c r="D142" t="s">
        <v>56</v>
      </c>
      <c r="E142" t="s">
        <v>56</v>
      </c>
      <c r="F142">
        <v>-22789.200000000001</v>
      </c>
      <c r="G142" t="s">
        <v>2057</v>
      </c>
      <c r="H142" t="s">
        <v>7</v>
      </c>
      <c r="I142">
        <v>25477.17</v>
      </c>
      <c r="J142">
        <v>0</v>
      </c>
      <c r="K142">
        <v>0</v>
      </c>
      <c r="L142">
        <v>0</v>
      </c>
      <c r="M142" t="s">
        <v>2057</v>
      </c>
      <c r="N142" t="s">
        <v>57</v>
      </c>
      <c r="O142" t="s">
        <v>58</v>
      </c>
      <c r="P142" t="s">
        <v>2058</v>
      </c>
      <c r="Q142" t="s">
        <v>2059</v>
      </c>
      <c r="R142" t="s">
        <v>61</v>
      </c>
      <c r="S142" t="s">
        <v>58</v>
      </c>
      <c r="T142" t="s">
        <v>2058</v>
      </c>
      <c r="U142" t="s">
        <v>2059</v>
      </c>
      <c r="V142" t="s">
        <v>56</v>
      </c>
      <c r="W142" t="s">
        <v>56</v>
      </c>
      <c r="X142" t="s">
        <v>56</v>
      </c>
      <c r="Y142" t="s">
        <v>62</v>
      </c>
      <c r="Z142" t="s">
        <v>63</v>
      </c>
      <c r="AA142" t="s">
        <v>64</v>
      </c>
      <c r="AB142">
        <v>1</v>
      </c>
      <c r="AC142" t="s">
        <v>78</v>
      </c>
      <c r="AD142" t="s">
        <v>66</v>
      </c>
      <c r="AE142" t="s">
        <v>85</v>
      </c>
      <c r="AF142" t="s">
        <v>68</v>
      </c>
      <c r="AG142">
        <v>44085.64</v>
      </c>
      <c r="AH142" t="s">
        <v>69</v>
      </c>
      <c r="AI142" t="s">
        <v>79</v>
      </c>
      <c r="AJ142" t="s">
        <v>138</v>
      </c>
      <c r="AK142" t="s">
        <v>72</v>
      </c>
      <c r="AL142" t="s">
        <v>73</v>
      </c>
      <c r="AM142" t="s">
        <v>73</v>
      </c>
      <c r="AN142" t="s">
        <v>56</v>
      </c>
    </row>
    <row r="143" spans="1:40" x14ac:dyDescent="0.25">
      <c r="A143" t="s">
        <v>306</v>
      </c>
      <c r="B143" t="s">
        <v>5</v>
      </c>
      <c r="C143">
        <v>1648.0764509999999</v>
      </c>
      <c r="D143" t="s">
        <v>56</v>
      </c>
      <c r="E143" t="s">
        <v>56</v>
      </c>
      <c r="F143">
        <v>-16573.009999999998</v>
      </c>
      <c r="G143" t="s">
        <v>306</v>
      </c>
      <c r="H143" t="s">
        <v>7</v>
      </c>
      <c r="I143">
        <v>19851.14</v>
      </c>
      <c r="J143">
        <v>2414.2054090000001</v>
      </c>
      <c r="K143">
        <v>0</v>
      </c>
      <c r="L143">
        <v>0</v>
      </c>
      <c r="M143" t="s">
        <v>306</v>
      </c>
      <c r="N143" t="s">
        <v>57</v>
      </c>
      <c r="O143" t="s">
        <v>58</v>
      </c>
      <c r="P143" t="s">
        <v>307</v>
      </c>
      <c r="Q143" t="s">
        <v>308</v>
      </c>
      <c r="R143" t="s">
        <v>61</v>
      </c>
      <c r="S143" t="s">
        <v>58</v>
      </c>
      <c r="T143" t="s">
        <v>307</v>
      </c>
      <c r="U143" t="s">
        <v>308</v>
      </c>
      <c r="V143" t="s">
        <v>56</v>
      </c>
      <c r="W143" t="s">
        <v>56</v>
      </c>
      <c r="X143" t="s">
        <v>56</v>
      </c>
      <c r="Y143" t="s">
        <v>62</v>
      </c>
      <c r="Z143" t="s">
        <v>63</v>
      </c>
      <c r="AA143" t="s">
        <v>64</v>
      </c>
      <c r="AB143">
        <v>1</v>
      </c>
      <c r="AC143" t="s">
        <v>65</v>
      </c>
      <c r="AD143" t="s">
        <v>66</v>
      </c>
      <c r="AE143" t="s">
        <v>113</v>
      </c>
      <c r="AF143" t="s">
        <v>68</v>
      </c>
      <c r="AG143">
        <v>27490</v>
      </c>
      <c r="AH143" t="s">
        <v>69</v>
      </c>
      <c r="AI143" t="s">
        <v>297</v>
      </c>
      <c r="AJ143" t="s">
        <v>105</v>
      </c>
      <c r="AK143" t="s">
        <v>72</v>
      </c>
      <c r="AL143" t="s">
        <v>73</v>
      </c>
      <c r="AM143" t="s">
        <v>73</v>
      </c>
      <c r="AN143" t="s">
        <v>116</v>
      </c>
    </row>
    <row r="144" spans="1:40" x14ac:dyDescent="0.25">
      <c r="A144" t="s">
        <v>1013</v>
      </c>
      <c r="B144" t="s">
        <v>5</v>
      </c>
      <c r="C144">
        <v>1646.86933</v>
      </c>
      <c r="D144" t="s">
        <v>56</v>
      </c>
      <c r="E144" t="s">
        <v>56</v>
      </c>
      <c r="F144">
        <v>-30115.87</v>
      </c>
      <c r="G144" t="s">
        <v>1013</v>
      </c>
      <c r="H144" t="s">
        <v>7</v>
      </c>
      <c r="I144">
        <v>33515.67</v>
      </c>
      <c r="J144">
        <v>2241.4170960000001</v>
      </c>
      <c r="K144">
        <v>0</v>
      </c>
      <c r="L144">
        <v>0</v>
      </c>
      <c r="M144" t="s">
        <v>1013</v>
      </c>
      <c r="N144" t="s">
        <v>57</v>
      </c>
      <c r="O144" t="s">
        <v>58</v>
      </c>
      <c r="P144" t="s">
        <v>1014</v>
      </c>
      <c r="Q144" t="s">
        <v>1015</v>
      </c>
      <c r="R144" t="s">
        <v>61</v>
      </c>
      <c r="S144" t="s">
        <v>58</v>
      </c>
      <c r="T144" t="s">
        <v>1014</v>
      </c>
      <c r="U144" t="s">
        <v>1015</v>
      </c>
      <c r="V144" t="s">
        <v>56</v>
      </c>
      <c r="W144" t="s">
        <v>56</v>
      </c>
      <c r="X144" t="s">
        <v>56</v>
      </c>
      <c r="Y144" t="s">
        <v>62</v>
      </c>
      <c r="Z144" t="s">
        <v>63</v>
      </c>
      <c r="AA144" t="s">
        <v>64</v>
      </c>
      <c r="AB144">
        <v>1</v>
      </c>
      <c r="AC144" t="s">
        <v>78</v>
      </c>
      <c r="AD144" t="s">
        <v>66</v>
      </c>
      <c r="AE144" t="s">
        <v>113</v>
      </c>
      <c r="AF144" t="s">
        <v>68</v>
      </c>
      <c r="AG144">
        <v>49990.41</v>
      </c>
      <c r="AH144" t="s">
        <v>69</v>
      </c>
      <c r="AI144" t="s">
        <v>765</v>
      </c>
      <c r="AJ144" t="s">
        <v>93</v>
      </c>
      <c r="AK144" t="s">
        <v>72</v>
      </c>
      <c r="AL144" t="s">
        <v>73</v>
      </c>
      <c r="AM144" t="s">
        <v>73</v>
      </c>
      <c r="AN144" t="s">
        <v>116</v>
      </c>
    </row>
    <row r="145" spans="1:40" x14ac:dyDescent="0.25">
      <c r="A145" t="s">
        <v>774</v>
      </c>
      <c r="B145" t="s">
        <v>5</v>
      </c>
      <c r="C145" s="2">
        <v>1639.3543179999999</v>
      </c>
      <c r="D145" t="s">
        <v>56</v>
      </c>
      <c r="E145" t="s">
        <v>56</v>
      </c>
      <c r="F145">
        <v>-19957.28</v>
      </c>
      <c r="G145" t="s">
        <v>774</v>
      </c>
      <c r="H145" t="s">
        <v>7</v>
      </c>
      <c r="I145">
        <v>21914.79</v>
      </c>
      <c r="J145">
        <v>0</v>
      </c>
      <c r="K145">
        <v>0</v>
      </c>
      <c r="L145">
        <v>0</v>
      </c>
      <c r="M145" t="s">
        <v>774</v>
      </c>
      <c r="N145" t="s">
        <v>57</v>
      </c>
      <c r="O145" t="s">
        <v>58</v>
      </c>
      <c r="P145" t="s">
        <v>775</v>
      </c>
      <c r="Q145" t="s">
        <v>776</v>
      </c>
      <c r="R145" t="s">
        <v>61</v>
      </c>
      <c r="S145" t="s">
        <v>58</v>
      </c>
      <c r="T145" t="s">
        <v>775</v>
      </c>
      <c r="U145" t="s">
        <v>776</v>
      </c>
      <c r="V145" t="s">
        <v>56</v>
      </c>
      <c r="W145" t="s">
        <v>56</v>
      </c>
      <c r="X145" t="s">
        <v>56</v>
      </c>
      <c r="Y145" t="s">
        <v>62</v>
      </c>
      <c r="Z145" t="s">
        <v>63</v>
      </c>
      <c r="AA145" t="s">
        <v>64</v>
      </c>
      <c r="AB145">
        <v>1</v>
      </c>
      <c r="AC145" t="s">
        <v>65</v>
      </c>
      <c r="AD145" t="s">
        <v>66</v>
      </c>
      <c r="AE145" t="s">
        <v>85</v>
      </c>
      <c r="AF145" t="s">
        <v>68</v>
      </c>
      <c r="AG145">
        <v>33089.42</v>
      </c>
      <c r="AH145" t="s">
        <v>69</v>
      </c>
      <c r="AI145" t="s">
        <v>87</v>
      </c>
      <c r="AJ145" t="s">
        <v>470</v>
      </c>
      <c r="AK145" t="s">
        <v>72</v>
      </c>
      <c r="AL145" t="s">
        <v>73</v>
      </c>
      <c r="AM145" t="s">
        <v>73</v>
      </c>
      <c r="AN145" t="s">
        <v>56</v>
      </c>
    </row>
    <row r="146" spans="1:40" x14ac:dyDescent="0.25">
      <c r="A146" t="s">
        <v>1284</v>
      </c>
      <c r="B146" t="s">
        <v>5</v>
      </c>
      <c r="C146">
        <v>1625.25884</v>
      </c>
      <c r="D146" t="s">
        <v>56</v>
      </c>
      <c r="E146" t="s">
        <v>56</v>
      </c>
      <c r="F146">
        <v>-24167.759999999998</v>
      </c>
      <c r="G146" t="s">
        <v>1284</v>
      </c>
      <c r="H146" t="s">
        <v>7</v>
      </c>
      <c r="I146">
        <v>30458.18</v>
      </c>
      <c r="J146">
        <v>2036.5638349999999</v>
      </c>
      <c r="K146">
        <v>0</v>
      </c>
      <c r="L146">
        <v>0</v>
      </c>
      <c r="M146" t="s">
        <v>1284</v>
      </c>
      <c r="N146" t="s">
        <v>57</v>
      </c>
      <c r="O146" t="s">
        <v>58</v>
      </c>
      <c r="P146" t="s">
        <v>1285</v>
      </c>
      <c r="Q146" t="s">
        <v>1286</v>
      </c>
      <c r="R146" t="s">
        <v>61</v>
      </c>
      <c r="S146" t="s">
        <v>58</v>
      </c>
      <c r="T146" t="s">
        <v>1285</v>
      </c>
      <c r="U146" t="s">
        <v>1286</v>
      </c>
      <c r="V146" t="s">
        <v>56</v>
      </c>
      <c r="W146" t="s">
        <v>56</v>
      </c>
      <c r="X146" t="s">
        <v>56</v>
      </c>
      <c r="Y146" t="s">
        <v>62</v>
      </c>
      <c r="Z146" t="s">
        <v>63</v>
      </c>
      <c r="AA146" t="s">
        <v>64</v>
      </c>
      <c r="AB146">
        <v>1</v>
      </c>
      <c r="AC146" t="s">
        <v>84</v>
      </c>
      <c r="AD146" t="s">
        <v>66</v>
      </c>
      <c r="AE146" t="s">
        <v>113</v>
      </c>
      <c r="AF146" t="s">
        <v>68</v>
      </c>
      <c r="AG146">
        <v>50000</v>
      </c>
      <c r="AH146" t="s">
        <v>69</v>
      </c>
      <c r="AI146" t="s">
        <v>168</v>
      </c>
      <c r="AJ146" t="s">
        <v>833</v>
      </c>
      <c r="AK146" t="s">
        <v>99</v>
      </c>
      <c r="AL146" t="s">
        <v>73</v>
      </c>
      <c r="AM146" t="s">
        <v>73</v>
      </c>
      <c r="AN146" t="s">
        <v>116</v>
      </c>
    </row>
    <row r="147" spans="1:40" x14ac:dyDescent="0.25">
      <c r="A147" t="s">
        <v>232</v>
      </c>
      <c r="B147" t="s">
        <v>5</v>
      </c>
      <c r="C147">
        <v>1624.606524</v>
      </c>
      <c r="D147" t="s">
        <v>56</v>
      </c>
      <c r="E147" t="s">
        <v>56</v>
      </c>
      <c r="F147">
        <v>-24186.41</v>
      </c>
      <c r="G147" t="s">
        <v>232</v>
      </c>
      <c r="H147" t="s">
        <v>7</v>
      </c>
      <c r="I147">
        <v>26412.36</v>
      </c>
      <c r="J147">
        <v>2169.6746579999999</v>
      </c>
      <c r="K147">
        <v>0</v>
      </c>
      <c r="L147">
        <v>0</v>
      </c>
      <c r="M147" t="s">
        <v>232</v>
      </c>
      <c r="N147" t="s">
        <v>57</v>
      </c>
      <c r="O147" t="s">
        <v>58</v>
      </c>
      <c r="P147" t="s">
        <v>233</v>
      </c>
      <c r="Q147" t="s">
        <v>234</v>
      </c>
      <c r="R147" t="s">
        <v>61</v>
      </c>
      <c r="S147" t="s">
        <v>58</v>
      </c>
      <c r="T147" t="s">
        <v>233</v>
      </c>
      <c r="U147" t="s">
        <v>234</v>
      </c>
      <c r="V147" t="s">
        <v>56</v>
      </c>
      <c r="W147" t="s">
        <v>56</v>
      </c>
      <c r="X147" t="s">
        <v>56</v>
      </c>
      <c r="Y147" t="s">
        <v>62</v>
      </c>
      <c r="Z147" t="s">
        <v>63</v>
      </c>
      <c r="AA147" t="s">
        <v>64</v>
      </c>
      <c r="AB147">
        <v>1</v>
      </c>
      <c r="AC147" t="s">
        <v>78</v>
      </c>
      <c r="AD147" t="s">
        <v>66</v>
      </c>
      <c r="AE147" t="s">
        <v>113</v>
      </c>
      <c r="AF147" t="s">
        <v>235</v>
      </c>
      <c r="AG147">
        <v>40698.11</v>
      </c>
      <c r="AH147" t="s">
        <v>69</v>
      </c>
      <c r="AI147" t="s">
        <v>132</v>
      </c>
      <c r="AJ147" t="s">
        <v>236</v>
      </c>
      <c r="AK147" t="s">
        <v>72</v>
      </c>
      <c r="AL147" t="s">
        <v>73</v>
      </c>
      <c r="AM147" t="s">
        <v>73</v>
      </c>
      <c r="AN147" t="s">
        <v>116</v>
      </c>
    </row>
    <row r="148" spans="1:40" x14ac:dyDescent="0.25">
      <c r="A148" t="s">
        <v>1687</v>
      </c>
      <c r="B148" t="s">
        <v>5</v>
      </c>
      <c r="C148" s="2">
        <v>1619.458738</v>
      </c>
      <c r="D148" t="s">
        <v>56</v>
      </c>
      <c r="E148" t="s">
        <v>56</v>
      </c>
      <c r="F148">
        <v>-29790.07</v>
      </c>
      <c r="G148" t="s">
        <v>1687</v>
      </c>
      <c r="H148" t="s">
        <v>7</v>
      </c>
      <c r="I148">
        <v>33286.379999999997</v>
      </c>
      <c r="J148">
        <v>0</v>
      </c>
      <c r="K148">
        <v>0</v>
      </c>
      <c r="L148">
        <v>0</v>
      </c>
      <c r="M148" t="s">
        <v>1687</v>
      </c>
      <c r="N148" t="s">
        <v>57</v>
      </c>
      <c r="O148" t="s">
        <v>58</v>
      </c>
      <c r="P148" t="s">
        <v>1688</v>
      </c>
      <c r="Q148" t="s">
        <v>1689</v>
      </c>
      <c r="R148" t="s">
        <v>61</v>
      </c>
      <c r="S148" t="s">
        <v>58</v>
      </c>
      <c r="T148" t="s">
        <v>1688</v>
      </c>
      <c r="U148" t="s">
        <v>1689</v>
      </c>
      <c r="V148" t="s">
        <v>56</v>
      </c>
      <c r="W148" t="s">
        <v>56</v>
      </c>
      <c r="X148" t="s">
        <v>56</v>
      </c>
      <c r="Y148" t="s">
        <v>62</v>
      </c>
      <c r="Z148" t="s">
        <v>63</v>
      </c>
      <c r="AA148" t="s">
        <v>64</v>
      </c>
      <c r="AB148">
        <v>1</v>
      </c>
      <c r="AC148" t="s">
        <v>120</v>
      </c>
      <c r="AD148" t="s">
        <v>66</v>
      </c>
      <c r="AE148" t="s">
        <v>85</v>
      </c>
      <c r="AF148" t="s">
        <v>68</v>
      </c>
      <c r="AG148">
        <v>49999.18</v>
      </c>
      <c r="AH148" t="s">
        <v>69</v>
      </c>
      <c r="AI148" t="s">
        <v>122</v>
      </c>
      <c r="AJ148" t="s">
        <v>236</v>
      </c>
      <c r="AK148" t="s">
        <v>72</v>
      </c>
      <c r="AL148" t="s">
        <v>73</v>
      </c>
      <c r="AM148" t="s">
        <v>73</v>
      </c>
      <c r="AN148" t="s">
        <v>56</v>
      </c>
    </row>
    <row r="149" spans="1:40" x14ac:dyDescent="0.25">
      <c r="A149" t="s">
        <v>1581</v>
      </c>
      <c r="B149" t="s">
        <v>5</v>
      </c>
      <c r="C149" s="2">
        <v>1617.9208510000001</v>
      </c>
      <c r="D149" t="s">
        <v>56</v>
      </c>
      <c r="E149" t="s">
        <v>56</v>
      </c>
      <c r="F149">
        <v>-16361.5</v>
      </c>
      <c r="G149" t="s">
        <v>1581</v>
      </c>
      <c r="H149" t="s">
        <v>7</v>
      </c>
      <c r="I149">
        <v>18539.16</v>
      </c>
      <c r="J149">
        <v>0</v>
      </c>
      <c r="K149">
        <v>0</v>
      </c>
      <c r="L149">
        <v>0</v>
      </c>
      <c r="M149" t="s">
        <v>1581</v>
      </c>
      <c r="N149" t="s">
        <v>57</v>
      </c>
      <c r="O149" t="s">
        <v>58</v>
      </c>
      <c r="P149" t="s">
        <v>1582</v>
      </c>
      <c r="Q149" t="s">
        <v>1583</v>
      </c>
      <c r="R149" t="s">
        <v>61</v>
      </c>
      <c r="S149" t="s">
        <v>58</v>
      </c>
      <c r="T149" t="s">
        <v>1582</v>
      </c>
      <c r="U149" t="s">
        <v>1583</v>
      </c>
      <c r="V149" t="s">
        <v>56</v>
      </c>
      <c r="W149" t="s">
        <v>56</v>
      </c>
      <c r="X149" t="s">
        <v>56</v>
      </c>
      <c r="Y149" t="s">
        <v>62</v>
      </c>
      <c r="Z149" t="s">
        <v>63</v>
      </c>
      <c r="AA149" t="s">
        <v>64</v>
      </c>
      <c r="AB149">
        <v>1</v>
      </c>
      <c r="AC149" t="s">
        <v>120</v>
      </c>
      <c r="AD149" t="s">
        <v>66</v>
      </c>
      <c r="AE149" t="s">
        <v>85</v>
      </c>
      <c r="AF149" t="s">
        <v>68</v>
      </c>
      <c r="AG149">
        <v>27486.98</v>
      </c>
      <c r="AH149" t="s">
        <v>69</v>
      </c>
      <c r="AI149" t="s">
        <v>400</v>
      </c>
      <c r="AJ149" t="s">
        <v>359</v>
      </c>
      <c r="AK149" t="s">
        <v>72</v>
      </c>
      <c r="AL149" t="s">
        <v>73</v>
      </c>
      <c r="AM149" t="s">
        <v>73</v>
      </c>
      <c r="AN149" t="s">
        <v>56</v>
      </c>
    </row>
    <row r="150" spans="1:40" x14ac:dyDescent="0.25">
      <c r="A150" t="s">
        <v>383</v>
      </c>
      <c r="B150" t="s">
        <v>5</v>
      </c>
      <c r="C150">
        <v>1600.7095650000001</v>
      </c>
      <c r="D150" t="s">
        <v>56</v>
      </c>
      <c r="E150" t="s">
        <v>56</v>
      </c>
      <c r="F150">
        <v>-16094.76</v>
      </c>
      <c r="G150" t="s">
        <v>383</v>
      </c>
      <c r="H150" t="s">
        <v>7</v>
      </c>
      <c r="I150">
        <v>19374.72</v>
      </c>
      <c r="J150">
        <v>2356.534639</v>
      </c>
      <c r="K150">
        <v>0</v>
      </c>
      <c r="L150">
        <v>0</v>
      </c>
      <c r="M150" t="s">
        <v>383</v>
      </c>
      <c r="N150" t="s">
        <v>57</v>
      </c>
      <c r="O150" t="s">
        <v>58</v>
      </c>
      <c r="P150" t="s">
        <v>384</v>
      </c>
      <c r="Q150" t="s">
        <v>385</v>
      </c>
      <c r="R150" t="s">
        <v>61</v>
      </c>
      <c r="S150" t="s">
        <v>58</v>
      </c>
      <c r="T150" t="s">
        <v>384</v>
      </c>
      <c r="U150" t="s">
        <v>385</v>
      </c>
      <c r="V150" t="s">
        <v>56</v>
      </c>
      <c r="W150" t="s">
        <v>56</v>
      </c>
      <c r="X150" t="s">
        <v>56</v>
      </c>
      <c r="Y150" t="s">
        <v>62</v>
      </c>
      <c r="Z150" t="s">
        <v>63</v>
      </c>
      <c r="AA150" t="s">
        <v>64</v>
      </c>
      <c r="AB150">
        <v>1</v>
      </c>
      <c r="AC150" t="s">
        <v>120</v>
      </c>
      <c r="AD150" t="s">
        <v>66</v>
      </c>
      <c r="AE150" t="s">
        <v>113</v>
      </c>
      <c r="AF150" t="s">
        <v>68</v>
      </c>
      <c r="AG150">
        <v>27486.720000000001</v>
      </c>
      <c r="AH150" t="s">
        <v>69</v>
      </c>
      <c r="AI150" t="s">
        <v>132</v>
      </c>
      <c r="AJ150" t="s">
        <v>88</v>
      </c>
      <c r="AK150" t="s">
        <v>72</v>
      </c>
      <c r="AL150" t="s">
        <v>73</v>
      </c>
      <c r="AM150" t="s">
        <v>73</v>
      </c>
      <c r="AN150" t="s">
        <v>116</v>
      </c>
    </row>
    <row r="151" spans="1:40" x14ac:dyDescent="0.25">
      <c r="A151" t="s">
        <v>2051</v>
      </c>
      <c r="B151" t="s">
        <v>5</v>
      </c>
      <c r="C151" s="2">
        <v>1587.2400009999999</v>
      </c>
      <c r="D151" t="s">
        <v>56</v>
      </c>
      <c r="E151" t="s">
        <v>56</v>
      </c>
      <c r="F151">
        <v>-29197.91</v>
      </c>
      <c r="G151" t="s">
        <v>2051</v>
      </c>
      <c r="H151" t="s">
        <v>7</v>
      </c>
      <c r="I151">
        <v>33495.61</v>
      </c>
      <c r="J151">
        <v>0</v>
      </c>
      <c r="K151">
        <v>0</v>
      </c>
      <c r="L151">
        <v>0</v>
      </c>
      <c r="M151" t="s">
        <v>2051</v>
      </c>
      <c r="N151" t="s">
        <v>57</v>
      </c>
      <c r="O151" t="s">
        <v>58</v>
      </c>
      <c r="P151" t="s">
        <v>2052</v>
      </c>
      <c r="Q151" t="s">
        <v>2053</v>
      </c>
      <c r="R151" t="s">
        <v>61</v>
      </c>
      <c r="S151" t="s">
        <v>58</v>
      </c>
      <c r="T151" t="s">
        <v>2052</v>
      </c>
      <c r="U151" t="s">
        <v>2053</v>
      </c>
      <c r="V151" t="s">
        <v>56</v>
      </c>
      <c r="W151" t="s">
        <v>56</v>
      </c>
      <c r="X151" t="s">
        <v>56</v>
      </c>
      <c r="Y151" t="s">
        <v>62</v>
      </c>
      <c r="Z151" t="s">
        <v>63</v>
      </c>
      <c r="AA151" t="s">
        <v>64</v>
      </c>
      <c r="AB151">
        <v>1</v>
      </c>
      <c r="AC151" t="s">
        <v>78</v>
      </c>
      <c r="AD151" t="s">
        <v>66</v>
      </c>
      <c r="AE151" t="s">
        <v>85</v>
      </c>
      <c r="AF151" t="s">
        <v>86</v>
      </c>
      <c r="AG151">
        <v>61500</v>
      </c>
      <c r="AH151" t="s">
        <v>69</v>
      </c>
      <c r="AI151" t="s">
        <v>132</v>
      </c>
      <c r="AJ151" t="s">
        <v>548</v>
      </c>
      <c r="AK151" t="s">
        <v>99</v>
      </c>
      <c r="AL151" t="s">
        <v>73</v>
      </c>
      <c r="AM151" t="s">
        <v>73</v>
      </c>
      <c r="AN151" t="s">
        <v>56</v>
      </c>
    </row>
    <row r="152" spans="1:40" x14ac:dyDescent="0.25">
      <c r="A152" t="s">
        <v>530</v>
      </c>
      <c r="B152" t="s">
        <v>5</v>
      </c>
      <c r="C152">
        <v>1586.540184</v>
      </c>
      <c r="D152" t="s">
        <v>56</v>
      </c>
      <c r="E152" t="s">
        <v>56</v>
      </c>
      <c r="F152">
        <v>-17340.13</v>
      </c>
      <c r="G152" t="s">
        <v>530</v>
      </c>
      <c r="H152" t="s">
        <v>7</v>
      </c>
      <c r="I152">
        <v>20744.32</v>
      </c>
      <c r="J152">
        <v>2321.1732630000001</v>
      </c>
      <c r="K152">
        <v>0</v>
      </c>
      <c r="L152">
        <v>0</v>
      </c>
      <c r="M152" t="s">
        <v>530</v>
      </c>
      <c r="N152" t="s">
        <v>57</v>
      </c>
      <c r="O152" t="s">
        <v>58</v>
      </c>
      <c r="P152" t="s">
        <v>531</v>
      </c>
      <c r="Q152" t="s">
        <v>532</v>
      </c>
      <c r="R152" t="s">
        <v>61</v>
      </c>
      <c r="S152" t="s">
        <v>58</v>
      </c>
      <c r="T152" t="s">
        <v>531</v>
      </c>
      <c r="U152" t="s">
        <v>532</v>
      </c>
      <c r="V152" t="s">
        <v>56</v>
      </c>
      <c r="W152" t="s">
        <v>56</v>
      </c>
      <c r="X152" t="s">
        <v>56</v>
      </c>
      <c r="Y152" t="s">
        <v>62</v>
      </c>
      <c r="Z152" t="s">
        <v>63</v>
      </c>
      <c r="AA152" t="s">
        <v>64</v>
      </c>
      <c r="AB152">
        <v>1</v>
      </c>
      <c r="AC152" t="s">
        <v>78</v>
      </c>
      <c r="AD152" t="s">
        <v>66</v>
      </c>
      <c r="AE152" t="s">
        <v>113</v>
      </c>
      <c r="AF152" t="s">
        <v>68</v>
      </c>
      <c r="AG152">
        <v>29878.05</v>
      </c>
      <c r="AH152" t="s">
        <v>69</v>
      </c>
      <c r="AI152" t="s">
        <v>128</v>
      </c>
      <c r="AJ152" t="s">
        <v>477</v>
      </c>
      <c r="AK152" t="s">
        <v>72</v>
      </c>
      <c r="AL152" t="s">
        <v>73</v>
      </c>
      <c r="AM152" t="s">
        <v>73</v>
      </c>
      <c r="AN152" t="s">
        <v>116</v>
      </c>
    </row>
    <row r="153" spans="1:40" x14ac:dyDescent="0.25">
      <c r="A153" t="s">
        <v>830</v>
      </c>
      <c r="B153" t="s">
        <v>5</v>
      </c>
      <c r="C153" s="2">
        <v>1582.7868149999999</v>
      </c>
      <c r="D153" t="s">
        <v>56</v>
      </c>
      <c r="E153" t="s">
        <v>56</v>
      </c>
      <c r="F153">
        <v>-21036.560000000001</v>
      </c>
      <c r="G153" t="s">
        <v>830</v>
      </c>
      <c r="H153" t="s">
        <v>7</v>
      </c>
      <c r="I153">
        <v>23454.240000000002</v>
      </c>
      <c r="J153">
        <v>0</v>
      </c>
      <c r="K153">
        <v>0</v>
      </c>
      <c r="L153">
        <v>0</v>
      </c>
      <c r="M153" t="s">
        <v>830</v>
      </c>
      <c r="N153" t="s">
        <v>57</v>
      </c>
      <c r="O153" t="s">
        <v>58</v>
      </c>
      <c r="P153" t="s">
        <v>831</v>
      </c>
      <c r="Q153" t="s">
        <v>832</v>
      </c>
      <c r="R153" t="s">
        <v>61</v>
      </c>
      <c r="S153" t="s">
        <v>58</v>
      </c>
      <c r="T153" t="s">
        <v>831</v>
      </c>
      <c r="U153" t="s">
        <v>832</v>
      </c>
      <c r="V153" t="s">
        <v>56</v>
      </c>
      <c r="W153" t="s">
        <v>56</v>
      </c>
      <c r="X153" t="s">
        <v>56</v>
      </c>
      <c r="Y153" t="s">
        <v>62</v>
      </c>
      <c r="Z153" t="s">
        <v>63</v>
      </c>
      <c r="AA153" t="s">
        <v>64</v>
      </c>
      <c r="AB153">
        <v>1</v>
      </c>
      <c r="AC153" t="s">
        <v>78</v>
      </c>
      <c r="AD153" t="s">
        <v>66</v>
      </c>
      <c r="AE153" t="s">
        <v>85</v>
      </c>
      <c r="AF153" t="s">
        <v>68</v>
      </c>
      <c r="AG153">
        <v>36125.449999999997</v>
      </c>
      <c r="AH153" t="s">
        <v>69</v>
      </c>
      <c r="AI153" t="s">
        <v>536</v>
      </c>
      <c r="AJ153" t="s">
        <v>833</v>
      </c>
      <c r="AK153" t="s">
        <v>72</v>
      </c>
      <c r="AL153" t="s">
        <v>73</v>
      </c>
      <c r="AM153" t="s">
        <v>73</v>
      </c>
      <c r="AN153" t="s">
        <v>56</v>
      </c>
    </row>
    <row r="154" spans="1:40" x14ac:dyDescent="0.25">
      <c r="A154" t="s">
        <v>1665</v>
      </c>
      <c r="B154" t="s">
        <v>5</v>
      </c>
      <c r="C154">
        <v>1578.698942</v>
      </c>
      <c r="D154" t="s">
        <v>56</v>
      </c>
      <c r="E154" t="s">
        <v>56</v>
      </c>
      <c r="F154">
        <v>-23686.58</v>
      </c>
      <c r="G154" t="s">
        <v>1665</v>
      </c>
      <c r="H154" t="s">
        <v>7</v>
      </c>
      <c r="I154">
        <v>27677.61</v>
      </c>
      <c r="J154">
        <v>2255.9635029999999</v>
      </c>
      <c r="K154">
        <v>0</v>
      </c>
      <c r="L154">
        <v>0</v>
      </c>
      <c r="M154" t="s">
        <v>1665</v>
      </c>
      <c r="N154" t="s">
        <v>57</v>
      </c>
      <c r="O154" t="s">
        <v>58</v>
      </c>
      <c r="P154" t="s">
        <v>1666</v>
      </c>
      <c r="Q154" t="s">
        <v>1667</v>
      </c>
      <c r="R154" t="s">
        <v>61</v>
      </c>
      <c r="S154" t="s">
        <v>58</v>
      </c>
      <c r="T154" t="s">
        <v>1666</v>
      </c>
      <c r="U154" t="s">
        <v>1667</v>
      </c>
      <c r="V154" t="s">
        <v>56</v>
      </c>
      <c r="W154" t="s">
        <v>56</v>
      </c>
      <c r="X154" t="s">
        <v>56</v>
      </c>
      <c r="Y154" t="s">
        <v>62</v>
      </c>
      <c r="Z154" t="s">
        <v>63</v>
      </c>
      <c r="AA154" t="s">
        <v>64</v>
      </c>
      <c r="AB154">
        <v>1</v>
      </c>
      <c r="AC154" t="s">
        <v>78</v>
      </c>
      <c r="AD154" t="s">
        <v>66</v>
      </c>
      <c r="AE154" t="s">
        <v>113</v>
      </c>
      <c r="AF154" t="s">
        <v>68</v>
      </c>
      <c r="AG154">
        <v>41016.01</v>
      </c>
      <c r="AH154" t="s">
        <v>69</v>
      </c>
      <c r="AI154" t="s">
        <v>122</v>
      </c>
      <c r="AJ154" t="s">
        <v>240</v>
      </c>
      <c r="AK154" t="s">
        <v>72</v>
      </c>
      <c r="AL154" t="s">
        <v>73</v>
      </c>
      <c r="AM154" t="s">
        <v>73</v>
      </c>
      <c r="AN154" t="s">
        <v>116</v>
      </c>
    </row>
    <row r="155" spans="1:40" x14ac:dyDescent="0.25">
      <c r="A155" t="s">
        <v>1183</v>
      </c>
      <c r="B155" t="s">
        <v>5</v>
      </c>
      <c r="C155">
        <v>1574.6774479999999</v>
      </c>
      <c r="D155" t="s">
        <v>56</v>
      </c>
      <c r="E155" t="s">
        <v>56</v>
      </c>
      <c r="F155">
        <v>-20155.080000000002</v>
      </c>
      <c r="G155" t="s">
        <v>1183</v>
      </c>
      <c r="H155" t="s">
        <v>7</v>
      </c>
      <c r="I155">
        <v>23028.02</v>
      </c>
      <c r="J155">
        <v>2200.3454780000002</v>
      </c>
      <c r="K155">
        <v>0</v>
      </c>
      <c r="L155">
        <v>0</v>
      </c>
      <c r="M155" t="s">
        <v>1183</v>
      </c>
      <c r="N155" t="s">
        <v>57</v>
      </c>
      <c r="O155" t="s">
        <v>58</v>
      </c>
      <c r="P155" t="s">
        <v>1184</v>
      </c>
      <c r="Q155" t="s">
        <v>1185</v>
      </c>
      <c r="R155" t="s">
        <v>61</v>
      </c>
      <c r="S155" t="s">
        <v>58</v>
      </c>
      <c r="T155" t="s">
        <v>1184</v>
      </c>
      <c r="U155" t="s">
        <v>1185</v>
      </c>
      <c r="V155" t="s">
        <v>56</v>
      </c>
      <c r="W155" t="s">
        <v>56</v>
      </c>
      <c r="X155" t="s">
        <v>56</v>
      </c>
      <c r="Y155" t="s">
        <v>62</v>
      </c>
      <c r="Z155" t="s">
        <v>63</v>
      </c>
      <c r="AA155" t="s">
        <v>64</v>
      </c>
      <c r="AB155">
        <v>1</v>
      </c>
      <c r="AC155" t="s">
        <v>84</v>
      </c>
      <c r="AD155" t="s">
        <v>66</v>
      </c>
      <c r="AE155" t="s">
        <v>113</v>
      </c>
      <c r="AF155" t="s">
        <v>103</v>
      </c>
      <c r="AG155">
        <v>34989.99</v>
      </c>
      <c r="AH155" t="s">
        <v>69</v>
      </c>
      <c r="AI155" t="s">
        <v>536</v>
      </c>
      <c r="AJ155" t="s">
        <v>138</v>
      </c>
      <c r="AK155" t="s">
        <v>72</v>
      </c>
      <c r="AL155" t="s">
        <v>73</v>
      </c>
      <c r="AM155" t="s">
        <v>73</v>
      </c>
      <c r="AN155" t="s">
        <v>116</v>
      </c>
    </row>
    <row r="156" spans="1:40" x14ac:dyDescent="0.25">
      <c r="A156" t="s">
        <v>2054</v>
      </c>
      <c r="B156" t="s">
        <v>5</v>
      </c>
      <c r="C156">
        <v>1572.397704</v>
      </c>
      <c r="D156" t="s">
        <v>56</v>
      </c>
      <c r="E156" t="s">
        <v>56</v>
      </c>
      <c r="F156">
        <v>-28759.29</v>
      </c>
      <c r="G156" t="s">
        <v>2054</v>
      </c>
      <c r="H156" t="s">
        <v>7</v>
      </c>
      <c r="I156">
        <v>32551.84</v>
      </c>
      <c r="J156">
        <v>2176.5550320000002</v>
      </c>
      <c r="K156">
        <v>0</v>
      </c>
      <c r="L156">
        <v>0</v>
      </c>
      <c r="M156" t="s">
        <v>2054</v>
      </c>
      <c r="N156" t="s">
        <v>57</v>
      </c>
      <c r="O156" t="s">
        <v>58</v>
      </c>
      <c r="P156" t="s">
        <v>2055</v>
      </c>
      <c r="Q156" t="s">
        <v>2056</v>
      </c>
      <c r="R156" t="s">
        <v>61</v>
      </c>
      <c r="S156" t="s">
        <v>58</v>
      </c>
      <c r="T156" t="s">
        <v>2055</v>
      </c>
      <c r="U156" t="s">
        <v>2056</v>
      </c>
      <c r="V156" t="s">
        <v>56</v>
      </c>
      <c r="W156" t="s">
        <v>56</v>
      </c>
      <c r="X156" t="s">
        <v>56</v>
      </c>
      <c r="Y156" t="s">
        <v>62</v>
      </c>
      <c r="Z156" t="s">
        <v>63</v>
      </c>
      <c r="AA156" t="s">
        <v>64</v>
      </c>
      <c r="AB156">
        <v>1</v>
      </c>
      <c r="AC156" t="s">
        <v>84</v>
      </c>
      <c r="AD156" t="s">
        <v>66</v>
      </c>
      <c r="AE156" t="s">
        <v>113</v>
      </c>
      <c r="AF156" t="s">
        <v>68</v>
      </c>
      <c r="AG156">
        <v>49999.65</v>
      </c>
      <c r="AH156" t="s">
        <v>69</v>
      </c>
      <c r="AI156" t="s">
        <v>355</v>
      </c>
      <c r="AJ156" t="s">
        <v>115</v>
      </c>
      <c r="AK156" t="s">
        <v>280</v>
      </c>
      <c r="AL156" t="s">
        <v>73</v>
      </c>
      <c r="AM156" t="s">
        <v>73</v>
      </c>
      <c r="AN156" t="s">
        <v>116</v>
      </c>
    </row>
    <row r="157" spans="1:40" x14ac:dyDescent="0.25">
      <c r="A157" t="s">
        <v>2452</v>
      </c>
      <c r="B157" t="s">
        <v>5</v>
      </c>
      <c r="C157" s="2">
        <v>1563.559882</v>
      </c>
      <c r="D157" t="s">
        <v>56</v>
      </c>
      <c r="E157" t="s">
        <v>56</v>
      </c>
      <c r="F157">
        <v>-20127.86</v>
      </c>
      <c r="G157" t="s">
        <v>2452</v>
      </c>
      <c r="H157" t="s">
        <v>7</v>
      </c>
      <c r="I157">
        <v>23373.87</v>
      </c>
      <c r="J157">
        <v>0</v>
      </c>
      <c r="K157">
        <v>0</v>
      </c>
      <c r="L157">
        <v>0</v>
      </c>
      <c r="M157" t="s">
        <v>2452</v>
      </c>
      <c r="N157" t="s">
        <v>57</v>
      </c>
      <c r="O157" t="s">
        <v>58</v>
      </c>
      <c r="P157" t="s">
        <v>2453</v>
      </c>
      <c r="Q157" t="s">
        <v>2454</v>
      </c>
      <c r="R157" t="s">
        <v>61</v>
      </c>
      <c r="S157" t="s">
        <v>58</v>
      </c>
      <c r="T157" t="s">
        <v>2453</v>
      </c>
      <c r="U157" t="s">
        <v>2454</v>
      </c>
      <c r="V157" t="s">
        <v>56</v>
      </c>
      <c r="W157" t="s">
        <v>56</v>
      </c>
      <c r="X157" t="s">
        <v>56</v>
      </c>
      <c r="Y157" t="s">
        <v>62</v>
      </c>
      <c r="Z157" t="s">
        <v>63</v>
      </c>
      <c r="AA157" t="s">
        <v>64</v>
      </c>
      <c r="AB157">
        <v>1</v>
      </c>
      <c r="AC157" t="s">
        <v>84</v>
      </c>
      <c r="AD157" t="s">
        <v>66</v>
      </c>
      <c r="AE157" t="s">
        <v>85</v>
      </c>
      <c r="AF157" t="s">
        <v>68</v>
      </c>
      <c r="AG157">
        <v>34990.03</v>
      </c>
      <c r="AH157" t="s">
        <v>69</v>
      </c>
      <c r="AI157" t="s">
        <v>132</v>
      </c>
      <c r="AJ157" t="s">
        <v>912</v>
      </c>
      <c r="AK157" t="s">
        <v>72</v>
      </c>
      <c r="AL157" t="s">
        <v>73</v>
      </c>
      <c r="AM157" t="s">
        <v>73</v>
      </c>
      <c r="AN157" t="s">
        <v>56</v>
      </c>
    </row>
    <row r="158" spans="1:40" x14ac:dyDescent="0.25">
      <c r="A158" t="s">
        <v>1106</v>
      </c>
      <c r="B158" t="s">
        <v>5</v>
      </c>
      <c r="C158" s="2">
        <v>1556.6311579999999</v>
      </c>
      <c r="D158" t="s">
        <v>56</v>
      </c>
      <c r="E158" t="s">
        <v>56</v>
      </c>
      <c r="F158">
        <v>-24026.89</v>
      </c>
      <c r="G158" t="s">
        <v>1106</v>
      </c>
      <c r="H158" t="s">
        <v>7</v>
      </c>
      <c r="I158">
        <v>28132.78</v>
      </c>
      <c r="J158">
        <v>0</v>
      </c>
      <c r="K158">
        <v>0</v>
      </c>
      <c r="L158">
        <v>0</v>
      </c>
      <c r="M158" t="s">
        <v>1106</v>
      </c>
      <c r="N158" t="s">
        <v>57</v>
      </c>
      <c r="O158" t="s">
        <v>58</v>
      </c>
      <c r="P158" t="s">
        <v>1107</v>
      </c>
      <c r="Q158" t="s">
        <v>574</v>
      </c>
      <c r="R158" t="s">
        <v>61</v>
      </c>
      <c r="S158" t="s">
        <v>58</v>
      </c>
      <c r="T158" t="s">
        <v>1107</v>
      </c>
      <c r="U158" t="s">
        <v>574</v>
      </c>
      <c r="V158" t="s">
        <v>56</v>
      </c>
      <c r="W158" t="s">
        <v>56</v>
      </c>
      <c r="X158" t="s">
        <v>56</v>
      </c>
      <c r="Y158" t="s">
        <v>62</v>
      </c>
      <c r="Z158" t="s">
        <v>63</v>
      </c>
      <c r="AA158" t="s">
        <v>64</v>
      </c>
      <c r="AB158">
        <v>1</v>
      </c>
      <c r="AC158" t="s">
        <v>78</v>
      </c>
      <c r="AD158" t="s">
        <v>66</v>
      </c>
      <c r="AE158" t="s">
        <v>289</v>
      </c>
      <c r="AF158" t="s">
        <v>68</v>
      </c>
      <c r="AG158">
        <v>42195.12</v>
      </c>
      <c r="AH158" t="s">
        <v>69</v>
      </c>
      <c r="AI158" t="s">
        <v>122</v>
      </c>
      <c r="AJ158" t="s">
        <v>912</v>
      </c>
      <c r="AK158" t="s">
        <v>72</v>
      </c>
      <c r="AL158" t="s">
        <v>73</v>
      </c>
      <c r="AM158" t="s">
        <v>73</v>
      </c>
      <c r="AN158" t="s">
        <v>56</v>
      </c>
    </row>
    <row r="159" spans="1:40" x14ac:dyDescent="0.25">
      <c r="A159" t="s">
        <v>2246</v>
      </c>
      <c r="B159" t="s">
        <v>5</v>
      </c>
      <c r="C159">
        <v>1556.4226860000001</v>
      </c>
      <c r="D159" t="s">
        <v>56</v>
      </c>
      <c r="E159" t="s">
        <v>56</v>
      </c>
      <c r="F159">
        <v>-22521.18</v>
      </c>
      <c r="G159" t="s">
        <v>2246</v>
      </c>
      <c r="H159" t="s">
        <v>7</v>
      </c>
      <c r="I159">
        <v>25947.95</v>
      </c>
      <c r="J159">
        <v>2193.0137679999998</v>
      </c>
      <c r="K159">
        <v>0</v>
      </c>
      <c r="L159">
        <v>0</v>
      </c>
      <c r="M159" t="s">
        <v>2246</v>
      </c>
      <c r="N159" t="s">
        <v>57</v>
      </c>
      <c r="O159" t="s">
        <v>58</v>
      </c>
      <c r="P159" t="s">
        <v>2247</v>
      </c>
      <c r="Q159" t="s">
        <v>2248</v>
      </c>
      <c r="R159" t="s">
        <v>61</v>
      </c>
      <c r="S159" t="s">
        <v>58</v>
      </c>
      <c r="T159" t="s">
        <v>2247</v>
      </c>
      <c r="U159" t="s">
        <v>2248</v>
      </c>
      <c r="V159" t="s">
        <v>56</v>
      </c>
      <c r="W159" t="s">
        <v>56</v>
      </c>
      <c r="X159" t="s">
        <v>56</v>
      </c>
      <c r="Y159" t="s">
        <v>62</v>
      </c>
      <c r="Z159" t="s">
        <v>63</v>
      </c>
      <c r="AA159" t="s">
        <v>64</v>
      </c>
      <c r="AB159">
        <v>1</v>
      </c>
      <c r="AC159" t="s">
        <v>84</v>
      </c>
      <c r="AD159" t="s">
        <v>66</v>
      </c>
      <c r="AE159" t="s">
        <v>113</v>
      </c>
      <c r="AF159" t="s">
        <v>103</v>
      </c>
      <c r="AG159">
        <v>39556.160000000003</v>
      </c>
      <c r="AH159" t="s">
        <v>69</v>
      </c>
      <c r="AI159" t="s">
        <v>70</v>
      </c>
      <c r="AJ159" t="s">
        <v>932</v>
      </c>
      <c r="AK159" t="s">
        <v>280</v>
      </c>
      <c r="AL159" t="s">
        <v>73</v>
      </c>
      <c r="AM159" t="s">
        <v>73</v>
      </c>
      <c r="AN159" t="s">
        <v>116</v>
      </c>
    </row>
    <row r="160" spans="1:40" x14ac:dyDescent="0.25">
      <c r="A160" t="s">
        <v>2080</v>
      </c>
      <c r="B160" t="s">
        <v>5</v>
      </c>
      <c r="C160" s="2">
        <v>1554.0483839999999</v>
      </c>
      <c r="D160" t="s">
        <v>56</v>
      </c>
      <c r="E160" t="s">
        <v>56</v>
      </c>
      <c r="F160">
        <v>-22453.99</v>
      </c>
      <c r="G160" t="s">
        <v>2080</v>
      </c>
      <c r="H160" t="s">
        <v>7</v>
      </c>
      <c r="I160">
        <v>25577.98</v>
      </c>
      <c r="J160">
        <v>0</v>
      </c>
      <c r="K160">
        <v>0</v>
      </c>
      <c r="L160">
        <v>0</v>
      </c>
      <c r="M160" t="s">
        <v>2080</v>
      </c>
      <c r="N160" t="s">
        <v>57</v>
      </c>
      <c r="O160" t="s">
        <v>58</v>
      </c>
      <c r="P160" t="s">
        <v>2081</v>
      </c>
      <c r="Q160" t="s">
        <v>2082</v>
      </c>
      <c r="R160" t="s">
        <v>61</v>
      </c>
      <c r="S160" t="s">
        <v>58</v>
      </c>
      <c r="T160" t="s">
        <v>2081</v>
      </c>
      <c r="U160" t="s">
        <v>2082</v>
      </c>
      <c r="V160" t="s">
        <v>56</v>
      </c>
      <c r="W160" t="s">
        <v>56</v>
      </c>
      <c r="X160" t="s">
        <v>56</v>
      </c>
      <c r="Y160" t="s">
        <v>62</v>
      </c>
      <c r="Z160" t="s">
        <v>63</v>
      </c>
      <c r="AA160" t="s">
        <v>64</v>
      </c>
      <c r="AB160">
        <v>1</v>
      </c>
      <c r="AC160" t="s">
        <v>78</v>
      </c>
      <c r="AD160" t="s">
        <v>66</v>
      </c>
      <c r="AE160" t="s">
        <v>85</v>
      </c>
      <c r="AF160" t="s">
        <v>68</v>
      </c>
      <c r="AG160">
        <v>39272.639999999999</v>
      </c>
      <c r="AH160" t="s">
        <v>69</v>
      </c>
      <c r="AI160" t="s">
        <v>181</v>
      </c>
      <c r="AJ160" t="s">
        <v>470</v>
      </c>
      <c r="AK160" t="s">
        <v>72</v>
      </c>
      <c r="AL160" t="s">
        <v>73</v>
      </c>
      <c r="AM160" t="s">
        <v>73</v>
      </c>
      <c r="AN160" t="s">
        <v>56</v>
      </c>
    </row>
    <row r="161" spans="1:40" x14ac:dyDescent="0.25">
      <c r="A161" t="s">
        <v>2074</v>
      </c>
      <c r="B161" t="s">
        <v>5</v>
      </c>
      <c r="C161" s="2">
        <v>1548.8262540000001</v>
      </c>
      <c r="D161" t="s">
        <v>56</v>
      </c>
      <c r="E161" t="s">
        <v>56</v>
      </c>
      <c r="F161">
        <v>-15127.52</v>
      </c>
      <c r="G161" t="s">
        <v>2074</v>
      </c>
      <c r="H161" t="s">
        <v>7</v>
      </c>
      <c r="I161">
        <v>14564.95</v>
      </c>
      <c r="J161">
        <v>0</v>
      </c>
      <c r="K161">
        <v>0</v>
      </c>
      <c r="L161">
        <v>0</v>
      </c>
      <c r="M161" t="s">
        <v>2074</v>
      </c>
      <c r="N161" t="s">
        <v>57</v>
      </c>
      <c r="O161" t="s">
        <v>58</v>
      </c>
      <c r="P161" t="s">
        <v>2075</v>
      </c>
      <c r="Q161" t="s">
        <v>2076</v>
      </c>
      <c r="R161" t="s">
        <v>61</v>
      </c>
      <c r="S161" t="s">
        <v>58</v>
      </c>
      <c r="T161" t="s">
        <v>2075</v>
      </c>
      <c r="U161" t="s">
        <v>2076</v>
      </c>
      <c r="V161" t="s">
        <v>56</v>
      </c>
      <c r="W161" t="s">
        <v>56</v>
      </c>
      <c r="X161" t="s">
        <v>56</v>
      </c>
      <c r="Y161" t="s">
        <v>62</v>
      </c>
      <c r="Z161" t="s">
        <v>63</v>
      </c>
      <c r="AA161" t="s">
        <v>64</v>
      </c>
      <c r="AB161">
        <v>1</v>
      </c>
      <c r="AC161" t="s">
        <v>84</v>
      </c>
      <c r="AD161" t="s">
        <v>66</v>
      </c>
      <c r="AE161" t="s">
        <v>85</v>
      </c>
      <c r="AF161" t="s">
        <v>68</v>
      </c>
      <c r="AG161">
        <v>26547.64</v>
      </c>
      <c r="AH161" t="s">
        <v>69</v>
      </c>
      <c r="AI161" t="s">
        <v>536</v>
      </c>
      <c r="AJ161" t="s">
        <v>2077</v>
      </c>
      <c r="AK161" t="s">
        <v>72</v>
      </c>
      <c r="AL161" t="s">
        <v>73</v>
      </c>
      <c r="AM161" t="s">
        <v>73</v>
      </c>
      <c r="AN161" t="s">
        <v>56</v>
      </c>
    </row>
    <row r="162" spans="1:40" x14ac:dyDescent="0.25">
      <c r="A162" t="s">
        <v>2396</v>
      </c>
      <c r="B162" t="s">
        <v>5</v>
      </c>
      <c r="C162" s="2">
        <v>1539.0071780000001</v>
      </c>
      <c r="D162" t="s">
        <v>56</v>
      </c>
      <c r="E162" t="s">
        <v>56</v>
      </c>
      <c r="F162">
        <v>-27878.6</v>
      </c>
      <c r="G162" t="s">
        <v>2396</v>
      </c>
      <c r="H162" t="s">
        <v>7</v>
      </c>
      <c r="I162">
        <v>33802.42</v>
      </c>
      <c r="J162">
        <v>0</v>
      </c>
      <c r="K162">
        <v>0</v>
      </c>
      <c r="L162">
        <v>0</v>
      </c>
      <c r="M162" t="s">
        <v>2396</v>
      </c>
      <c r="N162" t="s">
        <v>57</v>
      </c>
      <c r="O162" t="s">
        <v>58</v>
      </c>
      <c r="P162" t="s">
        <v>2397</v>
      </c>
      <c r="Q162" t="s">
        <v>2398</v>
      </c>
      <c r="R162" t="s">
        <v>61</v>
      </c>
      <c r="S162" t="s">
        <v>58</v>
      </c>
      <c r="T162" t="s">
        <v>2397</v>
      </c>
      <c r="U162" t="s">
        <v>2398</v>
      </c>
      <c r="V162" t="s">
        <v>56</v>
      </c>
      <c r="W162" t="s">
        <v>56</v>
      </c>
      <c r="X162" t="s">
        <v>56</v>
      </c>
      <c r="Y162" t="s">
        <v>62</v>
      </c>
      <c r="Z162" t="s">
        <v>63</v>
      </c>
      <c r="AA162" t="s">
        <v>64</v>
      </c>
      <c r="AB162">
        <v>1</v>
      </c>
      <c r="AC162" t="s">
        <v>147</v>
      </c>
      <c r="AD162" t="s">
        <v>66</v>
      </c>
      <c r="AE162" t="s">
        <v>85</v>
      </c>
      <c r="AF162" t="s">
        <v>68</v>
      </c>
      <c r="AG162">
        <v>49236.94</v>
      </c>
      <c r="AH162" t="s">
        <v>69</v>
      </c>
      <c r="AI162" t="s">
        <v>137</v>
      </c>
      <c r="AJ162" t="s">
        <v>138</v>
      </c>
      <c r="AK162" t="s">
        <v>72</v>
      </c>
      <c r="AL162" t="s">
        <v>73</v>
      </c>
      <c r="AM162" t="s">
        <v>73</v>
      </c>
      <c r="AN162" t="s">
        <v>56</v>
      </c>
    </row>
    <row r="163" spans="1:40" x14ac:dyDescent="0.25">
      <c r="A163" t="s">
        <v>1919</v>
      </c>
      <c r="B163" t="s">
        <v>5</v>
      </c>
      <c r="C163">
        <v>1537.418097</v>
      </c>
      <c r="D163" t="s">
        <v>56</v>
      </c>
      <c r="E163" t="s">
        <v>56</v>
      </c>
      <c r="F163">
        <v>-16620.37</v>
      </c>
      <c r="G163" t="s">
        <v>1919</v>
      </c>
      <c r="H163" t="s">
        <v>7</v>
      </c>
      <c r="I163">
        <v>18832.62</v>
      </c>
      <c r="J163">
        <v>2130.471908</v>
      </c>
      <c r="K163">
        <v>0</v>
      </c>
      <c r="L163">
        <v>0</v>
      </c>
      <c r="M163" t="s">
        <v>1919</v>
      </c>
      <c r="N163" t="s">
        <v>57</v>
      </c>
      <c r="O163" t="s">
        <v>58</v>
      </c>
      <c r="P163" t="s">
        <v>1920</v>
      </c>
      <c r="Q163" t="s">
        <v>1921</v>
      </c>
      <c r="R163" t="s">
        <v>61</v>
      </c>
      <c r="S163" t="s">
        <v>58</v>
      </c>
      <c r="T163" t="s">
        <v>1920</v>
      </c>
      <c r="U163" t="s">
        <v>1921</v>
      </c>
      <c r="V163" t="s">
        <v>56</v>
      </c>
      <c r="W163" t="s">
        <v>56</v>
      </c>
      <c r="X163" t="s">
        <v>56</v>
      </c>
      <c r="Y163" t="s">
        <v>62</v>
      </c>
      <c r="Z163" t="s">
        <v>63</v>
      </c>
      <c r="AA163" t="s">
        <v>64</v>
      </c>
      <c r="AB163">
        <v>1</v>
      </c>
      <c r="AC163" t="s">
        <v>84</v>
      </c>
      <c r="AD163" t="s">
        <v>66</v>
      </c>
      <c r="AE163" t="s">
        <v>113</v>
      </c>
      <c r="AF163" t="s">
        <v>68</v>
      </c>
      <c r="AG163">
        <v>29552.85</v>
      </c>
      <c r="AH163" t="s">
        <v>69</v>
      </c>
      <c r="AI163" t="s">
        <v>297</v>
      </c>
      <c r="AJ163" t="s">
        <v>88</v>
      </c>
      <c r="AK163" t="s">
        <v>72</v>
      </c>
      <c r="AL163" t="s">
        <v>73</v>
      </c>
      <c r="AM163" t="s">
        <v>73</v>
      </c>
      <c r="AN163" t="s">
        <v>116</v>
      </c>
    </row>
    <row r="164" spans="1:40" x14ac:dyDescent="0.25">
      <c r="A164" t="s">
        <v>913</v>
      </c>
      <c r="B164" t="s">
        <v>5</v>
      </c>
      <c r="C164" s="2">
        <v>1512.5856080000001</v>
      </c>
      <c r="D164" t="s">
        <v>56</v>
      </c>
      <c r="E164" t="s">
        <v>56</v>
      </c>
      <c r="F164">
        <v>-27824.12</v>
      </c>
      <c r="G164" t="s">
        <v>913</v>
      </c>
      <c r="H164" t="s">
        <v>7</v>
      </c>
      <c r="I164">
        <v>32096.65</v>
      </c>
      <c r="J164">
        <v>0</v>
      </c>
      <c r="K164">
        <v>0</v>
      </c>
      <c r="L164">
        <v>0</v>
      </c>
      <c r="M164" t="s">
        <v>913</v>
      </c>
      <c r="N164" t="s">
        <v>57</v>
      </c>
      <c r="O164" t="s">
        <v>58</v>
      </c>
      <c r="P164" t="s">
        <v>914</v>
      </c>
      <c r="Q164" t="s">
        <v>915</v>
      </c>
      <c r="R164" t="s">
        <v>61</v>
      </c>
      <c r="S164" t="s">
        <v>58</v>
      </c>
      <c r="T164" t="s">
        <v>914</v>
      </c>
      <c r="U164" t="s">
        <v>915</v>
      </c>
      <c r="V164" t="s">
        <v>56</v>
      </c>
      <c r="W164" t="s">
        <v>56</v>
      </c>
      <c r="X164" t="s">
        <v>56</v>
      </c>
      <c r="Y164" t="s">
        <v>62</v>
      </c>
      <c r="Z164" t="s">
        <v>63</v>
      </c>
      <c r="AA164" t="s">
        <v>64</v>
      </c>
      <c r="AB164">
        <v>1</v>
      </c>
      <c r="AC164" t="s">
        <v>84</v>
      </c>
      <c r="AD164" t="s">
        <v>66</v>
      </c>
      <c r="AE164" t="s">
        <v>85</v>
      </c>
      <c r="AF164" t="s">
        <v>86</v>
      </c>
      <c r="AG164">
        <v>49999.19</v>
      </c>
      <c r="AH164" t="s">
        <v>69</v>
      </c>
      <c r="AI164" t="s">
        <v>323</v>
      </c>
      <c r="AJ164" t="s">
        <v>177</v>
      </c>
      <c r="AK164" t="s">
        <v>72</v>
      </c>
      <c r="AL164" t="s">
        <v>73</v>
      </c>
      <c r="AM164" t="s">
        <v>73</v>
      </c>
      <c r="AN164" t="s">
        <v>56</v>
      </c>
    </row>
    <row r="165" spans="1:40" x14ac:dyDescent="0.25">
      <c r="A165" t="s">
        <v>2300</v>
      </c>
      <c r="B165" t="s">
        <v>5</v>
      </c>
      <c r="C165" s="2">
        <v>1510.131674</v>
      </c>
      <c r="D165" t="s">
        <v>56</v>
      </c>
      <c r="E165" t="s">
        <v>56</v>
      </c>
      <c r="F165">
        <v>-19415.900000000001</v>
      </c>
      <c r="G165" t="s">
        <v>2300</v>
      </c>
      <c r="H165" t="s">
        <v>7</v>
      </c>
      <c r="I165">
        <v>22291.919999999998</v>
      </c>
      <c r="J165">
        <v>0</v>
      </c>
      <c r="K165">
        <v>0</v>
      </c>
      <c r="L165">
        <v>0</v>
      </c>
      <c r="M165" t="s">
        <v>2300</v>
      </c>
      <c r="N165" t="s">
        <v>57</v>
      </c>
      <c r="O165" t="s">
        <v>58</v>
      </c>
      <c r="P165" t="s">
        <v>2301</v>
      </c>
      <c r="Q165" t="s">
        <v>2302</v>
      </c>
      <c r="R165" t="s">
        <v>61</v>
      </c>
      <c r="S165" t="s">
        <v>58</v>
      </c>
      <c r="T165" t="s">
        <v>2301</v>
      </c>
      <c r="U165" t="s">
        <v>2302</v>
      </c>
      <c r="V165" t="s">
        <v>56</v>
      </c>
      <c r="W165" t="s">
        <v>56</v>
      </c>
      <c r="X165" t="s">
        <v>56</v>
      </c>
      <c r="Y165" t="s">
        <v>62</v>
      </c>
      <c r="Z165" t="s">
        <v>63</v>
      </c>
      <c r="AA165" t="s">
        <v>64</v>
      </c>
      <c r="AB165">
        <v>1</v>
      </c>
      <c r="AC165" t="s">
        <v>84</v>
      </c>
      <c r="AD165" t="s">
        <v>66</v>
      </c>
      <c r="AE165" t="s">
        <v>85</v>
      </c>
      <c r="AF165" t="s">
        <v>68</v>
      </c>
      <c r="AG165">
        <v>34946.47</v>
      </c>
      <c r="AH165" t="s">
        <v>69</v>
      </c>
      <c r="AI165" t="s">
        <v>87</v>
      </c>
      <c r="AJ165" t="s">
        <v>363</v>
      </c>
      <c r="AK165" t="s">
        <v>72</v>
      </c>
      <c r="AL165" t="s">
        <v>73</v>
      </c>
      <c r="AM165" t="s">
        <v>73</v>
      </c>
      <c r="AN165" t="s">
        <v>56</v>
      </c>
    </row>
    <row r="166" spans="1:40" x14ac:dyDescent="0.25">
      <c r="A166" t="s">
        <v>2167</v>
      </c>
      <c r="B166" t="s">
        <v>5</v>
      </c>
      <c r="C166" s="2">
        <v>1508.4025320000001</v>
      </c>
      <c r="D166" t="s">
        <v>56</v>
      </c>
      <c r="E166" t="s">
        <v>56</v>
      </c>
      <c r="F166">
        <v>-21939.48</v>
      </c>
      <c r="G166" t="s">
        <v>2167</v>
      </c>
      <c r="H166" t="s">
        <v>7</v>
      </c>
      <c r="I166">
        <v>25477.25</v>
      </c>
      <c r="J166">
        <v>0</v>
      </c>
      <c r="K166">
        <v>0</v>
      </c>
      <c r="L166">
        <v>0</v>
      </c>
      <c r="M166" t="s">
        <v>2167</v>
      </c>
      <c r="N166" t="s">
        <v>57</v>
      </c>
      <c r="O166" t="s">
        <v>58</v>
      </c>
      <c r="P166" t="s">
        <v>2168</v>
      </c>
      <c r="Q166" t="s">
        <v>2169</v>
      </c>
      <c r="R166" t="s">
        <v>61</v>
      </c>
      <c r="S166" t="s">
        <v>58</v>
      </c>
      <c r="T166" t="s">
        <v>2168</v>
      </c>
      <c r="U166" t="s">
        <v>2169</v>
      </c>
      <c r="V166" t="s">
        <v>56</v>
      </c>
      <c r="W166" t="s">
        <v>56</v>
      </c>
      <c r="X166" t="s">
        <v>56</v>
      </c>
      <c r="Y166" t="s">
        <v>62</v>
      </c>
      <c r="Z166" t="s">
        <v>63</v>
      </c>
      <c r="AA166" t="s">
        <v>64</v>
      </c>
      <c r="AB166">
        <v>1</v>
      </c>
      <c r="AC166" t="s">
        <v>120</v>
      </c>
      <c r="AD166" t="s">
        <v>66</v>
      </c>
      <c r="AE166" t="s">
        <v>289</v>
      </c>
      <c r="AF166" t="s">
        <v>367</v>
      </c>
      <c r="AG166">
        <v>30637.8</v>
      </c>
      <c r="AH166" t="s">
        <v>69</v>
      </c>
      <c r="AI166" t="s">
        <v>491</v>
      </c>
      <c r="AJ166" t="s">
        <v>143</v>
      </c>
      <c r="AK166" t="s">
        <v>72</v>
      </c>
      <c r="AL166" t="s">
        <v>281</v>
      </c>
      <c r="AM166" t="s">
        <v>73</v>
      </c>
      <c r="AN166" t="s">
        <v>56</v>
      </c>
    </row>
    <row r="167" spans="1:40" x14ac:dyDescent="0.25">
      <c r="A167" t="s">
        <v>237</v>
      </c>
      <c r="B167" t="s">
        <v>5</v>
      </c>
      <c r="C167">
        <v>1506.0833909999999</v>
      </c>
      <c r="D167" t="s">
        <v>56</v>
      </c>
      <c r="E167" t="s">
        <v>56</v>
      </c>
      <c r="F167">
        <v>-27053.919999999998</v>
      </c>
      <c r="G167" t="s">
        <v>237</v>
      </c>
      <c r="H167" t="s">
        <v>7</v>
      </c>
      <c r="I167">
        <v>32009.7</v>
      </c>
      <c r="J167">
        <v>2179.279767</v>
      </c>
      <c r="K167">
        <v>0</v>
      </c>
      <c r="L167">
        <v>0</v>
      </c>
      <c r="M167" t="s">
        <v>237</v>
      </c>
      <c r="N167" t="s">
        <v>57</v>
      </c>
      <c r="O167" t="s">
        <v>58</v>
      </c>
      <c r="P167" t="s">
        <v>238</v>
      </c>
      <c r="Q167" t="s">
        <v>239</v>
      </c>
      <c r="R167" t="s">
        <v>61</v>
      </c>
      <c r="S167" t="s">
        <v>58</v>
      </c>
      <c r="T167" t="s">
        <v>238</v>
      </c>
      <c r="U167" t="s">
        <v>239</v>
      </c>
      <c r="V167" t="s">
        <v>56</v>
      </c>
      <c r="W167" t="s">
        <v>56</v>
      </c>
      <c r="X167" t="s">
        <v>56</v>
      </c>
      <c r="Y167" t="s">
        <v>62</v>
      </c>
      <c r="Z167" t="s">
        <v>63</v>
      </c>
      <c r="AA167" t="s">
        <v>64</v>
      </c>
      <c r="AB167">
        <v>1</v>
      </c>
      <c r="AC167" t="s">
        <v>84</v>
      </c>
      <c r="AD167" t="s">
        <v>66</v>
      </c>
      <c r="AE167" t="s">
        <v>113</v>
      </c>
      <c r="AF167" t="s">
        <v>68</v>
      </c>
      <c r="AG167">
        <v>49105.7</v>
      </c>
      <c r="AH167" t="s">
        <v>69</v>
      </c>
      <c r="AI167" t="s">
        <v>216</v>
      </c>
      <c r="AJ167" t="s">
        <v>240</v>
      </c>
      <c r="AK167" t="s">
        <v>72</v>
      </c>
      <c r="AL167" t="s">
        <v>73</v>
      </c>
      <c r="AM167" t="s">
        <v>73</v>
      </c>
      <c r="AN167" t="s">
        <v>116</v>
      </c>
    </row>
    <row r="168" spans="1:40" x14ac:dyDescent="0.25">
      <c r="A168" t="s">
        <v>2422</v>
      </c>
      <c r="B168" t="s">
        <v>5</v>
      </c>
      <c r="C168">
        <v>1503.8641709999999</v>
      </c>
      <c r="D168" t="s">
        <v>56</v>
      </c>
      <c r="E168" t="s">
        <v>56</v>
      </c>
      <c r="F168">
        <v>-25434.78</v>
      </c>
      <c r="G168" t="s">
        <v>2422</v>
      </c>
      <c r="H168" t="s">
        <v>7</v>
      </c>
      <c r="I168">
        <v>32632.95</v>
      </c>
      <c r="J168">
        <v>1918.3772039999999</v>
      </c>
      <c r="K168">
        <v>0</v>
      </c>
      <c r="L168">
        <v>0</v>
      </c>
      <c r="M168" t="s">
        <v>2422</v>
      </c>
      <c r="N168" t="s">
        <v>57</v>
      </c>
      <c r="O168" t="s">
        <v>58</v>
      </c>
      <c r="P168" t="s">
        <v>2423</v>
      </c>
      <c r="Q168" t="s">
        <v>2424</v>
      </c>
      <c r="R168" t="s">
        <v>61</v>
      </c>
      <c r="S168" t="s">
        <v>58</v>
      </c>
      <c r="T168" t="s">
        <v>2423</v>
      </c>
      <c r="U168" t="s">
        <v>2424</v>
      </c>
      <c r="V168" t="s">
        <v>56</v>
      </c>
      <c r="W168" t="s">
        <v>56</v>
      </c>
      <c r="X168" t="s">
        <v>56</v>
      </c>
      <c r="Y168" t="s">
        <v>62</v>
      </c>
      <c r="Z168" t="s">
        <v>63</v>
      </c>
      <c r="AA168" t="s">
        <v>64</v>
      </c>
      <c r="AB168">
        <v>1</v>
      </c>
      <c r="AC168" t="s">
        <v>84</v>
      </c>
      <c r="AD168" t="s">
        <v>66</v>
      </c>
      <c r="AE168" t="s">
        <v>113</v>
      </c>
      <c r="AF168" t="s">
        <v>68</v>
      </c>
      <c r="AG168">
        <v>56869</v>
      </c>
      <c r="AH168" t="s">
        <v>69</v>
      </c>
      <c r="AI168" t="s">
        <v>137</v>
      </c>
      <c r="AJ168" t="s">
        <v>302</v>
      </c>
      <c r="AK168" t="s">
        <v>99</v>
      </c>
      <c r="AL168" t="s">
        <v>73</v>
      </c>
      <c r="AM168" t="s">
        <v>73</v>
      </c>
      <c r="AN168" t="s">
        <v>116</v>
      </c>
    </row>
    <row r="169" spans="1:40" x14ac:dyDescent="0.25">
      <c r="A169" t="s">
        <v>790</v>
      </c>
      <c r="B169" t="s">
        <v>5</v>
      </c>
      <c r="C169" s="2">
        <v>1502.9437230000001</v>
      </c>
      <c r="D169" t="s">
        <v>56</v>
      </c>
      <c r="E169" t="s">
        <v>56</v>
      </c>
      <c r="F169">
        <v>-24725.18</v>
      </c>
      <c r="G169" t="s">
        <v>790</v>
      </c>
      <c r="H169" t="s">
        <v>7</v>
      </c>
      <c r="I169">
        <v>30120.560000000001</v>
      </c>
      <c r="J169">
        <v>0</v>
      </c>
      <c r="K169">
        <v>0</v>
      </c>
      <c r="L169">
        <v>0</v>
      </c>
      <c r="M169" t="s">
        <v>790</v>
      </c>
      <c r="N169" t="s">
        <v>57</v>
      </c>
      <c r="O169" t="s">
        <v>58</v>
      </c>
      <c r="P169" t="s">
        <v>791</v>
      </c>
      <c r="Q169" t="s">
        <v>792</v>
      </c>
      <c r="R169" t="s">
        <v>61</v>
      </c>
      <c r="S169" t="s">
        <v>58</v>
      </c>
      <c r="T169" t="s">
        <v>791</v>
      </c>
      <c r="U169" t="s">
        <v>792</v>
      </c>
      <c r="V169" t="s">
        <v>56</v>
      </c>
      <c r="W169" t="s">
        <v>56</v>
      </c>
      <c r="X169" t="s">
        <v>56</v>
      </c>
      <c r="Y169" t="s">
        <v>62</v>
      </c>
      <c r="Z169" t="s">
        <v>63</v>
      </c>
      <c r="AA169" t="s">
        <v>64</v>
      </c>
      <c r="AB169">
        <v>1</v>
      </c>
      <c r="AC169" t="s">
        <v>84</v>
      </c>
      <c r="AD169" t="s">
        <v>66</v>
      </c>
      <c r="AE169" t="s">
        <v>85</v>
      </c>
      <c r="AF169" t="s">
        <v>68</v>
      </c>
      <c r="AG169">
        <v>44715.44</v>
      </c>
      <c r="AH169" t="s">
        <v>69</v>
      </c>
      <c r="AI169" t="s">
        <v>220</v>
      </c>
      <c r="AJ169" t="s">
        <v>195</v>
      </c>
      <c r="AK169" t="s">
        <v>72</v>
      </c>
      <c r="AL169" t="s">
        <v>73</v>
      </c>
      <c r="AM169" t="s">
        <v>73</v>
      </c>
      <c r="AN169" t="s">
        <v>56</v>
      </c>
    </row>
    <row r="170" spans="1:40" x14ac:dyDescent="0.25">
      <c r="A170" t="s">
        <v>676</v>
      </c>
      <c r="B170" t="s">
        <v>5</v>
      </c>
      <c r="C170" s="2">
        <v>1458.936747</v>
      </c>
      <c r="D170" t="s">
        <v>56</v>
      </c>
      <c r="E170" t="s">
        <v>56</v>
      </c>
      <c r="F170">
        <v>-17848.18</v>
      </c>
      <c r="G170" t="s">
        <v>676</v>
      </c>
      <c r="H170" t="s">
        <v>7</v>
      </c>
      <c r="I170">
        <v>19964.91</v>
      </c>
      <c r="J170">
        <v>0</v>
      </c>
      <c r="K170">
        <v>0</v>
      </c>
      <c r="L170">
        <v>0</v>
      </c>
      <c r="M170" t="s">
        <v>676</v>
      </c>
      <c r="N170" t="s">
        <v>57</v>
      </c>
      <c r="O170" t="s">
        <v>58</v>
      </c>
      <c r="P170" t="s">
        <v>677</v>
      </c>
      <c r="Q170" t="s">
        <v>678</v>
      </c>
      <c r="R170" t="s">
        <v>61</v>
      </c>
      <c r="S170" t="s">
        <v>58</v>
      </c>
      <c r="T170" t="s">
        <v>677</v>
      </c>
      <c r="U170" t="s">
        <v>678</v>
      </c>
      <c r="V170" t="s">
        <v>56</v>
      </c>
      <c r="W170" t="s">
        <v>56</v>
      </c>
      <c r="X170" t="s">
        <v>56</v>
      </c>
      <c r="Y170" t="s">
        <v>62</v>
      </c>
      <c r="Z170" t="s">
        <v>63</v>
      </c>
      <c r="AA170" t="s">
        <v>64</v>
      </c>
      <c r="AB170">
        <v>1</v>
      </c>
      <c r="AC170" t="s">
        <v>78</v>
      </c>
      <c r="AD170" t="s">
        <v>66</v>
      </c>
      <c r="AE170" t="s">
        <v>85</v>
      </c>
      <c r="AF170" t="s">
        <v>68</v>
      </c>
      <c r="AG170">
        <v>33252.03</v>
      </c>
      <c r="AH170" t="s">
        <v>69</v>
      </c>
      <c r="AI170" t="s">
        <v>132</v>
      </c>
      <c r="AJ170" t="s">
        <v>679</v>
      </c>
      <c r="AK170" t="s">
        <v>72</v>
      </c>
      <c r="AL170" t="s">
        <v>73</v>
      </c>
      <c r="AM170" t="s">
        <v>73</v>
      </c>
      <c r="AN170" t="s">
        <v>56</v>
      </c>
    </row>
    <row r="171" spans="1:40" x14ac:dyDescent="0.25">
      <c r="A171" t="s">
        <v>1196</v>
      </c>
      <c r="B171" t="s">
        <v>5</v>
      </c>
      <c r="C171" s="2">
        <v>1455.983039</v>
      </c>
      <c r="D171" t="s">
        <v>56</v>
      </c>
      <c r="E171" t="s">
        <v>56</v>
      </c>
      <c r="F171">
        <v>-24557.59</v>
      </c>
      <c r="G171" t="s">
        <v>1196</v>
      </c>
      <c r="H171" t="s">
        <v>7</v>
      </c>
      <c r="I171">
        <v>28383.48</v>
      </c>
      <c r="J171">
        <v>0</v>
      </c>
      <c r="K171">
        <v>0</v>
      </c>
      <c r="L171">
        <v>0</v>
      </c>
      <c r="M171" t="s">
        <v>1196</v>
      </c>
      <c r="N171" t="s">
        <v>57</v>
      </c>
      <c r="O171" t="s">
        <v>58</v>
      </c>
      <c r="P171" t="s">
        <v>1197</v>
      </c>
      <c r="Q171" t="s">
        <v>1198</v>
      </c>
      <c r="R171" t="s">
        <v>61</v>
      </c>
      <c r="S171" t="s">
        <v>58</v>
      </c>
      <c r="T171" t="s">
        <v>1197</v>
      </c>
      <c r="U171" t="s">
        <v>1198</v>
      </c>
      <c r="V171" t="s">
        <v>56</v>
      </c>
      <c r="W171" t="s">
        <v>56</v>
      </c>
      <c r="X171" t="s">
        <v>56</v>
      </c>
      <c r="Y171" t="s">
        <v>62</v>
      </c>
      <c r="Z171" t="s">
        <v>63</v>
      </c>
      <c r="AA171" t="s">
        <v>64</v>
      </c>
      <c r="AB171">
        <v>1</v>
      </c>
      <c r="AC171" t="s">
        <v>65</v>
      </c>
      <c r="AD171" t="s">
        <v>66</v>
      </c>
      <c r="AE171" t="s">
        <v>289</v>
      </c>
      <c r="AF171" t="s">
        <v>277</v>
      </c>
      <c r="AG171">
        <v>35528.589999999997</v>
      </c>
      <c r="AH171" t="s">
        <v>69</v>
      </c>
      <c r="AI171" t="s">
        <v>92</v>
      </c>
      <c r="AJ171" t="s">
        <v>433</v>
      </c>
      <c r="AK171" t="s">
        <v>72</v>
      </c>
      <c r="AL171" t="s">
        <v>281</v>
      </c>
      <c r="AM171" t="s">
        <v>73</v>
      </c>
      <c r="AN171" t="s">
        <v>56</v>
      </c>
    </row>
    <row r="172" spans="1:40" x14ac:dyDescent="0.25">
      <c r="A172" t="s">
        <v>1040</v>
      </c>
      <c r="B172" t="s">
        <v>5</v>
      </c>
      <c r="C172" s="2">
        <v>1450.866182</v>
      </c>
      <c r="D172" t="s">
        <v>56</v>
      </c>
      <c r="E172" t="s">
        <v>56</v>
      </c>
      <c r="F172">
        <v>-17549.91</v>
      </c>
      <c r="G172" t="s">
        <v>1040</v>
      </c>
      <c r="H172" t="s">
        <v>7</v>
      </c>
      <c r="I172">
        <v>21522.83</v>
      </c>
      <c r="J172">
        <v>0</v>
      </c>
      <c r="K172">
        <v>0</v>
      </c>
      <c r="L172">
        <v>0</v>
      </c>
      <c r="M172" t="s">
        <v>1040</v>
      </c>
      <c r="N172" t="s">
        <v>57</v>
      </c>
      <c r="O172" t="s">
        <v>58</v>
      </c>
      <c r="P172" t="s">
        <v>1041</v>
      </c>
      <c r="Q172" t="s">
        <v>223</v>
      </c>
      <c r="R172" t="s">
        <v>61</v>
      </c>
      <c r="S172" t="s">
        <v>58</v>
      </c>
      <c r="T172" t="s">
        <v>1041</v>
      </c>
      <c r="U172" t="s">
        <v>223</v>
      </c>
      <c r="V172" t="s">
        <v>56</v>
      </c>
      <c r="W172" t="s">
        <v>56</v>
      </c>
      <c r="X172" t="s">
        <v>56</v>
      </c>
      <c r="Y172" t="s">
        <v>62</v>
      </c>
      <c r="Z172" t="s">
        <v>63</v>
      </c>
      <c r="AA172" t="s">
        <v>64</v>
      </c>
      <c r="AB172">
        <v>1</v>
      </c>
      <c r="AC172" t="s">
        <v>147</v>
      </c>
      <c r="AD172" t="s">
        <v>66</v>
      </c>
      <c r="AE172" t="s">
        <v>85</v>
      </c>
      <c r="AF172" t="s">
        <v>68</v>
      </c>
      <c r="AG172">
        <v>32878.25</v>
      </c>
      <c r="AH172" t="s">
        <v>69</v>
      </c>
      <c r="AI172" t="s">
        <v>278</v>
      </c>
      <c r="AJ172" t="s">
        <v>182</v>
      </c>
      <c r="AK172" t="s">
        <v>72</v>
      </c>
      <c r="AL172" t="s">
        <v>73</v>
      </c>
      <c r="AM172" t="s">
        <v>73</v>
      </c>
      <c r="AN172" t="s">
        <v>56</v>
      </c>
    </row>
    <row r="173" spans="1:40" x14ac:dyDescent="0.25">
      <c r="A173" t="s">
        <v>959</v>
      </c>
      <c r="B173" t="s">
        <v>5</v>
      </c>
      <c r="C173" s="2">
        <v>1445.6975440000001</v>
      </c>
      <c r="D173" t="s">
        <v>56</v>
      </c>
      <c r="E173" t="s">
        <v>56</v>
      </c>
      <c r="F173">
        <v>-20756.41</v>
      </c>
      <c r="G173" t="s">
        <v>959</v>
      </c>
      <c r="H173" t="s">
        <v>7</v>
      </c>
      <c r="I173">
        <v>25540.31</v>
      </c>
      <c r="J173">
        <v>0</v>
      </c>
      <c r="K173">
        <v>0</v>
      </c>
      <c r="L173">
        <v>0</v>
      </c>
      <c r="M173" t="s">
        <v>959</v>
      </c>
      <c r="N173" t="s">
        <v>57</v>
      </c>
      <c r="O173" t="s">
        <v>58</v>
      </c>
      <c r="P173" t="s">
        <v>960</v>
      </c>
      <c r="Q173" t="s">
        <v>961</v>
      </c>
      <c r="R173" t="s">
        <v>61</v>
      </c>
      <c r="S173" t="s">
        <v>58</v>
      </c>
      <c r="T173" t="s">
        <v>960</v>
      </c>
      <c r="U173" t="s">
        <v>961</v>
      </c>
      <c r="V173" t="s">
        <v>56</v>
      </c>
      <c r="W173" t="s">
        <v>56</v>
      </c>
      <c r="X173" t="s">
        <v>56</v>
      </c>
      <c r="Y173" t="s">
        <v>62</v>
      </c>
      <c r="Z173" t="s">
        <v>63</v>
      </c>
      <c r="AA173" t="s">
        <v>64</v>
      </c>
      <c r="AB173">
        <v>1</v>
      </c>
      <c r="AC173" t="s">
        <v>84</v>
      </c>
      <c r="AD173" t="s">
        <v>66</v>
      </c>
      <c r="AE173" t="s">
        <v>85</v>
      </c>
      <c r="AF173" t="s">
        <v>103</v>
      </c>
      <c r="AG173">
        <v>39024.400000000001</v>
      </c>
      <c r="AH173" t="s">
        <v>69</v>
      </c>
      <c r="AI173" t="s">
        <v>244</v>
      </c>
      <c r="AJ173" t="s">
        <v>754</v>
      </c>
      <c r="AK173" t="s">
        <v>72</v>
      </c>
      <c r="AL173" t="s">
        <v>73</v>
      </c>
      <c r="AM173" t="s">
        <v>73</v>
      </c>
      <c r="AN173" t="s">
        <v>56</v>
      </c>
    </row>
    <row r="174" spans="1:40" x14ac:dyDescent="0.25">
      <c r="A174" t="s">
        <v>486</v>
      </c>
      <c r="B174" t="s">
        <v>5</v>
      </c>
      <c r="C174">
        <v>1440.4953680000001</v>
      </c>
      <c r="D174" t="s">
        <v>56</v>
      </c>
      <c r="E174" t="s">
        <v>56</v>
      </c>
      <c r="F174">
        <v>-18207.3</v>
      </c>
      <c r="G174" t="s">
        <v>486</v>
      </c>
      <c r="H174" t="s">
        <v>7</v>
      </c>
      <c r="I174">
        <v>22389.1</v>
      </c>
      <c r="J174">
        <v>2166.3447980000001</v>
      </c>
      <c r="K174">
        <v>0</v>
      </c>
      <c r="L174">
        <v>0</v>
      </c>
      <c r="M174" t="s">
        <v>486</v>
      </c>
      <c r="N174" t="s">
        <v>57</v>
      </c>
      <c r="O174" t="s">
        <v>58</v>
      </c>
      <c r="P174" t="s">
        <v>487</v>
      </c>
      <c r="Q174" t="s">
        <v>385</v>
      </c>
      <c r="R174" t="s">
        <v>61</v>
      </c>
      <c r="S174" t="s">
        <v>58</v>
      </c>
      <c r="T174" t="s">
        <v>487</v>
      </c>
      <c r="U174" t="s">
        <v>385</v>
      </c>
      <c r="V174" t="s">
        <v>56</v>
      </c>
      <c r="W174" t="s">
        <v>56</v>
      </c>
      <c r="X174" t="s">
        <v>56</v>
      </c>
      <c r="Y174" t="s">
        <v>62</v>
      </c>
      <c r="Z174" t="s">
        <v>63</v>
      </c>
      <c r="AA174" t="s">
        <v>64</v>
      </c>
      <c r="AB174">
        <v>1</v>
      </c>
      <c r="AC174" t="s">
        <v>120</v>
      </c>
      <c r="AD174" t="s">
        <v>66</v>
      </c>
      <c r="AE174" t="s">
        <v>113</v>
      </c>
      <c r="AF174" t="s">
        <v>103</v>
      </c>
      <c r="AG174">
        <v>34552.85</v>
      </c>
      <c r="AH174" t="s">
        <v>69</v>
      </c>
      <c r="AI174" t="s">
        <v>181</v>
      </c>
      <c r="AJ174" t="s">
        <v>182</v>
      </c>
      <c r="AK174" t="s">
        <v>72</v>
      </c>
      <c r="AL174" t="s">
        <v>73</v>
      </c>
      <c r="AM174" t="s">
        <v>73</v>
      </c>
      <c r="AN174" t="s">
        <v>116</v>
      </c>
    </row>
    <row r="175" spans="1:40" x14ac:dyDescent="0.25">
      <c r="A175" t="s">
        <v>200</v>
      </c>
      <c r="B175" t="s">
        <v>5</v>
      </c>
      <c r="C175" s="2">
        <v>1432.2109419999999</v>
      </c>
      <c r="D175" t="s">
        <v>56</v>
      </c>
      <c r="E175" t="s">
        <v>56</v>
      </c>
      <c r="F175">
        <v>-25446.43</v>
      </c>
      <c r="G175" t="s">
        <v>200</v>
      </c>
      <c r="H175" t="s">
        <v>7</v>
      </c>
      <c r="I175">
        <v>28437.1</v>
      </c>
      <c r="J175">
        <v>0</v>
      </c>
      <c r="K175">
        <v>0</v>
      </c>
      <c r="L175">
        <v>0</v>
      </c>
      <c r="M175" t="s">
        <v>200</v>
      </c>
      <c r="N175" t="s">
        <v>57</v>
      </c>
      <c r="O175" t="s">
        <v>58</v>
      </c>
      <c r="P175" t="s">
        <v>201</v>
      </c>
      <c r="Q175" t="s">
        <v>202</v>
      </c>
      <c r="R175" t="s">
        <v>61</v>
      </c>
      <c r="S175" t="s">
        <v>58</v>
      </c>
      <c r="T175" t="s">
        <v>201</v>
      </c>
      <c r="U175" t="s">
        <v>202</v>
      </c>
      <c r="V175" t="s">
        <v>56</v>
      </c>
      <c r="W175" t="s">
        <v>56</v>
      </c>
      <c r="X175" t="s">
        <v>56</v>
      </c>
      <c r="Y175" t="s">
        <v>62</v>
      </c>
      <c r="Z175" t="s">
        <v>63</v>
      </c>
      <c r="AA175" t="s">
        <v>64</v>
      </c>
      <c r="AB175">
        <v>1</v>
      </c>
      <c r="AC175" t="s">
        <v>78</v>
      </c>
      <c r="AD175" t="s">
        <v>66</v>
      </c>
      <c r="AE175" t="s">
        <v>85</v>
      </c>
      <c r="AF175" t="s">
        <v>68</v>
      </c>
      <c r="AG175">
        <v>48292.68</v>
      </c>
      <c r="AH175" t="s">
        <v>69</v>
      </c>
      <c r="AI175" t="s">
        <v>203</v>
      </c>
      <c r="AJ175" t="s">
        <v>204</v>
      </c>
      <c r="AK175" t="s">
        <v>72</v>
      </c>
      <c r="AL175" t="s">
        <v>73</v>
      </c>
      <c r="AM175" t="s">
        <v>73</v>
      </c>
      <c r="AN175" t="s">
        <v>56</v>
      </c>
    </row>
    <row r="176" spans="1:40" x14ac:dyDescent="0.25">
      <c r="A176" t="s">
        <v>2435</v>
      </c>
      <c r="B176" t="s">
        <v>5</v>
      </c>
      <c r="C176">
        <v>1428.219049</v>
      </c>
      <c r="D176" t="s">
        <v>56</v>
      </c>
      <c r="E176" t="s">
        <v>56</v>
      </c>
      <c r="F176">
        <v>-17414.97</v>
      </c>
      <c r="G176" t="s">
        <v>2435</v>
      </c>
      <c r="H176" t="s">
        <v>7</v>
      </c>
      <c r="I176">
        <v>19743.060000000001</v>
      </c>
      <c r="J176">
        <v>1980.18021</v>
      </c>
      <c r="K176">
        <v>0</v>
      </c>
      <c r="L176">
        <v>0</v>
      </c>
      <c r="M176" t="s">
        <v>2435</v>
      </c>
      <c r="N176" t="s">
        <v>57</v>
      </c>
      <c r="O176" t="s">
        <v>58</v>
      </c>
      <c r="P176" t="s">
        <v>2436</v>
      </c>
      <c r="Q176" t="s">
        <v>2437</v>
      </c>
      <c r="R176" t="s">
        <v>61</v>
      </c>
      <c r="S176" t="s">
        <v>58</v>
      </c>
      <c r="T176" t="s">
        <v>2436</v>
      </c>
      <c r="U176" t="s">
        <v>2437</v>
      </c>
      <c r="V176" t="s">
        <v>56</v>
      </c>
      <c r="W176" t="s">
        <v>56</v>
      </c>
      <c r="X176" t="s">
        <v>56</v>
      </c>
      <c r="Y176" t="s">
        <v>62</v>
      </c>
      <c r="Z176" t="s">
        <v>63</v>
      </c>
      <c r="AA176" t="s">
        <v>64</v>
      </c>
      <c r="AB176">
        <v>1</v>
      </c>
      <c r="AC176" t="s">
        <v>84</v>
      </c>
      <c r="AD176" t="s">
        <v>66</v>
      </c>
      <c r="AE176" t="s">
        <v>113</v>
      </c>
      <c r="AF176" t="s">
        <v>68</v>
      </c>
      <c r="AG176">
        <v>33333.33</v>
      </c>
      <c r="AH176" t="s">
        <v>69</v>
      </c>
      <c r="AI176" t="s">
        <v>87</v>
      </c>
      <c r="AJ176" t="s">
        <v>477</v>
      </c>
      <c r="AK176" t="s">
        <v>72</v>
      </c>
      <c r="AL176" t="s">
        <v>73</v>
      </c>
      <c r="AM176" t="s">
        <v>73</v>
      </c>
      <c r="AN176" t="s">
        <v>116</v>
      </c>
    </row>
    <row r="177" spans="1:40" x14ac:dyDescent="0.25">
      <c r="A177" t="s">
        <v>1079</v>
      </c>
      <c r="B177" t="s">
        <v>5</v>
      </c>
      <c r="C177">
        <v>1426.1485709999999</v>
      </c>
      <c r="D177">
        <v>862.46831599999996</v>
      </c>
      <c r="E177" t="s">
        <v>56</v>
      </c>
      <c r="F177">
        <v>-54126.78</v>
      </c>
      <c r="G177" t="s">
        <v>1079</v>
      </c>
      <c r="H177" t="s">
        <v>7</v>
      </c>
      <c r="I177">
        <v>60786.17</v>
      </c>
      <c r="J177">
        <v>973.49597500000004</v>
      </c>
      <c r="K177">
        <v>826.91934900000001</v>
      </c>
      <c r="L177">
        <v>0</v>
      </c>
      <c r="M177" t="s">
        <v>1079</v>
      </c>
      <c r="N177" t="s">
        <v>57</v>
      </c>
      <c r="O177" t="s">
        <v>58</v>
      </c>
      <c r="P177" t="s">
        <v>1080</v>
      </c>
      <c r="Q177" t="s">
        <v>1081</v>
      </c>
      <c r="R177" t="s">
        <v>61</v>
      </c>
      <c r="S177" t="s">
        <v>58</v>
      </c>
      <c r="T177" t="s">
        <v>1080</v>
      </c>
      <c r="U177" t="s">
        <v>1081</v>
      </c>
      <c r="V177" t="s">
        <v>56</v>
      </c>
      <c r="W177" t="s">
        <v>56</v>
      </c>
      <c r="X177" t="s">
        <v>56</v>
      </c>
      <c r="Y177" t="s">
        <v>62</v>
      </c>
      <c r="Z177" t="s">
        <v>63</v>
      </c>
      <c r="AA177" t="s">
        <v>64</v>
      </c>
      <c r="AB177">
        <v>1</v>
      </c>
      <c r="AC177" t="s">
        <v>84</v>
      </c>
      <c r="AD177" t="s">
        <v>66</v>
      </c>
      <c r="AE177" t="s">
        <v>67</v>
      </c>
      <c r="AF177" t="s">
        <v>68</v>
      </c>
      <c r="AG177">
        <v>70000</v>
      </c>
      <c r="AH177" t="s">
        <v>69</v>
      </c>
      <c r="AI177" t="s">
        <v>501</v>
      </c>
      <c r="AJ177" t="s">
        <v>133</v>
      </c>
      <c r="AK177" t="s">
        <v>99</v>
      </c>
      <c r="AL177" t="s">
        <v>73</v>
      </c>
      <c r="AM177" t="s">
        <v>73</v>
      </c>
      <c r="AN177" t="s">
        <v>74</v>
      </c>
    </row>
    <row r="178" spans="1:40" x14ac:dyDescent="0.25">
      <c r="A178" t="s">
        <v>2231</v>
      </c>
      <c r="B178" t="s">
        <v>5</v>
      </c>
      <c r="C178" s="2">
        <v>1412.549389</v>
      </c>
      <c r="D178" t="s">
        <v>56</v>
      </c>
      <c r="E178" t="s">
        <v>56</v>
      </c>
      <c r="F178">
        <v>-12675.33</v>
      </c>
      <c r="G178" t="s">
        <v>2231</v>
      </c>
      <c r="H178" t="s">
        <v>7</v>
      </c>
      <c r="I178">
        <v>16504.54</v>
      </c>
      <c r="J178">
        <v>0</v>
      </c>
      <c r="K178">
        <v>0</v>
      </c>
      <c r="L178">
        <v>0</v>
      </c>
      <c r="M178" t="s">
        <v>2231</v>
      </c>
      <c r="N178" t="s">
        <v>57</v>
      </c>
      <c r="O178" t="s">
        <v>58</v>
      </c>
      <c r="P178" t="s">
        <v>2232</v>
      </c>
      <c r="Q178" t="s">
        <v>2233</v>
      </c>
      <c r="R178" t="s">
        <v>61</v>
      </c>
      <c r="S178" t="s">
        <v>58</v>
      </c>
      <c r="T178" t="s">
        <v>2232</v>
      </c>
      <c r="U178" t="s">
        <v>2233</v>
      </c>
      <c r="V178" t="s">
        <v>56</v>
      </c>
      <c r="W178" t="s">
        <v>56</v>
      </c>
      <c r="X178" t="s">
        <v>56</v>
      </c>
      <c r="Y178" t="s">
        <v>62</v>
      </c>
      <c r="Z178" t="s">
        <v>63</v>
      </c>
      <c r="AA178" t="s">
        <v>64</v>
      </c>
      <c r="AB178">
        <v>1</v>
      </c>
      <c r="AC178" t="s">
        <v>84</v>
      </c>
      <c r="AD178" t="s">
        <v>66</v>
      </c>
      <c r="AE178" t="s">
        <v>85</v>
      </c>
      <c r="AF178" t="s">
        <v>68</v>
      </c>
      <c r="AG178">
        <v>30000.01</v>
      </c>
      <c r="AH178" t="s">
        <v>69</v>
      </c>
      <c r="AI178" t="s">
        <v>70</v>
      </c>
      <c r="AJ178" t="s">
        <v>1195</v>
      </c>
      <c r="AK178" t="s">
        <v>99</v>
      </c>
      <c r="AL178" t="s">
        <v>73</v>
      </c>
      <c r="AM178" t="s">
        <v>73</v>
      </c>
      <c r="AN178" t="s">
        <v>56</v>
      </c>
    </row>
    <row r="179" spans="1:40" x14ac:dyDescent="0.25">
      <c r="A179" t="s">
        <v>2353</v>
      </c>
      <c r="B179" t="s">
        <v>5</v>
      </c>
      <c r="C179" s="2">
        <v>1410.035277</v>
      </c>
      <c r="D179" t="s">
        <v>56</v>
      </c>
      <c r="E179" t="s">
        <v>56</v>
      </c>
      <c r="F179">
        <v>-25932.98</v>
      </c>
      <c r="G179" t="s">
        <v>2353</v>
      </c>
      <c r="H179" t="s">
        <v>7</v>
      </c>
      <c r="I179">
        <v>29763.37</v>
      </c>
      <c r="J179">
        <v>0</v>
      </c>
      <c r="K179">
        <v>0</v>
      </c>
      <c r="L179">
        <v>0</v>
      </c>
      <c r="M179" t="s">
        <v>2353</v>
      </c>
      <c r="N179" t="s">
        <v>57</v>
      </c>
      <c r="O179" t="s">
        <v>58</v>
      </c>
      <c r="P179" t="s">
        <v>2354</v>
      </c>
      <c r="Q179" t="s">
        <v>2355</v>
      </c>
      <c r="R179" t="s">
        <v>61</v>
      </c>
      <c r="S179" t="s">
        <v>58</v>
      </c>
      <c r="T179" t="s">
        <v>2354</v>
      </c>
      <c r="U179" t="s">
        <v>2355</v>
      </c>
      <c r="V179" t="s">
        <v>56</v>
      </c>
      <c r="W179" t="s">
        <v>56</v>
      </c>
      <c r="X179" t="s">
        <v>56</v>
      </c>
      <c r="Y179" t="s">
        <v>62</v>
      </c>
      <c r="Z179" t="s">
        <v>63</v>
      </c>
      <c r="AA179" t="s">
        <v>64</v>
      </c>
      <c r="AB179">
        <v>1</v>
      </c>
      <c r="AC179" t="s">
        <v>84</v>
      </c>
      <c r="AD179" t="s">
        <v>66</v>
      </c>
      <c r="AE179" t="s">
        <v>85</v>
      </c>
      <c r="AF179" t="s">
        <v>68</v>
      </c>
      <c r="AG179">
        <v>49990</v>
      </c>
      <c r="AH179" t="s">
        <v>69</v>
      </c>
      <c r="AI179" t="s">
        <v>122</v>
      </c>
      <c r="AJ179" t="s">
        <v>182</v>
      </c>
      <c r="AK179" t="s">
        <v>72</v>
      </c>
      <c r="AL179" t="s">
        <v>73</v>
      </c>
      <c r="AM179" t="s">
        <v>73</v>
      </c>
      <c r="AN179" t="s">
        <v>56</v>
      </c>
    </row>
    <row r="180" spans="1:40" x14ac:dyDescent="0.25">
      <c r="A180" t="s">
        <v>1016</v>
      </c>
      <c r="B180" t="s">
        <v>5</v>
      </c>
      <c r="C180" s="2">
        <v>1407.5646280000001</v>
      </c>
      <c r="D180" t="s">
        <v>56</v>
      </c>
      <c r="E180" t="s">
        <v>56</v>
      </c>
      <c r="F180">
        <v>-17837.71</v>
      </c>
      <c r="G180" t="s">
        <v>1016</v>
      </c>
      <c r="H180" t="s">
        <v>7</v>
      </c>
      <c r="I180">
        <v>21883.45</v>
      </c>
      <c r="J180">
        <v>0</v>
      </c>
      <c r="K180">
        <v>0</v>
      </c>
      <c r="L180">
        <v>0</v>
      </c>
      <c r="M180" t="s">
        <v>1016</v>
      </c>
      <c r="N180" t="s">
        <v>57</v>
      </c>
      <c r="O180" t="s">
        <v>58</v>
      </c>
      <c r="P180" t="s">
        <v>1017</v>
      </c>
      <c r="Q180" t="s">
        <v>1018</v>
      </c>
      <c r="R180" t="s">
        <v>61</v>
      </c>
      <c r="S180" t="s">
        <v>58</v>
      </c>
      <c r="T180" t="s">
        <v>1017</v>
      </c>
      <c r="U180" t="s">
        <v>1018</v>
      </c>
      <c r="V180" t="s">
        <v>56</v>
      </c>
      <c r="W180" t="s">
        <v>56</v>
      </c>
      <c r="X180" t="s">
        <v>56</v>
      </c>
      <c r="Y180" t="s">
        <v>62</v>
      </c>
      <c r="Z180" t="s">
        <v>63</v>
      </c>
      <c r="AA180" t="s">
        <v>64</v>
      </c>
      <c r="AB180">
        <v>1</v>
      </c>
      <c r="AC180" t="s">
        <v>84</v>
      </c>
      <c r="AD180" t="s">
        <v>66</v>
      </c>
      <c r="AE180" t="s">
        <v>85</v>
      </c>
      <c r="AF180" t="s">
        <v>68</v>
      </c>
      <c r="AG180">
        <v>34445.480000000003</v>
      </c>
      <c r="AH180" t="s">
        <v>69</v>
      </c>
      <c r="AI180" t="s">
        <v>114</v>
      </c>
      <c r="AJ180" t="s">
        <v>182</v>
      </c>
      <c r="AK180" t="s">
        <v>72</v>
      </c>
      <c r="AL180" t="s">
        <v>73</v>
      </c>
      <c r="AM180" t="s">
        <v>73</v>
      </c>
      <c r="AN180" t="s">
        <v>56</v>
      </c>
    </row>
    <row r="181" spans="1:40" x14ac:dyDescent="0.25">
      <c r="A181" t="s">
        <v>1481</v>
      </c>
      <c r="B181" t="s">
        <v>5</v>
      </c>
      <c r="C181" s="2">
        <v>1404.355125</v>
      </c>
      <c r="D181" t="s">
        <v>56</v>
      </c>
      <c r="E181" t="s">
        <v>56</v>
      </c>
      <c r="F181">
        <v>-18062.560000000001</v>
      </c>
      <c r="G181" t="s">
        <v>1481</v>
      </c>
      <c r="H181" t="s">
        <v>7</v>
      </c>
      <c r="I181">
        <v>21092.63</v>
      </c>
      <c r="J181">
        <v>0</v>
      </c>
      <c r="K181">
        <v>0</v>
      </c>
      <c r="L181">
        <v>0</v>
      </c>
      <c r="M181" t="s">
        <v>1481</v>
      </c>
      <c r="N181" t="s">
        <v>57</v>
      </c>
      <c r="O181" t="s">
        <v>58</v>
      </c>
      <c r="P181" t="s">
        <v>1482</v>
      </c>
      <c r="Q181" t="s">
        <v>1483</v>
      </c>
      <c r="R181" t="s">
        <v>61</v>
      </c>
      <c r="S181" t="s">
        <v>58</v>
      </c>
      <c r="T181" t="s">
        <v>1482</v>
      </c>
      <c r="U181" t="s">
        <v>1483</v>
      </c>
      <c r="V181" t="s">
        <v>56</v>
      </c>
      <c r="W181" t="s">
        <v>56</v>
      </c>
      <c r="X181" t="s">
        <v>56</v>
      </c>
      <c r="Y181" t="s">
        <v>62</v>
      </c>
      <c r="Z181" t="s">
        <v>63</v>
      </c>
      <c r="AA181" t="s">
        <v>64</v>
      </c>
      <c r="AB181">
        <v>1</v>
      </c>
      <c r="AC181" t="s">
        <v>78</v>
      </c>
      <c r="AD181" t="s">
        <v>66</v>
      </c>
      <c r="AE181" t="s">
        <v>85</v>
      </c>
      <c r="AF181" t="s">
        <v>103</v>
      </c>
      <c r="AG181">
        <v>34959.35</v>
      </c>
      <c r="AH181" t="s">
        <v>69</v>
      </c>
      <c r="AI181" t="s">
        <v>181</v>
      </c>
      <c r="AJ181" t="s">
        <v>204</v>
      </c>
      <c r="AK181" t="s">
        <v>72</v>
      </c>
      <c r="AL181" t="s">
        <v>73</v>
      </c>
      <c r="AM181" t="s">
        <v>73</v>
      </c>
      <c r="AN181" t="s">
        <v>56</v>
      </c>
    </row>
    <row r="182" spans="1:40" x14ac:dyDescent="0.25">
      <c r="A182" t="s">
        <v>2003</v>
      </c>
      <c r="B182" t="s">
        <v>5</v>
      </c>
      <c r="C182" s="2">
        <v>1399.7815820000001</v>
      </c>
      <c r="D182" t="s">
        <v>56</v>
      </c>
      <c r="E182" t="s">
        <v>56</v>
      </c>
      <c r="F182">
        <v>-18000.05</v>
      </c>
      <c r="G182" t="s">
        <v>2003</v>
      </c>
      <c r="H182" t="s">
        <v>7</v>
      </c>
      <c r="I182">
        <v>21414</v>
      </c>
      <c r="J182">
        <v>0</v>
      </c>
      <c r="K182">
        <v>0</v>
      </c>
      <c r="L182">
        <v>0</v>
      </c>
      <c r="M182" t="s">
        <v>2003</v>
      </c>
      <c r="N182" t="s">
        <v>57</v>
      </c>
      <c r="O182" t="s">
        <v>58</v>
      </c>
      <c r="P182" t="s">
        <v>2004</v>
      </c>
      <c r="Q182" t="s">
        <v>2005</v>
      </c>
      <c r="R182" t="s">
        <v>61</v>
      </c>
      <c r="S182" t="s">
        <v>58</v>
      </c>
      <c r="T182" t="s">
        <v>2004</v>
      </c>
      <c r="U182" t="s">
        <v>2005</v>
      </c>
      <c r="V182" t="s">
        <v>56</v>
      </c>
      <c r="W182" t="s">
        <v>56</v>
      </c>
      <c r="X182" t="s">
        <v>56</v>
      </c>
      <c r="Y182" t="s">
        <v>62</v>
      </c>
      <c r="Z182" t="s">
        <v>63</v>
      </c>
      <c r="AA182" t="s">
        <v>64</v>
      </c>
      <c r="AB182">
        <v>1</v>
      </c>
      <c r="AC182" t="s">
        <v>84</v>
      </c>
      <c r="AD182" t="s">
        <v>66</v>
      </c>
      <c r="AE182" t="s">
        <v>85</v>
      </c>
      <c r="AF182" t="s">
        <v>103</v>
      </c>
      <c r="AG182">
        <v>34952.160000000003</v>
      </c>
      <c r="AH182" t="s">
        <v>69</v>
      </c>
      <c r="AI182" t="s">
        <v>400</v>
      </c>
      <c r="AJ182" t="s">
        <v>187</v>
      </c>
      <c r="AK182" t="s">
        <v>280</v>
      </c>
      <c r="AL182" t="s">
        <v>73</v>
      </c>
      <c r="AM182" t="s">
        <v>73</v>
      </c>
      <c r="AN182" t="s">
        <v>56</v>
      </c>
    </row>
    <row r="183" spans="1:40" x14ac:dyDescent="0.25">
      <c r="A183" t="s">
        <v>282</v>
      </c>
      <c r="B183" t="s">
        <v>5</v>
      </c>
      <c r="C183">
        <v>1397.499671</v>
      </c>
      <c r="D183" t="s">
        <v>56</v>
      </c>
      <c r="E183" t="s">
        <v>56</v>
      </c>
      <c r="F183">
        <v>-15751.98</v>
      </c>
      <c r="G183" t="s">
        <v>282</v>
      </c>
      <c r="H183" t="s">
        <v>7</v>
      </c>
      <c r="I183">
        <v>18461.59</v>
      </c>
      <c r="J183">
        <v>2003.0312080000001</v>
      </c>
      <c r="K183">
        <v>0</v>
      </c>
      <c r="L183">
        <v>0</v>
      </c>
      <c r="M183" t="s">
        <v>282</v>
      </c>
      <c r="N183" t="s">
        <v>57</v>
      </c>
      <c r="O183" t="s">
        <v>58</v>
      </c>
      <c r="P183" t="s">
        <v>283</v>
      </c>
      <c r="Q183" t="s">
        <v>284</v>
      </c>
      <c r="R183" t="s">
        <v>61</v>
      </c>
      <c r="S183" t="s">
        <v>58</v>
      </c>
      <c r="T183" t="s">
        <v>283</v>
      </c>
      <c r="U183" t="s">
        <v>284</v>
      </c>
      <c r="V183" t="s">
        <v>56</v>
      </c>
      <c r="W183" t="s">
        <v>56</v>
      </c>
      <c r="X183" t="s">
        <v>56</v>
      </c>
      <c r="Y183" t="s">
        <v>62</v>
      </c>
      <c r="Z183" t="s">
        <v>63</v>
      </c>
      <c r="AA183" t="s">
        <v>64</v>
      </c>
      <c r="AB183">
        <v>1</v>
      </c>
      <c r="AC183" t="s">
        <v>65</v>
      </c>
      <c r="AD183" t="s">
        <v>66</v>
      </c>
      <c r="AE183" t="s">
        <v>113</v>
      </c>
      <c r="AF183" t="s">
        <v>68</v>
      </c>
      <c r="AG183">
        <v>30813.01</v>
      </c>
      <c r="AH183" t="s">
        <v>69</v>
      </c>
      <c r="AI183" t="s">
        <v>285</v>
      </c>
      <c r="AJ183" t="s">
        <v>172</v>
      </c>
      <c r="AK183" t="s">
        <v>72</v>
      </c>
      <c r="AL183" t="s">
        <v>73</v>
      </c>
      <c r="AM183" t="s">
        <v>73</v>
      </c>
      <c r="AN183" t="s">
        <v>116</v>
      </c>
    </row>
    <row r="184" spans="1:40" x14ac:dyDescent="0.25">
      <c r="A184" t="s">
        <v>2114</v>
      </c>
      <c r="B184" t="s">
        <v>5</v>
      </c>
      <c r="C184">
        <v>1391.3161190000001</v>
      </c>
      <c r="D184" t="s">
        <v>56</v>
      </c>
      <c r="E184" t="s">
        <v>56</v>
      </c>
      <c r="F184">
        <v>-20093.080000000002</v>
      </c>
      <c r="G184" t="s">
        <v>2114</v>
      </c>
      <c r="H184" t="s">
        <v>7</v>
      </c>
      <c r="I184">
        <v>24415.48</v>
      </c>
      <c r="J184">
        <v>2067.555605</v>
      </c>
      <c r="K184">
        <v>0</v>
      </c>
      <c r="L184">
        <v>0</v>
      </c>
      <c r="M184" t="s">
        <v>2114</v>
      </c>
      <c r="N184" t="s">
        <v>57</v>
      </c>
      <c r="O184" t="s">
        <v>58</v>
      </c>
      <c r="P184" t="s">
        <v>2115</v>
      </c>
      <c r="Q184" t="s">
        <v>2116</v>
      </c>
      <c r="R184" t="s">
        <v>61</v>
      </c>
      <c r="S184" t="s">
        <v>58</v>
      </c>
      <c r="T184" t="s">
        <v>2115</v>
      </c>
      <c r="U184" t="s">
        <v>2116</v>
      </c>
      <c r="V184" t="s">
        <v>56</v>
      </c>
      <c r="W184" t="s">
        <v>56</v>
      </c>
      <c r="X184" t="s">
        <v>56</v>
      </c>
      <c r="Y184" t="s">
        <v>62</v>
      </c>
      <c r="Z184" t="s">
        <v>63</v>
      </c>
      <c r="AA184" t="s">
        <v>64</v>
      </c>
      <c r="AB184">
        <v>1</v>
      </c>
      <c r="AC184" t="s">
        <v>84</v>
      </c>
      <c r="AD184" t="s">
        <v>66</v>
      </c>
      <c r="AE184" t="s">
        <v>113</v>
      </c>
      <c r="AF184" t="s">
        <v>103</v>
      </c>
      <c r="AG184">
        <v>39479.43</v>
      </c>
      <c r="AH184" t="s">
        <v>69</v>
      </c>
      <c r="AI184" t="s">
        <v>244</v>
      </c>
      <c r="AJ184" t="s">
        <v>182</v>
      </c>
      <c r="AK184" t="s">
        <v>72</v>
      </c>
      <c r="AL184" t="s">
        <v>73</v>
      </c>
      <c r="AM184" t="s">
        <v>73</v>
      </c>
      <c r="AN184" t="s">
        <v>116</v>
      </c>
    </row>
    <row r="185" spans="1:40" x14ac:dyDescent="0.25">
      <c r="A185" t="s">
        <v>1795</v>
      </c>
      <c r="B185" t="s">
        <v>5</v>
      </c>
      <c r="C185" s="2">
        <v>1386.3852469999999</v>
      </c>
      <c r="D185" t="s">
        <v>56</v>
      </c>
      <c r="E185" t="s">
        <v>56</v>
      </c>
      <c r="F185">
        <v>-18389.61</v>
      </c>
      <c r="G185" t="s">
        <v>1795</v>
      </c>
      <c r="H185" t="s">
        <v>7</v>
      </c>
      <c r="I185">
        <v>21952.52</v>
      </c>
      <c r="J185">
        <v>0</v>
      </c>
      <c r="K185">
        <v>0</v>
      </c>
      <c r="L185">
        <v>0</v>
      </c>
      <c r="M185" t="s">
        <v>1795</v>
      </c>
      <c r="N185" t="s">
        <v>57</v>
      </c>
      <c r="O185" t="s">
        <v>58</v>
      </c>
      <c r="P185" t="s">
        <v>1796</v>
      </c>
      <c r="Q185" t="s">
        <v>1797</v>
      </c>
      <c r="R185" t="s">
        <v>61</v>
      </c>
      <c r="S185" t="s">
        <v>58</v>
      </c>
      <c r="T185" t="s">
        <v>1796</v>
      </c>
      <c r="U185" t="s">
        <v>1797</v>
      </c>
      <c r="V185" t="s">
        <v>56</v>
      </c>
      <c r="W185" t="s">
        <v>56</v>
      </c>
      <c r="X185" t="s">
        <v>56</v>
      </c>
      <c r="Y185" t="s">
        <v>62</v>
      </c>
      <c r="Z185" t="s">
        <v>63</v>
      </c>
      <c r="AA185" t="s">
        <v>64</v>
      </c>
      <c r="AB185">
        <v>1</v>
      </c>
      <c r="AC185" t="s">
        <v>84</v>
      </c>
      <c r="AD185" t="s">
        <v>66</v>
      </c>
      <c r="AE185" t="s">
        <v>85</v>
      </c>
      <c r="AF185" t="s">
        <v>103</v>
      </c>
      <c r="AG185">
        <v>36053.660000000003</v>
      </c>
      <c r="AH185" t="s">
        <v>69</v>
      </c>
      <c r="AI185" t="s">
        <v>297</v>
      </c>
      <c r="AJ185" t="s">
        <v>351</v>
      </c>
      <c r="AK185" t="s">
        <v>72</v>
      </c>
      <c r="AL185" t="s">
        <v>73</v>
      </c>
      <c r="AM185" t="s">
        <v>73</v>
      </c>
      <c r="AN185" t="s">
        <v>56</v>
      </c>
    </row>
    <row r="186" spans="1:40" x14ac:dyDescent="0.25">
      <c r="A186" t="s">
        <v>1392</v>
      </c>
      <c r="B186" t="s">
        <v>5</v>
      </c>
      <c r="C186">
        <v>1378.8346899999999</v>
      </c>
      <c r="D186" t="s">
        <v>56</v>
      </c>
      <c r="E186" t="s">
        <v>56</v>
      </c>
      <c r="F186">
        <v>-18203.169999999998</v>
      </c>
      <c r="G186" t="s">
        <v>1392</v>
      </c>
      <c r="H186" t="s">
        <v>7</v>
      </c>
      <c r="I186">
        <v>21243.67</v>
      </c>
      <c r="J186">
        <v>1967.920574</v>
      </c>
      <c r="K186">
        <v>0</v>
      </c>
      <c r="L186">
        <v>0</v>
      </c>
      <c r="M186" t="s">
        <v>1392</v>
      </c>
      <c r="N186" t="s">
        <v>57</v>
      </c>
      <c r="O186" t="s">
        <v>58</v>
      </c>
      <c r="P186" t="s">
        <v>1393</v>
      </c>
      <c r="Q186" t="s">
        <v>1394</v>
      </c>
      <c r="R186" t="s">
        <v>61</v>
      </c>
      <c r="S186" t="s">
        <v>58</v>
      </c>
      <c r="T186" t="s">
        <v>1393</v>
      </c>
      <c r="U186" t="s">
        <v>1394</v>
      </c>
      <c r="V186" t="s">
        <v>56</v>
      </c>
      <c r="W186" t="s">
        <v>56</v>
      </c>
      <c r="X186" t="s">
        <v>56</v>
      </c>
      <c r="Y186" t="s">
        <v>62</v>
      </c>
      <c r="Z186" t="s">
        <v>63</v>
      </c>
      <c r="AA186" t="s">
        <v>64</v>
      </c>
      <c r="AB186">
        <v>1</v>
      </c>
      <c r="AC186" t="s">
        <v>78</v>
      </c>
      <c r="AD186" t="s">
        <v>66</v>
      </c>
      <c r="AE186" t="s">
        <v>113</v>
      </c>
      <c r="AF186" t="s">
        <v>103</v>
      </c>
      <c r="AG186">
        <v>36089.85</v>
      </c>
      <c r="AH186" t="s">
        <v>69</v>
      </c>
      <c r="AI186" t="s">
        <v>297</v>
      </c>
      <c r="AJ186" t="s">
        <v>88</v>
      </c>
      <c r="AK186" t="s">
        <v>72</v>
      </c>
      <c r="AL186" t="s">
        <v>73</v>
      </c>
      <c r="AM186" t="s">
        <v>73</v>
      </c>
      <c r="AN186" t="s">
        <v>116</v>
      </c>
    </row>
    <row r="187" spans="1:40" x14ac:dyDescent="0.25">
      <c r="A187" t="s">
        <v>1963</v>
      </c>
      <c r="B187" t="s">
        <v>5</v>
      </c>
      <c r="C187" s="2">
        <v>1374.6304399999999</v>
      </c>
      <c r="D187" t="s">
        <v>56</v>
      </c>
      <c r="E187" t="s">
        <v>56</v>
      </c>
      <c r="F187">
        <v>-16442.63</v>
      </c>
      <c r="G187" t="s">
        <v>1963</v>
      </c>
      <c r="H187" t="s">
        <v>7</v>
      </c>
      <c r="I187">
        <v>18936.53</v>
      </c>
      <c r="J187">
        <v>0</v>
      </c>
      <c r="K187">
        <v>0</v>
      </c>
      <c r="L187">
        <v>0</v>
      </c>
      <c r="M187" t="s">
        <v>1963</v>
      </c>
      <c r="N187" t="s">
        <v>57</v>
      </c>
      <c r="O187" t="s">
        <v>58</v>
      </c>
      <c r="P187" t="s">
        <v>1964</v>
      </c>
      <c r="Q187" t="s">
        <v>1965</v>
      </c>
      <c r="R187" t="s">
        <v>61</v>
      </c>
      <c r="S187" t="s">
        <v>58</v>
      </c>
      <c r="T187" t="s">
        <v>1964</v>
      </c>
      <c r="U187" t="s">
        <v>1965</v>
      </c>
      <c r="V187" t="s">
        <v>56</v>
      </c>
      <c r="W187" t="s">
        <v>56</v>
      </c>
      <c r="X187" t="s">
        <v>56</v>
      </c>
      <c r="Y187" t="s">
        <v>62</v>
      </c>
      <c r="Z187" t="s">
        <v>63</v>
      </c>
      <c r="AA187" t="s">
        <v>64</v>
      </c>
      <c r="AB187">
        <v>1</v>
      </c>
      <c r="AC187" t="s">
        <v>84</v>
      </c>
      <c r="AD187" t="s">
        <v>66</v>
      </c>
      <c r="AE187" t="s">
        <v>85</v>
      </c>
      <c r="AF187" t="s">
        <v>68</v>
      </c>
      <c r="AG187">
        <v>32512.2</v>
      </c>
      <c r="AH187" t="s">
        <v>69</v>
      </c>
      <c r="AI187" t="s">
        <v>128</v>
      </c>
      <c r="AJ187" t="s">
        <v>177</v>
      </c>
      <c r="AK187" t="s">
        <v>72</v>
      </c>
      <c r="AL187" t="s">
        <v>73</v>
      </c>
      <c r="AM187" t="s">
        <v>73</v>
      </c>
      <c r="AN187" t="s">
        <v>56</v>
      </c>
    </row>
    <row r="188" spans="1:40" x14ac:dyDescent="0.25">
      <c r="A188" t="s">
        <v>714</v>
      </c>
      <c r="B188" t="s">
        <v>5</v>
      </c>
      <c r="C188" s="2">
        <v>1370.6987979999999</v>
      </c>
      <c r="D188" t="s">
        <v>56</v>
      </c>
      <c r="E188" t="s">
        <v>56</v>
      </c>
      <c r="F188">
        <v>-25009.51</v>
      </c>
      <c r="G188" t="s">
        <v>714</v>
      </c>
      <c r="H188" t="s">
        <v>7</v>
      </c>
      <c r="I188">
        <v>28499.58</v>
      </c>
      <c r="J188">
        <v>0</v>
      </c>
      <c r="K188">
        <v>0</v>
      </c>
      <c r="L188">
        <v>0</v>
      </c>
      <c r="M188" t="s">
        <v>714</v>
      </c>
      <c r="N188" t="s">
        <v>57</v>
      </c>
      <c r="O188" t="s">
        <v>58</v>
      </c>
      <c r="P188" t="s">
        <v>715</v>
      </c>
      <c r="Q188" t="s">
        <v>716</v>
      </c>
      <c r="R188" t="s">
        <v>61</v>
      </c>
      <c r="S188" t="s">
        <v>58</v>
      </c>
      <c r="T188" t="s">
        <v>715</v>
      </c>
      <c r="U188" t="s">
        <v>716</v>
      </c>
      <c r="V188" t="s">
        <v>56</v>
      </c>
      <c r="W188" t="s">
        <v>56</v>
      </c>
      <c r="X188" t="s">
        <v>56</v>
      </c>
      <c r="Y188" t="s">
        <v>62</v>
      </c>
      <c r="Z188" t="s">
        <v>63</v>
      </c>
      <c r="AA188" t="s">
        <v>64</v>
      </c>
      <c r="AB188">
        <v>1</v>
      </c>
      <c r="AC188" t="s">
        <v>78</v>
      </c>
      <c r="AD188" t="s">
        <v>66</v>
      </c>
      <c r="AE188" t="s">
        <v>85</v>
      </c>
      <c r="AF188" t="s">
        <v>68</v>
      </c>
      <c r="AG188">
        <v>49593.49</v>
      </c>
      <c r="AH188" t="s">
        <v>69</v>
      </c>
      <c r="AI188" t="s">
        <v>132</v>
      </c>
      <c r="AJ188" t="s">
        <v>195</v>
      </c>
      <c r="AK188" t="s">
        <v>72</v>
      </c>
      <c r="AL188" t="s">
        <v>73</v>
      </c>
      <c r="AM188" t="s">
        <v>73</v>
      </c>
      <c r="AN188" t="s">
        <v>56</v>
      </c>
    </row>
    <row r="189" spans="1:40" x14ac:dyDescent="0.25">
      <c r="A189" t="s">
        <v>1833</v>
      </c>
      <c r="B189" t="s">
        <v>5</v>
      </c>
      <c r="C189">
        <v>1363.02107</v>
      </c>
      <c r="D189" t="s">
        <v>56</v>
      </c>
      <c r="E189" t="s">
        <v>56</v>
      </c>
      <c r="F189">
        <v>-21389.29</v>
      </c>
      <c r="G189" t="s">
        <v>1833</v>
      </c>
      <c r="H189" t="s">
        <v>7</v>
      </c>
      <c r="I189">
        <v>26455.4</v>
      </c>
      <c r="J189">
        <v>2061.7550959999999</v>
      </c>
      <c r="K189">
        <v>0</v>
      </c>
      <c r="L189">
        <v>0</v>
      </c>
      <c r="M189" t="s">
        <v>1833</v>
      </c>
      <c r="N189" t="s">
        <v>57</v>
      </c>
      <c r="O189" t="s">
        <v>58</v>
      </c>
      <c r="P189" t="s">
        <v>1834</v>
      </c>
      <c r="Q189" t="s">
        <v>565</v>
      </c>
      <c r="R189" t="s">
        <v>61</v>
      </c>
      <c r="S189" t="s">
        <v>58</v>
      </c>
      <c r="T189" t="s">
        <v>1834</v>
      </c>
      <c r="U189" t="s">
        <v>565</v>
      </c>
      <c r="V189" t="s">
        <v>56</v>
      </c>
      <c r="W189" t="s">
        <v>56</v>
      </c>
      <c r="X189" t="s">
        <v>56</v>
      </c>
      <c r="Y189" t="s">
        <v>62</v>
      </c>
      <c r="Z189" t="s">
        <v>63</v>
      </c>
      <c r="AA189" t="s">
        <v>64</v>
      </c>
      <c r="AB189">
        <v>1</v>
      </c>
      <c r="AC189" t="s">
        <v>65</v>
      </c>
      <c r="AD189" t="s">
        <v>66</v>
      </c>
      <c r="AE189" t="s">
        <v>113</v>
      </c>
      <c r="AF189" t="s">
        <v>68</v>
      </c>
      <c r="AG189">
        <v>42898.7</v>
      </c>
      <c r="AH189" t="s">
        <v>69</v>
      </c>
      <c r="AI189" t="s">
        <v>220</v>
      </c>
      <c r="AJ189" t="s">
        <v>177</v>
      </c>
      <c r="AK189" t="s">
        <v>72</v>
      </c>
      <c r="AL189" t="s">
        <v>73</v>
      </c>
      <c r="AM189" t="s">
        <v>73</v>
      </c>
      <c r="AN189" t="s">
        <v>116</v>
      </c>
    </row>
    <row r="190" spans="1:40" x14ac:dyDescent="0.25">
      <c r="A190" t="s">
        <v>1424</v>
      </c>
      <c r="B190" t="s">
        <v>5</v>
      </c>
      <c r="C190" s="2">
        <v>1360.3075699999999</v>
      </c>
      <c r="D190" t="s">
        <v>56</v>
      </c>
      <c r="E190" t="s">
        <v>56</v>
      </c>
      <c r="F190">
        <v>-23140.76</v>
      </c>
      <c r="G190" t="s">
        <v>1424</v>
      </c>
      <c r="H190" t="s">
        <v>7</v>
      </c>
      <c r="I190">
        <v>27970.65</v>
      </c>
      <c r="J190">
        <v>0</v>
      </c>
      <c r="K190">
        <v>0</v>
      </c>
      <c r="L190">
        <v>0</v>
      </c>
      <c r="M190" t="s">
        <v>1424</v>
      </c>
      <c r="N190" t="s">
        <v>57</v>
      </c>
      <c r="O190" t="s">
        <v>58</v>
      </c>
      <c r="P190" t="s">
        <v>1425</v>
      </c>
      <c r="Q190" t="s">
        <v>1426</v>
      </c>
      <c r="R190" t="s">
        <v>61</v>
      </c>
      <c r="S190" t="s">
        <v>58</v>
      </c>
      <c r="T190" t="s">
        <v>1425</v>
      </c>
      <c r="U190" t="s">
        <v>1426</v>
      </c>
      <c r="V190" t="s">
        <v>56</v>
      </c>
      <c r="W190" t="s">
        <v>56</v>
      </c>
      <c r="X190" t="s">
        <v>56</v>
      </c>
      <c r="Y190" t="s">
        <v>62</v>
      </c>
      <c r="Z190" t="s">
        <v>63</v>
      </c>
      <c r="AA190" t="s">
        <v>64</v>
      </c>
      <c r="AB190">
        <v>1</v>
      </c>
      <c r="AC190" t="s">
        <v>65</v>
      </c>
      <c r="AD190" t="s">
        <v>66</v>
      </c>
      <c r="AE190" t="s">
        <v>289</v>
      </c>
      <c r="AF190" t="s">
        <v>68</v>
      </c>
      <c r="AG190">
        <v>57200</v>
      </c>
      <c r="AH190" t="s">
        <v>69</v>
      </c>
      <c r="AI190" t="s">
        <v>97</v>
      </c>
      <c r="AJ190" t="s">
        <v>249</v>
      </c>
      <c r="AK190" t="s">
        <v>99</v>
      </c>
      <c r="AL190" t="s">
        <v>73</v>
      </c>
      <c r="AM190" t="s">
        <v>73</v>
      </c>
      <c r="AN190" t="s">
        <v>56</v>
      </c>
    </row>
    <row r="191" spans="1:40" x14ac:dyDescent="0.25">
      <c r="A191" t="s">
        <v>2414</v>
      </c>
      <c r="B191" t="s">
        <v>5</v>
      </c>
      <c r="C191" s="2">
        <v>1355.2263150000001</v>
      </c>
      <c r="D191" t="s">
        <v>56</v>
      </c>
      <c r="E191" t="s">
        <v>56</v>
      </c>
      <c r="F191">
        <v>-23811.32</v>
      </c>
      <c r="G191" t="s">
        <v>2414</v>
      </c>
      <c r="H191" t="s">
        <v>7</v>
      </c>
      <c r="I191">
        <v>29451.09</v>
      </c>
      <c r="J191">
        <v>0</v>
      </c>
      <c r="K191">
        <v>0</v>
      </c>
      <c r="L191">
        <v>0</v>
      </c>
      <c r="M191" t="s">
        <v>2414</v>
      </c>
      <c r="N191" t="s">
        <v>57</v>
      </c>
      <c r="O191" t="s">
        <v>58</v>
      </c>
      <c r="P191" t="s">
        <v>2415</v>
      </c>
      <c r="Q191" t="s">
        <v>565</v>
      </c>
      <c r="R191" t="s">
        <v>61</v>
      </c>
      <c r="S191" t="s">
        <v>58</v>
      </c>
      <c r="T191" t="s">
        <v>2415</v>
      </c>
      <c r="U191" t="s">
        <v>565</v>
      </c>
      <c r="V191" t="s">
        <v>56</v>
      </c>
      <c r="W191" t="s">
        <v>56</v>
      </c>
      <c r="X191" t="s">
        <v>56</v>
      </c>
      <c r="Y191" t="s">
        <v>62</v>
      </c>
      <c r="Z191" t="s">
        <v>63</v>
      </c>
      <c r="AA191" t="s">
        <v>64</v>
      </c>
      <c r="AB191">
        <v>1</v>
      </c>
      <c r="AC191" t="s">
        <v>65</v>
      </c>
      <c r="AD191" t="s">
        <v>66</v>
      </c>
      <c r="AE191" t="s">
        <v>85</v>
      </c>
      <c r="AF191" t="s">
        <v>103</v>
      </c>
      <c r="AG191">
        <v>47756.49</v>
      </c>
      <c r="AH191" t="s">
        <v>69</v>
      </c>
      <c r="AI191" t="s">
        <v>97</v>
      </c>
      <c r="AJ191" t="s">
        <v>177</v>
      </c>
      <c r="AK191" t="s">
        <v>72</v>
      </c>
      <c r="AL191" t="s">
        <v>73</v>
      </c>
      <c r="AM191" t="s">
        <v>73</v>
      </c>
      <c r="AN191" t="s">
        <v>56</v>
      </c>
    </row>
    <row r="192" spans="1:40" x14ac:dyDescent="0.25">
      <c r="A192" t="s">
        <v>2155</v>
      </c>
      <c r="B192" t="s">
        <v>5</v>
      </c>
      <c r="C192" s="2">
        <v>1354.9354539999999</v>
      </c>
      <c r="D192" t="s">
        <v>56</v>
      </c>
      <c r="E192" t="s">
        <v>56</v>
      </c>
      <c r="F192">
        <v>-17533.97</v>
      </c>
      <c r="G192" t="s">
        <v>2155</v>
      </c>
      <c r="H192" t="s">
        <v>7</v>
      </c>
      <c r="I192">
        <v>20986.3</v>
      </c>
      <c r="J192">
        <v>0</v>
      </c>
      <c r="K192">
        <v>0</v>
      </c>
      <c r="L192">
        <v>0</v>
      </c>
      <c r="M192" t="s">
        <v>2155</v>
      </c>
      <c r="N192" t="s">
        <v>57</v>
      </c>
      <c r="O192" t="s">
        <v>58</v>
      </c>
      <c r="P192" t="s">
        <v>2156</v>
      </c>
      <c r="Q192" t="s">
        <v>2157</v>
      </c>
      <c r="R192" t="s">
        <v>61</v>
      </c>
      <c r="S192" t="s">
        <v>58</v>
      </c>
      <c r="T192" t="s">
        <v>2156</v>
      </c>
      <c r="U192" t="s">
        <v>2157</v>
      </c>
      <c r="V192" t="s">
        <v>56</v>
      </c>
      <c r="W192" t="s">
        <v>56</v>
      </c>
      <c r="X192" t="s">
        <v>56</v>
      </c>
      <c r="Y192" t="s">
        <v>62</v>
      </c>
      <c r="Z192" t="s">
        <v>63</v>
      </c>
      <c r="AA192" t="s">
        <v>64</v>
      </c>
      <c r="AB192">
        <v>1</v>
      </c>
      <c r="AC192" t="s">
        <v>84</v>
      </c>
      <c r="AD192" t="s">
        <v>66</v>
      </c>
      <c r="AE192" t="s">
        <v>85</v>
      </c>
      <c r="AF192" t="s">
        <v>68</v>
      </c>
      <c r="AG192">
        <v>35174.11</v>
      </c>
      <c r="AH192" t="s">
        <v>69</v>
      </c>
      <c r="AI192" t="s">
        <v>220</v>
      </c>
      <c r="AJ192" t="s">
        <v>177</v>
      </c>
      <c r="AK192" t="s">
        <v>72</v>
      </c>
      <c r="AL192" t="s">
        <v>73</v>
      </c>
      <c r="AM192" t="s">
        <v>73</v>
      </c>
      <c r="AN192" t="s">
        <v>56</v>
      </c>
    </row>
    <row r="193" spans="1:40" x14ac:dyDescent="0.25">
      <c r="A193" t="s">
        <v>1321</v>
      </c>
      <c r="B193" t="s">
        <v>5</v>
      </c>
      <c r="C193" s="2">
        <v>1354.4367259999999</v>
      </c>
      <c r="D193" t="s">
        <v>56</v>
      </c>
      <c r="E193" t="s">
        <v>56</v>
      </c>
      <c r="F193">
        <v>-55344.61</v>
      </c>
      <c r="G193" t="s">
        <v>1321</v>
      </c>
      <c r="H193" t="s">
        <v>7</v>
      </c>
      <c r="I193">
        <v>64664.59</v>
      </c>
      <c r="J193">
        <v>0</v>
      </c>
      <c r="K193">
        <v>0</v>
      </c>
      <c r="L193">
        <v>0</v>
      </c>
      <c r="M193" t="s">
        <v>1321</v>
      </c>
      <c r="N193" t="s">
        <v>57</v>
      </c>
      <c r="O193" t="s">
        <v>58</v>
      </c>
      <c r="P193" t="s">
        <v>1322</v>
      </c>
      <c r="Q193" t="s">
        <v>1323</v>
      </c>
      <c r="R193" t="s">
        <v>61</v>
      </c>
      <c r="S193" t="s">
        <v>58</v>
      </c>
      <c r="T193" t="s">
        <v>1322</v>
      </c>
      <c r="U193" t="s">
        <v>1323</v>
      </c>
      <c r="V193" t="s">
        <v>56</v>
      </c>
      <c r="W193" t="s">
        <v>56</v>
      </c>
      <c r="X193" t="s">
        <v>56</v>
      </c>
      <c r="Y193" t="s">
        <v>62</v>
      </c>
      <c r="Z193" t="s">
        <v>63</v>
      </c>
      <c r="AA193" t="s">
        <v>64</v>
      </c>
      <c r="AB193">
        <v>1</v>
      </c>
      <c r="AC193" t="s">
        <v>84</v>
      </c>
      <c r="AD193" t="s">
        <v>66</v>
      </c>
      <c r="AE193" t="s">
        <v>1324</v>
      </c>
      <c r="AF193" t="s">
        <v>68</v>
      </c>
      <c r="AG193">
        <v>62499.8</v>
      </c>
      <c r="AH193" t="s">
        <v>69</v>
      </c>
      <c r="AI193" t="s">
        <v>1325</v>
      </c>
      <c r="AJ193" t="s">
        <v>204</v>
      </c>
      <c r="AK193" t="s">
        <v>72</v>
      </c>
      <c r="AL193" t="s">
        <v>73</v>
      </c>
      <c r="AM193" t="s">
        <v>73</v>
      </c>
      <c r="AN193" t="s">
        <v>1326</v>
      </c>
    </row>
    <row r="194" spans="1:40" x14ac:dyDescent="0.25">
      <c r="A194" t="s">
        <v>1731</v>
      </c>
      <c r="B194" t="s">
        <v>5</v>
      </c>
      <c r="C194">
        <v>1352.8211920000001</v>
      </c>
      <c r="D194">
        <v>1149.1306039999999</v>
      </c>
      <c r="E194" t="s">
        <v>56</v>
      </c>
      <c r="F194">
        <v>-40790.980000000003</v>
      </c>
      <c r="G194" t="s">
        <v>1731</v>
      </c>
      <c r="H194" t="s">
        <v>7</v>
      </c>
      <c r="I194">
        <v>46093.13</v>
      </c>
      <c r="J194">
        <v>1880.3169069999999</v>
      </c>
      <c r="K194">
        <v>1597.202734</v>
      </c>
      <c r="L194">
        <v>0</v>
      </c>
      <c r="M194" t="s">
        <v>1731</v>
      </c>
      <c r="N194" t="s">
        <v>57</v>
      </c>
      <c r="O194" t="s">
        <v>58</v>
      </c>
      <c r="P194" t="s">
        <v>1732</v>
      </c>
      <c r="Q194" t="s">
        <v>1733</v>
      </c>
      <c r="R194" t="s">
        <v>61</v>
      </c>
      <c r="S194" t="s">
        <v>58</v>
      </c>
      <c r="T194" t="s">
        <v>1732</v>
      </c>
      <c r="U194" t="s">
        <v>1733</v>
      </c>
      <c r="V194" t="s">
        <v>56</v>
      </c>
      <c r="W194" t="s">
        <v>56</v>
      </c>
      <c r="X194" t="s">
        <v>56</v>
      </c>
      <c r="Y194" t="s">
        <v>62</v>
      </c>
      <c r="Z194" t="s">
        <v>63</v>
      </c>
      <c r="AA194" t="s">
        <v>64</v>
      </c>
      <c r="AB194">
        <v>1</v>
      </c>
      <c r="AC194" t="s">
        <v>65</v>
      </c>
      <c r="AD194" t="s">
        <v>66</v>
      </c>
      <c r="AE194" t="s">
        <v>67</v>
      </c>
      <c r="AF194" t="s">
        <v>68</v>
      </c>
      <c r="AG194">
        <v>27481.919999999998</v>
      </c>
      <c r="AH194" t="s">
        <v>69</v>
      </c>
      <c r="AI194" t="s">
        <v>114</v>
      </c>
      <c r="AJ194" t="s">
        <v>265</v>
      </c>
      <c r="AK194" t="s">
        <v>72</v>
      </c>
      <c r="AL194" t="s">
        <v>73</v>
      </c>
      <c r="AM194" t="s">
        <v>73</v>
      </c>
      <c r="AN194" t="s">
        <v>74</v>
      </c>
    </row>
    <row r="195" spans="1:40" x14ac:dyDescent="0.25">
      <c r="A195" t="s">
        <v>1696</v>
      </c>
      <c r="B195" t="s">
        <v>5</v>
      </c>
      <c r="C195" s="2">
        <v>1348.425015</v>
      </c>
      <c r="D195" t="s">
        <v>56</v>
      </c>
      <c r="E195" t="s">
        <v>56</v>
      </c>
      <c r="F195">
        <v>-16224.85</v>
      </c>
      <c r="G195" t="s">
        <v>1696</v>
      </c>
      <c r="H195" t="s">
        <v>7</v>
      </c>
      <c r="I195">
        <v>20043.32</v>
      </c>
      <c r="J195">
        <v>0</v>
      </c>
      <c r="K195">
        <v>0</v>
      </c>
      <c r="L195">
        <v>0</v>
      </c>
      <c r="M195" t="s">
        <v>1696</v>
      </c>
      <c r="N195" t="s">
        <v>57</v>
      </c>
      <c r="O195" t="s">
        <v>58</v>
      </c>
      <c r="P195" t="s">
        <v>1697</v>
      </c>
      <c r="Q195" t="s">
        <v>1698</v>
      </c>
      <c r="R195" t="s">
        <v>61</v>
      </c>
      <c r="S195" t="s">
        <v>58</v>
      </c>
      <c r="T195" t="s">
        <v>1697</v>
      </c>
      <c r="U195" t="s">
        <v>1698</v>
      </c>
      <c r="V195" t="s">
        <v>56</v>
      </c>
      <c r="W195" t="s">
        <v>56</v>
      </c>
      <c r="X195" t="s">
        <v>56</v>
      </c>
      <c r="Y195" t="s">
        <v>62</v>
      </c>
      <c r="Z195" t="s">
        <v>63</v>
      </c>
      <c r="AA195" t="s">
        <v>64</v>
      </c>
      <c r="AB195">
        <v>1</v>
      </c>
      <c r="AC195" t="s">
        <v>65</v>
      </c>
      <c r="AD195" t="s">
        <v>66</v>
      </c>
      <c r="AE195" t="s">
        <v>289</v>
      </c>
      <c r="AF195" t="s">
        <v>103</v>
      </c>
      <c r="AG195">
        <v>34065.040000000001</v>
      </c>
      <c r="AH195" t="s">
        <v>69</v>
      </c>
      <c r="AI195" t="s">
        <v>104</v>
      </c>
      <c r="AJ195" t="s">
        <v>932</v>
      </c>
      <c r="AK195" t="s">
        <v>72</v>
      </c>
      <c r="AL195" t="s">
        <v>73</v>
      </c>
      <c r="AM195" t="s">
        <v>73</v>
      </c>
      <c r="AN195" t="s">
        <v>56</v>
      </c>
    </row>
    <row r="196" spans="1:40" x14ac:dyDescent="0.25">
      <c r="A196" t="s">
        <v>2200</v>
      </c>
      <c r="B196" t="s">
        <v>5</v>
      </c>
      <c r="C196" s="2">
        <v>1346.464348</v>
      </c>
      <c r="D196" t="s">
        <v>56</v>
      </c>
      <c r="E196" t="s">
        <v>56</v>
      </c>
      <c r="F196">
        <v>-22024.3</v>
      </c>
      <c r="G196" t="s">
        <v>2200</v>
      </c>
      <c r="H196" t="s">
        <v>7</v>
      </c>
      <c r="I196">
        <v>26978.23</v>
      </c>
      <c r="J196">
        <v>0</v>
      </c>
      <c r="K196">
        <v>0</v>
      </c>
      <c r="L196">
        <v>0</v>
      </c>
      <c r="M196" t="s">
        <v>2200</v>
      </c>
      <c r="N196" t="s">
        <v>57</v>
      </c>
      <c r="O196" t="s">
        <v>58</v>
      </c>
      <c r="P196" t="s">
        <v>2201</v>
      </c>
      <c r="Q196" t="s">
        <v>2202</v>
      </c>
      <c r="R196" t="s">
        <v>61</v>
      </c>
      <c r="S196" t="s">
        <v>58</v>
      </c>
      <c r="T196" t="s">
        <v>2201</v>
      </c>
      <c r="U196" t="s">
        <v>2202</v>
      </c>
      <c r="V196" t="s">
        <v>56</v>
      </c>
      <c r="W196" t="s">
        <v>56</v>
      </c>
      <c r="X196" t="s">
        <v>56</v>
      </c>
      <c r="Y196" t="s">
        <v>62</v>
      </c>
      <c r="Z196" t="s">
        <v>63</v>
      </c>
      <c r="AA196" t="s">
        <v>64</v>
      </c>
      <c r="AB196">
        <v>1</v>
      </c>
      <c r="AC196" t="s">
        <v>84</v>
      </c>
      <c r="AD196" t="s">
        <v>66</v>
      </c>
      <c r="AE196" t="s">
        <v>289</v>
      </c>
      <c r="AF196" t="s">
        <v>68</v>
      </c>
      <c r="AG196">
        <v>44715.45</v>
      </c>
      <c r="AH196" t="s">
        <v>69</v>
      </c>
      <c r="AI196" t="s">
        <v>122</v>
      </c>
      <c r="AJ196" t="s">
        <v>182</v>
      </c>
      <c r="AK196" t="s">
        <v>72</v>
      </c>
      <c r="AL196" t="s">
        <v>73</v>
      </c>
      <c r="AM196" t="s">
        <v>73</v>
      </c>
      <c r="AN196" t="s">
        <v>56</v>
      </c>
    </row>
    <row r="197" spans="1:40" x14ac:dyDescent="0.25">
      <c r="A197" t="s">
        <v>1728</v>
      </c>
      <c r="B197" t="s">
        <v>5</v>
      </c>
      <c r="C197" s="2">
        <v>1341.6862209999999</v>
      </c>
      <c r="D197" t="s">
        <v>56</v>
      </c>
      <c r="E197" t="s">
        <v>56</v>
      </c>
      <c r="F197">
        <v>-13508.97</v>
      </c>
      <c r="G197" t="s">
        <v>1728</v>
      </c>
      <c r="H197" t="s">
        <v>7</v>
      </c>
      <c r="I197">
        <v>14990.28</v>
      </c>
      <c r="J197">
        <v>0</v>
      </c>
      <c r="K197">
        <v>0</v>
      </c>
      <c r="L197">
        <v>0</v>
      </c>
      <c r="M197" t="s">
        <v>1728</v>
      </c>
      <c r="N197" t="s">
        <v>57</v>
      </c>
      <c r="O197" t="s">
        <v>58</v>
      </c>
      <c r="P197" t="s">
        <v>1729</v>
      </c>
      <c r="Q197" t="s">
        <v>1730</v>
      </c>
      <c r="R197" t="s">
        <v>61</v>
      </c>
      <c r="S197" t="s">
        <v>58</v>
      </c>
      <c r="T197" t="s">
        <v>1729</v>
      </c>
      <c r="U197" t="s">
        <v>1730</v>
      </c>
      <c r="V197" t="s">
        <v>56</v>
      </c>
      <c r="W197" t="s">
        <v>56</v>
      </c>
      <c r="X197" t="s">
        <v>56</v>
      </c>
      <c r="Y197" t="s">
        <v>62</v>
      </c>
      <c r="Z197" t="s">
        <v>63</v>
      </c>
      <c r="AA197" t="s">
        <v>64</v>
      </c>
      <c r="AB197">
        <v>1</v>
      </c>
      <c r="AC197" t="s">
        <v>84</v>
      </c>
      <c r="AD197" t="s">
        <v>66</v>
      </c>
      <c r="AE197" t="s">
        <v>85</v>
      </c>
      <c r="AF197" t="s">
        <v>68</v>
      </c>
      <c r="AG197">
        <v>27367.3</v>
      </c>
      <c r="AH197" t="s">
        <v>69</v>
      </c>
      <c r="AI197" t="s">
        <v>132</v>
      </c>
      <c r="AJ197" t="s">
        <v>123</v>
      </c>
      <c r="AK197" t="s">
        <v>72</v>
      </c>
      <c r="AL197" t="s">
        <v>73</v>
      </c>
      <c r="AM197" t="s">
        <v>73</v>
      </c>
      <c r="AN197" t="s">
        <v>56</v>
      </c>
    </row>
    <row r="198" spans="1:40" x14ac:dyDescent="0.25">
      <c r="A198" t="s">
        <v>1430</v>
      </c>
      <c r="B198" t="s">
        <v>5</v>
      </c>
      <c r="C198">
        <v>1341.481192</v>
      </c>
      <c r="D198" t="s">
        <v>56</v>
      </c>
      <c r="E198" t="s">
        <v>56</v>
      </c>
      <c r="F198">
        <v>-17170.28</v>
      </c>
      <c r="G198" t="s">
        <v>1430</v>
      </c>
      <c r="H198" t="s">
        <v>7</v>
      </c>
      <c r="I198">
        <v>19579.47</v>
      </c>
      <c r="J198">
        <v>1870.7361330000001</v>
      </c>
      <c r="K198">
        <v>0</v>
      </c>
      <c r="L198">
        <v>0</v>
      </c>
      <c r="M198" t="s">
        <v>1430</v>
      </c>
      <c r="N198" t="s">
        <v>57</v>
      </c>
      <c r="O198" t="s">
        <v>58</v>
      </c>
      <c r="P198" t="s">
        <v>1431</v>
      </c>
      <c r="Q198" t="s">
        <v>1432</v>
      </c>
      <c r="R198" t="s">
        <v>61</v>
      </c>
      <c r="S198" t="s">
        <v>58</v>
      </c>
      <c r="T198" t="s">
        <v>1431</v>
      </c>
      <c r="U198" t="s">
        <v>1432</v>
      </c>
      <c r="V198" t="s">
        <v>56</v>
      </c>
      <c r="W198" t="s">
        <v>56</v>
      </c>
      <c r="X198" t="s">
        <v>56</v>
      </c>
      <c r="Y198" t="s">
        <v>62</v>
      </c>
      <c r="Z198" t="s">
        <v>63</v>
      </c>
      <c r="AA198" t="s">
        <v>64</v>
      </c>
      <c r="AB198">
        <v>1</v>
      </c>
      <c r="AC198" t="s">
        <v>120</v>
      </c>
      <c r="AD198" t="s">
        <v>66</v>
      </c>
      <c r="AE198" t="s">
        <v>113</v>
      </c>
      <c r="AF198" t="s">
        <v>68</v>
      </c>
      <c r="AG198">
        <v>34990</v>
      </c>
      <c r="AH198" t="s">
        <v>69</v>
      </c>
      <c r="AI198" t="s">
        <v>132</v>
      </c>
      <c r="AJ198" t="s">
        <v>138</v>
      </c>
      <c r="AK198" t="s">
        <v>72</v>
      </c>
      <c r="AL198" t="s">
        <v>73</v>
      </c>
      <c r="AM198" t="s">
        <v>73</v>
      </c>
      <c r="AN198" t="s">
        <v>116</v>
      </c>
    </row>
    <row r="199" spans="1:40" x14ac:dyDescent="0.25">
      <c r="A199" t="s">
        <v>360</v>
      </c>
      <c r="B199" t="s">
        <v>5</v>
      </c>
      <c r="C199" s="2">
        <v>1336.7883850000001</v>
      </c>
      <c r="D199" t="s">
        <v>56</v>
      </c>
      <c r="E199" t="s">
        <v>56</v>
      </c>
      <c r="F199">
        <v>-13734.82</v>
      </c>
      <c r="G199" t="s">
        <v>360</v>
      </c>
      <c r="H199" t="s">
        <v>7</v>
      </c>
      <c r="I199">
        <v>17149.61</v>
      </c>
      <c r="J199">
        <v>0</v>
      </c>
      <c r="K199">
        <v>0</v>
      </c>
      <c r="L199">
        <v>0</v>
      </c>
      <c r="M199" t="s">
        <v>360</v>
      </c>
      <c r="N199" t="s">
        <v>57</v>
      </c>
      <c r="O199" t="s">
        <v>58</v>
      </c>
      <c r="P199" t="s">
        <v>361</v>
      </c>
      <c r="Q199" t="s">
        <v>362</v>
      </c>
      <c r="R199" t="s">
        <v>61</v>
      </c>
      <c r="S199" t="s">
        <v>58</v>
      </c>
      <c r="T199" t="s">
        <v>361</v>
      </c>
      <c r="U199" t="s">
        <v>362</v>
      </c>
      <c r="V199" t="s">
        <v>56</v>
      </c>
      <c r="W199" t="s">
        <v>56</v>
      </c>
      <c r="X199" t="s">
        <v>56</v>
      </c>
      <c r="Y199" t="s">
        <v>62</v>
      </c>
      <c r="Z199" t="s">
        <v>63</v>
      </c>
      <c r="AA199" t="s">
        <v>64</v>
      </c>
      <c r="AB199">
        <v>1</v>
      </c>
      <c r="AC199" t="s">
        <v>120</v>
      </c>
      <c r="AD199" t="s">
        <v>66</v>
      </c>
      <c r="AE199" t="s">
        <v>85</v>
      </c>
      <c r="AF199" t="s">
        <v>68</v>
      </c>
      <c r="AG199">
        <v>27926.83</v>
      </c>
      <c r="AH199" t="s">
        <v>69</v>
      </c>
      <c r="AI199" t="s">
        <v>132</v>
      </c>
      <c r="AJ199" t="s">
        <v>363</v>
      </c>
      <c r="AK199" t="s">
        <v>72</v>
      </c>
      <c r="AL199" t="s">
        <v>73</v>
      </c>
      <c r="AM199" t="s">
        <v>73</v>
      </c>
      <c r="AN199" t="s">
        <v>56</v>
      </c>
    </row>
    <row r="200" spans="1:40" x14ac:dyDescent="0.25">
      <c r="A200" t="s">
        <v>595</v>
      </c>
      <c r="B200" t="s">
        <v>5</v>
      </c>
      <c r="C200">
        <v>1334.0737059999999</v>
      </c>
      <c r="D200" t="s">
        <v>56</v>
      </c>
      <c r="E200" t="s">
        <v>56</v>
      </c>
      <c r="F200">
        <v>-17075.490000000002</v>
      </c>
      <c r="G200" t="s">
        <v>595</v>
      </c>
      <c r="H200" t="s">
        <v>7</v>
      </c>
      <c r="I200">
        <v>20271.66</v>
      </c>
      <c r="J200">
        <v>1936.912088</v>
      </c>
      <c r="K200">
        <v>0</v>
      </c>
      <c r="L200">
        <v>0</v>
      </c>
      <c r="M200" t="s">
        <v>595</v>
      </c>
      <c r="N200" t="s">
        <v>57</v>
      </c>
      <c r="O200" t="s">
        <v>58</v>
      </c>
      <c r="P200" t="s">
        <v>596</v>
      </c>
      <c r="Q200" t="s">
        <v>597</v>
      </c>
      <c r="R200" t="s">
        <v>61</v>
      </c>
      <c r="S200" t="s">
        <v>58</v>
      </c>
      <c r="T200" t="s">
        <v>596</v>
      </c>
      <c r="U200" t="s">
        <v>597</v>
      </c>
      <c r="V200" t="s">
        <v>56</v>
      </c>
      <c r="W200" t="s">
        <v>56</v>
      </c>
      <c r="X200" t="s">
        <v>56</v>
      </c>
      <c r="Y200" t="s">
        <v>62</v>
      </c>
      <c r="Z200" t="s">
        <v>63</v>
      </c>
      <c r="AA200" t="s">
        <v>64</v>
      </c>
      <c r="AB200">
        <v>1</v>
      </c>
      <c r="AC200" t="s">
        <v>65</v>
      </c>
      <c r="AD200" t="s">
        <v>66</v>
      </c>
      <c r="AE200" t="s">
        <v>113</v>
      </c>
      <c r="AF200" t="s">
        <v>68</v>
      </c>
      <c r="AG200">
        <v>34989.980000000003</v>
      </c>
      <c r="AH200" t="s">
        <v>69</v>
      </c>
      <c r="AI200" t="s">
        <v>323</v>
      </c>
      <c r="AJ200" t="s">
        <v>187</v>
      </c>
      <c r="AK200" t="s">
        <v>72</v>
      </c>
      <c r="AL200" t="s">
        <v>73</v>
      </c>
      <c r="AM200" t="s">
        <v>73</v>
      </c>
      <c r="AN200" t="s">
        <v>116</v>
      </c>
    </row>
    <row r="201" spans="1:40" x14ac:dyDescent="0.25">
      <c r="A201" t="s">
        <v>2123</v>
      </c>
      <c r="B201" t="s">
        <v>5</v>
      </c>
      <c r="C201" s="2">
        <v>1333.5558880000001</v>
      </c>
      <c r="D201" t="s">
        <v>56</v>
      </c>
      <c r="E201" t="s">
        <v>56</v>
      </c>
      <c r="F201">
        <v>-24391.06</v>
      </c>
      <c r="G201" t="s">
        <v>2123</v>
      </c>
      <c r="H201" t="s">
        <v>7</v>
      </c>
      <c r="I201">
        <v>27742.73</v>
      </c>
      <c r="J201">
        <v>0</v>
      </c>
      <c r="K201">
        <v>0</v>
      </c>
      <c r="L201">
        <v>0</v>
      </c>
      <c r="M201" t="s">
        <v>2123</v>
      </c>
      <c r="N201" t="s">
        <v>57</v>
      </c>
      <c r="O201" t="s">
        <v>58</v>
      </c>
      <c r="P201" t="s">
        <v>2124</v>
      </c>
      <c r="Q201" t="s">
        <v>2125</v>
      </c>
      <c r="R201" t="s">
        <v>61</v>
      </c>
      <c r="S201" t="s">
        <v>58</v>
      </c>
      <c r="T201" t="s">
        <v>2124</v>
      </c>
      <c r="U201" t="s">
        <v>2125</v>
      </c>
      <c r="V201" t="s">
        <v>56</v>
      </c>
      <c r="W201" t="s">
        <v>56</v>
      </c>
      <c r="X201" t="s">
        <v>56</v>
      </c>
      <c r="Y201" t="s">
        <v>62</v>
      </c>
      <c r="Z201" t="s">
        <v>63</v>
      </c>
      <c r="AA201" t="s">
        <v>64</v>
      </c>
      <c r="AB201">
        <v>1</v>
      </c>
      <c r="AC201" t="s">
        <v>65</v>
      </c>
      <c r="AD201" t="s">
        <v>66</v>
      </c>
      <c r="AE201" t="s">
        <v>289</v>
      </c>
      <c r="AF201" t="s">
        <v>68</v>
      </c>
      <c r="AG201">
        <v>50000</v>
      </c>
      <c r="AH201" t="s">
        <v>69</v>
      </c>
      <c r="AI201" t="s">
        <v>501</v>
      </c>
      <c r="AJ201" t="s">
        <v>1562</v>
      </c>
      <c r="AK201" t="s">
        <v>72</v>
      </c>
      <c r="AL201" t="s">
        <v>73</v>
      </c>
      <c r="AM201" t="s">
        <v>73</v>
      </c>
      <c r="AN201" t="s">
        <v>56</v>
      </c>
    </row>
    <row r="202" spans="1:40" x14ac:dyDescent="0.25">
      <c r="A202" t="s">
        <v>325</v>
      </c>
      <c r="B202" t="s">
        <v>5</v>
      </c>
      <c r="C202" s="2">
        <v>1331.66679</v>
      </c>
      <c r="D202">
        <v>1131.161364</v>
      </c>
      <c r="E202" t="s">
        <v>56</v>
      </c>
      <c r="F202">
        <v>-40178.07</v>
      </c>
      <c r="G202" t="s">
        <v>325</v>
      </c>
      <c r="H202" t="s">
        <v>7</v>
      </c>
      <c r="I202">
        <v>46666.77</v>
      </c>
      <c r="J202">
        <v>0</v>
      </c>
      <c r="K202">
        <v>0</v>
      </c>
      <c r="L202">
        <v>0</v>
      </c>
      <c r="M202" t="s">
        <v>325</v>
      </c>
      <c r="N202" t="s">
        <v>57</v>
      </c>
      <c r="O202" t="s">
        <v>58</v>
      </c>
      <c r="P202" t="s">
        <v>326</v>
      </c>
      <c r="Q202" t="s">
        <v>327</v>
      </c>
      <c r="R202" t="s">
        <v>61</v>
      </c>
      <c r="S202" t="s">
        <v>58</v>
      </c>
      <c r="T202" t="s">
        <v>326</v>
      </c>
      <c r="U202" t="s">
        <v>327</v>
      </c>
      <c r="V202" t="s">
        <v>56</v>
      </c>
      <c r="W202" t="s">
        <v>56</v>
      </c>
      <c r="X202" t="s">
        <v>56</v>
      </c>
      <c r="Y202" t="s">
        <v>62</v>
      </c>
      <c r="Z202" t="s">
        <v>63</v>
      </c>
      <c r="AA202" t="s">
        <v>64</v>
      </c>
      <c r="AB202">
        <v>1</v>
      </c>
      <c r="AC202" t="s">
        <v>120</v>
      </c>
      <c r="AD202" t="s">
        <v>66</v>
      </c>
      <c r="AE202" t="s">
        <v>67</v>
      </c>
      <c r="AF202" t="s">
        <v>68</v>
      </c>
      <c r="AG202">
        <v>0</v>
      </c>
      <c r="AH202" t="s">
        <v>69</v>
      </c>
      <c r="AI202" t="s">
        <v>186</v>
      </c>
      <c r="AJ202" t="s">
        <v>164</v>
      </c>
      <c r="AK202" t="s">
        <v>72</v>
      </c>
      <c r="AL202" t="s">
        <v>73</v>
      </c>
      <c r="AM202" t="s">
        <v>73</v>
      </c>
      <c r="AN202" t="s">
        <v>74</v>
      </c>
    </row>
    <row r="203" spans="1:40" x14ac:dyDescent="0.25">
      <c r="A203" t="s">
        <v>512</v>
      </c>
      <c r="B203" t="s">
        <v>5</v>
      </c>
      <c r="C203">
        <v>1331.66679</v>
      </c>
      <c r="D203">
        <v>1131.161364</v>
      </c>
      <c r="E203" t="s">
        <v>56</v>
      </c>
      <c r="F203">
        <v>-40178.07</v>
      </c>
      <c r="G203" t="s">
        <v>512</v>
      </c>
      <c r="H203" t="s">
        <v>7</v>
      </c>
      <c r="I203">
        <v>46666.77</v>
      </c>
      <c r="J203">
        <v>1902.446631</v>
      </c>
      <c r="K203">
        <v>1616.000446</v>
      </c>
      <c r="L203">
        <v>0</v>
      </c>
      <c r="M203" t="s">
        <v>512</v>
      </c>
      <c r="N203" t="s">
        <v>57</v>
      </c>
      <c r="O203" t="s">
        <v>58</v>
      </c>
      <c r="P203" t="s">
        <v>513</v>
      </c>
      <c r="Q203" t="s">
        <v>327</v>
      </c>
      <c r="R203" t="s">
        <v>61</v>
      </c>
      <c r="S203" t="s">
        <v>58</v>
      </c>
      <c r="T203" t="s">
        <v>513</v>
      </c>
      <c r="U203" t="s">
        <v>327</v>
      </c>
      <c r="V203" t="s">
        <v>56</v>
      </c>
      <c r="W203" t="s">
        <v>56</v>
      </c>
      <c r="X203" t="s">
        <v>56</v>
      </c>
      <c r="Y203" t="s">
        <v>62</v>
      </c>
      <c r="Z203" t="s">
        <v>63</v>
      </c>
      <c r="AA203" t="s">
        <v>64</v>
      </c>
      <c r="AB203">
        <v>1</v>
      </c>
      <c r="AC203" t="s">
        <v>120</v>
      </c>
      <c r="AD203" t="s">
        <v>66</v>
      </c>
      <c r="AE203" t="s">
        <v>67</v>
      </c>
      <c r="AF203" t="s">
        <v>68</v>
      </c>
      <c r="AG203">
        <v>27499</v>
      </c>
      <c r="AH203" t="s">
        <v>69</v>
      </c>
      <c r="AI203" t="s">
        <v>186</v>
      </c>
      <c r="AJ203" t="s">
        <v>164</v>
      </c>
      <c r="AK203" t="s">
        <v>72</v>
      </c>
      <c r="AL203" t="s">
        <v>73</v>
      </c>
      <c r="AM203" t="s">
        <v>73</v>
      </c>
      <c r="AN203" t="s">
        <v>74</v>
      </c>
    </row>
    <row r="204" spans="1:40" x14ac:dyDescent="0.25">
      <c r="A204" t="s">
        <v>1778</v>
      </c>
      <c r="B204" t="s">
        <v>5</v>
      </c>
      <c r="C204">
        <v>1329.8672759999999</v>
      </c>
      <c r="D204" t="s">
        <v>56</v>
      </c>
      <c r="E204" t="s">
        <v>56</v>
      </c>
      <c r="F204">
        <v>-16040.38</v>
      </c>
      <c r="G204" t="s">
        <v>1778</v>
      </c>
      <c r="H204" t="s">
        <v>7</v>
      </c>
      <c r="I204">
        <v>18016.689999999999</v>
      </c>
      <c r="J204">
        <v>1826.752559</v>
      </c>
      <c r="K204">
        <v>0</v>
      </c>
      <c r="L204">
        <v>0</v>
      </c>
      <c r="M204" t="s">
        <v>1778</v>
      </c>
      <c r="N204" t="s">
        <v>57</v>
      </c>
      <c r="O204" t="s">
        <v>58</v>
      </c>
      <c r="P204" t="s">
        <v>1779</v>
      </c>
      <c r="Q204" t="s">
        <v>1780</v>
      </c>
      <c r="R204" t="s">
        <v>61</v>
      </c>
      <c r="S204" t="s">
        <v>58</v>
      </c>
      <c r="T204" t="s">
        <v>1779</v>
      </c>
      <c r="U204" t="s">
        <v>1780</v>
      </c>
      <c r="V204" t="s">
        <v>56</v>
      </c>
      <c r="W204" t="s">
        <v>56</v>
      </c>
      <c r="X204" t="s">
        <v>56</v>
      </c>
      <c r="Y204" t="s">
        <v>62</v>
      </c>
      <c r="Z204" t="s">
        <v>63</v>
      </c>
      <c r="AA204" t="s">
        <v>64</v>
      </c>
      <c r="AB204">
        <v>1</v>
      </c>
      <c r="AC204" t="s">
        <v>65</v>
      </c>
      <c r="AD204" t="s">
        <v>66</v>
      </c>
      <c r="AE204" t="s">
        <v>113</v>
      </c>
      <c r="AF204" t="s">
        <v>68</v>
      </c>
      <c r="AG204">
        <v>32972.9</v>
      </c>
      <c r="AH204" t="s">
        <v>69</v>
      </c>
      <c r="AI204" t="s">
        <v>87</v>
      </c>
      <c r="AJ204" t="s">
        <v>133</v>
      </c>
      <c r="AK204" t="s">
        <v>72</v>
      </c>
      <c r="AL204" t="s">
        <v>73</v>
      </c>
      <c r="AM204" t="s">
        <v>73</v>
      </c>
      <c r="AN204" t="s">
        <v>116</v>
      </c>
    </row>
    <row r="205" spans="1:40" x14ac:dyDescent="0.25">
      <c r="A205" t="s">
        <v>578</v>
      </c>
      <c r="B205" t="s">
        <v>5</v>
      </c>
      <c r="C205" s="2">
        <v>1322.857133</v>
      </c>
      <c r="D205" t="s">
        <v>56</v>
      </c>
      <c r="E205" t="s">
        <v>56</v>
      </c>
      <c r="F205">
        <v>-13375.66</v>
      </c>
      <c r="G205" t="s">
        <v>578</v>
      </c>
      <c r="H205" t="s">
        <v>7</v>
      </c>
      <c r="I205">
        <v>16214.67</v>
      </c>
      <c r="J205">
        <v>0</v>
      </c>
      <c r="K205">
        <v>0</v>
      </c>
      <c r="L205">
        <v>0</v>
      </c>
      <c r="M205" t="s">
        <v>578</v>
      </c>
      <c r="N205" t="s">
        <v>57</v>
      </c>
      <c r="O205" t="s">
        <v>58</v>
      </c>
      <c r="P205" t="s">
        <v>579</v>
      </c>
      <c r="Q205" t="s">
        <v>580</v>
      </c>
      <c r="R205" t="s">
        <v>61</v>
      </c>
      <c r="S205" t="s">
        <v>58</v>
      </c>
      <c r="T205" t="s">
        <v>579</v>
      </c>
      <c r="U205" t="s">
        <v>580</v>
      </c>
      <c r="V205" t="s">
        <v>56</v>
      </c>
      <c r="W205" t="s">
        <v>56</v>
      </c>
      <c r="X205" t="s">
        <v>56</v>
      </c>
      <c r="Y205" t="s">
        <v>62</v>
      </c>
      <c r="Z205" t="s">
        <v>63</v>
      </c>
      <c r="AA205" t="s">
        <v>64</v>
      </c>
      <c r="AB205">
        <v>1</v>
      </c>
      <c r="AC205" t="s">
        <v>78</v>
      </c>
      <c r="AD205" t="s">
        <v>66</v>
      </c>
      <c r="AE205" t="s">
        <v>85</v>
      </c>
      <c r="AF205" t="s">
        <v>103</v>
      </c>
      <c r="AG205">
        <v>33804</v>
      </c>
      <c r="AH205" t="s">
        <v>69</v>
      </c>
      <c r="AI205" t="s">
        <v>181</v>
      </c>
      <c r="AJ205" t="s">
        <v>581</v>
      </c>
      <c r="AK205" t="s">
        <v>99</v>
      </c>
      <c r="AL205" t="s">
        <v>73</v>
      </c>
      <c r="AM205" t="s">
        <v>73</v>
      </c>
      <c r="AN205" t="s">
        <v>56</v>
      </c>
    </row>
    <row r="206" spans="1:40" x14ac:dyDescent="0.25">
      <c r="A206" t="s">
        <v>2100</v>
      </c>
      <c r="B206" t="s">
        <v>5</v>
      </c>
      <c r="C206" s="2">
        <v>1313.0146549999999</v>
      </c>
      <c r="D206" t="s">
        <v>56</v>
      </c>
      <c r="E206" t="s">
        <v>56</v>
      </c>
      <c r="F206">
        <v>-24153.040000000001</v>
      </c>
      <c r="G206" t="s">
        <v>2100</v>
      </c>
      <c r="H206" t="s">
        <v>7</v>
      </c>
      <c r="I206">
        <v>28036.35</v>
      </c>
      <c r="J206">
        <v>0</v>
      </c>
      <c r="K206">
        <v>0</v>
      </c>
      <c r="L206">
        <v>0</v>
      </c>
      <c r="M206" t="s">
        <v>2100</v>
      </c>
      <c r="N206" t="s">
        <v>57</v>
      </c>
      <c r="O206" t="s">
        <v>58</v>
      </c>
      <c r="P206" t="s">
        <v>2101</v>
      </c>
      <c r="Q206" t="s">
        <v>2102</v>
      </c>
      <c r="R206" t="s">
        <v>61</v>
      </c>
      <c r="S206" t="s">
        <v>58</v>
      </c>
      <c r="T206" t="s">
        <v>2101</v>
      </c>
      <c r="U206" t="s">
        <v>2102</v>
      </c>
      <c r="V206" t="s">
        <v>56</v>
      </c>
      <c r="W206" t="s">
        <v>56</v>
      </c>
      <c r="X206" t="s">
        <v>56</v>
      </c>
      <c r="Y206" t="s">
        <v>62</v>
      </c>
      <c r="Z206" t="s">
        <v>63</v>
      </c>
      <c r="AA206" t="s">
        <v>64</v>
      </c>
      <c r="AB206">
        <v>1</v>
      </c>
      <c r="AC206" t="s">
        <v>84</v>
      </c>
      <c r="AD206" t="s">
        <v>66</v>
      </c>
      <c r="AE206" t="s">
        <v>85</v>
      </c>
      <c r="AF206" t="s">
        <v>86</v>
      </c>
      <c r="AG206">
        <v>49999.19</v>
      </c>
      <c r="AH206" t="s">
        <v>69</v>
      </c>
      <c r="AI206" t="s">
        <v>253</v>
      </c>
      <c r="AJ206" t="s">
        <v>1231</v>
      </c>
      <c r="AK206" t="s">
        <v>72</v>
      </c>
      <c r="AL206" t="s">
        <v>73</v>
      </c>
      <c r="AM206" t="s">
        <v>73</v>
      </c>
      <c r="AN206" t="s">
        <v>56</v>
      </c>
    </row>
    <row r="207" spans="1:40" x14ac:dyDescent="0.25">
      <c r="A207" t="s">
        <v>1076</v>
      </c>
      <c r="B207" t="s">
        <v>5</v>
      </c>
      <c r="C207" s="2">
        <v>1309.3203820000001</v>
      </c>
      <c r="D207" t="s">
        <v>56</v>
      </c>
      <c r="E207" t="s">
        <v>56</v>
      </c>
      <c r="F207">
        <v>-17883.66</v>
      </c>
      <c r="G207" t="s">
        <v>1076</v>
      </c>
      <c r="H207" t="s">
        <v>7</v>
      </c>
      <c r="I207">
        <v>20859.25</v>
      </c>
      <c r="J207">
        <v>0</v>
      </c>
      <c r="K207">
        <v>0</v>
      </c>
      <c r="L207">
        <v>0</v>
      </c>
      <c r="M207" t="s">
        <v>1076</v>
      </c>
      <c r="N207" t="s">
        <v>57</v>
      </c>
      <c r="O207" t="s">
        <v>58</v>
      </c>
      <c r="P207" t="s">
        <v>1077</v>
      </c>
      <c r="Q207" t="s">
        <v>1078</v>
      </c>
      <c r="R207" t="s">
        <v>61</v>
      </c>
      <c r="S207" t="s">
        <v>58</v>
      </c>
      <c r="T207" t="s">
        <v>1077</v>
      </c>
      <c r="U207" t="s">
        <v>1078</v>
      </c>
      <c r="V207" t="s">
        <v>56</v>
      </c>
      <c r="W207" t="s">
        <v>56</v>
      </c>
      <c r="X207" t="s">
        <v>56</v>
      </c>
      <c r="Y207" t="s">
        <v>62</v>
      </c>
      <c r="Z207" t="s">
        <v>63</v>
      </c>
      <c r="AA207" t="s">
        <v>64</v>
      </c>
      <c r="AB207">
        <v>1</v>
      </c>
      <c r="AC207" t="s">
        <v>78</v>
      </c>
      <c r="AD207" t="s">
        <v>66</v>
      </c>
      <c r="AE207" t="s">
        <v>85</v>
      </c>
      <c r="AF207" t="s">
        <v>68</v>
      </c>
      <c r="AG207">
        <v>37125.410000000003</v>
      </c>
      <c r="AH207" t="s">
        <v>69</v>
      </c>
      <c r="AI207" t="s">
        <v>70</v>
      </c>
      <c r="AJ207" t="s">
        <v>912</v>
      </c>
      <c r="AK207" t="s">
        <v>72</v>
      </c>
      <c r="AL207" t="s">
        <v>73</v>
      </c>
      <c r="AM207" t="s">
        <v>73</v>
      </c>
      <c r="AN207" t="s">
        <v>56</v>
      </c>
    </row>
    <row r="208" spans="1:40" x14ac:dyDescent="0.25">
      <c r="A208" t="s">
        <v>563</v>
      </c>
      <c r="B208" t="s">
        <v>5</v>
      </c>
      <c r="C208">
        <v>1307.443072</v>
      </c>
      <c r="D208" t="s">
        <v>56</v>
      </c>
      <c r="E208" t="s">
        <v>56</v>
      </c>
      <c r="F208">
        <v>-22849.23</v>
      </c>
      <c r="G208" t="s">
        <v>563</v>
      </c>
      <c r="H208" t="s">
        <v>7</v>
      </c>
      <c r="I208">
        <v>28523.32</v>
      </c>
      <c r="J208">
        <v>1996.0438509999999</v>
      </c>
      <c r="K208">
        <v>0</v>
      </c>
      <c r="L208">
        <v>0</v>
      </c>
      <c r="M208" t="s">
        <v>563</v>
      </c>
      <c r="N208" t="s">
        <v>57</v>
      </c>
      <c r="O208" t="s">
        <v>58</v>
      </c>
      <c r="P208" t="s">
        <v>564</v>
      </c>
      <c r="Q208" t="s">
        <v>565</v>
      </c>
      <c r="R208" t="s">
        <v>61</v>
      </c>
      <c r="S208" t="s">
        <v>58</v>
      </c>
      <c r="T208" t="s">
        <v>564</v>
      </c>
      <c r="U208" t="s">
        <v>565</v>
      </c>
      <c r="V208" t="s">
        <v>56</v>
      </c>
      <c r="W208" t="s">
        <v>56</v>
      </c>
      <c r="X208" t="s">
        <v>56</v>
      </c>
      <c r="Y208" t="s">
        <v>62</v>
      </c>
      <c r="Z208" t="s">
        <v>63</v>
      </c>
      <c r="AA208" t="s">
        <v>64</v>
      </c>
      <c r="AB208">
        <v>1</v>
      </c>
      <c r="AC208" t="s">
        <v>65</v>
      </c>
      <c r="AD208" t="s">
        <v>66</v>
      </c>
      <c r="AE208" t="s">
        <v>113</v>
      </c>
      <c r="AF208" t="s">
        <v>103</v>
      </c>
      <c r="AG208">
        <v>47774.92</v>
      </c>
      <c r="AH208" t="s">
        <v>69</v>
      </c>
      <c r="AI208" t="s">
        <v>323</v>
      </c>
      <c r="AJ208" t="s">
        <v>363</v>
      </c>
      <c r="AK208" t="s">
        <v>72</v>
      </c>
      <c r="AL208" t="s">
        <v>73</v>
      </c>
      <c r="AM208" t="s">
        <v>73</v>
      </c>
      <c r="AN208" t="s">
        <v>116</v>
      </c>
    </row>
    <row r="209" spans="1:40" x14ac:dyDescent="0.25">
      <c r="A209" t="s">
        <v>2042</v>
      </c>
      <c r="B209" t="s">
        <v>5</v>
      </c>
      <c r="C209">
        <v>1293.757885</v>
      </c>
      <c r="D209" t="s">
        <v>56</v>
      </c>
      <c r="E209" t="s">
        <v>56</v>
      </c>
      <c r="F209">
        <v>-16558.61</v>
      </c>
      <c r="G209" t="s">
        <v>2042</v>
      </c>
      <c r="H209" t="s">
        <v>7</v>
      </c>
      <c r="I209">
        <v>18736.009999999998</v>
      </c>
      <c r="J209">
        <v>1790.29126</v>
      </c>
      <c r="K209">
        <v>0</v>
      </c>
      <c r="L209">
        <v>0</v>
      </c>
      <c r="M209" t="s">
        <v>2042</v>
      </c>
      <c r="N209" t="s">
        <v>57</v>
      </c>
      <c r="O209" t="s">
        <v>58</v>
      </c>
      <c r="P209" t="s">
        <v>2043</v>
      </c>
      <c r="Q209" t="s">
        <v>2044</v>
      </c>
      <c r="R209" t="s">
        <v>61</v>
      </c>
      <c r="S209" t="s">
        <v>58</v>
      </c>
      <c r="T209" t="s">
        <v>2043</v>
      </c>
      <c r="U209" t="s">
        <v>2044</v>
      </c>
      <c r="V209" t="s">
        <v>56</v>
      </c>
      <c r="W209" t="s">
        <v>56</v>
      </c>
      <c r="X209" t="s">
        <v>56</v>
      </c>
      <c r="Y209" t="s">
        <v>62</v>
      </c>
      <c r="Z209" t="s">
        <v>63</v>
      </c>
      <c r="AA209" t="s">
        <v>64</v>
      </c>
      <c r="AB209">
        <v>1</v>
      </c>
      <c r="AC209" t="s">
        <v>78</v>
      </c>
      <c r="AD209" t="s">
        <v>66</v>
      </c>
      <c r="AE209" t="s">
        <v>113</v>
      </c>
      <c r="AF209" t="s">
        <v>68</v>
      </c>
      <c r="AG209">
        <v>34988.199999999997</v>
      </c>
      <c r="AH209" t="s">
        <v>69</v>
      </c>
      <c r="AI209" t="s">
        <v>220</v>
      </c>
      <c r="AJ209" t="s">
        <v>187</v>
      </c>
      <c r="AK209" t="s">
        <v>72</v>
      </c>
      <c r="AL209" t="s">
        <v>73</v>
      </c>
      <c r="AM209" t="s">
        <v>73</v>
      </c>
      <c r="AN209" t="s">
        <v>116</v>
      </c>
    </row>
    <row r="210" spans="1:40" x14ac:dyDescent="0.25">
      <c r="A210" t="s">
        <v>1019</v>
      </c>
      <c r="B210" t="s">
        <v>5</v>
      </c>
      <c r="C210" s="2">
        <v>1288.3415950000001</v>
      </c>
      <c r="D210" t="s">
        <v>56</v>
      </c>
      <c r="E210" t="s">
        <v>56</v>
      </c>
      <c r="F210">
        <v>-20655.2</v>
      </c>
      <c r="G210" t="s">
        <v>1019</v>
      </c>
      <c r="H210" t="s">
        <v>7</v>
      </c>
      <c r="I210">
        <v>25522.19</v>
      </c>
      <c r="J210">
        <v>0</v>
      </c>
      <c r="K210">
        <v>0</v>
      </c>
      <c r="L210">
        <v>0</v>
      </c>
      <c r="M210" t="s">
        <v>1019</v>
      </c>
      <c r="N210" t="s">
        <v>57</v>
      </c>
      <c r="O210" t="s">
        <v>58</v>
      </c>
      <c r="P210" t="s">
        <v>1020</v>
      </c>
      <c r="Q210" t="s">
        <v>1021</v>
      </c>
      <c r="R210" t="s">
        <v>61</v>
      </c>
      <c r="S210" t="s">
        <v>58</v>
      </c>
      <c r="T210" t="s">
        <v>1020</v>
      </c>
      <c r="U210" t="s">
        <v>1021</v>
      </c>
      <c r="V210" t="s">
        <v>56</v>
      </c>
      <c r="W210" t="s">
        <v>56</v>
      </c>
      <c r="X210" t="s">
        <v>56</v>
      </c>
      <c r="Y210" t="s">
        <v>62</v>
      </c>
      <c r="Z210" t="s">
        <v>63</v>
      </c>
      <c r="AA210" t="s">
        <v>64</v>
      </c>
      <c r="AB210">
        <v>1</v>
      </c>
      <c r="AC210" t="s">
        <v>84</v>
      </c>
      <c r="AD210" t="s">
        <v>66</v>
      </c>
      <c r="AE210" t="s">
        <v>85</v>
      </c>
      <c r="AF210" t="s">
        <v>68</v>
      </c>
      <c r="AG210">
        <v>43577.24</v>
      </c>
      <c r="AH210" t="s">
        <v>69</v>
      </c>
      <c r="AI210" t="s">
        <v>285</v>
      </c>
      <c r="AJ210" t="s">
        <v>177</v>
      </c>
      <c r="AK210" t="s">
        <v>72</v>
      </c>
      <c r="AL210" t="s">
        <v>73</v>
      </c>
      <c r="AM210" t="s">
        <v>73</v>
      </c>
      <c r="AN210" t="s">
        <v>56</v>
      </c>
    </row>
    <row r="211" spans="1:40" x14ac:dyDescent="0.25">
      <c r="A211" t="s">
        <v>1528</v>
      </c>
      <c r="B211" t="s">
        <v>5</v>
      </c>
      <c r="C211">
        <v>1285.7350710000001</v>
      </c>
      <c r="D211" t="s">
        <v>56</v>
      </c>
      <c r="E211" t="s">
        <v>56</v>
      </c>
      <c r="F211">
        <v>-23512.6</v>
      </c>
      <c r="G211" t="s">
        <v>1528</v>
      </c>
      <c r="H211" t="s">
        <v>7</v>
      </c>
      <c r="I211">
        <v>27808.05</v>
      </c>
      <c r="J211">
        <v>1859.706807</v>
      </c>
      <c r="K211">
        <v>0</v>
      </c>
      <c r="L211">
        <v>0</v>
      </c>
      <c r="M211" t="s">
        <v>1528</v>
      </c>
      <c r="N211" t="s">
        <v>57</v>
      </c>
      <c r="O211" t="s">
        <v>58</v>
      </c>
      <c r="P211" t="s">
        <v>1529</v>
      </c>
      <c r="Q211" t="s">
        <v>1530</v>
      </c>
      <c r="R211" t="s">
        <v>61</v>
      </c>
      <c r="S211" t="s">
        <v>58</v>
      </c>
      <c r="T211" t="s">
        <v>1529</v>
      </c>
      <c r="U211" t="s">
        <v>1530</v>
      </c>
      <c r="V211" t="s">
        <v>56</v>
      </c>
      <c r="W211" t="s">
        <v>56</v>
      </c>
      <c r="X211" t="s">
        <v>56</v>
      </c>
      <c r="Y211" t="s">
        <v>62</v>
      </c>
      <c r="Z211" t="s">
        <v>63</v>
      </c>
      <c r="AA211" t="s">
        <v>64</v>
      </c>
      <c r="AB211">
        <v>1</v>
      </c>
      <c r="AC211" t="s">
        <v>84</v>
      </c>
      <c r="AD211" t="s">
        <v>66</v>
      </c>
      <c r="AE211" t="s">
        <v>113</v>
      </c>
      <c r="AF211" t="s">
        <v>235</v>
      </c>
      <c r="AG211">
        <v>49991.87</v>
      </c>
      <c r="AH211" t="s">
        <v>69</v>
      </c>
      <c r="AI211" t="s">
        <v>220</v>
      </c>
      <c r="AJ211" t="s">
        <v>240</v>
      </c>
      <c r="AK211" t="s">
        <v>72</v>
      </c>
      <c r="AL211" t="s">
        <v>73</v>
      </c>
      <c r="AM211" t="s">
        <v>73</v>
      </c>
      <c r="AN211" t="s">
        <v>116</v>
      </c>
    </row>
    <row r="212" spans="1:40" x14ac:dyDescent="0.25">
      <c r="A212" t="s">
        <v>1955</v>
      </c>
      <c r="B212" t="s">
        <v>5</v>
      </c>
      <c r="C212">
        <v>1278.7411669999999</v>
      </c>
      <c r="D212" t="s">
        <v>56</v>
      </c>
      <c r="E212" t="s">
        <v>56</v>
      </c>
      <c r="F212">
        <v>-15159.77</v>
      </c>
      <c r="G212" t="s">
        <v>1955</v>
      </c>
      <c r="H212" t="s">
        <v>7</v>
      </c>
      <c r="I212">
        <v>17554.2</v>
      </c>
      <c r="J212">
        <v>1810.8822319999999</v>
      </c>
      <c r="K212">
        <v>0</v>
      </c>
      <c r="L212">
        <v>0</v>
      </c>
      <c r="M212" t="s">
        <v>1955</v>
      </c>
      <c r="N212" t="s">
        <v>57</v>
      </c>
      <c r="O212" t="s">
        <v>58</v>
      </c>
      <c r="P212" t="s">
        <v>1956</v>
      </c>
      <c r="Q212" t="s">
        <v>1957</v>
      </c>
      <c r="R212" t="s">
        <v>61</v>
      </c>
      <c r="S212" t="s">
        <v>58</v>
      </c>
      <c r="T212" t="s">
        <v>1956</v>
      </c>
      <c r="U212" t="s">
        <v>1957</v>
      </c>
      <c r="V212" t="s">
        <v>56</v>
      </c>
      <c r="W212" t="s">
        <v>56</v>
      </c>
      <c r="X212" t="s">
        <v>56</v>
      </c>
      <c r="Y212" t="s">
        <v>62</v>
      </c>
      <c r="Z212" t="s">
        <v>63</v>
      </c>
      <c r="AA212" t="s">
        <v>64</v>
      </c>
      <c r="AB212">
        <v>1</v>
      </c>
      <c r="AC212" t="s">
        <v>84</v>
      </c>
      <c r="AD212" t="s">
        <v>66</v>
      </c>
      <c r="AE212" t="s">
        <v>113</v>
      </c>
      <c r="AF212" t="s">
        <v>68</v>
      </c>
      <c r="AG212">
        <v>32408.67</v>
      </c>
      <c r="AH212" t="s">
        <v>69</v>
      </c>
      <c r="AI212" t="s">
        <v>87</v>
      </c>
      <c r="AJ212" t="s">
        <v>143</v>
      </c>
      <c r="AK212" t="s">
        <v>72</v>
      </c>
      <c r="AL212" t="s">
        <v>73</v>
      </c>
      <c r="AM212" t="s">
        <v>73</v>
      </c>
      <c r="AN212" t="s">
        <v>116</v>
      </c>
    </row>
    <row r="213" spans="1:40" x14ac:dyDescent="0.25">
      <c r="A213" t="s">
        <v>814</v>
      </c>
      <c r="B213" t="s">
        <v>5</v>
      </c>
      <c r="C213">
        <v>1278.5744340000001</v>
      </c>
      <c r="D213">
        <v>1420.29036</v>
      </c>
      <c r="E213" t="s">
        <v>56</v>
      </c>
      <c r="F213">
        <v>-65727.710000000006</v>
      </c>
      <c r="G213" t="s">
        <v>814</v>
      </c>
      <c r="H213" t="s">
        <v>7</v>
      </c>
      <c r="I213">
        <v>73087.520000000004</v>
      </c>
      <c r="J213">
        <v>1391.365722</v>
      </c>
      <c r="K213">
        <v>1776.7744660000001</v>
      </c>
      <c r="L213">
        <v>0</v>
      </c>
      <c r="M213" t="s">
        <v>814</v>
      </c>
      <c r="N213" t="s">
        <v>57</v>
      </c>
      <c r="O213" t="s">
        <v>58</v>
      </c>
      <c r="P213" t="s">
        <v>815</v>
      </c>
      <c r="Q213" t="s">
        <v>816</v>
      </c>
      <c r="R213" t="s">
        <v>61</v>
      </c>
      <c r="S213" t="s">
        <v>58</v>
      </c>
      <c r="T213" t="s">
        <v>815</v>
      </c>
      <c r="U213" t="s">
        <v>816</v>
      </c>
      <c r="V213" t="s">
        <v>56</v>
      </c>
      <c r="W213" t="s">
        <v>56</v>
      </c>
      <c r="X213" t="s">
        <v>56</v>
      </c>
      <c r="Y213" t="s">
        <v>62</v>
      </c>
      <c r="Z213" t="s">
        <v>63</v>
      </c>
      <c r="AA213" t="s">
        <v>64</v>
      </c>
      <c r="AB213">
        <v>1</v>
      </c>
      <c r="AC213" t="s">
        <v>84</v>
      </c>
      <c r="AD213" t="s">
        <v>66</v>
      </c>
      <c r="AE213" t="s">
        <v>121</v>
      </c>
      <c r="AF213" t="s">
        <v>68</v>
      </c>
      <c r="AG213">
        <v>49900</v>
      </c>
      <c r="AH213" t="s">
        <v>69</v>
      </c>
      <c r="AI213" t="s">
        <v>216</v>
      </c>
      <c r="AJ213" t="s">
        <v>433</v>
      </c>
      <c r="AK213" t="s">
        <v>72</v>
      </c>
      <c r="AL213" t="s">
        <v>73</v>
      </c>
      <c r="AM213" t="s">
        <v>73</v>
      </c>
      <c r="AN213" t="s">
        <v>124</v>
      </c>
    </row>
    <row r="214" spans="1:40" x14ac:dyDescent="0.25">
      <c r="A214" t="s">
        <v>1578</v>
      </c>
      <c r="B214" t="s">
        <v>5</v>
      </c>
      <c r="C214" s="2">
        <v>1260.087933</v>
      </c>
      <c r="D214" t="s">
        <v>56</v>
      </c>
      <c r="E214" t="s">
        <v>56</v>
      </c>
      <c r="F214">
        <v>-22915.96</v>
      </c>
      <c r="G214" t="s">
        <v>1578</v>
      </c>
      <c r="H214" t="s">
        <v>7</v>
      </c>
      <c r="I214">
        <v>27776.68</v>
      </c>
      <c r="J214">
        <v>0</v>
      </c>
      <c r="K214">
        <v>0</v>
      </c>
      <c r="L214">
        <v>0</v>
      </c>
      <c r="M214" t="s">
        <v>1578</v>
      </c>
      <c r="N214" t="s">
        <v>57</v>
      </c>
      <c r="O214" t="s">
        <v>58</v>
      </c>
      <c r="P214" t="s">
        <v>1579</v>
      </c>
      <c r="Q214" t="s">
        <v>1580</v>
      </c>
      <c r="R214" t="s">
        <v>61</v>
      </c>
      <c r="S214" t="s">
        <v>58</v>
      </c>
      <c r="T214" t="s">
        <v>1579</v>
      </c>
      <c r="U214" t="s">
        <v>1580</v>
      </c>
      <c r="V214" t="s">
        <v>56</v>
      </c>
      <c r="W214" t="s">
        <v>56</v>
      </c>
      <c r="X214" t="s">
        <v>56</v>
      </c>
      <c r="Y214" t="s">
        <v>62</v>
      </c>
      <c r="Z214" t="s">
        <v>63</v>
      </c>
      <c r="AA214" t="s">
        <v>64</v>
      </c>
      <c r="AB214">
        <v>1</v>
      </c>
      <c r="AC214" t="s">
        <v>78</v>
      </c>
      <c r="AD214" t="s">
        <v>66</v>
      </c>
      <c r="AE214" t="s">
        <v>85</v>
      </c>
      <c r="AF214" t="s">
        <v>68</v>
      </c>
      <c r="AG214">
        <v>49430.89</v>
      </c>
      <c r="AH214" t="s">
        <v>69</v>
      </c>
      <c r="AI214" t="s">
        <v>122</v>
      </c>
      <c r="AJ214" t="s">
        <v>315</v>
      </c>
      <c r="AK214" t="s">
        <v>72</v>
      </c>
      <c r="AL214" t="s">
        <v>73</v>
      </c>
      <c r="AM214" t="s">
        <v>73</v>
      </c>
      <c r="AN214" t="s">
        <v>56</v>
      </c>
    </row>
    <row r="215" spans="1:40" x14ac:dyDescent="0.25">
      <c r="A215" t="s">
        <v>1946</v>
      </c>
      <c r="B215" t="s">
        <v>5</v>
      </c>
      <c r="C215" s="2">
        <v>1257.2796169999999</v>
      </c>
      <c r="D215" t="s">
        <v>56</v>
      </c>
      <c r="E215" t="s">
        <v>56</v>
      </c>
      <c r="F215">
        <v>-20706.259999999998</v>
      </c>
      <c r="G215" t="s">
        <v>1946</v>
      </c>
      <c r="H215" t="s">
        <v>7</v>
      </c>
      <c r="I215">
        <v>24316.07</v>
      </c>
      <c r="J215">
        <v>0</v>
      </c>
      <c r="K215">
        <v>0</v>
      </c>
      <c r="L215">
        <v>0</v>
      </c>
      <c r="M215" t="s">
        <v>1946</v>
      </c>
      <c r="N215" t="s">
        <v>57</v>
      </c>
      <c r="O215" t="s">
        <v>58</v>
      </c>
      <c r="P215" t="s">
        <v>1947</v>
      </c>
      <c r="Q215" t="s">
        <v>1948</v>
      </c>
      <c r="R215" t="s">
        <v>61</v>
      </c>
      <c r="S215" t="s">
        <v>58</v>
      </c>
      <c r="T215" t="s">
        <v>1947</v>
      </c>
      <c r="U215" t="s">
        <v>1948</v>
      </c>
      <c r="V215" t="s">
        <v>56</v>
      </c>
      <c r="W215" t="s">
        <v>56</v>
      </c>
      <c r="X215" t="s">
        <v>56</v>
      </c>
      <c r="Y215" t="s">
        <v>62</v>
      </c>
      <c r="Z215" t="s">
        <v>63</v>
      </c>
      <c r="AA215" t="s">
        <v>64</v>
      </c>
      <c r="AB215">
        <v>1</v>
      </c>
      <c r="AC215" t="s">
        <v>84</v>
      </c>
      <c r="AD215" t="s">
        <v>66</v>
      </c>
      <c r="AE215" t="s">
        <v>85</v>
      </c>
      <c r="AF215" t="s">
        <v>68</v>
      </c>
      <c r="AG215">
        <v>44764.23</v>
      </c>
      <c r="AH215" t="s">
        <v>69</v>
      </c>
      <c r="AI215" t="s">
        <v>132</v>
      </c>
      <c r="AJ215" t="s">
        <v>302</v>
      </c>
      <c r="AK215" t="s">
        <v>72</v>
      </c>
      <c r="AL215" t="s">
        <v>73</v>
      </c>
      <c r="AM215" t="s">
        <v>73</v>
      </c>
      <c r="AN215" t="s">
        <v>56</v>
      </c>
    </row>
    <row r="216" spans="1:40" x14ac:dyDescent="0.25">
      <c r="A216" t="s">
        <v>1641</v>
      </c>
      <c r="B216" t="s">
        <v>5</v>
      </c>
      <c r="C216" s="2">
        <v>1253.879549</v>
      </c>
      <c r="D216" t="s">
        <v>56</v>
      </c>
      <c r="E216" t="s">
        <v>56</v>
      </c>
      <c r="F216">
        <v>-10519.78</v>
      </c>
      <c r="G216" t="s">
        <v>1641</v>
      </c>
      <c r="H216" t="s">
        <v>7</v>
      </c>
      <c r="I216">
        <v>14099.05</v>
      </c>
      <c r="J216">
        <v>0</v>
      </c>
      <c r="K216">
        <v>0</v>
      </c>
      <c r="L216">
        <v>0</v>
      </c>
      <c r="M216" t="s">
        <v>1641</v>
      </c>
      <c r="N216" t="s">
        <v>57</v>
      </c>
      <c r="O216" t="s">
        <v>58</v>
      </c>
      <c r="P216" t="s">
        <v>1642</v>
      </c>
      <c r="Q216" t="s">
        <v>1643</v>
      </c>
      <c r="R216" t="s">
        <v>61</v>
      </c>
      <c r="S216" t="s">
        <v>58</v>
      </c>
      <c r="T216" t="s">
        <v>1642</v>
      </c>
      <c r="U216" t="s">
        <v>1643</v>
      </c>
      <c r="V216" t="s">
        <v>56</v>
      </c>
      <c r="W216" t="s">
        <v>56</v>
      </c>
      <c r="X216" t="s">
        <v>56</v>
      </c>
      <c r="Y216" t="s">
        <v>62</v>
      </c>
      <c r="Z216" t="s">
        <v>63</v>
      </c>
      <c r="AA216" t="s">
        <v>64</v>
      </c>
      <c r="AB216">
        <v>1</v>
      </c>
      <c r="AC216" t="s">
        <v>84</v>
      </c>
      <c r="AD216" t="s">
        <v>66</v>
      </c>
      <c r="AE216" t="s">
        <v>85</v>
      </c>
      <c r="AF216" t="s">
        <v>103</v>
      </c>
      <c r="AG216">
        <v>28049</v>
      </c>
      <c r="AH216" t="s">
        <v>69</v>
      </c>
      <c r="AI216" t="s">
        <v>176</v>
      </c>
      <c r="AJ216" t="s">
        <v>1562</v>
      </c>
      <c r="AK216" t="s">
        <v>99</v>
      </c>
      <c r="AL216" t="s">
        <v>73</v>
      </c>
      <c r="AM216" t="s">
        <v>73</v>
      </c>
      <c r="AN216" t="s">
        <v>56</v>
      </c>
    </row>
    <row r="217" spans="1:40" x14ac:dyDescent="0.25">
      <c r="A217" t="s">
        <v>545</v>
      </c>
      <c r="B217" t="s">
        <v>5</v>
      </c>
      <c r="C217" s="2">
        <v>1247.4199100000001</v>
      </c>
      <c r="D217" t="s">
        <v>56</v>
      </c>
      <c r="E217" t="s">
        <v>56</v>
      </c>
      <c r="F217">
        <v>-16703.439999999999</v>
      </c>
      <c r="G217" t="s">
        <v>545</v>
      </c>
      <c r="H217" t="s">
        <v>7</v>
      </c>
      <c r="I217">
        <v>19277.05</v>
      </c>
      <c r="J217">
        <v>0</v>
      </c>
      <c r="K217">
        <v>0</v>
      </c>
      <c r="L217">
        <v>0</v>
      </c>
      <c r="M217" t="s">
        <v>545</v>
      </c>
      <c r="N217" t="s">
        <v>57</v>
      </c>
      <c r="O217" t="s">
        <v>58</v>
      </c>
      <c r="P217" t="s">
        <v>546</v>
      </c>
      <c r="Q217" t="s">
        <v>547</v>
      </c>
      <c r="R217" t="s">
        <v>61</v>
      </c>
      <c r="S217" t="s">
        <v>58</v>
      </c>
      <c r="T217" t="s">
        <v>546</v>
      </c>
      <c r="U217" t="s">
        <v>547</v>
      </c>
      <c r="V217" t="s">
        <v>56</v>
      </c>
      <c r="W217" t="s">
        <v>56</v>
      </c>
      <c r="X217" t="s">
        <v>56</v>
      </c>
      <c r="Y217" t="s">
        <v>62</v>
      </c>
      <c r="Z217" t="s">
        <v>63</v>
      </c>
      <c r="AA217" t="s">
        <v>64</v>
      </c>
      <c r="AB217">
        <v>1</v>
      </c>
      <c r="AC217" t="s">
        <v>78</v>
      </c>
      <c r="AD217" t="s">
        <v>66</v>
      </c>
      <c r="AE217" t="s">
        <v>289</v>
      </c>
      <c r="AF217" t="s">
        <v>68</v>
      </c>
      <c r="AG217">
        <v>36905.370000000003</v>
      </c>
      <c r="AH217" t="s">
        <v>69</v>
      </c>
      <c r="AI217" t="s">
        <v>97</v>
      </c>
      <c r="AJ217" t="s">
        <v>548</v>
      </c>
      <c r="AK217" t="s">
        <v>72</v>
      </c>
      <c r="AL217" t="s">
        <v>73</v>
      </c>
      <c r="AM217" t="s">
        <v>73</v>
      </c>
      <c r="AN217" t="s">
        <v>56</v>
      </c>
    </row>
    <row r="218" spans="1:40" x14ac:dyDescent="0.25">
      <c r="A218" t="s">
        <v>2112</v>
      </c>
      <c r="B218" t="s">
        <v>5</v>
      </c>
      <c r="C218">
        <v>1242.9982829999999</v>
      </c>
      <c r="D218" t="s">
        <v>56</v>
      </c>
      <c r="E218" t="s">
        <v>56</v>
      </c>
      <c r="F218">
        <v>-14135.14</v>
      </c>
      <c r="G218" t="s">
        <v>2112</v>
      </c>
      <c r="H218" t="s">
        <v>7</v>
      </c>
      <c r="I218">
        <v>17642.599999999999</v>
      </c>
      <c r="J218">
        <v>1897.2981199999999</v>
      </c>
      <c r="K218">
        <v>0</v>
      </c>
      <c r="L218">
        <v>0</v>
      </c>
      <c r="M218" t="s">
        <v>2112</v>
      </c>
      <c r="N218" t="s">
        <v>57</v>
      </c>
      <c r="O218" t="s">
        <v>58</v>
      </c>
      <c r="P218" t="s">
        <v>2113</v>
      </c>
      <c r="Q218" t="s">
        <v>1741</v>
      </c>
      <c r="R218" t="s">
        <v>61</v>
      </c>
      <c r="S218" t="s">
        <v>58</v>
      </c>
      <c r="T218" t="s">
        <v>2113</v>
      </c>
      <c r="U218" t="s">
        <v>1741</v>
      </c>
      <c r="V218" t="s">
        <v>56</v>
      </c>
      <c r="W218" t="s">
        <v>56</v>
      </c>
      <c r="X218" t="s">
        <v>56</v>
      </c>
      <c r="Y218" t="s">
        <v>62</v>
      </c>
      <c r="Z218" t="s">
        <v>63</v>
      </c>
      <c r="AA218" t="s">
        <v>64</v>
      </c>
      <c r="AB218">
        <v>1</v>
      </c>
      <c r="AC218" t="s">
        <v>65</v>
      </c>
      <c r="AD218" t="s">
        <v>66</v>
      </c>
      <c r="AE218" t="s">
        <v>113</v>
      </c>
      <c r="AF218" t="s">
        <v>103</v>
      </c>
      <c r="AG218">
        <v>31087.09</v>
      </c>
      <c r="AH218" t="s">
        <v>69</v>
      </c>
      <c r="AI218" t="s">
        <v>278</v>
      </c>
      <c r="AJ218" t="s">
        <v>485</v>
      </c>
      <c r="AK218" t="s">
        <v>72</v>
      </c>
      <c r="AL218" t="s">
        <v>73</v>
      </c>
      <c r="AM218" t="s">
        <v>73</v>
      </c>
      <c r="AN218" t="s">
        <v>116</v>
      </c>
    </row>
    <row r="219" spans="1:40" x14ac:dyDescent="0.25">
      <c r="A219" t="s">
        <v>986</v>
      </c>
      <c r="B219" t="s">
        <v>5</v>
      </c>
      <c r="C219" s="2">
        <v>1232.4795140000001</v>
      </c>
      <c r="D219" t="s">
        <v>56</v>
      </c>
      <c r="E219" t="s">
        <v>56</v>
      </c>
      <c r="F219">
        <v>-17417.47</v>
      </c>
      <c r="G219" t="s">
        <v>986</v>
      </c>
      <c r="H219" t="s">
        <v>7</v>
      </c>
      <c r="I219">
        <v>21100.47</v>
      </c>
      <c r="J219">
        <v>0</v>
      </c>
      <c r="K219">
        <v>0</v>
      </c>
      <c r="L219">
        <v>0</v>
      </c>
      <c r="M219" t="s">
        <v>986</v>
      </c>
      <c r="N219" t="s">
        <v>57</v>
      </c>
      <c r="O219" t="s">
        <v>58</v>
      </c>
      <c r="P219" t="s">
        <v>987</v>
      </c>
      <c r="Q219" t="s">
        <v>988</v>
      </c>
      <c r="R219" t="s">
        <v>61</v>
      </c>
      <c r="S219" t="s">
        <v>58</v>
      </c>
      <c r="T219" t="s">
        <v>987</v>
      </c>
      <c r="U219" t="s">
        <v>988</v>
      </c>
      <c r="V219" t="s">
        <v>56</v>
      </c>
      <c r="W219" t="s">
        <v>56</v>
      </c>
      <c r="X219" t="s">
        <v>56</v>
      </c>
      <c r="Y219" t="s">
        <v>62</v>
      </c>
      <c r="Z219" t="s">
        <v>63</v>
      </c>
      <c r="AA219" t="s">
        <v>64</v>
      </c>
      <c r="AB219">
        <v>1</v>
      </c>
      <c r="AC219" t="s">
        <v>78</v>
      </c>
      <c r="AD219" t="s">
        <v>66</v>
      </c>
      <c r="AE219" t="s">
        <v>85</v>
      </c>
      <c r="AF219" t="s">
        <v>103</v>
      </c>
      <c r="AG219">
        <v>38411.910000000003</v>
      </c>
      <c r="AH219" t="s">
        <v>69</v>
      </c>
      <c r="AI219" t="s">
        <v>194</v>
      </c>
      <c r="AJ219" t="s">
        <v>195</v>
      </c>
      <c r="AK219" t="s">
        <v>72</v>
      </c>
      <c r="AL219" t="s">
        <v>73</v>
      </c>
      <c r="AM219" t="s">
        <v>73</v>
      </c>
      <c r="AN219" t="s">
        <v>56</v>
      </c>
    </row>
    <row r="220" spans="1:40" x14ac:dyDescent="0.25">
      <c r="A220" t="s">
        <v>1905</v>
      </c>
      <c r="B220" t="s">
        <v>5</v>
      </c>
      <c r="C220" s="2">
        <v>1232.251491</v>
      </c>
      <c r="D220" t="s">
        <v>56</v>
      </c>
      <c r="E220" t="s">
        <v>56</v>
      </c>
      <c r="F220">
        <v>-14880.26</v>
      </c>
      <c r="G220" t="s">
        <v>1905</v>
      </c>
      <c r="H220" t="s">
        <v>7</v>
      </c>
      <c r="I220">
        <v>17703.3</v>
      </c>
      <c r="J220">
        <v>0</v>
      </c>
      <c r="K220">
        <v>0</v>
      </c>
      <c r="L220">
        <v>0</v>
      </c>
      <c r="M220" t="s">
        <v>1905</v>
      </c>
      <c r="N220" t="s">
        <v>57</v>
      </c>
      <c r="O220" t="s">
        <v>58</v>
      </c>
      <c r="P220" t="s">
        <v>1906</v>
      </c>
      <c r="Q220" t="s">
        <v>1907</v>
      </c>
      <c r="R220" t="s">
        <v>61</v>
      </c>
      <c r="S220" t="s">
        <v>58</v>
      </c>
      <c r="T220" t="s">
        <v>1906</v>
      </c>
      <c r="U220" t="s">
        <v>1907</v>
      </c>
      <c r="V220" t="s">
        <v>56</v>
      </c>
      <c r="W220" t="s">
        <v>56</v>
      </c>
      <c r="X220" t="s">
        <v>56</v>
      </c>
      <c r="Y220" t="s">
        <v>62</v>
      </c>
      <c r="Z220" t="s">
        <v>63</v>
      </c>
      <c r="AA220" t="s">
        <v>64</v>
      </c>
      <c r="AB220">
        <v>1</v>
      </c>
      <c r="AC220" t="s">
        <v>78</v>
      </c>
      <c r="AD220" t="s">
        <v>66</v>
      </c>
      <c r="AE220" t="s">
        <v>85</v>
      </c>
      <c r="AF220" t="s">
        <v>68</v>
      </c>
      <c r="AG220">
        <v>37398.370000000003</v>
      </c>
      <c r="AH220" t="s">
        <v>69</v>
      </c>
      <c r="AI220" t="s">
        <v>104</v>
      </c>
      <c r="AJ220" t="s">
        <v>470</v>
      </c>
      <c r="AK220" t="s">
        <v>72</v>
      </c>
      <c r="AL220" t="s">
        <v>73</v>
      </c>
      <c r="AM220" t="s">
        <v>73</v>
      </c>
      <c r="AN220" t="s">
        <v>56</v>
      </c>
    </row>
    <row r="221" spans="1:40" x14ac:dyDescent="0.25">
      <c r="A221" t="s">
        <v>1559</v>
      </c>
      <c r="B221" t="s">
        <v>5</v>
      </c>
      <c r="C221" s="2">
        <v>1230.6541090000001</v>
      </c>
      <c r="D221" t="s">
        <v>56</v>
      </c>
      <c r="E221" t="s">
        <v>56</v>
      </c>
      <c r="F221">
        <v>-18311.669999999998</v>
      </c>
      <c r="G221" t="s">
        <v>1559</v>
      </c>
      <c r="H221" t="s">
        <v>7</v>
      </c>
      <c r="I221">
        <v>21585.32</v>
      </c>
      <c r="J221">
        <v>0</v>
      </c>
      <c r="K221">
        <v>0</v>
      </c>
      <c r="L221">
        <v>0</v>
      </c>
      <c r="M221" t="s">
        <v>1559</v>
      </c>
      <c r="N221" t="s">
        <v>57</v>
      </c>
      <c r="O221" t="s">
        <v>58</v>
      </c>
      <c r="P221" t="s">
        <v>1560</v>
      </c>
      <c r="Q221" t="s">
        <v>1561</v>
      </c>
      <c r="R221" t="s">
        <v>61</v>
      </c>
      <c r="S221" t="s">
        <v>58</v>
      </c>
      <c r="T221" t="s">
        <v>1560</v>
      </c>
      <c r="U221" t="s">
        <v>1561</v>
      </c>
      <c r="V221" t="s">
        <v>56</v>
      </c>
      <c r="W221" t="s">
        <v>56</v>
      </c>
      <c r="X221" t="s">
        <v>56</v>
      </c>
      <c r="Y221" t="s">
        <v>62</v>
      </c>
      <c r="Z221" t="s">
        <v>63</v>
      </c>
      <c r="AA221" t="s">
        <v>64</v>
      </c>
      <c r="AB221">
        <v>1</v>
      </c>
      <c r="AC221" t="s">
        <v>84</v>
      </c>
      <c r="AD221" t="s">
        <v>66</v>
      </c>
      <c r="AE221" t="s">
        <v>85</v>
      </c>
      <c r="AF221" t="s">
        <v>103</v>
      </c>
      <c r="AG221">
        <v>40443.93</v>
      </c>
      <c r="AH221" t="s">
        <v>69</v>
      </c>
      <c r="AI221" t="s">
        <v>122</v>
      </c>
      <c r="AJ221" t="s">
        <v>1562</v>
      </c>
      <c r="AK221" t="s">
        <v>72</v>
      </c>
      <c r="AL221" t="s">
        <v>73</v>
      </c>
      <c r="AM221" t="s">
        <v>73</v>
      </c>
      <c r="AN221" t="s">
        <v>56</v>
      </c>
    </row>
    <row r="222" spans="1:40" x14ac:dyDescent="0.25">
      <c r="A222" t="s">
        <v>2524</v>
      </c>
      <c r="B222" t="s">
        <v>5</v>
      </c>
      <c r="C222" s="2">
        <v>1219.9457339999999</v>
      </c>
      <c r="D222" t="s">
        <v>56</v>
      </c>
      <c r="E222" t="s">
        <v>56</v>
      </c>
      <c r="F222">
        <v>-22441.24</v>
      </c>
      <c r="G222" t="s">
        <v>2524</v>
      </c>
      <c r="H222" t="s">
        <v>7</v>
      </c>
      <c r="I222">
        <v>25499.79</v>
      </c>
      <c r="J222">
        <v>0</v>
      </c>
      <c r="K222">
        <v>0</v>
      </c>
      <c r="L222">
        <v>0</v>
      </c>
      <c r="M222" t="s">
        <v>2524</v>
      </c>
      <c r="N222" t="s">
        <v>57</v>
      </c>
      <c r="O222" t="s">
        <v>58</v>
      </c>
      <c r="P222" t="s">
        <v>2525</v>
      </c>
      <c r="Q222" t="s">
        <v>2526</v>
      </c>
      <c r="R222" t="s">
        <v>61</v>
      </c>
      <c r="S222" t="s">
        <v>58</v>
      </c>
      <c r="T222" t="s">
        <v>2525</v>
      </c>
      <c r="U222" t="s">
        <v>2526</v>
      </c>
      <c r="V222" t="s">
        <v>56</v>
      </c>
      <c r="W222" t="s">
        <v>56</v>
      </c>
      <c r="X222" t="s">
        <v>56</v>
      </c>
      <c r="Y222" t="s">
        <v>62</v>
      </c>
      <c r="Z222" t="s">
        <v>63</v>
      </c>
      <c r="AA222" t="s">
        <v>64</v>
      </c>
      <c r="AB222">
        <v>1</v>
      </c>
      <c r="AC222" t="s">
        <v>78</v>
      </c>
      <c r="AD222" t="s">
        <v>66</v>
      </c>
      <c r="AE222" t="s">
        <v>85</v>
      </c>
      <c r="AF222" t="s">
        <v>103</v>
      </c>
      <c r="AG222">
        <v>49999.68</v>
      </c>
      <c r="AH222" t="s">
        <v>69</v>
      </c>
      <c r="AI222" t="s">
        <v>244</v>
      </c>
      <c r="AJ222" t="s">
        <v>279</v>
      </c>
      <c r="AK222" t="s">
        <v>72</v>
      </c>
      <c r="AL222" t="s">
        <v>73</v>
      </c>
      <c r="AM222" t="s">
        <v>73</v>
      </c>
      <c r="AN222" t="s">
        <v>56</v>
      </c>
    </row>
    <row r="223" spans="1:40" x14ac:dyDescent="0.25">
      <c r="A223" t="s">
        <v>633</v>
      </c>
      <c r="B223" t="s">
        <v>5</v>
      </c>
      <c r="C223">
        <v>1215.6423649999999</v>
      </c>
      <c r="D223">
        <v>676.35817399999996</v>
      </c>
      <c r="E223" t="s">
        <v>56</v>
      </c>
      <c r="F223">
        <v>-85581.05</v>
      </c>
      <c r="G223" t="s">
        <v>633</v>
      </c>
      <c r="H223" t="s">
        <v>7</v>
      </c>
      <c r="I223">
        <v>99202.46</v>
      </c>
      <c r="J223">
        <v>928.649091</v>
      </c>
      <c r="K223">
        <v>788.82493799999997</v>
      </c>
      <c r="L223">
        <v>0</v>
      </c>
      <c r="M223" t="s">
        <v>633</v>
      </c>
      <c r="N223" t="s">
        <v>57</v>
      </c>
      <c r="O223" t="s">
        <v>58</v>
      </c>
      <c r="P223" t="s">
        <v>634</v>
      </c>
      <c r="Q223" t="s">
        <v>635</v>
      </c>
      <c r="R223" t="s">
        <v>61</v>
      </c>
      <c r="S223" t="s">
        <v>58</v>
      </c>
      <c r="T223" t="s">
        <v>634</v>
      </c>
      <c r="U223" t="s">
        <v>635</v>
      </c>
      <c r="V223" t="s">
        <v>56</v>
      </c>
      <c r="W223" t="s">
        <v>56</v>
      </c>
      <c r="X223" t="s">
        <v>56</v>
      </c>
      <c r="Y223" t="s">
        <v>62</v>
      </c>
      <c r="Z223" t="s">
        <v>63</v>
      </c>
      <c r="AA223" t="s">
        <v>64</v>
      </c>
      <c r="AB223">
        <v>1</v>
      </c>
      <c r="AC223" t="s">
        <v>84</v>
      </c>
      <c r="AD223" t="s">
        <v>66</v>
      </c>
      <c r="AE223" t="s">
        <v>67</v>
      </c>
      <c r="AF223" t="s">
        <v>68</v>
      </c>
      <c r="AG223">
        <v>119756.1</v>
      </c>
      <c r="AH223" t="s">
        <v>69</v>
      </c>
      <c r="AI223" t="s">
        <v>323</v>
      </c>
      <c r="AJ223" t="s">
        <v>433</v>
      </c>
      <c r="AK223" t="s">
        <v>72</v>
      </c>
      <c r="AL223" t="s">
        <v>73</v>
      </c>
      <c r="AM223" t="s">
        <v>73</v>
      </c>
      <c r="AN223" t="s">
        <v>74</v>
      </c>
    </row>
    <row r="224" spans="1:40" x14ac:dyDescent="0.25">
      <c r="A224" t="s">
        <v>1135</v>
      </c>
      <c r="B224" t="s">
        <v>5</v>
      </c>
      <c r="C224" s="2">
        <v>1201.8086940000001</v>
      </c>
      <c r="D224" t="s">
        <v>56</v>
      </c>
      <c r="E224" t="s">
        <v>56</v>
      </c>
      <c r="F224">
        <v>-21665.56</v>
      </c>
      <c r="G224" t="s">
        <v>1135</v>
      </c>
      <c r="H224" t="s">
        <v>7</v>
      </c>
      <c r="I224">
        <v>24848.27</v>
      </c>
      <c r="J224">
        <v>0</v>
      </c>
      <c r="K224">
        <v>0</v>
      </c>
      <c r="L224">
        <v>0</v>
      </c>
      <c r="M224" t="s">
        <v>1135</v>
      </c>
      <c r="N224" t="s">
        <v>57</v>
      </c>
      <c r="O224" t="s">
        <v>58</v>
      </c>
      <c r="P224" t="s">
        <v>1136</v>
      </c>
      <c r="Q224" t="s">
        <v>1137</v>
      </c>
      <c r="R224" t="s">
        <v>61</v>
      </c>
      <c r="S224" t="s">
        <v>58</v>
      </c>
      <c r="T224" t="s">
        <v>1136</v>
      </c>
      <c r="U224" t="s">
        <v>1137</v>
      </c>
      <c r="V224" t="s">
        <v>56</v>
      </c>
      <c r="W224" t="s">
        <v>56</v>
      </c>
      <c r="X224" t="s">
        <v>56</v>
      </c>
      <c r="Y224" t="s">
        <v>62</v>
      </c>
      <c r="Z224" t="s">
        <v>63</v>
      </c>
      <c r="AA224" t="s">
        <v>64</v>
      </c>
      <c r="AB224">
        <v>1</v>
      </c>
      <c r="AC224" t="s">
        <v>65</v>
      </c>
      <c r="AD224" t="s">
        <v>66</v>
      </c>
      <c r="AE224" t="s">
        <v>85</v>
      </c>
      <c r="AF224" t="s">
        <v>68</v>
      </c>
      <c r="AG224">
        <v>49000</v>
      </c>
      <c r="AH224" t="s">
        <v>69</v>
      </c>
      <c r="AI224" t="s">
        <v>87</v>
      </c>
      <c r="AJ224" t="s">
        <v>396</v>
      </c>
      <c r="AK224" t="s">
        <v>72</v>
      </c>
      <c r="AL224" t="s">
        <v>73</v>
      </c>
      <c r="AM224" t="s">
        <v>73</v>
      </c>
      <c r="AN224" t="s">
        <v>56</v>
      </c>
    </row>
    <row r="225" spans="1:40" x14ac:dyDescent="0.25">
      <c r="A225" t="s">
        <v>1303</v>
      </c>
      <c r="B225" t="s">
        <v>5</v>
      </c>
      <c r="C225" s="2">
        <v>1200.4914610000001</v>
      </c>
      <c r="D225" t="s">
        <v>56</v>
      </c>
      <c r="E225" t="s">
        <v>56</v>
      </c>
      <c r="F225">
        <v>-18132.990000000002</v>
      </c>
      <c r="G225" t="s">
        <v>1303</v>
      </c>
      <c r="H225" t="s">
        <v>7</v>
      </c>
      <c r="I225">
        <v>20759.3</v>
      </c>
      <c r="J225">
        <v>0</v>
      </c>
      <c r="K225">
        <v>0</v>
      </c>
      <c r="L225">
        <v>0</v>
      </c>
      <c r="M225" t="s">
        <v>1303</v>
      </c>
      <c r="N225" t="s">
        <v>57</v>
      </c>
      <c r="O225" t="s">
        <v>58</v>
      </c>
      <c r="P225" t="s">
        <v>1304</v>
      </c>
      <c r="Q225" t="s">
        <v>1305</v>
      </c>
      <c r="R225" t="s">
        <v>61</v>
      </c>
      <c r="S225" t="s">
        <v>58</v>
      </c>
      <c r="T225" t="s">
        <v>1304</v>
      </c>
      <c r="U225" t="s">
        <v>1305</v>
      </c>
      <c r="V225" t="s">
        <v>56</v>
      </c>
      <c r="W225" t="s">
        <v>56</v>
      </c>
      <c r="X225" t="s">
        <v>56</v>
      </c>
      <c r="Y225" t="s">
        <v>62</v>
      </c>
      <c r="Z225" t="s">
        <v>63</v>
      </c>
      <c r="AA225" t="s">
        <v>64</v>
      </c>
      <c r="AB225">
        <v>1</v>
      </c>
      <c r="AC225" t="s">
        <v>78</v>
      </c>
      <c r="AD225" t="s">
        <v>66</v>
      </c>
      <c r="AE225" t="s">
        <v>85</v>
      </c>
      <c r="AF225" t="s">
        <v>103</v>
      </c>
      <c r="AG225">
        <v>41055.54</v>
      </c>
      <c r="AH225" t="s">
        <v>69</v>
      </c>
      <c r="AI225" t="s">
        <v>829</v>
      </c>
      <c r="AJ225" t="s">
        <v>1065</v>
      </c>
      <c r="AK225" t="s">
        <v>72</v>
      </c>
      <c r="AL225" t="s">
        <v>73</v>
      </c>
      <c r="AM225" t="s">
        <v>73</v>
      </c>
      <c r="AN225" t="s">
        <v>56</v>
      </c>
    </row>
    <row r="226" spans="1:40" x14ac:dyDescent="0.25">
      <c r="A226" t="s">
        <v>1278</v>
      </c>
      <c r="B226" t="s">
        <v>5</v>
      </c>
      <c r="C226" s="2">
        <v>1199.765979</v>
      </c>
      <c r="D226" t="s">
        <v>56</v>
      </c>
      <c r="E226" t="s">
        <v>56</v>
      </c>
      <c r="F226">
        <v>-12132.75</v>
      </c>
      <c r="G226" t="s">
        <v>1278</v>
      </c>
      <c r="H226" t="s">
        <v>7</v>
      </c>
      <c r="I226">
        <v>14238.13</v>
      </c>
      <c r="J226">
        <v>0</v>
      </c>
      <c r="K226">
        <v>0</v>
      </c>
      <c r="L226">
        <v>0</v>
      </c>
      <c r="M226" t="s">
        <v>1278</v>
      </c>
      <c r="N226" t="s">
        <v>57</v>
      </c>
      <c r="O226" t="s">
        <v>58</v>
      </c>
      <c r="P226" t="s">
        <v>1279</v>
      </c>
      <c r="Q226" t="s">
        <v>1280</v>
      </c>
      <c r="R226" t="s">
        <v>61</v>
      </c>
      <c r="S226" t="s">
        <v>58</v>
      </c>
      <c r="T226" t="s">
        <v>1279</v>
      </c>
      <c r="U226" t="s">
        <v>1280</v>
      </c>
      <c r="V226" t="s">
        <v>56</v>
      </c>
      <c r="W226" t="s">
        <v>56</v>
      </c>
      <c r="X226" t="s">
        <v>56</v>
      </c>
      <c r="Y226" t="s">
        <v>62</v>
      </c>
      <c r="Z226" t="s">
        <v>63</v>
      </c>
      <c r="AA226" t="s">
        <v>64</v>
      </c>
      <c r="AB226">
        <v>1</v>
      </c>
      <c r="AC226" t="s">
        <v>78</v>
      </c>
      <c r="AD226" t="s">
        <v>66</v>
      </c>
      <c r="AE226" t="s">
        <v>85</v>
      </c>
      <c r="AF226" t="s">
        <v>68</v>
      </c>
      <c r="AG226">
        <v>27486.799999999999</v>
      </c>
      <c r="AH226" t="s">
        <v>69</v>
      </c>
      <c r="AI226" t="s">
        <v>132</v>
      </c>
      <c r="AJ226" t="s">
        <v>463</v>
      </c>
      <c r="AK226" t="s">
        <v>72</v>
      </c>
      <c r="AL226" t="s">
        <v>73</v>
      </c>
      <c r="AM226" t="s">
        <v>73</v>
      </c>
      <c r="AN226" t="s">
        <v>56</v>
      </c>
    </row>
    <row r="227" spans="1:40" x14ac:dyDescent="0.25">
      <c r="A227" t="s">
        <v>1272</v>
      </c>
      <c r="B227" t="s">
        <v>5</v>
      </c>
      <c r="C227" s="2">
        <v>1195.670519</v>
      </c>
      <c r="D227" t="s">
        <v>56</v>
      </c>
      <c r="E227" t="s">
        <v>56</v>
      </c>
      <c r="F227">
        <v>-21984.83</v>
      </c>
      <c r="G227" t="s">
        <v>1272</v>
      </c>
      <c r="H227" t="s">
        <v>7</v>
      </c>
      <c r="I227">
        <v>24880.92</v>
      </c>
      <c r="J227">
        <v>0</v>
      </c>
      <c r="K227">
        <v>0</v>
      </c>
      <c r="L227">
        <v>0</v>
      </c>
      <c r="M227" t="s">
        <v>1272</v>
      </c>
      <c r="N227" t="s">
        <v>57</v>
      </c>
      <c r="O227" t="s">
        <v>58</v>
      </c>
      <c r="P227" t="s">
        <v>1273</v>
      </c>
      <c r="Q227" t="s">
        <v>1274</v>
      </c>
      <c r="R227" t="s">
        <v>61</v>
      </c>
      <c r="S227" t="s">
        <v>58</v>
      </c>
      <c r="T227" t="s">
        <v>1273</v>
      </c>
      <c r="U227" t="s">
        <v>1274</v>
      </c>
      <c r="V227" t="s">
        <v>56</v>
      </c>
      <c r="W227" t="s">
        <v>56</v>
      </c>
      <c r="X227" t="s">
        <v>56</v>
      </c>
      <c r="Y227" t="s">
        <v>62</v>
      </c>
      <c r="Z227" t="s">
        <v>63</v>
      </c>
      <c r="AA227" t="s">
        <v>64</v>
      </c>
      <c r="AB227">
        <v>1</v>
      </c>
      <c r="AC227" t="s">
        <v>65</v>
      </c>
      <c r="AD227" t="s">
        <v>66</v>
      </c>
      <c r="AE227" t="s">
        <v>85</v>
      </c>
      <c r="AF227" t="s">
        <v>86</v>
      </c>
      <c r="AG227">
        <v>49977.2</v>
      </c>
      <c r="AH227" t="s">
        <v>69</v>
      </c>
      <c r="AI227" t="s">
        <v>181</v>
      </c>
      <c r="AJ227" t="s">
        <v>418</v>
      </c>
      <c r="AK227" t="s">
        <v>72</v>
      </c>
      <c r="AL227" t="s">
        <v>73</v>
      </c>
      <c r="AM227" t="s">
        <v>73</v>
      </c>
      <c r="AN227" t="s">
        <v>56</v>
      </c>
    </row>
    <row r="228" spans="1:40" x14ac:dyDescent="0.25">
      <c r="A228" t="s">
        <v>1306</v>
      </c>
      <c r="B228" t="s">
        <v>5</v>
      </c>
      <c r="C228" s="2">
        <v>1189.4052999999999</v>
      </c>
      <c r="D228" t="s">
        <v>56</v>
      </c>
      <c r="E228" t="s">
        <v>56</v>
      </c>
      <c r="F228">
        <v>-16898.87</v>
      </c>
      <c r="G228" t="s">
        <v>1306</v>
      </c>
      <c r="H228" t="s">
        <v>7</v>
      </c>
      <c r="I228">
        <v>18783.259999999998</v>
      </c>
      <c r="J228">
        <v>0</v>
      </c>
      <c r="K228">
        <v>0</v>
      </c>
      <c r="L228">
        <v>0</v>
      </c>
      <c r="M228" t="s">
        <v>1306</v>
      </c>
      <c r="N228" t="s">
        <v>57</v>
      </c>
      <c r="O228" t="s">
        <v>58</v>
      </c>
      <c r="P228" t="s">
        <v>1307</v>
      </c>
      <c r="Q228" t="s">
        <v>1308</v>
      </c>
      <c r="R228" t="s">
        <v>61</v>
      </c>
      <c r="S228" t="s">
        <v>58</v>
      </c>
      <c r="T228" t="s">
        <v>1307</v>
      </c>
      <c r="U228" t="s">
        <v>1308</v>
      </c>
      <c r="V228" t="s">
        <v>56</v>
      </c>
      <c r="W228" t="s">
        <v>56</v>
      </c>
      <c r="X228" t="s">
        <v>56</v>
      </c>
      <c r="Y228" t="s">
        <v>62</v>
      </c>
      <c r="Z228" t="s">
        <v>63</v>
      </c>
      <c r="AA228" t="s">
        <v>64</v>
      </c>
      <c r="AB228">
        <v>1</v>
      </c>
      <c r="AC228" t="s">
        <v>84</v>
      </c>
      <c r="AD228" t="s">
        <v>66</v>
      </c>
      <c r="AE228" t="s">
        <v>85</v>
      </c>
      <c r="AF228" t="s">
        <v>103</v>
      </c>
      <c r="AG228">
        <v>38617.89</v>
      </c>
      <c r="AH228" t="s">
        <v>69</v>
      </c>
      <c r="AI228" t="s">
        <v>501</v>
      </c>
      <c r="AJ228" t="s">
        <v>363</v>
      </c>
      <c r="AK228" t="s">
        <v>72</v>
      </c>
      <c r="AL228" t="s">
        <v>73</v>
      </c>
      <c r="AM228" t="s">
        <v>73</v>
      </c>
      <c r="AN228" t="s">
        <v>56</v>
      </c>
    </row>
    <row r="229" spans="1:40" x14ac:dyDescent="0.25">
      <c r="A229" t="s">
        <v>2521</v>
      </c>
      <c r="B229" t="s">
        <v>5</v>
      </c>
      <c r="C229" s="2">
        <v>1183.9959490000001</v>
      </c>
      <c r="D229" t="s">
        <v>56</v>
      </c>
      <c r="E229" t="s">
        <v>56</v>
      </c>
      <c r="F229">
        <v>-11974.69</v>
      </c>
      <c r="G229" t="s">
        <v>2521</v>
      </c>
      <c r="H229" t="s">
        <v>7</v>
      </c>
      <c r="I229">
        <v>14204.59</v>
      </c>
      <c r="J229">
        <v>0</v>
      </c>
      <c r="K229">
        <v>0</v>
      </c>
      <c r="L229">
        <v>0</v>
      </c>
      <c r="M229" t="s">
        <v>2521</v>
      </c>
      <c r="N229" t="s">
        <v>57</v>
      </c>
      <c r="O229" t="s">
        <v>58</v>
      </c>
      <c r="P229" t="s">
        <v>2522</v>
      </c>
      <c r="Q229" t="s">
        <v>2523</v>
      </c>
      <c r="R229" t="s">
        <v>61</v>
      </c>
      <c r="S229" t="s">
        <v>58</v>
      </c>
      <c r="T229" t="s">
        <v>2522</v>
      </c>
      <c r="U229" t="s">
        <v>2523</v>
      </c>
      <c r="V229" t="s">
        <v>56</v>
      </c>
      <c r="W229" t="s">
        <v>56</v>
      </c>
      <c r="X229" t="s">
        <v>56</v>
      </c>
      <c r="Y229" t="s">
        <v>62</v>
      </c>
      <c r="Z229" t="s">
        <v>63</v>
      </c>
      <c r="AA229" t="s">
        <v>64</v>
      </c>
      <c r="AB229">
        <v>1</v>
      </c>
      <c r="AC229" t="s">
        <v>84</v>
      </c>
      <c r="AD229" t="s">
        <v>66</v>
      </c>
      <c r="AE229" t="s">
        <v>85</v>
      </c>
      <c r="AF229" t="s">
        <v>68</v>
      </c>
      <c r="AG229">
        <v>27490</v>
      </c>
      <c r="AH229" t="s">
        <v>69</v>
      </c>
      <c r="AI229" t="s">
        <v>297</v>
      </c>
      <c r="AJ229" t="s">
        <v>704</v>
      </c>
      <c r="AK229" t="s">
        <v>72</v>
      </c>
      <c r="AL229" t="s">
        <v>73</v>
      </c>
      <c r="AM229" t="s">
        <v>73</v>
      </c>
      <c r="AN229" t="s">
        <v>56</v>
      </c>
    </row>
    <row r="230" spans="1:40" x14ac:dyDescent="0.25">
      <c r="A230" t="s">
        <v>266</v>
      </c>
      <c r="B230" t="s">
        <v>5</v>
      </c>
      <c r="C230" s="2">
        <v>1161.044654</v>
      </c>
      <c r="D230" t="s">
        <v>56</v>
      </c>
      <c r="E230" t="s">
        <v>56</v>
      </c>
      <c r="F230">
        <v>-21354.400000000001</v>
      </c>
      <c r="G230" t="s">
        <v>266</v>
      </c>
      <c r="H230" t="s">
        <v>7</v>
      </c>
      <c r="I230">
        <v>26126.62</v>
      </c>
      <c r="J230">
        <v>0</v>
      </c>
      <c r="K230">
        <v>0</v>
      </c>
      <c r="L230">
        <v>0</v>
      </c>
      <c r="M230" t="s">
        <v>266</v>
      </c>
      <c r="N230" t="s">
        <v>57</v>
      </c>
      <c r="O230" t="s">
        <v>58</v>
      </c>
      <c r="P230" t="s">
        <v>267</v>
      </c>
      <c r="Q230" t="s">
        <v>268</v>
      </c>
      <c r="R230" t="s">
        <v>61</v>
      </c>
      <c r="S230" t="s">
        <v>58</v>
      </c>
      <c r="T230" t="s">
        <v>267</v>
      </c>
      <c r="U230" t="s">
        <v>268</v>
      </c>
      <c r="V230" t="s">
        <v>56</v>
      </c>
      <c r="W230" t="s">
        <v>56</v>
      </c>
      <c r="X230" t="s">
        <v>56</v>
      </c>
      <c r="Y230" t="s">
        <v>62</v>
      </c>
      <c r="Z230" t="s">
        <v>63</v>
      </c>
      <c r="AA230" t="s">
        <v>64</v>
      </c>
      <c r="AB230">
        <v>1</v>
      </c>
      <c r="AC230" t="s">
        <v>84</v>
      </c>
      <c r="AD230" t="s">
        <v>66</v>
      </c>
      <c r="AE230" t="s">
        <v>85</v>
      </c>
      <c r="AF230" t="s">
        <v>68</v>
      </c>
      <c r="AG230">
        <v>49991.87</v>
      </c>
      <c r="AH230" t="s">
        <v>69</v>
      </c>
      <c r="AI230" t="s">
        <v>269</v>
      </c>
      <c r="AJ230" t="s">
        <v>236</v>
      </c>
      <c r="AK230" t="s">
        <v>72</v>
      </c>
      <c r="AL230" t="s">
        <v>73</v>
      </c>
      <c r="AM230" t="s">
        <v>73</v>
      </c>
      <c r="AN230" t="s">
        <v>56</v>
      </c>
    </row>
    <row r="231" spans="1:40" x14ac:dyDescent="0.25">
      <c r="A231" t="s">
        <v>1354</v>
      </c>
      <c r="B231" t="s">
        <v>5</v>
      </c>
      <c r="C231">
        <v>1160.0428770000001</v>
      </c>
      <c r="D231">
        <v>1175.6547619999999</v>
      </c>
      <c r="E231" t="s">
        <v>56</v>
      </c>
      <c r="F231">
        <v>-41809.53</v>
      </c>
      <c r="G231" t="s">
        <v>1354</v>
      </c>
      <c r="H231" t="s">
        <v>7</v>
      </c>
      <c r="I231">
        <v>47501.39</v>
      </c>
      <c r="J231">
        <v>1101.1241689999999</v>
      </c>
      <c r="K231">
        <v>935.330915</v>
      </c>
      <c r="L231">
        <v>0</v>
      </c>
      <c r="M231" t="s">
        <v>1354</v>
      </c>
      <c r="N231" t="s">
        <v>57</v>
      </c>
      <c r="O231" t="s">
        <v>58</v>
      </c>
      <c r="P231" t="s">
        <v>1355</v>
      </c>
      <c r="Q231" t="s">
        <v>1356</v>
      </c>
      <c r="R231" t="s">
        <v>61</v>
      </c>
      <c r="S231" t="s">
        <v>58</v>
      </c>
      <c r="T231" t="s">
        <v>1355</v>
      </c>
      <c r="U231" t="s">
        <v>1356</v>
      </c>
      <c r="V231" t="s">
        <v>56</v>
      </c>
      <c r="W231" t="s">
        <v>56</v>
      </c>
      <c r="X231" t="s">
        <v>56</v>
      </c>
      <c r="Y231" t="s">
        <v>62</v>
      </c>
      <c r="Z231" t="s">
        <v>63</v>
      </c>
      <c r="AA231" t="s">
        <v>64</v>
      </c>
      <c r="AB231">
        <v>1</v>
      </c>
      <c r="AC231" t="s">
        <v>84</v>
      </c>
      <c r="AD231" t="s">
        <v>66</v>
      </c>
      <c r="AE231" t="s">
        <v>67</v>
      </c>
      <c r="AF231" t="s">
        <v>68</v>
      </c>
      <c r="AG231">
        <v>48361.34</v>
      </c>
      <c r="AH231" t="s">
        <v>69</v>
      </c>
      <c r="AI231" t="s">
        <v>203</v>
      </c>
      <c r="AJ231" t="s">
        <v>71</v>
      </c>
      <c r="AK231" t="s">
        <v>99</v>
      </c>
      <c r="AL231" t="s">
        <v>73</v>
      </c>
      <c r="AM231" t="s">
        <v>73</v>
      </c>
      <c r="AN231" t="s">
        <v>74</v>
      </c>
    </row>
    <row r="232" spans="1:40" x14ac:dyDescent="0.25">
      <c r="A232" t="s">
        <v>1976</v>
      </c>
      <c r="B232" t="s">
        <v>5</v>
      </c>
      <c r="C232">
        <v>1156.3504370000001</v>
      </c>
      <c r="D232">
        <v>699.30695500000002</v>
      </c>
      <c r="E232" t="s">
        <v>56</v>
      </c>
      <c r="F232">
        <v>-94547.29</v>
      </c>
      <c r="G232" t="s">
        <v>1976</v>
      </c>
      <c r="H232" t="s">
        <v>7</v>
      </c>
      <c r="I232">
        <v>108633.2</v>
      </c>
      <c r="J232">
        <v>993.31183099999998</v>
      </c>
      <c r="K232">
        <v>843.75158499999998</v>
      </c>
      <c r="L232">
        <v>0</v>
      </c>
      <c r="M232" t="s">
        <v>1976</v>
      </c>
      <c r="N232" t="s">
        <v>57</v>
      </c>
      <c r="O232" t="s">
        <v>58</v>
      </c>
      <c r="P232" t="s">
        <v>1977</v>
      </c>
      <c r="Q232" t="s">
        <v>1978</v>
      </c>
      <c r="R232" t="s">
        <v>61</v>
      </c>
      <c r="S232" t="s">
        <v>58</v>
      </c>
      <c r="T232" t="s">
        <v>1977</v>
      </c>
      <c r="U232" t="s">
        <v>1978</v>
      </c>
      <c r="V232" t="s">
        <v>56</v>
      </c>
      <c r="W232" t="s">
        <v>56</v>
      </c>
      <c r="X232" t="s">
        <v>56</v>
      </c>
      <c r="Y232" t="s">
        <v>62</v>
      </c>
      <c r="Z232" t="s">
        <v>63</v>
      </c>
      <c r="AA232" t="s">
        <v>64</v>
      </c>
      <c r="AB232">
        <v>1</v>
      </c>
      <c r="AC232" t="s">
        <v>147</v>
      </c>
      <c r="AD232" t="s">
        <v>66</v>
      </c>
      <c r="AE232" t="s">
        <v>67</v>
      </c>
      <c r="AF232" t="s">
        <v>68</v>
      </c>
      <c r="AG232">
        <v>122604.16</v>
      </c>
      <c r="AH232" t="s">
        <v>69</v>
      </c>
      <c r="AI232" t="s">
        <v>297</v>
      </c>
      <c r="AJ232" t="s">
        <v>324</v>
      </c>
      <c r="AK232" t="s">
        <v>72</v>
      </c>
      <c r="AL232" t="s">
        <v>73</v>
      </c>
      <c r="AM232" t="s">
        <v>73</v>
      </c>
      <c r="AN232" t="s">
        <v>74</v>
      </c>
    </row>
    <row r="233" spans="1:40" x14ac:dyDescent="0.25">
      <c r="A233" t="s">
        <v>1401</v>
      </c>
      <c r="B233" t="s">
        <v>5</v>
      </c>
      <c r="C233" s="2">
        <v>1153.1367769999999</v>
      </c>
      <c r="D233" t="s">
        <v>56</v>
      </c>
      <c r="E233" t="s">
        <v>56</v>
      </c>
      <c r="F233">
        <v>-13068.98</v>
      </c>
      <c r="G233" t="s">
        <v>1401</v>
      </c>
      <c r="H233" t="s">
        <v>7</v>
      </c>
      <c r="I233">
        <v>16142.5</v>
      </c>
      <c r="J233">
        <v>0</v>
      </c>
      <c r="K233">
        <v>0</v>
      </c>
      <c r="L233">
        <v>0</v>
      </c>
      <c r="M233" t="s">
        <v>1401</v>
      </c>
      <c r="N233" t="s">
        <v>57</v>
      </c>
      <c r="O233" t="s">
        <v>58</v>
      </c>
      <c r="P233" t="s">
        <v>1402</v>
      </c>
      <c r="Q233" t="s">
        <v>1403</v>
      </c>
      <c r="R233" t="s">
        <v>61</v>
      </c>
      <c r="S233" t="s">
        <v>58</v>
      </c>
      <c r="T233" t="s">
        <v>1402</v>
      </c>
      <c r="U233" t="s">
        <v>1403</v>
      </c>
      <c r="V233" t="s">
        <v>56</v>
      </c>
      <c r="W233" t="s">
        <v>56</v>
      </c>
      <c r="X233" t="s">
        <v>56</v>
      </c>
      <c r="Y233" t="s">
        <v>62</v>
      </c>
      <c r="Z233" t="s">
        <v>63</v>
      </c>
      <c r="AA233" t="s">
        <v>64</v>
      </c>
      <c r="AB233">
        <v>1</v>
      </c>
      <c r="AC233" t="s">
        <v>84</v>
      </c>
      <c r="AD233" t="s">
        <v>66</v>
      </c>
      <c r="AE233" t="s">
        <v>85</v>
      </c>
      <c r="AF233" t="s">
        <v>103</v>
      </c>
      <c r="AG233">
        <v>38615.160000000003</v>
      </c>
      <c r="AH233" t="s">
        <v>69</v>
      </c>
      <c r="AI233" t="s">
        <v>152</v>
      </c>
      <c r="AJ233" t="s">
        <v>177</v>
      </c>
      <c r="AK233" t="s">
        <v>72</v>
      </c>
      <c r="AL233" t="s">
        <v>73</v>
      </c>
      <c r="AM233" t="s">
        <v>73</v>
      </c>
      <c r="AN233" t="s">
        <v>56</v>
      </c>
    </row>
    <row r="234" spans="1:40" x14ac:dyDescent="0.25">
      <c r="A234" t="s">
        <v>139</v>
      </c>
      <c r="B234" t="s">
        <v>5</v>
      </c>
      <c r="C234" s="2">
        <v>1153.0342680000001</v>
      </c>
      <c r="D234" t="s">
        <v>56</v>
      </c>
      <c r="E234" t="s">
        <v>56</v>
      </c>
      <c r="F234">
        <v>-30522.46</v>
      </c>
      <c r="G234" t="s">
        <v>139</v>
      </c>
      <c r="H234" t="s">
        <v>7</v>
      </c>
      <c r="I234">
        <v>35321.379999999997</v>
      </c>
      <c r="J234">
        <v>0</v>
      </c>
      <c r="K234">
        <v>0</v>
      </c>
      <c r="L234">
        <v>0</v>
      </c>
      <c r="M234" t="s">
        <v>139</v>
      </c>
      <c r="N234" t="s">
        <v>57</v>
      </c>
      <c r="O234" t="s">
        <v>58</v>
      </c>
      <c r="P234" t="s">
        <v>140</v>
      </c>
      <c r="Q234" t="s">
        <v>141</v>
      </c>
      <c r="R234" t="s">
        <v>61</v>
      </c>
      <c r="S234" t="s">
        <v>58</v>
      </c>
      <c r="T234" t="s">
        <v>140</v>
      </c>
      <c r="U234" t="s">
        <v>141</v>
      </c>
      <c r="V234" t="s">
        <v>56</v>
      </c>
      <c r="W234" t="s">
        <v>56</v>
      </c>
      <c r="X234" t="s">
        <v>56</v>
      </c>
      <c r="Y234" t="s">
        <v>62</v>
      </c>
      <c r="Z234" t="s">
        <v>63</v>
      </c>
      <c r="AA234" t="s">
        <v>64</v>
      </c>
      <c r="AB234">
        <v>1</v>
      </c>
      <c r="AC234" t="s">
        <v>84</v>
      </c>
      <c r="AD234" t="s">
        <v>66</v>
      </c>
      <c r="AE234" t="s">
        <v>85</v>
      </c>
      <c r="AF234" t="s">
        <v>68</v>
      </c>
      <c r="AG234">
        <v>71951.210000000006</v>
      </c>
      <c r="AH234" t="s">
        <v>69</v>
      </c>
      <c r="AI234" t="s">
        <v>142</v>
      </c>
      <c r="AJ234" t="s">
        <v>143</v>
      </c>
      <c r="AK234" t="s">
        <v>72</v>
      </c>
      <c r="AL234" t="s">
        <v>73</v>
      </c>
      <c r="AM234" t="s">
        <v>73</v>
      </c>
      <c r="AN234" t="s">
        <v>56</v>
      </c>
    </row>
    <row r="235" spans="1:40" x14ac:dyDescent="0.25">
      <c r="A235" t="s">
        <v>2274</v>
      </c>
      <c r="B235" t="s">
        <v>5</v>
      </c>
      <c r="C235" s="2">
        <v>1143.542829</v>
      </c>
      <c r="D235" t="s">
        <v>56</v>
      </c>
      <c r="E235" t="s">
        <v>56</v>
      </c>
      <c r="F235">
        <v>-21035.59</v>
      </c>
      <c r="G235" t="s">
        <v>2274</v>
      </c>
      <c r="H235" t="s">
        <v>7</v>
      </c>
      <c r="I235">
        <v>27381.14</v>
      </c>
      <c r="J235">
        <v>0</v>
      </c>
      <c r="K235">
        <v>0</v>
      </c>
      <c r="L235">
        <v>0</v>
      </c>
      <c r="M235" t="s">
        <v>2274</v>
      </c>
      <c r="N235" t="s">
        <v>57</v>
      </c>
      <c r="O235" t="s">
        <v>58</v>
      </c>
      <c r="P235" t="s">
        <v>2275</v>
      </c>
      <c r="Q235" t="s">
        <v>1783</v>
      </c>
      <c r="R235" t="s">
        <v>61</v>
      </c>
      <c r="S235" t="s">
        <v>58</v>
      </c>
      <c r="T235" t="s">
        <v>2275</v>
      </c>
      <c r="U235" t="s">
        <v>1783</v>
      </c>
      <c r="V235" t="s">
        <v>56</v>
      </c>
      <c r="W235" t="s">
        <v>56</v>
      </c>
      <c r="X235" t="s">
        <v>56</v>
      </c>
      <c r="Y235" t="s">
        <v>62</v>
      </c>
      <c r="Z235" t="s">
        <v>63</v>
      </c>
      <c r="AA235" t="s">
        <v>64</v>
      </c>
      <c r="AB235">
        <v>1</v>
      </c>
      <c r="AC235" t="s">
        <v>84</v>
      </c>
      <c r="AD235" t="s">
        <v>66</v>
      </c>
      <c r="AE235" t="s">
        <v>85</v>
      </c>
      <c r="AF235" t="s">
        <v>68</v>
      </c>
      <c r="AG235">
        <v>61499</v>
      </c>
      <c r="AH235" t="s">
        <v>69</v>
      </c>
      <c r="AI235" t="s">
        <v>323</v>
      </c>
      <c r="AJ235" t="s">
        <v>123</v>
      </c>
      <c r="AK235" t="s">
        <v>99</v>
      </c>
      <c r="AL235" t="s">
        <v>73</v>
      </c>
      <c r="AM235" t="s">
        <v>73</v>
      </c>
      <c r="AN235" t="s">
        <v>56</v>
      </c>
    </row>
    <row r="236" spans="1:40" x14ac:dyDescent="0.25">
      <c r="A236" t="s">
        <v>1638</v>
      </c>
      <c r="B236" t="s">
        <v>5</v>
      </c>
      <c r="C236" s="2">
        <v>1138.7285919999999</v>
      </c>
      <c r="D236" t="s">
        <v>56</v>
      </c>
      <c r="E236" t="s">
        <v>56</v>
      </c>
      <c r="F236">
        <v>-15718.78</v>
      </c>
      <c r="G236" t="s">
        <v>1638</v>
      </c>
      <c r="H236" t="s">
        <v>7</v>
      </c>
      <c r="I236">
        <v>18719.28</v>
      </c>
      <c r="J236">
        <v>0</v>
      </c>
      <c r="K236">
        <v>0</v>
      </c>
      <c r="L236">
        <v>0</v>
      </c>
      <c r="M236" t="s">
        <v>1638</v>
      </c>
      <c r="N236" t="s">
        <v>57</v>
      </c>
      <c r="O236" t="s">
        <v>58</v>
      </c>
      <c r="P236" t="s">
        <v>1639</v>
      </c>
      <c r="Q236" t="s">
        <v>1640</v>
      </c>
      <c r="R236" t="s">
        <v>61</v>
      </c>
      <c r="S236" t="s">
        <v>58</v>
      </c>
      <c r="T236" t="s">
        <v>1639</v>
      </c>
      <c r="U236" t="s">
        <v>1640</v>
      </c>
      <c r="V236" t="s">
        <v>56</v>
      </c>
      <c r="W236" t="s">
        <v>56</v>
      </c>
      <c r="X236" t="s">
        <v>56</v>
      </c>
      <c r="Y236" t="s">
        <v>62</v>
      </c>
      <c r="Z236" t="s">
        <v>63</v>
      </c>
      <c r="AA236" t="s">
        <v>64</v>
      </c>
      <c r="AB236">
        <v>1</v>
      </c>
      <c r="AC236" t="s">
        <v>65</v>
      </c>
      <c r="AD236" t="s">
        <v>66</v>
      </c>
      <c r="AE236" t="s">
        <v>289</v>
      </c>
      <c r="AF236" t="s">
        <v>68</v>
      </c>
      <c r="AG236">
        <v>37735.370000000003</v>
      </c>
      <c r="AH236" t="s">
        <v>69</v>
      </c>
      <c r="AI236" t="s">
        <v>132</v>
      </c>
      <c r="AJ236" t="s">
        <v>864</v>
      </c>
      <c r="AK236" t="s">
        <v>72</v>
      </c>
      <c r="AL236" t="s">
        <v>73</v>
      </c>
      <c r="AM236" t="s">
        <v>73</v>
      </c>
      <c r="AN236" t="s">
        <v>56</v>
      </c>
    </row>
    <row r="237" spans="1:40" x14ac:dyDescent="0.25">
      <c r="A237" t="s">
        <v>1614</v>
      </c>
      <c r="B237" t="s">
        <v>5</v>
      </c>
      <c r="C237" s="2">
        <v>1137.5248329999999</v>
      </c>
      <c r="D237" t="s">
        <v>56</v>
      </c>
      <c r="E237" t="s">
        <v>56</v>
      </c>
      <c r="F237">
        <v>-12058.09</v>
      </c>
      <c r="G237" t="s">
        <v>1614</v>
      </c>
      <c r="H237" t="s">
        <v>7</v>
      </c>
      <c r="I237">
        <v>15346.06</v>
      </c>
      <c r="J237">
        <v>0</v>
      </c>
      <c r="K237">
        <v>0</v>
      </c>
      <c r="L237">
        <v>0</v>
      </c>
      <c r="M237" t="s">
        <v>1614</v>
      </c>
      <c r="N237" t="s">
        <v>57</v>
      </c>
      <c r="O237" t="s">
        <v>58</v>
      </c>
      <c r="P237" t="s">
        <v>1615</v>
      </c>
      <c r="Q237" t="s">
        <v>1616</v>
      </c>
      <c r="R237" t="s">
        <v>61</v>
      </c>
      <c r="S237" t="s">
        <v>58</v>
      </c>
      <c r="T237" t="s">
        <v>1615</v>
      </c>
      <c r="U237" t="s">
        <v>1616</v>
      </c>
      <c r="V237" t="s">
        <v>56</v>
      </c>
      <c r="W237" t="s">
        <v>56</v>
      </c>
      <c r="X237" t="s">
        <v>56</v>
      </c>
      <c r="Y237" t="s">
        <v>62</v>
      </c>
      <c r="Z237" t="s">
        <v>63</v>
      </c>
      <c r="AA237" t="s">
        <v>64</v>
      </c>
      <c r="AB237">
        <v>1</v>
      </c>
      <c r="AC237" t="s">
        <v>84</v>
      </c>
      <c r="AD237" t="s">
        <v>66</v>
      </c>
      <c r="AE237" t="s">
        <v>289</v>
      </c>
      <c r="AF237" t="s">
        <v>68</v>
      </c>
      <c r="AG237">
        <v>28977.97</v>
      </c>
      <c r="AH237" t="s">
        <v>69</v>
      </c>
      <c r="AI237" t="s">
        <v>114</v>
      </c>
      <c r="AJ237" t="s">
        <v>204</v>
      </c>
      <c r="AK237" t="s">
        <v>72</v>
      </c>
      <c r="AL237" t="s">
        <v>73</v>
      </c>
      <c r="AM237" t="s">
        <v>73</v>
      </c>
      <c r="AN237" t="s">
        <v>56</v>
      </c>
    </row>
    <row r="238" spans="1:40" x14ac:dyDescent="0.25">
      <c r="A238" t="s">
        <v>2126</v>
      </c>
      <c r="B238" t="s">
        <v>5</v>
      </c>
      <c r="C238" s="2">
        <v>1128.3378049999999</v>
      </c>
      <c r="D238" t="s">
        <v>56</v>
      </c>
      <c r="E238" t="s">
        <v>56</v>
      </c>
      <c r="F238">
        <v>-19240.080000000002</v>
      </c>
      <c r="G238" t="s">
        <v>2126</v>
      </c>
      <c r="H238" t="s">
        <v>7</v>
      </c>
      <c r="I238">
        <v>24035.32</v>
      </c>
      <c r="J238">
        <v>0</v>
      </c>
      <c r="K238">
        <v>0</v>
      </c>
      <c r="L238">
        <v>0</v>
      </c>
      <c r="M238" t="s">
        <v>2126</v>
      </c>
      <c r="N238" t="s">
        <v>57</v>
      </c>
      <c r="O238" t="s">
        <v>58</v>
      </c>
      <c r="P238" t="s">
        <v>2127</v>
      </c>
      <c r="Q238" t="s">
        <v>1201</v>
      </c>
      <c r="R238" t="s">
        <v>61</v>
      </c>
      <c r="S238" t="s">
        <v>58</v>
      </c>
      <c r="T238" t="s">
        <v>2127</v>
      </c>
      <c r="U238" t="s">
        <v>1201</v>
      </c>
      <c r="V238" t="s">
        <v>56</v>
      </c>
      <c r="W238" t="s">
        <v>56</v>
      </c>
      <c r="X238" t="s">
        <v>56</v>
      </c>
      <c r="Y238" t="s">
        <v>62</v>
      </c>
      <c r="Z238" t="s">
        <v>63</v>
      </c>
      <c r="AA238" t="s">
        <v>64</v>
      </c>
      <c r="AB238">
        <v>1</v>
      </c>
      <c r="AC238" t="s">
        <v>120</v>
      </c>
      <c r="AD238" t="s">
        <v>66</v>
      </c>
      <c r="AE238" t="s">
        <v>85</v>
      </c>
      <c r="AF238" t="s">
        <v>68</v>
      </c>
      <c r="AG238">
        <v>46347.7</v>
      </c>
      <c r="AH238" t="s">
        <v>69</v>
      </c>
      <c r="AI238" t="s">
        <v>152</v>
      </c>
      <c r="AJ238" t="s">
        <v>485</v>
      </c>
      <c r="AK238" t="s">
        <v>72</v>
      </c>
      <c r="AL238" t="s">
        <v>73</v>
      </c>
      <c r="AM238" t="s">
        <v>73</v>
      </c>
      <c r="AN238" t="s">
        <v>56</v>
      </c>
    </row>
    <row r="239" spans="1:40" x14ac:dyDescent="0.25">
      <c r="A239" t="s">
        <v>1575</v>
      </c>
      <c r="B239" t="s">
        <v>5</v>
      </c>
      <c r="C239">
        <v>1127.7810400000001</v>
      </c>
      <c r="D239">
        <v>627.47395700000004</v>
      </c>
      <c r="E239" t="s">
        <v>56</v>
      </c>
      <c r="F239">
        <v>-73771.16</v>
      </c>
      <c r="G239" t="s">
        <v>1575</v>
      </c>
      <c r="H239" t="s">
        <v>7</v>
      </c>
      <c r="I239">
        <v>78026.91</v>
      </c>
      <c r="J239">
        <v>786.10743600000001</v>
      </c>
      <c r="K239">
        <v>667.74539000000004</v>
      </c>
      <c r="L239">
        <v>0</v>
      </c>
      <c r="M239" t="s">
        <v>1575</v>
      </c>
      <c r="N239" t="s">
        <v>57</v>
      </c>
      <c r="O239" t="s">
        <v>58</v>
      </c>
      <c r="P239" t="s">
        <v>1576</v>
      </c>
      <c r="Q239" t="s">
        <v>1577</v>
      </c>
      <c r="R239" t="s">
        <v>61</v>
      </c>
      <c r="S239" t="s">
        <v>58</v>
      </c>
      <c r="T239" t="s">
        <v>1576</v>
      </c>
      <c r="U239" t="s">
        <v>1577</v>
      </c>
      <c r="V239" t="s">
        <v>56</v>
      </c>
      <c r="W239" t="s">
        <v>56</v>
      </c>
      <c r="X239" t="s">
        <v>56</v>
      </c>
      <c r="Y239" t="s">
        <v>62</v>
      </c>
      <c r="Z239" t="s">
        <v>63</v>
      </c>
      <c r="AA239" t="s">
        <v>64</v>
      </c>
      <c r="AB239">
        <v>1</v>
      </c>
      <c r="AC239" t="s">
        <v>120</v>
      </c>
      <c r="AD239" t="s">
        <v>66</v>
      </c>
      <c r="AE239" t="s">
        <v>67</v>
      </c>
      <c r="AF239" t="s">
        <v>68</v>
      </c>
      <c r="AG239">
        <v>111272.49</v>
      </c>
      <c r="AH239" t="s">
        <v>69</v>
      </c>
      <c r="AI239" t="s">
        <v>323</v>
      </c>
      <c r="AJ239" t="s">
        <v>80</v>
      </c>
      <c r="AK239" t="s">
        <v>72</v>
      </c>
      <c r="AL239" t="s">
        <v>73</v>
      </c>
      <c r="AM239" t="s">
        <v>73</v>
      </c>
      <c r="AN239" t="s">
        <v>74</v>
      </c>
    </row>
    <row r="240" spans="1:40" x14ac:dyDescent="0.25">
      <c r="A240" t="s">
        <v>2256</v>
      </c>
      <c r="B240" t="s">
        <v>5</v>
      </c>
      <c r="C240">
        <v>1123.8418839999999</v>
      </c>
      <c r="D240">
        <v>688.72772799999996</v>
      </c>
      <c r="E240" t="s">
        <v>56</v>
      </c>
      <c r="F240">
        <v>-42484.34</v>
      </c>
      <c r="G240" t="s">
        <v>2256</v>
      </c>
      <c r="H240" t="s">
        <v>7</v>
      </c>
      <c r="I240">
        <v>47728.84</v>
      </c>
      <c r="J240">
        <v>972.83454900000004</v>
      </c>
      <c r="K240">
        <v>826.35751200000004</v>
      </c>
      <c r="L240">
        <v>0</v>
      </c>
      <c r="M240" t="s">
        <v>2256</v>
      </c>
      <c r="N240" t="s">
        <v>57</v>
      </c>
      <c r="O240" t="s">
        <v>58</v>
      </c>
      <c r="P240" t="s">
        <v>2257</v>
      </c>
      <c r="Q240" t="s">
        <v>2258</v>
      </c>
      <c r="R240" t="s">
        <v>61</v>
      </c>
      <c r="S240" t="s">
        <v>58</v>
      </c>
      <c r="T240" t="s">
        <v>2257</v>
      </c>
      <c r="U240" t="s">
        <v>2258</v>
      </c>
      <c r="V240" t="s">
        <v>56</v>
      </c>
      <c r="W240" t="s">
        <v>56</v>
      </c>
      <c r="X240" t="s">
        <v>56</v>
      </c>
      <c r="Y240" t="s">
        <v>62</v>
      </c>
      <c r="Z240" t="s">
        <v>63</v>
      </c>
      <c r="AA240" t="s">
        <v>64</v>
      </c>
      <c r="AB240">
        <v>1</v>
      </c>
      <c r="AC240" t="s">
        <v>84</v>
      </c>
      <c r="AD240" t="s">
        <v>66</v>
      </c>
      <c r="AE240" t="s">
        <v>67</v>
      </c>
      <c r="AF240" t="s">
        <v>68</v>
      </c>
      <c r="AG240">
        <v>55000</v>
      </c>
      <c r="AH240" t="s">
        <v>69</v>
      </c>
      <c r="AI240" t="s">
        <v>220</v>
      </c>
      <c r="AJ240" t="s">
        <v>133</v>
      </c>
      <c r="AK240" t="s">
        <v>99</v>
      </c>
      <c r="AL240" t="s">
        <v>73</v>
      </c>
      <c r="AM240" t="s">
        <v>73</v>
      </c>
      <c r="AN240" t="s">
        <v>74</v>
      </c>
    </row>
    <row r="241" spans="1:40" x14ac:dyDescent="0.25">
      <c r="A241" t="s">
        <v>2393</v>
      </c>
      <c r="B241" t="s">
        <v>5</v>
      </c>
      <c r="C241" s="2">
        <v>1123.523942</v>
      </c>
      <c r="D241" t="s">
        <v>56</v>
      </c>
      <c r="E241" t="s">
        <v>56</v>
      </c>
      <c r="F241">
        <v>-64775.5</v>
      </c>
      <c r="G241" t="s">
        <v>2393</v>
      </c>
      <c r="H241" t="s">
        <v>7</v>
      </c>
      <c r="I241">
        <v>73283.320000000007</v>
      </c>
      <c r="J241">
        <v>0</v>
      </c>
      <c r="K241">
        <v>0</v>
      </c>
      <c r="L241">
        <v>0</v>
      </c>
      <c r="M241" t="s">
        <v>2393</v>
      </c>
      <c r="N241" t="s">
        <v>57</v>
      </c>
      <c r="O241" t="s">
        <v>58</v>
      </c>
      <c r="P241" t="s">
        <v>2394</v>
      </c>
      <c r="Q241" t="s">
        <v>2395</v>
      </c>
      <c r="R241" t="s">
        <v>61</v>
      </c>
      <c r="S241" t="s">
        <v>58</v>
      </c>
      <c r="T241" t="s">
        <v>2394</v>
      </c>
      <c r="U241" t="s">
        <v>2395</v>
      </c>
      <c r="V241" t="s">
        <v>56</v>
      </c>
      <c r="W241" t="s">
        <v>56</v>
      </c>
      <c r="X241" t="s">
        <v>56</v>
      </c>
      <c r="Y241" t="s">
        <v>62</v>
      </c>
      <c r="Z241" t="s">
        <v>63</v>
      </c>
      <c r="AA241" t="s">
        <v>64</v>
      </c>
      <c r="AB241">
        <v>1</v>
      </c>
      <c r="AC241" t="s">
        <v>120</v>
      </c>
      <c r="AD241" t="s">
        <v>66</v>
      </c>
      <c r="AE241" t="s">
        <v>85</v>
      </c>
      <c r="AF241" t="s">
        <v>103</v>
      </c>
      <c r="AG241">
        <v>101869.92</v>
      </c>
      <c r="AH241" t="s">
        <v>69</v>
      </c>
      <c r="AI241" t="s">
        <v>323</v>
      </c>
      <c r="AJ241" t="s">
        <v>88</v>
      </c>
      <c r="AK241" t="s">
        <v>72</v>
      </c>
      <c r="AL241" t="s">
        <v>73</v>
      </c>
      <c r="AM241" t="s">
        <v>73</v>
      </c>
      <c r="AN241" t="s">
        <v>56</v>
      </c>
    </row>
    <row r="242" spans="1:40" x14ac:dyDescent="0.25">
      <c r="A242" t="s">
        <v>1218</v>
      </c>
      <c r="B242" t="s">
        <v>5</v>
      </c>
      <c r="C242" s="2">
        <v>1113.1662140000001</v>
      </c>
      <c r="D242" t="s">
        <v>56</v>
      </c>
      <c r="E242" t="s">
        <v>56</v>
      </c>
      <c r="F242">
        <v>-13435.86</v>
      </c>
      <c r="G242" t="s">
        <v>1218</v>
      </c>
      <c r="H242" t="s">
        <v>7</v>
      </c>
      <c r="I242">
        <v>16467.939999999999</v>
      </c>
      <c r="J242">
        <v>0</v>
      </c>
      <c r="K242">
        <v>0</v>
      </c>
      <c r="L242">
        <v>0</v>
      </c>
      <c r="M242" t="s">
        <v>1218</v>
      </c>
      <c r="N242" t="s">
        <v>57</v>
      </c>
      <c r="O242" t="s">
        <v>58</v>
      </c>
      <c r="P242" t="s">
        <v>1219</v>
      </c>
      <c r="Q242" t="s">
        <v>1220</v>
      </c>
      <c r="R242" t="s">
        <v>61</v>
      </c>
      <c r="S242" t="s">
        <v>58</v>
      </c>
      <c r="T242" t="s">
        <v>1219</v>
      </c>
      <c r="U242" t="s">
        <v>1220</v>
      </c>
      <c r="V242" t="s">
        <v>56</v>
      </c>
      <c r="W242" t="s">
        <v>56</v>
      </c>
      <c r="X242" t="s">
        <v>56</v>
      </c>
      <c r="Y242" t="s">
        <v>62</v>
      </c>
      <c r="Z242" t="s">
        <v>63</v>
      </c>
      <c r="AA242" t="s">
        <v>64</v>
      </c>
      <c r="AB242">
        <v>1</v>
      </c>
      <c r="AC242" t="s">
        <v>84</v>
      </c>
      <c r="AD242" t="s">
        <v>66</v>
      </c>
      <c r="AE242" t="s">
        <v>85</v>
      </c>
      <c r="AF242" t="s">
        <v>68</v>
      </c>
      <c r="AG242">
        <v>32807.01</v>
      </c>
      <c r="AH242" t="s">
        <v>69</v>
      </c>
      <c r="AI242" t="s">
        <v>70</v>
      </c>
      <c r="AJ242" t="s">
        <v>1221</v>
      </c>
      <c r="AK242" t="s">
        <v>72</v>
      </c>
      <c r="AL242" t="s">
        <v>73</v>
      </c>
      <c r="AM242" t="s">
        <v>73</v>
      </c>
      <c r="AN242" t="s">
        <v>56</v>
      </c>
    </row>
    <row r="243" spans="1:40" x14ac:dyDescent="0.25">
      <c r="A243" t="s">
        <v>801</v>
      </c>
      <c r="B243" t="s">
        <v>5</v>
      </c>
      <c r="C243">
        <v>1111.3245939999999</v>
      </c>
      <c r="D243" t="s">
        <v>56</v>
      </c>
      <c r="E243" t="s">
        <v>56</v>
      </c>
      <c r="F243">
        <v>-18839.099999999999</v>
      </c>
      <c r="G243" t="s">
        <v>801</v>
      </c>
      <c r="H243" t="s">
        <v>7</v>
      </c>
      <c r="I243">
        <v>21737.79</v>
      </c>
      <c r="J243">
        <v>1568.196946</v>
      </c>
      <c r="K243">
        <v>0</v>
      </c>
      <c r="L243">
        <v>0</v>
      </c>
      <c r="M243" t="s">
        <v>801</v>
      </c>
      <c r="N243" t="s">
        <v>57</v>
      </c>
      <c r="O243" t="s">
        <v>58</v>
      </c>
      <c r="P243" t="s">
        <v>802</v>
      </c>
      <c r="Q243" t="s">
        <v>803</v>
      </c>
      <c r="R243" t="s">
        <v>61</v>
      </c>
      <c r="S243" t="s">
        <v>58</v>
      </c>
      <c r="T243" t="s">
        <v>802</v>
      </c>
      <c r="U243" t="s">
        <v>803</v>
      </c>
      <c r="V243" t="s">
        <v>56</v>
      </c>
      <c r="W243" t="s">
        <v>56</v>
      </c>
      <c r="X243" t="s">
        <v>56</v>
      </c>
      <c r="Y243" t="s">
        <v>62</v>
      </c>
      <c r="Z243" t="s">
        <v>63</v>
      </c>
      <c r="AA243" t="s">
        <v>64</v>
      </c>
      <c r="AB243">
        <v>1</v>
      </c>
      <c r="AC243" t="s">
        <v>84</v>
      </c>
      <c r="AD243" t="s">
        <v>66</v>
      </c>
      <c r="AE243" t="s">
        <v>113</v>
      </c>
      <c r="AF243" t="s">
        <v>68</v>
      </c>
      <c r="AG243">
        <v>46341.46</v>
      </c>
      <c r="AH243" t="s">
        <v>69</v>
      </c>
      <c r="AI243" t="s">
        <v>168</v>
      </c>
      <c r="AJ243" t="s">
        <v>105</v>
      </c>
      <c r="AK243" t="s">
        <v>72</v>
      </c>
      <c r="AL243" t="s">
        <v>73</v>
      </c>
      <c r="AM243" t="s">
        <v>73</v>
      </c>
      <c r="AN243" t="s">
        <v>116</v>
      </c>
    </row>
    <row r="244" spans="1:40" x14ac:dyDescent="0.25">
      <c r="A244" t="s">
        <v>2512</v>
      </c>
      <c r="B244" t="s">
        <v>5</v>
      </c>
      <c r="C244" s="2">
        <v>1106.8067960000001</v>
      </c>
      <c r="D244" t="s">
        <v>56</v>
      </c>
      <c r="E244" t="s">
        <v>56</v>
      </c>
      <c r="F244">
        <v>-65533.73</v>
      </c>
      <c r="G244" t="s">
        <v>2512</v>
      </c>
      <c r="H244" t="s">
        <v>7</v>
      </c>
      <c r="I244">
        <v>74434.789999999994</v>
      </c>
      <c r="J244">
        <v>0</v>
      </c>
      <c r="K244">
        <v>0</v>
      </c>
      <c r="L244">
        <v>0</v>
      </c>
      <c r="M244" t="s">
        <v>2512</v>
      </c>
      <c r="N244" t="s">
        <v>57</v>
      </c>
      <c r="O244" t="s">
        <v>58</v>
      </c>
      <c r="P244" t="s">
        <v>2513</v>
      </c>
      <c r="Q244" t="s">
        <v>2514</v>
      </c>
      <c r="R244" t="s">
        <v>61</v>
      </c>
      <c r="S244" t="s">
        <v>58</v>
      </c>
      <c r="T244" t="s">
        <v>2513</v>
      </c>
      <c r="U244" t="s">
        <v>2514</v>
      </c>
      <c r="V244" t="s">
        <v>56</v>
      </c>
      <c r="W244" t="s">
        <v>56</v>
      </c>
      <c r="X244" t="s">
        <v>56</v>
      </c>
      <c r="Y244" t="s">
        <v>62</v>
      </c>
      <c r="Z244" t="s">
        <v>63</v>
      </c>
      <c r="AA244" t="s">
        <v>64</v>
      </c>
      <c r="AB244">
        <v>1</v>
      </c>
      <c r="AC244" t="s">
        <v>78</v>
      </c>
      <c r="AD244" t="s">
        <v>66</v>
      </c>
      <c r="AE244" t="s">
        <v>85</v>
      </c>
      <c r="AF244" t="s">
        <v>86</v>
      </c>
      <c r="AG244">
        <v>104618.87</v>
      </c>
      <c r="AH244" t="s">
        <v>69</v>
      </c>
      <c r="AI244" t="s">
        <v>168</v>
      </c>
      <c r="AJ244" t="s">
        <v>619</v>
      </c>
      <c r="AK244" t="s">
        <v>72</v>
      </c>
      <c r="AL244" t="s">
        <v>73</v>
      </c>
      <c r="AM244" t="s">
        <v>73</v>
      </c>
      <c r="AN244" t="s">
        <v>56</v>
      </c>
    </row>
    <row r="245" spans="1:40" x14ac:dyDescent="0.25">
      <c r="A245" t="s">
        <v>2489</v>
      </c>
      <c r="B245" t="s">
        <v>5</v>
      </c>
      <c r="C245">
        <v>1105.8252130000001</v>
      </c>
      <c r="D245">
        <v>1228.3937860000001</v>
      </c>
      <c r="E245" t="s">
        <v>56</v>
      </c>
      <c r="F245">
        <v>-23154.91</v>
      </c>
      <c r="G245" t="s">
        <v>2489</v>
      </c>
      <c r="H245" t="s">
        <v>7</v>
      </c>
      <c r="I245">
        <v>25329</v>
      </c>
      <c r="J245">
        <v>962.45369800000003</v>
      </c>
      <c r="K245">
        <v>1229.0536750000001</v>
      </c>
      <c r="L245">
        <v>0</v>
      </c>
      <c r="M245" t="s">
        <v>2489</v>
      </c>
      <c r="N245" t="s">
        <v>57</v>
      </c>
      <c r="O245" t="s">
        <v>58</v>
      </c>
      <c r="P245" t="s">
        <v>2490</v>
      </c>
      <c r="Q245" t="s">
        <v>2491</v>
      </c>
      <c r="R245" t="s">
        <v>61</v>
      </c>
      <c r="S245" t="s">
        <v>58</v>
      </c>
      <c r="T245" t="s">
        <v>2490</v>
      </c>
      <c r="U245" t="s">
        <v>2491</v>
      </c>
      <c r="V245" t="s">
        <v>56</v>
      </c>
      <c r="W245" t="s">
        <v>56</v>
      </c>
      <c r="X245" t="s">
        <v>56</v>
      </c>
      <c r="Y245" t="s">
        <v>62</v>
      </c>
      <c r="Z245" t="s">
        <v>63</v>
      </c>
      <c r="AA245" t="s">
        <v>64</v>
      </c>
      <c r="AB245">
        <v>1</v>
      </c>
      <c r="AC245" t="s">
        <v>84</v>
      </c>
      <c r="AD245" t="s">
        <v>66</v>
      </c>
      <c r="AE245" t="s">
        <v>121</v>
      </c>
      <c r="AF245" t="s">
        <v>68</v>
      </c>
      <c r="AG245">
        <v>25000</v>
      </c>
      <c r="AH245" t="s">
        <v>69</v>
      </c>
      <c r="AI245" t="s">
        <v>269</v>
      </c>
      <c r="AJ245" t="s">
        <v>115</v>
      </c>
      <c r="AK245" t="s">
        <v>99</v>
      </c>
      <c r="AL245" t="s">
        <v>73</v>
      </c>
      <c r="AM245" t="s">
        <v>73</v>
      </c>
      <c r="AN245" t="s">
        <v>124</v>
      </c>
    </row>
    <row r="246" spans="1:40" x14ac:dyDescent="0.25">
      <c r="A246" t="s">
        <v>2217</v>
      </c>
      <c r="B246" t="s">
        <v>5</v>
      </c>
      <c r="C246" s="2">
        <v>1102.354198</v>
      </c>
      <c r="D246" t="s">
        <v>56</v>
      </c>
      <c r="E246" t="s">
        <v>56</v>
      </c>
      <c r="F246">
        <v>-12001.44</v>
      </c>
      <c r="G246" t="s">
        <v>2217</v>
      </c>
      <c r="H246" t="s">
        <v>7</v>
      </c>
      <c r="I246">
        <v>15416.84</v>
      </c>
      <c r="J246">
        <v>0</v>
      </c>
      <c r="K246">
        <v>0</v>
      </c>
      <c r="L246">
        <v>0</v>
      </c>
      <c r="M246" t="s">
        <v>2217</v>
      </c>
      <c r="N246" t="s">
        <v>57</v>
      </c>
      <c r="O246" t="s">
        <v>58</v>
      </c>
      <c r="P246" t="s">
        <v>2218</v>
      </c>
      <c r="Q246" t="s">
        <v>2219</v>
      </c>
      <c r="R246" t="s">
        <v>61</v>
      </c>
      <c r="S246" t="s">
        <v>58</v>
      </c>
      <c r="T246" t="s">
        <v>2218</v>
      </c>
      <c r="U246" t="s">
        <v>2219</v>
      </c>
      <c r="V246" t="s">
        <v>56</v>
      </c>
      <c r="W246" t="s">
        <v>56</v>
      </c>
      <c r="X246" t="s">
        <v>56</v>
      </c>
      <c r="Y246" t="s">
        <v>62</v>
      </c>
      <c r="Z246" t="s">
        <v>63</v>
      </c>
      <c r="AA246" t="s">
        <v>64</v>
      </c>
      <c r="AB246">
        <v>1</v>
      </c>
      <c r="AC246" t="s">
        <v>84</v>
      </c>
      <c r="AD246" t="s">
        <v>66</v>
      </c>
      <c r="AE246" t="s">
        <v>85</v>
      </c>
      <c r="AF246" t="s">
        <v>68</v>
      </c>
      <c r="AG246">
        <v>29591.89</v>
      </c>
      <c r="AH246" t="s">
        <v>69</v>
      </c>
      <c r="AI246" t="s">
        <v>297</v>
      </c>
      <c r="AJ246" t="s">
        <v>912</v>
      </c>
      <c r="AK246" t="s">
        <v>280</v>
      </c>
      <c r="AL246" t="s">
        <v>73</v>
      </c>
      <c r="AM246" t="s">
        <v>73</v>
      </c>
      <c r="AN246" t="s">
        <v>56</v>
      </c>
    </row>
    <row r="247" spans="1:40" x14ac:dyDescent="0.25">
      <c r="A247" t="s">
        <v>344</v>
      </c>
      <c r="B247" t="s">
        <v>5</v>
      </c>
      <c r="C247" s="2">
        <v>1083.2175319999999</v>
      </c>
      <c r="D247" t="s">
        <v>56</v>
      </c>
      <c r="E247" t="s">
        <v>56</v>
      </c>
      <c r="F247">
        <v>-19125.75</v>
      </c>
      <c r="G247" t="s">
        <v>344</v>
      </c>
      <c r="H247" t="s">
        <v>7</v>
      </c>
      <c r="I247">
        <v>22279.72</v>
      </c>
      <c r="J247">
        <v>0</v>
      </c>
      <c r="K247">
        <v>0</v>
      </c>
      <c r="L247">
        <v>0</v>
      </c>
      <c r="M247" t="s">
        <v>344</v>
      </c>
      <c r="N247" t="s">
        <v>57</v>
      </c>
      <c r="O247" t="s">
        <v>58</v>
      </c>
      <c r="P247" t="s">
        <v>345</v>
      </c>
      <c r="Q247" t="s">
        <v>346</v>
      </c>
      <c r="R247" t="s">
        <v>61</v>
      </c>
      <c r="S247" t="s">
        <v>58</v>
      </c>
      <c r="T247" t="s">
        <v>345</v>
      </c>
      <c r="U247" t="s">
        <v>346</v>
      </c>
      <c r="V247" t="s">
        <v>56</v>
      </c>
      <c r="W247" t="s">
        <v>56</v>
      </c>
      <c r="X247" t="s">
        <v>56</v>
      </c>
      <c r="Y247" t="s">
        <v>62</v>
      </c>
      <c r="Z247" t="s">
        <v>63</v>
      </c>
      <c r="AA247" t="s">
        <v>64</v>
      </c>
      <c r="AB247">
        <v>1</v>
      </c>
      <c r="AC247" t="s">
        <v>78</v>
      </c>
      <c r="AD247" t="s">
        <v>66</v>
      </c>
      <c r="AE247" t="s">
        <v>85</v>
      </c>
      <c r="AF247" t="s">
        <v>86</v>
      </c>
      <c r="AG247">
        <v>47991.39</v>
      </c>
      <c r="AH247" t="s">
        <v>69</v>
      </c>
      <c r="AI247" t="s">
        <v>128</v>
      </c>
      <c r="AJ247" t="s">
        <v>347</v>
      </c>
      <c r="AK247" t="s">
        <v>280</v>
      </c>
      <c r="AL247" t="s">
        <v>73</v>
      </c>
      <c r="AM247" t="s">
        <v>73</v>
      </c>
      <c r="AN247" t="s">
        <v>56</v>
      </c>
    </row>
    <row r="248" spans="1:40" x14ac:dyDescent="0.25">
      <c r="A248" t="s">
        <v>2208</v>
      </c>
      <c r="B248" t="s">
        <v>5</v>
      </c>
      <c r="C248" s="2">
        <v>1078.175937</v>
      </c>
      <c r="D248" t="s">
        <v>56</v>
      </c>
      <c r="E248" t="s">
        <v>56</v>
      </c>
      <c r="F248">
        <v>-13883.11</v>
      </c>
      <c r="G248" t="s">
        <v>2208</v>
      </c>
      <c r="H248" t="s">
        <v>7</v>
      </c>
      <c r="I248">
        <v>16375.18</v>
      </c>
      <c r="J248">
        <v>0</v>
      </c>
      <c r="K248">
        <v>0</v>
      </c>
      <c r="L248">
        <v>0</v>
      </c>
      <c r="M248" t="s">
        <v>2208</v>
      </c>
      <c r="N248" t="s">
        <v>57</v>
      </c>
      <c r="O248" t="s">
        <v>58</v>
      </c>
      <c r="P248" t="s">
        <v>2209</v>
      </c>
      <c r="Q248" t="s">
        <v>2210</v>
      </c>
      <c r="R248" t="s">
        <v>61</v>
      </c>
      <c r="S248" t="s">
        <v>58</v>
      </c>
      <c r="T248" t="s">
        <v>2209</v>
      </c>
      <c r="U248" t="s">
        <v>2210</v>
      </c>
      <c r="V248" t="s">
        <v>56</v>
      </c>
      <c r="W248" t="s">
        <v>56</v>
      </c>
      <c r="X248" t="s">
        <v>56</v>
      </c>
      <c r="Y248" t="s">
        <v>62</v>
      </c>
      <c r="Z248" t="s">
        <v>63</v>
      </c>
      <c r="AA248" t="s">
        <v>64</v>
      </c>
      <c r="AB248">
        <v>1</v>
      </c>
      <c r="AC248" t="s">
        <v>84</v>
      </c>
      <c r="AD248" t="s">
        <v>66</v>
      </c>
      <c r="AE248" t="s">
        <v>85</v>
      </c>
      <c r="AF248" t="s">
        <v>68</v>
      </c>
      <c r="AG248">
        <v>34999.19</v>
      </c>
      <c r="AH248" t="s">
        <v>69</v>
      </c>
      <c r="AI248" t="s">
        <v>70</v>
      </c>
      <c r="AJ248" t="s">
        <v>1241</v>
      </c>
      <c r="AK248" t="s">
        <v>72</v>
      </c>
      <c r="AL248" t="s">
        <v>73</v>
      </c>
      <c r="AM248" t="s">
        <v>73</v>
      </c>
      <c r="AN248" t="s">
        <v>56</v>
      </c>
    </row>
    <row r="249" spans="1:40" x14ac:dyDescent="0.25">
      <c r="A249" t="s">
        <v>393</v>
      </c>
      <c r="B249" t="s">
        <v>5</v>
      </c>
      <c r="C249">
        <v>1078.066564</v>
      </c>
      <c r="D249" t="s">
        <v>56</v>
      </c>
      <c r="E249" t="s">
        <v>56</v>
      </c>
      <c r="F249">
        <v>-16594.43</v>
      </c>
      <c r="G249" t="s">
        <v>393</v>
      </c>
      <c r="H249" t="s">
        <v>7</v>
      </c>
      <c r="I249">
        <v>21534.799999999999</v>
      </c>
      <c r="J249">
        <v>1710.9028479999999</v>
      </c>
      <c r="K249">
        <v>0</v>
      </c>
      <c r="L249">
        <v>0</v>
      </c>
      <c r="M249" t="s">
        <v>393</v>
      </c>
      <c r="N249" t="s">
        <v>57</v>
      </c>
      <c r="O249" t="s">
        <v>58</v>
      </c>
      <c r="P249" t="s">
        <v>394</v>
      </c>
      <c r="Q249" t="s">
        <v>395</v>
      </c>
      <c r="R249" t="s">
        <v>61</v>
      </c>
      <c r="S249" t="s">
        <v>58</v>
      </c>
      <c r="T249" t="s">
        <v>394</v>
      </c>
      <c r="U249" t="s">
        <v>395</v>
      </c>
      <c r="V249" t="s">
        <v>56</v>
      </c>
      <c r="W249" t="s">
        <v>56</v>
      </c>
      <c r="X249" t="s">
        <v>56</v>
      </c>
      <c r="Y249" t="s">
        <v>62</v>
      </c>
      <c r="Z249" t="s">
        <v>63</v>
      </c>
      <c r="AA249" t="s">
        <v>64</v>
      </c>
      <c r="AB249">
        <v>1</v>
      </c>
      <c r="AC249" t="s">
        <v>65</v>
      </c>
      <c r="AD249" t="s">
        <v>66</v>
      </c>
      <c r="AE249" t="s">
        <v>113</v>
      </c>
      <c r="AF249" t="s">
        <v>103</v>
      </c>
      <c r="AG249">
        <v>42079.22</v>
      </c>
      <c r="AH249" t="s">
        <v>69</v>
      </c>
      <c r="AI249" t="s">
        <v>355</v>
      </c>
      <c r="AJ249" t="s">
        <v>396</v>
      </c>
      <c r="AK249" t="s">
        <v>72</v>
      </c>
      <c r="AL249" t="s">
        <v>73</v>
      </c>
      <c r="AM249" t="s">
        <v>73</v>
      </c>
      <c r="AN249" t="s">
        <v>116</v>
      </c>
    </row>
    <row r="250" spans="1:40" x14ac:dyDescent="0.25">
      <c r="A250" t="s">
        <v>1541</v>
      </c>
      <c r="B250" t="s">
        <v>5</v>
      </c>
      <c r="C250" s="2">
        <v>1076.775122</v>
      </c>
      <c r="D250" t="s">
        <v>56</v>
      </c>
      <c r="E250" t="s">
        <v>56</v>
      </c>
      <c r="F250">
        <v>-12883.06</v>
      </c>
      <c r="G250" t="s">
        <v>1541</v>
      </c>
      <c r="H250" t="s">
        <v>7</v>
      </c>
      <c r="I250">
        <v>19708.330000000002</v>
      </c>
      <c r="J250">
        <v>0</v>
      </c>
      <c r="K250">
        <v>0</v>
      </c>
      <c r="L250">
        <v>0</v>
      </c>
      <c r="M250" t="s">
        <v>1541</v>
      </c>
      <c r="N250" t="s">
        <v>57</v>
      </c>
      <c r="O250" t="s">
        <v>58</v>
      </c>
      <c r="P250" t="s">
        <v>1542</v>
      </c>
      <c r="Q250" t="s">
        <v>1543</v>
      </c>
      <c r="R250" t="s">
        <v>61</v>
      </c>
      <c r="S250" t="s">
        <v>58</v>
      </c>
      <c r="T250" t="s">
        <v>1542</v>
      </c>
      <c r="U250" t="s">
        <v>1543</v>
      </c>
      <c r="V250" t="s">
        <v>56</v>
      </c>
      <c r="W250" t="s">
        <v>56</v>
      </c>
      <c r="X250" t="s">
        <v>56</v>
      </c>
      <c r="Y250" t="s">
        <v>62</v>
      </c>
      <c r="Z250" t="s">
        <v>63</v>
      </c>
      <c r="AA250" t="s">
        <v>64</v>
      </c>
      <c r="AB250">
        <v>1</v>
      </c>
      <c r="AC250" t="s">
        <v>65</v>
      </c>
      <c r="AD250" t="s">
        <v>66</v>
      </c>
      <c r="AE250" t="s">
        <v>85</v>
      </c>
      <c r="AF250" t="s">
        <v>68</v>
      </c>
      <c r="AG250">
        <v>40000</v>
      </c>
      <c r="AH250" t="s">
        <v>69</v>
      </c>
      <c r="AI250" t="s">
        <v>278</v>
      </c>
      <c r="AJ250" t="s">
        <v>363</v>
      </c>
      <c r="AK250" t="s">
        <v>99</v>
      </c>
      <c r="AL250" t="s">
        <v>73</v>
      </c>
      <c r="AM250" t="s">
        <v>73</v>
      </c>
      <c r="AN250" t="s">
        <v>56</v>
      </c>
    </row>
    <row r="251" spans="1:40" x14ac:dyDescent="0.25">
      <c r="A251" t="s">
        <v>2109</v>
      </c>
      <c r="B251" t="s">
        <v>5</v>
      </c>
      <c r="C251" s="2">
        <v>1074.6287669999999</v>
      </c>
      <c r="D251" t="s">
        <v>56</v>
      </c>
      <c r="E251" t="s">
        <v>56</v>
      </c>
      <c r="F251">
        <v>-13837.13</v>
      </c>
      <c r="G251" t="s">
        <v>2109</v>
      </c>
      <c r="H251" t="s">
        <v>7</v>
      </c>
      <c r="I251">
        <v>18078.009999999998</v>
      </c>
      <c r="J251">
        <v>0</v>
      </c>
      <c r="K251">
        <v>0</v>
      </c>
      <c r="L251">
        <v>0</v>
      </c>
      <c r="M251" t="s">
        <v>2109</v>
      </c>
      <c r="N251" t="s">
        <v>57</v>
      </c>
      <c r="O251" t="s">
        <v>58</v>
      </c>
      <c r="P251" t="s">
        <v>2110</v>
      </c>
      <c r="Q251" t="s">
        <v>2111</v>
      </c>
      <c r="R251" t="s">
        <v>61</v>
      </c>
      <c r="S251" t="s">
        <v>58</v>
      </c>
      <c r="T251" t="s">
        <v>2110</v>
      </c>
      <c r="U251" t="s">
        <v>2111</v>
      </c>
      <c r="V251" t="s">
        <v>56</v>
      </c>
      <c r="W251" t="s">
        <v>56</v>
      </c>
      <c r="X251" t="s">
        <v>56</v>
      </c>
      <c r="Y251" t="s">
        <v>62</v>
      </c>
      <c r="Z251" t="s">
        <v>63</v>
      </c>
      <c r="AA251" t="s">
        <v>64</v>
      </c>
      <c r="AB251">
        <v>1</v>
      </c>
      <c r="AC251" t="s">
        <v>84</v>
      </c>
      <c r="AD251" t="s">
        <v>66</v>
      </c>
      <c r="AE251" t="s">
        <v>85</v>
      </c>
      <c r="AF251" t="s">
        <v>68</v>
      </c>
      <c r="AG251">
        <v>34998.370000000003</v>
      </c>
      <c r="AH251" t="s">
        <v>69</v>
      </c>
      <c r="AI251" t="s">
        <v>208</v>
      </c>
      <c r="AJ251" t="s">
        <v>1195</v>
      </c>
      <c r="AK251" t="s">
        <v>72</v>
      </c>
      <c r="AL251" t="s">
        <v>73</v>
      </c>
      <c r="AM251" t="s">
        <v>73</v>
      </c>
      <c r="AN251" t="s">
        <v>56</v>
      </c>
    </row>
    <row r="252" spans="1:40" x14ac:dyDescent="0.25">
      <c r="A252" t="s">
        <v>369</v>
      </c>
      <c r="B252" t="s">
        <v>5</v>
      </c>
      <c r="C252" s="2">
        <v>1058.8620800000001</v>
      </c>
      <c r="D252" t="s">
        <v>56</v>
      </c>
      <c r="E252" t="s">
        <v>56</v>
      </c>
      <c r="F252">
        <v>-13633.79</v>
      </c>
      <c r="G252" t="s">
        <v>369</v>
      </c>
      <c r="H252" t="s">
        <v>7</v>
      </c>
      <c r="I252">
        <v>18955.96</v>
      </c>
      <c r="J252">
        <v>0</v>
      </c>
      <c r="K252">
        <v>0</v>
      </c>
      <c r="L252">
        <v>0</v>
      </c>
      <c r="M252" t="s">
        <v>369</v>
      </c>
      <c r="N252" t="s">
        <v>57</v>
      </c>
      <c r="O252" t="s">
        <v>58</v>
      </c>
      <c r="P252" t="s">
        <v>370</v>
      </c>
      <c r="Q252" t="s">
        <v>371</v>
      </c>
      <c r="R252" t="s">
        <v>61</v>
      </c>
      <c r="S252" t="s">
        <v>58</v>
      </c>
      <c r="T252" t="s">
        <v>370</v>
      </c>
      <c r="U252" t="s">
        <v>371</v>
      </c>
      <c r="V252" t="s">
        <v>56</v>
      </c>
      <c r="W252" t="s">
        <v>56</v>
      </c>
      <c r="X252" t="s">
        <v>56</v>
      </c>
      <c r="Y252" t="s">
        <v>62</v>
      </c>
      <c r="Z252" t="s">
        <v>63</v>
      </c>
      <c r="AA252" t="s">
        <v>64</v>
      </c>
      <c r="AB252">
        <v>1</v>
      </c>
      <c r="AC252" t="s">
        <v>84</v>
      </c>
      <c r="AD252" t="s">
        <v>66</v>
      </c>
      <c r="AE252" t="s">
        <v>85</v>
      </c>
      <c r="AF252" t="s">
        <v>68</v>
      </c>
      <c r="AG252">
        <v>34997.56</v>
      </c>
      <c r="AH252" t="s">
        <v>69</v>
      </c>
      <c r="AI252" t="s">
        <v>186</v>
      </c>
      <c r="AJ252" t="s">
        <v>138</v>
      </c>
      <c r="AK252" t="s">
        <v>72</v>
      </c>
      <c r="AL252" t="s">
        <v>73</v>
      </c>
      <c r="AM252" t="s">
        <v>73</v>
      </c>
      <c r="AN252" t="s">
        <v>56</v>
      </c>
    </row>
    <row r="253" spans="1:40" x14ac:dyDescent="0.25">
      <c r="A253" t="s">
        <v>575</v>
      </c>
      <c r="B253" t="s">
        <v>5</v>
      </c>
      <c r="C253">
        <v>1054.979098</v>
      </c>
      <c r="D253">
        <v>896.13378</v>
      </c>
      <c r="E253" t="s">
        <v>56</v>
      </c>
      <c r="F253">
        <v>-50817.01</v>
      </c>
      <c r="G253" t="s">
        <v>575</v>
      </c>
      <c r="H253" t="s">
        <v>7</v>
      </c>
      <c r="I253">
        <v>54113.66</v>
      </c>
      <c r="J253">
        <v>1123.4052360000001</v>
      </c>
      <c r="K253">
        <v>954.25718199999994</v>
      </c>
      <c r="L253">
        <v>0</v>
      </c>
      <c r="M253" t="s">
        <v>575</v>
      </c>
      <c r="N253" t="s">
        <v>57</v>
      </c>
      <c r="O253" t="s">
        <v>58</v>
      </c>
      <c r="P253" t="s">
        <v>576</v>
      </c>
      <c r="Q253" t="s">
        <v>577</v>
      </c>
      <c r="R253" t="s">
        <v>61</v>
      </c>
      <c r="S253" t="s">
        <v>58</v>
      </c>
      <c r="T253" t="s">
        <v>576</v>
      </c>
      <c r="U253" t="s">
        <v>577</v>
      </c>
      <c r="V253" t="s">
        <v>56</v>
      </c>
      <c r="W253" t="s">
        <v>56</v>
      </c>
      <c r="X253" t="s">
        <v>56</v>
      </c>
      <c r="Y253" t="s">
        <v>62</v>
      </c>
      <c r="Z253" t="s">
        <v>63</v>
      </c>
      <c r="AA253" t="s">
        <v>64</v>
      </c>
      <c r="AB253">
        <v>1</v>
      </c>
      <c r="AC253" t="s">
        <v>78</v>
      </c>
      <c r="AD253" t="s">
        <v>66</v>
      </c>
      <c r="AE253" t="s">
        <v>67</v>
      </c>
      <c r="AF253" t="s">
        <v>68</v>
      </c>
      <c r="AG253">
        <v>54000</v>
      </c>
      <c r="AH253" t="s">
        <v>69</v>
      </c>
      <c r="AI253" t="s">
        <v>355</v>
      </c>
      <c r="AJ253" t="s">
        <v>115</v>
      </c>
      <c r="AK253" t="s">
        <v>99</v>
      </c>
      <c r="AL253" t="s">
        <v>73</v>
      </c>
      <c r="AM253" t="s">
        <v>73</v>
      </c>
      <c r="AN253" t="s">
        <v>74</v>
      </c>
    </row>
    <row r="254" spans="1:40" x14ac:dyDescent="0.25">
      <c r="A254" t="s">
        <v>1265</v>
      </c>
      <c r="B254" t="s">
        <v>5</v>
      </c>
      <c r="C254" s="2">
        <v>1050.33977</v>
      </c>
      <c r="D254" t="s">
        <v>56</v>
      </c>
      <c r="E254" t="s">
        <v>56</v>
      </c>
      <c r="F254">
        <v>-10933.08</v>
      </c>
      <c r="G254" t="s">
        <v>1265</v>
      </c>
      <c r="H254" t="s">
        <v>7</v>
      </c>
      <c r="I254">
        <v>13910.59</v>
      </c>
      <c r="J254">
        <v>0</v>
      </c>
      <c r="K254">
        <v>0</v>
      </c>
      <c r="L254">
        <v>0</v>
      </c>
      <c r="M254" t="s">
        <v>1265</v>
      </c>
      <c r="N254" t="s">
        <v>57</v>
      </c>
      <c r="O254" t="s">
        <v>58</v>
      </c>
      <c r="P254" t="s">
        <v>1266</v>
      </c>
      <c r="Q254" t="s">
        <v>1267</v>
      </c>
      <c r="R254" t="s">
        <v>61</v>
      </c>
      <c r="S254" t="s">
        <v>58</v>
      </c>
      <c r="T254" t="s">
        <v>1266</v>
      </c>
      <c r="U254" t="s">
        <v>1267</v>
      </c>
      <c r="V254" t="s">
        <v>56</v>
      </c>
      <c r="W254" t="s">
        <v>56</v>
      </c>
      <c r="X254" t="s">
        <v>56</v>
      </c>
      <c r="Y254" t="s">
        <v>62</v>
      </c>
      <c r="Z254" t="s">
        <v>63</v>
      </c>
      <c r="AA254" t="s">
        <v>64</v>
      </c>
      <c r="AB254">
        <v>1</v>
      </c>
      <c r="AC254" t="s">
        <v>1268</v>
      </c>
      <c r="AD254" t="s">
        <v>66</v>
      </c>
      <c r="AE254" t="s">
        <v>289</v>
      </c>
      <c r="AF254" t="s">
        <v>68</v>
      </c>
      <c r="AG254">
        <v>35000</v>
      </c>
      <c r="AH254" t="s">
        <v>69</v>
      </c>
      <c r="AI254" t="s">
        <v>132</v>
      </c>
      <c r="AJ254" t="s">
        <v>1034</v>
      </c>
      <c r="AK254" t="s">
        <v>99</v>
      </c>
      <c r="AL254" t="s">
        <v>73</v>
      </c>
      <c r="AM254" t="s">
        <v>73</v>
      </c>
      <c r="AN254" t="s">
        <v>56</v>
      </c>
    </row>
    <row r="255" spans="1:40" x14ac:dyDescent="0.25">
      <c r="A255" t="s">
        <v>2103</v>
      </c>
      <c r="B255" t="s">
        <v>5</v>
      </c>
      <c r="C255">
        <v>1050.2420259999999</v>
      </c>
      <c r="D255">
        <v>619.96864100000005</v>
      </c>
      <c r="E255" t="s">
        <v>56</v>
      </c>
      <c r="F255">
        <v>-134640.28</v>
      </c>
      <c r="G255" t="s">
        <v>2103</v>
      </c>
      <c r="H255" t="s">
        <v>7</v>
      </c>
      <c r="I255">
        <v>153222.6</v>
      </c>
      <c r="J255">
        <v>864.12536299999999</v>
      </c>
      <c r="K255">
        <v>734.01637100000005</v>
      </c>
      <c r="L255">
        <v>0</v>
      </c>
      <c r="M255" t="s">
        <v>2103</v>
      </c>
      <c r="N255" t="s">
        <v>57</v>
      </c>
      <c r="O255" t="s">
        <v>58</v>
      </c>
      <c r="P255" t="s">
        <v>2104</v>
      </c>
      <c r="Q255" t="s">
        <v>2105</v>
      </c>
      <c r="R255" t="s">
        <v>61</v>
      </c>
      <c r="S255" t="s">
        <v>58</v>
      </c>
      <c r="T255" t="s">
        <v>2104</v>
      </c>
      <c r="U255" t="s">
        <v>2105</v>
      </c>
      <c r="V255" t="s">
        <v>56</v>
      </c>
      <c r="W255" t="s">
        <v>56</v>
      </c>
      <c r="X255" t="s">
        <v>56</v>
      </c>
      <c r="Y255" t="s">
        <v>62</v>
      </c>
      <c r="Z255" t="s">
        <v>63</v>
      </c>
      <c r="AA255" t="s">
        <v>64</v>
      </c>
      <c r="AB255">
        <v>1</v>
      </c>
      <c r="AC255" t="s">
        <v>120</v>
      </c>
      <c r="AD255" t="s">
        <v>66</v>
      </c>
      <c r="AE255" t="s">
        <v>67</v>
      </c>
      <c r="AF255" t="s">
        <v>68</v>
      </c>
      <c r="AG255">
        <v>198780.5</v>
      </c>
      <c r="AH255" t="s">
        <v>69</v>
      </c>
      <c r="AI255" t="s">
        <v>323</v>
      </c>
      <c r="AJ255" t="s">
        <v>80</v>
      </c>
      <c r="AK255" t="s">
        <v>72</v>
      </c>
      <c r="AL255" t="s">
        <v>73</v>
      </c>
      <c r="AM255" t="s">
        <v>73</v>
      </c>
      <c r="AN255" t="s">
        <v>74</v>
      </c>
    </row>
    <row r="256" spans="1:40" x14ac:dyDescent="0.25">
      <c r="A256" t="s">
        <v>458</v>
      </c>
      <c r="B256" t="s">
        <v>5</v>
      </c>
      <c r="C256" s="2">
        <v>1047.7859490000001</v>
      </c>
      <c r="D256" t="s">
        <v>56</v>
      </c>
      <c r="E256" t="s">
        <v>56</v>
      </c>
      <c r="F256">
        <v>-16247.75</v>
      </c>
      <c r="G256" t="s">
        <v>458</v>
      </c>
      <c r="H256" t="s">
        <v>7</v>
      </c>
      <c r="I256">
        <v>21493.73</v>
      </c>
      <c r="J256">
        <v>0</v>
      </c>
      <c r="K256">
        <v>0</v>
      </c>
      <c r="L256">
        <v>0</v>
      </c>
      <c r="M256" t="s">
        <v>458</v>
      </c>
      <c r="N256" t="s">
        <v>57</v>
      </c>
      <c r="O256" t="s">
        <v>58</v>
      </c>
      <c r="P256" t="s">
        <v>459</v>
      </c>
      <c r="Q256" t="s">
        <v>460</v>
      </c>
      <c r="R256" t="s">
        <v>61</v>
      </c>
      <c r="S256" t="s">
        <v>58</v>
      </c>
      <c r="T256" t="s">
        <v>459</v>
      </c>
      <c r="U256" t="s">
        <v>460</v>
      </c>
      <c r="V256" t="s">
        <v>56</v>
      </c>
      <c r="W256" t="s">
        <v>56</v>
      </c>
      <c r="X256" t="s">
        <v>56</v>
      </c>
      <c r="Y256" t="s">
        <v>62</v>
      </c>
      <c r="Z256" t="s">
        <v>63</v>
      </c>
      <c r="AA256" t="s">
        <v>64</v>
      </c>
      <c r="AB256">
        <v>1</v>
      </c>
      <c r="AC256" t="s">
        <v>65</v>
      </c>
      <c r="AD256" t="s">
        <v>66</v>
      </c>
      <c r="AE256" t="s">
        <v>85</v>
      </c>
      <c r="AF256" t="s">
        <v>103</v>
      </c>
      <c r="AG256">
        <v>42148.42</v>
      </c>
      <c r="AH256" t="s">
        <v>69</v>
      </c>
      <c r="AI256" t="s">
        <v>70</v>
      </c>
      <c r="AJ256" t="s">
        <v>351</v>
      </c>
      <c r="AK256" t="s">
        <v>72</v>
      </c>
      <c r="AL256" t="s">
        <v>73</v>
      </c>
      <c r="AM256" t="s">
        <v>73</v>
      </c>
      <c r="AN256" t="s">
        <v>56</v>
      </c>
    </row>
    <row r="257" spans="1:40" x14ac:dyDescent="0.25">
      <c r="A257" t="s">
        <v>1141</v>
      </c>
      <c r="B257" t="s">
        <v>5</v>
      </c>
      <c r="C257">
        <v>1044.67992</v>
      </c>
      <c r="D257">
        <v>887.38532199999997</v>
      </c>
      <c r="E257" t="s">
        <v>56</v>
      </c>
      <c r="F257">
        <v>-41934.089999999997</v>
      </c>
      <c r="G257" t="s">
        <v>1141</v>
      </c>
      <c r="H257" t="s">
        <v>7</v>
      </c>
      <c r="I257">
        <v>44710.07</v>
      </c>
      <c r="J257">
        <v>1113.8347470000001</v>
      </c>
      <c r="K257">
        <v>946.12769600000001</v>
      </c>
      <c r="L257">
        <v>0</v>
      </c>
      <c r="M257" t="s">
        <v>1141</v>
      </c>
      <c r="N257" t="s">
        <v>57</v>
      </c>
      <c r="O257" t="s">
        <v>58</v>
      </c>
      <c r="P257" t="s">
        <v>1142</v>
      </c>
      <c r="Q257" t="s">
        <v>1143</v>
      </c>
      <c r="R257" t="s">
        <v>61</v>
      </c>
      <c r="S257" t="s">
        <v>58</v>
      </c>
      <c r="T257" t="s">
        <v>1142</v>
      </c>
      <c r="U257" t="s">
        <v>1143</v>
      </c>
      <c r="V257" t="s">
        <v>56</v>
      </c>
      <c r="W257" t="s">
        <v>56</v>
      </c>
      <c r="X257" t="s">
        <v>56</v>
      </c>
      <c r="Y257" t="s">
        <v>62</v>
      </c>
      <c r="Z257" t="s">
        <v>63</v>
      </c>
      <c r="AA257" t="s">
        <v>64</v>
      </c>
      <c r="AB257">
        <v>1</v>
      </c>
      <c r="AC257" t="s">
        <v>78</v>
      </c>
      <c r="AD257" t="s">
        <v>66</v>
      </c>
      <c r="AE257" t="s">
        <v>67</v>
      </c>
      <c r="AF257" t="s">
        <v>68</v>
      </c>
      <c r="AG257">
        <v>45000</v>
      </c>
      <c r="AH257" t="s">
        <v>69</v>
      </c>
      <c r="AI257" t="s">
        <v>70</v>
      </c>
      <c r="AJ257" t="s">
        <v>98</v>
      </c>
      <c r="AK257" t="s">
        <v>99</v>
      </c>
      <c r="AL257" t="s">
        <v>73</v>
      </c>
      <c r="AM257" t="s">
        <v>73</v>
      </c>
      <c r="AN257" t="s">
        <v>74</v>
      </c>
    </row>
    <row r="258" spans="1:40" x14ac:dyDescent="0.25">
      <c r="A258" t="s">
        <v>303</v>
      </c>
      <c r="B258" t="s">
        <v>5</v>
      </c>
      <c r="C258">
        <v>1039.560039</v>
      </c>
      <c r="D258">
        <v>883.03632700000003</v>
      </c>
      <c r="E258" t="s">
        <v>56</v>
      </c>
      <c r="F258">
        <v>-32450.74</v>
      </c>
      <c r="G258" t="s">
        <v>303</v>
      </c>
      <c r="H258" t="s">
        <v>7</v>
      </c>
      <c r="I258">
        <v>34682.050000000003</v>
      </c>
      <c r="J258">
        <v>1111.0646079999999</v>
      </c>
      <c r="K258">
        <v>943.77464899999995</v>
      </c>
      <c r="L258">
        <v>0</v>
      </c>
      <c r="M258" t="s">
        <v>303</v>
      </c>
      <c r="N258" t="s">
        <v>57</v>
      </c>
      <c r="O258" t="s">
        <v>58</v>
      </c>
      <c r="P258" t="s">
        <v>304</v>
      </c>
      <c r="Q258" t="s">
        <v>305</v>
      </c>
      <c r="R258" t="s">
        <v>61</v>
      </c>
      <c r="S258" t="s">
        <v>58</v>
      </c>
      <c r="T258" t="s">
        <v>304</v>
      </c>
      <c r="U258" t="s">
        <v>305</v>
      </c>
      <c r="V258" t="s">
        <v>56</v>
      </c>
      <c r="W258" t="s">
        <v>56</v>
      </c>
      <c r="X258" t="s">
        <v>56</v>
      </c>
      <c r="Y258" t="s">
        <v>62</v>
      </c>
      <c r="Z258" t="s">
        <v>63</v>
      </c>
      <c r="AA258" t="s">
        <v>64</v>
      </c>
      <c r="AB258">
        <v>1</v>
      </c>
      <c r="AC258" t="s">
        <v>78</v>
      </c>
      <c r="AD258" t="s">
        <v>66</v>
      </c>
      <c r="AE258" t="s">
        <v>67</v>
      </c>
      <c r="AF258" t="s">
        <v>68</v>
      </c>
      <c r="AG258">
        <v>34994.82</v>
      </c>
      <c r="AH258" t="s">
        <v>69</v>
      </c>
      <c r="AI258" t="s">
        <v>70</v>
      </c>
      <c r="AJ258" t="s">
        <v>71</v>
      </c>
      <c r="AK258" t="s">
        <v>99</v>
      </c>
      <c r="AL258" t="s">
        <v>73</v>
      </c>
      <c r="AM258" t="s">
        <v>73</v>
      </c>
      <c r="AN258" t="s">
        <v>74</v>
      </c>
    </row>
    <row r="259" spans="1:40" x14ac:dyDescent="0.25">
      <c r="A259" t="s">
        <v>673</v>
      </c>
      <c r="B259" t="s">
        <v>5</v>
      </c>
      <c r="C259">
        <v>1039.0611670000001</v>
      </c>
      <c r="D259">
        <v>882.61256900000001</v>
      </c>
      <c r="E259" t="s">
        <v>56</v>
      </c>
      <c r="F259">
        <v>-35035.160000000003</v>
      </c>
      <c r="G259" t="s">
        <v>673</v>
      </c>
      <c r="H259" t="s">
        <v>7</v>
      </c>
      <c r="I259">
        <v>37864.879999999997</v>
      </c>
      <c r="J259">
        <v>1122.9579329999999</v>
      </c>
      <c r="K259">
        <v>953.87722900000006</v>
      </c>
      <c r="L259">
        <v>0</v>
      </c>
      <c r="M259" t="s">
        <v>673</v>
      </c>
      <c r="N259" t="s">
        <v>57</v>
      </c>
      <c r="O259" t="s">
        <v>58</v>
      </c>
      <c r="P259" t="s">
        <v>674</v>
      </c>
      <c r="Q259" t="s">
        <v>675</v>
      </c>
      <c r="R259" t="s">
        <v>61</v>
      </c>
      <c r="S259" t="s">
        <v>58</v>
      </c>
      <c r="T259" t="s">
        <v>674</v>
      </c>
      <c r="U259" t="s">
        <v>675</v>
      </c>
      <c r="V259" t="s">
        <v>56</v>
      </c>
      <c r="W259" t="s">
        <v>56</v>
      </c>
      <c r="X259" t="s">
        <v>56</v>
      </c>
      <c r="Y259" t="s">
        <v>62</v>
      </c>
      <c r="Z259" t="s">
        <v>63</v>
      </c>
      <c r="AA259" t="s">
        <v>64</v>
      </c>
      <c r="AB259">
        <v>1</v>
      </c>
      <c r="AC259" t="s">
        <v>84</v>
      </c>
      <c r="AD259" t="s">
        <v>66</v>
      </c>
      <c r="AE259" t="s">
        <v>67</v>
      </c>
      <c r="AF259" t="s">
        <v>68</v>
      </c>
      <c r="AG259">
        <v>37800</v>
      </c>
      <c r="AH259" t="s">
        <v>69</v>
      </c>
      <c r="AI259" t="s">
        <v>114</v>
      </c>
      <c r="AJ259" t="s">
        <v>115</v>
      </c>
      <c r="AK259" t="s">
        <v>99</v>
      </c>
      <c r="AL259" t="s">
        <v>73</v>
      </c>
      <c r="AM259" t="s">
        <v>73</v>
      </c>
      <c r="AN259" t="s">
        <v>74</v>
      </c>
    </row>
    <row r="260" spans="1:40" x14ac:dyDescent="0.25">
      <c r="A260" t="s">
        <v>798</v>
      </c>
      <c r="B260" t="s">
        <v>5</v>
      </c>
      <c r="C260">
        <v>1039.0600460000001</v>
      </c>
      <c r="D260">
        <v>882.61161700000002</v>
      </c>
      <c r="E260" t="s">
        <v>56</v>
      </c>
      <c r="F260">
        <v>-23171.39</v>
      </c>
      <c r="G260" t="s">
        <v>798</v>
      </c>
      <c r="H260" t="s">
        <v>7</v>
      </c>
      <c r="I260">
        <v>25042.91</v>
      </c>
      <c r="J260">
        <v>1122.9433590000001</v>
      </c>
      <c r="K260">
        <v>953.86484900000005</v>
      </c>
      <c r="L260">
        <v>0</v>
      </c>
      <c r="M260" t="s">
        <v>798</v>
      </c>
      <c r="N260" t="s">
        <v>57</v>
      </c>
      <c r="O260" t="s">
        <v>58</v>
      </c>
      <c r="P260" t="s">
        <v>799</v>
      </c>
      <c r="Q260" t="s">
        <v>800</v>
      </c>
      <c r="R260" t="s">
        <v>61</v>
      </c>
      <c r="S260" t="s">
        <v>58</v>
      </c>
      <c r="T260" t="s">
        <v>799</v>
      </c>
      <c r="U260" t="s">
        <v>800</v>
      </c>
      <c r="V260" t="s">
        <v>56</v>
      </c>
      <c r="W260" t="s">
        <v>56</v>
      </c>
      <c r="X260" t="s">
        <v>56</v>
      </c>
      <c r="Y260" t="s">
        <v>62</v>
      </c>
      <c r="Z260" t="s">
        <v>63</v>
      </c>
      <c r="AA260" t="s">
        <v>64</v>
      </c>
      <c r="AB260">
        <v>1</v>
      </c>
      <c r="AC260" t="s">
        <v>78</v>
      </c>
      <c r="AD260" t="s">
        <v>66</v>
      </c>
      <c r="AE260" t="s">
        <v>67</v>
      </c>
      <c r="AF260" t="s">
        <v>68</v>
      </c>
      <c r="AG260">
        <v>25000</v>
      </c>
      <c r="AH260" t="s">
        <v>69</v>
      </c>
      <c r="AI260" t="s">
        <v>142</v>
      </c>
      <c r="AJ260" t="s">
        <v>115</v>
      </c>
      <c r="AK260" t="s">
        <v>99</v>
      </c>
      <c r="AL260" t="s">
        <v>73</v>
      </c>
      <c r="AM260" t="s">
        <v>73</v>
      </c>
      <c r="AN260" t="s">
        <v>74</v>
      </c>
    </row>
    <row r="261" spans="1:40" x14ac:dyDescent="0.25">
      <c r="A261" t="s">
        <v>1357</v>
      </c>
      <c r="B261" t="s">
        <v>5</v>
      </c>
      <c r="C261" s="2">
        <v>1036.208333</v>
      </c>
      <c r="D261" t="s">
        <v>56</v>
      </c>
      <c r="E261" t="s">
        <v>56</v>
      </c>
      <c r="F261">
        <v>-36898.21</v>
      </c>
      <c r="G261" t="s">
        <v>1357</v>
      </c>
      <c r="H261" t="s">
        <v>7</v>
      </c>
      <c r="I261">
        <v>47128.59</v>
      </c>
      <c r="J261">
        <v>0</v>
      </c>
      <c r="K261">
        <v>0</v>
      </c>
      <c r="L261">
        <v>0</v>
      </c>
      <c r="M261" t="s">
        <v>1357</v>
      </c>
      <c r="N261" t="s">
        <v>57</v>
      </c>
      <c r="O261" t="s">
        <v>58</v>
      </c>
      <c r="P261" t="s">
        <v>1358</v>
      </c>
      <c r="Q261" t="s">
        <v>1359</v>
      </c>
      <c r="R261" t="s">
        <v>61</v>
      </c>
      <c r="S261" t="s">
        <v>58</v>
      </c>
      <c r="T261" t="s">
        <v>1358</v>
      </c>
      <c r="U261" t="s">
        <v>1359</v>
      </c>
      <c r="V261" t="s">
        <v>56</v>
      </c>
      <c r="W261" t="s">
        <v>56</v>
      </c>
      <c r="X261" t="s">
        <v>56</v>
      </c>
      <c r="Y261" t="s">
        <v>62</v>
      </c>
      <c r="Z261" t="s">
        <v>63</v>
      </c>
      <c r="AA261" t="s">
        <v>64</v>
      </c>
      <c r="AB261">
        <v>1</v>
      </c>
      <c r="AC261" t="s">
        <v>645</v>
      </c>
      <c r="AD261" t="s">
        <v>66</v>
      </c>
      <c r="AE261" t="s">
        <v>85</v>
      </c>
      <c r="AF261" t="s">
        <v>86</v>
      </c>
      <c r="AG261">
        <v>96787.31</v>
      </c>
      <c r="AH261" t="s">
        <v>69</v>
      </c>
      <c r="AI261" t="s">
        <v>104</v>
      </c>
      <c r="AJ261" t="s">
        <v>363</v>
      </c>
      <c r="AK261" t="s">
        <v>72</v>
      </c>
      <c r="AL261" t="s">
        <v>73</v>
      </c>
      <c r="AM261" t="s">
        <v>73</v>
      </c>
      <c r="AN261" t="s">
        <v>56</v>
      </c>
    </row>
    <row r="262" spans="1:40" x14ac:dyDescent="0.25">
      <c r="A262" t="s">
        <v>488</v>
      </c>
      <c r="B262" t="s">
        <v>5</v>
      </c>
      <c r="C262">
        <v>1029.3639989999999</v>
      </c>
      <c r="D262">
        <v>874.37547600000005</v>
      </c>
      <c r="E262" t="s">
        <v>56</v>
      </c>
      <c r="F262">
        <v>-38453.43</v>
      </c>
      <c r="G262" t="s">
        <v>488</v>
      </c>
      <c r="H262" t="s">
        <v>7</v>
      </c>
      <c r="I262">
        <v>41088.370000000003</v>
      </c>
      <c r="J262">
        <v>1099.9111820000001</v>
      </c>
      <c r="K262">
        <v>934.30056400000001</v>
      </c>
      <c r="L262">
        <v>0</v>
      </c>
      <c r="M262" t="s">
        <v>488</v>
      </c>
      <c r="N262" t="s">
        <v>57</v>
      </c>
      <c r="O262" t="s">
        <v>58</v>
      </c>
      <c r="P262" t="s">
        <v>489</v>
      </c>
      <c r="Q262" t="s">
        <v>490</v>
      </c>
      <c r="R262" t="s">
        <v>61</v>
      </c>
      <c r="S262" t="s">
        <v>58</v>
      </c>
      <c r="T262" t="s">
        <v>489</v>
      </c>
      <c r="U262" t="s">
        <v>490</v>
      </c>
      <c r="V262" t="s">
        <v>56</v>
      </c>
      <c r="W262" t="s">
        <v>56</v>
      </c>
      <c r="X262" t="s">
        <v>56</v>
      </c>
      <c r="Y262" t="s">
        <v>62</v>
      </c>
      <c r="Z262" t="s">
        <v>63</v>
      </c>
      <c r="AA262" t="s">
        <v>64</v>
      </c>
      <c r="AB262">
        <v>1</v>
      </c>
      <c r="AC262" t="s">
        <v>78</v>
      </c>
      <c r="AD262" t="s">
        <v>66</v>
      </c>
      <c r="AE262" t="s">
        <v>67</v>
      </c>
      <c r="AF262" t="s">
        <v>68</v>
      </c>
      <c r="AG262">
        <v>41878.839999999997</v>
      </c>
      <c r="AH262" t="s">
        <v>69</v>
      </c>
      <c r="AI262" t="s">
        <v>491</v>
      </c>
      <c r="AJ262" t="s">
        <v>80</v>
      </c>
      <c r="AK262" t="s">
        <v>99</v>
      </c>
      <c r="AL262" t="s">
        <v>73</v>
      </c>
      <c r="AM262" t="s">
        <v>73</v>
      </c>
      <c r="AN262" t="s">
        <v>74</v>
      </c>
    </row>
    <row r="263" spans="1:40" x14ac:dyDescent="0.25">
      <c r="A263" t="s">
        <v>411</v>
      </c>
      <c r="B263" t="s">
        <v>5</v>
      </c>
      <c r="C263" s="2">
        <v>1022.257021</v>
      </c>
      <c r="D263" t="s">
        <v>56</v>
      </c>
      <c r="E263" t="s">
        <v>56</v>
      </c>
      <c r="F263">
        <v>-17428.88</v>
      </c>
      <c r="G263" t="s">
        <v>411</v>
      </c>
      <c r="H263" t="s">
        <v>7</v>
      </c>
      <c r="I263">
        <v>23314.76</v>
      </c>
      <c r="J263">
        <v>0</v>
      </c>
      <c r="K263">
        <v>0</v>
      </c>
      <c r="L263">
        <v>0</v>
      </c>
      <c r="M263" t="s">
        <v>411</v>
      </c>
      <c r="N263" t="s">
        <v>57</v>
      </c>
      <c r="O263" t="s">
        <v>58</v>
      </c>
      <c r="P263" t="s">
        <v>412</v>
      </c>
      <c r="Q263" t="s">
        <v>413</v>
      </c>
      <c r="R263" t="s">
        <v>61</v>
      </c>
      <c r="S263" t="s">
        <v>58</v>
      </c>
      <c r="T263" t="s">
        <v>412</v>
      </c>
      <c r="U263" t="s">
        <v>413</v>
      </c>
      <c r="V263" t="s">
        <v>56</v>
      </c>
      <c r="W263" t="s">
        <v>56</v>
      </c>
      <c r="X263" t="s">
        <v>56</v>
      </c>
      <c r="Y263" t="s">
        <v>62</v>
      </c>
      <c r="Z263" t="s">
        <v>63</v>
      </c>
      <c r="AA263" t="s">
        <v>64</v>
      </c>
      <c r="AB263">
        <v>1</v>
      </c>
      <c r="AC263" t="s">
        <v>84</v>
      </c>
      <c r="AD263" t="s">
        <v>66</v>
      </c>
      <c r="AE263" t="s">
        <v>85</v>
      </c>
      <c r="AF263" t="s">
        <v>86</v>
      </c>
      <c r="AG263">
        <v>57000</v>
      </c>
      <c r="AH263" t="s">
        <v>69</v>
      </c>
      <c r="AI263" t="s">
        <v>253</v>
      </c>
      <c r="AJ263" t="s">
        <v>414</v>
      </c>
      <c r="AK263" t="s">
        <v>99</v>
      </c>
      <c r="AL263" t="s">
        <v>73</v>
      </c>
      <c r="AM263" t="s">
        <v>73</v>
      </c>
      <c r="AN263" t="s">
        <v>56</v>
      </c>
    </row>
    <row r="264" spans="1:40" x14ac:dyDescent="0.25">
      <c r="A264" t="s">
        <v>434</v>
      </c>
      <c r="B264" t="s">
        <v>5</v>
      </c>
      <c r="C264">
        <v>1020.231844</v>
      </c>
      <c r="D264">
        <v>866.61832500000003</v>
      </c>
      <c r="E264" t="s">
        <v>56</v>
      </c>
      <c r="F264">
        <v>-27301.81</v>
      </c>
      <c r="G264" t="s">
        <v>434</v>
      </c>
      <c r="H264" t="s">
        <v>7</v>
      </c>
      <c r="I264">
        <v>30371.9</v>
      </c>
      <c r="J264">
        <v>1134.923006</v>
      </c>
      <c r="K264">
        <v>964.04075399999999</v>
      </c>
      <c r="L264">
        <v>0</v>
      </c>
      <c r="M264" t="s">
        <v>434</v>
      </c>
      <c r="N264" t="s">
        <v>57</v>
      </c>
      <c r="O264" t="s">
        <v>58</v>
      </c>
      <c r="P264" t="s">
        <v>435</v>
      </c>
      <c r="Q264" t="s">
        <v>436</v>
      </c>
      <c r="R264" t="s">
        <v>61</v>
      </c>
      <c r="S264" t="s">
        <v>58</v>
      </c>
      <c r="T264" t="s">
        <v>435</v>
      </c>
      <c r="U264" t="s">
        <v>436</v>
      </c>
      <c r="V264" t="s">
        <v>56</v>
      </c>
      <c r="W264" t="s">
        <v>56</v>
      </c>
      <c r="X264" t="s">
        <v>56</v>
      </c>
      <c r="Y264" t="s">
        <v>62</v>
      </c>
      <c r="Z264" t="s">
        <v>63</v>
      </c>
      <c r="AA264" t="s">
        <v>64</v>
      </c>
      <c r="AB264">
        <v>1</v>
      </c>
      <c r="AC264" t="s">
        <v>78</v>
      </c>
      <c r="AD264" t="s">
        <v>66</v>
      </c>
      <c r="AE264" t="s">
        <v>67</v>
      </c>
      <c r="AF264" t="s">
        <v>68</v>
      </c>
      <c r="AG264">
        <v>30000</v>
      </c>
      <c r="AH264" t="s">
        <v>69</v>
      </c>
      <c r="AI264" t="s">
        <v>87</v>
      </c>
      <c r="AJ264" t="s">
        <v>115</v>
      </c>
      <c r="AK264" t="s">
        <v>99</v>
      </c>
      <c r="AL264" t="s">
        <v>73</v>
      </c>
      <c r="AM264" t="s">
        <v>73</v>
      </c>
      <c r="AN264" t="s">
        <v>74</v>
      </c>
    </row>
    <row r="265" spans="1:40" x14ac:dyDescent="0.25">
      <c r="A265" t="s">
        <v>1635</v>
      </c>
      <c r="B265" t="s">
        <v>5</v>
      </c>
      <c r="C265">
        <v>1019.49755</v>
      </c>
      <c r="D265">
        <v>865.99459200000001</v>
      </c>
      <c r="E265" t="s">
        <v>56</v>
      </c>
      <c r="F265">
        <v>-18188.099999999999</v>
      </c>
      <c r="G265" t="s">
        <v>1635</v>
      </c>
      <c r="H265" t="s">
        <v>7</v>
      </c>
      <c r="I265">
        <v>20032.05</v>
      </c>
      <c r="J265">
        <v>1122.8536750000001</v>
      </c>
      <c r="K265">
        <v>953.78866800000003</v>
      </c>
      <c r="L265">
        <v>0</v>
      </c>
      <c r="M265" t="s">
        <v>1635</v>
      </c>
      <c r="N265" t="s">
        <v>57</v>
      </c>
      <c r="O265" t="s">
        <v>58</v>
      </c>
      <c r="P265" t="s">
        <v>1636</v>
      </c>
      <c r="Q265" t="s">
        <v>1637</v>
      </c>
      <c r="R265" t="s">
        <v>61</v>
      </c>
      <c r="S265" t="s">
        <v>58</v>
      </c>
      <c r="T265" t="s">
        <v>1636</v>
      </c>
      <c r="U265" t="s">
        <v>1637</v>
      </c>
      <c r="V265" t="s">
        <v>56</v>
      </c>
      <c r="W265" t="s">
        <v>56</v>
      </c>
      <c r="X265" t="s">
        <v>56</v>
      </c>
      <c r="Y265" t="s">
        <v>62</v>
      </c>
      <c r="Z265" t="s">
        <v>63</v>
      </c>
      <c r="AA265" t="s">
        <v>64</v>
      </c>
      <c r="AB265">
        <v>1</v>
      </c>
      <c r="AC265" t="s">
        <v>78</v>
      </c>
      <c r="AD265" t="s">
        <v>66</v>
      </c>
      <c r="AE265" t="s">
        <v>67</v>
      </c>
      <c r="AF265" t="s">
        <v>68</v>
      </c>
      <c r="AG265">
        <v>20000</v>
      </c>
      <c r="AH265" t="s">
        <v>69</v>
      </c>
      <c r="AI265" t="s">
        <v>765</v>
      </c>
      <c r="AJ265" t="s">
        <v>115</v>
      </c>
      <c r="AK265" t="s">
        <v>99</v>
      </c>
      <c r="AL265" t="s">
        <v>73</v>
      </c>
      <c r="AM265" t="s">
        <v>73</v>
      </c>
      <c r="AN265" t="s">
        <v>74</v>
      </c>
    </row>
    <row r="266" spans="1:40" x14ac:dyDescent="0.25">
      <c r="A266" t="s">
        <v>213</v>
      </c>
      <c r="B266" t="s">
        <v>5</v>
      </c>
      <c r="C266">
        <v>1019.202711</v>
      </c>
      <c r="D266">
        <v>865.744146</v>
      </c>
      <c r="E266" t="s">
        <v>56</v>
      </c>
      <c r="F266">
        <v>-51404.49</v>
      </c>
      <c r="G266" t="s">
        <v>213</v>
      </c>
      <c r="H266" t="s">
        <v>7</v>
      </c>
      <c r="I266">
        <v>57246.85</v>
      </c>
      <c r="J266">
        <v>1135.0373540000001</v>
      </c>
      <c r="K266">
        <v>964.13788499999998</v>
      </c>
      <c r="L266">
        <v>0</v>
      </c>
      <c r="M266" t="s">
        <v>213</v>
      </c>
      <c r="N266" t="s">
        <v>57</v>
      </c>
      <c r="O266" t="s">
        <v>58</v>
      </c>
      <c r="P266" t="s">
        <v>214</v>
      </c>
      <c r="Q266" t="s">
        <v>215</v>
      </c>
      <c r="R266" t="s">
        <v>61</v>
      </c>
      <c r="S266" t="s">
        <v>58</v>
      </c>
      <c r="T266" t="s">
        <v>214</v>
      </c>
      <c r="U266" t="s">
        <v>215</v>
      </c>
      <c r="V266" t="s">
        <v>56</v>
      </c>
      <c r="W266" t="s">
        <v>56</v>
      </c>
      <c r="X266" t="s">
        <v>56</v>
      </c>
      <c r="Y266" t="s">
        <v>62</v>
      </c>
      <c r="Z266" t="s">
        <v>63</v>
      </c>
      <c r="AA266" t="s">
        <v>64</v>
      </c>
      <c r="AB266">
        <v>1</v>
      </c>
      <c r="AC266" t="s">
        <v>84</v>
      </c>
      <c r="AD266" t="s">
        <v>66</v>
      </c>
      <c r="AE266" t="s">
        <v>67</v>
      </c>
      <c r="AF266" t="s">
        <v>68</v>
      </c>
      <c r="AG266">
        <v>56541.7</v>
      </c>
      <c r="AH266" t="s">
        <v>69</v>
      </c>
      <c r="AI266" t="s">
        <v>216</v>
      </c>
      <c r="AJ266" t="s">
        <v>115</v>
      </c>
      <c r="AK266" t="s">
        <v>99</v>
      </c>
      <c r="AL266" t="s">
        <v>73</v>
      </c>
      <c r="AM266" t="s">
        <v>73</v>
      </c>
      <c r="AN266" t="s">
        <v>74</v>
      </c>
    </row>
    <row r="267" spans="1:40" x14ac:dyDescent="0.25">
      <c r="A267" t="s">
        <v>1473</v>
      </c>
      <c r="B267" t="s">
        <v>5</v>
      </c>
      <c r="C267">
        <v>1018.761013</v>
      </c>
      <c r="D267">
        <v>865.36895400000003</v>
      </c>
      <c r="E267" t="s">
        <v>56</v>
      </c>
      <c r="F267">
        <v>-40893.67</v>
      </c>
      <c r="G267" t="s">
        <v>1473</v>
      </c>
      <c r="H267" t="s">
        <v>7</v>
      </c>
      <c r="I267">
        <v>45066.95</v>
      </c>
      <c r="J267">
        <v>1122.7034530000001</v>
      </c>
      <c r="K267">
        <v>953.66106500000001</v>
      </c>
      <c r="L267">
        <v>0</v>
      </c>
      <c r="M267" t="s">
        <v>1473</v>
      </c>
      <c r="N267" t="s">
        <v>57</v>
      </c>
      <c r="O267" t="s">
        <v>58</v>
      </c>
      <c r="P267" t="s">
        <v>1474</v>
      </c>
      <c r="Q267" t="s">
        <v>1475</v>
      </c>
      <c r="R267" t="s">
        <v>61</v>
      </c>
      <c r="S267" t="s">
        <v>58</v>
      </c>
      <c r="T267" t="s">
        <v>1474</v>
      </c>
      <c r="U267" t="s">
        <v>1475</v>
      </c>
      <c r="V267" t="s">
        <v>56</v>
      </c>
      <c r="W267" t="s">
        <v>56</v>
      </c>
      <c r="X267" t="s">
        <v>56</v>
      </c>
      <c r="Y267" t="s">
        <v>62</v>
      </c>
      <c r="Z267" t="s">
        <v>63</v>
      </c>
      <c r="AA267" t="s">
        <v>64</v>
      </c>
      <c r="AB267">
        <v>1</v>
      </c>
      <c r="AC267" t="s">
        <v>84</v>
      </c>
      <c r="AD267" t="s">
        <v>66</v>
      </c>
      <c r="AE267" t="s">
        <v>67</v>
      </c>
      <c r="AF267" t="s">
        <v>68</v>
      </c>
      <c r="AG267">
        <v>45000</v>
      </c>
      <c r="AH267" t="s">
        <v>69</v>
      </c>
      <c r="AI267" t="s">
        <v>355</v>
      </c>
      <c r="AJ267" t="s">
        <v>115</v>
      </c>
      <c r="AK267" t="s">
        <v>99</v>
      </c>
      <c r="AL267" t="s">
        <v>73</v>
      </c>
      <c r="AM267" t="s">
        <v>73</v>
      </c>
      <c r="AN267" t="s">
        <v>74</v>
      </c>
    </row>
    <row r="268" spans="1:40" x14ac:dyDescent="0.25">
      <c r="A268" t="s">
        <v>1787</v>
      </c>
      <c r="B268" t="s">
        <v>5</v>
      </c>
      <c r="C268">
        <v>1011.370986</v>
      </c>
      <c r="D268">
        <v>859.09162300000003</v>
      </c>
      <c r="E268" t="s">
        <v>56</v>
      </c>
      <c r="F268">
        <v>-33018.93</v>
      </c>
      <c r="G268" t="s">
        <v>1787</v>
      </c>
      <c r="H268" t="s">
        <v>7</v>
      </c>
      <c r="I268">
        <v>35241.43</v>
      </c>
      <c r="J268">
        <v>1079.432779</v>
      </c>
      <c r="K268">
        <v>916.90553799999998</v>
      </c>
      <c r="L268">
        <v>0</v>
      </c>
      <c r="M268" t="s">
        <v>1787</v>
      </c>
      <c r="N268" t="s">
        <v>57</v>
      </c>
      <c r="O268" t="s">
        <v>58</v>
      </c>
      <c r="P268" t="s">
        <v>1788</v>
      </c>
      <c r="Q268" t="s">
        <v>1789</v>
      </c>
      <c r="R268" t="s">
        <v>61</v>
      </c>
      <c r="S268" t="s">
        <v>58</v>
      </c>
      <c r="T268" t="s">
        <v>1788</v>
      </c>
      <c r="U268" t="s">
        <v>1789</v>
      </c>
      <c r="V268" t="s">
        <v>56</v>
      </c>
      <c r="W268" t="s">
        <v>56</v>
      </c>
      <c r="X268" t="s">
        <v>56</v>
      </c>
      <c r="Y268" t="s">
        <v>62</v>
      </c>
      <c r="Z268" t="s">
        <v>63</v>
      </c>
      <c r="AA268" t="s">
        <v>64</v>
      </c>
      <c r="AB268">
        <v>1</v>
      </c>
      <c r="AC268" t="s">
        <v>78</v>
      </c>
      <c r="AD268" t="s">
        <v>66</v>
      </c>
      <c r="AE268" t="s">
        <v>67</v>
      </c>
      <c r="AF268" t="s">
        <v>68</v>
      </c>
      <c r="AG268">
        <v>36600</v>
      </c>
      <c r="AH268" t="s">
        <v>69</v>
      </c>
      <c r="AI268" t="s">
        <v>765</v>
      </c>
      <c r="AJ268" t="s">
        <v>265</v>
      </c>
      <c r="AK268" t="s">
        <v>99</v>
      </c>
      <c r="AL268" t="s">
        <v>73</v>
      </c>
      <c r="AM268" t="s">
        <v>73</v>
      </c>
      <c r="AN268" t="s">
        <v>74</v>
      </c>
    </row>
    <row r="269" spans="1:40" x14ac:dyDescent="0.25">
      <c r="A269" t="s">
        <v>94</v>
      </c>
      <c r="B269" t="s">
        <v>5</v>
      </c>
      <c r="C269">
        <v>1005.063902</v>
      </c>
      <c r="D269">
        <v>853.73417900000004</v>
      </c>
      <c r="E269" t="s">
        <v>56</v>
      </c>
      <c r="F269">
        <v>-28016.57</v>
      </c>
      <c r="G269" t="s">
        <v>94</v>
      </c>
      <c r="H269" t="s">
        <v>7</v>
      </c>
      <c r="I269">
        <v>30880.91</v>
      </c>
      <c r="J269">
        <v>1107.7866280000001</v>
      </c>
      <c r="K269">
        <v>940.99022600000001</v>
      </c>
      <c r="L269">
        <v>0</v>
      </c>
      <c r="M269" t="s">
        <v>94</v>
      </c>
      <c r="N269" t="s">
        <v>57</v>
      </c>
      <c r="O269" t="s">
        <v>58</v>
      </c>
      <c r="P269" t="s">
        <v>95</v>
      </c>
      <c r="Q269" t="s">
        <v>96</v>
      </c>
      <c r="R269" t="s">
        <v>61</v>
      </c>
      <c r="S269" t="s">
        <v>58</v>
      </c>
      <c r="T269" t="s">
        <v>95</v>
      </c>
      <c r="U269" t="s">
        <v>96</v>
      </c>
      <c r="V269" t="s">
        <v>56</v>
      </c>
      <c r="W269" t="s">
        <v>56</v>
      </c>
      <c r="X269" t="s">
        <v>56</v>
      </c>
      <c r="Y269" t="s">
        <v>62</v>
      </c>
      <c r="Z269" t="s">
        <v>63</v>
      </c>
      <c r="AA269" t="s">
        <v>64</v>
      </c>
      <c r="AB269">
        <v>1</v>
      </c>
      <c r="AC269" t="s">
        <v>84</v>
      </c>
      <c r="AD269" t="s">
        <v>66</v>
      </c>
      <c r="AE269" t="s">
        <v>67</v>
      </c>
      <c r="AF269" t="s">
        <v>68</v>
      </c>
      <c r="AG269">
        <v>31250</v>
      </c>
      <c r="AH269" t="s">
        <v>69</v>
      </c>
      <c r="AI269" t="s">
        <v>97</v>
      </c>
      <c r="AJ269" t="s">
        <v>98</v>
      </c>
      <c r="AK269" t="s">
        <v>99</v>
      </c>
      <c r="AL269" t="s">
        <v>73</v>
      </c>
      <c r="AM269" t="s">
        <v>73</v>
      </c>
      <c r="AN269" t="s">
        <v>74</v>
      </c>
    </row>
    <row r="270" spans="1:40" x14ac:dyDescent="0.25">
      <c r="A270" t="s">
        <v>1150</v>
      </c>
      <c r="B270" t="s">
        <v>5</v>
      </c>
      <c r="C270">
        <v>1005.062781</v>
      </c>
      <c r="D270">
        <v>853.73322700000006</v>
      </c>
      <c r="E270" t="s">
        <v>56</v>
      </c>
      <c r="F270">
        <v>-22413.23</v>
      </c>
      <c r="G270" t="s">
        <v>1150</v>
      </c>
      <c r="H270" t="s">
        <v>7</v>
      </c>
      <c r="I270">
        <v>24704.73</v>
      </c>
      <c r="J270">
        <v>1107.7866280000001</v>
      </c>
      <c r="K270">
        <v>940.99022600000001</v>
      </c>
      <c r="L270">
        <v>0</v>
      </c>
      <c r="M270" t="s">
        <v>1150</v>
      </c>
      <c r="N270" t="s">
        <v>57</v>
      </c>
      <c r="O270" t="s">
        <v>58</v>
      </c>
      <c r="P270" t="s">
        <v>1151</v>
      </c>
      <c r="Q270" t="s">
        <v>1152</v>
      </c>
      <c r="R270" t="s">
        <v>61</v>
      </c>
      <c r="S270" t="s">
        <v>58</v>
      </c>
      <c r="T270" t="s">
        <v>1151</v>
      </c>
      <c r="U270" t="s">
        <v>1152</v>
      </c>
      <c r="V270" t="s">
        <v>56</v>
      </c>
      <c r="W270" t="s">
        <v>56</v>
      </c>
      <c r="X270" t="s">
        <v>56</v>
      </c>
      <c r="Y270" t="s">
        <v>62</v>
      </c>
      <c r="Z270" t="s">
        <v>63</v>
      </c>
      <c r="AA270" t="s">
        <v>64</v>
      </c>
      <c r="AB270">
        <v>1</v>
      </c>
      <c r="AC270" t="s">
        <v>84</v>
      </c>
      <c r="AD270" t="s">
        <v>66</v>
      </c>
      <c r="AE270" t="s">
        <v>67</v>
      </c>
      <c r="AF270" t="s">
        <v>68</v>
      </c>
      <c r="AG270">
        <v>25000</v>
      </c>
      <c r="AH270" t="s">
        <v>69</v>
      </c>
      <c r="AI270" t="s">
        <v>163</v>
      </c>
      <c r="AJ270" t="s">
        <v>98</v>
      </c>
      <c r="AK270" t="s">
        <v>99</v>
      </c>
      <c r="AL270" t="s">
        <v>73</v>
      </c>
      <c r="AM270" t="s">
        <v>73</v>
      </c>
      <c r="AN270" t="s">
        <v>74</v>
      </c>
    </row>
    <row r="271" spans="1:40" x14ac:dyDescent="0.25">
      <c r="A271" t="s">
        <v>542</v>
      </c>
      <c r="B271" t="s">
        <v>5</v>
      </c>
      <c r="C271">
        <v>1004.144633</v>
      </c>
      <c r="D271">
        <v>852.95332199999996</v>
      </c>
      <c r="E271" t="s">
        <v>56</v>
      </c>
      <c r="F271">
        <v>-14779.23</v>
      </c>
      <c r="G271" t="s">
        <v>542</v>
      </c>
      <c r="H271" t="s">
        <v>7</v>
      </c>
      <c r="I271">
        <v>16300.09</v>
      </c>
      <c r="J271">
        <v>1107.4704899999999</v>
      </c>
      <c r="K271">
        <v>940.72168699999997</v>
      </c>
      <c r="L271">
        <v>0</v>
      </c>
      <c r="M271" t="s">
        <v>542</v>
      </c>
      <c r="N271" t="s">
        <v>57</v>
      </c>
      <c r="O271" t="s">
        <v>58</v>
      </c>
      <c r="P271" t="s">
        <v>543</v>
      </c>
      <c r="Q271" t="s">
        <v>544</v>
      </c>
      <c r="R271" t="s">
        <v>61</v>
      </c>
      <c r="S271" t="s">
        <v>58</v>
      </c>
      <c r="T271" t="s">
        <v>543</v>
      </c>
      <c r="U271" t="s">
        <v>544</v>
      </c>
      <c r="V271" t="s">
        <v>56</v>
      </c>
      <c r="W271" t="s">
        <v>56</v>
      </c>
      <c r="X271" t="s">
        <v>56</v>
      </c>
      <c r="Y271" t="s">
        <v>62</v>
      </c>
      <c r="Z271" t="s">
        <v>63</v>
      </c>
      <c r="AA271" t="s">
        <v>64</v>
      </c>
      <c r="AB271">
        <v>1</v>
      </c>
      <c r="AC271" t="s">
        <v>84</v>
      </c>
      <c r="AD271" t="s">
        <v>66</v>
      </c>
      <c r="AE271" t="s">
        <v>67</v>
      </c>
      <c r="AF271" t="s">
        <v>68</v>
      </c>
      <c r="AG271">
        <v>16500</v>
      </c>
      <c r="AH271" t="s">
        <v>69</v>
      </c>
      <c r="AI271" t="s">
        <v>142</v>
      </c>
      <c r="AJ271" t="s">
        <v>98</v>
      </c>
      <c r="AK271" t="s">
        <v>99</v>
      </c>
      <c r="AL271" t="s">
        <v>73</v>
      </c>
      <c r="AM271" t="s">
        <v>73</v>
      </c>
      <c r="AN271" t="s">
        <v>74</v>
      </c>
    </row>
    <row r="272" spans="1:40" x14ac:dyDescent="0.25">
      <c r="A272" t="s">
        <v>2259</v>
      </c>
      <c r="B272" t="s">
        <v>5</v>
      </c>
      <c r="C272">
        <v>1004.143512</v>
      </c>
      <c r="D272">
        <v>852.95236999999997</v>
      </c>
      <c r="E272" t="s">
        <v>56</v>
      </c>
      <c r="F272">
        <v>-14331.35</v>
      </c>
      <c r="G272" t="s">
        <v>2259</v>
      </c>
      <c r="H272" t="s">
        <v>7</v>
      </c>
      <c r="I272">
        <v>15806.15</v>
      </c>
      <c r="J272">
        <v>1107.467126</v>
      </c>
      <c r="K272">
        <v>940.71883000000003</v>
      </c>
      <c r="L272">
        <v>0</v>
      </c>
      <c r="M272" t="s">
        <v>2259</v>
      </c>
      <c r="N272" t="s">
        <v>57</v>
      </c>
      <c r="O272" t="s">
        <v>58</v>
      </c>
      <c r="P272" t="s">
        <v>2260</v>
      </c>
      <c r="Q272" t="s">
        <v>2261</v>
      </c>
      <c r="R272" t="s">
        <v>61</v>
      </c>
      <c r="S272" t="s">
        <v>58</v>
      </c>
      <c r="T272" t="s">
        <v>2260</v>
      </c>
      <c r="U272" t="s">
        <v>2261</v>
      </c>
      <c r="V272" t="s">
        <v>56</v>
      </c>
      <c r="W272" t="s">
        <v>56</v>
      </c>
      <c r="X272" t="s">
        <v>56</v>
      </c>
      <c r="Y272" t="s">
        <v>62</v>
      </c>
      <c r="Z272" t="s">
        <v>63</v>
      </c>
      <c r="AA272" t="s">
        <v>64</v>
      </c>
      <c r="AB272">
        <v>1</v>
      </c>
      <c r="AC272" t="s">
        <v>78</v>
      </c>
      <c r="AD272" t="s">
        <v>66</v>
      </c>
      <c r="AE272" t="s">
        <v>67</v>
      </c>
      <c r="AF272" t="s">
        <v>68</v>
      </c>
      <c r="AG272">
        <v>16000</v>
      </c>
      <c r="AH272" t="s">
        <v>69</v>
      </c>
      <c r="AI272" t="s">
        <v>114</v>
      </c>
      <c r="AJ272" t="s">
        <v>98</v>
      </c>
      <c r="AK272" t="s">
        <v>99</v>
      </c>
      <c r="AL272" t="s">
        <v>73</v>
      </c>
      <c r="AM272" t="s">
        <v>73</v>
      </c>
      <c r="AN272" t="s">
        <v>74</v>
      </c>
    </row>
    <row r="273" spans="1:40" x14ac:dyDescent="0.25">
      <c r="A273" t="s">
        <v>2161</v>
      </c>
      <c r="B273" t="s">
        <v>5</v>
      </c>
      <c r="C273" s="2">
        <v>1000.913821</v>
      </c>
      <c r="D273" t="s">
        <v>56</v>
      </c>
      <c r="E273" t="s">
        <v>56</v>
      </c>
      <c r="F273">
        <v>-12843.62</v>
      </c>
      <c r="G273" t="s">
        <v>2161</v>
      </c>
      <c r="H273" t="s">
        <v>7</v>
      </c>
      <c r="I273">
        <v>14690.01</v>
      </c>
      <c r="J273">
        <v>0</v>
      </c>
      <c r="K273">
        <v>0</v>
      </c>
      <c r="L273">
        <v>0</v>
      </c>
      <c r="M273" t="s">
        <v>2161</v>
      </c>
      <c r="N273" t="s">
        <v>57</v>
      </c>
      <c r="O273" t="s">
        <v>58</v>
      </c>
      <c r="P273" t="s">
        <v>2162</v>
      </c>
      <c r="Q273" t="s">
        <v>2163</v>
      </c>
      <c r="R273" t="s">
        <v>61</v>
      </c>
      <c r="S273" t="s">
        <v>58</v>
      </c>
      <c r="T273" t="s">
        <v>2162</v>
      </c>
      <c r="U273" t="s">
        <v>2163</v>
      </c>
      <c r="V273" t="s">
        <v>56</v>
      </c>
      <c r="W273" t="s">
        <v>56</v>
      </c>
      <c r="X273" t="s">
        <v>56</v>
      </c>
      <c r="Y273" t="s">
        <v>62</v>
      </c>
      <c r="Z273" t="s">
        <v>63</v>
      </c>
      <c r="AA273" t="s">
        <v>64</v>
      </c>
      <c r="AB273">
        <v>1</v>
      </c>
      <c r="AC273" t="s">
        <v>78</v>
      </c>
      <c r="AD273" t="s">
        <v>66</v>
      </c>
      <c r="AE273" t="s">
        <v>85</v>
      </c>
      <c r="AF273" t="s">
        <v>103</v>
      </c>
      <c r="AG273">
        <v>34878.050000000003</v>
      </c>
      <c r="AH273" t="s">
        <v>69</v>
      </c>
      <c r="AI273" t="s">
        <v>269</v>
      </c>
      <c r="AJ273" t="s">
        <v>457</v>
      </c>
      <c r="AK273" t="s">
        <v>72</v>
      </c>
      <c r="AL273" t="s">
        <v>73</v>
      </c>
      <c r="AM273" t="s">
        <v>73</v>
      </c>
      <c r="AN273" t="s">
        <v>56</v>
      </c>
    </row>
    <row r="274" spans="1:40" x14ac:dyDescent="0.25">
      <c r="A274" t="s">
        <v>2197</v>
      </c>
      <c r="B274" t="s">
        <v>5</v>
      </c>
      <c r="C274" s="2">
        <v>1000.298667</v>
      </c>
      <c r="D274" t="s">
        <v>56</v>
      </c>
      <c r="E274" t="s">
        <v>56</v>
      </c>
      <c r="F274">
        <v>-29022.52</v>
      </c>
      <c r="G274" t="s">
        <v>2197</v>
      </c>
      <c r="H274" t="s">
        <v>7</v>
      </c>
      <c r="I274">
        <v>35497.72</v>
      </c>
      <c r="J274">
        <v>0</v>
      </c>
      <c r="K274">
        <v>0</v>
      </c>
      <c r="L274">
        <v>0</v>
      </c>
      <c r="M274" t="s">
        <v>2197</v>
      </c>
      <c r="N274" t="s">
        <v>57</v>
      </c>
      <c r="O274" t="s">
        <v>58</v>
      </c>
      <c r="P274" t="s">
        <v>2198</v>
      </c>
      <c r="Q274" t="s">
        <v>2199</v>
      </c>
      <c r="R274" t="s">
        <v>61</v>
      </c>
      <c r="S274" t="s">
        <v>58</v>
      </c>
      <c r="T274" t="s">
        <v>2198</v>
      </c>
      <c r="U274" t="s">
        <v>2199</v>
      </c>
      <c r="V274" t="s">
        <v>56</v>
      </c>
      <c r="W274" t="s">
        <v>56</v>
      </c>
      <c r="X274" t="s">
        <v>56</v>
      </c>
      <c r="Y274" t="s">
        <v>62</v>
      </c>
      <c r="Z274" t="s">
        <v>63</v>
      </c>
      <c r="AA274" t="s">
        <v>64</v>
      </c>
      <c r="AB274">
        <v>1</v>
      </c>
      <c r="AC274" t="s">
        <v>65</v>
      </c>
      <c r="AD274" t="s">
        <v>66</v>
      </c>
      <c r="AE274" t="s">
        <v>85</v>
      </c>
      <c r="AF274" t="s">
        <v>68</v>
      </c>
      <c r="AG274">
        <v>78861.81</v>
      </c>
      <c r="AH274" t="s">
        <v>69</v>
      </c>
      <c r="AI274" t="s">
        <v>216</v>
      </c>
      <c r="AJ274" t="s">
        <v>105</v>
      </c>
      <c r="AK274" t="s">
        <v>72</v>
      </c>
      <c r="AL274" t="s">
        <v>73</v>
      </c>
      <c r="AM274" t="s">
        <v>73</v>
      </c>
      <c r="AN274" t="s">
        <v>56</v>
      </c>
    </row>
    <row r="275" spans="1:40" x14ac:dyDescent="0.25">
      <c r="A275" t="s">
        <v>1491</v>
      </c>
      <c r="B275" t="s">
        <v>5</v>
      </c>
      <c r="C275" s="2">
        <v>995.60327700000005</v>
      </c>
      <c r="D275">
        <v>845.69801500000005</v>
      </c>
      <c r="E275" t="s">
        <v>56</v>
      </c>
      <c r="F275">
        <v>-22198.53</v>
      </c>
      <c r="G275" t="s">
        <v>1491</v>
      </c>
      <c r="H275" t="s">
        <v>7</v>
      </c>
      <c r="I275">
        <v>22438.959999999999</v>
      </c>
      <c r="J275">
        <v>0</v>
      </c>
      <c r="K275">
        <v>0</v>
      </c>
      <c r="L275">
        <v>0</v>
      </c>
      <c r="M275" t="s">
        <v>1491</v>
      </c>
      <c r="N275" t="s">
        <v>57</v>
      </c>
      <c r="O275" t="s">
        <v>58</v>
      </c>
      <c r="P275" t="s">
        <v>1492</v>
      </c>
      <c r="Q275" t="s">
        <v>1493</v>
      </c>
      <c r="R275" t="s">
        <v>61</v>
      </c>
      <c r="S275" t="s">
        <v>58</v>
      </c>
      <c r="T275" t="s">
        <v>1492</v>
      </c>
      <c r="U275" t="s">
        <v>1493</v>
      </c>
      <c r="V275" t="s">
        <v>56</v>
      </c>
      <c r="W275" t="s">
        <v>56</v>
      </c>
      <c r="X275" t="s">
        <v>56</v>
      </c>
      <c r="Y275" t="s">
        <v>62</v>
      </c>
      <c r="Z275" t="s">
        <v>63</v>
      </c>
      <c r="AA275" t="s">
        <v>64</v>
      </c>
      <c r="AB275">
        <v>1</v>
      </c>
      <c r="AC275" t="s">
        <v>84</v>
      </c>
      <c r="AD275" t="s">
        <v>66</v>
      </c>
      <c r="AE275" t="s">
        <v>67</v>
      </c>
      <c r="AF275" t="s">
        <v>68</v>
      </c>
      <c r="AG275">
        <v>0</v>
      </c>
      <c r="AH275" t="s">
        <v>69</v>
      </c>
      <c r="AI275" t="s">
        <v>400</v>
      </c>
      <c r="AJ275" t="s">
        <v>339</v>
      </c>
      <c r="AK275" t="s">
        <v>99</v>
      </c>
      <c r="AL275" t="s">
        <v>73</v>
      </c>
      <c r="AM275" t="s">
        <v>73</v>
      </c>
      <c r="AN275" t="s">
        <v>74</v>
      </c>
    </row>
    <row r="276" spans="1:40" x14ac:dyDescent="0.25">
      <c r="A276" t="s">
        <v>2265</v>
      </c>
      <c r="B276" t="s">
        <v>5</v>
      </c>
      <c r="C276">
        <v>995.60327700000005</v>
      </c>
      <c r="D276">
        <v>845.69801500000005</v>
      </c>
      <c r="E276" t="s">
        <v>56</v>
      </c>
      <c r="F276">
        <v>-22198.53</v>
      </c>
      <c r="G276" t="s">
        <v>2265</v>
      </c>
      <c r="H276" t="s">
        <v>7</v>
      </c>
      <c r="I276">
        <v>22438.959999999999</v>
      </c>
      <c r="J276">
        <v>1006.374422</v>
      </c>
      <c r="K276">
        <v>854.84737800000005</v>
      </c>
      <c r="L276">
        <v>0</v>
      </c>
      <c r="M276" t="s">
        <v>2265</v>
      </c>
      <c r="N276" t="s">
        <v>57</v>
      </c>
      <c r="O276" t="s">
        <v>58</v>
      </c>
      <c r="P276" t="s">
        <v>2266</v>
      </c>
      <c r="Q276" t="s">
        <v>1493</v>
      </c>
      <c r="R276" t="s">
        <v>61</v>
      </c>
      <c r="S276" t="s">
        <v>58</v>
      </c>
      <c r="T276" t="s">
        <v>2266</v>
      </c>
      <c r="U276" t="s">
        <v>1493</v>
      </c>
      <c r="V276" t="s">
        <v>56</v>
      </c>
      <c r="W276" t="s">
        <v>56</v>
      </c>
      <c r="X276" t="s">
        <v>56</v>
      </c>
      <c r="Y276" t="s">
        <v>62</v>
      </c>
      <c r="Z276" t="s">
        <v>63</v>
      </c>
      <c r="AA276" t="s">
        <v>64</v>
      </c>
      <c r="AB276">
        <v>1</v>
      </c>
      <c r="AC276" t="s">
        <v>84</v>
      </c>
      <c r="AD276" t="s">
        <v>66</v>
      </c>
      <c r="AE276" t="s">
        <v>67</v>
      </c>
      <c r="AF276" t="s">
        <v>68</v>
      </c>
      <c r="AG276">
        <v>24995.78</v>
      </c>
      <c r="AH276" t="s">
        <v>69</v>
      </c>
      <c r="AI276" t="s">
        <v>400</v>
      </c>
      <c r="AJ276" t="s">
        <v>339</v>
      </c>
      <c r="AK276" t="s">
        <v>99</v>
      </c>
      <c r="AL276" t="s">
        <v>73</v>
      </c>
      <c r="AM276" t="s">
        <v>73</v>
      </c>
      <c r="AN276" t="s">
        <v>74</v>
      </c>
    </row>
    <row r="277" spans="1:40" x14ac:dyDescent="0.25">
      <c r="A277" t="s">
        <v>2419</v>
      </c>
      <c r="B277" t="s">
        <v>5</v>
      </c>
      <c r="C277">
        <v>992.96430199999998</v>
      </c>
      <c r="D277">
        <v>843.45638299999996</v>
      </c>
      <c r="E277" t="s">
        <v>56</v>
      </c>
      <c r="F277">
        <v>-16829.02</v>
      </c>
      <c r="G277" t="s">
        <v>2419</v>
      </c>
      <c r="H277" t="s">
        <v>7</v>
      </c>
      <c r="I277">
        <v>19035.650000000001</v>
      </c>
      <c r="J277">
        <v>1123.124971</v>
      </c>
      <c r="K277">
        <v>954.01911600000005</v>
      </c>
      <c r="L277">
        <v>0</v>
      </c>
      <c r="M277" t="s">
        <v>2419</v>
      </c>
      <c r="N277" t="s">
        <v>57</v>
      </c>
      <c r="O277" t="s">
        <v>58</v>
      </c>
      <c r="P277" t="s">
        <v>2420</v>
      </c>
      <c r="Q277" t="s">
        <v>2421</v>
      </c>
      <c r="R277" t="s">
        <v>61</v>
      </c>
      <c r="S277" t="s">
        <v>58</v>
      </c>
      <c r="T277" t="s">
        <v>2420</v>
      </c>
      <c r="U277" t="s">
        <v>2421</v>
      </c>
      <c r="V277" t="s">
        <v>56</v>
      </c>
      <c r="W277" t="s">
        <v>56</v>
      </c>
      <c r="X277" t="s">
        <v>56</v>
      </c>
      <c r="Y277" t="s">
        <v>62</v>
      </c>
      <c r="Z277" t="s">
        <v>63</v>
      </c>
      <c r="AA277" t="s">
        <v>64</v>
      </c>
      <c r="AB277">
        <v>1</v>
      </c>
      <c r="AC277" t="s">
        <v>78</v>
      </c>
      <c r="AD277" t="s">
        <v>66</v>
      </c>
      <c r="AE277" t="s">
        <v>67</v>
      </c>
      <c r="AF277" t="s">
        <v>68</v>
      </c>
      <c r="AG277">
        <v>19000</v>
      </c>
      <c r="AH277" t="s">
        <v>69</v>
      </c>
      <c r="AI277" t="s">
        <v>132</v>
      </c>
      <c r="AJ277" t="s">
        <v>115</v>
      </c>
      <c r="AK277" t="s">
        <v>99</v>
      </c>
      <c r="AL277" t="s">
        <v>73</v>
      </c>
      <c r="AM277" t="s">
        <v>73</v>
      </c>
      <c r="AN277" t="s">
        <v>74</v>
      </c>
    </row>
    <row r="278" spans="1:40" x14ac:dyDescent="0.25">
      <c r="A278" t="s">
        <v>1205</v>
      </c>
      <c r="B278" t="s">
        <v>5</v>
      </c>
      <c r="C278" s="2">
        <v>991.45581500000003</v>
      </c>
      <c r="D278" t="s">
        <v>56</v>
      </c>
      <c r="E278" t="s">
        <v>56</v>
      </c>
      <c r="F278">
        <v>-9982.43</v>
      </c>
      <c r="G278" t="s">
        <v>1205</v>
      </c>
      <c r="H278" t="s">
        <v>7</v>
      </c>
      <c r="I278">
        <v>11880.37</v>
      </c>
      <c r="J278">
        <v>0</v>
      </c>
      <c r="K278">
        <v>0</v>
      </c>
      <c r="L278">
        <v>0</v>
      </c>
      <c r="M278" t="s">
        <v>1205</v>
      </c>
      <c r="N278" t="s">
        <v>57</v>
      </c>
      <c r="O278" t="s">
        <v>58</v>
      </c>
      <c r="P278" t="s">
        <v>1206</v>
      </c>
      <c r="Q278" t="s">
        <v>1207</v>
      </c>
      <c r="R278" t="s">
        <v>61</v>
      </c>
      <c r="S278" t="s">
        <v>58</v>
      </c>
      <c r="T278" t="s">
        <v>1206</v>
      </c>
      <c r="U278" t="s">
        <v>1207</v>
      </c>
      <c r="V278" t="s">
        <v>56</v>
      </c>
      <c r="W278" t="s">
        <v>56</v>
      </c>
      <c r="X278" t="s">
        <v>56</v>
      </c>
      <c r="Y278" t="s">
        <v>62</v>
      </c>
      <c r="Z278" t="s">
        <v>63</v>
      </c>
      <c r="AA278" t="s">
        <v>64</v>
      </c>
      <c r="AB278">
        <v>1</v>
      </c>
      <c r="AC278" t="s">
        <v>78</v>
      </c>
      <c r="AD278" t="s">
        <v>66</v>
      </c>
      <c r="AE278" t="s">
        <v>85</v>
      </c>
      <c r="AF278" t="s">
        <v>68</v>
      </c>
      <c r="AG278">
        <v>27366.799999999999</v>
      </c>
      <c r="AH278" t="s">
        <v>69</v>
      </c>
      <c r="AI278" t="s">
        <v>132</v>
      </c>
      <c r="AJ278" t="s">
        <v>1208</v>
      </c>
      <c r="AK278" t="s">
        <v>72</v>
      </c>
      <c r="AL278" t="s">
        <v>73</v>
      </c>
      <c r="AM278" t="s">
        <v>73</v>
      </c>
      <c r="AN278" t="s">
        <v>56</v>
      </c>
    </row>
    <row r="279" spans="1:40" x14ac:dyDescent="0.25">
      <c r="A279" t="s">
        <v>2324</v>
      </c>
      <c r="B279" t="s">
        <v>5</v>
      </c>
      <c r="C279">
        <v>991.02935300000001</v>
      </c>
      <c r="D279">
        <v>841.81277299999999</v>
      </c>
      <c r="E279" t="s">
        <v>56</v>
      </c>
      <c r="F279">
        <v>-53173.3</v>
      </c>
      <c r="G279" t="s">
        <v>2324</v>
      </c>
      <c r="H279" t="s">
        <v>7</v>
      </c>
      <c r="I279">
        <v>60631.19</v>
      </c>
      <c r="J279">
        <v>1130.043032</v>
      </c>
      <c r="K279">
        <v>959.89554399999997</v>
      </c>
      <c r="L279">
        <v>0</v>
      </c>
      <c r="M279" t="s">
        <v>2324</v>
      </c>
      <c r="N279" t="s">
        <v>57</v>
      </c>
      <c r="O279" t="s">
        <v>58</v>
      </c>
      <c r="P279" t="s">
        <v>2325</v>
      </c>
      <c r="Q279" t="s">
        <v>2326</v>
      </c>
      <c r="R279" t="s">
        <v>61</v>
      </c>
      <c r="S279" t="s">
        <v>58</v>
      </c>
      <c r="T279" t="s">
        <v>2325</v>
      </c>
      <c r="U279" t="s">
        <v>2326</v>
      </c>
      <c r="V279" t="s">
        <v>56</v>
      </c>
      <c r="W279" t="s">
        <v>56</v>
      </c>
      <c r="X279" t="s">
        <v>56</v>
      </c>
      <c r="Y279" t="s">
        <v>62</v>
      </c>
      <c r="Z279" t="s">
        <v>63</v>
      </c>
      <c r="AA279" t="s">
        <v>64</v>
      </c>
      <c r="AB279">
        <v>1</v>
      </c>
      <c r="AC279" t="s">
        <v>65</v>
      </c>
      <c r="AD279" t="s">
        <v>66</v>
      </c>
      <c r="AE279" t="s">
        <v>67</v>
      </c>
      <c r="AF279" t="s">
        <v>68</v>
      </c>
      <c r="AG279">
        <v>60149.99</v>
      </c>
      <c r="AH279" t="s">
        <v>69</v>
      </c>
      <c r="AI279" t="s">
        <v>216</v>
      </c>
      <c r="AJ279" t="s">
        <v>115</v>
      </c>
      <c r="AK279" t="s">
        <v>99</v>
      </c>
      <c r="AL279" t="s">
        <v>73</v>
      </c>
      <c r="AM279" t="s">
        <v>73</v>
      </c>
      <c r="AN279" t="s">
        <v>74</v>
      </c>
    </row>
    <row r="280" spans="1:40" x14ac:dyDescent="0.25">
      <c r="A280" t="s">
        <v>125</v>
      </c>
      <c r="B280" t="s">
        <v>5</v>
      </c>
      <c r="C280">
        <v>987.11236899999994</v>
      </c>
      <c r="D280">
        <v>838.48555899999997</v>
      </c>
      <c r="E280" t="s">
        <v>56</v>
      </c>
      <c r="F280">
        <v>-26415.52</v>
      </c>
      <c r="G280" t="s">
        <v>125</v>
      </c>
      <c r="H280" t="s">
        <v>7</v>
      </c>
      <c r="I280">
        <v>29157.13</v>
      </c>
      <c r="J280">
        <v>1089.5581930000001</v>
      </c>
      <c r="K280">
        <v>925.506396</v>
      </c>
      <c r="L280">
        <v>0</v>
      </c>
      <c r="M280" t="s">
        <v>125</v>
      </c>
      <c r="N280" t="s">
        <v>57</v>
      </c>
      <c r="O280" t="s">
        <v>58</v>
      </c>
      <c r="P280" t="s">
        <v>126</v>
      </c>
      <c r="Q280" t="s">
        <v>127</v>
      </c>
      <c r="R280" t="s">
        <v>61</v>
      </c>
      <c r="S280" t="s">
        <v>58</v>
      </c>
      <c r="T280" t="s">
        <v>126</v>
      </c>
      <c r="U280" t="s">
        <v>127</v>
      </c>
      <c r="V280" t="s">
        <v>56</v>
      </c>
      <c r="W280" t="s">
        <v>56</v>
      </c>
      <c r="X280" t="s">
        <v>56</v>
      </c>
      <c r="Y280" t="s">
        <v>62</v>
      </c>
      <c r="Z280" t="s">
        <v>63</v>
      </c>
      <c r="AA280" t="s">
        <v>64</v>
      </c>
      <c r="AB280">
        <v>1</v>
      </c>
      <c r="AC280" t="s">
        <v>78</v>
      </c>
      <c r="AD280" t="s">
        <v>66</v>
      </c>
      <c r="AE280" t="s">
        <v>67</v>
      </c>
      <c r="AF280" t="s">
        <v>68</v>
      </c>
      <c r="AG280">
        <v>30000</v>
      </c>
      <c r="AH280" t="s">
        <v>69</v>
      </c>
      <c r="AI280" t="s">
        <v>128</v>
      </c>
      <c r="AJ280" t="s">
        <v>80</v>
      </c>
      <c r="AK280" t="s">
        <v>99</v>
      </c>
      <c r="AL280" t="s">
        <v>73</v>
      </c>
      <c r="AM280" t="s">
        <v>73</v>
      </c>
      <c r="AN280" t="s">
        <v>74</v>
      </c>
    </row>
    <row r="281" spans="1:40" x14ac:dyDescent="0.25">
      <c r="A281" t="s">
        <v>2120</v>
      </c>
      <c r="B281" t="s">
        <v>5</v>
      </c>
      <c r="C281">
        <v>987.11012700000003</v>
      </c>
      <c r="D281">
        <v>838.483655</v>
      </c>
      <c r="E281" t="s">
        <v>56</v>
      </c>
      <c r="F281">
        <v>-17610.310000000001</v>
      </c>
      <c r="G281" t="s">
        <v>2120</v>
      </c>
      <c r="H281" t="s">
        <v>7</v>
      </c>
      <c r="I281">
        <v>19438.09</v>
      </c>
      <c r="J281">
        <v>1089.5581930000001</v>
      </c>
      <c r="K281">
        <v>925.506396</v>
      </c>
      <c r="L281">
        <v>0</v>
      </c>
      <c r="M281" t="s">
        <v>2120</v>
      </c>
      <c r="N281" t="s">
        <v>57</v>
      </c>
      <c r="O281" t="s">
        <v>58</v>
      </c>
      <c r="P281" t="s">
        <v>2121</v>
      </c>
      <c r="Q281" t="s">
        <v>2122</v>
      </c>
      <c r="R281" t="s">
        <v>61</v>
      </c>
      <c r="S281" t="s">
        <v>58</v>
      </c>
      <c r="T281" t="s">
        <v>2121</v>
      </c>
      <c r="U281" t="s">
        <v>2122</v>
      </c>
      <c r="V281" t="s">
        <v>56</v>
      </c>
      <c r="W281" t="s">
        <v>56</v>
      </c>
      <c r="X281" t="s">
        <v>56</v>
      </c>
      <c r="Y281" t="s">
        <v>62</v>
      </c>
      <c r="Z281" t="s">
        <v>63</v>
      </c>
      <c r="AA281" t="s">
        <v>64</v>
      </c>
      <c r="AB281">
        <v>1</v>
      </c>
      <c r="AC281" t="s">
        <v>84</v>
      </c>
      <c r="AD281" t="s">
        <v>66</v>
      </c>
      <c r="AE281" t="s">
        <v>67</v>
      </c>
      <c r="AF281" t="s">
        <v>68</v>
      </c>
      <c r="AG281">
        <v>20000</v>
      </c>
      <c r="AH281" t="s">
        <v>69</v>
      </c>
      <c r="AI281" t="s">
        <v>244</v>
      </c>
      <c r="AJ281" t="s">
        <v>80</v>
      </c>
      <c r="AK281" t="s">
        <v>99</v>
      </c>
      <c r="AL281" t="s">
        <v>73</v>
      </c>
      <c r="AM281" t="s">
        <v>73</v>
      </c>
      <c r="AN281" t="s">
        <v>74</v>
      </c>
    </row>
    <row r="282" spans="1:40" x14ac:dyDescent="0.25">
      <c r="A282" t="s">
        <v>2006</v>
      </c>
      <c r="B282" t="s">
        <v>5</v>
      </c>
      <c r="C282">
        <v>985.29737299999999</v>
      </c>
      <c r="D282">
        <v>836.94384200000002</v>
      </c>
      <c r="E282" t="s">
        <v>56</v>
      </c>
      <c r="F282">
        <v>-36577.449999999997</v>
      </c>
      <c r="G282" t="s">
        <v>2006</v>
      </c>
      <c r="H282" t="s">
        <v>7</v>
      </c>
      <c r="I282">
        <v>40422.57</v>
      </c>
      <c r="J282">
        <v>1088.868741</v>
      </c>
      <c r="K282">
        <v>924.92075299999999</v>
      </c>
      <c r="L282">
        <v>0</v>
      </c>
      <c r="M282" t="s">
        <v>2006</v>
      </c>
      <c r="N282" t="s">
        <v>57</v>
      </c>
      <c r="O282" t="s">
        <v>58</v>
      </c>
      <c r="P282" t="s">
        <v>2007</v>
      </c>
      <c r="Q282" t="s">
        <v>2008</v>
      </c>
      <c r="R282" t="s">
        <v>61</v>
      </c>
      <c r="S282" t="s">
        <v>58</v>
      </c>
      <c r="T282" t="s">
        <v>2007</v>
      </c>
      <c r="U282" t="s">
        <v>2008</v>
      </c>
      <c r="V282" t="s">
        <v>56</v>
      </c>
      <c r="W282" t="s">
        <v>56</v>
      </c>
      <c r="X282" t="s">
        <v>56</v>
      </c>
      <c r="Y282" t="s">
        <v>62</v>
      </c>
      <c r="Z282" t="s">
        <v>63</v>
      </c>
      <c r="AA282" t="s">
        <v>64</v>
      </c>
      <c r="AB282">
        <v>1</v>
      </c>
      <c r="AC282" t="s">
        <v>84</v>
      </c>
      <c r="AD282" t="s">
        <v>66</v>
      </c>
      <c r="AE282" t="s">
        <v>67</v>
      </c>
      <c r="AF282" t="s">
        <v>68</v>
      </c>
      <c r="AG282">
        <v>41617.360000000001</v>
      </c>
      <c r="AH282" t="s">
        <v>69</v>
      </c>
      <c r="AI282" t="s">
        <v>137</v>
      </c>
      <c r="AJ282" t="s">
        <v>80</v>
      </c>
      <c r="AK282" t="s">
        <v>99</v>
      </c>
      <c r="AL282" t="s">
        <v>73</v>
      </c>
      <c r="AM282" t="s">
        <v>73</v>
      </c>
      <c r="AN282" t="s">
        <v>74</v>
      </c>
    </row>
    <row r="283" spans="1:40" x14ac:dyDescent="0.25">
      <c r="A283" t="s">
        <v>1147</v>
      </c>
      <c r="B283" t="s">
        <v>5</v>
      </c>
      <c r="C283">
        <v>977.54972699999996</v>
      </c>
      <c r="D283">
        <v>830.36273800000004</v>
      </c>
      <c r="E283" t="s">
        <v>56</v>
      </c>
      <c r="F283">
        <v>-34879.5</v>
      </c>
      <c r="G283" t="s">
        <v>1147</v>
      </c>
      <c r="H283" t="s">
        <v>7</v>
      </c>
      <c r="I283">
        <v>38397</v>
      </c>
      <c r="J283">
        <v>1076.1334999999999</v>
      </c>
      <c r="K283">
        <v>914.10302200000001</v>
      </c>
      <c r="L283">
        <v>0</v>
      </c>
      <c r="M283" t="s">
        <v>1147</v>
      </c>
      <c r="N283" t="s">
        <v>57</v>
      </c>
      <c r="O283" t="s">
        <v>58</v>
      </c>
      <c r="P283" t="s">
        <v>1148</v>
      </c>
      <c r="Q283" t="s">
        <v>1149</v>
      </c>
      <c r="R283" t="s">
        <v>61</v>
      </c>
      <c r="S283" t="s">
        <v>58</v>
      </c>
      <c r="T283" t="s">
        <v>1148</v>
      </c>
      <c r="U283" t="s">
        <v>1149</v>
      </c>
      <c r="V283" t="s">
        <v>56</v>
      </c>
      <c r="W283" t="s">
        <v>56</v>
      </c>
      <c r="X283" t="s">
        <v>56</v>
      </c>
      <c r="Y283" t="s">
        <v>62</v>
      </c>
      <c r="Z283" t="s">
        <v>63</v>
      </c>
      <c r="AA283" t="s">
        <v>64</v>
      </c>
      <c r="AB283">
        <v>1</v>
      </c>
      <c r="AC283" t="s">
        <v>78</v>
      </c>
      <c r="AD283" t="s">
        <v>66</v>
      </c>
      <c r="AE283" t="s">
        <v>67</v>
      </c>
      <c r="AF283" t="s">
        <v>68</v>
      </c>
      <c r="AG283">
        <v>40000</v>
      </c>
      <c r="AH283" t="s">
        <v>69</v>
      </c>
      <c r="AI283" t="s">
        <v>400</v>
      </c>
      <c r="AJ283" t="s">
        <v>228</v>
      </c>
      <c r="AK283" t="s">
        <v>99</v>
      </c>
      <c r="AL283" t="s">
        <v>73</v>
      </c>
      <c r="AM283" t="s">
        <v>73</v>
      </c>
      <c r="AN283" t="s">
        <v>74</v>
      </c>
    </row>
    <row r="284" spans="1:40" x14ac:dyDescent="0.25">
      <c r="A284" t="s">
        <v>1958</v>
      </c>
      <c r="B284" t="s">
        <v>5</v>
      </c>
      <c r="C284" s="2">
        <v>975.25785099999996</v>
      </c>
      <c r="D284" t="s">
        <v>56</v>
      </c>
      <c r="E284" t="s">
        <v>56</v>
      </c>
      <c r="F284">
        <v>-17937.34</v>
      </c>
      <c r="G284" t="s">
        <v>1958</v>
      </c>
      <c r="H284" t="s">
        <v>7</v>
      </c>
      <c r="I284">
        <v>21906.67</v>
      </c>
      <c r="J284">
        <v>0</v>
      </c>
      <c r="K284">
        <v>0</v>
      </c>
      <c r="L284">
        <v>0</v>
      </c>
      <c r="M284" t="s">
        <v>1958</v>
      </c>
      <c r="N284" t="s">
        <v>57</v>
      </c>
      <c r="O284" t="s">
        <v>58</v>
      </c>
      <c r="P284" t="s">
        <v>1959</v>
      </c>
      <c r="Q284" t="s">
        <v>1960</v>
      </c>
      <c r="R284" t="s">
        <v>61</v>
      </c>
      <c r="S284" t="s">
        <v>58</v>
      </c>
      <c r="T284" t="s">
        <v>1959</v>
      </c>
      <c r="U284" t="s">
        <v>1960</v>
      </c>
      <c r="V284" t="s">
        <v>56</v>
      </c>
      <c r="W284" t="s">
        <v>56</v>
      </c>
      <c r="X284" t="s">
        <v>56</v>
      </c>
      <c r="Y284" t="s">
        <v>62</v>
      </c>
      <c r="Z284" t="s">
        <v>63</v>
      </c>
      <c r="AA284" t="s">
        <v>64</v>
      </c>
      <c r="AB284">
        <v>1</v>
      </c>
      <c r="AC284" t="s">
        <v>84</v>
      </c>
      <c r="AD284" t="s">
        <v>66</v>
      </c>
      <c r="AE284" t="s">
        <v>85</v>
      </c>
      <c r="AF284" t="s">
        <v>103</v>
      </c>
      <c r="AG284">
        <v>49991.87</v>
      </c>
      <c r="AH284" t="s">
        <v>69</v>
      </c>
      <c r="AI284" t="s">
        <v>244</v>
      </c>
      <c r="AJ284" t="s">
        <v>1768</v>
      </c>
      <c r="AK284" t="s">
        <v>72</v>
      </c>
      <c r="AL284" t="s">
        <v>73</v>
      </c>
      <c r="AM284" t="s">
        <v>73</v>
      </c>
      <c r="AN284" t="s">
        <v>56</v>
      </c>
    </row>
    <row r="285" spans="1:40" x14ac:dyDescent="0.25">
      <c r="A285" t="s">
        <v>1815</v>
      </c>
      <c r="B285" t="s">
        <v>5</v>
      </c>
      <c r="C285">
        <v>973.675344</v>
      </c>
      <c r="D285">
        <v>827.07171000000005</v>
      </c>
      <c r="E285" t="s">
        <v>56</v>
      </c>
      <c r="F285">
        <v>-19541.96</v>
      </c>
      <c r="G285" t="s">
        <v>1815</v>
      </c>
      <c r="H285" t="s">
        <v>7</v>
      </c>
      <c r="I285">
        <v>21563.25</v>
      </c>
      <c r="J285">
        <v>1074.3734360000001</v>
      </c>
      <c r="K285">
        <v>912.60796600000003</v>
      </c>
      <c r="L285">
        <v>0</v>
      </c>
      <c r="M285" t="s">
        <v>1815</v>
      </c>
      <c r="N285" t="s">
        <v>57</v>
      </c>
      <c r="O285" t="s">
        <v>58</v>
      </c>
      <c r="P285" t="s">
        <v>1816</v>
      </c>
      <c r="Q285" t="s">
        <v>1817</v>
      </c>
      <c r="R285" t="s">
        <v>61</v>
      </c>
      <c r="S285" t="s">
        <v>58</v>
      </c>
      <c r="T285" t="s">
        <v>1816</v>
      </c>
      <c r="U285" t="s">
        <v>1817</v>
      </c>
      <c r="V285" t="s">
        <v>56</v>
      </c>
      <c r="W285" t="s">
        <v>56</v>
      </c>
      <c r="X285" t="s">
        <v>56</v>
      </c>
      <c r="Y285" t="s">
        <v>62</v>
      </c>
      <c r="Z285" t="s">
        <v>63</v>
      </c>
      <c r="AA285" t="s">
        <v>64</v>
      </c>
      <c r="AB285">
        <v>1</v>
      </c>
      <c r="AC285" t="s">
        <v>84</v>
      </c>
      <c r="AD285" t="s">
        <v>66</v>
      </c>
      <c r="AE285" t="s">
        <v>67</v>
      </c>
      <c r="AF285" t="s">
        <v>68</v>
      </c>
      <c r="AG285">
        <v>22500</v>
      </c>
      <c r="AH285" t="s">
        <v>69</v>
      </c>
      <c r="AI285" t="s">
        <v>194</v>
      </c>
      <c r="AJ285" t="s">
        <v>228</v>
      </c>
      <c r="AK285" t="s">
        <v>99</v>
      </c>
      <c r="AL285" t="s">
        <v>73</v>
      </c>
      <c r="AM285" t="s">
        <v>73</v>
      </c>
      <c r="AN285" t="s">
        <v>74</v>
      </c>
    </row>
    <row r="286" spans="1:40" x14ac:dyDescent="0.25">
      <c r="A286" t="s">
        <v>2327</v>
      </c>
      <c r="B286" t="s">
        <v>5</v>
      </c>
      <c r="C286">
        <v>971.71797300000003</v>
      </c>
      <c r="D286">
        <v>825.40905599999996</v>
      </c>
      <c r="E286" t="s">
        <v>56</v>
      </c>
      <c r="F286">
        <v>-30337.5</v>
      </c>
      <c r="G286" t="s">
        <v>2327</v>
      </c>
      <c r="H286" t="s">
        <v>7</v>
      </c>
      <c r="I286">
        <v>33515.25</v>
      </c>
      <c r="J286">
        <v>1073.4945250000001</v>
      </c>
      <c r="K286">
        <v>911.86139000000003</v>
      </c>
      <c r="L286">
        <v>0</v>
      </c>
      <c r="M286" t="s">
        <v>2327</v>
      </c>
      <c r="N286" t="s">
        <v>57</v>
      </c>
      <c r="O286" t="s">
        <v>58</v>
      </c>
      <c r="P286" t="s">
        <v>2328</v>
      </c>
      <c r="Q286" t="s">
        <v>2329</v>
      </c>
      <c r="R286" t="s">
        <v>61</v>
      </c>
      <c r="S286" t="s">
        <v>58</v>
      </c>
      <c r="T286" t="s">
        <v>2328</v>
      </c>
      <c r="U286" t="s">
        <v>2329</v>
      </c>
      <c r="V286" t="s">
        <v>56</v>
      </c>
      <c r="W286" t="s">
        <v>56</v>
      </c>
      <c r="X286" t="s">
        <v>56</v>
      </c>
      <c r="Y286" t="s">
        <v>62</v>
      </c>
      <c r="Z286" t="s">
        <v>63</v>
      </c>
      <c r="AA286" t="s">
        <v>64</v>
      </c>
      <c r="AB286">
        <v>1</v>
      </c>
      <c r="AC286" t="s">
        <v>84</v>
      </c>
      <c r="AD286" t="s">
        <v>66</v>
      </c>
      <c r="AE286" t="s">
        <v>67</v>
      </c>
      <c r="AF286" t="s">
        <v>68</v>
      </c>
      <c r="AG286">
        <v>35000</v>
      </c>
      <c r="AH286" t="s">
        <v>69</v>
      </c>
      <c r="AI286" t="s">
        <v>79</v>
      </c>
      <c r="AJ286" t="s">
        <v>228</v>
      </c>
      <c r="AK286" t="s">
        <v>99</v>
      </c>
      <c r="AL286" t="s">
        <v>73</v>
      </c>
      <c r="AM286" t="s">
        <v>73</v>
      </c>
      <c r="AN286" t="s">
        <v>74</v>
      </c>
    </row>
    <row r="287" spans="1:40" x14ac:dyDescent="0.25">
      <c r="A287" t="s">
        <v>623</v>
      </c>
      <c r="B287" t="s">
        <v>5</v>
      </c>
      <c r="C287">
        <v>971.31775500000003</v>
      </c>
      <c r="D287">
        <v>825.06909700000006</v>
      </c>
      <c r="E287" t="s">
        <v>56</v>
      </c>
      <c r="F287">
        <v>-27964.99</v>
      </c>
      <c r="G287" t="s">
        <v>623</v>
      </c>
      <c r="H287" t="s">
        <v>7</v>
      </c>
      <c r="I287">
        <v>30929.71</v>
      </c>
      <c r="J287">
        <v>1074.2736609999999</v>
      </c>
      <c r="K287">
        <v>912.52321500000005</v>
      </c>
      <c r="L287">
        <v>0</v>
      </c>
      <c r="M287" t="s">
        <v>623</v>
      </c>
      <c r="N287" t="s">
        <v>57</v>
      </c>
      <c r="O287" t="s">
        <v>58</v>
      </c>
      <c r="P287" t="s">
        <v>624</v>
      </c>
      <c r="Q287" t="s">
        <v>625</v>
      </c>
      <c r="R287" t="s">
        <v>61</v>
      </c>
      <c r="S287" t="s">
        <v>58</v>
      </c>
      <c r="T287" t="s">
        <v>624</v>
      </c>
      <c r="U287" t="s">
        <v>625</v>
      </c>
      <c r="V287" t="s">
        <v>56</v>
      </c>
      <c r="W287" t="s">
        <v>56</v>
      </c>
      <c r="X287" t="s">
        <v>56</v>
      </c>
      <c r="Y287" t="s">
        <v>62</v>
      </c>
      <c r="Z287" t="s">
        <v>63</v>
      </c>
      <c r="AA287" t="s">
        <v>64</v>
      </c>
      <c r="AB287">
        <v>1</v>
      </c>
      <c r="AC287" t="s">
        <v>84</v>
      </c>
      <c r="AD287" t="s">
        <v>66</v>
      </c>
      <c r="AE287" t="s">
        <v>67</v>
      </c>
      <c r="AF287" t="s">
        <v>68</v>
      </c>
      <c r="AG287">
        <v>32276.15</v>
      </c>
      <c r="AH287" t="s">
        <v>69</v>
      </c>
      <c r="AI287" t="s">
        <v>132</v>
      </c>
      <c r="AJ287" t="s">
        <v>109</v>
      </c>
      <c r="AK287" t="s">
        <v>99</v>
      </c>
      <c r="AL287" t="s">
        <v>73</v>
      </c>
      <c r="AM287" t="s">
        <v>73</v>
      </c>
      <c r="AN287" t="s">
        <v>74</v>
      </c>
    </row>
    <row r="288" spans="1:40" x14ac:dyDescent="0.25">
      <c r="A288" t="s">
        <v>1569</v>
      </c>
      <c r="B288" t="s">
        <v>5</v>
      </c>
      <c r="C288">
        <v>971.05654800000002</v>
      </c>
      <c r="D288">
        <v>824.847219</v>
      </c>
      <c r="E288" t="s">
        <v>56</v>
      </c>
      <c r="F288">
        <v>-27718.26</v>
      </c>
      <c r="G288" t="s">
        <v>1569</v>
      </c>
      <c r="H288" t="s">
        <v>7</v>
      </c>
      <c r="I288">
        <v>31478.67</v>
      </c>
      <c r="J288">
        <v>1102.772127</v>
      </c>
      <c r="K288">
        <v>936.73074399999996</v>
      </c>
      <c r="L288">
        <v>0</v>
      </c>
      <c r="M288" t="s">
        <v>1569</v>
      </c>
      <c r="N288" t="s">
        <v>57</v>
      </c>
      <c r="O288" t="s">
        <v>58</v>
      </c>
      <c r="P288" t="s">
        <v>1570</v>
      </c>
      <c r="Q288" t="s">
        <v>1571</v>
      </c>
      <c r="R288" t="s">
        <v>61</v>
      </c>
      <c r="S288" t="s">
        <v>58</v>
      </c>
      <c r="T288" t="s">
        <v>1570</v>
      </c>
      <c r="U288" t="s">
        <v>1571</v>
      </c>
      <c r="V288" t="s">
        <v>56</v>
      </c>
      <c r="W288" t="s">
        <v>56</v>
      </c>
      <c r="X288" t="s">
        <v>56</v>
      </c>
      <c r="Y288" t="s">
        <v>62</v>
      </c>
      <c r="Z288" t="s">
        <v>63</v>
      </c>
      <c r="AA288" t="s">
        <v>64</v>
      </c>
      <c r="AB288">
        <v>1</v>
      </c>
      <c r="AC288" t="s">
        <v>84</v>
      </c>
      <c r="AD288" t="s">
        <v>66</v>
      </c>
      <c r="AE288" t="s">
        <v>67</v>
      </c>
      <c r="AF288" t="s">
        <v>68</v>
      </c>
      <c r="AG288">
        <v>32000</v>
      </c>
      <c r="AH288" t="s">
        <v>69</v>
      </c>
      <c r="AI288" t="s">
        <v>186</v>
      </c>
      <c r="AJ288" t="s">
        <v>98</v>
      </c>
      <c r="AK288" t="s">
        <v>99</v>
      </c>
      <c r="AL288" t="s">
        <v>73</v>
      </c>
      <c r="AM288" t="s">
        <v>73</v>
      </c>
      <c r="AN288" t="s">
        <v>74</v>
      </c>
    </row>
    <row r="289" spans="1:40" x14ac:dyDescent="0.25">
      <c r="A289" t="s">
        <v>2288</v>
      </c>
      <c r="B289" t="s">
        <v>5</v>
      </c>
      <c r="C289">
        <v>970.33906999999999</v>
      </c>
      <c r="D289">
        <v>824.23776999999995</v>
      </c>
      <c r="E289" t="s">
        <v>56</v>
      </c>
      <c r="F289">
        <v>-21472.71</v>
      </c>
      <c r="G289" t="s">
        <v>2288</v>
      </c>
      <c r="H289" t="s">
        <v>7</v>
      </c>
      <c r="I289">
        <v>23741.84</v>
      </c>
      <c r="J289">
        <v>1072.8420679999999</v>
      </c>
      <c r="K289">
        <v>911.30717200000004</v>
      </c>
      <c r="L289">
        <v>0</v>
      </c>
      <c r="M289" t="s">
        <v>2288</v>
      </c>
      <c r="N289" t="s">
        <v>57</v>
      </c>
      <c r="O289" t="s">
        <v>58</v>
      </c>
      <c r="P289" t="s">
        <v>2289</v>
      </c>
      <c r="Q289" t="s">
        <v>2290</v>
      </c>
      <c r="R289" t="s">
        <v>61</v>
      </c>
      <c r="S289" t="s">
        <v>58</v>
      </c>
      <c r="T289" t="s">
        <v>2289</v>
      </c>
      <c r="U289" t="s">
        <v>2290</v>
      </c>
      <c r="V289" t="s">
        <v>56</v>
      </c>
      <c r="W289" t="s">
        <v>56</v>
      </c>
      <c r="X289" t="s">
        <v>56</v>
      </c>
      <c r="Y289" t="s">
        <v>62</v>
      </c>
      <c r="Z289" t="s">
        <v>63</v>
      </c>
      <c r="AA289" t="s">
        <v>64</v>
      </c>
      <c r="AB289">
        <v>1</v>
      </c>
      <c r="AC289" t="s">
        <v>65</v>
      </c>
      <c r="AD289" t="s">
        <v>66</v>
      </c>
      <c r="AE289" t="s">
        <v>67</v>
      </c>
      <c r="AF289" t="s">
        <v>68</v>
      </c>
      <c r="AG289">
        <v>24808</v>
      </c>
      <c r="AH289" t="s">
        <v>69</v>
      </c>
      <c r="AI289" t="s">
        <v>137</v>
      </c>
      <c r="AJ289" t="s">
        <v>228</v>
      </c>
      <c r="AK289" t="s">
        <v>99</v>
      </c>
      <c r="AL289" t="s">
        <v>73</v>
      </c>
      <c r="AM289" t="s">
        <v>73</v>
      </c>
      <c r="AN289" t="s">
        <v>74</v>
      </c>
    </row>
    <row r="290" spans="1:40" x14ac:dyDescent="0.25">
      <c r="A290" t="s">
        <v>1882</v>
      </c>
      <c r="B290" t="s">
        <v>5</v>
      </c>
      <c r="C290">
        <v>969.42652699999996</v>
      </c>
      <c r="D290">
        <v>823.462626</v>
      </c>
      <c r="E290" t="s">
        <v>56</v>
      </c>
      <c r="F290">
        <v>-108092.67</v>
      </c>
      <c r="G290" t="s">
        <v>1882</v>
      </c>
      <c r="H290" t="s">
        <v>7</v>
      </c>
      <c r="I290">
        <v>122803.89</v>
      </c>
      <c r="J290">
        <v>1101.3562280000001</v>
      </c>
      <c r="K290">
        <v>935.52803400000005</v>
      </c>
      <c r="L290">
        <v>0</v>
      </c>
      <c r="M290" t="s">
        <v>1882</v>
      </c>
      <c r="N290" t="s">
        <v>57</v>
      </c>
      <c r="O290" t="s">
        <v>58</v>
      </c>
      <c r="P290" t="s">
        <v>1883</v>
      </c>
      <c r="Q290" t="s">
        <v>1884</v>
      </c>
      <c r="R290" t="s">
        <v>61</v>
      </c>
      <c r="S290" t="s">
        <v>58</v>
      </c>
      <c r="T290" t="s">
        <v>1883</v>
      </c>
      <c r="U290" t="s">
        <v>1884</v>
      </c>
      <c r="V290" t="s">
        <v>56</v>
      </c>
      <c r="W290" t="s">
        <v>56</v>
      </c>
      <c r="X290" t="s">
        <v>56</v>
      </c>
      <c r="Y290" t="s">
        <v>62</v>
      </c>
      <c r="Z290" t="s">
        <v>63</v>
      </c>
      <c r="AA290" t="s">
        <v>64</v>
      </c>
      <c r="AB290">
        <v>1</v>
      </c>
      <c r="AC290" t="s">
        <v>84</v>
      </c>
      <c r="AD290" t="s">
        <v>66</v>
      </c>
      <c r="AE290" t="s">
        <v>67</v>
      </c>
      <c r="AF290" t="s">
        <v>68</v>
      </c>
      <c r="AG290">
        <v>125000</v>
      </c>
      <c r="AH290" t="s">
        <v>69</v>
      </c>
      <c r="AI290" t="s">
        <v>285</v>
      </c>
      <c r="AJ290" t="s">
        <v>71</v>
      </c>
      <c r="AK290" t="s">
        <v>99</v>
      </c>
      <c r="AL290" t="s">
        <v>73</v>
      </c>
      <c r="AM290" t="s">
        <v>73</v>
      </c>
      <c r="AN290" t="s">
        <v>74</v>
      </c>
    </row>
    <row r="291" spans="1:40" x14ac:dyDescent="0.25">
      <c r="A291" t="s">
        <v>402</v>
      </c>
      <c r="B291" t="s">
        <v>5</v>
      </c>
      <c r="C291">
        <v>969.34581000000003</v>
      </c>
      <c r="D291">
        <v>823.39406299999996</v>
      </c>
      <c r="E291" t="s">
        <v>56</v>
      </c>
      <c r="F291">
        <v>-43233.46</v>
      </c>
      <c r="G291" t="s">
        <v>402</v>
      </c>
      <c r="H291" t="s">
        <v>7</v>
      </c>
      <c r="I291">
        <v>49113.05</v>
      </c>
      <c r="J291">
        <v>1101.1723750000001</v>
      </c>
      <c r="K291">
        <v>935.37186199999996</v>
      </c>
      <c r="L291">
        <v>0</v>
      </c>
      <c r="M291" t="s">
        <v>402</v>
      </c>
      <c r="N291" t="s">
        <v>57</v>
      </c>
      <c r="O291" t="s">
        <v>58</v>
      </c>
      <c r="P291" t="s">
        <v>403</v>
      </c>
      <c r="Q291" t="s">
        <v>404</v>
      </c>
      <c r="R291" t="s">
        <v>61</v>
      </c>
      <c r="S291" t="s">
        <v>58</v>
      </c>
      <c r="T291" t="s">
        <v>403</v>
      </c>
      <c r="U291" t="s">
        <v>404</v>
      </c>
      <c r="V291" t="s">
        <v>56</v>
      </c>
      <c r="W291" t="s">
        <v>56</v>
      </c>
      <c r="X291" t="s">
        <v>56</v>
      </c>
      <c r="Y291" t="s">
        <v>62</v>
      </c>
      <c r="Z291" t="s">
        <v>63</v>
      </c>
      <c r="AA291" t="s">
        <v>64</v>
      </c>
      <c r="AB291">
        <v>1</v>
      </c>
      <c r="AC291" t="s">
        <v>65</v>
      </c>
      <c r="AD291" t="s">
        <v>66</v>
      </c>
      <c r="AE291" t="s">
        <v>67</v>
      </c>
      <c r="AF291" t="s">
        <v>68</v>
      </c>
      <c r="AG291">
        <v>50000</v>
      </c>
      <c r="AH291" t="s">
        <v>69</v>
      </c>
      <c r="AI291" t="s">
        <v>216</v>
      </c>
      <c r="AJ291" t="s">
        <v>71</v>
      </c>
      <c r="AK291" t="s">
        <v>99</v>
      </c>
      <c r="AL291" t="s">
        <v>73</v>
      </c>
      <c r="AM291" t="s">
        <v>73</v>
      </c>
      <c r="AN291" t="s">
        <v>74</v>
      </c>
    </row>
    <row r="292" spans="1:40" x14ac:dyDescent="0.25">
      <c r="A292" t="s">
        <v>861</v>
      </c>
      <c r="B292" t="s">
        <v>5</v>
      </c>
      <c r="C292" s="2">
        <v>968.186913</v>
      </c>
      <c r="D292" t="s">
        <v>56</v>
      </c>
      <c r="E292" t="s">
        <v>56</v>
      </c>
      <c r="F292">
        <v>-13611.04</v>
      </c>
      <c r="G292" t="s">
        <v>861</v>
      </c>
      <c r="H292" t="s">
        <v>7</v>
      </c>
      <c r="I292">
        <v>16139.59</v>
      </c>
      <c r="J292">
        <v>0</v>
      </c>
      <c r="K292">
        <v>0</v>
      </c>
      <c r="L292">
        <v>0</v>
      </c>
      <c r="M292" t="s">
        <v>861</v>
      </c>
      <c r="N292" t="s">
        <v>57</v>
      </c>
      <c r="O292" t="s">
        <v>58</v>
      </c>
      <c r="P292" t="s">
        <v>862</v>
      </c>
      <c r="Q292" t="s">
        <v>863</v>
      </c>
      <c r="R292" t="s">
        <v>61</v>
      </c>
      <c r="S292" t="s">
        <v>58</v>
      </c>
      <c r="T292" t="s">
        <v>862</v>
      </c>
      <c r="U292" t="s">
        <v>863</v>
      </c>
      <c r="V292" t="s">
        <v>56</v>
      </c>
      <c r="W292" t="s">
        <v>56</v>
      </c>
      <c r="X292" t="s">
        <v>56</v>
      </c>
      <c r="Y292" t="s">
        <v>62</v>
      </c>
      <c r="Z292" t="s">
        <v>63</v>
      </c>
      <c r="AA292" t="s">
        <v>64</v>
      </c>
      <c r="AB292">
        <v>1</v>
      </c>
      <c r="AC292" t="s">
        <v>84</v>
      </c>
      <c r="AD292" t="s">
        <v>66</v>
      </c>
      <c r="AE292" t="s">
        <v>85</v>
      </c>
      <c r="AF292" t="s">
        <v>103</v>
      </c>
      <c r="AG292">
        <v>38211.379999999997</v>
      </c>
      <c r="AH292" t="s">
        <v>69</v>
      </c>
      <c r="AI292" t="s">
        <v>829</v>
      </c>
      <c r="AJ292" t="s">
        <v>864</v>
      </c>
      <c r="AK292" t="s">
        <v>72</v>
      </c>
      <c r="AL292" t="s">
        <v>73</v>
      </c>
      <c r="AM292" t="s">
        <v>73</v>
      </c>
      <c r="AN292" t="s">
        <v>56</v>
      </c>
    </row>
    <row r="293" spans="1:40" x14ac:dyDescent="0.25">
      <c r="A293" t="s">
        <v>1670</v>
      </c>
      <c r="B293" t="s">
        <v>5</v>
      </c>
      <c r="C293" s="2">
        <v>965.72294999999997</v>
      </c>
      <c r="D293" t="s">
        <v>56</v>
      </c>
      <c r="E293" t="s">
        <v>56</v>
      </c>
      <c r="F293">
        <v>-25992.18</v>
      </c>
      <c r="G293" t="s">
        <v>1670</v>
      </c>
      <c r="H293" t="s">
        <v>7</v>
      </c>
      <c r="I293">
        <v>32031.07</v>
      </c>
      <c r="J293">
        <v>0</v>
      </c>
      <c r="K293">
        <v>0</v>
      </c>
      <c r="L293">
        <v>0</v>
      </c>
      <c r="M293" t="s">
        <v>1670</v>
      </c>
      <c r="N293" t="s">
        <v>57</v>
      </c>
      <c r="O293" t="s">
        <v>58</v>
      </c>
      <c r="P293" t="s">
        <v>1671</v>
      </c>
      <c r="Q293" t="s">
        <v>1672</v>
      </c>
      <c r="R293" t="s">
        <v>61</v>
      </c>
      <c r="S293" t="s">
        <v>58</v>
      </c>
      <c r="T293" t="s">
        <v>1671</v>
      </c>
      <c r="U293" t="s">
        <v>1672</v>
      </c>
      <c r="V293" t="s">
        <v>56</v>
      </c>
      <c r="W293" t="s">
        <v>56</v>
      </c>
      <c r="X293" t="s">
        <v>56</v>
      </c>
      <c r="Y293" t="s">
        <v>62</v>
      </c>
      <c r="Z293" t="s">
        <v>63</v>
      </c>
      <c r="AA293" t="s">
        <v>64</v>
      </c>
      <c r="AB293">
        <v>1</v>
      </c>
      <c r="AC293" t="s">
        <v>84</v>
      </c>
      <c r="AD293" t="s">
        <v>66</v>
      </c>
      <c r="AE293" t="s">
        <v>85</v>
      </c>
      <c r="AF293" t="s">
        <v>86</v>
      </c>
      <c r="AG293">
        <v>73156.22</v>
      </c>
      <c r="AH293" t="s">
        <v>69</v>
      </c>
      <c r="AI293" t="s">
        <v>114</v>
      </c>
      <c r="AJ293" t="s">
        <v>319</v>
      </c>
      <c r="AK293" t="s">
        <v>72</v>
      </c>
      <c r="AL293" t="s">
        <v>73</v>
      </c>
      <c r="AM293" t="s">
        <v>73</v>
      </c>
      <c r="AN293" t="s">
        <v>56</v>
      </c>
    </row>
    <row r="294" spans="1:40" x14ac:dyDescent="0.25">
      <c r="A294" t="s">
        <v>336</v>
      </c>
      <c r="B294" t="s">
        <v>5</v>
      </c>
      <c r="C294">
        <v>961.95094900000004</v>
      </c>
      <c r="D294">
        <v>535.20953699999995</v>
      </c>
      <c r="E294" t="s">
        <v>56</v>
      </c>
      <c r="F294">
        <v>-75311.710000000006</v>
      </c>
      <c r="G294" t="s">
        <v>336</v>
      </c>
      <c r="H294" t="s">
        <v>7</v>
      </c>
      <c r="I294">
        <v>88191.86</v>
      </c>
      <c r="J294">
        <v>742.369281</v>
      </c>
      <c r="K294">
        <v>630.59276899999998</v>
      </c>
      <c r="L294">
        <v>0</v>
      </c>
      <c r="M294" t="s">
        <v>336</v>
      </c>
      <c r="N294" t="s">
        <v>57</v>
      </c>
      <c r="O294" t="s">
        <v>58</v>
      </c>
      <c r="P294" t="s">
        <v>337</v>
      </c>
      <c r="Q294" t="s">
        <v>338</v>
      </c>
      <c r="R294" t="s">
        <v>61</v>
      </c>
      <c r="S294" t="s">
        <v>58</v>
      </c>
      <c r="T294" t="s">
        <v>337</v>
      </c>
      <c r="U294" t="s">
        <v>338</v>
      </c>
      <c r="V294" t="s">
        <v>56</v>
      </c>
      <c r="W294" t="s">
        <v>56</v>
      </c>
      <c r="X294" t="s">
        <v>56</v>
      </c>
      <c r="Y294" t="s">
        <v>62</v>
      </c>
      <c r="Z294" t="s">
        <v>63</v>
      </c>
      <c r="AA294" t="s">
        <v>64</v>
      </c>
      <c r="AB294">
        <v>1</v>
      </c>
      <c r="AC294" t="s">
        <v>65</v>
      </c>
      <c r="AD294" t="s">
        <v>66</v>
      </c>
      <c r="AE294" t="s">
        <v>67</v>
      </c>
      <c r="AF294" t="s">
        <v>86</v>
      </c>
      <c r="AG294">
        <v>133178.72</v>
      </c>
      <c r="AH294" t="s">
        <v>69</v>
      </c>
      <c r="AI294" t="s">
        <v>168</v>
      </c>
      <c r="AJ294" t="s">
        <v>339</v>
      </c>
      <c r="AK294" t="s">
        <v>72</v>
      </c>
      <c r="AL294" t="s">
        <v>73</v>
      </c>
      <c r="AM294" t="s">
        <v>73</v>
      </c>
      <c r="AN294" t="s">
        <v>74</v>
      </c>
    </row>
    <row r="295" spans="1:40" x14ac:dyDescent="0.25">
      <c r="A295" t="s">
        <v>2180</v>
      </c>
      <c r="B295" t="s">
        <v>5</v>
      </c>
      <c r="C295">
        <v>959.93227000000002</v>
      </c>
      <c r="D295">
        <v>815.39789299999995</v>
      </c>
      <c r="E295" t="s">
        <v>56</v>
      </c>
      <c r="F295">
        <v>-17125.439999999999</v>
      </c>
      <c r="G295" t="s">
        <v>2180</v>
      </c>
      <c r="H295" t="s">
        <v>7</v>
      </c>
      <c r="I295">
        <v>18633.95</v>
      </c>
      <c r="J295">
        <v>1044.4355290000001</v>
      </c>
      <c r="K295">
        <v>887.177728</v>
      </c>
      <c r="L295">
        <v>0</v>
      </c>
      <c r="M295" t="s">
        <v>2180</v>
      </c>
      <c r="N295" t="s">
        <v>57</v>
      </c>
      <c r="O295" t="s">
        <v>58</v>
      </c>
      <c r="P295" t="s">
        <v>2181</v>
      </c>
      <c r="Q295" t="s">
        <v>2182</v>
      </c>
      <c r="R295" t="s">
        <v>61</v>
      </c>
      <c r="S295" t="s">
        <v>58</v>
      </c>
      <c r="T295" t="s">
        <v>2181</v>
      </c>
      <c r="U295" t="s">
        <v>2182</v>
      </c>
      <c r="V295" t="s">
        <v>56</v>
      </c>
      <c r="W295" t="s">
        <v>56</v>
      </c>
      <c r="X295" t="s">
        <v>56</v>
      </c>
      <c r="Y295" t="s">
        <v>62</v>
      </c>
      <c r="Z295" t="s">
        <v>63</v>
      </c>
      <c r="AA295" t="s">
        <v>64</v>
      </c>
      <c r="AB295">
        <v>1</v>
      </c>
      <c r="AC295" t="s">
        <v>78</v>
      </c>
      <c r="AD295" t="s">
        <v>66</v>
      </c>
      <c r="AE295" t="s">
        <v>67</v>
      </c>
      <c r="AF295" t="s">
        <v>68</v>
      </c>
      <c r="AG295">
        <v>20000</v>
      </c>
      <c r="AH295" t="s">
        <v>69</v>
      </c>
      <c r="AI295" t="s">
        <v>501</v>
      </c>
      <c r="AJ295" t="s">
        <v>433</v>
      </c>
      <c r="AK295" t="s">
        <v>99</v>
      </c>
      <c r="AL295" t="s">
        <v>73</v>
      </c>
      <c r="AM295" t="s">
        <v>73</v>
      </c>
      <c r="AN295" t="s">
        <v>74</v>
      </c>
    </row>
    <row r="296" spans="1:40" x14ac:dyDescent="0.25">
      <c r="A296" t="s">
        <v>81</v>
      </c>
      <c r="B296" t="s">
        <v>5</v>
      </c>
      <c r="C296" s="2">
        <v>956.99042599999996</v>
      </c>
      <c r="D296" t="s">
        <v>56</v>
      </c>
      <c r="E296" t="s">
        <v>56</v>
      </c>
      <c r="F296">
        <v>-17184.7</v>
      </c>
      <c r="G296" t="s">
        <v>81</v>
      </c>
      <c r="H296" t="s">
        <v>7</v>
      </c>
      <c r="I296">
        <v>20749.72</v>
      </c>
      <c r="J296">
        <v>0</v>
      </c>
      <c r="K296">
        <v>0</v>
      </c>
      <c r="L296">
        <v>0</v>
      </c>
      <c r="M296" t="s">
        <v>81</v>
      </c>
      <c r="N296" t="s">
        <v>57</v>
      </c>
      <c r="O296" t="s">
        <v>58</v>
      </c>
      <c r="P296" t="s">
        <v>82</v>
      </c>
      <c r="Q296" t="s">
        <v>83</v>
      </c>
      <c r="R296" t="s">
        <v>61</v>
      </c>
      <c r="S296" t="s">
        <v>58</v>
      </c>
      <c r="T296" t="s">
        <v>82</v>
      </c>
      <c r="U296" t="s">
        <v>83</v>
      </c>
      <c r="V296" t="s">
        <v>56</v>
      </c>
      <c r="W296" t="s">
        <v>56</v>
      </c>
      <c r="X296" t="s">
        <v>56</v>
      </c>
      <c r="Y296" t="s">
        <v>62</v>
      </c>
      <c r="Z296" t="s">
        <v>63</v>
      </c>
      <c r="AA296" t="s">
        <v>64</v>
      </c>
      <c r="AB296">
        <v>1</v>
      </c>
      <c r="AC296" t="s">
        <v>84</v>
      </c>
      <c r="AD296" t="s">
        <v>66</v>
      </c>
      <c r="AE296" t="s">
        <v>85</v>
      </c>
      <c r="AF296" t="s">
        <v>86</v>
      </c>
      <c r="AG296">
        <v>48808.42</v>
      </c>
      <c r="AH296" t="s">
        <v>69</v>
      </c>
      <c r="AI296" t="s">
        <v>87</v>
      </c>
      <c r="AJ296" t="s">
        <v>88</v>
      </c>
      <c r="AK296" t="s">
        <v>72</v>
      </c>
      <c r="AL296" t="s">
        <v>73</v>
      </c>
      <c r="AM296" t="s">
        <v>73</v>
      </c>
      <c r="AN296" t="s">
        <v>56</v>
      </c>
    </row>
    <row r="297" spans="1:40" x14ac:dyDescent="0.25">
      <c r="A297" t="s">
        <v>723</v>
      </c>
      <c r="B297" t="s">
        <v>5</v>
      </c>
      <c r="C297">
        <v>955.60497799999996</v>
      </c>
      <c r="D297">
        <v>811.72215000000006</v>
      </c>
      <c r="E297" t="s">
        <v>56</v>
      </c>
      <c r="F297">
        <v>-52409.59</v>
      </c>
      <c r="G297" t="s">
        <v>723</v>
      </c>
      <c r="H297" t="s">
        <v>7</v>
      </c>
      <c r="I297">
        <v>58036.94</v>
      </c>
      <c r="J297">
        <v>1058.2077509999999</v>
      </c>
      <c r="K297">
        <v>898.876304</v>
      </c>
      <c r="L297">
        <v>0</v>
      </c>
      <c r="M297" t="s">
        <v>723</v>
      </c>
      <c r="N297" t="s">
        <v>57</v>
      </c>
      <c r="O297" t="s">
        <v>58</v>
      </c>
      <c r="P297" t="s">
        <v>724</v>
      </c>
      <c r="Q297" t="s">
        <v>725</v>
      </c>
      <c r="R297" t="s">
        <v>61</v>
      </c>
      <c r="S297" t="s">
        <v>58</v>
      </c>
      <c r="T297" t="s">
        <v>724</v>
      </c>
      <c r="U297" t="s">
        <v>725</v>
      </c>
      <c r="V297" t="s">
        <v>56</v>
      </c>
      <c r="W297" t="s">
        <v>56</v>
      </c>
      <c r="X297" t="s">
        <v>56</v>
      </c>
      <c r="Y297" t="s">
        <v>62</v>
      </c>
      <c r="Z297" t="s">
        <v>63</v>
      </c>
      <c r="AA297" t="s">
        <v>64</v>
      </c>
      <c r="AB297">
        <v>1</v>
      </c>
      <c r="AC297" t="s">
        <v>78</v>
      </c>
      <c r="AD297" t="s">
        <v>66</v>
      </c>
      <c r="AE297" t="s">
        <v>67</v>
      </c>
      <c r="AF297" t="s">
        <v>68</v>
      </c>
      <c r="AG297">
        <v>61483.839999999997</v>
      </c>
      <c r="AH297" t="s">
        <v>69</v>
      </c>
      <c r="AI297" t="s">
        <v>244</v>
      </c>
      <c r="AJ297" t="s">
        <v>224</v>
      </c>
      <c r="AK297" t="s">
        <v>99</v>
      </c>
      <c r="AL297" t="s">
        <v>73</v>
      </c>
      <c r="AM297" t="s">
        <v>73</v>
      </c>
      <c r="AN297" t="s">
        <v>74</v>
      </c>
    </row>
    <row r="298" spans="1:40" x14ac:dyDescent="0.25">
      <c r="A298" t="s">
        <v>1742</v>
      </c>
      <c r="B298" t="s">
        <v>5</v>
      </c>
      <c r="C298">
        <v>954.56463499999995</v>
      </c>
      <c r="D298">
        <v>810.83844799999997</v>
      </c>
      <c r="E298" t="s">
        <v>56</v>
      </c>
      <c r="F298">
        <v>-33749.18</v>
      </c>
      <c r="G298" t="s">
        <v>1742</v>
      </c>
      <c r="H298" t="s">
        <v>7</v>
      </c>
      <c r="I298">
        <v>37361.61</v>
      </c>
      <c r="J298">
        <v>1056.7402830000001</v>
      </c>
      <c r="K298">
        <v>897.62978899999996</v>
      </c>
      <c r="L298">
        <v>0</v>
      </c>
      <c r="M298" t="s">
        <v>1742</v>
      </c>
      <c r="N298" t="s">
        <v>57</v>
      </c>
      <c r="O298" t="s">
        <v>58</v>
      </c>
      <c r="P298" t="s">
        <v>1743</v>
      </c>
      <c r="Q298" t="s">
        <v>1744</v>
      </c>
      <c r="R298" t="s">
        <v>61</v>
      </c>
      <c r="S298" t="s">
        <v>58</v>
      </c>
      <c r="T298" t="s">
        <v>1743</v>
      </c>
      <c r="U298" t="s">
        <v>1744</v>
      </c>
      <c r="V298" t="s">
        <v>56</v>
      </c>
      <c r="W298" t="s">
        <v>56</v>
      </c>
      <c r="X298" t="s">
        <v>56</v>
      </c>
      <c r="Y298" t="s">
        <v>62</v>
      </c>
      <c r="Z298" t="s">
        <v>63</v>
      </c>
      <c r="AA298" t="s">
        <v>64</v>
      </c>
      <c r="AB298">
        <v>1</v>
      </c>
      <c r="AC298" t="s">
        <v>78</v>
      </c>
      <c r="AD298" t="s">
        <v>66</v>
      </c>
      <c r="AE298" t="s">
        <v>67</v>
      </c>
      <c r="AF298" t="s">
        <v>68</v>
      </c>
      <c r="AG298">
        <v>39635.68</v>
      </c>
      <c r="AH298" t="s">
        <v>69</v>
      </c>
      <c r="AI298" t="s">
        <v>208</v>
      </c>
      <c r="AJ298" t="s">
        <v>265</v>
      </c>
      <c r="AK298" t="s">
        <v>99</v>
      </c>
      <c r="AL298" t="s">
        <v>73</v>
      </c>
      <c r="AM298" t="s">
        <v>73</v>
      </c>
      <c r="AN298" t="s">
        <v>74</v>
      </c>
    </row>
    <row r="299" spans="1:40" x14ac:dyDescent="0.25">
      <c r="A299" t="s">
        <v>1123</v>
      </c>
      <c r="B299" t="s">
        <v>5</v>
      </c>
      <c r="C299">
        <v>953.93123600000001</v>
      </c>
      <c r="D299">
        <v>810.30041800000004</v>
      </c>
      <c r="E299" t="s">
        <v>56</v>
      </c>
      <c r="F299">
        <v>-14891.09</v>
      </c>
      <c r="G299" t="s">
        <v>1123</v>
      </c>
      <c r="H299" t="s">
        <v>7</v>
      </c>
      <c r="I299">
        <v>16490.900000000001</v>
      </c>
      <c r="J299">
        <v>1056.3580019999999</v>
      </c>
      <c r="K299">
        <v>897.30506700000001</v>
      </c>
      <c r="L299">
        <v>0</v>
      </c>
      <c r="M299" t="s">
        <v>1123</v>
      </c>
      <c r="N299" t="s">
        <v>57</v>
      </c>
      <c r="O299" t="s">
        <v>58</v>
      </c>
      <c r="P299" t="s">
        <v>1124</v>
      </c>
      <c r="Q299" t="s">
        <v>1125</v>
      </c>
      <c r="R299" t="s">
        <v>61</v>
      </c>
      <c r="S299" t="s">
        <v>58</v>
      </c>
      <c r="T299" t="s">
        <v>1124</v>
      </c>
      <c r="U299" t="s">
        <v>1125</v>
      </c>
      <c r="V299" t="s">
        <v>56</v>
      </c>
      <c r="W299" t="s">
        <v>56</v>
      </c>
      <c r="X299" t="s">
        <v>56</v>
      </c>
      <c r="Y299" t="s">
        <v>62</v>
      </c>
      <c r="Z299" t="s">
        <v>63</v>
      </c>
      <c r="AA299" t="s">
        <v>64</v>
      </c>
      <c r="AB299">
        <v>1</v>
      </c>
      <c r="AC299" t="s">
        <v>84</v>
      </c>
      <c r="AD299" t="s">
        <v>66</v>
      </c>
      <c r="AE299" t="s">
        <v>67</v>
      </c>
      <c r="AF299" t="s">
        <v>68</v>
      </c>
      <c r="AG299">
        <v>17500</v>
      </c>
      <c r="AH299" t="s">
        <v>69</v>
      </c>
      <c r="AI299" t="s">
        <v>104</v>
      </c>
      <c r="AJ299" t="s">
        <v>265</v>
      </c>
      <c r="AK299" t="s">
        <v>99</v>
      </c>
      <c r="AL299" t="s">
        <v>73</v>
      </c>
      <c r="AM299" t="s">
        <v>73</v>
      </c>
      <c r="AN299" t="s">
        <v>74</v>
      </c>
    </row>
    <row r="300" spans="1:40" x14ac:dyDescent="0.25">
      <c r="A300" t="s">
        <v>751</v>
      </c>
      <c r="B300" t="s">
        <v>5</v>
      </c>
      <c r="C300" s="2">
        <v>952.63085000000001</v>
      </c>
      <c r="D300" t="s">
        <v>56</v>
      </c>
      <c r="E300" t="s">
        <v>56</v>
      </c>
      <c r="F300">
        <v>-13863.64</v>
      </c>
      <c r="G300" t="s">
        <v>751</v>
      </c>
      <c r="H300" t="s">
        <v>7</v>
      </c>
      <c r="I300">
        <v>15351.47</v>
      </c>
      <c r="J300">
        <v>0</v>
      </c>
      <c r="K300">
        <v>0</v>
      </c>
      <c r="L300">
        <v>0</v>
      </c>
      <c r="M300" t="s">
        <v>751</v>
      </c>
      <c r="N300" t="s">
        <v>57</v>
      </c>
      <c r="O300" t="s">
        <v>58</v>
      </c>
      <c r="P300" t="s">
        <v>752</v>
      </c>
      <c r="Q300" t="s">
        <v>753</v>
      </c>
      <c r="R300" t="s">
        <v>61</v>
      </c>
      <c r="S300" t="s">
        <v>58</v>
      </c>
      <c r="T300" t="s">
        <v>752</v>
      </c>
      <c r="U300" t="s">
        <v>753</v>
      </c>
      <c r="V300" t="s">
        <v>56</v>
      </c>
      <c r="W300" t="s">
        <v>56</v>
      </c>
      <c r="X300" t="s">
        <v>56</v>
      </c>
      <c r="Y300" t="s">
        <v>62</v>
      </c>
      <c r="Z300" t="s">
        <v>63</v>
      </c>
      <c r="AA300" t="s">
        <v>64</v>
      </c>
      <c r="AB300">
        <v>1</v>
      </c>
      <c r="AC300" t="s">
        <v>84</v>
      </c>
      <c r="AD300" t="s">
        <v>66</v>
      </c>
      <c r="AE300" t="s">
        <v>85</v>
      </c>
      <c r="AF300" t="s">
        <v>103</v>
      </c>
      <c r="AG300">
        <v>39556.160000000003</v>
      </c>
      <c r="AH300" t="s">
        <v>69</v>
      </c>
      <c r="AI300" t="s">
        <v>70</v>
      </c>
      <c r="AJ300" t="s">
        <v>754</v>
      </c>
      <c r="AK300" t="s">
        <v>72</v>
      </c>
      <c r="AL300" t="s">
        <v>73</v>
      </c>
      <c r="AM300" t="s">
        <v>73</v>
      </c>
      <c r="AN300" t="s">
        <v>56</v>
      </c>
    </row>
    <row r="301" spans="1:40" x14ac:dyDescent="0.25">
      <c r="A301" t="s">
        <v>1153</v>
      </c>
      <c r="B301" t="s">
        <v>5</v>
      </c>
      <c r="C301">
        <v>951.16083300000003</v>
      </c>
      <c r="D301" t="s">
        <v>56</v>
      </c>
      <c r="E301" t="s">
        <v>56</v>
      </c>
      <c r="F301">
        <v>-17396.599999999999</v>
      </c>
      <c r="G301" t="s">
        <v>1153</v>
      </c>
      <c r="H301" t="s">
        <v>7</v>
      </c>
      <c r="I301">
        <v>20975.14</v>
      </c>
      <c r="J301">
        <v>1402.5130039999999</v>
      </c>
      <c r="K301">
        <v>0</v>
      </c>
      <c r="L301">
        <v>0</v>
      </c>
      <c r="M301" t="s">
        <v>1153</v>
      </c>
      <c r="N301" t="s">
        <v>57</v>
      </c>
      <c r="O301" t="s">
        <v>58</v>
      </c>
      <c r="P301" t="s">
        <v>1154</v>
      </c>
      <c r="Q301" t="s">
        <v>1155</v>
      </c>
      <c r="R301" t="s">
        <v>61</v>
      </c>
      <c r="S301" t="s">
        <v>58</v>
      </c>
      <c r="T301" t="s">
        <v>1154</v>
      </c>
      <c r="U301" t="s">
        <v>1155</v>
      </c>
      <c r="V301" t="s">
        <v>56</v>
      </c>
      <c r="W301" t="s">
        <v>56</v>
      </c>
      <c r="X301" t="s">
        <v>56</v>
      </c>
      <c r="Y301" t="s">
        <v>62</v>
      </c>
      <c r="Z301" t="s">
        <v>63</v>
      </c>
      <c r="AA301" t="s">
        <v>64</v>
      </c>
      <c r="AB301">
        <v>1</v>
      </c>
      <c r="AC301" t="s">
        <v>65</v>
      </c>
      <c r="AD301" t="s">
        <v>66</v>
      </c>
      <c r="AE301" t="s">
        <v>113</v>
      </c>
      <c r="AF301" t="s">
        <v>68</v>
      </c>
      <c r="AG301">
        <v>49999</v>
      </c>
      <c r="AH301" t="s">
        <v>69</v>
      </c>
      <c r="AI301" t="s">
        <v>128</v>
      </c>
      <c r="AJ301" t="s">
        <v>470</v>
      </c>
      <c r="AK301" t="s">
        <v>72</v>
      </c>
      <c r="AL301" t="s">
        <v>73</v>
      </c>
      <c r="AM301" t="s">
        <v>73</v>
      </c>
      <c r="AN301" t="s">
        <v>116</v>
      </c>
    </row>
    <row r="302" spans="1:40" x14ac:dyDescent="0.25">
      <c r="A302" t="s">
        <v>1156</v>
      </c>
      <c r="B302" t="s">
        <v>5</v>
      </c>
      <c r="C302">
        <v>949.81246099999998</v>
      </c>
      <c r="D302">
        <v>806.80179699999997</v>
      </c>
      <c r="E302" t="s">
        <v>56</v>
      </c>
      <c r="F302">
        <v>-42362.27</v>
      </c>
      <c r="G302" t="s">
        <v>1156</v>
      </c>
      <c r="H302" t="s">
        <v>7</v>
      </c>
      <c r="I302">
        <v>48233.440000000002</v>
      </c>
      <c r="J302">
        <v>1081.4417189999999</v>
      </c>
      <c r="K302">
        <v>918.61199699999997</v>
      </c>
      <c r="L302">
        <v>0</v>
      </c>
      <c r="M302" t="s">
        <v>1156</v>
      </c>
      <c r="N302" t="s">
        <v>57</v>
      </c>
      <c r="O302" t="s">
        <v>58</v>
      </c>
      <c r="P302" t="s">
        <v>1157</v>
      </c>
      <c r="Q302" t="s">
        <v>1158</v>
      </c>
      <c r="R302" t="s">
        <v>61</v>
      </c>
      <c r="S302" t="s">
        <v>58</v>
      </c>
      <c r="T302" t="s">
        <v>1157</v>
      </c>
      <c r="U302" t="s">
        <v>1158</v>
      </c>
      <c r="V302" t="s">
        <v>56</v>
      </c>
      <c r="W302" t="s">
        <v>56</v>
      </c>
      <c r="X302" t="s">
        <v>56</v>
      </c>
      <c r="Y302" t="s">
        <v>62</v>
      </c>
      <c r="Z302" t="s">
        <v>63</v>
      </c>
      <c r="AA302" t="s">
        <v>64</v>
      </c>
      <c r="AB302">
        <v>1</v>
      </c>
      <c r="AC302" t="s">
        <v>84</v>
      </c>
      <c r="AD302" t="s">
        <v>66</v>
      </c>
      <c r="AE302" t="s">
        <v>67</v>
      </c>
      <c r="AF302" t="s">
        <v>68</v>
      </c>
      <c r="AG302">
        <v>50000</v>
      </c>
      <c r="AH302" t="s">
        <v>69</v>
      </c>
      <c r="AI302" t="s">
        <v>128</v>
      </c>
      <c r="AJ302" t="s">
        <v>401</v>
      </c>
      <c r="AK302" t="s">
        <v>99</v>
      </c>
      <c r="AL302" t="s">
        <v>73</v>
      </c>
      <c r="AM302" t="s">
        <v>73</v>
      </c>
      <c r="AN302" t="s">
        <v>74</v>
      </c>
    </row>
    <row r="303" spans="1:40" x14ac:dyDescent="0.25">
      <c r="A303" t="s">
        <v>1673</v>
      </c>
      <c r="B303" t="s">
        <v>5</v>
      </c>
      <c r="C303">
        <v>949.54886099999999</v>
      </c>
      <c r="D303" t="s">
        <v>56</v>
      </c>
      <c r="E303" t="s">
        <v>56</v>
      </c>
      <c r="F303">
        <v>-18826.98</v>
      </c>
      <c r="G303" t="s">
        <v>1673</v>
      </c>
      <c r="H303" t="s">
        <v>7</v>
      </c>
      <c r="I303">
        <v>21701.58</v>
      </c>
      <c r="J303">
        <v>713.29462699999999</v>
      </c>
      <c r="K303">
        <v>0</v>
      </c>
      <c r="L303">
        <v>0</v>
      </c>
      <c r="M303" t="s">
        <v>1673</v>
      </c>
      <c r="N303" t="s">
        <v>57</v>
      </c>
      <c r="O303" t="s">
        <v>58</v>
      </c>
      <c r="P303" t="s">
        <v>1674</v>
      </c>
      <c r="Q303" t="s">
        <v>1675</v>
      </c>
      <c r="R303" t="s">
        <v>61</v>
      </c>
      <c r="S303" t="s">
        <v>58</v>
      </c>
      <c r="T303" t="s">
        <v>1674</v>
      </c>
      <c r="U303" t="s">
        <v>1675</v>
      </c>
      <c r="V303" t="s">
        <v>56</v>
      </c>
      <c r="W303" t="s">
        <v>56</v>
      </c>
      <c r="X303" t="s">
        <v>56</v>
      </c>
      <c r="Y303" t="s">
        <v>62</v>
      </c>
      <c r="Z303" t="s">
        <v>63</v>
      </c>
      <c r="AA303" t="s">
        <v>64</v>
      </c>
      <c r="AB303">
        <v>1</v>
      </c>
      <c r="AC303" t="s">
        <v>78</v>
      </c>
      <c r="AD303" t="s">
        <v>66</v>
      </c>
      <c r="AE303" t="s">
        <v>113</v>
      </c>
      <c r="AF303" t="s">
        <v>367</v>
      </c>
      <c r="AG303">
        <v>41764.879999999997</v>
      </c>
      <c r="AH303" t="s">
        <v>69</v>
      </c>
      <c r="AI303" t="s">
        <v>278</v>
      </c>
      <c r="AJ303" t="s">
        <v>433</v>
      </c>
      <c r="AK303" t="s">
        <v>72</v>
      </c>
      <c r="AL303" t="s">
        <v>281</v>
      </c>
      <c r="AM303" t="s">
        <v>73</v>
      </c>
      <c r="AN303" t="s">
        <v>116</v>
      </c>
    </row>
    <row r="304" spans="1:40" x14ac:dyDescent="0.25">
      <c r="A304" t="s">
        <v>2465</v>
      </c>
      <c r="B304" t="s">
        <v>5</v>
      </c>
      <c r="C304">
        <v>949.24520500000006</v>
      </c>
      <c r="D304">
        <v>806.31995099999995</v>
      </c>
      <c r="E304" t="s">
        <v>56</v>
      </c>
      <c r="F304">
        <v>-16934.78</v>
      </c>
      <c r="G304" t="s">
        <v>2465</v>
      </c>
      <c r="H304" t="s">
        <v>7</v>
      </c>
      <c r="I304">
        <v>19271.03</v>
      </c>
      <c r="J304">
        <v>1080.1973419999999</v>
      </c>
      <c r="K304">
        <v>917.55498299999999</v>
      </c>
      <c r="L304">
        <v>0</v>
      </c>
      <c r="M304" t="s">
        <v>2465</v>
      </c>
      <c r="N304" t="s">
        <v>57</v>
      </c>
      <c r="O304" t="s">
        <v>58</v>
      </c>
      <c r="P304" t="s">
        <v>2466</v>
      </c>
      <c r="Q304" t="s">
        <v>2467</v>
      </c>
      <c r="R304" t="s">
        <v>61</v>
      </c>
      <c r="S304" t="s">
        <v>58</v>
      </c>
      <c r="T304" t="s">
        <v>2466</v>
      </c>
      <c r="U304" t="s">
        <v>2467</v>
      </c>
      <c r="V304" t="s">
        <v>56</v>
      </c>
      <c r="W304" t="s">
        <v>56</v>
      </c>
      <c r="X304" t="s">
        <v>56</v>
      </c>
      <c r="Y304" t="s">
        <v>62</v>
      </c>
      <c r="Z304" t="s">
        <v>63</v>
      </c>
      <c r="AA304" t="s">
        <v>64</v>
      </c>
      <c r="AB304">
        <v>1</v>
      </c>
      <c r="AC304" t="s">
        <v>78</v>
      </c>
      <c r="AD304" t="s">
        <v>66</v>
      </c>
      <c r="AE304" t="s">
        <v>67</v>
      </c>
      <c r="AF304" t="s">
        <v>68</v>
      </c>
      <c r="AG304">
        <v>20000</v>
      </c>
      <c r="AH304" t="s">
        <v>69</v>
      </c>
      <c r="AI304" t="s">
        <v>132</v>
      </c>
      <c r="AJ304" t="s">
        <v>80</v>
      </c>
      <c r="AK304" t="s">
        <v>99</v>
      </c>
      <c r="AL304" t="s">
        <v>73</v>
      </c>
      <c r="AM304" t="s">
        <v>73</v>
      </c>
      <c r="AN304" t="s">
        <v>74</v>
      </c>
    </row>
    <row r="305" spans="1:40" x14ac:dyDescent="0.25">
      <c r="A305" t="s">
        <v>919</v>
      </c>
      <c r="B305" t="s">
        <v>5</v>
      </c>
      <c r="C305">
        <v>948.66252999999995</v>
      </c>
      <c r="D305" t="s">
        <v>56</v>
      </c>
      <c r="E305" t="s">
        <v>56</v>
      </c>
      <c r="F305">
        <v>-12577.26</v>
      </c>
      <c r="G305" t="s">
        <v>919</v>
      </c>
      <c r="H305" t="s">
        <v>7</v>
      </c>
      <c r="I305">
        <v>14540.14</v>
      </c>
      <c r="J305">
        <v>1341.238229</v>
      </c>
      <c r="K305">
        <v>0</v>
      </c>
      <c r="L305">
        <v>0</v>
      </c>
      <c r="M305" t="s">
        <v>919</v>
      </c>
      <c r="N305" t="s">
        <v>57</v>
      </c>
      <c r="O305" t="s">
        <v>58</v>
      </c>
      <c r="P305" t="s">
        <v>920</v>
      </c>
      <c r="Q305" t="s">
        <v>921</v>
      </c>
      <c r="R305" t="s">
        <v>61</v>
      </c>
      <c r="S305" t="s">
        <v>58</v>
      </c>
      <c r="T305" t="s">
        <v>920</v>
      </c>
      <c r="U305" t="s">
        <v>921</v>
      </c>
      <c r="V305" t="s">
        <v>56</v>
      </c>
      <c r="W305" t="s">
        <v>56</v>
      </c>
      <c r="X305" t="s">
        <v>56</v>
      </c>
      <c r="Y305" t="s">
        <v>62</v>
      </c>
      <c r="Z305" t="s">
        <v>63</v>
      </c>
      <c r="AA305" t="s">
        <v>64</v>
      </c>
      <c r="AB305">
        <v>1</v>
      </c>
      <c r="AC305" t="s">
        <v>84</v>
      </c>
      <c r="AD305" t="s">
        <v>66</v>
      </c>
      <c r="AE305" t="s">
        <v>113</v>
      </c>
      <c r="AF305" t="s">
        <v>68</v>
      </c>
      <c r="AG305">
        <v>36243.089999999997</v>
      </c>
      <c r="AH305" t="s">
        <v>69</v>
      </c>
      <c r="AI305" t="s">
        <v>104</v>
      </c>
      <c r="AJ305" t="s">
        <v>164</v>
      </c>
      <c r="AK305" t="s">
        <v>72</v>
      </c>
      <c r="AL305" t="s">
        <v>73</v>
      </c>
      <c r="AM305" t="s">
        <v>73</v>
      </c>
      <c r="AN305" t="s">
        <v>116</v>
      </c>
    </row>
    <row r="306" spans="1:40" x14ac:dyDescent="0.25">
      <c r="A306" t="s">
        <v>2527</v>
      </c>
      <c r="B306" t="s">
        <v>5</v>
      </c>
      <c r="C306">
        <v>946.86183200000005</v>
      </c>
      <c r="D306">
        <v>804.295435</v>
      </c>
      <c r="E306" t="s">
        <v>56</v>
      </c>
      <c r="F306">
        <v>-16892.259999999998</v>
      </c>
      <c r="G306" t="s">
        <v>2527</v>
      </c>
      <c r="H306" t="s">
        <v>7</v>
      </c>
      <c r="I306">
        <v>20041.18</v>
      </c>
      <c r="J306">
        <v>1123.358152</v>
      </c>
      <c r="K306">
        <v>954.21718699999997</v>
      </c>
      <c r="L306">
        <v>0</v>
      </c>
      <c r="M306" t="s">
        <v>2527</v>
      </c>
      <c r="N306" t="s">
        <v>57</v>
      </c>
      <c r="O306" t="s">
        <v>58</v>
      </c>
      <c r="P306" t="s">
        <v>2528</v>
      </c>
      <c r="Q306" t="s">
        <v>2529</v>
      </c>
      <c r="R306" t="s">
        <v>61</v>
      </c>
      <c r="S306" t="s">
        <v>58</v>
      </c>
      <c r="T306" t="s">
        <v>2528</v>
      </c>
      <c r="U306" t="s">
        <v>2529</v>
      </c>
      <c r="V306" t="s">
        <v>56</v>
      </c>
      <c r="W306" t="s">
        <v>56</v>
      </c>
      <c r="X306" t="s">
        <v>56</v>
      </c>
      <c r="Y306" t="s">
        <v>62</v>
      </c>
      <c r="Z306" t="s">
        <v>63</v>
      </c>
      <c r="AA306" t="s">
        <v>64</v>
      </c>
      <c r="AB306">
        <v>1</v>
      </c>
      <c r="AC306" t="s">
        <v>78</v>
      </c>
      <c r="AD306" t="s">
        <v>66</v>
      </c>
      <c r="AE306" t="s">
        <v>67</v>
      </c>
      <c r="AF306" t="s">
        <v>68</v>
      </c>
      <c r="AG306">
        <v>20000</v>
      </c>
      <c r="AH306" t="s">
        <v>69</v>
      </c>
      <c r="AI306" t="s">
        <v>186</v>
      </c>
      <c r="AJ306" t="s">
        <v>115</v>
      </c>
      <c r="AK306" t="s">
        <v>99</v>
      </c>
      <c r="AL306" t="s">
        <v>73</v>
      </c>
      <c r="AM306" t="s">
        <v>73</v>
      </c>
      <c r="AN306" t="s">
        <v>74</v>
      </c>
    </row>
    <row r="307" spans="1:40" x14ac:dyDescent="0.25">
      <c r="A307" t="s">
        <v>1719</v>
      </c>
      <c r="B307" t="s">
        <v>5</v>
      </c>
      <c r="C307" s="2">
        <v>937.59967400000005</v>
      </c>
      <c r="D307" t="s">
        <v>56</v>
      </c>
      <c r="E307" t="s">
        <v>56</v>
      </c>
      <c r="F307">
        <v>-11144.88</v>
      </c>
      <c r="G307" t="s">
        <v>1719</v>
      </c>
      <c r="H307" t="s">
        <v>7</v>
      </c>
      <c r="I307">
        <v>13823.01</v>
      </c>
      <c r="J307">
        <v>0</v>
      </c>
      <c r="K307">
        <v>0</v>
      </c>
      <c r="L307">
        <v>0</v>
      </c>
      <c r="M307" t="s">
        <v>1719</v>
      </c>
      <c r="N307" t="s">
        <v>57</v>
      </c>
      <c r="O307" t="s">
        <v>58</v>
      </c>
      <c r="P307" t="s">
        <v>1720</v>
      </c>
      <c r="Q307" t="s">
        <v>1721</v>
      </c>
      <c r="R307" t="s">
        <v>61</v>
      </c>
      <c r="S307" t="s">
        <v>58</v>
      </c>
      <c r="T307" t="s">
        <v>1720</v>
      </c>
      <c r="U307" t="s">
        <v>1721</v>
      </c>
      <c r="V307" t="s">
        <v>56</v>
      </c>
      <c r="W307" t="s">
        <v>56</v>
      </c>
      <c r="X307" t="s">
        <v>56</v>
      </c>
      <c r="Y307" t="s">
        <v>62</v>
      </c>
      <c r="Z307" t="s">
        <v>63</v>
      </c>
      <c r="AA307" t="s">
        <v>64</v>
      </c>
      <c r="AB307">
        <v>1</v>
      </c>
      <c r="AC307" t="s">
        <v>84</v>
      </c>
      <c r="AD307" t="s">
        <v>66</v>
      </c>
      <c r="AE307" t="s">
        <v>85</v>
      </c>
      <c r="AF307" t="s">
        <v>68</v>
      </c>
      <c r="AG307">
        <v>32308.69</v>
      </c>
      <c r="AH307" t="s">
        <v>69</v>
      </c>
      <c r="AI307" t="s">
        <v>132</v>
      </c>
      <c r="AJ307" t="s">
        <v>199</v>
      </c>
      <c r="AK307" t="s">
        <v>72</v>
      </c>
      <c r="AL307" t="s">
        <v>73</v>
      </c>
      <c r="AM307" t="s">
        <v>73</v>
      </c>
      <c r="AN307" t="s">
        <v>56</v>
      </c>
    </row>
    <row r="308" spans="1:40" x14ac:dyDescent="0.25">
      <c r="A308" t="s">
        <v>667</v>
      </c>
      <c r="B308" t="s">
        <v>5</v>
      </c>
      <c r="C308">
        <v>933.06415500000003</v>
      </c>
      <c r="D308">
        <v>738.58177599999999</v>
      </c>
      <c r="E308" t="s">
        <v>56</v>
      </c>
      <c r="F308">
        <v>-45126.720000000001</v>
      </c>
      <c r="G308" t="s">
        <v>667</v>
      </c>
      <c r="H308" t="s">
        <v>7</v>
      </c>
      <c r="I308">
        <v>51620.44</v>
      </c>
      <c r="J308">
        <v>1134.687584</v>
      </c>
      <c r="K308">
        <v>963.840778</v>
      </c>
      <c r="L308">
        <v>0</v>
      </c>
      <c r="M308" t="s">
        <v>667</v>
      </c>
      <c r="N308" t="s">
        <v>57</v>
      </c>
      <c r="O308" t="s">
        <v>58</v>
      </c>
      <c r="P308" t="s">
        <v>668</v>
      </c>
      <c r="Q308" t="s">
        <v>669</v>
      </c>
      <c r="R308" t="s">
        <v>61</v>
      </c>
      <c r="S308" t="s">
        <v>58</v>
      </c>
      <c r="T308" t="s">
        <v>668</v>
      </c>
      <c r="U308" t="s">
        <v>669</v>
      </c>
      <c r="V308" t="s">
        <v>56</v>
      </c>
      <c r="W308" t="s">
        <v>56</v>
      </c>
      <c r="X308" t="s">
        <v>56</v>
      </c>
      <c r="Y308" t="s">
        <v>62</v>
      </c>
      <c r="Z308" t="s">
        <v>63</v>
      </c>
      <c r="AA308" t="s">
        <v>64</v>
      </c>
      <c r="AB308">
        <v>1</v>
      </c>
      <c r="AC308" t="s">
        <v>84</v>
      </c>
      <c r="AD308" t="s">
        <v>66</v>
      </c>
      <c r="AE308" t="s">
        <v>67</v>
      </c>
      <c r="AF308" t="s">
        <v>68</v>
      </c>
      <c r="AG308">
        <v>51000.01</v>
      </c>
      <c r="AH308" t="s">
        <v>69</v>
      </c>
      <c r="AI308" t="s">
        <v>70</v>
      </c>
      <c r="AJ308" t="s">
        <v>115</v>
      </c>
      <c r="AK308" t="s">
        <v>99</v>
      </c>
      <c r="AL308" t="s">
        <v>73</v>
      </c>
      <c r="AM308" t="s">
        <v>73</v>
      </c>
      <c r="AN308" t="s">
        <v>74</v>
      </c>
    </row>
    <row r="309" spans="1:40" x14ac:dyDescent="0.25">
      <c r="A309" t="s">
        <v>971</v>
      </c>
      <c r="B309" t="s">
        <v>5</v>
      </c>
      <c r="C309">
        <v>929.93606799999998</v>
      </c>
      <c r="D309">
        <v>789.918137</v>
      </c>
      <c r="E309" t="s">
        <v>56</v>
      </c>
      <c r="F309">
        <v>-16424.400000000001</v>
      </c>
      <c r="G309" t="s">
        <v>971</v>
      </c>
      <c r="H309" t="s">
        <v>7</v>
      </c>
      <c r="I309">
        <v>18719.3</v>
      </c>
      <c r="J309">
        <v>1059.8545879999999</v>
      </c>
      <c r="K309">
        <v>900.27518199999997</v>
      </c>
      <c r="L309">
        <v>0</v>
      </c>
      <c r="M309" t="s">
        <v>971</v>
      </c>
      <c r="N309" t="s">
        <v>57</v>
      </c>
      <c r="O309" t="s">
        <v>58</v>
      </c>
      <c r="P309" t="s">
        <v>972</v>
      </c>
      <c r="Q309" t="s">
        <v>973</v>
      </c>
      <c r="R309" t="s">
        <v>61</v>
      </c>
      <c r="S309" t="s">
        <v>58</v>
      </c>
      <c r="T309" t="s">
        <v>972</v>
      </c>
      <c r="U309" t="s">
        <v>973</v>
      </c>
      <c r="V309" t="s">
        <v>56</v>
      </c>
      <c r="W309" t="s">
        <v>56</v>
      </c>
      <c r="X309" t="s">
        <v>56</v>
      </c>
      <c r="Y309" t="s">
        <v>62</v>
      </c>
      <c r="Z309" t="s">
        <v>63</v>
      </c>
      <c r="AA309" t="s">
        <v>64</v>
      </c>
      <c r="AB309">
        <v>1</v>
      </c>
      <c r="AC309" t="s">
        <v>84</v>
      </c>
      <c r="AD309" t="s">
        <v>66</v>
      </c>
      <c r="AE309" t="s">
        <v>67</v>
      </c>
      <c r="AF309" t="s">
        <v>68</v>
      </c>
      <c r="AG309">
        <v>19800</v>
      </c>
      <c r="AH309" t="s">
        <v>69</v>
      </c>
      <c r="AI309" t="s">
        <v>186</v>
      </c>
      <c r="AJ309" t="s">
        <v>228</v>
      </c>
      <c r="AK309" t="s">
        <v>99</v>
      </c>
      <c r="AL309" t="s">
        <v>73</v>
      </c>
      <c r="AM309" t="s">
        <v>73</v>
      </c>
      <c r="AN309" t="s">
        <v>74</v>
      </c>
    </row>
    <row r="310" spans="1:40" x14ac:dyDescent="0.25">
      <c r="A310" t="s">
        <v>2282</v>
      </c>
      <c r="B310" t="s">
        <v>5</v>
      </c>
      <c r="C310">
        <v>929.71185600000001</v>
      </c>
      <c r="D310">
        <v>789.72768399999995</v>
      </c>
      <c r="E310" t="s">
        <v>56</v>
      </c>
      <c r="F310">
        <v>-26310.76</v>
      </c>
      <c r="G310" t="s">
        <v>2282</v>
      </c>
      <c r="H310" t="s">
        <v>7</v>
      </c>
      <c r="I310">
        <v>28755.86</v>
      </c>
      <c r="J310">
        <v>1016.1085859999999</v>
      </c>
      <c r="K310">
        <v>863.11589500000002</v>
      </c>
      <c r="L310">
        <v>0</v>
      </c>
      <c r="M310" t="s">
        <v>2282</v>
      </c>
      <c r="N310" t="s">
        <v>57</v>
      </c>
      <c r="O310" t="s">
        <v>58</v>
      </c>
      <c r="P310" t="s">
        <v>2283</v>
      </c>
      <c r="Q310" t="s">
        <v>2284</v>
      </c>
      <c r="R310" t="s">
        <v>61</v>
      </c>
      <c r="S310" t="s">
        <v>58</v>
      </c>
      <c r="T310" t="s">
        <v>2283</v>
      </c>
      <c r="U310" t="s">
        <v>2284</v>
      </c>
      <c r="V310" t="s">
        <v>56</v>
      </c>
      <c r="W310" t="s">
        <v>56</v>
      </c>
      <c r="X310" t="s">
        <v>56</v>
      </c>
      <c r="Y310" t="s">
        <v>62</v>
      </c>
      <c r="Z310" t="s">
        <v>63</v>
      </c>
      <c r="AA310" t="s">
        <v>64</v>
      </c>
      <c r="AB310">
        <v>1</v>
      </c>
      <c r="AC310" t="s">
        <v>84</v>
      </c>
      <c r="AD310" t="s">
        <v>66</v>
      </c>
      <c r="AE310" t="s">
        <v>67</v>
      </c>
      <c r="AF310" t="s">
        <v>68</v>
      </c>
      <c r="AG310">
        <v>31725.86</v>
      </c>
      <c r="AH310" t="s">
        <v>69</v>
      </c>
      <c r="AI310" t="s">
        <v>114</v>
      </c>
      <c r="AJ310" t="s">
        <v>209</v>
      </c>
      <c r="AK310" t="s">
        <v>99</v>
      </c>
      <c r="AL310" t="s">
        <v>73</v>
      </c>
      <c r="AM310" t="s">
        <v>73</v>
      </c>
      <c r="AN310" t="s">
        <v>74</v>
      </c>
    </row>
    <row r="311" spans="1:40" x14ac:dyDescent="0.25">
      <c r="A311" t="s">
        <v>1433</v>
      </c>
      <c r="B311" t="s">
        <v>5</v>
      </c>
      <c r="C311">
        <v>929.04034100000001</v>
      </c>
      <c r="D311">
        <v>789.15727800000002</v>
      </c>
      <c r="E311" t="s">
        <v>56</v>
      </c>
      <c r="F311">
        <v>-26369.759999999998</v>
      </c>
      <c r="G311" t="s">
        <v>1433</v>
      </c>
      <c r="H311" t="s">
        <v>7</v>
      </c>
      <c r="I311">
        <v>28800.47</v>
      </c>
      <c r="J311">
        <v>1014.661297</v>
      </c>
      <c r="K311">
        <v>861.88652100000002</v>
      </c>
      <c r="L311">
        <v>0</v>
      </c>
      <c r="M311" t="s">
        <v>1433</v>
      </c>
      <c r="N311" t="s">
        <v>57</v>
      </c>
      <c r="O311" t="s">
        <v>58</v>
      </c>
      <c r="P311" t="s">
        <v>1434</v>
      </c>
      <c r="Q311" t="s">
        <v>1435</v>
      </c>
      <c r="R311" t="s">
        <v>61</v>
      </c>
      <c r="S311" t="s">
        <v>58</v>
      </c>
      <c r="T311" t="s">
        <v>1434</v>
      </c>
      <c r="U311" t="s">
        <v>1435</v>
      </c>
      <c r="V311" t="s">
        <v>56</v>
      </c>
      <c r="W311" t="s">
        <v>56</v>
      </c>
      <c r="X311" t="s">
        <v>56</v>
      </c>
      <c r="Y311" t="s">
        <v>62</v>
      </c>
      <c r="Z311" t="s">
        <v>63</v>
      </c>
      <c r="AA311" t="s">
        <v>64</v>
      </c>
      <c r="AB311">
        <v>1</v>
      </c>
      <c r="AC311" t="s">
        <v>84</v>
      </c>
      <c r="AD311" t="s">
        <v>66</v>
      </c>
      <c r="AE311" t="s">
        <v>67</v>
      </c>
      <c r="AF311" t="s">
        <v>68</v>
      </c>
      <c r="AG311">
        <v>31820</v>
      </c>
      <c r="AH311" t="s">
        <v>69</v>
      </c>
      <c r="AI311" t="s">
        <v>132</v>
      </c>
      <c r="AJ311" t="s">
        <v>93</v>
      </c>
      <c r="AK311" t="s">
        <v>99</v>
      </c>
      <c r="AL311" t="s">
        <v>73</v>
      </c>
      <c r="AM311" t="s">
        <v>73</v>
      </c>
      <c r="AN311" t="s">
        <v>74</v>
      </c>
    </row>
    <row r="312" spans="1:40" x14ac:dyDescent="0.25">
      <c r="A312" t="s">
        <v>106</v>
      </c>
      <c r="B312" t="s">
        <v>5</v>
      </c>
      <c r="C312">
        <v>928.57510100000002</v>
      </c>
      <c r="D312">
        <v>788.76208799999995</v>
      </c>
      <c r="E312" t="s">
        <v>56</v>
      </c>
      <c r="F312">
        <v>-32717.9</v>
      </c>
      <c r="G312" t="s">
        <v>106</v>
      </c>
      <c r="H312" t="s">
        <v>7</v>
      </c>
      <c r="I312">
        <v>37355.61</v>
      </c>
      <c r="J312">
        <v>1060.1819379999999</v>
      </c>
      <c r="K312">
        <v>900.55324299999995</v>
      </c>
      <c r="L312">
        <v>0</v>
      </c>
      <c r="M312" t="s">
        <v>106</v>
      </c>
      <c r="N312" t="s">
        <v>57</v>
      </c>
      <c r="O312" t="s">
        <v>58</v>
      </c>
      <c r="P312" t="s">
        <v>107</v>
      </c>
      <c r="Q312" t="s">
        <v>108</v>
      </c>
      <c r="R312" t="s">
        <v>61</v>
      </c>
      <c r="S312" t="s">
        <v>58</v>
      </c>
      <c r="T312" t="s">
        <v>107</v>
      </c>
      <c r="U312" t="s">
        <v>108</v>
      </c>
      <c r="V312" t="s">
        <v>56</v>
      </c>
      <c r="W312" t="s">
        <v>56</v>
      </c>
      <c r="X312" t="s">
        <v>56</v>
      </c>
      <c r="Y312" t="s">
        <v>62</v>
      </c>
      <c r="Z312" t="s">
        <v>63</v>
      </c>
      <c r="AA312" t="s">
        <v>64</v>
      </c>
      <c r="AB312">
        <v>1</v>
      </c>
      <c r="AC312" t="s">
        <v>84</v>
      </c>
      <c r="AD312" t="s">
        <v>66</v>
      </c>
      <c r="AE312" t="s">
        <v>67</v>
      </c>
      <c r="AF312" t="s">
        <v>68</v>
      </c>
      <c r="AG312">
        <v>39500</v>
      </c>
      <c r="AH312" t="s">
        <v>69</v>
      </c>
      <c r="AI312" t="s">
        <v>79</v>
      </c>
      <c r="AJ312" t="s">
        <v>109</v>
      </c>
      <c r="AK312" t="s">
        <v>99</v>
      </c>
      <c r="AL312" t="s">
        <v>73</v>
      </c>
      <c r="AM312" t="s">
        <v>73</v>
      </c>
      <c r="AN312" t="s">
        <v>74</v>
      </c>
    </row>
    <row r="313" spans="1:40" x14ac:dyDescent="0.25">
      <c r="A313" t="s">
        <v>1913</v>
      </c>
      <c r="B313" t="s">
        <v>5</v>
      </c>
      <c r="C313" s="2">
        <v>927.78366700000004</v>
      </c>
      <c r="D313" t="s">
        <v>56</v>
      </c>
      <c r="E313" t="s">
        <v>56</v>
      </c>
      <c r="F313">
        <v>-9506.83</v>
      </c>
      <c r="G313" t="s">
        <v>1913</v>
      </c>
      <c r="H313" t="s">
        <v>7</v>
      </c>
      <c r="I313">
        <v>13464.91</v>
      </c>
      <c r="J313">
        <v>0</v>
      </c>
      <c r="K313">
        <v>0</v>
      </c>
      <c r="L313">
        <v>0</v>
      </c>
      <c r="M313" t="s">
        <v>1913</v>
      </c>
      <c r="N313" t="s">
        <v>57</v>
      </c>
      <c r="O313" t="s">
        <v>58</v>
      </c>
      <c r="P313" t="s">
        <v>1914</v>
      </c>
      <c r="Q313" t="s">
        <v>1915</v>
      </c>
      <c r="R313" t="s">
        <v>61</v>
      </c>
      <c r="S313" t="s">
        <v>58</v>
      </c>
      <c r="T313" t="s">
        <v>1914</v>
      </c>
      <c r="U313" t="s">
        <v>1915</v>
      </c>
      <c r="V313" t="s">
        <v>56</v>
      </c>
      <c r="W313" t="s">
        <v>56</v>
      </c>
      <c r="X313" t="s">
        <v>56</v>
      </c>
      <c r="Y313" t="s">
        <v>62</v>
      </c>
      <c r="Z313" t="s">
        <v>63</v>
      </c>
      <c r="AA313" t="s">
        <v>64</v>
      </c>
      <c r="AB313">
        <v>1</v>
      </c>
      <c r="AC313" t="s">
        <v>120</v>
      </c>
      <c r="AD313" t="s">
        <v>66</v>
      </c>
      <c r="AE313" t="s">
        <v>85</v>
      </c>
      <c r="AF313" t="s">
        <v>68</v>
      </c>
      <c r="AG313">
        <v>31734.44</v>
      </c>
      <c r="AH313" t="s">
        <v>69</v>
      </c>
      <c r="AI313" t="s">
        <v>355</v>
      </c>
      <c r="AJ313" t="s">
        <v>463</v>
      </c>
      <c r="AK313" t="s">
        <v>72</v>
      </c>
      <c r="AL313" t="s">
        <v>73</v>
      </c>
      <c r="AM313" t="s">
        <v>73</v>
      </c>
      <c r="AN313" t="s">
        <v>56</v>
      </c>
    </row>
    <row r="314" spans="1:40" x14ac:dyDescent="0.25">
      <c r="A314" t="s">
        <v>1734</v>
      </c>
      <c r="B314" t="s">
        <v>5</v>
      </c>
      <c r="C314">
        <v>922.94065399999999</v>
      </c>
      <c r="D314">
        <v>783.97600399999999</v>
      </c>
      <c r="E314" t="s">
        <v>56</v>
      </c>
      <c r="F314">
        <v>-28774.5</v>
      </c>
      <c r="G314" t="s">
        <v>1734</v>
      </c>
      <c r="H314" t="s">
        <v>7</v>
      </c>
      <c r="I314">
        <v>31961.37</v>
      </c>
      <c r="J314">
        <v>1025.1544180000001</v>
      </c>
      <c r="K314">
        <v>870.79972199999997</v>
      </c>
      <c r="L314">
        <v>0</v>
      </c>
      <c r="M314" t="s">
        <v>1734</v>
      </c>
      <c r="N314" t="s">
        <v>57</v>
      </c>
      <c r="O314" t="s">
        <v>58</v>
      </c>
      <c r="P314" t="s">
        <v>1735</v>
      </c>
      <c r="Q314" t="s">
        <v>1736</v>
      </c>
      <c r="R314" t="s">
        <v>61</v>
      </c>
      <c r="S314" t="s">
        <v>58</v>
      </c>
      <c r="T314" t="s">
        <v>1735</v>
      </c>
      <c r="U314" t="s">
        <v>1736</v>
      </c>
      <c r="V314" t="s">
        <v>56</v>
      </c>
      <c r="W314" t="s">
        <v>56</v>
      </c>
      <c r="X314" t="s">
        <v>56</v>
      </c>
      <c r="Y314" t="s">
        <v>62</v>
      </c>
      <c r="Z314" t="s">
        <v>63</v>
      </c>
      <c r="AA314" t="s">
        <v>64</v>
      </c>
      <c r="AB314">
        <v>1</v>
      </c>
      <c r="AC314" t="s">
        <v>84</v>
      </c>
      <c r="AD314" t="s">
        <v>66</v>
      </c>
      <c r="AE314" t="s">
        <v>67</v>
      </c>
      <c r="AF314" t="s">
        <v>68</v>
      </c>
      <c r="AG314">
        <v>34951.22</v>
      </c>
      <c r="AH314" t="s">
        <v>69</v>
      </c>
      <c r="AI314" t="s">
        <v>168</v>
      </c>
      <c r="AJ314" t="s">
        <v>359</v>
      </c>
      <c r="AK314" t="s">
        <v>99</v>
      </c>
      <c r="AL314" t="s">
        <v>73</v>
      </c>
      <c r="AM314" t="s">
        <v>73</v>
      </c>
      <c r="AN314" t="s">
        <v>74</v>
      </c>
    </row>
    <row r="315" spans="1:40" x14ac:dyDescent="0.25">
      <c r="A315" t="s">
        <v>2066</v>
      </c>
      <c r="B315" t="s">
        <v>5</v>
      </c>
      <c r="C315">
        <v>921.47654899999998</v>
      </c>
      <c r="D315">
        <v>782.73234500000001</v>
      </c>
      <c r="E315" t="s">
        <v>56</v>
      </c>
      <c r="F315">
        <v>-42321.32</v>
      </c>
      <c r="G315" t="s">
        <v>2066</v>
      </c>
      <c r="H315" t="s">
        <v>7</v>
      </c>
      <c r="I315">
        <v>47096.32</v>
      </c>
      <c r="J315">
        <v>1025.451499</v>
      </c>
      <c r="K315">
        <v>871.05207199999995</v>
      </c>
      <c r="L315">
        <v>0</v>
      </c>
      <c r="M315" t="s">
        <v>2066</v>
      </c>
      <c r="N315" t="s">
        <v>57</v>
      </c>
      <c r="O315" t="s">
        <v>58</v>
      </c>
      <c r="P315" t="s">
        <v>2067</v>
      </c>
      <c r="Q315" t="s">
        <v>2068</v>
      </c>
      <c r="R315" t="s">
        <v>61</v>
      </c>
      <c r="S315" t="s">
        <v>58</v>
      </c>
      <c r="T315" t="s">
        <v>2067</v>
      </c>
      <c r="U315" t="s">
        <v>2068</v>
      </c>
      <c r="V315" t="s">
        <v>56</v>
      </c>
      <c r="W315" t="s">
        <v>56</v>
      </c>
      <c r="X315" t="s">
        <v>56</v>
      </c>
      <c r="Y315" t="s">
        <v>62</v>
      </c>
      <c r="Z315" t="s">
        <v>63</v>
      </c>
      <c r="AA315" t="s">
        <v>64</v>
      </c>
      <c r="AB315">
        <v>1</v>
      </c>
      <c r="AC315" t="s">
        <v>84</v>
      </c>
      <c r="AD315" t="s">
        <v>66</v>
      </c>
      <c r="AE315" t="s">
        <v>67</v>
      </c>
      <c r="AF315" t="s">
        <v>68</v>
      </c>
      <c r="AG315">
        <v>51487.7</v>
      </c>
      <c r="AH315" t="s">
        <v>69</v>
      </c>
      <c r="AI315" t="s">
        <v>220</v>
      </c>
      <c r="AJ315" t="s">
        <v>433</v>
      </c>
      <c r="AK315" t="s">
        <v>99</v>
      </c>
      <c r="AL315" t="s">
        <v>73</v>
      </c>
      <c r="AM315" t="s">
        <v>73</v>
      </c>
      <c r="AN315" t="s">
        <v>74</v>
      </c>
    </row>
    <row r="316" spans="1:40" x14ac:dyDescent="0.25">
      <c r="A316" t="s">
        <v>1792</v>
      </c>
      <c r="B316" t="s">
        <v>5</v>
      </c>
      <c r="C316">
        <v>919.39137800000003</v>
      </c>
      <c r="D316">
        <v>780.96113200000002</v>
      </c>
      <c r="E316" t="s">
        <v>56</v>
      </c>
      <c r="F316">
        <v>-22249.57</v>
      </c>
      <c r="G316" t="s">
        <v>1792</v>
      </c>
      <c r="H316" t="s">
        <v>7</v>
      </c>
      <c r="I316">
        <v>24301.71</v>
      </c>
      <c r="J316">
        <v>1004.160328</v>
      </c>
      <c r="K316">
        <v>852.96665399999995</v>
      </c>
      <c r="L316">
        <v>0</v>
      </c>
      <c r="M316" t="s">
        <v>1792</v>
      </c>
      <c r="N316" t="s">
        <v>57</v>
      </c>
      <c r="O316" t="s">
        <v>58</v>
      </c>
      <c r="P316" t="s">
        <v>1793</v>
      </c>
      <c r="Q316" t="s">
        <v>1794</v>
      </c>
      <c r="R316" t="s">
        <v>61</v>
      </c>
      <c r="S316" t="s">
        <v>58</v>
      </c>
      <c r="T316" t="s">
        <v>1793</v>
      </c>
      <c r="U316" t="s">
        <v>1794</v>
      </c>
      <c r="V316" t="s">
        <v>56</v>
      </c>
      <c r="W316" t="s">
        <v>56</v>
      </c>
      <c r="X316" t="s">
        <v>56</v>
      </c>
      <c r="Y316" t="s">
        <v>62</v>
      </c>
      <c r="Z316" t="s">
        <v>63</v>
      </c>
      <c r="AA316" t="s">
        <v>64</v>
      </c>
      <c r="AB316">
        <v>1</v>
      </c>
      <c r="AC316" t="s">
        <v>84</v>
      </c>
      <c r="AD316" t="s">
        <v>66</v>
      </c>
      <c r="AE316" t="s">
        <v>67</v>
      </c>
      <c r="AF316" t="s">
        <v>68</v>
      </c>
      <c r="AG316">
        <v>27130</v>
      </c>
      <c r="AH316" t="s">
        <v>69</v>
      </c>
      <c r="AI316" t="s">
        <v>323</v>
      </c>
      <c r="AJ316" t="s">
        <v>339</v>
      </c>
      <c r="AK316" t="s">
        <v>99</v>
      </c>
      <c r="AL316" t="s">
        <v>73</v>
      </c>
      <c r="AM316" t="s">
        <v>73</v>
      </c>
      <c r="AN316" t="s">
        <v>74</v>
      </c>
    </row>
    <row r="317" spans="1:40" x14ac:dyDescent="0.25">
      <c r="A317" t="s">
        <v>2509</v>
      </c>
      <c r="B317" t="s">
        <v>5</v>
      </c>
      <c r="C317">
        <v>918.85887400000001</v>
      </c>
      <c r="D317">
        <v>780.50880700000005</v>
      </c>
      <c r="E317" t="s">
        <v>56</v>
      </c>
      <c r="F317">
        <v>-39445.22</v>
      </c>
      <c r="G317" t="s">
        <v>2509</v>
      </c>
      <c r="H317" t="s">
        <v>7</v>
      </c>
      <c r="I317">
        <v>43902.77</v>
      </c>
      <c r="J317">
        <v>1022.685844</v>
      </c>
      <c r="K317">
        <v>868.70283400000005</v>
      </c>
      <c r="L317">
        <v>0</v>
      </c>
      <c r="M317" t="s">
        <v>2509</v>
      </c>
      <c r="N317" t="s">
        <v>57</v>
      </c>
      <c r="O317" t="s">
        <v>58</v>
      </c>
      <c r="P317" t="s">
        <v>2510</v>
      </c>
      <c r="Q317" t="s">
        <v>2511</v>
      </c>
      <c r="R317" t="s">
        <v>61</v>
      </c>
      <c r="S317" t="s">
        <v>58</v>
      </c>
      <c r="T317" t="s">
        <v>2510</v>
      </c>
      <c r="U317" t="s">
        <v>2511</v>
      </c>
      <c r="V317" t="s">
        <v>56</v>
      </c>
      <c r="W317" t="s">
        <v>56</v>
      </c>
      <c r="X317" t="s">
        <v>56</v>
      </c>
      <c r="Y317" t="s">
        <v>62</v>
      </c>
      <c r="Z317" t="s">
        <v>63</v>
      </c>
      <c r="AA317" t="s">
        <v>64</v>
      </c>
      <c r="AB317">
        <v>1</v>
      </c>
      <c r="AC317" t="s">
        <v>78</v>
      </c>
      <c r="AD317" t="s">
        <v>66</v>
      </c>
      <c r="AE317" t="s">
        <v>67</v>
      </c>
      <c r="AF317" t="s">
        <v>68</v>
      </c>
      <c r="AG317">
        <v>48125.37</v>
      </c>
      <c r="AH317" t="s">
        <v>69</v>
      </c>
      <c r="AI317" t="s">
        <v>92</v>
      </c>
      <c r="AJ317" t="s">
        <v>359</v>
      </c>
      <c r="AK317" t="s">
        <v>99</v>
      </c>
      <c r="AL317" t="s">
        <v>73</v>
      </c>
      <c r="AM317" t="s">
        <v>73</v>
      </c>
      <c r="AN317" t="s">
        <v>74</v>
      </c>
    </row>
    <row r="318" spans="1:40" x14ac:dyDescent="0.25">
      <c r="A318" t="s">
        <v>552</v>
      </c>
      <c r="B318" t="s">
        <v>5</v>
      </c>
      <c r="C318" s="2">
        <v>916.08931299999995</v>
      </c>
      <c r="D318" t="s">
        <v>56</v>
      </c>
      <c r="E318" t="s">
        <v>56</v>
      </c>
      <c r="F318">
        <v>-9261.65</v>
      </c>
      <c r="G318" t="s">
        <v>552</v>
      </c>
      <c r="H318" t="s">
        <v>7</v>
      </c>
      <c r="I318">
        <v>11460.49</v>
      </c>
      <c r="J318">
        <v>0</v>
      </c>
      <c r="K318">
        <v>0</v>
      </c>
      <c r="L318">
        <v>0</v>
      </c>
      <c r="M318" t="s">
        <v>552</v>
      </c>
      <c r="N318" t="s">
        <v>57</v>
      </c>
      <c r="O318" t="s">
        <v>58</v>
      </c>
      <c r="P318" t="s">
        <v>553</v>
      </c>
      <c r="Q318" t="s">
        <v>554</v>
      </c>
      <c r="R318" t="s">
        <v>61</v>
      </c>
      <c r="S318" t="s">
        <v>58</v>
      </c>
      <c r="T318" t="s">
        <v>553</v>
      </c>
      <c r="U318" t="s">
        <v>554</v>
      </c>
      <c r="V318" t="s">
        <v>56</v>
      </c>
      <c r="W318" t="s">
        <v>56</v>
      </c>
      <c r="X318" t="s">
        <v>56</v>
      </c>
      <c r="Y318" t="s">
        <v>62</v>
      </c>
      <c r="Z318" t="s">
        <v>63</v>
      </c>
      <c r="AA318" t="s">
        <v>64</v>
      </c>
      <c r="AB318">
        <v>1</v>
      </c>
      <c r="AC318" t="s">
        <v>78</v>
      </c>
      <c r="AD318" t="s">
        <v>66</v>
      </c>
      <c r="AE318" t="s">
        <v>85</v>
      </c>
      <c r="AF318" t="s">
        <v>68</v>
      </c>
      <c r="AG318">
        <v>27479.69</v>
      </c>
      <c r="AH318" t="s">
        <v>69</v>
      </c>
      <c r="AI318" t="s">
        <v>132</v>
      </c>
      <c r="AJ318" t="s">
        <v>555</v>
      </c>
      <c r="AK318" t="s">
        <v>72</v>
      </c>
      <c r="AL318" t="s">
        <v>73</v>
      </c>
      <c r="AM318" t="s">
        <v>73</v>
      </c>
      <c r="AN318" t="s">
        <v>56</v>
      </c>
    </row>
    <row r="319" spans="1:40" x14ac:dyDescent="0.25">
      <c r="A319" t="s">
        <v>2495</v>
      </c>
      <c r="B319" t="s">
        <v>5</v>
      </c>
      <c r="C319" s="2">
        <v>914.27393700000005</v>
      </c>
      <c r="D319" t="s">
        <v>56</v>
      </c>
      <c r="E319" t="s">
        <v>56</v>
      </c>
      <c r="F319">
        <v>-11355.32</v>
      </c>
      <c r="G319" t="s">
        <v>2495</v>
      </c>
      <c r="H319" t="s">
        <v>7</v>
      </c>
      <c r="I319">
        <v>13824.81</v>
      </c>
      <c r="J319">
        <v>0</v>
      </c>
      <c r="K319">
        <v>0</v>
      </c>
      <c r="L319">
        <v>0</v>
      </c>
      <c r="M319" t="s">
        <v>2495</v>
      </c>
      <c r="N319" t="s">
        <v>57</v>
      </c>
      <c r="O319" t="s">
        <v>58</v>
      </c>
      <c r="P319" t="s">
        <v>2496</v>
      </c>
      <c r="Q319" t="s">
        <v>2497</v>
      </c>
      <c r="R319" t="s">
        <v>61</v>
      </c>
      <c r="S319" t="s">
        <v>58</v>
      </c>
      <c r="T319" t="s">
        <v>2496</v>
      </c>
      <c r="U319" t="s">
        <v>2497</v>
      </c>
      <c r="V319" t="s">
        <v>56</v>
      </c>
      <c r="W319" t="s">
        <v>56</v>
      </c>
      <c r="X319" t="s">
        <v>56</v>
      </c>
      <c r="Y319" t="s">
        <v>62</v>
      </c>
      <c r="Z319" t="s">
        <v>63</v>
      </c>
      <c r="AA319" t="s">
        <v>64</v>
      </c>
      <c r="AB319">
        <v>1</v>
      </c>
      <c r="AC319" t="s">
        <v>78</v>
      </c>
      <c r="AD319" t="s">
        <v>66</v>
      </c>
      <c r="AE319" t="s">
        <v>85</v>
      </c>
      <c r="AF319" t="s">
        <v>103</v>
      </c>
      <c r="AG319">
        <v>33758.559999999998</v>
      </c>
      <c r="AH319" t="s">
        <v>69</v>
      </c>
      <c r="AI319" t="s">
        <v>244</v>
      </c>
      <c r="AJ319" t="s">
        <v>463</v>
      </c>
      <c r="AK319" t="s">
        <v>72</v>
      </c>
      <c r="AL319" t="s">
        <v>73</v>
      </c>
      <c r="AM319" t="s">
        <v>73</v>
      </c>
      <c r="AN319" t="s">
        <v>56</v>
      </c>
    </row>
    <row r="320" spans="1:40" x14ac:dyDescent="0.25">
      <c r="A320" t="s">
        <v>2243</v>
      </c>
      <c r="B320" t="s">
        <v>5</v>
      </c>
      <c r="C320" s="2">
        <v>911.50239699999997</v>
      </c>
      <c r="D320" t="s">
        <v>56</v>
      </c>
      <c r="E320" t="s">
        <v>56</v>
      </c>
      <c r="F320">
        <v>-16764.73</v>
      </c>
      <c r="G320" t="s">
        <v>2243</v>
      </c>
      <c r="H320" t="s">
        <v>7</v>
      </c>
      <c r="I320">
        <v>21305.13</v>
      </c>
      <c r="J320">
        <v>0</v>
      </c>
      <c r="K320">
        <v>0</v>
      </c>
      <c r="L320">
        <v>0</v>
      </c>
      <c r="M320" t="s">
        <v>2243</v>
      </c>
      <c r="N320" t="s">
        <v>57</v>
      </c>
      <c r="O320" t="s">
        <v>58</v>
      </c>
      <c r="P320" t="s">
        <v>2244</v>
      </c>
      <c r="Q320" t="s">
        <v>2245</v>
      </c>
      <c r="R320" t="s">
        <v>61</v>
      </c>
      <c r="S320" t="s">
        <v>58</v>
      </c>
      <c r="T320" t="s">
        <v>2244</v>
      </c>
      <c r="U320" t="s">
        <v>2245</v>
      </c>
      <c r="V320" t="s">
        <v>56</v>
      </c>
      <c r="W320" t="s">
        <v>56</v>
      </c>
      <c r="X320" t="s">
        <v>56</v>
      </c>
      <c r="Y320" t="s">
        <v>62</v>
      </c>
      <c r="Z320" t="s">
        <v>63</v>
      </c>
      <c r="AA320" t="s">
        <v>64</v>
      </c>
      <c r="AB320">
        <v>1</v>
      </c>
      <c r="AC320" t="s">
        <v>65</v>
      </c>
      <c r="AD320" t="s">
        <v>66</v>
      </c>
      <c r="AE320" t="s">
        <v>85</v>
      </c>
      <c r="AF320" t="s">
        <v>86</v>
      </c>
      <c r="AG320">
        <v>49991.87</v>
      </c>
      <c r="AH320" t="s">
        <v>69</v>
      </c>
      <c r="AI320" t="s">
        <v>128</v>
      </c>
      <c r="AJ320" t="s">
        <v>692</v>
      </c>
      <c r="AK320" t="s">
        <v>72</v>
      </c>
      <c r="AL320" t="s">
        <v>73</v>
      </c>
      <c r="AM320" t="s">
        <v>73</v>
      </c>
      <c r="AN320" t="s">
        <v>56</v>
      </c>
    </row>
    <row r="321" spans="1:40" x14ac:dyDescent="0.25">
      <c r="A321" t="s">
        <v>1620</v>
      </c>
      <c r="B321" t="s">
        <v>5</v>
      </c>
      <c r="C321" s="2">
        <v>911.33523500000001</v>
      </c>
      <c r="D321" t="s">
        <v>56</v>
      </c>
      <c r="E321" t="s">
        <v>56</v>
      </c>
      <c r="F321">
        <v>-12957.18</v>
      </c>
      <c r="G321" t="s">
        <v>1620</v>
      </c>
      <c r="H321" t="s">
        <v>7</v>
      </c>
      <c r="I321">
        <v>15858.79</v>
      </c>
      <c r="J321">
        <v>0</v>
      </c>
      <c r="K321">
        <v>0</v>
      </c>
      <c r="L321">
        <v>0</v>
      </c>
      <c r="M321" t="s">
        <v>1620</v>
      </c>
      <c r="N321" t="s">
        <v>57</v>
      </c>
      <c r="O321" t="s">
        <v>58</v>
      </c>
      <c r="P321" t="s">
        <v>1621</v>
      </c>
      <c r="Q321" t="s">
        <v>1622</v>
      </c>
      <c r="R321" t="s">
        <v>61</v>
      </c>
      <c r="S321" t="s">
        <v>58</v>
      </c>
      <c r="T321" t="s">
        <v>1621</v>
      </c>
      <c r="U321" t="s">
        <v>1622</v>
      </c>
      <c r="V321" t="s">
        <v>56</v>
      </c>
      <c r="W321" t="s">
        <v>56</v>
      </c>
      <c r="X321" t="s">
        <v>56</v>
      </c>
      <c r="Y321" t="s">
        <v>62</v>
      </c>
      <c r="Z321" t="s">
        <v>63</v>
      </c>
      <c r="AA321" t="s">
        <v>64</v>
      </c>
      <c r="AB321">
        <v>1</v>
      </c>
      <c r="AC321" t="s">
        <v>84</v>
      </c>
      <c r="AD321" t="s">
        <v>66</v>
      </c>
      <c r="AE321" t="s">
        <v>85</v>
      </c>
      <c r="AF321" t="s">
        <v>235</v>
      </c>
      <c r="AG321">
        <v>38645.03</v>
      </c>
      <c r="AH321" t="s">
        <v>69</v>
      </c>
      <c r="AI321" t="s">
        <v>297</v>
      </c>
      <c r="AJ321" t="s">
        <v>236</v>
      </c>
      <c r="AK321" t="s">
        <v>72</v>
      </c>
      <c r="AL321" t="s">
        <v>73</v>
      </c>
      <c r="AM321" t="s">
        <v>73</v>
      </c>
      <c r="AN321" t="s">
        <v>56</v>
      </c>
    </row>
    <row r="322" spans="1:40" x14ac:dyDescent="0.25">
      <c r="A322" t="s">
        <v>2473</v>
      </c>
      <c r="B322" t="s">
        <v>5</v>
      </c>
      <c r="C322" s="2">
        <v>910.81369099999995</v>
      </c>
      <c r="D322" t="s">
        <v>56</v>
      </c>
      <c r="E322" t="s">
        <v>56</v>
      </c>
      <c r="F322">
        <v>-13475.59</v>
      </c>
      <c r="G322" t="s">
        <v>2473</v>
      </c>
      <c r="H322" t="s">
        <v>7</v>
      </c>
      <c r="I322">
        <v>18521.740000000002</v>
      </c>
      <c r="J322">
        <v>0</v>
      </c>
      <c r="K322">
        <v>0</v>
      </c>
      <c r="L322">
        <v>0</v>
      </c>
      <c r="M322" t="s">
        <v>2473</v>
      </c>
      <c r="N322" t="s">
        <v>57</v>
      </c>
      <c r="O322" t="s">
        <v>58</v>
      </c>
      <c r="P322" t="s">
        <v>2474</v>
      </c>
      <c r="Q322" t="s">
        <v>565</v>
      </c>
      <c r="R322" t="s">
        <v>61</v>
      </c>
      <c r="S322" t="s">
        <v>58</v>
      </c>
      <c r="T322" t="s">
        <v>2474</v>
      </c>
      <c r="U322" t="s">
        <v>565</v>
      </c>
      <c r="V322" t="s">
        <v>56</v>
      </c>
      <c r="W322" t="s">
        <v>56</v>
      </c>
      <c r="X322" t="s">
        <v>56</v>
      </c>
      <c r="Y322" t="s">
        <v>62</v>
      </c>
      <c r="Z322" t="s">
        <v>63</v>
      </c>
      <c r="AA322" t="s">
        <v>64</v>
      </c>
      <c r="AB322">
        <v>1</v>
      </c>
      <c r="AC322" t="s">
        <v>65</v>
      </c>
      <c r="AD322" t="s">
        <v>66</v>
      </c>
      <c r="AE322" t="s">
        <v>85</v>
      </c>
      <c r="AF322" t="s">
        <v>68</v>
      </c>
      <c r="AG322">
        <v>40214.120000000003</v>
      </c>
      <c r="AH322" t="s">
        <v>69</v>
      </c>
      <c r="AI322" t="s">
        <v>355</v>
      </c>
      <c r="AJ322" t="s">
        <v>761</v>
      </c>
      <c r="AK322" t="s">
        <v>72</v>
      </c>
      <c r="AL322" t="s">
        <v>73</v>
      </c>
      <c r="AM322" t="s">
        <v>73</v>
      </c>
      <c r="AN322" t="s">
        <v>56</v>
      </c>
    </row>
    <row r="323" spans="1:40" x14ac:dyDescent="0.25">
      <c r="A323" t="s">
        <v>1925</v>
      </c>
      <c r="B323" t="s">
        <v>5</v>
      </c>
      <c r="C323" s="2">
        <v>909.33263899999997</v>
      </c>
      <c r="D323" t="s">
        <v>56</v>
      </c>
      <c r="E323" t="s">
        <v>56</v>
      </c>
      <c r="F323">
        <v>-7638.36</v>
      </c>
      <c r="G323" t="s">
        <v>1925</v>
      </c>
      <c r="H323" t="s">
        <v>7</v>
      </c>
      <c r="I323">
        <v>10547.29</v>
      </c>
      <c r="J323">
        <v>0</v>
      </c>
      <c r="K323">
        <v>0</v>
      </c>
      <c r="L323">
        <v>0</v>
      </c>
      <c r="M323" t="s">
        <v>1925</v>
      </c>
      <c r="N323" t="s">
        <v>57</v>
      </c>
      <c r="O323" t="s">
        <v>58</v>
      </c>
      <c r="P323" t="s">
        <v>1926</v>
      </c>
      <c r="Q323" t="s">
        <v>1927</v>
      </c>
      <c r="R323" t="s">
        <v>61</v>
      </c>
      <c r="S323" t="s">
        <v>58</v>
      </c>
      <c r="T323" t="s">
        <v>1926</v>
      </c>
      <c r="U323" t="s">
        <v>1927</v>
      </c>
      <c r="V323" t="s">
        <v>56</v>
      </c>
      <c r="W323" t="s">
        <v>56</v>
      </c>
      <c r="X323" t="s">
        <v>56</v>
      </c>
      <c r="Y323" t="s">
        <v>62</v>
      </c>
      <c r="Z323" t="s">
        <v>63</v>
      </c>
      <c r="AA323" t="s">
        <v>64</v>
      </c>
      <c r="AB323">
        <v>1</v>
      </c>
      <c r="AC323" t="s">
        <v>78</v>
      </c>
      <c r="AD323" t="s">
        <v>66</v>
      </c>
      <c r="AE323" t="s">
        <v>85</v>
      </c>
      <c r="AF323" t="s">
        <v>103</v>
      </c>
      <c r="AG323">
        <v>28083</v>
      </c>
      <c r="AH323" t="s">
        <v>69</v>
      </c>
      <c r="AI323" t="s">
        <v>181</v>
      </c>
      <c r="AJ323" t="s">
        <v>864</v>
      </c>
      <c r="AK323" t="s">
        <v>99</v>
      </c>
      <c r="AL323" t="s">
        <v>73</v>
      </c>
      <c r="AM323" t="s">
        <v>73</v>
      </c>
      <c r="AN323" t="s">
        <v>56</v>
      </c>
    </row>
    <row r="324" spans="1:40" x14ac:dyDescent="0.25">
      <c r="A324" t="s">
        <v>348</v>
      </c>
      <c r="B324" t="s">
        <v>5</v>
      </c>
      <c r="C324" s="2">
        <v>908.49348699999996</v>
      </c>
      <c r="D324" t="s">
        <v>56</v>
      </c>
      <c r="E324" t="s">
        <v>56</v>
      </c>
      <c r="F324">
        <v>-11697.79</v>
      </c>
      <c r="G324" t="s">
        <v>348</v>
      </c>
      <c r="H324" t="s">
        <v>7</v>
      </c>
      <c r="I324">
        <v>14326.56</v>
      </c>
      <c r="J324">
        <v>0</v>
      </c>
      <c r="K324">
        <v>0</v>
      </c>
      <c r="L324">
        <v>0</v>
      </c>
      <c r="M324" t="s">
        <v>348</v>
      </c>
      <c r="N324" t="s">
        <v>57</v>
      </c>
      <c r="O324" t="s">
        <v>58</v>
      </c>
      <c r="P324" t="s">
        <v>349</v>
      </c>
      <c r="Q324" t="s">
        <v>350</v>
      </c>
      <c r="R324" t="s">
        <v>61</v>
      </c>
      <c r="S324" t="s">
        <v>58</v>
      </c>
      <c r="T324" t="s">
        <v>349</v>
      </c>
      <c r="U324" t="s">
        <v>350</v>
      </c>
      <c r="V324" t="s">
        <v>56</v>
      </c>
      <c r="W324" t="s">
        <v>56</v>
      </c>
      <c r="X324" t="s">
        <v>56</v>
      </c>
      <c r="Y324" t="s">
        <v>62</v>
      </c>
      <c r="Z324" t="s">
        <v>63</v>
      </c>
      <c r="AA324" t="s">
        <v>64</v>
      </c>
      <c r="AB324">
        <v>1</v>
      </c>
      <c r="AC324" t="s">
        <v>78</v>
      </c>
      <c r="AD324" t="s">
        <v>66</v>
      </c>
      <c r="AE324" t="s">
        <v>85</v>
      </c>
      <c r="AF324" t="s">
        <v>68</v>
      </c>
      <c r="AG324">
        <v>34998.01</v>
      </c>
      <c r="AH324" t="s">
        <v>69</v>
      </c>
      <c r="AI324" t="s">
        <v>128</v>
      </c>
      <c r="AJ324" t="s">
        <v>351</v>
      </c>
      <c r="AK324" t="s">
        <v>72</v>
      </c>
      <c r="AL324" t="s">
        <v>73</v>
      </c>
      <c r="AM324" t="s">
        <v>73</v>
      </c>
      <c r="AN324" t="s">
        <v>56</v>
      </c>
    </row>
    <row r="325" spans="1:40" x14ac:dyDescent="0.25">
      <c r="A325" t="s">
        <v>1678</v>
      </c>
      <c r="B325" t="s">
        <v>5</v>
      </c>
      <c r="C325">
        <v>908.30409499999996</v>
      </c>
      <c r="D325">
        <v>771.54323099999999</v>
      </c>
      <c r="E325" t="s">
        <v>56</v>
      </c>
      <c r="F325">
        <v>-48662.54</v>
      </c>
      <c r="G325" t="s">
        <v>1678</v>
      </c>
      <c r="H325" t="s">
        <v>7</v>
      </c>
      <c r="I325">
        <v>52559.35</v>
      </c>
      <c r="J325">
        <v>981.04855599999996</v>
      </c>
      <c r="K325">
        <v>833.33475799999997</v>
      </c>
      <c r="L325">
        <v>0</v>
      </c>
      <c r="M325" t="s">
        <v>1678</v>
      </c>
      <c r="N325" t="s">
        <v>57</v>
      </c>
      <c r="O325" t="s">
        <v>58</v>
      </c>
      <c r="P325" t="s">
        <v>1679</v>
      </c>
      <c r="Q325" t="s">
        <v>1680</v>
      </c>
      <c r="R325" t="s">
        <v>61</v>
      </c>
      <c r="S325" t="s">
        <v>58</v>
      </c>
      <c r="T325" t="s">
        <v>1679</v>
      </c>
      <c r="U325" t="s">
        <v>1680</v>
      </c>
      <c r="V325" t="s">
        <v>56</v>
      </c>
      <c r="W325" t="s">
        <v>56</v>
      </c>
      <c r="X325" t="s">
        <v>56</v>
      </c>
      <c r="Y325" t="s">
        <v>62</v>
      </c>
      <c r="Z325" t="s">
        <v>63</v>
      </c>
      <c r="AA325" t="s">
        <v>64</v>
      </c>
      <c r="AB325">
        <v>1</v>
      </c>
      <c r="AC325" t="s">
        <v>84</v>
      </c>
      <c r="AD325" t="s">
        <v>66</v>
      </c>
      <c r="AE325" t="s">
        <v>67</v>
      </c>
      <c r="AF325" t="s">
        <v>103</v>
      </c>
      <c r="AG325">
        <v>60060.9</v>
      </c>
      <c r="AH325" t="s">
        <v>69</v>
      </c>
      <c r="AI325" t="s">
        <v>176</v>
      </c>
      <c r="AJ325" t="s">
        <v>477</v>
      </c>
      <c r="AK325" t="s">
        <v>99</v>
      </c>
      <c r="AL325" t="s">
        <v>73</v>
      </c>
      <c r="AM325" t="s">
        <v>73</v>
      </c>
      <c r="AN325" t="s">
        <v>74</v>
      </c>
    </row>
    <row r="326" spans="1:40" x14ac:dyDescent="0.25">
      <c r="A326" t="s">
        <v>1159</v>
      </c>
      <c r="B326" t="s">
        <v>5</v>
      </c>
      <c r="C326">
        <v>906.86386800000002</v>
      </c>
      <c r="D326" t="s">
        <v>56</v>
      </c>
      <c r="E326" t="s">
        <v>56</v>
      </c>
      <c r="F326">
        <v>-13101.34</v>
      </c>
      <c r="G326" t="s">
        <v>1159</v>
      </c>
      <c r="H326" t="s">
        <v>7</v>
      </c>
      <c r="I326">
        <v>14910.58</v>
      </c>
      <c r="J326">
        <v>1262.1874829999999</v>
      </c>
      <c r="K326">
        <v>0</v>
      </c>
      <c r="L326">
        <v>0</v>
      </c>
      <c r="M326" t="s">
        <v>1159</v>
      </c>
      <c r="N326" t="s">
        <v>57</v>
      </c>
      <c r="O326" t="s">
        <v>58</v>
      </c>
      <c r="P326" t="s">
        <v>1160</v>
      </c>
      <c r="Q326" t="s">
        <v>1161</v>
      </c>
      <c r="R326" t="s">
        <v>61</v>
      </c>
      <c r="S326" t="s">
        <v>58</v>
      </c>
      <c r="T326" t="s">
        <v>1160</v>
      </c>
      <c r="U326" t="s">
        <v>1161</v>
      </c>
      <c r="V326" t="s">
        <v>56</v>
      </c>
      <c r="W326" t="s">
        <v>56</v>
      </c>
      <c r="X326" t="s">
        <v>56</v>
      </c>
      <c r="Y326" t="s">
        <v>62</v>
      </c>
      <c r="Z326" t="s">
        <v>63</v>
      </c>
      <c r="AA326" t="s">
        <v>64</v>
      </c>
      <c r="AB326">
        <v>1</v>
      </c>
      <c r="AC326" t="s">
        <v>84</v>
      </c>
      <c r="AD326" t="s">
        <v>66</v>
      </c>
      <c r="AE326" t="s">
        <v>113</v>
      </c>
      <c r="AF326" t="s">
        <v>68</v>
      </c>
      <c r="AG326">
        <v>39493.35</v>
      </c>
      <c r="AH326" t="s">
        <v>69</v>
      </c>
      <c r="AI326" t="s">
        <v>122</v>
      </c>
      <c r="AJ326" t="s">
        <v>138</v>
      </c>
      <c r="AK326" t="s">
        <v>72</v>
      </c>
      <c r="AL326" t="s">
        <v>73</v>
      </c>
      <c r="AM326" t="s">
        <v>73</v>
      </c>
      <c r="AN326" t="s">
        <v>116</v>
      </c>
    </row>
    <row r="327" spans="1:40" x14ac:dyDescent="0.25">
      <c r="A327" t="s">
        <v>1505</v>
      </c>
      <c r="B327" t="s">
        <v>5</v>
      </c>
      <c r="C327">
        <v>905.33216500000003</v>
      </c>
      <c r="D327">
        <v>769.018777</v>
      </c>
      <c r="E327" t="s">
        <v>56</v>
      </c>
      <c r="F327">
        <v>-40378.44</v>
      </c>
      <c r="G327" t="s">
        <v>1505</v>
      </c>
      <c r="H327" t="s">
        <v>7</v>
      </c>
      <c r="I327">
        <v>45032.160000000003</v>
      </c>
      <c r="J327">
        <v>1009.671459</v>
      </c>
      <c r="K327">
        <v>857.64798900000005</v>
      </c>
      <c r="L327">
        <v>0</v>
      </c>
      <c r="M327" t="s">
        <v>1505</v>
      </c>
      <c r="N327" t="s">
        <v>57</v>
      </c>
      <c r="O327" t="s">
        <v>58</v>
      </c>
      <c r="P327" t="s">
        <v>1506</v>
      </c>
      <c r="Q327" t="s">
        <v>1507</v>
      </c>
      <c r="R327" t="s">
        <v>61</v>
      </c>
      <c r="S327" t="s">
        <v>58</v>
      </c>
      <c r="T327" t="s">
        <v>1506</v>
      </c>
      <c r="U327" t="s">
        <v>1507</v>
      </c>
      <c r="V327" t="s">
        <v>56</v>
      </c>
      <c r="W327" t="s">
        <v>56</v>
      </c>
      <c r="X327" t="s">
        <v>56</v>
      </c>
      <c r="Y327" t="s">
        <v>62</v>
      </c>
      <c r="Z327" t="s">
        <v>63</v>
      </c>
      <c r="AA327" t="s">
        <v>64</v>
      </c>
      <c r="AB327">
        <v>1</v>
      </c>
      <c r="AC327" t="s">
        <v>84</v>
      </c>
      <c r="AD327" t="s">
        <v>66</v>
      </c>
      <c r="AE327" t="s">
        <v>67</v>
      </c>
      <c r="AF327" t="s">
        <v>68</v>
      </c>
      <c r="AG327">
        <v>50000</v>
      </c>
      <c r="AH327" t="s">
        <v>69</v>
      </c>
      <c r="AI327" t="s">
        <v>92</v>
      </c>
      <c r="AJ327" t="s">
        <v>164</v>
      </c>
      <c r="AK327" t="s">
        <v>99</v>
      </c>
      <c r="AL327" t="s">
        <v>73</v>
      </c>
      <c r="AM327" t="s">
        <v>73</v>
      </c>
      <c r="AN327" t="s">
        <v>74</v>
      </c>
    </row>
    <row r="328" spans="1:40" x14ac:dyDescent="0.25">
      <c r="A328" t="s">
        <v>1623</v>
      </c>
      <c r="B328" t="s">
        <v>5</v>
      </c>
      <c r="C328" s="2">
        <v>901.89060199999994</v>
      </c>
      <c r="D328" t="s">
        <v>56</v>
      </c>
      <c r="E328" t="s">
        <v>56</v>
      </c>
      <c r="F328">
        <v>-15570.92</v>
      </c>
      <c r="G328" t="s">
        <v>1623</v>
      </c>
      <c r="H328" t="s">
        <v>7</v>
      </c>
      <c r="I328">
        <v>19822.34</v>
      </c>
      <c r="J328">
        <v>0</v>
      </c>
      <c r="K328">
        <v>0</v>
      </c>
      <c r="L328">
        <v>0</v>
      </c>
      <c r="M328" t="s">
        <v>1623</v>
      </c>
      <c r="N328" t="s">
        <v>57</v>
      </c>
      <c r="O328" t="s">
        <v>58</v>
      </c>
      <c r="P328" t="s">
        <v>1624</v>
      </c>
      <c r="Q328" t="s">
        <v>1625</v>
      </c>
      <c r="R328" t="s">
        <v>61</v>
      </c>
      <c r="S328" t="s">
        <v>58</v>
      </c>
      <c r="T328" t="s">
        <v>1624</v>
      </c>
      <c r="U328" t="s">
        <v>1625</v>
      </c>
      <c r="V328" t="s">
        <v>56</v>
      </c>
      <c r="W328" t="s">
        <v>56</v>
      </c>
      <c r="X328" t="s">
        <v>56</v>
      </c>
      <c r="Y328" t="s">
        <v>62</v>
      </c>
      <c r="Z328" t="s">
        <v>63</v>
      </c>
      <c r="AA328" t="s">
        <v>64</v>
      </c>
      <c r="AB328">
        <v>1</v>
      </c>
      <c r="AC328" t="s">
        <v>84</v>
      </c>
      <c r="AD328" t="s">
        <v>66</v>
      </c>
      <c r="AE328" t="s">
        <v>85</v>
      </c>
      <c r="AF328" t="s">
        <v>68</v>
      </c>
      <c r="AG328">
        <v>57720</v>
      </c>
      <c r="AH328" t="s">
        <v>69</v>
      </c>
      <c r="AI328" t="s">
        <v>501</v>
      </c>
      <c r="AJ328" t="s">
        <v>249</v>
      </c>
      <c r="AK328" t="s">
        <v>99</v>
      </c>
      <c r="AL328" t="s">
        <v>73</v>
      </c>
      <c r="AM328" t="s">
        <v>73</v>
      </c>
      <c r="AN328" t="s">
        <v>56</v>
      </c>
    </row>
    <row r="329" spans="1:40" x14ac:dyDescent="0.25">
      <c r="A329" t="s">
        <v>748</v>
      </c>
      <c r="B329" t="s">
        <v>5</v>
      </c>
      <c r="C329">
        <v>901.51159199999995</v>
      </c>
      <c r="D329">
        <v>765.77345700000001</v>
      </c>
      <c r="E329" t="s">
        <v>56</v>
      </c>
      <c r="F329">
        <v>-30558.09</v>
      </c>
      <c r="G329" t="s">
        <v>748</v>
      </c>
      <c r="H329" t="s">
        <v>7</v>
      </c>
      <c r="I329">
        <v>34102.559999999998</v>
      </c>
      <c r="J329">
        <v>1006.062767</v>
      </c>
      <c r="K329">
        <v>854.58264799999995</v>
      </c>
      <c r="L329">
        <v>0</v>
      </c>
      <c r="M329" t="s">
        <v>748</v>
      </c>
      <c r="N329" t="s">
        <v>57</v>
      </c>
      <c r="O329" t="s">
        <v>58</v>
      </c>
      <c r="P329" t="s">
        <v>749</v>
      </c>
      <c r="Q329" t="s">
        <v>750</v>
      </c>
      <c r="R329" t="s">
        <v>61</v>
      </c>
      <c r="S329" t="s">
        <v>58</v>
      </c>
      <c r="T329" t="s">
        <v>749</v>
      </c>
      <c r="U329" t="s">
        <v>750</v>
      </c>
      <c r="V329" t="s">
        <v>56</v>
      </c>
      <c r="W329" t="s">
        <v>56</v>
      </c>
      <c r="X329" t="s">
        <v>56</v>
      </c>
      <c r="Y329" t="s">
        <v>62</v>
      </c>
      <c r="Z329" t="s">
        <v>63</v>
      </c>
      <c r="AA329" t="s">
        <v>64</v>
      </c>
      <c r="AB329">
        <v>1</v>
      </c>
      <c r="AC329" t="s">
        <v>84</v>
      </c>
      <c r="AD329" t="s">
        <v>66</v>
      </c>
      <c r="AE329" t="s">
        <v>67</v>
      </c>
      <c r="AF329" t="s">
        <v>68</v>
      </c>
      <c r="AG329">
        <v>38000</v>
      </c>
      <c r="AH329" t="s">
        <v>69</v>
      </c>
      <c r="AI329" t="s">
        <v>536</v>
      </c>
      <c r="AJ329" t="s">
        <v>143</v>
      </c>
      <c r="AK329" t="s">
        <v>99</v>
      </c>
      <c r="AL329" t="s">
        <v>73</v>
      </c>
      <c r="AM329" t="s">
        <v>73</v>
      </c>
      <c r="AN329" t="s">
        <v>74</v>
      </c>
    </row>
    <row r="330" spans="1:40" x14ac:dyDescent="0.25">
      <c r="A330" t="s">
        <v>968</v>
      </c>
      <c r="B330" t="s">
        <v>5</v>
      </c>
      <c r="C330">
        <v>901.51047100000005</v>
      </c>
      <c r="D330">
        <v>765.77250500000002</v>
      </c>
      <c r="E330" t="s">
        <v>56</v>
      </c>
      <c r="F330">
        <v>-44630.84</v>
      </c>
      <c r="G330" t="s">
        <v>968</v>
      </c>
      <c r="H330" t="s">
        <v>7</v>
      </c>
      <c r="I330">
        <v>49807.66</v>
      </c>
      <c r="J330">
        <v>1006.065009</v>
      </c>
      <c r="K330">
        <v>854.58455300000003</v>
      </c>
      <c r="L330">
        <v>0</v>
      </c>
      <c r="M330" t="s">
        <v>968</v>
      </c>
      <c r="N330" t="s">
        <v>57</v>
      </c>
      <c r="O330" t="s">
        <v>58</v>
      </c>
      <c r="P330" t="s">
        <v>969</v>
      </c>
      <c r="Q330" t="s">
        <v>970</v>
      </c>
      <c r="R330" t="s">
        <v>61</v>
      </c>
      <c r="S330" t="s">
        <v>58</v>
      </c>
      <c r="T330" t="s">
        <v>969</v>
      </c>
      <c r="U330" t="s">
        <v>970</v>
      </c>
      <c r="V330" t="s">
        <v>56</v>
      </c>
      <c r="W330" t="s">
        <v>56</v>
      </c>
      <c r="X330" t="s">
        <v>56</v>
      </c>
      <c r="Y330" t="s">
        <v>62</v>
      </c>
      <c r="Z330" t="s">
        <v>63</v>
      </c>
      <c r="AA330" t="s">
        <v>64</v>
      </c>
      <c r="AB330">
        <v>1</v>
      </c>
      <c r="AC330" t="s">
        <v>84</v>
      </c>
      <c r="AD330" t="s">
        <v>66</v>
      </c>
      <c r="AE330" t="s">
        <v>67</v>
      </c>
      <c r="AF330" t="s">
        <v>68</v>
      </c>
      <c r="AG330">
        <v>55500</v>
      </c>
      <c r="AH330" t="s">
        <v>69</v>
      </c>
      <c r="AI330" t="s">
        <v>355</v>
      </c>
      <c r="AJ330" t="s">
        <v>143</v>
      </c>
      <c r="AK330" t="s">
        <v>99</v>
      </c>
      <c r="AL330" t="s">
        <v>73</v>
      </c>
      <c r="AM330" t="s">
        <v>73</v>
      </c>
      <c r="AN330" t="s">
        <v>74</v>
      </c>
    </row>
    <row r="331" spans="1:40" x14ac:dyDescent="0.25">
      <c r="A331" t="s">
        <v>1809</v>
      </c>
      <c r="B331" t="s">
        <v>5</v>
      </c>
      <c r="C331">
        <v>901.51047100000005</v>
      </c>
      <c r="D331">
        <v>765.77250500000002</v>
      </c>
      <c r="E331" t="s">
        <v>56</v>
      </c>
      <c r="F331">
        <v>-34176.79</v>
      </c>
      <c r="G331" t="s">
        <v>1809</v>
      </c>
      <c r="H331" t="s">
        <v>7</v>
      </c>
      <c r="I331">
        <v>38141.01</v>
      </c>
      <c r="J331">
        <v>1006.0784619999999</v>
      </c>
      <c r="K331">
        <v>854.59598000000005</v>
      </c>
      <c r="L331">
        <v>0</v>
      </c>
      <c r="M331" t="s">
        <v>1809</v>
      </c>
      <c r="N331" t="s">
        <v>57</v>
      </c>
      <c r="O331" t="s">
        <v>58</v>
      </c>
      <c r="P331" t="s">
        <v>1810</v>
      </c>
      <c r="Q331" t="s">
        <v>1811</v>
      </c>
      <c r="R331" t="s">
        <v>61</v>
      </c>
      <c r="S331" t="s">
        <v>58</v>
      </c>
      <c r="T331" t="s">
        <v>1810</v>
      </c>
      <c r="U331" t="s">
        <v>1811</v>
      </c>
      <c r="V331" t="s">
        <v>56</v>
      </c>
      <c r="W331" t="s">
        <v>56</v>
      </c>
      <c r="X331" t="s">
        <v>56</v>
      </c>
      <c r="Y331" t="s">
        <v>62</v>
      </c>
      <c r="Z331" t="s">
        <v>63</v>
      </c>
      <c r="AA331" t="s">
        <v>64</v>
      </c>
      <c r="AB331">
        <v>1</v>
      </c>
      <c r="AC331" t="s">
        <v>84</v>
      </c>
      <c r="AD331" t="s">
        <v>66</v>
      </c>
      <c r="AE331" t="s">
        <v>67</v>
      </c>
      <c r="AF331" t="s">
        <v>103</v>
      </c>
      <c r="AG331">
        <v>42500</v>
      </c>
      <c r="AH331" t="s">
        <v>69</v>
      </c>
      <c r="AI331" t="s">
        <v>70</v>
      </c>
      <c r="AJ331" t="s">
        <v>143</v>
      </c>
      <c r="AK331" t="s">
        <v>99</v>
      </c>
      <c r="AL331" t="s">
        <v>73</v>
      </c>
      <c r="AM331" t="s">
        <v>73</v>
      </c>
      <c r="AN331" t="s">
        <v>74</v>
      </c>
    </row>
    <row r="332" spans="1:40" x14ac:dyDescent="0.25">
      <c r="A332" t="s">
        <v>397</v>
      </c>
      <c r="B332" t="s">
        <v>5</v>
      </c>
      <c r="C332">
        <v>900.56829300000004</v>
      </c>
      <c r="D332">
        <v>551.89823699999999</v>
      </c>
      <c r="E332" t="s">
        <v>56</v>
      </c>
      <c r="F332">
        <v>-38066.15</v>
      </c>
      <c r="G332" t="s">
        <v>397</v>
      </c>
      <c r="H332" t="s">
        <v>7</v>
      </c>
      <c r="I332">
        <v>43385.34</v>
      </c>
      <c r="J332">
        <v>972.78185900000005</v>
      </c>
      <c r="K332">
        <v>826.31275600000004</v>
      </c>
      <c r="L332">
        <v>0</v>
      </c>
      <c r="M332" t="s">
        <v>397</v>
      </c>
      <c r="N332" t="s">
        <v>57</v>
      </c>
      <c r="O332" t="s">
        <v>58</v>
      </c>
      <c r="P332" t="s">
        <v>398</v>
      </c>
      <c r="Q332" t="s">
        <v>399</v>
      </c>
      <c r="R332" t="s">
        <v>61</v>
      </c>
      <c r="S332" t="s">
        <v>58</v>
      </c>
      <c r="T332" t="s">
        <v>398</v>
      </c>
      <c r="U332" t="s">
        <v>399</v>
      </c>
      <c r="V332" t="s">
        <v>56</v>
      </c>
      <c r="W332" t="s">
        <v>56</v>
      </c>
      <c r="X332" t="s">
        <v>56</v>
      </c>
      <c r="Y332" t="s">
        <v>62</v>
      </c>
      <c r="Z332" t="s">
        <v>63</v>
      </c>
      <c r="AA332" t="s">
        <v>64</v>
      </c>
      <c r="AB332">
        <v>1</v>
      </c>
      <c r="AC332" t="s">
        <v>84</v>
      </c>
      <c r="AD332" t="s">
        <v>66</v>
      </c>
      <c r="AE332" t="s">
        <v>67</v>
      </c>
      <c r="AF332" t="s">
        <v>68</v>
      </c>
      <c r="AG332">
        <v>49998.38</v>
      </c>
      <c r="AH332" t="s">
        <v>69</v>
      </c>
      <c r="AI332" t="s">
        <v>400</v>
      </c>
      <c r="AJ332" t="s">
        <v>401</v>
      </c>
      <c r="AK332" t="s">
        <v>72</v>
      </c>
      <c r="AL332" t="s">
        <v>73</v>
      </c>
      <c r="AM332" t="s">
        <v>73</v>
      </c>
      <c r="AN332" t="s">
        <v>74</v>
      </c>
    </row>
    <row r="333" spans="1:40" x14ac:dyDescent="0.25">
      <c r="A333" t="s">
        <v>517</v>
      </c>
      <c r="B333" t="s">
        <v>5</v>
      </c>
      <c r="C333">
        <v>889.85593200000005</v>
      </c>
      <c r="D333">
        <v>755.87275799999998</v>
      </c>
      <c r="E333" t="s">
        <v>56</v>
      </c>
      <c r="F333">
        <v>-21344.31</v>
      </c>
      <c r="G333" t="s">
        <v>517</v>
      </c>
      <c r="H333" t="s">
        <v>7</v>
      </c>
      <c r="I333">
        <v>23847.35</v>
      </c>
      <c r="J333">
        <v>994.19522600000005</v>
      </c>
      <c r="K333">
        <v>844.50197000000003</v>
      </c>
      <c r="L333">
        <v>0</v>
      </c>
      <c r="M333" t="s">
        <v>517</v>
      </c>
      <c r="N333" t="s">
        <v>57</v>
      </c>
      <c r="O333" t="s">
        <v>58</v>
      </c>
      <c r="P333" t="s">
        <v>518</v>
      </c>
      <c r="Q333" t="s">
        <v>519</v>
      </c>
      <c r="R333" t="s">
        <v>61</v>
      </c>
      <c r="S333" t="s">
        <v>58</v>
      </c>
      <c r="T333" t="s">
        <v>518</v>
      </c>
      <c r="U333" t="s">
        <v>519</v>
      </c>
      <c r="V333" t="s">
        <v>56</v>
      </c>
      <c r="W333" t="s">
        <v>56</v>
      </c>
      <c r="X333" t="s">
        <v>56</v>
      </c>
      <c r="Y333" t="s">
        <v>62</v>
      </c>
      <c r="Z333" t="s">
        <v>63</v>
      </c>
      <c r="AA333" t="s">
        <v>64</v>
      </c>
      <c r="AB333">
        <v>1</v>
      </c>
      <c r="AC333" t="s">
        <v>78</v>
      </c>
      <c r="AD333" t="s">
        <v>66</v>
      </c>
      <c r="AE333" t="s">
        <v>67</v>
      </c>
      <c r="AF333" t="s">
        <v>68</v>
      </c>
      <c r="AG333">
        <v>26890</v>
      </c>
      <c r="AH333" t="s">
        <v>69</v>
      </c>
      <c r="AI333" t="s">
        <v>176</v>
      </c>
      <c r="AJ333" t="s">
        <v>209</v>
      </c>
      <c r="AK333" t="s">
        <v>99</v>
      </c>
      <c r="AL333" t="s">
        <v>73</v>
      </c>
      <c r="AM333" t="s">
        <v>73</v>
      </c>
      <c r="AN333" t="s">
        <v>74</v>
      </c>
    </row>
    <row r="334" spans="1:40" x14ac:dyDescent="0.25">
      <c r="A334" t="s">
        <v>1113</v>
      </c>
      <c r="B334" t="s">
        <v>5</v>
      </c>
      <c r="C334" s="2">
        <v>886.70563800000002</v>
      </c>
      <c r="D334" t="s">
        <v>56</v>
      </c>
      <c r="E334" t="s">
        <v>56</v>
      </c>
      <c r="F334">
        <v>-11402.54</v>
      </c>
      <c r="G334" t="s">
        <v>1113</v>
      </c>
      <c r="H334" t="s">
        <v>7</v>
      </c>
      <c r="I334">
        <v>14477.81</v>
      </c>
      <c r="J334">
        <v>0</v>
      </c>
      <c r="K334">
        <v>0</v>
      </c>
      <c r="L334">
        <v>0</v>
      </c>
      <c r="M334" t="s">
        <v>1113</v>
      </c>
      <c r="N334" t="s">
        <v>57</v>
      </c>
      <c r="O334" t="s">
        <v>58</v>
      </c>
      <c r="P334" t="s">
        <v>1114</v>
      </c>
      <c r="Q334" t="s">
        <v>1115</v>
      </c>
      <c r="R334" t="s">
        <v>61</v>
      </c>
      <c r="S334" t="s">
        <v>58</v>
      </c>
      <c r="T334" t="s">
        <v>1114</v>
      </c>
      <c r="U334" t="s">
        <v>1115</v>
      </c>
      <c r="V334" t="s">
        <v>56</v>
      </c>
      <c r="W334" t="s">
        <v>56</v>
      </c>
      <c r="X334" t="s">
        <v>56</v>
      </c>
      <c r="Y334" t="s">
        <v>62</v>
      </c>
      <c r="Z334" t="s">
        <v>63</v>
      </c>
      <c r="AA334" t="s">
        <v>64</v>
      </c>
      <c r="AB334">
        <v>1</v>
      </c>
      <c r="AC334" t="s">
        <v>84</v>
      </c>
      <c r="AD334" t="s">
        <v>66</v>
      </c>
      <c r="AE334" t="s">
        <v>85</v>
      </c>
      <c r="AF334" t="s">
        <v>68</v>
      </c>
      <c r="AG334">
        <v>34952.85</v>
      </c>
      <c r="AH334" t="s">
        <v>69</v>
      </c>
      <c r="AI334" t="s">
        <v>132</v>
      </c>
      <c r="AJ334" t="s">
        <v>912</v>
      </c>
      <c r="AK334" t="s">
        <v>72</v>
      </c>
      <c r="AL334" t="s">
        <v>73</v>
      </c>
      <c r="AM334" t="s">
        <v>73</v>
      </c>
      <c r="AN334" t="s">
        <v>56</v>
      </c>
    </row>
    <row r="335" spans="1:40" x14ac:dyDescent="0.25">
      <c r="A335" t="s">
        <v>1338</v>
      </c>
      <c r="B335" t="s">
        <v>5</v>
      </c>
      <c r="C335" s="2">
        <v>884.97384299999999</v>
      </c>
      <c r="D335" t="s">
        <v>56</v>
      </c>
      <c r="E335" t="s">
        <v>56</v>
      </c>
      <c r="F335">
        <v>-9141.6</v>
      </c>
      <c r="G335" t="s">
        <v>1338</v>
      </c>
      <c r="H335" t="s">
        <v>7</v>
      </c>
      <c r="I335">
        <v>11537</v>
      </c>
      <c r="J335">
        <v>0</v>
      </c>
      <c r="K335">
        <v>0</v>
      </c>
      <c r="L335">
        <v>0</v>
      </c>
      <c r="M335" t="s">
        <v>1338</v>
      </c>
      <c r="N335" t="s">
        <v>57</v>
      </c>
      <c r="O335" t="s">
        <v>58</v>
      </c>
      <c r="P335" t="s">
        <v>1339</v>
      </c>
      <c r="Q335" t="s">
        <v>1340</v>
      </c>
      <c r="R335" t="s">
        <v>61</v>
      </c>
      <c r="S335" t="s">
        <v>58</v>
      </c>
      <c r="T335" t="s">
        <v>1339</v>
      </c>
      <c r="U335" t="s">
        <v>1340</v>
      </c>
      <c r="V335" t="s">
        <v>56</v>
      </c>
      <c r="W335" t="s">
        <v>56</v>
      </c>
      <c r="X335" t="s">
        <v>56</v>
      </c>
      <c r="Y335" t="s">
        <v>62</v>
      </c>
      <c r="Z335" t="s">
        <v>63</v>
      </c>
      <c r="AA335" t="s">
        <v>64</v>
      </c>
      <c r="AB335">
        <v>1</v>
      </c>
      <c r="AC335" t="s">
        <v>65</v>
      </c>
      <c r="AD335" t="s">
        <v>66</v>
      </c>
      <c r="AE335" t="s">
        <v>85</v>
      </c>
      <c r="AF335" t="s">
        <v>68</v>
      </c>
      <c r="AG335">
        <v>28077.08</v>
      </c>
      <c r="AH335" t="s">
        <v>69</v>
      </c>
      <c r="AI335" t="s">
        <v>400</v>
      </c>
      <c r="AJ335" t="s">
        <v>1341</v>
      </c>
      <c r="AK335" t="s">
        <v>72</v>
      </c>
      <c r="AL335" t="s">
        <v>73</v>
      </c>
      <c r="AM335" t="s">
        <v>73</v>
      </c>
      <c r="AN335" t="s">
        <v>56</v>
      </c>
    </row>
    <row r="336" spans="1:40" x14ac:dyDescent="0.25">
      <c r="A336" t="s">
        <v>1835</v>
      </c>
      <c r="B336" t="s">
        <v>5</v>
      </c>
      <c r="C336">
        <v>884.73492999999996</v>
      </c>
      <c r="D336">
        <v>751.52281100000005</v>
      </c>
      <c r="E336" t="s">
        <v>56</v>
      </c>
      <c r="F336">
        <v>-39197.9</v>
      </c>
      <c r="G336" t="s">
        <v>1835</v>
      </c>
      <c r="H336" t="s">
        <v>7</v>
      </c>
      <c r="I336">
        <v>43890.03</v>
      </c>
      <c r="J336">
        <v>990.64370799999995</v>
      </c>
      <c r="K336">
        <v>841.48519499999998</v>
      </c>
      <c r="L336">
        <v>0</v>
      </c>
      <c r="M336" t="s">
        <v>1835</v>
      </c>
      <c r="N336" t="s">
        <v>57</v>
      </c>
      <c r="O336" t="s">
        <v>58</v>
      </c>
      <c r="P336" t="s">
        <v>1836</v>
      </c>
      <c r="Q336" t="s">
        <v>1837</v>
      </c>
      <c r="R336" t="s">
        <v>61</v>
      </c>
      <c r="S336" t="s">
        <v>58</v>
      </c>
      <c r="T336" t="s">
        <v>1836</v>
      </c>
      <c r="U336" t="s">
        <v>1837</v>
      </c>
      <c r="V336" t="s">
        <v>56</v>
      </c>
      <c r="W336" t="s">
        <v>56</v>
      </c>
      <c r="X336" t="s">
        <v>56</v>
      </c>
      <c r="Y336" t="s">
        <v>62</v>
      </c>
      <c r="Z336" t="s">
        <v>63</v>
      </c>
      <c r="AA336" t="s">
        <v>64</v>
      </c>
      <c r="AB336">
        <v>1</v>
      </c>
      <c r="AC336" t="s">
        <v>84</v>
      </c>
      <c r="AD336" t="s">
        <v>66</v>
      </c>
      <c r="AE336" t="s">
        <v>67</v>
      </c>
      <c r="AF336" t="s">
        <v>68</v>
      </c>
      <c r="AG336">
        <v>49668.19</v>
      </c>
      <c r="AH336" t="s">
        <v>69</v>
      </c>
      <c r="AI336" t="s">
        <v>181</v>
      </c>
      <c r="AJ336" t="s">
        <v>209</v>
      </c>
      <c r="AK336" t="s">
        <v>99</v>
      </c>
      <c r="AL336" t="s">
        <v>73</v>
      </c>
      <c r="AM336" t="s">
        <v>73</v>
      </c>
      <c r="AN336" t="s">
        <v>74</v>
      </c>
    </row>
    <row r="337" spans="1:40" x14ac:dyDescent="0.25">
      <c r="A337" t="s">
        <v>2027</v>
      </c>
      <c r="B337" t="s">
        <v>5</v>
      </c>
      <c r="C337">
        <v>884.45018000000005</v>
      </c>
      <c r="D337">
        <v>751.280936</v>
      </c>
      <c r="E337" t="s">
        <v>56</v>
      </c>
      <c r="F337">
        <v>-22090.35</v>
      </c>
      <c r="G337" t="s">
        <v>2027</v>
      </c>
      <c r="H337" t="s">
        <v>7</v>
      </c>
      <c r="I337">
        <v>24737.64</v>
      </c>
      <c r="J337">
        <v>990.41613299999995</v>
      </c>
      <c r="K337">
        <v>841.29188499999998</v>
      </c>
      <c r="L337">
        <v>0</v>
      </c>
      <c r="M337" t="s">
        <v>2027</v>
      </c>
      <c r="N337" t="s">
        <v>57</v>
      </c>
      <c r="O337" t="s">
        <v>58</v>
      </c>
      <c r="P337" t="s">
        <v>2028</v>
      </c>
      <c r="Q337" t="s">
        <v>2029</v>
      </c>
      <c r="R337" t="s">
        <v>61</v>
      </c>
      <c r="S337" t="s">
        <v>58</v>
      </c>
      <c r="T337" t="s">
        <v>2028</v>
      </c>
      <c r="U337" t="s">
        <v>2029</v>
      </c>
      <c r="V337" t="s">
        <v>56</v>
      </c>
      <c r="W337" t="s">
        <v>56</v>
      </c>
      <c r="X337" t="s">
        <v>56</v>
      </c>
      <c r="Y337" t="s">
        <v>62</v>
      </c>
      <c r="Z337" t="s">
        <v>63</v>
      </c>
      <c r="AA337" t="s">
        <v>64</v>
      </c>
      <c r="AB337">
        <v>1</v>
      </c>
      <c r="AC337" t="s">
        <v>84</v>
      </c>
      <c r="AD337" t="s">
        <v>66</v>
      </c>
      <c r="AE337" t="s">
        <v>67</v>
      </c>
      <c r="AF337" t="s">
        <v>68</v>
      </c>
      <c r="AG337">
        <v>28000</v>
      </c>
      <c r="AH337" t="s">
        <v>69</v>
      </c>
      <c r="AI337" t="s">
        <v>297</v>
      </c>
      <c r="AJ337" t="s">
        <v>209</v>
      </c>
      <c r="AK337" t="s">
        <v>99</v>
      </c>
      <c r="AL337" t="s">
        <v>73</v>
      </c>
      <c r="AM337" t="s">
        <v>73</v>
      </c>
      <c r="AN337" t="s">
        <v>74</v>
      </c>
    </row>
    <row r="338" spans="1:40" x14ac:dyDescent="0.25">
      <c r="A338" t="s">
        <v>1351</v>
      </c>
      <c r="B338" t="s">
        <v>5</v>
      </c>
      <c r="C338" s="2">
        <v>874.58641799999998</v>
      </c>
      <c r="D338" t="s">
        <v>56</v>
      </c>
      <c r="E338" t="s">
        <v>56</v>
      </c>
      <c r="F338">
        <v>-6278.39</v>
      </c>
      <c r="G338" t="s">
        <v>1351</v>
      </c>
      <c r="H338" t="s">
        <v>7</v>
      </c>
      <c r="I338">
        <v>8382.89</v>
      </c>
      <c r="J338">
        <v>0</v>
      </c>
      <c r="K338">
        <v>0</v>
      </c>
      <c r="L338">
        <v>0</v>
      </c>
      <c r="M338" t="s">
        <v>1351</v>
      </c>
      <c r="N338" t="s">
        <v>57</v>
      </c>
      <c r="O338" t="s">
        <v>58</v>
      </c>
      <c r="P338" t="s">
        <v>1352</v>
      </c>
      <c r="Q338" t="s">
        <v>1353</v>
      </c>
      <c r="R338" t="s">
        <v>61</v>
      </c>
      <c r="S338" t="s">
        <v>58</v>
      </c>
      <c r="T338" t="s">
        <v>1352</v>
      </c>
      <c r="U338" t="s">
        <v>1353</v>
      </c>
      <c r="V338" t="s">
        <v>56</v>
      </c>
      <c r="W338" t="s">
        <v>56</v>
      </c>
      <c r="X338" t="s">
        <v>56</v>
      </c>
      <c r="Y338" t="s">
        <v>62</v>
      </c>
      <c r="Z338" t="s">
        <v>63</v>
      </c>
      <c r="AA338" t="s">
        <v>64</v>
      </c>
      <c r="AB338">
        <v>1</v>
      </c>
      <c r="AC338" t="s">
        <v>78</v>
      </c>
      <c r="AD338" t="s">
        <v>66</v>
      </c>
      <c r="AE338" t="s">
        <v>85</v>
      </c>
      <c r="AF338" t="s">
        <v>68</v>
      </c>
      <c r="AG338">
        <v>24000</v>
      </c>
      <c r="AH338" t="s">
        <v>69</v>
      </c>
      <c r="AI338" t="s">
        <v>70</v>
      </c>
      <c r="AJ338" t="s">
        <v>392</v>
      </c>
      <c r="AK338" t="s">
        <v>99</v>
      </c>
      <c r="AL338" t="s">
        <v>73</v>
      </c>
      <c r="AM338" t="s">
        <v>73</v>
      </c>
      <c r="AN338" t="s">
        <v>56</v>
      </c>
    </row>
    <row r="339" spans="1:40" x14ac:dyDescent="0.25">
      <c r="A339" t="s">
        <v>2205</v>
      </c>
      <c r="B339" t="s">
        <v>5</v>
      </c>
      <c r="C339">
        <v>874.09759499999996</v>
      </c>
      <c r="D339">
        <v>970.98170800000003</v>
      </c>
      <c r="E339" t="s">
        <v>56</v>
      </c>
      <c r="F339">
        <v>-66219.360000000001</v>
      </c>
      <c r="G339" t="s">
        <v>2205</v>
      </c>
      <c r="H339" t="s">
        <v>7</v>
      </c>
      <c r="I339">
        <v>70784.179999999993</v>
      </c>
      <c r="J339">
        <v>914.40130899999997</v>
      </c>
      <c r="K339">
        <v>1167.69076</v>
      </c>
      <c r="L339">
        <v>0</v>
      </c>
      <c r="M339" t="s">
        <v>2205</v>
      </c>
      <c r="N339" t="s">
        <v>57</v>
      </c>
      <c r="O339" t="s">
        <v>58</v>
      </c>
      <c r="P339" t="s">
        <v>2206</v>
      </c>
      <c r="Q339" t="s">
        <v>2207</v>
      </c>
      <c r="R339" t="s">
        <v>61</v>
      </c>
      <c r="S339" t="s">
        <v>58</v>
      </c>
      <c r="T339" t="s">
        <v>2206</v>
      </c>
      <c r="U339" t="s">
        <v>2207</v>
      </c>
      <c r="V339" t="s">
        <v>56</v>
      </c>
      <c r="W339" t="s">
        <v>56</v>
      </c>
      <c r="X339" t="s">
        <v>56</v>
      </c>
      <c r="Y339" t="s">
        <v>62</v>
      </c>
      <c r="Z339" t="s">
        <v>63</v>
      </c>
      <c r="AA339" t="s">
        <v>64</v>
      </c>
      <c r="AB339">
        <v>1</v>
      </c>
      <c r="AC339" t="s">
        <v>84</v>
      </c>
      <c r="AD339" t="s">
        <v>66</v>
      </c>
      <c r="AE339" t="s">
        <v>121</v>
      </c>
      <c r="AF339" t="s">
        <v>68</v>
      </c>
      <c r="AG339">
        <v>73536.59</v>
      </c>
      <c r="AH339" t="s">
        <v>69</v>
      </c>
      <c r="AI339" t="s">
        <v>203</v>
      </c>
      <c r="AJ339" t="s">
        <v>401</v>
      </c>
      <c r="AK339" t="s">
        <v>72</v>
      </c>
      <c r="AL339" t="s">
        <v>73</v>
      </c>
      <c r="AM339" t="s">
        <v>73</v>
      </c>
      <c r="AN339" t="s">
        <v>124</v>
      </c>
    </row>
    <row r="340" spans="1:40" x14ac:dyDescent="0.25">
      <c r="A340" t="s">
        <v>2024</v>
      </c>
      <c r="B340" t="s">
        <v>5</v>
      </c>
      <c r="C340">
        <v>873.13195900000005</v>
      </c>
      <c r="D340">
        <v>741.66686800000002</v>
      </c>
      <c r="E340" t="s">
        <v>56</v>
      </c>
      <c r="F340">
        <v>-21807.68</v>
      </c>
      <c r="G340" t="s">
        <v>2024</v>
      </c>
      <c r="H340" t="s">
        <v>7</v>
      </c>
      <c r="I340">
        <v>24387.26</v>
      </c>
      <c r="J340">
        <v>976.40288299999997</v>
      </c>
      <c r="K340">
        <v>829.38857199999995</v>
      </c>
      <c r="L340">
        <v>0</v>
      </c>
      <c r="M340" t="s">
        <v>2024</v>
      </c>
      <c r="N340" t="s">
        <v>57</v>
      </c>
      <c r="O340" t="s">
        <v>58</v>
      </c>
      <c r="P340" t="s">
        <v>2025</v>
      </c>
      <c r="Q340" t="s">
        <v>2026</v>
      </c>
      <c r="R340" t="s">
        <v>61</v>
      </c>
      <c r="S340" t="s">
        <v>58</v>
      </c>
      <c r="T340" t="s">
        <v>2025</v>
      </c>
      <c r="U340" t="s">
        <v>2026</v>
      </c>
      <c r="V340" t="s">
        <v>56</v>
      </c>
      <c r="W340" t="s">
        <v>56</v>
      </c>
      <c r="X340" t="s">
        <v>56</v>
      </c>
      <c r="Y340" t="s">
        <v>62</v>
      </c>
      <c r="Z340" t="s">
        <v>63</v>
      </c>
      <c r="AA340" t="s">
        <v>64</v>
      </c>
      <c r="AB340">
        <v>1</v>
      </c>
      <c r="AC340" t="s">
        <v>1268</v>
      </c>
      <c r="AD340" t="s">
        <v>66</v>
      </c>
      <c r="AE340" t="s">
        <v>67</v>
      </c>
      <c r="AF340" t="s">
        <v>103</v>
      </c>
      <c r="AG340">
        <v>28000</v>
      </c>
      <c r="AH340" t="s">
        <v>69</v>
      </c>
      <c r="AI340" t="s">
        <v>400</v>
      </c>
      <c r="AJ340" t="s">
        <v>133</v>
      </c>
      <c r="AK340" t="s">
        <v>99</v>
      </c>
      <c r="AL340" t="s">
        <v>73</v>
      </c>
      <c r="AM340" t="s">
        <v>73</v>
      </c>
      <c r="AN340" t="s">
        <v>74</v>
      </c>
    </row>
    <row r="341" spans="1:40" x14ac:dyDescent="0.25">
      <c r="A341" t="s">
        <v>1653</v>
      </c>
      <c r="B341" t="s">
        <v>5</v>
      </c>
      <c r="C341" s="2">
        <v>870.66368999999997</v>
      </c>
      <c r="D341" t="s">
        <v>56</v>
      </c>
      <c r="E341" t="s">
        <v>56</v>
      </c>
      <c r="F341">
        <v>-15018.38</v>
      </c>
      <c r="G341" t="s">
        <v>1653</v>
      </c>
      <c r="H341" t="s">
        <v>7</v>
      </c>
      <c r="I341">
        <v>20325.02</v>
      </c>
      <c r="J341">
        <v>0</v>
      </c>
      <c r="K341">
        <v>0</v>
      </c>
      <c r="L341">
        <v>0</v>
      </c>
      <c r="M341" t="s">
        <v>1653</v>
      </c>
      <c r="N341" t="s">
        <v>57</v>
      </c>
      <c r="O341" t="s">
        <v>58</v>
      </c>
      <c r="P341" t="s">
        <v>1654</v>
      </c>
      <c r="Q341" t="s">
        <v>1655</v>
      </c>
      <c r="R341" t="s">
        <v>61</v>
      </c>
      <c r="S341" t="s">
        <v>58</v>
      </c>
      <c r="T341" t="s">
        <v>1654</v>
      </c>
      <c r="U341" t="s">
        <v>1655</v>
      </c>
      <c r="V341" t="s">
        <v>56</v>
      </c>
      <c r="W341" t="s">
        <v>56</v>
      </c>
      <c r="X341" t="s">
        <v>56</v>
      </c>
      <c r="Y341" t="s">
        <v>62</v>
      </c>
      <c r="Z341" t="s">
        <v>63</v>
      </c>
      <c r="AA341" t="s">
        <v>64</v>
      </c>
      <c r="AB341">
        <v>1</v>
      </c>
      <c r="AC341" t="s">
        <v>78</v>
      </c>
      <c r="AD341" t="s">
        <v>66</v>
      </c>
      <c r="AE341" t="s">
        <v>289</v>
      </c>
      <c r="AF341" t="s">
        <v>68</v>
      </c>
      <c r="AG341">
        <v>47154.47</v>
      </c>
      <c r="AH341" t="s">
        <v>69</v>
      </c>
      <c r="AI341" t="s">
        <v>122</v>
      </c>
      <c r="AJ341" t="s">
        <v>1372</v>
      </c>
      <c r="AK341" t="s">
        <v>72</v>
      </c>
      <c r="AL341" t="s">
        <v>73</v>
      </c>
      <c r="AM341" t="s">
        <v>73</v>
      </c>
      <c r="AN341" t="s">
        <v>56</v>
      </c>
    </row>
    <row r="342" spans="1:40" x14ac:dyDescent="0.25">
      <c r="A342" t="s">
        <v>129</v>
      </c>
      <c r="B342" t="s">
        <v>5</v>
      </c>
      <c r="C342">
        <v>868.33718499999998</v>
      </c>
      <c r="D342">
        <v>737.59402999999998</v>
      </c>
      <c r="E342" t="s">
        <v>56</v>
      </c>
      <c r="F342">
        <v>-22166.59</v>
      </c>
      <c r="G342" t="s">
        <v>129</v>
      </c>
      <c r="H342" t="s">
        <v>7</v>
      </c>
      <c r="I342">
        <v>24878.6</v>
      </c>
      <c r="J342">
        <v>974.55201299999999</v>
      </c>
      <c r="K342">
        <v>827.81638199999998</v>
      </c>
      <c r="L342">
        <v>0</v>
      </c>
      <c r="M342" t="s">
        <v>129</v>
      </c>
      <c r="N342" t="s">
        <v>57</v>
      </c>
      <c r="O342" t="s">
        <v>58</v>
      </c>
      <c r="P342" t="s">
        <v>130</v>
      </c>
      <c r="Q342" t="s">
        <v>131</v>
      </c>
      <c r="R342" t="s">
        <v>61</v>
      </c>
      <c r="S342" t="s">
        <v>58</v>
      </c>
      <c r="T342" t="s">
        <v>130</v>
      </c>
      <c r="U342" t="s">
        <v>131</v>
      </c>
      <c r="V342" t="s">
        <v>56</v>
      </c>
      <c r="W342" t="s">
        <v>56</v>
      </c>
      <c r="X342" t="s">
        <v>56</v>
      </c>
      <c r="Y342" t="s">
        <v>62</v>
      </c>
      <c r="Z342" t="s">
        <v>63</v>
      </c>
      <c r="AA342" t="s">
        <v>64</v>
      </c>
      <c r="AB342">
        <v>1</v>
      </c>
      <c r="AC342" t="s">
        <v>84</v>
      </c>
      <c r="AD342" t="s">
        <v>66</v>
      </c>
      <c r="AE342" t="s">
        <v>67</v>
      </c>
      <c r="AF342" t="s">
        <v>103</v>
      </c>
      <c r="AG342">
        <v>28618</v>
      </c>
      <c r="AH342" t="s">
        <v>69</v>
      </c>
      <c r="AI342" t="s">
        <v>132</v>
      </c>
      <c r="AJ342" t="s">
        <v>133</v>
      </c>
      <c r="AK342" t="s">
        <v>99</v>
      </c>
      <c r="AL342" t="s">
        <v>73</v>
      </c>
      <c r="AM342" t="s">
        <v>73</v>
      </c>
      <c r="AN342" t="s">
        <v>74</v>
      </c>
    </row>
    <row r="343" spans="1:40" x14ac:dyDescent="0.25">
      <c r="A343" t="s">
        <v>2330</v>
      </c>
      <c r="B343" t="s">
        <v>5</v>
      </c>
      <c r="C343">
        <v>866.84729700000003</v>
      </c>
      <c r="D343">
        <v>736.32847000000004</v>
      </c>
      <c r="E343" t="s">
        <v>56</v>
      </c>
      <c r="F343">
        <v>-27063.37</v>
      </c>
      <c r="G343" t="s">
        <v>2330</v>
      </c>
      <c r="H343" t="s">
        <v>7</v>
      </c>
      <c r="I343">
        <v>30393.06</v>
      </c>
      <c r="J343">
        <v>973.49597500000004</v>
      </c>
      <c r="K343">
        <v>826.91934900000001</v>
      </c>
      <c r="L343">
        <v>0</v>
      </c>
      <c r="M343" t="s">
        <v>2330</v>
      </c>
      <c r="N343" t="s">
        <v>57</v>
      </c>
      <c r="O343" t="s">
        <v>58</v>
      </c>
      <c r="P343" t="s">
        <v>2331</v>
      </c>
      <c r="Q343" t="s">
        <v>2332</v>
      </c>
      <c r="R343" t="s">
        <v>61</v>
      </c>
      <c r="S343" t="s">
        <v>58</v>
      </c>
      <c r="T343" t="s">
        <v>2331</v>
      </c>
      <c r="U343" t="s">
        <v>2332</v>
      </c>
      <c r="V343" t="s">
        <v>56</v>
      </c>
      <c r="W343" t="s">
        <v>56</v>
      </c>
      <c r="X343" t="s">
        <v>56</v>
      </c>
      <c r="Y343" t="s">
        <v>62</v>
      </c>
      <c r="Z343" t="s">
        <v>63</v>
      </c>
      <c r="AA343" t="s">
        <v>64</v>
      </c>
      <c r="AB343">
        <v>1</v>
      </c>
      <c r="AC343" t="s">
        <v>84</v>
      </c>
      <c r="AD343" t="s">
        <v>66</v>
      </c>
      <c r="AE343" t="s">
        <v>67</v>
      </c>
      <c r="AF343" t="s">
        <v>103</v>
      </c>
      <c r="AG343">
        <v>35000</v>
      </c>
      <c r="AH343" t="s">
        <v>69</v>
      </c>
      <c r="AI343" t="s">
        <v>181</v>
      </c>
      <c r="AJ343" t="s">
        <v>133</v>
      </c>
      <c r="AK343" t="s">
        <v>99</v>
      </c>
      <c r="AL343" t="s">
        <v>73</v>
      </c>
      <c r="AM343" t="s">
        <v>73</v>
      </c>
      <c r="AN343" t="s">
        <v>74</v>
      </c>
    </row>
    <row r="344" spans="1:40" x14ac:dyDescent="0.25">
      <c r="A344" t="s">
        <v>1056</v>
      </c>
      <c r="B344" t="s">
        <v>5</v>
      </c>
      <c r="C344" s="2">
        <v>866.66281500000002</v>
      </c>
      <c r="D344">
        <v>6.5373409999999996</v>
      </c>
      <c r="E344" t="s">
        <v>56</v>
      </c>
      <c r="F344">
        <v>-14933.01</v>
      </c>
      <c r="G344" t="s">
        <v>1056</v>
      </c>
      <c r="H344" t="s">
        <v>7</v>
      </c>
      <c r="I344">
        <v>35868.230000000003</v>
      </c>
      <c r="J344">
        <v>0</v>
      </c>
      <c r="K344">
        <v>0</v>
      </c>
      <c r="L344">
        <v>0</v>
      </c>
      <c r="M344" t="s">
        <v>1056</v>
      </c>
      <c r="N344" t="s">
        <v>57</v>
      </c>
      <c r="O344" t="s">
        <v>58</v>
      </c>
      <c r="P344" t="s">
        <v>1057</v>
      </c>
      <c r="Q344" t="s">
        <v>1058</v>
      </c>
      <c r="R344" t="s">
        <v>61</v>
      </c>
      <c r="S344" t="s">
        <v>58</v>
      </c>
      <c r="T344" t="s">
        <v>1057</v>
      </c>
      <c r="U344" t="s">
        <v>1058</v>
      </c>
      <c r="V344" t="s">
        <v>56</v>
      </c>
      <c r="W344" t="s">
        <v>56</v>
      </c>
      <c r="X344" t="s">
        <v>56</v>
      </c>
      <c r="Y344" t="s">
        <v>62</v>
      </c>
      <c r="Z344" t="s">
        <v>63</v>
      </c>
      <c r="AA344" t="s">
        <v>64</v>
      </c>
      <c r="AB344">
        <v>1</v>
      </c>
      <c r="AC344" t="s">
        <v>78</v>
      </c>
      <c r="AD344" t="s">
        <v>66</v>
      </c>
      <c r="AE344" t="s">
        <v>67</v>
      </c>
      <c r="AF344" t="s">
        <v>277</v>
      </c>
      <c r="AG344">
        <v>40000</v>
      </c>
      <c r="AH344" t="s">
        <v>69</v>
      </c>
      <c r="AI344" t="s">
        <v>484</v>
      </c>
      <c r="AJ344" t="s">
        <v>143</v>
      </c>
      <c r="AK344" t="s">
        <v>99</v>
      </c>
      <c r="AL344" t="s">
        <v>281</v>
      </c>
      <c r="AM344" t="s">
        <v>73</v>
      </c>
      <c r="AN344" t="s">
        <v>74</v>
      </c>
    </row>
    <row r="345" spans="1:40" x14ac:dyDescent="0.25">
      <c r="A345" t="s">
        <v>1242</v>
      </c>
      <c r="B345" t="s">
        <v>5</v>
      </c>
      <c r="C345">
        <v>864.29576399999996</v>
      </c>
      <c r="D345">
        <v>734.161115</v>
      </c>
      <c r="E345" t="s">
        <v>56</v>
      </c>
      <c r="F345">
        <v>-30834.69</v>
      </c>
      <c r="G345" t="s">
        <v>1242</v>
      </c>
      <c r="H345" t="s">
        <v>7</v>
      </c>
      <c r="I345">
        <v>34634.6</v>
      </c>
      <c r="J345">
        <v>970.81439899999998</v>
      </c>
      <c r="K345">
        <v>824.64153099999999</v>
      </c>
      <c r="L345">
        <v>0</v>
      </c>
      <c r="M345" t="s">
        <v>1242</v>
      </c>
      <c r="N345" t="s">
        <v>57</v>
      </c>
      <c r="O345" t="s">
        <v>58</v>
      </c>
      <c r="P345" t="s">
        <v>1243</v>
      </c>
      <c r="Q345" t="s">
        <v>1244</v>
      </c>
      <c r="R345" t="s">
        <v>61</v>
      </c>
      <c r="S345" t="s">
        <v>58</v>
      </c>
      <c r="T345" t="s">
        <v>1243</v>
      </c>
      <c r="U345" t="s">
        <v>1244</v>
      </c>
      <c r="V345" t="s">
        <v>56</v>
      </c>
      <c r="W345" t="s">
        <v>56</v>
      </c>
      <c r="X345" t="s">
        <v>56</v>
      </c>
      <c r="Y345" t="s">
        <v>62</v>
      </c>
      <c r="Z345" t="s">
        <v>63</v>
      </c>
      <c r="AA345" t="s">
        <v>64</v>
      </c>
      <c r="AB345">
        <v>1</v>
      </c>
      <c r="AC345" t="s">
        <v>84</v>
      </c>
      <c r="AD345" t="s">
        <v>66</v>
      </c>
      <c r="AE345" t="s">
        <v>67</v>
      </c>
      <c r="AF345" t="s">
        <v>68</v>
      </c>
      <c r="AG345">
        <v>39994.99</v>
      </c>
      <c r="AH345" t="s">
        <v>69</v>
      </c>
      <c r="AI345" t="s">
        <v>70</v>
      </c>
      <c r="AJ345" t="s">
        <v>339</v>
      </c>
      <c r="AK345" t="s">
        <v>99</v>
      </c>
      <c r="AL345" t="s">
        <v>73</v>
      </c>
      <c r="AM345" t="s">
        <v>73</v>
      </c>
      <c r="AN345" t="s">
        <v>74</v>
      </c>
    </row>
    <row r="346" spans="1:40" x14ac:dyDescent="0.25">
      <c r="A346" t="s">
        <v>613</v>
      </c>
      <c r="B346" t="s">
        <v>5</v>
      </c>
      <c r="C346">
        <v>863.26727500000004</v>
      </c>
      <c r="D346">
        <v>1102.3925830000001</v>
      </c>
      <c r="E346" t="s">
        <v>56</v>
      </c>
      <c r="F346">
        <v>-45437.41</v>
      </c>
      <c r="G346" t="s">
        <v>613</v>
      </c>
      <c r="H346" t="s">
        <v>7</v>
      </c>
      <c r="I346">
        <v>50652.28</v>
      </c>
      <c r="J346">
        <v>962.33970299999999</v>
      </c>
      <c r="K346">
        <v>1228.908105</v>
      </c>
      <c r="L346">
        <v>0</v>
      </c>
      <c r="M346" t="s">
        <v>613</v>
      </c>
      <c r="N346" t="s">
        <v>57</v>
      </c>
      <c r="O346" t="s">
        <v>58</v>
      </c>
      <c r="P346" t="s">
        <v>614</v>
      </c>
      <c r="Q346" t="s">
        <v>615</v>
      </c>
      <c r="R346" t="s">
        <v>61</v>
      </c>
      <c r="S346" t="s">
        <v>58</v>
      </c>
      <c r="T346" t="s">
        <v>614</v>
      </c>
      <c r="U346" t="s">
        <v>615</v>
      </c>
      <c r="V346" t="s">
        <v>56</v>
      </c>
      <c r="W346" t="s">
        <v>56</v>
      </c>
      <c r="X346" t="s">
        <v>56</v>
      </c>
      <c r="Y346" t="s">
        <v>62</v>
      </c>
      <c r="Z346" t="s">
        <v>63</v>
      </c>
      <c r="AA346" t="s">
        <v>64</v>
      </c>
      <c r="AB346">
        <v>1</v>
      </c>
      <c r="AC346" t="s">
        <v>84</v>
      </c>
      <c r="AD346" t="s">
        <v>66</v>
      </c>
      <c r="AE346" t="s">
        <v>121</v>
      </c>
      <c r="AF346" t="s">
        <v>68</v>
      </c>
      <c r="AG346">
        <v>50000</v>
      </c>
      <c r="AH346" t="s">
        <v>69</v>
      </c>
      <c r="AI346" t="s">
        <v>216</v>
      </c>
      <c r="AJ346" t="s">
        <v>115</v>
      </c>
      <c r="AK346" t="s">
        <v>99</v>
      </c>
      <c r="AL346" t="s">
        <v>73</v>
      </c>
      <c r="AM346" t="s">
        <v>73</v>
      </c>
      <c r="AN346" t="s">
        <v>124</v>
      </c>
    </row>
    <row r="347" spans="1:40" x14ac:dyDescent="0.25">
      <c r="A347" t="s">
        <v>855</v>
      </c>
      <c r="B347" t="s">
        <v>5</v>
      </c>
      <c r="C347" s="2">
        <v>863.26727500000004</v>
      </c>
      <c r="D347">
        <v>1102.3925830000001</v>
      </c>
      <c r="E347" t="s">
        <v>56</v>
      </c>
      <c r="F347">
        <v>-45437.41</v>
      </c>
      <c r="G347" t="s">
        <v>855</v>
      </c>
      <c r="H347" t="s">
        <v>7</v>
      </c>
      <c r="I347">
        <v>50074.39</v>
      </c>
      <c r="J347">
        <v>0</v>
      </c>
      <c r="K347">
        <v>0</v>
      </c>
      <c r="L347">
        <v>0</v>
      </c>
      <c r="M347" t="s">
        <v>855</v>
      </c>
      <c r="N347" t="s">
        <v>57</v>
      </c>
      <c r="O347" t="s">
        <v>58</v>
      </c>
      <c r="P347" t="s">
        <v>856</v>
      </c>
      <c r="Q347" t="s">
        <v>615</v>
      </c>
      <c r="R347" t="s">
        <v>61</v>
      </c>
      <c r="S347" t="s">
        <v>58</v>
      </c>
      <c r="T347" t="s">
        <v>856</v>
      </c>
      <c r="U347" t="s">
        <v>615</v>
      </c>
      <c r="V347" t="s">
        <v>56</v>
      </c>
      <c r="W347" t="s">
        <v>56</v>
      </c>
      <c r="X347" t="s">
        <v>56</v>
      </c>
      <c r="Y347" t="s">
        <v>62</v>
      </c>
      <c r="Z347" t="s">
        <v>63</v>
      </c>
      <c r="AA347" t="s">
        <v>64</v>
      </c>
      <c r="AB347">
        <v>1</v>
      </c>
      <c r="AC347" t="s">
        <v>84</v>
      </c>
      <c r="AD347" t="s">
        <v>66</v>
      </c>
      <c r="AE347" t="s">
        <v>289</v>
      </c>
      <c r="AF347" t="s">
        <v>68</v>
      </c>
      <c r="AG347">
        <v>0</v>
      </c>
      <c r="AH347" t="s">
        <v>69</v>
      </c>
      <c r="AI347" t="s">
        <v>203</v>
      </c>
      <c r="AJ347" t="s">
        <v>115</v>
      </c>
      <c r="AK347" t="s">
        <v>99</v>
      </c>
      <c r="AL347" t="s">
        <v>73</v>
      </c>
      <c r="AM347" t="s">
        <v>73</v>
      </c>
      <c r="AN347" t="s">
        <v>56</v>
      </c>
    </row>
    <row r="348" spans="1:40" x14ac:dyDescent="0.25">
      <c r="A348" t="s">
        <v>464</v>
      </c>
      <c r="B348" t="s">
        <v>5</v>
      </c>
      <c r="C348">
        <v>861.66209600000002</v>
      </c>
      <c r="D348">
        <v>965.60325399999999</v>
      </c>
      <c r="E348" t="s">
        <v>56</v>
      </c>
      <c r="F348">
        <v>-17722.400000000001</v>
      </c>
      <c r="G348" t="s">
        <v>464</v>
      </c>
      <c r="H348" t="s">
        <v>7</v>
      </c>
      <c r="I348">
        <v>20416.78</v>
      </c>
      <c r="J348">
        <v>1144.3780260000001</v>
      </c>
      <c r="K348">
        <v>972.07215699999995</v>
      </c>
      <c r="L348">
        <v>0</v>
      </c>
      <c r="M348" t="s">
        <v>464</v>
      </c>
      <c r="N348" t="s">
        <v>57</v>
      </c>
      <c r="O348" t="s">
        <v>58</v>
      </c>
      <c r="P348" t="s">
        <v>465</v>
      </c>
      <c r="Q348" t="s">
        <v>466</v>
      </c>
      <c r="R348" t="s">
        <v>61</v>
      </c>
      <c r="S348" t="s">
        <v>58</v>
      </c>
      <c r="T348" t="s">
        <v>465</v>
      </c>
      <c r="U348" t="s">
        <v>466</v>
      </c>
      <c r="V348" t="s">
        <v>56</v>
      </c>
      <c r="W348" t="s">
        <v>56</v>
      </c>
      <c r="X348" t="s">
        <v>56</v>
      </c>
      <c r="Y348" t="s">
        <v>62</v>
      </c>
      <c r="Z348" t="s">
        <v>63</v>
      </c>
      <c r="AA348" t="s">
        <v>64</v>
      </c>
      <c r="AB348">
        <v>1</v>
      </c>
      <c r="AC348" t="s">
        <v>84</v>
      </c>
      <c r="AD348" t="s">
        <v>66</v>
      </c>
      <c r="AE348" t="s">
        <v>67</v>
      </c>
      <c r="AF348" t="s">
        <v>68</v>
      </c>
      <c r="AG348">
        <v>20000</v>
      </c>
      <c r="AH348" t="s">
        <v>69</v>
      </c>
      <c r="AI348" t="s">
        <v>220</v>
      </c>
      <c r="AJ348" t="s">
        <v>115</v>
      </c>
      <c r="AK348" t="s">
        <v>99</v>
      </c>
      <c r="AL348" t="s">
        <v>73</v>
      </c>
      <c r="AM348" t="s">
        <v>73</v>
      </c>
      <c r="AN348" t="s">
        <v>74</v>
      </c>
    </row>
    <row r="349" spans="1:40" x14ac:dyDescent="0.25">
      <c r="A349" t="s">
        <v>646</v>
      </c>
      <c r="B349" t="s">
        <v>5</v>
      </c>
      <c r="C349">
        <v>860.90119400000003</v>
      </c>
      <c r="D349">
        <v>731.27765599999998</v>
      </c>
      <c r="E349" t="s">
        <v>56</v>
      </c>
      <c r="F349">
        <v>-32200.29</v>
      </c>
      <c r="G349" t="s">
        <v>646</v>
      </c>
      <c r="H349" t="s">
        <v>7</v>
      </c>
      <c r="I349">
        <v>37176.699999999997</v>
      </c>
      <c r="J349">
        <v>993.930656</v>
      </c>
      <c r="K349">
        <v>844.27723600000002</v>
      </c>
      <c r="L349">
        <v>0</v>
      </c>
      <c r="M349" t="s">
        <v>646</v>
      </c>
      <c r="N349" t="s">
        <v>57</v>
      </c>
      <c r="O349" t="s">
        <v>58</v>
      </c>
      <c r="P349" t="s">
        <v>647</v>
      </c>
      <c r="Q349" t="s">
        <v>648</v>
      </c>
      <c r="R349" t="s">
        <v>61</v>
      </c>
      <c r="S349" t="s">
        <v>58</v>
      </c>
      <c r="T349" t="s">
        <v>647</v>
      </c>
      <c r="U349" t="s">
        <v>648</v>
      </c>
      <c r="V349" t="s">
        <v>56</v>
      </c>
      <c r="W349" t="s">
        <v>56</v>
      </c>
      <c r="X349" t="s">
        <v>56</v>
      </c>
      <c r="Y349" t="s">
        <v>62</v>
      </c>
      <c r="Z349" t="s">
        <v>63</v>
      </c>
      <c r="AA349" t="s">
        <v>64</v>
      </c>
      <c r="AB349">
        <v>1</v>
      </c>
      <c r="AC349" t="s">
        <v>84</v>
      </c>
      <c r="AD349" t="s">
        <v>66</v>
      </c>
      <c r="AE349" t="s">
        <v>67</v>
      </c>
      <c r="AF349" t="s">
        <v>68</v>
      </c>
      <c r="AG349">
        <v>41931</v>
      </c>
      <c r="AH349" t="s">
        <v>69</v>
      </c>
      <c r="AI349" t="s">
        <v>70</v>
      </c>
      <c r="AJ349" t="s">
        <v>359</v>
      </c>
      <c r="AK349" t="s">
        <v>99</v>
      </c>
      <c r="AL349" t="s">
        <v>73</v>
      </c>
      <c r="AM349" t="s">
        <v>73</v>
      </c>
      <c r="AN349" t="s">
        <v>74</v>
      </c>
    </row>
    <row r="350" spans="1:40" x14ac:dyDescent="0.25">
      <c r="A350" t="s">
        <v>415</v>
      </c>
      <c r="B350" t="s">
        <v>5</v>
      </c>
      <c r="C350" s="2">
        <v>858.99023599999998</v>
      </c>
      <c r="D350" t="s">
        <v>56</v>
      </c>
      <c r="E350" t="s">
        <v>56</v>
      </c>
      <c r="F350">
        <v>-10534.33</v>
      </c>
      <c r="G350" t="s">
        <v>415</v>
      </c>
      <c r="H350" t="s">
        <v>7</v>
      </c>
      <c r="I350">
        <v>13046.08</v>
      </c>
      <c r="J350">
        <v>0</v>
      </c>
      <c r="K350">
        <v>0</v>
      </c>
      <c r="L350">
        <v>0</v>
      </c>
      <c r="M350" t="s">
        <v>415</v>
      </c>
      <c r="N350" t="s">
        <v>57</v>
      </c>
      <c r="O350" t="s">
        <v>58</v>
      </c>
      <c r="P350" t="s">
        <v>416</v>
      </c>
      <c r="Q350" t="s">
        <v>417</v>
      </c>
      <c r="R350" t="s">
        <v>61</v>
      </c>
      <c r="S350" t="s">
        <v>58</v>
      </c>
      <c r="T350" t="s">
        <v>416</v>
      </c>
      <c r="U350" t="s">
        <v>417</v>
      </c>
      <c r="V350" t="s">
        <v>56</v>
      </c>
      <c r="W350" t="s">
        <v>56</v>
      </c>
      <c r="X350" t="s">
        <v>56</v>
      </c>
      <c r="Y350" t="s">
        <v>62</v>
      </c>
      <c r="Z350" t="s">
        <v>63</v>
      </c>
      <c r="AA350" t="s">
        <v>64</v>
      </c>
      <c r="AB350">
        <v>1</v>
      </c>
      <c r="AC350" t="s">
        <v>84</v>
      </c>
      <c r="AD350" t="s">
        <v>66</v>
      </c>
      <c r="AE350" t="s">
        <v>85</v>
      </c>
      <c r="AF350" t="s">
        <v>68</v>
      </c>
      <c r="AG350">
        <v>33333.33</v>
      </c>
      <c r="AH350" t="s">
        <v>69</v>
      </c>
      <c r="AI350" t="s">
        <v>137</v>
      </c>
      <c r="AJ350" t="s">
        <v>418</v>
      </c>
      <c r="AK350" t="s">
        <v>72</v>
      </c>
      <c r="AL350" t="s">
        <v>73</v>
      </c>
      <c r="AM350" t="s">
        <v>73</v>
      </c>
      <c r="AN350" t="s">
        <v>56</v>
      </c>
    </row>
    <row r="351" spans="1:40" x14ac:dyDescent="0.25">
      <c r="A351" t="s">
        <v>2483</v>
      </c>
      <c r="B351" t="s">
        <v>5</v>
      </c>
      <c r="C351" s="2">
        <v>857.48912399999995</v>
      </c>
      <c r="D351" t="s">
        <v>56</v>
      </c>
      <c r="E351" t="s">
        <v>56</v>
      </c>
      <c r="F351">
        <v>-8517.8799999999992</v>
      </c>
      <c r="G351" t="s">
        <v>2483</v>
      </c>
      <c r="H351" t="s">
        <v>7</v>
      </c>
      <c r="I351">
        <v>11234.76</v>
      </c>
      <c r="J351">
        <v>0</v>
      </c>
      <c r="K351">
        <v>0</v>
      </c>
      <c r="L351">
        <v>0</v>
      </c>
      <c r="M351" t="s">
        <v>2483</v>
      </c>
      <c r="N351" t="s">
        <v>57</v>
      </c>
      <c r="O351" t="s">
        <v>58</v>
      </c>
      <c r="P351" t="s">
        <v>2484</v>
      </c>
      <c r="Q351" t="s">
        <v>2485</v>
      </c>
      <c r="R351" t="s">
        <v>61</v>
      </c>
      <c r="S351" t="s">
        <v>58</v>
      </c>
      <c r="T351" t="s">
        <v>2484</v>
      </c>
      <c r="U351" t="s">
        <v>2485</v>
      </c>
      <c r="V351" t="s">
        <v>56</v>
      </c>
      <c r="W351" t="s">
        <v>56</v>
      </c>
      <c r="X351" t="s">
        <v>56</v>
      </c>
      <c r="Y351" t="s">
        <v>62</v>
      </c>
      <c r="Z351" t="s">
        <v>63</v>
      </c>
      <c r="AA351" t="s">
        <v>64</v>
      </c>
      <c r="AB351">
        <v>1</v>
      </c>
      <c r="AC351" t="s">
        <v>65</v>
      </c>
      <c r="AD351" t="s">
        <v>66</v>
      </c>
      <c r="AE351" t="s">
        <v>85</v>
      </c>
      <c r="AF351" t="s">
        <v>68</v>
      </c>
      <c r="AG351">
        <v>27000</v>
      </c>
      <c r="AH351" t="s">
        <v>69</v>
      </c>
      <c r="AI351" t="s">
        <v>122</v>
      </c>
      <c r="AJ351" t="s">
        <v>704</v>
      </c>
      <c r="AK351" t="s">
        <v>72</v>
      </c>
      <c r="AL351" t="s">
        <v>73</v>
      </c>
      <c r="AM351" t="s">
        <v>73</v>
      </c>
      <c r="AN351" t="s">
        <v>56</v>
      </c>
    </row>
    <row r="352" spans="1:40" x14ac:dyDescent="0.25">
      <c r="A352" t="s">
        <v>2475</v>
      </c>
      <c r="B352" t="s">
        <v>5</v>
      </c>
      <c r="C352" s="2">
        <v>853.50064699999996</v>
      </c>
      <c r="D352" t="s">
        <v>56</v>
      </c>
      <c r="E352" t="s">
        <v>56</v>
      </c>
      <c r="F352">
        <v>-13658.14</v>
      </c>
      <c r="G352" t="s">
        <v>2475</v>
      </c>
      <c r="H352" t="s">
        <v>7</v>
      </c>
      <c r="I352">
        <v>16418.09</v>
      </c>
      <c r="J352">
        <v>0</v>
      </c>
      <c r="K352">
        <v>0</v>
      </c>
      <c r="L352">
        <v>0</v>
      </c>
      <c r="M352" t="s">
        <v>2475</v>
      </c>
      <c r="N352" t="s">
        <v>57</v>
      </c>
      <c r="O352" t="s">
        <v>58</v>
      </c>
      <c r="P352" t="s">
        <v>2476</v>
      </c>
      <c r="Q352" t="s">
        <v>1308</v>
      </c>
      <c r="R352" t="s">
        <v>61</v>
      </c>
      <c r="S352" t="s">
        <v>58</v>
      </c>
      <c r="T352" t="s">
        <v>2476</v>
      </c>
      <c r="U352" t="s">
        <v>1308</v>
      </c>
      <c r="V352" t="s">
        <v>56</v>
      </c>
      <c r="W352" t="s">
        <v>56</v>
      </c>
      <c r="X352" t="s">
        <v>56</v>
      </c>
      <c r="Y352" t="s">
        <v>62</v>
      </c>
      <c r="Z352" t="s">
        <v>63</v>
      </c>
      <c r="AA352" t="s">
        <v>64</v>
      </c>
      <c r="AB352">
        <v>1</v>
      </c>
      <c r="AC352" t="s">
        <v>84</v>
      </c>
      <c r="AD352" t="s">
        <v>66</v>
      </c>
      <c r="AE352" t="s">
        <v>85</v>
      </c>
      <c r="AF352" t="s">
        <v>68</v>
      </c>
      <c r="AG352">
        <v>43495.94</v>
      </c>
      <c r="AH352" t="s">
        <v>69</v>
      </c>
      <c r="AI352" t="s">
        <v>323</v>
      </c>
      <c r="AJ352" t="s">
        <v>1208</v>
      </c>
      <c r="AK352" t="s">
        <v>72</v>
      </c>
      <c r="AL352" t="s">
        <v>73</v>
      </c>
      <c r="AM352" t="s">
        <v>73</v>
      </c>
      <c r="AN352" t="s">
        <v>56</v>
      </c>
    </row>
    <row r="353" spans="1:40" x14ac:dyDescent="0.25">
      <c r="A353" t="s">
        <v>2384</v>
      </c>
      <c r="B353" t="s">
        <v>5</v>
      </c>
      <c r="C353" s="2">
        <v>849.55563199999995</v>
      </c>
      <c r="D353" t="s">
        <v>56</v>
      </c>
      <c r="E353" t="s">
        <v>56</v>
      </c>
      <c r="F353">
        <v>-15627.65</v>
      </c>
      <c r="G353" t="s">
        <v>2384</v>
      </c>
      <c r="H353" t="s">
        <v>7</v>
      </c>
      <c r="I353">
        <v>17904.52</v>
      </c>
      <c r="J353">
        <v>0</v>
      </c>
      <c r="K353">
        <v>0</v>
      </c>
      <c r="L353">
        <v>0</v>
      </c>
      <c r="M353" t="s">
        <v>2384</v>
      </c>
      <c r="N353" t="s">
        <v>57</v>
      </c>
      <c r="O353" t="s">
        <v>58</v>
      </c>
      <c r="P353" t="s">
        <v>2385</v>
      </c>
      <c r="Q353" t="s">
        <v>1865</v>
      </c>
      <c r="R353" t="s">
        <v>61</v>
      </c>
      <c r="S353" t="s">
        <v>58</v>
      </c>
      <c r="T353" t="s">
        <v>2385</v>
      </c>
      <c r="U353" t="s">
        <v>1865</v>
      </c>
      <c r="V353" t="s">
        <v>56</v>
      </c>
      <c r="W353" t="s">
        <v>56</v>
      </c>
      <c r="X353" t="s">
        <v>56</v>
      </c>
      <c r="Y353" t="s">
        <v>62</v>
      </c>
      <c r="Z353" t="s">
        <v>63</v>
      </c>
      <c r="AA353" t="s">
        <v>64</v>
      </c>
      <c r="AB353">
        <v>1</v>
      </c>
      <c r="AC353" t="s">
        <v>78</v>
      </c>
      <c r="AD353" t="s">
        <v>66</v>
      </c>
      <c r="AE353" t="s">
        <v>85</v>
      </c>
      <c r="AF353" t="s">
        <v>103</v>
      </c>
      <c r="AG353">
        <v>49999.199999999997</v>
      </c>
      <c r="AH353" t="s">
        <v>69</v>
      </c>
      <c r="AI353" t="s">
        <v>253</v>
      </c>
      <c r="AJ353" t="s">
        <v>1341</v>
      </c>
      <c r="AK353" t="s">
        <v>72</v>
      </c>
      <c r="AL353" t="s">
        <v>73</v>
      </c>
      <c r="AM353" t="s">
        <v>73</v>
      </c>
      <c r="AN353" t="s">
        <v>56</v>
      </c>
    </row>
    <row r="354" spans="1:40" x14ac:dyDescent="0.25">
      <c r="A354" t="s">
        <v>1360</v>
      </c>
      <c r="B354" t="s">
        <v>5</v>
      </c>
      <c r="C354">
        <v>849.33512399999995</v>
      </c>
      <c r="D354">
        <v>2460.6189399999998</v>
      </c>
      <c r="E354" t="s">
        <v>56</v>
      </c>
      <c r="F354">
        <v>-112302.62</v>
      </c>
      <c r="G354" t="s">
        <v>1360</v>
      </c>
      <c r="H354" t="s">
        <v>7</v>
      </c>
      <c r="I354">
        <v>127999.02</v>
      </c>
      <c r="J354">
        <v>1791.134159</v>
      </c>
      <c r="K354">
        <v>2287.2788860000001</v>
      </c>
      <c r="L354">
        <v>0</v>
      </c>
      <c r="M354" t="s">
        <v>1360</v>
      </c>
      <c r="N354" t="s">
        <v>57</v>
      </c>
      <c r="O354" t="s">
        <v>58</v>
      </c>
      <c r="P354" t="s">
        <v>1361</v>
      </c>
      <c r="Q354" t="s">
        <v>1362</v>
      </c>
      <c r="R354" t="s">
        <v>61</v>
      </c>
      <c r="S354" t="s">
        <v>58</v>
      </c>
      <c r="T354" t="s">
        <v>1361</v>
      </c>
      <c r="U354" t="s">
        <v>1362</v>
      </c>
      <c r="V354" t="s">
        <v>56</v>
      </c>
      <c r="W354" t="s">
        <v>56</v>
      </c>
      <c r="X354" t="s">
        <v>56</v>
      </c>
      <c r="Y354" t="s">
        <v>62</v>
      </c>
      <c r="Z354" t="s">
        <v>63</v>
      </c>
      <c r="AA354" t="s">
        <v>64</v>
      </c>
      <c r="AB354">
        <v>1</v>
      </c>
      <c r="AC354" t="s">
        <v>120</v>
      </c>
      <c r="AD354" t="s">
        <v>66</v>
      </c>
      <c r="AE354" t="s">
        <v>121</v>
      </c>
      <c r="AF354" t="s">
        <v>68</v>
      </c>
      <c r="AG354">
        <v>67886.179999999993</v>
      </c>
      <c r="AH354" t="s">
        <v>69</v>
      </c>
      <c r="AI354" t="s">
        <v>142</v>
      </c>
      <c r="AJ354" t="s">
        <v>401</v>
      </c>
      <c r="AK354" t="s">
        <v>72</v>
      </c>
      <c r="AL354" t="s">
        <v>73</v>
      </c>
      <c r="AM354" t="s">
        <v>73</v>
      </c>
      <c r="AN354" t="s">
        <v>124</v>
      </c>
    </row>
    <row r="355" spans="1:40" x14ac:dyDescent="0.25">
      <c r="A355" t="s">
        <v>255</v>
      </c>
      <c r="B355" t="s">
        <v>5</v>
      </c>
      <c r="C355">
        <v>849.27916600000003</v>
      </c>
      <c r="D355">
        <v>721.40552400000001</v>
      </c>
      <c r="E355" t="s">
        <v>56</v>
      </c>
      <c r="F355">
        <v>-29469.4</v>
      </c>
      <c r="G355" t="s">
        <v>255</v>
      </c>
      <c r="H355" t="s">
        <v>7</v>
      </c>
      <c r="I355">
        <v>32794.870000000003</v>
      </c>
      <c r="J355">
        <v>1010.001051</v>
      </c>
      <c r="K355">
        <v>857.927955</v>
      </c>
      <c r="L355">
        <v>0</v>
      </c>
      <c r="M355" t="s">
        <v>255</v>
      </c>
      <c r="N355" t="s">
        <v>57</v>
      </c>
      <c r="O355" t="s">
        <v>58</v>
      </c>
      <c r="P355" t="s">
        <v>256</v>
      </c>
      <c r="Q355" t="s">
        <v>257</v>
      </c>
      <c r="R355" t="s">
        <v>61</v>
      </c>
      <c r="S355" t="s">
        <v>58</v>
      </c>
      <c r="T355" t="s">
        <v>256</v>
      </c>
      <c r="U355" t="s">
        <v>257</v>
      </c>
      <c r="V355" t="s">
        <v>56</v>
      </c>
      <c r="W355" t="s">
        <v>56</v>
      </c>
      <c r="X355" t="s">
        <v>56</v>
      </c>
      <c r="Y355" t="s">
        <v>62</v>
      </c>
      <c r="Z355" t="s">
        <v>63</v>
      </c>
      <c r="AA355" t="s">
        <v>64</v>
      </c>
      <c r="AB355">
        <v>1</v>
      </c>
      <c r="AC355" t="s">
        <v>84</v>
      </c>
      <c r="AD355" t="s">
        <v>66</v>
      </c>
      <c r="AE355" t="s">
        <v>67</v>
      </c>
      <c r="AF355" t="s">
        <v>68</v>
      </c>
      <c r="AG355">
        <v>36400</v>
      </c>
      <c r="AH355" t="s">
        <v>69</v>
      </c>
      <c r="AI355" t="s">
        <v>208</v>
      </c>
      <c r="AJ355" t="s">
        <v>164</v>
      </c>
      <c r="AK355" t="s">
        <v>99</v>
      </c>
      <c r="AL355" t="s">
        <v>73</v>
      </c>
      <c r="AM355" t="s">
        <v>73</v>
      </c>
      <c r="AN355" t="s">
        <v>74</v>
      </c>
    </row>
    <row r="356" spans="1:40" x14ac:dyDescent="0.25">
      <c r="A356" t="s">
        <v>1458</v>
      </c>
      <c r="B356" t="s">
        <v>5</v>
      </c>
      <c r="C356">
        <v>847.64466000000004</v>
      </c>
      <c r="D356">
        <v>720.01712199999997</v>
      </c>
      <c r="E356" t="s">
        <v>56</v>
      </c>
      <c r="F356">
        <v>-22683.31</v>
      </c>
      <c r="G356" t="s">
        <v>1458</v>
      </c>
      <c r="H356" t="s">
        <v>7</v>
      </c>
      <c r="I356">
        <v>25538.48</v>
      </c>
      <c r="J356">
        <v>954.320244</v>
      </c>
      <c r="K356">
        <v>810.630855</v>
      </c>
      <c r="L356">
        <v>0</v>
      </c>
      <c r="M356" t="s">
        <v>1458</v>
      </c>
      <c r="N356" t="s">
        <v>57</v>
      </c>
      <c r="O356" t="s">
        <v>58</v>
      </c>
      <c r="P356" t="s">
        <v>1459</v>
      </c>
      <c r="Q356" t="s">
        <v>1460</v>
      </c>
      <c r="R356" t="s">
        <v>61</v>
      </c>
      <c r="S356" t="s">
        <v>58</v>
      </c>
      <c r="T356" t="s">
        <v>1459</v>
      </c>
      <c r="U356" t="s">
        <v>1460</v>
      </c>
      <c r="V356" t="s">
        <v>56</v>
      </c>
      <c r="W356" t="s">
        <v>56</v>
      </c>
      <c r="X356" t="s">
        <v>56</v>
      </c>
      <c r="Y356" t="s">
        <v>62</v>
      </c>
      <c r="Z356" t="s">
        <v>63</v>
      </c>
      <c r="AA356" t="s">
        <v>64</v>
      </c>
      <c r="AB356">
        <v>1</v>
      </c>
      <c r="AC356" t="s">
        <v>84</v>
      </c>
      <c r="AD356" t="s">
        <v>66</v>
      </c>
      <c r="AE356" t="s">
        <v>67</v>
      </c>
      <c r="AF356" t="s">
        <v>103</v>
      </c>
      <c r="AG356">
        <v>30000</v>
      </c>
      <c r="AH356" t="s">
        <v>69</v>
      </c>
      <c r="AI356" t="s">
        <v>536</v>
      </c>
      <c r="AJ356" t="s">
        <v>293</v>
      </c>
      <c r="AK356" t="s">
        <v>99</v>
      </c>
      <c r="AL356" t="s">
        <v>73</v>
      </c>
      <c r="AM356" t="s">
        <v>73</v>
      </c>
      <c r="AN356" t="s">
        <v>74</v>
      </c>
    </row>
    <row r="357" spans="1:40" x14ac:dyDescent="0.25">
      <c r="A357" t="s">
        <v>290</v>
      </c>
      <c r="B357" t="s">
        <v>5</v>
      </c>
      <c r="C357">
        <v>846.17719299999999</v>
      </c>
      <c r="D357">
        <v>718.77060700000004</v>
      </c>
      <c r="E357" t="s">
        <v>56</v>
      </c>
      <c r="F357">
        <v>-18870.04</v>
      </c>
      <c r="G357" t="s">
        <v>290</v>
      </c>
      <c r="H357" t="s">
        <v>7</v>
      </c>
      <c r="I357">
        <v>21258.23</v>
      </c>
      <c r="J357">
        <v>953.25972100000001</v>
      </c>
      <c r="K357">
        <v>809.73001199999999</v>
      </c>
      <c r="L357">
        <v>0</v>
      </c>
      <c r="M357" t="s">
        <v>290</v>
      </c>
      <c r="N357" t="s">
        <v>57</v>
      </c>
      <c r="O357" t="s">
        <v>58</v>
      </c>
      <c r="P357" t="s">
        <v>291</v>
      </c>
      <c r="Q357" t="s">
        <v>292</v>
      </c>
      <c r="R357" t="s">
        <v>61</v>
      </c>
      <c r="S357" t="s">
        <v>58</v>
      </c>
      <c r="T357" t="s">
        <v>291</v>
      </c>
      <c r="U357" t="s">
        <v>292</v>
      </c>
      <c r="V357" t="s">
        <v>56</v>
      </c>
      <c r="W357" t="s">
        <v>56</v>
      </c>
      <c r="X357" t="s">
        <v>56</v>
      </c>
      <c r="Y357" t="s">
        <v>62</v>
      </c>
      <c r="Z357" t="s">
        <v>63</v>
      </c>
      <c r="AA357" t="s">
        <v>64</v>
      </c>
      <c r="AB357">
        <v>1</v>
      </c>
      <c r="AC357" t="s">
        <v>78</v>
      </c>
      <c r="AD357" t="s">
        <v>66</v>
      </c>
      <c r="AE357" t="s">
        <v>67</v>
      </c>
      <c r="AF357" t="s">
        <v>68</v>
      </c>
      <c r="AG357">
        <v>25000</v>
      </c>
      <c r="AH357" t="s">
        <v>69</v>
      </c>
      <c r="AI357" t="s">
        <v>194</v>
      </c>
      <c r="AJ357" t="s">
        <v>293</v>
      </c>
      <c r="AK357" t="s">
        <v>99</v>
      </c>
      <c r="AL357" t="s">
        <v>73</v>
      </c>
      <c r="AM357" t="s">
        <v>73</v>
      </c>
      <c r="AN357" t="s">
        <v>74</v>
      </c>
    </row>
    <row r="358" spans="1:40" x14ac:dyDescent="0.25">
      <c r="A358" t="s">
        <v>1841</v>
      </c>
      <c r="B358" t="s">
        <v>5</v>
      </c>
      <c r="C358" s="2">
        <v>842.822361</v>
      </c>
      <c r="D358" t="s">
        <v>56</v>
      </c>
      <c r="E358" t="s">
        <v>56</v>
      </c>
      <c r="F358">
        <v>-15490.35</v>
      </c>
      <c r="G358" t="s">
        <v>1841</v>
      </c>
      <c r="H358" t="s">
        <v>7</v>
      </c>
      <c r="I358">
        <v>19124.560000000001</v>
      </c>
      <c r="J358">
        <v>0</v>
      </c>
      <c r="K358">
        <v>0</v>
      </c>
      <c r="L358">
        <v>0</v>
      </c>
      <c r="M358" t="s">
        <v>1841</v>
      </c>
      <c r="N358" t="s">
        <v>57</v>
      </c>
      <c r="O358" t="s">
        <v>58</v>
      </c>
      <c r="P358" t="s">
        <v>1842</v>
      </c>
      <c r="Q358" t="s">
        <v>1843</v>
      </c>
      <c r="R358" t="s">
        <v>61</v>
      </c>
      <c r="S358" t="s">
        <v>58</v>
      </c>
      <c r="T358" t="s">
        <v>1842</v>
      </c>
      <c r="U358" t="s">
        <v>1843</v>
      </c>
      <c r="V358" t="s">
        <v>56</v>
      </c>
      <c r="W358" t="s">
        <v>56</v>
      </c>
      <c r="X358" t="s">
        <v>56</v>
      </c>
      <c r="Y358" t="s">
        <v>62</v>
      </c>
      <c r="Z358" t="s">
        <v>63</v>
      </c>
      <c r="AA358" t="s">
        <v>64</v>
      </c>
      <c r="AB358">
        <v>1</v>
      </c>
      <c r="AC358" t="s">
        <v>84</v>
      </c>
      <c r="AD358" t="s">
        <v>66</v>
      </c>
      <c r="AE358" t="s">
        <v>85</v>
      </c>
      <c r="AF358" t="s">
        <v>68</v>
      </c>
      <c r="AG358">
        <v>49955.72</v>
      </c>
      <c r="AH358" t="s">
        <v>69</v>
      </c>
      <c r="AI358" t="s">
        <v>323</v>
      </c>
      <c r="AJ358" t="s">
        <v>418</v>
      </c>
      <c r="AK358" t="s">
        <v>72</v>
      </c>
      <c r="AL358" t="s">
        <v>73</v>
      </c>
      <c r="AM358" t="s">
        <v>73</v>
      </c>
      <c r="AN358" t="s">
        <v>56</v>
      </c>
    </row>
    <row r="359" spans="1:40" x14ac:dyDescent="0.25">
      <c r="A359" t="s">
        <v>134</v>
      </c>
      <c r="B359" t="s">
        <v>5</v>
      </c>
      <c r="C359" s="2">
        <v>839.06070399999999</v>
      </c>
      <c r="D359">
        <v>712.72562800000003</v>
      </c>
      <c r="E359" t="s">
        <v>56</v>
      </c>
      <c r="F359">
        <v>-35853.43</v>
      </c>
      <c r="G359" t="s">
        <v>134</v>
      </c>
      <c r="H359" t="s">
        <v>7</v>
      </c>
      <c r="I359">
        <v>39519.919999999998</v>
      </c>
      <c r="J359">
        <v>0</v>
      </c>
      <c r="K359">
        <v>0</v>
      </c>
      <c r="L359">
        <v>0</v>
      </c>
      <c r="M359" t="s">
        <v>134</v>
      </c>
      <c r="N359" t="s">
        <v>57</v>
      </c>
      <c r="O359" t="s">
        <v>58</v>
      </c>
      <c r="P359" t="s">
        <v>135</v>
      </c>
      <c r="Q359" t="s">
        <v>136</v>
      </c>
      <c r="R359" t="s">
        <v>61</v>
      </c>
      <c r="S359" t="s">
        <v>58</v>
      </c>
      <c r="T359" t="s">
        <v>135</v>
      </c>
      <c r="U359" t="s">
        <v>136</v>
      </c>
      <c r="V359" t="s">
        <v>56</v>
      </c>
      <c r="W359" t="s">
        <v>56</v>
      </c>
      <c r="X359" t="s">
        <v>56</v>
      </c>
      <c r="Y359" t="s">
        <v>62</v>
      </c>
      <c r="Z359" t="s">
        <v>63</v>
      </c>
      <c r="AA359" t="s">
        <v>64</v>
      </c>
      <c r="AB359">
        <v>1</v>
      </c>
      <c r="AC359" t="s">
        <v>84</v>
      </c>
      <c r="AD359" t="s">
        <v>66</v>
      </c>
      <c r="AE359" t="s">
        <v>67</v>
      </c>
      <c r="AF359" t="s">
        <v>103</v>
      </c>
      <c r="AG359">
        <v>0</v>
      </c>
      <c r="AH359" t="s">
        <v>69</v>
      </c>
      <c r="AI359" t="s">
        <v>137</v>
      </c>
      <c r="AJ359" t="s">
        <v>138</v>
      </c>
      <c r="AK359" t="s">
        <v>99</v>
      </c>
      <c r="AL359" t="s">
        <v>73</v>
      </c>
      <c r="AM359" t="s">
        <v>73</v>
      </c>
      <c r="AN359" t="s">
        <v>74</v>
      </c>
    </row>
    <row r="360" spans="1:40" x14ac:dyDescent="0.25">
      <c r="A360" t="s">
        <v>1476</v>
      </c>
      <c r="B360" t="s">
        <v>5</v>
      </c>
      <c r="C360">
        <v>839.06070399999999</v>
      </c>
      <c r="D360">
        <v>712.72562800000003</v>
      </c>
      <c r="E360" t="s">
        <v>56</v>
      </c>
      <c r="F360">
        <v>-35853.43</v>
      </c>
      <c r="G360" t="s">
        <v>1476</v>
      </c>
      <c r="H360" t="s">
        <v>7</v>
      </c>
      <c r="I360">
        <v>39519.919999999998</v>
      </c>
      <c r="J360">
        <v>924.85094000000004</v>
      </c>
      <c r="K360">
        <v>785.59866399999999</v>
      </c>
      <c r="L360">
        <v>0</v>
      </c>
      <c r="M360" t="s">
        <v>1476</v>
      </c>
      <c r="N360" t="s">
        <v>57</v>
      </c>
      <c r="O360" t="s">
        <v>58</v>
      </c>
      <c r="P360" t="s">
        <v>1477</v>
      </c>
      <c r="Q360" t="s">
        <v>136</v>
      </c>
      <c r="R360" t="s">
        <v>61</v>
      </c>
      <c r="S360" t="s">
        <v>58</v>
      </c>
      <c r="T360" t="s">
        <v>1477</v>
      </c>
      <c r="U360" t="s">
        <v>136</v>
      </c>
      <c r="V360" t="s">
        <v>56</v>
      </c>
      <c r="W360" t="s">
        <v>56</v>
      </c>
      <c r="X360" t="s">
        <v>56</v>
      </c>
      <c r="Y360" t="s">
        <v>62</v>
      </c>
      <c r="Z360" t="s">
        <v>63</v>
      </c>
      <c r="AA360" t="s">
        <v>64</v>
      </c>
      <c r="AB360">
        <v>1</v>
      </c>
      <c r="AC360" t="s">
        <v>84</v>
      </c>
      <c r="AD360" t="s">
        <v>66</v>
      </c>
      <c r="AE360" t="s">
        <v>67</v>
      </c>
      <c r="AF360" t="s">
        <v>86</v>
      </c>
      <c r="AG360">
        <v>47903.37</v>
      </c>
      <c r="AH360" t="s">
        <v>69</v>
      </c>
      <c r="AI360" t="s">
        <v>137</v>
      </c>
      <c r="AJ360" t="s">
        <v>138</v>
      </c>
      <c r="AK360" t="s">
        <v>99</v>
      </c>
      <c r="AL360" t="s">
        <v>73</v>
      </c>
      <c r="AM360" t="s">
        <v>73</v>
      </c>
      <c r="AN360" t="s">
        <v>74</v>
      </c>
    </row>
    <row r="361" spans="1:40" x14ac:dyDescent="0.25">
      <c r="A361" t="s">
        <v>312</v>
      </c>
      <c r="B361" t="s">
        <v>5</v>
      </c>
      <c r="C361" s="2">
        <v>834.85878000000002</v>
      </c>
      <c r="D361" t="s">
        <v>56</v>
      </c>
      <c r="E361" t="s">
        <v>56</v>
      </c>
      <c r="F361">
        <v>-13599.15</v>
      </c>
      <c r="G361" t="s">
        <v>312</v>
      </c>
      <c r="H361" t="s">
        <v>7</v>
      </c>
      <c r="I361">
        <v>16355.3</v>
      </c>
      <c r="J361">
        <v>0</v>
      </c>
      <c r="K361">
        <v>0</v>
      </c>
      <c r="L361">
        <v>0</v>
      </c>
      <c r="M361" t="s">
        <v>312</v>
      </c>
      <c r="N361" t="s">
        <v>57</v>
      </c>
      <c r="O361" t="s">
        <v>58</v>
      </c>
      <c r="P361" t="s">
        <v>313</v>
      </c>
      <c r="Q361" t="s">
        <v>314</v>
      </c>
      <c r="R361" t="s">
        <v>61</v>
      </c>
      <c r="S361" t="s">
        <v>58</v>
      </c>
      <c r="T361" t="s">
        <v>313</v>
      </c>
      <c r="U361" t="s">
        <v>314</v>
      </c>
      <c r="V361" t="s">
        <v>56</v>
      </c>
      <c r="W361" t="s">
        <v>56</v>
      </c>
      <c r="X361" t="s">
        <v>56</v>
      </c>
      <c r="Y361" t="s">
        <v>62</v>
      </c>
      <c r="Z361" t="s">
        <v>63</v>
      </c>
      <c r="AA361" t="s">
        <v>64</v>
      </c>
      <c r="AB361">
        <v>1</v>
      </c>
      <c r="AC361" t="s">
        <v>84</v>
      </c>
      <c r="AD361" t="s">
        <v>66</v>
      </c>
      <c r="AE361" t="s">
        <v>85</v>
      </c>
      <c r="AF361" t="s">
        <v>68</v>
      </c>
      <c r="AG361">
        <v>44275</v>
      </c>
      <c r="AH361" t="s">
        <v>69</v>
      </c>
      <c r="AI361" t="s">
        <v>114</v>
      </c>
      <c r="AJ361" t="s">
        <v>315</v>
      </c>
      <c r="AK361" t="s">
        <v>72</v>
      </c>
      <c r="AL361" t="s">
        <v>73</v>
      </c>
      <c r="AM361" t="s">
        <v>73</v>
      </c>
      <c r="AN361" t="s">
        <v>56</v>
      </c>
    </row>
    <row r="362" spans="1:40" x14ac:dyDescent="0.25">
      <c r="A362" t="s">
        <v>316</v>
      </c>
      <c r="B362" t="s">
        <v>5</v>
      </c>
      <c r="C362" s="2">
        <v>828.91785500000003</v>
      </c>
      <c r="D362" t="s">
        <v>56</v>
      </c>
      <c r="E362" t="s">
        <v>56</v>
      </c>
      <c r="F362">
        <v>-9173.75</v>
      </c>
      <c r="G362" t="s">
        <v>316</v>
      </c>
      <c r="H362" t="s">
        <v>7</v>
      </c>
      <c r="I362">
        <v>10142.18</v>
      </c>
      <c r="J362">
        <v>0</v>
      </c>
      <c r="K362">
        <v>0</v>
      </c>
      <c r="L362">
        <v>0</v>
      </c>
      <c r="M362" t="s">
        <v>316</v>
      </c>
      <c r="N362" t="s">
        <v>57</v>
      </c>
      <c r="O362" t="s">
        <v>58</v>
      </c>
      <c r="P362" t="s">
        <v>317</v>
      </c>
      <c r="Q362" t="s">
        <v>318</v>
      </c>
      <c r="R362" t="s">
        <v>61</v>
      </c>
      <c r="S362" t="s">
        <v>58</v>
      </c>
      <c r="T362" t="s">
        <v>317</v>
      </c>
      <c r="U362" t="s">
        <v>318</v>
      </c>
      <c r="V362" t="s">
        <v>56</v>
      </c>
      <c r="W362" t="s">
        <v>56</v>
      </c>
      <c r="X362" t="s">
        <v>56</v>
      </c>
      <c r="Y362" t="s">
        <v>62</v>
      </c>
      <c r="Z362" t="s">
        <v>63</v>
      </c>
      <c r="AA362" t="s">
        <v>64</v>
      </c>
      <c r="AB362">
        <v>1</v>
      </c>
      <c r="AC362" t="s">
        <v>78</v>
      </c>
      <c r="AD362" t="s">
        <v>66</v>
      </c>
      <c r="AE362" t="s">
        <v>85</v>
      </c>
      <c r="AF362" t="s">
        <v>103</v>
      </c>
      <c r="AG362">
        <v>30081.3</v>
      </c>
      <c r="AH362" t="s">
        <v>69</v>
      </c>
      <c r="AI362" t="s">
        <v>70</v>
      </c>
      <c r="AJ362" t="s">
        <v>319</v>
      </c>
      <c r="AK362" t="s">
        <v>72</v>
      </c>
      <c r="AL362" t="s">
        <v>73</v>
      </c>
      <c r="AM362" t="s">
        <v>73</v>
      </c>
      <c r="AN362" t="s">
        <v>56</v>
      </c>
    </row>
    <row r="363" spans="1:40" x14ac:dyDescent="0.25">
      <c r="A363" t="s">
        <v>2015</v>
      </c>
      <c r="B363" t="s">
        <v>5</v>
      </c>
      <c r="C363">
        <v>822.75937099999999</v>
      </c>
      <c r="D363">
        <v>698.87874199999999</v>
      </c>
      <c r="E363" t="s">
        <v>56</v>
      </c>
      <c r="F363">
        <v>-24815.56</v>
      </c>
      <c r="G363" t="s">
        <v>2015</v>
      </c>
      <c r="H363" t="s">
        <v>7</v>
      </c>
      <c r="I363">
        <v>26492.31</v>
      </c>
      <c r="J363">
        <v>1080.3598959999999</v>
      </c>
      <c r="K363">
        <v>917.69306200000005</v>
      </c>
      <c r="L363">
        <v>0</v>
      </c>
      <c r="M363" t="s">
        <v>2015</v>
      </c>
      <c r="N363" t="s">
        <v>57</v>
      </c>
      <c r="O363" t="s">
        <v>58</v>
      </c>
      <c r="P363" t="s">
        <v>2016</v>
      </c>
      <c r="Q363" t="s">
        <v>2017</v>
      </c>
      <c r="R363" t="s">
        <v>61</v>
      </c>
      <c r="S363" t="s">
        <v>58</v>
      </c>
      <c r="T363" t="s">
        <v>2016</v>
      </c>
      <c r="U363" t="s">
        <v>2017</v>
      </c>
      <c r="V363" t="s">
        <v>56</v>
      </c>
      <c r="W363" t="s">
        <v>56</v>
      </c>
      <c r="X363" t="s">
        <v>56</v>
      </c>
      <c r="Y363" t="s">
        <v>62</v>
      </c>
      <c r="Z363" t="s">
        <v>63</v>
      </c>
      <c r="AA363" t="s">
        <v>64</v>
      </c>
      <c r="AB363">
        <v>1</v>
      </c>
      <c r="AC363" t="s">
        <v>78</v>
      </c>
      <c r="AD363" t="s">
        <v>66</v>
      </c>
      <c r="AE363" t="s">
        <v>67</v>
      </c>
      <c r="AF363" t="s">
        <v>68</v>
      </c>
      <c r="AG363">
        <v>27490</v>
      </c>
      <c r="AH363" t="s">
        <v>69</v>
      </c>
      <c r="AI363" t="s">
        <v>220</v>
      </c>
      <c r="AJ363" t="s">
        <v>80</v>
      </c>
      <c r="AK363" t="s">
        <v>72</v>
      </c>
      <c r="AL363" t="s">
        <v>73</v>
      </c>
      <c r="AM363" t="s">
        <v>73</v>
      </c>
      <c r="AN363" t="s">
        <v>74</v>
      </c>
    </row>
    <row r="364" spans="1:40" x14ac:dyDescent="0.25">
      <c r="A364" t="s">
        <v>1248</v>
      </c>
      <c r="B364" t="s">
        <v>5</v>
      </c>
      <c r="C364" s="2">
        <v>816.11661500000002</v>
      </c>
      <c r="D364" t="s">
        <v>56</v>
      </c>
      <c r="E364" t="s">
        <v>56</v>
      </c>
      <c r="F364">
        <v>-11595.27</v>
      </c>
      <c r="G364" t="s">
        <v>1248</v>
      </c>
      <c r="H364" t="s">
        <v>7</v>
      </c>
      <c r="I364">
        <v>14283.08</v>
      </c>
      <c r="J364">
        <v>0</v>
      </c>
      <c r="K364">
        <v>0</v>
      </c>
      <c r="L364">
        <v>0</v>
      </c>
      <c r="M364" t="s">
        <v>1248</v>
      </c>
      <c r="N364" t="s">
        <v>57</v>
      </c>
      <c r="O364" t="s">
        <v>58</v>
      </c>
      <c r="P364" t="s">
        <v>1249</v>
      </c>
      <c r="Q364" t="s">
        <v>1250</v>
      </c>
      <c r="R364" t="s">
        <v>61</v>
      </c>
      <c r="S364" t="s">
        <v>58</v>
      </c>
      <c r="T364" t="s">
        <v>1249</v>
      </c>
      <c r="U364" t="s">
        <v>1250</v>
      </c>
      <c r="V364" t="s">
        <v>56</v>
      </c>
      <c r="W364" t="s">
        <v>56</v>
      </c>
      <c r="X364" t="s">
        <v>56</v>
      </c>
      <c r="Y364" t="s">
        <v>62</v>
      </c>
      <c r="Z364" t="s">
        <v>63</v>
      </c>
      <c r="AA364" t="s">
        <v>64</v>
      </c>
      <c r="AB364">
        <v>1</v>
      </c>
      <c r="AC364" t="s">
        <v>78</v>
      </c>
      <c r="AD364" t="s">
        <v>66</v>
      </c>
      <c r="AE364" t="s">
        <v>85</v>
      </c>
      <c r="AF364" t="s">
        <v>103</v>
      </c>
      <c r="AG364">
        <v>38617.89</v>
      </c>
      <c r="AH364" t="s">
        <v>69</v>
      </c>
      <c r="AI364" t="s">
        <v>269</v>
      </c>
      <c r="AJ364" t="s">
        <v>704</v>
      </c>
      <c r="AK364" t="s">
        <v>280</v>
      </c>
      <c r="AL364" t="s">
        <v>73</v>
      </c>
      <c r="AM364" t="s">
        <v>73</v>
      </c>
      <c r="AN364" t="s">
        <v>56</v>
      </c>
    </row>
    <row r="365" spans="1:40" x14ac:dyDescent="0.25">
      <c r="A365" t="s">
        <v>696</v>
      </c>
      <c r="B365" t="s">
        <v>5</v>
      </c>
      <c r="C365">
        <v>815.85364100000004</v>
      </c>
      <c r="D365">
        <v>693.01279</v>
      </c>
      <c r="E365" t="s">
        <v>56</v>
      </c>
      <c r="F365">
        <v>-30347.29</v>
      </c>
      <c r="G365" t="s">
        <v>696</v>
      </c>
      <c r="H365" t="s">
        <v>7</v>
      </c>
      <c r="I365">
        <v>33541.19</v>
      </c>
      <c r="J365">
        <v>1109.121811</v>
      </c>
      <c r="K365">
        <v>942.12437399999999</v>
      </c>
      <c r="L365">
        <v>0</v>
      </c>
      <c r="M365" t="s">
        <v>696</v>
      </c>
      <c r="N365" t="s">
        <v>57</v>
      </c>
      <c r="O365" t="s">
        <v>58</v>
      </c>
      <c r="P365" t="s">
        <v>697</v>
      </c>
      <c r="Q365" t="s">
        <v>156</v>
      </c>
      <c r="R365" t="s">
        <v>61</v>
      </c>
      <c r="S365" t="s">
        <v>58</v>
      </c>
      <c r="T365" t="s">
        <v>697</v>
      </c>
      <c r="U365" t="s">
        <v>156</v>
      </c>
      <c r="V365" t="s">
        <v>56</v>
      </c>
      <c r="W365" t="s">
        <v>56</v>
      </c>
      <c r="X365" t="s">
        <v>56</v>
      </c>
      <c r="Y365" t="s">
        <v>62</v>
      </c>
      <c r="Z365" t="s">
        <v>63</v>
      </c>
      <c r="AA365" t="s">
        <v>64</v>
      </c>
      <c r="AB365">
        <v>1</v>
      </c>
      <c r="AC365" t="s">
        <v>120</v>
      </c>
      <c r="AD365" t="s">
        <v>66</v>
      </c>
      <c r="AE365" t="s">
        <v>67</v>
      </c>
      <c r="AF365" t="s">
        <v>68</v>
      </c>
      <c r="AG365">
        <v>33902.44</v>
      </c>
      <c r="AH365" t="s">
        <v>69</v>
      </c>
      <c r="AI365" t="s">
        <v>208</v>
      </c>
      <c r="AJ365" t="s">
        <v>115</v>
      </c>
      <c r="AK365" t="s">
        <v>72</v>
      </c>
      <c r="AL365" t="s">
        <v>73</v>
      </c>
      <c r="AM365" t="s">
        <v>73</v>
      </c>
      <c r="AN365" t="s">
        <v>74</v>
      </c>
    </row>
    <row r="366" spans="1:40" x14ac:dyDescent="0.25">
      <c r="A366" t="s">
        <v>2449</v>
      </c>
      <c r="B366" t="s">
        <v>5</v>
      </c>
      <c r="C366">
        <v>813.09471299999996</v>
      </c>
      <c r="D366">
        <v>690.66926599999999</v>
      </c>
      <c r="E366" t="s">
        <v>56</v>
      </c>
      <c r="F366">
        <v>-38259.129999999997</v>
      </c>
      <c r="G366" t="s">
        <v>2449</v>
      </c>
      <c r="H366" t="s">
        <v>7</v>
      </c>
      <c r="I366">
        <v>43339.41</v>
      </c>
      <c r="J366">
        <v>921.05390999999997</v>
      </c>
      <c r="K366">
        <v>782.37334199999998</v>
      </c>
      <c r="L366">
        <v>0</v>
      </c>
      <c r="M366" t="s">
        <v>2449</v>
      </c>
      <c r="N366" t="s">
        <v>57</v>
      </c>
      <c r="O366" t="s">
        <v>58</v>
      </c>
      <c r="P366" t="s">
        <v>2450</v>
      </c>
      <c r="Q366" t="s">
        <v>2451</v>
      </c>
      <c r="R366" t="s">
        <v>61</v>
      </c>
      <c r="S366" t="s">
        <v>58</v>
      </c>
      <c r="T366" t="s">
        <v>2450</v>
      </c>
      <c r="U366" t="s">
        <v>2451</v>
      </c>
      <c r="V366" t="s">
        <v>56</v>
      </c>
      <c r="W366" t="s">
        <v>56</v>
      </c>
      <c r="X366" t="s">
        <v>56</v>
      </c>
      <c r="Y366" t="s">
        <v>62</v>
      </c>
      <c r="Z366" t="s">
        <v>63</v>
      </c>
      <c r="AA366" t="s">
        <v>64</v>
      </c>
      <c r="AB366">
        <v>1</v>
      </c>
      <c r="AC366" t="s">
        <v>84</v>
      </c>
      <c r="AD366" t="s">
        <v>66</v>
      </c>
      <c r="AE366" t="s">
        <v>67</v>
      </c>
      <c r="AF366" t="s">
        <v>103</v>
      </c>
      <c r="AG366">
        <v>52750</v>
      </c>
      <c r="AH366" t="s">
        <v>69</v>
      </c>
      <c r="AI366" t="s">
        <v>355</v>
      </c>
      <c r="AJ366" t="s">
        <v>187</v>
      </c>
      <c r="AK366" t="s">
        <v>99</v>
      </c>
      <c r="AL366" t="s">
        <v>73</v>
      </c>
      <c r="AM366" t="s">
        <v>73</v>
      </c>
      <c r="AN366" t="s">
        <v>74</v>
      </c>
    </row>
    <row r="367" spans="1:40" x14ac:dyDescent="0.25">
      <c r="A367" t="s">
        <v>1103</v>
      </c>
      <c r="B367" t="s">
        <v>5</v>
      </c>
      <c r="C367">
        <v>813.09359199999994</v>
      </c>
      <c r="D367">
        <v>690.66831300000001</v>
      </c>
      <c r="E367" t="s">
        <v>56</v>
      </c>
      <c r="F367">
        <v>-37057.64</v>
      </c>
      <c r="G367" t="s">
        <v>1103</v>
      </c>
      <c r="H367" t="s">
        <v>7</v>
      </c>
      <c r="I367">
        <v>41978.43</v>
      </c>
      <c r="J367">
        <v>921.06175699999994</v>
      </c>
      <c r="K367">
        <v>782.38000799999998</v>
      </c>
      <c r="L367">
        <v>0</v>
      </c>
      <c r="M367" t="s">
        <v>1103</v>
      </c>
      <c r="N367" t="s">
        <v>57</v>
      </c>
      <c r="O367" t="s">
        <v>58</v>
      </c>
      <c r="P367" t="s">
        <v>1104</v>
      </c>
      <c r="Q367" t="s">
        <v>1105</v>
      </c>
      <c r="R367" t="s">
        <v>61</v>
      </c>
      <c r="S367" t="s">
        <v>58</v>
      </c>
      <c r="T367" t="s">
        <v>1104</v>
      </c>
      <c r="U367" t="s">
        <v>1105</v>
      </c>
      <c r="V367" t="s">
        <v>56</v>
      </c>
      <c r="W367" t="s">
        <v>56</v>
      </c>
      <c r="X367" t="s">
        <v>56</v>
      </c>
      <c r="Y367" t="s">
        <v>62</v>
      </c>
      <c r="Z367" t="s">
        <v>63</v>
      </c>
      <c r="AA367" t="s">
        <v>64</v>
      </c>
      <c r="AB367">
        <v>1</v>
      </c>
      <c r="AC367" t="s">
        <v>84</v>
      </c>
      <c r="AD367" t="s">
        <v>66</v>
      </c>
      <c r="AE367" t="s">
        <v>67</v>
      </c>
      <c r="AF367" t="s">
        <v>235</v>
      </c>
      <c r="AG367">
        <v>51093.5</v>
      </c>
      <c r="AH367" t="s">
        <v>69</v>
      </c>
      <c r="AI367" t="s">
        <v>87</v>
      </c>
      <c r="AJ367" t="s">
        <v>187</v>
      </c>
      <c r="AK367" t="s">
        <v>99</v>
      </c>
      <c r="AL367" t="s">
        <v>73</v>
      </c>
      <c r="AM367" t="s">
        <v>73</v>
      </c>
      <c r="AN367" t="s">
        <v>74</v>
      </c>
    </row>
    <row r="368" spans="1:40" x14ac:dyDescent="0.25">
      <c r="A368" t="s">
        <v>2048</v>
      </c>
      <c r="B368" t="s">
        <v>5</v>
      </c>
      <c r="C368">
        <v>811.34249599999998</v>
      </c>
      <c r="D368">
        <v>689.18087500000001</v>
      </c>
      <c r="E368" t="s">
        <v>56</v>
      </c>
      <c r="F368">
        <v>-31144.97</v>
      </c>
      <c r="G368" t="s">
        <v>2048</v>
      </c>
      <c r="H368" t="s">
        <v>7</v>
      </c>
      <c r="I368">
        <v>33049.07</v>
      </c>
      <c r="J368">
        <v>1058.9611030000001</v>
      </c>
      <c r="K368">
        <v>899.51622599999996</v>
      </c>
      <c r="L368">
        <v>0</v>
      </c>
      <c r="M368" t="s">
        <v>2048</v>
      </c>
      <c r="N368" t="s">
        <v>57</v>
      </c>
      <c r="O368" t="s">
        <v>58</v>
      </c>
      <c r="P368" t="s">
        <v>2049</v>
      </c>
      <c r="Q368" t="s">
        <v>2050</v>
      </c>
      <c r="R368" t="s">
        <v>61</v>
      </c>
      <c r="S368" t="s">
        <v>58</v>
      </c>
      <c r="T368" t="s">
        <v>2049</v>
      </c>
      <c r="U368" t="s">
        <v>2050</v>
      </c>
      <c r="V368" t="s">
        <v>56</v>
      </c>
      <c r="W368" t="s">
        <v>56</v>
      </c>
      <c r="X368" t="s">
        <v>56</v>
      </c>
      <c r="Y368" t="s">
        <v>62</v>
      </c>
      <c r="Z368" t="s">
        <v>63</v>
      </c>
      <c r="AA368" t="s">
        <v>64</v>
      </c>
      <c r="AB368">
        <v>1</v>
      </c>
      <c r="AC368" t="s">
        <v>147</v>
      </c>
      <c r="AD368" t="s">
        <v>66</v>
      </c>
      <c r="AE368" t="s">
        <v>67</v>
      </c>
      <c r="AF368" t="s">
        <v>68</v>
      </c>
      <c r="AG368">
        <v>34987.050000000003</v>
      </c>
      <c r="AH368" t="s">
        <v>69</v>
      </c>
      <c r="AI368" t="s">
        <v>208</v>
      </c>
      <c r="AJ368" t="s">
        <v>265</v>
      </c>
      <c r="AK368" t="s">
        <v>280</v>
      </c>
      <c r="AL368" t="s">
        <v>73</v>
      </c>
      <c r="AM368" t="s">
        <v>73</v>
      </c>
      <c r="AN368" t="s">
        <v>74</v>
      </c>
    </row>
    <row r="369" spans="1:40" x14ac:dyDescent="0.25">
      <c r="A369" t="s">
        <v>654</v>
      </c>
      <c r="B369" t="s">
        <v>5</v>
      </c>
      <c r="C369">
        <v>809.09477100000004</v>
      </c>
      <c r="D369">
        <v>687.27158399999996</v>
      </c>
      <c r="E369" t="s">
        <v>56</v>
      </c>
      <c r="F369">
        <v>-36924.519999999997</v>
      </c>
      <c r="G369" t="s">
        <v>654</v>
      </c>
      <c r="H369" t="s">
        <v>7</v>
      </c>
      <c r="I369">
        <v>39251.26</v>
      </c>
      <c r="J369">
        <v>1057.909549</v>
      </c>
      <c r="K369">
        <v>898.62300200000004</v>
      </c>
      <c r="L369">
        <v>0</v>
      </c>
      <c r="M369" t="s">
        <v>654</v>
      </c>
      <c r="N369" t="s">
        <v>57</v>
      </c>
      <c r="O369" t="s">
        <v>58</v>
      </c>
      <c r="P369" t="s">
        <v>655</v>
      </c>
      <c r="Q369" t="s">
        <v>656</v>
      </c>
      <c r="R369" t="s">
        <v>61</v>
      </c>
      <c r="S369" t="s">
        <v>58</v>
      </c>
      <c r="T369" t="s">
        <v>655</v>
      </c>
      <c r="U369" t="s">
        <v>656</v>
      </c>
      <c r="V369" t="s">
        <v>56</v>
      </c>
      <c r="W369" t="s">
        <v>56</v>
      </c>
      <c r="X369" t="s">
        <v>56</v>
      </c>
      <c r="Y369" t="s">
        <v>62</v>
      </c>
      <c r="Z369" t="s">
        <v>63</v>
      </c>
      <c r="AA369" t="s">
        <v>64</v>
      </c>
      <c r="AB369">
        <v>1</v>
      </c>
      <c r="AC369" t="s">
        <v>147</v>
      </c>
      <c r="AD369" t="s">
        <v>66</v>
      </c>
      <c r="AE369" t="s">
        <v>67</v>
      </c>
      <c r="AF369" t="s">
        <v>68</v>
      </c>
      <c r="AG369">
        <v>41594.79</v>
      </c>
      <c r="AH369" t="s">
        <v>69</v>
      </c>
      <c r="AI369" t="s">
        <v>168</v>
      </c>
      <c r="AJ369" t="s">
        <v>324</v>
      </c>
      <c r="AK369" t="s">
        <v>280</v>
      </c>
      <c r="AL369" t="s">
        <v>73</v>
      </c>
      <c r="AM369" t="s">
        <v>73</v>
      </c>
      <c r="AN369" t="s">
        <v>74</v>
      </c>
    </row>
    <row r="370" spans="1:40" x14ac:dyDescent="0.25">
      <c r="A370" t="s">
        <v>651</v>
      </c>
      <c r="B370" t="s">
        <v>5</v>
      </c>
      <c r="C370">
        <v>805.19908699999996</v>
      </c>
      <c r="D370">
        <v>683.96246299999996</v>
      </c>
      <c r="E370" t="s">
        <v>56</v>
      </c>
      <c r="F370">
        <v>-41658.44</v>
      </c>
      <c r="G370" t="s">
        <v>651</v>
      </c>
      <c r="H370" t="s">
        <v>7</v>
      </c>
      <c r="I370">
        <v>42056.45</v>
      </c>
      <c r="J370">
        <v>999.85770000000002</v>
      </c>
      <c r="K370">
        <v>849.31186100000002</v>
      </c>
      <c r="L370">
        <v>0</v>
      </c>
      <c r="M370" t="s">
        <v>651</v>
      </c>
      <c r="N370" t="s">
        <v>57</v>
      </c>
      <c r="O370" t="s">
        <v>58</v>
      </c>
      <c r="P370" t="s">
        <v>652</v>
      </c>
      <c r="Q370" t="s">
        <v>653</v>
      </c>
      <c r="R370" t="s">
        <v>61</v>
      </c>
      <c r="S370" t="s">
        <v>58</v>
      </c>
      <c r="T370" t="s">
        <v>652</v>
      </c>
      <c r="U370" t="s">
        <v>653</v>
      </c>
      <c r="V370" t="s">
        <v>56</v>
      </c>
      <c r="W370" t="s">
        <v>56</v>
      </c>
      <c r="X370" t="s">
        <v>56</v>
      </c>
      <c r="Y370" t="s">
        <v>62</v>
      </c>
      <c r="Z370" t="s">
        <v>63</v>
      </c>
      <c r="AA370" t="s">
        <v>64</v>
      </c>
      <c r="AB370">
        <v>1</v>
      </c>
      <c r="AC370" t="s">
        <v>84</v>
      </c>
      <c r="AD370" t="s">
        <v>66</v>
      </c>
      <c r="AE370" t="s">
        <v>67</v>
      </c>
      <c r="AF370" t="s">
        <v>68</v>
      </c>
      <c r="AG370">
        <v>47154.47</v>
      </c>
      <c r="AH370" t="s">
        <v>69</v>
      </c>
      <c r="AI370" t="s">
        <v>122</v>
      </c>
      <c r="AJ370" t="s">
        <v>98</v>
      </c>
      <c r="AK370" t="s">
        <v>72</v>
      </c>
      <c r="AL370" t="s">
        <v>73</v>
      </c>
      <c r="AM370" t="s">
        <v>73</v>
      </c>
      <c r="AN370" t="s">
        <v>74</v>
      </c>
    </row>
    <row r="371" spans="1:40" x14ac:dyDescent="0.25">
      <c r="A371" t="s">
        <v>1587</v>
      </c>
      <c r="B371" t="s">
        <v>5</v>
      </c>
      <c r="C371">
        <v>804.84235699999999</v>
      </c>
      <c r="D371">
        <v>1027.783944</v>
      </c>
      <c r="E371" t="s">
        <v>56</v>
      </c>
      <c r="F371">
        <v>-21181.14</v>
      </c>
      <c r="G371" t="s">
        <v>1587</v>
      </c>
      <c r="H371" t="s">
        <v>7</v>
      </c>
      <c r="I371">
        <v>24116.73</v>
      </c>
      <c r="J371">
        <v>916.36201100000005</v>
      </c>
      <c r="K371">
        <v>1170.194577</v>
      </c>
      <c r="L371">
        <v>0</v>
      </c>
      <c r="M371" t="s">
        <v>1587</v>
      </c>
      <c r="N371" t="s">
        <v>57</v>
      </c>
      <c r="O371" t="s">
        <v>58</v>
      </c>
      <c r="P371" t="s">
        <v>1588</v>
      </c>
      <c r="Q371" t="s">
        <v>1589</v>
      </c>
      <c r="R371" t="s">
        <v>61</v>
      </c>
      <c r="S371" t="s">
        <v>58</v>
      </c>
      <c r="T371" t="s">
        <v>1588</v>
      </c>
      <c r="U371" t="s">
        <v>1589</v>
      </c>
      <c r="V371" t="s">
        <v>56</v>
      </c>
      <c r="W371" t="s">
        <v>56</v>
      </c>
      <c r="X371" t="s">
        <v>56</v>
      </c>
      <c r="Y371" t="s">
        <v>62</v>
      </c>
      <c r="Z371" t="s">
        <v>63</v>
      </c>
      <c r="AA371" t="s">
        <v>64</v>
      </c>
      <c r="AB371">
        <v>1</v>
      </c>
      <c r="AC371" t="s">
        <v>78</v>
      </c>
      <c r="AD371" t="s">
        <v>66</v>
      </c>
      <c r="AE371" t="s">
        <v>121</v>
      </c>
      <c r="AF371" t="s">
        <v>68</v>
      </c>
      <c r="AG371">
        <v>25000</v>
      </c>
      <c r="AH371" t="s">
        <v>69</v>
      </c>
      <c r="AI371" t="s">
        <v>181</v>
      </c>
      <c r="AJ371" t="s">
        <v>401</v>
      </c>
      <c r="AK371" t="s">
        <v>99</v>
      </c>
      <c r="AL371" t="s">
        <v>73</v>
      </c>
      <c r="AM371" t="s">
        <v>73</v>
      </c>
      <c r="AN371" t="s">
        <v>124</v>
      </c>
    </row>
    <row r="372" spans="1:40" x14ac:dyDescent="0.25">
      <c r="A372" t="s">
        <v>250</v>
      </c>
      <c r="B372" t="s">
        <v>5</v>
      </c>
      <c r="C372">
        <v>803.818308</v>
      </c>
      <c r="D372">
        <v>1026.476234</v>
      </c>
      <c r="E372" t="s">
        <v>56</v>
      </c>
      <c r="F372">
        <v>-25385.01</v>
      </c>
      <c r="G372" t="s">
        <v>250</v>
      </c>
      <c r="H372" t="s">
        <v>7</v>
      </c>
      <c r="I372">
        <v>28030.39</v>
      </c>
      <c r="J372">
        <v>887.57180600000004</v>
      </c>
      <c r="K372">
        <v>1133.429476</v>
      </c>
      <c r="L372">
        <v>0</v>
      </c>
      <c r="M372" t="s">
        <v>250</v>
      </c>
      <c r="N372" t="s">
        <v>57</v>
      </c>
      <c r="O372" t="s">
        <v>58</v>
      </c>
      <c r="P372" t="s">
        <v>251</v>
      </c>
      <c r="Q372" t="s">
        <v>252</v>
      </c>
      <c r="R372" t="s">
        <v>61</v>
      </c>
      <c r="S372" t="s">
        <v>58</v>
      </c>
      <c r="T372" t="s">
        <v>251</v>
      </c>
      <c r="U372" t="s">
        <v>252</v>
      </c>
      <c r="V372" t="s">
        <v>56</v>
      </c>
      <c r="W372" t="s">
        <v>56</v>
      </c>
      <c r="X372" t="s">
        <v>56</v>
      </c>
      <c r="Y372" t="s">
        <v>62</v>
      </c>
      <c r="Z372" t="s">
        <v>63</v>
      </c>
      <c r="AA372" t="s">
        <v>64</v>
      </c>
      <c r="AB372">
        <v>1</v>
      </c>
      <c r="AC372" t="s">
        <v>78</v>
      </c>
      <c r="AD372" t="s">
        <v>66</v>
      </c>
      <c r="AE372" t="s">
        <v>121</v>
      </c>
      <c r="AF372" t="s">
        <v>68</v>
      </c>
      <c r="AG372">
        <v>30000</v>
      </c>
      <c r="AH372" t="s">
        <v>69</v>
      </c>
      <c r="AI372" t="s">
        <v>253</v>
      </c>
      <c r="AJ372" t="s">
        <v>254</v>
      </c>
      <c r="AK372" t="s">
        <v>99</v>
      </c>
      <c r="AL372" t="s">
        <v>73</v>
      </c>
      <c r="AM372" t="s">
        <v>73</v>
      </c>
      <c r="AN372" t="s">
        <v>124</v>
      </c>
    </row>
    <row r="373" spans="1:40" x14ac:dyDescent="0.25">
      <c r="A373" t="s">
        <v>286</v>
      </c>
      <c r="B373" t="s">
        <v>5</v>
      </c>
      <c r="C373" s="2">
        <v>802.86455599999999</v>
      </c>
      <c r="D373">
        <v>1025.258292</v>
      </c>
      <c r="E373" t="s">
        <v>56</v>
      </c>
      <c r="F373">
        <v>-50667.53</v>
      </c>
      <c r="G373" t="s">
        <v>286</v>
      </c>
      <c r="H373" t="s">
        <v>7</v>
      </c>
      <c r="I373">
        <v>57728.1</v>
      </c>
      <c r="J373">
        <v>0</v>
      </c>
      <c r="K373">
        <v>0</v>
      </c>
      <c r="L373">
        <v>0</v>
      </c>
      <c r="M373" t="s">
        <v>286</v>
      </c>
      <c r="N373" t="s">
        <v>57</v>
      </c>
      <c r="O373" t="s">
        <v>58</v>
      </c>
      <c r="P373" t="s">
        <v>287</v>
      </c>
      <c r="Q373" t="s">
        <v>288</v>
      </c>
      <c r="R373" t="s">
        <v>61</v>
      </c>
      <c r="S373" t="s">
        <v>58</v>
      </c>
      <c r="T373" t="s">
        <v>287</v>
      </c>
      <c r="U373" t="s">
        <v>288</v>
      </c>
      <c r="V373" t="s">
        <v>56</v>
      </c>
      <c r="W373" t="s">
        <v>56</v>
      </c>
      <c r="X373" t="s">
        <v>56</v>
      </c>
      <c r="Y373" t="s">
        <v>62</v>
      </c>
      <c r="Z373" t="s">
        <v>63</v>
      </c>
      <c r="AA373" t="s">
        <v>64</v>
      </c>
      <c r="AB373">
        <v>1</v>
      </c>
      <c r="AC373" t="s">
        <v>84</v>
      </c>
      <c r="AD373" t="s">
        <v>66</v>
      </c>
      <c r="AE373" t="s">
        <v>289</v>
      </c>
      <c r="AF373" t="s">
        <v>68</v>
      </c>
      <c r="AG373">
        <v>59950</v>
      </c>
      <c r="AH373" t="s">
        <v>69</v>
      </c>
      <c r="AI373" t="s">
        <v>216</v>
      </c>
      <c r="AJ373" t="s">
        <v>80</v>
      </c>
      <c r="AK373" t="s">
        <v>99</v>
      </c>
      <c r="AL373" t="s">
        <v>73</v>
      </c>
      <c r="AM373" t="s">
        <v>73</v>
      </c>
      <c r="AN373" t="s">
        <v>56</v>
      </c>
    </row>
    <row r="374" spans="1:40" x14ac:dyDescent="0.25">
      <c r="A374" t="s">
        <v>1762</v>
      </c>
      <c r="B374" t="s">
        <v>5</v>
      </c>
      <c r="C374">
        <v>802.33814199999995</v>
      </c>
      <c r="D374">
        <v>681.53228200000001</v>
      </c>
      <c r="E374" t="s">
        <v>56</v>
      </c>
      <c r="F374">
        <v>-42217.3</v>
      </c>
      <c r="G374" t="s">
        <v>1762</v>
      </c>
      <c r="H374" t="s">
        <v>7</v>
      </c>
      <c r="I374">
        <v>47830.080000000002</v>
      </c>
      <c r="J374">
        <v>909.01820999999995</v>
      </c>
      <c r="K374">
        <v>772.14982499999996</v>
      </c>
      <c r="L374">
        <v>0</v>
      </c>
      <c r="M374" t="s">
        <v>1762</v>
      </c>
      <c r="N374" t="s">
        <v>57</v>
      </c>
      <c r="O374" t="s">
        <v>58</v>
      </c>
      <c r="P374" t="s">
        <v>1763</v>
      </c>
      <c r="Q374" t="s">
        <v>1764</v>
      </c>
      <c r="R374" t="s">
        <v>61</v>
      </c>
      <c r="S374" t="s">
        <v>58</v>
      </c>
      <c r="T374" t="s">
        <v>1763</v>
      </c>
      <c r="U374" t="s">
        <v>1764</v>
      </c>
      <c r="V374" t="s">
        <v>56</v>
      </c>
      <c r="W374" t="s">
        <v>56</v>
      </c>
      <c r="X374" t="s">
        <v>56</v>
      </c>
      <c r="Y374" t="s">
        <v>62</v>
      </c>
      <c r="Z374" t="s">
        <v>63</v>
      </c>
      <c r="AA374" t="s">
        <v>64</v>
      </c>
      <c r="AB374">
        <v>1</v>
      </c>
      <c r="AC374" t="s">
        <v>84</v>
      </c>
      <c r="AD374" t="s">
        <v>66</v>
      </c>
      <c r="AE374" t="s">
        <v>67</v>
      </c>
      <c r="AF374" t="s">
        <v>103</v>
      </c>
      <c r="AG374">
        <v>58987.7</v>
      </c>
      <c r="AH374" t="s">
        <v>69</v>
      </c>
      <c r="AI374" t="s">
        <v>536</v>
      </c>
      <c r="AJ374" t="s">
        <v>105</v>
      </c>
      <c r="AK374" t="s">
        <v>99</v>
      </c>
      <c r="AL374" t="s">
        <v>73</v>
      </c>
      <c r="AM374" t="s">
        <v>73</v>
      </c>
      <c r="AN374" t="s">
        <v>74</v>
      </c>
    </row>
    <row r="375" spans="1:40" x14ac:dyDescent="0.25">
      <c r="A375" t="s">
        <v>2441</v>
      </c>
      <c r="B375" t="s">
        <v>5</v>
      </c>
      <c r="C375">
        <v>802.332537</v>
      </c>
      <c r="D375">
        <v>681.52752099999998</v>
      </c>
      <c r="E375" t="s">
        <v>56</v>
      </c>
      <c r="F375">
        <v>-10735.37</v>
      </c>
      <c r="G375" t="s">
        <v>2441</v>
      </c>
      <c r="H375" t="s">
        <v>7</v>
      </c>
      <c r="I375">
        <v>12162.65</v>
      </c>
      <c r="J375">
        <v>908.95543099999998</v>
      </c>
      <c r="K375">
        <v>772.096498</v>
      </c>
      <c r="L375">
        <v>0</v>
      </c>
      <c r="M375" t="s">
        <v>2441</v>
      </c>
      <c r="N375" t="s">
        <v>57</v>
      </c>
      <c r="O375" t="s">
        <v>58</v>
      </c>
      <c r="P375" t="s">
        <v>2442</v>
      </c>
      <c r="Q375" t="s">
        <v>2443</v>
      </c>
      <c r="R375" t="s">
        <v>61</v>
      </c>
      <c r="S375" t="s">
        <v>58</v>
      </c>
      <c r="T375" t="s">
        <v>2442</v>
      </c>
      <c r="U375" t="s">
        <v>2443</v>
      </c>
      <c r="V375" t="s">
        <v>56</v>
      </c>
      <c r="W375" t="s">
        <v>56</v>
      </c>
      <c r="X375" t="s">
        <v>56</v>
      </c>
      <c r="Y375" t="s">
        <v>62</v>
      </c>
      <c r="Z375" t="s">
        <v>63</v>
      </c>
      <c r="AA375" t="s">
        <v>64</v>
      </c>
      <c r="AB375">
        <v>1</v>
      </c>
      <c r="AC375" t="s">
        <v>78</v>
      </c>
      <c r="AD375" t="s">
        <v>66</v>
      </c>
      <c r="AE375" t="s">
        <v>67</v>
      </c>
      <c r="AF375" t="s">
        <v>68</v>
      </c>
      <c r="AG375">
        <v>15000</v>
      </c>
      <c r="AH375" t="s">
        <v>69</v>
      </c>
      <c r="AI375" t="s">
        <v>70</v>
      </c>
      <c r="AJ375" t="s">
        <v>105</v>
      </c>
      <c r="AK375" t="s">
        <v>99</v>
      </c>
      <c r="AL375" t="s">
        <v>73</v>
      </c>
      <c r="AM375" t="s">
        <v>73</v>
      </c>
      <c r="AN375" t="s">
        <v>74</v>
      </c>
    </row>
    <row r="376" spans="1:40" x14ac:dyDescent="0.25">
      <c r="A376" t="s">
        <v>1931</v>
      </c>
      <c r="B376" t="s">
        <v>5</v>
      </c>
      <c r="C376">
        <v>798.90892699999995</v>
      </c>
      <c r="D376" t="s">
        <v>56</v>
      </c>
      <c r="E376" t="s">
        <v>56</v>
      </c>
      <c r="F376">
        <v>-10204.799999999999</v>
      </c>
      <c r="G376" t="s">
        <v>1931</v>
      </c>
      <c r="H376" t="s">
        <v>7</v>
      </c>
      <c r="I376">
        <v>13620.74</v>
      </c>
      <c r="J376">
        <v>1304.048104</v>
      </c>
      <c r="K376">
        <v>0</v>
      </c>
      <c r="L376">
        <v>0</v>
      </c>
      <c r="M376" t="s">
        <v>1931</v>
      </c>
      <c r="N376" t="s">
        <v>57</v>
      </c>
      <c r="O376" t="s">
        <v>58</v>
      </c>
      <c r="P376" t="s">
        <v>1932</v>
      </c>
      <c r="Q376" t="s">
        <v>1933</v>
      </c>
      <c r="R376" t="s">
        <v>61</v>
      </c>
      <c r="S376" t="s">
        <v>58</v>
      </c>
      <c r="T376" t="s">
        <v>1932</v>
      </c>
      <c r="U376" t="s">
        <v>1933</v>
      </c>
      <c r="V376" t="s">
        <v>56</v>
      </c>
      <c r="W376" t="s">
        <v>56</v>
      </c>
      <c r="X376" t="s">
        <v>56</v>
      </c>
      <c r="Y376" t="s">
        <v>62</v>
      </c>
      <c r="Z376" t="s">
        <v>63</v>
      </c>
      <c r="AA376" t="s">
        <v>64</v>
      </c>
      <c r="AB376">
        <v>1</v>
      </c>
      <c r="AC376" t="s">
        <v>78</v>
      </c>
      <c r="AD376" t="s">
        <v>66</v>
      </c>
      <c r="AE376" t="s">
        <v>113</v>
      </c>
      <c r="AF376" t="s">
        <v>68</v>
      </c>
      <c r="AG376">
        <v>34918.699999999997</v>
      </c>
      <c r="AH376" t="s">
        <v>69</v>
      </c>
      <c r="AI376" t="s">
        <v>269</v>
      </c>
      <c r="AJ376" t="s">
        <v>1562</v>
      </c>
      <c r="AK376" t="s">
        <v>72</v>
      </c>
      <c r="AL376" t="s">
        <v>73</v>
      </c>
      <c r="AM376" t="s">
        <v>73</v>
      </c>
      <c r="AN376" t="s">
        <v>116</v>
      </c>
    </row>
    <row r="377" spans="1:40" x14ac:dyDescent="0.25">
      <c r="A377" t="s">
        <v>1275</v>
      </c>
      <c r="B377" t="s">
        <v>5</v>
      </c>
      <c r="C377">
        <v>795.92792099999997</v>
      </c>
      <c r="D377">
        <v>676.08723099999997</v>
      </c>
      <c r="E377" t="s">
        <v>56</v>
      </c>
      <c r="F377">
        <v>-21228.35</v>
      </c>
      <c r="G377" t="s">
        <v>1275</v>
      </c>
      <c r="H377" t="s">
        <v>7</v>
      </c>
      <c r="I377">
        <v>24109.42</v>
      </c>
      <c r="J377">
        <v>903.93420300000002</v>
      </c>
      <c r="K377">
        <v>767.83130300000005</v>
      </c>
      <c r="L377">
        <v>0</v>
      </c>
      <c r="M377" t="s">
        <v>1275</v>
      </c>
      <c r="N377" t="s">
        <v>57</v>
      </c>
      <c r="O377" t="s">
        <v>58</v>
      </c>
      <c r="P377" t="s">
        <v>1276</v>
      </c>
      <c r="Q377" t="s">
        <v>1277</v>
      </c>
      <c r="R377" t="s">
        <v>61</v>
      </c>
      <c r="S377" t="s">
        <v>58</v>
      </c>
      <c r="T377" t="s">
        <v>1276</v>
      </c>
      <c r="U377" t="s">
        <v>1277</v>
      </c>
      <c r="V377" t="s">
        <v>56</v>
      </c>
      <c r="W377" t="s">
        <v>56</v>
      </c>
      <c r="X377" t="s">
        <v>56</v>
      </c>
      <c r="Y377" t="s">
        <v>62</v>
      </c>
      <c r="Z377" t="s">
        <v>63</v>
      </c>
      <c r="AA377" t="s">
        <v>64</v>
      </c>
      <c r="AB377">
        <v>1</v>
      </c>
      <c r="AC377" t="s">
        <v>78</v>
      </c>
      <c r="AD377" t="s">
        <v>66</v>
      </c>
      <c r="AE377" t="s">
        <v>67</v>
      </c>
      <c r="AF377" t="s">
        <v>68</v>
      </c>
      <c r="AG377">
        <v>29900</v>
      </c>
      <c r="AH377" t="s">
        <v>69</v>
      </c>
      <c r="AI377" t="s">
        <v>484</v>
      </c>
      <c r="AJ377" t="s">
        <v>105</v>
      </c>
      <c r="AK377" t="s">
        <v>99</v>
      </c>
      <c r="AL377" t="s">
        <v>73</v>
      </c>
      <c r="AM377" t="s">
        <v>73</v>
      </c>
      <c r="AN377" t="s">
        <v>74</v>
      </c>
    </row>
    <row r="378" spans="1:40" x14ac:dyDescent="0.25">
      <c r="A378" t="s">
        <v>2152</v>
      </c>
      <c r="B378" t="s">
        <v>5</v>
      </c>
      <c r="C378">
        <v>795.37972300000001</v>
      </c>
      <c r="D378">
        <v>675.62157300000001</v>
      </c>
      <c r="E378" t="s">
        <v>56</v>
      </c>
      <c r="F378">
        <v>-22334.720000000001</v>
      </c>
      <c r="G378" t="s">
        <v>2152</v>
      </c>
      <c r="H378" t="s">
        <v>7</v>
      </c>
      <c r="I378">
        <v>25380.44</v>
      </c>
      <c r="J378">
        <v>903.82770200000004</v>
      </c>
      <c r="K378">
        <v>767.74083700000006</v>
      </c>
      <c r="L378">
        <v>0</v>
      </c>
      <c r="M378" t="s">
        <v>2152</v>
      </c>
      <c r="N378" t="s">
        <v>57</v>
      </c>
      <c r="O378" t="s">
        <v>58</v>
      </c>
      <c r="P378" t="s">
        <v>2153</v>
      </c>
      <c r="Q378" t="s">
        <v>2154</v>
      </c>
      <c r="R378" t="s">
        <v>61</v>
      </c>
      <c r="S378" t="s">
        <v>58</v>
      </c>
      <c r="T378" t="s">
        <v>2153</v>
      </c>
      <c r="U378" t="s">
        <v>2154</v>
      </c>
      <c r="V378" t="s">
        <v>56</v>
      </c>
      <c r="W378" t="s">
        <v>56</v>
      </c>
      <c r="X378" t="s">
        <v>56</v>
      </c>
      <c r="Y378" t="s">
        <v>62</v>
      </c>
      <c r="Z378" t="s">
        <v>63</v>
      </c>
      <c r="AA378" t="s">
        <v>64</v>
      </c>
      <c r="AB378">
        <v>1</v>
      </c>
      <c r="AC378" t="s">
        <v>84</v>
      </c>
      <c r="AD378" t="s">
        <v>66</v>
      </c>
      <c r="AE378" t="s">
        <v>67</v>
      </c>
      <c r="AF378" t="s">
        <v>103</v>
      </c>
      <c r="AG378">
        <v>31480</v>
      </c>
      <c r="AH378" t="s">
        <v>69</v>
      </c>
      <c r="AI378" t="s">
        <v>128</v>
      </c>
      <c r="AJ378" t="s">
        <v>477</v>
      </c>
      <c r="AK378" t="s">
        <v>99</v>
      </c>
      <c r="AL378" t="s">
        <v>73</v>
      </c>
      <c r="AM378" t="s">
        <v>73</v>
      </c>
      <c r="AN378" t="s">
        <v>74</v>
      </c>
    </row>
    <row r="379" spans="1:40" x14ac:dyDescent="0.25">
      <c r="A379" t="s">
        <v>2228</v>
      </c>
      <c r="B379" t="s">
        <v>5</v>
      </c>
      <c r="C379">
        <v>794.53537400000005</v>
      </c>
      <c r="D379">
        <v>1014.621924</v>
      </c>
      <c r="E379" t="s">
        <v>56</v>
      </c>
      <c r="F379">
        <v>-46290.74</v>
      </c>
      <c r="G379" t="s">
        <v>2228</v>
      </c>
      <c r="H379" t="s">
        <v>7</v>
      </c>
      <c r="I379">
        <v>51388.4</v>
      </c>
      <c r="J379">
        <v>882.03358400000002</v>
      </c>
      <c r="K379">
        <v>1126.357164</v>
      </c>
      <c r="L379">
        <v>0</v>
      </c>
      <c r="M379" t="s">
        <v>2228</v>
      </c>
      <c r="N379" t="s">
        <v>57</v>
      </c>
      <c r="O379" t="s">
        <v>58</v>
      </c>
      <c r="P379" t="s">
        <v>2229</v>
      </c>
      <c r="Q379" t="s">
        <v>2230</v>
      </c>
      <c r="R379" t="s">
        <v>61</v>
      </c>
      <c r="S379" t="s">
        <v>58</v>
      </c>
      <c r="T379" t="s">
        <v>2229</v>
      </c>
      <c r="U379" t="s">
        <v>2230</v>
      </c>
      <c r="V379" t="s">
        <v>56</v>
      </c>
      <c r="W379" t="s">
        <v>56</v>
      </c>
      <c r="X379" t="s">
        <v>56</v>
      </c>
      <c r="Y379" t="s">
        <v>62</v>
      </c>
      <c r="Z379" t="s">
        <v>63</v>
      </c>
      <c r="AA379" t="s">
        <v>64</v>
      </c>
      <c r="AB379">
        <v>1</v>
      </c>
      <c r="AC379" t="s">
        <v>84</v>
      </c>
      <c r="AD379" t="s">
        <v>66</v>
      </c>
      <c r="AE379" t="s">
        <v>121</v>
      </c>
      <c r="AF379" t="s">
        <v>68</v>
      </c>
      <c r="AG379">
        <v>55345.51</v>
      </c>
      <c r="AH379" t="s">
        <v>69</v>
      </c>
      <c r="AI379" t="s">
        <v>203</v>
      </c>
      <c r="AJ379" t="s">
        <v>254</v>
      </c>
      <c r="AK379" t="s">
        <v>99</v>
      </c>
      <c r="AL379" t="s">
        <v>73</v>
      </c>
      <c r="AM379" t="s">
        <v>73</v>
      </c>
      <c r="AN379" t="s">
        <v>124</v>
      </c>
    </row>
    <row r="380" spans="1:40" x14ac:dyDescent="0.25">
      <c r="A380" t="s">
        <v>683</v>
      </c>
      <c r="B380" t="s">
        <v>5</v>
      </c>
      <c r="C380">
        <v>784.98413400000004</v>
      </c>
      <c r="D380">
        <v>666.79121999999995</v>
      </c>
      <c r="E380" t="s">
        <v>56</v>
      </c>
      <c r="F380">
        <v>-19073.900000000001</v>
      </c>
      <c r="G380" t="s">
        <v>683</v>
      </c>
      <c r="H380" t="s">
        <v>7</v>
      </c>
      <c r="I380">
        <v>21665.72</v>
      </c>
      <c r="J380">
        <v>891.62048000000004</v>
      </c>
      <c r="K380">
        <v>757.371623</v>
      </c>
      <c r="L380">
        <v>0</v>
      </c>
      <c r="M380" t="s">
        <v>683</v>
      </c>
      <c r="N380" t="s">
        <v>57</v>
      </c>
      <c r="O380" t="s">
        <v>58</v>
      </c>
      <c r="P380" t="s">
        <v>684</v>
      </c>
      <c r="Q380" t="s">
        <v>685</v>
      </c>
      <c r="R380" t="s">
        <v>61</v>
      </c>
      <c r="S380" t="s">
        <v>58</v>
      </c>
      <c r="T380" t="s">
        <v>684</v>
      </c>
      <c r="U380" t="s">
        <v>685</v>
      </c>
      <c r="V380" t="s">
        <v>56</v>
      </c>
      <c r="W380" t="s">
        <v>56</v>
      </c>
      <c r="X380" t="s">
        <v>56</v>
      </c>
      <c r="Y380" t="s">
        <v>62</v>
      </c>
      <c r="Z380" t="s">
        <v>63</v>
      </c>
      <c r="AA380" t="s">
        <v>64</v>
      </c>
      <c r="AB380">
        <v>1</v>
      </c>
      <c r="AC380" t="s">
        <v>84</v>
      </c>
      <c r="AD380" t="s">
        <v>66</v>
      </c>
      <c r="AE380" t="s">
        <v>67</v>
      </c>
      <c r="AF380" t="s">
        <v>68</v>
      </c>
      <c r="AG380">
        <v>27240</v>
      </c>
      <c r="AH380" t="s">
        <v>69</v>
      </c>
      <c r="AI380" t="s">
        <v>132</v>
      </c>
      <c r="AJ380" t="s">
        <v>619</v>
      </c>
      <c r="AK380" t="s">
        <v>99</v>
      </c>
      <c r="AL380" t="s">
        <v>73</v>
      </c>
      <c r="AM380" t="s">
        <v>73</v>
      </c>
      <c r="AN380" t="s">
        <v>74</v>
      </c>
    </row>
    <row r="381" spans="1:40" x14ac:dyDescent="0.25">
      <c r="A381" t="s">
        <v>2144</v>
      </c>
      <c r="B381" t="s">
        <v>5</v>
      </c>
      <c r="C381">
        <v>784.07719599999996</v>
      </c>
      <c r="D381">
        <v>666.02083700000003</v>
      </c>
      <c r="E381" t="s">
        <v>56</v>
      </c>
      <c r="F381">
        <v>-41964.44</v>
      </c>
      <c r="G381" t="s">
        <v>2144</v>
      </c>
      <c r="H381" t="s">
        <v>7</v>
      </c>
      <c r="I381">
        <v>47704.4</v>
      </c>
      <c r="J381">
        <v>891.31667300000004</v>
      </c>
      <c r="K381">
        <v>757.11355900000001</v>
      </c>
      <c r="L381">
        <v>0</v>
      </c>
      <c r="M381" t="s">
        <v>2144</v>
      </c>
      <c r="N381" t="s">
        <v>57</v>
      </c>
      <c r="O381" t="s">
        <v>58</v>
      </c>
      <c r="P381" t="s">
        <v>2145</v>
      </c>
      <c r="Q381" t="s">
        <v>946</v>
      </c>
      <c r="R381" t="s">
        <v>61</v>
      </c>
      <c r="S381" t="s">
        <v>58</v>
      </c>
      <c r="T381" t="s">
        <v>2145</v>
      </c>
      <c r="U381" t="s">
        <v>946</v>
      </c>
      <c r="V381" t="s">
        <v>56</v>
      </c>
      <c r="W381" t="s">
        <v>56</v>
      </c>
      <c r="X381" t="s">
        <v>56</v>
      </c>
      <c r="Y381" t="s">
        <v>62</v>
      </c>
      <c r="Z381" t="s">
        <v>63</v>
      </c>
      <c r="AA381" t="s">
        <v>64</v>
      </c>
      <c r="AB381">
        <v>1</v>
      </c>
      <c r="AC381" t="s">
        <v>78</v>
      </c>
      <c r="AD381" t="s">
        <v>66</v>
      </c>
      <c r="AE381" t="s">
        <v>67</v>
      </c>
      <c r="AF381" t="s">
        <v>68</v>
      </c>
      <c r="AG381">
        <v>60000</v>
      </c>
      <c r="AH381" t="s">
        <v>69</v>
      </c>
      <c r="AI381" t="s">
        <v>203</v>
      </c>
      <c r="AJ381" t="s">
        <v>88</v>
      </c>
      <c r="AK381" t="s">
        <v>99</v>
      </c>
      <c r="AL381" t="s">
        <v>73</v>
      </c>
      <c r="AM381" t="s">
        <v>73</v>
      </c>
      <c r="AN381" t="s">
        <v>74</v>
      </c>
    </row>
    <row r="382" spans="1:40" x14ac:dyDescent="0.25">
      <c r="A382" t="s">
        <v>852</v>
      </c>
      <c r="B382" t="s">
        <v>5</v>
      </c>
      <c r="C382">
        <v>782.31488999999999</v>
      </c>
      <c r="D382">
        <v>664.52387599999997</v>
      </c>
      <c r="E382" t="s">
        <v>56</v>
      </c>
      <c r="F382">
        <v>-26296.51</v>
      </c>
      <c r="G382" t="s">
        <v>852</v>
      </c>
      <c r="H382" t="s">
        <v>7</v>
      </c>
      <c r="I382">
        <v>29780.799999999999</v>
      </c>
      <c r="J382">
        <v>1089.7364419999999</v>
      </c>
      <c r="K382">
        <v>925.65780600000005</v>
      </c>
      <c r="L382">
        <v>0</v>
      </c>
      <c r="M382" t="s">
        <v>852</v>
      </c>
      <c r="N382" t="s">
        <v>57</v>
      </c>
      <c r="O382" t="s">
        <v>58</v>
      </c>
      <c r="P382" t="s">
        <v>853</v>
      </c>
      <c r="Q382" t="s">
        <v>854</v>
      </c>
      <c r="R382" t="s">
        <v>61</v>
      </c>
      <c r="S382" t="s">
        <v>58</v>
      </c>
      <c r="T382" t="s">
        <v>853</v>
      </c>
      <c r="U382" t="s">
        <v>854</v>
      </c>
      <c r="V382" t="s">
        <v>56</v>
      </c>
      <c r="W382" t="s">
        <v>56</v>
      </c>
      <c r="X382" t="s">
        <v>56</v>
      </c>
      <c r="Y382" t="s">
        <v>62</v>
      </c>
      <c r="Z382" t="s">
        <v>63</v>
      </c>
      <c r="AA382" t="s">
        <v>64</v>
      </c>
      <c r="AB382">
        <v>1</v>
      </c>
      <c r="AC382" t="s">
        <v>78</v>
      </c>
      <c r="AD382" t="s">
        <v>66</v>
      </c>
      <c r="AE382" t="s">
        <v>67</v>
      </c>
      <c r="AF382" t="s">
        <v>68</v>
      </c>
      <c r="AG382">
        <v>30636.55</v>
      </c>
      <c r="AH382" t="s">
        <v>69</v>
      </c>
      <c r="AI382" t="s">
        <v>536</v>
      </c>
      <c r="AJ382" t="s">
        <v>115</v>
      </c>
      <c r="AK382" t="s">
        <v>72</v>
      </c>
      <c r="AL382" t="s">
        <v>73</v>
      </c>
      <c r="AM382" t="s">
        <v>73</v>
      </c>
      <c r="AN382" t="s">
        <v>74</v>
      </c>
    </row>
    <row r="383" spans="1:40" x14ac:dyDescent="0.25">
      <c r="A383" t="s">
        <v>2134</v>
      </c>
      <c r="B383" t="s">
        <v>5</v>
      </c>
      <c r="C383">
        <v>780.63217899999995</v>
      </c>
      <c r="D383">
        <v>663.09452699999997</v>
      </c>
      <c r="E383" t="s">
        <v>56</v>
      </c>
      <c r="F383">
        <v>-60888.97</v>
      </c>
      <c r="G383" t="s">
        <v>2134</v>
      </c>
      <c r="H383" t="s">
        <v>7</v>
      </c>
      <c r="I383">
        <v>66143.679999999993</v>
      </c>
      <c r="J383">
        <v>1043.033083</v>
      </c>
      <c r="K383">
        <v>885.986445</v>
      </c>
      <c r="L383">
        <v>0</v>
      </c>
      <c r="M383" t="s">
        <v>2134</v>
      </c>
      <c r="N383" t="s">
        <v>57</v>
      </c>
      <c r="O383" t="s">
        <v>58</v>
      </c>
      <c r="P383" t="s">
        <v>2135</v>
      </c>
      <c r="Q383" t="s">
        <v>1365</v>
      </c>
      <c r="R383" t="s">
        <v>61</v>
      </c>
      <c r="S383" t="s">
        <v>58</v>
      </c>
      <c r="T383" t="s">
        <v>2135</v>
      </c>
      <c r="U383" t="s">
        <v>1365</v>
      </c>
      <c r="V383" t="s">
        <v>56</v>
      </c>
      <c r="W383" t="s">
        <v>56</v>
      </c>
      <c r="X383" t="s">
        <v>56</v>
      </c>
      <c r="Y383" t="s">
        <v>62</v>
      </c>
      <c r="Z383" t="s">
        <v>63</v>
      </c>
      <c r="AA383" t="s">
        <v>64</v>
      </c>
      <c r="AB383">
        <v>1</v>
      </c>
      <c r="AC383" t="s">
        <v>120</v>
      </c>
      <c r="AD383" t="s">
        <v>66</v>
      </c>
      <c r="AE383" t="s">
        <v>67</v>
      </c>
      <c r="AF383" t="s">
        <v>68</v>
      </c>
      <c r="AG383">
        <v>71091.19</v>
      </c>
      <c r="AH383" t="s">
        <v>69</v>
      </c>
      <c r="AI383" t="s">
        <v>132</v>
      </c>
      <c r="AJ383" t="s">
        <v>324</v>
      </c>
      <c r="AK383" t="s">
        <v>72</v>
      </c>
      <c r="AL383" t="s">
        <v>73</v>
      </c>
      <c r="AM383" t="s">
        <v>73</v>
      </c>
      <c r="AN383" t="s">
        <v>74</v>
      </c>
    </row>
    <row r="384" spans="1:40" x14ac:dyDescent="0.25">
      <c r="A384" t="s">
        <v>1215</v>
      </c>
      <c r="B384" t="s">
        <v>5</v>
      </c>
      <c r="C384">
        <v>774.45738100000005</v>
      </c>
      <c r="D384">
        <v>657.84945100000004</v>
      </c>
      <c r="E384" t="s">
        <v>56</v>
      </c>
      <c r="F384">
        <v>-40758.769999999997</v>
      </c>
      <c r="G384" t="s">
        <v>1215</v>
      </c>
      <c r="H384" t="s">
        <v>7</v>
      </c>
      <c r="I384">
        <v>44251.13</v>
      </c>
      <c r="J384">
        <v>1034.211462</v>
      </c>
      <c r="K384">
        <v>878.49307099999999</v>
      </c>
      <c r="L384">
        <v>0</v>
      </c>
      <c r="M384" t="s">
        <v>1215</v>
      </c>
      <c r="N384" t="s">
        <v>57</v>
      </c>
      <c r="O384" t="s">
        <v>58</v>
      </c>
      <c r="P384" t="s">
        <v>1216</v>
      </c>
      <c r="Q384" t="s">
        <v>1217</v>
      </c>
      <c r="R384" t="s">
        <v>61</v>
      </c>
      <c r="S384" t="s">
        <v>58</v>
      </c>
      <c r="T384" t="s">
        <v>1216</v>
      </c>
      <c r="U384" t="s">
        <v>1217</v>
      </c>
      <c r="V384" t="s">
        <v>56</v>
      </c>
      <c r="W384" t="s">
        <v>56</v>
      </c>
      <c r="X384" t="s">
        <v>56</v>
      </c>
      <c r="Y384" t="s">
        <v>62</v>
      </c>
      <c r="Z384" t="s">
        <v>63</v>
      </c>
      <c r="AA384" t="s">
        <v>64</v>
      </c>
      <c r="AB384">
        <v>1</v>
      </c>
      <c r="AC384" t="s">
        <v>84</v>
      </c>
      <c r="AD384" t="s">
        <v>66</v>
      </c>
      <c r="AE384" t="s">
        <v>67</v>
      </c>
      <c r="AF384" t="s">
        <v>68</v>
      </c>
      <c r="AG384">
        <v>47967.48</v>
      </c>
      <c r="AH384" t="s">
        <v>69</v>
      </c>
      <c r="AI384" t="s">
        <v>163</v>
      </c>
      <c r="AJ384" t="s">
        <v>254</v>
      </c>
      <c r="AK384" t="s">
        <v>72</v>
      </c>
      <c r="AL384" t="s">
        <v>73</v>
      </c>
      <c r="AM384" t="s">
        <v>73</v>
      </c>
      <c r="AN384" t="s">
        <v>74</v>
      </c>
    </row>
    <row r="385" spans="1:40" x14ac:dyDescent="0.25">
      <c r="A385" t="s">
        <v>157</v>
      </c>
      <c r="B385" t="s">
        <v>5</v>
      </c>
      <c r="C385">
        <v>774.15469399999995</v>
      </c>
      <c r="D385">
        <v>657.59233900000004</v>
      </c>
      <c r="E385" t="s">
        <v>56</v>
      </c>
      <c r="F385">
        <v>-16366.18</v>
      </c>
      <c r="G385" t="s">
        <v>157</v>
      </c>
      <c r="H385" t="s">
        <v>7</v>
      </c>
      <c r="I385">
        <v>18056.29</v>
      </c>
      <c r="J385">
        <v>1050.5419429999999</v>
      </c>
      <c r="K385">
        <v>892.36471600000004</v>
      </c>
      <c r="L385">
        <v>0</v>
      </c>
      <c r="M385" t="s">
        <v>157</v>
      </c>
      <c r="N385" t="s">
        <v>57</v>
      </c>
      <c r="O385" t="s">
        <v>58</v>
      </c>
      <c r="P385" t="s">
        <v>158</v>
      </c>
      <c r="Q385" t="s">
        <v>159</v>
      </c>
      <c r="R385" t="s">
        <v>61</v>
      </c>
      <c r="S385" t="s">
        <v>58</v>
      </c>
      <c r="T385" t="s">
        <v>158</v>
      </c>
      <c r="U385" t="s">
        <v>159</v>
      </c>
      <c r="V385" t="s">
        <v>56</v>
      </c>
      <c r="W385" t="s">
        <v>56</v>
      </c>
      <c r="X385" t="s">
        <v>56</v>
      </c>
      <c r="Y385" t="s">
        <v>62</v>
      </c>
      <c r="Z385" t="s">
        <v>63</v>
      </c>
      <c r="AA385" t="s">
        <v>64</v>
      </c>
      <c r="AB385">
        <v>1</v>
      </c>
      <c r="AC385" t="s">
        <v>84</v>
      </c>
      <c r="AD385" t="s">
        <v>66</v>
      </c>
      <c r="AE385" t="s">
        <v>67</v>
      </c>
      <c r="AF385" t="s">
        <v>68</v>
      </c>
      <c r="AG385">
        <v>19268.29</v>
      </c>
      <c r="AH385" t="s">
        <v>69</v>
      </c>
      <c r="AI385" t="s">
        <v>132</v>
      </c>
      <c r="AJ385" t="s">
        <v>71</v>
      </c>
      <c r="AK385" t="s">
        <v>72</v>
      </c>
      <c r="AL385" t="s">
        <v>73</v>
      </c>
      <c r="AM385" t="s">
        <v>73</v>
      </c>
      <c r="AN385" t="s">
        <v>74</v>
      </c>
    </row>
    <row r="386" spans="1:40" x14ac:dyDescent="0.25">
      <c r="A386" t="s">
        <v>1415</v>
      </c>
      <c r="B386" t="s">
        <v>5</v>
      </c>
      <c r="C386">
        <v>772.74664299999995</v>
      </c>
      <c r="D386">
        <v>656.39629400000001</v>
      </c>
      <c r="E386" t="s">
        <v>56</v>
      </c>
      <c r="F386">
        <v>-42390.62</v>
      </c>
      <c r="G386" t="s">
        <v>1415</v>
      </c>
      <c r="H386" t="s">
        <v>7</v>
      </c>
      <c r="I386">
        <v>46885.49</v>
      </c>
      <c r="J386">
        <v>1051.259421</v>
      </c>
      <c r="K386">
        <v>892.97416599999997</v>
      </c>
      <c r="L386">
        <v>0</v>
      </c>
      <c r="M386" t="s">
        <v>1415</v>
      </c>
      <c r="N386" t="s">
        <v>57</v>
      </c>
      <c r="O386" t="s">
        <v>58</v>
      </c>
      <c r="P386" t="s">
        <v>1416</v>
      </c>
      <c r="Q386" t="s">
        <v>1417</v>
      </c>
      <c r="R386" t="s">
        <v>61</v>
      </c>
      <c r="S386" t="s">
        <v>58</v>
      </c>
      <c r="T386" t="s">
        <v>1416</v>
      </c>
      <c r="U386" t="s">
        <v>1417</v>
      </c>
      <c r="V386" t="s">
        <v>56</v>
      </c>
      <c r="W386" t="s">
        <v>56</v>
      </c>
      <c r="X386" t="s">
        <v>56</v>
      </c>
      <c r="Y386" t="s">
        <v>62</v>
      </c>
      <c r="Z386" t="s">
        <v>63</v>
      </c>
      <c r="AA386" t="s">
        <v>64</v>
      </c>
      <c r="AB386">
        <v>1</v>
      </c>
      <c r="AC386" t="s">
        <v>84</v>
      </c>
      <c r="AD386" t="s">
        <v>66</v>
      </c>
      <c r="AE386" t="s">
        <v>67</v>
      </c>
      <c r="AF386" t="s">
        <v>68</v>
      </c>
      <c r="AG386">
        <v>49998.37</v>
      </c>
      <c r="AH386" t="s">
        <v>69</v>
      </c>
      <c r="AI386" t="s">
        <v>269</v>
      </c>
      <c r="AJ386" t="s">
        <v>80</v>
      </c>
      <c r="AK386" t="s">
        <v>72</v>
      </c>
      <c r="AL386" t="s">
        <v>73</v>
      </c>
      <c r="AM386" t="s">
        <v>73</v>
      </c>
      <c r="AN386" t="s">
        <v>74</v>
      </c>
    </row>
    <row r="387" spans="1:40" x14ac:dyDescent="0.25">
      <c r="A387" t="s">
        <v>1235</v>
      </c>
      <c r="B387" t="s">
        <v>5</v>
      </c>
      <c r="C387">
        <v>772.00898600000005</v>
      </c>
      <c r="D387">
        <v>655.76970400000005</v>
      </c>
      <c r="E387" t="s">
        <v>56</v>
      </c>
      <c r="F387">
        <v>-22036.560000000001</v>
      </c>
      <c r="G387" t="s">
        <v>1235</v>
      </c>
      <c r="H387" t="s">
        <v>7</v>
      </c>
      <c r="I387">
        <v>25000.02</v>
      </c>
      <c r="J387">
        <v>1077.279223</v>
      </c>
      <c r="K387">
        <v>915.07623699999999</v>
      </c>
      <c r="L387">
        <v>0</v>
      </c>
      <c r="M387" t="s">
        <v>1235</v>
      </c>
      <c r="N387" t="s">
        <v>57</v>
      </c>
      <c r="O387" t="s">
        <v>58</v>
      </c>
      <c r="P387" t="s">
        <v>1236</v>
      </c>
      <c r="Q387" t="s">
        <v>1237</v>
      </c>
      <c r="R387" t="s">
        <v>61</v>
      </c>
      <c r="S387" t="s">
        <v>58</v>
      </c>
      <c r="T387" t="s">
        <v>1236</v>
      </c>
      <c r="U387" t="s">
        <v>1237</v>
      </c>
      <c r="V387" t="s">
        <v>56</v>
      </c>
      <c r="W387" t="s">
        <v>56</v>
      </c>
      <c r="X387" t="s">
        <v>56</v>
      </c>
      <c r="Y387" t="s">
        <v>62</v>
      </c>
      <c r="Z387" t="s">
        <v>63</v>
      </c>
      <c r="AA387" t="s">
        <v>64</v>
      </c>
      <c r="AB387">
        <v>1</v>
      </c>
      <c r="AC387" t="s">
        <v>84</v>
      </c>
      <c r="AD387" t="s">
        <v>66</v>
      </c>
      <c r="AE387" t="s">
        <v>67</v>
      </c>
      <c r="AF387" t="s">
        <v>68</v>
      </c>
      <c r="AG387">
        <v>26016.26</v>
      </c>
      <c r="AH387" t="s">
        <v>69</v>
      </c>
      <c r="AI387" t="s">
        <v>87</v>
      </c>
      <c r="AJ387" t="s">
        <v>71</v>
      </c>
      <c r="AK387" t="s">
        <v>72</v>
      </c>
      <c r="AL387" t="s">
        <v>73</v>
      </c>
      <c r="AM387" t="s">
        <v>73</v>
      </c>
      <c r="AN387" t="s">
        <v>74</v>
      </c>
    </row>
    <row r="388" spans="1:40" x14ac:dyDescent="0.25">
      <c r="A388" t="s">
        <v>2386</v>
      </c>
      <c r="B388" t="s">
        <v>5</v>
      </c>
      <c r="C388">
        <v>770.87335199999995</v>
      </c>
      <c r="D388">
        <v>654.80505900000003</v>
      </c>
      <c r="E388" t="s">
        <v>56</v>
      </c>
      <c r="F388">
        <v>-41340.47</v>
      </c>
      <c r="G388" t="s">
        <v>2386</v>
      </c>
      <c r="H388" t="s">
        <v>7</v>
      </c>
      <c r="I388">
        <v>47005.99</v>
      </c>
      <c r="J388">
        <v>1078.10096</v>
      </c>
      <c r="K388">
        <v>915.77424799999994</v>
      </c>
      <c r="L388">
        <v>0</v>
      </c>
      <c r="M388" t="s">
        <v>2386</v>
      </c>
      <c r="N388" t="s">
        <v>57</v>
      </c>
      <c r="O388" t="s">
        <v>58</v>
      </c>
      <c r="P388" t="s">
        <v>2387</v>
      </c>
      <c r="Q388" t="s">
        <v>2388</v>
      </c>
      <c r="R388" t="s">
        <v>61</v>
      </c>
      <c r="S388" t="s">
        <v>58</v>
      </c>
      <c r="T388" t="s">
        <v>2387</v>
      </c>
      <c r="U388" t="s">
        <v>2388</v>
      </c>
      <c r="V388" t="s">
        <v>56</v>
      </c>
      <c r="W388" t="s">
        <v>56</v>
      </c>
      <c r="X388" t="s">
        <v>56</v>
      </c>
      <c r="Y388" t="s">
        <v>62</v>
      </c>
      <c r="Z388" t="s">
        <v>63</v>
      </c>
      <c r="AA388" t="s">
        <v>64</v>
      </c>
      <c r="AB388">
        <v>1</v>
      </c>
      <c r="AC388" t="s">
        <v>65</v>
      </c>
      <c r="AD388" t="s">
        <v>66</v>
      </c>
      <c r="AE388" t="s">
        <v>67</v>
      </c>
      <c r="AF388" t="s">
        <v>68</v>
      </c>
      <c r="AG388">
        <v>48878.28</v>
      </c>
      <c r="AH388" t="s">
        <v>69</v>
      </c>
      <c r="AI388" t="s">
        <v>142</v>
      </c>
      <c r="AJ388" t="s">
        <v>98</v>
      </c>
      <c r="AK388" t="s">
        <v>72</v>
      </c>
      <c r="AL388" t="s">
        <v>73</v>
      </c>
      <c r="AM388" t="s">
        <v>73</v>
      </c>
      <c r="AN388" t="s">
        <v>74</v>
      </c>
    </row>
    <row r="389" spans="1:40" x14ac:dyDescent="0.25">
      <c r="A389" t="s">
        <v>2322</v>
      </c>
      <c r="B389" t="s">
        <v>5</v>
      </c>
      <c r="C389">
        <v>770.79375700000003</v>
      </c>
      <c r="D389">
        <v>654.73744899999997</v>
      </c>
      <c r="E389" t="s">
        <v>56</v>
      </c>
      <c r="F389">
        <v>-29586.62</v>
      </c>
      <c r="G389" t="s">
        <v>2322</v>
      </c>
      <c r="H389" t="s">
        <v>7</v>
      </c>
      <c r="I389">
        <v>33641.339999999997</v>
      </c>
      <c r="J389">
        <v>1078.0236070000001</v>
      </c>
      <c r="K389">
        <v>915.70854099999997</v>
      </c>
      <c r="L389">
        <v>0</v>
      </c>
      <c r="M389" t="s">
        <v>2322</v>
      </c>
      <c r="N389" t="s">
        <v>57</v>
      </c>
      <c r="O389" t="s">
        <v>58</v>
      </c>
      <c r="P389" t="s">
        <v>2323</v>
      </c>
      <c r="Q389" t="s">
        <v>1915</v>
      </c>
      <c r="R389" t="s">
        <v>61</v>
      </c>
      <c r="S389" t="s">
        <v>58</v>
      </c>
      <c r="T389" t="s">
        <v>2323</v>
      </c>
      <c r="U389" t="s">
        <v>1915</v>
      </c>
      <c r="V389" t="s">
        <v>56</v>
      </c>
      <c r="W389" t="s">
        <v>56</v>
      </c>
      <c r="X389" t="s">
        <v>56</v>
      </c>
      <c r="Y389" t="s">
        <v>62</v>
      </c>
      <c r="Z389" t="s">
        <v>63</v>
      </c>
      <c r="AA389" t="s">
        <v>64</v>
      </c>
      <c r="AB389">
        <v>1</v>
      </c>
      <c r="AC389" t="s">
        <v>120</v>
      </c>
      <c r="AD389" t="s">
        <v>66</v>
      </c>
      <c r="AE389" t="s">
        <v>67</v>
      </c>
      <c r="AF389" t="s">
        <v>68</v>
      </c>
      <c r="AG389">
        <v>34984.879999999997</v>
      </c>
      <c r="AH389" t="s">
        <v>69</v>
      </c>
      <c r="AI389" t="s">
        <v>132</v>
      </c>
      <c r="AJ389" t="s">
        <v>98</v>
      </c>
      <c r="AK389" t="s">
        <v>72</v>
      </c>
      <c r="AL389" t="s">
        <v>73</v>
      </c>
      <c r="AM389" t="s">
        <v>73</v>
      </c>
      <c r="AN389" t="s">
        <v>74</v>
      </c>
    </row>
    <row r="390" spans="1:40" x14ac:dyDescent="0.25">
      <c r="A390" t="s">
        <v>693</v>
      </c>
      <c r="B390" t="s">
        <v>5</v>
      </c>
      <c r="C390">
        <v>769.70632799999998</v>
      </c>
      <c r="D390">
        <v>653.81375200000002</v>
      </c>
      <c r="E390" t="s">
        <v>56</v>
      </c>
      <c r="F390">
        <v>-23208.6</v>
      </c>
      <c r="G390" t="s">
        <v>693</v>
      </c>
      <c r="H390" t="s">
        <v>7</v>
      </c>
      <c r="I390">
        <v>25207.37</v>
      </c>
      <c r="J390">
        <v>1028.2933860000001</v>
      </c>
      <c r="K390">
        <v>873.46606399999996</v>
      </c>
      <c r="L390">
        <v>0</v>
      </c>
      <c r="M390" t="s">
        <v>693</v>
      </c>
      <c r="N390" t="s">
        <v>57</v>
      </c>
      <c r="O390" t="s">
        <v>58</v>
      </c>
      <c r="P390" t="s">
        <v>694</v>
      </c>
      <c r="Q390" t="s">
        <v>695</v>
      </c>
      <c r="R390" t="s">
        <v>61</v>
      </c>
      <c r="S390" t="s">
        <v>58</v>
      </c>
      <c r="T390" t="s">
        <v>694</v>
      </c>
      <c r="U390" t="s">
        <v>695</v>
      </c>
      <c r="V390" t="s">
        <v>56</v>
      </c>
      <c r="W390" t="s">
        <v>56</v>
      </c>
      <c r="X390" t="s">
        <v>56</v>
      </c>
      <c r="Y390" t="s">
        <v>62</v>
      </c>
      <c r="Z390" t="s">
        <v>63</v>
      </c>
      <c r="AA390" t="s">
        <v>64</v>
      </c>
      <c r="AB390">
        <v>1</v>
      </c>
      <c r="AC390" t="s">
        <v>78</v>
      </c>
      <c r="AD390" t="s">
        <v>66</v>
      </c>
      <c r="AE390" t="s">
        <v>67</v>
      </c>
      <c r="AF390" t="s">
        <v>68</v>
      </c>
      <c r="AG390">
        <v>27481.919999999998</v>
      </c>
      <c r="AH390" t="s">
        <v>69</v>
      </c>
      <c r="AI390" t="s">
        <v>114</v>
      </c>
      <c r="AJ390" t="s">
        <v>324</v>
      </c>
      <c r="AK390" t="s">
        <v>72</v>
      </c>
      <c r="AL390" t="s">
        <v>73</v>
      </c>
      <c r="AM390" t="s">
        <v>73</v>
      </c>
      <c r="AN390" t="s">
        <v>74</v>
      </c>
    </row>
    <row r="391" spans="1:40" x14ac:dyDescent="0.25">
      <c r="A391" t="s">
        <v>793</v>
      </c>
      <c r="B391" t="s">
        <v>5</v>
      </c>
      <c r="C391">
        <v>769.24384399999997</v>
      </c>
      <c r="D391">
        <v>982.32463099999995</v>
      </c>
      <c r="E391" t="s">
        <v>56</v>
      </c>
      <c r="F391">
        <v>-20244.29</v>
      </c>
      <c r="G391" t="s">
        <v>793</v>
      </c>
      <c r="H391" t="s">
        <v>7</v>
      </c>
      <c r="I391">
        <v>23155.94</v>
      </c>
      <c r="J391">
        <v>879.84584299999995</v>
      </c>
      <c r="K391">
        <v>1123.56342</v>
      </c>
      <c r="L391">
        <v>0</v>
      </c>
      <c r="M391" t="s">
        <v>793</v>
      </c>
      <c r="N391" t="s">
        <v>57</v>
      </c>
      <c r="O391" t="s">
        <v>58</v>
      </c>
      <c r="P391" t="s">
        <v>794</v>
      </c>
      <c r="Q391" t="s">
        <v>795</v>
      </c>
      <c r="R391" t="s">
        <v>61</v>
      </c>
      <c r="S391" t="s">
        <v>58</v>
      </c>
      <c r="T391" t="s">
        <v>794</v>
      </c>
      <c r="U391" t="s">
        <v>795</v>
      </c>
      <c r="V391" t="s">
        <v>56</v>
      </c>
      <c r="W391" t="s">
        <v>56</v>
      </c>
      <c r="X391" t="s">
        <v>56</v>
      </c>
      <c r="Y391" t="s">
        <v>62</v>
      </c>
      <c r="Z391" t="s">
        <v>63</v>
      </c>
      <c r="AA391" t="s">
        <v>64</v>
      </c>
      <c r="AB391">
        <v>1</v>
      </c>
      <c r="AC391" t="s">
        <v>78</v>
      </c>
      <c r="AD391" t="s">
        <v>66</v>
      </c>
      <c r="AE391" t="s">
        <v>121</v>
      </c>
      <c r="AF391" t="s">
        <v>68</v>
      </c>
      <c r="AG391">
        <v>25000</v>
      </c>
      <c r="AH391" t="s">
        <v>69</v>
      </c>
      <c r="AI391" t="s">
        <v>122</v>
      </c>
      <c r="AJ391" t="s">
        <v>265</v>
      </c>
      <c r="AK391" t="s">
        <v>99</v>
      </c>
      <c r="AL391" t="s">
        <v>73</v>
      </c>
      <c r="AM391" t="s">
        <v>73</v>
      </c>
      <c r="AN391" t="s">
        <v>124</v>
      </c>
    </row>
    <row r="392" spans="1:40" x14ac:dyDescent="0.25">
      <c r="A392" t="s">
        <v>1494</v>
      </c>
      <c r="B392" t="s">
        <v>5</v>
      </c>
      <c r="C392">
        <v>767.16439800000001</v>
      </c>
      <c r="D392">
        <v>979.66917899999999</v>
      </c>
      <c r="E392" t="s">
        <v>56</v>
      </c>
      <c r="F392">
        <v>-46710.559999999998</v>
      </c>
      <c r="G392" t="s">
        <v>1494</v>
      </c>
      <c r="H392" t="s">
        <v>7</v>
      </c>
      <c r="I392">
        <v>53506.879999999997</v>
      </c>
      <c r="J392">
        <v>878.77144699999997</v>
      </c>
      <c r="K392">
        <v>1122.191415</v>
      </c>
      <c r="L392">
        <v>0</v>
      </c>
      <c r="M392" t="s">
        <v>1494</v>
      </c>
      <c r="N392" t="s">
        <v>57</v>
      </c>
      <c r="O392" t="s">
        <v>58</v>
      </c>
      <c r="P392" t="s">
        <v>1495</v>
      </c>
      <c r="Q392" t="s">
        <v>1496</v>
      </c>
      <c r="R392" t="s">
        <v>61</v>
      </c>
      <c r="S392" t="s">
        <v>58</v>
      </c>
      <c r="T392" t="s">
        <v>1495</v>
      </c>
      <c r="U392" t="s">
        <v>1496</v>
      </c>
      <c r="V392" t="s">
        <v>56</v>
      </c>
      <c r="W392" t="s">
        <v>56</v>
      </c>
      <c r="X392" t="s">
        <v>56</v>
      </c>
      <c r="Y392" t="s">
        <v>62</v>
      </c>
      <c r="Z392" t="s">
        <v>63</v>
      </c>
      <c r="AA392" t="s">
        <v>64</v>
      </c>
      <c r="AB392">
        <v>1</v>
      </c>
      <c r="AC392" t="s">
        <v>84</v>
      </c>
      <c r="AD392" t="s">
        <v>66</v>
      </c>
      <c r="AE392" t="s">
        <v>121</v>
      </c>
      <c r="AF392" t="s">
        <v>68</v>
      </c>
      <c r="AG392">
        <v>57840.01</v>
      </c>
      <c r="AH392" t="s">
        <v>69</v>
      </c>
      <c r="AI392" t="s">
        <v>400</v>
      </c>
      <c r="AJ392" t="s">
        <v>265</v>
      </c>
      <c r="AK392" t="s">
        <v>99</v>
      </c>
      <c r="AL392" t="s">
        <v>73</v>
      </c>
      <c r="AM392" t="s">
        <v>73</v>
      </c>
      <c r="AN392" t="s">
        <v>124</v>
      </c>
    </row>
    <row r="393" spans="1:40" x14ac:dyDescent="0.25">
      <c r="A393" t="s">
        <v>1739</v>
      </c>
      <c r="B393" t="s">
        <v>5</v>
      </c>
      <c r="C393" s="2">
        <v>766.72369100000003</v>
      </c>
      <c r="D393" t="s">
        <v>56</v>
      </c>
      <c r="E393" t="s">
        <v>56</v>
      </c>
      <c r="F393">
        <v>-7756.15</v>
      </c>
      <c r="G393" t="s">
        <v>1739</v>
      </c>
      <c r="H393" t="s">
        <v>7</v>
      </c>
      <c r="I393">
        <v>10540.66</v>
      </c>
      <c r="J393">
        <v>0</v>
      </c>
      <c r="K393">
        <v>0</v>
      </c>
      <c r="L393">
        <v>0</v>
      </c>
      <c r="M393" t="s">
        <v>1739</v>
      </c>
      <c r="N393" t="s">
        <v>57</v>
      </c>
      <c r="O393" t="s">
        <v>58</v>
      </c>
      <c r="P393" t="s">
        <v>1740</v>
      </c>
      <c r="Q393" t="s">
        <v>1741</v>
      </c>
      <c r="R393" t="s">
        <v>61</v>
      </c>
      <c r="S393" t="s">
        <v>58</v>
      </c>
      <c r="T393" t="s">
        <v>1740</v>
      </c>
      <c r="U393" t="s">
        <v>1741</v>
      </c>
      <c r="V393" t="s">
        <v>56</v>
      </c>
      <c r="W393" t="s">
        <v>56</v>
      </c>
      <c r="X393" t="s">
        <v>56</v>
      </c>
      <c r="Y393" t="s">
        <v>62</v>
      </c>
      <c r="Z393" t="s">
        <v>63</v>
      </c>
      <c r="AA393" t="s">
        <v>64</v>
      </c>
      <c r="AB393">
        <v>1</v>
      </c>
      <c r="AC393" t="s">
        <v>65</v>
      </c>
      <c r="AD393" t="s">
        <v>66</v>
      </c>
      <c r="AE393" t="s">
        <v>85</v>
      </c>
      <c r="AF393" t="s">
        <v>68</v>
      </c>
      <c r="AG393">
        <v>27495.94</v>
      </c>
      <c r="AH393" t="s">
        <v>69</v>
      </c>
      <c r="AI393" t="s">
        <v>128</v>
      </c>
      <c r="AJ393" t="s">
        <v>153</v>
      </c>
      <c r="AK393" t="s">
        <v>72</v>
      </c>
      <c r="AL393" t="s">
        <v>73</v>
      </c>
      <c r="AM393" t="s">
        <v>73</v>
      </c>
      <c r="AN393" t="s">
        <v>56</v>
      </c>
    </row>
    <row r="394" spans="1:40" x14ac:dyDescent="0.25">
      <c r="A394" t="s">
        <v>502</v>
      </c>
      <c r="B394" t="s">
        <v>5</v>
      </c>
      <c r="C394">
        <v>764.37792999999999</v>
      </c>
      <c r="D394">
        <v>649.28763600000002</v>
      </c>
      <c r="E394" t="s">
        <v>56</v>
      </c>
      <c r="F394">
        <v>-29344.75</v>
      </c>
      <c r="G394" t="s">
        <v>502</v>
      </c>
      <c r="H394" t="s">
        <v>7</v>
      </c>
      <c r="I394">
        <v>31860.84</v>
      </c>
      <c r="J394">
        <v>1020.775558</v>
      </c>
      <c r="K394">
        <v>867.08017400000006</v>
      </c>
      <c r="L394">
        <v>0</v>
      </c>
      <c r="M394" t="s">
        <v>502</v>
      </c>
      <c r="N394" t="s">
        <v>57</v>
      </c>
      <c r="O394" t="s">
        <v>58</v>
      </c>
      <c r="P394" t="s">
        <v>503</v>
      </c>
      <c r="Q394" t="s">
        <v>504</v>
      </c>
      <c r="R394" t="s">
        <v>61</v>
      </c>
      <c r="S394" t="s">
        <v>58</v>
      </c>
      <c r="T394" t="s">
        <v>503</v>
      </c>
      <c r="U394" t="s">
        <v>504</v>
      </c>
      <c r="V394" t="s">
        <v>56</v>
      </c>
      <c r="W394" t="s">
        <v>56</v>
      </c>
      <c r="X394" t="s">
        <v>56</v>
      </c>
      <c r="Y394" t="s">
        <v>62</v>
      </c>
      <c r="Z394" t="s">
        <v>63</v>
      </c>
      <c r="AA394" t="s">
        <v>64</v>
      </c>
      <c r="AB394">
        <v>1</v>
      </c>
      <c r="AC394" t="s">
        <v>84</v>
      </c>
      <c r="AD394" t="s">
        <v>66</v>
      </c>
      <c r="AE394" t="s">
        <v>67</v>
      </c>
      <c r="AF394" t="s">
        <v>68</v>
      </c>
      <c r="AG394">
        <v>34990.120000000003</v>
      </c>
      <c r="AH394" t="s">
        <v>69</v>
      </c>
      <c r="AI394" t="s">
        <v>87</v>
      </c>
      <c r="AJ394" t="s">
        <v>324</v>
      </c>
      <c r="AK394" t="s">
        <v>72</v>
      </c>
      <c r="AL394" t="s">
        <v>73</v>
      </c>
      <c r="AM394" t="s">
        <v>73</v>
      </c>
      <c r="AN394" t="s">
        <v>74</v>
      </c>
    </row>
    <row r="395" spans="1:40" x14ac:dyDescent="0.25">
      <c r="A395" t="s">
        <v>1398</v>
      </c>
      <c r="B395" t="s">
        <v>5</v>
      </c>
      <c r="C395">
        <v>764.37456699999996</v>
      </c>
      <c r="D395">
        <v>649.28477899999996</v>
      </c>
      <c r="E395" t="s">
        <v>56</v>
      </c>
      <c r="F395">
        <v>-33880.239999999998</v>
      </c>
      <c r="G395" t="s">
        <v>1398</v>
      </c>
      <c r="H395" t="s">
        <v>7</v>
      </c>
      <c r="I395">
        <v>36182.14</v>
      </c>
      <c r="J395">
        <v>1004.0639169999999</v>
      </c>
      <c r="K395">
        <v>852.88475900000003</v>
      </c>
      <c r="L395">
        <v>0</v>
      </c>
      <c r="M395" t="s">
        <v>1398</v>
      </c>
      <c r="N395" t="s">
        <v>57</v>
      </c>
      <c r="O395" t="s">
        <v>58</v>
      </c>
      <c r="P395" t="s">
        <v>1399</v>
      </c>
      <c r="Q395" t="s">
        <v>1400</v>
      </c>
      <c r="R395" t="s">
        <v>61</v>
      </c>
      <c r="S395" t="s">
        <v>58</v>
      </c>
      <c r="T395" t="s">
        <v>1399</v>
      </c>
      <c r="U395" t="s">
        <v>1400</v>
      </c>
      <c r="V395" t="s">
        <v>56</v>
      </c>
      <c r="W395" t="s">
        <v>56</v>
      </c>
      <c r="X395" t="s">
        <v>56</v>
      </c>
      <c r="Y395" t="s">
        <v>62</v>
      </c>
      <c r="Z395" t="s">
        <v>63</v>
      </c>
      <c r="AA395" t="s">
        <v>64</v>
      </c>
      <c r="AB395">
        <v>1</v>
      </c>
      <c r="AC395" t="s">
        <v>84</v>
      </c>
      <c r="AD395" t="s">
        <v>66</v>
      </c>
      <c r="AE395" t="s">
        <v>67</v>
      </c>
      <c r="AF395" t="s">
        <v>103</v>
      </c>
      <c r="AG395">
        <v>40398.370000000003</v>
      </c>
      <c r="AH395" t="s">
        <v>69</v>
      </c>
      <c r="AI395" t="s">
        <v>244</v>
      </c>
      <c r="AJ395" t="s">
        <v>172</v>
      </c>
      <c r="AK395" t="s">
        <v>72</v>
      </c>
      <c r="AL395" t="s">
        <v>73</v>
      </c>
      <c r="AM395" t="s">
        <v>73</v>
      </c>
      <c r="AN395" t="s">
        <v>74</v>
      </c>
    </row>
    <row r="396" spans="1:40" x14ac:dyDescent="0.25">
      <c r="A396" t="s">
        <v>1167</v>
      </c>
      <c r="B396" t="s">
        <v>5</v>
      </c>
      <c r="C396">
        <v>763.64475700000003</v>
      </c>
      <c r="D396">
        <v>648.66485399999999</v>
      </c>
      <c r="E396" t="s">
        <v>56</v>
      </c>
      <c r="F396">
        <v>-21797.81</v>
      </c>
      <c r="G396" t="s">
        <v>1167</v>
      </c>
      <c r="H396" t="s">
        <v>7</v>
      </c>
      <c r="I396">
        <v>24872.39</v>
      </c>
      <c r="J396">
        <v>871.34386800000004</v>
      </c>
      <c r="K396">
        <v>740.14800500000001</v>
      </c>
      <c r="L396">
        <v>0</v>
      </c>
      <c r="M396" t="s">
        <v>1167</v>
      </c>
      <c r="N396" t="s">
        <v>57</v>
      </c>
      <c r="O396" t="s">
        <v>58</v>
      </c>
      <c r="P396" t="s">
        <v>1168</v>
      </c>
      <c r="Q396" t="s">
        <v>1169</v>
      </c>
      <c r="R396" t="s">
        <v>61</v>
      </c>
      <c r="S396" t="s">
        <v>58</v>
      </c>
      <c r="T396" t="s">
        <v>1168</v>
      </c>
      <c r="U396" t="s">
        <v>1169</v>
      </c>
      <c r="V396" t="s">
        <v>56</v>
      </c>
      <c r="W396" t="s">
        <v>56</v>
      </c>
      <c r="X396" t="s">
        <v>56</v>
      </c>
      <c r="Y396" t="s">
        <v>62</v>
      </c>
      <c r="Z396" t="s">
        <v>63</v>
      </c>
      <c r="AA396" t="s">
        <v>64</v>
      </c>
      <c r="AB396">
        <v>1</v>
      </c>
      <c r="AC396" t="s">
        <v>78</v>
      </c>
      <c r="AD396" t="s">
        <v>66</v>
      </c>
      <c r="AE396" t="s">
        <v>67</v>
      </c>
      <c r="AF396" t="s">
        <v>68</v>
      </c>
      <c r="AG396">
        <v>32000</v>
      </c>
      <c r="AH396" t="s">
        <v>69</v>
      </c>
      <c r="AI396" t="s">
        <v>87</v>
      </c>
      <c r="AJ396" t="s">
        <v>470</v>
      </c>
      <c r="AK396" t="s">
        <v>99</v>
      </c>
      <c r="AL396" t="s">
        <v>73</v>
      </c>
      <c r="AM396" t="s">
        <v>73</v>
      </c>
      <c r="AN396" t="s">
        <v>74</v>
      </c>
    </row>
    <row r="397" spans="1:40" x14ac:dyDescent="0.25">
      <c r="A397" t="s">
        <v>505</v>
      </c>
      <c r="B397" t="s">
        <v>5</v>
      </c>
      <c r="C397">
        <v>763.22229100000004</v>
      </c>
      <c r="D397">
        <v>612.95801500000005</v>
      </c>
      <c r="E397" t="s">
        <v>56</v>
      </c>
      <c r="F397">
        <v>-35416.54</v>
      </c>
      <c r="G397" t="s">
        <v>505</v>
      </c>
      <c r="H397" t="s">
        <v>7</v>
      </c>
      <c r="I397">
        <v>39773.949999999997</v>
      </c>
      <c r="J397">
        <v>973.49261100000001</v>
      </c>
      <c r="K397">
        <v>826.91649199999995</v>
      </c>
      <c r="L397">
        <v>0</v>
      </c>
      <c r="M397" t="s">
        <v>505</v>
      </c>
      <c r="N397" t="s">
        <v>57</v>
      </c>
      <c r="O397" t="s">
        <v>58</v>
      </c>
      <c r="P397" t="s">
        <v>506</v>
      </c>
      <c r="Q397" t="s">
        <v>507</v>
      </c>
      <c r="R397" t="s">
        <v>61</v>
      </c>
      <c r="S397" t="s">
        <v>58</v>
      </c>
      <c r="T397" t="s">
        <v>506</v>
      </c>
      <c r="U397" t="s">
        <v>507</v>
      </c>
      <c r="V397" t="s">
        <v>56</v>
      </c>
      <c r="W397" t="s">
        <v>56</v>
      </c>
      <c r="X397" t="s">
        <v>56</v>
      </c>
      <c r="Y397" t="s">
        <v>62</v>
      </c>
      <c r="Z397" t="s">
        <v>63</v>
      </c>
      <c r="AA397" t="s">
        <v>64</v>
      </c>
      <c r="AB397">
        <v>1</v>
      </c>
      <c r="AC397" t="s">
        <v>78</v>
      </c>
      <c r="AD397" t="s">
        <v>66</v>
      </c>
      <c r="AE397" t="s">
        <v>67</v>
      </c>
      <c r="AF397" t="s">
        <v>68</v>
      </c>
      <c r="AG397">
        <v>45802.76</v>
      </c>
      <c r="AH397" t="s">
        <v>69</v>
      </c>
      <c r="AI397" t="s">
        <v>343</v>
      </c>
      <c r="AJ397" t="s">
        <v>133</v>
      </c>
      <c r="AK397" t="s">
        <v>99</v>
      </c>
      <c r="AL397" t="s">
        <v>73</v>
      </c>
      <c r="AM397" t="s">
        <v>73</v>
      </c>
      <c r="AN397" t="s">
        <v>74</v>
      </c>
    </row>
    <row r="398" spans="1:40" x14ac:dyDescent="0.25">
      <c r="A398" t="s">
        <v>2183</v>
      </c>
      <c r="B398" t="s">
        <v>5</v>
      </c>
      <c r="C398">
        <v>760.93291299999999</v>
      </c>
      <c r="D398">
        <v>646.36132499999997</v>
      </c>
      <c r="E398" t="s">
        <v>56</v>
      </c>
      <c r="F398">
        <v>-22331.27</v>
      </c>
      <c r="G398" t="s">
        <v>2183</v>
      </c>
      <c r="H398" t="s">
        <v>7</v>
      </c>
      <c r="I398">
        <v>27472.240000000002</v>
      </c>
      <c r="J398">
        <v>1151.4463089999999</v>
      </c>
      <c r="K398">
        <v>978.076188</v>
      </c>
      <c r="L398">
        <v>0</v>
      </c>
      <c r="M398" t="s">
        <v>2183</v>
      </c>
      <c r="N398" t="s">
        <v>57</v>
      </c>
      <c r="O398" t="s">
        <v>58</v>
      </c>
      <c r="P398" t="s">
        <v>2184</v>
      </c>
      <c r="Q398" t="s">
        <v>2185</v>
      </c>
      <c r="R398" t="s">
        <v>61</v>
      </c>
      <c r="S398" t="s">
        <v>58</v>
      </c>
      <c r="T398" t="s">
        <v>2184</v>
      </c>
      <c r="U398" t="s">
        <v>2185</v>
      </c>
      <c r="V398" t="s">
        <v>56</v>
      </c>
      <c r="W398" t="s">
        <v>56</v>
      </c>
      <c r="X398" t="s">
        <v>56</v>
      </c>
      <c r="Y398" t="s">
        <v>62</v>
      </c>
      <c r="Z398" t="s">
        <v>63</v>
      </c>
      <c r="AA398" t="s">
        <v>64</v>
      </c>
      <c r="AB398">
        <v>1</v>
      </c>
      <c r="AC398" t="s">
        <v>65</v>
      </c>
      <c r="AD398" t="s">
        <v>66</v>
      </c>
      <c r="AE398" t="s">
        <v>67</v>
      </c>
      <c r="AF398" t="s">
        <v>68</v>
      </c>
      <c r="AG398">
        <v>26747.97</v>
      </c>
      <c r="AH398" t="s">
        <v>69</v>
      </c>
      <c r="AI398" t="s">
        <v>70</v>
      </c>
      <c r="AJ398" t="s">
        <v>115</v>
      </c>
      <c r="AK398" t="s">
        <v>72</v>
      </c>
      <c r="AL398" t="s">
        <v>73</v>
      </c>
      <c r="AM398" t="s">
        <v>73</v>
      </c>
      <c r="AN398" t="s">
        <v>74</v>
      </c>
    </row>
    <row r="399" spans="1:40" x14ac:dyDescent="0.25">
      <c r="A399" t="s">
        <v>1038</v>
      </c>
      <c r="B399" t="s">
        <v>5</v>
      </c>
      <c r="C399">
        <v>759.60333600000001</v>
      </c>
      <c r="D399">
        <v>645.23193900000001</v>
      </c>
      <c r="E399" t="s">
        <v>56</v>
      </c>
      <c r="F399">
        <v>-96215.84</v>
      </c>
      <c r="G399" t="s">
        <v>1038</v>
      </c>
      <c r="H399" t="s">
        <v>7</v>
      </c>
      <c r="I399">
        <v>106508.76</v>
      </c>
      <c r="J399">
        <v>1034.256304</v>
      </c>
      <c r="K399">
        <v>878.53116199999999</v>
      </c>
      <c r="L399">
        <v>0</v>
      </c>
      <c r="M399" t="s">
        <v>1038</v>
      </c>
      <c r="N399" t="s">
        <v>57</v>
      </c>
      <c r="O399" t="s">
        <v>58</v>
      </c>
      <c r="P399" t="s">
        <v>1039</v>
      </c>
      <c r="Q399" t="s">
        <v>740</v>
      </c>
      <c r="R399" t="s">
        <v>61</v>
      </c>
      <c r="S399" t="s">
        <v>58</v>
      </c>
      <c r="T399" t="s">
        <v>1039</v>
      </c>
      <c r="U399" t="s">
        <v>740</v>
      </c>
      <c r="V399" t="s">
        <v>56</v>
      </c>
      <c r="W399" t="s">
        <v>56</v>
      </c>
      <c r="X399" t="s">
        <v>56</v>
      </c>
      <c r="Y399" t="s">
        <v>62</v>
      </c>
      <c r="Z399" t="s">
        <v>63</v>
      </c>
      <c r="AA399" t="s">
        <v>64</v>
      </c>
      <c r="AB399">
        <v>1</v>
      </c>
      <c r="AC399" t="s">
        <v>65</v>
      </c>
      <c r="AD399" t="s">
        <v>66</v>
      </c>
      <c r="AE399" t="s">
        <v>67</v>
      </c>
      <c r="AF399" t="s">
        <v>68</v>
      </c>
      <c r="AG399">
        <v>115447.16</v>
      </c>
      <c r="AH399" t="s">
        <v>69</v>
      </c>
      <c r="AI399" t="s">
        <v>536</v>
      </c>
      <c r="AJ399" t="s">
        <v>228</v>
      </c>
      <c r="AK399" t="s">
        <v>280</v>
      </c>
      <c r="AL399" t="s">
        <v>73</v>
      </c>
      <c r="AM399" t="s">
        <v>73</v>
      </c>
      <c r="AN399" t="s">
        <v>74</v>
      </c>
    </row>
    <row r="400" spans="1:40" x14ac:dyDescent="0.25">
      <c r="A400" t="s">
        <v>572</v>
      </c>
      <c r="B400" t="s">
        <v>5</v>
      </c>
      <c r="C400">
        <v>757.30404199999998</v>
      </c>
      <c r="D400">
        <v>643.27884300000005</v>
      </c>
      <c r="E400" t="s">
        <v>56</v>
      </c>
      <c r="F400">
        <v>-55393.05</v>
      </c>
      <c r="G400" t="s">
        <v>572</v>
      </c>
      <c r="H400" t="s">
        <v>7</v>
      </c>
      <c r="I400">
        <v>63161.35</v>
      </c>
      <c r="J400">
        <v>1062.1191289999999</v>
      </c>
      <c r="K400">
        <v>902.198757</v>
      </c>
      <c r="L400">
        <v>0</v>
      </c>
      <c r="M400" t="s">
        <v>572</v>
      </c>
      <c r="N400" t="s">
        <v>57</v>
      </c>
      <c r="O400" t="s">
        <v>58</v>
      </c>
      <c r="P400" t="s">
        <v>573</v>
      </c>
      <c r="Q400" t="s">
        <v>574</v>
      </c>
      <c r="R400" t="s">
        <v>61</v>
      </c>
      <c r="S400" t="s">
        <v>58</v>
      </c>
      <c r="T400" t="s">
        <v>573</v>
      </c>
      <c r="U400" t="s">
        <v>574</v>
      </c>
      <c r="V400" t="s">
        <v>56</v>
      </c>
      <c r="W400" t="s">
        <v>56</v>
      </c>
      <c r="X400" t="s">
        <v>56</v>
      </c>
      <c r="Y400" t="s">
        <v>62</v>
      </c>
      <c r="Z400" t="s">
        <v>63</v>
      </c>
      <c r="AA400" t="s">
        <v>64</v>
      </c>
      <c r="AB400">
        <v>1</v>
      </c>
      <c r="AC400" t="s">
        <v>78</v>
      </c>
      <c r="AD400" t="s">
        <v>66</v>
      </c>
      <c r="AE400" t="s">
        <v>67</v>
      </c>
      <c r="AF400" t="s">
        <v>68</v>
      </c>
      <c r="AG400">
        <v>66666.66</v>
      </c>
      <c r="AH400" t="s">
        <v>69</v>
      </c>
      <c r="AI400" t="s">
        <v>216</v>
      </c>
      <c r="AJ400" t="s">
        <v>80</v>
      </c>
      <c r="AK400" t="s">
        <v>72</v>
      </c>
      <c r="AL400" t="s">
        <v>73</v>
      </c>
      <c r="AM400" t="s">
        <v>73</v>
      </c>
      <c r="AN400" t="s">
        <v>74</v>
      </c>
    </row>
    <row r="401" spans="1:40" x14ac:dyDescent="0.25">
      <c r="A401" t="s">
        <v>1556</v>
      </c>
      <c r="B401" t="s">
        <v>5</v>
      </c>
      <c r="C401" s="2">
        <v>754.67467899999997</v>
      </c>
      <c r="D401" t="s">
        <v>56</v>
      </c>
      <c r="E401" t="s">
        <v>56</v>
      </c>
      <c r="F401">
        <v>-9435.99</v>
      </c>
      <c r="G401" t="s">
        <v>1556</v>
      </c>
      <c r="H401" t="s">
        <v>7</v>
      </c>
      <c r="I401">
        <v>13665.45</v>
      </c>
      <c r="J401">
        <v>0</v>
      </c>
      <c r="K401">
        <v>0</v>
      </c>
      <c r="L401">
        <v>0</v>
      </c>
      <c r="M401" t="s">
        <v>1556</v>
      </c>
      <c r="N401" t="s">
        <v>57</v>
      </c>
      <c r="O401" t="s">
        <v>58</v>
      </c>
      <c r="P401" t="s">
        <v>1557</v>
      </c>
      <c r="Q401" t="s">
        <v>1558</v>
      </c>
      <c r="R401" t="s">
        <v>61</v>
      </c>
      <c r="S401" t="s">
        <v>58</v>
      </c>
      <c r="T401" t="s">
        <v>1557</v>
      </c>
      <c r="U401" t="s">
        <v>1558</v>
      </c>
      <c r="V401" t="s">
        <v>56</v>
      </c>
      <c r="W401" t="s">
        <v>56</v>
      </c>
      <c r="X401" t="s">
        <v>56</v>
      </c>
      <c r="Y401" t="s">
        <v>62</v>
      </c>
      <c r="Z401" t="s">
        <v>63</v>
      </c>
      <c r="AA401" t="s">
        <v>64</v>
      </c>
      <c r="AB401">
        <v>1</v>
      </c>
      <c r="AC401" t="s">
        <v>65</v>
      </c>
      <c r="AD401" t="s">
        <v>66</v>
      </c>
      <c r="AE401" t="s">
        <v>85</v>
      </c>
      <c r="AF401" t="s">
        <v>103</v>
      </c>
      <c r="AG401">
        <v>33985.120000000003</v>
      </c>
      <c r="AH401" t="s">
        <v>69</v>
      </c>
      <c r="AI401" t="s">
        <v>181</v>
      </c>
      <c r="AJ401" t="s">
        <v>236</v>
      </c>
      <c r="AK401" t="s">
        <v>72</v>
      </c>
      <c r="AL401" t="s">
        <v>73</v>
      </c>
      <c r="AM401" t="s">
        <v>73</v>
      </c>
      <c r="AN401" t="s">
        <v>56</v>
      </c>
    </row>
    <row r="402" spans="1:40" x14ac:dyDescent="0.25">
      <c r="A402" t="s">
        <v>2309</v>
      </c>
      <c r="B402" t="s">
        <v>5</v>
      </c>
      <c r="C402">
        <v>753.06419300000005</v>
      </c>
      <c r="D402">
        <v>639.67737699999998</v>
      </c>
      <c r="E402" t="s">
        <v>56</v>
      </c>
      <c r="F402">
        <v>-41303.980000000003</v>
      </c>
      <c r="G402" t="s">
        <v>2309</v>
      </c>
      <c r="H402" t="s">
        <v>7</v>
      </c>
      <c r="I402">
        <v>44924.65</v>
      </c>
      <c r="J402">
        <v>1007.450639</v>
      </c>
      <c r="K402">
        <v>855.76155200000005</v>
      </c>
      <c r="L402">
        <v>0</v>
      </c>
      <c r="M402" t="s">
        <v>2309</v>
      </c>
      <c r="N402" t="s">
        <v>57</v>
      </c>
      <c r="O402" t="s">
        <v>58</v>
      </c>
      <c r="P402" t="s">
        <v>2310</v>
      </c>
      <c r="Q402" t="s">
        <v>2311</v>
      </c>
      <c r="R402" t="s">
        <v>61</v>
      </c>
      <c r="S402" t="s">
        <v>58</v>
      </c>
      <c r="T402" t="s">
        <v>2310</v>
      </c>
      <c r="U402" t="s">
        <v>2311</v>
      </c>
      <c r="V402" t="s">
        <v>56</v>
      </c>
      <c r="W402" t="s">
        <v>56</v>
      </c>
      <c r="X402" t="s">
        <v>56</v>
      </c>
      <c r="Y402" t="s">
        <v>62</v>
      </c>
      <c r="Z402" t="s">
        <v>63</v>
      </c>
      <c r="AA402" t="s">
        <v>64</v>
      </c>
      <c r="AB402">
        <v>1</v>
      </c>
      <c r="AC402" t="s">
        <v>78</v>
      </c>
      <c r="AD402" t="s">
        <v>66</v>
      </c>
      <c r="AE402" t="s">
        <v>67</v>
      </c>
      <c r="AF402" t="s">
        <v>68</v>
      </c>
      <c r="AG402">
        <v>49990.01</v>
      </c>
      <c r="AH402" t="s">
        <v>69</v>
      </c>
      <c r="AI402" t="s">
        <v>122</v>
      </c>
      <c r="AJ402" t="s">
        <v>359</v>
      </c>
      <c r="AK402" t="s">
        <v>72</v>
      </c>
      <c r="AL402" t="s">
        <v>73</v>
      </c>
      <c r="AM402" t="s">
        <v>73</v>
      </c>
      <c r="AN402" t="s">
        <v>74</v>
      </c>
    </row>
    <row r="403" spans="1:40" x14ac:dyDescent="0.25">
      <c r="A403" t="s">
        <v>1287</v>
      </c>
      <c r="B403" t="s">
        <v>5</v>
      </c>
      <c r="C403">
        <v>752.14604499999996</v>
      </c>
      <c r="D403">
        <v>638.89747199999999</v>
      </c>
      <c r="E403" t="s">
        <v>56</v>
      </c>
      <c r="F403">
        <v>-22685.759999999998</v>
      </c>
      <c r="G403" t="s">
        <v>1287</v>
      </c>
      <c r="H403" t="s">
        <v>7</v>
      </c>
      <c r="I403">
        <v>25914.880000000001</v>
      </c>
      <c r="J403">
        <v>1056.78961</v>
      </c>
      <c r="K403">
        <v>897.67168900000001</v>
      </c>
      <c r="L403">
        <v>0</v>
      </c>
      <c r="M403" t="s">
        <v>1287</v>
      </c>
      <c r="N403" t="s">
        <v>57</v>
      </c>
      <c r="O403" t="s">
        <v>58</v>
      </c>
      <c r="P403" t="s">
        <v>1288</v>
      </c>
      <c r="Q403" t="s">
        <v>1289</v>
      </c>
      <c r="R403" t="s">
        <v>61</v>
      </c>
      <c r="S403" t="s">
        <v>58</v>
      </c>
      <c r="T403" t="s">
        <v>1288</v>
      </c>
      <c r="U403" t="s">
        <v>1289</v>
      </c>
      <c r="V403" t="s">
        <v>56</v>
      </c>
      <c r="W403" t="s">
        <v>56</v>
      </c>
      <c r="X403" t="s">
        <v>56</v>
      </c>
      <c r="Y403" t="s">
        <v>62</v>
      </c>
      <c r="Z403" t="s">
        <v>63</v>
      </c>
      <c r="AA403" t="s">
        <v>64</v>
      </c>
      <c r="AB403">
        <v>1</v>
      </c>
      <c r="AC403" t="s">
        <v>78</v>
      </c>
      <c r="AD403" t="s">
        <v>66</v>
      </c>
      <c r="AE403" t="s">
        <v>67</v>
      </c>
      <c r="AF403" t="s">
        <v>68</v>
      </c>
      <c r="AG403">
        <v>27490</v>
      </c>
      <c r="AH403" t="s">
        <v>69</v>
      </c>
      <c r="AI403" t="s">
        <v>220</v>
      </c>
      <c r="AJ403" t="s">
        <v>401</v>
      </c>
      <c r="AK403" t="s">
        <v>72</v>
      </c>
      <c r="AL403" t="s">
        <v>73</v>
      </c>
      <c r="AM403" t="s">
        <v>73</v>
      </c>
      <c r="AN403" t="s">
        <v>74</v>
      </c>
    </row>
    <row r="404" spans="1:40" x14ac:dyDescent="0.25">
      <c r="A404" t="s">
        <v>846</v>
      </c>
      <c r="B404" t="s">
        <v>5</v>
      </c>
      <c r="C404">
        <v>752.03618100000006</v>
      </c>
      <c r="D404">
        <v>638.80415000000005</v>
      </c>
      <c r="E404" t="s">
        <v>56</v>
      </c>
      <c r="F404">
        <v>-21466.45</v>
      </c>
      <c r="G404" t="s">
        <v>846</v>
      </c>
      <c r="H404" t="s">
        <v>7</v>
      </c>
      <c r="I404">
        <v>25352.86</v>
      </c>
      <c r="J404">
        <v>888.15976799999999</v>
      </c>
      <c r="K404">
        <v>754.43198099999995</v>
      </c>
      <c r="L404">
        <v>0</v>
      </c>
      <c r="M404" t="s">
        <v>846</v>
      </c>
      <c r="N404" t="s">
        <v>57</v>
      </c>
      <c r="O404" t="s">
        <v>58</v>
      </c>
      <c r="P404" t="s">
        <v>847</v>
      </c>
      <c r="Q404" t="s">
        <v>848</v>
      </c>
      <c r="R404" t="s">
        <v>61</v>
      </c>
      <c r="S404" t="s">
        <v>58</v>
      </c>
      <c r="T404" t="s">
        <v>847</v>
      </c>
      <c r="U404" t="s">
        <v>848</v>
      </c>
      <c r="V404" t="s">
        <v>56</v>
      </c>
      <c r="W404" t="s">
        <v>56</v>
      </c>
      <c r="X404" t="s">
        <v>56</v>
      </c>
      <c r="Y404" t="s">
        <v>62</v>
      </c>
      <c r="Z404" t="s">
        <v>63</v>
      </c>
      <c r="AA404" t="s">
        <v>64</v>
      </c>
      <c r="AB404">
        <v>1</v>
      </c>
      <c r="AC404" t="s">
        <v>84</v>
      </c>
      <c r="AD404" t="s">
        <v>66</v>
      </c>
      <c r="AE404" t="s">
        <v>67</v>
      </c>
      <c r="AF404" t="s">
        <v>68</v>
      </c>
      <c r="AG404">
        <v>32000</v>
      </c>
      <c r="AH404" t="s">
        <v>69</v>
      </c>
      <c r="AI404" t="s">
        <v>122</v>
      </c>
      <c r="AJ404" t="s">
        <v>240</v>
      </c>
      <c r="AK404" t="s">
        <v>99</v>
      </c>
      <c r="AL404" t="s">
        <v>73</v>
      </c>
      <c r="AM404" t="s">
        <v>73</v>
      </c>
      <c r="AN404" t="s">
        <v>74</v>
      </c>
    </row>
    <row r="405" spans="1:40" x14ac:dyDescent="0.25">
      <c r="A405" t="s">
        <v>1563</v>
      </c>
      <c r="B405" t="s">
        <v>5</v>
      </c>
      <c r="C405">
        <v>751.05985599999997</v>
      </c>
      <c r="D405">
        <v>959.10367399999996</v>
      </c>
      <c r="E405" t="s">
        <v>56</v>
      </c>
      <c r="F405">
        <v>-33997.06</v>
      </c>
      <c r="G405" t="s">
        <v>1563</v>
      </c>
      <c r="H405" t="s">
        <v>7</v>
      </c>
      <c r="I405">
        <v>39048.9</v>
      </c>
      <c r="J405">
        <v>862.64505699999995</v>
      </c>
      <c r="K405">
        <v>1101.598009</v>
      </c>
      <c r="L405">
        <v>0</v>
      </c>
      <c r="M405" t="s">
        <v>1563</v>
      </c>
      <c r="N405" t="s">
        <v>57</v>
      </c>
      <c r="O405" t="s">
        <v>58</v>
      </c>
      <c r="P405" t="s">
        <v>1564</v>
      </c>
      <c r="Q405" t="s">
        <v>1565</v>
      </c>
      <c r="R405" t="s">
        <v>61</v>
      </c>
      <c r="S405" t="s">
        <v>58</v>
      </c>
      <c r="T405" t="s">
        <v>1564</v>
      </c>
      <c r="U405" t="s">
        <v>1565</v>
      </c>
      <c r="V405" t="s">
        <v>56</v>
      </c>
      <c r="W405" t="s">
        <v>56</v>
      </c>
      <c r="X405" t="s">
        <v>56</v>
      </c>
      <c r="Y405" t="s">
        <v>62</v>
      </c>
      <c r="Z405" t="s">
        <v>63</v>
      </c>
      <c r="AA405" t="s">
        <v>64</v>
      </c>
      <c r="AB405">
        <v>1</v>
      </c>
      <c r="AC405" t="s">
        <v>84</v>
      </c>
      <c r="AD405" t="s">
        <v>66</v>
      </c>
      <c r="AE405" t="s">
        <v>121</v>
      </c>
      <c r="AF405" t="s">
        <v>68</v>
      </c>
      <c r="AG405">
        <v>43000</v>
      </c>
      <c r="AH405" t="s">
        <v>69</v>
      </c>
      <c r="AI405" t="s">
        <v>97</v>
      </c>
      <c r="AJ405" t="s">
        <v>254</v>
      </c>
      <c r="AK405" t="s">
        <v>99</v>
      </c>
      <c r="AL405" t="s">
        <v>73</v>
      </c>
      <c r="AM405" t="s">
        <v>73</v>
      </c>
      <c r="AN405" t="s">
        <v>124</v>
      </c>
    </row>
    <row r="406" spans="1:40" x14ac:dyDescent="0.25">
      <c r="A406" t="s">
        <v>2470</v>
      </c>
      <c r="B406" t="s">
        <v>5</v>
      </c>
      <c r="C406">
        <v>750.16961600000002</v>
      </c>
      <c r="D406">
        <v>637.21862899999996</v>
      </c>
      <c r="E406" t="s">
        <v>56</v>
      </c>
      <c r="F406">
        <v>-26231.13</v>
      </c>
      <c r="G406" t="s">
        <v>2470</v>
      </c>
      <c r="H406" t="s">
        <v>7</v>
      </c>
      <c r="I406">
        <v>29876.49</v>
      </c>
      <c r="J406">
        <v>1050.9511299999999</v>
      </c>
      <c r="K406">
        <v>892.71229300000005</v>
      </c>
      <c r="L406">
        <v>0</v>
      </c>
      <c r="M406" t="s">
        <v>2470</v>
      </c>
      <c r="N406" t="s">
        <v>57</v>
      </c>
      <c r="O406" t="s">
        <v>58</v>
      </c>
      <c r="P406" t="s">
        <v>2471</v>
      </c>
      <c r="Q406" t="s">
        <v>2472</v>
      </c>
      <c r="R406" t="s">
        <v>61</v>
      </c>
      <c r="S406" t="s">
        <v>58</v>
      </c>
      <c r="T406" t="s">
        <v>2471</v>
      </c>
      <c r="U406" t="s">
        <v>2472</v>
      </c>
      <c r="V406" t="s">
        <v>56</v>
      </c>
      <c r="W406" t="s">
        <v>56</v>
      </c>
      <c r="X406" t="s">
        <v>56</v>
      </c>
      <c r="Y406" t="s">
        <v>62</v>
      </c>
      <c r="Z406" t="s">
        <v>63</v>
      </c>
      <c r="AA406" t="s">
        <v>64</v>
      </c>
      <c r="AB406">
        <v>1</v>
      </c>
      <c r="AC406" t="s">
        <v>84</v>
      </c>
      <c r="AD406" t="s">
        <v>66</v>
      </c>
      <c r="AE406" t="s">
        <v>67</v>
      </c>
      <c r="AF406" t="s">
        <v>68</v>
      </c>
      <c r="AG406">
        <v>31869.9</v>
      </c>
      <c r="AH406" t="s">
        <v>69</v>
      </c>
      <c r="AI406" t="s">
        <v>128</v>
      </c>
      <c r="AJ406" t="s">
        <v>401</v>
      </c>
      <c r="AK406" t="s">
        <v>72</v>
      </c>
      <c r="AL406" t="s">
        <v>73</v>
      </c>
      <c r="AM406" t="s">
        <v>73</v>
      </c>
      <c r="AN406" t="s">
        <v>74</v>
      </c>
    </row>
    <row r="407" spans="1:40" x14ac:dyDescent="0.25">
      <c r="A407" t="s">
        <v>1318</v>
      </c>
      <c r="B407" t="s">
        <v>5</v>
      </c>
      <c r="C407">
        <v>749.10348799999997</v>
      </c>
      <c r="D407">
        <v>636.31302500000004</v>
      </c>
      <c r="E407" t="s">
        <v>56</v>
      </c>
      <c r="F407">
        <v>-28739.24</v>
      </c>
      <c r="G407" t="s">
        <v>1318</v>
      </c>
      <c r="H407" t="s">
        <v>7</v>
      </c>
      <c r="I407">
        <v>30858.86</v>
      </c>
      <c r="J407">
        <v>989.35112600000002</v>
      </c>
      <c r="K407">
        <v>840.38723300000004</v>
      </c>
      <c r="L407">
        <v>0</v>
      </c>
      <c r="M407" t="s">
        <v>1318</v>
      </c>
      <c r="N407" t="s">
        <v>57</v>
      </c>
      <c r="O407" t="s">
        <v>58</v>
      </c>
      <c r="P407" t="s">
        <v>1319</v>
      </c>
      <c r="Q407" t="s">
        <v>1320</v>
      </c>
      <c r="R407" t="s">
        <v>61</v>
      </c>
      <c r="S407" t="s">
        <v>58</v>
      </c>
      <c r="T407" t="s">
        <v>1319</v>
      </c>
      <c r="U407" t="s">
        <v>1320</v>
      </c>
      <c r="V407" t="s">
        <v>56</v>
      </c>
      <c r="W407" t="s">
        <v>56</v>
      </c>
      <c r="X407" t="s">
        <v>56</v>
      </c>
      <c r="Y407" t="s">
        <v>62</v>
      </c>
      <c r="Z407" t="s">
        <v>63</v>
      </c>
      <c r="AA407" t="s">
        <v>64</v>
      </c>
      <c r="AB407">
        <v>1</v>
      </c>
      <c r="AC407" t="s">
        <v>78</v>
      </c>
      <c r="AD407" t="s">
        <v>66</v>
      </c>
      <c r="AE407" t="s">
        <v>67</v>
      </c>
      <c r="AF407" t="s">
        <v>68</v>
      </c>
      <c r="AG407">
        <v>34966.85</v>
      </c>
      <c r="AH407" t="s">
        <v>69</v>
      </c>
      <c r="AI407" t="s">
        <v>382</v>
      </c>
      <c r="AJ407" t="s">
        <v>143</v>
      </c>
      <c r="AK407" t="s">
        <v>72</v>
      </c>
      <c r="AL407" t="s">
        <v>73</v>
      </c>
      <c r="AM407" t="s">
        <v>73</v>
      </c>
      <c r="AN407" t="s">
        <v>74</v>
      </c>
    </row>
    <row r="408" spans="1:40" x14ac:dyDescent="0.25">
      <c r="A408" t="s">
        <v>604</v>
      </c>
      <c r="B408" t="s">
        <v>5</v>
      </c>
      <c r="C408">
        <v>748.81537600000001</v>
      </c>
      <c r="D408">
        <v>636.06829200000004</v>
      </c>
      <c r="E408" t="s">
        <v>56</v>
      </c>
      <c r="F408">
        <v>-109812.82</v>
      </c>
      <c r="G408" t="s">
        <v>604</v>
      </c>
      <c r="H408" t="s">
        <v>7</v>
      </c>
      <c r="I408">
        <v>125194.69</v>
      </c>
      <c r="J408">
        <v>1050.05204</v>
      </c>
      <c r="K408">
        <v>891.948576</v>
      </c>
      <c r="L408">
        <v>0</v>
      </c>
      <c r="M408" t="s">
        <v>604</v>
      </c>
      <c r="N408" t="s">
        <v>57</v>
      </c>
      <c r="O408" t="s">
        <v>58</v>
      </c>
      <c r="P408" t="s">
        <v>605</v>
      </c>
      <c r="Q408" t="s">
        <v>432</v>
      </c>
      <c r="R408" t="s">
        <v>61</v>
      </c>
      <c r="S408" t="s">
        <v>58</v>
      </c>
      <c r="T408" t="s">
        <v>605</v>
      </c>
      <c r="U408" t="s">
        <v>432</v>
      </c>
      <c r="V408" t="s">
        <v>56</v>
      </c>
      <c r="W408" t="s">
        <v>56</v>
      </c>
      <c r="X408" t="s">
        <v>56</v>
      </c>
      <c r="Y408" t="s">
        <v>62</v>
      </c>
      <c r="Z408" t="s">
        <v>63</v>
      </c>
      <c r="AA408" t="s">
        <v>64</v>
      </c>
      <c r="AB408">
        <v>1</v>
      </c>
      <c r="AC408" t="s">
        <v>120</v>
      </c>
      <c r="AD408" t="s">
        <v>66</v>
      </c>
      <c r="AE408" t="s">
        <v>67</v>
      </c>
      <c r="AF408" t="s">
        <v>68</v>
      </c>
      <c r="AG408">
        <v>133660.07999999999</v>
      </c>
      <c r="AH408" t="s">
        <v>69</v>
      </c>
      <c r="AI408" t="s">
        <v>208</v>
      </c>
      <c r="AJ408" t="s">
        <v>606</v>
      </c>
      <c r="AK408" t="s">
        <v>72</v>
      </c>
      <c r="AL408" t="s">
        <v>73</v>
      </c>
      <c r="AM408" t="s">
        <v>73</v>
      </c>
      <c r="AN408" t="s">
        <v>74</v>
      </c>
    </row>
    <row r="409" spans="1:40" x14ac:dyDescent="0.25">
      <c r="A409" t="s">
        <v>1940</v>
      </c>
      <c r="B409" t="s">
        <v>5</v>
      </c>
      <c r="C409">
        <v>748.49251000000004</v>
      </c>
      <c r="D409">
        <v>635.79404</v>
      </c>
      <c r="E409" t="s">
        <v>56</v>
      </c>
      <c r="F409">
        <v>-21031.47</v>
      </c>
      <c r="G409" t="s">
        <v>1940</v>
      </c>
      <c r="H409" t="s">
        <v>7</v>
      </c>
      <c r="I409">
        <v>22282.799999999999</v>
      </c>
      <c r="J409">
        <v>975.41634999999997</v>
      </c>
      <c r="K409">
        <v>828.55057899999997</v>
      </c>
      <c r="L409">
        <v>0</v>
      </c>
      <c r="M409" t="s">
        <v>1940</v>
      </c>
      <c r="N409" t="s">
        <v>57</v>
      </c>
      <c r="O409" t="s">
        <v>58</v>
      </c>
      <c r="P409" t="s">
        <v>1941</v>
      </c>
      <c r="Q409" t="s">
        <v>1942</v>
      </c>
      <c r="R409" t="s">
        <v>61</v>
      </c>
      <c r="S409" t="s">
        <v>58</v>
      </c>
      <c r="T409" t="s">
        <v>1941</v>
      </c>
      <c r="U409" t="s">
        <v>1942</v>
      </c>
      <c r="V409" t="s">
        <v>56</v>
      </c>
      <c r="W409" t="s">
        <v>56</v>
      </c>
      <c r="X409" t="s">
        <v>56</v>
      </c>
      <c r="Y409" t="s">
        <v>62</v>
      </c>
      <c r="Z409" t="s">
        <v>63</v>
      </c>
      <c r="AA409" t="s">
        <v>64</v>
      </c>
      <c r="AB409">
        <v>1</v>
      </c>
      <c r="AC409" t="s">
        <v>84</v>
      </c>
      <c r="AD409" t="s">
        <v>66</v>
      </c>
      <c r="AE409" t="s">
        <v>67</v>
      </c>
      <c r="AF409" t="s">
        <v>68</v>
      </c>
      <c r="AG409">
        <v>25609.759999999998</v>
      </c>
      <c r="AH409" t="s">
        <v>69</v>
      </c>
      <c r="AI409" t="s">
        <v>244</v>
      </c>
      <c r="AJ409" t="s">
        <v>115</v>
      </c>
      <c r="AK409" t="s">
        <v>280</v>
      </c>
      <c r="AL409" t="s">
        <v>73</v>
      </c>
      <c r="AM409" t="s">
        <v>73</v>
      </c>
      <c r="AN409" t="s">
        <v>74</v>
      </c>
    </row>
    <row r="410" spans="1:40" x14ac:dyDescent="0.25">
      <c r="A410" t="s">
        <v>1544</v>
      </c>
      <c r="B410" t="s">
        <v>5</v>
      </c>
      <c r="C410">
        <v>748.22317399999997</v>
      </c>
      <c r="D410">
        <v>529.25976900000001</v>
      </c>
      <c r="E410" t="s">
        <v>56</v>
      </c>
      <c r="F410">
        <v>-23495.919999999998</v>
      </c>
      <c r="G410" t="s">
        <v>1544</v>
      </c>
      <c r="H410" t="s">
        <v>7</v>
      </c>
      <c r="I410">
        <v>25880.09</v>
      </c>
      <c r="J410">
        <v>968.682143</v>
      </c>
      <c r="K410">
        <v>822.83032200000002</v>
      </c>
      <c r="L410">
        <v>0</v>
      </c>
      <c r="M410" t="s">
        <v>1544</v>
      </c>
      <c r="N410" t="s">
        <v>57</v>
      </c>
      <c r="O410" t="s">
        <v>58</v>
      </c>
      <c r="P410" t="s">
        <v>1545</v>
      </c>
      <c r="Q410" t="s">
        <v>1546</v>
      </c>
      <c r="R410" t="s">
        <v>61</v>
      </c>
      <c r="S410" t="s">
        <v>58</v>
      </c>
      <c r="T410" t="s">
        <v>1545</v>
      </c>
      <c r="U410" t="s">
        <v>1546</v>
      </c>
      <c r="V410" t="s">
        <v>56</v>
      </c>
      <c r="W410" t="s">
        <v>56</v>
      </c>
      <c r="X410" t="s">
        <v>56</v>
      </c>
      <c r="Y410" t="s">
        <v>62</v>
      </c>
      <c r="Z410" t="s">
        <v>63</v>
      </c>
      <c r="AA410" t="s">
        <v>64</v>
      </c>
      <c r="AB410">
        <v>1</v>
      </c>
      <c r="AC410" t="s">
        <v>78</v>
      </c>
      <c r="AD410" t="s">
        <v>66</v>
      </c>
      <c r="AE410" t="s">
        <v>67</v>
      </c>
      <c r="AF410" t="s">
        <v>68</v>
      </c>
      <c r="AG410">
        <v>29951.22</v>
      </c>
      <c r="AH410" t="s">
        <v>69</v>
      </c>
      <c r="AI410" t="s">
        <v>244</v>
      </c>
      <c r="AJ410" t="s">
        <v>109</v>
      </c>
      <c r="AK410" t="s">
        <v>72</v>
      </c>
      <c r="AL410" t="s">
        <v>73</v>
      </c>
      <c r="AM410" t="s">
        <v>73</v>
      </c>
      <c r="AN410" t="s">
        <v>74</v>
      </c>
    </row>
    <row r="411" spans="1:40" x14ac:dyDescent="0.25">
      <c r="A411" t="s">
        <v>1801</v>
      </c>
      <c r="B411" t="s">
        <v>5</v>
      </c>
      <c r="C411">
        <v>746.54859199999999</v>
      </c>
      <c r="D411">
        <v>634.14281300000005</v>
      </c>
      <c r="E411" t="s">
        <v>56</v>
      </c>
      <c r="F411">
        <v>-40953.440000000002</v>
      </c>
      <c r="G411" t="s">
        <v>1801</v>
      </c>
      <c r="H411" t="s">
        <v>7</v>
      </c>
      <c r="I411">
        <v>45075.78</v>
      </c>
      <c r="J411">
        <v>1010.675929</v>
      </c>
      <c r="K411">
        <v>858.50121899999999</v>
      </c>
      <c r="L411">
        <v>0</v>
      </c>
      <c r="M411" t="s">
        <v>1801</v>
      </c>
      <c r="N411" t="s">
        <v>57</v>
      </c>
      <c r="O411" t="s">
        <v>58</v>
      </c>
      <c r="P411" t="s">
        <v>1802</v>
      </c>
      <c r="Q411" t="s">
        <v>1803</v>
      </c>
      <c r="R411" t="s">
        <v>61</v>
      </c>
      <c r="S411" t="s">
        <v>58</v>
      </c>
      <c r="T411" t="s">
        <v>1802</v>
      </c>
      <c r="U411" t="s">
        <v>1803</v>
      </c>
      <c r="V411" t="s">
        <v>56</v>
      </c>
      <c r="W411" t="s">
        <v>56</v>
      </c>
      <c r="X411" t="s">
        <v>56</v>
      </c>
      <c r="Y411" t="s">
        <v>62</v>
      </c>
      <c r="Z411" t="s">
        <v>63</v>
      </c>
      <c r="AA411" t="s">
        <v>64</v>
      </c>
      <c r="AB411">
        <v>1</v>
      </c>
      <c r="AC411" t="s">
        <v>84</v>
      </c>
      <c r="AD411" t="s">
        <v>66</v>
      </c>
      <c r="AE411" t="s">
        <v>67</v>
      </c>
      <c r="AF411" t="s">
        <v>68</v>
      </c>
      <c r="AG411">
        <v>49998.38</v>
      </c>
      <c r="AH411" t="s">
        <v>69</v>
      </c>
      <c r="AI411" t="s">
        <v>208</v>
      </c>
      <c r="AJ411" t="s">
        <v>115</v>
      </c>
      <c r="AK411" t="s">
        <v>72</v>
      </c>
      <c r="AL411" t="s">
        <v>73</v>
      </c>
      <c r="AM411" t="s">
        <v>73</v>
      </c>
      <c r="AN411" t="s">
        <v>74</v>
      </c>
    </row>
    <row r="412" spans="1:40" x14ac:dyDescent="0.25">
      <c r="A412" t="s">
        <v>620</v>
      </c>
      <c r="B412" t="s">
        <v>5</v>
      </c>
      <c r="C412">
        <v>743.24370799999997</v>
      </c>
      <c r="D412">
        <v>631.33553500000005</v>
      </c>
      <c r="E412" t="s">
        <v>56</v>
      </c>
      <c r="F412">
        <v>-23867.39</v>
      </c>
      <c r="G412" t="s">
        <v>620</v>
      </c>
      <c r="H412" t="s">
        <v>7</v>
      </c>
      <c r="I412">
        <v>27330.05</v>
      </c>
      <c r="J412">
        <v>851.07061999999996</v>
      </c>
      <c r="K412">
        <v>722.92724399999997</v>
      </c>
      <c r="L412">
        <v>0</v>
      </c>
      <c r="M412" t="s">
        <v>620</v>
      </c>
      <c r="N412" t="s">
        <v>57</v>
      </c>
      <c r="O412" t="s">
        <v>58</v>
      </c>
      <c r="P412" t="s">
        <v>621</v>
      </c>
      <c r="Q412" t="s">
        <v>622</v>
      </c>
      <c r="R412" t="s">
        <v>61</v>
      </c>
      <c r="S412" t="s">
        <v>58</v>
      </c>
      <c r="T412" t="s">
        <v>621</v>
      </c>
      <c r="U412" t="s">
        <v>622</v>
      </c>
      <c r="V412" t="s">
        <v>56</v>
      </c>
      <c r="W412" t="s">
        <v>56</v>
      </c>
      <c r="X412" t="s">
        <v>56</v>
      </c>
      <c r="Y412" t="s">
        <v>62</v>
      </c>
      <c r="Z412" t="s">
        <v>63</v>
      </c>
      <c r="AA412" t="s">
        <v>64</v>
      </c>
      <c r="AB412">
        <v>1</v>
      </c>
      <c r="AC412" t="s">
        <v>84</v>
      </c>
      <c r="AD412" t="s">
        <v>66</v>
      </c>
      <c r="AE412" t="s">
        <v>67</v>
      </c>
      <c r="AF412" t="s">
        <v>68</v>
      </c>
      <c r="AG412">
        <v>36000</v>
      </c>
      <c r="AH412" t="s">
        <v>69</v>
      </c>
      <c r="AI412" t="s">
        <v>128</v>
      </c>
      <c r="AJ412" t="s">
        <v>195</v>
      </c>
      <c r="AK412" t="s">
        <v>99</v>
      </c>
      <c r="AL412" t="s">
        <v>73</v>
      </c>
      <c r="AM412" t="s">
        <v>73</v>
      </c>
      <c r="AN412" t="s">
        <v>74</v>
      </c>
    </row>
    <row r="413" spans="1:40" x14ac:dyDescent="0.25">
      <c r="A413" t="s">
        <v>2457</v>
      </c>
      <c r="B413" t="s">
        <v>5</v>
      </c>
      <c r="C413" s="2">
        <v>742.61897999999997</v>
      </c>
      <c r="D413" t="s">
        <v>56</v>
      </c>
      <c r="E413" t="s">
        <v>56</v>
      </c>
      <c r="F413">
        <v>-16215.24</v>
      </c>
      <c r="G413" t="s">
        <v>2457</v>
      </c>
      <c r="H413" t="s">
        <v>7</v>
      </c>
      <c r="I413">
        <v>20743.78</v>
      </c>
      <c r="J413">
        <v>0</v>
      </c>
      <c r="K413">
        <v>0</v>
      </c>
      <c r="L413">
        <v>0</v>
      </c>
      <c r="M413" t="s">
        <v>2457</v>
      </c>
      <c r="N413" t="s">
        <v>57</v>
      </c>
      <c r="O413" t="s">
        <v>58</v>
      </c>
      <c r="P413" t="s">
        <v>2458</v>
      </c>
      <c r="Q413" t="s">
        <v>2459</v>
      </c>
      <c r="R413" t="s">
        <v>61</v>
      </c>
      <c r="S413" t="s">
        <v>58</v>
      </c>
      <c r="T413" t="s">
        <v>2458</v>
      </c>
      <c r="U413" t="s">
        <v>2459</v>
      </c>
      <c r="V413" t="s">
        <v>56</v>
      </c>
      <c r="W413" t="s">
        <v>56</v>
      </c>
      <c r="X413" t="s">
        <v>56</v>
      </c>
      <c r="Y413" t="s">
        <v>62</v>
      </c>
      <c r="Z413" t="s">
        <v>63</v>
      </c>
      <c r="AA413" t="s">
        <v>64</v>
      </c>
      <c r="AB413">
        <v>1</v>
      </c>
      <c r="AC413" t="s">
        <v>84</v>
      </c>
      <c r="AD413" t="s">
        <v>66</v>
      </c>
      <c r="AE413" t="s">
        <v>85</v>
      </c>
      <c r="AF413" t="s">
        <v>86</v>
      </c>
      <c r="AG413">
        <v>59349.59</v>
      </c>
      <c r="AH413" t="s">
        <v>69</v>
      </c>
      <c r="AI413" t="s">
        <v>114</v>
      </c>
      <c r="AJ413" t="s">
        <v>511</v>
      </c>
      <c r="AK413" t="s">
        <v>72</v>
      </c>
      <c r="AL413" t="s">
        <v>73</v>
      </c>
      <c r="AM413" t="s">
        <v>73</v>
      </c>
      <c r="AN413" t="s">
        <v>56</v>
      </c>
    </row>
    <row r="414" spans="1:40" x14ac:dyDescent="0.25">
      <c r="A414" t="s">
        <v>2416</v>
      </c>
      <c r="B414" t="s">
        <v>5</v>
      </c>
      <c r="C414">
        <v>740.68656999999996</v>
      </c>
      <c r="D414">
        <v>629.16341899999998</v>
      </c>
      <c r="E414" t="s">
        <v>56</v>
      </c>
      <c r="F414">
        <v>-22204.09</v>
      </c>
      <c r="G414" t="s">
        <v>2416</v>
      </c>
      <c r="H414" t="s">
        <v>7</v>
      </c>
      <c r="I414">
        <v>23811.49</v>
      </c>
      <c r="J414">
        <v>976.99816599999997</v>
      </c>
      <c r="K414">
        <v>829.89422500000001</v>
      </c>
      <c r="L414">
        <v>0</v>
      </c>
      <c r="M414" t="s">
        <v>2416</v>
      </c>
      <c r="N414" t="s">
        <v>57</v>
      </c>
      <c r="O414" t="s">
        <v>58</v>
      </c>
      <c r="P414" t="s">
        <v>2417</v>
      </c>
      <c r="Q414" t="s">
        <v>2418</v>
      </c>
      <c r="R414" t="s">
        <v>61</v>
      </c>
      <c r="S414" t="s">
        <v>58</v>
      </c>
      <c r="T414" t="s">
        <v>2417</v>
      </c>
      <c r="U414" t="s">
        <v>2418</v>
      </c>
      <c r="V414" t="s">
        <v>56</v>
      </c>
      <c r="W414" t="s">
        <v>56</v>
      </c>
      <c r="X414" t="s">
        <v>56</v>
      </c>
      <c r="Y414" t="s">
        <v>62</v>
      </c>
      <c r="Z414" t="s">
        <v>63</v>
      </c>
      <c r="AA414" t="s">
        <v>64</v>
      </c>
      <c r="AB414">
        <v>1</v>
      </c>
      <c r="AC414" t="s">
        <v>78</v>
      </c>
      <c r="AD414" t="s">
        <v>66</v>
      </c>
      <c r="AE414" t="s">
        <v>67</v>
      </c>
      <c r="AF414" t="s">
        <v>68</v>
      </c>
      <c r="AG414">
        <v>27322.6</v>
      </c>
      <c r="AH414" t="s">
        <v>69</v>
      </c>
      <c r="AI414" t="s">
        <v>297</v>
      </c>
      <c r="AJ414" t="s">
        <v>133</v>
      </c>
      <c r="AK414" t="s">
        <v>72</v>
      </c>
      <c r="AL414" t="s">
        <v>73</v>
      </c>
      <c r="AM414" t="s">
        <v>73</v>
      </c>
      <c r="AN414" t="s">
        <v>74</v>
      </c>
    </row>
    <row r="415" spans="1:40" x14ac:dyDescent="0.25">
      <c r="A415" t="s">
        <v>2530</v>
      </c>
      <c r="B415" t="s">
        <v>5</v>
      </c>
      <c r="C415">
        <v>739.83792700000004</v>
      </c>
      <c r="D415">
        <v>628.44255399999997</v>
      </c>
      <c r="E415" t="s">
        <v>56</v>
      </c>
      <c r="F415">
        <v>-40578.86</v>
      </c>
      <c r="G415" t="s">
        <v>2530</v>
      </c>
      <c r="H415" t="s">
        <v>7</v>
      </c>
      <c r="I415">
        <v>44140.02</v>
      </c>
      <c r="J415">
        <v>989.869056</v>
      </c>
      <c r="K415">
        <v>840.827179</v>
      </c>
      <c r="L415">
        <v>0</v>
      </c>
      <c r="M415" t="s">
        <v>2530</v>
      </c>
      <c r="N415" t="s">
        <v>57</v>
      </c>
      <c r="O415" t="s">
        <v>58</v>
      </c>
      <c r="P415" t="s">
        <v>2531</v>
      </c>
      <c r="Q415" t="s">
        <v>2532</v>
      </c>
      <c r="R415" t="s">
        <v>61</v>
      </c>
      <c r="S415" t="s">
        <v>58</v>
      </c>
      <c r="T415" t="s">
        <v>2531</v>
      </c>
      <c r="U415" t="s">
        <v>2532</v>
      </c>
      <c r="V415" t="s">
        <v>56</v>
      </c>
      <c r="W415" t="s">
        <v>56</v>
      </c>
      <c r="X415" t="s">
        <v>56</v>
      </c>
      <c r="Y415" t="s">
        <v>62</v>
      </c>
      <c r="Z415" t="s">
        <v>63</v>
      </c>
      <c r="AA415" t="s">
        <v>64</v>
      </c>
      <c r="AB415">
        <v>1</v>
      </c>
      <c r="AC415" t="s">
        <v>84</v>
      </c>
      <c r="AD415" t="s">
        <v>66</v>
      </c>
      <c r="AE415" t="s">
        <v>67</v>
      </c>
      <c r="AF415" t="s">
        <v>68</v>
      </c>
      <c r="AG415">
        <v>49990.41</v>
      </c>
      <c r="AH415" t="s">
        <v>69</v>
      </c>
      <c r="AI415" t="s">
        <v>765</v>
      </c>
      <c r="AJ415" t="s">
        <v>359</v>
      </c>
      <c r="AK415" t="s">
        <v>72</v>
      </c>
      <c r="AL415" t="s">
        <v>73</v>
      </c>
      <c r="AM415" t="s">
        <v>73</v>
      </c>
      <c r="AN415" t="s">
        <v>74</v>
      </c>
    </row>
    <row r="416" spans="1:40" x14ac:dyDescent="0.25">
      <c r="A416" t="s">
        <v>738</v>
      </c>
      <c r="B416" t="s">
        <v>5</v>
      </c>
      <c r="C416">
        <v>738.76843599999995</v>
      </c>
      <c r="D416">
        <v>627.53409299999998</v>
      </c>
      <c r="E416" t="s">
        <v>56</v>
      </c>
      <c r="F416">
        <v>-40521.39</v>
      </c>
      <c r="G416" t="s">
        <v>738</v>
      </c>
      <c r="H416" t="s">
        <v>7</v>
      </c>
      <c r="I416">
        <v>46111.32</v>
      </c>
      <c r="J416">
        <v>1034.050029</v>
      </c>
      <c r="K416">
        <v>878.35594500000002</v>
      </c>
      <c r="L416">
        <v>0</v>
      </c>
      <c r="M416" t="s">
        <v>738</v>
      </c>
      <c r="N416" t="s">
        <v>57</v>
      </c>
      <c r="O416" t="s">
        <v>58</v>
      </c>
      <c r="P416" t="s">
        <v>739</v>
      </c>
      <c r="Q416" t="s">
        <v>740</v>
      </c>
      <c r="R416" t="s">
        <v>61</v>
      </c>
      <c r="S416" t="s">
        <v>58</v>
      </c>
      <c r="T416" t="s">
        <v>739</v>
      </c>
      <c r="U416" t="s">
        <v>740</v>
      </c>
      <c r="V416" t="s">
        <v>56</v>
      </c>
      <c r="W416" t="s">
        <v>56</v>
      </c>
      <c r="X416" t="s">
        <v>56</v>
      </c>
      <c r="Y416" t="s">
        <v>62</v>
      </c>
      <c r="Z416" t="s">
        <v>63</v>
      </c>
      <c r="AA416" t="s">
        <v>64</v>
      </c>
      <c r="AB416">
        <v>1</v>
      </c>
      <c r="AC416" t="s">
        <v>65</v>
      </c>
      <c r="AD416" t="s">
        <v>66</v>
      </c>
      <c r="AE416" t="s">
        <v>67</v>
      </c>
      <c r="AF416" t="s">
        <v>68</v>
      </c>
      <c r="AG416">
        <v>49991.87</v>
      </c>
      <c r="AH416" t="s">
        <v>69</v>
      </c>
      <c r="AI416" t="s">
        <v>70</v>
      </c>
      <c r="AJ416" t="s">
        <v>109</v>
      </c>
      <c r="AK416" t="s">
        <v>280</v>
      </c>
      <c r="AL416" t="s">
        <v>73</v>
      </c>
      <c r="AM416" t="s">
        <v>73</v>
      </c>
      <c r="AN416" t="s">
        <v>74</v>
      </c>
    </row>
    <row r="417" spans="1:40" x14ac:dyDescent="0.25">
      <c r="A417" t="s">
        <v>2045</v>
      </c>
      <c r="B417" t="s">
        <v>5</v>
      </c>
      <c r="C417">
        <v>737.71912399999997</v>
      </c>
      <c r="D417">
        <v>626.64277300000003</v>
      </c>
      <c r="E417" t="s">
        <v>56</v>
      </c>
      <c r="F417">
        <v>-9870.83</v>
      </c>
      <c r="G417" t="s">
        <v>2045</v>
      </c>
      <c r="H417" t="s">
        <v>7</v>
      </c>
      <c r="I417">
        <v>12299.55</v>
      </c>
      <c r="J417">
        <v>919.19407100000001</v>
      </c>
      <c r="K417">
        <v>780.79353400000002</v>
      </c>
      <c r="L417">
        <v>0</v>
      </c>
      <c r="M417" t="s">
        <v>2045</v>
      </c>
      <c r="N417" t="s">
        <v>57</v>
      </c>
      <c r="O417" t="s">
        <v>58</v>
      </c>
      <c r="P417" t="s">
        <v>2046</v>
      </c>
      <c r="Q417" t="s">
        <v>2047</v>
      </c>
      <c r="R417" t="s">
        <v>61</v>
      </c>
      <c r="S417" t="s">
        <v>58</v>
      </c>
      <c r="T417" t="s">
        <v>2046</v>
      </c>
      <c r="U417" t="s">
        <v>2047</v>
      </c>
      <c r="V417" t="s">
        <v>56</v>
      </c>
      <c r="W417" t="s">
        <v>56</v>
      </c>
      <c r="X417" t="s">
        <v>56</v>
      </c>
      <c r="Y417" t="s">
        <v>62</v>
      </c>
      <c r="Z417" t="s">
        <v>63</v>
      </c>
      <c r="AA417" t="s">
        <v>64</v>
      </c>
      <c r="AB417">
        <v>1</v>
      </c>
      <c r="AC417" t="s">
        <v>84</v>
      </c>
      <c r="AD417" t="s">
        <v>66</v>
      </c>
      <c r="AE417" t="s">
        <v>67</v>
      </c>
      <c r="AF417" t="s">
        <v>68</v>
      </c>
      <c r="AG417">
        <v>15000</v>
      </c>
      <c r="AH417" t="s">
        <v>69</v>
      </c>
      <c r="AI417" t="s">
        <v>128</v>
      </c>
      <c r="AJ417" t="s">
        <v>143</v>
      </c>
      <c r="AK417" t="s">
        <v>99</v>
      </c>
      <c r="AL417" t="s">
        <v>73</v>
      </c>
      <c r="AM417" t="s">
        <v>73</v>
      </c>
      <c r="AN417" t="s">
        <v>74</v>
      </c>
    </row>
    <row r="418" spans="1:40" x14ac:dyDescent="0.25">
      <c r="A418" t="s">
        <v>607</v>
      </c>
      <c r="B418" t="s">
        <v>5</v>
      </c>
      <c r="C418">
        <v>734.51737700000001</v>
      </c>
      <c r="D418">
        <v>623.92310399999997</v>
      </c>
      <c r="E418" t="s">
        <v>56</v>
      </c>
      <c r="F418">
        <v>-22154.06</v>
      </c>
      <c r="G418" t="s">
        <v>607</v>
      </c>
      <c r="H418" t="s">
        <v>7</v>
      </c>
      <c r="I418">
        <v>25392.42</v>
      </c>
      <c r="J418">
        <v>1035.501802</v>
      </c>
      <c r="K418">
        <v>879.58912799999996</v>
      </c>
      <c r="L418">
        <v>0</v>
      </c>
      <c r="M418" t="s">
        <v>607</v>
      </c>
      <c r="N418" t="s">
        <v>57</v>
      </c>
      <c r="O418" t="s">
        <v>58</v>
      </c>
      <c r="P418" t="s">
        <v>608</v>
      </c>
      <c r="Q418" t="s">
        <v>609</v>
      </c>
      <c r="R418" t="s">
        <v>61</v>
      </c>
      <c r="S418" t="s">
        <v>58</v>
      </c>
      <c r="T418" t="s">
        <v>608</v>
      </c>
      <c r="U418" t="s">
        <v>609</v>
      </c>
      <c r="V418" t="s">
        <v>56</v>
      </c>
      <c r="W418" t="s">
        <v>56</v>
      </c>
      <c r="X418" t="s">
        <v>56</v>
      </c>
      <c r="Y418" t="s">
        <v>62</v>
      </c>
      <c r="Z418" t="s">
        <v>63</v>
      </c>
      <c r="AA418" t="s">
        <v>64</v>
      </c>
      <c r="AB418">
        <v>1</v>
      </c>
      <c r="AC418" t="s">
        <v>65</v>
      </c>
      <c r="AD418" t="s">
        <v>66</v>
      </c>
      <c r="AE418" t="s">
        <v>67</v>
      </c>
      <c r="AF418" t="s">
        <v>68</v>
      </c>
      <c r="AG418">
        <v>27490</v>
      </c>
      <c r="AH418" t="s">
        <v>69</v>
      </c>
      <c r="AI418" t="s">
        <v>220</v>
      </c>
      <c r="AJ418" t="s">
        <v>109</v>
      </c>
      <c r="AK418" t="s">
        <v>72</v>
      </c>
      <c r="AL418" t="s">
        <v>73</v>
      </c>
      <c r="AM418" t="s">
        <v>73</v>
      </c>
      <c r="AN418" t="s">
        <v>74</v>
      </c>
    </row>
    <row r="419" spans="1:40" x14ac:dyDescent="0.25">
      <c r="A419" t="s">
        <v>1088</v>
      </c>
      <c r="B419" t="s">
        <v>5</v>
      </c>
      <c r="C419">
        <v>732.50955799999997</v>
      </c>
      <c r="D419">
        <v>622.21759699999996</v>
      </c>
      <c r="E419" t="s">
        <v>56</v>
      </c>
      <c r="F419">
        <v>-24796.85</v>
      </c>
      <c r="G419" t="s">
        <v>1088</v>
      </c>
      <c r="H419" t="s">
        <v>7</v>
      </c>
      <c r="I419">
        <v>26589.37</v>
      </c>
      <c r="J419">
        <v>966.12500499999999</v>
      </c>
      <c r="K419">
        <v>820.65820599999995</v>
      </c>
      <c r="L419">
        <v>0</v>
      </c>
      <c r="M419" t="s">
        <v>1088</v>
      </c>
      <c r="N419" t="s">
        <v>57</v>
      </c>
      <c r="O419" t="s">
        <v>58</v>
      </c>
      <c r="P419" t="s">
        <v>1089</v>
      </c>
      <c r="Q419" t="s">
        <v>1090</v>
      </c>
      <c r="R419" t="s">
        <v>61</v>
      </c>
      <c r="S419" t="s">
        <v>58</v>
      </c>
      <c r="T419" t="s">
        <v>1089</v>
      </c>
      <c r="U419" t="s">
        <v>1090</v>
      </c>
      <c r="V419" t="s">
        <v>56</v>
      </c>
      <c r="W419" t="s">
        <v>56</v>
      </c>
      <c r="X419" t="s">
        <v>56</v>
      </c>
      <c r="Y419" t="s">
        <v>62</v>
      </c>
      <c r="Z419" t="s">
        <v>63</v>
      </c>
      <c r="AA419" t="s">
        <v>64</v>
      </c>
      <c r="AB419">
        <v>1</v>
      </c>
      <c r="AC419" t="s">
        <v>78</v>
      </c>
      <c r="AD419" t="s">
        <v>66</v>
      </c>
      <c r="AE419" t="s">
        <v>67</v>
      </c>
      <c r="AF419" t="s">
        <v>68</v>
      </c>
      <c r="AG419">
        <v>30853.66</v>
      </c>
      <c r="AH419" t="s">
        <v>69</v>
      </c>
      <c r="AI419" t="s">
        <v>536</v>
      </c>
      <c r="AJ419" t="s">
        <v>98</v>
      </c>
      <c r="AK419" t="s">
        <v>72</v>
      </c>
      <c r="AL419" t="s">
        <v>73</v>
      </c>
      <c r="AM419" t="s">
        <v>73</v>
      </c>
      <c r="AN419" t="s">
        <v>74</v>
      </c>
    </row>
    <row r="420" spans="1:40" x14ac:dyDescent="0.25">
      <c r="A420" t="s">
        <v>1626</v>
      </c>
      <c r="B420" t="s">
        <v>5</v>
      </c>
      <c r="C420">
        <v>731.17325500000004</v>
      </c>
      <c r="D420">
        <v>621.08249699999999</v>
      </c>
      <c r="E420" t="s">
        <v>56</v>
      </c>
      <c r="F420">
        <v>-30371.59</v>
      </c>
      <c r="G420" t="s">
        <v>1626</v>
      </c>
      <c r="H420" t="s">
        <v>7</v>
      </c>
      <c r="I420">
        <v>30390.77</v>
      </c>
      <c r="J420">
        <v>899.891661</v>
      </c>
      <c r="K420">
        <v>764.39743499999997</v>
      </c>
      <c r="L420">
        <v>0</v>
      </c>
      <c r="M420" t="s">
        <v>1626</v>
      </c>
      <c r="N420" t="s">
        <v>57</v>
      </c>
      <c r="O420" t="s">
        <v>58</v>
      </c>
      <c r="P420" t="s">
        <v>1627</v>
      </c>
      <c r="Q420" t="s">
        <v>1628</v>
      </c>
      <c r="R420" t="s">
        <v>61</v>
      </c>
      <c r="S420" t="s">
        <v>58</v>
      </c>
      <c r="T420" t="s">
        <v>1627</v>
      </c>
      <c r="U420" t="s">
        <v>1628</v>
      </c>
      <c r="V420" t="s">
        <v>56</v>
      </c>
      <c r="W420" t="s">
        <v>56</v>
      </c>
      <c r="X420" t="s">
        <v>56</v>
      </c>
      <c r="Y420" t="s">
        <v>62</v>
      </c>
      <c r="Z420" t="s">
        <v>63</v>
      </c>
      <c r="AA420" t="s">
        <v>64</v>
      </c>
      <c r="AB420">
        <v>1</v>
      </c>
      <c r="AC420" t="s">
        <v>84</v>
      </c>
      <c r="AD420" t="s">
        <v>66</v>
      </c>
      <c r="AE420" t="s">
        <v>67</v>
      </c>
      <c r="AF420" t="s">
        <v>103</v>
      </c>
      <c r="AG420">
        <v>37859.14</v>
      </c>
      <c r="AH420" t="s">
        <v>69</v>
      </c>
      <c r="AI420" t="s">
        <v>194</v>
      </c>
      <c r="AJ420" t="s">
        <v>195</v>
      </c>
      <c r="AK420" t="s">
        <v>72</v>
      </c>
      <c r="AL420" t="s">
        <v>73</v>
      </c>
      <c r="AM420" t="s">
        <v>73</v>
      </c>
      <c r="AN420" t="s">
        <v>74</v>
      </c>
    </row>
    <row r="421" spans="1:40" x14ac:dyDescent="0.25">
      <c r="A421" t="s">
        <v>1366</v>
      </c>
      <c r="B421" t="s">
        <v>5</v>
      </c>
      <c r="C421">
        <v>731.07908599999996</v>
      </c>
      <c r="D421">
        <v>621.00250700000004</v>
      </c>
      <c r="E421" t="s">
        <v>56</v>
      </c>
      <c r="F421">
        <v>-28063.9</v>
      </c>
      <c r="G421" t="s">
        <v>1366</v>
      </c>
      <c r="H421" t="s">
        <v>7</v>
      </c>
      <c r="I421">
        <v>30103.94</v>
      </c>
      <c r="J421">
        <v>964.56561099999999</v>
      </c>
      <c r="K421">
        <v>819.33360500000003</v>
      </c>
      <c r="L421">
        <v>0</v>
      </c>
      <c r="M421" t="s">
        <v>1366</v>
      </c>
      <c r="N421" t="s">
        <v>57</v>
      </c>
      <c r="O421" t="s">
        <v>58</v>
      </c>
      <c r="P421" t="s">
        <v>1367</v>
      </c>
      <c r="Q421" t="s">
        <v>1368</v>
      </c>
      <c r="R421" t="s">
        <v>61</v>
      </c>
      <c r="S421" t="s">
        <v>58</v>
      </c>
      <c r="T421" t="s">
        <v>1367</v>
      </c>
      <c r="U421" t="s">
        <v>1368</v>
      </c>
      <c r="V421" t="s">
        <v>56</v>
      </c>
      <c r="W421" t="s">
        <v>56</v>
      </c>
      <c r="X421" t="s">
        <v>56</v>
      </c>
      <c r="Y421" t="s">
        <v>62</v>
      </c>
      <c r="Z421" t="s">
        <v>63</v>
      </c>
      <c r="AA421" t="s">
        <v>64</v>
      </c>
      <c r="AB421">
        <v>1</v>
      </c>
      <c r="AC421" t="s">
        <v>147</v>
      </c>
      <c r="AD421" t="s">
        <v>66</v>
      </c>
      <c r="AE421" t="s">
        <v>67</v>
      </c>
      <c r="AF421" t="s">
        <v>68</v>
      </c>
      <c r="AG421">
        <v>34987.050000000003</v>
      </c>
      <c r="AH421" t="s">
        <v>69</v>
      </c>
      <c r="AI421" t="s">
        <v>208</v>
      </c>
      <c r="AJ421" t="s">
        <v>88</v>
      </c>
      <c r="AK421" t="s">
        <v>72</v>
      </c>
      <c r="AL421" t="s">
        <v>73</v>
      </c>
      <c r="AM421" t="s">
        <v>73</v>
      </c>
      <c r="AN421" t="s">
        <v>74</v>
      </c>
    </row>
    <row r="422" spans="1:40" x14ac:dyDescent="0.25">
      <c r="A422" t="s">
        <v>1908</v>
      </c>
      <c r="B422" t="s">
        <v>5</v>
      </c>
      <c r="C422">
        <v>730.47259199999996</v>
      </c>
      <c r="D422">
        <v>620.48733200000004</v>
      </c>
      <c r="E422" t="s">
        <v>56</v>
      </c>
      <c r="F422">
        <v>-27418.97</v>
      </c>
      <c r="G422" t="s">
        <v>1908</v>
      </c>
      <c r="H422" t="s">
        <v>7</v>
      </c>
      <c r="I422">
        <v>35402.6</v>
      </c>
      <c r="J422">
        <v>1160.08744</v>
      </c>
      <c r="K422">
        <v>985.416247</v>
      </c>
      <c r="L422">
        <v>0</v>
      </c>
      <c r="M422" t="s">
        <v>1908</v>
      </c>
      <c r="N422" t="s">
        <v>57</v>
      </c>
      <c r="O422" t="s">
        <v>58</v>
      </c>
      <c r="P422" t="s">
        <v>1909</v>
      </c>
      <c r="Q422" t="s">
        <v>1910</v>
      </c>
      <c r="R422" t="s">
        <v>61</v>
      </c>
      <c r="S422" t="s">
        <v>58</v>
      </c>
      <c r="T422" t="s">
        <v>1909</v>
      </c>
      <c r="U422" t="s">
        <v>1910</v>
      </c>
      <c r="V422" t="s">
        <v>56</v>
      </c>
      <c r="W422" t="s">
        <v>56</v>
      </c>
      <c r="X422" t="s">
        <v>56</v>
      </c>
      <c r="Y422" t="s">
        <v>62</v>
      </c>
      <c r="Z422" t="s">
        <v>63</v>
      </c>
      <c r="AA422" t="s">
        <v>64</v>
      </c>
      <c r="AB422">
        <v>1</v>
      </c>
      <c r="AC422" t="s">
        <v>84</v>
      </c>
      <c r="AD422" t="s">
        <v>66</v>
      </c>
      <c r="AE422" t="s">
        <v>67</v>
      </c>
      <c r="AF422" t="s">
        <v>68</v>
      </c>
      <c r="AG422">
        <v>34211.379999999997</v>
      </c>
      <c r="AH422" t="s">
        <v>69</v>
      </c>
      <c r="AI422" t="s">
        <v>104</v>
      </c>
      <c r="AJ422" t="s">
        <v>115</v>
      </c>
      <c r="AK422" t="s">
        <v>72</v>
      </c>
      <c r="AL422" t="s">
        <v>73</v>
      </c>
      <c r="AM422" t="s">
        <v>73</v>
      </c>
      <c r="AN422" t="s">
        <v>74</v>
      </c>
    </row>
    <row r="423" spans="1:40" x14ac:dyDescent="0.25">
      <c r="A423" t="s">
        <v>1943</v>
      </c>
      <c r="B423" t="s">
        <v>5</v>
      </c>
      <c r="C423">
        <v>727.59819400000003</v>
      </c>
      <c r="D423">
        <v>618.04572399999995</v>
      </c>
      <c r="E423" t="s">
        <v>56</v>
      </c>
      <c r="F423">
        <v>-16225.68</v>
      </c>
      <c r="G423" t="s">
        <v>1943</v>
      </c>
      <c r="H423" t="s">
        <v>7</v>
      </c>
      <c r="I423">
        <v>19286.14</v>
      </c>
      <c r="J423">
        <v>864.83051</v>
      </c>
      <c r="K423">
        <v>734.61534600000005</v>
      </c>
      <c r="L423">
        <v>0</v>
      </c>
      <c r="M423" t="s">
        <v>1943</v>
      </c>
      <c r="N423" t="s">
        <v>57</v>
      </c>
      <c r="O423" t="s">
        <v>58</v>
      </c>
      <c r="P423" t="s">
        <v>1944</v>
      </c>
      <c r="Q423" t="s">
        <v>1945</v>
      </c>
      <c r="R423" t="s">
        <v>61</v>
      </c>
      <c r="S423" t="s">
        <v>58</v>
      </c>
      <c r="T423" t="s">
        <v>1944</v>
      </c>
      <c r="U423" t="s">
        <v>1945</v>
      </c>
      <c r="V423" t="s">
        <v>56</v>
      </c>
      <c r="W423" t="s">
        <v>56</v>
      </c>
      <c r="X423" t="s">
        <v>56</v>
      </c>
      <c r="Y423" t="s">
        <v>62</v>
      </c>
      <c r="Z423" t="s">
        <v>63</v>
      </c>
      <c r="AA423" t="s">
        <v>64</v>
      </c>
      <c r="AB423">
        <v>1</v>
      </c>
      <c r="AC423" t="s">
        <v>84</v>
      </c>
      <c r="AD423" t="s">
        <v>66</v>
      </c>
      <c r="AE423" t="s">
        <v>67</v>
      </c>
      <c r="AF423" t="s">
        <v>103</v>
      </c>
      <c r="AG423">
        <v>25000</v>
      </c>
      <c r="AH423" t="s">
        <v>69</v>
      </c>
      <c r="AI423" t="s">
        <v>269</v>
      </c>
      <c r="AJ423" t="s">
        <v>187</v>
      </c>
      <c r="AK423" t="s">
        <v>99</v>
      </c>
      <c r="AL423" t="s">
        <v>73</v>
      </c>
      <c r="AM423" t="s">
        <v>73</v>
      </c>
      <c r="AN423" t="s">
        <v>74</v>
      </c>
    </row>
    <row r="424" spans="1:40" x14ac:dyDescent="0.25">
      <c r="A424" t="s">
        <v>771</v>
      </c>
      <c r="B424" t="s">
        <v>5</v>
      </c>
      <c r="C424">
        <v>727.03093799999999</v>
      </c>
      <c r="D424">
        <v>617.56387800000005</v>
      </c>
      <c r="E424" t="s">
        <v>56</v>
      </c>
      <c r="F424">
        <v>-28534.94</v>
      </c>
      <c r="G424" t="s">
        <v>771</v>
      </c>
      <c r="H424" t="s">
        <v>7</v>
      </c>
      <c r="I424">
        <v>33925.64</v>
      </c>
      <c r="J424">
        <v>864.36190699999997</v>
      </c>
      <c r="K424">
        <v>734.21729900000003</v>
      </c>
      <c r="L424">
        <v>0</v>
      </c>
      <c r="M424" t="s">
        <v>771</v>
      </c>
      <c r="N424" t="s">
        <v>57</v>
      </c>
      <c r="O424" t="s">
        <v>58</v>
      </c>
      <c r="P424" t="s">
        <v>772</v>
      </c>
      <c r="Q424" t="s">
        <v>773</v>
      </c>
      <c r="R424" t="s">
        <v>61</v>
      </c>
      <c r="S424" t="s">
        <v>58</v>
      </c>
      <c r="T424" t="s">
        <v>772</v>
      </c>
      <c r="U424" t="s">
        <v>773</v>
      </c>
      <c r="V424" t="s">
        <v>56</v>
      </c>
      <c r="W424" t="s">
        <v>56</v>
      </c>
      <c r="X424" t="s">
        <v>56</v>
      </c>
      <c r="Y424" t="s">
        <v>62</v>
      </c>
      <c r="Z424" t="s">
        <v>63</v>
      </c>
      <c r="AA424" t="s">
        <v>64</v>
      </c>
      <c r="AB424">
        <v>1</v>
      </c>
      <c r="AC424" t="s">
        <v>65</v>
      </c>
      <c r="AD424" t="s">
        <v>66</v>
      </c>
      <c r="AE424" t="s">
        <v>67</v>
      </c>
      <c r="AF424" t="s">
        <v>68</v>
      </c>
      <c r="AG424">
        <v>44000</v>
      </c>
      <c r="AH424" t="s">
        <v>69</v>
      </c>
      <c r="AI424" t="s">
        <v>132</v>
      </c>
      <c r="AJ424" t="s">
        <v>187</v>
      </c>
      <c r="AK424" t="s">
        <v>99</v>
      </c>
      <c r="AL424" t="s">
        <v>73</v>
      </c>
      <c r="AM424" t="s">
        <v>73</v>
      </c>
      <c r="AN424" t="s">
        <v>74</v>
      </c>
    </row>
    <row r="425" spans="1:40" x14ac:dyDescent="0.25">
      <c r="A425" t="s">
        <v>2234</v>
      </c>
      <c r="B425" t="s">
        <v>5</v>
      </c>
      <c r="C425" s="2">
        <v>726.73862299999996</v>
      </c>
      <c r="D425" t="s">
        <v>56</v>
      </c>
      <c r="E425" t="s">
        <v>56</v>
      </c>
      <c r="F425">
        <v>-9355.3799999999992</v>
      </c>
      <c r="G425" t="s">
        <v>2234</v>
      </c>
      <c r="H425" t="s">
        <v>7</v>
      </c>
      <c r="I425">
        <v>13883.87</v>
      </c>
      <c r="J425">
        <v>0</v>
      </c>
      <c r="K425">
        <v>0</v>
      </c>
      <c r="L425">
        <v>0</v>
      </c>
      <c r="M425" t="s">
        <v>2234</v>
      </c>
      <c r="N425" t="s">
        <v>57</v>
      </c>
      <c r="O425" t="s">
        <v>58</v>
      </c>
      <c r="P425" t="s">
        <v>2235</v>
      </c>
      <c r="Q425" t="s">
        <v>2236</v>
      </c>
      <c r="R425" t="s">
        <v>61</v>
      </c>
      <c r="S425" t="s">
        <v>58</v>
      </c>
      <c r="T425" t="s">
        <v>2235</v>
      </c>
      <c r="U425" t="s">
        <v>2236</v>
      </c>
      <c r="V425" t="s">
        <v>56</v>
      </c>
      <c r="W425" t="s">
        <v>56</v>
      </c>
      <c r="X425" t="s">
        <v>56</v>
      </c>
      <c r="Y425" t="s">
        <v>62</v>
      </c>
      <c r="Z425" t="s">
        <v>63</v>
      </c>
      <c r="AA425" t="s">
        <v>64</v>
      </c>
      <c r="AB425">
        <v>1</v>
      </c>
      <c r="AC425" t="s">
        <v>84</v>
      </c>
      <c r="AD425" t="s">
        <v>66</v>
      </c>
      <c r="AE425" t="s">
        <v>85</v>
      </c>
      <c r="AF425" t="s">
        <v>103</v>
      </c>
      <c r="AG425">
        <v>43037.75</v>
      </c>
      <c r="AH425" t="s">
        <v>69</v>
      </c>
      <c r="AI425" t="s">
        <v>278</v>
      </c>
      <c r="AJ425" t="s">
        <v>418</v>
      </c>
      <c r="AK425" t="s">
        <v>99</v>
      </c>
      <c r="AL425" t="s">
        <v>73</v>
      </c>
      <c r="AM425" t="s">
        <v>73</v>
      </c>
      <c r="AN425" t="s">
        <v>56</v>
      </c>
    </row>
    <row r="426" spans="1:40" x14ac:dyDescent="0.25">
      <c r="A426" t="s">
        <v>1500</v>
      </c>
      <c r="B426" t="s">
        <v>5</v>
      </c>
      <c r="C426" s="2">
        <v>726.73048100000005</v>
      </c>
      <c r="D426" t="s">
        <v>56</v>
      </c>
      <c r="E426" t="s">
        <v>56</v>
      </c>
      <c r="F426">
        <v>-12685.27</v>
      </c>
      <c r="G426" t="s">
        <v>1500</v>
      </c>
      <c r="H426" t="s">
        <v>7</v>
      </c>
      <c r="I426">
        <v>19974.009999999998</v>
      </c>
      <c r="J426">
        <v>0</v>
      </c>
      <c r="K426">
        <v>0</v>
      </c>
      <c r="L426">
        <v>0</v>
      </c>
      <c r="M426" t="s">
        <v>1500</v>
      </c>
      <c r="N426" t="s">
        <v>57</v>
      </c>
      <c r="O426" t="s">
        <v>58</v>
      </c>
      <c r="P426" t="s">
        <v>1501</v>
      </c>
      <c r="Q426" t="s">
        <v>432</v>
      </c>
      <c r="R426" t="s">
        <v>61</v>
      </c>
      <c r="S426" t="s">
        <v>58</v>
      </c>
      <c r="T426" t="s">
        <v>1501</v>
      </c>
      <c r="U426" t="s">
        <v>432</v>
      </c>
      <c r="V426" t="s">
        <v>56</v>
      </c>
      <c r="W426" t="s">
        <v>56</v>
      </c>
      <c r="X426" t="s">
        <v>56</v>
      </c>
      <c r="Y426" t="s">
        <v>62</v>
      </c>
      <c r="Z426" t="s">
        <v>63</v>
      </c>
      <c r="AA426" t="s">
        <v>64</v>
      </c>
      <c r="AB426">
        <v>1</v>
      </c>
      <c r="AC426" t="s">
        <v>120</v>
      </c>
      <c r="AD426" t="s">
        <v>66</v>
      </c>
      <c r="AE426" t="s">
        <v>85</v>
      </c>
      <c r="AF426" t="s">
        <v>86</v>
      </c>
      <c r="AG426">
        <v>74974.47</v>
      </c>
      <c r="AH426" t="s">
        <v>69</v>
      </c>
      <c r="AI426" t="s">
        <v>128</v>
      </c>
      <c r="AJ426" t="s">
        <v>453</v>
      </c>
      <c r="AK426" t="s">
        <v>72</v>
      </c>
      <c r="AL426" t="s">
        <v>73</v>
      </c>
      <c r="AM426" t="s">
        <v>73</v>
      </c>
      <c r="AN426" t="s">
        <v>56</v>
      </c>
    </row>
    <row r="427" spans="1:40" x14ac:dyDescent="0.25">
      <c r="A427" t="s">
        <v>2303</v>
      </c>
      <c r="B427" t="s">
        <v>5</v>
      </c>
      <c r="C427">
        <v>726.59484599999996</v>
      </c>
      <c r="D427">
        <v>617.19344699999999</v>
      </c>
      <c r="E427" t="s">
        <v>56</v>
      </c>
      <c r="F427">
        <v>-26249.360000000001</v>
      </c>
      <c r="G427" t="s">
        <v>2303</v>
      </c>
      <c r="H427" t="s">
        <v>7</v>
      </c>
      <c r="I427">
        <v>29726.9</v>
      </c>
      <c r="J427">
        <v>1012.106401</v>
      </c>
      <c r="K427">
        <v>859.71630900000002</v>
      </c>
      <c r="L427">
        <v>0</v>
      </c>
      <c r="M427" t="s">
        <v>2303</v>
      </c>
      <c r="N427" t="s">
        <v>57</v>
      </c>
      <c r="O427" t="s">
        <v>58</v>
      </c>
      <c r="P427" t="s">
        <v>2304</v>
      </c>
      <c r="Q427" t="s">
        <v>2305</v>
      </c>
      <c r="R427" t="s">
        <v>61</v>
      </c>
      <c r="S427" t="s">
        <v>58</v>
      </c>
      <c r="T427" t="s">
        <v>2304</v>
      </c>
      <c r="U427" t="s">
        <v>2305</v>
      </c>
      <c r="V427" t="s">
        <v>56</v>
      </c>
      <c r="W427" t="s">
        <v>56</v>
      </c>
      <c r="X427" t="s">
        <v>56</v>
      </c>
      <c r="Y427" t="s">
        <v>62</v>
      </c>
      <c r="Z427" t="s">
        <v>63</v>
      </c>
      <c r="AA427" t="s">
        <v>64</v>
      </c>
      <c r="AB427">
        <v>1</v>
      </c>
      <c r="AC427" t="s">
        <v>78</v>
      </c>
      <c r="AD427" t="s">
        <v>66</v>
      </c>
      <c r="AE427" t="s">
        <v>67</v>
      </c>
      <c r="AF427" t="s">
        <v>68</v>
      </c>
      <c r="AG427">
        <v>32926.83</v>
      </c>
      <c r="AH427" t="s">
        <v>69</v>
      </c>
      <c r="AI427" t="s">
        <v>536</v>
      </c>
      <c r="AJ427" t="s">
        <v>606</v>
      </c>
      <c r="AK427" t="s">
        <v>72</v>
      </c>
      <c r="AL427" t="s">
        <v>73</v>
      </c>
      <c r="AM427" t="s">
        <v>73</v>
      </c>
      <c r="AN427" t="s">
        <v>74</v>
      </c>
    </row>
    <row r="428" spans="1:40" x14ac:dyDescent="0.25">
      <c r="A428" t="s">
        <v>1656</v>
      </c>
      <c r="B428" t="s">
        <v>5</v>
      </c>
      <c r="C428">
        <v>726.18117500000005</v>
      </c>
      <c r="D428">
        <v>616.84206099999994</v>
      </c>
      <c r="E428" t="s">
        <v>56</v>
      </c>
      <c r="F428">
        <v>-22671.73</v>
      </c>
      <c r="G428" t="s">
        <v>1656</v>
      </c>
      <c r="H428" t="s">
        <v>7</v>
      </c>
      <c r="I428">
        <v>26964.87</v>
      </c>
      <c r="J428">
        <v>863.66460800000004</v>
      </c>
      <c r="K428">
        <v>733.62499000000003</v>
      </c>
      <c r="L428">
        <v>0</v>
      </c>
      <c r="M428" t="s">
        <v>1656</v>
      </c>
      <c r="N428" t="s">
        <v>57</v>
      </c>
      <c r="O428" t="s">
        <v>58</v>
      </c>
      <c r="P428" t="s">
        <v>1657</v>
      </c>
      <c r="Q428" t="s">
        <v>1658</v>
      </c>
      <c r="R428" t="s">
        <v>61</v>
      </c>
      <c r="S428" t="s">
        <v>58</v>
      </c>
      <c r="T428" t="s">
        <v>1657</v>
      </c>
      <c r="U428" t="s">
        <v>1658</v>
      </c>
      <c r="V428" t="s">
        <v>56</v>
      </c>
      <c r="W428" t="s">
        <v>56</v>
      </c>
      <c r="X428" t="s">
        <v>56</v>
      </c>
      <c r="Y428" t="s">
        <v>62</v>
      </c>
      <c r="Z428" t="s">
        <v>63</v>
      </c>
      <c r="AA428" t="s">
        <v>64</v>
      </c>
      <c r="AB428">
        <v>1</v>
      </c>
      <c r="AC428" t="s">
        <v>84</v>
      </c>
      <c r="AD428" t="s">
        <v>66</v>
      </c>
      <c r="AE428" t="s">
        <v>67</v>
      </c>
      <c r="AF428" t="s">
        <v>68</v>
      </c>
      <c r="AG428">
        <v>35000</v>
      </c>
      <c r="AH428" t="s">
        <v>69</v>
      </c>
      <c r="AI428" t="s">
        <v>323</v>
      </c>
      <c r="AJ428" t="s">
        <v>187</v>
      </c>
      <c r="AK428" t="s">
        <v>99</v>
      </c>
      <c r="AL428" t="s">
        <v>73</v>
      </c>
      <c r="AM428" t="s">
        <v>73</v>
      </c>
      <c r="AN428" t="s">
        <v>74</v>
      </c>
    </row>
    <row r="429" spans="1:40" x14ac:dyDescent="0.25">
      <c r="A429" t="s">
        <v>1251</v>
      </c>
      <c r="B429" t="s">
        <v>5</v>
      </c>
      <c r="C429">
        <v>725.768326</v>
      </c>
      <c r="D429">
        <v>926.80638099999999</v>
      </c>
      <c r="E429" t="s">
        <v>56</v>
      </c>
      <c r="F429">
        <v>-26740.2</v>
      </c>
      <c r="G429" t="s">
        <v>1251</v>
      </c>
      <c r="H429" t="s">
        <v>7</v>
      </c>
      <c r="I429">
        <v>30025.49</v>
      </c>
      <c r="J429">
        <v>814.92325200000005</v>
      </c>
      <c r="K429">
        <v>1040.6572490000001</v>
      </c>
      <c r="L429">
        <v>0</v>
      </c>
      <c r="M429" t="s">
        <v>1251</v>
      </c>
      <c r="N429" t="s">
        <v>57</v>
      </c>
      <c r="O429" t="s">
        <v>58</v>
      </c>
      <c r="P429" t="s">
        <v>1252</v>
      </c>
      <c r="Q429" t="s">
        <v>1253</v>
      </c>
      <c r="R429" t="s">
        <v>61</v>
      </c>
      <c r="S429" t="s">
        <v>58</v>
      </c>
      <c r="T429" t="s">
        <v>1252</v>
      </c>
      <c r="U429" t="s">
        <v>1253</v>
      </c>
      <c r="V429" t="s">
        <v>56</v>
      </c>
      <c r="W429" t="s">
        <v>56</v>
      </c>
      <c r="X429" t="s">
        <v>56</v>
      </c>
      <c r="Y429" t="s">
        <v>62</v>
      </c>
      <c r="Z429" t="s">
        <v>63</v>
      </c>
      <c r="AA429" t="s">
        <v>64</v>
      </c>
      <c r="AB429">
        <v>1</v>
      </c>
      <c r="AC429" t="s">
        <v>78</v>
      </c>
      <c r="AD429" t="s">
        <v>66</v>
      </c>
      <c r="AE429" t="s">
        <v>121</v>
      </c>
      <c r="AF429" t="s">
        <v>68</v>
      </c>
      <c r="AG429">
        <v>35000</v>
      </c>
      <c r="AH429" t="s">
        <v>69</v>
      </c>
      <c r="AI429" t="s">
        <v>253</v>
      </c>
      <c r="AJ429" t="s">
        <v>928</v>
      </c>
      <c r="AK429" t="s">
        <v>99</v>
      </c>
      <c r="AL429" t="s">
        <v>73</v>
      </c>
      <c r="AM429" t="s">
        <v>73</v>
      </c>
      <c r="AN429" t="s">
        <v>124</v>
      </c>
    </row>
    <row r="430" spans="1:40" x14ac:dyDescent="0.25">
      <c r="A430" t="s">
        <v>2391</v>
      </c>
      <c r="B430" t="s">
        <v>5</v>
      </c>
      <c r="C430">
        <v>724.63523299999997</v>
      </c>
      <c r="D430">
        <v>615.52888800000005</v>
      </c>
      <c r="E430" t="s">
        <v>56</v>
      </c>
      <c r="F430">
        <v>-39746.18</v>
      </c>
      <c r="G430" t="s">
        <v>2391</v>
      </c>
      <c r="H430" t="s">
        <v>7</v>
      </c>
      <c r="I430">
        <v>51312.36</v>
      </c>
      <c r="J430">
        <v>1150.682867</v>
      </c>
      <c r="K430">
        <v>977.42769599999997</v>
      </c>
      <c r="L430">
        <v>0</v>
      </c>
      <c r="M430" t="s">
        <v>2391</v>
      </c>
      <c r="N430" t="s">
        <v>57</v>
      </c>
      <c r="O430" t="s">
        <v>58</v>
      </c>
      <c r="P430" t="s">
        <v>2392</v>
      </c>
      <c r="Q430" t="s">
        <v>1820</v>
      </c>
      <c r="R430" t="s">
        <v>61</v>
      </c>
      <c r="S430" t="s">
        <v>58</v>
      </c>
      <c r="T430" t="s">
        <v>2392</v>
      </c>
      <c r="U430" t="s">
        <v>1820</v>
      </c>
      <c r="V430" t="s">
        <v>56</v>
      </c>
      <c r="W430" t="s">
        <v>56</v>
      </c>
      <c r="X430" t="s">
        <v>56</v>
      </c>
      <c r="Y430" t="s">
        <v>62</v>
      </c>
      <c r="Z430" t="s">
        <v>63</v>
      </c>
      <c r="AA430" t="s">
        <v>64</v>
      </c>
      <c r="AB430">
        <v>1</v>
      </c>
      <c r="AC430" t="s">
        <v>84</v>
      </c>
      <c r="AD430" t="s">
        <v>66</v>
      </c>
      <c r="AE430" t="s">
        <v>67</v>
      </c>
      <c r="AF430" t="s">
        <v>68</v>
      </c>
      <c r="AG430">
        <v>49991.87</v>
      </c>
      <c r="AH430" t="s">
        <v>69</v>
      </c>
      <c r="AI430" t="s">
        <v>122</v>
      </c>
      <c r="AJ430" t="s">
        <v>115</v>
      </c>
      <c r="AK430" t="s">
        <v>72</v>
      </c>
      <c r="AL430" t="s">
        <v>73</v>
      </c>
      <c r="AM430" t="s">
        <v>73</v>
      </c>
      <c r="AN430" t="s">
        <v>74</v>
      </c>
    </row>
    <row r="431" spans="1:40" x14ac:dyDescent="0.25">
      <c r="A431" t="s">
        <v>2366</v>
      </c>
      <c r="B431" t="s">
        <v>5</v>
      </c>
      <c r="C431">
        <v>724.18456700000002</v>
      </c>
      <c r="D431">
        <v>615.14607699999999</v>
      </c>
      <c r="E431" t="s">
        <v>56</v>
      </c>
      <c r="F431">
        <v>-29715.200000000001</v>
      </c>
      <c r="G431" t="s">
        <v>2366</v>
      </c>
      <c r="H431" t="s">
        <v>7</v>
      </c>
      <c r="I431">
        <v>35384.94</v>
      </c>
      <c r="J431">
        <v>862.33839399999999</v>
      </c>
      <c r="K431">
        <v>732.49846000000002</v>
      </c>
      <c r="L431">
        <v>0</v>
      </c>
      <c r="M431" t="s">
        <v>2366</v>
      </c>
      <c r="N431" t="s">
        <v>57</v>
      </c>
      <c r="O431" t="s">
        <v>58</v>
      </c>
      <c r="P431" t="s">
        <v>2367</v>
      </c>
      <c r="Q431" t="s">
        <v>2368</v>
      </c>
      <c r="R431" t="s">
        <v>61</v>
      </c>
      <c r="S431" t="s">
        <v>58</v>
      </c>
      <c r="T431" t="s">
        <v>2367</v>
      </c>
      <c r="U431" t="s">
        <v>2368</v>
      </c>
      <c r="V431" t="s">
        <v>56</v>
      </c>
      <c r="W431" t="s">
        <v>56</v>
      </c>
      <c r="X431" t="s">
        <v>56</v>
      </c>
      <c r="Y431" t="s">
        <v>62</v>
      </c>
      <c r="Z431" t="s">
        <v>63</v>
      </c>
      <c r="AA431" t="s">
        <v>64</v>
      </c>
      <c r="AB431">
        <v>1</v>
      </c>
      <c r="AC431" t="s">
        <v>84</v>
      </c>
      <c r="AD431" t="s">
        <v>66</v>
      </c>
      <c r="AE431" t="s">
        <v>67</v>
      </c>
      <c r="AF431" t="s">
        <v>68</v>
      </c>
      <c r="AG431">
        <v>46000</v>
      </c>
      <c r="AH431" t="s">
        <v>69</v>
      </c>
      <c r="AI431" t="s">
        <v>104</v>
      </c>
      <c r="AJ431" t="s">
        <v>148</v>
      </c>
      <c r="AK431" t="s">
        <v>99</v>
      </c>
      <c r="AL431" t="s">
        <v>73</v>
      </c>
      <c r="AM431" t="s">
        <v>73</v>
      </c>
      <c r="AN431" t="s">
        <v>74</v>
      </c>
    </row>
    <row r="432" spans="1:40" x14ac:dyDescent="0.25">
      <c r="A432" t="s">
        <v>173</v>
      </c>
      <c r="B432" t="s">
        <v>5</v>
      </c>
      <c r="C432" s="2">
        <v>724.00051599999995</v>
      </c>
      <c r="D432" t="s">
        <v>56</v>
      </c>
      <c r="E432" t="s">
        <v>56</v>
      </c>
      <c r="F432">
        <v>-11110.78</v>
      </c>
      <c r="G432" t="s">
        <v>173</v>
      </c>
      <c r="H432" t="s">
        <v>7</v>
      </c>
      <c r="I432">
        <v>13820.18</v>
      </c>
      <c r="J432">
        <v>0</v>
      </c>
      <c r="K432">
        <v>0</v>
      </c>
      <c r="L432">
        <v>0</v>
      </c>
      <c r="M432" t="s">
        <v>173</v>
      </c>
      <c r="N432" t="s">
        <v>57</v>
      </c>
      <c r="O432" t="s">
        <v>58</v>
      </c>
      <c r="P432" t="s">
        <v>174</v>
      </c>
      <c r="Q432" t="s">
        <v>175</v>
      </c>
      <c r="R432" t="s">
        <v>61</v>
      </c>
      <c r="S432" t="s">
        <v>58</v>
      </c>
      <c r="T432" t="s">
        <v>174</v>
      </c>
      <c r="U432" t="s">
        <v>175</v>
      </c>
      <c r="V432" t="s">
        <v>56</v>
      </c>
      <c r="W432" t="s">
        <v>56</v>
      </c>
      <c r="X432" t="s">
        <v>56</v>
      </c>
      <c r="Y432" t="s">
        <v>62</v>
      </c>
      <c r="Z432" t="s">
        <v>63</v>
      </c>
      <c r="AA432" t="s">
        <v>64</v>
      </c>
      <c r="AB432">
        <v>1</v>
      </c>
      <c r="AC432" t="s">
        <v>65</v>
      </c>
      <c r="AD432" t="s">
        <v>66</v>
      </c>
      <c r="AE432" t="s">
        <v>85</v>
      </c>
      <c r="AF432" t="s">
        <v>103</v>
      </c>
      <c r="AG432">
        <v>41712.519999999997</v>
      </c>
      <c r="AH432" t="s">
        <v>69</v>
      </c>
      <c r="AI432" t="s">
        <v>176</v>
      </c>
      <c r="AJ432" t="s">
        <v>177</v>
      </c>
      <c r="AK432" t="s">
        <v>72</v>
      </c>
      <c r="AL432" t="s">
        <v>73</v>
      </c>
      <c r="AM432" t="s">
        <v>73</v>
      </c>
      <c r="AN432" t="s">
        <v>56</v>
      </c>
    </row>
    <row r="433" spans="1:40" x14ac:dyDescent="0.25">
      <c r="A433" t="s">
        <v>2425</v>
      </c>
      <c r="B433" t="s">
        <v>5</v>
      </c>
      <c r="C433">
        <v>722.75409400000001</v>
      </c>
      <c r="D433">
        <v>613.93098699999996</v>
      </c>
      <c r="E433" t="s">
        <v>56</v>
      </c>
      <c r="F433">
        <v>-27719.65</v>
      </c>
      <c r="G433" t="s">
        <v>2425</v>
      </c>
      <c r="H433" t="s">
        <v>7</v>
      </c>
      <c r="I433">
        <v>30877.119999999999</v>
      </c>
      <c r="J433">
        <v>990.27151600000002</v>
      </c>
      <c r="K433">
        <v>841.16904299999999</v>
      </c>
      <c r="L433">
        <v>0</v>
      </c>
      <c r="M433" t="s">
        <v>2425</v>
      </c>
      <c r="N433" t="s">
        <v>57</v>
      </c>
      <c r="O433" t="s">
        <v>58</v>
      </c>
      <c r="P433" t="s">
        <v>2426</v>
      </c>
      <c r="Q433" t="s">
        <v>2427</v>
      </c>
      <c r="R433" t="s">
        <v>61</v>
      </c>
      <c r="S433" t="s">
        <v>58</v>
      </c>
      <c r="T433" t="s">
        <v>2426</v>
      </c>
      <c r="U433" t="s">
        <v>2427</v>
      </c>
      <c r="V433" t="s">
        <v>56</v>
      </c>
      <c r="W433" t="s">
        <v>56</v>
      </c>
      <c r="X433" t="s">
        <v>56</v>
      </c>
      <c r="Y433" t="s">
        <v>62</v>
      </c>
      <c r="Z433" t="s">
        <v>63</v>
      </c>
      <c r="AA433" t="s">
        <v>64</v>
      </c>
      <c r="AB433">
        <v>1</v>
      </c>
      <c r="AC433" t="s">
        <v>78</v>
      </c>
      <c r="AD433" t="s">
        <v>66</v>
      </c>
      <c r="AE433" t="s">
        <v>67</v>
      </c>
      <c r="AF433" t="s">
        <v>68</v>
      </c>
      <c r="AG433">
        <v>34955.919999999998</v>
      </c>
      <c r="AH433" t="s">
        <v>69</v>
      </c>
      <c r="AI433" t="s">
        <v>400</v>
      </c>
      <c r="AJ433" t="s">
        <v>359</v>
      </c>
      <c r="AK433" t="s">
        <v>72</v>
      </c>
      <c r="AL433" t="s">
        <v>73</v>
      </c>
      <c r="AM433" t="s">
        <v>73</v>
      </c>
      <c r="AN433" t="s">
        <v>74</v>
      </c>
    </row>
    <row r="434" spans="1:40" x14ac:dyDescent="0.25">
      <c r="A434" t="s">
        <v>2117</v>
      </c>
      <c r="B434" t="s">
        <v>5</v>
      </c>
      <c r="C434">
        <v>721.06914099999995</v>
      </c>
      <c r="D434">
        <v>612.49973299999999</v>
      </c>
      <c r="E434" t="s">
        <v>56</v>
      </c>
      <c r="F434">
        <v>-21752.53</v>
      </c>
      <c r="G434" t="s">
        <v>2117</v>
      </c>
      <c r="H434" t="s">
        <v>7</v>
      </c>
      <c r="I434">
        <v>23439.17</v>
      </c>
      <c r="J434">
        <v>955.68345299999999</v>
      </c>
      <c r="K434">
        <v>811.78880900000001</v>
      </c>
      <c r="L434">
        <v>0</v>
      </c>
      <c r="M434" t="s">
        <v>2117</v>
      </c>
      <c r="N434" t="s">
        <v>57</v>
      </c>
      <c r="O434" t="s">
        <v>58</v>
      </c>
      <c r="P434" t="s">
        <v>2118</v>
      </c>
      <c r="Q434" t="s">
        <v>2119</v>
      </c>
      <c r="R434" t="s">
        <v>61</v>
      </c>
      <c r="S434" t="s">
        <v>58</v>
      </c>
      <c r="T434" t="s">
        <v>2118</v>
      </c>
      <c r="U434" t="s">
        <v>2119</v>
      </c>
      <c r="V434" t="s">
        <v>56</v>
      </c>
      <c r="W434" t="s">
        <v>56</v>
      </c>
      <c r="X434" t="s">
        <v>56</v>
      </c>
      <c r="Y434" t="s">
        <v>62</v>
      </c>
      <c r="Z434" t="s">
        <v>63</v>
      </c>
      <c r="AA434" t="s">
        <v>64</v>
      </c>
      <c r="AB434">
        <v>1</v>
      </c>
      <c r="AC434" t="s">
        <v>78</v>
      </c>
      <c r="AD434" t="s">
        <v>66</v>
      </c>
      <c r="AE434" t="s">
        <v>67</v>
      </c>
      <c r="AF434" t="s">
        <v>68</v>
      </c>
      <c r="AG434">
        <v>27495.16</v>
      </c>
      <c r="AH434" t="s">
        <v>69</v>
      </c>
      <c r="AI434" t="s">
        <v>132</v>
      </c>
      <c r="AJ434" t="s">
        <v>606</v>
      </c>
      <c r="AK434" t="s">
        <v>72</v>
      </c>
      <c r="AL434" t="s">
        <v>73</v>
      </c>
      <c r="AM434" t="s">
        <v>73</v>
      </c>
      <c r="AN434" t="s">
        <v>74</v>
      </c>
    </row>
    <row r="435" spans="1:40" x14ac:dyDescent="0.25">
      <c r="A435" t="s">
        <v>1100</v>
      </c>
      <c r="B435" t="s">
        <v>5</v>
      </c>
      <c r="C435">
        <v>720.66556000000003</v>
      </c>
      <c r="D435">
        <v>612.15691700000002</v>
      </c>
      <c r="E435" t="s">
        <v>56</v>
      </c>
      <c r="F435">
        <v>-27642.26</v>
      </c>
      <c r="G435" t="s">
        <v>1100</v>
      </c>
      <c r="H435" t="s">
        <v>7</v>
      </c>
      <c r="I435">
        <v>30366.12</v>
      </c>
      <c r="J435">
        <v>973.77175499999998</v>
      </c>
      <c r="K435">
        <v>827.15360599999997</v>
      </c>
      <c r="L435">
        <v>0</v>
      </c>
      <c r="M435" t="s">
        <v>1100</v>
      </c>
      <c r="N435" t="s">
        <v>57</v>
      </c>
      <c r="O435" t="s">
        <v>58</v>
      </c>
      <c r="P435" t="s">
        <v>1101</v>
      </c>
      <c r="Q435" t="s">
        <v>1102</v>
      </c>
      <c r="R435" t="s">
        <v>61</v>
      </c>
      <c r="S435" t="s">
        <v>58</v>
      </c>
      <c r="T435" t="s">
        <v>1101</v>
      </c>
      <c r="U435" t="s">
        <v>1102</v>
      </c>
      <c r="V435" t="s">
        <v>56</v>
      </c>
      <c r="W435" t="s">
        <v>56</v>
      </c>
      <c r="X435" t="s">
        <v>56</v>
      </c>
      <c r="Y435" t="s">
        <v>62</v>
      </c>
      <c r="Z435" t="s">
        <v>63</v>
      </c>
      <c r="AA435" t="s">
        <v>64</v>
      </c>
      <c r="AB435">
        <v>1</v>
      </c>
      <c r="AC435" t="s">
        <v>78</v>
      </c>
      <c r="AD435" t="s">
        <v>66</v>
      </c>
      <c r="AE435" t="s">
        <v>67</v>
      </c>
      <c r="AF435" t="s">
        <v>68</v>
      </c>
      <c r="AG435">
        <v>34959.35</v>
      </c>
      <c r="AH435" t="s">
        <v>69</v>
      </c>
      <c r="AI435" t="s">
        <v>122</v>
      </c>
      <c r="AJ435" t="s">
        <v>324</v>
      </c>
      <c r="AK435" t="s">
        <v>72</v>
      </c>
      <c r="AL435" t="s">
        <v>73</v>
      </c>
      <c r="AM435" t="s">
        <v>73</v>
      </c>
      <c r="AN435" t="s">
        <v>74</v>
      </c>
    </row>
    <row r="436" spans="1:40" x14ac:dyDescent="0.25">
      <c r="A436" t="s">
        <v>1893</v>
      </c>
      <c r="B436" t="s">
        <v>5</v>
      </c>
      <c r="C436" s="2">
        <v>720.55698600000005</v>
      </c>
      <c r="D436" t="s">
        <v>56</v>
      </c>
      <c r="E436" t="s">
        <v>56</v>
      </c>
      <c r="F436">
        <v>-13038.56</v>
      </c>
      <c r="G436" t="s">
        <v>1893</v>
      </c>
      <c r="H436" t="s">
        <v>7</v>
      </c>
      <c r="I436">
        <v>19376.400000000001</v>
      </c>
      <c r="J436">
        <v>0</v>
      </c>
      <c r="K436">
        <v>0</v>
      </c>
      <c r="L436">
        <v>0</v>
      </c>
      <c r="M436" t="s">
        <v>1893</v>
      </c>
      <c r="N436" t="s">
        <v>57</v>
      </c>
      <c r="O436" t="s">
        <v>58</v>
      </c>
      <c r="P436" t="s">
        <v>1894</v>
      </c>
      <c r="Q436" t="s">
        <v>1895</v>
      </c>
      <c r="R436" t="s">
        <v>61</v>
      </c>
      <c r="S436" t="s">
        <v>58</v>
      </c>
      <c r="T436" t="s">
        <v>1894</v>
      </c>
      <c r="U436" t="s">
        <v>1895</v>
      </c>
      <c r="V436" t="s">
        <v>56</v>
      </c>
      <c r="W436" t="s">
        <v>56</v>
      </c>
      <c r="X436" t="s">
        <v>56</v>
      </c>
      <c r="Y436" t="s">
        <v>62</v>
      </c>
      <c r="Z436" t="s">
        <v>63</v>
      </c>
      <c r="AA436" t="s">
        <v>64</v>
      </c>
      <c r="AB436">
        <v>1</v>
      </c>
      <c r="AC436" t="s">
        <v>84</v>
      </c>
      <c r="AD436" t="s">
        <v>66</v>
      </c>
      <c r="AE436" t="s">
        <v>85</v>
      </c>
      <c r="AF436" t="s">
        <v>68</v>
      </c>
      <c r="AG436">
        <v>49587.02</v>
      </c>
      <c r="AH436" t="s">
        <v>69</v>
      </c>
      <c r="AI436" t="s">
        <v>203</v>
      </c>
      <c r="AJ436" t="s">
        <v>932</v>
      </c>
      <c r="AK436" t="s">
        <v>72</v>
      </c>
      <c r="AL436" t="s">
        <v>73</v>
      </c>
      <c r="AM436" t="s">
        <v>73</v>
      </c>
      <c r="AN436" t="s">
        <v>56</v>
      </c>
    </row>
    <row r="437" spans="1:40" x14ac:dyDescent="0.25">
      <c r="A437" t="s">
        <v>1181</v>
      </c>
      <c r="B437" t="s">
        <v>5</v>
      </c>
      <c r="C437">
        <v>720.29798200000005</v>
      </c>
      <c r="D437">
        <v>513.23953300000005</v>
      </c>
      <c r="E437" t="s">
        <v>56</v>
      </c>
      <c r="F437">
        <v>-38066.14</v>
      </c>
      <c r="G437" t="s">
        <v>1181</v>
      </c>
      <c r="H437" t="s">
        <v>7</v>
      </c>
      <c r="I437">
        <v>43385.33</v>
      </c>
      <c r="J437">
        <v>972.78185900000005</v>
      </c>
      <c r="K437">
        <v>826.31275600000004</v>
      </c>
      <c r="L437">
        <v>0</v>
      </c>
      <c r="M437" t="s">
        <v>1181</v>
      </c>
      <c r="N437" t="s">
        <v>57</v>
      </c>
      <c r="O437" t="s">
        <v>58</v>
      </c>
      <c r="P437" t="s">
        <v>1182</v>
      </c>
      <c r="Q437" t="s">
        <v>399</v>
      </c>
      <c r="R437" t="s">
        <v>61</v>
      </c>
      <c r="S437" t="s">
        <v>58</v>
      </c>
      <c r="T437" t="s">
        <v>1182</v>
      </c>
      <c r="U437" t="s">
        <v>399</v>
      </c>
      <c r="V437" t="s">
        <v>56</v>
      </c>
      <c r="W437" t="s">
        <v>56</v>
      </c>
      <c r="X437" t="s">
        <v>56</v>
      </c>
      <c r="Y437" t="s">
        <v>62</v>
      </c>
      <c r="Z437" t="s">
        <v>63</v>
      </c>
      <c r="AA437" t="s">
        <v>64</v>
      </c>
      <c r="AB437">
        <v>1</v>
      </c>
      <c r="AC437" t="s">
        <v>84</v>
      </c>
      <c r="AD437" t="s">
        <v>66</v>
      </c>
      <c r="AE437" t="s">
        <v>67</v>
      </c>
      <c r="AF437" t="s">
        <v>68</v>
      </c>
      <c r="AG437">
        <v>49998.37</v>
      </c>
      <c r="AH437" t="s">
        <v>69</v>
      </c>
      <c r="AI437" t="s">
        <v>285</v>
      </c>
      <c r="AJ437" t="s">
        <v>401</v>
      </c>
      <c r="AK437" t="s">
        <v>72</v>
      </c>
      <c r="AL437" t="s">
        <v>73</v>
      </c>
      <c r="AM437" t="s">
        <v>73</v>
      </c>
      <c r="AN437" t="s">
        <v>74</v>
      </c>
    </row>
    <row r="438" spans="1:40" x14ac:dyDescent="0.25">
      <c r="A438" t="s">
        <v>2249</v>
      </c>
      <c r="B438" t="s">
        <v>5</v>
      </c>
      <c r="C438">
        <v>720.09157700000003</v>
      </c>
      <c r="D438">
        <v>611.66935699999999</v>
      </c>
      <c r="E438" t="s">
        <v>56</v>
      </c>
      <c r="F438">
        <v>-108680.29</v>
      </c>
      <c r="G438" t="s">
        <v>2249</v>
      </c>
      <c r="H438" t="s">
        <v>7</v>
      </c>
      <c r="I438">
        <v>121236.69</v>
      </c>
      <c r="J438">
        <v>988.03948600000001</v>
      </c>
      <c r="K438">
        <v>839.27308300000004</v>
      </c>
      <c r="L438">
        <v>0</v>
      </c>
      <c r="M438" t="s">
        <v>2249</v>
      </c>
      <c r="N438" t="s">
        <v>57</v>
      </c>
      <c r="O438" t="s">
        <v>58</v>
      </c>
      <c r="P438" t="s">
        <v>2250</v>
      </c>
      <c r="Q438" t="s">
        <v>2251</v>
      </c>
      <c r="R438" t="s">
        <v>61</v>
      </c>
      <c r="S438" t="s">
        <v>58</v>
      </c>
      <c r="T438" t="s">
        <v>2250</v>
      </c>
      <c r="U438" t="s">
        <v>2251</v>
      </c>
      <c r="V438" t="s">
        <v>56</v>
      </c>
      <c r="W438" t="s">
        <v>56</v>
      </c>
      <c r="X438" t="s">
        <v>56</v>
      </c>
      <c r="Y438" t="s">
        <v>62</v>
      </c>
      <c r="Z438" t="s">
        <v>63</v>
      </c>
      <c r="AA438" t="s">
        <v>64</v>
      </c>
      <c r="AB438">
        <v>1</v>
      </c>
      <c r="AC438" t="s">
        <v>120</v>
      </c>
      <c r="AD438" t="s">
        <v>66</v>
      </c>
      <c r="AE438" t="s">
        <v>67</v>
      </c>
      <c r="AF438" t="s">
        <v>68</v>
      </c>
      <c r="AG438">
        <v>137558.19</v>
      </c>
      <c r="AH438" t="s">
        <v>69</v>
      </c>
      <c r="AI438" t="s">
        <v>208</v>
      </c>
      <c r="AJ438" t="s">
        <v>164</v>
      </c>
      <c r="AK438" t="s">
        <v>72</v>
      </c>
      <c r="AL438" t="s">
        <v>73</v>
      </c>
      <c r="AM438" t="s">
        <v>73</v>
      </c>
      <c r="AN438" t="s">
        <v>74</v>
      </c>
    </row>
    <row r="439" spans="1:40" x14ac:dyDescent="0.25">
      <c r="A439" t="s">
        <v>2378</v>
      </c>
      <c r="B439" t="s">
        <v>5</v>
      </c>
      <c r="C439">
        <v>718.71939899999995</v>
      </c>
      <c r="D439">
        <v>610.50378499999999</v>
      </c>
      <c r="E439" t="s">
        <v>56</v>
      </c>
      <c r="F439">
        <v>-39107.550000000003</v>
      </c>
      <c r="G439" t="s">
        <v>2378</v>
      </c>
      <c r="H439" t="s">
        <v>7</v>
      </c>
      <c r="I439">
        <v>44922.25</v>
      </c>
      <c r="J439">
        <v>1015.470702</v>
      </c>
      <c r="K439">
        <v>862.57405600000004</v>
      </c>
      <c r="L439">
        <v>0</v>
      </c>
      <c r="M439" t="s">
        <v>2378</v>
      </c>
      <c r="N439" t="s">
        <v>57</v>
      </c>
      <c r="O439" t="s">
        <v>58</v>
      </c>
      <c r="P439" t="s">
        <v>2379</v>
      </c>
      <c r="Q439" t="s">
        <v>2380</v>
      </c>
      <c r="R439" t="s">
        <v>61</v>
      </c>
      <c r="S439" t="s">
        <v>58</v>
      </c>
      <c r="T439" t="s">
        <v>2379</v>
      </c>
      <c r="U439" t="s">
        <v>2380</v>
      </c>
      <c r="V439" t="s">
        <v>56</v>
      </c>
      <c r="W439" t="s">
        <v>56</v>
      </c>
      <c r="X439" t="s">
        <v>56</v>
      </c>
      <c r="Y439" t="s">
        <v>62</v>
      </c>
      <c r="Z439" t="s">
        <v>63</v>
      </c>
      <c r="AA439" t="s">
        <v>64</v>
      </c>
      <c r="AB439">
        <v>1</v>
      </c>
      <c r="AC439" t="s">
        <v>84</v>
      </c>
      <c r="AD439" t="s">
        <v>66</v>
      </c>
      <c r="AE439" t="s">
        <v>67</v>
      </c>
      <c r="AF439" t="s">
        <v>68</v>
      </c>
      <c r="AG439">
        <v>49593.5</v>
      </c>
      <c r="AH439" t="s">
        <v>69</v>
      </c>
      <c r="AI439" t="s">
        <v>128</v>
      </c>
      <c r="AJ439" t="s">
        <v>224</v>
      </c>
      <c r="AK439" t="s">
        <v>72</v>
      </c>
      <c r="AL439" t="s">
        <v>73</v>
      </c>
      <c r="AM439" t="s">
        <v>73</v>
      </c>
      <c r="AN439" t="s">
        <v>74</v>
      </c>
    </row>
    <row r="440" spans="1:40" x14ac:dyDescent="0.25">
      <c r="A440" t="s">
        <v>1464</v>
      </c>
      <c r="B440" t="s">
        <v>5</v>
      </c>
      <c r="C440">
        <v>718.70594700000004</v>
      </c>
      <c r="D440">
        <v>610.49235799999997</v>
      </c>
      <c r="E440" t="s">
        <v>56</v>
      </c>
      <c r="F440">
        <v>-21684.32</v>
      </c>
      <c r="G440" t="s">
        <v>1464</v>
      </c>
      <c r="H440" t="s">
        <v>7</v>
      </c>
      <c r="I440">
        <v>24347.75</v>
      </c>
      <c r="J440">
        <v>992.56072099999994</v>
      </c>
      <c r="K440">
        <v>843.11356799999999</v>
      </c>
      <c r="L440">
        <v>0</v>
      </c>
      <c r="M440" t="s">
        <v>1464</v>
      </c>
      <c r="N440" t="s">
        <v>57</v>
      </c>
      <c r="O440" t="s">
        <v>58</v>
      </c>
      <c r="P440" t="s">
        <v>1465</v>
      </c>
      <c r="Q440" t="s">
        <v>1466</v>
      </c>
      <c r="R440" t="s">
        <v>61</v>
      </c>
      <c r="S440" t="s">
        <v>58</v>
      </c>
      <c r="T440" t="s">
        <v>1465</v>
      </c>
      <c r="U440" t="s">
        <v>1466</v>
      </c>
      <c r="V440" t="s">
        <v>56</v>
      </c>
      <c r="W440" t="s">
        <v>56</v>
      </c>
      <c r="X440" t="s">
        <v>56</v>
      </c>
      <c r="Y440" t="s">
        <v>62</v>
      </c>
      <c r="Z440" t="s">
        <v>63</v>
      </c>
      <c r="AA440" t="s">
        <v>64</v>
      </c>
      <c r="AB440">
        <v>1</v>
      </c>
      <c r="AC440" t="s">
        <v>78</v>
      </c>
      <c r="AD440" t="s">
        <v>66</v>
      </c>
      <c r="AE440" t="s">
        <v>67</v>
      </c>
      <c r="AF440" t="s">
        <v>68</v>
      </c>
      <c r="AG440">
        <v>27499.08</v>
      </c>
      <c r="AH440" t="s">
        <v>69</v>
      </c>
      <c r="AI440" t="s">
        <v>1391</v>
      </c>
      <c r="AJ440" t="s">
        <v>71</v>
      </c>
      <c r="AK440" t="s">
        <v>72</v>
      </c>
      <c r="AL440" t="s">
        <v>73</v>
      </c>
      <c r="AM440" t="s">
        <v>73</v>
      </c>
      <c r="AN440" t="s">
        <v>74</v>
      </c>
    </row>
    <row r="441" spans="1:40" x14ac:dyDescent="0.25">
      <c r="A441" t="s">
        <v>1937</v>
      </c>
      <c r="B441" t="s">
        <v>5</v>
      </c>
      <c r="C441">
        <v>718.22181399999999</v>
      </c>
      <c r="D441">
        <v>657.95617700000003</v>
      </c>
      <c r="E441" t="s">
        <v>56</v>
      </c>
      <c r="F441">
        <v>-41676.080000000002</v>
      </c>
      <c r="G441" t="s">
        <v>1937</v>
      </c>
      <c r="H441" t="s">
        <v>7</v>
      </c>
      <c r="I441">
        <v>46345.68</v>
      </c>
      <c r="J441">
        <v>1039.3380689999999</v>
      </c>
      <c r="K441">
        <v>882.84777899999995</v>
      </c>
      <c r="L441">
        <v>0</v>
      </c>
      <c r="M441" t="s">
        <v>1937</v>
      </c>
      <c r="N441" t="s">
        <v>57</v>
      </c>
      <c r="O441" t="s">
        <v>58</v>
      </c>
      <c r="P441" t="s">
        <v>1938</v>
      </c>
      <c r="Q441" t="s">
        <v>1939</v>
      </c>
      <c r="R441" t="s">
        <v>61</v>
      </c>
      <c r="S441" t="s">
        <v>58</v>
      </c>
      <c r="T441" t="s">
        <v>1938</v>
      </c>
      <c r="U441" t="s">
        <v>1939</v>
      </c>
      <c r="V441" t="s">
        <v>56</v>
      </c>
      <c r="W441" t="s">
        <v>56</v>
      </c>
      <c r="X441" t="s">
        <v>56</v>
      </c>
      <c r="Y441" t="s">
        <v>62</v>
      </c>
      <c r="Z441" t="s">
        <v>63</v>
      </c>
      <c r="AA441" t="s">
        <v>64</v>
      </c>
      <c r="AB441">
        <v>1</v>
      </c>
      <c r="AC441" t="s">
        <v>84</v>
      </c>
      <c r="AD441" t="s">
        <v>66</v>
      </c>
      <c r="AE441" t="s">
        <v>67</v>
      </c>
      <c r="AF441" t="s">
        <v>68</v>
      </c>
      <c r="AG441">
        <v>49989.78</v>
      </c>
      <c r="AH441" t="s">
        <v>69</v>
      </c>
      <c r="AI441" t="s">
        <v>122</v>
      </c>
      <c r="AJ441" t="s">
        <v>224</v>
      </c>
      <c r="AK441" t="s">
        <v>72</v>
      </c>
      <c r="AL441" t="s">
        <v>73</v>
      </c>
      <c r="AM441" t="s">
        <v>73</v>
      </c>
      <c r="AN441" t="s">
        <v>74</v>
      </c>
    </row>
    <row r="442" spans="1:40" x14ac:dyDescent="0.25">
      <c r="A442" t="s">
        <v>2492</v>
      </c>
      <c r="B442" t="s">
        <v>5</v>
      </c>
      <c r="C442">
        <v>718.08824300000003</v>
      </c>
      <c r="D442">
        <v>609.96766000000002</v>
      </c>
      <c r="E442" t="s">
        <v>56</v>
      </c>
      <c r="F442">
        <v>-33308.31</v>
      </c>
      <c r="G442" t="s">
        <v>2492</v>
      </c>
      <c r="H442" t="s">
        <v>7</v>
      </c>
      <c r="I442">
        <v>38071.120000000003</v>
      </c>
      <c r="J442">
        <v>952.10166600000002</v>
      </c>
      <c r="K442">
        <v>808.74632199999996</v>
      </c>
      <c r="L442">
        <v>0</v>
      </c>
      <c r="M442" t="s">
        <v>2492</v>
      </c>
      <c r="N442" t="s">
        <v>57</v>
      </c>
      <c r="O442" t="s">
        <v>58</v>
      </c>
      <c r="P442" t="s">
        <v>2493</v>
      </c>
      <c r="Q442" t="s">
        <v>2494</v>
      </c>
      <c r="R442" t="s">
        <v>61</v>
      </c>
      <c r="S442" t="s">
        <v>58</v>
      </c>
      <c r="T442" t="s">
        <v>2493</v>
      </c>
      <c r="U442" t="s">
        <v>2494</v>
      </c>
      <c r="V442" t="s">
        <v>56</v>
      </c>
      <c r="W442" t="s">
        <v>56</v>
      </c>
      <c r="X442" t="s">
        <v>56</v>
      </c>
      <c r="Y442" t="s">
        <v>62</v>
      </c>
      <c r="Z442" t="s">
        <v>63</v>
      </c>
      <c r="AA442" t="s">
        <v>64</v>
      </c>
      <c r="AB442">
        <v>1</v>
      </c>
      <c r="AC442" t="s">
        <v>84</v>
      </c>
      <c r="AD442" t="s">
        <v>66</v>
      </c>
      <c r="AE442" t="s">
        <v>67</v>
      </c>
      <c r="AF442" t="s">
        <v>68</v>
      </c>
      <c r="AG442">
        <v>44827.59</v>
      </c>
      <c r="AH442" t="s">
        <v>69</v>
      </c>
      <c r="AI442" t="s">
        <v>128</v>
      </c>
      <c r="AJ442" t="s">
        <v>228</v>
      </c>
      <c r="AK442" t="s">
        <v>72</v>
      </c>
      <c r="AL442" t="s">
        <v>73</v>
      </c>
      <c r="AM442" t="s">
        <v>73</v>
      </c>
      <c r="AN442" t="s">
        <v>74</v>
      </c>
    </row>
    <row r="443" spans="1:40" x14ac:dyDescent="0.25">
      <c r="A443" t="s">
        <v>1830</v>
      </c>
      <c r="B443" t="s">
        <v>5</v>
      </c>
      <c r="C443">
        <v>717.89317800000003</v>
      </c>
      <c r="D443">
        <v>609.80196599999999</v>
      </c>
      <c r="E443" t="s">
        <v>56</v>
      </c>
      <c r="F443">
        <v>-26340.69</v>
      </c>
      <c r="G443" t="s">
        <v>1830</v>
      </c>
      <c r="H443" t="s">
        <v>7</v>
      </c>
      <c r="I443">
        <v>29367.06</v>
      </c>
      <c r="J443">
        <v>984.48460499999999</v>
      </c>
      <c r="K443">
        <v>836.25345000000004</v>
      </c>
      <c r="L443">
        <v>0</v>
      </c>
      <c r="M443" t="s">
        <v>1830</v>
      </c>
      <c r="N443" t="s">
        <v>57</v>
      </c>
      <c r="O443" t="s">
        <v>58</v>
      </c>
      <c r="P443" t="s">
        <v>1831</v>
      </c>
      <c r="Q443" t="s">
        <v>1832</v>
      </c>
      <c r="R443" t="s">
        <v>61</v>
      </c>
      <c r="S443" t="s">
        <v>58</v>
      </c>
      <c r="T443" t="s">
        <v>1831</v>
      </c>
      <c r="U443" t="s">
        <v>1832</v>
      </c>
      <c r="V443" t="s">
        <v>56</v>
      </c>
      <c r="W443" t="s">
        <v>56</v>
      </c>
      <c r="X443" t="s">
        <v>56</v>
      </c>
      <c r="Y443" t="s">
        <v>62</v>
      </c>
      <c r="Z443" t="s">
        <v>63</v>
      </c>
      <c r="AA443" t="s">
        <v>64</v>
      </c>
      <c r="AB443">
        <v>1</v>
      </c>
      <c r="AC443" t="s">
        <v>84</v>
      </c>
      <c r="AD443" t="s">
        <v>66</v>
      </c>
      <c r="AE443" t="s">
        <v>67</v>
      </c>
      <c r="AF443" t="s">
        <v>68</v>
      </c>
      <c r="AG443">
        <v>33441.86</v>
      </c>
      <c r="AH443" t="s">
        <v>69</v>
      </c>
      <c r="AI443" t="s">
        <v>278</v>
      </c>
      <c r="AJ443" t="s">
        <v>324</v>
      </c>
      <c r="AK443" t="s">
        <v>72</v>
      </c>
      <c r="AL443" t="s">
        <v>73</v>
      </c>
      <c r="AM443" t="s">
        <v>73</v>
      </c>
      <c r="AN443" t="s">
        <v>74</v>
      </c>
    </row>
    <row r="444" spans="1:40" x14ac:dyDescent="0.25">
      <c r="A444" t="s">
        <v>1880</v>
      </c>
      <c r="B444" t="s">
        <v>5</v>
      </c>
      <c r="C444">
        <v>716.83601899999996</v>
      </c>
      <c r="D444">
        <v>608.90398000000005</v>
      </c>
      <c r="E444" t="s">
        <v>56</v>
      </c>
      <c r="F444">
        <v>-39324.15</v>
      </c>
      <c r="G444" t="s">
        <v>1880</v>
      </c>
      <c r="H444" t="s">
        <v>7</v>
      </c>
      <c r="I444">
        <v>45230.99</v>
      </c>
      <c r="J444">
        <v>1014.131036</v>
      </c>
      <c r="K444">
        <v>861.43610000000001</v>
      </c>
      <c r="L444">
        <v>0</v>
      </c>
      <c r="M444" t="s">
        <v>1880</v>
      </c>
      <c r="N444" t="s">
        <v>57</v>
      </c>
      <c r="O444" t="s">
        <v>58</v>
      </c>
      <c r="P444" t="s">
        <v>1881</v>
      </c>
      <c r="Q444" t="s">
        <v>308</v>
      </c>
      <c r="R444" t="s">
        <v>61</v>
      </c>
      <c r="S444" t="s">
        <v>58</v>
      </c>
      <c r="T444" t="s">
        <v>1881</v>
      </c>
      <c r="U444" t="s">
        <v>308</v>
      </c>
      <c r="V444" t="s">
        <v>56</v>
      </c>
      <c r="W444" t="s">
        <v>56</v>
      </c>
      <c r="X444" t="s">
        <v>56</v>
      </c>
      <c r="Y444" t="s">
        <v>62</v>
      </c>
      <c r="Z444" t="s">
        <v>63</v>
      </c>
      <c r="AA444" t="s">
        <v>64</v>
      </c>
      <c r="AB444">
        <v>1</v>
      </c>
      <c r="AC444" t="s">
        <v>65</v>
      </c>
      <c r="AD444" t="s">
        <v>66</v>
      </c>
      <c r="AE444" t="s">
        <v>67</v>
      </c>
      <c r="AF444" t="s">
        <v>68</v>
      </c>
      <c r="AG444">
        <v>49999.19</v>
      </c>
      <c r="AH444" t="s">
        <v>69</v>
      </c>
      <c r="AI444" t="s">
        <v>829</v>
      </c>
      <c r="AJ444" t="s">
        <v>224</v>
      </c>
      <c r="AK444" t="s">
        <v>72</v>
      </c>
      <c r="AL444" t="s">
        <v>73</v>
      </c>
      <c r="AM444" t="s">
        <v>73</v>
      </c>
      <c r="AN444" t="s">
        <v>74</v>
      </c>
    </row>
    <row r="445" spans="1:40" x14ac:dyDescent="0.25">
      <c r="A445" t="s">
        <v>225</v>
      </c>
      <c r="B445" t="s">
        <v>5</v>
      </c>
      <c r="C445">
        <v>713.39884900000004</v>
      </c>
      <c r="D445">
        <v>605.98433499999999</v>
      </c>
      <c r="E445" t="s">
        <v>56</v>
      </c>
      <c r="F445">
        <v>-39129.89</v>
      </c>
      <c r="G445" t="s">
        <v>225</v>
      </c>
      <c r="H445" t="s">
        <v>7</v>
      </c>
      <c r="I445">
        <v>43116.78</v>
      </c>
      <c r="J445">
        <v>966.88620500000002</v>
      </c>
      <c r="K445">
        <v>821.30479400000002</v>
      </c>
      <c r="L445">
        <v>0</v>
      </c>
      <c r="M445" t="s">
        <v>225</v>
      </c>
      <c r="N445" t="s">
        <v>57</v>
      </c>
      <c r="O445" t="s">
        <v>58</v>
      </c>
      <c r="P445" t="s">
        <v>226</v>
      </c>
      <c r="Q445" t="s">
        <v>227</v>
      </c>
      <c r="R445" t="s">
        <v>61</v>
      </c>
      <c r="S445" t="s">
        <v>58</v>
      </c>
      <c r="T445" t="s">
        <v>226</v>
      </c>
      <c r="U445" t="s">
        <v>227</v>
      </c>
      <c r="V445" t="s">
        <v>56</v>
      </c>
      <c r="W445" t="s">
        <v>56</v>
      </c>
      <c r="X445" t="s">
        <v>56</v>
      </c>
      <c r="Y445" t="s">
        <v>62</v>
      </c>
      <c r="Z445" t="s">
        <v>63</v>
      </c>
      <c r="AA445" t="s">
        <v>64</v>
      </c>
      <c r="AB445">
        <v>1</v>
      </c>
      <c r="AC445" t="s">
        <v>78</v>
      </c>
      <c r="AD445" t="s">
        <v>66</v>
      </c>
      <c r="AE445" t="s">
        <v>67</v>
      </c>
      <c r="AF445" t="s">
        <v>68</v>
      </c>
      <c r="AG445">
        <v>49991.87</v>
      </c>
      <c r="AH445" t="s">
        <v>69</v>
      </c>
      <c r="AI445" t="s">
        <v>128</v>
      </c>
      <c r="AJ445" t="s">
        <v>228</v>
      </c>
      <c r="AK445" t="s">
        <v>72</v>
      </c>
      <c r="AL445" t="s">
        <v>73</v>
      </c>
      <c r="AM445" t="s">
        <v>73</v>
      </c>
      <c r="AN445" t="s">
        <v>74</v>
      </c>
    </row>
    <row r="446" spans="1:40" x14ac:dyDescent="0.25">
      <c r="A446" t="s">
        <v>2312</v>
      </c>
      <c r="B446" t="s">
        <v>5</v>
      </c>
      <c r="C446" s="2">
        <v>712.20469400000002</v>
      </c>
      <c r="D446" t="s">
        <v>56</v>
      </c>
      <c r="E446" t="s">
        <v>56</v>
      </c>
      <c r="F446">
        <v>-13023.38</v>
      </c>
      <c r="G446" t="s">
        <v>2312</v>
      </c>
      <c r="H446" t="s">
        <v>7</v>
      </c>
      <c r="I446">
        <v>16095.53</v>
      </c>
      <c r="J446">
        <v>0</v>
      </c>
      <c r="K446">
        <v>0</v>
      </c>
      <c r="L446">
        <v>0</v>
      </c>
      <c r="M446" t="s">
        <v>2312</v>
      </c>
      <c r="N446" t="s">
        <v>57</v>
      </c>
      <c r="O446" t="s">
        <v>58</v>
      </c>
      <c r="P446" t="s">
        <v>2313</v>
      </c>
      <c r="Q446" t="s">
        <v>2314</v>
      </c>
      <c r="R446" t="s">
        <v>61</v>
      </c>
      <c r="S446" t="s">
        <v>58</v>
      </c>
      <c r="T446" t="s">
        <v>2313</v>
      </c>
      <c r="U446" t="s">
        <v>2314</v>
      </c>
      <c r="V446" t="s">
        <v>56</v>
      </c>
      <c r="W446" t="s">
        <v>56</v>
      </c>
      <c r="X446" t="s">
        <v>56</v>
      </c>
      <c r="Y446" t="s">
        <v>62</v>
      </c>
      <c r="Z446" t="s">
        <v>63</v>
      </c>
      <c r="AA446" t="s">
        <v>64</v>
      </c>
      <c r="AB446">
        <v>1</v>
      </c>
      <c r="AC446" t="s">
        <v>78</v>
      </c>
      <c r="AD446" t="s">
        <v>66</v>
      </c>
      <c r="AE446" t="s">
        <v>289</v>
      </c>
      <c r="AF446" t="s">
        <v>68</v>
      </c>
      <c r="AG446">
        <v>49988.39</v>
      </c>
      <c r="AH446" t="s">
        <v>69</v>
      </c>
      <c r="AI446" t="s">
        <v>253</v>
      </c>
      <c r="AJ446" t="s">
        <v>2315</v>
      </c>
      <c r="AK446" t="s">
        <v>72</v>
      </c>
      <c r="AL446" t="s">
        <v>73</v>
      </c>
      <c r="AM446" t="s">
        <v>73</v>
      </c>
      <c r="AN446" t="s">
        <v>56</v>
      </c>
    </row>
    <row r="447" spans="1:40" x14ac:dyDescent="0.25">
      <c r="A447" t="s">
        <v>1254</v>
      </c>
      <c r="B447" t="s">
        <v>5</v>
      </c>
      <c r="C447" s="2">
        <v>710.65767300000005</v>
      </c>
      <c r="D447" t="s">
        <v>56</v>
      </c>
      <c r="E447" t="s">
        <v>56</v>
      </c>
      <c r="F447">
        <v>-4995.3100000000004</v>
      </c>
      <c r="G447" t="s">
        <v>1254</v>
      </c>
      <c r="H447" t="s">
        <v>7</v>
      </c>
      <c r="I447">
        <v>6691.56</v>
      </c>
      <c r="J447">
        <v>0</v>
      </c>
      <c r="K447">
        <v>0</v>
      </c>
      <c r="L447">
        <v>0</v>
      </c>
      <c r="M447" t="s">
        <v>1254</v>
      </c>
      <c r="N447" t="s">
        <v>57</v>
      </c>
      <c r="O447" t="s">
        <v>58</v>
      </c>
      <c r="P447" t="s">
        <v>1255</v>
      </c>
      <c r="Q447" t="s">
        <v>1256</v>
      </c>
      <c r="R447" t="s">
        <v>61</v>
      </c>
      <c r="S447" t="s">
        <v>58</v>
      </c>
      <c r="T447" t="s">
        <v>1255</v>
      </c>
      <c r="U447" t="s">
        <v>1256</v>
      </c>
      <c r="V447" t="s">
        <v>56</v>
      </c>
      <c r="W447" t="s">
        <v>56</v>
      </c>
      <c r="X447" t="s">
        <v>56</v>
      </c>
      <c r="Y447" t="s">
        <v>62</v>
      </c>
      <c r="Z447" t="s">
        <v>63</v>
      </c>
      <c r="AA447" t="s">
        <v>64</v>
      </c>
      <c r="AB447">
        <v>1</v>
      </c>
      <c r="AC447" t="s">
        <v>78</v>
      </c>
      <c r="AD447" t="s">
        <v>66</v>
      </c>
      <c r="AE447" t="s">
        <v>85</v>
      </c>
      <c r="AF447" t="s">
        <v>68</v>
      </c>
      <c r="AG447">
        <v>19105.689999999999</v>
      </c>
      <c r="AH447" t="s">
        <v>69</v>
      </c>
      <c r="AI447" t="s">
        <v>203</v>
      </c>
      <c r="AJ447" t="s">
        <v>864</v>
      </c>
      <c r="AK447" t="s">
        <v>280</v>
      </c>
      <c r="AL447" t="s">
        <v>73</v>
      </c>
      <c r="AM447" t="s">
        <v>73</v>
      </c>
      <c r="AN447" t="s">
        <v>56</v>
      </c>
    </row>
    <row r="448" spans="1:40" x14ac:dyDescent="0.25">
      <c r="A448" t="s">
        <v>1042</v>
      </c>
      <c r="B448" t="s">
        <v>5</v>
      </c>
      <c r="C448" s="2">
        <v>708.90916200000004</v>
      </c>
      <c r="D448" t="s">
        <v>56</v>
      </c>
      <c r="E448" t="s">
        <v>56</v>
      </c>
      <c r="F448">
        <v>-9128.36</v>
      </c>
      <c r="G448" t="s">
        <v>1042</v>
      </c>
      <c r="H448" t="s">
        <v>7</v>
      </c>
      <c r="I448">
        <v>12611.14</v>
      </c>
      <c r="J448">
        <v>0</v>
      </c>
      <c r="K448">
        <v>0</v>
      </c>
      <c r="L448">
        <v>0</v>
      </c>
      <c r="M448" t="s">
        <v>1042</v>
      </c>
      <c r="N448" t="s">
        <v>57</v>
      </c>
      <c r="O448" t="s">
        <v>58</v>
      </c>
      <c r="P448" t="s">
        <v>1043</v>
      </c>
      <c r="Q448" t="s">
        <v>212</v>
      </c>
      <c r="R448" t="s">
        <v>61</v>
      </c>
      <c r="S448" t="s">
        <v>58</v>
      </c>
      <c r="T448" t="s">
        <v>1043</v>
      </c>
      <c r="U448" t="s">
        <v>212</v>
      </c>
      <c r="V448" t="s">
        <v>56</v>
      </c>
      <c r="W448" t="s">
        <v>56</v>
      </c>
      <c r="X448" t="s">
        <v>56</v>
      </c>
      <c r="Y448" t="s">
        <v>62</v>
      </c>
      <c r="Z448" t="s">
        <v>63</v>
      </c>
      <c r="AA448" t="s">
        <v>64</v>
      </c>
      <c r="AB448">
        <v>1</v>
      </c>
      <c r="AC448" t="s">
        <v>120</v>
      </c>
      <c r="AD448" t="s">
        <v>66</v>
      </c>
      <c r="AE448" t="s">
        <v>85</v>
      </c>
      <c r="AF448" t="s">
        <v>68</v>
      </c>
      <c r="AG448">
        <v>34999.54</v>
      </c>
      <c r="AH448" t="s">
        <v>69</v>
      </c>
      <c r="AI448" t="s">
        <v>297</v>
      </c>
      <c r="AJ448" t="s">
        <v>302</v>
      </c>
      <c r="AK448" t="s">
        <v>72</v>
      </c>
      <c r="AL448" t="s">
        <v>73</v>
      </c>
      <c r="AM448" t="s">
        <v>73</v>
      </c>
      <c r="AN448" t="s">
        <v>56</v>
      </c>
    </row>
    <row r="449" spans="1:40" x14ac:dyDescent="0.25">
      <c r="A449" t="s">
        <v>2500</v>
      </c>
      <c r="B449" t="s">
        <v>5</v>
      </c>
      <c r="C449">
        <v>707.48637799999995</v>
      </c>
      <c r="D449">
        <v>600.96208899999999</v>
      </c>
      <c r="E449" t="s">
        <v>56</v>
      </c>
      <c r="F449">
        <v>-27156.57</v>
      </c>
      <c r="G449" t="s">
        <v>2500</v>
      </c>
      <c r="H449" t="s">
        <v>7</v>
      </c>
      <c r="I449">
        <v>30503.5</v>
      </c>
      <c r="J449">
        <v>977.46564799999999</v>
      </c>
      <c r="K449">
        <v>830.29131900000004</v>
      </c>
      <c r="L449">
        <v>0</v>
      </c>
      <c r="M449" t="s">
        <v>2500</v>
      </c>
      <c r="N449" t="s">
        <v>57</v>
      </c>
      <c r="O449" t="s">
        <v>58</v>
      </c>
      <c r="P449" t="s">
        <v>2501</v>
      </c>
      <c r="Q449" t="s">
        <v>2502</v>
      </c>
      <c r="R449" t="s">
        <v>61</v>
      </c>
      <c r="S449" t="s">
        <v>58</v>
      </c>
      <c r="T449" t="s">
        <v>2501</v>
      </c>
      <c r="U449" t="s">
        <v>2502</v>
      </c>
      <c r="V449" t="s">
        <v>56</v>
      </c>
      <c r="W449" t="s">
        <v>56</v>
      </c>
      <c r="X449" t="s">
        <v>56</v>
      </c>
      <c r="Y449" t="s">
        <v>62</v>
      </c>
      <c r="Z449" t="s">
        <v>63</v>
      </c>
      <c r="AA449" t="s">
        <v>64</v>
      </c>
      <c r="AB449">
        <v>1</v>
      </c>
      <c r="AC449" t="s">
        <v>78</v>
      </c>
      <c r="AD449" t="s">
        <v>66</v>
      </c>
      <c r="AE449" t="s">
        <v>67</v>
      </c>
      <c r="AF449" t="s">
        <v>68</v>
      </c>
      <c r="AG449">
        <v>34984.879999999997</v>
      </c>
      <c r="AH449" t="s">
        <v>69</v>
      </c>
      <c r="AI449" t="s">
        <v>132</v>
      </c>
      <c r="AJ449" t="s">
        <v>401</v>
      </c>
      <c r="AK449" t="s">
        <v>72</v>
      </c>
      <c r="AL449" t="s">
        <v>73</v>
      </c>
      <c r="AM449" t="s">
        <v>73</v>
      </c>
      <c r="AN449" t="s">
        <v>74</v>
      </c>
    </row>
    <row r="450" spans="1:40" x14ac:dyDescent="0.25">
      <c r="A450" t="s">
        <v>598</v>
      </c>
      <c r="B450" t="s">
        <v>5</v>
      </c>
      <c r="C450">
        <v>706.47518200000002</v>
      </c>
      <c r="D450">
        <v>600.10314600000004</v>
      </c>
      <c r="E450" t="s">
        <v>56</v>
      </c>
      <c r="F450">
        <v>-38736.39</v>
      </c>
      <c r="G450" t="s">
        <v>598</v>
      </c>
      <c r="H450" t="s">
        <v>7</v>
      </c>
      <c r="I450">
        <v>44559.22</v>
      </c>
      <c r="J450">
        <v>999.58528200000001</v>
      </c>
      <c r="K450">
        <v>849.08046100000001</v>
      </c>
      <c r="L450">
        <v>0</v>
      </c>
      <c r="M450" t="s">
        <v>598</v>
      </c>
      <c r="N450" t="s">
        <v>57</v>
      </c>
      <c r="O450" t="s">
        <v>58</v>
      </c>
      <c r="P450" t="s">
        <v>599</v>
      </c>
      <c r="Q450" t="s">
        <v>600</v>
      </c>
      <c r="R450" t="s">
        <v>61</v>
      </c>
      <c r="S450" t="s">
        <v>58</v>
      </c>
      <c r="T450" t="s">
        <v>599</v>
      </c>
      <c r="U450" t="s">
        <v>600</v>
      </c>
      <c r="V450" t="s">
        <v>56</v>
      </c>
      <c r="W450" t="s">
        <v>56</v>
      </c>
      <c r="X450" t="s">
        <v>56</v>
      </c>
      <c r="Y450" t="s">
        <v>62</v>
      </c>
      <c r="Z450" t="s">
        <v>63</v>
      </c>
      <c r="AA450" t="s">
        <v>64</v>
      </c>
      <c r="AB450">
        <v>1</v>
      </c>
      <c r="AC450" t="s">
        <v>65</v>
      </c>
      <c r="AD450" t="s">
        <v>66</v>
      </c>
      <c r="AE450" t="s">
        <v>67</v>
      </c>
      <c r="AF450" t="s">
        <v>68</v>
      </c>
      <c r="AG450">
        <v>49974.16</v>
      </c>
      <c r="AH450" t="s">
        <v>69</v>
      </c>
      <c r="AI450" t="s">
        <v>220</v>
      </c>
      <c r="AJ450" t="s">
        <v>324</v>
      </c>
      <c r="AK450" t="s">
        <v>72</v>
      </c>
      <c r="AL450" t="s">
        <v>73</v>
      </c>
      <c r="AM450" t="s">
        <v>73</v>
      </c>
      <c r="AN450" t="s">
        <v>74</v>
      </c>
    </row>
    <row r="451" spans="1:40" x14ac:dyDescent="0.25">
      <c r="A451" t="s">
        <v>807</v>
      </c>
      <c r="B451" t="s">
        <v>5</v>
      </c>
      <c r="C451" s="2">
        <v>704.70978500000001</v>
      </c>
      <c r="D451" t="s">
        <v>56</v>
      </c>
      <c r="E451" t="s">
        <v>56</v>
      </c>
      <c r="F451">
        <v>-12784.55</v>
      </c>
      <c r="G451" t="s">
        <v>807</v>
      </c>
      <c r="H451" t="s">
        <v>7</v>
      </c>
      <c r="I451">
        <v>15629.24</v>
      </c>
      <c r="J451">
        <v>0</v>
      </c>
      <c r="K451">
        <v>0</v>
      </c>
      <c r="L451">
        <v>0</v>
      </c>
      <c r="M451" t="s">
        <v>807</v>
      </c>
      <c r="N451" t="s">
        <v>57</v>
      </c>
      <c r="O451" t="s">
        <v>58</v>
      </c>
      <c r="P451" t="s">
        <v>808</v>
      </c>
      <c r="Q451" t="s">
        <v>809</v>
      </c>
      <c r="R451" t="s">
        <v>61</v>
      </c>
      <c r="S451" t="s">
        <v>58</v>
      </c>
      <c r="T451" t="s">
        <v>808</v>
      </c>
      <c r="U451" t="s">
        <v>809</v>
      </c>
      <c r="V451" t="s">
        <v>56</v>
      </c>
      <c r="W451" t="s">
        <v>56</v>
      </c>
      <c r="X451" t="s">
        <v>56</v>
      </c>
      <c r="Y451" t="s">
        <v>62</v>
      </c>
      <c r="Z451" t="s">
        <v>63</v>
      </c>
      <c r="AA451" t="s">
        <v>64</v>
      </c>
      <c r="AB451">
        <v>1</v>
      </c>
      <c r="AC451" t="s">
        <v>84</v>
      </c>
      <c r="AD451" t="s">
        <v>66</v>
      </c>
      <c r="AE451" t="s">
        <v>289</v>
      </c>
      <c r="AF451" t="s">
        <v>86</v>
      </c>
      <c r="AG451">
        <v>49593.5</v>
      </c>
      <c r="AH451" t="s">
        <v>69</v>
      </c>
      <c r="AI451" t="s">
        <v>269</v>
      </c>
      <c r="AJ451" t="s">
        <v>786</v>
      </c>
      <c r="AK451" t="s">
        <v>280</v>
      </c>
      <c r="AL451" t="s">
        <v>73</v>
      </c>
      <c r="AM451" t="s">
        <v>73</v>
      </c>
      <c r="AN451" t="s">
        <v>56</v>
      </c>
    </row>
    <row r="452" spans="1:40" x14ac:dyDescent="0.25">
      <c r="A452" t="s">
        <v>2402</v>
      </c>
      <c r="B452" t="s">
        <v>5</v>
      </c>
      <c r="C452" s="2">
        <v>700.895667</v>
      </c>
      <c r="D452">
        <v>595.36372300000005</v>
      </c>
      <c r="E452" t="s">
        <v>56</v>
      </c>
      <c r="F452">
        <v>-38449.72</v>
      </c>
      <c r="G452" t="s">
        <v>2402</v>
      </c>
      <c r="H452" t="s">
        <v>7</v>
      </c>
      <c r="I452">
        <v>44189.63</v>
      </c>
      <c r="J452">
        <v>0</v>
      </c>
      <c r="K452">
        <v>0</v>
      </c>
      <c r="L452">
        <v>0</v>
      </c>
      <c r="M452" t="s">
        <v>2402</v>
      </c>
      <c r="N452" t="s">
        <v>57</v>
      </c>
      <c r="O452" t="s">
        <v>58</v>
      </c>
      <c r="P452" t="s">
        <v>2403</v>
      </c>
      <c r="Q452" t="s">
        <v>223</v>
      </c>
      <c r="R452" t="s">
        <v>61</v>
      </c>
      <c r="S452" t="s">
        <v>58</v>
      </c>
      <c r="T452" t="s">
        <v>2403</v>
      </c>
      <c r="U452" t="s">
        <v>223</v>
      </c>
      <c r="V452" t="s">
        <v>56</v>
      </c>
      <c r="W452" t="s">
        <v>56</v>
      </c>
      <c r="X452" t="s">
        <v>56</v>
      </c>
      <c r="Y452" t="s">
        <v>62</v>
      </c>
      <c r="Z452" t="s">
        <v>63</v>
      </c>
      <c r="AA452" t="s">
        <v>64</v>
      </c>
      <c r="AB452">
        <v>1</v>
      </c>
      <c r="AC452" t="s">
        <v>147</v>
      </c>
      <c r="AD452" t="s">
        <v>66</v>
      </c>
      <c r="AE452" t="s">
        <v>67</v>
      </c>
      <c r="AF452" t="s">
        <v>68</v>
      </c>
      <c r="AG452">
        <v>0</v>
      </c>
      <c r="AH452" t="s">
        <v>69</v>
      </c>
      <c r="AI452" t="s">
        <v>501</v>
      </c>
      <c r="AJ452" t="s">
        <v>224</v>
      </c>
      <c r="AK452" t="s">
        <v>72</v>
      </c>
      <c r="AL452" t="s">
        <v>73</v>
      </c>
      <c r="AM452" t="s">
        <v>73</v>
      </c>
      <c r="AN452" t="s">
        <v>74</v>
      </c>
    </row>
    <row r="453" spans="1:40" x14ac:dyDescent="0.25">
      <c r="A453" t="s">
        <v>2480</v>
      </c>
      <c r="B453" t="s">
        <v>5</v>
      </c>
      <c r="C453">
        <v>698.22530200000006</v>
      </c>
      <c r="D453">
        <v>593.09542799999997</v>
      </c>
      <c r="E453" t="s">
        <v>56</v>
      </c>
      <c r="F453">
        <v>-75712.210000000006</v>
      </c>
      <c r="G453" t="s">
        <v>2480</v>
      </c>
      <c r="H453" t="s">
        <v>7</v>
      </c>
      <c r="I453">
        <v>97904.88</v>
      </c>
      <c r="J453">
        <v>1110.5444359999999</v>
      </c>
      <c r="K453">
        <v>943.33279800000003</v>
      </c>
      <c r="L453">
        <v>0</v>
      </c>
      <c r="M453" t="s">
        <v>2480</v>
      </c>
      <c r="N453" t="s">
        <v>57</v>
      </c>
      <c r="O453" t="s">
        <v>58</v>
      </c>
      <c r="P453" t="s">
        <v>2481</v>
      </c>
      <c r="Q453" t="s">
        <v>2482</v>
      </c>
      <c r="R453" t="s">
        <v>61</v>
      </c>
      <c r="S453" t="s">
        <v>58</v>
      </c>
      <c r="T453" t="s">
        <v>2481</v>
      </c>
      <c r="U453" t="s">
        <v>2482</v>
      </c>
      <c r="V453" t="s">
        <v>56</v>
      </c>
      <c r="W453" t="s">
        <v>56</v>
      </c>
      <c r="X453" t="s">
        <v>56</v>
      </c>
      <c r="Y453" t="s">
        <v>62</v>
      </c>
      <c r="Z453" t="s">
        <v>63</v>
      </c>
      <c r="AA453" t="s">
        <v>64</v>
      </c>
      <c r="AB453">
        <v>1</v>
      </c>
      <c r="AC453" t="s">
        <v>120</v>
      </c>
      <c r="AD453" t="s">
        <v>66</v>
      </c>
      <c r="AE453" t="s">
        <v>67</v>
      </c>
      <c r="AF453" t="s">
        <v>68</v>
      </c>
      <c r="AG453">
        <v>98831.11</v>
      </c>
      <c r="AH453" t="s">
        <v>69</v>
      </c>
      <c r="AI453" t="s">
        <v>208</v>
      </c>
      <c r="AJ453" t="s">
        <v>115</v>
      </c>
      <c r="AK453" t="s">
        <v>72</v>
      </c>
      <c r="AL453" t="s">
        <v>73</v>
      </c>
      <c r="AM453" t="s">
        <v>73</v>
      </c>
      <c r="AN453" t="s">
        <v>74</v>
      </c>
    </row>
    <row r="454" spans="1:40" x14ac:dyDescent="0.25">
      <c r="A454" t="s">
        <v>992</v>
      </c>
      <c r="B454" t="s">
        <v>5</v>
      </c>
      <c r="C454">
        <v>694.32401300000004</v>
      </c>
      <c r="D454">
        <v>589.78154500000005</v>
      </c>
      <c r="E454" t="s">
        <v>56</v>
      </c>
      <c r="F454">
        <v>-26655.26</v>
      </c>
      <c r="G454" t="s">
        <v>992</v>
      </c>
      <c r="H454" t="s">
        <v>7</v>
      </c>
      <c r="I454">
        <v>30369.35</v>
      </c>
      <c r="J454">
        <v>973.03297699999996</v>
      </c>
      <c r="K454">
        <v>826.52606300000002</v>
      </c>
      <c r="L454">
        <v>0</v>
      </c>
      <c r="M454" t="s">
        <v>992</v>
      </c>
      <c r="N454" t="s">
        <v>57</v>
      </c>
      <c r="O454" t="s">
        <v>58</v>
      </c>
      <c r="P454" t="s">
        <v>993</v>
      </c>
      <c r="Q454" t="s">
        <v>584</v>
      </c>
      <c r="R454" t="s">
        <v>61</v>
      </c>
      <c r="S454" t="s">
        <v>58</v>
      </c>
      <c r="T454" t="s">
        <v>993</v>
      </c>
      <c r="U454" t="s">
        <v>584</v>
      </c>
      <c r="V454" t="s">
        <v>56</v>
      </c>
      <c r="W454" t="s">
        <v>56</v>
      </c>
      <c r="X454" t="s">
        <v>56</v>
      </c>
      <c r="Y454" t="s">
        <v>62</v>
      </c>
      <c r="Z454" t="s">
        <v>63</v>
      </c>
      <c r="AA454" t="s">
        <v>64</v>
      </c>
      <c r="AB454">
        <v>1</v>
      </c>
      <c r="AC454" t="s">
        <v>84</v>
      </c>
      <c r="AD454" t="s">
        <v>66</v>
      </c>
      <c r="AE454" t="s">
        <v>67</v>
      </c>
      <c r="AF454" t="s">
        <v>68</v>
      </c>
      <c r="AG454">
        <v>34989.99</v>
      </c>
      <c r="AH454" t="s">
        <v>69</v>
      </c>
      <c r="AI454" t="s">
        <v>559</v>
      </c>
      <c r="AJ454" t="s">
        <v>401</v>
      </c>
      <c r="AK454" t="s">
        <v>72</v>
      </c>
      <c r="AL454" t="s">
        <v>73</v>
      </c>
      <c r="AM454" t="s">
        <v>73</v>
      </c>
      <c r="AN454" t="s">
        <v>74</v>
      </c>
    </row>
    <row r="455" spans="1:40" x14ac:dyDescent="0.25">
      <c r="A455" t="s">
        <v>2375</v>
      </c>
      <c r="B455" t="s">
        <v>5</v>
      </c>
      <c r="C455">
        <v>694.26459699999998</v>
      </c>
      <c r="D455">
        <v>589.73107500000003</v>
      </c>
      <c r="E455" t="s">
        <v>56</v>
      </c>
      <c r="F455">
        <v>-38086.559999999998</v>
      </c>
      <c r="G455" t="s">
        <v>2375</v>
      </c>
      <c r="H455" t="s">
        <v>7</v>
      </c>
      <c r="I455">
        <v>41936.980000000003</v>
      </c>
      <c r="J455">
        <v>940.27336200000002</v>
      </c>
      <c r="K455">
        <v>798.69897400000002</v>
      </c>
      <c r="L455">
        <v>0</v>
      </c>
      <c r="M455" t="s">
        <v>2375</v>
      </c>
      <c r="N455" t="s">
        <v>57</v>
      </c>
      <c r="O455" t="s">
        <v>58</v>
      </c>
      <c r="P455" t="s">
        <v>2376</v>
      </c>
      <c r="Q455" t="s">
        <v>2377</v>
      </c>
      <c r="R455" t="s">
        <v>61</v>
      </c>
      <c r="S455" t="s">
        <v>58</v>
      </c>
      <c r="T455" t="s">
        <v>2376</v>
      </c>
      <c r="U455" t="s">
        <v>2377</v>
      </c>
      <c r="V455" t="s">
        <v>56</v>
      </c>
      <c r="W455" t="s">
        <v>56</v>
      </c>
      <c r="X455" t="s">
        <v>56</v>
      </c>
      <c r="Y455" t="s">
        <v>62</v>
      </c>
      <c r="Z455" t="s">
        <v>63</v>
      </c>
      <c r="AA455" t="s">
        <v>64</v>
      </c>
      <c r="AB455">
        <v>1</v>
      </c>
      <c r="AC455" t="s">
        <v>78</v>
      </c>
      <c r="AD455" t="s">
        <v>66</v>
      </c>
      <c r="AE455" t="s">
        <v>67</v>
      </c>
      <c r="AF455" t="s">
        <v>68</v>
      </c>
      <c r="AG455">
        <v>49999.98</v>
      </c>
      <c r="AH455" t="s">
        <v>69</v>
      </c>
      <c r="AI455" t="s">
        <v>79</v>
      </c>
      <c r="AJ455" t="s">
        <v>115</v>
      </c>
      <c r="AK455" t="s">
        <v>72</v>
      </c>
      <c r="AL455" t="s">
        <v>73</v>
      </c>
      <c r="AM455" t="s">
        <v>73</v>
      </c>
      <c r="AN455" t="s">
        <v>74</v>
      </c>
    </row>
    <row r="456" spans="1:40" x14ac:dyDescent="0.25">
      <c r="A456" t="s">
        <v>1699</v>
      </c>
      <c r="B456" t="s">
        <v>5</v>
      </c>
      <c r="C456">
        <v>693.53590799999995</v>
      </c>
      <c r="D456">
        <v>589.11210300000005</v>
      </c>
      <c r="E456" t="s">
        <v>56</v>
      </c>
      <c r="F456">
        <v>-38045.980000000003</v>
      </c>
      <c r="G456" t="s">
        <v>1699</v>
      </c>
      <c r="H456" t="s">
        <v>7</v>
      </c>
      <c r="I456">
        <v>43339.360000000001</v>
      </c>
      <c r="J456">
        <v>971.73142600000006</v>
      </c>
      <c r="K456">
        <v>825.42048299999999</v>
      </c>
      <c r="L456">
        <v>0</v>
      </c>
      <c r="M456" t="s">
        <v>1699</v>
      </c>
      <c r="N456" t="s">
        <v>57</v>
      </c>
      <c r="O456" t="s">
        <v>58</v>
      </c>
      <c r="P456" t="s">
        <v>1700</v>
      </c>
      <c r="Q456" t="s">
        <v>1701</v>
      </c>
      <c r="R456" t="s">
        <v>61</v>
      </c>
      <c r="S456" t="s">
        <v>58</v>
      </c>
      <c r="T456" t="s">
        <v>1700</v>
      </c>
      <c r="U456" t="s">
        <v>1701</v>
      </c>
      <c r="V456" t="s">
        <v>56</v>
      </c>
      <c r="W456" t="s">
        <v>56</v>
      </c>
      <c r="X456" t="s">
        <v>56</v>
      </c>
      <c r="Y456" t="s">
        <v>62</v>
      </c>
      <c r="Z456" t="s">
        <v>63</v>
      </c>
      <c r="AA456" t="s">
        <v>64</v>
      </c>
      <c r="AB456">
        <v>1</v>
      </c>
      <c r="AC456" t="s">
        <v>78</v>
      </c>
      <c r="AD456" t="s">
        <v>66</v>
      </c>
      <c r="AE456" t="s">
        <v>67</v>
      </c>
      <c r="AF456" t="s">
        <v>68</v>
      </c>
      <c r="AG456">
        <v>49999.19</v>
      </c>
      <c r="AH456" t="s">
        <v>69</v>
      </c>
      <c r="AI456" t="s">
        <v>128</v>
      </c>
      <c r="AJ456" t="s">
        <v>80</v>
      </c>
      <c r="AK456" t="s">
        <v>280</v>
      </c>
      <c r="AL456" t="s">
        <v>73</v>
      </c>
      <c r="AM456" t="s">
        <v>73</v>
      </c>
      <c r="AN456" t="s">
        <v>74</v>
      </c>
    </row>
    <row r="457" spans="1:40" x14ac:dyDescent="0.25">
      <c r="A457" t="s">
        <v>1649</v>
      </c>
      <c r="B457" t="s">
        <v>5</v>
      </c>
      <c r="C457">
        <v>693.43665299999998</v>
      </c>
      <c r="D457" t="s">
        <v>56</v>
      </c>
      <c r="E457" t="s">
        <v>56</v>
      </c>
      <c r="F457">
        <v>-48999.44</v>
      </c>
      <c r="G457" t="s">
        <v>1649</v>
      </c>
      <c r="H457" t="s">
        <v>7</v>
      </c>
      <c r="I457">
        <v>56300.13</v>
      </c>
      <c r="J457">
        <v>2971.973692</v>
      </c>
      <c r="K457">
        <v>0</v>
      </c>
      <c r="L457">
        <v>0</v>
      </c>
      <c r="M457" t="s">
        <v>1649</v>
      </c>
      <c r="N457" t="s">
        <v>57</v>
      </c>
      <c r="O457" t="s">
        <v>58</v>
      </c>
      <c r="P457" t="s">
        <v>1650</v>
      </c>
      <c r="Q457" t="s">
        <v>223</v>
      </c>
      <c r="R457" t="s">
        <v>61</v>
      </c>
      <c r="S457" t="s">
        <v>58</v>
      </c>
      <c r="T457" t="s">
        <v>1650</v>
      </c>
      <c r="U457" t="s">
        <v>223</v>
      </c>
      <c r="V457" t="s">
        <v>56</v>
      </c>
      <c r="W457" t="s">
        <v>56</v>
      </c>
      <c r="X457" t="s">
        <v>56</v>
      </c>
      <c r="Y457" t="s">
        <v>62</v>
      </c>
      <c r="Z457" t="s">
        <v>63</v>
      </c>
      <c r="AA457" t="s">
        <v>64</v>
      </c>
      <c r="AB457">
        <v>1</v>
      </c>
      <c r="AC457" t="s">
        <v>147</v>
      </c>
      <c r="AD457" t="s">
        <v>66</v>
      </c>
      <c r="AE457" t="s">
        <v>113</v>
      </c>
      <c r="AF457" t="s">
        <v>68</v>
      </c>
      <c r="AG457">
        <v>63333.34</v>
      </c>
      <c r="AH457" t="s">
        <v>69</v>
      </c>
      <c r="AI457" t="s">
        <v>203</v>
      </c>
      <c r="AJ457" t="s">
        <v>324</v>
      </c>
      <c r="AK457" t="s">
        <v>72</v>
      </c>
      <c r="AL457" t="s">
        <v>73</v>
      </c>
      <c r="AM457" t="s">
        <v>73</v>
      </c>
      <c r="AN457" t="s">
        <v>116</v>
      </c>
    </row>
    <row r="458" spans="1:40" x14ac:dyDescent="0.25">
      <c r="A458" t="s">
        <v>1470</v>
      </c>
      <c r="B458" t="s">
        <v>5</v>
      </c>
      <c r="C458">
        <v>693.43501300000003</v>
      </c>
      <c r="D458">
        <v>589.02639899999997</v>
      </c>
      <c r="E458" t="s">
        <v>56</v>
      </c>
      <c r="F458">
        <v>-32504.39</v>
      </c>
      <c r="G458" t="s">
        <v>1470</v>
      </c>
      <c r="H458" t="s">
        <v>7</v>
      </c>
      <c r="I458">
        <v>35387.01</v>
      </c>
      <c r="J458">
        <v>928.58294899999999</v>
      </c>
      <c r="K458">
        <v>788.76875399999994</v>
      </c>
      <c r="L458">
        <v>0</v>
      </c>
      <c r="M458" t="s">
        <v>1470</v>
      </c>
      <c r="N458" t="s">
        <v>57</v>
      </c>
      <c r="O458" t="s">
        <v>58</v>
      </c>
      <c r="P458" t="s">
        <v>1471</v>
      </c>
      <c r="Q458" t="s">
        <v>1472</v>
      </c>
      <c r="R458" t="s">
        <v>61</v>
      </c>
      <c r="S458" t="s">
        <v>58</v>
      </c>
      <c r="T458" t="s">
        <v>1471</v>
      </c>
      <c r="U458" t="s">
        <v>1472</v>
      </c>
      <c r="V458" t="s">
        <v>56</v>
      </c>
      <c r="W458" t="s">
        <v>56</v>
      </c>
      <c r="X458" t="s">
        <v>56</v>
      </c>
      <c r="Y458" t="s">
        <v>62</v>
      </c>
      <c r="Z458" t="s">
        <v>63</v>
      </c>
      <c r="AA458" t="s">
        <v>64</v>
      </c>
      <c r="AB458">
        <v>1</v>
      </c>
      <c r="AC458" t="s">
        <v>84</v>
      </c>
      <c r="AD458" t="s">
        <v>66</v>
      </c>
      <c r="AE458" t="s">
        <v>67</v>
      </c>
      <c r="AF458" t="s">
        <v>68</v>
      </c>
      <c r="AG458">
        <v>42722.77</v>
      </c>
      <c r="AH458" t="s">
        <v>69</v>
      </c>
      <c r="AI458" t="s">
        <v>137</v>
      </c>
      <c r="AJ458" t="s">
        <v>164</v>
      </c>
      <c r="AK458" t="s">
        <v>72</v>
      </c>
      <c r="AL458" t="s">
        <v>73</v>
      </c>
      <c r="AM458" t="s">
        <v>73</v>
      </c>
      <c r="AN458" t="s">
        <v>74</v>
      </c>
    </row>
    <row r="459" spans="1:40" x14ac:dyDescent="0.25">
      <c r="A459" t="s">
        <v>2536</v>
      </c>
      <c r="B459" t="s">
        <v>5</v>
      </c>
      <c r="C459">
        <v>693.27918499999998</v>
      </c>
      <c r="D459">
        <v>588.89403400000003</v>
      </c>
      <c r="E459" t="s">
        <v>56</v>
      </c>
      <c r="F459">
        <v>-37996.660000000003</v>
      </c>
      <c r="G459" t="s">
        <v>2536</v>
      </c>
      <c r="H459" t="s">
        <v>7</v>
      </c>
      <c r="I459">
        <v>43309.67</v>
      </c>
      <c r="J459">
        <v>971.97245399999997</v>
      </c>
      <c r="K459">
        <v>825.62522000000001</v>
      </c>
      <c r="L459">
        <v>0</v>
      </c>
      <c r="M459" t="s">
        <v>2536</v>
      </c>
      <c r="N459" t="s">
        <v>57</v>
      </c>
      <c r="O459" t="s">
        <v>58</v>
      </c>
      <c r="P459" t="s">
        <v>2537</v>
      </c>
      <c r="Q459" t="s">
        <v>2538</v>
      </c>
      <c r="R459" t="s">
        <v>61</v>
      </c>
      <c r="S459" t="s">
        <v>58</v>
      </c>
      <c r="T459" t="s">
        <v>2537</v>
      </c>
      <c r="U459" t="s">
        <v>2538</v>
      </c>
      <c r="V459" t="s">
        <v>56</v>
      </c>
      <c r="W459" t="s">
        <v>56</v>
      </c>
      <c r="X459" t="s">
        <v>56</v>
      </c>
      <c r="Y459" t="s">
        <v>62</v>
      </c>
      <c r="Z459" t="s">
        <v>63</v>
      </c>
      <c r="AA459" t="s">
        <v>64</v>
      </c>
      <c r="AB459">
        <v>1</v>
      </c>
      <c r="AC459" t="s">
        <v>65</v>
      </c>
      <c r="AD459" t="s">
        <v>66</v>
      </c>
      <c r="AE459" t="s">
        <v>67</v>
      </c>
      <c r="AF459" t="s">
        <v>68</v>
      </c>
      <c r="AG459">
        <v>49952.89</v>
      </c>
      <c r="AH459" t="s">
        <v>69</v>
      </c>
      <c r="AI459" t="s">
        <v>343</v>
      </c>
      <c r="AJ459" t="s">
        <v>80</v>
      </c>
      <c r="AK459" t="s">
        <v>72</v>
      </c>
      <c r="AL459" t="s">
        <v>73</v>
      </c>
      <c r="AM459" t="s">
        <v>73</v>
      </c>
      <c r="AN459" t="s">
        <v>74</v>
      </c>
    </row>
    <row r="460" spans="1:40" x14ac:dyDescent="0.25">
      <c r="A460" t="s">
        <v>796</v>
      </c>
      <c r="B460" t="s">
        <v>5</v>
      </c>
      <c r="C460">
        <v>689.608835</v>
      </c>
      <c r="D460">
        <v>585.77631899999994</v>
      </c>
      <c r="E460" t="s">
        <v>56</v>
      </c>
      <c r="F460">
        <v>-26389.53</v>
      </c>
      <c r="G460" t="s">
        <v>796</v>
      </c>
      <c r="H460" t="s">
        <v>7</v>
      </c>
      <c r="I460">
        <v>29643.59</v>
      </c>
      <c r="J460">
        <v>952.79448100000002</v>
      </c>
      <c r="K460">
        <v>809.33482200000003</v>
      </c>
      <c r="L460">
        <v>0</v>
      </c>
      <c r="M460" t="s">
        <v>796</v>
      </c>
      <c r="N460" t="s">
        <v>57</v>
      </c>
      <c r="O460" t="s">
        <v>58</v>
      </c>
      <c r="P460" t="s">
        <v>797</v>
      </c>
      <c r="Q460" t="s">
        <v>541</v>
      </c>
      <c r="R460" t="s">
        <v>61</v>
      </c>
      <c r="S460" t="s">
        <v>58</v>
      </c>
      <c r="T460" t="s">
        <v>797</v>
      </c>
      <c r="U460" t="s">
        <v>541</v>
      </c>
      <c r="V460" t="s">
        <v>56</v>
      </c>
      <c r="W460" t="s">
        <v>56</v>
      </c>
      <c r="X460" t="s">
        <v>56</v>
      </c>
      <c r="Y460" t="s">
        <v>62</v>
      </c>
      <c r="Z460" t="s">
        <v>63</v>
      </c>
      <c r="AA460" t="s">
        <v>64</v>
      </c>
      <c r="AB460">
        <v>1</v>
      </c>
      <c r="AC460" t="s">
        <v>65</v>
      </c>
      <c r="AD460" t="s">
        <v>66</v>
      </c>
      <c r="AE460" t="s">
        <v>67</v>
      </c>
      <c r="AF460" t="s">
        <v>68</v>
      </c>
      <c r="AG460">
        <v>34878.050000000003</v>
      </c>
      <c r="AH460" t="s">
        <v>69</v>
      </c>
      <c r="AI460" t="s">
        <v>297</v>
      </c>
      <c r="AJ460" t="s">
        <v>339</v>
      </c>
      <c r="AK460" t="s">
        <v>72</v>
      </c>
      <c r="AL460" t="s">
        <v>73</v>
      </c>
      <c r="AM460" t="s">
        <v>73</v>
      </c>
      <c r="AN460" t="s">
        <v>74</v>
      </c>
    </row>
    <row r="461" spans="1:40" x14ac:dyDescent="0.25">
      <c r="A461" t="s">
        <v>1869</v>
      </c>
      <c r="B461" t="s">
        <v>5</v>
      </c>
      <c r="C461">
        <v>688.37618299999997</v>
      </c>
      <c r="D461">
        <v>764.675118</v>
      </c>
      <c r="E461" t="s">
        <v>56</v>
      </c>
      <c r="F461">
        <v>-49007.4</v>
      </c>
      <c r="G461" t="s">
        <v>1869</v>
      </c>
      <c r="H461" t="s">
        <v>7</v>
      </c>
      <c r="I461">
        <v>54849.16</v>
      </c>
      <c r="J461">
        <v>753.98190999999997</v>
      </c>
      <c r="K461">
        <v>962.83513700000003</v>
      </c>
      <c r="L461">
        <v>0</v>
      </c>
      <c r="M461" t="s">
        <v>1869</v>
      </c>
      <c r="N461" t="s">
        <v>57</v>
      </c>
      <c r="O461" t="s">
        <v>58</v>
      </c>
      <c r="P461" t="s">
        <v>1870</v>
      </c>
      <c r="Q461" t="s">
        <v>1871</v>
      </c>
      <c r="R461" t="s">
        <v>61</v>
      </c>
      <c r="S461" t="s">
        <v>58</v>
      </c>
      <c r="T461" t="s">
        <v>1870</v>
      </c>
      <c r="U461" t="s">
        <v>1871</v>
      </c>
      <c r="V461" t="s">
        <v>56</v>
      </c>
      <c r="W461" t="s">
        <v>56</v>
      </c>
      <c r="X461" t="s">
        <v>56</v>
      </c>
      <c r="Y461" t="s">
        <v>62</v>
      </c>
      <c r="Z461" t="s">
        <v>63</v>
      </c>
      <c r="AA461" t="s">
        <v>64</v>
      </c>
      <c r="AB461">
        <v>1</v>
      </c>
      <c r="AC461" t="s">
        <v>84</v>
      </c>
      <c r="AD461" t="s">
        <v>66</v>
      </c>
      <c r="AE461" t="s">
        <v>121</v>
      </c>
      <c r="AF461" t="s">
        <v>68</v>
      </c>
      <c r="AG461">
        <v>69105.69</v>
      </c>
      <c r="AH461" t="s">
        <v>69</v>
      </c>
      <c r="AI461" t="s">
        <v>142</v>
      </c>
      <c r="AJ461" t="s">
        <v>93</v>
      </c>
      <c r="AK461" t="s">
        <v>72</v>
      </c>
      <c r="AL461" t="s">
        <v>73</v>
      </c>
      <c r="AM461" t="s">
        <v>73</v>
      </c>
      <c r="AN461" t="s">
        <v>124</v>
      </c>
    </row>
    <row r="462" spans="1:40" x14ac:dyDescent="0.25">
      <c r="A462" t="s">
        <v>2468</v>
      </c>
      <c r="B462" t="s">
        <v>5</v>
      </c>
      <c r="C462">
        <v>686.56735900000001</v>
      </c>
      <c r="D462">
        <v>762.66580599999998</v>
      </c>
      <c r="E462" t="s">
        <v>56</v>
      </c>
      <c r="F462">
        <v>-40966.629999999997</v>
      </c>
      <c r="G462" t="s">
        <v>2468</v>
      </c>
      <c r="H462" t="s">
        <v>7</v>
      </c>
      <c r="I462">
        <v>47720.19</v>
      </c>
      <c r="J462">
        <v>782.67426999999998</v>
      </c>
      <c r="K462">
        <v>999.47528999999997</v>
      </c>
      <c r="L462">
        <v>0</v>
      </c>
      <c r="M462" t="s">
        <v>2468</v>
      </c>
      <c r="N462" t="s">
        <v>57</v>
      </c>
      <c r="O462" t="s">
        <v>58</v>
      </c>
      <c r="P462" t="s">
        <v>2469</v>
      </c>
      <c r="Q462" t="s">
        <v>223</v>
      </c>
      <c r="R462" t="s">
        <v>61</v>
      </c>
      <c r="S462" t="s">
        <v>58</v>
      </c>
      <c r="T462" t="s">
        <v>2469</v>
      </c>
      <c r="U462" t="s">
        <v>223</v>
      </c>
      <c r="V462" t="s">
        <v>56</v>
      </c>
      <c r="W462" t="s">
        <v>56</v>
      </c>
      <c r="X462" t="s">
        <v>56</v>
      </c>
      <c r="Y462" t="s">
        <v>62</v>
      </c>
      <c r="Z462" t="s">
        <v>63</v>
      </c>
      <c r="AA462" t="s">
        <v>64</v>
      </c>
      <c r="AB462">
        <v>1</v>
      </c>
      <c r="AC462" t="s">
        <v>147</v>
      </c>
      <c r="AD462" t="s">
        <v>66</v>
      </c>
      <c r="AE462" t="s">
        <v>121</v>
      </c>
      <c r="AF462" t="s">
        <v>68</v>
      </c>
      <c r="AG462">
        <v>57919.57</v>
      </c>
      <c r="AH462" t="s">
        <v>69</v>
      </c>
      <c r="AI462" t="s">
        <v>142</v>
      </c>
      <c r="AJ462" t="s">
        <v>433</v>
      </c>
      <c r="AK462" t="s">
        <v>72</v>
      </c>
      <c r="AL462" t="s">
        <v>73</v>
      </c>
      <c r="AM462" t="s">
        <v>73</v>
      </c>
      <c r="AN462" t="s">
        <v>124</v>
      </c>
    </row>
    <row r="463" spans="1:40" x14ac:dyDescent="0.25">
      <c r="A463" t="s">
        <v>1332</v>
      </c>
      <c r="B463" t="s">
        <v>5</v>
      </c>
      <c r="C463">
        <v>686.24260700000002</v>
      </c>
      <c r="D463">
        <v>762.30505800000003</v>
      </c>
      <c r="E463" t="s">
        <v>56</v>
      </c>
      <c r="F463">
        <v>-48137.03</v>
      </c>
      <c r="G463" t="s">
        <v>1332</v>
      </c>
      <c r="H463" t="s">
        <v>7</v>
      </c>
      <c r="I463">
        <v>53888.73</v>
      </c>
      <c r="J463">
        <v>751.824568</v>
      </c>
      <c r="K463">
        <v>960.08021099999996</v>
      </c>
      <c r="L463">
        <v>0</v>
      </c>
      <c r="M463" t="s">
        <v>1332</v>
      </c>
      <c r="N463" t="s">
        <v>57</v>
      </c>
      <c r="O463" t="s">
        <v>58</v>
      </c>
      <c r="P463" t="s">
        <v>1333</v>
      </c>
      <c r="Q463" t="s">
        <v>1334</v>
      </c>
      <c r="R463" t="s">
        <v>61</v>
      </c>
      <c r="S463" t="s">
        <v>58</v>
      </c>
      <c r="T463" t="s">
        <v>1333</v>
      </c>
      <c r="U463" t="s">
        <v>1334</v>
      </c>
      <c r="V463" t="s">
        <v>56</v>
      </c>
      <c r="W463" t="s">
        <v>56</v>
      </c>
      <c r="X463" t="s">
        <v>56</v>
      </c>
      <c r="Y463" t="s">
        <v>62</v>
      </c>
      <c r="Z463" t="s">
        <v>63</v>
      </c>
      <c r="AA463" t="s">
        <v>64</v>
      </c>
      <c r="AB463">
        <v>1</v>
      </c>
      <c r="AC463" t="s">
        <v>78</v>
      </c>
      <c r="AD463" t="s">
        <v>66</v>
      </c>
      <c r="AE463" t="s">
        <v>121</v>
      </c>
      <c r="AF463" t="s">
        <v>68</v>
      </c>
      <c r="AG463">
        <v>68089.42</v>
      </c>
      <c r="AH463" t="s">
        <v>69</v>
      </c>
      <c r="AI463" t="s">
        <v>216</v>
      </c>
      <c r="AJ463" t="s">
        <v>93</v>
      </c>
      <c r="AK463" t="s">
        <v>72</v>
      </c>
      <c r="AL463" t="s">
        <v>73</v>
      </c>
      <c r="AM463" t="s">
        <v>73</v>
      </c>
      <c r="AN463" t="s">
        <v>124</v>
      </c>
    </row>
    <row r="464" spans="1:40" x14ac:dyDescent="0.25">
      <c r="A464" t="s">
        <v>405</v>
      </c>
      <c r="B464" t="s">
        <v>5</v>
      </c>
      <c r="C464">
        <v>683.391436</v>
      </c>
      <c r="D464">
        <v>580.49505699999997</v>
      </c>
      <c r="E464" t="s">
        <v>56</v>
      </c>
      <c r="F464">
        <v>-37180.980000000003</v>
      </c>
      <c r="G464" t="s">
        <v>405</v>
      </c>
      <c r="H464" t="s">
        <v>7</v>
      </c>
      <c r="I464">
        <v>42957.91</v>
      </c>
      <c r="J464">
        <v>971.16865399999995</v>
      </c>
      <c r="K464">
        <v>824.94244600000002</v>
      </c>
      <c r="L464">
        <v>0</v>
      </c>
      <c r="M464" t="s">
        <v>405</v>
      </c>
      <c r="N464" t="s">
        <v>57</v>
      </c>
      <c r="O464" t="s">
        <v>58</v>
      </c>
      <c r="P464" t="s">
        <v>406</v>
      </c>
      <c r="Q464" t="s">
        <v>407</v>
      </c>
      <c r="R464" t="s">
        <v>61</v>
      </c>
      <c r="S464" t="s">
        <v>58</v>
      </c>
      <c r="T464" t="s">
        <v>406</v>
      </c>
      <c r="U464" t="s">
        <v>407</v>
      </c>
      <c r="V464" t="s">
        <v>56</v>
      </c>
      <c r="W464" t="s">
        <v>56</v>
      </c>
      <c r="X464" t="s">
        <v>56</v>
      </c>
      <c r="Y464" t="s">
        <v>62</v>
      </c>
      <c r="Z464" t="s">
        <v>63</v>
      </c>
      <c r="AA464" t="s">
        <v>64</v>
      </c>
      <c r="AB464">
        <v>1</v>
      </c>
      <c r="AC464" t="s">
        <v>65</v>
      </c>
      <c r="AD464" t="s">
        <v>66</v>
      </c>
      <c r="AE464" t="s">
        <v>67</v>
      </c>
      <c r="AF464" t="s">
        <v>68</v>
      </c>
      <c r="AG464">
        <v>49587.8</v>
      </c>
      <c r="AH464" t="s">
        <v>69</v>
      </c>
      <c r="AI464" t="s">
        <v>216</v>
      </c>
      <c r="AJ464" t="s">
        <v>359</v>
      </c>
      <c r="AK464" t="s">
        <v>72</v>
      </c>
      <c r="AL464" t="s">
        <v>73</v>
      </c>
      <c r="AM464" t="s">
        <v>73</v>
      </c>
      <c r="AN464" t="s">
        <v>74</v>
      </c>
    </row>
    <row r="465" spans="1:40" x14ac:dyDescent="0.25">
      <c r="A465" t="s">
        <v>882</v>
      </c>
      <c r="B465" t="s">
        <v>5</v>
      </c>
      <c r="C465">
        <v>675.21890900000005</v>
      </c>
      <c r="D465">
        <v>573.553045</v>
      </c>
      <c r="E465" t="s">
        <v>56</v>
      </c>
      <c r="F465">
        <v>-76119.600000000006</v>
      </c>
      <c r="G465" t="s">
        <v>882</v>
      </c>
      <c r="H465" t="s">
        <v>7</v>
      </c>
      <c r="I465">
        <v>85769.64</v>
      </c>
      <c r="J465">
        <v>935.80593799999997</v>
      </c>
      <c r="K465">
        <v>794.90419799999995</v>
      </c>
      <c r="L465">
        <v>0</v>
      </c>
      <c r="M465" t="s">
        <v>882</v>
      </c>
      <c r="N465" t="s">
        <v>57</v>
      </c>
      <c r="O465" t="s">
        <v>58</v>
      </c>
      <c r="P465" t="s">
        <v>883</v>
      </c>
      <c r="Q465" t="s">
        <v>884</v>
      </c>
      <c r="R465" t="s">
        <v>61</v>
      </c>
      <c r="S465" t="s">
        <v>58</v>
      </c>
      <c r="T465" t="s">
        <v>883</v>
      </c>
      <c r="U465" t="s">
        <v>884</v>
      </c>
      <c r="V465" t="s">
        <v>56</v>
      </c>
      <c r="W465" t="s">
        <v>56</v>
      </c>
      <c r="X465" t="s">
        <v>56</v>
      </c>
      <c r="Y465" t="s">
        <v>62</v>
      </c>
      <c r="Z465" t="s">
        <v>63</v>
      </c>
      <c r="AA465" t="s">
        <v>64</v>
      </c>
      <c r="AB465">
        <v>1</v>
      </c>
      <c r="AC465" t="s">
        <v>120</v>
      </c>
      <c r="AD465" t="s">
        <v>66</v>
      </c>
      <c r="AE465" t="s">
        <v>67</v>
      </c>
      <c r="AF465" t="s">
        <v>86</v>
      </c>
      <c r="AG465">
        <v>102748.39</v>
      </c>
      <c r="AH465" t="s">
        <v>69</v>
      </c>
      <c r="AI465" t="s">
        <v>343</v>
      </c>
      <c r="AJ465" t="s">
        <v>293</v>
      </c>
      <c r="AK465" t="s">
        <v>72</v>
      </c>
      <c r="AL465" t="s">
        <v>73</v>
      </c>
      <c r="AM465" t="s">
        <v>73</v>
      </c>
      <c r="AN465" t="s">
        <v>74</v>
      </c>
    </row>
    <row r="466" spans="1:40" x14ac:dyDescent="0.25">
      <c r="A466" t="s">
        <v>495</v>
      </c>
      <c r="B466" t="s">
        <v>5</v>
      </c>
      <c r="C466">
        <v>674.29627700000003</v>
      </c>
      <c r="D466">
        <v>572.76932999999997</v>
      </c>
      <c r="E466" t="s">
        <v>56</v>
      </c>
      <c r="F466">
        <v>-33021.68</v>
      </c>
      <c r="G466" t="s">
        <v>495</v>
      </c>
      <c r="H466" t="s">
        <v>7</v>
      </c>
      <c r="I466">
        <v>36703.379999999997</v>
      </c>
      <c r="J466">
        <v>921.85883100000001</v>
      </c>
      <c r="K466">
        <v>783.05706799999996</v>
      </c>
      <c r="L466">
        <v>0</v>
      </c>
      <c r="M466" t="s">
        <v>495</v>
      </c>
      <c r="N466" t="s">
        <v>57</v>
      </c>
      <c r="O466" t="s">
        <v>58</v>
      </c>
      <c r="P466" t="s">
        <v>496</v>
      </c>
      <c r="Q466" t="s">
        <v>497</v>
      </c>
      <c r="R466" t="s">
        <v>61</v>
      </c>
      <c r="S466" t="s">
        <v>58</v>
      </c>
      <c r="T466" t="s">
        <v>496</v>
      </c>
      <c r="U466" t="s">
        <v>497</v>
      </c>
      <c r="V466" t="s">
        <v>56</v>
      </c>
      <c r="W466" t="s">
        <v>56</v>
      </c>
      <c r="X466" t="s">
        <v>56</v>
      </c>
      <c r="Y466" t="s">
        <v>62</v>
      </c>
      <c r="Z466" t="s">
        <v>63</v>
      </c>
      <c r="AA466" t="s">
        <v>64</v>
      </c>
      <c r="AB466">
        <v>1</v>
      </c>
      <c r="AC466" t="s">
        <v>84</v>
      </c>
      <c r="AD466" t="s">
        <v>66</v>
      </c>
      <c r="AE466" t="s">
        <v>67</v>
      </c>
      <c r="AF466" t="s">
        <v>68</v>
      </c>
      <c r="AG466">
        <v>44634.59</v>
      </c>
      <c r="AH466" t="s">
        <v>69</v>
      </c>
      <c r="AI466" t="s">
        <v>278</v>
      </c>
      <c r="AJ466" t="s">
        <v>359</v>
      </c>
      <c r="AK466" t="s">
        <v>72</v>
      </c>
      <c r="AL466" t="s">
        <v>73</v>
      </c>
      <c r="AM466" t="s">
        <v>73</v>
      </c>
      <c r="AN466" t="s">
        <v>74</v>
      </c>
    </row>
    <row r="467" spans="1:40" x14ac:dyDescent="0.25">
      <c r="A467" t="s">
        <v>837</v>
      </c>
      <c r="B467" t="s">
        <v>5</v>
      </c>
      <c r="C467" s="2">
        <v>673.98678199999995</v>
      </c>
      <c r="D467">
        <v>748.69081000000006</v>
      </c>
      <c r="E467" t="s">
        <v>56</v>
      </c>
      <c r="F467">
        <v>-46853.94</v>
      </c>
      <c r="G467" t="s">
        <v>837</v>
      </c>
      <c r="H467" t="s">
        <v>7</v>
      </c>
      <c r="I467">
        <v>51556.27</v>
      </c>
      <c r="J467">
        <v>0</v>
      </c>
      <c r="K467">
        <v>0</v>
      </c>
      <c r="L467">
        <v>0</v>
      </c>
      <c r="M467" t="s">
        <v>837</v>
      </c>
      <c r="N467" t="s">
        <v>57</v>
      </c>
      <c r="O467" t="s">
        <v>58</v>
      </c>
      <c r="P467" t="s">
        <v>838</v>
      </c>
      <c r="Q467" t="s">
        <v>839</v>
      </c>
      <c r="R467" t="s">
        <v>61</v>
      </c>
      <c r="S467" t="s">
        <v>58</v>
      </c>
      <c r="T467" t="s">
        <v>838</v>
      </c>
      <c r="U467" t="s">
        <v>839</v>
      </c>
      <c r="V467" t="s">
        <v>56</v>
      </c>
      <c r="W467" t="s">
        <v>56</v>
      </c>
      <c r="X467" t="s">
        <v>56</v>
      </c>
      <c r="Y467" t="s">
        <v>62</v>
      </c>
      <c r="Z467" t="s">
        <v>63</v>
      </c>
      <c r="AA467" t="s">
        <v>64</v>
      </c>
      <c r="AB467">
        <v>1</v>
      </c>
      <c r="AC467" t="s">
        <v>84</v>
      </c>
      <c r="AD467" t="s">
        <v>66</v>
      </c>
      <c r="AE467" t="s">
        <v>289</v>
      </c>
      <c r="AF467" t="s">
        <v>68</v>
      </c>
      <c r="AG467">
        <v>67479.67</v>
      </c>
      <c r="AH467" t="s">
        <v>69</v>
      </c>
      <c r="AI467" t="s">
        <v>216</v>
      </c>
      <c r="AJ467" t="s">
        <v>115</v>
      </c>
      <c r="AK467" t="s">
        <v>72</v>
      </c>
      <c r="AL467" t="s">
        <v>73</v>
      </c>
      <c r="AM467" t="s">
        <v>73</v>
      </c>
      <c r="AN467" t="s">
        <v>56</v>
      </c>
    </row>
    <row r="468" spans="1:40" x14ac:dyDescent="0.25">
      <c r="A468" t="s">
        <v>1373</v>
      </c>
      <c r="B468" t="s">
        <v>5</v>
      </c>
      <c r="C468">
        <v>672.95997299999999</v>
      </c>
      <c r="D468">
        <v>571.63423</v>
      </c>
      <c r="E468" t="s">
        <v>56</v>
      </c>
      <c r="F468">
        <v>-16507.95</v>
      </c>
      <c r="G468" t="s">
        <v>1373</v>
      </c>
      <c r="H468" t="s">
        <v>7</v>
      </c>
      <c r="I468">
        <v>20019.12</v>
      </c>
      <c r="J468">
        <v>1003.82401</v>
      </c>
      <c r="K468">
        <v>852.68097499999999</v>
      </c>
      <c r="L468">
        <v>0</v>
      </c>
      <c r="M468" t="s">
        <v>1373</v>
      </c>
      <c r="N468" t="s">
        <v>57</v>
      </c>
      <c r="O468" t="s">
        <v>58</v>
      </c>
      <c r="P468" t="s">
        <v>1374</v>
      </c>
      <c r="Q468" t="s">
        <v>1375</v>
      </c>
      <c r="R468" t="s">
        <v>61</v>
      </c>
      <c r="S468" t="s">
        <v>58</v>
      </c>
      <c r="T468" t="s">
        <v>1374</v>
      </c>
      <c r="U468" t="s">
        <v>1375</v>
      </c>
      <c r="V468" t="s">
        <v>56</v>
      </c>
      <c r="W468" t="s">
        <v>56</v>
      </c>
      <c r="X468" t="s">
        <v>56</v>
      </c>
      <c r="Y468" t="s">
        <v>62</v>
      </c>
      <c r="Z468" t="s">
        <v>63</v>
      </c>
      <c r="AA468" t="s">
        <v>64</v>
      </c>
      <c r="AB468">
        <v>1</v>
      </c>
      <c r="AC468" t="s">
        <v>65</v>
      </c>
      <c r="AD468" t="s">
        <v>66</v>
      </c>
      <c r="AE468" t="s">
        <v>67</v>
      </c>
      <c r="AF468" t="s">
        <v>68</v>
      </c>
      <c r="AG468">
        <v>22357.72</v>
      </c>
      <c r="AH468" t="s">
        <v>69</v>
      </c>
      <c r="AI468" t="s">
        <v>355</v>
      </c>
      <c r="AJ468" t="s">
        <v>228</v>
      </c>
      <c r="AK468" t="s">
        <v>72</v>
      </c>
      <c r="AL468" t="s">
        <v>73</v>
      </c>
      <c r="AM468" t="s">
        <v>73</v>
      </c>
      <c r="AN468" t="s">
        <v>74</v>
      </c>
    </row>
    <row r="469" spans="1:40" x14ac:dyDescent="0.25">
      <c r="A469" t="s">
        <v>1452</v>
      </c>
      <c r="B469" t="s">
        <v>5</v>
      </c>
      <c r="C469">
        <v>672.46894899999995</v>
      </c>
      <c r="D469">
        <v>571.21713799999998</v>
      </c>
      <c r="E469" t="s">
        <v>56</v>
      </c>
      <c r="F469">
        <v>-30903.25</v>
      </c>
      <c r="G469" t="s">
        <v>1452</v>
      </c>
      <c r="H469" t="s">
        <v>7</v>
      </c>
      <c r="I469">
        <v>34391.019999999997</v>
      </c>
      <c r="J469">
        <v>920.503469</v>
      </c>
      <c r="K469">
        <v>781.90578000000005</v>
      </c>
      <c r="L469">
        <v>0</v>
      </c>
      <c r="M469" t="s">
        <v>1452</v>
      </c>
      <c r="N469" t="s">
        <v>57</v>
      </c>
      <c r="O469" t="s">
        <v>58</v>
      </c>
      <c r="P469" t="s">
        <v>1453</v>
      </c>
      <c r="Q469" t="s">
        <v>1454</v>
      </c>
      <c r="R469" t="s">
        <v>61</v>
      </c>
      <c r="S469" t="s">
        <v>58</v>
      </c>
      <c r="T469" t="s">
        <v>1453</v>
      </c>
      <c r="U469" t="s">
        <v>1454</v>
      </c>
      <c r="V469" t="s">
        <v>56</v>
      </c>
      <c r="W469" t="s">
        <v>56</v>
      </c>
      <c r="X469" t="s">
        <v>56</v>
      </c>
      <c r="Y469" t="s">
        <v>62</v>
      </c>
      <c r="Z469" t="s">
        <v>63</v>
      </c>
      <c r="AA469" t="s">
        <v>64</v>
      </c>
      <c r="AB469">
        <v>1</v>
      </c>
      <c r="AC469" t="s">
        <v>84</v>
      </c>
      <c r="AD469" t="s">
        <v>66</v>
      </c>
      <c r="AE469" t="s">
        <v>67</v>
      </c>
      <c r="AF469" t="s">
        <v>68</v>
      </c>
      <c r="AG469">
        <v>41884.660000000003</v>
      </c>
      <c r="AH469" t="s">
        <v>69</v>
      </c>
      <c r="AI469" t="s">
        <v>285</v>
      </c>
      <c r="AJ469" t="s">
        <v>359</v>
      </c>
      <c r="AK469" t="s">
        <v>72</v>
      </c>
      <c r="AL469" t="s">
        <v>73</v>
      </c>
      <c r="AM469" t="s">
        <v>73</v>
      </c>
      <c r="AN469" t="s">
        <v>74</v>
      </c>
    </row>
    <row r="470" spans="1:40" x14ac:dyDescent="0.25">
      <c r="A470" t="s">
        <v>160</v>
      </c>
      <c r="B470" t="s">
        <v>5</v>
      </c>
      <c r="C470">
        <v>671.58106899999996</v>
      </c>
      <c r="D470">
        <v>570.46294399999999</v>
      </c>
      <c r="E470" t="s">
        <v>56</v>
      </c>
      <c r="F470">
        <v>-34645.29</v>
      </c>
      <c r="G470" t="s">
        <v>160</v>
      </c>
      <c r="H470" t="s">
        <v>7</v>
      </c>
      <c r="I470">
        <v>40241.81</v>
      </c>
      <c r="J470">
        <v>959.47375599999998</v>
      </c>
      <c r="K470">
        <v>815.00841700000001</v>
      </c>
      <c r="L470">
        <v>0</v>
      </c>
      <c r="M470" t="s">
        <v>160</v>
      </c>
      <c r="N470" t="s">
        <v>57</v>
      </c>
      <c r="O470" t="s">
        <v>58</v>
      </c>
      <c r="P470" t="s">
        <v>161</v>
      </c>
      <c r="Q470" t="s">
        <v>162</v>
      </c>
      <c r="R470" t="s">
        <v>61</v>
      </c>
      <c r="S470" t="s">
        <v>58</v>
      </c>
      <c r="T470" t="s">
        <v>161</v>
      </c>
      <c r="U470" t="s">
        <v>162</v>
      </c>
      <c r="V470" t="s">
        <v>56</v>
      </c>
      <c r="W470" t="s">
        <v>56</v>
      </c>
      <c r="X470" t="s">
        <v>56</v>
      </c>
      <c r="Y470" t="s">
        <v>62</v>
      </c>
      <c r="Z470" t="s">
        <v>63</v>
      </c>
      <c r="AA470" t="s">
        <v>64</v>
      </c>
      <c r="AB470">
        <v>1</v>
      </c>
      <c r="AC470" t="s">
        <v>120</v>
      </c>
      <c r="AD470" t="s">
        <v>66</v>
      </c>
      <c r="AE470" t="s">
        <v>67</v>
      </c>
      <c r="AF470" t="s">
        <v>68</v>
      </c>
      <c r="AG470">
        <v>47018.57</v>
      </c>
      <c r="AH470" t="s">
        <v>69</v>
      </c>
      <c r="AI470" t="s">
        <v>163</v>
      </c>
      <c r="AJ470" t="s">
        <v>164</v>
      </c>
      <c r="AK470" t="s">
        <v>72</v>
      </c>
      <c r="AL470" t="s">
        <v>73</v>
      </c>
      <c r="AM470" t="s">
        <v>73</v>
      </c>
      <c r="AN470" t="s">
        <v>74</v>
      </c>
    </row>
    <row r="471" spans="1:40" x14ac:dyDescent="0.25">
      <c r="A471" t="s">
        <v>2195</v>
      </c>
      <c r="B471" t="s">
        <v>5</v>
      </c>
      <c r="C471" s="2">
        <v>671.57527800000003</v>
      </c>
      <c r="D471" t="s">
        <v>56</v>
      </c>
      <c r="E471" t="s">
        <v>56</v>
      </c>
      <c r="F471">
        <v>-8647.09</v>
      </c>
      <c r="G471" t="s">
        <v>2195</v>
      </c>
      <c r="H471" t="s">
        <v>7</v>
      </c>
      <c r="I471">
        <v>11044.22</v>
      </c>
      <c r="J471">
        <v>0</v>
      </c>
      <c r="K471">
        <v>0</v>
      </c>
      <c r="L471">
        <v>0</v>
      </c>
      <c r="M471" t="s">
        <v>2195</v>
      </c>
      <c r="N471" t="s">
        <v>57</v>
      </c>
      <c r="O471" t="s">
        <v>58</v>
      </c>
      <c r="P471" t="s">
        <v>2196</v>
      </c>
      <c r="Q471" t="s">
        <v>452</v>
      </c>
      <c r="R471" t="s">
        <v>61</v>
      </c>
      <c r="S471" t="s">
        <v>58</v>
      </c>
      <c r="T471" t="s">
        <v>2196</v>
      </c>
      <c r="U471" t="s">
        <v>452</v>
      </c>
      <c r="V471" t="s">
        <v>56</v>
      </c>
      <c r="W471" t="s">
        <v>56</v>
      </c>
      <c r="X471" t="s">
        <v>56</v>
      </c>
      <c r="Y471" t="s">
        <v>62</v>
      </c>
      <c r="Z471" t="s">
        <v>63</v>
      </c>
      <c r="AA471" t="s">
        <v>64</v>
      </c>
      <c r="AB471">
        <v>1</v>
      </c>
      <c r="AC471" t="s">
        <v>147</v>
      </c>
      <c r="AD471" t="s">
        <v>66</v>
      </c>
      <c r="AE471" t="s">
        <v>85</v>
      </c>
      <c r="AF471" t="s">
        <v>68</v>
      </c>
      <c r="AG471">
        <v>34997.42</v>
      </c>
      <c r="AH471" t="s">
        <v>69</v>
      </c>
      <c r="AI471" t="s">
        <v>122</v>
      </c>
      <c r="AJ471" t="s">
        <v>692</v>
      </c>
      <c r="AK471" t="s">
        <v>72</v>
      </c>
      <c r="AL471" t="s">
        <v>73</v>
      </c>
      <c r="AM471" t="s">
        <v>73</v>
      </c>
      <c r="AN471" t="s">
        <v>56</v>
      </c>
    </row>
    <row r="472" spans="1:40" x14ac:dyDescent="0.25">
      <c r="A472" t="s">
        <v>549</v>
      </c>
      <c r="B472" t="s">
        <v>5</v>
      </c>
      <c r="C472">
        <v>670.46897799999999</v>
      </c>
      <c r="D472">
        <v>569.51829799999996</v>
      </c>
      <c r="E472" t="s">
        <v>56</v>
      </c>
      <c r="F472">
        <v>-45017.760000000002</v>
      </c>
      <c r="G472" t="s">
        <v>549</v>
      </c>
      <c r="H472" t="s">
        <v>7</v>
      </c>
      <c r="I472">
        <v>48503.81</v>
      </c>
      <c r="J472">
        <v>888.53420200000005</v>
      </c>
      <c r="K472">
        <v>754.75003800000002</v>
      </c>
      <c r="L472">
        <v>0</v>
      </c>
      <c r="M472" t="s">
        <v>549</v>
      </c>
      <c r="N472" t="s">
        <v>57</v>
      </c>
      <c r="O472" t="s">
        <v>58</v>
      </c>
      <c r="P472" t="s">
        <v>550</v>
      </c>
      <c r="Q472" t="s">
        <v>551</v>
      </c>
      <c r="R472" t="s">
        <v>61</v>
      </c>
      <c r="S472" t="s">
        <v>58</v>
      </c>
      <c r="T472" t="s">
        <v>550</v>
      </c>
      <c r="U472" t="s">
        <v>551</v>
      </c>
      <c r="V472" t="s">
        <v>56</v>
      </c>
      <c r="W472" t="s">
        <v>56</v>
      </c>
      <c r="X472" t="s">
        <v>56</v>
      </c>
      <c r="Y472" t="s">
        <v>62</v>
      </c>
      <c r="Z472" t="s">
        <v>63</v>
      </c>
      <c r="AA472" t="s">
        <v>64</v>
      </c>
      <c r="AB472">
        <v>1</v>
      </c>
      <c r="AC472" t="s">
        <v>78</v>
      </c>
      <c r="AD472" t="s">
        <v>66</v>
      </c>
      <c r="AE472" t="s">
        <v>67</v>
      </c>
      <c r="AF472" t="s">
        <v>68</v>
      </c>
      <c r="AG472">
        <v>61196.77</v>
      </c>
      <c r="AH472" t="s">
        <v>69</v>
      </c>
      <c r="AI472" t="s">
        <v>216</v>
      </c>
      <c r="AJ472" t="s">
        <v>71</v>
      </c>
      <c r="AK472" t="s">
        <v>72</v>
      </c>
      <c r="AL472" t="s">
        <v>73</v>
      </c>
      <c r="AM472" t="s">
        <v>73</v>
      </c>
      <c r="AN472" t="s">
        <v>74</v>
      </c>
    </row>
    <row r="473" spans="1:40" x14ac:dyDescent="0.25">
      <c r="A473" t="s">
        <v>1189</v>
      </c>
      <c r="B473" t="s">
        <v>5</v>
      </c>
      <c r="C473" s="2">
        <v>668.50709900000004</v>
      </c>
      <c r="D473">
        <v>853.68377699999996</v>
      </c>
      <c r="E473" t="s">
        <v>56</v>
      </c>
      <c r="F473">
        <v>-52872.02</v>
      </c>
      <c r="G473" t="s">
        <v>1189</v>
      </c>
      <c r="H473" t="s">
        <v>7</v>
      </c>
      <c r="I473">
        <v>59919.78</v>
      </c>
      <c r="J473">
        <v>0</v>
      </c>
      <c r="K473">
        <v>0</v>
      </c>
      <c r="L473">
        <v>0</v>
      </c>
      <c r="M473" t="s">
        <v>1189</v>
      </c>
      <c r="N473" t="s">
        <v>57</v>
      </c>
      <c r="O473" t="s">
        <v>58</v>
      </c>
      <c r="P473" t="s">
        <v>1190</v>
      </c>
      <c r="Q473" t="s">
        <v>1191</v>
      </c>
      <c r="R473" t="s">
        <v>61</v>
      </c>
      <c r="S473" t="s">
        <v>58</v>
      </c>
      <c r="T473" t="s">
        <v>1190</v>
      </c>
      <c r="U473" t="s">
        <v>1191</v>
      </c>
      <c r="V473" t="s">
        <v>56</v>
      </c>
      <c r="W473" t="s">
        <v>56</v>
      </c>
      <c r="X473" t="s">
        <v>56</v>
      </c>
      <c r="Y473" t="s">
        <v>62</v>
      </c>
      <c r="Z473" t="s">
        <v>63</v>
      </c>
      <c r="AA473" t="s">
        <v>64</v>
      </c>
      <c r="AB473">
        <v>1</v>
      </c>
      <c r="AC473" t="s">
        <v>84</v>
      </c>
      <c r="AD473" t="s">
        <v>66</v>
      </c>
      <c r="AE473" t="s">
        <v>289</v>
      </c>
      <c r="AF473" t="s">
        <v>68</v>
      </c>
      <c r="AG473">
        <v>61082.45</v>
      </c>
      <c r="AH473" t="s">
        <v>69</v>
      </c>
      <c r="AI473" t="s">
        <v>163</v>
      </c>
      <c r="AJ473" t="s">
        <v>606</v>
      </c>
      <c r="AK473" t="s">
        <v>72</v>
      </c>
      <c r="AL473" t="s">
        <v>73</v>
      </c>
      <c r="AM473" t="s">
        <v>73</v>
      </c>
      <c r="AN473" t="s">
        <v>56</v>
      </c>
    </row>
    <row r="474" spans="1:40" x14ac:dyDescent="0.25">
      <c r="A474" t="s">
        <v>514</v>
      </c>
      <c r="B474" t="s">
        <v>5</v>
      </c>
      <c r="C474">
        <v>668.15398900000002</v>
      </c>
      <c r="D474">
        <v>567.55187000000001</v>
      </c>
      <c r="E474" t="s">
        <v>56</v>
      </c>
      <c r="F474">
        <v>-24022.23</v>
      </c>
      <c r="G474" t="s">
        <v>514</v>
      </c>
      <c r="H474" t="s">
        <v>7</v>
      </c>
      <c r="I474">
        <v>27860.11</v>
      </c>
      <c r="J474">
        <v>953.14649399999996</v>
      </c>
      <c r="K474">
        <v>809.63383299999998</v>
      </c>
      <c r="L474">
        <v>0</v>
      </c>
      <c r="M474" t="s">
        <v>514</v>
      </c>
      <c r="N474" t="s">
        <v>57</v>
      </c>
      <c r="O474" t="s">
        <v>58</v>
      </c>
      <c r="P474" t="s">
        <v>515</v>
      </c>
      <c r="Q474" t="s">
        <v>516</v>
      </c>
      <c r="R474" t="s">
        <v>61</v>
      </c>
      <c r="S474" t="s">
        <v>58</v>
      </c>
      <c r="T474" t="s">
        <v>515</v>
      </c>
      <c r="U474" t="s">
        <v>516</v>
      </c>
      <c r="V474" t="s">
        <v>56</v>
      </c>
      <c r="W474" t="s">
        <v>56</v>
      </c>
      <c r="X474" t="s">
        <v>56</v>
      </c>
      <c r="Y474" t="s">
        <v>62</v>
      </c>
      <c r="Z474" t="s">
        <v>63</v>
      </c>
      <c r="AA474" t="s">
        <v>64</v>
      </c>
      <c r="AB474">
        <v>1</v>
      </c>
      <c r="AC474" t="s">
        <v>120</v>
      </c>
      <c r="AD474" t="s">
        <v>66</v>
      </c>
      <c r="AE474" t="s">
        <v>67</v>
      </c>
      <c r="AF474" t="s">
        <v>68</v>
      </c>
      <c r="AG474">
        <v>32768.769999999997</v>
      </c>
      <c r="AH474" t="s">
        <v>69</v>
      </c>
      <c r="AI474" t="s">
        <v>128</v>
      </c>
      <c r="AJ474" t="s">
        <v>164</v>
      </c>
      <c r="AK474" t="s">
        <v>72</v>
      </c>
      <c r="AL474" t="s">
        <v>73</v>
      </c>
      <c r="AM474" t="s">
        <v>73</v>
      </c>
      <c r="AN474" t="s">
        <v>74</v>
      </c>
    </row>
    <row r="475" spans="1:40" x14ac:dyDescent="0.25">
      <c r="A475" t="s">
        <v>777</v>
      </c>
      <c r="B475" t="s">
        <v>5</v>
      </c>
      <c r="C475" s="2">
        <v>667.64363600000001</v>
      </c>
      <c r="D475" t="s">
        <v>56</v>
      </c>
      <c r="E475" t="s">
        <v>56</v>
      </c>
      <c r="F475">
        <v>-15078.55</v>
      </c>
      <c r="G475" t="s">
        <v>777</v>
      </c>
      <c r="H475" t="s">
        <v>7</v>
      </c>
      <c r="I475">
        <v>22368.22</v>
      </c>
      <c r="J475">
        <v>0</v>
      </c>
      <c r="K475">
        <v>0</v>
      </c>
      <c r="L475">
        <v>0</v>
      </c>
      <c r="M475" t="s">
        <v>777</v>
      </c>
      <c r="N475" t="s">
        <v>57</v>
      </c>
      <c r="O475" t="s">
        <v>58</v>
      </c>
      <c r="P475" t="s">
        <v>778</v>
      </c>
      <c r="Q475" t="s">
        <v>779</v>
      </c>
      <c r="R475" t="s">
        <v>61</v>
      </c>
      <c r="S475" t="s">
        <v>58</v>
      </c>
      <c r="T475" t="s">
        <v>778</v>
      </c>
      <c r="U475" t="s">
        <v>779</v>
      </c>
      <c r="V475" t="s">
        <v>56</v>
      </c>
      <c r="W475" t="s">
        <v>56</v>
      </c>
      <c r="X475" t="s">
        <v>56</v>
      </c>
      <c r="Y475" t="s">
        <v>62</v>
      </c>
      <c r="Z475" t="s">
        <v>63</v>
      </c>
      <c r="AA475" t="s">
        <v>64</v>
      </c>
      <c r="AB475">
        <v>1</v>
      </c>
      <c r="AC475" t="s">
        <v>65</v>
      </c>
      <c r="AD475" t="s">
        <v>66</v>
      </c>
      <c r="AE475" t="s">
        <v>85</v>
      </c>
      <c r="AF475" t="s">
        <v>86</v>
      </c>
      <c r="AG475">
        <v>61386.85</v>
      </c>
      <c r="AH475" t="s">
        <v>69</v>
      </c>
      <c r="AI475" t="s">
        <v>203</v>
      </c>
      <c r="AJ475" t="s">
        <v>177</v>
      </c>
      <c r="AK475" t="s">
        <v>72</v>
      </c>
      <c r="AL475" t="s">
        <v>73</v>
      </c>
      <c r="AM475" t="s">
        <v>73</v>
      </c>
      <c r="AN475" t="s">
        <v>56</v>
      </c>
    </row>
    <row r="476" spans="1:40" x14ac:dyDescent="0.25">
      <c r="A476" t="s">
        <v>1511</v>
      </c>
      <c r="B476" t="s">
        <v>5</v>
      </c>
      <c r="C476">
        <v>667.60803299999998</v>
      </c>
      <c r="D476">
        <v>567.08811700000001</v>
      </c>
      <c r="E476" t="s">
        <v>56</v>
      </c>
      <c r="F476">
        <v>-24935.13</v>
      </c>
      <c r="G476" t="s">
        <v>1511</v>
      </c>
      <c r="H476" t="s">
        <v>7</v>
      </c>
      <c r="I476">
        <v>26651.94</v>
      </c>
      <c r="J476">
        <v>877.686826</v>
      </c>
      <c r="K476">
        <v>745.53592100000003</v>
      </c>
      <c r="L476">
        <v>0</v>
      </c>
      <c r="M476" t="s">
        <v>1511</v>
      </c>
      <c r="N476" t="s">
        <v>57</v>
      </c>
      <c r="O476" t="s">
        <v>58</v>
      </c>
      <c r="P476" t="s">
        <v>1512</v>
      </c>
      <c r="Q476" t="s">
        <v>1513</v>
      </c>
      <c r="R476" t="s">
        <v>61</v>
      </c>
      <c r="S476" t="s">
        <v>58</v>
      </c>
      <c r="T476" t="s">
        <v>1512</v>
      </c>
      <c r="U476" t="s">
        <v>1513</v>
      </c>
      <c r="V476" t="s">
        <v>56</v>
      </c>
      <c r="W476" t="s">
        <v>56</v>
      </c>
      <c r="X476" t="s">
        <v>56</v>
      </c>
      <c r="Y476" t="s">
        <v>62</v>
      </c>
      <c r="Z476" t="s">
        <v>63</v>
      </c>
      <c r="AA476" t="s">
        <v>64</v>
      </c>
      <c r="AB476">
        <v>1</v>
      </c>
      <c r="AC476" t="s">
        <v>84</v>
      </c>
      <c r="AD476" t="s">
        <v>66</v>
      </c>
      <c r="AE476" t="s">
        <v>67</v>
      </c>
      <c r="AF476" t="s">
        <v>68</v>
      </c>
      <c r="AG476">
        <v>34041.870000000003</v>
      </c>
      <c r="AH476" t="s">
        <v>69</v>
      </c>
      <c r="AI476" t="s">
        <v>137</v>
      </c>
      <c r="AJ476" t="s">
        <v>138</v>
      </c>
      <c r="AK476" t="s">
        <v>72</v>
      </c>
      <c r="AL476" t="s">
        <v>73</v>
      </c>
      <c r="AM476" t="s">
        <v>73</v>
      </c>
      <c r="AN476" t="s">
        <v>74</v>
      </c>
    </row>
    <row r="477" spans="1:40" x14ac:dyDescent="0.25">
      <c r="A477" t="s">
        <v>1335</v>
      </c>
      <c r="B477" t="s">
        <v>5</v>
      </c>
      <c r="C477">
        <v>665.56434100000001</v>
      </c>
      <c r="D477">
        <v>565.35213799999997</v>
      </c>
      <c r="E477" t="s">
        <v>56</v>
      </c>
      <c r="F477">
        <v>-26228.02</v>
      </c>
      <c r="G477" t="s">
        <v>1335</v>
      </c>
      <c r="H477" t="s">
        <v>7</v>
      </c>
      <c r="I477">
        <v>29084.31</v>
      </c>
      <c r="J477">
        <v>900.41407500000003</v>
      </c>
      <c r="K477">
        <v>764.84118999999998</v>
      </c>
      <c r="L477">
        <v>0</v>
      </c>
      <c r="M477" t="s">
        <v>1335</v>
      </c>
      <c r="N477" t="s">
        <v>57</v>
      </c>
      <c r="O477" t="s">
        <v>58</v>
      </c>
      <c r="P477" t="s">
        <v>1336</v>
      </c>
      <c r="Q477" t="s">
        <v>1337</v>
      </c>
      <c r="R477" t="s">
        <v>61</v>
      </c>
      <c r="S477" t="s">
        <v>58</v>
      </c>
      <c r="T477" t="s">
        <v>1336</v>
      </c>
      <c r="U477" t="s">
        <v>1337</v>
      </c>
      <c r="V477" t="s">
        <v>56</v>
      </c>
      <c r="W477" t="s">
        <v>56</v>
      </c>
      <c r="X477" t="s">
        <v>56</v>
      </c>
      <c r="Y477" t="s">
        <v>62</v>
      </c>
      <c r="Z477" t="s">
        <v>63</v>
      </c>
      <c r="AA477" t="s">
        <v>64</v>
      </c>
      <c r="AB477">
        <v>1</v>
      </c>
      <c r="AC477" t="s">
        <v>84</v>
      </c>
      <c r="AD477" t="s">
        <v>66</v>
      </c>
      <c r="AE477" t="s">
        <v>67</v>
      </c>
      <c r="AF477" t="s">
        <v>68</v>
      </c>
      <c r="AG477">
        <v>36211.279999999999</v>
      </c>
      <c r="AH477" t="s">
        <v>69</v>
      </c>
      <c r="AI477" t="s">
        <v>137</v>
      </c>
      <c r="AJ477" t="s">
        <v>187</v>
      </c>
      <c r="AK477" t="s">
        <v>280</v>
      </c>
      <c r="AL477" t="s">
        <v>73</v>
      </c>
      <c r="AM477" t="s">
        <v>73</v>
      </c>
      <c r="AN477" t="s">
        <v>74</v>
      </c>
    </row>
    <row r="478" spans="1:40" x14ac:dyDescent="0.25">
      <c r="A478" t="s">
        <v>1716</v>
      </c>
      <c r="B478" t="s">
        <v>5</v>
      </c>
      <c r="C478">
        <v>662.86931200000004</v>
      </c>
      <c r="D478">
        <v>563.06289300000003</v>
      </c>
      <c r="E478" t="s">
        <v>56</v>
      </c>
      <c r="F478">
        <v>-23636.75</v>
      </c>
      <c r="G478" t="s">
        <v>1716</v>
      </c>
      <c r="H478" t="s">
        <v>7</v>
      </c>
      <c r="I478">
        <v>27090.58</v>
      </c>
      <c r="J478">
        <v>934.44609200000002</v>
      </c>
      <c r="K478">
        <v>793.7491</v>
      </c>
      <c r="L478">
        <v>0</v>
      </c>
      <c r="M478" t="s">
        <v>1716</v>
      </c>
      <c r="N478" t="s">
        <v>57</v>
      </c>
      <c r="O478" t="s">
        <v>58</v>
      </c>
      <c r="P478" t="s">
        <v>1717</v>
      </c>
      <c r="Q478" t="s">
        <v>1718</v>
      </c>
      <c r="R478" t="s">
        <v>61</v>
      </c>
      <c r="S478" t="s">
        <v>58</v>
      </c>
      <c r="T478" t="s">
        <v>1717</v>
      </c>
      <c r="U478" t="s">
        <v>1718</v>
      </c>
      <c r="V478" t="s">
        <v>56</v>
      </c>
      <c r="W478" t="s">
        <v>56</v>
      </c>
      <c r="X478" t="s">
        <v>56</v>
      </c>
      <c r="Y478" t="s">
        <v>62</v>
      </c>
      <c r="Z478" t="s">
        <v>63</v>
      </c>
      <c r="AA478" t="s">
        <v>64</v>
      </c>
      <c r="AB478">
        <v>1</v>
      </c>
      <c r="AC478" t="s">
        <v>120</v>
      </c>
      <c r="AD478" t="s">
        <v>66</v>
      </c>
      <c r="AE478" t="s">
        <v>67</v>
      </c>
      <c r="AF478" t="s">
        <v>68</v>
      </c>
      <c r="AG478">
        <v>32500</v>
      </c>
      <c r="AH478" t="s">
        <v>69</v>
      </c>
      <c r="AI478" t="s">
        <v>536</v>
      </c>
      <c r="AJ478" t="s">
        <v>224</v>
      </c>
      <c r="AK478" t="s">
        <v>72</v>
      </c>
      <c r="AL478" t="s">
        <v>73</v>
      </c>
      <c r="AM478" t="s">
        <v>73</v>
      </c>
      <c r="AN478" t="s">
        <v>74</v>
      </c>
    </row>
    <row r="479" spans="1:40" x14ac:dyDescent="0.25">
      <c r="A479" t="s">
        <v>745</v>
      </c>
      <c r="B479" t="s">
        <v>5</v>
      </c>
      <c r="C479">
        <v>659.20905200000004</v>
      </c>
      <c r="D479">
        <v>559.95374700000002</v>
      </c>
      <c r="E479" t="s">
        <v>56</v>
      </c>
      <c r="F479">
        <v>-73581.08</v>
      </c>
      <c r="G479" t="s">
        <v>745</v>
      </c>
      <c r="H479" t="s">
        <v>7</v>
      </c>
      <c r="I479">
        <v>78406.460000000006</v>
      </c>
      <c r="J479">
        <v>863.996441</v>
      </c>
      <c r="K479">
        <v>733.90686000000005</v>
      </c>
      <c r="L479">
        <v>0</v>
      </c>
      <c r="M479" t="s">
        <v>745</v>
      </c>
      <c r="N479" t="s">
        <v>57</v>
      </c>
      <c r="O479" t="s">
        <v>58</v>
      </c>
      <c r="P479" t="s">
        <v>746</v>
      </c>
      <c r="Q479" t="s">
        <v>747</v>
      </c>
      <c r="R479" t="s">
        <v>61</v>
      </c>
      <c r="S479" t="s">
        <v>58</v>
      </c>
      <c r="T479" t="s">
        <v>746</v>
      </c>
      <c r="U479" t="s">
        <v>747</v>
      </c>
      <c r="V479" t="s">
        <v>56</v>
      </c>
      <c r="W479" t="s">
        <v>56</v>
      </c>
      <c r="X479" t="s">
        <v>56</v>
      </c>
      <c r="Y479" t="s">
        <v>62</v>
      </c>
      <c r="Z479" t="s">
        <v>63</v>
      </c>
      <c r="AA479" t="s">
        <v>64</v>
      </c>
      <c r="AB479">
        <v>1</v>
      </c>
      <c r="AC479" t="s">
        <v>84</v>
      </c>
      <c r="AD479" t="s">
        <v>66</v>
      </c>
      <c r="AE479" t="s">
        <v>67</v>
      </c>
      <c r="AF479" t="s">
        <v>86</v>
      </c>
      <c r="AG479">
        <v>101734</v>
      </c>
      <c r="AH479" t="s">
        <v>69</v>
      </c>
      <c r="AI479" t="s">
        <v>104</v>
      </c>
      <c r="AJ479" t="s">
        <v>265</v>
      </c>
      <c r="AK479" t="s">
        <v>72</v>
      </c>
      <c r="AL479" t="s">
        <v>73</v>
      </c>
      <c r="AM479" t="s">
        <v>73</v>
      </c>
      <c r="AN479" t="s">
        <v>74</v>
      </c>
    </row>
    <row r="480" spans="1:40" x14ac:dyDescent="0.25">
      <c r="A480" t="s">
        <v>2306</v>
      </c>
      <c r="B480" t="s">
        <v>5</v>
      </c>
      <c r="C480" s="2">
        <v>656.35019499999999</v>
      </c>
      <c r="D480" t="s">
        <v>56</v>
      </c>
      <c r="E480" t="s">
        <v>56</v>
      </c>
      <c r="F480">
        <v>-8418.5400000000009</v>
      </c>
      <c r="G480" t="s">
        <v>2306</v>
      </c>
      <c r="H480" t="s">
        <v>7</v>
      </c>
      <c r="I480">
        <v>11856.72</v>
      </c>
      <c r="J480">
        <v>0</v>
      </c>
      <c r="K480">
        <v>0</v>
      </c>
      <c r="L480">
        <v>0</v>
      </c>
      <c r="M480" t="s">
        <v>2306</v>
      </c>
      <c r="N480" t="s">
        <v>57</v>
      </c>
      <c r="O480" t="s">
        <v>58</v>
      </c>
      <c r="P480" t="s">
        <v>2307</v>
      </c>
      <c r="Q480" t="s">
        <v>2308</v>
      </c>
      <c r="R480" t="s">
        <v>61</v>
      </c>
      <c r="S480" t="s">
        <v>58</v>
      </c>
      <c r="T480" t="s">
        <v>2307</v>
      </c>
      <c r="U480" t="s">
        <v>2308</v>
      </c>
      <c r="V480" t="s">
        <v>56</v>
      </c>
      <c r="W480" t="s">
        <v>56</v>
      </c>
      <c r="X480" t="s">
        <v>56</v>
      </c>
      <c r="Y480" t="s">
        <v>62</v>
      </c>
      <c r="Z480" t="s">
        <v>63</v>
      </c>
      <c r="AA480" t="s">
        <v>64</v>
      </c>
      <c r="AB480">
        <v>1</v>
      </c>
      <c r="AC480" t="s">
        <v>744</v>
      </c>
      <c r="AD480" t="s">
        <v>66</v>
      </c>
      <c r="AE480" t="s">
        <v>85</v>
      </c>
      <c r="AF480" t="s">
        <v>68</v>
      </c>
      <c r="AG480">
        <v>34862.769999999997</v>
      </c>
      <c r="AH480" t="s">
        <v>69</v>
      </c>
      <c r="AI480" t="s">
        <v>297</v>
      </c>
      <c r="AJ480" t="s">
        <v>860</v>
      </c>
      <c r="AK480" t="s">
        <v>72</v>
      </c>
      <c r="AL480" t="s">
        <v>73</v>
      </c>
      <c r="AM480" t="s">
        <v>73</v>
      </c>
      <c r="AN480" t="s">
        <v>56</v>
      </c>
    </row>
    <row r="481" spans="1:40" x14ac:dyDescent="0.25">
      <c r="A481" t="s">
        <v>1537</v>
      </c>
      <c r="B481" t="s">
        <v>5</v>
      </c>
      <c r="C481" s="2">
        <v>654.55542400000002</v>
      </c>
      <c r="D481" t="s">
        <v>56</v>
      </c>
      <c r="E481" t="s">
        <v>56</v>
      </c>
      <c r="F481">
        <v>-7578.53</v>
      </c>
      <c r="G481" t="s">
        <v>1537</v>
      </c>
      <c r="H481" t="s">
        <v>7</v>
      </c>
      <c r="I481">
        <v>9957.81</v>
      </c>
      <c r="J481">
        <v>0</v>
      </c>
      <c r="K481">
        <v>0</v>
      </c>
      <c r="L481">
        <v>0</v>
      </c>
      <c r="M481" t="s">
        <v>1537</v>
      </c>
      <c r="N481" t="s">
        <v>57</v>
      </c>
      <c r="O481" t="s">
        <v>58</v>
      </c>
      <c r="P481" t="s">
        <v>1538</v>
      </c>
      <c r="Q481" t="s">
        <v>1539</v>
      </c>
      <c r="R481" t="s">
        <v>61</v>
      </c>
      <c r="S481" t="s">
        <v>58</v>
      </c>
      <c r="T481" t="s">
        <v>1538</v>
      </c>
      <c r="U481" t="s">
        <v>1539</v>
      </c>
      <c r="V481" t="s">
        <v>56</v>
      </c>
      <c r="W481" t="s">
        <v>56</v>
      </c>
      <c r="X481" t="s">
        <v>56</v>
      </c>
      <c r="Y481" t="s">
        <v>62</v>
      </c>
      <c r="Z481" t="s">
        <v>63</v>
      </c>
      <c r="AA481" t="s">
        <v>64</v>
      </c>
      <c r="AB481">
        <v>1</v>
      </c>
      <c r="AC481" t="s">
        <v>84</v>
      </c>
      <c r="AD481" t="s">
        <v>66</v>
      </c>
      <c r="AE481" t="s">
        <v>289</v>
      </c>
      <c r="AF481" t="s">
        <v>68</v>
      </c>
      <c r="AG481">
        <v>31651.1</v>
      </c>
      <c r="AH481" t="s">
        <v>69</v>
      </c>
      <c r="AI481" t="s">
        <v>332</v>
      </c>
      <c r="AJ481" t="s">
        <v>1540</v>
      </c>
      <c r="AK481" t="s">
        <v>72</v>
      </c>
      <c r="AL481" t="s">
        <v>73</v>
      </c>
      <c r="AM481" t="s">
        <v>73</v>
      </c>
      <c r="AN481" t="s">
        <v>56</v>
      </c>
    </row>
    <row r="482" spans="1:40" x14ac:dyDescent="0.25">
      <c r="A482" t="s">
        <v>1404</v>
      </c>
      <c r="B482" t="s">
        <v>5</v>
      </c>
      <c r="C482" s="2">
        <v>654.10354299999995</v>
      </c>
      <c r="D482" t="s">
        <v>56</v>
      </c>
      <c r="E482" t="s">
        <v>56</v>
      </c>
      <c r="F482">
        <v>-8389.7999999999993</v>
      </c>
      <c r="G482" t="s">
        <v>1404</v>
      </c>
      <c r="H482" t="s">
        <v>7</v>
      </c>
      <c r="I482">
        <v>10406.9</v>
      </c>
      <c r="J482">
        <v>0</v>
      </c>
      <c r="K482">
        <v>0</v>
      </c>
      <c r="L482">
        <v>0</v>
      </c>
      <c r="M482" t="s">
        <v>1404</v>
      </c>
      <c r="N482" t="s">
        <v>57</v>
      </c>
      <c r="O482" t="s">
        <v>58</v>
      </c>
      <c r="P482" t="s">
        <v>1405</v>
      </c>
      <c r="Q482" t="s">
        <v>1406</v>
      </c>
      <c r="R482" t="s">
        <v>61</v>
      </c>
      <c r="S482" t="s">
        <v>58</v>
      </c>
      <c r="T482" t="s">
        <v>1405</v>
      </c>
      <c r="U482" t="s">
        <v>1406</v>
      </c>
      <c r="V482" t="s">
        <v>56</v>
      </c>
      <c r="W482" t="s">
        <v>56</v>
      </c>
      <c r="X482" t="s">
        <v>56</v>
      </c>
      <c r="Y482" t="s">
        <v>62</v>
      </c>
      <c r="Z482" t="s">
        <v>63</v>
      </c>
      <c r="AA482" t="s">
        <v>64</v>
      </c>
      <c r="AB482">
        <v>1</v>
      </c>
      <c r="AC482" t="s">
        <v>78</v>
      </c>
      <c r="AD482" t="s">
        <v>66</v>
      </c>
      <c r="AE482" t="s">
        <v>85</v>
      </c>
      <c r="AF482" t="s">
        <v>68</v>
      </c>
      <c r="AG482">
        <v>34863.06</v>
      </c>
      <c r="AH482" t="s">
        <v>69</v>
      </c>
      <c r="AI482" t="s">
        <v>70</v>
      </c>
      <c r="AJ482" t="s">
        <v>1065</v>
      </c>
      <c r="AK482" t="s">
        <v>72</v>
      </c>
      <c r="AL482" t="s">
        <v>73</v>
      </c>
      <c r="AM482" t="s">
        <v>73</v>
      </c>
      <c r="AN482" t="s">
        <v>56</v>
      </c>
    </row>
    <row r="483" spans="1:40" x14ac:dyDescent="0.25">
      <c r="A483" t="s">
        <v>2279</v>
      </c>
      <c r="B483" t="s">
        <v>5</v>
      </c>
      <c r="C483">
        <v>652.95353699999998</v>
      </c>
      <c r="D483">
        <v>554.64010900000005</v>
      </c>
      <c r="E483" t="s">
        <v>56</v>
      </c>
      <c r="F483">
        <v>-14561.08</v>
      </c>
      <c r="G483" t="s">
        <v>2279</v>
      </c>
      <c r="H483" t="s">
        <v>7</v>
      </c>
      <c r="I483">
        <v>16328.15</v>
      </c>
      <c r="J483">
        <v>900.59792900000002</v>
      </c>
      <c r="K483">
        <v>764.99736199999995</v>
      </c>
      <c r="L483">
        <v>0</v>
      </c>
      <c r="M483" t="s">
        <v>2279</v>
      </c>
      <c r="N483" t="s">
        <v>57</v>
      </c>
      <c r="O483" t="s">
        <v>58</v>
      </c>
      <c r="P483" t="s">
        <v>2280</v>
      </c>
      <c r="Q483" t="s">
        <v>2281</v>
      </c>
      <c r="R483" t="s">
        <v>61</v>
      </c>
      <c r="S483" t="s">
        <v>58</v>
      </c>
      <c r="T483" t="s">
        <v>2280</v>
      </c>
      <c r="U483" t="s">
        <v>2281</v>
      </c>
      <c r="V483" t="s">
        <v>56</v>
      </c>
      <c r="W483" t="s">
        <v>56</v>
      </c>
      <c r="X483" t="s">
        <v>56</v>
      </c>
      <c r="Y483" t="s">
        <v>62</v>
      </c>
      <c r="Z483" t="s">
        <v>63</v>
      </c>
      <c r="AA483" t="s">
        <v>64</v>
      </c>
      <c r="AB483">
        <v>1</v>
      </c>
      <c r="AC483" t="s">
        <v>1268</v>
      </c>
      <c r="AD483" t="s">
        <v>66</v>
      </c>
      <c r="AE483" t="s">
        <v>67</v>
      </c>
      <c r="AF483" t="s">
        <v>68</v>
      </c>
      <c r="AG483">
        <v>20325.2</v>
      </c>
      <c r="AH483" t="s">
        <v>69</v>
      </c>
      <c r="AI483" t="s">
        <v>939</v>
      </c>
      <c r="AJ483" t="s">
        <v>293</v>
      </c>
      <c r="AK483" t="s">
        <v>280</v>
      </c>
      <c r="AL483" t="s">
        <v>73</v>
      </c>
      <c r="AM483" t="s">
        <v>73</v>
      </c>
      <c r="AN483" t="s">
        <v>74</v>
      </c>
    </row>
    <row r="484" spans="1:40" x14ac:dyDescent="0.25">
      <c r="A484" t="s">
        <v>1812</v>
      </c>
      <c r="B484" t="s">
        <v>5</v>
      </c>
      <c r="C484">
        <v>649.15941999999995</v>
      </c>
      <c r="D484">
        <v>828.97678499999995</v>
      </c>
      <c r="E484" t="s">
        <v>56</v>
      </c>
      <c r="F484">
        <v>-23120.16</v>
      </c>
      <c r="G484" t="s">
        <v>1812</v>
      </c>
      <c r="H484" t="s">
        <v>7</v>
      </c>
      <c r="I484">
        <v>29881.83</v>
      </c>
      <c r="J484">
        <v>973.23945600000002</v>
      </c>
      <c r="K484">
        <v>1242.8270930000001</v>
      </c>
      <c r="L484">
        <v>0</v>
      </c>
      <c r="M484" t="s">
        <v>1812</v>
      </c>
      <c r="N484" t="s">
        <v>57</v>
      </c>
      <c r="O484" t="s">
        <v>58</v>
      </c>
      <c r="P484" t="s">
        <v>1813</v>
      </c>
      <c r="Q484" t="s">
        <v>1814</v>
      </c>
      <c r="R484" t="s">
        <v>61</v>
      </c>
      <c r="S484" t="s">
        <v>58</v>
      </c>
      <c r="T484" t="s">
        <v>1813</v>
      </c>
      <c r="U484" t="s">
        <v>1814</v>
      </c>
      <c r="V484" t="s">
        <v>56</v>
      </c>
      <c r="W484" t="s">
        <v>56</v>
      </c>
      <c r="X484" t="s">
        <v>56</v>
      </c>
      <c r="Y484" t="s">
        <v>62</v>
      </c>
      <c r="Z484" t="s">
        <v>63</v>
      </c>
      <c r="AA484" t="s">
        <v>64</v>
      </c>
      <c r="AB484">
        <v>1</v>
      </c>
      <c r="AC484" t="s">
        <v>84</v>
      </c>
      <c r="AD484" t="s">
        <v>66</v>
      </c>
      <c r="AE484" t="s">
        <v>121</v>
      </c>
      <c r="AF484" t="s">
        <v>68</v>
      </c>
      <c r="AG484">
        <v>29166.400000000001</v>
      </c>
      <c r="AH484" t="s">
        <v>69</v>
      </c>
      <c r="AI484" t="s">
        <v>137</v>
      </c>
      <c r="AJ484" t="s">
        <v>115</v>
      </c>
      <c r="AK484" t="s">
        <v>72</v>
      </c>
      <c r="AL484" t="s">
        <v>73</v>
      </c>
      <c r="AM484" t="s">
        <v>73</v>
      </c>
      <c r="AN484" t="s">
        <v>124</v>
      </c>
    </row>
    <row r="485" spans="1:40" x14ac:dyDescent="0.25">
      <c r="A485" t="s">
        <v>2267</v>
      </c>
      <c r="B485" t="s">
        <v>5</v>
      </c>
      <c r="C485">
        <v>647.82244500000002</v>
      </c>
      <c r="D485">
        <v>550.28159100000005</v>
      </c>
      <c r="E485" t="s">
        <v>56</v>
      </c>
      <c r="F485">
        <v>-24125.94</v>
      </c>
      <c r="G485" t="s">
        <v>2267</v>
      </c>
      <c r="H485" t="s">
        <v>7</v>
      </c>
      <c r="I485">
        <v>27496.95</v>
      </c>
      <c r="J485">
        <v>738.31440699999996</v>
      </c>
      <c r="K485">
        <v>627.14842599999997</v>
      </c>
      <c r="L485">
        <v>0</v>
      </c>
      <c r="M485" t="s">
        <v>2267</v>
      </c>
      <c r="N485" t="s">
        <v>57</v>
      </c>
      <c r="O485" t="s">
        <v>58</v>
      </c>
      <c r="P485" t="s">
        <v>2268</v>
      </c>
      <c r="Q485" t="s">
        <v>2269</v>
      </c>
      <c r="R485" t="s">
        <v>61</v>
      </c>
      <c r="S485" t="s">
        <v>58</v>
      </c>
      <c r="T485" t="s">
        <v>2268</v>
      </c>
      <c r="U485" t="s">
        <v>2269</v>
      </c>
      <c r="V485" t="s">
        <v>56</v>
      </c>
      <c r="W485" t="s">
        <v>56</v>
      </c>
      <c r="X485" t="s">
        <v>56</v>
      </c>
      <c r="Y485" t="s">
        <v>62</v>
      </c>
      <c r="Z485" t="s">
        <v>63</v>
      </c>
      <c r="AA485" t="s">
        <v>64</v>
      </c>
      <c r="AB485">
        <v>1</v>
      </c>
      <c r="AC485" t="s">
        <v>78</v>
      </c>
      <c r="AD485" t="s">
        <v>66</v>
      </c>
      <c r="AE485" t="s">
        <v>67</v>
      </c>
      <c r="AF485" t="s">
        <v>103</v>
      </c>
      <c r="AG485">
        <v>41750</v>
      </c>
      <c r="AH485" t="s">
        <v>69</v>
      </c>
      <c r="AI485" t="s">
        <v>355</v>
      </c>
      <c r="AJ485" t="s">
        <v>2270</v>
      </c>
      <c r="AK485" t="s">
        <v>99</v>
      </c>
      <c r="AL485" t="s">
        <v>73</v>
      </c>
      <c r="AM485" t="s">
        <v>73</v>
      </c>
      <c r="AN485" t="s">
        <v>74</v>
      </c>
    </row>
    <row r="486" spans="1:40" x14ac:dyDescent="0.25">
      <c r="A486" t="s">
        <v>2533</v>
      </c>
      <c r="B486" t="s">
        <v>5</v>
      </c>
      <c r="C486">
        <v>647.43455900000004</v>
      </c>
      <c r="D486">
        <v>549.95210799999995</v>
      </c>
      <c r="E486" t="s">
        <v>56</v>
      </c>
      <c r="F486">
        <v>-19527.52</v>
      </c>
      <c r="G486" t="s">
        <v>2533</v>
      </c>
      <c r="H486" t="s">
        <v>7</v>
      </c>
      <c r="I486">
        <v>22771.71</v>
      </c>
      <c r="J486">
        <v>928.61545899999999</v>
      </c>
      <c r="K486">
        <v>788.79637000000002</v>
      </c>
      <c r="L486">
        <v>0</v>
      </c>
      <c r="M486" t="s">
        <v>2533</v>
      </c>
      <c r="N486" t="s">
        <v>57</v>
      </c>
      <c r="O486" t="s">
        <v>58</v>
      </c>
      <c r="P486" t="s">
        <v>2534</v>
      </c>
      <c r="Q486" t="s">
        <v>2535</v>
      </c>
      <c r="R486" t="s">
        <v>61</v>
      </c>
      <c r="S486" t="s">
        <v>58</v>
      </c>
      <c r="T486" t="s">
        <v>2534</v>
      </c>
      <c r="U486" t="s">
        <v>2535</v>
      </c>
      <c r="V486" t="s">
        <v>56</v>
      </c>
      <c r="W486" t="s">
        <v>56</v>
      </c>
      <c r="X486" t="s">
        <v>56</v>
      </c>
      <c r="Y486" t="s">
        <v>62</v>
      </c>
      <c r="Z486" t="s">
        <v>63</v>
      </c>
      <c r="AA486" t="s">
        <v>64</v>
      </c>
      <c r="AB486">
        <v>1</v>
      </c>
      <c r="AC486" t="s">
        <v>120</v>
      </c>
      <c r="AD486" t="s">
        <v>66</v>
      </c>
      <c r="AE486" t="s">
        <v>67</v>
      </c>
      <c r="AF486" t="s">
        <v>68</v>
      </c>
      <c r="AG486">
        <v>27490</v>
      </c>
      <c r="AH486" t="s">
        <v>69</v>
      </c>
      <c r="AI486" t="s">
        <v>220</v>
      </c>
      <c r="AJ486" t="s">
        <v>93</v>
      </c>
      <c r="AK486" t="s">
        <v>72</v>
      </c>
      <c r="AL486" t="s">
        <v>73</v>
      </c>
      <c r="AM486" t="s">
        <v>73</v>
      </c>
      <c r="AN486" t="s">
        <v>74</v>
      </c>
    </row>
    <row r="487" spans="1:40" x14ac:dyDescent="0.25">
      <c r="A487" t="s">
        <v>1427</v>
      </c>
      <c r="B487" t="s">
        <v>5</v>
      </c>
      <c r="C487">
        <v>646.69872599999997</v>
      </c>
      <c r="D487">
        <v>519.37577299999998</v>
      </c>
      <c r="E487" t="s">
        <v>56</v>
      </c>
      <c r="F487">
        <v>-29139.48</v>
      </c>
      <c r="G487" t="s">
        <v>1427</v>
      </c>
      <c r="H487" t="s">
        <v>7</v>
      </c>
      <c r="I487">
        <v>36377.040000000001</v>
      </c>
      <c r="J487">
        <v>916.93737799999997</v>
      </c>
      <c r="K487">
        <v>778.87662499999999</v>
      </c>
      <c r="L487">
        <v>0</v>
      </c>
      <c r="M487" t="s">
        <v>1427</v>
      </c>
      <c r="N487" t="s">
        <v>57</v>
      </c>
      <c r="O487" t="s">
        <v>58</v>
      </c>
      <c r="P487" t="s">
        <v>1428</v>
      </c>
      <c r="Q487" t="s">
        <v>1429</v>
      </c>
      <c r="R487" t="s">
        <v>61</v>
      </c>
      <c r="S487" t="s">
        <v>58</v>
      </c>
      <c r="T487" t="s">
        <v>1428</v>
      </c>
      <c r="U487" t="s">
        <v>1429</v>
      </c>
      <c r="V487" t="s">
        <v>56</v>
      </c>
      <c r="W487" t="s">
        <v>56</v>
      </c>
      <c r="X487" t="s">
        <v>56</v>
      </c>
      <c r="Y487" t="s">
        <v>62</v>
      </c>
      <c r="Z487" t="s">
        <v>63</v>
      </c>
      <c r="AA487" t="s">
        <v>64</v>
      </c>
      <c r="AB487">
        <v>1</v>
      </c>
      <c r="AC487" t="s">
        <v>65</v>
      </c>
      <c r="AD487" t="s">
        <v>66</v>
      </c>
      <c r="AE487" t="s">
        <v>67</v>
      </c>
      <c r="AF487" t="s">
        <v>68</v>
      </c>
      <c r="AG487">
        <v>44475</v>
      </c>
      <c r="AH487" t="s">
        <v>69</v>
      </c>
      <c r="AI487" t="s">
        <v>382</v>
      </c>
      <c r="AJ487" t="s">
        <v>143</v>
      </c>
      <c r="AK487" t="s">
        <v>99</v>
      </c>
      <c r="AL487" t="s">
        <v>73</v>
      </c>
      <c r="AM487" t="s">
        <v>73</v>
      </c>
      <c r="AN487" t="s">
        <v>74</v>
      </c>
    </row>
    <row r="488" spans="1:40" x14ac:dyDescent="0.25">
      <c r="A488" t="s">
        <v>1949</v>
      </c>
      <c r="B488" t="s">
        <v>5</v>
      </c>
      <c r="C488">
        <v>646.57134199999996</v>
      </c>
      <c r="D488">
        <v>549.21886400000005</v>
      </c>
      <c r="E488" t="s">
        <v>56</v>
      </c>
      <c r="F488">
        <v>-17244.830000000002</v>
      </c>
      <c r="G488" t="s">
        <v>1949</v>
      </c>
      <c r="H488" t="s">
        <v>7</v>
      </c>
      <c r="I488">
        <v>19316.38</v>
      </c>
      <c r="J488">
        <v>890.83349599999997</v>
      </c>
      <c r="K488">
        <v>756.70313299999998</v>
      </c>
      <c r="L488">
        <v>0</v>
      </c>
      <c r="M488" t="s">
        <v>1949</v>
      </c>
      <c r="N488" t="s">
        <v>57</v>
      </c>
      <c r="O488" t="s">
        <v>58</v>
      </c>
      <c r="P488" t="s">
        <v>1950</v>
      </c>
      <c r="Q488" t="s">
        <v>1951</v>
      </c>
      <c r="R488" t="s">
        <v>61</v>
      </c>
      <c r="S488" t="s">
        <v>58</v>
      </c>
      <c r="T488" t="s">
        <v>1950</v>
      </c>
      <c r="U488" t="s">
        <v>1951</v>
      </c>
      <c r="V488" t="s">
        <v>56</v>
      </c>
      <c r="W488" t="s">
        <v>56</v>
      </c>
      <c r="X488" t="s">
        <v>56</v>
      </c>
      <c r="Y488" t="s">
        <v>62</v>
      </c>
      <c r="Z488" t="s">
        <v>63</v>
      </c>
      <c r="AA488" t="s">
        <v>64</v>
      </c>
      <c r="AB488">
        <v>1</v>
      </c>
      <c r="AC488" t="s">
        <v>78</v>
      </c>
      <c r="AD488" t="s">
        <v>66</v>
      </c>
      <c r="AE488" t="s">
        <v>67</v>
      </c>
      <c r="AF488" t="s">
        <v>68</v>
      </c>
      <c r="AG488">
        <v>24308.94</v>
      </c>
      <c r="AH488" t="s">
        <v>69</v>
      </c>
      <c r="AI488" t="s">
        <v>181</v>
      </c>
      <c r="AJ488" t="s">
        <v>209</v>
      </c>
      <c r="AK488" t="s">
        <v>72</v>
      </c>
      <c r="AL488" t="s">
        <v>73</v>
      </c>
      <c r="AM488" t="s">
        <v>73</v>
      </c>
      <c r="AN488" t="s">
        <v>74</v>
      </c>
    </row>
    <row r="489" spans="1:40" x14ac:dyDescent="0.25">
      <c r="A489" t="s">
        <v>2211</v>
      </c>
      <c r="B489" t="s">
        <v>5</v>
      </c>
      <c r="C489">
        <v>646.57022099999995</v>
      </c>
      <c r="D489">
        <v>549.21791099999996</v>
      </c>
      <c r="E489" t="s">
        <v>56</v>
      </c>
      <c r="F489">
        <v>-19499.150000000001</v>
      </c>
      <c r="G489" t="s">
        <v>2211</v>
      </c>
      <c r="H489" t="s">
        <v>7</v>
      </c>
      <c r="I489">
        <v>21501.18</v>
      </c>
      <c r="J489">
        <v>876.95141000000001</v>
      </c>
      <c r="K489">
        <v>744.91123500000003</v>
      </c>
      <c r="L489">
        <v>0</v>
      </c>
      <c r="M489" t="s">
        <v>2211</v>
      </c>
      <c r="N489" t="s">
        <v>57</v>
      </c>
      <c r="O489" t="s">
        <v>58</v>
      </c>
      <c r="P489" t="s">
        <v>2212</v>
      </c>
      <c r="Q489" t="s">
        <v>2213</v>
      </c>
      <c r="R489" t="s">
        <v>61</v>
      </c>
      <c r="S489" t="s">
        <v>58</v>
      </c>
      <c r="T489" t="s">
        <v>2212</v>
      </c>
      <c r="U489" t="s">
        <v>2213</v>
      </c>
      <c r="V489" t="s">
        <v>56</v>
      </c>
      <c r="W489" t="s">
        <v>56</v>
      </c>
      <c r="X489" t="s">
        <v>56</v>
      </c>
      <c r="Y489" t="s">
        <v>62</v>
      </c>
      <c r="Z489" t="s">
        <v>63</v>
      </c>
      <c r="AA489" t="s">
        <v>64</v>
      </c>
      <c r="AB489">
        <v>1</v>
      </c>
      <c r="AC489" t="s">
        <v>84</v>
      </c>
      <c r="AD489" t="s">
        <v>66</v>
      </c>
      <c r="AE489" t="s">
        <v>67</v>
      </c>
      <c r="AF489" t="s">
        <v>68</v>
      </c>
      <c r="AG489">
        <v>27486.720000000001</v>
      </c>
      <c r="AH489" t="s">
        <v>69</v>
      </c>
      <c r="AI489" t="s">
        <v>132</v>
      </c>
      <c r="AJ489" t="s">
        <v>619</v>
      </c>
      <c r="AK489" t="s">
        <v>72</v>
      </c>
      <c r="AL489" t="s">
        <v>73</v>
      </c>
      <c r="AM489" t="s">
        <v>73</v>
      </c>
      <c r="AN489" t="s">
        <v>74</v>
      </c>
    </row>
    <row r="490" spans="1:40" x14ac:dyDescent="0.25">
      <c r="A490" t="s">
        <v>1073</v>
      </c>
      <c r="B490" t="s">
        <v>5</v>
      </c>
      <c r="C490">
        <v>646.00969099999998</v>
      </c>
      <c r="D490">
        <v>548.74177899999995</v>
      </c>
      <c r="E490" t="s">
        <v>56</v>
      </c>
      <c r="F490">
        <v>-24800.47</v>
      </c>
      <c r="G490" t="s">
        <v>1073</v>
      </c>
      <c r="H490" t="s">
        <v>7</v>
      </c>
      <c r="I490">
        <v>28950.13</v>
      </c>
      <c r="J490">
        <v>927.54148399999997</v>
      </c>
      <c r="K490">
        <v>787.88409999999999</v>
      </c>
      <c r="L490">
        <v>0</v>
      </c>
      <c r="M490" t="s">
        <v>1073</v>
      </c>
      <c r="N490" t="s">
        <v>57</v>
      </c>
      <c r="O490" t="s">
        <v>58</v>
      </c>
      <c r="P490" t="s">
        <v>1074</v>
      </c>
      <c r="Q490" t="s">
        <v>1075</v>
      </c>
      <c r="R490" t="s">
        <v>61</v>
      </c>
      <c r="S490" t="s">
        <v>58</v>
      </c>
      <c r="T490" t="s">
        <v>1074</v>
      </c>
      <c r="U490" t="s">
        <v>1075</v>
      </c>
      <c r="V490" t="s">
        <v>56</v>
      </c>
      <c r="W490" t="s">
        <v>56</v>
      </c>
      <c r="X490" t="s">
        <v>56</v>
      </c>
      <c r="Y490" t="s">
        <v>62</v>
      </c>
      <c r="Z490" t="s">
        <v>63</v>
      </c>
      <c r="AA490" t="s">
        <v>64</v>
      </c>
      <c r="AB490">
        <v>1</v>
      </c>
      <c r="AC490" t="s">
        <v>65</v>
      </c>
      <c r="AD490" t="s">
        <v>66</v>
      </c>
      <c r="AE490" t="s">
        <v>67</v>
      </c>
      <c r="AF490" t="s">
        <v>68</v>
      </c>
      <c r="AG490">
        <v>34990</v>
      </c>
      <c r="AH490" t="s">
        <v>69</v>
      </c>
      <c r="AI490" t="s">
        <v>186</v>
      </c>
      <c r="AJ490" t="s">
        <v>93</v>
      </c>
      <c r="AK490" t="s">
        <v>72</v>
      </c>
      <c r="AL490" t="s">
        <v>73</v>
      </c>
      <c r="AM490" t="s">
        <v>73</v>
      </c>
      <c r="AN490" t="s">
        <v>74</v>
      </c>
    </row>
    <row r="491" spans="1:40" x14ac:dyDescent="0.25">
      <c r="A491" t="s">
        <v>698</v>
      </c>
      <c r="B491" t="s">
        <v>5</v>
      </c>
      <c r="C491">
        <v>644.77254000000005</v>
      </c>
      <c r="D491">
        <v>823.37473799999998</v>
      </c>
      <c r="E491" t="s">
        <v>56</v>
      </c>
      <c r="F491">
        <v>-73009.119999999995</v>
      </c>
      <c r="G491" t="s">
        <v>698</v>
      </c>
      <c r="H491" t="s">
        <v>7</v>
      </c>
      <c r="I491">
        <v>81040.86</v>
      </c>
      <c r="J491">
        <v>880.31132000000002</v>
      </c>
      <c r="K491">
        <v>1124.157833</v>
      </c>
      <c r="L491">
        <v>0</v>
      </c>
      <c r="M491" t="s">
        <v>698</v>
      </c>
      <c r="N491" t="s">
        <v>57</v>
      </c>
      <c r="O491" t="s">
        <v>58</v>
      </c>
      <c r="P491" t="s">
        <v>699</v>
      </c>
      <c r="Q491" t="s">
        <v>700</v>
      </c>
      <c r="R491" t="s">
        <v>61</v>
      </c>
      <c r="S491" t="s">
        <v>58</v>
      </c>
      <c r="T491" t="s">
        <v>699</v>
      </c>
      <c r="U491" t="s">
        <v>700</v>
      </c>
      <c r="V491" t="s">
        <v>56</v>
      </c>
      <c r="W491" t="s">
        <v>56</v>
      </c>
      <c r="X491" t="s">
        <v>56</v>
      </c>
      <c r="Y491" t="s">
        <v>62</v>
      </c>
      <c r="Z491" t="s">
        <v>63</v>
      </c>
      <c r="AA491" t="s">
        <v>64</v>
      </c>
      <c r="AB491">
        <v>1</v>
      </c>
      <c r="AC491" t="s">
        <v>65</v>
      </c>
      <c r="AD491" t="s">
        <v>66</v>
      </c>
      <c r="AE491" t="s">
        <v>121</v>
      </c>
      <c r="AF491" t="s">
        <v>68</v>
      </c>
      <c r="AG491">
        <v>87451.38</v>
      </c>
      <c r="AH491" t="s">
        <v>69</v>
      </c>
      <c r="AI491" t="s">
        <v>343</v>
      </c>
      <c r="AJ491" t="s">
        <v>224</v>
      </c>
      <c r="AK491" t="s">
        <v>72</v>
      </c>
      <c r="AL491" t="s">
        <v>73</v>
      </c>
      <c r="AM491" t="s">
        <v>73</v>
      </c>
      <c r="AN491" t="s">
        <v>124</v>
      </c>
    </row>
    <row r="492" spans="1:40" x14ac:dyDescent="0.25">
      <c r="A492" t="s">
        <v>430</v>
      </c>
      <c r="B492" t="s">
        <v>5</v>
      </c>
      <c r="C492">
        <v>644.668904</v>
      </c>
      <c r="D492">
        <v>547.60287000000005</v>
      </c>
      <c r="E492" t="s">
        <v>56</v>
      </c>
      <c r="F492">
        <v>-42289.99</v>
      </c>
      <c r="G492" t="s">
        <v>430</v>
      </c>
      <c r="H492" t="s">
        <v>7</v>
      </c>
      <c r="I492">
        <v>49261.7</v>
      </c>
      <c r="J492">
        <v>923.65701100000001</v>
      </c>
      <c r="K492">
        <v>784.58450100000005</v>
      </c>
      <c r="L492">
        <v>0</v>
      </c>
      <c r="M492" t="s">
        <v>430</v>
      </c>
      <c r="N492" t="s">
        <v>57</v>
      </c>
      <c r="O492" t="s">
        <v>58</v>
      </c>
      <c r="P492" t="s">
        <v>431</v>
      </c>
      <c r="Q492" t="s">
        <v>432</v>
      </c>
      <c r="R492" t="s">
        <v>61</v>
      </c>
      <c r="S492" t="s">
        <v>58</v>
      </c>
      <c r="T492" t="s">
        <v>431</v>
      </c>
      <c r="U492" t="s">
        <v>432</v>
      </c>
      <c r="V492" t="s">
        <v>56</v>
      </c>
      <c r="W492" t="s">
        <v>56</v>
      </c>
      <c r="X492" t="s">
        <v>56</v>
      </c>
      <c r="Y492" t="s">
        <v>62</v>
      </c>
      <c r="Z492" t="s">
        <v>63</v>
      </c>
      <c r="AA492" t="s">
        <v>64</v>
      </c>
      <c r="AB492">
        <v>1</v>
      </c>
      <c r="AC492" t="s">
        <v>120</v>
      </c>
      <c r="AD492" t="s">
        <v>66</v>
      </c>
      <c r="AE492" t="s">
        <v>67</v>
      </c>
      <c r="AF492" t="s">
        <v>68</v>
      </c>
      <c r="AG492">
        <v>59789.37</v>
      </c>
      <c r="AH492" t="s">
        <v>69</v>
      </c>
      <c r="AI492" t="s">
        <v>132</v>
      </c>
      <c r="AJ492" t="s">
        <v>433</v>
      </c>
      <c r="AK492" t="s">
        <v>72</v>
      </c>
      <c r="AL492" t="s">
        <v>73</v>
      </c>
      <c r="AM492" t="s">
        <v>73</v>
      </c>
      <c r="AN492" t="s">
        <v>74</v>
      </c>
    </row>
    <row r="493" spans="1:40" x14ac:dyDescent="0.25">
      <c r="A493" t="s">
        <v>2372</v>
      </c>
      <c r="B493" t="s">
        <v>5</v>
      </c>
      <c r="C493">
        <v>644.27428999999995</v>
      </c>
      <c r="D493">
        <v>547.26767299999995</v>
      </c>
      <c r="E493" t="s">
        <v>56</v>
      </c>
      <c r="F493">
        <v>-24733.85</v>
      </c>
      <c r="G493" t="s">
        <v>2372</v>
      </c>
      <c r="H493" t="s">
        <v>7</v>
      </c>
      <c r="I493">
        <v>28033.65</v>
      </c>
      <c r="J493">
        <v>898.16074400000002</v>
      </c>
      <c r="K493">
        <v>762.92713800000001</v>
      </c>
      <c r="L493">
        <v>0</v>
      </c>
      <c r="M493" t="s">
        <v>2372</v>
      </c>
      <c r="N493" t="s">
        <v>57</v>
      </c>
      <c r="O493" t="s">
        <v>58</v>
      </c>
      <c r="P493" t="s">
        <v>2373</v>
      </c>
      <c r="Q493" t="s">
        <v>2374</v>
      </c>
      <c r="R493" t="s">
        <v>61</v>
      </c>
      <c r="S493" t="s">
        <v>58</v>
      </c>
      <c r="T493" t="s">
        <v>2373</v>
      </c>
      <c r="U493" t="s">
        <v>2374</v>
      </c>
      <c r="V493" t="s">
        <v>56</v>
      </c>
      <c r="W493" t="s">
        <v>56</v>
      </c>
      <c r="X493" t="s">
        <v>56</v>
      </c>
      <c r="Y493" t="s">
        <v>62</v>
      </c>
      <c r="Z493" t="s">
        <v>63</v>
      </c>
      <c r="AA493" t="s">
        <v>64</v>
      </c>
      <c r="AB493">
        <v>1</v>
      </c>
      <c r="AC493" t="s">
        <v>65</v>
      </c>
      <c r="AD493" t="s">
        <v>66</v>
      </c>
      <c r="AE493" t="s">
        <v>67</v>
      </c>
      <c r="AF493" t="s">
        <v>68</v>
      </c>
      <c r="AG493">
        <v>34990</v>
      </c>
      <c r="AH493" t="s">
        <v>69</v>
      </c>
      <c r="AI493" t="s">
        <v>1391</v>
      </c>
      <c r="AJ493" t="s">
        <v>115</v>
      </c>
      <c r="AK493" t="s">
        <v>72</v>
      </c>
      <c r="AL493" t="s">
        <v>73</v>
      </c>
      <c r="AM493" t="s">
        <v>73</v>
      </c>
      <c r="AN493" t="s">
        <v>74</v>
      </c>
    </row>
    <row r="494" spans="1:40" x14ac:dyDescent="0.25">
      <c r="A494" t="s">
        <v>1702</v>
      </c>
      <c r="B494" t="s">
        <v>5</v>
      </c>
      <c r="C494" s="2">
        <v>643.70274500000005</v>
      </c>
      <c r="D494" t="s">
        <v>56</v>
      </c>
      <c r="E494" t="s">
        <v>56</v>
      </c>
      <c r="F494">
        <v>-11691.42</v>
      </c>
      <c r="G494" t="s">
        <v>1702</v>
      </c>
      <c r="H494" t="s">
        <v>7</v>
      </c>
      <c r="I494">
        <v>17922.900000000001</v>
      </c>
      <c r="J494">
        <v>0</v>
      </c>
      <c r="K494">
        <v>0</v>
      </c>
      <c r="L494">
        <v>0</v>
      </c>
      <c r="M494" t="s">
        <v>1702</v>
      </c>
      <c r="N494" t="s">
        <v>57</v>
      </c>
      <c r="O494" t="s">
        <v>58</v>
      </c>
      <c r="P494" t="s">
        <v>1703</v>
      </c>
      <c r="Q494" t="s">
        <v>452</v>
      </c>
      <c r="R494" t="s">
        <v>61</v>
      </c>
      <c r="S494" t="s">
        <v>58</v>
      </c>
      <c r="T494" t="s">
        <v>1703</v>
      </c>
      <c r="U494" t="s">
        <v>452</v>
      </c>
      <c r="V494" t="s">
        <v>56</v>
      </c>
      <c r="W494" t="s">
        <v>56</v>
      </c>
      <c r="X494" t="s">
        <v>56</v>
      </c>
      <c r="Y494" t="s">
        <v>62</v>
      </c>
      <c r="Z494" t="s">
        <v>63</v>
      </c>
      <c r="AA494" t="s">
        <v>64</v>
      </c>
      <c r="AB494">
        <v>1</v>
      </c>
      <c r="AC494" t="s">
        <v>147</v>
      </c>
      <c r="AD494" t="s">
        <v>66</v>
      </c>
      <c r="AE494" t="s">
        <v>85</v>
      </c>
      <c r="AF494" t="s">
        <v>68</v>
      </c>
      <c r="AG494">
        <v>49367.7</v>
      </c>
      <c r="AH494" t="s">
        <v>69</v>
      </c>
      <c r="AI494" t="s">
        <v>168</v>
      </c>
      <c r="AJ494" t="s">
        <v>1221</v>
      </c>
      <c r="AK494" t="s">
        <v>72</v>
      </c>
      <c r="AL494" t="s">
        <v>73</v>
      </c>
      <c r="AM494" t="s">
        <v>73</v>
      </c>
      <c r="AN494" t="s">
        <v>56</v>
      </c>
    </row>
    <row r="495" spans="1:40" x14ac:dyDescent="0.25">
      <c r="A495" t="s">
        <v>2297</v>
      </c>
      <c r="B495" t="s">
        <v>5</v>
      </c>
      <c r="C495">
        <v>643.68573400000002</v>
      </c>
      <c r="D495">
        <v>546.76773300000002</v>
      </c>
      <c r="E495" t="s">
        <v>56</v>
      </c>
      <c r="F495">
        <v>-44368.73</v>
      </c>
      <c r="G495" t="s">
        <v>2297</v>
      </c>
      <c r="H495" t="s">
        <v>7</v>
      </c>
      <c r="I495">
        <v>49535.48</v>
      </c>
      <c r="J495">
        <v>883.92440299999998</v>
      </c>
      <c r="K495">
        <v>750.83432400000004</v>
      </c>
      <c r="L495">
        <v>0</v>
      </c>
      <c r="M495" t="s">
        <v>2297</v>
      </c>
      <c r="N495" t="s">
        <v>57</v>
      </c>
      <c r="O495" t="s">
        <v>58</v>
      </c>
      <c r="P495" t="s">
        <v>2298</v>
      </c>
      <c r="Q495" t="s">
        <v>2299</v>
      </c>
      <c r="R495" t="s">
        <v>61</v>
      </c>
      <c r="S495" t="s">
        <v>58</v>
      </c>
      <c r="T495" t="s">
        <v>2298</v>
      </c>
      <c r="U495" t="s">
        <v>2299</v>
      </c>
      <c r="V495" t="s">
        <v>56</v>
      </c>
      <c r="W495" t="s">
        <v>56</v>
      </c>
      <c r="X495" t="s">
        <v>56</v>
      </c>
      <c r="Y495" t="s">
        <v>62</v>
      </c>
      <c r="Z495" t="s">
        <v>63</v>
      </c>
      <c r="AA495" t="s">
        <v>64</v>
      </c>
      <c r="AB495">
        <v>1</v>
      </c>
      <c r="AC495" t="s">
        <v>78</v>
      </c>
      <c r="AD495" t="s">
        <v>66</v>
      </c>
      <c r="AE495" t="s">
        <v>67</v>
      </c>
      <c r="AF495" t="s">
        <v>68</v>
      </c>
      <c r="AG495">
        <v>62824.12</v>
      </c>
      <c r="AH495" t="s">
        <v>69</v>
      </c>
      <c r="AI495" t="s">
        <v>132</v>
      </c>
      <c r="AJ495" t="s">
        <v>164</v>
      </c>
      <c r="AK495" t="s">
        <v>72</v>
      </c>
      <c r="AL495" t="s">
        <v>73</v>
      </c>
      <c r="AM495" t="s">
        <v>73</v>
      </c>
      <c r="AN495" t="s">
        <v>74</v>
      </c>
    </row>
    <row r="496" spans="1:40" x14ac:dyDescent="0.25">
      <c r="A496" t="s">
        <v>1681</v>
      </c>
      <c r="B496" t="s">
        <v>5</v>
      </c>
      <c r="C496">
        <v>643.43573800000001</v>
      </c>
      <c r="D496">
        <v>546.55537800000002</v>
      </c>
      <c r="E496" t="s">
        <v>56</v>
      </c>
      <c r="F496">
        <v>-30046.47</v>
      </c>
      <c r="G496" t="s">
        <v>1681</v>
      </c>
      <c r="H496" t="s">
        <v>7</v>
      </c>
      <c r="I496">
        <v>35034.83</v>
      </c>
      <c r="J496">
        <v>922.81957899999998</v>
      </c>
      <c r="K496">
        <v>783.87315899999999</v>
      </c>
      <c r="L496">
        <v>0</v>
      </c>
      <c r="M496" t="s">
        <v>1681</v>
      </c>
      <c r="N496" t="s">
        <v>57</v>
      </c>
      <c r="O496" t="s">
        <v>58</v>
      </c>
      <c r="P496" t="s">
        <v>1682</v>
      </c>
      <c r="Q496" t="s">
        <v>1683</v>
      </c>
      <c r="R496" t="s">
        <v>61</v>
      </c>
      <c r="S496" t="s">
        <v>58</v>
      </c>
      <c r="T496" t="s">
        <v>1682</v>
      </c>
      <c r="U496" t="s">
        <v>1683</v>
      </c>
      <c r="V496" t="s">
        <v>56</v>
      </c>
      <c r="W496" t="s">
        <v>56</v>
      </c>
      <c r="X496" t="s">
        <v>56</v>
      </c>
      <c r="Y496" t="s">
        <v>62</v>
      </c>
      <c r="Z496" t="s">
        <v>63</v>
      </c>
      <c r="AA496" t="s">
        <v>64</v>
      </c>
      <c r="AB496">
        <v>1</v>
      </c>
      <c r="AC496" t="s">
        <v>120</v>
      </c>
      <c r="AD496" t="s">
        <v>66</v>
      </c>
      <c r="AE496" t="s">
        <v>67</v>
      </c>
      <c r="AF496" t="s">
        <v>68</v>
      </c>
      <c r="AG496">
        <v>42560.97</v>
      </c>
      <c r="AH496" t="s">
        <v>69</v>
      </c>
      <c r="AI496" t="s">
        <v>122</v>
      </c>
      <c r="AJ496" t="s">
        <v>209</v>
      </c>
      <c r="AK496" t="s">
        <v>72</v>
      </c>
      <c r="AL496" t="s">
        <v>73</v>
      </c>
      <c r="AM496" t="s">
        <v>73</v>
      </c>
      <c r="AN496" t="s">
        <v>74</v>
      </c>
    </row>
    <row r="497" spans="1:40" x14ac:dyDescent="0.25">
      <c r="A497" t="s">
        <v>1966</v>
      </c>
      <c r="B497" t="s">
        <v>5</v>
      </c>
      <c r="C497" s="2">
        <v>640.87144999999998</v>
      </c>
      <c r="D497" t="s">
        <v>56</v>
      </c>
      <c r="E497" t="s">
        <v>56</v>
      </c>
      <c r="F497">
        <v>-24646.2</v>
      </c>
      <c r="G497" t="s">
        <v>1966</v>
      </c>
      <c r="H497" t="s">
        <v>7</v>
      </c>
      <c r="I497">
        <v>30158.53</v>
      </c>
      <c r="J497">
        <v>0</v>
      </c>
      <c r="K497">
        <v>0</v>
      </c>
      <c r="L497">
        <v>0</v>
      </c>
      <c r="M497" t="s">
        <v>1966</v>
      </c>
      <c r="N497" t="s">
        <v>57</v>
      </c>
      <c r="O497" t="s">
        <v>58</v>
      </c>
      <c r="P497" t="s">
        <v>1967</v>
      </c>
      <c r="Q497" t="s">
        <v>1968</v>
      </c>
      <c r="R497" t="s">
        <v>61</v>
      </c>
      <c r="S497" t="s">
        <v>58</v>
      </c>
      <c r="T497" t="s">
        <v>1967</v>
      </c>
      <c r="U497" t="s">
        <v>1968</v>
      </c>
      <c r="V497" t="s">
        <v>56</v>
      </c>
      <c r="W497" t="s">
        <v>56</v>
      </c>
      <c r="X497" t="s">
        <v>56</v>
      </c>
      <c r="Y497" t="s">
        <v>62</v>
      </c>
      <c r="Z497" t="s">
        <v>63</v>
      </c>
      <c r="AA497" t="s">
        <v>64</v>
      </c>
      <c r="AB497">
        <v>1</v>
      </c>
      <c r="AC497" t="s">
        <v>78</v>
      </c>
      <c r="AD497" t="s">
        <v>66</v>
      </c>
      <c r="AE497" t="s">
        <v>85</v>
      </c>
      <c r="AF497" t="s">
        <v>86</v>
      </c>
      <c r="AG497">
        <v>55300</v>
      </c>
      <c r="AH497" t="s">
        <v>69</v>
      </c>
      <c r="AI497" t="s">
        <v>269</v>
      </c>
      <c r="AJ497" t="s">
        <v>236</v>
      </c>
      <c r="AK497" t="s">
        <v>99</v>
      </c>
      <c r="AL497" t="s">
        <v>73</v>
      </c>
      <c r="AM497" t="s">
        <v>73</v>
      </c>
      <c r="AN497" t="s">
        <v>56</v>
      </c>
    </row>
    <row r="498" spans="1:40" x14ac:dyDescent="0.25">
      <c r="A498" t="s">
        <v>386</v>
      </c>
      <c r="B498" t="s">
        <v>5</v>
      </c>
      <c r="C498">
        <v>639.61656100000005</v>
      </c>
      <c r="D498">
        <v>1029.9151870000001</v>
      </c>
      <c r="E498" t="s">
        <v>56</v>
      </c>
      <c r="F498">
        <v>-23815.22</v>
      </c>
      <c r="G498" t="s">
        <v>386</v>
      </c>
      <c r="H498" t="s">
        <v>7</v>
      </c>
      <c r="I498">
        <v>25828.560000000001</v>
      </c>
      <c r="J498">
        <v>1056.7414040000001</v>
      </c>
      <c r="K498">
        <v>897.63074200000005</v>
      </c>
      <c r="L498">
        <v>0</v>
      </c>
      <c r="M498" t="s">
        <v>386</v>
      </c>
      <c r="N498" t="s">
        <v>57</v>
      </c>
      <c r="O498" t="s">
        <v>58</v>
      </c>
      <c r="P498" t="s">
        <v>387</v>
      </c>
      <c r="Q498" t="s">
        <v>388</v>
      </c>
      <c r="R498" t="s">
        <v>61</v>
      </c>
      <c r="S498" t="s">
        <v>58</v>
      </c>
      <c r="T498" t="s">
        <v>387</v>
      </c>
      <c r="U498" t="s">
        <v>388</v>
      </c>
      <c r="V498" t="s">
        <v>56</v>
      </c>
      <c r="W498" t="s">
        <v>56</v>
      </c>
      <c r="X498" t="s">
        <v>56</v>
      </c>
      <c r="Y498" t="s">
        <v>62</v>
      </c>
      <c r="Z498" t="s">
        <v>63</v>
      </c>
      <c r="AA498" t="s">
        <v>64</v>
      </c>
      <c r="AB498">
        <v>1</v>
      </c>
      <c r="AC498" t="s">
        <v>84</v>
      </c>
      <c r="AD498" t="s">
        <v>66</v>
      </c>
      <c r="AE498" t="s">
        <v>67</v>
      </c>
      <c r="AF498" t="s">
        <v>68</v>
      </c>
      <c r="AG498">
        <v>27400</v>
      </c>
      <c r="AH498" t="s">
        <v>69</v>
      </c>
      <c r="AI498" t="s">
        <v>220</v>
      </c>
      <c r="AJ498" t="s">
        <v>324</v>
      </c>
      <c r="AK498" t="s">
        <v>99</v>
      </c>
      <c r="AL498" t="s">
        <v>73</v>
      </c>
      <c r="AM498" t="s">
        <v>73</v>
      </c>
      <c r="AN498" t="s">
        <v>74</v>
      </c>
    </row>
    <row r="499" spans="1:40" x14ac:dyDescent="0.25">
      <c r="A499" t="s">
        <v>340</v>
      </c>
      <c r="B499" t="s">
        <v>5</v>
      </c>
      <c r="C499">
        <v>639.36992099999998</v>
      </c>
      <c r="D499">
        <v>513.48987299999999</v>
      </c>
      <c r="E499" t="s">
        <v>56</v>
      </c>
      <c r="F499">
        <v>-30105.8</v>
      </c>
      <c r="G499" t="s">
        <v>340</v>
      </c>
      <c r="H499" t="s">
        <v>7</v>
      </c>
      <c r="I499">
        <v>35806.67</v>
      </c>
      <c r="J499">
        <v>863.68590800000004</v>
      </c>
      <c r="K499">
        <v>733.64308300000005</v>
      </c>
      <c r="L499">
        <v>0</v>
      </c>
      <c r="M499" t="s">
        <v>340</v>
      </c>
      <c r="N499" t="s">
        <v>57</v>
      </c>
      <c r="O499" t="s">
        <v>58</v>
      </c>
      <c r="P499" t="s">
        <v>341</v>
      </c>
      <c r="Q499" t="s">
        <v>342</v>
      </c>
      <c r="R499" t="s">
        <v>61</v>
      </c>
      <c r="S499" t="s">
        <v>58</v>
      </c>
      <c r="T499" t="s">
        <v>341</v>
      </c>
      <c r="U499" t="s">
        <v>342</v>
      </c>
      <c r="V499" t="s">
        <v>56</v>
      </c>
      <c r="W499" t="s">
        <v>56</v>
      </c>
      <c r="X499" t="s">
        <v>56</v>
      </c>
      <c r="Y499" t="s">
        <v>62</v>
      </c>
      <c r="Z499" t="s">
        <v>63</v>
      </c>
      <c r="AA499" t="s">
        <v>64</v>
      </c>
      <c r="AB499">
        <v>1</v>
      </c>
      <c r="AC499" t="s">
        <v>84</v>
      </c>
      <c r="AD499" t="s">
        <v>66</v>
      </c>
      <c r="AE499" t="s">
        <v>67</v>
      </c>
      <c r="AF499" t="s">
        <v>103</v>
      </c>
      <c r="AG499">
        <v>46476.57</v>
      </c>
      <c r="AH499" t="s">
        <v>69</v>
      </c>
      <c r="AI499" t="s">
        <v>343</v>
      </c>
      <c r="AJ499" t="s">
        <v>187</v>
      </c>
      <c r="AK499" t="s">
        <v>99</v>
      </c>
      <c r="AL499" t="s">
        <v>73</v>
      </c>
      <c r="AM499" t="s">
        <v>73</v>
      </c>
      <c r="AN499" t="s">
        <v>74</v>
      </c>
    </row>
    <row r="500" spans="1:40" x14ac:dyDescent="0.25">
      <c r="A500" t="s">
        <v>705</v>
      </c>
      <c r="B500" t="s">
        <v>5</v>
      </c>
      <c r="C500">
        <v>637.89657999999997</v>
      </c>
      <c r="D500">
        <v>541.85023699999999</v>
      </c>
      <c r="E500" t="s">
        <v>56</v>
      </c>
      <c r="F500">
        <v>-14794.32</v>
      </c>
      <c r="G500" t="s">
        <v>705</v>
      </c>
      <c r="H500" t="s">
        <v>7</v>
      </c>
      <c r="I500">
        <v>18673.23</v>
      </c>
      <c r="J500">
        <v>805.13630799999999</v>
      </c>
      <c r="K500">
        <v>683.90913599999999</v>
      </c>
      <c r="L500">
        <v>0</v>
      </c>
      <c r="M500" t="s">
        <v>705</v>
      </c>
      <c r="N500" t="s">
        <v>57</v>
      </c>
      <c r="O500" t="s">
        <v>58</v>
      </c>
      <c r="P500" t="s">
        <v>706</v>
      </c>
      <c r="Q500" t="s">
        <v>707</v>
      </c>
      <c r="R500" t="s">
        <v>61</v>
      </c>
      <c r="S500" t="s">
        <v>58</v>
      </c>
      <c r="T500" t="s">
        <v>706</v>
      </c>
      <c r="U500" t="s">
        <v>707</v>
      </c>
      <c r="V500" t="s">
        <v>56</v>
      </c>
      <c r="W500" t="s">
        <v>56</v>
      </c>
      <c r="X500" t="s">
        <v>56</v>
      </c>
      <c r="Y500" t="s">
        <v>62</v>
      </c>
      <c r="Z500" t="s">
        <v>63</v>
      </c>
      <c r="AA500" t="s">
        <v>64</v>
      </c>
      <c r="AB500">
        <v>1</v>
      </c>
      <c r="AC500" t="s">
        <v>84</v>
      </c>
      <c r="AD500" t="s">
        <v>66</v>
      </c>
      <c r="AE500" t="s">
        <v>67</v>
      </c>
      <c r="AF500" t="s">
        <v>68</v>
      </c>
      <c r="AG500">
        <v>26000</v>
      </c>
      <c r="AH500" t="s">
        <v>69</v>
      </c>
      <c r="AI500" t="s">
        <v>79</v>
      </c>
      <c r="AJ500" t="s">
        <v>187</v>
      </c>
      <c r="AK500" t="s">
        <v>99</v>
      </c>
      <c r="AL500" t="s">
        <v>73</v>
      </c>
      <c r="AM500" t="s">
        <v>73</v>
      </c>
      <c r="AN500" t="s">
        <v>74</v>
      </c>
    </row>
    <row r="501" spans="1:40" x14ac:dyDescent="0.25">
      <c r="A501" t="s">
        <v>1969</v>
      </c>
      <c r="B501" t="s">
        <v>5</v>
      </c>
      <c r="C501">
        <v>637.86733700000002</v>
      </c>
      <c r="D501">
        <v>814.55679099999998</v>
      </c>
      <c r="E501" t="s">
        <v>56</v>
      </c>
      <c r="F501">
        <v>-23494.87</v>
      </c>
      <c r="G501" t="s">
        <v>1969</v>
      </c>
      <c r="H501" t="s">
        <v>7</v>
      </c>
      <c r="I501">
        <v>27697.85</v>
      </c>
      <c r="J501">
        <v>751.95281199999999</v>
      </c>
      <c r="K501">
        <v>960.24397799999997</v>
      </c>
      <c r="L501">
        <v>0</v>
      </c>
      <c r="M501" t="s">
        <v>1969</v>
      </c>
      <c r="N501" t="s">
        <v>57</v>
      </c>
      <c r="O501" t="s">
        <v>58</v>
      </c>
      <c r="P501" t="s">
        <v>1970</v>
      </c>
      <c r="Q501" t="s">
        <v>1971</v>
      </c>
      <c r="R501" t="s">
        <v>61</v>
      </c>
      <c r="S501" t="s">
        <v>58</v>
      </c>
      <c r="T501" t="s">
        <v>1970</v>
      </c>
      <c r="U501" t="s">
        <v>1971</v>
      </c>
      <c r="V501" t="s">
        <v>56</v>
      </c>
      <c r="W501" t="s">
        <v>56</v>
      </c>
      <c r="X501" t="s">
        <v>56</v>
      </c>
      <c r="Y501" t="s">
        <v>62</v>
      </c>
      <c r="Z501" t="s">
        <v>63</v>
      </c>
      <c r="AA501" t="s">
        <v>64</v>
      </c>
      <c r="AB501">
        <v>1</v>
      </c>
      <c r="AC501" t="s">
        <v>78</v>
      </c>
      <c r="AD501" t="s">
        <v>66</v>
      </c>
      <c r="AE501" t="s">
        <v>121</v>
      </c>
      <c r="AF501" t="s">
        <v>68</v>
      </c>
      <c r="AG501">
        <v>34990</v>
      </c>
      <c r="AH501" t="s">
        <v>69</v>
      </c>
      <c r="AI501" t="s">
        <v>278</v>
      </c>
      <c r="AJ501" t="s">
        <v>172</v>
      </c>
      <c r="AK501" t="s">
        <v>99</v>
      </c>
      <c r="AL501" t="s">
        <v>73</v>
      </c>
      <c r="AM501" t="s">
        <v>73</v>
      </c>
      <c r="AN501" t="s">
        <v>124</v>
      </c>
    </row>
    <row r="502" spans="1:40" x14ac:dyDescent="0.25">
      <c r="A502" t="s">
        <v>2086</v>
      </c>
      <c r="B502" t="s">
        <v>5</v>
      </c>
      <c r="C502">
        <v>637.38537699999995</v>
      </c>
      <c r="D502">
        <v>541.41600400000004</v>
      </c>
      <c r="E502" t="s">
        <v>56</v>
      </c>
      <c r="F502">
        <v>-34965.54</v>
      </c>
      <c r="G502" t="s">
        <v>2086</v>
      </c>
      <c r="H502" t="s">
        <v>7</v>
      </c>
      <c r="I502">
        <v>40162.28</v>
      </c>
      <c r="J502">
        <v>900.498154</v>
      </c>
      <c r="K502">
        <v>764.91260999999997</v>
      </c>
      <c r="L502">
        <v>0</v>
      </c>
      <c r="M502" t="s">
        <v>2086</v>
      </c>
      <c r="N502" t="s">
        <v>57</v>
      </c>
      <c r="O502" t="s">
        <v>58</v>
      </c>
      <c r="P502" t="s">
        <v>2087</v>
      </c>
      <c r="Q502" t="s">
        <v>1084</v>
      </c>
      <c r="R502" t="s">
        <v>61</v>
      </c>
      <c r="S502" t="s">
        <v>58</v>
      </c>
      <c r="T502" t="s">
        <v>2087</v>
      </c>
      <c r="U502" t="s">
        <v>1084</v>
      </c>
      <c r="V502" t="s">
        <v>56</v>
      </c>
      <c r="W502" t="s">
        <v>56</v>
      </c>
      <c r="X502" t="s">
        <v>56</v>
      </c>
      <c r="Y502" t="s">
        <v>62</v>
      </c>
      <c r="Z502" t="s">
        <v>63</v>
      </c>
      <c r="AA502" t="s">
        <v>64</v>
      </c>
      <c r="AB502">
        <v>1</v>
      </c>
      <c r="AC502" t="s">
        <v>84</v>
      </c>
      <c r="AD502" t="s">
        <v>66</v>
      </c>
      <c r="AE502" t="s">
        <v>67</v>
      </c>
      <c r="AF502" t="s">
        <v>68</v>
      </c>
      <c r="AG502">
        <v>49999</v>
      </c>
      <c r="AH502" t="s">
        <v>69</v>
      </c>
      <c r="AI502" t="s">
        <v>253</v>
      </c>
      <c r="AJ502" t="s">
        <v>254</v>
      </c>
      <c r="AK502" t="s">
        <v>72</v>
      </c>
      <c r="AL502" t="s">
        <v>73</v>
      </c>
      <c r="AM502" t="s">
        <v>73</v>
      </c>
      <c r="AN502" t="s">
        <v>74</v>
      </c>
    </row>
    <row r="503" spans="1:40" x14ac:dyDescent="0.25">
      <c r="A503" t="s">
        <v>1260</v>
      </c>
      <c r="B503" t="s">
        <v>5</v>
      </c>
      <c r="C503">
        <v>635.49078599999996</v>
      </c>
      <c r="D503">
        <v>539.80667600000004</v>
      </c>
      <c r="E503" t="s">
        <v>56</v>
      </c>
      <c r="F503">
        <v>-34856.65</v>
      </c>
      <c r="G503" t="s">
        <v>1260</v>
      </c>
      <c r="H503" t="s">
        <v>7</v>
      </c>
      <c r="I503">
        <v>37749.54</v>
      </c>
      <c r="J503">
        <v>846.52920600000004</v>
      </c>
      <c r="K503">
        <v>719.06961899999999</v>
      </c>
      <c r="L503">
        <v>0</v>
      </c>
      <c r="M503" t="s">
        <v>1260</v>
      </c>
      <c r="N503" t="s">
        <v>57</v>
      </c>
      <c r="O503" t="s">
        <v>58</v>
      </c>
      <c r="P503" t="s">
        <v>1261</v>
      </c>
      <c r="Q503" t="s">
        <v>1262</v>
      </c>
      <c r="R503" t="s">
        <v>61</v>
      </c>
      <c r="S503" t="s">
        <v>58</v>
      </c>
      <c r="T503" t="s">
        <v>1261</v>
      </c>
      <c r="U503" t="s">
        <v>1262</v>
      </c>
      <c r="V503" t="s">
        <v>56</v>
      </c>
      <c r="W503" t="s">
        <v>56</v>
      </c>
      <c r="X503" t="s">
        <v>56</v>
      </c>
      <c r="Y503" t="s">
        <v>62</v>
      </c>
      <c r="Z503" t="s">
        <v>63</v>
      </c>
      <c r="AA503" t="s">
        <v>64</v>
      </c>
      <c r="AB503">
        <v>1</v>
      </c>
      <c r="AC503" t="s">
        <v>78</v>
      </c>
      <c r="AD503" t="s">
        <v>66</v>
      </c>
      <c r="AE503" t="s">
        <v>67</v>
      </c>
      <c r="AF503" t="s">
        <v>68</v>
      </c>
      <c r="AG503">
        <v>49991.87</v>
      </c>
      <c r="AH503" t="s">
        <v>69</v>
      </c>
      <c r="AI503" t="s">
        <v>355</v>
      </c>
      <c r="AJ503" t="s">
        <v>324</v>
      </c>
      <c r="AK503" t="s">
        <v>72</v>
      </c>
      <c r="AL503" t="s">
        <v>73</v>
      </c>
      <c r="AM503" t="s">
        <v>73</v>
      </c>
      <c r="AN503" t="s">
        <v>74</v>
      </c>
    </row>
    <row r="504" spans="1:40" x14ac:dyDescent="0.25">
      <c r="A504" t="s">
        <v>2174</v>
      </c>
      <c r="B504" t="s">
        <v>5</v>
      </c>
      <c r="C504">
        <v>635.00648799999999</v>
      </c>
      <c r="D504">
        <v>539.39529700000003</v>
      </c>
      <c r="E504" t="s">
        <v>56</v>
      </c>
      <c r="F504">
        <v>-19825.21</v>
      </c>
      <c r="G504" t="s">
        <v>2174</v>
      </c>
      <c r="H504" t="s">
        <v>7</v>
      </c>
      <c r="I504">
        <v>24137.040000000001</v>
      </c>
      <c r="J504">
        <v>773.11435100000006</v>
      </c>
      <c r="K504">
        <v>656.70863799999995</v>
      </c>
      <c r="L504">
        <v>0</v>
      </c>
      <c r="M504" t="s">
        <v>2174</v>
      </c>
      <c r="N504" t="s">
        <v>57</v>
      </c>
      <c r="O504" t="s">
        <v>58</v>
      </c>
      <c r="P504" t="s">
        <v>2175</v>
      </c>
      <c r="Q504" t="s">
        <v>2176</v>
      </c>
      <c r="R504" t="s">
        <v>61</v>
      </c>
      <c r="S504" t="s">
        <v>58</v>
      </c>
      <c r="T504" t="s">
        <v>2175</v>
      </c>
      <c r="U504" t="s">
        <v>2176</v>
      </c>
      <c r="V504" t="s">
        <v>56</v>
      </c>
      <c r="W504" t="s">
        <v>56</v>
      </c>
      <c r="X504" t="s">
        <v>56</v>
      </c>
      <c r="Y504" t="s">
        <v>62</v>
      </c>
      <c r="Z504" t="s">
        <v>63</v>
      </c>
      <c r="AA504" t="s">
        <v>64</v>
      </c>
      <c r="AB504">
        <v>1</v>
      </c>
      <c r="AC504" t="s">
        <v>78</v>
      </c>
      <c r="AD504" t="s">
        <v>66</v>
      </c>
      <c r="AE504" t="s">
        <v>67</v>
      </c>
      <c r="AF504" t="s">
        <v>103</v>
      </c>
      <c r="AG504">
        <v>35000</v>
      </c>
      <c r="AH504" t="s">
        <v>69</v>
      </c>
      <c r="AI504" t="s">
        <v>128</v>
      </c>
      <c r="AJ504" t="s">
        <v>195</v>
      </c>
      <c r="AK504" t="s">
        <v>99</v>
      </c>
      <c r="AL504" t="s">
        <v>73</v>
      </c>
      <c r="AM504" t="s">
        <v>73</v>
      </c>
      <c r="AN504" t="s">
        <v>74</v>
      </c>
    </row>
    <row r="505" spans="1:40" x14ac:dyDescent="0.25">
      <c r="A505" t="s">
        <v>1467</v>
      </c>
      <c r="B505" t="s">
        <v>5</v>
      </c>
      <c r="C505" s="2">
        <v>634.42192999999997</v>
      </c>
      <c r="D505" t="s">
        <v>56</v>
      </c>
      <c r="E505" t="s">
        <v>56</v>
      </c>
      <c r="F505">
        <v>-8169.09</v>
      </c>
      <c r="G505" t="s">
        <v>1467</v>
      </c>
      <c r="H505" t="s">
        <v>7</v>
      </c>
      <c r="I505">
        <v>11051.41</v>
      </c>
      <c r="J505">
        <v>0</v>
      </c>
      <c r="K505">
        <v>0</v>
      </c>
      <c r="L505">
        <v>0</v>
      </c>
      <c r="M505" t="s">
        <v>1467</v>
      </c>
      <c r="N505" t="s">
        <v>57</v>
      </c>
      <c r="O505" t="s">
        <v>58</v>
      </c>
      <c r="P505" t="s">
        <v>1468</v>
      </c>
      <c r="Q505" t="s">
        <v>1469</v>
      </c>
      <c r="R505" t="s">
        <v>61</v>
      </c>
      <c r="S505" t="s">
        <v>58</v>
      </c>
      <c r="T505" t="s">
        <v>1468</v>
      </c>
      <c r="U505" t="s">
        <v>1469</v>
      </c>
      <c r="V505" t="s">
        <v>56</v>
      </c>
      <c r="W505" t="s">
        <v>56</v>
      </c>
      <c r="X505" t="s">
        <v>56</v>
      </c>
      <c r="Y505" t="s">
        <v>62</v>
      </c>
      <c r="Z505" t="s">
        <v>63</v>
      </c>
      <c r="AA505" t="s">
        <v>64</v>
      </c>
      <c r="AB505">
        <v>1</v>
      </c>
      <c r="AC505" t="s">
        <v>84</v>
      </c>
      <c r="AD505" t="s">
        <v>66</v>
      </c>
      <c r="AE505" t="s">
        <v>85</v>
      </c>
      <c r="AF505" t="s">
        <v>68</v>
      </c>
      <c r="AG505">
        <v>34999</v>
      </c>
      <c r="AH505" t="s">
        <v>69</v>
      </c>
      <c r="AI505" t="s">
        <v>244</v>
      </c>
      <c r="AJ505" t="s">
        <v>279</v>
      </c>
      <c r="AK505" t="s">
        <v>72</v>
      </c>
      <c r="AL505" t="s">
        <v>73</v>
      </c>
      <c r="AM505" t="s">
        <v>73</v>
      </c>
      <c r="AN505" t="s">
        <v>56</v>
      </c>
    </row>
    <row r="506" spans="1:40" x14ac:dyDescent="0.25">
      <c r="A506" t="s">
        <v>2191</v>
      </c>
      <c r="B506" t="s">
        <v>5</v>
      </c>
      <c r="C506" s="2">
        <v>633.71650799999998</v>
      </c>
      <c r="D506" t="s">
        <v>56</v>
      </c>
      <c r="E506" t="s">
        <v>56</v>
      </c>
      <c r="F506">
        <v>-4738.8100000000004</v>
      </c>
      <c r="G506" t="s">
        <v>2191</v>
      </c>
      <c r="H506" t="s">
        <v>7</v>
      </c>
      <c r="I506">
        <v>7294.28</v>
      </c>
      <c r="J506">
        <v>0</v>
      </c>
      <c r="K506">
        <v>0</v>
      </c>
      <c r="L506">
        <v>0</v>
      </c>
      <c r="M506" t="s">
        <v>2191</v>
      </c>
      <c r="N506" t="s">
        <v>57</v>
      </c>
      <c r="O506" t="s">
        <v>58</v>
      </c>
      <c r="P506" t="s">
        <v>2192</v>
      </c>
      <c r="Q506" t="s">
        <v>2193</v>
      </c>
      <c r="R506" t="s">
        <v>61</v>
      </c>
      <c r="S506" t="s">
        <v>58</v>
      </c>
      <c r="T506" t="s">
        <v>2192</v>
      </c>
      <c r="U506" t="s">
        <v>2193</v>
      </c>
      <c r="V506" t="s">
        <v>56</v>
      </c>
      <c r="W506" t="s">
        <v>56</v>
      </c>
      <c r="X506" t="s">
        <v>56</v>
      </c>
      <c r="Y506" t="s">
        <v>62</v>
      </c>
      <c r="Z506" t="s">
        <v>63</v>
      </c>
      <c r="AA506" t="s">
        <v>64</v>
      </c>
      <c r="AB506">
        <v>1</v>
      </c>
      <c r="AC506" t="s">
        <v>78</v>
      </c>
      <c r="AD506" t="s">
        <v>66</v>
      </c>
      <c r="AE506" t="s">
        <v>85</v>
      </c>
      <c r="AF506" t="s">
        <v>103</v>
      </c>
      <c r="AG506">
        <v>25000</v>
      </c>
      <c r="AH506" t="s">
        <v>69</v>
      </c>
      <c r="AI506" t="s">
        <v>829</v>
      </c>
      <c r="AJ506" t="s">
        <v>2194</v>
      </c>
      <c r="AK506" t="s">
        <v>99</v>
      </c>
      <c r="AL506" t="s">
        <v>73</v>
      </c>
      <c r="AM506" t="s">
        <v>73</v>
      </c>
      <c r="AN506" t="s">
        <v>56</v>
      </c>
    </row>
    <row r="507" spans="1:40" x14ac:dyDescent="0.25">
      <c r="A507" t="s">
        <v>1514</v>
      </c>
      <c r="B507" t="s">
        <v>5</v>
      </c>
      <c r="C507">
        <v>632.51773400000002</v>
      </c>
      <c r="D507">
        <v>537.28126899999995</v>
      </c>
      <c r="E507" t="s">
        <v>56</v>
      </c>
      <c r="F507">
        <v>-34698.61</v>
      </c>
      <c r="G507" t="s">
        <v>1514</v>
      </c>
      <c r="H507" t="s">
        <v>7</v>
      </c>
      <c r="I507">
        <v>38966.839999999997</v>
      </c>
      <c r="J507">
        <v>873.68127800000002</v>
      </c>
      <c r="K507">
        <v>742.13347799999997</v>
      </c>
      <c r="L507">
        <v>0</v>
      </c>
      <c r="M507" t="s">
        <v>1514</v>
      </c>
      <c r="N507" t="s">
        <v>57</v>
      </c>
      <c r="O507" t="s">
        <v>58</v>
      </c>
      <c r="P507" t="s">
        <v>1515</v>
      </c>
      <c r="Q507" t="s">
        <v>1516</v>
      </c>
      <c r="R507" t="s">
        <v>61</v>
      </c>
      <c r="S507" t="s">
        <v>58</v>
      </c>
      <c r="T507" t="s">
        <v>1515</v>
      </c>
      <c r="U507" t="s">
        <v>1516</v>
      </c>
      <c r="V507" t="s">
        <v>56</v>
      </c>
      <c r="W507" t="s">
        <v>56</v>
      </c>
      <c r="X507" t="s">
        <v>56</v>
      </c>
      <c r="Y507" t="s">
        <v>62</v>
      </c>
      <c r="Z507" t="s">
        <v>63</v>
      </c>
      <c r="AA507" t="s">
        <v>64</v>
      </c>
      <c r="AB507">
        <v>1</v>
      </c>
      <c r="AC507" t="s">
        <v>78</v>
      </c>
      <c r="AD507" t="s">
        <v>66</v>
      </c>
      <c r="AE507" t="s">
        <v>67</v>
      </c>
      <c r="AF507" t="s">
        <v>235</v>
      </c>
      <c r="AG507">
        <v>49999.19</v>
      </c>
      <c r="AH507" t="s">
        <v>69</v>
      </c>
      <c r="AI507" t="s">
        <v>132</v>
      </c>
      <c r="AJ507" t="s">
        <v>339</v>
      </c>
      <c r="AK507" t="s">
        <v>72</v>
      </c>
      <c r="AL507" t="s">
        <v>73</v>
      </c>
      <c r="AM507" t="s">
        <v>73</v>
      </c>
      <c r="AN507" t="s">
        <v>74</v>
      </c>
    </row>
    <row r="508" spans="1:40" x14ac:dyDescent="0.25">
      <c r="A508" t="s">
        <v>2506</v>
      </c>
      <c r="B508" t="s">
        <v>5</v>
      </c>
      <c r="C508">
        <v>630.35408900000004</v>
      </c>
      <c r="D508">
        <v>535.443398</v>
      </c>
      <c r="E508" t="s">
        <v>56</v>
      </c>
      <c r="F508">
        <v>-30121.599999999999</v>
      </c>
      <c r="G508" t="s">
        <v>2506</v>
      </c>
      <c r="H508" t="s">
        <v>7</v>
      </c>
      <c r="I508">
        <v>34251.42</v>
      </c>
      <c r="J508">
        <v>881.64528900000005</v>
      </c>
      <c r="K508">
        <v>748.898369</v>
      </c>
      <c r="L508">
        <v>0</v>
      </c>
      <c r="M508" t="s">
        <v>2506</v>
      </c>
      <c r="N508" t="s">
        <v>57</v>
      </c>
      <c r="O508" t="s">
        <v>58</v>
      </c>
      <c r="P508" t="s">
        <v>2507</v>
      </c>
      <c r="Q508" t="s">
        <v>2508</v>
      </c>
      <c r="R508" t="s">
        <v>61</v>
      </c>
      <c r="S508" t="s">
        <v>58</v>
      </c>
      <c r="T508" t="s">
        <v>2507</v>
      </c>
      <c r="U508" t="s">
        <v>2508</v>
      </c>
      <c r="V508" t="s">
        <v>56</v>
      </c>
      <c r="W508" t="s">
        <v>56</v>
      </c>
      <c r="X508" t="s">
        <v>56</v>
      </c>
      <c r="Y508" t="s">
        <v>62</v>
      </c>
      <c r="Z508" t="s">
        <v>63</v>
      </c>
      <c r="AA508" t="s">
        <v>64</v>
      </c>
      <c r="AB508">
        <v>1</v>
      </c>
      <c r="AC508" t="s">
        <v>65</v>
      </c>
      <c r="AD508" t="s">
        <v>66</v>
      </c>
      <c r="AE508" t="s">
        <v>67</v>
      </c>
      <c r="AF508" t="s">
        <v>68</v>
      </c>
      <c r="AG508">
        <v>43552.85</v>
      </c>
      <c r="AH508" t="s">
        <v>69</v>
      </c>
      <c r="AI508" t="s">
        <v>400</v>
      </c>
      <c r="AJ508" t="s">
        <v>98</v>
      </c>
      <c r="AK508" t="s">
        <v>72</v>
      </c>
      <c r="AL508" t="s">
        <v>73</v>
      </c>
      <c r="AM508" t="s">
        <v>73</v>
      </c>
      <c r="AN508" t="s">
        <v>74</v>
      </c>
    </row>
    <row r="509" spans="1:40" x14ac:dyDescent="0.25">
      <c r="A509" t="s">
        <v>780</v>
      </c>
      <c r="B509" t="s">
        <v>5</v>
      </c>
      <c r="C509">
        <v>630.11642400000005</v>
      </c>
      <c r="D509">
        <v>535.24151700000004</v>
      </c>
      <c r="E509" t="s">
        <v>56</v>
      </c>
      <c r="F509">
        <v>-18969.95</v>
      </c>
      <c r="G509" t="s">
        <v>780</v>
      </c>
      <c r="H509" t="s">
        <v>7</v>
      </c>
      <c r="I509">
        <v>22220.46</v>
      </c>
      <c r="J509">
        <v>907.82988599999999</v>
      </c>
      <c r="K509">
        <v>771.14042400000005</v>
      </c>
      <c r="L509">
        <v>0</v>
      </c>
      <c r="M509" t="s">
        <v>780</v>
      </c>
      <c r="N509" t="s">
        <v>57</v>
      </c>
      <c r="O509" t="s">
        <v>58</v>
      </c>
      <c r="P509" t="s">
        <v>781</v>
      </c>
      <c r="Q509" t="s">
        <v>782</v>
      </c>
      <c r="R509" t="s">
        <v>61</v>
      </c>
      <c r="S509" t="s">
        <v>58</v>
      </c>
      <c r="T509" t="s">
        <v>781</v>
      </c>
      <c r="U509" t="s">
        <v>782</v>
      </c>
      <c r="V509" t="s">
        <v>56</v>
      </c>
      <c r="W509" t="s">
        <v>56</v>
      </c>
      <c r="X509" t="s">
        <v>56</v>
      </c>
      <c r="Y509" t="s">
        <v>62</v>
      </c>
      <c r="Z509" t="s">
        <v>63</v>
      </c>
      <c r="AA509" t="s">
        <v>64</v>
      </c>
      <c r="AB509">
        <v>1</v>
      </c>
      <c r="AC509" t="s">
        <v>84</v>
      </c>
      <c r="AD509" t="s">
        <v>66</v>
      </c>
      <c r="AE509" t="s">
        <v>67</v>
      </c>
      <c r="AF509" t="s">
        <v>68</v>
      </c>
      <c r="AG509">
        <v>27439.01</v>
      </c>
      <c r="AH509" t="s">
        <v>69</v>
      </c>
      <c r="AI509" t="s">
        <v>128</v>
      </c>
      <c r="AJ509" t="s">
        <v>339</v>
      </c>
      <c r="AK509" t="s">
        <v>72</v>
      </c>
      <c r="AL509" t="s">
        <v>73</v>
      </c>
      <c r="AM509" t="s">
        <v>73</v>
      </c>
      <c r="AN509" t="s">
        <v>74</v>
      </c>
    </row>
    <row r="510" spans="1:40" x14ac:dyDescent="0.25">
      <c r="A510" t="s">
        <v>556</v>
      </c>
      <c r="B510" t="s">
        <v>5</v>
      </c>
      <c r="C510">
        <v>629.90342299999998</v>
      </c>
      <c r="D510">
        <v>535.06058700000006</v>
      </c>
      <c r="E510" t="s">
        <v>56</v>
      </c>
      <c r="F510">
        <v>-24182.14</v>
      </c>
      <c r="G510" t="s">
        <v>556</v>
      </c>
      <c r="H510" t="s">
        <v>7</v>
      </c>
      <c r="I510">
        <v>27504.2</v>
      </c>
      <c r="J510">
        <v>881.23722299999997</v>
      </c>
      <c r="K510">
        <v>748.55174399999999</v>
      </c>
      <c r="L510">
        <v>0</v>
      </c>
      <c r="M510" t="s">
        <v>556</v>
      </c>
      <c r="N510" t="s">
        <v>57</v>
      </c>
      <c r="O510" t="s">
        <v>58</v>
      </c>
      <c r="P510" t="s">
        <v>557</v>
      </c>
      <c r="Q510" t="s">
        <v>558</v>
      </c>
      <c r="R510" t="s">
        <v>61</v>
      </c>
      <c r="S510" t="s">
        <v>58</v>
      </c>
      <c r="T510" t="s">
        <v>557</v>
      </c>
      <c r="U510" t="s">
        <v>558</v>
      </c>
      <c r="V510" t="s">
        <v>56</v>
      </c>
      <c r="W510" t="s">
        <v>56</v>
      </c>
      <c r="X510" t="s">
        <v>56</v>
      </c>
      <c r="Y510" t="s">
        <v>62</v>
      </c>
      <c r="Z510" t="s">
        <v>63</v>
      </c>
      <c r="AA510" t="s">
        <v>64</v>
      </c>
      <c r="AB510">
        <v>1</v>
      </c>
      <c r="AC510" t="s">
        <v>84</v>
      </c>
      <c r="AD510" t="s">
        <v>66</v>
      </c>
      <c r="AE510" t="s">
        <v>67</v>
      </c>
      <c r="AF510" t="s">
        <v>68</v>
      </c>
      <c r="AG510">
        <v>34989.99</v>
      </c>
      <c r="AH510" t="s">
        <v>69</v>
      </c>
      <c r="AI510" t="s">
        <v>559</v>
      </c>
      <c r="AJ510" t="s">
        <v>401</v>
      </c>
      <c r="AK510" t="s">
        <v>72</v>
      </c>
      <c r="AL510" t="s">
        <v>73</v>
      </c>
      <c r="AM510" t="s">
        <v>73</v>
      </c>
      <c r="AN510" t="s">
        <v>74</v>
      </c>
    </row>
    <row r="511" spans="1:40" x14ac:dyDescent="0.25">
      <c r="A511" t="s">
        <v>610</v>
      </c>
      <c r="B511" t="s">
        <v>5</v>
      </c>
      <c r="C511">
        <v>628.67025699999999</v>
      </c>
      <c r="D511">
        <v>534.01309500000002</v>
      </c>
      <c r="E511" t="s">
        <v>56</v>
      </c>
      <c r="F511">
        <v>-110468.69</v>
      </c>
      <c r="G511" t="s">
        <v>610</v>
      </c>
      <c r="H511" t="s">
        <v>7</v>
      </c>
      <c r="I511">
        <v>118925.2</v>
      </c>
      <c r="J511">
        <v>832.46102399999995</v>
      </c>
      <c r="K511">
        <v>707.11964499999999</v>
      </c>
      <c r="L511">
        <v>0</v>
      </c>
      <c r="M511" t="s">
        <v>610</v>
      </c>
      <c r="N511" t="s">
        <v>57</v>
      </c>
      <c r="O511" t="s">
        <v>58</v>
      </c>
      <c r="P511" t="s">
        <v>611</v>
      </c>
      <c r="Q511" t="s">
        <v>612</v>
      </c>
      <c r="R511" t="s">
        <v>61</v>
      </c>
      <c r="S511" t="s">
        <v>58</v>
      </c>
      <c r="T511" t="s">
        <v>611</v>
      </c>
      <c r="U511" t="s">
        <v>612</v>
      </c>
      <c r="V511" t="s">
        <v>56</v>
      </c>
      <c r="W511" t="s">
        <v>56</v>
      </c>
      <c r="X511" t="s">
        <v>56</v>
      </c>
      <c r="Y511" t="s">
        <v>62</v>
      </c>
      <c r="Z511" t="s">
        <v>63</v>
      </c>
      <c r="AA511" t="s">
        <v>64</v>
      </c>
      <c r="AB511">
        <v>1</v>
      </c>
      <c r="AC511" t="s">
        <v>65</v>
      </c>
      <c r="AD511" t="s">
        <v>66</v>
      </c>
      <c r="AE511" t="s">
        <v>67</v>
      </c>
      <c r="AF511" t="s">
        <v>68</v>
      </c>
      <c r="AG511">
        <v>160154.76999999999</v>
      </c>
      <c r="AH511" t="s">
        <v>69</v>
      </c>
      <c r="AI511" t="s">
        <v>104</v>
      </c>
      <c r="AJ511" t="s">
        <v>71</v>
      </c>
      <c r="AK511" t="s">
        <v>72</v>
      </c>
      <c r="AL511" t="s">
        <v>73</v>
      </c>
      <c r="AM511" t="s">
        <v>73</v>
      </c>
      <c r="AN511" t="s">
        <v>74</v>
      </c>
    </row>
    <row r="512" spans="1:40" x14ac:dyDescent="0.25">
      <c r="A512" t="s">
        <v>569</v>
      </c>
      <c r="B512" t="s">
        <v>5</v>
      </c>
      <c r="C512">
        <v>628.11465199999998</v>
      </c>
      <c r="D512">
        <v>504.450558</v>
      </c>
      <c r="E512" t="s">
        <v>56</v>
      </c>
      <c r="F512">
        <v>-17219.88</v>
      </c>
      <c r="G512" t="s">
        <v>569</v>
      </c>
      <c r="H512" t="s">
        <v>7</v>
      </c>
      <c r="I512">
        <v>18837.36</v>
      </c>
      <c r="J512">
        <v>959.88182200000006</v>
      </c>
      <c r="K512">
        <v>815.35504200000003</v>
      </c>
      <c r="L512">
        <v>0</v>
      </c>
      <c r="M512" t="s">
        <v>569</v>
      </c>
      <c r="N512" t="s">
        <v>57</v>
      </c>
      <c r="O512" t="s">
        <v>58</v>
      </c>
      <c r="P512" t="s">
        <v>570</v>
      </c>
      <c r="Q512" t="s">
        <v>571</v>
      </c>
      <c r="R512" t="s">
        <v>61</v>
      </c>
      <c r="S512" t="s">
        <v>58</v>
      </c>
      <c r="T512" t="s">
        <v>570</v>
      </c>
      <c r="U512" t="s">
        <v>571</v>
      </c>
      <c r="V512" t="s">
        <v>56</v>
      </c>
      <c r="W512" t="s">
        <v>56</v>
      </c>
      <c r="X512" t="s">
        <v>56</v>
      </c>
      <c r="Y512" t="s">
        <v>62</v>
      </c>
      <c r="Z512" t="s">
        <v>63</v>
      </c>
      <c r="AA512" t="s">
        <v>64</v>
      </c>
      <c r="AB512">
        <v>1</v>
      </c>
      <c r="AC512" t="s">
        <v>78</v>
      </c>
      <c r="AD512" t="s">
        <v>66</v>
      </c>
      <c r="AE512" t="s">
        <v>67</v>
      </c>
      <c r="AF512" t="s">
        <v>68</v>
      </c>
      <c r="AG512">
        <v>22000</v>
      </c>
      <c r="AH512" t="s">
        <v>69</v>
      </c>
      <c r="AI512" t="s">
        <v>484</v>
      </c>
      <c r="AJ512" t="s">
        <v>224</v>
      </c>
      <c r="AK512" t="s">
        <v>72</v>
      </c>
      <c r="AL512" t="s">
        <v>73</v>
      </c>
      <c r="AM512" t="s">
        <v>73</v>
      </c>
      <c r="AN512" t="s">
        <v>74</v>
      </c>
    </row>
    <row r="513" spans="1:40" x14ac:dyDescent="0.25">
      <c r="A513" t="s">
        <v>2214</v>
      </c>
      <c r="B513" t="s">
        <v>5</v>
      </c>
      <c r="C513">
        <v>627.20951500000001</v>
      </c>
      <c r="D513">
        <v>532.77229399999999</v>
      </c>
      <c r="E513" t="s">
        <v>56</v>
      </c>
      <c r="F513">
        <v>-39029.32</v>
      </c>
      <c r="G513" t="s">
        <v>2214</v>
      </c>
      <c r="H513" t="s">
        <v>7</v>
      </c>
      <c r="I513">
        <v>45767.26</v>
      </c>
      <c r="J513">
        <v>904.65504499999997</v>
      </c>
      <c r="K513">
        <v>768.44360900000004</v>
      </c>
      <c r="L513">
        <v>0</v>
      </c>
      <c r="M513" t="s">
        <v>2214</v>
      </c>
      <c r="N513" t="s">
        <v>57</v>
      </c>
      <c r="O513" t="s">
        <v>58</v>
      </c>
      <c r="P513" t="s">
        <v>2215</v>
      </c>
      <c r="Q513" t="s">
        <v>2216</v>
      </c>
      <c r="R513" t="s">
        <v>61</v>
      </c>
      <c r="S513" t="s">
        <v>58</v>
      </c>
      <c r="T513" t="s">
        <v>2215</v>
      </c>
      <c r="U513" t="s">
        <v>2216</v>
      </c>
      <c r="V513" t="s">
        <v>56</v>
      </c>
      <c r="W513" t="s">
        <v>56</v>
      </c>
      <c r="X513" t="s">
        <v>56</v>
      </c>
      <c r="Y513" t="s">
        <v>62</v>
      </c>
      <c r="Z513" t="s">
        <v>63</v>
      </c>
      <c r="AA513" t="s">
        <v>64</v>
      </c>
      <c r="AB513">
        <v>1</v>
      </c>
      <c r="AC513" t="s">
        <v>744</v>
      </c>
      <c r="AD513" t="s">
        <v>66</v>
      </c>
      <c r="AE513" t="s">
        <v>67</v>
      </c>
      <c r="AF513" t="s">
        <v>68</v>
      </c>
      <c r="AG513">
        <v>56715.45</v>
      </c>
      <c r="AH513" t="s">
        <v>69</v>
      </c>
      <c r="AI513" t="s">
        <v>829</v>
      </c>
      <c r="AJ513" t="s">
        <v>133</v>
      </c>
      <c r="AK513" t="s">
        <v>72</v>
      </c>
      <c r="AL513" t="s">
        <v>73</v>
      </c>
      <c r="AM513" t="s">
        <v>73</v>
      </c>
      <c r="AN513" t="s">
        <v>74</v>
      </c>
    </row>
    <row r="514" spans="1:40" x14ac:dyDescent="0.25">
      <c r="A514" t="s">
        <v>1412</v>
      </c>
      <c r="B514" t="s">
        <v>5</v>
      </c>
      <c r="C514">
        <v>626.894498</v>
      </c>
      <c r="D514">
        <v>532.50470800000005</v>
      </c>
      <c r="E514" t="s">
        <v>56</v>
      </c>
      <c r="F514">
        <v>-24040.58</v>
      </c>
      <c r="G514" t="s">
        <v>1412</v>
      </c>
      <c r="H514" t="s">
        <v>7</v>
      </c>
      <c r="I514">
        <v>27308.7</v>
      </c>
      <c r="J514">
        <v>875.88416099999995</v>
      </c>
      <c r="K514">
        <v>744.00467900000001</v>
      </c>
      <c r="L514">
        <v>0</v>
      </c>
      <c r="M514" t="s">
        <v>1412</v>
      </c>
      <c r="N514" t="s">
        <v>57</v>
      </c>
      <c r="O514" t="s">
        <v>58</v>
      </c>
      <c r="P514" t="s">
        <v>1413</v>
      </c>
      <c r="Q514" t="s">
        <v>1414</v>
      </c>
      <c r="R514" t="s">
        <v>61</v>
      </c>
      <c r="S514" t="s">
        <v>58</v>
      </c>
      <c r="T514" t="s">
        <v>1413</v>
      </c>
      <c r="U514" t="s">
        <v>1414</v>
      </c>
      <c r="V514" t="s">
        <v>56</v>
      </c>
      <c r="W514" t="s">
        <v>56</v>
      </c>
      <c r="X514" t="s">
        <v>56</v>
      </c>
      <c r="Y514" t="s">
        <v>62</v>
      </c>
      <c r="Z514" t="s">
        <v>63</v>
      </c>
      <c r="AA514" t="s">
        <v>64</v>
      </c>
      <c r="AB514">
        <v>1</v>
      </c>
      <c r="AC514" t="s">
        <v>84</v>
      </c>
      <c r="AD514" t="s">
        <v>66</v>
      </c>
      <c r="AE514" t="s">
        <v>67</v>
      </c>
      <c r="AF514" t="s">
        <v>68</v>
      </c>
      <c r="AG514">
        <v>34952.160000000003</v>
      </c>
      <c r="AH514" t="s">
        <v>69</v>
      </c>
      <c r="AI514" t="s">
        <v>400</v>
      </c>
      <c r="AJ514" t="s">
        <v>105</v>
      </c>
      <c r="AK514" t="s">
        <v>72</v>
      </c>
      <c r="AL514" t="s">
        <v>73</v>
      </c>
      <c r="AM514" t="s">
        <v>73</v>
      </c>
      <c r="AN514" t="s">
        <v>74</v>
      </c>
    </row>
    <row r="515" spans="1:40" x14ac:dyDescent="0.25">
      <c r="A515" t="s">
        <v>2351</v>
      </c>
      <c r="B515" t="s">
        <v>5</v>
      </c>
      <c r="C515">
        <v>626.43262100000004</v>
      </c>
      <c r="D515">
        <v>532.11237400000005</v>
      </c>
      <c r="E515" t="s">
        <v>56</v>
      </c>
      <c r="F515">
        <v>-34364.81</v>
      </c>
      <c r="G515" t="s">
        <v>2351</v>
      </c>
      <c r="H515" t="s">
        <v>7</v>
      </c>
      <c r="I515">
        <v>40317.78</v>
      </c>
      <c r="J515">
        <v>903.97343999999998</v>
      </c>
      <c r="K515">
        <v>767.86463200000003</v>
      </c>
      <c r="L515">
        <v>0</v>
      </c>
      <c r="M515" t="s">
        <v>2351</v>
      </c>
      <c r="N515" t="s">
        <v>57</v>
      </c>
      <c r="O515" t="s">
        <v>58</v>
      </c>
      <c r="P515" t="s">
        <v>2352</v>
      </c>
      <c r="Q515" t="s">
        <v>410</v>
      </c>
      <c r="R515" t="s">
        <v>61</v>
      </c>
      <c r="S515" t="s">
        <v>58</v>
      </c>
      <c r="T515" t="s">
        <v>2352</v>
      </c>
      <c r="U515" t="s">
        <v>410</v>
      </c>
      <c r="V515" t="s">
        <v>56</v>
      </c>
      <c r="W515" t="s">
        <v>56</v>
      </c>
      <c r="X515" t="s">
        <v>56</v>
      </c>
      <c r="Y515" t="s">
        <v>62</v>
      </c>
      <c r="Z515" t="s">
        <v>63</v>
      </c>
      <c r="AA515" t="s">
        <v>64</v>
      </c>
      <c r="AB515">
        <v>1</v>
      </c>
      <c r="AC515" t="s">
        <v>120</v>
      </c>
      <c r="AD515" t="s">
        <v>66</v>
      </c>
      <c r="AE515" t="s">
        <v>67</v>
      </c>
      <c r="AF515" t="s">
        <v>68</v>
      </c>
      <c r="AG515">
        <v>49999.19</v>
      </c>
      <c r="AH515" t="s">
        <v>69</v>
      </c>
      <c r="AI515" t="s">
        <v>79</v>
      </c>
      <c r="AJ515" t="s">
        <v>133</v>
      </c>
      <c r="AK515" t="s">
        <v>72</v>
      </c>
      <c r="AL515" t="s">
        <v>73</v>
      </c>
      <c r="AM515" t="s">
        <v>73</v>
      </c>
      <c r="AN515" t="s">
        <v>74</v>
      </c>
    </row>
    <row r="516" spans="1:40" x14ac:dyDescent="0.25">
      <c r="A516" t="s">
        <v>686</v>
      </c>
      <c r="B516" t="s">
        <v>5</v>
      </c>
      <c r="C516">
        <v>625.91357000000005</v>
      </c>
      <c r="D516">
        <v>531.67147599999998</v>
      </c>
      <c r="E516" t="s">
        <v>56</v>
      </c>
      <c r="F516">
        <v>-34195.5</v>
      </c>
      <c r="G516" t="s">
        <v>686</v>
      </c>
      <c r="H516" t="s">
        <v>7</v>
      </c>
      <c r="I516">
        <v>38894.629999999997</v>
      </c>
      <c r="J516">
        <v>875.65770699999996</v>
      </c>
      <c r="K516">
        <v>743.812321</v>
      </c>
      <c r="L516">
        <v>0</v>
      </c>
      <c r="M516" t="s">
        <v>686</v>
      </c>
      <c r="N516" t="s">
        <v>57</v>
      </c>
      <c r="O516" t="s">
        <v>58</v>
      </c>
      <c r="P516" t="s">
        <v>687</v>
      </c>
      <c r="Q516" t="s">
        <v>688</v>
      </c>
      <c r="R516" t="s">
        <v>61</v>
      </c>
      <c r="S516" t="s">
        <v>58</v>
      </c>
      <c r="T516" t="s">
        <v>687</v>
      </c>
      <c r="U516" t="s">
        <v>688</v>
      </c>
      <c r="V516" t="s">
        <v>56</v>
      </c>
      <c r="W516" t="s">
        <v>56</v>
      </c>
      <c r="X516" t="s">
        <v>56</v>
      </c>
      <c r="Y516" t="s">
        <v>62</v>
      </c>
      <c r="Z516" t="s">
        <v>63</v>
      </c>
      <c r="AA516" t="s">
        <v>64</v>
      </c>
      <c r="AB516">
        <v>1</v>
      </c>
      <c r="AC516" t="s">
        <v>65</v>
      </c>
      <c r="AD516" t="s">
        <v>66</v>
      </c>
      <c r="AE516" t="s">
        <v>67</v>
      </c>
      <c r="AF516" t="s">
        <v>68</v>
      </c>
      <c r="AG516">
        <v>49794.13</v>
      </c>
      <c r="AH516" t="s">
        <v>69</v>
      </c>
      <c r="AI516" t="s">
        <v>400</v>
      </c>
      <c r="AJ516" t="s">
        <v>619</v>
      </c>
      <c r="AK516" t="s">
        <v>72</v>
      </c>
      <c r="AL516" t="s">
        <v>73</v>
      </c>
      <c r="AM516" t="s">
        <v>73</v>
      </c>
      <c r="AN516" t="s">
        <v>74</v>
      </c>
    </row>
    <row r="517" spans="1:40" x14ac:dyDescent="0.25">
      <c r="A517" t="s">
        <v>1704</v>
      </c>
      <c r="B517" t="s">
        <v>5</v>
      </c>
      <c r="C517">
        <v>625.73083699999995</v>
      </c>
      <c r="D517">
        <v>531.516256</v>
      </c>
      <c r="E517" t="s">
        <v>56</v>
      </c>
      <c r="F517">
        <v>-34228.629999999997</v>
      </c>
      <c r="G517" t="s">
        <v>1704</v>
      </c>
      <c r="H517" t="s">
        <v>7</v>
      </c>
      <c r="I517">
        <v>37848.300000000003</v>
      </c>
      <c r="J517">
        <v>851.04819899999995</v>
      </c>
      <c r="K517">
        <v>722.90819899999997</v>
      </c>
      <c r="L517">
        <v>0</v>
      </c>
      <c r="M517" t="s">
        <v>1704</v>
      </c>
      <c r="N517" t="s">
        <v>57</v>
      </c>
      <c r="O517" t="s">
        <v>58</v>
      </c>
      <c r="P517" t="s">
        <v>1705</v>
      </c>
      <c r="Q517" t="s">
        <v>1706</v>
      </c>
      <c r="R517" t="s">
        <v>61</v>
      </c>
      <c r="S517" t="s">
        <v>58</v>
      </c>
      <c r="T517" t="s">
        <v>1705</v>
      </c>
      <c r="U517" t="s">
        <v>1706</v>
      </c>
      <c r="V517" t="s">
        <v>56</v>
      </c>
      <c r="W517" t="s">
        <v>56</v>
      </c>
      <c r="X517" t="s">
        <v>56</v>
      </c>
      <c r="Y517" t="s">
        <v>62</v>
      </c>
      <c r="Z517" t="s">
        <v>63</v>
      </c>
      <c r="AA517" t="s">
        <v>64</v>
      </c>
      <c r="AB517">
        <v>1</v>
      </c>
      <c r="AC517" t="s">
        <v>78</v>
      </c>
      <c r="AD517" t="s">
        <v>66</v>
      </c>
      <c r="AE517" t="s">
        <v>67</v>
      </c>
      <c r="AF517" t="s">
        <v>68</v>
      </c>
      <c r="AG517">
        <v>49856.87</v>
      </c>
      <c r="AH517" t="s">
        <v>69</v>
      </c>
      <c r="AI517" t="s">
        <v>181</v>
      </c>
      <c r="AJ517" t="s">
        <v>164</v>
      </c>
      <c r="AK517" t="s">
        <v>72</v>
      </c>
      <c r="AL517" t="s">
        <v>73</v>
      </c>
      <c r="AM517" t="s">
        <v>73</v>
      </c>
      <c r="AN517" t="s">
        <v>74</v>
      </c>
    </row>
    <row r="518" spans="1:40" x14ac:dyDescent="0.25">
      <c r="A518" t="s">
        <v>857</v>
      </c>
      <c r="B518" t="s">
        <v>5</v>
      </c>
      <c r="C518" s="2">
        <v>625.22803899999997</v>
      </c>
      <c r="D518" t="s">
        <v>56</v>
      </c>
      <c r="E518" t="s">
        <v>56</v>
      </c>
      <c r="F518">
        <v>-8048.34</v>
      </c>
      <c r="G518" t="s">
        <v>857</v>
      </c>
      <c r="H518" t="s">
        <v>7</v>
      </c>
      <c r="I518">
        <v>11297.32</v>
      </c>
      <c r="J518">
        <v>0</v>
      </c>
      <c r="K518">
        <v>0</v>
      </c>
      <c r="L518">
        <v>0</v>
      </c>
      <c r="M518" t="s">
        <v>857</v>
      </c>
      <c r="N518" t="s">
        <v>57</v>
      </c>
      <c r="O518" t="s">
        <v>58</v>
      </c>
      <c r="P518" t="s">
        <v>858</v>
      </c>
      <c r="Q518" t="s">
        <v>859</v>
      </c>
      <c r="R518" t="s">
        <v>61</v>
      </c>
      <c r="S518" t="s">
        <v>58</v>
      </c>
      <c r="T518" t="s">
        <v>858</v>
      </c>
      <c r="U518" t="s">
        <v>859</v>
      </c>
      <c r="V518" t="s">
        <v>56</v>
      </c>
      <c r="W518" t="s">
        <v>56</v>
      </c>
      <c r="X518" t="s">
        <v>56</v>
      </c>
      <c r="Y518" t="s">
        <v>62</v>
      </c>
      <c r="Z518" t="s">
        <v>63</v>
      </c>
      <c r="AA518" t="s">
        <v>64</v>
      </c>
      <c r="AB518">
        <v>1</v>
      </c>
      <c r="AC518" t="s">
        <v>78</v>
      </c>
      <c r="AD518" t="s">
        <v>66</v>
      </c>
      <c r="AE518" t="s">
        <v>85</v>
      </c>
      <c r="AF518" t="s">
        <v>103</v>
      </c>
      <c r="AG518">
        <v>34988.800000000003</v>
      </c>
      <c r="AH518" t="s">
        <v>69</v>
      </c>
      <c r="AI518" t="s">
        <v>765</v>
      </c>
      <c r="AJ518" t="s">
        <v>860</v>
      </c>
      <c r="AK518" t="s">
        <v>72</v>
      </c>
      <c r="AL518" t="s">
        <v>73</v>
      </c>
      <c r="AM518" t="s">
        <v>73</v>
      </c>
      <c r="AN518" t="s">
        <v>56</v>
      </c>
    </row>
    <row r="519" spans="1:40" x14ac:dyDescent="0.25">
      <c r="A519" t="s">
        <v>903</v>
      </c>
      <c r="B519" t="s">
        <v>5</v>
      </c>
      <c r="C519">
        <v>622.86652900000001</v>
      </c>
      <c r="D519">
        <v>529.08321899999999</v>
      </c>
      <c r="E519" t="s">
        <v>56</v>
      </c>
      <c r="F519">
        <v>-18784.27</v>
      </c>
      <c r="G519" t="s">
        <v>903</v>
      </c>
      <c r="H519" t="s">
        <v>7</v>
      </c>
      <c r="I519">
        <v>21344.76</v>
      </c>
      <c r="J519">
        <v>870.54791599999999</v>
      </c>
      <c r="K519">
        <v>739.47189700000001</v>
      </c>
      <c r="L519">
        <v>0</v>
      </c>
      <c r="M519" t="s">
        <v>903</v>
      </c>
      <c r="N519" t="s">
        <v>57</v>
      </c>
      <c r="O519" t="s">
        <v>58</v>
      </c>
      <c r="P519" t="s">
        <v>904</v>
      </c>
      <c r="Q519" t="s">
        <v>905</v>
      </c>
      <c r="R519" t="s">
        <v>61</v>
      </c>
      <c r="S519" t="s">
        <v>58</v>
      </c>
      <c r="T519" t="s">
        <v>904</v>
      </c>
      <c r="U519" t="s">
        <v>905</v>
      </c>
      <c r="V519" t="s">
        <v>56</v>
      </c>
      <c r="W519" t="s">
        <v>56</v>
      </c>
      <c r="X519" t="s">
        <v>56</v>
      </c>
      <c r="Y519" t="s">
        <v>62</v>
      </c>
      <c r="Z519" t="s">
        <v>63</v>
      </c>
      <c r="AA519" t="s">
        <v>64</v>
      </c>
      <c r="AB519">
        <v>1</v>
      </c>
      <c r="AC519" t="s">
        <v>84</v>
      </c>
      <c r="AD519" t="s">
        <v>66</v>
      </c>
      <c r="AE519" t="s">
        <v>67</v>
      </c>
      <c r="AF519" t="s">
        <v>68</v>
      </c>
      <c r="AG519">
        <v>27486.720000000001</v>
      </c>
      <c r="AH519" t="s">
        <v>69</v>
      </c>
      <c r="AI519" t="s">
        <v>132</v>
      </c>
      <c r="AJ519" t="s">
        <v>105</v>
      </c>
      <c r="AK519" t="s">
        <v>72</v>
      </c>
      <c r="AL519" t="s">
        <v>73</v>
      </c>
      <c r="AM519" t="s">
        <v>73</v>
      </c>
      <c r="AN519" t="s">
        <v>74</v>
      </c>
    </row>
    <row r="520" spans="1:40" x14ac:dyDescent="0.25">
      <c r="A520" t="s">
        <v>2477</v>
      </c>
      <c r="B520" t="s">
        <v>5</v>
      </c>
      <c r="C520">
        <v>622.22304099999997</v>
      </c>
      <c r="D520">
        <v>528.53661899999997</v>
      </c>
      <c r="E520" t="s">
        <v>56</v>
      </c>
      <c r="F520">
        <v>-23037.01</v>
      </c>
      <c r="G520" t="s">
        <v>2477</v>
      </c>
      <c r="H520" t="s">
        <v>7</v>
      </c>
      <c r="I520">
        <v>25925.99</v>
      </c>
      <c r="J520">
        <v>861.29244500000004</v>
      </c>
      <c r="K520">
        <v>731.60999700000002</v>
      </c>
      <c r="L520">
        <v>0</v>
      </c>
      <c r="M520" t="s">
        <v>2477</v>
      </c>
      <c r="N520" t="s">
        <v>57</v>
      </c>
      <c r="O520" t="s">
        <v>58</v>
      </c>
      <c r="P520" t="s">
        <v>2478</v>
      </c>
      <c r="Q520" t="s">
        <v>2479</v>
      </c>
      <c r="R520" t="s">
        <v>61</v>
      </c>
      <c r="S520" t="s">
        <v>58</v>
      </c>
      <c r="T520" t="s">
        <v>2478</v>
      </c>
      <c r="U520" t="s">
        <v>2479</v>
      </c>
      <c r="V520" t="s">
        <v>56</v>
      </c>
      <c r="W520" t="s">
        <v>56</v>
      </c>
      <c r="X520" t="s">
        <v>56</v>
      </c>
      <c r="Y520" t="s">
        <v>62</v>
      </c>
      <c r="Z520" t="s">
        <v>63</v>
      </c>
      <c r="AA520" t="s">
        <v>64</v>
      </c>
      <c r="AB520">
        <v>1</v>
      </c>
      <c r="AC520" t="s">
        <v>84</v>
      </c>
      <c r="AD520" t="s">
        <v>66</v>
      </c>
      <c r="AE520" t="s">
        <v>67</v>
      </c>
      <c r="AF520" t="s">
        <v>68</v>
      </c>
      <c r="AG520">
        <v>33744.51</v>
      </c>
      <c r="AH520" t="s">
        <v>69</v>
      </c>
      <c r="AI520" t="s">
        <v>87</v>
      </c>
      <c r="AJ520" t="s">
        <v>928</v>
      </c>
      <c r="AK520" t="s">
        <v>72</v>
      </c>
      <c r="AL520" t="s">
        <v>73</v>
      </c>
      <c r="AM520" t="s">
        <v>73</v>
      </c>
      <c r="AN520" t="s">
        <v>74</v>
      </c>
    </row>
    <row r="521" spans="1:40" x14ac:dyDescent="0.25">
      <c r="A521" t="s">
        <v>2012</v>
      </c>
      <c r="B521" t="s">
        <v>5</v>
      </c>
      <c r="C521" s="2">
        <v>621.77113599999996</v>
      </c>
      <c r="D521" t="s">
        <v>56</v>
      </c>
      <c r="E521" t="s">
        <v>56</v>
      </c>
      <c r="F521">
        <v>-8006.18</v>
      </c>
      <c r="G521" t="s">
        <v>2012</v>
      </c>
      <c r="H521" t="s">
        <v>7</v>
      </c>
      <c r="I521">
        <v>10706.46</v>
      </c>
      <c r="J521">
        <v>0</v>
      </c>
      <c r="K521">
        <v>0</v>
      </c>
      <c r="L521">
        <v>0</v>
      </c>
      <c r="M521" t="s">
        <v>2012</v>
      </c>
      <c r="N521" t="s">
        <v>57</v>
      </c>
      <c r="O521" t="s">
        <v>58</v>
      </c>
      <c r="P521" t="s">
        <v>2013</v>
      </c>
      <c r="Q521" t="s">
        <v>2014</v>
      </c>
      <c r="R521" t="s">
        <v>61</v>
      </c>
      <c r="S521" t="s">
        <v>58</v>
      </c>
      <c r="T521" t="s">
        <v>2013</v>
      </c>
      <c r="U521" t="s">
        <v>2014</v>
      </c>
      <c r="V521" t="s">
        <v>56</v>
      </c>
      <c r="W521" t="s">
        <v>56</v>
      </c>
      <c r="X521" t="s">
        <v>56</v>
      </c>
      <c r="Y521" t="s">
        <v>62</v>
      </c>
      <c r="Z521" t="s">
        <v>63</v>
      </c>
      <c r="AA521" t="s">
        <v>64</v>
      </c>
      <c r="AB521">
        <v>1</v>
      </c>
      <c r="AC521" t="s">
        <v>84</v>
      </c>
      <c r="AD521" t="s">
        <v>66</v>
      </c>
      <c r="AE521" t="s">
        <v>85</v>
      </c>
      <c r="AF521" t="s">
        <v>68</v>
      </c>
      <c r="AG521">
        <v>34999</v>
      </c>
      <c r="AH521" t="s">
        <v>69</v>
      </c>
      <c r="AI521" t="s">
        <v>70</v>
      </c>
      <c r="AJ521" t="s">
        <v>414</v>
      </c>
      <c r="AK521" t="s">
        <v>72</v>
      </c>
      <c r="AL521" t="s">
        <v>73</v>
      </c>
      <c r="AM521" t="s">
        <v>73</v>
      </c>
      <c r="AN521" t="s">
        <v>56</v>
      </c>
    </row>
    <row r="522" spans="1:40" x14ac:dyDescent="0.25">
      <c r="A522" t="s">
        <v>711</v>
      </c>
      <c r="B522" t="s">
        <v>5</v>
      </c>
      <c r="C522" s="2">
        <v>616.65714500000001</v>
      </c>
      <c r="D522" t="s">
        <v>56</v>
      </c>
      <c r="E522" t="s">
        <v>56</v>
      </c>
      <c r="F522">
        <v>-24931.360000000001</v>
      </c>
      <c r="G522" t="s">
        <v>711</v>
      </c>
      <c r="H522" t="s">
        <v>7</v>
      </c>
      <c r="I522">
        <v>30375.56</v>
      </c>
      <c r="J522">
        <v>0</v>
      </c>
      <c r="K522">
        <v>0</v>
      </c>
      <c r="L522">
        <v>0</v>
      </c>
      <c r="M522" t="s">
        <v>711</v>
      </c>
      <c r="N522" t="s">
        <v>57</v>
      </c>
      <c r="O522" t="s">
        <v>58</v>
      </c>
      <c r="P522" t="s">
        <v>712</v>
      </c>
      <c r="Q522" t="s">
        <v>713</v>
      </c>
      <c r="R522" t="s">
        <v>61</v>
      </c>
      <c r="S522" t="s">
        <v>58</v>
      </c>
      <c r="T522" t="s">
        <v>712</v>
      </c>
      <c r="U522" t="s">
        <v>713</v>
      </c>
      <c r="V522" t="s">
        <v>56</v>
      </c>
      <c r="W522" t="s">
        <v>56</v>
      </c>
      <c r="X522" t="s">
        <v>56</v>
      </c>
      <c r="Y522" t="s">
        <v>62</v>
      </c>
      <c r="Z522" t="s">
        <v>63</v>
      </c>
      <c r="AA522" t="s">
        <v>64</v>
      </c>
      <c r="AB522">
        <v>1</v>
      </c>
      <c r="AC522" t="s">
        <v>84</v>
      </c>
      <c r="AD522" t="s">
        <v>66</v>
      </c>
      <c r="AE522" t="s">
        <v>85</v>
      </c>
      <c r="AF522" t="s">
        <v>367</v>
      </c>
      <c r="AG522">
        <v>45121.95</v>
      </c>
      <c r="AH522" t="s">
        <v>69</v>
      </c>
      <c r="AI522" t="s">
        <v>355</v>
      </c>
      <c r="AJ522" t="s">
        <v>195</v>
      </c>
      <c r="AK522" t="s">
        <v>72</v>
      </c>
      <c r="AL522" t="s">
        <v>281</v>
      </c>
      <c r="AM522" t="s">
        <v>73</v>
      </c>
      <c r="AN522" t="s">
        <v>56</v>
      </c>
    </row>
    <row r="523" spans="1:40" x14ac:dyDescent="0.25">
      <c r="A523" t="s">
        <v>639</v>
      </c>
      <c r="B523" t="s">
        <v>5</v>
      </c>
      <c r="C523">
        <v>615.55056300000001</v>
      </c>
      <c r="D523">
        <v>494.36010399999998</v>
      </c>
      <c r="E523" t="s">
        <v>56</v>
      </c>
      <c r="F523">
        <v>-37418.519999999997</v>
      </c>
      <c r="G523" t="s">
        <v>639</v>
      </c>
      <c r="H523" t="s">
        <v>7</v>
      </c>
      <c r="I523">
        <v>43016.93</v>
      </c>
      <c r="J523">
        <v>988.57086800000002</v>
      </c>
      <c r="K523">
        <v>839.72445700000003</v>
      </c>
      <c r="L523">
        <v>0</v>
      </c>
      <c r="M523" t="s">
        <v>639</v>
      </c>
      <c r="N523" t="s">
        <v>57</v>
      </c>
      <c r="O523" t="s">
        <v>58</v>
      </c>
      <c r="P523" t="s">
        <v>640</v>
      </c>
      <c r="Q523" t="s">
        <v>641</v>
      </c>
      <c r="R523" t="s">
        <v>61</v>
      </c>
      <c r="S523" t="s">
        <v>58</v>
      </c>
      <c r="T523" t="s">
        <v>640</v>
      </c>
      <c r="U523" t="s">
        <v>641</v>
      </c>
      <c r="V523" t="s">
        <v>56</v>
      </c>
      <c r="W523" t="s">
        <v>56</v>
      </c>
      <c r="X523" t="s">
        <v>56</v>
      </c>
      <c r="Y523" t="s">
        <v>62</v>
      </c>
      <c r="Z523" t="s">
        <v>63</v>
      </c>
      <c r="AA523" t="s">
        <v>64</v>
      </c>
      <c r="AB523">
        <v>1</v>
      </c>
      <c r="AC523" t="s">
        <v>120</v>
      </c>
      <c r="AD523" t="s">
        <v>66</v>
      </c>
      <c r="AE523" t="s">
        <v>67</v>
      </c>
      <c r="AF523" t="s">
        <v>68</v>
      </c>
      <c r="AG523">
        <v>48781.37</v>
      </c>
      <c r="AH523" t="s">
        <v>69</v>
      </c>
      <c r="AI523" t="s">
        <v>343</v>
      </c>
      <c r="AJ523" t="s">
        <v>324</v>
      </c>
      <c r="AK523" t="s">
        <v>72</v>
      </c>
      <c r="AL523" t="s">
        <v>73</v>
      </c>
      <c r="AM523" t="s">
        <v>73</v>
      </c>
      <c r="AN523" t="s">
        <v>74</v>
      </c>
    </row>
    <row r="524" spans="1:40" x14ac:dyDescent="0.25">
      <c r="A524" t="s">
        <v>2000</v>
      </c>
      <c r="B524" t="s">
        <v>5</v>
      </c>
      <c r="C524">
        <v>614.297147</v>
      </c>
      <c r="D524">
        <v>521.80410500000005</v>
      </c>
      <c r="E524" t="s">
        <v>56</v>
      </c>
      <c r="F524">
        <v>-33694.17</v>
      </c>
      <c r="G524" t="s">
        <v>2000</v>
      </c>
      <c r="H524" t="s">
        <v>7</v>
      </c>
      <c r="I524">
        <v>36492.21</v>
      </c>
      <c r="J524">
        <v>818.341274</v>
      </c>
      <c r="K524">
        <v>695.12586599999997</v>
      </c>
      <c r="L524">
        <v>0</v>
      </c>
      <c r="M524" t="s">
        <v>2000</v>
      </c>
      <c r="N524" t="s">
        <v>57</v>
      </c>
      <c r="O524" t="s">
        <v>58</v>
      </c>
      <c r="P524" t="s">
        <v>2001</v>
      </c>
      <c r="Q524" t="s">
        <v>2002</v>
      </c>
      <c r="R524" t="s">
        <v>61</v>
      </c>
      <c r="S524" t="s">
        <v>58</v>
      </c>
      <c r="T524" t="s">
        <v>2001</v>
      </c>
      <c r="U524" t="s">
        <v>2002</v>
      </c>
      <c r="V524" t="s">
        <v>56</v>
      </c>
      <c r="W524" t="s">
        <v>56</v>
      </c>
      <c r="X524" t="s">
        <v>56</v>
      </c>
      <c r="Y524" t="s">
        <v>62</v>
      </c>
      <c r="Z524" t="s">
        <v>63</v>
      </c>
      <c r="AA524" t="s">
        <v>64</v>
      </c>
      <c r="AB524">
        <v>1</v>
      </c>
      <c r="AC524" t="s">
        <v>78</v>
      </c>
      <c r="AD524" t="s">
        <v>66</v>
      </c>
      <c r="AE524" t="s">
        <v>67</v>
      </c>
      <c r="AF524" t="s">
        <v>68</v>
      </c>
      <c r="AG524">
        <v>49991.87</v>
      </c>
      <c r="AH524" t="s">
        <v>69</v>
      </c>
      <c r="AI524" t="s">
        <v>181</v>
      </c>
      <c r="AJ524" t="s">
        <v>228</v>
      </c>
      <c r="AK524" t="s">
        <v>72</v>
      </c>
      <c r="AL524" t="s">
        <v>73</v>
      </c>
      <c r="AM524" t="s">
        <v>73</v>
      </c>
      <c r="AN524" t="s">
        <v>74</v>
      </c>
    </row>
    <row r="525" spans="1:40" x14ac:dyDescent="0.25">
      <c r="A525" t="s">
        <v>1722</v>
      </c>
      <c r="B525" t="s">
        <v>5</v>
      </c>
      <c r="C525">
        <v>613.77697499999999</v>
      </c>
      <c r="D525">
        <v>521.36225400000001</v>
      </c>
      <c r="E525" t="s">
        <v>56</v>
      </c>
      <c r="F525">
        <v>-23563.05</v>
      </c>
      <c r="G525" t="s">
        <v>1722</v>
      </c>
      <c r="H525" t="s">
        <v>7</v>
      </c>
      <c r="I525">
        <v>27338.95</v>
      </c>
      <c r="J525">
        <v>875.89313000000004</v>
      </c>
      <c r="K525">
        <v>744.01229699999999</v>
      </c>
      <c r="L525">
        <v>0</v>
      </c>
      <c r="M525" t="s">
        <v>1722</v>
      </c>
      <c r="N525" t="s">
        <v>57</v>
      </c>
      <c r="O525" t="s">
        <v>58</v>
      </c>
      <c r="P525" t="s">
        <v>1723</v>
      </c>
      <c r="Q525" t="s">
        <v>1724</v>
      </c>
      <c r="R525" t="s">
        <v>61</v>
      </c>
      <c r="S525" t="s">
        <v>58</v>
      </c>
      <c r="T525" t="s">
        <v>1723</v>
      </c>
      <c r="U525" t="s">
        <v>1724</v>
      </c>
      <c r="V525" t="s">
        <v>56</v>
      </c>
      <c r="W525" t="s">
        <v>56</v>
      </c>
      <c r="X525" t="s">
        <v>56</v>
      </c>
      <c r="Y525" t="s">
        <v>62</v>
      </c>
      <c r="Z525" t="s">
        <v>63</v>
      </c>
      <c r="AA525" t="s">
        <v>64</v>
      </c>
      <c r="AB525">
        <v>1</v>
      </c>
      <c r="AC525" t="s">
        <v>78</v>
      </c>
      <c r="AD525" t="s">
        <v>66</v>
      </c>
      <c r="AE525" t="s">
        <v>67</v>
      </c>
      <c r="AF525" t="s">
        <v>68</v>
      </c>
      <c r="AG525">
        <v>34990</v>
      </c>
      <c r="AH525" t="s">
        <v>69</v>
      </c>
      <c r="AI525" t="s">
        <v>87</v>
      </c>
      <c r="AJ525" t="s">
        <v>143</v>
      </c>
      <c r="AK525" t="s">
        <v>72</v>
      </c>
      <c r="AL525" t="s">
        <v>73</v>
      </c>
      <c r="AM525" t="s">
        <v>73</v>
      </c>
      <c r="AN525" t="s">
        <v>74</v>
      </c>
    </row>
    <row r="526" spans="1:40" x14ac:dyDescent="0.25">
      <c r="A526" t="s">
        <v>1760</v>
      </c>
      <c r="B526" t="s">
        <v>5</v>
      </c>
      <c r="C526">
        <v>613.72428500000001</v>
      </c>
      <c r="D526">
        <v>521.317498</v>
      </c>
      <c r="E526" t="s">
        <v>56</v>
      </c>
      <c r="F526">
        <v>-33667.67</v>
      </c>
      <c r="G526" t="s">
        <v>1760</v>
      </c>
      <c r="H526" t="s">
        <v>7</v>
      </c>
      <c r="I526">
        <v>35813.699999999997</v>
      </c>
      <c r="J526">
        <v>802.98611500000004</v>
      </c>
      <c r="K526">
        <v>682.08269199999995</v>
      </c>
      <c r="L526">
        <v>0</v>
      </c>
      <c r="M526" t="s">
        <v>1760</v>
      </c>
      <c r="N526" t="s">
        <v>57</v>
      </c>
      <c r="O526" t="s">
        <v>58</v>
      </c>
      <c r="P526" t="s">
        <v>1761</v>
      </c>
      <c r="Q526" t="s">
        <v>809</v>
      </c>
      <c r="R526" t="s">
        <v>61</v>
      </c>
      <c r="S526" t="s">
        <v>58</v>
      </c>
      <c r="T526" t="s">
        <v>1761</v>
      </c>
      <c r="U526" t="s">
        <v>809</v>
      </c>
      <c r="V526" t="s">
        <v>56</v>
      </c>
      <c r="W526" t="s">
        <v>56</v>
      </c>
      <c r="X526" t="s">
        <v>56</v>
      </c>
      <c r="Y526" t="s">
        <v>62</v>
      </c>
      <c r="Z526" t="s">
        <v>63</v>
      </c>
      <c r="AA526" t="s">
        <v>64</v>
      </c>
      <c r="AB526">
        <v>1</v>
      </c>
      <c r="AC526" t="s">
        <v>84</v>
      </c>
      <c r="AD526" t="s">
        <v>66</v>
      </c>
      <c r="AE526" t="s">
        <v>67</v>
      </c>
      <c r="AF526" t="s">
        <v>68</v>
      </c>
      <c r="AG526">
        <v>49999.19</v>
      </c>
      <c r="AH526" t="s">
        <v>69</v>
      </c>
      <c r="AI526" t="s">
        <v>244</v>
      </c>
      <c r="AJ526" t="s">
        <v>359</v>
      </c>
      <c r="AK526" t="s">
        <v>280</v>
      </c>
      <c r="AL526" t="s">
        <v>73</v>
      </c>
      <c r="AM526" t="s">
        <v>73</v>
      </c>
      <c r="AN526" t="s">
        <v>74</v>
      </c>
    </row>
    <row r="527" spans="1:40" x14ac:dyDescent="0.25">
      <c r="A527" t="s">
        <v>1547</v>
      </c>
      <c r="B527" t="s">
        <v>5</v>
      </c>
      <c r="C527" s="2">
        <v>613.63036299999999</v>
      </c>
      <c r="D527" t="s">
        <v>56</v>
      </c>
      <c r="E527" t="s">
        <v>56</v>
      </c>
      <c r="F527">
        <v>-4854.74</v>
      </c>
      <c r="G527" t="s">
        <v>1547</v>
      </c>
      <c r="H527" t="s">
        <v>7</v>
      </c>
      <c r="I527">
        <v>7661.75</v>
      </c>
      <c r="J527">
        <v>0</v>
      </c>
      <c r="K527">
        <v>0</v>
      </c>
      <c r="L527">
        <v>0</v>
      </c>
      <c r="M527" t="s">
        <v>1547</v>
      </c>
      <c r="N527" t="s">
        <v>57</v>
      </c>
      <c r="O527" t="s">
        <v>58</v>
      </c>
      <c r="P527" t="s">
        <v>1548</v>
      </c>
      <c r="Q527" t="s">
        <v>1549</v>
      </c>
      <c r="R527" t="s">
        <v>61</v>
      </c>
      <c r="S527" t="s">
        <v>58</v>
      </c>
      <c r="T527" t="s">
        <v>1548</v>
      </c>
      <c r="U527" t="s">
        <v>1549</v>
      </c>
      <c r="V527" t="s">
        <v>56</v>
      </c>
      <c r="W527" t="s">
        <v>56</v>
      </c>
      <c r="X527" t="s">
        <v>56</v>
      </c>
      <c r="Y527" t="s">
        <v>62</v>
      </c>
      <c r="Z527" t="s">
        <v>63</v>
      </c>
      <c r="AA527" t="s">
        <v>64</v>
      </c>
      <c r="AB527">
        <v>1</v>
      </c>
      <c r="AC527" t="s">
        <v>78</v>
      </c>
      <c r="AD527" t="s">
        <v>66</v>
      </c>
      <c r="AE527" t="s">
        <v>85</v>
      </c>
      <c r="AF527" t="s">
        <v>68</v>
      </c>
      <c r="AG527">
        <v>26450</v>
      </c>
      <c r="AH527" t="s">
        <v>69</v>
      </c>
      <c r="AI527" t="s">
        <v>269</v>
      </c>
      <c r="AJ527" t="s">
        <v>418</v>
      </c>
      <c r="AK527" t="s">
        <v>99</v>
      </c>
      <c r="AL527" t="s">
        <v>73</v>
      </c>
      <c r="AM527" t="s">
        <v>73</v>
      </c>
      <c r="AN527" t="s">
        <v>56</v>
      </c>
    </row>
    <row r="528" spans="1:40" x14ac:dyDescent="0.25">
      <c r="A528" t="s">
        <v>2412</v>
      </c>
      <c r="B528" t="s">
        <v>5</v>
      </c>
      <c r="C528">
        <v>611.10548900000003</v>
      </c>
      <c r="D528">
        <v>519.09300699999994</v>
      </c>
      <c r="E528" t="s">
        <v>56</v>
      </c>
      <c r="F528">
        <v>-26086.98</v>
      </c>
      <c r="G528" t="s">
        <v>2412</v>
      </c>
      <c r="H528" t="s">
        <v>7</v>
      </c>
      <c r="I528">
        <v>30745.06</v>
      </c>
      <c r="J528">
        <v>885.88065300000005</v>
      </c>
      <c r="K528">
        <v>752.49602600000003</v>
      </c>
      <c r="L528">
        <v>0</v>
      </c>
      <c r="M528" t="s">
        <v>2412</v>
      </c>
      <c r="N528" t="s">
        <v>57</v>
      </c>
      <c r="O528" t="s">
        <v>58</v>
      </c>
      <c r="P528" t="s">
        <v>2413</v>
      </c>
      <c r="Q528" t="s">
        <v>1198</v>
      </c>
      <c r="R528" t="s">
        <v>61</v>
      </c>
      <c r="S528" t="s">
        <v>58</v>
      </c>
      <c r="T528" t="s">
        <v>2413</v>
      </c>
      <c r="U528" t="s">
        <v>1198</v>
      </c>
      <c r="V528" t="s">
        <v>56</v>
      </c>
      <c r="W528" t="s">
        <v>56</v>
      </c>
      <c r="X528" t="s">
        <v>56</v>
      </c>
      <c r="Y528" t="s">
        <v>62</v>
      </c>
      <c r="Z528" t="s">
        <v>63</v>
      </c>
      <c r="AA528" t="s">
        <v>64</v>
      </c>
      <c r="AB528">
        <v>1</v>
      </c>
      <c r="AC528" t="s">
        <v>65</v>
      </c>
      <c r="AD528" t="s">
        <v>66</v>
      </c>
      <c r="AE528" t="s">
        <v>67</v>
      </c>
      <c r="AF528" t="s">
        <v>68</v>
      </c>
      <c r="AG528">
        <v>38907.279999999999</v>
      </c>
      <c r="AH528" t="s">
        <v>69</v>
      </c>
      <c r="AI528" t="s">
        <v>186</v>
      </c>
      <c r="AJ528" t="s">
        <v>928</v>
      </c>
      <c r="AK528" t="s">
        <v>72</v>
      </c>
      <c r="AL528" t="s">
        <v>73</v>
      </c>
      <c r="AM528" t="s">
        <v>73</v>
      </c>
      <c r="AN528" t="s">
        <v>74</v>
      </c>
    </row>
    <row r="529" spans="1:40" x14ac:dyDescent="0.25">
      <c r="A529" t="s">
        <v>474</v>
      </c>
      <c r="B529" t="s">
        <v>5</v>
      </c>
      <c r="C529">
        <v>611.06176800000003</v>
      </c>
      <c r="D529">
        <v>519.05586800000003</v>
      </c>
      <c r="E529" t="s">
        <v>56</v>
      </c>
      <c r="F529">
        <v>-23458.799999999999</v>
      </c>
      <c r="G529" t="s">
        <v>474</v>
      </c>
      <c r="H529" t="s">
        <v>7</v>
      </c>
      <c r="I529">
        <v>26611.18</v>
      </c>
      <c r="J529">
        <v>852.60086699999999</v>
      </c>
      <c r="K529">
        <v>724.22708599999999</v>
      </c>
      <c r="L529">
        <v>0</v>
      </c>
      <c r="M529" t="s">
        <v>474</v>
      </c>
      <c r="N529" t="s">
        <v>57</v>
      </c>
      <c r="O529" t="s">
        <v>58</v>
      </c>
      <c r="P529" t="s">
        <v>475</v>
      </c>
      <c r="Q529" t="s">
        <v>476</v>
      </c>
      <c r="R529" t="s">
        <v>61</v>
      </c>
      <c r="S529" t="s">
        <v>58</v>
      </c>
      <c r="T529" t="s">
        <v>475</v>
      </c>
      <c r="U529" t="s">
        <v>476</v>
      </c>
      <c r="V529" t="s">
        <v>56</v>
      </c>
      <c r="W529" t="s">
        <v>56</v>
      </c>
      <c r="X529" t="s">
        <v>56</v>
      </c>
      <c r="Y529" t="s">
        <v>62</v>
      </c>
      <c r="Z529" t="s">
        <v>63</v>
      </c>
      <c r="AA529" t="s">
        <v>64</v>
      </c>
      <c r="AB529">
        <v>1</v>
      </c>
      <c r="AC529" t="s">
        <v>78</v>
      </c>
      <c r="AD529" t="s">
        <v>66</v>
      </c>
      <c r="AE529" t="s">
        <v>67</v>
      </c>
      <c r="AF529" t="s">
        <v>103</v>
      </c>
      <c r="AG529">
        <v>34990.01</v>
      </c>
      <c r="AH529" t="s">
        <v>69</v>
      </c>
      <c r="AI529" t="s">
        <v>181</v>
      </c>
      <c r="AJ529" t="s">
        <v>477</v>
      </c>
      <c r="AK529" t="s">
        <v>72</v>
      </c>
      <c r="AL529" t="s">
        <v>73</v>
      </c>
      <c r="AM529" t="s">
        <v>73</v>
      </c>
      <c r="AN529" t="s">
        <v>74</v>
      </c>
    </row>
    <row r="530" spans="1:40" x14ac:dyDescent="0.25">
      <c r="A530" t="s">
        <v>2438</v>
      </c>
      <c r="B530" t="s">
        <v>5</v>
      </c>
      <c r="C530">
        <v>610.92387699999995</v>
      </c>
      <c r="D530">
        <v>518.93874000000005</v>
      </c>
      <c r="E530" t="s">
        <v>56</v>
      </c>
      <c r="F530">
        <v>-28064.38</v>
      </c>
      <c r="G530" t="s">
        <v>2438</v>
      </c>
      <c r="H530" t="s">
        <v>7</v>
      </c>
      <c r="I530">
        <v>36644.339999999997</v>
      </c>
      <c r="J530">
        <v>797.70255899999995</v>
      </c>
      <c r="K530">
        <v>677.59466699999996</v>
      </c>
      <c r="L530">
        <v>0</v>
      </c>
      <c r="M530" t="s">
        <v>2438</v>
      </c>
      <c r="N530" t="s">
        <v>57</v>
      </c>
      <c r="O530" t="s">
        <v>58</v>
      </c>
      <c r="P530" t="s">
        <v>2439</v>
      </c>
      <c r="Q530" t="s">
        <v>2440</v>
      </c>
      <c r="R530" t="s">
        <v>61</v>
      </c>
      <c r="S530" t="s">
        <v>58</v>
      </c>
      <c r="T530" t="s">
        <v>2439</v>
      </c>
      <c r="U530" t="s">
        <v>2440</v>
      </c>
      <c r="V530" t="s">
        <v>56</v>
      </c>
      <c r="W530" t="s">
        <v>56</v>
      </c>
      <c r="X530" t="s">
        <v>56</v>
      </c>
      <c r="Y530" t="s">
        <v>62</v>
      </c>
      <c r="Z530" t="s">
        <v>63</v>
      </c>
      <c r="AA530" t="s">
        <v>64</v>
      </c>
      <c r="AB530">
        <v>1</v>
      </c>
      <c r="AC530" t="s">
        <v>84</v>
      </c>
      <c r="AD530" t="s">
        <v>66</v>
      </c>
      <c r="AE530" t="s">
        <v>67</v>
      </c>
      <c r="AF530" t="s">
        <v>103</v>
      </c>
      <c r="AG530">
        <v>51498.77</v>
      </c>
      <c r="AH530" t="s">
        <v>69</v>
      </c>
      <c r="AI530" t="s">
        <v>501</v>
      </c>
      <c r="AJ530" t="s">
        <v>172</v>
      </c>
      <c r="AK530" t="s">
        <v>99</v>
      </c>
      <c r="AL530" t="s">
        <v>73</v>
      </c>
      <c r="AM530" t="s">
        <v>73</v>
      </c>
      <c r="AN530" t="s">
        <v>74</v>
      </c>
    </row>
    <row r="531" spans="1:40" x14ac:dyDescent="0.25">
      <c r="A531" t="s">
        <v>1455</v>
      </c>
      <c r="B531" t="s">
        <v>5</v>
      </c>
      <c r="C531">
        <v>610.16828299999997</v>
      </c>
      <c r="D531">
        <v>518.29691300000002</v>
      </c>
      <c r="E531" t="s">
        <v>56</v>
      </c>
      <c r="F531">
        <v>-27271.41</v>
      </c>
      <c r="G531" t="s">
        <v>1455</v>
      </c>
      <c r="H531" t="s">
        <v>7</v>
      </c>
      <c r="I531">
        <v>30248.29</v>
      </c>
      <c r="J531">
        <v>832.42851299999995</v>
      </c>
      <c r="K531">
        <v>707.09202900000003</v>
      </c>
      <c r="L531">
        <v>0</v>
      </c>
      <c r="M531" t="s">
        <v>1455</v>
      </c>
      <c r="N531" t="s">
        <v>57</v>
      </c>
      <c r="O531" t="s">
        <v>58</v>
      </c>
      <c r="P531" t="s">
        <v>1456</v>
      </c>
      <c r="Q531" t="s">
        <v>1457</v>
      </c>
      <c r="R531" t="s">
        <v>61</v>
      </c>
      <c r="S531" t="s">
        <v>58</v>
      </c>
      <c r="T531" t="s">
        <v>1456</v>
      </c>
      <c r="U531" t="s">
        <v>1457</v>
      </c>
      <c r="V531" t="s">
        <v>56</v>
      </c>
      <c r="W531" t="s">
        <v>56</v>
      </c>
      <c r="X531" t="s">
        <v>56</v>
      </c>
      <c r="Y531" t="s">
        <v>62</v>
      </c>
      <c r="Z531" t="s">
        <v>63</v>
      </c>
      <c r="AA531" t="s">
        <v>64</v>
      </c>
      <c r="AB531">
        <v>1</v>
      </c>
      <c r="AC531" t="s">
        <v>78</v>
      </c>
      <c r="AD531" t="s">
        <v>66</v>
      </c>
      <c r="AE531" t="s">
        <v>67</v>
      </c>
      <c r="AF531" t="s">
        <v>68</v>
      </c>
      <c r="AG531">
        <v>40736.269999999997</v>
      </c>
      <c r="AH531" t="s">
        <v>69</v>
      </c>
      <c r="AI531" t="s">
        <v>132</v>
      </c>
      <c r="AJ531" t="s">
        <v>324</v>
      </c>
      <c r="AK531" t="s">
        <v>72</v>
      </c>
      <c r="AL531" t="s">
        <v>73</v>
      </c>
      <c r="AM531" t="s">
        <v>73</v>
      </c>
      <c r="AN531" t="s">
        <v>74</v>
      </c>
    </row>
    <row r="532" spans="1:40" x14ac:dyDescent="0.25">
      <c r="A532" t="s">
        <v>994</v>
      </c>
      <c r="B532" t="s">
        <v>5</v>
      </c>
      <c r="C532">
        <v>607.26585799999998</v>
      </c>
      <c r="D532">
        <v>515.83149900000001</v>
      </c>
      <c r="E532" t="s">
        <v>56</v>
      </c>
      <c r="F532">
        <v>-52191.81</v>
      </c>
      <c r="G532" t="s">
        <v>994</v>
      </c>
      <c r="H532" t="s">
        <v>7</v>
      </c>
      <c r="I532">
        <v>57938.75</v>
      </c>
      <c r="J532">
        <v>829.17743900000005</v>
      </c>
      <c r="K532">
        <v>704.33046000000002</v>
      </c>
      <c r="L532">
        <v>0</v>
      </c>
      <c r="M532" t="s">
        <v>994</v>
      </c>
      <c r="N532" t="s">
        <v>57</v>
      </c>
      <c r="O532" t="s">
        <v>58</v>
      </c>
      <c r="P532" t="s">
        <v>995</v>
      </c>
      <c r="Q532" t="s">
        <v>996</v>
      </c>
      <c r="R532" t="s">
        <v>61</v>
      </c>
      <c r="S532" t="s">
        <v>58</v>
      </c>
      <c r="T532" t="s">
        <v>995</v>
      </c>
      <c r="U532" t="s">
        <v>996</v>
      </c>
      <c r="V532" t="s">
        <v>56</v>
      </c>
      <c r="W532" t="s">
        <v>56</v>
      </c>
      <c r="X532" t="s">
        <v>56</v>
      </c>
      <c r="Y532" t="s">
        <v>62</v>
      </c>
      <c r="Z532" t="s">
        <v>63</v>
      </c>
      <c r="AA532" t="s">
        <v>64</v>
      </c>
      <c r="AB532">
        <v>1</v>
      </c>
      <c r="AC532" t="s">
        <v>84</v>
      </c>
      <c r="AD532" t="s">
        <v>66</v>
      </c>
      <c r="AE532" t="s">
        <v>67</v>
      </c>
      <c r="AF532" t="s">
        <v>68</v>
      </c>
      <c r="AG532">
        <v>78333.320000000007</v>
      </c>
      <c r="AH532" t="s">
        <v>69</v>
      </c>
      <c r="AI532" t="s">
        <v>285</v>
      </c>
      <c r="AJ532" t="s">
        <v>433</v>
      </c>
      <c r="AK532" t="s">
        <v>72</v>
      </c>
      <c r="AL532" t="s">
        <v>73</v>
      </c>
      <c r="AM532" t="s">
        <v>73</v>
      </c>
      <c r="AN532" t="s">
        <v>74</v>
      </c>
    </row>
    <row r="533" spans="1:40" x14ac:dyDescent="0.25">
      <c r="A533" t="s">
        <v>2131</v>
      </c>
      <c r="B533" t="s">
        <v>5</v>
      </c>
      <c r="C533">
        <v>606.88918200000001</v>
      </c>
      <c r="D533">
        <v>515.51153799999997</v>
      </c>
      <c r="E533" t="s">
        <v>56</v>
      </c>
      <c r="F533">
        <v>-45690.27</v>
      </c>
      <c r="G533" t="s">
        <v>2131</v>
      </c>
      <c r="H533" t="s">
        <v>7</v>
      </c>
      <c r="I533">
        <v>49593.39</v>
      </c>
      <c r="J533">
        <v>810.24609999999996</v>
      </c>
      <c r="K533">
        <v>688.24956099999997</v>
      </c>
      <c r="L533">
        <v>0</v>
      </c>
      <c r="M533" t="s">
        <v>2131</v>
      </c>
      <c r="N533" t="s">
        <v>57</v>
      </c>
      <c r="O533" t="s">
        <v>58</v>
      </c>
      <c r="P533" t="s">
        <v>2132</v>
      </c>
      <c r="Q533" t="s">
        <v>2133</v>
      </c>
      <c r="R533" t="s">
        <v>61</v>
      </c>
      <c r="S533" t="s">
        <v>58</v>
      </c>
      <c r="T533" t="s">
        <v>2132</v>
      </c>
      <c r="U533" t="s">
        <v>2133</v>
      </c>
      <c r="V533" t="s">
        <v>56</v>
      </c>
      <c r="W533" t="s">
        <v>56</v>
      </c>
      <c r="X533" t="s">
        <v>56</v>
      </c>
      <c r="Y533" t="s">
        <v>62</v>
      </c>
      <c r="Z533" t="s">
        <v>63</v>
      </c>
      <c r="AA533" t="s">
        <v>64</v>
      </c>
      <c r="AB533">
        <v>1</v>
      </c>
      <c r="AC533" t="s">
        <v>84</v>
      </c>
      <c r="AD533" t="s">
        <v>66</v>
      </c>
      <c r="AE533" t="s">
        <v>67</v>
      </c>
      <c r="AF533" t="s">
        <v>68</v>
      </c>
      <c r="AG533">
        <v>68617.89</v>
      </c>
      <c r="AH533" t="s">
        <v>69</v>
      </c>
      <c r="AI533" t="s">
        <v>203</v>
      </c>
      <c r="AJ533" t="s">
        <v>138</v>
      </c>
      <c r="AK533" t="s">
        <v>72</v>
      </c>
      <c r="AL533" t="s">
        <v>73</v>
      </c>
      <c r="AM533" t="s">
        <v>73</v>
      </c>
      <c r="AN533" t="s">
        <v>74</v>
      </c>
    </row>
    <row r="534" spans="1:40" x14ac:dyDescent="0.25">
      <c r="A534" t="s">
        <v>144</v>
      </c>
      <c r="B534" t="s">
        <v>5</v>
      </c>
      <c r="C534">
        <v>606.08986700000003</v>
      </c>
      <c r="D534">
        <v>514.83257300000002</v>
      </c>
      <c r="E534" t="s">
        <v>56</v>
      </c>
      <c r="F534">
        <v>-88317.15</v>
      </c>
      <c r="G534" t="s">
        <v>144</v>
      </c>
      <c r="H534" t="s">
        <v>7</v>
      </c>
      <c r="I534">
        <v>102924.53</v>
      </c>
      <c r="J534">
        <v>868.78897300000006</v>
      </c>
      <c r="K534">
        <v>737.97779300000002</v>
      </c>
      <c r="L534">
        <v>0</v>
      </c>
      <c r="M534" t="s">
        <v>144</v>
      </c>
      <c r="N534" t="s">
        <v>57</v>
      </c>
      <c r="O534" t="s">
        <v>58</v>
      </c>
      <c r="P534" t="s">
        <v>145</v>
      </c>
      <c r="Q534" t="s">
        <v>146</v>
      </c>
      <c r="R534" t="s">
        <v>61</v>
      </c>
      <c r="S534" t="s">
        <v>58</v>
      </c>
      <c r="T534" t="s">
        <v>145</v>
      </c>
      <c r="U534" t="s">
        <v>146</v>
      </c>
      <c r="V534" t="s">
        <v>56</v>
      </c>
      <c r="W534" t="s">
        <v>56</v>
      </c>
      <c r="X534" t="s">
        <v>56</v>
      </c>
      <c r="Y534" t="s">
        <v>62</v>
      </c>
      <c r="Z534" t="s">
        <v>63</v>
      </c>
      <c r="AA534" t="s">
        <v>64</v>
      </c>
      <c r="AB534">
        <v>1</v>
      </c>
      <c r="AC534" t="s">
        <v>147</v>
      </c>
      <c r="AD534" t="s">
        <v>66</v>
      </c>
      <c r="AE534" t="s">
        <v>67</v>
      </c>
      <c r="AF534" t="s">
        <v>86</v>
      </c>
      <c r="AG534">
        <v>132810.25</v>
      </c>
      <c r="AH534" t="s">
        <v>69</v>
      </c>
      <c r="AI534" t="s">
        <v>92</v>
      </c>
      <c r="AJ534" t="s">
        <v>148</v>
      </c>
      <c r="AK534" t="s">
        <v>72</v>
      </c>
      <c r="AL534" t="s">
        <v>73</v>
      </c>
      <c r="AM534" t="s">
        <v>73</v>
      </c>
      <c r="AN534" t="s">
        <v>74</v>
      </c>
    </row>
    <row r="535" spans="1:40" x14ac:dyDescent="0.25">
      <c r="A535" t="s">
        <v>508</v>
      </c>
      <c r="B535" t="s">
        <v>5</v>
      </c>
      <c r="C535" s="2">
        <v>605.71024399999999</v>
      </c>
      <c r="D535" t="s">
        <v>56</v>
      </c>
      <c r="E535" t="s">
        <v>56</v>
      </c>
      <c r="F535">
        <v>-6126.03</v>
      </c>
      <c r="G535" t="s">
        <v>508</v>
      </c>
      <c r="H535" t="s">
        <v>7</v>
      </c>
      <c r="I535">
        <v>8993.4699999999993</v>
      </c>
      <c r="J535">
        <v>0</v>
      </c>
      <c r="K535">
        <v>0</v>
      </c>
      <c r="L535">
        <v>0</v>
      </c>
      <c r="M535" t="s">
        <v>508</v>
      </c>
      <c r="N535" t="s">
        <v>57</v>
      </c>
      <c r="O535" t="s">
        <v>58</v>
      </c>
      <c r="P535" t="s">
        <v>509</v>
      </c>
      <c r="Q535" t="s">
        <v>510</v>
      </c>
      <c r="R535" t="s">
        <v>61</v>
      </c>
      <c r="S535" t="s">
        <v>58</v>
      </c>
      <c r="T535" t="s">
        <v>509</v>
      </c>
      <c r="U535" t="s">
        <v>510</v>
      </c>
      <c r="V535" t="s">
        <v>56</v>
      </c>
      <c r="W535" t="s">
        <v>56</v>
      </c>
      <c r="X535" t="s">
        <v>56</v>
      </c>
      <c r="Y535" t="s">
        <v>62</v>
      </c>
      <c r="Z535" t="s">
        <v>63</v>
      </c>
      <c r="AA535" t="s">
        <v>64</v>
      </c>
      <c r="AB535">
        <v>1</v>
      </c>
      <c r="AC535" t="s">
        <v>78</v>
      </c>
      <c r="AD535" t="s">
        <v>66</v>
      </c>
      <c r="AE535" t="s">
        <v>85</v>
      </c>
      <c r="AF535" t="s">
        <v>68</v>
      </c>
      <c r="AG535">
        <v>27490</v>
      </c>
      <c r="AH535" t="s">
        <v>69</v>
      </c>
      <c r="AI535" t="s">
        <v>400</v>
      </c>
      <c r="AJ535" t="s">
        <v>511</v>
      </c>
      <c r="AK535" t="s">
        <v>72</v>
      </c>
      <c r="AL535" t="s">
        <v>73</v>
      </c>
      <c r="AM535" t="s">
        <v>73</v>
      </c>
      <c r="AN535" t="s">
        <v>56</v>
      </c>
    </row>
    <row r="536" spans="1:40" x14ac:dyDescent="0.25">
      <c r="A536" t="s">
        <v>210</v>
      </c>
      <c r="B536" t="s">
        <v>5</v>
      </c>
      <c r="C536">
        <v>603.56187599999998</v>
      </c>
      <c r="D536">
        <v>512.68521499999997</v>
      </c>
      <c r="E536" t="s">
        <v>56</v>
      </c>
      <c r="F536">
        <v>-23064.33</v>
      </c>
      <c r="G536" t="s">
        <v>210</v>
      </c>
      <c r="H536" t="s">
        <v>7</v>
      </c>
      <c r="I536">
        <v>26376.400000000001</v>
      </c>
      <c r="J536">
        <v>848.97760100000005</v>
      </c>
      <c r="K536">
        <v>721.14936599999999</v>
      </c>
      <c r="L536">
        <v>0</v>
      </c>
      <c r="M536" t="s">
        <v>210</v>
      </c>
      <c r="N536" t="s">
        <v>57</v>
      </c>
      <c r="O536" t="s">
        <v>58</v>
      </c>
      <c r="P536" t="s">
        <v>211</v>
      </c>
      <c r="Q536" t="s">
        <v>212</v>
      </c>
      <c r="R536" t="s">
        <v>61</v>
      </c>
      <c r="S536" t="s">
        <v>58</v>
      </c>
      <c r="T536" t="s">
        <v>211</v>
      </c>
      <c r="U536" t="s">
        <v>212</v>
      </c>
      <c r="V536" t="s">
        <v>56</v>
      </c>
      <c r="W536" t="s">
        <v>56</v>
      </c>
      <c r="X536" t="s">
        <v>56</v>
      </c>
      <c r="Y536" t="s">
        <v>62</v>
      </c>
      <c r="Z536" t="s">
        <v>63</v>
      </c>
      <c r="AA536" t="s">
        <v>64</v>
      </c>
      <c r="AB536">
        <v>1</v>
      </c>
      <c r="AC536" t="s">
        <v>120</v>
      </c>
      <c r="AD536" t="s">
        <v>66</v>
      </c>
      <c r="AE536" t="s">
        <v>67</v>
      </c>
      <c r="AF536" t="s">
        <v>103</v>
      </c>
      <c r="AG536">
        <v>34829.14</v>
      </c>
      <c r="AH536" t="s">
        <v>69</v>
      </c>
      <c r="AI536" t="s">
        <v>87</v>
      </c>
      <c r="AJ536" t="s">
        <v>138</v>
      </c>
      <c r="AK536" t="s">
        <v>72</v>
      </c>
      <c r="AL536" t="s">
        <v>73</v>
      </c>
      <c r="AM536" t="s">
        <v>73</v>
      </c>
      <c r="AN536" t="s">
        <v>74</v>
      </c>
    </row>
    <row r="537" spans="1:40" x14ac:dyDescent="0.25">
      <c r="A537" t="s">
        <v>461</v>
      </c>
      <c r="B537" t="s">
        <v>5</v>
      </c>
      <c r="C537" s="2">
        <v>600.97956999999997</v>
      </c>
      <c r="D537" t="s">
        <v>56</v>
      </c>
      <c r="E537" t="s">
        <v>56</v>
      </c>
      <c r="F537">
        <v>-8592.56</v>
      </c>
      <c r="G537" t="s">
        <v>461</v>
      </c>
      <c r="H537" t="s">
        <v>7</v>
      </c>
      <c r="I537">
        <v>11510.05</v>
      </c>
      <c r="J537">
        <v>0</v>
      </c>
      <c r="K537">
        <v>0</v>
      </c>
      <c r="L537">
        <v>0</v>
      </c>
      <c r="M537" t="s">
        <v>461</v>
      </c>
      <c r="N537" t="s">
        <v>57</v>
      </c>
      <c r="O537" t="s">
        <v>58</v>
      </c>
      <c r="P537" t="s">
        <v>462</v>
      </c>
      <c r="Q537" t="s">
        <v>231</v>
      </c>
      <c r="R537" t="s">
        <v>61</v>
      </c>
      <c r="S537" t="s">
        <v>58</v>
      </c>
      <c r="T537" t="s">
        <v>462</v>
      </c>
      <c r="U537" t="s">
        <v>231</v>
      </c>
      <c r="V537" t="s">
        <v>56</v>
      </c>
      <c r="W537" t="s">
        <v>56</v>
      </c>
      <c r="X537" t="s">
        <v>56</v>
      </c>
      <c r="Y537" t="s">
        <v>62</v>
      </c>
      <c r="Z537" t="s">
        <v>63</v>
      </c>
      <c r="AA537" t="s">
        <v>64</v>
      </c>
      <c r="AB537">
        <v>1</v>
      </c>
      <c r="AC537" t="s">
        <v>84</v>
      </c>
      <c r="AD537" t="s">
        <v>66</v>
      </c>
      <c r="AE537" t="s">
        <v>85</v>
      </c>
      <c r="AF537" t="s">
        <v>103</v>
      </c>
      <c r="AG537">
        <v>38861.79</v>
      </c>
      <c r="AH537" t="s">
        <v>69</v>
      </c>
      <c r="AI537" t="s">
        <v>122</v>
      </c>
      <c r="AJ537" t="s">
        <v>463</v>
      </c>
      <c r="AK537" t="s">
        <v>72</v>
      </c>
      <c r="AL537" t="s">
        <v>73</v>
      </c>
      <c r="AM537" t="s">
        <v>73</v>
      </c>
      <c r="AN537" t="s">
        <v>56</v>
      </c>
    </row>
    <row r="538" spans="1:40" x14ac:dyDescent="0.25">
      <c r="A538" t="s">
        <v>1269</v>
      </c>
      <c r="B538" t="s">
        <v>5</v>
      </c>
      <c r="C538" s="2">
        <v>599.48514499999999</v>
      </c>
      <c r="D538" t="s">
        <v>56</v>
      </c>
      <c r="E538" t="s">
        <v>56</v>
      </c>
      <c r="F538">
        <v>-5379.4</v>
      </c>
      <c r="G538" t="s">
        <v>1269</v>
      </c>
      <c r="H538" t="s">
        <v>7</v>
      </c>
      <c r="I538">
        <v>9310.57</v>
      </c>
      <c r="J538">
        <v>0</v>
      </c>
      <c r="K538">
        <v>0</v>
      </c>
      <c r="L538">
        <v>0</v>
      </c>
      <c r="M538" t="s">
        <v>1269</v>
      </c>
      <c r="N538" t="s">
        <v>57</v>
      </c>
      <c r="O538" t="s">
        <v>58</v>
      </c>
      <c r="P538" t="s">
        <v>1270</v>
      </c>
      <c r="Q538" t="s">
        <v>1271</v>
      </c>
      <c r="R538" t="s">
        <v>61</v>
      </c>
      <c r="S538" t="s">
        <v>58</v>
      </c>
      <c r="T538" t="s">
        <v>1270</v>
      </c>
      <c r="U538" t="s">
        <v>1271</v>
      </c>
      <c r="V538" t="s">
        <v>56</v>
      </c>
      <c r="W538" t="s">
        <v>56</v>
      </c>
      <c r="X538" t="s">
        <v>56</v>
      </c>
      <c r="Y538" t="s">
        <v>62</v>
      </c>
      <c r="Z538" t="s">
        <v>63</v>
      </c>
      <c r="AA538" t="s">
        <v>64</v>
      </c>
      <c r="AB538">
        <v>1</v>
      </c>
      <c r="AC538" t="s">
        <v>84</v>
      </c>
      <c r="AD538" t="s">
        <v>66</v>
      </c>
      <c r="AE538" t="s">
        <v>85</v>
      </c>
      <c r="AF538" t="s">
        <v>68</v>
      </c>
      <c r="AG538">
        <v>30000</v>
      </c>
      <c r="AH538" t="s">
        <v>69</v>
      </c>
      <c r="AI538" t="s">
        <v>132</v>
      </c>
      <c r="AJ538" t="s">
        <v>511</v>
      </c>
      <c r="AK538" t="s">
        <v>99</v>
      </c>
      <c r="AL538" t="s">
        <v>73</v>
      </c>
      <c r="AM538" t="s">
        <v>73</v>
      </c>
      <c r="AN538" t="s">
        <v>56</v>
      </c>
    </row>
    <row r="539" spans="1:40" x14ac:dyDescent="0.25">
      <c r="A539" t="s">
        <v>661</v>
      </c>
      <c r="B539" t="s">
        <v>5</v>
      </c>
      <c r="C539">
        <v>599.34332800000004</v>
      </c>
      <c r="D539">
        <v>509.10184199999998</v>
      </c>
      <c r="E539" t="s">
        <v>56</v>
      </c>
      <c r="F539">
        <v>-26287.32</v>
      </c>
      <c r="G539" t="s">
        <v>661</v>
      </c>
      <c r="H539" t="s">
        <v>7</v>
      </c>
      <c r="I539">
        <v>29847.58</v>
      </c>
      <c r="J539">
        <v>837.02934300000004</v>
      </c>
      <c r="K539">
        <v>711.00012500000003</v>
      </c>
      <c r="L539">
        <v>0</v>
      </c>
      <c r="M539" t="s">
        <v>661</v>
      </c>
      <c r="N539" t="s">
        <v>57</v>
      </c>
      <c r="O539" t="s">
        <v>58</v>
      </c>
      <c r="P539" t="s">
        <v>662</v>
      </c>
      <c r="Q539" t="s">
        <v>663</v>
      </c>
      <c r="R539" t="s">
        <v>61</v>
      </c>
      <c r="S539" t="s">
        <v>58</v>
      </c>
      <c r="T539" t="s">
        <v>662</v>
      </c>
      <c r="U539" t="s">
        <v>663</v>
      </c>
      <c r="V539" t="s">
        <v>56</v>
      </c>
      <c r="W539" t="s">
        <v>56</v>
      </c>
      <c r="X539" t="s">
        <v>56</v>
      </c>
      <c r="Y539" t="s">
        <v>62</v>
      </c>
      <c r="Z539" t="s">
        <v>63</v>
      </c>
      <c r="AA539" t="s">
        <v>64</v>
      </c>
      <c r="AB539">
        <v>1</v>
      </c>
      <c r="AC539" t="s">
        <v>84</v>
      </c>
      <c r="AD539" t="s">
        <v>66</v>
      </c>
      <c r="AE539" t="s">
        <v>67</v>
      </c>
      <c r="AF539" t="s">
        <v>103</v>
      </c>
      <c r="AG539">
        <v>39975.5</v>
      </c>
      <c r="AH539" t="s">
        <v>69</v>
      </c>
      <c r="AI539" t="s">
        <v>70</v>
      </c>
      <c r="AJ539" t="s">
        <v>477</v>
      </c>
      <c r="AK539" t="s">
        <v>72</v>
      </c>
      <c r="AL539" t="s">
        <v>73</v>
      </c>
      <c r="AM539" t="s">
        <v>73</v>
      </c>
      <c r="AN539" t="s">
        <v>74</v>
      </c>
    </row>
    <row r="540" spans="1:40" x14ac:dyDescent="0.25">
      <c r="A540" t="s">
        <v>1747</v>
      </c>
      <c r="B540" t="s">
        <v>5</v>
      </c>
      <c r="C540">
        <v>598.11848199999997</v>
      </c>
      <c r="D540">
        <v>763.79749000000004</v>
      </c>
      <c r="E540" t="s">
        <v>56</v>
      </c>
      <c r="F540">
        <v>-24290.47</v>
      </c>
      <c r="G540" t="s">
        <v>1747</v>
      </c>
      <c r="H540" t="s">
        <v>7</v>
      </c>
      <c r="I540">
        <v>29030.42</v>
      </c>
      <c r="J540">
        <v>714.84007499999996</v>
      </c>
      <c r="K540">
        <v>912.851001</v>
      </c>
      <c r="L540">
        <v>0</v>
      </c>
      <c r="M540" t="s">
        <v>1747</v>
      </c>
      <c r="N540" t="s">
        <v>57</v>
      </c>
      <c r="O540" t="s">
        <v>58</v>
      </c>
      <c r="P540" t="s">
        <v>1748</v>
      </c>
      <c r="Q540" t="s">
        <v>1749</v>
      </c>
      <c r="R540" t="s">
        <v>61</v>
      </c>
      <c r="S540" t="s">
        <v>58</v>
      </c>
      <c r="T540" t="s">
        <v>1748</v>
      </c>
      <c r="U540" t="s">
        <v>1749</v>
      </c>
      <c r="V540" t="s">
        <v>56</v>
      </c>
      <c r="W540" t="s">
        <v>56</v>
      </c>
      <c r="X540" t="s">
        <v>56</v>
      </c>
      <c r="Y540" t="s">
        <v>62</v>
      </c>
      <c r="Z540" t="s">
        <v>63</v>
      </c>
      <c r="AA540" t="s">
        <v>64</v>
      </c>
      <c r="AB540">
        <v>1</v>
      </c>
      <c r="AC540" t="s">
        <v>84</v>
      </c>
      <c r="AD540" t="s">
        <v>66</v>
      </c>
      <c r="AE540" t="s">
        <v>121</v>
      </c>
      <c r="AF540" t="s">
        <v>68</v>
      </c>
      <c r="AG540">
        <v>38578.949999999997</v>
      </c>
      <c r="AH540" t="s">
        <v>69</v>
      </c>
      <c r="AI540" t="s">
        <v>97</v>
      </c>
      <c r="AJ540" t="s">
        <v>477</v>
      </c>
      <c r="AK540" t="s">
        <v>99</v>
      </c>
      <c r="AL540" t="s">
        <v>73</v>
      </c>
      <c r="AM540" t="s">
        <v>73</v>
      </c>
      <c r="AN540" t="s">
        <v>124</v>
      </c>
    </row>
    <row r="541" spans="1:40" x14ac:dyDescent="0.25">
      <c r="A541" t="s">
        <v>1382</v>
      </c>
      <c r="B541" t="s">
        <v>5</v>
      </c>
      <c r="C541">
        <v>594.05080299999997</v>
      </c>
      <c r="D541">
        <v>504.606199</v>
      </c>
      <c r="E541" t="s">
        <v>56</v>
      </c>
      <c r="F541">
        <v>-44110.81</v>
      </c>
      <c r="G541" t="s">
        <v>1382</v>
      </c>
      <c r="H541" t="s">
        <v>7</v>
      </c>
      <c r="I541">
        <v>48918.7</v>
      </c>
      <c r="J541">
        <v>810.31896800000004</v>
      </c>
      <c r="K541">
        <v>688.31145800000002</v>
      </c>
      <c r="L541">
        <v>0</v>
      </c>
      <c r="M541" t="s">
        <v>1382</v>
      </c>
      <c r="N541" t="s">
        <v>57</v>
      </c>
      <c r="O541" t="s">
        <v>58</v>
      </c>
      <c r="P541" t="s">
        <v>1383</v>
      </c>
      <c r="Q541" t="s">
        <v>1384</v>
      </c>
      <c r="R541" t="s">
        <v>61</v>
      </c>
      <c r="S541" t="s">
        <v>58</v>
      </c>
      <c r="T541" t="s">
        <v>1383</v>
      </c>
      <c r="U541" t="s">
        <v>1384</v>
      </c>
      <c r="V541" t="s">
        <v>56</v>
      </c>
      <c r="W541" t="s">
        <v>56</v>
      </c>
      <c r="X541" t="s">
        <v>56</v>
      </c>
      <c r="Y541" t="s">
        <v>62</v>
      </c>
      <c r="Z541" t="s">
        <v>63</v>
      </c>
      <c r="AA541" t="s">
        <v>64</v>
      </c>
      <c r="AB541">
        <v>1</v>
      </c>
      <c r="AC541" t="s">
        <v>78</v>
      </c>
      <c r="AD541" t="s">
        <v>66</v>
      </c>
      <c r="AE541" t="s">
        <v>67</v>
      </c>
      <c r="AF541" t="s">
        <v>68</v>
      </c>
      <c r="AG541">
        <v>67677.59</v>
      </c>
      <c r="AH541" t="s">
        <v>69</v>
      </c>
      <c r="AI541" t="s">
        <v>765</v>
      </c>
      <c r="AJ541" t="s">
        <v>254</v>
      </c>
      <c r="AK541" t="s">
        <v>72</v>
      </c>
      <c r="AL541" t="s">
        <v>73</v>
      </c>
      <c r="AM541" t="s">
        <v>73</v>
      </c>
      <c r="AN541" t="s">
        <v>74</v>
      </c>
    </row>
    <row r="542" spans="1:40" x14ac:dyDescent="0.25">
      <c r="A542" t="s">
        <v>1010</v>
      </c>
      <c r="B542" t="s">
        <v>5</v>
      </c>
      <c r="C542">
        <v>593.02839700000004</v>
      </c>
      <c r="D542">
        <v>503.73773299999999</v>
      </c>
      <c r="E542" t="s">
        <v>56</v>
      </c>
      <c r="F542">
        <v>-18514.099999999999</v>
      </c>
      <c r="G542" t="s">
        <v>1010</v>
      </c>
      <c r="H542" t="s">
        <v>7</v>
      </c>
      <c r="I542">
        <v>21925.01</v>
      </c>
      <c r="J542">
        <v>863.822677</v>
      </c>
      <c r="K542">
        <v>733.75925900000004</v>
      </c>
      <c r="L542">
        <v>0</v>
      </c>
      <c r="M542" t="s">
        <v>1010</v>
      </c>
      <c r="N542" t="s">
        <v>57</v>
      </c>
      <c r="O542" t="s">
        <v>58</v>
      </c>
      <c r="P542" t="s">
        <v>1011</v>
      </c>
      <c r="Q542" t="s">
        <v>1012</v>
      </c>
      <c r="R542" t="s">
        <v>61</v>
      </c>
      <c r="S542" t="s">
        <v>58</v>
      </c>
      <c r="T542" t="s">
        <v>1011</v>
      </c>
      <c r="U542" t="s">
        <v>1012</v>
      </c>
      <c r="V542" t="s">
        <v>56</v>
      </c>
      <c r="W542" t="s">
        <v>56</v>
      </c>
      <c r="X542" t="s">
        <v>56</v>
      </c>
      <c r="Y542" t="s">
        <v>62</v>
      </c>
      <c r="Z542" t="s">
        <v>63</v>
      </c>
      <c r="AA542" t="s">
        <v>64</v>
      </c>
      <c r="AB542">
        <v>1</v>
      </c>
      <c r="AC542" t="s">
        <v>84</v>
      </c>
      <c r="AD542" t="s">
        <v>66</v>
      </c>
      <c r="AE542" t="s">
        <v>67</v>
      </c>
      <c r="AF542" t="s">
        <v>68</v>
      </c>
      <c r="AG542">
        <v>28454.47</v>
      </c>
      <c r="AH542" t="s">
        <v>69</v>
      </c>
      <c r="AI542" t="s">
        <v>297</v>
      </c>
      <c r="AJ542" t="s">
        <v>240</v>
      </c>
      <c r="AK542" t="s">
        <v>72</v>
      </c>
      <c r="AL542" t="s">
        <v>73</v>
      </c>
      <c r="AM542" t="s">
        <v>73</v>
      </c>
      <c r="AN542" t="s">
        <v>74</v>
      </c>
    </row>
    <row r="543" spans="1:40" x14ac:dyDescent="0.25">
      <c r="A543" t="s">
        <v>1209</v>
      </c>
      <c r="B543" t="s">
        <v>5</v>
      </c>
      <c r="C543">
        <v>592.34679200000005</v>
      </c>
      <c r="D543">
        <v>503.15875599999998</v>
      </c>
      <c r="E543" t="s">
        <v>56</v>
      </c>
      <c r="F543">
        <v>-22746.79</v>
      </c>
      <c r="G543" t="s">
        <v>1209</v>
      </c>
      <c r="H543" t="s">
        <v>7</v>
      </c>
      <c r="I543">
        <v>25798.07</v>
      </c>
      <c r="J543">
        <v>826.34003700000005</v>
      </c>
      <c r="K543">
        <v>701.92027800000005</v>
      </c>
      <c r="L543">
        <v>0</v>
      </c>
      <c r="M543" t="s">
        <v>1209</v>
      </c>
      <c r="N543" t="s">
        <v>57</v>
      </c>
      <c r="O543" t="s">
        <v>58</v>
      </c>
      <c r="P543" t="s">
        <v>1210</v>
      </c>
      <c r="Q543" t="s">
        <v>1211</v>
      </c>
      <c r="R543" t="s">
        <v>61</v>
      </c>
      <c r="S543" t="s">
        <v>58</v>
      </c>
      <c r="T543" t="s">
        <v>1210</v>
      </c>
      <c r="U543" t="s">
        <v>1211</v>
      </c>
      <c r="V543" t="s">
        <v>56</v>
      </c>
      <c r="W543" t="s">
        <v>56</v>
      </c>
      <c r="X543" t="s">
        <v>56</v>
      </c>
      <c r="Y543" t="s">
        <v>62</v>
      </c>
      <c r="Z543" t="s">
        <v>63</v>
      </c>
      <c r="AA543" t="s">
        <v>64</v>
      </c>
      <c r="AB543">
        <v>1</v>
      </c>
      <c r="AC543" t="s">
        <v>78</v>
      </c>
      <c r="AD543" t="s">
        <v>66</v>
      </c>
      <c r="AE543" t="s">
        <v>67</v>
      </c>
      <c r="AF543" t="s">
        <v>68</v>
      </c>
      <c r="AG543">
        <v>34999.949999999997</v>
      </c>
      <c r="AH543" t="s">
        <v>69</v>
      </c>
      <c r="AI543" t="s">
        <v>491</v>
      </c>
      <c r="AJ543" t="s">
        <v>71</v>
      </c>
      <c r="AK543" t="s">
        <v>72</v>
      </c>
      <c r="AL543" t="s">
        <v>73</v>
      </c>
      <c r="AM543" t="s">
        <v>73</v>
      </c>
      <c r="AN543" t="s">
        <v>74</v>
      </c>
    </row>
    <row r="544" spans="1:40" x14ac:dyDescent="0.25">
      <c r="A544" t="s">
        <v>1327</v>
      </c>
      <c r="B544" t="s">
        <v>5</v>
      </c>
      <c r="C544">
        <v>591.47797100000003</v>
      </c>
      <c r="D544">
        <v>502.42075</v>
      </c>
      <c r="E544" t="s">
        <v>56</v>
      </c>
      <c r="F544">
        <v>-47590.15</v>
      </c>
      <c r="G544" t="s">
        <v>1327</v>
      </c>
      <c r="H544" t="s">
        <v>7</v>
      </c>
      <c r="I544">
        <v>51788.66</v>
      </c>
      <c r="J544">
        <v>791.69592</v>
      </c>
      <c r="K544">
        <v>672.49243100000001</v>
      </c>
      <c r="L544">
        <v>0</v>
      </c>
      <c r="M544" t="s">
        <v>1327</v>
      </c>
      <c r="N544" t="s">
        <v>57</v>
      </c>
      <c r="O544" t="s">
        <v>58</v>
      </c>
      <c r="P544" t="s">
        <v>1328</v>
      </c>
      <c r="Q544" t="s">
        <v>1329</v>
      </c>
      <c r="R544" t="s">
        <v>61</v>
      </c>
      <c r="S544" t="s">
        <v>58</v>
      </c>
      <c r="T544" t="s">
        <v>1328</v>
      </c>
      <c r="U544" t="s">
        <v>1329</v>
      </c>
      <c r="V544" t="s">
        <v>56</v>
      </c>
      <c r="W544" t="s">
        <v>56</v>
      </c>
      <c r="X544" t="s">
        <v>56</v>
      </c>
      <c r="Y544" t="s">
        <v>62</v>
      </c>
      <c r="Z544" t="s">
        <v>63</v>
      </c>
      <c r="AA544" t="s">
        <v>64</v>
      </c>
      <c r="AB544">
        <v>1</v>
      </c>
      <c r="AC544" t="s">
        <v>78</v>
      </c>
      <c r="AD544" t="s">
        <v>66</v>
      </c>
      <c r="AE544" t="s">
        <v>67</v>
      </c>
      <c r="AF544" t="s">
        <v>68</v>
      </c>
      <c r="AG544">
        <v>73333.460000000006</v>
      </c>
      <c r="AH544" t="s">
        <v>69</v>
      </c>
      <c r="AI544" t="s">
        <v>355</v>
      </c>
      <c r="AJ544" t="s">
        <v>401</v>
      </c>
      <c r="AK544" t="s">
        <v>72</v>
      </c>
      <c r="AL544" t="s">
        <v>73</v>
      </c>
      <c r="AM544" t="s">
        <v>73</v>
      </c>
      <c r="AN544" t="s">
        <v>74</v>
      </c>
    </row>
    <row r="545" spans="1:40" x14ac:dyDescent="0.25">
      <c r="A545" t="s">
        <v>183</v>
      </c>
      <c r="B545" t="s">
        <v>5</v>
      </c>
      <c r="C545">
        <v>586.08814299999995</v>
      </c>
      <c r="D545">
        <v>656.78718000000003</v>
      </c>
      <c r="E545" t="s">
        <v>56</v>
      </c>
      <c r="F545">
        <v>-37368.93</v>
      </c>
      <c r="G545" t="s">
        <v>183</v>
      </c>
      <c r="H545" t="s">
        <v>7</v>
      </c>
      <c r="I545">
        <v>40193.26</v>
      </c>
      <c r="J545">
        <v>893.91641100000004</v>
      </c>
      <c r="K545">
        <v>759.32186200000001</v>
      </c>
      <c r="L545">
        <v>0</v>
      </c>
      <c r="M545" t="s">
        <v>183</v>
      </c>
      <c r="N545" t="s">
        <v>57</v>
      </c>
      <c r="O545" t="s">
        <v>58</v>
      </c>
      <c r="P545" t="s">
        <v>184</v>
      </c>
      <c r="Q545" t="s">
        <v>185</v>
      </c>
      <c r="R545" t="s">
        <v>61</v>
      </c>
      <c r="S545" t="s">
        <v>58</v>
      </c>
      <c r="T545" t="s">
        <v>184</v>
      </c>
      <c r="U545" t="s">
        <v>185</v>
      </c>
      <c r="V545" t="s">
        <v>56</v>
      </c>
      <c r="W545" t="s">
        <v>56</v>
      </c>
      <c r="X545" t="s">
        <v>56</v>
      </c>
      <c r="Y545" t="s">
        <v>62</v>
      </c>
      <c r="Z545" t="s">
        <v>63</v>
      </c>
      <c r="AA545" t="s">
        <v>64</v>
      </c>
      <c r="AB545">
        <v>1</v>
      </c>
      <c r="AC545" t="s">
        <v>78</v>
      </c>
      <c r="AD545" t="s">
        <v>66</v>
      </c>
      <c r="AE545" t="s">
        <v>67</v>
      </c>
      <c r="AF545" t="s">
        <v>103</v>
      </c>
      <c r="AG545">
        <v>50406.51</v>
      </c>
      <c r="AH545" t="s">
        <v>69</v>
      </c>
      <c r="AI545" t="s">
        <v>186</v>
      </c>
      <c r="AJ545" t="s">
        <v>187</v>
      </c>
      <c r="AK545" t="s">
        <v>72</v>
      </c>
      <c r="AL545" t="s">
        <v>73</v>
      </c>
      <c r="AM545" t="s">
        <v>73</v>
      </c>
      <c r="AN545" t="s">
        <v>74</v>
      </c>
    </row>
    <row r="546" spans="1:40" x14ac:dyDescent="0.25">
      <c r="A546" t="s">
        <v>1003</v>
      </c>
      <c r="B546" t="s">
        <v>5</v>
      </c>
      <c r="C546" s="2">
        <v>584.89527599999997</v>
      </c>
      <c r="D546" t="s">
        <v>56</v>
      </c>
      <c r="E546" t="s">
        <v>56</v>
      </c>
      <c r="F546">
        <v>-8659.98</v>
      </c>
      <c r="G546" t="s">
        <v>1003</v>
      </c>
      <c r="H546" t="s">
        <v>7</v>
      </c>
      <c r="I546">
        <v>12542.21</v>
      </c>
      <c r="J546">
        <v>0</v>
      </c>
      <c r="K546">
        <v>0</v>
      </c>
      <c r="L546">
        <v>0</v>
      </c>
      <c r="M546" t="s">
        <v>1003</v>
      </c>
      <c r="N546" t="s">
        <v>57</v>
      </c>
      <c r="O546" t="s">
        <v>58</v>
      </c>
      <c r="P546" t="s">
        <v>1004</v>
      </c>
      <c r="Q546" t="s">
        <v>1005</v>
      </c>
      <c r="R546" t="s">
        <v>61</v>
      </c>
      <c r="S546" t="s">
        <v>58</v>
      </c>
      <c r="T546" t="s">
        <v>1004</v>
      </c>
      <c r="U546" t="s">
        <v>1005</v>
      </c>
      <c r="V546" t="s">
        <v>56</v>
      </c>
      <c r="W546" t="s">
        <v>56</v>
      </c>
      <c r="X546" t="s">
        <v>56</v>
      </c>
      <c r="Y546" t="s">
        <v>62</v>
      </c>
      <c r="Z546" t="s">
        <v>63</v>
      </c>
      <c r="AA546" t="s">
        <v>64</v>
      </c>
      <c r="AB546">
        <v>1</v>
      </c>
      <c r="AC546" t="s">
        <v>84</v>
      </c>
      <c r="AD546" t="s">
        <v>66</v>
      </c>
      <c r="AE546" t="s">
        <v>85</v>
      </c>
      <c r="AF546" t="s">
        <v>103</v>
      </c>
      <c r="AG546">
        <v>40243.910000000003</v>
      </c>
      <c r="AH546" t="s">
        <v>69</v>
      </c>
      <c r="AI546" t="s">
        <v>829</v>
      </c>
      <c r="AJ546" t="s">
        <v>548</v>
      </c>
      <c r="AK546" t="s">
        <v>72</v>
      </c>
      <c r="AL546" t="s">
        <v>73</v>
      </c>
      <c r="AM546" t="s">
        <v>73</v>
      </c>
      <c r="AN546" t="s">
        <v>56</v>
      </c>
    </row>
    <row r="547" spans="1:40" x14ac:dyDescent="0.25">
      <c r="A547" t="s">
        <v>906</v>
      </c>
      <c r="B547" t="s">
        <v>5</v>
      </c>
      <c r="C547">
        <v>582.93213100000003</v>
      </c>
      <c r="D547">
        <v>495.16163399999999</v>
      </c>
      <c r="E547" t="s">
        <v>56</v>
      </c>
      <c r="F547">
        <v>-24959.21</v>
      </c>
      <c r="G547" t="s">
        <v>906</v>
      </c>
      <c r="H547" t="s">
        <v>7</v>
      </c>
      <c r="I547">
        <v>29398.73</v>
      </c>
      <c r="J547">
        <v>844.52923499999997</v>
      </c>
      <c r="K547">
        <v>717.37077799999997</v>
      </c>
      <c r="L547">
        <v>0</v>
      </c>
      <c r="M547" t="s">
        <v>906</v>
      </c>
      <c r="N547" t="s">
        <v>57</v>
      </c>
      <c r="O547" t="s">
        <v>58</v>
      </c>
      <c r="P547" t="s">
        <v>907</v>
      </c>
      <c r="Q547" t="s">
        <v>908</v>
      </c>
      <c r="R547" t="s">
        <v>61</v>
      </c>
      <c r="S547" t="s">
        <v>58</v>
      </c>
      <c r="T547" t="s">
        <v>907</v>
      </c>
      <c r="U547" t="s">
        <v>908</v>
      </c>
      <c r="V547" t="s">
        <v>56</v>
      </c>
      <c r="W547" t="s">
        <v>56</v>
      </c>
      <c r="X547" t="s">
        <v>56</v>
      </c>
      <c r="Y547" t="s">
        <v>62</v>
      </c>
      <c r="Z547" t="s">
        <v>63</v>
      </c>
      <c r="AA547" t="s">
        <v>64</v>
      </c>
      <c r="AB547">
        <v>1</v>
      </c>
      <c r="AC547" t="s">
        <v>84</v>
      </c>
      <c r="AD547" t="s">
        <v>66</v>
      </c>
      <c r="AE547" t="s">
        <v>67</v>
      </c>
      <c r="AF547" t="s">
        <v>68</v>
      </c>
      <c r="AG547">
        <v>39024.400000000001</v>
      </c>
      <c r="AH547" t="s">
        <v>69</v>
      </c>
      <c r="AI547" t="s">
        <v>297</v>
      </c>
      <c r="AJ547" t="s">
        <v>293</v>
      </c>
      <c r="AK547" t="s">
        <v>72</v>
      </c>
      <c r="AL547" t="s">
        <v>73</v>
      </c>
      <c r="AM547" t="s">
        <v>73</v>
      </c>
      <c r="AN547" t="s">
        <v>74</v>
      </c>
    </row>
    <row r="548" spans="1:40" x14ac:dyDescent="0.25">
      <c r="A548" t="s">
        <v>834</v>
      </c>
      <c r="B548" t="s">
        <v>5</v>
      </c>
      <c r="C548">
        <v>580.21776</v>
      </c>
      <c r="D548">
        <v>735.23711300000002</v>
      </c>
      <c r="E548" t="s">
        <v>56</v>
      </c>
      <c r="F548">
        <v>-25588.37</v>
      </c>
      <c r="G548" t="s">
        <v>834</v>
      </c>
      <c r="H548" t="s">
        <v>7</v>
      </c>
      <c r="I548">
        <v>28446.42</v>
      </c>
      <c r="J548">
        <v>1023.416776</v>
      </c>
      <c r="K548">
        <v>869.323711</v>
      </c>
      <c r="L548">
        <v>0</v>
      </c>
      <c r="M548" t="s">
        <v>834</v>
      </c>
      <c r="N548" t="s">
        <v>57</v>
      </c>
      <c r="O548" t="s">
        <v>58</v>
      </c>
      <c r="P548" t="s">
        <v>835</v>
      </c>
      <c r="Q548" t="s">
        <v>836</v>
      </c>
      <c r="R548" t="s">
        <v>61</v>
      </c>
      <c r="S548" t="s">
        <v>58</v>
      </c>
      <c r="T548" t="s">
        <v>835</v>
      </c>
      <c r="U548" t="s">
        <v>836</v>
      </c>
      <c r="V548" t="s">
        <v>56</v>
      </c>
      <c r="W548" t="s">
        <v>56</v>
      </c>
      <c r="X548" t="s">
        <v>56</v>
      </c>
      <c r="Y548" t="s">
        <v>62</v>
      </c>
      <c r="Z548" t="s">
        <v>63</v>
      </c>
      <c r="AA548" t="s">
        <v>64</v>
      </c>
      <c r="AB548">
        <v>1</v>
      </c>
      <c r="AC548" t="s">
        <v>84</v>
      </c>
      <c r="AD548" t="s">
        <v>66</v>
      </c>
      <c r="AE548" t="s">
        <v>67</v>
      </c>
      <c r="AF548" t="s">
        <v>68</v>
      </c>
      <c r="AG548">
        <v>31160.76</v>
      </c>
      <c r="AH548" t="s">
        <v>69</v>
      </c>
      <c r="AI548" t="s">
        <v>163</v>
      </c>
      <c r="AJ548" t="s">
        <v>254</v>
      </c>
      <c r="AK548" t="s">
        <v>72</v>
      </c>
      <c r="AL548" t="s">
        <v>73</v>
      </c>
      <c r="AM548" t="s">
        <v>73</v>
      </c>
      <c r="AN548" t="s">
        <v>74</v>
      </c>
    </row>
    <row r="549" spans="1:40" x14ac:dyDescent="0.25">
      <c r="A549" t="s">
        <v>1345</v>
      </c>
      <c r="B549" t="s">
        <v>5</v>
      </c>
      <c r="C549">
        <v>580.21689100000003</v>
      </c>
      <c r="D549">
        <v>735.23601199999996</v>
      </c>
      <c r="E549" t="s">
        <v>56</v>
      </c>
      <c r="F549">
        <v>-27919.86</v>
      </c>
      <c r="G549" t="s">
        <v>1345</v>
      </c>
      <c r="H549" t="s">
        <v>7</v>
      </c>
      <c r="I549">
        <v>31038.37</v>
      </c>
      <c r="J549">
        <v>1023.395475</v>
      </c>
      <c r="K549">
        <v>869.30561799999998</v>
      </c>
      <c r="L549">
        <v>0</v>
      </c>
      <c r="M549" t="s">
        <v>1345</v>
      </c>
      <c r="N549" t="s">
        <v>57</v>
      </c>
      <c r="O549" t="s">
        <v>58</v>
      </c>
      <c r="P549" t="s">
        <v>1346</v>
      </c>
      <c r="Q549" t="s">
        <v>836</v>
      </c>
      <c r="R549" t="s">
        <v>61</v>
      </c>
      <c r="S549" t="s">
        <v>58</v>
      </c>
      <c r="T549" t="s">
        <v>1346</v>
      </c>
      <c r="U549" t="s">
        <v>836</v>
      </c>
      <c r="V549" t="s">
        <v>56</v>
      </c>
      <c r="W549" t="s">
        <v>56</v>
      </c>
      <c r="X549" t="s">
        <v>56</v>
      </c>
      <c r="Y549" t="s">
        <v>62</v>
      </c>
      <c r="Z549" t="s">
        <v>63</v>
      </c>
      <c r="AA549" t="s">
        <v>64</v>
      </c>
      <c r="AB549">
        <v>1</v>
      </c>
      <c r="AC549" t="s">
        <v>84</v>
      </c>
      <c r="AD549" t="s">
        <v>66</v>
      </c>
      <c r="AE549" t="s">
        <v>67</v>
      </c>
      <c r="AF549" t="s">
        <v>68</v>
      </c>
      <c r="AG549">
        <v>34000</v>
      </c>
      <c r="AH549" t="s">
        <v>69</v>
      </c>
      <c r="AI549" t="s">
        <v>382</v>
      </c>
      <c r="AJ549" t="s">
        <v>254</v>
      </c>
      <c r="AK549" t="s">
        <v>72</v>
      </c>
      <c r="AL549" t="s">
        <v>73</v>
      </c>
      <c r="AM549" t="s">
        <v>73</v>
      </c>
      <c r="AN549" t="s">
        <v>74</v>
      </c>
    </row>
    <row r="550" spans="1:40" x14ac:dyDescent="0.25">
      <c r="A550" t="s">
        <v>2149</v>
      </c>
      <c r="B550" t="s">
        <v>5</v>
      </c>
      <c r="C550">
        <v>579.95347400000003</v>
      </c>
      <c r="D550">
        <v>492.63146599999999</v>
      </c>
      <c r="E550" t="s">
        <v>56</v>
      </c>
      <c r="F550">
        <v>-11923.85</v>
      </c>
      <c r="G550" t="s">
        <v>2149</v>
      </c>
      <c r="H550" t="s">
        <v>7</v>
      </c>
      <c r="I550">
        <v>15766.57</v>
      </c>
      <c r="J550">
        <v>766.82744700000001</v>
      </c>
      <c r="K550">
        <v>651.368335</v>
      </c>
      <c r="L550">
        <v>0</v>
      </c>
      <c r="M550" t="s">
        <v>2149</v>
      </c>
      <c r="N550" t="s">
        <v>57</v>
      </c>
      <c r="O550" t="s">
        <v>58</v>
      </c>
      <c r="P550" t="s">
        <v>2150</v>
      </c>
      <c r="Q550" t="s">
        <v>2151</v>
      </c>
      <c r="R550" t="s">
        <v>61</v>
      </c>
      <c r="S550" t="s">
        <v>58</v>
      </c>
      <c r="T550" t="s">
        <v>2150</v>
      </c>
      <c r="U550" t="s">
        <v>2151</v>
      </c>
      <c r="V550" t="s">
        <v>56</v>
      </c>
      <c r="W550" t="s">
        <v>56</v>
      </c>
      <c r="X550" t="s">
        <v>56</v>
      </c>
      <c r="Y550" t="s">
        <v>62</v>
      </c>
      <c r="Z550" t="s">
        <v>63</v>
      </c>
      <c r="AA550" t="s">
        <v>64</v>
      </c>
      <c r="AB550">
        <v>1</v>
      </c>
      <c r="AC550" t="s">
        <v>84</v>
      </c>
      <c r="AD550" t="s">
        <v>66</v>
      </c>
      <c r="AE550" t="s">
        <v>67</v>
      </c>
      <c r="AF550" t="s">
        <v>68</v>
      </c>
      <c r="AG550">
        <v>23049</v>
      </c>
      <c r="AH550" t="s">
        <v>69</v>
      </c>
      <c r="AI550" t="s">
        <v>253</v>
      </c>
      <c r="AJ550" t="s">
        <v>187</v>
      </c>
      <c r="AK550" t="s">
        <v>99</v>
      </c>
      <c r="AL550" t="s">
        <v>73</v>
      </c>
      <c r="AM550" t="s">
        <v>73</v>
      </c>
      <c r="AN550" t="s">
        <v>74</v>
      </c>
    </row>
    <row r="551" spans="1:40" x14ac:dyDescent="0.25">
      <c r="A551" t="s">
        <v>1170</v>
      </c>
      <c r="B551" t="s">
        <v>5</v>
      </c>
      <c r="C551">
        <v>579.47590300000002</v>
      </c>
      <c r="D551">
        <v>492.22580099999999</v>
      </c>
      <c r="E551" t="s">
        <v>56</v>
      </c>
      <c r="F551">
        <v>-73916.800000000003</v>
      </c>
      <c r="G551" t="s">
        <v>1170</v>
      </c>
      <c r="H551" t="s">
        <v>7</v>
      </c>
      <c r="I551">
        <v>83213.73</v>
      </c>
      <c r="J551">
        <v>802.397559</v>
      </c>
      <c r="K551">
        <v>681.58275300000003</v>
      </c>
      <c r="L551">
        <v>0</v>
      </c>
      <c r="M551" t="s">
        <v>1170</v>
      </c>
      <c r="N551" t="s">
        <v>57</v>
      </c>
      <c r="O551" t="s">
        <v>58</v>
      </c>
      <c r="P551" t="s">
        <v>1171</v>
      </c>
      <c r="Q551" t="s">
        <v>1172</v>
      </c>
      <c r="R551" t="s">
        <v>61</v>
      </c>
      <c r="S551" t="s">
        <v>58</v>
      </c>
      <c r="T551" t="s">
        <v>1171</v>
      </c>
      <c r="U551" t="s">
        <v>1172</v>
      </c>
      <c r="V551" t="s">
        <v>56</v>
      </c>
      <c r="W551" t="s">
        <v>56</v>
      </c>
      <c r="X551" t="s">
        <v>56</v>
      </c>
      <c r="Y551" t="s">
        <v>62</v>
      </c>
      <c r="Z551" t="s">
        <v>63</v>
      </c>
      <c r="AA551" t="s">
        <v>64</v>
      </c>
      <c r="AB551">
        <v>1</v>
      </c>
      <c r="AC551" t="s">
        <v>78</v>
      </c>
      <c r="AD551" t="s">
        <v>66</v>
      </c>
      <c r="AE551" t="s">
        <v>67</v>
      </c>
      <c r="AF551" t="s">
        <v>86</v>
      </c>
      <c r="AG551">
        <v>116260.17</v>
      </c>
      <c r="AH551" t="s">
        <v>69</v>
      </c>
      <c r="AI551" t="s">
        <v>323</v>
      </c>
      <c r="AJ551" t="s">
        <v>928</v>
      </c>
      <c r="AK551" t="s">
        <v>72</v>
      </c>
      <c r="AL551" t="s">
        <v>73</v>
      </c>
      <c r="AM551" t="s">
        <v>73</v>
      </c>
      <c r="AN551" t="s">
        <v>74</v>
      </c>
    </row>
    <row r="552" spans="1:40" x14ac:dyDescent="0.25">
      <c r="A552" t="s">
        <v>1899</v>
      </c>
      <c r="B552" t="s">
        <v>5</v>
      </c>
      <c r="C552">
        <v>578.96021499999995</v>
      </c>
      <c r="D552">
        <v>491.78775899999999</v>
      </c>
      <c r="E552" t="s">
        <v>56</v>
      </c>
      <c r="F552">
        <v>-35561</v>
      </c>
      <c r="G552" t="s">
        <v>1899</v>
      </c>
      <c r="H552" t="s">
        <v>7</v>
      </c>
      <c r="I552">
        <v>40053.29</v>
      </c>
      <c r="J552">
        <v>802.07581400000004</v>
      </c>
      <c r="K552">
        <v>681.30945299999996</v>
      </c>
      <c r="L552">
        <v>0</v>
      </c>
      <c r="M552" t="s">
        <v>1899</v>
      </c>
      <c r="N552" t="s">
        <v>57</v>
      </c>
      <c r="O552" t="s">
        <v>58</v>
      </c>
      <c r="P552" t="s">
        <v>1900</v>
      </c>
      <c r="Q552" t="s">
        <v>1901</v>
      </c>
      <c r="R552" t="s">
        <v>61</v>
      </c>
      <c r="S552" t="s">
        <v>58</v>
      </c>
      <c r="T552" t="s">
        <v>1900</v>
      </c>
      <c r="U552" t="s">
        <v>1901</v>
      </c>
      <c r="V552" t="s">
        <v>56</v>
      </c>
      <c r="W552" t="s">
        <v>56</v>
      </c>
      <c r="X552" t="s">
        <v>56</v>
      </c>
      <c r="Y552" t="s">
        <v>62</v>
      </c>
      <c r="Z552" t="s">
        <v>63</v>
      </c>
      <c r="AA552" t="s">
        <v>64</v>
      </c>
      <c r="AB552">
        <v>1</v>
      </c>
      <c r="AC552" t="s">
        <v>84</v>
      </c>
      <c r="AD552" t="s">
        <v>66</v>
      </c>
      <c r="AE552" t="s">
        <v>67</v>
      </c>
      <c r="AF552" t="s">
        <v>86</v>
      </c>
      <c r="AG552">
        <v>55982.04</v>
      </c>
      <c r="AH552" t="s">
        <v>69</v>
      </c>
      <c r="AI552" t="s">
        <v>253</v>
      </c>
      <c r="AJ552" t="s">
        <v>240</v>
      </c>
      <c r="AK552" t="s">
        <v>72</v>
      </c>
      <c r="AL552" t="s">
        <v>73</v>
      </c>
      <c r="AM552" t="s">
        <v>73</v>
      </c>
      <c r="AN552" t="s">
        <v>74</v>
      </c>
    </row>
    <row r="553" spans="1:40" x14ac:dyDescent="0.25">
      <c r="A553" t="s">
        <v>1245</v>
      </c>
      <c r="B553" t="s">
        <v>5</v>
      </c>
      <c r="C553">
        <v>574.71476099999995</v>
      </c>
      <c r="D553">
        <v>488.18153100000001</v>
      </c>
      <c r="E553" t="s">
        <v>56</v>
      </c>
      <c r="F553">
        <v>-19993.48</v>
      </c>
      <c r="G553" t="s">
        <v>1245</v>
      </c>
      <c r="H553" t="s">
        <v>7</v>
      </c>
      <c r="I553">
        <v>22728.49</v>
      </c>
      <c r="J553">
        <v>803.59036600000002</v>
      </c>
      <c r="K553">
        <v>682.59596299999998</v>
      </c>
      <c r="L553">
        <v>0</v>
      </c>
      <c r="M553" t="s">
        <v>1245</v>
      </c>
      <c r="N553" t="s">
        <v>57</v>
      </c>
      <c r="O553" t="s">
        <v>58</v>
      </c>
      <c r="P553" t="s">
        <v>1246</v>
      </c>
      <c r="Q553" t="s">
        <v>1247</v>
      </c>
      <c r="R553" t="s">
        <v>61</v>
      </c>
      <c r="S553" t="s">
        <v>58</v>
      </c>
      <c r="T553" t="s">
        <v>1246</v>
      </c>
      <c r="U553" t="s">
        <v>1247</v>
      </c>
      <c r="V553" t="s">
        <v>56</v>
      </c>
      <c r="W553" t="s">
        <v>56</v>
      </c>
      <c r="X553" t="s">
        <v>56</v>
      </c>
      <c r="Y553" t="s">
        <v>62</v>
      </c>
      <c r="Z553" t="s">
        <v>63</v>
      </c>
      <c r="AA553" t="s">
        <v>64</v>
      </c>
      <c r="AB553">
        <v>1</v>
      </c>
      <c r="AC553" t="s">
        <v>78</v>
      </c>
      <c r="AD553" t="s">
        <v>66</v>
      </c>
      <c r="AE553" t="s">
        <v>67</v>
      </c>
      <c r="AF553" t="s">
        <v>68</v>
      </c>
      <c r="AG553">
        <v>31707.32</v>
      </c>
      <c r="AH553" t="s">
        <v>69</v>
      </c>
      <c r="AI553" t="s">
        <v>181</v>
      </c>
      <c r="AJ553" t="s">
        <v>80</v>
      </c>
      <c r="AK553" t="s">
        <v>72</v>
      </c>
      <c r="AL553" t="s">
        <v>73</v>
      </c>
      <c r="AM553" t="s">
        <v>73</v>
      </c>
      <c r="AN553" t="s">
        <v>74</v>
      </c>
    </row>
    <row r="554" spans="1:40" x14ac:dyDescent="0.25">
      <c r="A554" t="s">
        <v>955</v>
      </c>
      <c r="B554" t="s">
        <v>5</v>
      </c>
      <c r="C554" s="2">
        <v>573.624506</v>
      </c>
      <c r="D554" t="s">
        <v>56</v>
      </c>
      <c r="E554" t="s">
        <v>56</v>
      </c>
      <c r="F554">
        <v>-6641.94</v>
      </c>
      <c r="G554" t="s">
        <v>955</v>
      </c>
      <c r="H554" t="s">
        <v>7</v>
      </c>
      <c r="I554">
        <v>9364.83</v>
      </c>
      <c r="J554">
        <v>0</v>
      </c>
      <c r="K554">
        <v>0</v>
      </c>
      <c r="L554">
        <v>0</v>
      </c>
      <c r="M554" t="s">
        <v>955</v>
      </c>
      <c r="N554" t="s">
        <v>57</v>
      </c>
      <c r="O554" t="s">
        <v>58</v>
      </c>
      <c r="P554" t="s">
        <v>956</v>
      </c>
      <c r="Q554" t="s">
        <v>957</v>
      </c>
      <c r="R554" t="s">
        <v>61</v>
      </c>
      <c r="S554" t="s">
        <v>58</v>
      </c>
      <c r="T554" t="s">
        <v>956</v>
      </c>
      <c r="U554" t="s">
        <v>957</v>
      </c>
      <c r="V554" t="s">
        <v>56</v>
      </c>
      <c r="W554" t="s">
        <v>56</v>
      </c>
      <c r="X554" t="s">
        <v>56</v>
      </c>
      <c r="Y554" t="s">
        <v>62</v>
      </c>
      <c r="Z554" t="s">
        <v>63</v>
      </c>
      <c r="AA554" t="s">
        <v>64</v>
      </c>
      <c r="AB554">
        <v>1</v>
      </c>
      <c r="AC554" t="s">
        <v>78</v>
      </c>
      <c r="AD554" t="s">
        <v>66</v>
      </c>
      <c r="AE554" t="s">
        <v>289</v>
      </c>
      <c r="AF554" t="s">
        <v>277</v>
      </c>
      <c r="AG554">
        <v>30000</v>
      </c>
      <c r="AH554" t="s">
        <v>69</v>
      </c>
      <c r="AI554" t="s">
        <v>332</v>
      </c>
      <c r="AJ554" t="s">
        <v>958</v>
      </c>
      <c r="AK554" t="s">
        <v>99</v>
      </c>
      <c r="AL554" t="s">
        <v>281</v>
      </c>
      <c r="AM554" t="s">
        <v>73</v>
      </c>
      <c r="AN554" t="s">
        <v>56</v>
      </c>
    </row>
    <row r="555" spans="1:40" x14ac:dyDescent="0.25">
      <c r="A555" t="s">
        <v>1707</v>
      </c>
      <c r="B555" t="s">
        <v>5</v>
      </c>
      <c r="C555">
        <v>566.83875699999999</v>
      </c>
      <c r="D555">
        <v>629.66660400000001</v>
      </c>
      <c r="E555" t="s">
        <v>56</v>
      </c>
      <c r="F555">
        <v>-35607.22</v>
      </c>
      <c r="G555" t="s">
        <v>1707</v>
      </c>
      <c r="H555" t="s">
        <v>7</v>
      </c>
      <c r="I555">
        <v>40606.400000000001</v>
      </c>
      <c r="J555">
        <v>632.61600099999998</v>
      </c>
      <c r="K555">
        <v>807.85083299999997</v>
      </c>
      <c r="L555">
        <v>0</v>
      </c>
      <c r="M555" t="s">
        <v>1707</v>
      </c>
      <c r="N555" t="s">
        <v>57</v>
      </c>
      <c r="O555" t="s">
        <v>58</v>
      </c>
      <c r="P555" t="s">
        <v>1708</v>
      </c>
      <c r="Q555" t="s">
        <v>1709</v>
      </c>
      <c r="R555" t="s">
        <v>61</v>
      </c>
      <c r="S555" t="s">
        <v>58</v>
      </c>
      <c r="T555" t="s">
        <v>1708</v>
      </c>
      <c r="U555" t="s">
        <v>1709</v>
      </c>
      <c r="V555" t="s">
        <v>56</v>
      </c>
      <c r="W555" t="s">
        <v>56</v>
      </c>
      <c r="X555" t="s">
        <v>56</v>
      </c>
      <c r="Y555" t="s">
        <v>62</v>
      </c>
      <c r="Z555" t="s">
        <v>63</v>
      </c>
      <c r="AA555" t="s">
        <v>64</v>
      </c>
      <c r="AB555">
        <v>1</v>
      </c>
      <c r="AC555" t="s">
        <v>84</v>
      </c>
      <c r="AD555" t="s">
        <v>66</v>
      </c>
      <c r="AE555" t="s">
        <v>121</v>
      </c>
      <c r="AF555" t="s">
        <v>68</v>
      </c>
      <c r="AG555">
        <v>60975.61</v>
      </c>
      <c r="AH555" t="s">
        <v>69</v>
      </c>
      <c r="AI555" t="s">
        <v>216</v>
      </c>
      <c r="AJ555" t="s">
        <v>254</v>
      </c>
      <c r="AK555" t="s">
        <v>72</v>
      </c>
      <c r="AL555" t="s">
        <v>73</v>
      </c>
      <c r="AM555" t="s">
        <v>73</v>
      </c>
      <c r="AN555" t="s">
        <v>124</v>
      </c>
    </row>
    <row r="556" spans="1:40" x14ac:dyDescent="0.25">
      <c r="A556" t="s">
        <v>2342</v>
      </c>
      <c r="B556" t="s">
        <v>5</v>
      </c>
      <c r="C556">
        <v>564.64203699999996</v>
      </c>
      <c r="D556">
        <v>479.62542999999999</v>
      </c>
      <c r="E556" t="s">
        <v>56</v>
      </c>
      <c r="F556">
        <v>-17175.47</v>
      </c>
      <c r="G556" t="s">
        <v>2342</v>
      </c>
      <c r="H556" t="s">
        <v>7</v>
      </c>
      <c r="I556">
        <v>19124.53</v>
      </c>
      <c r="J556">
        <v>773.30605200000002</v>
      </c>
      <c r="K556">
        <v>656.87147500000003</v>
      </c>
      <c r="L556">
        <v>0</v>
      </c>
      <c r="M556" t="s">
        <v>2342</v>
      </c>
      <c r="N556" t="s">
        <v>57</v>
      </c>
      <c r="O556" t="s">
        <v>58</v>
      </c>
      <c r="P556" t="s">
        <v>2343</v>
      </c>
      <c r="Q556" t="s">
        <v>2344</v>
      </c>
      <c r="R556" t="s">
        <v>61</v>
      </c>
      <c r="S556" t="s">
        <v>58</v>
      </c>
      <c r="T556" t="s">
        <v>2343</v>
      </c>
      <c r="U556" t="s">
        <v>2344</v>
      </c>
      <c r="V556" t="s">
        <v>56</v>
      </c>
      <c r="W556" t="s">
        <v>56</v>
      </c>
      <c r="X556" t="s">
        <v>56</v>
      </c>
      <c r="Y556" t="s">
        <v>62</v>
      </c>
      <c r="Z556" t="s">
        <v>63</v>
      </c>
      <c r="AA556" t="s">
        <v>64</v>
      </c>
      <c r="AB556">
        <v>1</v>
      </c>
      <c r="AC556" t="s">
        <v>84</v>
      </c>
      <c r="AD556" t="s">
        <v>66</v>
      </c>
      <c r="AE556" t="s">
        <v>67</v>
      </c>
      <c r="AF556" t="s">
        <v>103</v>
      </c>
      <c r="AG556">
        <v>27724.15</v>
      </c>
      <c r="AH556" t="s">
        <v>69</v>
      </c>
      <c r="AI556" t="s">
        <v>297</v>
      </c>
      <c r="AJ556" t="s">
        <v>187</v>
      </c>
      <c r="AK556" t="s">
        <v>72</v>
      </c>
      <c r="AL556" t="s">
        <v>73</v>
      </c>
      <c r="AM556" t="s">
        <v>73</v>
      </c>
      <c r="AN556" t="s">
        <v>74</v>
      </c>
    </row>
    <row r="557" spans="1:40" x14ac:dyDescent="0.25">
      <c r="A557" t="s">
        <v>1342</v>
      </c>
      <c r="B557" t="s">
        <v>5</v>
      </c>
      <c r="C557">
        <v>561.72616000000005</v>
      </c>
      <c r="D557">
        <v>477.14858800000002</v>
      </c>
      <c r="E557" t="s">
        <v>56</v>
      </c>
      <c r="F557">
        <v>-42962.43</v>
      </c>
      <c r="G557" t="s">
        <v>1342</v>
      </c>
      <c r="H557" t="s">
        <v>7</v>
      </c>
      <c r="I557">
        <v>46550.94</v>
      </c>
      <c r="J557">
        <v>748.62703799999997</v>
      </c>
      <c r="K557">
        <v>635.90831200000002</v>
      </c>
      <c r="L557">
        <v>0</v>
      </c>
      <c r="M557" t="s">
        <v>1342</v>
      </c>
      <c r="N557" t="s">
        <v>57</v>
      </c>
      <c r="O557" t="s">
        <v>58</v>
      </c>
      <c r="P557" t="s">
        <v>1343</v>
      </c>
      <c r="Q557" t="s">
        <v>1344</v>
      </c>
      <c r="R557" t="s">
        <v>61</v>
      </c>
      <c r="S557" t="s">
        <v>58</v>
      </c>
      <c r="T557" t="s">
        <v>1343</v>
      </c>
      <c r="U557" t="s">
        <v>1344</v>
      </c>
      <c r="V557" t="s">
        <v>56</v>
      </c>
      <c r="W557" t="s">
        <v>56</v>
      </c>
      <c r="X557" t="s">
        <v>56</v>
      </c>
      <c r="Y557" t="s">
        <v>62</v>
      </c>
      <c r="Z557" t="s">
        <v>63</v>
      </c>
      <c r="AA557" t="s">
        <v>64</v>
      </c>
      <c r="AB557">
        <v>1</v>
      </c>
      <c r="AC557" t="s">
        <v>78</v>
      </c>
      <c r="AD557" t="s">
        <v>66</v>
      </c>
      <c r="AE557" t="s">
        <v>67</v>
      </c>
      <c r="AF557" t="s">
        <v>68</v>
      </c>
      <c r="AG557">
        <v>69708.77</v>
      </c>
      <c r="AH557" t="s">
        <v>69</v>
      </c>
      <c r="AI557" t="s">
        <v>203</v>
      </c>
      <c r="AJ557" t="s">
        <v>265</v>
      </c>
      <c r="AK557" t="s">
        <v>72</v>
      </c>
      <c r="AL557" t="s">
        <v>73</v>
      </c>
      <c r="AM557" t="s">
        <v>73</v>
      </c>
      <c r="AN557" t="s">
        <v>74</v>
      </c>
    </row>
    <row r="558" spans="1:40" x14ac:dyDescent="0.25">
      <c r="A558" t="s">
        <v>820</v>
      </c>
      <c r="B558" t="s">
        <v>5</v>
      </c>
      <c r="C558">
        <v>561.46348499999999</v>
      </c>
      <c r="D558">
        <v>450.92176599999999</v>
      </c>
      <c r="E558" t="s">
        <v>56</v>
      </c>
      <c r="F558">
        <v>-33403.589999999997</v>
      </c>
      <c r="G558" t="s">
        <v>820</v>
      </c>
      <c r="H558" t="s">
        <v>7</v>
      </c>
      <c r="I558">
        <v>36536.589999999997</v>
      </c>
      <c r="J558">
        <v>857.92478000000006</v>
      </c>
      <c r="K558">
        <v>728.74939300000005</v>
      </c>
      <c r="L558">
        <v>0</v>
      </c>
      <c r="M558" t="s">
        <v>820</v>
      </c>
      <c r="N558" t="s">
        <v>57</v>
      </c>
      <c r="O558" t="s">
        <v>58</v>
      </c>
      <c r="P558" t="s">
        <v>821</v>
      </c>
      <c r="Q558" t="s">
        <v>822</v>
      </c>
      <c r="R558" t="s">
        <v>61</v>
      </c>
      <c r="S558" t="s">
        <v>58</v>
      </c>
      <c r="T558" t="s">
        <v>821</v>
      </c>
      <c r="U558" t="s">
        <v>822</v>
      </c>
      <c r="V558" t="s">
        <v>56</v>
      </c>
      <c r="W558" t="s">
        <v>56</v>
      </c>
      <c r="X558" t="s">
        <v>56</v>
      </c>
      <c r="Y558" t="s">
        <v>62</v>
      </c>
      <c r="Z558" t="s">
        <v>63</v>
      </c>
      <c r="AA558" t="s">
        <v>64</v>
      </c>
      <c r="AB558">
        <v>1</v>
      </c>
      <c r="AC558" t="s">
        <v>84</v>
      </c>
      <c r="AD558" t="s">
        <v>66</v>
      </c>
      <c r="AE558" t="s">
        <v>67</v>
      </c>
      <c r="AF558" t="s">
        <v>68</v>
      </c>
      <c r="AG558">
        <v>47742.28</v>
      </c>
      <c r="AH558" t="s">
        <v>69</v>
      </c>
      <c r="AI558" t="s">
        <v>484</v>
      </c>
      <c r="AJ558" t="s">
        <v>293</v>
      </c>
      <c r="AK558" t="s">
        <v>72</v>
      </c>
      <c r="AL558" t="s">
        <v>73</v>
      </c>
      <c r="AM558" t="s">
        <v>73</v>
      </c>
      <c r="AN558" t="s">
        <v>74</v>
      </c>
    </row>
    <row r="559" spans="1:40" x14ac:dyDescent="0.25">
      <c r="A559" t="s">
        <v>1047</v>
      </c>
      <c r="B559" t="s">
        <v>5</v>
      </c>
      <c r="C559">
        <v>560.39882499999999</v>
      </c>
      <c r="D559">
        <v>476.02110599999997</v>
      </c>
      <c r="E559" t="s">
        <v>56</v>
      </c>
      <c r="F559">
        <v>-73232.95</v>
      </c>
      <c r="G559" t="s">
        <v>1047</v>
      </c>
      <c r="H559" t="s">
        <v>7</v>
      </c>
      <c r="I559">
        <v>83559.14</v>
      </c>
      <c r="J559">
        <v>786.48747500000002</v>
      </c>
      <c r="K559">
        <v>668.06820700000003</v>
      </c>
      <c r="L559">
        <v>0</v>
      </c>
      <c r="M559" t="s">
        <v>1047</v>
      </c>
      <c r="N559" t="s">
        <v>57</v>
      </c>
      <c r="O559" t="s">
        <v>58</v>
      </c>
      <c r="P559" t="s">
        <v>1048</v>
      </c>
      <c r="Q559" t="s">
        <v>1049</v>
      </c>
      <c r="R559" t="s">
        <v>61</v>
      </c>
      <c r="S559" t="s">
        <v>58</v>
      </c>
      <c r="T559" t="s">
        <v>1048</v>
      </c>
      <c r="U559" t="s">
        <v>1049</v>
      </c>
      <c r="V559" t="s">
        <v>56</v>
      </c>
      <c r="W559" t="s">
        <v>56</v>
      </c>
      <c r="X559" t="s">
        <v>56</v>
      </c>
      <c r="Y559" t="s">
        <v>62</v>
      </c>
      <c r="Z559" t="s">
        <v>63</v>
      </c>
      <c r="AA559" t="s">
        <v>64</v>
      </c>
      <c r="AB559">
        <v>1</v>
      </c>
      <c r="AC559" t="s">
        <v>84</v>
      </c>
      <c r="AD559" t="s">
        <v>66</v>
      </c>
      <c r="AE559" t="s">
        <v>67</v>
      </c>
      <c r="AF559" t="s">
        <v>68</v>
      </c>
      <c r="AG559">
        <v>119105.69</v>
      </c>
      <c r="AH559" t="s">
        <v>69</v>
      </c>
      <c r="AI559" t="s">
        <v>323</v>
      </c>
      <c r="AJ559" t="s">
        <v>359</v>
      </c>
      <c r="AK559" t="s">
        <v>72</v>
      </c>
      <c r="AL559" t="s">
        <v>73</v>
      </c>
      <c r="AM559" t="s">
        <v>73</v>
      </c>
      <c r="AN559" t="s">
        <v>74</v>
      </c>
    </row>
    <row r="560" spans="1:40" x14ac:dyDescent="0.25">
      <c r="A560" t="s">
        <v>766</v>
      </c>
      <c r="B560" t="s">
        <v>5</v>
      </c>
      <c r="C560">
        <v>560.22393999999997</v>
      </c>
      <c r="D560">
        <v>475.87255299999998</v>
      </c>
      <c r="E560" t="s">
        <v>56</v>
      </c>
      <c r="F560">
        <v>-16897.12</v>
      </c>
      <c r="G560" t="s">
        <v>766</v>
      </c>
      <c r="H560" t="s">
        <v>7</v>
      </c>
      <c r="I560">
        <v>19486.71</v>
      </c>
      <c r="J560">
        <v>794.65103399999998</v>
      </c>
      <c r="K560">
        <v>675.00260200000002</v>
      </c>
      <c r="L560">
        <v>0</v>
      </c>
      <c r="M560" t="s">
        <v>766</v>
      </c>
      <c r="N560" t="s">
        <v>57</v>
      </c>
      <c r="O560" t="s">
        <v>58</v>
      </c>
      <c r="P560" t="s">
        <v>767</v>
      </c>
      <c r="Q560" t="s">
        <v>768</v>
      </c>
      <c r="R560" t="s">
        <v>61</v>
      </c>
      <c r="S560" t="s">
        <v>58</v>
      </c>
      <c r="T560" t="s">
        <v>767</v>
      </c>
      <c r="U560" t="s">
        <v>768</v>
      </c>
      <c r="V560" t="s">
        <v>56</v>
      </c>
      <c r="W560" t="s">
        <v>56</v>
      </c>
      <c r="X560" t="s">
        <v>56</v>
      </c>
      <c r="Y560" t="s">
        <v>62</v>
      </c>
      <c r="Z560" t="s">
        <v>63</v>
      </c>
      <c r="AA560" t="s">
        <v>64</v>
      </c>
      <c r="AB560">
        <v>1</v>
      </c>
      <c r="AC560" t="s">
        <v>84</v>
      </c>
      <c r="AD560" t="s">
        <v>66</v>
      </c>
      <c r="AE560" t="s">
        <v>67</v>
      </c>
      <c r="AF560" t="s">
        <v>68</v>
      </c>
      <c r="AG560">
        <v>27490</v>
      </c>
      <c r="AH560" t="s">
        <v>69</v>
      </c>
      <c r="AI560" t="s">
        <v>220</v>
      </c>
      <c r="AJ560" t="s">
        <v>359</v>
      </c>
      <c r="AK560" t="s">
        <v>72</v>
      </c>
      <c r="AL560" t="s">
        <v>73</v>
      </c>
      <c r="AM560" t="s">
        <v>73</v>
      </c>
      <c r="AN560" t="s">
        <v>74</v>
      </c>
    </row>
    <row r="561" spans="1:40" x14ac:dyDescent="0.25">
      <c r="A561" t="s">
        <v>1225</v>
      </c>
      <c r="B561" t="s">
        <v>5</v>
      </c>
      <c r="C561" s="2">
        <v>559.47058700000002</v>
      </c>
      <c r="D561">
        <v>475.23263100000003</v>
      </c>
      <c r="E561" t="s">
        <v>56</v>
      </c>
      <c r="F561">
        <v>-30691.439999999999</v>
      </c>
      <c r="G561" t="s">
        <v>1225</v>
      </c>
      <c r="H561" t="s">
        <v>7</v>
      </c>
      <c r="I561">
        <v>35501.18</v>
      </c>
      <c r="J561">
        <v>0</v>
      </c>
      <c r="K561">
        <v>0</v>
      </c>
      <c r="L561">
        <v>0</v>
      </c>
      <c r="M561" t="s">
        <v>1225</v>
      </c>
      <c r="N561" t="s">
        <v>57</v>
      </c>
      <c r="O561" t="s">
        <v>58</v>
      </c>
      <c r="P561" t="s">
        <v>1226</v>
      </c>
      <c r="Q561" t="s">
        <v>1227</v>
      </c>
      <c r="R561" t="s">
        <v>61</v>
      </c>
      <c r="S561" t="s">
        <v>58</v>
      </c>
      <c r="T561" t="s">
        <v>1226</v>
      </c>
      <c r="U561" t="s">
        <v>1227</v>
      </c>
      <c r="V561" t="s">
        <v>56</v>
      </c>
      <c r="W561" t="s">
        <v>56</v>
      </c>
      <c r="X561" t="s">
        <v>56</v>
      </c>
      <c r="Y561" t="s">
        <v>62</v>
      </c>
      <c r="Z561" t="s">
        <v>63</v>
      </c>
      <c r="AA561" t="s">
        <v>64</v>
      </c>
      <c r="AB561">
        <v>1</v>
      </c>
      <c r="AC561" t="s">
        <v>84</v>
      </c>
      <c r="AD561" t="s">
        <v>66</v>
      </c>
      <c r="AE561" t="s">
        <v>67</v>
      </c>
      <c r="AF561" t="s">
        <v>68</v>
      </c>
      <c r="AG561">
        <v>0</v>
      </c>
      <c r="AH561" t="s">
        <v>69</v>
      </c>
      <c r="AI561" t="s">
        <v>208</v>
      </c>
      <c r="AJ561" t="s">
        <v>433</v>
      </c>
      <c r="AK561" t="s">
        <v>72</v>
      </c>
      <c r="AL561" t="s">
        <v>73</v>
      </c>
      <c r="AM561" t="s">
        <v>73</v>
      </c>
      <c r="AN561" t="s">
        <v>74</v>
      </c>
    </row>
    <row r="562" spans="1:40" x14ac:dyDescent="0.25">
      <c r="A562" t="s">
        <v>1605</v>
      </c>
      <c r="B562" t="s">
        <v>5</v>
      </c>
      <c r="C562">
        <v>559.47058700000002</v>
      </c>
      <c r="D562">
        <v>475.23263100000003</v>
      </c>
      <c r="E562" t="s">
        <v>56</v>
      </c>
      <c r="F562">
        <v>-30691.439999999999</v>
      </c>
      <c r="G562" t="s">
        <v>1605</v>
      </c>
      <c r="H562" t="s">
        <v>7</v>
      </c>
      <c r="I562">
        <v>35501.18</v>
      </c>
      <c r="J562">
        <v>795.99070099999994</v>
      </c>
      <c r="K562">
        <v>676.14055800000006</v>
      </c>
      <c r="L562">
        <v>0</v>
      </c>
      <c r="M562" t="s">
        <v>1605</v>
      </c>
      <c r="N562" t="s">
        <v>57</v>
      </c>
      <c r="O562" t="s">
        <v>58</v>
      </c>
      <c r="P562" t="s">
        <v>1606</v>
      </c>
      <c r="Q562" t="s">
        <v>1227</v>
      </c>
      <c r="R562" t="s">
        <v>61</v>
      </c>
      <c r="S562" t="s">
        <v>58</v>
      </c>
      <c r="T562" t="s">
        <v>1606</v>
      </c>
      <c r="U562" t="s">
        <v>1227</v>
      </c>
      <c r="V562" t="s">
        <v>56</v>
      </c>
      <c r="W562" t="s">
        <v>56</v>
      </c>
      <c r="X562" t="s">
        <v>56</v>
      </c>
      <c r="Y562" t="s">
        <v>62</v>
      </c>
      <c r="Z562" t="s">
        <v>63</v>
      </c>
      <c r="AA562" t="s">
        <v>64</v>
      </c>
      <c r="AB562">
        <v>1</v>
      </c>
      <c r="AC562" t="s">
        <v>84</v>
      </c>
      <c r="AD562" t="s">
        <v>66</v>
      </c>
      <c r="AE562" t="s">
        <v>67</v>
      </c>
      <c r="AF562" t="s">
        <v>68</v>
      </c>
      <c r="AG562">
        <v>49999.19</v>
      </c>
      <c r="AH562" t="s">
        <v>69</v>
      </c>
      <c r="AI562" t="s">
        <v>208</v>
      </c>
      <c r="AJ562" t="s">
        <v>433</v>
      </c>
      <c r="AK562" t="s">
        <v>72</v>
      </c>
      <c r="AL562" t="s">
        <v>73</v>
      </c>
      <c r="AM562" t="s">
        <v>73</v>
      </c>
      <c r="AN562" t="s">
        <v>74</v>
      </c>
    </row>
    <row r="563" spans="1:40" x14ac:dyDescent="0.25">
      <c r="A563" t="s">
        <v>389</v>
      </c>
      <c r="B563" t="s">
        <v>5</v>
      </c>
      <c r="C563" s="2">
        <v>558.77459599999997</v>
      </c>
      <c r="D563" t="s">
        <v>56</v>
      </c>
      <c r="E563" t="s">
        <v>56</v>
      </c>
      <c r="F563">
        <v>-6334.95</v>
      </c>
      <c r="G563" t="s">
        <v>389</v>
      </c>
      <c r="H563" t="s">
        <v>7</v>
      </c>
      <c r="I563">
        <v>8752.8799999999992</v>
      </c>
      <c r="J563">
        <v>0</v>
      </c>
      <c r="K563">
        <v>0</v>
      </c>
      <c r="L563">
        <v>0</v>
      </c>
      <c r="M563" t="s">
        <v>389</v>
      </c>
      <c r="N563" t="s">
        <v>57</v>
      </c>
      <c r="O563" t="s">
        <v>58</v>
      </c>
      <c r="P563" t="s">
        <v>390</v>
      </c>
      <c r="Q563" t="s">
        <v>391</v>
      </c>
      <c r="R563" t="s">
        <v>61</v>
      </c>
      <c r="S563" t="s">
        <v>58</v>
      </c>
      <c r="T563" t="s">
        <v>390</v>
      </c>
      <c r="U563" t="s">
        <v>391</v>
      </c>
      <c r="V563" t="s">
        <v>56</v>
      </c>
      <c r="W563" t="s">
        <v>56</v>
      </c>
      <c r="X563" t="s">
        <v>56</v>
      </c>
      <c r="Y563" t="s">
        <v>62</v>
      </c>
      <c r="Z563" t="s">
        <v>63</v>
      </c>
      <c r="AA563" t="s">
        <v>64</v>
      </c>
      <c r="AB563">
        <v>1</v>
      </c>
      <c r="AC563" t="s">
        <v>84</v>
      </c>
      <c r="AD563" t="s">
        <v>66</v>
      </c>
      <c r="AE563" t="s">
        <v>85</v>
      </c>
      <c r="AF563" t="s">
        <v>68</v>
      </c>
      <c r="AG563">
        <v>30815.41</v>
      </c>
      <c r="AH563" t="s">
        <v>69</v>
      </c>
      <c r="AI563" t="s">
        <v>168</v>
      </c>
      <c r="AJ563" t="s">
        <v>392</v>
      </c>
      <c r="AK563" t="s">
        <v>72</v>
      </c>
      <c r="AL563" t="s">
        <v>73</v>
      </c>
      <c r="AM563" t="s">
        <v>73</v>
      </c>
      <c r="AN563" t="s">
        <v>56</v>
      </c>
    </row>
    <row r="564" spans="1:40" x14ac:dyDescent="0.25">
      <c r="A564" t="s">
        <v>1293</v>
      </c>
      <c r="B564" t="s">
        <v>5</v>
      </c>
      <c r="C564">
        <v>557.57151199999998</v>
      </c>
      <c r="D564">
        <v>473.61949399999997</v>
      </c>
      <c r="E564" t="s">
        <v>56</v>
      </c>
      <c r="F564">
        <v>-26079.27</v>
      </c>
      <c r="G564" t="s">
        <v>1293</v>
      </c>
      <c r="H564" t="s">
        <v>7</v>
      </c>
      <c r="I564">
        <v>29767.439999999999</v>
      </c>
      <c r="J564">
        <v>782.79582500000004</v>
      </c>
      <c r="K564">
        <v>664.93239900000003</v>
      </c>
      <c r="L564">
        <v>0</v>
      </c>
      <c r="M564" t="s">
        <v>1293</v>
      </c>
      <c r="N564" t="s">
        <v>57</v>
      </c>
      <c r="O564" t="s">
        <v>58</v>
      </c>
      <c r="P564" t="s">
        <v>1294</v>
      </c>
      <c r="Q564" t="s">
        <v>1295</v>
      </c>
      <c r="R564" t="s">
        <v>61</v>
      </c>
      <c r="S564" t="s">
        <v>58</v>
      </c>
      <c r="T564" t="s">
        <v>1294</v>
      </c>
      <c r="U564" t="s">
        <v>1295</v>
      </c>
      <c r="V564" t="s">
        <v>56</v>
      </c>
      <c r="W564" t="s">
        <v>56</v>
      </c>
      <c r="X564" t="s">
        <v>56</v>
      </c>
      <c r="Y564" t="s">
        <v>62</v>
      </c>
      <c r="Z564" t="s">
        <v>63</v>
      </c>
      <c r="AA564" t="s">
        <v>64</v>
      </c>
      <c r="AB564">
        <v>1</v>
      </c>
      <c r="AC564" t="s">
        <v>84</v>
      </c>
      <c r="AD564" t="s">
        <v>66</v>
      </c>
      <c r="AE564" t="s">
        <v>67</v>
      </c>
      <c r="AF564" t="s">
        <v>103</v>
      </c>
      <c r="AG564">
        <v>42630.32</v>
      </c>
      <c r="AH564" t="s">
        <v>69</v>
      </c>
      <c r="AI564" t="s">
        <v>536</v>
      </c>
      <c r="AJ564" t="s">
        <v>470</v>
      </c>
      <c r="AK564" t="s">
        <v>72</v>
      </c>
      <c r="AL564" t="s">
        <v>73</v>
      </c>
      <c r="AM564" t="s">
        <v>73</v>
      </c>
      <c r="AN564" t="s">
        <v>74</v>
      </c>
    </row>
    <row r="565" spans="1:40" x14ac:dyDescent="0.25">
      <c r="A565" t="s">
        <v>2460</v>
      </c>
      <c r="B565" t="s">
        <v>5</v>
      </c>
      <c r="C565">
        <v>556.76547000000005</v>
      </c>
      <c r="D565">
        <v>472.93481500000001</v>
      </c>
      <c r="E565" t="s">
        <v>56</v>
      </c>
      <c r="F565">
        <v>-16790.62</v>
      </c>
      <c r="G565" t="s">
        <v>2460</v>
      </c>
      <c r="H565" t="s">
        <v>7</v>
      </c>
      <c r="I565">
        <v>20105.599999999999</v>
      </c>
      <c r="J565">
        <v>820.01389500000005</v>
      </c>
      <c r="K565">
        <v>696.54664600000001</v>
      </c>
      <c r="L565">
        <v>0</v>
      </c>
      <c r="M565" t="s">
        <v>2460</v>
      </c>
      <c r="N565" t="s">
        <v>57</v>
      </c>
      <c r="O565" t="s">
        <v>58</v>
      </c>
      <c r="P565" t="s">
        <v>2461</v>
      </c>
      <c r="Q565" t="s">
        <v>819</v>
      </c>
      <c r="R565" t="s">
        <v>61</v>
      </c>
      <c r="S565" t="s">
        <v>58</v>
      </c>
      <c r="T565" t="s">
        <v>2461</v>
      </c>
      <c r="U565" t="s">
        <v>819</v>
      </c>
      <c r="V565" t="s">
        <v>56</v>
      </c>
      <c r="W565" t="s">
        <v>56</v>
      </c>
      <c r="X565" t="s">
        <v>56</v>
      </c>
      <c r="Y565" t="s">
        <v>62</v>
      </c>
      <c r="Z565" t="s">
        <v>63</v>
      </c>
      <c r="AA565" t="s">
        <v>64</v>
      </c>
      <c r="AB565">
        <v>1</v>
      </c>
      <c r="AC565" t="s">
        <v>147</v>
      </c>
      <c r="AD565" t="s">
        <v>66</v>
      </c>
      <c r="AE565" t="s">
        <v>67</v>
      </c>
      <c r="AF565" t="s">
        <v>68</v>
      </c>
      <c r="AG565">
        <v>27486.41</v>
      </c>
      <c r="AH565" t="s">
        <v>69</v>
      </c>
      <c r="AI565" t="s">
        <v>536</v>
      </c>
      <c r="AJ565" t="s">
        <v>105</v>
      </c>
      <c r="AK565" t="s">
        <v>72</v>
      </c>
      <c r="AL565" t="s">
        <v>73</v>
      </c>
      <c r="AM565" t="s">
        <v>73</v>
      </c>
      <c r="AN565" t="s">
        <v>74</v>
      </c>
    </row>
    <row r="566" spans="1:40" x14ac:dyDescent="0.25">
      <c r="A566" t="s">
        <v>817</v>
      </c>
      <c r="B566" t="s">
        <v>5</v>
      </c>
      <c r="C566">
        <v>556.76098500000001</v>
      </c>
      <c r="D566">
        <v>472.93100600000002</v>
      </c>
      <c r="E566" t="s">
        <v>56</v>
      </c>
      <c r="F566">
        <v>-21374.2</v>
      </c>
      <c r="G566" t="s">
        <v>817</v>
      </c>
      <c r="H566" t="s">
        <v>7</v>
      </c>
      <c r="I566">
        <v>25594.17</v>
      </c>
      <c r="J566">
        <v>820.01725799999997</v>
      </c>
      <c r="K566">
        <v>696.54950299999996</v>
      </c>
      <c r="L566">
        <v>0</v>
      </c>
      <c r="M566" t="s">
        <v>817</v>
      </c>
      <c r="N566" t="s">
        <v>57</v>
      </c>
      <c r="O566" t="s">
        <v>58</v>
      </c>
      <c r="P566" t="s">
        <v>818</v>
      </c>
      <c r="Q566" t="s">
        <v>819</v>
      </c>
      <c r="R566" t="s">
        <v>61</v>
      </c>
      <c r="S566" t="s">
        <v>58</v>
      </c>
      <c r="T566" t="s">
        <v>818</v>
      </c>
      <c r="U566" t="s">
        <v>819</v>
      </c>
      <c r="V566" t="s">
        <v>56</v>
      </c>
      <c r="W566" t="s">
        <v>56</v>
      </c>
      <c r="X566" t="s">
        <v>56</v>
      </c>
      <c r="Y566" t="s">
        <v>62</v>
      </c>
      <c r="Z566" t="s">
        <v>63</v>
      </c>
      <c r="AA566" t="s">
        <v>64</v>
      </c>
      <c r="AB566">
        <v>1</v>
      </c>
      <c r="AC566" t="s">
        <v>147</v>
      </c>
      <c r="AD566" t="s">
        <v>66</v>
      </c>
      <c r="AE566" t="s">
        <v>67</v>
      </c>
      <c r="AF566" t="s">
        <v>68</v>
      </c>
      <c r="AG566">
        <v>34990.06</v>
      </c>
      <c r="AH566" t="s">
        <v>69</v>
      </c>
      <c r="AI566" t="s">
        <v>297</v>
      </c>
      <c r="AJ566" t="s">
        <v>105</v>
      </c>
      <c r="AK566" t="s">
        <v>72</v>
      </c>
      <c r="AL566" t="s">
        <v>73</v>
      </c>
      <c r="AM566" t="s">
        <v>73</v>
      </c>
      <c r="AN566" t="s">
        <v>74</v>
      </c>
    </row>
    <row r="567" spans="1:40" x14ac:dyDescent="0.25">
      <c r="A567" t="s">
        <v>1347</v>
      </c>
      <c r="B567" t="s">
        <v>5</v>
      </c>
      <c r="C567">
        <v>556.75762199999997</v>
      </c>
      <c r="D567">
        <v>472.92815000000002</v>
      </c>
      <c r="E567" t="s">
        <v>56</v>
      </c>
      <c r="F567">
        <v>-16798.099999999999</v>
      </c>
      <c r="G567" t="s">
        <v>1347</v>
      </c>
      <c r="H567" t="s">
        <v>7</v>
      </c>
      <c r="I567">
        <v>20114.61</v>
      </c>
      <c r="J567">
        <v>819.99259500000005</v>
      </c>
      <c r="K567">
        <v>696.52855299999999</v>
      </c>
      <c r="L567">
        <v>0</v>
      </c>
      <c r="M567" t="s">
        <v>1347</v>
      </c>
      <c r="N567" t="s">
        <v>57</v>
      </c>
      <c r="O567" t="s">
        <v>58</v>
      </c>
      <c r="P567" t="s">
        <v>1348</v>
      </c>
      <c r="Q567" t="s">
        <v>819</v>
      </c>
      <c r="R567" t="s">
        <v>61</v>
      </c>
      <c r="S567" t="s">
        <v>58</v>
      </c>
      <c r="T567" t="s">
        <v>1348</v>
      </c>
      <c r="U567" t="s">
        <v>819</v>
      </c>
      <c r="V567" t="s">
        <v>56</v>
      </c>
      <c r="W567" t="s">
        <v>56</v>
      </c>
      <c r="X567" t="s">
        <v>56</v>
      </c>
      <c r="Y567" t="s">
        <v>62</v>
      </c>
      <c r="Z567" t="s">
        <v>63</v>
      </c>
      <c r="AA567" t="s">
        <v>64</v>
      </c>
      <c r="AB567">
        <v>1</v>
      </c>
      <c r="AC567" t="s">
        <v>147</v>
      </c>
      <c r="AD567" t="s">
        <v>66</v>
      </c>
      <c r="AE567" t="s">
        <v>67</v>
      </c>
      <c r="AF567" t="s">
        <v>68</v>
      </c>
      <c r="AG567">
        <v>27499.02</v>
      </c>
      <c r="AH567" t="s">
        <v>69</v>
      </c>
      <c r="AI567" t="s">
        <v>186</v>
      </c>
      <c r="AJ567" t="s">
        <v>105</v>
      </c>
      <c r="AK567" t="s">
        <v>72</v>
      </c>
      <c r="AL567" t="s">
        <v>73</v>
      </c>
      <c r="AM567" t="s">
        <v>73</v>
      </c>
      <c r="AN567" t="s">
        <v>74</v>
      </c>
    </row>
    <row r="568" spans="1:40" x14ac:dyDescent="0.25">
      <c r="A568" t="s">
        <v>1928</v>
      </c>
      <c r="B568" t="s">
        <v>5</v>
      </c>
      <c r="C568">
        <v>556.05696</v>
      </c>
      <c r="D568">
        <v>472.33298400000001</v>
      </c>
      <c r="E568" t="s">
        <v>56</v>
      </c>
      <c r="F568">
        <v>-22806.58</v>
      </c>
      <c r="G568" t="s">
        <v>1928</v>
      </c>
      <c r="H568" t="s">
        <v>7</v>
      </c>
      <c r="I568">
        <v>27282.09</v>
      </c>
      <c r="J568">
        <v>818.167509</v>
      </c>
      <c r="K568">
        <v>694.97826499999996</v>
      </c>
      <c r="L568">
        <v>0</v>
      </c>
      <c r="M568" t="s">
        <v>1928</v>
      </c>
      <c r="N568" t="s">
        <v>57</v>
      </c>
      <c r="O568" t="s">
        <v>58</v>
      </c>
      <c r="P568" t="s">
        <v>1929</v>
      </c>
      <c r="Q568" t="s">
        <v>1930</v>
      </c>
      <c r="R568" t="s">
        <v>61</v>
      </c>
      <c r="S568" t="s">
        <v>58</v>
      </c>
      <c r="T568" t="s">
        <v>1929</v>
      </c>
      <c r="U568" t="s">
        <v>1930</v>
      </c>
      <c r="V568" t="s">
        <v>56</v>
      </c>
      <c r="W568" t="s">
        <v>56</v>
      </c>
      <c r="X568" t="s">
        <v>56</v>
      </c>
      <c r="Y568" t="s">
        <v>62</v>
      </c>
      <c r="Z568" t="s">
        <v>63</v>
      </c>
      <c r="AA568" t="s">
        <v>64</v>
      </c>
      <c r="AB568">
        <v>1</v>
      </c>
      <c r="AC568" t="s">
        <v>65</v>
      </c>
      <c r="AD568" t="s">
        <v>66</v>
      </c>
      <c r="AE568" t="s">
        <v>67</v>
      </c>
      <c r="AF568" t="s">
        <v>68</v>
      </c>
      <c r="AG568">
        <v>37382.11</v>
      </c>
      <c r="AH568" t="s">
        <v>69</v>
      </c>
      <c r="AI568" t="s">
        <v>104</v>
      </c>
      <c r="AJ568" t="s">
        <v>477</v>
      </c>
      <c r="AK568" t="s">
        <v>72</v>
      </c>
      <c r="AL568" t="s">
        <v>73</v>
      </c>
      <c r="AM568" t="s">
        <v>73</v>
      </c>
      <c r="AN568" t="s">
        <v>74</v>
      </c>
    </row>
    <row r="569" spans="1:40" x14ac:dyDescent="0.25">
      <c r="A569" t="s">
        <v>408</v>
      </c>
      <c r="B569" t="s">
        <v>5</v>
      </c>
      <c r="C569">
        <v>555.97400100000004</v>
      </c>
      <c r="D569">
        <v>472.26251600000001</v>
      </c>
      <c r="E569" t="s">
        <v>56</v>
      </c>
      <c r="F569">
        <v>-16774.43</v>
      </c>
      <c r="G569" t="s">
        <v>408</v>
      </c>
      <c r="H569" t="s">
        <v>7</v>
      </c>
      <c r="I569">
        <v>20093.72</v>
      </c>
      <c r="J569">
        <v>819.13722600000006</v>
      </c>
      <c r="K569">
        <v>695.80197499999997</v>
      </c>
      <c r="L569">
        <v>0</v>
      </c>
      <c r="M569" t="s">
        <v>408</v>
      </c>
      <c r="N569" t="s">
        <v>57</v>
      </c>
      <c r="O569" t="s">
        <v>58</v>
      </c>
      <c r="P569" t="s">
        <v>409</v>
      </c>
      <c r="Q569" t="s">
        <v>410</v>
      </c>
      <c r="R569" t="s">
        <v>61</v>
      </c>
      <c r="S569" t="s">
        <v>58</v>
      </c>
      <c r="T569" t="s">
        <v>409</v>
      </c>
      <c r="U569" t="s">
        <v>410</v>
      </c>
      <c r="V569" t="s">
        <v>56</v>
      </c>
      <c r="W569" t="s">
        <v>56</v>
      </c>
      <c r="X569" t="s">
        <v>56</v>
      </c>
      <c r="Y569" t="s">
        <v>62</v>
      </c>
      <c r="Z569" t="s">
        <v>63</v>
      </c>
      <c r="AA569" t="s">
        <v>64</v>
      </c>
      <c r="AB569">
        <v>1</v>
      </c>
      <c r="AC569" t="s">
        <v>120</v>
      </c>
      <c r="AD569" t="s">
        <v>66</v>
      </c>
      <c r="AE569" t="s">
        <v>67</v>
      </c>
      <c r="AF569" t="s">
        <v>68</v>
      </c>
      <c r="AG569">
        <v>27499</v>
      </c>
      <c r="AH569" t="s">
        <v>69</v>
      </c>
      <c r="AI569" t="s">
        <v>186</v>
      </c>
      <c r="AJ569" t="s">
        <v>105</v>
      </c>
      <c r="AK569" t="s">
        <v>72</v>
      </c>
      <c r="AL569" t="s">
        <v>73</v>
      </c>
      <c r="AM569" t="s">
        <v>73</v>
      </c>
      <c r="AN569" t="s">
        <v>74</v>
      </c>
    </row>
    <row r="570" spans="1:40" x14ac:dyDescent="0.25">
      <c r="A570" t="s">
        <v>1531</v>
      </c>
      <c r="B570" t="s">
        <v>5</v>
      </c>
      <c r="C570">
        <v>555.83386900000005</v>
      </c>
      <c r="D570">
        <v>472.143483</v>
      </c>
      <c r="E570" t="s">
        <v>56</v>
      </c>
      <c r="F570">
        <v>-19204.11</v>
      </c>
      <c r="G570" t="s">
        <v>1531</v>
      </c>
      <c r="H570" t="s">
        <v>7</v>
      </c>
      <c r="I570">
        <v>20522.91</v>
      </c>
      <c r="J570">
        <v>730.59254599999997</v>
      </c>
      <c r="K570">
        <v>620.58922500000006</v>
      </c>
      <c r="L570">
        <v>0</v>
      </c>
      <c r="M570" t="s">
        <v>1531</v>
      </c>
      <c r="N570" t="s">
        <v>57</v>
      </c>
      <c r="O570" t="s">
        <v>58</v>
      </c>
      <c r="P570" t="s">
        <v>1532</v>
      </c>
      <c r="Q570" t="s">
        <v>1533</v>
      </c>
      <c r="R570" t="s">
        <v>61</v>
      </c>
      <c r="S570" t="s">
        <v>58</v>
      </c>
      <c r="T570" t="s">
        <v>1532</v>
      </c>
      <c r="U570" t="s">
        <v>1533</v>
      </c>
      <c r="V570" t="s">
        <v>56</v>
      </c>
      <c r="W570" t="s">
        <v>56</v>
      </c>
      <c r="X570" t="s">
        <v>56</v>
      </c>
      <c r="Y570" t="s">
        <v>62</v>
      </c>
      <c r="Z570" t="s">
        <v>63</v>
      </c>
      <c r="AA570" t="s">
        <v>64</v>
      </c>
      <c r="AB570">
        <v>1</v>
      </c>
      <c r="AC570" t="s">
        <v>78</v>
      </c>
      <c r="AD570" t="s">
        <v>66</v>
      </c>
      <c r="AE570" t="s">
        <v>67</v>
      </c>
      <c r="AF570" t="s">
        <v>68</v>
      </c>
      <c r="AG570">
        <v>31490</v>
      </c>
      <c r="AH570" t="s">
        <v>69</v>
      </c>
      <c r="AI570" t="s">
        <v>186</v>
      </c>
      <c r="AJ570" t="s">
        <v>359</v>
      </c>
      <c r="AK570" t="s">
        <v>280</v>
      </c>
      <c r="AL570" t="s">
        <v>73</v>
      </c>
      <c r="AM570" t="s">
        <v>73</v>
      </c>
      <c r="AN570" t="s">
        <v>74</v>
      </c>
    </row>
    <row r="571" spans="1:40" x14ac:dyDescent="0.25">
      <c r="A571" t="s">
        <v>309</v>
      </c>
      <c r="B571" t="s">
        <v>5</v>
      </c>
      <c r="C571">
        <v>555.51324599999998</v>
      </c>
      <c r="D571">
        <v>471.87113499999998</v>
      </c>
      <c r="E571" t="s">
        <v>56</v>
      </c>
      <c r="F571">
        <v>-24283.21</v>
      </c>
      <c r="G571" t="s">
        <v>309</v>
      </c>
      <c r="H571" t="s">
        <v>7</v>
      </c>
      <c r="I571">
        <v>27734.45</v>
      </c>
      <c r="J571">
        <v>780.38890900000001</v>
      </c>
      <c r="K571">
        <v>662.88788599999998</v>
      </c>
      <c r="L571">
        <v>0</v>
      </c>
      <c r="M571" t="s">
        <v>309</v>
      </c>
      <c r="N571" t="s">
        <v>57</v>
      </c>
      <c r="O571" t="s">
        <v>58</v>
      </c>
      <c r="P571" t="s">
        <v>310</v>
      </c>
      <c r="Q571" t="s">
        <v>311</v>
      </c>
      <c r="R571" t="s">
        <v>61</v>
      </c>
      <c r="S571" t="s">
        <v>58</v>
      </c>
      <c r="T571" t="s">
        <v>310</v>
      </c>
      <c r="U571" t="s">
        <v>311</v>
      </c>
      <c r="V571" t="s">
        <v>56</v>
      </c>
      <c r="W571" t="s">
        <v>56</v>
      </c>
      <c r="X571" t="s">
        <v>56</v>
      </c>
      <c r="Y571" t="s">
        <v>62</v>
      </c>
      <c r="Z571" t="s">
        <v>63</v>
      </c>
      <c r="AA571" t="s">
        <v>64</v>
      </c>
      <c r="AB571">
        <v>1</v>
      </c>
      <c r="AC571" t="s">
        <v>84</v>
      </c>
      <c r="AD571" t="s">
        <v>66</v>
      </c>
      <c r="AE571" t="s">
        <v>67</v>
      </c>
      <c r="AF571" t="s">
        <v>68</v>
      </c>
      <c r="AG571">
        <v>39841.42</v>
      </c>
      <c r="AH571" t="s">
        <v>69</v>
      </c>
      <c r="AI571" t="s">
        <v>114</v>
      </c>
      <c r="AJ571" t="s">
        <v>138</v>
      </c>
      <c r="AK571" t="s">
        <v>72</v>
      </c>
      <c r="AL571" t="s">
        <v>73</v>
      </c>
      <c r="AM571" t="s">
        <v>73</v>
      </c>
      <c r="AN571" t="s">
        <v>74</v>
      </c>
    </row>
    <row r="572" spans="1:40" x14ac:dyDescent="0.25">
      <c r="A572" t="s">
        <v>1887</v>
      </c>
      <c r="B572" t="s">
        <v>5</v>
      </c>
      <c r="C572">
        <v>553.06547699999999</v>
      </c>
      <c r="D572">
        <v>619.78103299999998</v>
      </c>
      <c r="E572" t="s">
        <v>56</v>
      </c>
      <c r="F572">
        <v>-32817.69</v>
      </c>
      <c r="G572" t="s">
        <v>1887</v>
      </c>
      <c r="H572" t="s">
        <v>7</v>
      </c>
      <c r="I572">
        <v>36480.080000000002</v>
      </c>
      <c r="J572">
        <v>871.80238199999997</v>
      </c>
      <c r="K572">
        <v>740.53748199999995</v>
      </c>
      <c r="L572">
        <v>0</v>
      </c>
      <c r="M572" t="s">
        <v>1887</v>
      </c>
      <c r="N572" t="s">
        <v>57</v>
      </c>
      <c r="O572" t="s">
        <v>58</v>
      </c>
      <c r="P572" t="s">
        <v>1888</v>
      </c>
      <c r="Q572" t="s">
        <v>1889</v>
      </c>
      <c r="R572" t="s">
        <v>61</v>
      </c>
      <c r="S572" t="s">
        <v>58</v>
      </c>
      <c r="T572" t="s">
        <v>1888</v>
      </c>
      <c r="U572" t="s">
        <v>1889</v>
      </c>
      <c r="V572" t="s">
        <v>56</v>
      </c>
      <c r="W572" t="s">
        <v>56</v>
      </c>
      <c r="X572" t="s">
        <v>56</v>
      </c>
      <c r="Y572" t="s">
        <v>62</v>
      </c>
      <c r="Z572" t="s">
        <v>63</v>
      </c>
      <c r="AA572" t="s">
        <v>64</v>
      </c>
      <c r="AB572">
        <v>1</v>
      </c>
      <c r="AC572" t="s">
        <v>84</v>
      </c>
      <c r="AD572" t="s">
        <v>66</v>
      </c>
      <c r="AE572" t="s">
        <v>67</v>
      </c>
      <c r="AF572" t="s">
        <v>68</v>
      </c>
      <c r="AG572">
        <v>46910.57</v>
      </c>
      <c r="AH572" t="s">
        <v>69</v>
      </c>
      <c r="AI572" t="s">
        <v>114</v>
      </c>
      <c r="AJ572" t="s">
        <v>293</v>
      </c>
      <c r="AK572" t="s">
        <v>72</v>
      </c>
      <c r="AL572" t="s">
        <v>73</v>
      </c>
      <c r="AM572" t="s">
        <v>73</v>
      </c>
      <c r="AN572" t="s">
        <v>74</v>
      </c>
    </row>
    <row r="573" spans="1:40" x14ac:dyDescent="0.25">
      <c r="A573" t="s">
        <v>2060</v>
      </c>
      <c r="B573" t="s">
        <v>5</v>
      </c>
      <c r="C573">
        <v>551.008827</v>
      </c>
      <c r="D573">
        <v>468.04493400000001</v>
      </c>
      <c r="E573" t="s">
        <v>56</v>
      </c>
      <c r="F573">
        <v>-23473.17</v>
      </c>
      <c r="G573" t="s">
        <v>2060</v>
      </c>
      <c r="H573" t="s">
        <v>7</v>
      </c>
      <c r="I573">
        <v>27162.15</v>
      </c>
      <c r="J573">
        <v>784.25320299999998</v>
      </c>
      <c r="K573">
        <v>666.170343</v>
      </c>
      <c r="L573">
        <v>0</v>
      </c>
      <c r="M573" t="s">
        <v>2060</v>
      </c>
      <c r="N573" t="s">
        <v>57</v>
      </c>
      <c r="O573" t="s">
        <v>58</v>
      </c>
      <c r="P573" t="s">
        <v>2061</v>
      </c>
      <c r="Q573" t="s">
        <v>2062</v>
      </c>
      <c r="R573" t="s">
        <v>61</v>
      </c>
      <c r="S573" t="s">
        <v>58</v>
      </c>
      <c r="T573" t="s">
        <v>2061</v>
      </c>
      <c r="U573" t="s">
        <v>2062</v>
      </c>
      <c r="V573" t="s">
        <v>56</v>
      </c>
      <c r="W573" t="s">
        <v>56</v>
      </c>
      <c r="X573" t="s">
        <v>56</v>
      </c>
      <c r="Y573" t="s">
        <v>62</v>
      </c>
      <c r="Z573" t="s">
        <v>63</v>
      </c>
      <c r="AA573" t="s">
        <v>64</v>
      </c>
      <c r="AB573">
        <v>1</v>
      </c>
      <c r="AC573" t="s">
        <v>78</v>
      </c>
      <c r="AD573" t="s">
        <v>66</v>
      </c>
      <c r="AE573" t="s">
        <v>67</v>
      </c>
      <c r="AF573" t="s">
        <v>68</v>
      </c>
      <c r="AG573">
        <v>38827.22</v>
      </c>
      <c r="AH573" t="s">
        <v>69</v>
      </c>
      <c r="AI573" t="s">
        <v>114</v>
      </c>
      <c r="AJ573" t="s">
        <v>485</v>
      </c>
      <c r="AK573" t="s">
        <v>72</v>
      </c>
      <c r="AL573" t="s">
        <v>73</v>
      </c>
      <c r="AM573" t="s">
        <v>73</v>
      </c>
      <c r="AN573" t="s">
        <v>74</v>
      </c>
    </row>
    <row r="574" spans="1:40" x14ac:dyDescent="0.25">
      <c r="A574" t="s">
        <v>2009</v>
      </c>
      <c r="B574" t="s">
        <v>5</v>
      </c>
      <c r="C574">
        <v>549.68597599999998</v>
      </c>
      <c r="D574">
        <v>466.92126200000001</v>
      </c>
      <c r="E574" t="s">
        <v>56</v>
      </c>
      <c r="F574">
        <v>-24516.39</v>
      </c>
      <c r="G574" t="s">
        <v>2009</v>
      </c>
      <c r="H574" t="s">
        <v>7</v>
      </c>
      <c r="I574">
        <v>30801.16</v>
      </c>
      <c r="J574">
        <v>690.59536800000001</v>
      </c>
      <c r="K574">
        <v>586.61431200000004</v>
      </c>
      <c r="L574">
        <v>0</v>
      </c>
      <c r="M574" t="s">
        <v>2009</v>
      </c>
      <c r="N574" t="s">
        <v>57</v>
      </c>
      <c r="O574" t="s">
        <v>58</v>
      </c>
      <c r="P574" t="s">
        <v>2010</v>
      </c>
      <c r="Q574" t="s">
        <v>2011</v>
      </c>
      <c r="R574" t="s">
        <v>61</v>
      </c>
      <c r="S574" t="s">
        <v>58</v>
      </c>
      <c r="T574" t="s">
        <v>2010</v>
      </c>
      <c r="U574" t="s">
        <v>2011</v>
      </c>
      <c r="V574" t="s">
        <v>56</v>
      </c>
      <c r="W574" t="s">
        <v>56</v>
      </c>
      <c r="X574" t="s">
        <v>56</v>
      </c>
      <c r="Y574" t="s">
        <v>62</v>
      </c>
      <c r="Z574" t="s">
        <v>63</v>
      </c>
      <c r="AA574" t="s">
        <v>64</v>
      </c>
      <c r="AB574">
        <v>1</v>
      </c>
      <c r="AC574" t="s">
        <v>78</v>
      </c>
      <c r="AD574" t="s">
        <v>66</v>
      </c>
      <c r="AE574" t="s">
        <v>67</v>
      </c>
      <c r="AF574" t="s">
        <v>68</v>
      </c>
      <c r="AG574">
        <v>50000</v>
      </c>
      <c r="AH574" t="s">
        <v>69</v>
      </c>
      <c r="AI574" t="s">
        <v>278</v>
      </c>
      <c r="AJ574" t="s">
        <v>833</v>
      </c>
      <c r="AK574" t="s">
        <v>99</v>
      </c>
      <c r="AL574" t="s">
        <v>73</v>
      </c>
      <c r="AM574" t="s">
        <v>73</v>
      </c>
      <c r="AN574" t="s">
        <v>74</v>
      </c>
    </row>
    <row r="575" spans="1:40" x14ac:dyDescent="0.25">
      <c r="A575" t="s">
        <v>1330</v>
      </c>
      <c r="B575" t="s">
        <v>5</v>
      </c>
      <c r="C575">
        <v>549.16078900000002</v>
      </c>
      <c r="D575">
        <v>701.27850100000001</v>
      </c>
      <c r="E575" t="s">
        <v>56</v>
      </c>
      <c r="F575">
        <v>-58746.81</v>
      </c>
      <c r="G575" t="s">
        <v>1330</v>
      </c>
      <c r="H575" t="s">
        <v>7</v>
      </c>
      <c r="I575">
        <v>68512.160000000003</v>
      </c>
      <c r="J575">
        <v>787.749865</v>
      </c>
      <c r="K575">
        <v>1005.956827</v>
      </c>
      <c r="L575">
        <v>0</v>
      </c>
      <c r="M575" t="s">
        <v>1330</v>
      </c>
      <c r="N575" t="s">
        <v>57</v>
      </c>
      <c r="O575" t="s">
        <v>58</v>
      </c>
      <c r="P575" t="s">
        <v>1331</v>
      </c>
      <c r="Q575" t="s">
        <v>223</v>
      </c>
      <c r="R575" t="s">
        <v>61</v>
      </c>
      <c r="S575" t="s">
        <v>58</v>
      </c>
      <c r="T575" t="s">
        <v>1331</v>
      </c>
      <c r="U575" t="s">
        <v>223</v>
      </c>
      <c r="V575" t="s">
        <v>56</v>
      </c>
      <c r="W575" t="s">
        <v>56</v>
      </c>
      <c r="X575" t="s">
        <v>56</v>
      </c>
      <c r="Y575" t="s">
        <v>62</v>
      </c>
      <c r="Z575" t="s">
        <v>63</v>
      </c>
      <c r="AA575" t="s">
        <v>64</v>
      </c>
      <c r="AB575">
        <v>1</v>
      </c>
      <c r="AC575" t="s">
        <v>147</v>
      </c>
      <c r="AD575" t="s">
        <v>66</v>
      </c>
      <c r="AE575" t="s">
        <v>121</v>
      </c>
      <c r="AF575" t="s">
        <v>68</v>
      </c>
      <c r="AG575">
        <v>82619.210000000006</v>
      </c>
      <c r="AH575" t="s">
        <v>69</v>
      </c>
      <c r="AI575" t="s">
        <v>176</v>
      </c>
      <c r="AJ575" t="s">
        <v>93</v>
      </c>
      <c r="AK575" t="s">
        <v>72</v>
      </c>
      <c r="AL575" t="s">
        <v>73</v>
      </c>
      <c r="AM575" t="s">
        <v>73</v>
      </c>
      <c r="AN575" t="s">
        <v>124</v>
      </c>
    </row>
    <row r="576" spans="1:40" x14ac:dyDescent="0.25">
      <c r="A576" t="s">
        <v>2033</v>
      </c>
      <c r="B576" t="s">
        <v>5</v>
      </c>
      <c r="C576">
        <v>548.52007300000002</v>
      </c>
      <c r="D576">
        <v>465.93090599999999</v>
      </c>
      <c r="E576" t="s">
        <v>56</v>
      </c>
      <c r="F576">
        <v>-22622.63</v>
      </c>
      <c r="G576" t="s">
        <v>2033</v>
      </c>
      <c r="H576" t="s">
        <v>7</v>
      </c>
      <c r="I576">
        <v>24714.59</v>
      </c>
      <c r="J576">
        <v>737.05433600000003</v>
      </c>
      <c r="K576">
        <v>626.07808</v>
      </c>
      <c r="L576">
        <v>0</v>
      </c>
      <c r="M576" t="s">
        <v>2033</v>
      </c>
      <c r="N576" t="s">
        <v>57</v>
      </c>
      <c r="O576" t="s">
        <v>58</v>
      </c>
      <c r="P576" t="s">
        <v>2034</v>
      </c>
      <c r="Q576" t="s">
        <v>2035</v>
      </c>
      <c r="R576" t="s">
        <v>61</v>
      </c>
      <c r="S576" t="s">
        <v>58</v>
      </c>
      <c r="T576" t="s">
        <v>2034</v>
      </c>
      <c r="U576" t="s">
        <v>2035</v>
      </c>
      <c r="V576" t="s">
        <v>56</v>
      </c>
      <c r="W576" t="s">
        <v>56</v>
      </c>
      <c r="X576" t="s">
        <v>56</v>
      </c>
      <c r="Y576" t="s">
        <v>62</v>
      </c>
      <c r="Z576" t="s">
        <v>63</v>
      </c>
      <c r="AA576" t="s">
        <v>64</v>
      </c>
      <c r="AB576">
        <v>1</v>
      </c>
      <c r="AC576" t="s">
        <v>78</v>
      </c>
      <c r="AD576" t="s">
        <v>66</v>
      </c>
      <c r="AE576" t="s">
        <v>67</v>
      </c>
      <c r="AF576" t="s">
        <v>68</v>
      </c>
      <c r="AG576">
        <v>37590.17</v>
      </c>
      <c r="AH576" t="s">
        <v>69</v>
      </c>
      <c r="AI576" t="s">
        <v>269</v>
      </c>
      <c r="AJ576" t="s">
        <v>470</v>
      </c>
      <c r="AK576" t="s">
        <v>72</v>
      </c>
      <c r="AL576" t="s">
        <v>73</v>
      </c>
      <c r="AM576" t="s">
        <v>73</v>
      </c>
      <c r="AN576" t="s">
        <v>74</v>
      </c>
    </row>
    <row r="577" spans="1:40" x14ac:dyDescent="0.25">
      <c r="A577" t="s">
        <v>1896</v>
      </c>
      <c r="B577" t="s">
        <v>5</v>
      </c>
      <c r="C577">
        <v>548.08734400000003</v>
      </c>
      <c r="D577">
        <v>465.563332</v>
      </c>
      <c r="E577" t="s">
        <v>56</v>
      </c>
      <c r="F577">
        <v>-30051.56</v>
      </c>
      <c r="G577" t="s">
        <v>1896</v>
      </c>
      <c r="H577" t="s">
        <v>7</v>
      </c>
      <c r="I577">
        <v>33953.019999999997</v>
      </c>
      <c r="J577">
        <v>761.67729699999995</v>
      </c>
      <c r="K577">
        <v>646.99363000000005</v>
      </c>
      <c r="L577">
        <v>0</v>
      </c>
      <c r="M577" t="s">
        <v>1896</v>
      </c>
      <c r="N577" t="s">
        <v>57</v>
      </c>
      <c r="O577" t="s">
        <v>58</v>
      </c>
      <c r="P577" t="s">
        <v>1897</v>
      </c>
      <c r="Q577" t="s">
        <v>1898</v>
      </c>
      <c r="R577" t="s">
        <v>61</v>
      </c>
      <c r="S577" t="s">
        <v>58</v>
      </c>
      <c r="T577" t="s">
        <v>1897</v>
      </c>
      <c r="U577" t="s">
        <v>1898</v>
      </c>
      <c r="V577" t="s">
        <v>56</v>
      </c>
      <c r="W577" t="s">
        <v>56</v>
      </c>
      <c r="X577" t="s">
        <v>56</v>
      </c>
      <c r="Y577" t="s">
        <v>62</v>
      </c>
      <c r="Z577" t="s">
        <v>63</v>
      </c>
      <c r="AA577" t="s">
        <v>64</v>
      </c>
      <c r="AB577">
        <v>1</v>
      </c>
      <c r="AC577" t="s">
        <v>84</v>
      </c>
      <c r="AD577" t="s">
        <v>66</v>
      </c>
      <c r="AE577" t="s">
        <v>67</v>
      </c>
      <c r="AF577" t="s">
        <v>103</v>
      </c>
      <c r="AG577">
        <v>49973.55</v>
      </c>
      <c r="AH577" t="s">
        <v>69</v>
      </c>
      <c r="AI577" t="s">
        <v>181</v>
      </c>
      <c r="AJ577" t="s">
        <v>928</v>
      </c>
      <c r="AK577" t="s">
        <v>72</v>
      </c>
      <c r="AL577" t="s">
        <v>73</v>
      </c>
      <c r="AM577" t="s">
        <v>73</v>
      </c>
      <c r="AN577" t="s">
        <v>74</v>
      </c>
    </row>
    <row r="578" spans="1:40" x14ac:dyDescent="0.25">
      <c r="A578" t="s">
        <v>1566</v>
      </c>
      <c r="B578" t="s">
        <v>5</v>
      </c>
      <c r="C578">
        <v>546.00599699999998</v>
      </c>
      <c r="D578">
        <v>697.24983099999997</v>
      </c>
      <c r="E578" t="s">
        <v>56</v>
      </c>
      <c r="F578">
        <v>-44659.81</v>
      </c>
      <c r="G578" t="s">
        <v>1566</v>
      </c>
      <c r="H578" t="s">
        <v>7</v>
      </c>
      <c r="I578">
        <v>49995.95</v>
      </c>
      <c r="J578">
        <v>751.82551799999999</v>
      </c>
      <c r="K578">
        <v>960.08142399999997</v>
      </c>
      <c r="L578">
        <v>0</v>
      </c>
      <c r="M578" t="s">
        <v>1566</v>
      </c>
      <c r="N578" t="s">
        <v>57</v>
      </c>
      <c r="O578" t="s">
        <v>58</v>
      </c>
      <c r="P578" t="s">
        <v>1567</v>
      </c>
      <c r="Q578" t="s">
        <v>1568</v>
      </c>
      <c r="R578" t="s">
        <v>61</v>
      </c>
      <c r="S578" t="s">
        <v>58</v>
      </c>
      <c r="T578" t="s">
        <v>1567</v>
      </c>
      <c r="U578" t="s">
        <v>1568</v>
      </c>
      <c r="V578" t="s">
        <v>56</v>
      </c>
      <c r="W578" t="s">
        <v>56</v>
      </c>
      <c r="X578" t="s">
        <v>56</v>
      </c>
      <c r="Y578" t="s">
        <v>62</v>
      </c>
      <c r="Z578" t="s">
        <v>63</v>
      </c>
      <c r="AA578" t="s">
        <v>64</v>
      </c>
      <c r="AB578">
        <v>1</v>
      </c>
      <c r="AC578" t="s">
        <v>78</v>
      </c>
      <c r="AD578" t="s">
        <v>66</v>
      </c>
      <c r="AE578" t="s">
        <v>121</v>
      </c>
      <c r="AF578" t="s">
        <v>68</v>
      </c>
      <c r="AG578">
        <v>63170.720000000001</v>
      </c>
      <c r="AH578" t="s">
        <v>69</v>
      </c>
      <c r="AI578" t="s">
        <v>203</v>
      </c>
      <c r="AJ578" t="s">
        <v>93</v>
      </c>
      <c r="AK578" t="s">
        <v>72</v>
      </c>
      <c r="AL578" t="s">
        <v>73</v>
      </c>
      <c r="AM578" t="s">
        <v>73</v>
      </c>
      <c r="AN578" t="s">
        <v>124</v>
      </c>
    </row>
    <row r="579" spans="1:40" x14ac:dyDescent="0.25">
      <c r="A579" t="s">
        <v>1659</v>
      </c>
      <c r="B579" t="s">
        <v>5</v>
      </c>
      <c r="C579">
        <v>542.79145700000004</v>
      </c>
      <c r="D579">
        <v>461.06483200000002</v>
      </c>
      <c r="E579" t="s">
        <v>56</v>
      </c>
      <c r="F579">
        <v>-20182.560000000001</v>
      </c>
      <c r="G579" t="s">
        <v>1659</v>
      </c>
      <c r="H579" t="s">
        <v>7</v>
      </c>
      <c r="I579">
        <v>23597.11</v>
      </c>
      <c r="J579">
        <v>780.59630500000003</v>
      </c>
      <c r="K579">
        <v>663.06405500000005</v>
      </c>
      <c r="L579">
        <v>0</v>
      </c>
      <c r="M579" t="s">
        <v>1659</v>
      </c>
      <c r="N579" t="s">
        <v>57</v>
      </c>
      <c r="O579" t="s">
        <v>58</v>
      </c>
      <c r="P579" t="s">
        <v>1660</v>
      </c>
      <c r="Q579" t="s">
        <v>1661</v>
      </c>
      <c r="R579" t="s">
        <v>61</v>
      </c>
      <c r="S579" t="s">
        <v>58</v>
      </c>
      <c r="T579" t="s">
        <v>1660</v>
      </c>
      <c r="U579" t="s">
        <v>1661</v>
      </c>
      <c r="V579" t="s">
        <v>56</v>
      </c>
      <c r="W579" t="s">
        <v>56</v>
      </c>
      <c r="X579" t="s">
        <v>56</v>
      </c>
      <c r="Y579" t="s">
        <v>62</v>
      </c>
      <c r="Z579" t="s">
        <v>63</v>
      </c>
      <c r="AA579" t="s">
        <v>64</v>
      </c>
      <c r="AB579">
        <v>1</v>
      </c>
      <c r="AC579" t="s">
        <v>84</v>
      </c>
      <c r="AD579" t="s">
        <v>66</v>
      </c>
      <c r="AE579" t="s">
        <v>67</v>
      </c>
      <c r="AF579" t="s">
        <v>68</v>
      </c>
      <c r="AG579">
        <v>33889.61</v>
      </c>
      <c r="AH579" t="s">
        <v>69</v>
      </c>
      <c r="AI579" t="s">
        <v>87</v>
      </c>
      <c r="AJ579" t="s">
        <v>477</v>
      </c>
      <c r="AK579" t="s">
        <v>72</v>
      </c>
      <c r="AL579" t="s">
        <v>73</v>
      </c>
      <c r="AM579" t="s">
        <v>73</v>
      </c>
      <c r="AN579" t="s">
        <v>74</v>
      </c>
    </row>
    <row r="580" spans="1:40" x14ac:dyDescent="0.25">
      <c r="A580" t="s">
        <v>670</v>
      </c>
      <c r="B580" t="s">
        <v>5</v>
      </c>
      <c r="C580">
        <v>542.40132800000003</v>
      </c>
      <c r="D580">
        <v>460.73344300000002</v>
      </c>
      <c r="E580" t="s">
        <v>56</v>
      </c>
      <c r="F580">
        <v>-31884.39</v>
      </c>
      <c r="G580" t="s">
        <v>670</v>
      </c>
      <c r="H580" t="s">
        <v>7</v>
      </c>
      <c r="I580">
        <v>34911.35</v>
      </c>
      <c r="J580">
        <v>730.487166</v>
      </c>
      <c r="K580">
        <v>620.49971200000005</v>
      </c>
      <c r="L580">
        <v>0</v>
      </c>
      <c r="M580" t="s">
        <v>670</v>
      </c>
      <c r="N580" t="s">
        <v>57</v>
      </c>
      <c r="O580" t="s">
        <v>58</v>
      </c>
      <c r="P580" t="s">
        <v>671</v>
      </c>
      <c r="Q580" t="s">
        <v>672</v>
      </c>
      <c r="R580" t="s">
        <v>61</v>
      </c>
      <c r="S580" t="s">
        <v>58</v>
      </c>
      <c r="T580" t="s">
        <v>671</v>
      </c>
      <c r="U580" t="s">
        <v>672</v>
      </c>
      <c r="V580" t="s">
        <v>56</v>
      </c>
      <c r="W580" t="s">
        <v>56</v>
      </c>
      <c r="X580" t="s">
        <v>56</v>
      </c>
      <c r="Y580" t="s">
        <v>62</v>
      </c>
      <c r="Z580" t="s">
        <v>63</v>
      </c>
      <c r="AA580" t="s">
        <v>64</v>
      </c>
      <c r="AB580">
        <v>1</v>
      </c>
      <c r="AC580" t="s">
        <v>78</v>
      </c>
      <c r="AD580" t="s">
        <v>66</v>
      </c>
      <c r="AE580" t="s">
        <v>67</v>
      </c>
      <c r="AF580" t="s">
        <v>68</v>
      </c>
      <c r="AG580">
        <v>53577.24</v>
      </c>
      <c r="AH580" t="s">
        <v>69</v>
      </c>
      <c r="AI580" t="s">
        <v>163</v>
      </c>
      <c r="AJ580" t="s">
        <v>324</v>
      </c>
      <c r="AK580" t="s">
        <v>72</v>
      </c>
      <c r="AL580" t="s">
        <v>73</v>
      </c>
      <c r="AM580" t="s">
        <v>73</v>
      </c>
      <c r="AN580" t="s">
        <v>74</v>
      </c>
    </row>
    <row r="581" spans="1:40" x14ac:dyDescent="0.25">
      <c r="A581" t="s">
        <v>1745</v>
      </c>
      <c r="B581" t="s">
        <v>5</v>
      </c>
      <c r="C581">
        <v>540.32176200000004</v>
      </c>
      <c r="D581">
        <v>458.966992</v>
      </c>
      <c r="E581" t="s">
        <v>56</v>
      </c>
      <c r="F581">
        <v>-45841.42</v>
      </c>
      <c r="G581" t="s">
        <v>1745</v>
      </c>
      <c r="H581" t="s">
        <v>7</v>
      </c>
      <c r="I581">
        <v>55135.199999999997</v>
      </c>
      <c r="J581">
        <v>799.33818599999995</v>
      </c>
      <c r="K581">
        <v>678.98402199999998</v>
      </c>
      <c r="L581">
        <v>0</v>
      </c>
      <c r="M581" t="s">
        <v>1745</v>
      </c>
      <c r="N581" t="s">
        <v>57</v>
      </c>
      <c r="O581" t="s">
        <v>58</v>
      </c>
      <c r="P581" t="s">
        <v>1746</v>
      </c>
      <c r="Q581" t="s">
        <v>432</v>
      </c>
      <c r="R581" t="s">
        <v>61</v>
      </c>
      <c r="S581" t="s">
        <v>58</v>
      </c>
      <c r="T581" t="s">
        <v>1746</v>
      </c>
      <c r="U581" t="s">
        <v>432</v>
      </c>
      <c r="V581" t="s">
        <v>56</v>
      </c>
      <c r="W581" t="s">
        <v>56</v>
      </c>
      <c r="X581" t="s">
        <v>56</v>
      </c>
      <c r="Y581" t="s">
        <v>62</v>
      </c>
      <c r="Z581" t="s">
        <v>63</v>
      </c>
      <c r="AA581" t="s">
        <v>64</v>
      </c>
      <c r="AB581">
        <v>1</v>
      </c>
      <c r="AC581" t="s">
        <v>120</v>
      </c>
      <c r="AD581" t="s">
        <v>66</v>
      </c>
      <c r="AE581" t="s">
        <v>67</v>
      </c>
      <c r="AF581" t="s">
        <v>103</v>
      </c>
      <c r="AG581">
        <v>77326.649999999994</v>
      </c>
      <c r="AH581" t="s">
        <v>69</v>
      </c>
      <c r="AI581" t="s">
        <v>400</v>
      </c>
      <c r="AJ581" t="s">
        <v>619</v>
      </c>
      <c r="AK581" t="s">
        <v>72</v>
      </c>
      <c r="AL581" t="s">
        <v>73</v>
      </c>
      <c r="AM581" t="s">
        <v>73</v>
      </c>
      <c r="AN581" t="s">
        <v>74</v>
      </c>
    </row>
    <row r="582" spans="1:40" x14ac:dyDescent="0.25">
      <c r="A582" t="s">
        <v>1176</v>
      </c>
      <c r="B582" t="s">
        <v>5</v>
      </c>
      <c r="C582">
        <v>538.596451</v>
      </c>
      <c r="D582">
        <v>457.50145600000002</v>
      </c>
      <c r="E582" t="s">
        <v>56</v>
      </c>
      <c r="F582">
        <v>-37148.58</v>
      </c>
      <c r="G582" t="s">
        <v>1176</v>
      </c>
      <c r="H582" t="s">
        <v>7</v>
      </c>
      <c r="I582">
        <v>44704.28</v>
      </c>
      <c r="J582">
        <v>797.21041400000001</v>
      </c>
      <c r="K582">
        <v>677.17662299999995</v>
      </c>
      <c r="L582">
        <v>0</v>
      </c>
      <c r="M582" t="s">
        <v>1176</v>
      </c>
      <c r="N582" t="s">
        <v>57</v>
      </c>
      <c r="O582" t="s">
        <v>58</v>
      </c>
      <c r="P582" t="s">
        <v>1177</v>
      </c>
      <c r="Q582" t="s">
        <v>223</v>
      </c>
      <c r="R582" t="s">
        <v>61</v>
      </c>
      <c r="S582" t="s">
        <v>58</v>
      </c>
      <c r="T582" t="s">
        <v>1177</v>
      </c>
      <c r="U582" t="s">
        <v>223</v>
      </c>
      <c r="V582" t="s">
        <v>56</v>
      </c>
      <c r="W582" t="s">
        <v>56</v>
      </c>
      <c r="X582" t="s">
        <v>56</v>
      </c>
      <c r="Y582" t="s">
        <v>62</v>
      </c>
      <c r="Z582" t="s">
        <v>63</v>
      </c>
      <c r="AA582" t="s">
        <v>64</v>
      </c>
      <c r="AB582">
        <v>1</v>
      </c>
      <c r="AC582" t="s">
        <v>147</v>
      </c>
      <c r="AD582" t="s">
        <v>66</v>
      </c>
      <c r="AE582" t="s">
        <v>67</v>
      </c>
      <c r="AF582" t="s">
        <v>68</v>
      </c>
      <c r="AG582">
        <v>62864.05</v>
      </c>
      <c r="AH582" t="s">
        <v>69</v>
      </c>
      <c r="AI582" t="s">
        <v>382</v>
      </c>
      <c r="AJ582" t="s">
        <v>477</v>
      </c>
      <c r="AK582" t="s">
        <v>72</v>
      </c>
      <c r="AL582" t="s">
        <v>73</v>
      </c>
      <c r="AM582" t="s">
        <v>73</v>
      </c>
      <c r="AN582" t="s">
        <v>74</v>
      </c>
    </row>
    <row r="583" spans="1:40" x14ac:dyDescent="0.25">
      <c r="A583" t="s">
        <v>1902</v>
      </c>
      <c r="B583" t="s">
        <v>5</v>
      </c>
      <c r="C583">
        <v>536.27361399999995</v>
      </c>
      <c r="D583">
        <v>455.52836300000001</v>
      </c>
      <c r="E583" t="s">
        <v>56</v>
      </c>
      <c r="F583">
        <v>-20358.919999999998</v>
      </c>
      <c r="G583" t="s">
        <v>1902</v>
      </c>
      <c r="H583" t="s">
        <v>7</v>
      </c>
      <c r="I583">
        <v>22616.720000000001</v>
      </c>
      <c r="J583">
        <v>732.74946499999999</v>
      </c>
      <c r="K583">
        <v>622.42138299999999</v>
      </c>
      <c r="L583">
        <v>0</v>
      </c>
      <c r="M583" t="s">
        <v>1902</v>
      </c>
      <c r="N583" t="s">
        <v>57</v>
      </c>
      <c r="O583" t="s">
        <v>58</v>
      </c>
      <c r="P583" t="s">
        <v>1903</v>
      </c>
      <c r="Q583" t="s">
        <v>1904</v>
      </c>
      <c r="R583" t="s">
        <v>61</v>
      </c>
      <c r="S583" t="s">
        <v>58</v>
      </c>
      <c r="T583" t="s">
        <v>1903</v>
      </c>
      <c r="U583" t="s">
        <v>1904</v>
      </c>
      <c r="V583" t="s">
        <v>56</v>
      </c>
      <c r="W583" t="s">
        <v>56</v>
      </c>
      <c r="X583" t="s">
        <v>56</v>
      </c>
      <c r="Y583" t="s">
        <v>62</v>
      </c>
      <c r="Z583" t="s">
        <v>63</v>
      </c>
      <c r="AA583" t="s">
        <v>64</v>
      </c>
      <c r="AB583">
        <v>1</v>
      </c>
      <c r="AC583" t="s">
        <v>78</v>
      </c>
      <c r="AD583" t="s">
        <v>66</v>
      </c>
      <c r="AE583" t="s">
        <v>67</v>
      </c>
      <c r="AF583" t="s">
        <v>68</v>
      </c>
      <c r="AG583">
        <v>34601.24</v>
      </c>
      <c r="AH583" t="s">
        <v>69</v>
      </c>
      <c r="AI583" t="s">
        <v>536</v>
      </c>
      <c r="AJ583" t="s">
        <v>240</v>
      </c>
      <c r="AK583" t="s">
        <v>280</v>
      </c>
      <c r="AL583" t="s">
        <v>73</v>
      </c>
      <c r="AM583" t="s">
        <v>73</v>
      </c>
      <c r="AN583" t="s">
        <v>74</v>
      </c>
    </row>
    <row r="584" spans="1:40" x14ac:dyDescent="0.25">
      <c r="A584" t="s">
        <v>2316</v>
      </c>
      <c r="B584" t="s">
        <v>5</v>
      </c>
      <c r="C584">
        <v>535.55165199999999</v>
      </c>
      <c r="D584">
        <v>454.91510399999999</v>
      </c>
      <c r="E584" t="s">
        <v>56</v>
      </c>
      <c r="F584">
        <v>-17619.98</v>
      </c>
      <c r="G584" t="s">
        <v>2316</v>
      </c>
      <c r="H584" t="s">
        <v>7</v>
      </c>
      <c r="I584">
        <v>19659.900000000001</v>
      </c>
      <c r="J584">
        <v>734.97252700000001</v>
      </c>
      <c r="K584">
        <v>624.30972399999996</v>
      </c>
      <c r="L584">
        <v>0</v>
      </c>
      <c r="M584" t="s">
        <v>2316</v>
      </c>
      <c r="N584" t="s">
        <v>57</v>
      </c>
      <c r="O584" t="s">
        <v>58</v>
      </c>
      <c r="P584" t="s">
        <v>2317</v>
      </c>
      <c r="Q584" t="s">
        <v>2318</v>
      </c>
      <c r="R584" t="s">
        <v>61</v>
      </c>
      <c r="S584" t="s">
        <v>58</v>
      </c>
      <c r="T584" t="s">
        <v>2317</v>
      </c>
      <c r="U584" t="s">
        <v>2318</v>
      </c>
      <c r="V584" t="s">
        <v>56</v>
      </c>
      <c r="W584" t="s">
        <v>56</v>
      </c>
      <c r="X584" t="s">
        <v>56</v>
      </c>
      <c r="Y584" t="s">
        <v>62</v>
      </c>
      <c r="Z584" t="s">
        <v>63</v>
      </c>
      <c r="AA584" t="s">
        <v>64</v>
      </c>
      <c r="AB584">
        <v>1</v>
      </c>
      <c r="AC584" t="s">
        <v>78</v>
      </c>
      <c r="AD584" t="s">
        <v>66</v>
      </c>
      <c r="AE584" t="s">
        <v>67</v>
      </c>
      <c r="AF584" t="s">
        <v>68</v>
      </c>
      <c r="AG584">
        <v>29986.61</v>
      </c>
      <c r="AH584" t="s">
        <v>69</v>
      </c>
      <c r="AI584" t="s">
        <v>194</v>
      </c>
      <c r="AJ584" t="s">
        <v>164</v>
      </c>
      <c r="AK584" t="s">
        <v>72</v>
      </c>
      <c r="AL584" t="s">
        <v>73</v>
      </c>
      <c r="AM584" t="s">
        <v>73</v>
      </c>
      <c r="AN584" t="s">
        <v>74</v>
      </c>
    </row>
    <row r="585" spans="1:40" x14ac:dyDescent="0.25">
      <c r="A585" t="s">
        <v>879</v>
      </c>
      <c r="B585" t="s">
        <v>5</v>
      </c>
      <c r="C585">
        <v>535.34537699999998</v>
      </c>
      <c r="D585">
        <v>454.73988700000001</v>
      </c>
      <c r="E585" t="s">
        <v>56</v>
      </c>
      <c r="F585">
        <v>-29363.66</v>
      </c>
      <c r="G585" t="s">
        <v>879</v>
      </c>
      <c r="H585" t="s">
        <v>7</v>
      </c>
      <c r="I585">
        <v>31339.24</v>
      </c>
      <c r="J585">
        <v>702.78353200000004</v>
      </c>
      <c r="K585">
        <v>596.96733800000004</v>
      </c>
      <c r="L585">
        <v>0</v>
      </c>
      <c r="M585" t="s">
        <v>879</v>
      </c>
      <c r="N585" t="s">
        <v>57</v>
      </c>
      <c r="O585" t="s">
        <v>58</v>
      </c>
      <c r="P585" t="s">
        <v>880</v>
      </c>
      <c r="Q585" t="s">
        <v>881</v>
      </c>
      <c r="R585" t="s">
        <v>61</v>
      </c>
      <c r="S585" t="s">
        <v>58</v>
      </c>
      <c r="T585" t="s">
        <v>880</v>
      </c>
      <c r="U585" t="s">
        <v>881</v>
      </c>
      <c r="V585" t="s">
        <v>56</v>
      </c>
      <c r="W585" t="s">
        <v>56</v>
      </c>
      <c r="X585" t="s">
        <v>56</v>
      </c>
      <c r="Y585" t="s">
        <v>62</v>
      </c>
      <c r="Z585" t="s">
        <v>63</v>
      </c>
      <c r="AA585" t="s">
        <v>64</v>
      </c>
      <c r="AB585">
        <v>1</v>
      </c>
      <c r="AC585" t="s">
        <v>84</v>
      </c>
      <c r="AD585" t="s">
        <v>66</v>
      </c>
      <c r="AE585" t="s">
        <v>67</v>
      </c>
      <c r="AF585" t="s">
        <v>68</v>
      </c>
      <c r="AG585">
        <v>49991.87</v>
      </c>
      <c r="AH585" t="s">
        <v>69</v>
      </c>
      <c r="AI585" t="s">
        <v>220</v>
      </c>
      <c r="AJ585" t="s">
        <v>115</v>
      </c>
      <c r="AK585" t="s">
        <v>72</v>
      </c>
      <c r="AL585" t="s">
        <v>73</v>
      </c>
      <c r="AM585" t="s">
        <v>73</v>
      </c>
      <c r="AN585" t="s">
        <v>74</v>
      </c>
    </row>
    <row r="586" spans="1:40" x14ac:dyDescent="0.25">
      <c r="A586" t="s">
        <v>1312</v>
      </c>
      <c r="B586" t="s">
        <v>5</v>
      </c>
      <c r="C586">
        <v>532.54512</v>
      </c>
      <c r="D586">
        <v>530.42632100000003</v>
      </c>
      <c r="E586" t="s">
        <v>56</v>
      </c>
      <c r="F586">
        <v>-28207.67</v>
      </c>
      <c r="G586" t="s">
        <v>1312</v>
      </c>
      <c r="H586" t="s">
        <v>7</v>
      </c>
      <c r="I586">
        <v>30173.46</v>
      </c>
      <c r="J586">
        <v>980.45551499999999</v>
      </c>
      <c r="K586">
        <v>832.83100999999999</v>
      </c>
      <c r="L586">
        <v>0</v>
      </c>
      <c r="M586" t="s">
        <v>1312</v>
      </c>
      <c r="N586" t="s">
        <v>57</v>
      </c>
      <c r="O586" t="s">
        <v>58</v>
      </c>
      <c r="P586" t="s">
        <v>1313</v>
      </c>
      <c r="Q586" t="s">
        <v>1314</v>
      </c>
      <c r="R586" t="s">
        <v>61</v>
      </c>
      <c r="S586" t="s">
        <v>58</v>
      </c>
      <c r="T586" t="s">
        <v>1313</v>
      </c>
      <c r="U586" t="s">
        <v>1314</v>
      </c>
      <c r="V586" t="s">
        <v>56</v>
      </c>
      <c r="W586" t="s">
        <v>56</v>
      </c>
      <c r="X586" t="s">
        <v>56</v>
      </c>
      <c r="Y586" t="s">
        <v>62</v>
      </c>
      <c r="Z586" t="s">
        <v>63</v>
      </c>
      <c r="AA586" t="s">
        <v>64</v>
      </c>
      <c r="AB586">
        <v>1</v>
      </c>
      <c r="AC586" t="s">
        <v>84</v>
      </c>
      <c r="AD586" t="s">
        <v>66</v>
      </c>
      <c r="AE586" t="s">
        <v>67</v>
      </c>
      <c r="AF586" t="s">
        <v>68</v>
      </c>
      <c r="AG586">
        <v>34500</v>
      </c>
      <c r="AH586" t="s">
        <v>69</v>
      </c>
      <c r="AI586" t="s">
        <v>297</v>
      </c>
      <c r="AJ586" t="s">
        <v>254</v>
      </c>
      <c r="AK586" t="s">
        <v>72</v>
      </c>
      <c r="AL586" t="s">
        <v>73</v>
      </c>
      <c r="AM586" t="s">
        <v>73</v>
      </c>
      <c r="AN586" t="s">
        <v>74</v>
      </c>
    </row>
    <row r="587" spans="1:40" x14ac:dyDescent="0.25">
      <c r="A587" t="s">
        <v>1132</v>
      </c>
      <c r="B587" t="s">
        <v>5</v>
      </c>
      <c r="C587">
        <v>532.41828899999996</v>
      </c>
      <c r="D587">
        <v>452.25352299999997</v>
      </c>
      <c r="E587" t="s">
        <v>56</v>
      </c>
      <c r="F587">
        <v>-60409.86</v>
      </c>
      <c r="G587" t="s">
        <v>1132</v>
      </c>
      <c r="H587" t="s">
        <v>7</v>
      </c>
      <c r="I587">
        <v>63828.38</v>
      </c>
      <c r="J587">
        <v>691.93391399999996</v>
      </c>
      <c r="K587">
        <v>587.75131699999997</v>
      </c>
      <c r="L587">
        <v>0</v>
      </c>
      <c r="M587" t="s">
        <v>1132</v>
      </c>
      <c r="N587" t="s">
        <v>57</v>
      </c>
      <c r="O587" t="s">
        <v>58</v>
      </c>
      <c r="P587" t="s">
        <v>1133</v>
      </c>
      <c r="Q587" t="s">
        <v>1134</v>
      </c>
      <c r="R587" t="s">
        <v>61</v>
      </c>
      <c r="S587" t="s">
        <v>58</v>
      </c>
      <c r="T587" t="s">
        <v>1133</v>
      </c>
      <c r="U587" t="s">
        <v>1134</v>
      </c>
      <c r="V587" t="s">
        <v>56</v>
      </c>
      <c r="W587" t="s">
        <v>56</v>
      </c>
      <c r="X587" t="s">
        <v>56</v>
      </c>
      <c r="Y587" t="s">
        <v>62</v>
      </c>
      <c r="Z587" t="s">
        <v>63</v>
      </c>
      <c r="AA587" t="s">
        <v>64</v>
      </c>
      <c r="AB587">
        <v>1</v>
      </c>
      <c r="AC587" t="s">
        <v>84</v>
      </c>
      <c r="AD587" t="s">
        <v>66</v>
      </c>
      <c r="AE587" t="s">
        <v>67</v>
      </c>
      <c r="AF587" t="s">
        <v>103</v>
      </c>
      <c r="AG587">
        <v>103413.68</v>
      </c>
      <c r="AH587" t="s">
        <v>69</v>
      </c>
      <c r="AI587" t="s">
        <v>104</v>
      </c>
      <c r="AJ587" t="s">
        <v>187</v>
      </c>
      <c r="AK587" t="s">
        <v>72</v>
      </c>
      <c r="AL587" t="s">
        <v>73</v>
      </c>
      <c r="AM587" t="s">
        <v>73</v>
      </c>
      <c r="AN587" t="s">
        <v>74</v>
      </c>
    </row>
    <row r="588" spans="1:40" x14ac:dyDescent="0.25">
      <c r="A588" t="s">
        <v>1085</v>
      </c>
      <c r="B588" t="s">
        <v>5</v>
      </c>
      <c r="C588">
        <v>531.95525199999997</v>
      </c>
      <c r="D588">
        <v>679.30702499999995</v>
      </c>
      <c r="E588" t="s">
        <v>56</v>
      </c>
      <c r="F588">
        <v>-70221.97</v>
      </c>
      <c r="G588" t="s">
        <v>1085</v>
      </c>
      <c r="H588" t="s">
        <v>7</v>
      </c>
      <c r="I588">
        <v>75633.87</v>
      </c>
      <c r="J588">
        <v>704.72783200000003</v>
      </c>
      <c r="K588">
        <v>899.93766400000004</v>
      </c>
      <c r="L588">
        <v>0</v>
      </c>
      <c r="M588" t="s">
        <v>1085</v>
      </c>
      <c r="N588" t="s">
        <v>57</v>
      </c>
      <c r="O588" t="s">
        <v>58</v>
      </c>
      <c r="P588" t="s">
        <v>1086</v>
      </c>
      <c r="Q588" t="s">
        <v>1087</v>
      </c>
      <c r="R588" t="s">
        <v>61</v>
      </c>
      <c r="S588" t="s">
        <v>58</v>
      </c>
      <c r="T588" t="s">
        <v>1086</v>
      </c>
      <c r="U588" t="s">
        <v>1087</v>
      </c>
      <c r="V588" t="s">
        <v>56</v>
      </c>
      <c r="W588" t="s">
        <v>56</v>
      </c>
      <c r="X588" t="s">
        <v>56</v>
      </c>
      <c r="Y588" t="s">
        <v>62</v>
      </c>
      <c r="Z588" t="s">
        <v>63</v>
      </c>
      <c r="AA588" t="s">
        <v>64</v>
      </c>
      <c r="AB588">
        <v>1</v>
      </c>
      <c r="AC588" t="s">
        <v>84</v>
      </c>
      <c r="AD588" t="s">
        <v>66</v>
      </c>
      <c r="AE588" t="s">
        <v>121</v>
      </c>
      <c r="AF588" t="s">
        <v>103</v>
      </c>
      <c r="AG588">
        <v>101951.66</v>
      </c>
      <c r="AH588" t="s">
        <v>69</v>
      </c>
      <c r="AI588" t="s">
        <v>104</v>
      </c>
      <c r="AJ588" t="s">
        <v>164</v>
      </c>
      <c r="AK588" t="s">
        <v>72</v>
      </c>
      <c r="AL588" t="s">
        <v>73</v>
      </c>
      <c r="AM588" t="s">
        <v>73</v>
      </c>
      <c r="AN588" t="s">
        <v>124</v>
      </c>
    </row>
    <row r="589" spans="1:40" x14ac:dyDescent="0.25">
      <c r="A589" t="s">
        <v>424</v>
      </c>
      <c r="B589" t="s">
        <v>5</v>
      </c>
      <c r="C589">
        <v>530.50015499999995</v>
      </c>
      <c r="D589">
        <v>450.62419799999998</v>
      </c>
      <c r="E589" t="s">
        <v>56</v>
      </c>
      <c r="F589">
        <v>-20371.82</v>
      </c>
      <c r="G589" t="s">
        <v>424</v>
      </c>
      <c r="H589" t="s">
        <v>7</v>
      </c>
      <c r="I589">
        <v>24239.4</v>
      </c>
      <c r="J589">
        <v>776.40354100000002</v>
      </c>
      <c r="K589">
        <v>659.50258299999996</v>
      </c>
      <c r="L589">
        <v>0</v>
      </c>
      <c r="M589" t="s">
        <v>424</v>
      </c>
      <c r="N589" t="s">
        <v>57</v>
      </c>
      <c r="O589" t="s">
        <v>58</v>
      </c>
      <c r="P589" t="s">
        <v>425</v>
      </c>
      <c r="Q589" t="s">
        <v>426</v>
      </c>
      <c r="R589" t="s">
        <v>61</v>
      </c>
      <c r="S589" t="s">
        <v>58</v>
      </c>
      <c r="T589" t="s">
        <v>425</v>
      </c>
      <c r="U589" t="s">
        <v>426</v>
      </c>
      <c r="V589" t="s">
        <v>56</v>
      </c>
      <c r="W589" t="s">
        <v>56</v>
      </c>
      <c r="X589" t="s">
        <v>56</v>
      </c>
      <c r="Y589" t="s">
        <v>62</v>
      </c>
      <c r="Z589" t="s">
        <v>63</v>
      </c>
      <c r="AA589" t="s">
        <v>64</v>
      </c>
      <c r="AB589">
        <v>1</v>
      </c>
      <c r="AC589" t="s">
        <v>84</v>
      </c>
      <c r="AD589" t="s">
        <v>66</v>
      </c>
      <c r="AE589" t="s">
        <v>67</v>
      </c>
      <c r="AF589" t="s">
        <v>68</v>
      </c>
      <c r="AG589">
        <v>34999.97</v>
      </c>
      <c r="AH589" t="s">
        <v>69</v>
      </c>
      <c r="AI589" t="s">
        <v>297</v>
      </c>
      <c r="AJ589" t="s">
        <v>187</v>
      </c>
      <c r="AK589" t="s">
        <v>72</v>
      </c>
      <c r="AL589" t="s">
        <v>73</v>
      </c>
      <c r="AM589" t="s">
        <v>73</v>
      </c>
      <c r="AN589" t="s">
        <v>74</v>
      </c>
    </row>
    <row r="590" spans="1:40" x14ac:dyDescent="0.25">
      <c r="A590" t="s">
        <v>427</v>
      </c>
      <c r="B590" t="s">
        <v>5</v>
      </c>
      <c r="C590">
        <v>529.530438</v>
      </c>
      <c r="D590">
        <v>449.80048900000003</v>
      </c>
      <c r="E590" t="s">
        <v>56</v>
      </c>
      <c r="F590">
        <v>-19314.32</v>
      </c>
      <c r="G590" t="s">
        <v>427</v>
      </c>
      <c r="H590" t="s">
        <v>7</v>
      </c>
      <c r="I590">
        <v>22994.33</v>
      </c>
      <c r="J590">
        <v>775.43046100000004</v>
      </c>
      <c r="K590">
        <v>658.676017</v>
      </c>
      <c r="L590">
        <v>0</v>
      </c>
      <c r="M590" t="s">
        <v>427</v>
      </c>
      <c r="N590" t="s">
        <v>57</v>
      </c>
      <c r="O590" t="s">
        <v>58</v>
      </c>
      <c r="P590" t="s">
        <v>428</v>
      </c>
      <c r="Q590" t="s">
        <v>429</v>
      </c>
      <c r="R590" t="s">
        <v>61</v>
      </c>
      <c r="S590" t="s">
        <v>58</v>
      </c>
      <c r="T590" t="s">
        <v>428</v>
      </c>
      <c r="U590" t="s">
        <v>429</v>
      </c>
      <c r="V590" t="s">
        <v>56</v>
      </c>
      <c r="W590" t="s">
        <v>56</v>
      </c>
      <c r="X590" t="s">
        <v>56</v>
      </c>
      <c r="Y590" t="s">
        <v>62</v>
      </c>
      <c r="Z590" t="s">
        <v>63</v>
      </c>
      <c r="AA590" t="s">
        <v>64</v>
      </c>
      <c r="AB590">
        <v>1</v>
      </c>
      <c r="AC590" t="s">
        <v>65</v>
      </c>
      <c r="AD590" t="s">
        <v>66</v>
      </c>
      <c r="AE590" t="s">
        <v>67</v>
      </c>
      <c r="AF590" t="s">
        <v>68</v>
      </c>
      <c r="AG590">
        <v>33243.9</v>
      </c>
      <c r="AH590" t="s">
        <v>69</v>
      </c>
      <c r="AI590" t="s">
        <v>216</v>
      </c>
      <c r="AJ590" t="s">
        <v>187</v>
      </c>
      <c r="AK590" t="s">
        <v>72</v>
      </c>
      <c r="AL590" t="s">
        <v>73</v>
      </c>
      <c r="AM590" t="s">
        <v>73</v>
      </c>
      <c r="AN590" t="s">
        <v>74</v>
      </c>
    </row>
    <row r="591" spans="1:40" x14ac:dyDescent="0.25">
      <c r="A591" t="s">
        <v>2409</v>
      </c>
      <c r="B591" t="s">
        <v>5</v>
      </c>
      <c r="C591">
        <v>526.52487699999995</v>
      </c>
      <c r="D591">
        <v>447.24746599999997</v>
      </c>
      <c r="E591" t="s">
        <v>56</v>
      </c>
      <c r="F591">
        <v>-31946.34</v>
      </c>
      <c r="G591" t="s">
        <v>2409</v>
      </c>
      <c r="H591" t="s">
        <v>7</v>
      </c>
      <c r="I591">
        <v>36389.74</v>
      </c>
      <c r="J591">
        <v>737.68885599999999</v>
      </c>
      <c r="K591">
        <v>626.61706200000003</v>
      </c>
      <c r="L591">
        <v>0</v>
      </c>
      <c r="M591" t="s">
        <v>2409</v>
      </c>
      <c r="N591" t="s">
        <v>57</v>
      </c>
      <c r="O591" t="s">
        <v>58</v>
      </c>
      <c r="P591" t="s">
        <v>2410</v>
      </c>
      <c r="Q591" t="s">
        <v>2411</v>
      </c>
      <c r="R591" t="s">
        <v>61</v>
      </c>
      <c r="S591" t="s">
        <v>58</v>
      </c>
      <c r="T591" t="s">
        <v>2410</v>
      </c>
      <c r="U591" t="s">
        <v>2411</v>
      </c>
      <c r="V591" t="s">
        <v>56</v>
      </c>
      <c r="W591" t="s">
        <v>56</v>
      </c>
      <c r="X591" t="s">
        <v>56</v>
      </c>
      <c r="Y591" t="s">
        <v>62</v>
      </c>
      <c r="Z591" t="s">
        <v>63</v>
      </c>
      <c r="AA591" t="s">
        <v>64</v>
      </c>
      <c r="AB591">
        <v>1</v>
      </c>
      <c r="AC591" t="s">
        <v>645</v>
      </c>
      <c r="AD591" t="s">
        <v>66</v>
      </c>
      <c r="AE591" t="s">
        <v>67</v>
      </c>
      <c r="AF591" t="s">
        <v>86</v>
      </c>
      <c r="AG591">
        <v>55300</v>
      </c>
      <c r="AH591" t="s">
        <v>69</v>
      </c>
      <c r="AI591" t="s">
        <v>829</v>
      </c>
      <c r="AJ591" t="s">
        <v>943</v>
      </c>
      <c r="AK591" t="s">
        <v>72</v>
      </c>
      <c r="AL591" t="s">
        <v>73</v>
      </c>
      <c r="AM591" t="s">
        <v>73</v>
      </c>
      <c r="AN591" t="s">
        <v>74</v>
      </c>
    </row>
    <row r="592" spans="1:40" x14ac:dyDescent="0.25">
      <c r="A592" t="s">
        <v>1596</v>
      </c>
      <c r="B592" t="s">
        <v>5</v>
      </c>
      <c r="C592">
        <v>524.91450599999996</v>
      </c>
      <c r="D592">
        <v>292.05153300000001</v>
      </c>
      <c r="E592" t="s">
        <v>56</v>
      </c>
      <c r="F592">
        <v>-33558.120000000003</v>
      </c>
      <c r="G592" t="s">
        <v>1596</v>
      </c>
      <c r="H592" t="s">
        <v>7</v>
      </c>
      <c r="I592">
        <v>41326.44</v>
      </c>
      <c r="J592">
        <v>426.008397</v>
      </c>
      <c r="K592">
        <v>361.865478</v>
      </c>
      <c r="L592">
        <v>0</v>
      </c>
      <c r="M592" t="s">
        <v>1596</v>
      </c>
      <c r="N592" t="s">
        <v>57</v>
      </c>
      <c r="O592" t="s">
        <v>58</v>
      </c>
      <c r="P592" t="s">
        <v>1597</v>
      </c>
      <c r="Q592" t="s">
        <v>1598</v>
      </c>
      <c r="R592" t="s">
        <v>61</v>
      </c>
      <c r="S592" t="s">
        <v>58</v>
      </c>
      <c r="T592" t="s">
        <v>1597</v>
      </c>
      <c r="U592" t="s">
        <v>1598</v>
      </c>
      <c r="V592" t="s">
        <v>56</v>
      </c>
      <c r="W592" t="s">
        <v>56</v>
      </c>
      <c r="X592" t="s">
        <v>56</v>
      </c>
      <c r="Y592" t="s">
        <v>62</v>
      </c>
      <c r="Z592" t="s">
        <v>63</v>
      </c>
      <c r="AA592" t="s">
        <v>64</v>
      </c>
      <c r="AB592">
        <v>1</v>
      </c>
      <c r="AC592" t="s">
        <v>84</v>
      </c>
      <c r="AD592" t="s">
        <v>66</v>
      </c>
      <c r="AE592" t="s">
        <v>67</v>
      </c>
      <c r="AF592" t="s">
        <v>68</v>
      </c>
      <c r="AG592">
        <v>108751.44</v>
      </c>
      <c r="AH592" t="s">
        <v>69</v>
      </c>
      <c r="AI592" t="s">
        <v>323</v>
      </c>
      <c r="AJ592" t="s">
        <v>359</v>
      </c>
      <c r="AK592" t="s">
        <v>72</v>
      </c>
      <c r="AL592" t="s">
        <v>73</v>
      </c>
      <c r="AM592" t="s">
        <v>73</v>
      </c>
      <c r="AN592" t="s">
        <v>74</v>
      </c>
    </row>
    <row r="593" spans="1:40" x14ac:dyDescent="0.25">
      <c r="A593" t="s">
        <v>241</v>
      </c>
      <c r="B593" t="s">
        <v>5</v>
      </c>
      <c r="C593" s="2">
        <v>523.87792899999999</v>
      </c>
      <c r="D593" t="s">
        <v>56</v>
      </c>
      <c r="E593" t="s">
        <v>56</v>
      </c>
      <c r="F593">
        <v>-6865.82</v>
      </c>
      <c r="G593" t="s">
        <v>241</v>
      </c>
      <c r="H593" t="s">
        <v>7</v>
      </c>
      <c r="I593">
        <v>12614.98</v>
      </c>
      <c r="J593">
        <v>0</v>
      </c>
      <c r="K593">
        <v>0</v>
      </c>
      <c r="L593">
        <v>0</v>
      </c>
      <c r="M593" t="s">
        <v>241</v>
      </c>
      <c r="N593" t="s">
        <v>57</v>
      </c>
      <c r="O593" t="s">
        <v>58</v>
      </c>
      <c r="P593" t="s">
        <v>242</v>
      </c>
      <c r="Q593" t="s">
        <v>243</v>
      </c>
      <c r="R593" t="s">
        <v>61</v>
      </c>
      <c r="S593" t="s">
        <v>58</v>
      </c>
      <c r="T593" t="s">
        <v>242</v>
      </c>
      <c r="U593" t="s">
        <v>243</v>
      </c>
      <c r="V593" t="s">
        <v>56</v>
      </c>
      <c r="W593" t="s">
        <v>56</v>
      </c>
      <c r="X593" t="s">
        <v>56</v>
      </c>
      <c r="Y593" t="s">
        <v>62</v>
      </c>
      <c r="Z593" t="s">
        <v>63</v>
      </c>
      <c r="AA593" t="s">
        <v>64</v>
      </c>
      <c r="AB593">
        <v>1</v>
      </c>
      <c r="AC593" t="s">
        <v>84</v>
      </c>
      <c r="AD593" t="s">
        <v>66</v>
      </c>
      <c r="AE593" t="s">
        <v>85</v>
      </c>
      <c r="AF593" t="s">
        <v>103</v>
      </c>
      <c r="AG593">
        <v>43815.5</v>
      </c>
      <c r="AH593" t="s">
        <v>69</v>
      </c>
      <c r="AI593" t="s">
        <v>244</v>
      </c>
      <c r="AJ593" t="s">
        <v>245</v>
      </c>
      <c r="AK593" t="s">
        <v>99</v>
      </c>
      <c r="AL593" t="s">
        <v>73</v>
      </c>
      <c r="AM593" t="s">
        <v>73</v>
      </c>
      <c r="AN593" t="s">
        <v>56</v>
      </c>
    </row>
    <row r="594" spans="1:40" x14ac:dyDescent="0.25">
      <c r="A594" t="s">
        <v>75</v>
      </c>
      <c r="B594" t="s">
        <v>5</v>
      </c>
      <c r="C594">
        <v>522.78838399999995</v>
      </c>
      <c r="D594">
        <v>444.07356700000003</v>
      </c>
      <c r="E594" t="s">
        <v>56</v>
      </c>
      <c r="F594">
        <v>-20068</v>
      </c>
      <c r="G594" t="s">
        <v>75</v>
      </c>
      <c r="H594" t="s">
        <v>7</v>
      </c>
      <c r="I594">
        <v>22147.39</v>
      </c>
      <c r="J594">
        <v>709.657872</v>
      </c>
      <c r="K594">
        <v>602.80662700000005</v>
      </c>
      <c r="L594">
        <v>0</v>
      </c>
      <c r="M594" t="s">
        <v>75</v>
      </c>
      <c r="N594" t="s">
        <v>57</v>
      </c>
      <c r="O594" t="s">
        <v>58</v>
      </c>
      <c r="P594" t="s">
        <v>76</v>
      </c>
      <c r="Q594" t="s">
        <v>77</v>
      </c>
      <c r="R594" t="s">
        <v>61</v>
      </c>
      <c r="S594" t="s">
        <v>58</v>
      </c>
      <c r="T594" t="s">
        <v>76</v>
      </c>
      <c r="U594" t="s">
        <v>77</v>
      </c>
      <c r="V594" t="s">
        <v>56</v>
      </c>
      <c r="W594" t="s">
        <v>56</v>
      </c>
      <c r="X594" t="s">
        <v>56</v>
      </c>
      <c r="Y594" t="s">
        <v>62</v>
      </c>
      <c r="Z594" t="s">
        <v>63</v>
      </c>
      <c r="AA594" t="s">
        <v>64</v>
      </c>
      <c r="AB594">
        <v>1</v>
      </c>
      <c r="AC594" t="s">
        <v>78</v>
      </c>
      <c r="AD594" t="s">
        <v>66</v>
      </c>
      <c r="AE594" t="s">
        <v>67</v>
      </c>
      <c r="AF594" t="s">
        <v>68</v>
      </c>
      <c r="AG594">
        <v>34986.57</v>
      </c>
      <c r="AH594" t="s">
        <v>69</v>
      </c>
      <c r="AI594" t="s">
        <v>79</v>
      </c>
      <c r="AJ594" t="s">
        <v>80</v>
      </c>
      <c r="AK594" t="s">
        <v>72</v>
      </c>
      <c r="AL594" t="s">
        <v>73</v>
      </c>
      <c r="AM594" t="s">
        <v>73</v>
      </c>
      <c r="AN594" t="s">
        <v>74</v>
      </c>
    </row>
    <row r="595" spans="1:40" x14ac:dyDescent="0.25">
      <c r="A595" t="s">
        <v>849</v>
      </c>
      <c r="B595" t="s">
        <v>5</v>
      </c>
      <c r="C595">
        <v>519.93528600000002</v>
      </c>
      <c r="D595">
        <v>441.65005200000002</v>
      </c>
      <c r="E595" t="s">
        <v>56</v>
      </c>
      <c r="F595">
        <v>-16130.6</v>
      </c>
      <c r="G595" t="s">
        <v>849</v>
      </c>
      <c r="H595" t="s">
        <v>7</v>
      </c>
      <c r="I595">
        <v>19108.310000000001</v>
      </c>
      <c r="J595">
        <v>757.57533899999999</v>
      </c>
      <c r="K595">
        <v>643.50929199999996</v>
      </c>
      <c r="L595">
        <v>0</v>
      </c>
      <c r="M595" t="s">
        <v>849</v>
      </c>
      <c r="N595" t="s">
        <v>57</v>
      </c>
      <c r="O595" t="s">
        <v>58</v>
      </c>
      <c r="P595" t="s">
        <v>850</v>
      </c>
      <c r="Q595" t="s">
        <v>851</v>
      </c>
      <c r="R595" t="s">
        <v>61</v>
      </c>
      <c r="S595" t="s">
        <v>58</v>
      </c>
      <c r="T595" t="s">
        <v>850</v>
      </c>
      <c r="U595" t="s">
        <v>851</v>
      </c>
      <c r="V595" t="s">
        <v>56</v>
      </c>
      <c r="W595" t="s">
        <v>56</v>
      </c>
      <c r="X595" t="s">
        <v>56</v>
      </c>
      <c r="Y595" t="s">
        <v>62</v>
      </c>
      <c r="Z595" t="s">
        <v>63</v>
      </c>
      <c r="AA595" t="s">
        <v>64</v>
      </c>
      <c r="AB595">
        <v>1</v>
      </c>
      <c r="AC595" t="s">
        <v>65</v>
      </c>
      <c r="AD595" t="s">
        <v>66</v>
      </c>
      <c r="AE595" t="s">
        <v>67</v>
      </c>
      <c r="AF595" t="s">
        <v>68</v>
      </c>
      <c r="AG595">
        <v>28276.42</v>
      </c>
      <c r="AH595" t="s">
        <v>69</v>
      </c>
      <c r="AI595" t="s">
        <v>114</v>
      </c>
      <c r="AJ595" t="s">
        <v>172</v>
      </c>
      <c r="AK595" t="s">
        <v>72</v>
      </c>
      <c r="AL595" t="s">
        <v>73</v>
      </c>
      <c r="AM595" t="s">
        <v>73</v>
      </c>
      <c r="AN595" t="s">
        <v>74</v>
      </c>
    </row>
    <row r="596" spans="1:40" x14ac:dyDescent="0.25">
      <c r="A596" t="s">
        <v>274</v>
      </c>
      <c r="B596" t="s">
        <v>5</v>
      </c>
      <c r="C596" s="2">
        <v>519.83159699999999</v>
      </c>
      <c r="D596" t="s">
        <v>56</v>
      </c>
      <c r="E596" t="s">
        <v>56</v>
      </c>
      <c r="F596">
        <v>-16297.5</v>
      </c>
      <c r="G596" t="s">
        <v>274</v>
      </c>
      <c r="H596" t="s">
        <v>7</v>
      </c>
      <c r="I596">
        <v>19537.330000000002</v>
      </c>
      <c r="J596">
        <v>0</v>
      </c>
      <c r="K596">
        <v>0</v>
      </c>
      <c r="L596">
        <v>0</v>
      </c>
      <c r="M596" t="s">
        <v>274</v>
      </c>
      <c r="N596" t="s">
        <v>57</v>
      </c>
      <c r="O596" t="s">
        <v>58</v>
      </c>
      <c r="P596" t="s">
        <v>275</v>
      </c>
      <c r="Q596" t="s">
        <v>276</v>
      </c>
      <c r="R596" t="s">
        <v>61</v>
      </c>
      <c r="S596" t="s">
        <v>58</v>
      </c>
      <c r="T596" t="s">
        <v>275</v>
      </c>
      <c r="U596" t="s">
        <v>276</v>
      </c>
      <c r="V596" t="s">
        <v>56</v>
      </c>
      <c r="W596" t="s">
        <v>56</v>
      </c>
      <c r="X596" t="s">
        <v>56</v>
      </c>
      <c r="Y596" t="s">
        <v>62</v>
      </c>
      <c r="Z596" t="s">
        <v>63</v>
      </c>
      <c r="AA596" t="s">
        <v>64</v>
      </c>
      <c r="AB596">
        <v>1</v>
      </c>
      <c r="AC596" t="s">
        <v>84</v>
      </c>
      <c r="AD596" t="s">
        <v>66</v>
      </c>
      <c r="AE596" t="s">
        <v>85</v>
      </c>
      <c r="AF596" t="s">
        <v>277</v>
      </c>
      <c r="AG596">
        <v>34990.01</v>
      </c>
      <c r="AH596" t="s">
        <v>69</v>
      </c>
      <c r="AI596" t="s">
        <v>278</v>
      </c>
      <c r="AJ596" t="s">
        <v>279</v>
      </c>
      <c r="AK596" t="s">
        <v>280</v>
      </c>
      <c r="AL596" t="s">
        <v>281</v>
      </c>
      <c r="AM596" t="s">
        <v>73</v>
      </c>
      <c r="AN596" t="s">
        <v>56</v>
      </c>
    </row>
    <row r="597" spans="1:40" x14ac:dyDescent="0.25">
      <c r="A597" t="s">
        <v>1878</v>
      </c>
      <c r="B597" t="s">
        <v>5</v>
      </c>
      <c r="C597">
        <v>519.52417600000001</v>
      </c>
      <c r="D597">
        <v>663.43253700000002</v>
      </c>
      <c r="E597" t="s">
        <v>56</v>
      </c>
      <c r="F597">
        <v>-44031.3</v>
      </c>
      <c r="G597" t="s">
        <v>1878</v>
      </c>
      <c r="H597" t="s">
        <v>7</v>
      </c>
      <c r="I597">
        <v>51833.54</v>
      </c>
      <c r="J597">
        <v>752.24349700000005</v>
      </c>
      <c r="K597">
        <v>960.615183</v>
      </c>
      <c r="L597">
        <v>0</v>
      </c>
      <c r="M597" t="s">
        <v>1878</v>
      </c>
      <c r="N597" t="s">
        <v>57</v>
      </c>
      <c r="O597" t="s">
        <v>58</v>
      </c>
      <c r="P597" t="s">
        <v>1879</v>
      </c>
      <c r="Q597" t="s">
        <v>743</v>
      </c>
      <c r="R597" t="s">
        <v>61</v>
      </c>
      <c r="S597" t="s">
        <v>58</v>
      </c>
      <c r="T597" t="s">
        <v>1879</v>
      </c>
      <c r="U597" t="s">
        <v>743</v>
      </c>
      <c r="V597" t="s">
        <v>56</v>
      </c>
      <c r="W597" t="s">
        <v>56</v>
      </c>
      <c r="X597" t="s">
        <v>56</v>
      </c>
      <c r="Y597" t="s">
        <v>62</v>
      </c>
      <c r="Z597" t="s">
        <v>63</v>
      </c>
      <c r="AA597" t="s">
        <v>64</v>
      </c>
      <c r="AB597">
        <v>1</v>
      </c>
      <c r="AC597" t="s">
        <v>744</v>
      </c>
      <c r="AD597" t="s">
        <v>66</v>
      </c>
      <c r="AE597" t="s">
        <v>121</v>
      </c>
      <c r="AF597" t="s">
        <v>68</v>
      </c>
      <c r="AG597">
        <v>65456.39</v>
      </c>
      <c r="AH597" t="s">
        <v>69</v>
      </c>
      <c r="AI597" t="s">
        <v>79</v>
      </c>
      <c r="AJ597" t="s">
        <v>928</v>
      </c>
      <c r="AK597" t="s">
        <v>72</v>
      </c>
      <c r="AL597" t="s">
        <v>73</v>
      </c>
      <c r="AM597" t="s">
        <v>73</v>
      </c>
      <c r="AN597" t="s">
        <v>124</v>
      </c>
    </row>
    <row r="598" spans="1:40" x14ac:dyDescent="0.25">
      <c r="A598" t="s">
        <v>2515</v>
      </c>
      <c r="B598" t="s">
        <v>5</v>
      </c>
      <c r="C598" s="2">
        <v>518.87979600000006</v>
      </c>
      <c r="D598" t="s">
        <v>56</v>
      </c>
      <c r="E598" t="s">
        <v>56</v>
      </c>
      <c r="F598">
        <v>-6681.28</v>
      </c>
      <c r="G598" t="s">
        <v>2515</v>
      </c>
      <c r="H598" t="s">
        <v>7</v>
      </c>
      <c r="I598">
        <v>9591.7000000000007</v>
      </c>
      <c r="J598">
        <v>0</v>
      </c>
      <c r="K598">
        <v>0</v>
      </c>
      <c r="L598">
        <v>0</v>
      </c>
      <c r="M598" t="s">
        <v>2515</v>
      </c>
      <c r="N598" t="s">
        <v>57</v>
      </c>
      <c r="O598" t="s">
        <v>58</v>
      </c>
      <c r="P598" t="s">
        <v>2516</v>
      </c>
      <c r="Q598" t="s">
        <v>2517</v>
      </c>
      <c r="R598" t="s">
        <v>61</v>
      </c>
      <c r="S598" t="s">
        <v>58</v>
      </c>
      <c r="T598" t="s">
        <v>2516</v>
      </c>
      <c r="U598" t="s">
        <v>2517</v>
      </c>
      <c r="V598" t="s">
        <v>56</v>
      </c>
      <c r="W598" t="s">
        <v>56</v>
      </c>
      <c r="X598" t="s">
        <v>56</v>
      </c>
      <c r="Y598" t="s">
        <v>62</v>
      </c>
      <c r="Z598" t="s">
        <v>63</v>
      </c>
      <c r="AA598" t="s">
        <v>64</v>
      </c>
      <c r="AB598">
        <v>1</v>
      </c>
      <c r="AC598" t="s">
        <v>78</v>
      </c>
      <c r="AD598" t="s">
        <v>66</v>
      </c>
      <c r="AE598" t="s">
        <v>85</v>
      </c>
      <c r="AF598" t="s">
        <v>68</v>
      </c>
      <c r="AG598">
        <v>34998.81</v>
      </c>
      <c r="AH598" t="s">
        <v>69</v>
      </c>
      <c r="AI598" t="s">
        <v>70</v>
      </c>
      <c r="AJ598" t="s">
        <v>1221</v>
      </c>
      <c r="AK598" t="s">
        <v>72</v>
      </c>
      <c r="AL598" t="s">
        <v>73</v>
      </c>
      <c r="AM598" t="s">
        <v>73</v>
      </c>
      <c r="AN598" t="s">
        <v>56</v>
      </c>
    </row>
    <row r="599" spans="1:40" x14ac:dyDescent="0.25">
      <c r="A599" t="s">
        <v>947</v>
      </c>
      <c r="B599" t="s">
        <v>5</v>
      </c>
      <c r="C599">
        <v>515.20217100000002</v>
      </c>
      <c r="D599">
        <v>437.62958900000001</v>
      </c>
      <c r="E599" t="s">
        <v>56</v>
      </c>
      <c r="F599">
        <v>-22978.39</v>
      </c>
      <c r="G599" t="s">
        <v>947</v>
      </c>
      <c r="H599" t="s">
        <v>7</v>
      </c>
      <c r="I599">
        <v>26891.08</v>
      </c>
      <c r="J599">
        <v>741.60920199999998</v>
      </c>
      <c r="K599">
        <v>629.94713300000001</v>
      </c>
      <c r="L599">
        <v>0</v>
      </c>
      <c r="M599" t="s">
        <v>947</v>
      </c>
      <c r="N599" t="s">
        <v>57</v>
      </c>
      <c r="O599" t="s">
        <v>58</v>
      </c>
      <c r="P599" t="s">
        <v>948</v>
      </c>
      <c r="Q599" t="s">
        <v>949</v>
      </c>
      <c r="R599" t="s">
        <v>61</v>
      </c>
      <c r="S599" t="s">
        <v>58</v>
      </c>
      <c r="T599" t="s">
        <v>948</v>
      </c>
      <c r="U599" t="s">
        <v>949</v>
      </c>
      <c r="V599" t="s">
        <v>56</v>
      </c>
      <c r="W599" t="s">
        <v>56</v>
      </c>
      <c r="X599" t="s">
        <v>56</v>
      </c>
      <c r="Y599" t="s">
        <v>62</v>
      </c>
      <c r="Z599" t="s">
        <v>63</v>
      </c>
      <c r="AA599" t="s">
        <v>64</v>
      </c>
      <c r="AB599">
        <v>1</v>
      </c>
      <c r="AC599" t="s">
        <v>84</v>
      </c>
      <c r="AD599" t="s">
        <v>66</v>
      </c>
      <c r="AE599" t="s">
        <v>67</v>
      </c>
      <c r="AF599" t="s">
        <v>68</v>
      </c>
      <c r="AG599">
        <v>40650.410000000003</v>
      </c>
      <c r="AH599" t="s">
        <v>69</v>
      </c>
      <c r="AI599" t="s">
        <v>168</v>
      </c>
      <c r="AJ599" t="s">
        <v>133</v>
      </c>
      <c r="AK599" t="s">
        <v>72</v>
      </c>
      <c r="AL599" t="s">
        <v>73</v>
      </c>
      <c r="AM599" t="s">
        <v>73</v>
      </c>
      <c r="AN599" t="s">
        <v>74</v>
      </c>
    </row>
    <row r="600" spans="1:40" x14ac:dyDescent="0.25">
      <c r="A600" t="s">
        <v>1173</v>
      </c>
      <c r="B600" t="s">
        <v>5</v>
      </c>
      <c r="C600">
        <v>514.78220299999998</v>
      </c>
      <c r="D600">
        <v>413.43115999999998</v>
      </c>
      <c r="E600" t="s">
        <v>56</v>
      </c>
      <c r="F600">
        <v>-30973.360000000001</v>
      </c>
      <c r="G600" t="s">
        <v>1173</v>
      </c>
      <c r="H600" t="s">
        <v>7</v>
      </c>
      <c r="I600">
        <v>33307.07</v>
      </c>
      <c r="J600">
        <v>773.33856300000002</v>
      </c>
      <c r="K600">
        <v>656.899091</v>
      </c>
      <c r="L600">
        <v>0</v>
      </c>
      <c r="M600" t="s">
        <v>1173</v>
      </c>
      <c r="N600" t="s">
        <v>57</v>
      </c>
      <c r="O600" t="s">
        <v>58</v>
      </c>
      <c r="P600" t="s">
        <v>1174</v>
      </c>
      <c r="Q600" t="s">
        <v>1175</v>
      </c>
      <c r="R600" t="s">
        <v>61</v>
      </c>
      <c r="S600" t="s">
        <v>58</v>
      </c>
      <c r="T600" t="s">
        <v>1174</v>
      </c>
      <c r="U600" t="s">
        <v>1175</v>
      </c>
      <c r="V600" t="s">
        <v>56</v>
      </c>
      <c r="W600" t="s">
        <v>56</v>
      </c>
      <c r="X600" t="s">
        <v>56</v>
      </c>
      <c r="Y600" t="s">
        <v>62</v>
      </c>
      <c r="Z600" t="s">
        <v>63</v>
      </c>
      <c r="AA600" t="s">
        <v>64</v>
      </c>
      <c r="AB600">
        <v>1</v>
      </c>
      <c r="AC600" t="s">
        <v>84</v>
      </c>
      <c r="AD600" t="s">
        <v>66</v>
      </c>
      <c r="AE600" t="s">
        <v>67</v>
      </c>
      <c r="AF600" t="s">
        <v>68</v>
      </c>
      <c r="AG600">
        <v>48283.18</v>
      </c>
      <c r="AH600" t="s">
        <v>69</v>
      </c>
      <c r="AI600" t="s">
        <v>829</v>
      </c>
      <c r="AJ600" t="s">
        <v>93</v>
      </c>
      <c r="AK600" t="s">
        <v>72</v>
      </c>
      <c r="AL600" t="s">
        <v>73</v>
      </c>
      <c r="AM600" t="s">
        <v>73</v>
      </c>
      <c r="AN600" t="s">
        <v>74</v>
      </c>
    </row>
    <row r="601" spans="1:40" x14ac:dyDescent="0.25">
      <c r="A601" t="s">
        <v>1824</v>
      </c>
      <c r="B601" t="s">
        <v>5</v>
      </c>
      <c r="C601" s="2">
        <v>513.86494700000003</v>
      </c>
      <c r="D601" t="s">
        <v>56</v>
      </c>
      <c r="E601" t="s">
        <v>56</v>
      </c>
      <c r="F601">
        <v>-9440.4599999999991</v>
      </c>
      <c r="G601" t="s">
        <v>1824</v>
      </c>
      <c r="H601" t="s">
        <v>7</v>
      </c>
      <c r="I601">
        <v>13515.33</v>
      </c>
      <c r="J601">
        <v>0</v>
      </c>
      <c r="K601">
        <v>0</v>
      </c>
      <c r="L601">
        <v>0</v>
      </c>
      <c r="M601" t="s">
        <v>1824</v>
      </c>
      <c r="N601" t="s">
        <v>57</v>
      </c>
      <c r="O601" t="s">
        <v>58</v>
      </c>
      <c r="P601" t="s">
        <v>1825</v>
      </c>
      <c r="Q601" t="s">
        <v>1826</v>
      </c>
      <c r="R601" t="s">
        <v>61</v>
      </c>
      <c r="S601" t="s">
        <v>58</v>
      </c>
      <c r="T601" t="s">
        <v>1825</v>
      </c>
      <c r="U601" t="s">
        <v>1826</v>
      </c>
      <c r="V601" t="s">
        <v>56</v>
      </c>
      <c r="W601" t="s">
        <v>56</v>
      </c>
      <c r="X601" t="s">
        <v>56</v>
      </c>
      <c r="Y601" t="s">
        <v>62</v>
      </c>
      <c r="Z601" t="s">
        <v>63</v>
      </c>
      <c r="AA601" t="s">
        <v>64</v>
      </c>
      <c r="AB601">
        <v>1</v>
      </c>
      <c r="AC601" t="s">
        <v>65</v>
      </c>
      <c r="AD601" t="s">
        <v>66</v>
      </c>
      <c r="AE601" t="s">
        <v>85</v>
      </c>
      <c r="AF601" t="s">
        <v>103</v>
      </c>
      <c r="AG601">
        <v>49934.96</v>
      </c>
      <c r="AH601" t="s">
        <v>69</v>
      </c>
      <c r="AI601" t="s">
        <v>181</v>
      </c>
      <c r="AJ601" t="s">
        <v>457</v>
      </c>
      <c r="AK601" t="s">
        <v>72</v>
      </c>
      <c r="AL601" t="s">
        <v>73</v>
      </c>
      <c r="AM601" t="s">
        <v>73</v>
      </c>
      <c r="AN601" t="s">
        <v>56</v>
      </c>
    </row>
    <row r="602" spans="1:40" x14ac:dyDescent="0.25">
      <c r="A602" t="s">
        <v>2432</v>
      </c>
      <c r="B602" t="s">
        <v>5</v>
      </c>
      <c r="C602">
        <v>513.18089999999995</v>
      </c>
      <c r="D602">
        <v>435.91265499999997</v>
      </c>
      <c r="E602" t="s">
        <v>56</v>
      </c>
      <c r="F602">
        <v>-15483.32</v>
      </c>
      <c r="G602" t="s">
        <v>2432</v>
      </c>
      <c r="H602" t="s">
        <v>7</v>
      </c>
      <c r="I602">
        <v>18531.48</v>
      </c>
      <c r="J602">
        <v>755.45877700000005</v>
      </c>
      <c r="K602">
        <v>641.71141599999999</v>
      </c>
      <c r="L602">
        <v>0</v>
      </c>
      <c r="M602" t="s">
        <v>2432</v>
      </c>
      <c r="N602" t="s">
        <v>57</v>
      </c>
      <c r="O602" t="s">
        <v>58</v>
      </c>
      <c r="P602" t="s">
        <v>2433</v>
      </c>
      <c r="Q602" t="s">
        <v>2434</v>
      </c>
      <c r="R602" t="s">
        <v>61</v>
      </c>
      <c r="S602" t="s">
        <v>58</v>
      </c>
      <c r="T602" t="s">
        <v>2433</v>
      </c>
      <c r="U602" t="s">
        <v>2434</v>
      </c>
      <c r="V602" t="s">
        <v>56</v>
      </c>
      <c r="W602" t="s">
        <v>56</v>
      </c>
      <c r="X602" t="s">
        <v>56</v>
      </c>
      <c r="Y602" t="s">
        <v>62</v>
      </c>
      <c r="Z602" t="s">
        <v>63</v>
      </c>
      <c r="AA602" t="s">
        <v>64</v>
      </c>
      <c r="AB602">
        <v>1</v>
      </c>
      <c r="AC602" t="s">
        <v>84</v>
      </c>
      <c r="AD602" t="s">
        <v>66</v>
      </c>
      <c r="AE602" t="s">
        <v>67</v>
      </c>
      <c r="AF602" t="s">
        <v>68</v>
      </c>
      <c r="AG602">
        <v>27499</v>
      </c>
      <c r="AH602" t="s">
        <v>69</v>
      </c>
      <c r="AI602" t="s">
        <v>186</v>
      </c>
      <c r="AJ602" t="s">
        <v>105</v>
      </c>
      <c r="AK602" t="s">
        <v>72</v>
      </c>
      <c r="AL602" t="s">
        <v>73</v>
      </c>
      <c r="AM602" t="s">
        <v>73</v>
      </c>
      <c r="AN602" t="s">
        <v>74</v>
      </c>
    </row>
    <row r="603" spans="1:40" x14ac:dyDescent="0.25">
      <c r="A603" t="s">
        <v>1222</v>
      </c>
      <c r="B603" t="s">
        <v>5</v>
      </c>
      <c r="C603" s="2">
        <v>511.90513299999998</v>
      </c>
      <c r="D603">
        <v>434.82897700000001</v>
      </c>
      <c r="E603" t="s">
        <v>56</v>
      </c>
      <c r="F603">
        <v>-60913.95</v>
      </c>
      <c r="G603" t="s">
        <v>1222</v>
      </c>
      <c r="H603" t="s">
        <v>7</v>
      </c>
      <c r="I603">
        <v>68667.8</v>
      </c>
      <c r="J603">
        <v>0</v>
      </c>
      <c r="K603">
        <v>0</v>
      </c>
      <c r="L603">
        <v>0</v>
      </c>
      <c r="M603" t="s">
        <v>1222</v>
      </c>
      <c r="N603" t="s">
        <v>57</v>
      </c>
      <c r="O603" t="s">
        <v>58</v>
      </c>
      <c r="P603" t="s">
        <v>1223</v>
      </c>
      <c r="Q603" t="s">
        <v>1224</v>
      </c>
      <c r="R603" t="s">
        <v>61</v>
      </c>
      <c r="S603" t="s">
        <v>58</v>
      </c>
      <c r="T603" t="s">
        <v>1223</v>
      </c>
      <c r="U603" t="s">
        <v>1224</v>
      </c>
      <c r="V603" t="s">
        <v>56</v>
      </c>
      <c r="W603" t="s">
        <v>56</v>
      </c>
      <c r="X603" t="s">
        <v>56</v>
      </c>
      <c r="Y603" t="s">
        <v>62</v>
      </c>
      <c r="Z603" t="s">
        <v>63</v>
      </c>
      <c r="AA603" t="s">
        <v>64</v>
      </c>
      <c r="AB603">
        <v>1</v>
      </c>
      <c r="AC603" t="s">
        <v>120</v>
      </c>
      <c r="AD603" t="s">
        <v>66</v>
      </c>
      <c r="AE603" t="s">
        <v>67</v>
      </c>
      <c r="AF603" t="s">
        <v>68</v>
      </c>
      <c r="AG603">
        <v>0</v>
      </c>
      <c r="AH603" t="s">
        <v>69</v>
      </c>
      <c r="AI603" t="s">
        <v>128</v>
      </c>
      <c r="AJ603" t="s">
        <v>339</v>
      </c>
      <c r="AK603" t="s">
        <v>72</v>
      </c>
      <c r="AL603" t="s">
        <v>73</v>
      </c>
      <c r="AM603" t="s">
        <v>73</v>
      </c>
      <c r="AN603" t="s">
        <v>74</v>
      </c>
    </row>
    <row r="604" spans="1:40" x14ac:dyDescent="0.25">
      <c r="A604" t="s">
        <v>2226</v>
      </c>
      <c r="B604" t="s">
        <v>5</v>
      </c>
      <c r="C604">
        <v>511.90513299999998</v>
      </c>
      <c r="D604">
        <v>434.82897700000001</v>
      </c>
      <c r="E604" t="s">
        <v>56</v>
      </c>
      <c r="F604">
        <v>-60913.95</v>
      </c>
      <c r="G604" t="s">
        <v>2226</v>
      </c>
      <c r="H604" t="s">
        <v>7</v>
      </c>
      <c r="I604">
        <v>68667.8</v>
      </c>
      <c r="J604">
        <v>709.78567299999997</v>
      </c>
      <c r="K604">
        <v>602.91518499999995</v>
      </c>
      <c r="L604">
        <v>0</v>
      </c>
      <c r="M604" t="s">
        <v>2226</v>
      </c>
      <c r="N604" t="s">
        <v>57</v>
      </c>
      <c r="O604" t="s">
        <v>58</v>
      </c>
      <c r="P604" t="s">
        <v>2227</v>
      </c>
      <c r="Q604" t="s">
        <v>1224</v>
      </c>
      <c r="R604" t="s">
        <v>61</v>
      </c>
      <c r="S604" t="s">
        <v>58</v>
      </c>
      <c r="T604" t="s">
        <v>2227</v>
      </c>
      <c r="U604" t="s">
        <v>1224</v>
      </c>
      <c r="V604" t="s">
        <v>56</v>
      </c>
      <c r="W604" t="s">
        <v>56</v>
      </c>
      <c r="X604" t="s">
        <v>56</v>
      </c>
      <c r="Y604" t="s">
        <v>62</v>
      </c>
      <c r="Z604" t="s">
        <v>63</v>
      </c>
      <c r="AA604" t="s">
        <v>64</v>
      </c>
      <c r="AB604">
        <v>1</v>
      </c>
      <c r="AC604" t="s">
        <v>120</v>
      </c>
      <c r="AD604" t="s">
        <v>66</v>
      </c>
      <c r="AE604" t="s">
        <v>67</v>
      </c>
      <c r="AF604" t="s">
        <v>68</v>
      </c>
      <c r="AG604">
        <v>108455.29</v>
      </c>
      <c r="AH604" t="s">
        <v>69</v>
      </c>
      <c r="AI604" t="s">
        <v>128</v>
      </c>
      <c r="AJ604" t="s">
        <v>339</v>
      </c>
      <c r="AK604" t="s">
        <v>72</v>
      </c>
      <c r="AL604" t="s">
        <v>73</v>
      </c>
      <c r="AM604" t="s">
        <v>73</v>
      </c>
      <c r="AN604" t="s">
        <v>74</v>
      </c>
    </row>
    <row r="605" spans="1:40" x14ac:dyDescent="0.25">
      <c r="A605" t="s">
        <v>1385</v>
      </c>
      <c r="B605" t="s">
        <v>5</v>
      </c>
      <c r="C605">
        <v>511.22352899999998</v>
      </c>
      <c r="D605">
        <v>434.25</v>
      </c>
      <c r="E605" t="s">
        <v>56</v>
      </c>
      <c r="F605">
        <v>-15419.36</v>
      </c>
      <c r="G605" t="s">
        <v>1385</v>
      </c>
      <c r="H605" t="s">
        <v>7</v>
      </c>
      <c r="I605">
        <v>16811.39</v>
      </c>
      <c r="J605">
        <v>685.56293000000005</v>
      </c>
      <c r="K605">
        <v>582.33959500000003</v>
      </c>
      <c r="L605">
        <v>0</v>
      </c>
      <c r="M605" t="s">
        <v>1385</v>
      </c>
      <c r="N605" t="s">
        <v>57</v>
      </c>
      <c r="O605" t="s">
        <v>58</v>
      </c>
      <c r="P605" t="s">
        <v>1386</v>
      </c>
      <c r="Q605" t="s">
        <v>1387</v>
      </c>
      <c r="R605" t="s">
        <v>61</v>
      </c>
      <c r="S605" t="s">
        <v>58</v>
      </c>
      <c r="T605" t="s">
        <v>1386</v>
      </c>
      <c r="U605" t="s">
        <v>1387</v>
      </c>
      <c r="V605" t="s">
        <v>56</v>
      </c>
      <c r="W605" t="s">
        <v>56</v>
      </c>
      <c r="X605" t="s">
        <v>56</v>
      </c>
      <c r="Y605" t="s">
        <v>62</v>
      </c>
      <c r="Z605" t="s">
        <v>63</v>
      </c>
      <c r="AA605" t="s">
        <v>64</v>
      </c>
      <c r="AB605">
        <v>1</v>
      </c>
      <c r="AC605" t="s">
        <v>78</v>
      </c>
      <c r="AD605" t="s">
        <v>66</v>
      </c>
      <c r="AE605" t="s">
        <v>67</v>
      </c>
      <c r="AF605" t="s">
        <v>68</v>
      </c>
      <c r="AG605">
        <v>27490.240000000002</v>
      </c>
      <c r="AH605" t="s">
        <v>69</v>
      </c>
      <c r="AI605" t="s">
        <v>220</v>
      </c>
      <c r="AJ605" t="s">
        <v>240</v>
      </c>
      <c r="AK605" t="s">
        <v>280</v>
      </c>
      <c r="AL605" t="s">
        <v>73</v>
      </c>
      <c r="AM605" t="s">
        <v>73</v>
      </c>
      <c r="AN605" t="s">
        <v>74</v>
      </c>
    </row>
    <row r="606" spans="1:40" x14ac:dyDescent="0.25">
      <c r="A606" t="s">
        <v>616</v>
      </c>
      <c r="B606" t="s">
        <v>5</v>
      </c>
      <c r="C606">
        <v>505.289759</v>
      </c>
      <c r="D606">
        <v>429.20966099999998</v>
      </c>
      <c r="E606" t="s">
        <v>56</v>
      </c>
      <c r="F606">
        <v>-23572.95</v>
      </c>
      <c r="G606" t="s">
        <v>616</v>
      </c>
      <c r="H606" t="s">
        <v>7</v>
      </c>
      <c r="I606">
        <v>25708.25</v>
      </c>
      <c r="J606">
        <v>677.802953</v>
      </c>
      <c r="K606">
        <v>575.74801600000001</v>
      </c>
      <c r="L606">
        <v>0</v>
      </c>
      <c r="M606" t="s">
        <v>616</v>
      </c>
      <c r="N606" t="s">
        <v>57</v>
      </c>
      <c r="O606" t="s">
        <v>58</v>
      </c>
      <c r="P606" t="s">
        <v>617</v>
      </c>
      <c r="Q606" t="s">
        <v>618</v>
      </c>
      <c r="R606" t="s">
        <v>61</v>
      </c>
      <c r="S606" t="s">
        <v>58</v>
      </c>
      <c r="T606" t="s">
        <v>617</v>
      </c>
      <c r="U606" t="s">
        <v>618</v>
      </c>
      <c r="V606" t="s">
        <v>56</v>
      </c>
      <c r="W606" t="s">
        <v>56</v>
      </c>
      <c r="X606" t="s">
        <v>56</v>
      </c>
      <c r="Y606" t="s">
        <v>62</v>
      </c>
      <c r="Z606" t="s">
        <v>63</v>
      </c>
      <c r="AA606" t="s">
        <v>64</v>
      </c>
      <c r="AB606">
        <v>1</v>
      </c>
      <c r="AC606" t="s">
        <v>84</v>
      </c>
      <c r="AD606" t="s">
        <v>66</v>
      </c>
      <c r="AE606" t="s">
        <v>67</v>
      </c>
      <c r="AF606" t="s">
        <v>68</v>
      </c>
      <c r="AG606">
        <v>42520.33</v>
      </c>
      <c r="AH606" t="s">
        <v>69</v>
      </c>
      <c r="AI606" t="s">
        <v>104</v>
      </c>
      <c r="AJ606" t="s">
        <v>619</v>
      </c>
      <c r="AK606" t="s">
        <v>72</v>
      </c>
      <c r="AL606" t="s">
        <v>73</v>
      </c>
      <c r="AM606" t="s">
        <v>73</v>
      </c>
      <c r="AN606" t="s">
        <v>74</v>
      </c>
    </row>
    <row r="607" spans="1:40" x14ac:dyDescent="0.25">
      <c r="A607" t="s">
        <v>1961</v>
      </c>
      <c r="B607" t="s">
        <v>5</v>
      </c>
      <c r="C607">
        <v>504.93562200000002</v>
      </c>
      <c r="D607">
        <v>565.84533699999997</v>
      </c>
      <c r="E607" t="s">
        <v>56</v>
      </c>
      <c r="F607">
        <v>-28110.93</v>
      </c>
      <c r="G607" t="s">
        <v>1961</v>
      </c>
      <c r="H607" t="s">
        <v>7</v>
      </c>
      <c r="I607">
        <v>31933.13</v>
      </c>
      <c r="J607">
        <v>813.38730999999996</v>
      </c>
      <c r="K607">
        <v>690.91780700000004</v>
      </c>
      <c r="L607">
        <v>0</v>
      </c>
      <c r="M607" t="s">
        <v>1961</v>
      </c>
      <c r="N607" t="s">
        <v>57</v>
      </c>
      <c r="O607" t="s">
        <v>58</v>
      </c>
      <c r="P607" t="s">
        <v>1962</v>
      </c>
      <c r="Q607" t="s">
        <v>905</v>
      </c>
      <c r="R607" t="s">
        <v>61</v>
      </c>
      <c r="S607" t="s">
        <v>58</v>
      </c>
      <c r="T607" t="s">
        <v>1962</v>
      </c>
      <c r="U607" t="s">
        <v>905</v>
      </c>
      <c r="V607" t="s">
        <v>56</v>
      </c>
      <c r="W607" t="s">
        <v>56</v>
      </c>
      <c r="X607" t="s">
        <v>56</v>
      </c>
      <c r="Y607" t="s">
        <v>62</v>
      </c>
      <c r="Z607" t="s">
        <v>63</v>
      </c>
      <c r="AA607" t="s">
        <v>64</v>
      </c>
      <c r="AB607">
        <v>1</v>
      </c>
      <c r="AC607" t="s">
        <v>84</v>
      </c>
      <c r="AD607" t="s">
        <v>66</v>
      </c>
      <c r="AE607" t="s">
        <v>67</v>
      </c>
      <c r="AF607" t="s">
        <v>103</v>
      </c>
      <c r="AG607">
        <v>44012.72</v>
      </c>
      <c r="AH607" t="s">
        <v>69</v>
      </c>
      <c r="AI607" t="s">
        <v>186</v>
      </c>
      <c r="AJ607" t="s">
        <v>477</v>
      </c>
      <c r="AK607" t="s">
        <v>72</v>
      </c>
      <c r="AL607" t="s">
        <v>73</v>
      </c>
      <c r="AM607" t="s">
        <v>73</v>
      </c>
      <c r="AN607" t="s">
        <v>74</v>
      </c>
    </row>
    <row r="608" spans="1:40" x14ac:dyDescent="0.25">
      <c r="A608" t="s">
        <v>2136</v>
      </c>
      <c r="B608" t="s">
        <v>5</v>
      </c>
      <c r="C608">
        <v>504.54313300000001</v>
      </c>
      <c r="D608">
        <v>428.57545299999998</v>
      </c>
      <c r="E608" t="s">
        <v>56</v>
      </c>
      <c r="F608">
        <v>-27678.19</v>
      </c>
      <c r="G608" t="s">
        <v>2136</v>
      </c>
      <c r="H608" t="s">
        <v>7</v>
      </c>
      <c r="I608">
        <v>30787.11</v>
      </c>
      <c r="J608">
        <v>690.29492400000004</v>
      </c>
      <c r="K608">
        <v>586.359105</v>
      </c>
      <c r="L608">
        <v>0</v>
      </c>
      <c r="M608" t="s">
        <v>2136</v>
      </c>
      <c r="N608" t="s">
        <v>57</v>
      </c>
      <c r="O608" t="s">
        <v>58</v>
      </c>
      <c r="P608" t="s">
        <v>2137</v>
      </c>
      <c r="Q608" t="s">
        <v>2138</v>
      </c>
      <c r="R608" t="s">
        <v>61</v>
      </c>
      <c r="S608" t="s">
        <v>58</v>
      </c>
      <c r="T608" t="s">
        <v>2137</v>
      </c>
      <c r="U608" t="s">
        <v>2138</v>
      </c>
      <c r="V608" t="s">
        <v>56</v>
      </c>
      <c r="W608" t="s">
        <v>56</v>
      </c>
      <c r="X608" t="s">
        <v>56</v>
      </c>
      <c r="Y608" t="s">
        <v>62</v>
      </c>
      <c r="Z608" t="s">
        <v>63</v>
      </c>
      <c r="AA608" t="s">
        <v>64</v>
      </c>
      <c r="AB608">
        <v>1</v>
      </c>
      <c r="AC608" t="s">
        <v>84</v>
      </c>
      <c r="AD608" t="s">
        <v>66</v>
      </c>
      <c r="AE608" t="s">
        <v>67</v>
      </c>
      <c r="AF608" t="s">
        <v>68</v>
      </c>
      <c r="AG608">
        <v>49999.19</v>
      </c>
      <c r="AH608" t="s">
        <v>69</v>
      </c>
      <c r="AI608" t="s">
        <v>501</v>
      </c>
      <c r="AJ608" t="s">
        <v>359</v>
      </c>
      <c r="AK608" t="s">
        <v>72</v>
      </c>
      <c r="AL608" t="s">
        <v>73</v>
      </c>
      <c r="AM608" t="s">
        <v>73</v>
      </c>
      <c r="AN608" t="s">
        <v>74</v>
      </c>
    </row>
    <row r="609" spans="1:40" x14ac:dyDescent="0.25">
      <c r="A609" t="s">
        <v>897</v>
      </c>
      <c r="B609" t="s">
        <v>5</v>
      </c>
      <c r="C609">
        <v>502.29877099999999</v>
      </c>
      <c r="D609">
        <v>426.66901799999999</v>
      </c>
      <c r="E609" t="s">
        <v>56</v>
      </c>
      <c r="F609">
        <v>-16219.69</v>
      </c>
      <c r="G609" t="s">
        <v>897</v>
      </c>
      <c r="H609" t="s">
        <v>7</v>
      </c>
      <c r="I609">
        <v>19869.53</v>
      </c>
      <c r="J609">
        <v>615.31282699999997</v>
      </c>
      <c r="K609">
        <v>522.66685800000005</v>
      </c>
      <c r="L609">
        <v>0</v>
      </c>
      <c r="M609" t="s">
        <v>897</v>
      </c>
      <c r="N609" t="s">
        <v>57</v>
      </c>
      <c r="O609" t="s">
        <v>58</v>
      </c>
      <c r="P609" t="s">
        <v>898</v>
      </c>
      <c r="Q609" t="s">
        <v>899</v>
      </c>
      <c r="R609" t="s">
        <v>61</v>
      </c>
      <c r="S609" t="s">
        <v>58</v>
      </c>
      <c r="T609" t="s">
        <v>898</v>
      </c>
      <c r="U609" t="s">
        <v>899</v>
      </c>
      <c r="V609" t="s">
        <v>56</v>
      </c>
      <c r="W609" t="s">
        <v>56</v>
      </c>
      <c r="X609" t="s">
        <v>56</v>
      </c>
      <c r="Y609" t="s">
        <v>62</v>
      </c>
      <c r="Z609" t="s">
        <v>63</v>
      </c>
      <c r="AA609" t="s">
        <v>64</v>
      </c>
      <c r="AB609">
        <v>1</v>
      </c>
      <c r="AC609" t="s">
        <v>84</v>
      </c>
      <c r="AD609" t="s">
        <v>66</v>
      </c>
      <c r="AE609" t="s">
        <v>67</v>
      </c>
      <c r="AF609" t="s">
        <v>68</v>
      </c>
      <c r="AG609">
        <v>36200</v>
      </c>
      <c r="AH609" t="s">
        <v>69</v>
      </c>
      <c r="AI609" t="s">
        <v>122</v>
      </c>
      <c r="AJ609" t="s">
        <v>236</v>
      </c>
      <c r="AK609" t="s">
        <v>99</v>
      </c>
      <c r="AL609" t="s">
        <v>73</v>
      </c>
      <c r="AM609" t="s">
        <v>73</v>
      </c>
      <c r="AN609" t="s">
        <v>74</v>
      </c>
    </row>
    <row r="610" spans="1:40" x14ac:dyDescent="0.25">
      <c r="A610" t="s">
        <v>2444</v>
      </c>
      <c r="B610" t="s">
        <v>5</v>
      </c>
      <c r="C610">
        <v>501.08466299999998</v>
      </c>
      <c r="D610">
        <v>425.63771500000001</v>
      </c>
      <c r="E610" t="s">
        <v>56</v>
      </c>
      <c r="F610">
        <v>-19004</v>
      </c>
      <c r="G610" t="s">
        <v>2444</v>
      </c>
      <c r="H610" t="s">
        <v>7</v>
      </c>
      <c r="I610">
        <v>20955.25</v>
      </c>
      <c r="J610">
        <v>679.62131199999999</v>
      </c>
      <c r="K610">
        <v>577.29259000000002</v>
      </c>
      <c r="L610">
        <v>0</v>
      </c>
      <c r="M610" t="s">
        <v>2444</v>
      </c>
      <c r="N610" t="s">
        <v>57</v>
      </c>
      <c r="O610" t="s">
        <v>58</v>
      </c>
      <c r="P610" t="s">
        <v>2445</v>
      </c>
      <c r="Q610" t="s">
        <v>2446</v>
      </c>
      <c r="R610" t="s">
        <v>61</v>
      </c>
      <c r="S610" t="s">
        <v>58</v>
      </c>
      <c r="T610" t="s">
        <v>2445</v>
      </c>
      <c r="U610" t="s">
        <v>2446</v>
      </c>
      <c r="V610" t="s">
        <v>56</v>
      </c>
      <c r="W610" t="s">
        <v>56</v>
      </c>
      <c r="X610" t="s">
        <v>56</v>
      </c>
      <c r="Y610" t="s">
        <v>62</v>
      </c>
      <c r="Z610" t="s">
        <v>63</v>
      </c>
      <c r="AA610" t="s">
        <v>64</v>
      </c>
      <c r="AB610">
        <v>1</v>
      </c>
      <c r="AC610" t="s">
        <v>84</v>
      </c>
      <c r="AD610" t="s">
        <v>66</v>
      </c>
      <c r="AE610" t="s">
        <v>67</v>
      </c>
      <c r="AF610" t="s">
        <v>68</v>
      </c>
      <c r="AG610">
        <v>34566.660000000003</v>
      </c>
      <c r="AH610" t="s">
        <v>69</v>
      </c>
      <c r="AI610" t="s">
        <v>97</v>
      </c>
      <c r="AJ610" t="s">
        <v>692</v>
      </c>
      <c r="AK610" t="s">
        <v>72</v>
      </c>
      <c r="AL610" t="s">
        <v>73</v>
      </c>
      <c r="AM610" t="s">
        <v>73</v>
      </c>
      <c r="AN610" t="s">
        <v>74</v>
      </c>
    </row>
    <row r="611" spans="1:40" x14ac:dyDescent="0.25">
      <c r="A611" t="s">
        <v>876</v>
      </c>
      <c r="B611" t="s">
        <v>5</v>
      </c>
      <c r="C611">
        <v>498.89216199999998</v>
      </c>
      <c r="D611">
        <v>637.08544800000004</v>
      </c>
      <c r="E611" t="s">
        <v>56</v>
      </c>
      <c r="F611">
        <v>-56981.68</v>
      </c>
      <c r="G611" t="s">
        <v>876</v>
      </c>
      <c r="H611" t="s">
        <v>7</v>
      </c>
      <c r="I611">
        <v>76939.320000000007</v>
      </c>
      <c r="J611">
        <v>828.56266700000003</v>
      </c>
      <c r="K611">
        <v>1058.074787</v>
      </c>
      <c r="L611">
        <v>0</v>
      </c>
      <c r="M611" t="s">
        <v>876</v>
      </c>
      <c r="N611" t="s">
        <v>57</v>
      </c>
      <c r="O611" t="s">
        <v>58</v>
      </c>
      <c r="P611" t="s">
        <v>877</v>
      </c>
      <c r="Q611" t="s">
        <v>878</v>
      </c>
      <c r="R611" t="s">
        <v>61</v>
      </c>
      <c r="S611" t="s">
        <v>58</v>
      </c>
      <c r="T611" t="s">
        <v>877</v>
      </c>
      <c r="U611" t="s">
        <v>878</v>
      </c>
      <c r="V611" t="s">
        <v>56</v>
      </c>
      <c r="W611" t="s">
        <v>56</v>
      </c>
      <c r="X611" t="s">
        <v>56</v>
      </c>
      <c r="Y611" t="s">
        <v>62</v>
      </c>
      <c r="Z611" t="s">
        <v>63</v>
      </c>
      <c r="AA611" t="s">
        <v>64</v>
      </c>
      <c r="AB611">
        <v>1</v>
      </c>
      <c r="AC611" t="s">
        <v>84</v>
      </c>
      <c r="AD611" t="s">
        <v>66</v>
      </c>
      <c r="AE611" t="s">
        <v>121</v>
      </c>
      <c r="AF611" t="s">
        <v>68</v>
      </c>
      <c r="AG611">
        <v>88211.37</v>
      </c>
      <c r="AH611" t="s">
        <v>69</v>
      </c>
      <c r="AI611" t="s">
        <v>355</v>
      </c>
      <c r="AJ611" t="s">
        <v>71</v>
      </c>
      <c r="AK611" t="s">
        <v>72</v>
      </c>
      <c r="AL611" t="s">
        <v>73</v>
      </c>
      <c r="AM611" t="s">
        <v>73</v>
      </c>
      <c r="AN611" t="s">
        <v>124</v>
      </c>
    </row>
    <row r="612" spans="1:40" x14ac:dyDescent="0.25">
      <c r="A612" t="s">
        <v>444</v>
      </c>
      <c r="B612" t="s">
        <v>5</v>
      </c>
      <c r="C612">
        <v>498.64635700000002</v>
      </c>
      <c r="D612">
        <v>423.56653899999998</v>
      </c>
      <c r="E612" t="s">
        <v>56</v>
      </c>
      <c r="F612">
        <v>-25236.66</v>
      </c>
      <c r="G612" t="s">
        <v>444</v>
      </c>
      <c r="H612" t="s">
        <v>7</v>
      </c>
      <c r="I612">
        <v>29389.200000000001</v>
      </c>
      <c r="J612">
        <v>714.26318600000002</v>
      </c>
      <c r="K612">
        <v>606.71853199999998</v>
      </c>
      <c r="L612">
        <v>0</v>
      </c>
      <c r="M612" t="s">
        <v>444</v>
      </c>
      <c r="N612" t="s">
        <v>57</v>
      </c>
      <c r="O612" t="s">
        <v>58</v>
      </c>
      <c r="P612" t="s">
        <v>445</v>
      </c>
      <c r="Q612" t="s">
        <v>446</v>
      </c>
      <c r="R612" t="s">
        <v>61</v>
      </c>
      <c r="S612" t="s">
        <v>58</v>
      </c>
      <c r="T612" t="s">
        <v>445</v>
      </c>
      <c r="U612" t="s">
        <v>446</v>
      </c>
      <c r="V612" t="s">
        <v>56</v>
      </c>
      <c r="W612" t="s">
        <v>56</v>
      </c>
      <c r="X612" t="s">
        <v>56</v>
      </c>
      <c r="Y612" t="s">
        <v>62</v>
      </c>
      <c r="Z612" t="s">
        <v>63</v>
      </c>
      <c r="AA612" t="s">
        <v>64</v>
      </c>
      <c r="AB612">
        <v>1</v>
      </c>
      <c r="AC612" t="s">
        <v>65</v>
      </c>
      <c r="AD612" t="s">
        <v>66</v>
      </c>
      <c r="AE612" t="s">
        <v>67</v>
      </c>
      <c r="AF612" t="s">
        <v>68</v>
      </c>
      <c r="AG612">
        <v>46127.73</v>
      </c>
      <c r="AH612" t="s">
        <v>69</v>
      </c>
      <c r="AI612" t="s">
        <v>253</v>
      </c>
      <c r="AJ612" t="s">
        <v>105</v>
      </c>
      <c r="AK612" t="s">
        <v>72</v>
      </c>
      <c r="AL612" t="s">
        <v>73</v>
      </c>
      <c r="AM612" t="s">
        <v>73</v>
      </c>
      <c r="AN612" t="s">
        <v>74</v>
      </c>
    </row>
    <row r="613" spans="1:40" x14ac:dyDescent="0.25">
      <c r="A613" t="s">
        <v>1418</v>
      </c>
      <c r="B613" t="s">
        <v>5</v>
      </c>
      <c r="C613">
        <v>494.60829899999999</v>
      </c>
      <c r="D613">
        <v>420.13648000000001</v>
      </c>
      <c r="E613" t="s">
        <v>56</v>
      </c>
      <c r="F613">
        <v>-26038.83</v>
      </c>
      <c r="G613" t="s">
        <v>1418</v>
      </c>
      <c r="H613" t="s">
        <v>7</v>
      </c>
      <c r="I613">
        <v>30805.919999999998</v>
      </c>
      <c r="J613">
        <v>719.73283800000002</v>
      </c>
      <c r="K613">
        <v>611.36463300000003</v>
      </c>
      <c r="L613">
        <v>0</v>
      </c>
      <c r="M613" t="s">
        <v>1418</v>
      </c>
      <c r="N613" t="s">
        <v>57</v>
      </c>
      <c r="O613" t="s">
        <v>58</v>
      </c>
      <c r="P613" t="s">
        <v>1419</v>
      </c>
      <c r="Q613" t="s">
        <v>1420</v>
      </c>
      <c r="R613" t="s">
        <v>61</v>
      </c>
      <c r="S613" t="s">
        <v>58</v>
      </c>
      <c r="T613" t="s">
        <v>1419</v>
      </c>
      <c r="U613" t="s">
        <v>1420</v>
      </c>
      <c r="V613" t="s">
        <v>56</v>
      </c>
      <c r="W613" t="s">
        <v>56</v>
      </c>
      <c r="X613" t="s">
        <v>56</v>
      </c>
      <c r="Y613" t="s">
        <v>62</v>
      </c>
      <c r="Z613" t="s">
        <v>63</v>
      </c>
      <c r="AA613" t="s">
        <v>64</v>
      </c>
      <c r="AB613">
        <v>1</v>
      </c>
      <c r="AC613" t="s">
        <v>84</v>
      </c>
      <c r="AD613" t="s">
        <v>66</v>
      </c>
      <c r="AE613" t="s">
        <v>67</v>
      </c>
      <c r="AF613" t="s">
        <v>103</v>
      </c>
      <c r="AG613">
        <v>47982.5</v>
      </c>
      <c r="AH613" t="s">
        <v>69</v>
      </c>
      <c r="AI613" t="s">
        <v>87</v>
      </c>
      <c r="AJ613" t="s">
        <v>240</v>
      </c>
      <c r="AK613" t="s">
        <v>72</v>
      </c>
      <c r="AL613" t="s">
        <v>73</v>
      </c>
      <c r="AM613" t="s">
        <v>73</v>
      </c>
      <c r="AN613" t="s">
        <v>74</v>
      </c>
    </row>
    <row r="614" spans="1:40" x14ac:dyDescent="0.25">
      <c r="A614" t="s">
        <v>1022</v>
      </c>
      <c r="B614" t="s">
        <v>5</v>
      </c>
      <c r="C614">
        <v>494.224897</v>
      </c>
      <c r="D614">
        <v>419.81080500000002</v>
      </c>
      <c r="E614" t="s">
        <v>56</v>
      </c>
      <c r="F614">
        <v>-19623.34</v>
      </c>
      <c r="G614" t="s">
        <v>1022</v>
      </c>
      <c r="H614" t="s">
        <v>7</v>
      </c>
      <c r="I614">
        <v>25370.16</v>
      </c>
      <c r="J614">
        <v>741.198894</v>
      </c>
      <c r="K614">
        <v>629.59860400000002</v>
      </c>
      <c r="L614">
        <v>0</v>
      </c>
      <c r="M614" t="s">
        <v>1022</v>
      </c>
      <c r="N614" t="s">
        <v>57</v>
      </c>
      <c r="O614" t="s">
        <v>58</v>
      </c>
      <c r="P614" t="s">
        <v>1023</v>
      </c>
      <c r="Q614" t="s">
        <v>1024</v>
      </c>
      <c r="R614" t="s">
        <v>61</v>
      </c>
      <c r="S614" t="s">
        <v>58</v>
      </c>
      <c r="T614" t="s">
        <v>1023</v>
      </c>
      <c r="U614" t="s">
        <v>1024</v>
      </c>
      <c r="V614" t="s">
        <v>56</v>
      </c>
      <c r="W614" t="s">
        <v>56</v>
      </c>
      <c r="X614" t="s">
        <v>56</v>
      </c>
      <c r="Y614" t="s">
        <v>62</v>
      </c>
      <c r="Z614" t="s">
        <v>63</v>
      </c>
      <c r="AA614" t="s">
        <v>64</v>
      </c>
      <c r="AB614">
        <v>1</v>
      </c>
      <c r="AC614" t="s">
        <v>84</v>
      </c>
      <c r="AD614" t="s">
        <v>66</v>
      </c>
      <c r="AE614" t="s">
        <v>67</v>
      </c>
      <c r="AF614" t="s">
        <v>68</v>
      </c>
      <c r="AG614">
        <v>38372.410000000003</v>
      </c>
      <c r="AH614" t="s">
        <v>69</v>
      </c>
      <c r="AI614" t="s">
        <v>244</v>
      </c>
      <c r="AJ614" t="s">
        <v>293</v>
      </c>
      <c r="AK614" t="s">
        <v>72</v>
      </c>
      <c r="AL614" t="s">
        <v>73</v>
      </c>
      <c r="AM614" t="s">
        <v>73</v>
      </c>
      <c r="AN614" t="s">
        <v>74</v>
      </c>
    </row>
    <row r="615" spans="1:40" x14ac:dyDescent="0.25">
      <c r="A615" t="s">
        <v>492</v>
      </c>
      <c r="B615" t="s">
        <v>5</v>
      </c>
      <c r="C615">
        <v>492.73656399999999</v>
      </c>
      <c r="D615">
        <v>395.72589699999997</v>
      </c>
      <c r="E615" t="s">
        <v>56</v>
      </c>
      <c r="F615">
        <v>-30457.26</v>
      </c>
      <c r="G615" t="s">
        <v>492</v>
      </c>
      <c r="H615" t="s">
        <v>7</v>
      </c>
      <c r="I615">
        <v>36426.94</v>
      </c>
      <c r="J615">
        <v>823.26721099999997</v>
      </c>
      <c r="K615">
        <v>699.31011899999999</v>
      </c>
      <c r="L615">
        <v>0</v>
      </c>
      <c r="M615" t="s">
        <v>492</v>
      </c>
      <c r="N615" t="s">
        <v>57</v>
      </c>
      <c r="O615" t="s">
        <v>58</v>
      </c>
      <c r="P615" t="s">
        <v>493</v>
      </c>
      <c r="Q615" t="s">
        <v>494</v>
      </c>
      <c r="R615" t="s">
        <v>61</v>
      </c>
      <c r="S615" t="s">
        <v>58</v>
      </c>
      <c r="T615" t="s">
        <v>493</v>
      </c>
      <c r="U615" t="s">
        <v>494</v>
      </c>
      <c r="V615" t="s">
        <v>56</v>
      </c>
      <c r="W615" t="s">
        <v>56</v>
      </c>
      <c r="X615" t="s">
        <v>56</v>
      </c>
      <c r="Y615" t="s">
        <v>62</v>
      </c>
      <c r="Z615" t="s">
        <v>63</v>
      </c>
      <c r="AA615" t="s">
        <v>64</v>
      </c>
      <c r="AB615">
        <v>1</v>
      </c>
      <c r="AC615" t="s">
        <v>84</v>
      </c>
      <c r="AD615" t="s">
        <v>66</v>
      </c>
      <c r="AE615" t="s">
        <v>67</v>
      </c>
      <c r="AF615" t="s">
        <v>103</v>
      </c>
      <c r="AG615">
        <v>49602.97</v>
      </c>
      <c r="AH615" t="s">
        <v>69</v>
      </c>
      <c r="AI615" t="s">
        <v>220</v>
      </c>
      <c r="AJ615" t="s">
        <v>477</v>
      </c>
      <c r="AK615" t="s">
        <v>72</v>
      </c>
      <c r="AL615" t="s">
        <v>73</v>
      </c>
      <c r="AM615" t="s">
        <v>73</v>
      </c>
      <c r="AN615" t="s">
        <v>74</v>
      </c>
    </row>
    <row r="616" spans="1:40" x14ac:dyDescent="0.25">
      <c r="A616" t="s">
        <v>2128</v>
      </c>
      <c r="B616" t="s">
        <v>5</v>
      </c>
      <c r="C616">
        <v>491.684575</v>
      </c>
      <c r="D616">
        <v>417.65297299999997</v>
      </c>
      <c r="E616" t="s">
        <v>56</v>
      </c>
      <c r="F616">
        <v>-27569.71</v>
      </c>
      <c r="G616" t="s">
        <v>2128</v>
      </c>
      <c r="H616" t="s">
        <v>7</v>
      </c>
      <c r="I616">
        <v>30194.2</v>
      </c>
      <c r="J616">
        <v>662.34689900000001</v>
      </c>
      <c r="K616">
        <v>562.61913800000002</v>
      </c>
      <c r="L616">
        <v>0</v>
      </c>
      <c r="M616" t="s">
        <v>2128</v>
      </c>
      <c r="N616" t="s">
        <v>57</v>
      </c>
      <c r="O616" t="s">
        <v>58</v>
      </c>
      <c r="P616" t="s">
        <v>2129</v>
      </c>
      <c r="Q616" t="s">
        <v>2130</v>
      </c>
      <c r="R616" t="s">
        <v>61</v>
      </c>
      <c r="S616" t="s">
        <v>58</v>
      </c>
      <c r="T616" t="s">
        <v>2129</v>
      </c>
      <c r="U616" t="s">
        <v>2130</v>
      </c>
      <c r="V616" t="s">
        <v>56</v>
      </c>
      <c r="W616" t="s">
        <v>56</v>
      </c>
      <c r="X616" t="s">
        <v>56</v>
      </c>
      <c r="Y616" t="s">
        <v>62</v>
      </c>
      <c r="Z616" t="s">
        <v>63</v>
      </c>
      <c r="AA616" t="s">
        <v>64</v>
      </c>
      <c r="AB616">
        <v>1</v>
      </c>
      <c r="AC616" t="s">
        <v>78</v>
      </c>
      <c r="AD616" t="s">
        <v>66</v>
      </c>
      <c r="AE616" t="s">
        <v>67</v>
      </c>
      <c r="AF616" t="s">
        <v>86</v>
      </c>
      <c r="AG616">
        <v>51105.69</v>
      </c>
      <c r="AH616" t="s">
        <v>69</v>
      </c>
      <c r="AI616" t="s">
        <v>220</v>
      </c>
      <c r="AJ616" t="s">
        <v>1221</v>
      </c>
      <c r="AK616" t="s">
        <v>72</v>
      </c>
      <c r="AL616" t="s">
        <v>73</v>
      </c>
      <c r="AM616" t="s">
        <v>73</v>
      </c>
      <c r="AN616" t="s">
        <v>74</v>
      </c>
    </row>
    <row r="617" spans="1:40" x14ac:dyDescent="0.25">
      <c r="A617" t="s">
        <v>1369</v>
      </c>
      <c r="B617" t="s">
        <v>5</v>
      </c>
      <c r="C617" s="2">
        <v>491.30493200000001</v>
      </c>
      <c r="D617" t="s">
        <v>56</v>
      </c>
      <c r="E617" t="s">
        <v>56</v>
      </c>
      <c r="F617">
        <v>-1731.47</v>
      </c>
      <c r="G617" t="s">
        <v>1369</v>
      </c>
      <c r="H617" t="s">
        <v>7</v>
      </c>
      <c r="I617">
        <v>2991.98</v>
      </c>
      <c r="J617">
        <v>0</v>
      </c>
      <c r="K617">
        <v>0</v>
      </c>
      <c r="L617">
        <v>0</v>
      </c>
      <c r="M617" t="s">
        <v>1369</v>
      </c>
      <c r="N617" t="s">
        <v>57</v>
      </c>
      <c r="O617" t="s">
        <v>58</v>
      </c>
      <c r="P617" t="s">
        <v>1370</v>
      </c>
      <c r="Q617" t="s">
        <v>1371</v>
      </c>
      <c r="R617" t="s">
        <v>61</v>
      </c>
      <c r="S617" t="s">
        <v>58</v>
      </c>
      <c r="T617" t="s">
        <v>1370</v>
      </c>
      <c r="U617" t="s">
        <v>1371</v>
      </c>
      <c r="V617" t="s">
        <v>56</v>
      </c>
      <c r="W617" t="s">
        <v>56</v>
      </c>
      <c r="X617" t="s">
        <v>56</v>
      </c>
      <c r="Y617" t="s">
        <v>62</v>
      </c>
      <c r="Z617" t="s">
        <v>63</v>
      </c>
      <c r="AA617" t="s">
        <v>64</v>
      </c>
      <c r="AB617">
        <v>1</v>
      </c>
      <c r="AC617" t="s">
        <v>84</v>
      </c>
      <c r="AD617" t="s">
        <v>66</v>
      </c>
      <c r="AE617" t="s">
        <v>289</v>
      </c>
      <c r="AF617" t="s">
        <v>68</v>
      </c>
      <c r="AG617">
        <v>11850</v>
      </c>
      <c r="AH617" t="s">
        <v>69</v>
      </c>
      <c r="AI617" t="s">
        <v>332</v>
      </c>
      <c r="AJ617" t="s">
        <v>1372</v>
      </c>
      <c r="AK617" t="s">
        <v>99</v>
      </c>
      <c r="AL617" t="s">
        <v>73</v>
      </c>
      <c r="AM617" t="s">
        <v>73</v>
      </c>
      <c r="AN617" t="s">
        <v>56</v>
      </c>
    </row>
    <row r="618" spans="1:40" x14ac:dyDescent="0.25">
      <c r="A618" t="s">
        <v>2097</v>
      </c>
      <c r="B618" t="s">
        <v>5</v>
      </c>
      <c r="C618">
        <v>490.92001199999999</v>
      </c>
      <c r="D618">
        <v>417.00352800000002</v>
      </c>
      <c r="E618" t="s">
        <v>56</v>
      </c>
      <c r="F618">
        <v>-14806.84</v>
      </c>
      <c r="G618" t="s">
        <v>2097</v>
      </c>
      <c r="H618" t="s">
        <v>7</v>
      </c>
      <c r="I618">
        <v>17105.96</v>
      </c>
      <c r="J618">
        <v>697.55266600000004</v>
      </c>
      <c r="K618">
        <v>592.52406900000005</v>
      </c>
      <c r="L618">
        <v>0</v>
      </c>
      <c r="M618" t="s">
        <v>2097</v>
      </c>
      <c r="N618" t="s">
        <v>57</v>
      </c>
      <c r="O618" t="s">
        <v>58</v>
      </c>
      <c r="P618" t="s">
        <v>2098</v>
      </c>
      <c r="Q618" t="s">
        <v>2099</v>
      </c>
      <c r="R618" t="s">
        <v>61</v>
      </c>
      <c r="S618" t="s">
        <v>58</v>
      </c>
      <c r="T618" t="s">
        <v>2098</v>
      </c>
      <c r="U618" t="s">
        <v>2099</v>
      </c>
      <c r="V618" t="s">
        <v>56</v>
      </c>
      <c r="W618" t="s">
        <v>56</v>
      </c>
      <c r="X618" t="s">
        <v>56</v>
      </c>
      <c r="Y618" t="s">
        <v>62</v>
      </c>
      <c r="Z618" t="s">
        <v>63</v>
      </c>
      <c r="AA618" t="s">
        <v>64</v>
      </c>
      <c r="AB618">
        <v>1</v>
      </c>
      <c r="AC618" t="s">
        <v>65</v>
      </c>
      <c r="AD618" t="s">
        <v>66</v>
      </c>
      <c r="AE618" t="s">
        <v>67</v>
      </c>
      <c r="AF618" t="s">
        <v>68</v>
      </c>
      <c r="AG618">
        <v>27490</v>
      </c>
      <c r="AH618" t="s">
        <v>69</v>
      </c>
      <c r="AI618" t="s">
        <v>220</v>
      </c>
      <c r="AJ618" t="s">
        <v>433</v>
      </c>
      <c r="AK618" t="s">
        <v>72</v>
      </c>
      <c r="AL618" t="s">
        <v>73</v>
      </c>
      <c r="AM618" t="s">
        <v>73</v>
      </c>
      <c r="AN618" t="s">
        <v>74</v>
      </c>
    </row>
    <row r="619" spans="1:40" x14ac:dyDescent="0.25">
      <c r="A619" t="s">
        <v>758</v>
      </c>
      <c r="B619" t="s">
        <v>5</v>
      </c>
      <c r="C619">
        <v>488.98282</v>
      </c>
      <c r="D619">
        <v>415.35801400000003</v>
      </c>
      <c r="E619" t="s">
        <v>56</v>
      </c>
      <c r="F619">
        <v>-26820.67</v>
      </c>
      <c r="G619" t="s">
        <v>758</v>
      </c>
      <c r="H619" t="s">
        <v>7</v>
      </c>
      <c r="I619">
        <v>29555.46</v>
      </c>
      <c r="J619">
        <v>662.77738599999998</v>
      </c>
      <c r="K619">
        <v>562.98480800000004</v>
      </c>
      <c r="L619">
        <v>0</v>
      </c>
      <c r="M619" t="s">
        <v>758</v>
      </c>
      <c r="N619" t="s">
        <v>57</v>
      </c>
      <c r="O619" t="s">
        <v>58</v>
      </c>
      <c r="P619" t="s">
        <v>759</v>
      </c>
      <c r="Q619" t="s">
        <v>760</v>
      </c>
      <c r="R619" t="s">
        <v>61</v>
      </c>
      <c r="S619" t="s">
        <v>58</v>
      </c>
      <c r="T619" t="s">
        <v>759</v>
      </c>
      <c r="U619" t="s">
        <v>760</v>
      </c>
      <c r="V619" t="s">
        <v>56</v>
      </c>
      <c r="W619" t="s">
        <v>56</v>
      </c>
      <c r="X619" t="s">
        <v>56</v>
      </c>
      <c r="Y619" t="s">
        <v>62</v>
      </c>
      <c r="Z619" t="s">
        <v>63</v>
      </c>
      <c r="AA619" t="s">
        <v>64</v>
      </c>
      <c r="AB619">
        <v>1</v>
      </c>
      <c r="AC619" t="s">
        <v>84</v>
      </c>
      <c r="AD619" t="s">
        <v>66</v>
      </c>
      <c r="AE619" t="s">
        <v>67</v>
      </c>
      <c r="AF619" t="s">
        <v>86</v>
      </c>
      <c r="AG619">
        <v>49991.87</v>
      </c>
      <c r="AH619" t="s">
        <v>69</v>
      </c>
      <c r="AI619" t="s">
        <v>128</v>
      </c>
      <c r="AJ619" t="s">
        <v>761</v>
      </c>
      <c r="AK619" t="s">
        <v>72</v>
      </c>
      <c r="AL619" t="s">
        <v>73</v>
      </c>
      <c r="AM619" t="s">
        <v>73</v>
      </c>
      <c r="AN619" t="s">
        <v>74</v>
      </c>
    </row>
    <row r="620" spans="1:40" x14ac:dyDescent="0.25">
      <c r="A620" t="s">
        <v>2106</v>
      </c>
      <c r="B620" t="s">
        <v>5</v>
      </c>
      <c r="C620">
        <v>487.50888300000003</v>
      </c>
      <c r="D620">
        <v>622.54899799999998</v>
      </c>
      <c r="E620" t="s">
        <v>56</v>
      </c>
      <c r="F620">
        <v>-42749.06</v>
      </c>
      <c r="G620" t="s">
        <v>2106</v>
      </c>
      <c r="H620" t="s">
        <v>7</v>
      </c>
      <c r="I620">
        <v>49108.25</v>
      </c>
      <c r="J620">
        <v>688.83892900000001</v>
      </c>
      <c r="K620">
        <v>879.64752999999996</v>
      </c>
      <c r="L620">
        <v>0</v>
      </c>
      <c r="M620" t="s">
        <v>2106</v>
      </c>
      <c r="N620" t="s">
        <v>57</v>
      </c>
      <c r="O620" t="s">
        <v>58</v>
      </c>
      <c r="P620" t="s">
        <v>2107</v>
      </c>
      <c r="Q620" t="s">
        <v>2108</v>
      </c>
      <c r="R620" t="s">
        <v>61</v>
      </c>
      <c r="S620" t="s">
        <v>58</v>
      </c>
      <c r="T620" t="s">
        <v>2107</v>
      </c>
      <c r="U620" t="s">
        <v>2108</v>
      </c>
      <c r="V620" t="s">
        <v>56</v>
      </c>
      <c r="W620" t="s">
        <v>56</v>
      </c>
      <c r="X620" t="s">
        <v>56</v>
      </c>
      <c r="Y620" t="s">
        <v>62</v>
      </c>
      <c r="Z620" t="s">
        <v>63</v>
      </c>
      <c r="AA620" t="s">
        <v>64</v>
      </c>
      <c r="AB620">
        <v>1</v>
      </c>
      <c r="AC620" t="s">
        <v>65</v>
      </c>
      <c r="AD620" t="s">
        <v>66</v>
      </c>
      <c r="AE620" t="s">
        <v>121</v>
      </c>
      <c r="AF620" t="s">
        <v>68</v>
      </c>
      <c r="AG620">
        <v>67723.58</v>
      </c>
      <c r="AH620" t="s">
        <v>69</v>
      </c>
      <c r="AI620" t="s">
        <v>355</v>
      </c>
      <c r="AJ620" t="s">
        <v>324</v>
      </c>
      <c r="AK620" t="s">
        <v>72</v>
      </c>
      <c r="AL620" t="s">
        <v>73</v>
      </c>
      <c r="AM620" t="s">
        <v>73</v>
      </c>
      <c r="AN620" t="s">
        <v>124</v>
      </c>
    </row>
    <row r="621" spans="1:40" x14ac:dyDescent="0.25">
      <c r="A621" t="s">
        <v>1031</v>
      </c>
      <c r="B621" t="s">
        <v>5</v>
      </c>
      <c r="C621" s="2">
        <v>487.10186399999998</v>
      </c>
      <c r="D621" t="s">
        <v>56</v>
      </c>
      <c r="E621" t="s">
        <v>56</v>
      </c>
      <c r="F621">
        <v>-8909.26</v>
      </c>
      <c r="G621" t="s">
        <v>1031</v>
      </c>
      <c r="H621" t="s">
        <v>7</v>
      </c>
      <c r="I621">
        <v>11676.26</v>
      </c>
      <c r="J621">
        <v>0</v>
      </c>
      <c r="K621">
        <v>0</v>
      </c>
      <c r="L621">
        <v>0</v>
      </c>
      <c r="M621" t="s">
        <v>1031</v>
      </c>
      <c r="N621" t="s">
        <v>57</v>
      </c>
      <c r="O621" t="s">
        <v>58</v>
      </c>
      <c r="P621" t="s">
        <v>1032</v>
      </c>
      <c r="Q621" t="s">
        <v>1033</v>
      </c>
      <c r="R621" t="s">
        <v>61</v>
      </c>
      <c r="S621" t="s">
        <v>58</v>
      </c>
      <c r="T621" t="s">
        <v>1032</v>
      </c>
      <c r="U621" t="s">
        <v>1033</v>
      </c>
      <c r="V621" t="s">
        <v>56</v>
      </c>
      <c r="W621" t="s">
        <v>56</v>
      </c>
      <c r="X621" t="s">
        <v>56</v>
      </c>
      <c r="Y621" t="s">
        <v>62</v>
      </c>
      <c r="Z621" t="s">
        <v>63</v>
      </c>
      <c r="AA621" t="s">
        <v>64</v>
      </c>
      <c r="AB621">
        <v>1</v>
      </c>
      <c r="AC621" t="s">
        <v>84</v>
      </c>
      <c r="AD621" t="s">
        <v>66</v>
      </c>
      <c r="AE621" t="s">
        <v>289</v>
      </c>
      <c r="AF621" t="s">
        <v>68</v>
      </c>
      <c r="AG621">
        <v>50000</v>
      </c>
      <c r="AH621" t="s">
        <v>69</v>
      </c>
      <c r="AI621" t="s">
        <v>132</v>
      </c>
      <c r="AJ621" t="s">
        <v>1034</v>
      </c>
      <c r="AK621" t="s">
        <v>72</v>
      </c>
      <c r="AL621" t="s">
        <v>73</v>
      </c>
      <c r="AM621" t="s">
        <v>73</v>
      </c>
      <c r="AN621" t="s">
        <v>56</v>
      </c>
    </row>
    <row r="622" spans="1:40" x14ac:dyDescent="0.25">
      <c r="A622" t="s">
        <v>894</v>
      </c>
      <c r="B622" t="s">
        <v>5</v>
      </c>
      <c r="C622">
        <v>487.10168099999999</v>
      </c>
      <c r="D622">
        <v>413.76011299999999</v>
      </c>
      <c r="E622" t="s">
        <v>56</v>
      </c>
      <c r="F622">
        <v>-14691.67</v>
      </c>
      <c r="G622" t="s">
        <v>894</v>
      </c>
      <c r="H622" t="s">
        <v>7</v>
      </c>
      <c r="I622">
        <v>17001.7</v>
      </c>
      <c r="J622">
        <v>693.31169599999998</v>
      </c>
      <c r="K622">
        <v>588.921651</v>
      </c>
      <c r="L622">
        <v>0</v>
      </c>
      <c r="M622" t="s">
        <v>894</v>
      </c>
      <c r="N622" t="s">
        <v>57</v>
      </c>
      <c r="O622" t="s">
        <v>58</v>
      </c>
      <c r="P622" t="s">
        <v>895</v>
      </c>
      <c r="Q622" t="s">
        <v>896</v>
      </c>
      <c r="R622" t="s">
        <v>61</v>
      </c>
      <c r="S622" t="s">
        <v>58</v>
      </c>
      <c r="T622" t="s">
        <v>895</v>
      </c>
      <c r="U622" t="s">
        <v>896</v>
      </c>
      <c r="V622" t="s">
        <v>56</v>
      </c>
      <c r="W622" t="s">
        <v>56</v>
      </c>
      <c r="X622" t="s">
        <v>56</v>
      </c>
      <c r="Y622" t="s">
        <v>62</v>
      </c>
      <c r="Z622" t="s">
        <v>63</v>
      </c>
      <c r="AA622" t="s">
        <v>64</v>
      </c>
      <c r="AB622">
        <v>1</v>
      </c>
      <c r="AC622" t="s">
        <v>84</v>
      </c>
      <c r="AD622" t="s">
        <v>66</v>
      </c>
      <c r="AE622" t="s">
        <v>67</v>
      </c>
      <c r="AF622" t="s">
        <v>68</v>
      </c>
      <c r="AG622">
        <v>27490</v>
      </c>
      <c r="AH622" t="s">
        <v>69</v>
      </c>
      <c r="AI622" t="s">
        <v>220</v>
      </c>
      <c r="AJ622" t="s">
        <v>143</v>
      </c>
      <c r="AK622" t="s">
        <v>72</v>
      </c>
      <c r="AL622" t="s">
        <v>73</v>
      </c>
      <c r="AM622" t="s">
        <v>73</v>
      </c>
      <c r="AN622" t="s">
        <v>74</v>
      </c>
    </row>
    <row r="623" spans="1:40" x14ac:dyDescent="0.25">
      <c r="A623" t="s">
        <v>1872</v>
      </c>
      <c r="B623" t="s">
        <v>5</v>
      </c>
      <c r="C623" s="2">
        <v>486.79478899999998</v>
      </c>
      <c r="D623" t="s">
        <v>56</v>
      </c>
      <c r="E623" t="s">
        <v>56</v>
      </c>
      <c r="F623">
        <v>-6244.37</v>
      </c>
      <c r="G623" t="s">
        <v>1872</v>
      </c>
      <c r="H623" t="s">
        <v>7</v>
      </c>
      <c r="I623">
        <v>9474.2199999999993</v>
      </c>
      <c r="J623">
        <v>0</v>
      </c>
      <c r="K623">
        <v>0</v>
      </c>
      <c r="L623">
        <v>0</v>
      </c>
      <c r="M623" t="s">
        <v>1872</v>
      </c>
      <c r="N623" t="s">
        <v>57</v>
      </c>
      <c r="O623" t="s">
        <v>58</v>
      </c>
      <c r="P623" t="s">
        <v>1873</v>
      </c>
      <c r="Q623" t="s">
        <v>1874</v>
      </c>
      <c r="R623" t="s">
        <v>61</v>
      </c>
      <c r="S623" t="s">
        <v>58</v>
      </c>
      <c r="T623" t="s">
        <v>1873</v>
      </c>
      <c r="U623" t="s">
        <v>1874</v>
      </c>
      <c r="V623" t="s">
        <v>56</v>
      </c>
      <c r="W623" t="s">
        <v>56</v>
      </c>
      <c r="X623" t="s">
        <v>56</v>
      </c>
      <c r="Y623" t="s">
        <v>62</v>
      </c>
      <c r="Z623" t="s">
        <v>63</v>
      </c>
      <c r="AA623" t="s">
        <v>64</v>
      </c>
      <c r="AB623">
        <v>1</v>
      </c>
      <c r="AC623" t="s">
        <v>78</v>
      </c>
      <c r="AD623" t="s">
        <v>66</v>
      </c>
      <c r="AE623" t="s">
        <v>85</v>
      </c>
      <c r="AF623" t="s">
        <v>86</v>
      </c>
      <c r="AG623">
        <v>34865.980000000003</v>
      </c>
      <c r="AH623" t="s">
        <v>69</v>
      </c>
      <c r="AI623" t="s">
        <v>70</v>
      </c>
      <c r="AJ623" t="s">
        <v>453</v>
      </c>
      <c r="AK623" t="s">
        <v>72</v>
      </c>
      <c r="AL623" t="s">
        <v>73</v>
      </c>
      <c r="AM623" t="s">
        <v>73</v>
      </c>
      <c r="AN623" t="s">
        <v>56</v>
      </c>
    </row>
    <row r="624" spans="1:40" x14ac:dyDescent="0.25">
      <c r="A624" t="s">
        <v>2291</v>
      </c>
      <c r="B624" t="s">
        <v>5</v>
      </c>
      <c r="C624">
        <v>483.92459700000001</v>
      </c>
      <c r="D624">
        <v>411.06139400000001</v>
      </c>
      <c r="E624" t="s">
        <v>56</v>
      </c>
      <c r="F624">
        <v>-26543.21</v>
      </c>
      <c r="G624" t="s">
        <v>2291</v>
      </c>
      <c r="H624" t="s">
        <v>7</v>
      </c>
      <c r="I624">
        <v>30572.41</v>
      </c>
      <c r="J624">
        <v>685.58423000000005</v>
      </c>
      <c r="K624">
        <v>582.35768800000005</v>
      </c>
      <c r="L624">
        <v>0</v>
      </c>
      <c r="M624" t="s">
        <v>2291</v>
      </c>
      <c r="N624" t="s">
        <v>57</v>
      </c>
      <c r="O624" t="s">
        <v>58</v>
      </c>
      <c r="P624" t="s">
        <v>2292</v>
      </c>
      <c r="Q624" t="s">
        <v>2293</v>
      </c>
      <c r="R624" t="s">
        <v>61</v>
      </c>
      <c r="S624" t="s">
        <v>58</v>
      </c>
      <c r="T624" t="s">
        <v>2292</v>
      </c>
      <c r="U624" t="s">
        <v>2293</v>
      </c>
      <c r="V624" t="s">
        <v>56</v>
      </c>
      <c r="W624" t="s">
        <v>56</v>
      </c>
      <c r="X624" t="s">
        <v>56</v>
      </c>
      <c r="Y624" t="s">
        <v>62</v>
      </c>
      <c r="Z624" t="s">
        <v>63</v>
      </c>
      <c r="AA624" t="s">
        <v>64</v>
      </c>
      <c r="AB624">
        <v>1</v>
      </c>
      <c r="AC624" t="s">
        <v>84</v>
      </c>
      <c r="AD624" t="s">
        <v>66</v>
      </c>
      <c r="AE624" t="s">
        <v>67</v>
      </c>
      <c r="AF624" t="s">
        <v>86</v>
      </c>
      <c r="AG624">
        <v>49991.87</v>
      </c>
      <c r="AH624" t="s">
        <v>69</v>
      </c>
      <c r="AI624" t="s">
        <v>355</v>
      </c>
      <c r="AJ624" t="s">
        <v>177</v>
      </c>
      <c r="AK624" t="s">
        <v>72</v>
      </c>
      <c r="AL624" t="s">
        <v>73</v>
      </c>
      <c r="AM624" t="s">
        <v>73</v>
      </c>
      <c r="AN624" t="s">
        <v>74</v>
      </c>
    </row>
    <row r="625" spans="1:40" x14ac:dyDescent="0.25">
      <c r="A625" t="s">
        <v>2030</v>
      </c>
      <c r="B625" t="s">
        <v>5</v>
      </c>
      <c r="C625" s="2">
        <v>483.60491200000001</v>
      </c>
      <c r="D625" t="s">
        <v>56</v>
      </c>
      <c r="E625" t="s">
        <v>56</v>
      </c>
      <c r="F625">
        <v>-2013.56</v>
      </c>
      <c r="G625" t="s">
        <v>2030</v>
      </c>
      <c r="H625" t="s">
        <v>7</v>
      </c>
      <c r="I625">
        <v>3493.31</v>
      </c>
      <c r="J625">
        <v>0</v>
      </c>
      <c r="K625">
        <v>0</v>
      </c>
      <c r="L625">
        <v>0</v>
      </c>
      <c r="M625" t="s">
        <v>2030</v>
      </c>
      <c r="N625" t="s">
        <v>57</v>
      </c>
      <c r="O625" t="s">
        <v>58</v>
      </c>
      <c r="P625" t="s">
        <v>2031</v>
      </c>
      <c r="Q625" t="s">
        <v>2032</v>
      </c>
      <c r="R625" t="s">
        <v>61</v>
      </c>
      <c r="S625" t="s">
        <v>58</v>
      </c>
      <c r="T625" t="s">
        <v>2031</v>
      </c>
      <c r="U625" t="s">
        <v>2032</v>
      </c>
      <c r="V625" t="s">
        <v>56</v>
      </c>
      <c r="W625" t="s">
        <v>56</v>
      </c>
      <c r="X625" t="s">
        <v>56</v>
      </c>
      <c r="Y625" t="s">
        <v>62</v>
      </c>
      <c r="Z625" t="s">
        <v>63</v>
      </c>
      <c r="AA625" t="s">
        <v>64</v>
      </c>
      <c r="AB625">
        <v>1</v>
      </c>
      <c r="AC625" t="s">
        <v>84</v>
      </c>
      <c r="AD625" t="s">
        <v>66</v>
      </c>
      <c r="AE625" t="s">
        <v>289</v>
      </c>
      <c r="AF625" t="s">
        <v>103</v>
      </c>
      <c r="AG625">
        <v>14000</v>
      </c>
      <c r="AH625" t="s">
        <v>69</v>
      </c>
      <c r="AI625" t="s">
        <v>332</v>
      </c>
      <c r="AJ625" t="s">
        <v>1372</v>
      </c>
      <c r="AK625" t="s">
        <v>99</v>
      </c>
      <c r="AL625" t="s">
        <v>73</v>
      </c>
      <c r="AM625" t="s">
        <v>73</v>
      </c>
      <c r="AN625" t="s">
        <v>56</v>
      </c>
    </row>
    <row r="626" spans="1:40" x14ac:dyDescent="0.25">
      <c r="A626" t="s">
        <v>1798</v>
      </c>
      <c r="B626" t="s">
        <v>5</v>
      </c>
      <c r="C626" s="2">
        <v>483.103859</v>
      </c>
      <c r="D626" t="s">
        <v>56</v>
      </c>
      <c r="E626" t="s">
        <v>56</v>
      </c>
      <c r="F626">
        <v>-8320.4500000000007</v>
      </c>
      <c r="G626" t="s">
        <v>1798</v>
      </c>
      <c r="H626" t="s">
        <v>7</v>
      </c>
      <c r="I626">
        <v>14395.86</v>
      </c>
      <c r="J626">
        <v>0</v>
      </c>
      <c r="K626">
        <v>0</v>
      </c>
      <c r="L626">
        <v>0</v>
      </c>
      <c r="M626" t="s">
        <v>1798</v>
      </c>
      <c r="N626" t="s">
        <v>57</v>
      </c>
      <c r="O626" t="s">
        <v>58</v>
      </c>
      <c r="P626" t="s">
        <v>1799</v>
      </c>
      <c r="Q626" t="s">
        <v>1800</v>
      </c>
      <c r="R626" t="s">
        <v>61</v>
      </c>
      <c r="S626" t="s">
        <v>58</v>
      </c>
      <c r="T626" t="s">
        <v>1799</v>
      </c>
      <c r="U626" t="s">
        <v>1800</v>
      </c>
      <c r="V626" t="s">
        <v>56</v>
      </c>
      <c r="W626" t="s">
        <v>56</v>
      </c>
      <c r="X626" t="s">
        <v>56</v>
      </c>
      <c r="Y626" t="s">
        <v>62</v>
      </c>
      <c r="Z626" t="s">
        <v>63</v>
      </c>
      <c r="AA626" t="s">
        <v>64</v>
      </c>
      <c r="AB626">
        <v>1</v>
      </c>
      <c r="AC626" t="s">
        <v>84</v>
      </c>
      <c r="AD626" t="s">
        <v>66</v>
      </c>
      <c r="AE626" t="s">
        <v>85</v>
      </c>
      <c r="AF626" t="s">
        <v>68</v>
      </c>
      <c r="AG626">
        <v>57580</v>
      </c>
      <c r="AH626" t="s">
        <v>69</v>
      </c>
      <c r="AI626" t="s">
        <v>176</v>
      </c>
      <c r="AJ626" t="s">
        <v>1372</v>
      </c>
      <c r="AK626" t="s">
        <v>99</v>
      </c>
      <c r="AL626" t="s">
        <v>73</v>
      </c>
      <c r="AM626" t="s">
        <v>73</v>
      </c>
      <c r="AN626" t="s">
        <v>56</v>
      </c>
    </row>
    <row r="627" spans="1:40" x14ac:dyDescent="0.25">
      <c r="A627" t="s">
        <v>762</v>
      </c>
      <c r="B627" t="s">
        <v>5</v>
      </c>
      <c r="C627">
        <v>482.407803</v>
      </c>
      <c r="D627">
        <v>409.77298000000002</v>
      </c>
      <c r="E627" t="s">
        <v>56</v>
      </c>
      <c r="F627">
        <v>-26460.37</v>
      </c>
      <c r="G627" t="s">
        <v>762</v>
      </c>
      <c r="H627" t="s">
        <v>7</v>
      </c>
      <c r="I627">
        <v>29192.3</v>
      </c>
      <c r="J627">
        <v>654.62391600000001</v>
      </c>
      <c r="K627">
        <v>556.05898400000001</v>
      </c>
      <c r="L627">
        <v>0</v>
      </c>
      <c r="M627" t="s">
        <v>762</v>
      </c>
      <c r="N627" t="s">
        <v>57</v>
      </c>
      <c r="O627" t="s">
        <v>58</v>
      </c>
      <c r="P627" t="s">
        <v>763</v>
      </c>
      <c r="Q627" t="s">
        <v>764</v>
      </c>
      <c r="R627" t="s">
        <v>61</v>
      </c>
      <c r="S627" t="s">
        <v>58</v>
      </c>
      <c r="T627" t="s">
        <v>763</v>
      </c>
      <c r="U627" t="s">
        <v>764</v>
      </c>
      <c r="V627" t="s">
        <v>56</v>
      </c>
      <c r="W627" t="s">
        <v>56</v>
      </c>
      <c r="X627" t="s">
        <v>56</v>
      </c>
      <c r="Y627" t="s">
        <v>62</v>
      </c>
      <c r="Z627" t="s">
        <v>63</v>
      </c>
      <c r="AA627" t="s">
        <v>64</v>
      </c>
      <c r="AB627">
        <v>1</v>
      </c>
      <c r="AC627" t="s">
        <v>84</v>
      </c>
      <c r="AD627" t="s">
        <v>66</v>
      </c>
      <c r="AE627" t="s">
        <v>67</v>
      </c>
      <c r="AF627" t="s">
        <v>68</v>
      </c>
      <c r="AG627">
        <v>49992.480000000003</v>
      </c>
      <c r="AH627" t="s">
        <v>69</v>
      </c>
      <c r="AI627" t="s">
        <v>765</v>
      </c>
      <c r="AJ627" t="s">
        <v>401</v>
      </c>
      <c r="AK627" t="s">
        <v>280</v>
      </c>
      <c r="AL627" t="s">
        <v>73</v>
      </c>
      <c r="AM627" t="s">
        <v>73</v>
      </c>
      <c r="AN627" t="s">
        <v>74</v>
      </c>
    </row>
    <row r="628" spans="1:40" x14ac:dyDescent="0.25">
      <c r="A628" t="s">
        <v>1097</v>
      </c>
      <c r="B628" t="s">
        <v>5</v>
      </c>
      <c r="C628">
        <v>477.76834500000001</v>
      </c>
      <c r="D628">
        <v>475.48917299999999</v>
      </c>
      <c r="E628" t="s">
        <v>56</v>
      </c>
      <c r="F628">
        <v>-27864.05</v>
      </c>
      <c r="G628" t="s">
        <v>1097</v>
      </c>
      <c r="H628" t="s">
        <v>7</v>
      </c>
      <c r="I628">
        <v>32778.47</v>
      </c>
      <c r="J628">
        <v>734.93665299999998</v>
      </c>
      <c r="K628">
        <v>624.27925200000004</v>
      </c>
      <c r="L628">
        <v>0</v>
      </c>
      <c r="M628" t="s">
        <v>1097</v>
      </c>
      <c r="N628" t="s">
        <v>57</v>
      </c>
      <c r="O628" t="s">
        <v>58</v>
      </c>
      <c r="P628" t="s">
        <v>1098</v>
      </c>
      <c r="Q628" t="s">
        <v>1099</v>
      </c>
      <c r="R628" t="s">
        <v>61</v>
      </c>
      <c r="S628" t="s">
        <v>58</v>
      </c>
      <c r="T628" t="s">
        <v>1098</v>
      </c>
      <c r="U628" t="s">
        <v>1099</v>
      </c>
      <c r="V628" t="s">
        <v>56</v>
      </c>
      <c r="W628" t="s">
        <v>56</v>
      </c>
      <c r="X628" t="s">
        <v>56</v>
      </c>
      <c r="Y628" t="s">
        <v>62</v>
      </c>
      <c r="Z628" t="s">
        <v>63</v>
      </c>
      <c r="AA628" t="s">
        <v>64</v>
      </c>
      <c r="AB628">
        <v>1</v>
      </c>
      <c r="AC628" t="s">
        <v>84</v>
      </c>
      <c r="AD628" t="s">
        <v>66</v>
      </c>
      <c r="AE628" t="s">
        <v>67</v>
      </c>
      <c r="AF628" t="s">
        <v>68</v>
      </c>
      <c r="AG628">
        <v>49999.98</v>
      </c>
      <c r="AH628" t="s">
        <v>69</v>
      </c>
      <c r="AI628" t="s">
        <v>253</v>
      </c>
      <c r="AJ628" t="s">
        <v>928</v>
      </c>
      <c r="AK628" t="s">
        <v>72</v>
      </c>
      <c r="AL628" t="s">
        <v>73</v>
      </c>
      <c r="AM628" t="s">
        <v>73</v>
      </c>
      <c r="AN628" t="s">
        <v>74</v>
      </c>
    </row>
    <row r="629" spans="1:40" x14ac:dyDescent="0.25">
      <c r="A629" t="s">
        <v>1922</v>
      </c>
      <c r="B629" t="s">
        <v>5</v>
      </c>
      <c r="C629" s="2">
        <v>477.72459700000002</v>
      </c>
      <c r="D629" t="s">
        <v>56</v>
      </c>
      <c r="E629" t="s">
        <v>56</v>
      </c>
      <c r="F629">
        <v>-8787.9500000000007</v>
      </c>
      <c r="G629" t="s">
        <v>1922</v>
      </c>
      <c r="H629" t="s">
        <v>7</v>
      </c>
      <c r="I629">
        <v>15224.06</v>
      </c>
      <c r="J629">
        <v>0</v>
      </c>
      <c r="K629">
        <v>0</v>
      </c>
      <c r="L629">
        <v>0</v>
      </c>
      <c r="M629" t="s">
        <v>1922</v>
      </c>
      <c r="N629" t="s">
        <v>57</v>
      </c>
      <c r="O629" t="s">
        <v>58</v>
      </c>
      <c r="P629" t="s">
        <v>1923</v>
      </c>
      <c r="Q629" t="s">
        <v>1924</v>
      </c>
      <c r="R629" t="s">
        <v>61</v>
      </c>
      <c r="S629" t="s">
        <v>58</v>
      </c>
      <c r="T629" t="s">
        <v>1923</v>
      </c>
      <c r="U629" t="s">
        <v>1924</v>
      </c>
      <c r="V629" t="s">
        <v>56</v>
      </c>
      <c r="W629" t="s">
        <v>56</v>
      </c>
      <c r="X629" t="s">
        <v>56</v>
      </c>
      <c r="Y629" t="s">
        <v>62</v>
      </c>
      <c r="Z629" t="s">
        <v>63</v>
      </c>
      <c r="AA629" t="s">
        <v>64</v>
      </c>
      <c r="AB629">
        <v>1</v>
      </c>
      <c r="AC629" t="s">
        <v>84</v>
      </c>
      <c r="AD629" t="s">
        <v>66</v>
      </c>
      <c r="AE629" t="s">
        <v>85</v>
      </c>
      <c r="AF629" t="s">
        <v>68</v>
      </c>
      <c r="AG629">
        <v>61500</v>
      </c>
      <c r="AH629" t="s">
        <v>69</v>
      </c>
      <c r="AI629" t="s">
        <v>168</v>
      </c>
      <c r="AJ629" t="s">
        <v>1372</v>
      </c>
      <c r="AK629" t="s">
        <v>99</v>
      </c>
      <c r="AL629" t="s">
        <v>73</v>
      </c>
      <c r="AM629" t="s">
        <v>73</v>
      </c>
      <c r="AN629" t="s">
        <v>56</v>
      </c>
    </row>
    <row r="630" spans="1:40" x14ac:dyDescent="0.25">
      <c r="A630" t="s">
        <v>2139</v>
      </c>
      <c r="B630" t="s">
        <v>5</v>
      </c>
      <c r="C630">
        <v>477.12802699999997</v>
      </c>
      <c r="D630">
        <v>823.59080100000006</v>
      </c>
      <c r="E630" t="s">
        <v>56</v>
      </c>
      <c r="F630">
        <v>-23131.89</v>
      </c>
      <c r="G630" t="s">
        <v>2139</v>
      </c>
      <c r="H630" t="s">
        <v>7</v>
      </c>
      <c r="I630">
        <v>26646.89</v>
      </c>
      <c r="J630">
        <v>995.72547299999997</v>
      </c>
      <c r="K630">
        <v>845.80181200000004</v>
      </c>
      <c r="L630">
        <v>0</v>
      </c>
      <c r="M630" t="s">
        <v>2139</v>
      </c>
      <c r="N630" t="s">
        <v>57</v>
      </c>
      <c r="O630" t="s">
        <v>58</v>
      </c>
      <c r="P630" t="s">
        <v>2140</v>
      </c>
      <c r="Q630" t="s">
        <v>2141</v>
      </c>
      <c r="R630" t="s">
        <v>61</v>
      </c>
      <c r="S630" t="s">
        <v>58</v>
      </c>
      <c r="T630" t="s">
        <v>2140</v>
      </c>
      <c r="U630" t="s">
        <v>2141</v>
      </c>
      <c r="V630" t="s">
        <v>56</v>
      </c>
      <c r="W630" t="s">
        <v>56</v>
      </c>
      <c r="X630" t="s">
        <v>56</v>
      </c>
      <c r="Y630" t="s">
        <v>62</v>
      </c>
      <c r="Z630" t="s">
        <v>63</v>
      </c>
      <c r="AA630" t="s">
        <v>64</v>
      </c>
      <c r="AB630">
        <v>1</v>
      </c>
      <c r="AC630" t="s">
        <v>78</v>
      </c>
      <c r="AD630" t="s">
        <v>66</v>
      </c>
      <c r="AE630" t="s">
        <v>67</v>
      </c>
      <c r="AF630" t="s">
        <v>68</v>
      </c>
      <c r="AG630">
        <v>30000</v>
      </c>
      <c r="AH630" t="s">
        <v>69</v>
      </c>
      <c r="AI630" t="s">
        <v>92</v>
      </c>
      <c r="AJ630" t="s">
        <v>359</v>
      </c>
      <c r="AK630" t="s">
        <v>99</v>
      </c>
      <c r="AL630" t="s">
        <v>73</v>
      </c>
      <c r="AM630" t="s">
        <v>73</v>
      </c>
      <c r="AN630" t="s">
        <v>74</v>
      </c>
    </row>
    <row r="631" spans="1:40" x14ac:dyDescent="0.25">
      <c r="A631" t="s">
        <v>1534</v>
      </c>
      <c r="B631" t="s">
        <v>5</v>
      </c>
      <c r="C631">
        <v>474.32608199999999</v>
      </c>
      <c r="D631">
        <v>402.90810099999999</v>
      </c>
      <c r="E631" t="s">
        <v>56</v>
      </c>
      <c r="F631">
        <v>-28218.41</v>
      </c>
      <c r="G631" t="s">
        <v>1534</v>
      </c>
      <c r="H631" t="s">
        <v>7</v>
      </c>
      <c r="I631">
        <v>32008.61</v>
      </c>
      <c r="J631">
        <v>661.77627900000005</v>
      </c>
      <c r="K631">
        <v>562.13443500000005</v>
      </c>
      <c r="L631">
        <v>0</v>
      </c>
      <c r="M631" t="s">
        <v>1534</v>
      </c>
      <c r="N631" t="s">
        <v>57</v>
      </c>
      <c r="O631" t="s">
        <v>58</v>
      </c>
      <c r="P631" t="s">
        <v>1535</v>
      </c>
      <c r="Q631" t="s">
        <v>1536</v>
      </c>
      <c r="R631" t="s">
        <v>61</v>
      </c>
      <c r="S631" t="s">
        <v>58</v>
      </c>
      <c r="T631" t="s">
        <v>1535</v>
      </c>
      <c r="U631" t="s">
        <v>1536</v>
      </c>
      <c r="V631" t="s">
        <v>56</v>
      </c>
      <c r="W631" t="s">
        <v>56</v>
      </c>
      <c r="X631" t="s">
        <v>56</v>
      </c>
      <c r="Y631" t="s">
        <v>62</v>
      </c>
      <c r="Z631" t="s">
        <v>63</v>
      </c>
      <c r="AA631" t="s">
        <v>64</v>
      </c>
      <c r="AB631">
        <v>1</v>
      </c>
      <c r="AC631" t="s">
        <v>84</v>
      </c>
      <c r="AD631" t="s">
        <v>66</v>
      </c>
      <c r="AE631" t="s">
        <v>67</v>
      </c>
      <c r="AF631" t="s">
        <v>68</v>
      </c>
      <c r="AG631">
        <v>54222.46</v>
      </c>
      <c r="AH631" t="s">
        <v>69</v>
      </c>
      <c r="AI631" t="s">
        <v>132</v>
      </c>
      <c r="AJ631" t="s">
        <v>98</v>
      </c>
      <c r="AK631" t="s">
        <v>72</v>
      </c>
      <c r="AL631" t="s">
        <v>73</v>
      </c>
      <c r="AM631" t="s">
        <v>73</v>
      </c>
      <c r="AN631" t="s">
        <v>74</v>
      </c>
    </row>
    <row r="632" spans="1:40" x14ac:dyDescent="0.25">
      <c r="A632" t="s">
        <v>1818</v>
      </c>
      <c r="B632" t="s">
        <v>5</v>
      </c>
      <c r="C632">
        <v>473.13439499999998</v>
      </c>
      <c r="D632">
        <v>401.89584300000001</v>
      </c>
      <c r="E632" t="s">
        <v>56</v>
      </c>
      <c r="F632">
        <v>-48956.97</v>
      </c>
      <c r="G632" t="s">
        <v>1818</v>
      </c>
      <c r="H632" t="s">
        <v>7</v>
      </c>
      <c r="I632">
        <v>55294.52</v>
      </c>
      <c r="J632">
        <v>657.29091800000003</v>
      </c>
      <c r="K632">
        <v>558.32442200000003</v>
      </c>
      <c r="L632">
        <v>0</v>
      </c>
      <c r="M632" t="s">
        <v>1818</v>
      </c>
      <c r="N632" t="s">
        <v>57</v>
      </c>
      <c r="O632" t="s">
        <v>58</v>
      </c>
      <c r="P632" t="s">
        <v>1819</v>
      </c>
      <c r="Q632" t="s">
        <v>1820</v>
      </c>
      <c r="R632" t="s">
        <v>61</v>
      </c>
      <c r="S632" t="s">
        <v>58</v>
      </c>
      <c r="T632" t="s">
        <v>1819</v>
      </c>
      <c r="U632" t="s">
        <v>1820</v>
      </c>
      <c r="V632" t="s">
        <v>56</v>
      </c>
      <c r="W632" t="s">
        <v>56</v>
      </c>
      <c r="X632" t="s">
        <v>56</v>
      </c>
      <c r="Y632" t="s">
        <v>62</v>
      </c>
      <c r="Z632" t="s">
        <v>63</v>
      </c>
      <c r="AA632" t="s">
        <v>64</v>
      </c>
      <c r="AB632">
        <v>1</v>
      </c>
      <c r="AC632" t="s">
        <v>84</v>
      </c>
      <c r="AD632" t="s">
        <v>66</v>
      </c>
      <c r="AE632" t="s">
        <v>67</v>
      </c>
      <c r="AF632" t="s">
        <v>86</v>
      </c>
      <c r="AG632">
        <v>94308.94</v>
      </c>
      <c r="AH632" t="s">
        <v>69</v>
      </c>
      <c r="AI632" t="s">
        <v>343</v>
      </c>
      <c r="AJ632" t="s">
        <v>172</v>
      </c>
      <c r="AK632" t="s">
        <v>72</v>
      </c>
      <c r="AL632" t="s">
        <v>73</v>
      </c>
      <c r="AM632" t="s">
        <v>73</v>
      </c>
      <c r="AN632" t="s">
        <v>74</v>
      </c>
    </row>
    <row r="633" spans="1:40" x14ac:dyDescent="0.25">
      <c r="A633" t="s">
        <v>1806</v>
      </c>
      <c r="B633" t="s">
        <v>5</v>
      </c>
      <c r="C633">
        <v>471.49325299999998</v>
      </c>
      <c r="D633">
        <v>288.94676500000003</v>
      </c>
      <c r="E633" t="s">
        <v>56</v>
      </c>
      <c r="F633">
        <v>-19923.71</v>
      </c>
      <c r="G633" t="s">
        <v>1806</v>
      </c>
      <c r="H633" t="s">
        <v>7</v>
      </c>
      <c r="I633">
        <v>22305.34</v>
      </c>
      <c r="J633">
        <v>500.274137</v>
      </c>
      <c r="K633">
        <v>424.94922800000001</v>
      </c>
      <c r="L633">
        <v>0</v>
      </c>
      <c r="M633" t="s">
        <v>1806</v>
      </c>
      <c r="N633" t="s">
        <v>57</v>
      </c>
      <c r="O633" t="s">
        <v>58</v>
      </c>
      <c r="P633" t="s">
        <v>1807</v>
      </c>
      <c r="Q633" t="s">
        <v>1808</v>
      </c>
      <c r="R633" t="s">
        <v>61</v>
      </c>
      <c r="S633" t="s">
        <v>58</v>
      </c>
      <c r="T633" t="s">
        <v>1807</v>
      </c>
      <c r="U633" t="s">
        <v>1808</v>
      </c>
      <c r="V633" t="s">
        <v>56</v>
      </c>
      <c r="W633" t="s">
        <v>56</v>
      </c>
      <c r="X633" t="s">
        <v>56</v>
      </c>
      <c r="Y633" t="s">
        <v>62</v>
      </c>
      <c r="Z633" t="s">
        <v>63</v>
      </c>
      <c r="AA633" t="s">
        <v>64</v>
      </c>
      <c r="AB633">
        <v>1</v>
      </c>
      <c r="AC633" t="s">
        <v>84</v>
      </c>
      <c r="AD633" t="s">
        <v>66</v>
      </c>
      <c r="AE633" t="s">
        <v>67</v>
      </c>
      <c r="AF633" t="s">
        <v>68</v>
      </c>
      <c r="AG633">
        <v>49983.74</v>
      </c>
      <c r="AH633" t="s">
        <v>69</v>
      </c>
      <c r="AI633" t="s">
        <v>128</v>
      </c>
      <c r="AJ633" t="s">
        <v>133</v>
      </c>
      <c r="AK633" t="s">
        <v>72</v>
      </c>
      <c r="AL633" t="s">
        <v>73</v>
      </c>
      <c r="AM633" t="s">
        <v>73</v>
      </c>
      <c r="AN633" t="s">
        <v>74</v>
      </c>
    </row>
    <row r="634" spans="1:40" x14ac:dyDescent="0.25">
      <c r="A634" t="s">
        <v>823</v>
      </c>
      <c r="B634" t="s">
        <v>5</v>
      </c>
      <c r="C634">
        <v>467.98985099999999</v>
      </c>
      <c r="D634">
        <v>397.52589899999998</v>
      </c>
      <c r="E634" t="s">
        <v>56</v>
      </c>
      <c r="F634">
        <v>-49885.71</v>
      </c>
      <c r="G634" t="s">
        <v>823</v>
      </c>
      <c r="H634" t="s">
        <v>7</v>
      </c>
      <c r="I634">
        <v>57247.02</v>
      </c>
      <c r="J634">
        <v>660.57226100000003</v>
      </c>
      <c r="K634">
        <v>561.11170200000004</v>
      </c>
      <c r="L634">
        <v>0</v>
      </c>
      <c r="M634" t="s">
        <v>823</v>
      </c>
      <c r="N634" t="s">
        <v>57</v>
      </c>
      <c r="O634" t="s">
        <v>58</v>
      </c>
      <c r="P634" t="s">
        <v>824</v>
      </c>
      <c r="Q634" t="s">
        <v>825</v>
      </c>
      <c r="R634" t="s">
        <v>61</v>
      </c>
      <c r="S634" t="s">
        <v>58</v>
      </c>
      <c r="T634" t="s">
        <v>824</v>
      </c>
      <c r="U634" t="s">
        <v>825</v>
      </c>
      <c r="V634" t="s">
        <v>56</v>
      </c>
      <c r="W634" t="s">
        <v>56</v>
      </c>
      <c r="X634" t="s">
        <v>56</v>
      </c>
      <c r="Y634" t="s">
        <v>62</v>
      </c>
      <c r="Z634" t="s">
        <v>63</v>
      </c>
      <c r="AA634" t="s">
        <v>64</v>
      </c>
      <c r="AB634">
        <v>1</v>
      </c>
      <c r="AC634" t="s">
        <v>84</v>
      </c>
      <c r="AD634" t="s">
        <v>66</v>
      </c>
      <c r="AE634" t="s">
        <v>67</v>
      </c>
      <c r="AF634" t="s">
        <v>68</v>
      </c>
      <c r="AG634">
        <v>97154.47</v>
      </c>
      <c r="AH634" t="s">
        <v>69</v>
      </c>
      <c r="AI634" t="s">
        <v>343</v>
      </c>
      <c r="AJ634" t="s">
        <v>254</v>
      </c>
      <c r="AK634" t="s">
        <v>72</v>
      </c>
      <c r="AL634" t="s">
        <v>73</v>
      </c>
      <c r="AM634" t="s">
        <v>73</v>
      </c>
      <c r="AN634" t="s">
        <v>74</v>
      </c>
    </row>
    <row r="635" spans="1:40" x14ac:dyDescent="0.25">
      <c r="A635" t="s">
        <v>783</v>
      </c>
      <c r="B635" t="s">
        <v>5</v>
      </c>
      <c r="C635" s="2">
        <v>467.026252</v>
      </c>
      <c r="D635" t="s">
        <v>56</v>
      </c>
      <c r="E635" t="s">
        <v>56</v>
      </c>
      <c r="F635">
        <v>-6006.8</v>
      </c>
      <c r="G635" t="s">
        <v>783</v>
      </c>
      <c r="H635" t="s">
        <v>7</v>
      </c>
      <c r="I635">
        <v>8863.15</v>
      </c>
      <c r="J635">
        <v>0</v>
      </c>
      <c r="K635">
        <v>0</v>
      </c>
      <c r="L635">
        <v>0</v>
      </c>
      <c r="M635" t="s">
        <v>783</v>
      </c>
      <c r="N635" t="s">
        <v>57</v>
      </c>
      <c r="O635" t="s">
        <v>58</v>
      </c>
      <c r="P635" t="s">
        <v>784</v>
      </c>
      <c r="Q635" t="s">
        <v>785</v>
      </c>
      <c r="R635" t="s">
        <v>61</v>
      </c>
      <c r="S635" t="s">
        <v>58</v>
      </c>
      <c r="T635" t="s">
        <v>784</v>
      </c>
      <c r="U635" t="s">
        <v>785</v>
      </c>
      <c r="V635" t="s">
        <v>56</v>
      </c>
      <c r="W635" t="s">
        <v>56</v>
      </c>
      <c r="X635" t="s">
        <v>56</v>
      </c>
      <c r="Y635" t="s">
        <v>62</v>
      </c>
      <c r="Z635" t="s">
        <v>63</v>
      </c>
      <c r="AA635" t="s">
        <v>64</v>
      </c>
      <c r="AB635">
        <v>1</v>
      </c>
      <c r="AC635" t="s">
        <v>84</v>
      </c>
      <c r="AD635" t="s">
        <v>66</v>
      </c>
      <c r="AE635" t="s">
        <v>85</v>
      </c>
      <c r="AF635" t="s">
        <v>103</v>
      </c>
      <c r="AG635">
        <v>34959.35</v>
      </c>
      <c r="AH635" t="s">
        <v>69</v>
      </c>
      <c r="AI635" t="s">
        <v>269</v>
      </c>
      <c r="AJ635" t="s">
        <v>786</v>
      </c>
      <c r="AK635" t="s">
        <v>72</v>
      </c>
      <c r="AL635" t="s">
        <v>73</v>
      </c>
      <c r="AM635" t="s">
        <v>73</v>
      </c>
      <c r="AN635" t="s">
        <v>56</v>
      </c>
    </row>
    <row r="636" spans="1:40" x14ac:dyDescent="0.25">
      <c r="A636" t="s">
        <v>100</v>
      </c>
      <c r="B636" t="s">
        <v>5</v>
      </c>
      <c r="C636">
        <v>466.42372999999998</v>
      </c>
      <c r="D636">
        <v>396.19558499999999</v>
      </c>
      <c r="E636" t="s">
        <v>56</v>
      </c>
      <c r="F636">
        <v>-56399.08</v>
      </c>
      <c r="G636" t="s">
        <v>100</v>
      </c>
      <c r="H636" t="s">
        <v>7</v>
      </c>
      <c r="I636">
        <v>63413.63</v>
      </c>
      <c r="J636">
        <v>645.05006400000002</v>
      </c>
      <c r="K636">
        <v>547.92664000000002</v>
      </c>
      <c r="L636">
        <v>0</v>
      </c>
      <c r="M636" t="s">
        <v>100</v>
      </c>
      <c r="N636" t="s">
        <v>57</v>
      </c>
      <c r="O636" t="s">
        <v>58</v>
      </c>
      <c r="P636" t="s">
        <v>101</v>
      </c>
      <c r="Q636" t="s">
        <v>102</v>
      </c>
      <c r="R636" t="s">
        <v>61</v>
      </c>
      <c r="S636" t="s">
        <v>58</v>
      </c>
      <c r="T636" t="s">
        <v>101</v>
      </c>
      <c r="U636" t="s">
        <v>102</v>
      </c>
      <c r="V636" t="s">
        <v>56</v>
      </c>
      <c r="W636" t="s">
        <v>56</v>
      </c>
      <c r="X636" t="s">
        <v>56</v>
      </c>
      <c r="Y636" t="s">
        <v>62</v>
      </c>
      <c r="Z636" t="s">
        <v>63</v>
      </c>
      <c r="AA636" t="s">
        <v>64</v>
      </c>
      <c r="AB636">
        <v>1</v>
      </c>
      <c r="AC636" t="s">
        <v>78</v>
      </c>
      <c r="AD636" t="s">
        <v>66</v>
      </c>
      <c r="AE636" t="s">
        <v>67</v>
      </c>
      <c r="AF636" t="s">
        <v>103</v>
      </c>
      <c r="AG636">
        <v>110208.25</v>
      </c>
      <c r="AH636" t="s">
        <v>69</v>
      </c>
      <c r="AI636" t="s">
        <v>104</v>
      </c>
      <c r="AJ636" t="s">
        <v>105</v>
      </c>
      <c r="AK636" t="s">
        <v>72</v>
      </c>
      <c r="AL636" t="s">
        <v>73</v>
      </c>
      <c r="AM636" t="s">
        <v>73</v>
      </c>
      <c r="AN636" t="s">
        <v>74</v>
      </c>
    </row>
    <row r="637" spans="1:40" x14ac:dyDescent="0.25">
      <c r="A637" t="s">
        <v>953</v>
      </c>
      <c r="B637" t="s">
        <v>5</v>
      </c>
      <c r="C637">
        <v>465.32563399999998</v>
      </c>
      <c r="D637">
        <v>809.67805299999998</v>
      </c>
      <c r="E637" t="s">
        <v>56</v>
      </c>
      <c r="F637">
        <v>-54833.93</v>
      </c>
      <c r="G637" t="s">
        <v>953</v>
      </c>
      <c r="H637" t="s">
        <v>7</v>
      </c>
      <c r="I637">
        <v>63003.25</v>
      </c>
      <c r="J637">
        <v>993.32079899999997</v>
      </c>
      <c r="K637">
        <v>843.75920399999995</v>
      </c>
      <c r="L637">
        <v>0</v>
      </c>
      <c r="M637" t="s">
        <v>953</v>
      </c>
      <c r="N637" t="s">
        <v>57</v>
      </c>
      <c r="O637" t="s">
        <v>58</v>
      </c>
      <c r="P637" t="s">
        <v>954</v>
      </c>
      <c r="Q637" t="s">
        <v>223</v>
      </c>
      <c r="R637" t="s">
        <v>61</v>
      </c>
      <c r="S637" t="s">
        <v>58</v>
      </c>
      <c r="T637" t="s">
        <v>954</v>
      </c>
      <c r="U637" t="s">
        <v>223</v>
      </c>
      <c r="V637" t="s">
        <v>56</v>
      </c>
      <c r="W637" t="s">
        <v>56</v>
      </c>
      <c r="X637" t="s">
        <v>56</v>
      </c>
      <c r="Y637" t="s">
        <v>62</v>
      </c>
      <c r="Z637" t="s">
        <v>63</v>
      </c>
      <c r="AA637" t="s">
        <v>64</v>
      </c>
      <c r="AB637">
        <v>1</v>
      </c>
      <c r="AC637" t="s">
        <v>147</v>
      </c>
      <c r="AD637" t="s">
        <v>66</v>
      </c>
      <c r="AE637" t="s">
        <v>67</v>
      </c>
      <c r="AF637" t="s">
        <v>68</v>
      </c>
      <c r="AG637">
        <v>71105.89</v>
      </c>
      <c r="AH637" t="s">
        <v>69</v>
      </c>
      <c r="AI637" t="s">
        <v>186</v>
      </c>
      <c r="AJ637" t="s">
        <v>324</v>
      </c>
      <c r="AK637" t="s">
        <v>72</v>
      </c>
      <c r="AL637" t="s">
        <v>73</v>
      </c>
      <c r="AM637" t="s">
        <v>73</v>
      </c>
      <c r="AN637" t="s">
        <v>74</v>
      </c>
    </row>
    <row r="638" spans="1:40" x14ac:dyDescent="0.25">
      <c r="A638" t="s">
        <v>726</v>
      </c>
      <c r="B638" t="s">
        <v>5</v>
      </c>
      <c r="C638">
        <v>465.05491599999999</v>
      </c>
      <c r="D638">
        <v>395.03286900000001</v>
      </c>
      <c r="E638" t="s">
        <v>56</v>
      </c>
      <c r="F638">
        <v>-24471.16</v>
      </c>
      <c r="G638" t="s">
        <v>726</v>
      </c>
      <c r="H638" t="s">
        <v>7</v>
      </c>
      <c r="I638">
        <v>26238.04</v>
      </c>
      <c r="J638">
        <v>613.322946</v>
      </c>
      <c r="K638">
        <v>520.97658699999999</v>
      </c>
      <c r="L638">
        <v>0</v>
      </c>
      <c r="M638" t="s">
        <v>726</v>
      </c>
      <c r="N638" t="s">
        <v>57</v>
      </c>
      <c r="O638" t="s">
        <v>58</v>
      </c>
      <c r="P638" t="s">
        <v>727</v>
      </c>
      <c r="Q638" t="s">
        <v>728</v>
      </c>
      <c r="R638" t="s">
        <v>61</v>
      </c>
      <c r="S638" t="s">
        <v>58</v>
      </c>
      <c r="T638" t="s">
        <v>727</v>
      </c>
      <c r="U638" t="s">
        <v>728</v>
      </c>
      <c r="V638" t="s">
        <v>56</v>
      </c>
      <c r="W638" t="s">
        <v>56</v>
      </c>
      <c r="X638" t="s">
        <v>56</v>
      </c>
      <c r="Y638" t="s">
        <v>62</v>
      </c>
      <c r="Z638" t="s">
        <v>63</v>
      </c>
      <c r="AA638" t="s">
        <v>64</v>
      </c>
      <c r="AB638">
        <v>1</v>
      </c>
      <c r="AC638" t="s">
        <v>84</v>
      </c>
      <c r="AD638" t="s">
        <v>66</v>
      </c>
      <c r="AE638" t="s">
        <v>67</v>
      </c>
      <c r="AF638" t="s">
        <v>68</v>
      </c>
      <c r="AG638">
        <v>47959.35</v>
      </c>
      <c r="AH638" t="s">
        <v>69</v>
      </c>
      <c r="AI638" t="s">
        <v>355</v>
      </c>
      <c r="AJ638" t="s">
        <v>324</v>
      </c>
      <c r="AK638" t="s">
        <v>280</v>
      </c>
      <c r="AL638" t="s">
        <v>73</v>
      </c>
      <c r="AM638" t="s">
        <v>73</v>
      </c>
      <c r="AN638" t="s">
        <v>74</v>
      </c>
    </row>
    <row r="639" spans="1:40" x14ac:dyDescent="0.25">
      <c r="A639" t="s">
        <v>221</v>
      </c>
      <c r="B639" t="s">
        <v>5</v>
      </c>
      <c r="C639">
        <v>463.96890000000002</v>
      </c>
      <c r="D639">
        <v>807.31730300000004</v>
      </c>
      <c r="E639" t="s">
        <v>56</v>
      </c>
      <c r="F639">
        <v>-61246.720000000001</v>
      </c>
      <c r="G639" t="s">
        <v>221</v>
      </c>
      <c r="H639" t="s">
        <v>7</v>
      </c>
      <c r="I639">
        <v>70389.789999999994</v>
      </c>
      <c r="J639">
        <v>990.67509800000005</v>
      </c>
      <c r="K639">
        <v>841.51185799999996</v>
      </c>
      <c r="L639">
        <v>0</v>
      </c>
      <c r="M639" t="s">
        <v>221</v>
      </c>
      <c r="N639" t="s">
        <v>57</v>
      </c>
      <c r="O639" t="s">
        <v>58</v>
      </c>
      <c r="P639" t="s">
        <v>222</v>
      </c>
      <c r="Q639" t="s">
        <v>223</v>
      </c>
      <c r="R639" t="s">
        <v>61</v>
      </c>
      <c r="S639" t="s">
        <v>58</v>
      </c>
      <c r="T639" t="s">
        <v>222</v>
      </c>
      <c r="U639" t="s">
        <v>223</v>
      </c>
      <c r="V639" t="s">
        <v>56</v>
      </c>
      <c r="W639" t="s">
        <v>56</v>
      </c>
      <c r="X639" t="s">
        <v>56</v>
      </c>
      <c r="Y639" t="s">
        <v>62</v>
      </c>
      <c r="Z639" t="s">
        <v>63</v>
      </c>
      <c r="AA639" t="s">
        <v>64</v>
      </c>
      <c r="AB639">
        <v>1</v>
      </c>
      <c r="AC639" t="s">
        <v>147</v>
      </c>
      <c r="AD639" t="s">
        <v>66</v>
      </c>
      <c r="AE639" t="s">
        <v>67</v>
      </c>
      <c r="AF639" t="s">
        <v>68</v>
      </c>
      <c r="AG639">
        <v>79653.84</v>
      </c>
      <c r="AH639" t="s">
        <v>69</v>
      </c>
      <c r="AI639" t="s">
        <v>114</v>
      </c>
      <c r="AJ639" t="s">
        <v>224</v>
      </c>
      <c r="AK639" t="s">
        <v>72</v>
      </c>
      <c r="AL639" t="s">
        <v>73</v>
      </c>
      <c r="AM639" t="s">
        <v>73</v>
      </c>
      <c r="AN639" t="s">
        <v>74</v>
      </c>
    </row>
    <row r="640" spans="1:40" x14ac:dyDescent="0.25">
      <c r="A640" t="s">
        <v>1753</v>
      </c>
      <c r="B640" t="s">
        <v>5</v>
      </c>
      <c r="C640">
        <v>460.07404600000001</v>
      </c>
      <c r="D640">
        <v>390.80195500000002</v>
      </c>
      <c r="E640" t="s">
        <v>56</v>
      </c>
      <c r="F640">
        <v>-17892.07</v>
      </c>
      <c r="G640" t="s">
        <v>1753</v>
      </c>
      <c r="H640" t="s">
        <v>7</v>
      </c>
      <c r="I640">
        <v>20511.75</v>
      </c>
      <c r="J640">
        <v>648.72489900000005</v>
      </c>
      <c r="K640">
        <v>551.04816500000004</v>
      </c>
      <c r="L640">
        <v>0</v>
      </c>
      <c r="M640" t="s">
        <v>1753</v>
      </c>
      <c r="N640" t="s">
        <v>57</v>
      </c>
      <c r="O640" t="s">
        <v>58</v>
      </c>
      <c r="P640" t="s">
        <v>1754</v>
      </c>
      <c r="Q640" t="s">
        <v>1755</v>
      </c>
      <c r="R640" t="s">
        <v>61</v>
      </c>
      <c r="S640" t="s">
        <v>58</v>
      </c>
      <c r="T640" t="s">
        <v>1754</v>
      </c>
      <c r="U640" t="s">
        <v>1755</v>
      </c>
      <c r="V640" t="s">
        <v>56</v>
      </c>
      <c r="W640" t="s">
        <v>56</v>
      </c>
      <c r="X640" t="s">
        <v>56</v>
      </c>
      <c r="Y640" t="s">
        <v>62</v>
      </c>
      <c r="Z640" t="s">
        <v>63</v>
      </c>
      <c r="AA640" t="s">
        <v>64</v>
      </c>
      <c r="AB640">
        <v>1</v>
      </c>
      <c r="AC640" t="s">
        <v>84</v>
      </c>
      <c r="AD640" t="s">
        <v>66</v>
      </c>
      <c r="AE640" t="s">
        <v>67</v>
      </c>
      <c r="AF640" t="s">
        <v>103</v>
      </c>
      <c r="AG640">
        <v>35445.1</v>
      </c>
      <c r="AH640" t="s">
        <v>69</v>
      </c>
      <c r="AI640" t="s">
        <v>97</v>
      </c>
      <c r="AJ640" t="s">
        <v>754</v>
      </c>
      <c r="AK640" t="s">
        <v>72</v>
      </c>
      <c r="AL640" t="s">
        <v>73</v>
      </c>
      <c r="AM640" t="s">
        <v>73</v>
      </c>
      <c r="AN640" t="s">
        <v>74</v>
      </c>
    </row>
    <row r="641" spans="1:40" x14ac:dyDescent="0.25">
      <c r="A641" t="s">
        <v>689</v>
      </c>
      <c r="B641" t="s">
        <v>5</v>
      </c>
      <c r="C641">
        <v>458.65926899999999</v>
      </c>
      <c r="D641">
        <v>389.60019699999998</v>
      </c>
      <c r="E641" t="s">
        <v>56</v>
      </c>
      <c r="F641">
        <v>-17102.330000000002</v>
      </c>
      <c r="G641" t="s">
        <v>689</v>
      </c>
      <c r="H641" t="s">
        <v>7</v>
      </c>
      <c r="I641">
        <v>19632.59</v>
      </c>
      <c r="J641">
        <v>647.59823400000005</v>
      </c>
      <c r="K641">
        <v>550.091139</v>
      </c>
      <c r="L641">
        <v>0</v>
      </c>
      <c r="M641" t="s">
        <v>689</v>
      </c>
      <c r="N641" t="s">
        <v>57</v>
      </c>
      <c r="O641" t="s">
        <v>58</v>
      </c>
      <c r="P641" t="s">
        <v>690</v>
      </c>
      <c r="Q641" t="s">
        <v>691</v>
      </c>
      <c r="R641" t="s">
        <v>61</v>
      </c>
      <c r="S641" t="s">
        <v>58</v>
      </c>
      <c r="T641" t="s">
        <v>690</v>
      </c>
      <c r="U641" t="s">
        <v>691</v>
      </c>
      <c r="V641" t="s">
        <v>56</v>
      </c>
      <c r="W641" t="s">
        <v>56</v>
      </c>
      <c r="X641" t="s">
        <v>56</v>
      </c>
      <c r="Y641" t="s">
        <v>62</v>
      </c>
      <c r="Z641" t="s">
        <v>63</v>
      </c>
      <c r="AA641" t="s">
        <v>64</v>
      </c>
      <c r="AB641">
        <v>1</v>
      </c>
      <c r="AC641" t="s">
        <v>78</v>
      </c>
      <c r="AD641" t="s">
        <v>66</v>
      </c>
      <c r="AE641" t="s">
        <v>67</v>
      </c>
      <c r="AF641" t="s">
        <v>103</v>
      </c>
      <c r="AG641">
        <v>33985.120000000003</v>
      </c>
      <c r="AH641" t="s">
        <v>69</v>
      </c>
      <c r="AI641" t="s">
        <v>181</v>
      </c>
      <c r="AJ641" t="s">
        <v>692</v>
      </c>
      <c r="AK641" t="s">
        <v>72</v>
      </c>
      <c r="AL641" t="s">
        <v>73</v>
      </c>
      <c r="AM641" t="s">
        <v>73</v>
      </c>
      <c r="AN641" t="s">
        <v>74</v>
      </c>
    </row>
    <row r="642" spans="1:40" x14ac:dyDescent="0.25">
      <c r="A642" t="s">
        <v>1486</v>
      </c>
      <c r="B642" t="s">
        <v>5</v>
      </c>
      <c r="C642">
        <v>458.38573000000002</v>
      </c>
      <c r="D642">
        <v>389.36784399999999</v>
      </c>
      <c r="E642" t="s">
        <v>56</v>
      </c>
      <c r="F642">
        <v>-17590.400000000001</v>
      </c>
      <c r="G642" t="s">
        <v>1486</v>
      </c>
      <c r="H642" t="s">
        <v>7</v>
      </c>
      <c r="I642">
        <v>20573.28</v>
      </c>
      <c r="J642">
        <v>659.42990099999997</v>
      </c>
      <c r="K642">
        <v>560.141344</v>
      </c>
      <c r="L642">
        <v>0</v>
      </c>
      <c r="M642" t="s">
        <v>1486</v>
      </c>
      <c r="N642" t="s">
        <v>57</v>
      </c>
      <c r="O642" t="s">
        <v>58</v>
      </c>
      <c r="P642" t="s">
        <v>1487</v>
      </c>
      <c r="Q642" t="s">
        <v>1488</v>
      </c>
      <c r="R642" t="s">
        <v>61</v>
      </c>
      <c r="S642" t="s">
        <v>58</v>
      </c>
      <c r="T642" t="s">
        <v>1487</v>
      </c>
      <c r="U642" t="s">
        <v>1488</v>
      </c>
      <c r="V642" t="s">
        <v>56</v>
      </c>
      <c r="W642" t="s">
        <v>56</v>
      </c>
      <c r="X642" t="s">
        <v>56</v>
      </c>
      <c r="Y642" t="s">
        <v>62</v>
      </c>
      <c r="Z642" t="s">
        <v>63</v>
      </c>
      <c r="AA642" t="s">
        <v>64</v>
      </c>
      <c r="AB642">
        <v>1</v>
      </c>
      <c r="AC642" t="s">
        <v>84</v>
      </c>
      <c r="AD642" t="s">
        <v>66</v>
      </c>
      <c r="AE642" t="s">
        <v>67</v>
      </c>
      <c r="AF642" t="s">
        <v>68</v>
      </c>
      <c r="AG642">
        <v>34975.769999999997</v>
      </c>
      <c r="AH642" t="s">
        <v>69</v>
      </c>
      <c r="AI642" t="s">
        <v>70</v>
      </c>
      <c r="AJ642" t="s">
        <v>339</v>
      </c>
      <c r="AK642" t="s">
        <v>72</v>
      </c>
      <c r="AL642" t="s">
        <v>73</v>
      </c>
      <c r="AM642" t="s">
        <v>73</v>
      </c>
      <c r="AN642" t="s">
        <v>74</v>
      </c>
    </row>
    <row r="643" spans="1:40" x14ac:dyDescent="0.25">
      <c r="A643" t="s">
        <v>1508</v>
      </c>
      <c r="B643" t="s">
        <v>5</v>
      </c>
      <c r="C643">
        <v>458.03595899999999</v>
      </c>
      <c r="D643">
        <v>389.07073800000001</v>
      </c>
      <c r="E643" t="s">
        <v>56</v>
      </c>
      <c r="F643">
        <v>-22613.52</v>
      </c>
      <c r="G643" t="s">
        <v>1508</v>
      </c>
      <c r="H643" t="s">
        <v>7</v>
      </c>
      <c r="I643">
        <v>31917.74</v>
      </c>
      <c r="J643">
        <v>646.48165800000004</v>
      </c>
      <c r="K643">
        <v>549.14268300000003</v>
      </c>
      <c r="L643">
        <v>0</v>
      </c>
      <c r="M643" t="s">
        <v>1508</v>
      </c>
      <c r="N643" t="s">
        <v>57</v>
      </c>
      <c r="O643" t="s">
        <v>58</v>
      </c>
      <c r="P643" t="s">
        <v>1509</v>
      </c>
      <c r="Q643" t="s">
        <v>1510</v>
      </c>
      <c r="R643" t="s">
        <v>61</v>
      </c>
      <c r="S643" t="s">
        <v>58</v>
      </c>
      <c r="T643" t="s">
        <v>1509</v>
      </c>
      <c r="U643" t="s">
        <v>1510</v>
      </c>
      <c r="V643" t="s">
        <v>56</v>
      </c>
      <c r="W643" t="s">
        <v>56</v>
      </c>
      <c r="X643" t="s">
        <v>56</v>
      </c>
      <c r="Y643" t="s">
        <v>62</v>
      </c>
      <c r="Z643" t="s">
        <v>63</v>
      </c>
      <c r="AA643" t="s">
        <v>64</v>
      </c>
      <c r="AB643">
        <v>1</v>
      </c>
      <c r="AC643" t="s">
        <v>65</v>
      </c>
      <c r="AD643" t="s">
        <v>66</v>
      </c>
      <c r="AE643" t="s">
        <v>67</v>
      </c>
      <c r="AF643" t="s">
        <v>68</v>
      </c>
      <c r="AG643">
        <v>55347.3</v>
      </c>
      <c r="AH643" t="s">
        <v>69</v>
      </c>
      <c r="AI643" t="s">
        <v>168</v>
      </c>
      <c r="AJ643" t="s">
        <v>195</v>
      </c>
      <c r="AK643" t="s">
        <v>99</v>
      </c>
      <c r="AL643" t="s">
        <v>73</v>
      </c>
      <c r="AM643" t="s">
        <v>73</v>
      </c>
      <c r="AN643" t="s">
        <v>74</v>
      </c>
    </row>
    <row r="644" spans="1:40" x14ac:dyDescent="0.25">
      <c r="A644" t="s">
        <v>1186</v>
      </c>
      <c r="B644" t="s">
        <v>5</v>
      </c>
      <c r="C644">
        <v>450.24010800000002</v>
      </c>
      <c r="D644">
        <v>382.44868600000001</v>
      </c>
      <c r="E644" t="s">
        <v>56</v>
      </c>
      <c r="F644">
        <v>-24694.7</v>
      </c>
      <c r="G644" t="s">
        <v>1186</v>
      </c>
      <c r="H644" t="s">
        <v>7</v>
      </c>
      <c r="I644">
        <v>29754.04</v>
      </c>
      <c r="J644">
        <v>667.25377800000001</v>
      </c>
      <c r="K644">
        <v>566.78720199999998</v>
      </c>
      <c r="L644">
        <v>0</v>
      </c>
      <c r="M644" t="s">
        <v>1186</v>
      </c>
      <c r="N644" t="s">
        <v>57</v>
      </c>
      <c r="O644" t="s">
        <v>58</v>
      </c>
      <c r="P644" t="s">
        <v>1187</v>
      </c>
      <c r="Q644" t="s">
        <v>1188</v>
      </c>
      <c r="R644" t="s">
        <v>61</v>
      </c>
      <c r="S644" t="s">
        <v>58</v>
      </c>
      <c r="T644" t="s">
        <v>1187</v>
      </c>
      <c r="U644" t="s">
        <v>1188</v>
      </c>
      <c r="V644" t="s">
        <v>56</v>
      </c>
      <c r="W644" t="s">
        <v>56</v>
      </c>
      <c r="X644" t="s">
        <v>56</v>
      </c>
      <c r="Y644" t="s">
        <v>62</v>
      </c>
      <c r="Z644" t="s">
        <v>63</v>
      </c>
      <c r="AA644" t="s">
        <v>64</v>
      </c>
      <c r="AB644">
        <v>1</v>
      </c>
      <c r="AC644" t="s">
        <v>84</v>
      </c>
      <c r="AD644" t="s">
        <v>66</v>
      </c>
      <c r="AE644" t="s">
        <v>67</v>
      </c>
      <c r="AF644" t="s">
        <v>68</v>
      </c>
      <c r="AG644">
        <v>49990</v>
      </c>
      <c r="AH644" t="s">
        <v>69</v>
      </c>
      <c r="AI644" t="s">
        <v>128</v>
      </c>
      <c r="AJ644" t="s">
        <v>619</v>
      </c>
      <c r="AK644" t="s">
        <v>72</v>
      </c>
      <c r="AL644" t="s">
        <v>73</v>
      </c>
      <c r="AM644" t="s">
        <v>73</v>
      </c>
      <c r="AN644" t="s">
        <v>74</v>
      </c>
    </row>
    <row r="645" spans="1:40" x14ac:dyDescent="0.25">
      <c r="A645" t="s">
        <v>2345</v>
      </c>
      <c r="B645" t="s">
        <v>5</v>
      </c>
      <c r="C645">
        <v>450.01253300000002</v>
      </c>
      <c r="D645">
        <v>382.25537700000001</v>
      </c>
      <c r="E645" t="s">
        <v>56</v>
      </c>
      <c r="F645">
        <v>-18585.54</v>
      </c>
      <c r="G645" t="s">
        <v>2345</v>
      </c>
      <c r="H645" t="s">
        <v>7</v>
      </c>
      <c r="I645">
        <v>23207.13</v>
      </c>
      <c r="J645">
        <v>691.15365599999996</v>
      </c>
      <c r="K645">
        <v>587.08853999999997</v>
      </c>
      <c r="L645">
        <v>0</v>
      </c>
      <c r="M645" t="s">
        <v>2345</v>
      </c>
      <c r="N645" t="s">
        <v>57</v>
      </c>
      <c r="O645" t="s">
        <v>58</v>
      </c>
      <c r="P645" t="s">
        <v>2346</v>
      </c>
      <c r="Q645" t="s">
        <v>2347</v>
      </c>
      <c r="R645" t="s">
        <v>61</v>
      </c>
      <c r="S645" t="s">
        <v>58</v>
      </c>
      <c r="T645" t="s">
        <v>2346</v>
      </c>
      <c r="U645" t="s">
        <v>2347</v>
      </c>
      <c r="V645" t="s">
        <v>56</v>
      </c>
      <c r="W645" t="s">
        <v>56</v>
      </c>
      <c r="X645" t="s">
        <v>56</v>
      </c>
      <c r="Y645" t="s">
        <v>62</v>
      </c>
      <c r="Z645" t="s">
        <v>63</v>
      </c>
      <c r="AA645" t="s">
        <v>64</v>
      </c>
      <c r="AB645">
        <v>1</v>
      </c>
      <c r="AC645" t="s">
        <v>65</v>
      </c>
      <c r="AD645" t="s">
        <v>66</v>
      </c>
      <c r="AE645" t="s">
        <v>67</v>
      </c>
      <c r="AF645" t="s">
        <v>103</v>
      </c>
      <c r="AG645">
        <v>37642.11</v>
      </c>
      <c r="AH645" t="s">
        <v>69</v>
      </c>
      <c r="AI645" t="s">
        <v>114</v>
      </c>
      <c r="AJ645" t="s">
        <v>363</v>
      </c>
      <c r="AK645" t="s">
        <v>72</v>
      </c>
      <c r="AL645" t="s">
        <v>73</v>
      </c>
      <c r="AM645" t="s">
        <v>73</v>
      </c>
      <c r="AN645" t="s">
        <v>74</v>
      </c>
    </row>
    <row r="646" spans="1:40" x14ac:dyDescent="0.25">
      <c r="A646" t="s">
        <v>154</v>
      </c>
      <c r="B646" t="s">
        <v>5</v>
      </c>
      <c r="C646">
        <v>449.68210299999998</v>
      </c>
      <c r="D646">
        <v>776.21523500000001</v>
      </c>
      <c r="E646" t="s">
        <v>56</v>
      </c>
      <c r="F646">
        <v>-27106.26</v>
      </c>
      <c r="G646" t="s">
        <v>154</v>
      </c>
      <c r="H646" t="s">
        <v>7</v>
      </c>
      <c r="I646">
        <v>29959.119999999999</v>
      </c>
      <c r="J646">
        <v>1107.528785</v>
      </c>
      <c r="K646">
        <v>940.77120500000001</v>
      </c>
      <c r="L646">
        <v>0</v>
      </c>
      <c r="M646" t="s">
        <v>154</v>
      </c>
      <c r="N646" t="s">
        <v>57</v>
      </c>
      <c r="O646" t="s">
        <v>58</v>
      </c>
      <c r="P646" t="s">
        <v>155</v>
      </c>
      <c r="Q646" t="s">
        <v>156</v>
      </c>
      <c r="R646" t="s">
        <v>61</v>
      </c>
      <c r="S646" t="s">
        <v>58</v>
      </c>
      <c r="T646" t="s">
        <v>155</v>
      </c>
      <c r="U646" t="s">
        <v>156</v>
      </c>
      <c r="V646" t="s">
        <v>56</v>
      </c>
      <c r="W646" t="s">
        <v>56</v>
      </c>
      <c r="X646" t="s">
        <v>56</v>
      </c>
      <c r="Y646" t="s">
        <v>62</v>
      </c>
      <c r="Z646" t="s">
        <v>63</v>
      </c>
      <c r="AA646" t="s">
        <v>64</v>
      </c>
      <c r="AB646">
        <v>1</v>
      </c>
      <c r="AC646" t="s">
        <v>120</v>
      </c>
      <c r="AD646" t="s">
        <v>66</v>
      </c>
      <c r="AE646" t="s">
        <v>67</v>
      </c>
      <c r="AF646" t="s">
        <v>68</v>
      </c>
      <c r="AG646">
        <v>30325.200000000001</v>
      </c>
      <c r="AH646" t="s">
        <v>69</v>
      </c>
      <c r="AI646" t="s">
        <v>92</v>
      </c>
      <c r="AJ646" t="s">
        <v>115</v>
      </c>
      <c r="AK646" t="s">
        <v>72</v>
      </c>
      <c r="AL646" t="s">
        <v>73</v>
      </c>
      <c r="AM646" t="s">
        <v>73</v>
      </c>
      <c r="AN646" t="s">
        <v>74</v>
      </c>
    </row>
    <row r="647" spans="1:40" x14ac:dyDescent="0.25">
      <c r="A647" t="s">
        <v>537</v>
      </c>
      <c r="B647" t="s">
        <v>5</v>
      </c>
      <c r="C647" s="2">
        <v>449.68210299999998</v>
      </c>
      <c r="D647">
        <v>776.21523500000001</v>
      </c>
      <c r="E647" t="s">
        <v>56</v>
      </c>
      <c r="F647">
        <v>-27106.26</v>
      </c>
      <c r="G647" t="s">
        <v>537</v>
      </c>
      <c r="H647" t="s">
        <v>7</v>
      </c>
      <c r="I647">
        <v>29959.119999999999</v>
      </c>
      <c r="J647">
        <v>0</v>
      </c>
      <c r="K647">
        <v>0</v>
      </c>
      <c r="L647">
        <v>0</v>
      </c>
      <c r="M647" t="s">
        <v>537</v>
      </c>
      <c r="N647" t="s">
        <v>57</v>
      </c>
      <c r="O647" t="s">
        <v>58</v>
      </c>
      <c r="P647" t="s">
        <v>538</v>
      </c>
      <c r="Q647" t="s">
        <v>156</v>
      </c>
      <c r="R647" t="s">
        <v>61</v>
      </c>
      <c r="S647" t="s">
        <v>58</v>
      </c>
      <c r="T647" t="s">
        <v>538</v>
      </c>
      <c r="U647" t="s">
        <v>156</v>
      </c>
      <c r="V647" t="s">
        <v>56</v>
      </c>
      <c r="W647" t="s">
        <v>56</v>
      </c>
      <c r="X647" t="s">
        <v>56</v>
      </c>
      <c r="Y647" t="s">
        <v>62</v>
      </c>
      <c r="Z647" t="s">
        <v>63</v>
      </c>
      <c r="AA647" t="s">
        <v>64</v>
      </c>
      <c r="AB647">
        <v>1</v>
      </c>
      <c r="AC647" t="s">
        <v>120</v>
      </c>
      <c r="AD647" t="s">
        <v>66</v>
      </c>
      <c r="AE647" t="s">
        <v>67</v>
      </c>
      <c r="AF647" t="s">
        <v>68</v>
      </c>
      <c r="AG647">
        <v>0</v>
      </c>
      <c r="AH647" t="s">
        <v>69</v>
      </c>
      <c r="AI647" t="s">
        <v>92</v>
      </c>
      <c r="AJ647" t="s">
        <v>115</v>
      </c>
      <c r="AK647" t="s">
        <v>72</v>
      </c>
      <c r="AL647" t="s">
        <v>73</v>
      </c>
      <c r="AM647" t="s">
        <v>73</v>
      </c>
      <c r="AN647" t="s">
        <v>74</v>
      </c>
    </row>
    <row r="648" spans="1:40" x14ac:dyDescent="0.25">
      <c r="A648" t="s">
        <v>769</v>
      </c>
      <c r="B648" t="s">
        <v>5</v>
      </c>
      <c r="C648" s="2">
        <v>449.68210299999998</v>
      </c>
      <c r="D648">
        <v>776.21523500000001</v>
      </c>
      <c r="E648" t="s">
        <v>56</v>
      </c>
      <c r="F648">
        <v>-27106.26</v>
      </c>
      <c r="G648" t="s">
        <v>769</v>
      </c>
      <c r="H648" t="s">
        <v>7</v>
      </c>
      <c r="I648">
        <v>29959.119999999999</v>
      </c>
      <c r="J648">
        <v>0</v>
      </c>
      <c r="K648">
        <v>0</v>
      </c>
      <c r="L648">
        <v>0</v>
      </c>
      <c r="M648" t="s">
        <v>769</v>
      </c>
      <c r="N648" t="s">
        <v>57</v>
      </c>
      <c r="O648" t="s">
        <v>58</v>
      </c>
      <c r="P648" t="s">
        <v>770</v>
      </c>
      <c r="Q648" t="s">
        <v>156</v>
      </c>
      <c r="R648" t="s">
        <v>61</v>
      </c>
      <c r="S648" t="s">
        <v>58</v>
      </c>
      <c r="T648" t="s">
        <v>770</v>
      </c>
      <c r="U648" t="s">
        <v>156</v>
      </c>
      <c r="V648" t="s">
        <v>56</v>
      </c>
      <c r="W648" t="s">
        <v>56</v>
      </c>
      <c r="X648" t="s">
        <v>56</v>
      </c>
      <c r="Y648" t="s">
        <v>62</v>
      </c>
      <c r="Z648" t="s">
        <v>63</v>
      </c>
      <c r="AA648" t="s">
        <v>64</v>
      </c>
      <c r="AB648">
        <v>1</v>
      </c>
      <c r="AC648" t="s">
        <v>120</v>
      </c>
      <c r="AD648" t="s">
        <v>66</v>
      </c>
      <c r="AE648" t="s">
        <v>67</v>
      </c>
      <c r="AF648" t="s">
        <v>68</v>
      </c>
      <c r="AG648">
        <v>0</v>
      </c>
      <c r="AH648" t="s">
        <v>69</v>
      </c>
      <c r="AI648" t="s">
        <v>92</v>
      </c>
      <c r="AJ648" t="s">
        <v>115</v>
      </c>
      <c r="AK648" t="s">
        <v>72</v>
      </c>
      <c r="AL648" t="s">
        <v>73</v>
      </c>
      <c r="AM648" t="s">
        <v>73</v>
      </c>
      <c r="AN648" t="s">
        <v>74</v>
      </c>
    </row>
    <row r="649" spans="1:40" x14ac:dyDescent="0.25">
      <c r="A649" t="s">
        <v>1668</v>
      </c>
      <c r="B649" t="s">
        <v>5</v>
      </c>
      <c r="C649" s="2">
        <v>449.68210299999998</v>
      </c>
      <c r="D649">
        <v>776.21523500000001</v>
      </c>
      <c r="E649" t="s">
        <v>56</v>
      </c>
      <c r="F649">
        <v>-27106.26</v>
      </c>
      <c r="G649" t="s">
        <v>1668</v>
      </c>
      <c r="H649" t="s">
        <v>7</v>
      </c>
      <c r="I649">
        <v>29959.119999999999</v>
      </c>
      <c r="J649">
        <v>0</v>
      </c>
      <c r="K649">
        <v>0</v>
      </c>
      <c r="L649">
        <v>0</v>
      </c>
      <c r="M649" t="s">
        <v>1668</v>
      </c>
      <c r="N649" t="s">
        <v>57</v>
      </c>
      <c r="O649" t="s">
        <v>58</v>
      </c>
      <c r="P649" t="s">
        <v>1669</v>
      </c>
      <c r="Q649" t="s">
        <v>156</v>
      </c>
      <c r="R649" t="s">
        <v>61</v>
      </c>
      <c r="S649" t="s">
        <v>58</v>
      </c>
      <c r="T649" t="s">
        <v>1669</v>
      </c>
      <c r="U649" t="s">
        <v>156</v>
      </c>
      <c r="V649" t="s">
        <v>56</v>
      </c>
      <c r="W649" t="s">
        <v>56</v>
      </c>
      <c r="X649" t="s">
        <v>56</v>
      </c>
      <c r="Y649" t="s">
        <v>62</v>
      </c>
      <c r="Z649" t="s">
        <v>63</v>
      </c>
      <c r="AA649" t="s">
        <v>64</v>
      </c>
      <c r="AB649">
        <v>1</v>
      </c>
      <c r="AC649" t="s">
        <v>120</v>
      </c>
      <c r="AD649" t="s">
        <v>66</v>
      </c>
      <c r="AE649" t="s">
        <v>67</v>
      </c>
      <c r="AF649" t="s">
        <v>68</v>
      </c>
      <c r="AG649">
        <v>0</v>
      </c>
      <c r="AH649" t="s">
        <v>69</v>
      </c>
      <c r="AI649" t="s">
        <v>92</v>
      </c>
      <c r="AJ649" t="s">
        <v>115</v>
      </c>
      <c r="AK649" t="s">
        <v>72</v>
      </c>
      <c r="AL649" t="s">
        <v>73</v>
      </c>
      <c r="AM649" t="s">
        <v>73</v>
      </c>
      <c r="AN649" t="s">
        <v>74</v>
      </c>
    </row>
    <row r="650" spans="1:40" x14ac:dyDescent="0.25">
      <c r="A650" t="s">
        <v>1911</v>
      </c>
      <c r="B650" t="s">
        <v>5</v>
      </c>
      <c r="C650" s="2">
        <v>449.68210299999998</v>
      </c>
      <c r="D650">
        <v>776.21523500000001</v>
      </c>
      <c r="E650" t="s">
        <v>56</v>
      </c>
      <c r="F650">
        <v>-27106.26</v>
      </c>
      <c r="G650" t="s">
        <v>1911</v>
      </c>
      <c r="H650" t="s">
        <v>7</v>
      </c>
      <c r="I650">
        <v>29959.119999999999</v>
      </c>
      <c r="J650">
        <v>0</v>
      </c>
      <c r="K650">
        <v>0</v>
      </c>
      <c r="L650">
        <v>0</v>
      </c>
      <c r="M650" t="s">
        <v>1911</v>
      </c>
      <c r="N650" t="s">
        <v>57</v>
      </c>
      <c r="O650" t="s">
        <v>58</v>
      </c>
      <c r="P650" t="s">
        <v>1912</v>
      </c>
      <c r="Q650" t="s">
        <v>156</v>
      </c>
      <c r="R650" t="s">
        <v>61</v>
      </c>
      <c r="S650" t="s">
        <v>58</v>
      </c>
      <c r="T650" t="s">
        <v>1912</v>
      </c>
      <c r="U650" t="s">
        <v>156</v>
      </c>
      <c r="V650" t="s">
        <v>56</v>
      </c>
      <c r="W650" t="s">
        <v>56</v>
      </c>
      <c r="X650" t="s">
        <v>56</v>
      </c>
      <c r="Y650" t="s">
        <v>62</v>
      </c>
      <c r="Z650" t="s">
        <v>63</v>
      </c>
      <c r="AA650" t="s">
        <v>64</v>
      </c>
      <c r="AB650">
        <v>1</v>
      </c>
      <c r="AC650" t="s">
        <v>120</v>
      </c>
      <c r="AD650" t="s">
        <v>66</v>
      </c>
      <c r="AE650" t="s">
        <v>67</v>
      </c>
      <c r="AF650" t="s">
        <v>68</v>
      </c>
      <c r="AG650">
        <v>0</v>
      </c>
      <c r="AH650" t="s">
        <v>69</v>
      </c>
      <c r="AI650" t="s">
        <v>92</v>
      </c>
      <c r="AJ650" t="s">
        <v>115</v>
      </c>
      <c r="AK650" t="s">
        <v>72</v>
      </c>
      <c r="AL650" t="s">
        <v>73</v>
      </c>
      <c r="AM650" t="s">
        <v>73</v>
      </c>
      <c r="AN650" t="s">
        <v>74</v>
      </c>
    </row>
    <row r="651" spans="1:40" x14ac:dyDescent="0.25">
      <c r="A651" t="s">
        <v>2358</v>
      </c>
      <c r="B651" t="s">
        <v>5</v>
      </c>
      <c r="C651" s="2">
        <v>449.68210299999998</v>
      </c>
      <c r="D651">
        <v>776.21523500000001</v>
      </c>
      <c r="E651" t="s">
        <v>56</v>
      </c>
      <c r="F651">
        <v>-27106.26</v>
      </c>
      <c r="G651" t="s">
        <v>2358</v>
      </c>
      <c r="H651" t="s">
        <v>7</v>
      </c>
      <c r="I651">
        <v>29959.119999999999</v>
      </c>
      <c r="J651">
        <v>0</v>
      </c>
      <c r="K651">
        <v>0</v>
      </c>
      <c r="L651">
        <v>0</v>
      </c>
      <c r="M651" t="s">
        <v>2358</v>
      </c>
      <c r="N651" t="s">
        <v>57</v>
      </c>
      <c r="O651" t="s">
        <v>58</v>
      </c>
      <c r="P651" t="s">
        <v>2359</v>
      </c>
      <c r="Q651" t="s">
        <v>156</v>
      </c>
      <c r="R651" t="s">
        <v>61</v>
      </c>
      <c r="S651" t="s">
        <v>58</v>
      </c>
      <c r="T651" t="s">
        <v>2359</v>
      </c>
      <c r="U651" t="s">
        <v>156</v>
      </c>
      <c r="V651" t="s">
        <v>56</v>
      </c>
      <c r="W651" t="s">
        <v>56</v>
      </c>
      <c r="X651" t="s">
        <v>56</v>
      </c>
      <c r="Y651" t="s">
        <v>62</v>
      </c>
      <c r="Z651" t="s">
        <v>63</v>
      </c>
      <c r="AA651" t="s">
        <v>64</v>
      </c>
      <c r="AB651">
        <v>1</v>
      </c>
      <c r="AC651" t="s">
        <v>120</v>
      </c>
      <c r="AD651" t="s">
        <v>66</v>
      </c>
      <c r="AE651" t="s">
        <v>67</v>
      </c>
      <c r="AF651" t="s">
        <v>68</v>
      </c>
      <c r="AG651">
        <v>0</v>
      </c>
      <c r="AH651" t="s">
        <v>69</v>
      </c>
      <c r="AI651" t="s">
        <v>92</v>
      </c>
      <c r="AJ651" t="s">
        <v>115</v>
      </c>
      <c r="AK651" t="s">
        <v>72</v>
      </c>
      <c r="AL651" t="s">
        <v>73</v>
      </c>
      <c r="AM651" t="s">
        <v>73</v>
      </c>
      <c r="AN651" t="s">
        <v>74</v>
      </c>
    </row>
    <row r="652" spans="1:40" x14ac:dyDescent="0.25">
      <c r="A652" t="s">
        <v>450</v>
      </c>
      <c r="B652" t="s">
        <v>5</v>
      </c>
      <c r="C652">
        <v>448.44416999999999</v>
      </c>
      <c r="D652">
        <v>380.923158</v>
      </c>
      <c r="E652" t="s">
        <v>56</v>
      </c>
      <c r="F652">
        <v>-17283.57</v>
      </c>
      <c r="G652" t="s">
        <v>450</v>
      </c>
      <c r="H652" t="s">
        <v>7</v>
      </c>
      <c r="I652">
        <v>20269.3</v>
      </c>
      <c r="J652">
        <v>646.87402899999995</v>
      </c>
      <c r="K652">
        <v>549.47597599999995</v>
      </c>
      <c r="L652">
        <v>0</v>
      </c>
      <c r="M652" t="s">
        <v>450</v>
      </c>
      <c r="N652" t="s">
        <v>57</v>
      </c>
      <c r="O652" t="s">
        <v>58</v>
      </c>
      <c r="P652" t="s">
        <v>451</v>
      </c>
      <c r="Q652" t="s">
        <v>452</v>
      </c>
      <c r="R652" t="s">
        <v>61</v>
      </c>
      <c r="S652" t="s">
        <v>58</v>
      </c>
      <c r="T652" t="s">
        <v>451</v>
      </c>
      <c r="U652" t="s">
        <v>452</v>
      </c>
      <c r="V652" t="s">
        <v>56</v>
      </c>
      <c r="W652" t="s">
        <v>56</v>
      </c>
      <c r="X652" t="s">
        <v>56</v>
      </c>
      <c r="Y652" t="s">
        <v>62</v>
      </c>
      <c r="Z652" t="s">
        <v>63</v>
      </c>
      <c r="AA652" t="s">
        <v>64</v>
      </c>
      <c r="AB652">
        <v>1</v>
      </c>
      <c r="AC652" t="s">
        <v>147</v>
      </c>
      <c r="AD652" t="s">
        <v>66</v>
      </c>
      <c r="AE652" t="s">
        <v>67</v>
      </c>
      <c r="AF652" t="s">
        <v>103</v>
      </c>
      <c r="AG652">
        <v>35127.56</v>
      </c>
      <c r="AH652" t="s">
        <v>69</v>
      </c>
      <c r="AI652" t="s">
        <v>244</v>
      </c>
      <c r="AJ652" t="s">
        <v>453</v>
      </c>
      <c r="AK652" t="s">
        <v>72</v>
      </c>
      <c r="AL652" t="s">
        <v>73</v>
      </c>
      <c r="AM652" t="s">
        <v>73</v>
      </c>
      <c r="AN652" t="s">
        <v>74</v>
      </c>
    </row>
    <row r="653" spans="1:40" x14ac:dyDescent="0.25">
      <c r="A653" t="s">
        <v>1349</v>
      </c>
      <c r="B653" t="s">
        <v>5</v>
      </c>
      <c r="C653" s="2">
        <v>445.99951800000002</v>
      </c>
      <c r="D653" t="s">
        <v>56</v>
      </c>
      <c r="E653" t="s">
        <v>56</v>
      </c>
      <c r="F653">
        <v>-29248.11</v>
      </c>
      <c r="G653" t="s">
        <v>1349</v>
      </c>
      <c r="H653" t="s">
        <v>7</v>
      </c>
      <c r="I653">
        <v>36891.03</v>
      </c>
      <c r="J653">
        <v>0</v>
      </c>
      <c r="K653">
        <v>0</v>
      </c>
      <c r="L653">
        <v>0</v>
      </c>
      <c r="M653" t="s">
        <v>1349</v>
      </c>
      <c r="N653" t="s">
        <v>57</v>
      </c>
      <c r="O653" t="s">
        <v>58</v>
      </c>
      <c r="P653" t="s">
        <v>1350</v>
      </c>
      <c r="Q653" t="s">
        <v>223</v>
      </c>
      <c r="R653" t="s">
        <v>61</v>
      </c>
      <c r="S653" t="s">
        <v>58</v>
      </c>
      <c r="T653" t="s">
        <v>1350</v>
      </c>
      <c r="U653" t="s">
        <v>223</v>
      </c>
      <c r="V653" t="s">
        <v>56</v>
      </c>
      <c r="W653" t="s">
        <v>56</v>
      </c>
      <c r="X653" t="s">
        <v>56</v>
      </c>
      <c r="Y653" t="s">
        <v>62</v>
      </c>
      <c r="Z653" t="s">
        <v>63</v>
      </c>
      <c r="AA653" t="s">
        <v>64</v>
      </c>
      <c r="AB653">
        <v>1</v>
      </c>
      <c r="AC653" t="s">
        <v>147</v>
      </c>
      <c r="AD653" t="s">
        <v>66</v>
      </c>
      <c r="AE653" t="s">
        <v>85</v>
      </c>
      <c r="AF653" t="s">
        <v>68</v>
      </c>
      <c r="AG653">
        <v>62342.47</v>
      </c>
      <c r="AH653" t="s">
        <v>69</v>
      </c>
      <c r="AI653" t="s">
        <v>536</v>
      </c>
      <c r="AJ653" t="s">
        <v>363</v>
      </c>
      <c r="AK653" t="s">
        <v>72</v>
      </c>
      <c r="AL653" t="s">
        <v>73</v>
      </c>
      <c r="AM653" t="s">
        <v>73</v>
      </c>
      <c r="AN653" t="s">
        <v>56</v>
      </c>
    </row>
    <row r="654" spans="1:40" x14ac:dyDescent="0.25">
      <c r="A654" t="s">
        <v>1602</v>
      </c>
      <c r="B654" t="s">
        <v>5</v>
      </c>
      <c r="C654">
        <v>443.950962</v>
      </c>
      <c r="D654">
        <v>377.10647999999998</v>
      </c>
      <c r="E654" t="s">
        <v>56</v>
      </c>
      <c r="F654">
        <v>-16999.560000000001</v>
      </c>
      <c r="G654" t="s">
        <v>1602</v>
      </c>
      <c r="H654" t="s">
        <v>7</v>
      </c>
      <c r="I654">
        <v>20419.990000000002</v>
      </c>
      <c r="J654">
        <v>655.89968299999998</v>
      </c>
      <c r="K654">
        <v>557.14266199999997</v>
      </c>
      <c r="L654">
        <v>0</v>
      </c>
      <c r="M654" t="s">
        <v>1602</v>
      </c>
      <c r="N654" t="s">
        <v>57</v>
      </c>
      <c r="O654" t="s">
        <v>58</v>
      </c>
      <c r="P654" t="s">
        <v>1603</v>
      </c>
      <c r="Q654" t="s">
        <v>1604</v>
      </c>
      <c r="R654" t="s">
        <v>61</v>
      </c>
      <c r="S654" t="s">
        <v>58</v>
      </c>
      <c r="T654" t="s">
        <v>1603</v>
      </c>
      <c r="U654" t="s">
        <v>1604</v>
      </c>
      <c r="V654" t="s">
        <v>56</v>
      </c>
      <c r="W654" t="s">
        <v>56</v>
      </c>
      <c r="X654" t="s">
        <v>56</v>
      </c>
      <c r="Y654" t="s">
        <v>62</v>
      </c>
      <c r="Z654" t="s">
        <v>63</v>
      </c>
      <c r="AA654" t="s">
        <v>64</v>
      </c>
      <c r="AB654">
        <v>1</v>
      </c>
      <c r="AC654" t="s">
        <v>84</v>
      </c>
      <c r="AD654" t="s">
        <v>66</v>
      </c>
      <c r="AE654" t="s">
        <v>67</v>
      </c>
      <c r="AF654" t="s">
        <v>68</v>
      </c>
      <c r="AG654">
        <v>34900</v>
      </c>
      <c r="AH654" t="s">
        <v>69</v>
      </c>
      <c r="AI654" t="s">
        <v>278</v>
      </c>
      <c r="AJ654" t="s">
        <v>761</v>
      </c>
      <c r="AK654" t="s">
        <v>72</v>
      </c>
      <c r="AL654" t="s">
        <v>73</v>
      </c>
      <c r="AM654" t="s">
        <v>73</v>
      </c>
      <c r="AN654" t="s">
        <v>74</v>
      </c>
    </row>
    <row r="655" spans="1:40" x14ac:dyDescent="0.25">
      <c r="A655" t="s">
        <v>642</v>
      </c>
      <c r="B655" t="s">
        <v>5</v>
      </c>
      <c r="C655">
        <v>443.18752000000001</v>
      </c>
      <c r="D655">
        <v>376.457987</v>
      </c>
      <c r="E655" t="s">
        <v>56</v>
      </c>
      <c r="F655">
        <v>-22850.02</v>
      </c>
      <c r="G655" t="s">
        <v>642</v>
      </c>
      <c r="H655" t="s">
        <v>7</v>
      </c>
      <c r="I655">
        <v>25487.84</v>
      </c>
      <c r="J655">
        <v>608.04051100000004</v>
      </c>
      <c r="K655">
        <v>516.48951499999998</v>
      </c>
      <c r="L655">
        <v>0</v>
      </c>
      <c r="M655" t="s">
        <v>642</v>
      </c>
      <c r="N655" t="s">
        <v>57</v>
      </c>
      <c r="O655" t="s">
        <v>58</v>
      </c>
      <c r="P655" t="s">
        <v>643</v>
      </c>
      <c r="Q655" t="s">
        <v>644</v>
      </c>
      <c r="R655" t="s">
        <v>61</v>
      </c>
      <c r="S655" t="s">
        <v>58</v>
      </c>
      <c r="T655" t="s">
        <v>643</v>
      </c>
      <c r="U655" t="s">
        <v>644</v>
      </c>
      <c r="V655" t="s">
        <v>56</v>
      </c>
      <c r="W655" t="s">
        <v>56</v>
      </c>
      <c r="X655" t="s">
        <v>56</v>
      </c>
      <c r="Y655" t="s">
        <v>62</v>
      </c>
      <c r="Z655" t="s">
        <v>63</v>
      </c>
      <c r="AA655" t="s">
        <v>64</v>
      </c>
      <c r="AB655">
        <v>1</v>
      </c>
      <c r="AC655" t="s">
        <v>645</v>
      </c>
      <c r="AD655" t="s">
        <v>66</v>
      </c>
      <c r="AE655" t="s">
        <v>67</v>
      </c>
      <c r="AF655" t="s">
        <v>68</v>
      </c>
      <c r="AG655">
        <v>46991.87</v>
      </c>
      <c r="AH655" t="s">
        <v>69</v>
      </c>
      <c r="AI655" t="s">
        <v>168</v>
      </c>
      <c r="AJ655" t="s">
        <v>143</v>
      </c>
      <c r="AK655" t="s">
        <v>72</v>
      </c>
      <c r="AL655" t="s">
        <v>73</v>
      </c>
      <c r="AM655" t="s">
        <v>73</v>
      </c>
      <c r="AN655" t="s">
        <v>74</v>
      </c>
    </row>
    <row r="656" spans="1:40" x14ac:dyDescent="0.25">
      <c r="A656" t="s">
        <v>965</v>
      </c>
      <c r="B656" t="s">
        <v>5</v>
      </c>
      <c r="C656">
        <v>442.94537100000002</v>
      </c>
      <c r="D656">
        <v>376.252298</v>
      </c>
      <c r="E656" t="s">
        <v>56</v>
      </c>
      <c r="F656">
        <v>-45854.77</v>
      </c>
      <c r="G656" t="s">
        <v>965</v>
      </c>
      <c r="H656" t="s">
        <v>7</v>
      </c>
      <c r="I656">
        <v>51461.86</v>
      </c>
      <c r="J656">
        <v>611.43620199999998</v>
      </c>
      <c r="K656">
        <v>519.37392499999999</v>
      </c>
      <c r="L656">
        <v>0</v>
      </c>
      <c r="M656" t="s">
        <v>965</v>
      </c>
      <c r="N656" t="s">
        <v>57</v>
      </c>
      <c r="O656" t="s">
        <v>58</v>
      </c>
      <c r="P656" t="s">
        <v>966</v>
      </c>
      <c r="Q656" t="s">
        <v>967</v>
      </c>
      <c r="R656" t="s">
        <v>61</v>
      </c>
      <c r="S656" t="s">
        <v>58</v>
      </c>
      <c r="T656" t="s">
        <v>966</v>
      </c>
      <c r="U656" t="s">
        <v>967</v>
      </c>
      <c r="V656" t="s">
        <v>56</v>
      </c>
      <c r="W656" t="s">
        <v>56</v>
      </c>
      <c r="X656" t="s">
        <v>56</v>
      </c>
      <c r="Y656" t="s">
        <v>62</v>
      </c>
      <c r="Z656" t="s">
        <v>63</v>
      </c>
      <c r="AA656" t="s">
        <v>64</v>
      </c>
      <c r="AB656">
        <v>1</v>
      </c>
      <c r="AC656" t="s">
        <v>84</v>
      </c>
      <c r="AD656" t="s">
        <v>66</v>
      </c>
      <c r="AE656" t="s">
        <v>67</v>
      </c>
      <c r="AF656" t="s">
        <v>103</v>
      </c>
      <c r="AG656">
        <v>94353.51</v>
      </c>
      <c r="AH656" t="s">
        <v>69</v>
      </c>
      <c r="AI656" t="s">
        <v>104</v>
      </c>
      <c r="AJ656" t="s">
        <v>148</v>
      </c>
      <c r="AK656" t="s">
        <v>72</v>
      </c>
      <c r="AL656" t="s">
        <v>73</v>
      </c>
      <c r="AM656" t="s">
        <v>73</v>
      </c>
      <c r="AN656" t="s">
        <v>74</v>
      </c>
    </row>
    <row r="657" spans="1:40" x14ac:dyDescent="0.25">
      <c r="A657" t="s">
        <v>989</v>
      </c>
      <c r="B657" t="s">
        <v>5</v>
      </c>
      <c r="C657">
        <v>440.66098099999999</v>
      </c>
      <c r="D657">
        <v>766.76094999999998</v>
      </c>
      <c r="E657" t="s">
        <v>56</v>
      </c>
      <c r="F657">
        <v>-54913.9</v>
      </c>
      <c r="G657" t="s">
        <v>989</v>
      </c>
      <c r="H657" t="s">
        <v>7</v>
      </c>
      <c r="I657">
        <v>61643.35</v>
      </c>
      <c r="J657">
        <v>919.01694399999997</v>
      </c>
      <c r="K657">
        <v>780.64307599999995</v>
      </c>
      <c r="L657">
        <v>0</v>
      </c>
      <c r="M657" t="s">
        <v>989</v>
      </c>
      <c r="N657" t="s">
        <v>57</v>
      </c>
      <c r="O657" t="s">
        <v>58</v>
      </c>
      <c r="P657" t="s">
        <v>990</v>
      </c>
      <c r="Q657" t="s">
        <v>991</v>
      </c>
      <c r="R657" t="s">
        <v>61</v>
      </c>
      <c r="S657" t="s">
        <v>58</v>
      </c>
      <c r="T657" t="s">
        <v>990</v>
      </c>
      <c r="U657" t="s">
        <v>991</v>
      </c>
      <c r="V657" t="s">
        <v>56</v>
      </c>
      <c r="W657" t="s">
        <v>56</v>
      </c>
      <c r="X657" t="s">
        <v>56</v>
      </c>
      <c r="Y657" t="s">
        <v>62</v>
      </c>
      <c r="Z657" t="s">
        <v>63</v>
      </c>
      <c r="AA657" t="s">
        <v>64</v>
      </c>
      <c r="AB657">
        <v>1</v>
      </c>
      <c r="AC657" t="s">
        <v>84</v>
      </c>
      <c r="AD657" t="s">
        <v>66</v>
      </c>
      <c r="AE657" t="s">
        <v>67</v>
      </c>
      <c r="AF657" t="s">
        <v>86</v>
      </c>
      <c r="AG657">
        <v>75195.259999999995</v>
      </c>
      <c r="AH657" t="s">
        <v>69</v>
      </c>
      <c r="AI657" t="s">
        <v>186</v>
      </c>
      <c r="AJ657" t="s">
        <v>339</v>
      </c>
      <c r="AK657" t="s">
        <v>72</v>
      </c>
      <c r="AL657" t="s">
        <v>73</v>
      </c>
      <c r="AM657" t="s">
        <v>73</v>
      </c>
      <c r="AN657" t="s">
        <v>74</v>
      </c>
    </row>
    <row r="658" spans="1:40" x14ac:dyDescent="0.25">
      <c r="A658" t="s">
        <v>2348</v>
      </c>
      <c r="B658" t="s">
        <v>5</v>
      </c>
      <c r="C658">
        <v>437.29250300000001</v>
      </c>
      <c r="D658">
        <v>558.42266500000005</v>
      </c>
      <c r="E658" t="s">
        <v>56</v>
      </c>
      <c r="F658">
        <v>-18413.28</v>
      </c>
      <c r="G658" t="s">
        <v>2348</v>
      </c>
      <c r="H658" t="s">
        <v>7</v>
      </c>
      <c r="I658">
        <v>22487.439999999999</v>
      </c>
      <c r="J658">
        <v>656.87493400000005</v>
      </c>
      <c r="K658">
        <v>838.82949699999995</v>
      </c>
      <c r="L658">
        <v>0</v>
      </c>
      <c r="M658" t="s">
        <v>2348</v>
      </c>
      <c r="N658" t="s">
        <v>57</v>
      </c>
      <c r="O658" t="s">
        <v>58</v>
      </c>
      <c r="P658" t="s">
        <v>2349</v>
      </c>
      <c r="Q658" t="s">
        <v>2350</v>
      </c>
      <c r="R658" t="s">
        <v>61</v>
      </c>
      <c r="S658" t="s">
        <v>58</v>
      </c>
      <c r="T658" t="s">
        <v>2349</v>
      </c>
      <c r="U658" t="s">
        <v>2350</v>
      </c>
      <c r="V658" t="s">
        <v>56</v>
      </c>
      <c r="W658" t="s">
        <v>56</v>
      </c>
      <c r="X658" t="s">
        <v>56</v>
      </c>
      <c r="Y658" t="s">
        <v>62</v>
      </c>
      <c r="Z658" t="s">
        <v>63</v>
      </c>
      <c r="AA658" t="s">
        <v>64</v>
      </c>
      <c r="AB658">
        <v>1</v>
      </c>
      <c r="AC658" t="s">
        <v>84</v>
      </c>
      <c r="AD658" t="s">
        <v>66</v>
      </c>
      <c r="AE658" t="s">
        <v>121</v>
      </c>
      <c r="AF658" t="s">
        <v>68</v>
      </c>
      <c r="AG658">
        <v>32520.33</v>
      </c>
      <c r="AH658" t="s">
        <v>69</v>
      </c>
      <c r="AI658" t="s">
        <v>122</v>
      </c>
      <c r="AJ658" t="s">
        <v>109</v>
      </c>
      <c r="AK658" t="s">
        <v>72</v>
      </c>
      <c r="AL658" t="s">
        <v>73</v>
      </c>
      <c r="AM658" t="s">
        <v>73</v>
      </c>
      <c r="AN658" t="s">
        <v>124</v>
      </c>
    </row>
    <row r="659" spans="1:40" x14ac:dyDescent="0.25">
      <c r="A659" t="s">
        <v>2486</v>
      </c>
      <c r="B659" t="s">
        <v>5</v>
      </c>
      <c r="C659">
        <v>436.63492400000001</v>
      </c>
      <c r="D659">
        <v>370.891998</v>
      </c>
      <c r="E659" t="s">
        <v>56</v>
      </c>
      <c r="F659">
        <v>-16764.59</v>
      </c>
      <c r="G659" t="s">
        <v>2486</v>
      </c>
      <c r="H659" t="s">
        <v>7</v>
      </c>
      <c r="I659">
        <v>17938.939999999999</v>
      </c>
      <c r="J659">
        <v>574.65758700000004</v>
      </c>
      <c r="K659">
        <v>488.13296600000001</v>
      </c>
      <c r="L659">
        <v>0</v>
      </c>
      <c r="M659" t="s">
        <v>2486</v>
      </c>
      <c r="N659" t="s">
        <v>57</v>
      </c>
      <c r="O659" t="s">
        <v>58</v>
      </c>
      <c r="P659" t="s">
        <v>2487</v>
      </c>
      <c r="Q659" t="s">
        <v>2488</v>
      </c>
      <c r="R659" t="s">
        <v>61</v>
      </c>
      <c r="S659" t="s">
        <v>58</v>
      </c>
      <c r="T659" t="s">
        <v>2487</v>
      </c>
      <c r="U659" t="s">
        <v>2488</v>
      </c>
      <c r="V659" t="s">
        <v>56</v>
      </c>
      <c r="W659" t="s">
        <v>56</v>
      </c>
      <c r="X659" t="s">
        <v>56</v>
      </c>
      <c r="Y659" t="s">
        <v>62</v>
      </c>
      <c r="Z659" t="s">
        <v>63</v>
      </c>
      <c r="AA659" t="s">
        <v>64</v>
      </c>
      <c r="AB659">
        <v>1</v>
      </c>
      <c r="AC659" t="s">
        <v>84</v>
      </c>
      <c r="AD659" t="s">
        <v>66</v>
      </c>
      <c r="AE659" t="s">
        <v>67</v>
      </c>
      <c r="AF659" t="s">
        <v>68</v>
      </c>
      <c r="AG659">
        <v>34994.31</v>
      </c>
      <c r="AH659" t="s">
        <v>69</v>
      </c>
      <c r="AI659" t="s">
        <v>79</v>
      </c>
      <c r="AJ659" t="s">
        <v>143</v>
      </c>
      <c r="AK659" t="s">
        <v>72</v>
      </c>
      <c r="AL659" t="s">
        <v>73</v>
      </c>
      <c r="AM659" t="s">
        <v>73</v>
      </c>
      <c r="AN659" t="s">
        <v>74</v>
      </c>
    </row>
    <row r="660" spans="1:40" x14ac:dyDescent="0.25">
      <c r="A660" t="s">
        <v>2039</v>
      </c>
      <c r="B660" t="s">
        <v>5</v>
      </c>
      <c r="C660">
        <v>436.37820199999999</v>
      </c>
      <c r="D660">
        <v>370.67392899999999</v>
      </c>
      <c r="E660" t="s">
        <v>56</v>
      </c>
      <c r="F660">
        <v>-21794.44</v>
      </c>
      <c r="G660" t="s">
        <v>2039</v>
      </c>
      <c r="H660" t="s">
        <v>7</v>
      </c>
      <c r="I660">
        <v>25862.58</v>
      </c>
      <c r="J660">
        <v>636.924622</v>
      </c>
      <c r="K660">
        <v>541.02462300000002</v>
      </c>
      <c r="L660">
        <v>0</v>
      </c>
      <c r="M660" t="s">
        <v>2039</v>
      </c>
      <c r="N660" t="s">
        <v>57</v>
      </c>
      <c r="O660" t="s">
        <v>58</v>
      </c>
      <c r="P660" t="s">
        <v>2040</v>
      </c>
      <c r="Q660" t="s">
        <v>2041</v>
      </c>
      <c r="R660" t="s">
        <v>61</v>
      </c>
      <c r="S660" t="s">
        <v>58</v>
      </c>
      <c r="T660" t="s">
        <v>2040</v>
      </c>
      <c r="U660" t="s">
        <v>2041</v>
      </c>
      <c r="V660" t="s">
        <v>56</v>
      </c>
      <c r="W660" t="s">
        <v>56</v>
      </c>
      <c r="X660" t="s">
        <v>56</v>
      </c>
      <c r="Y660" t="s">
        <v>62</v>
      </c>
      <c r="Z660" t="s">
        <v>63</v>
      </c>
      <c r="AA660" t="s">
        <v>64</v>
      </c>
      <c r="AB660">
        <v>1</v>
      </c>
      <c r="AC660" t="s">
        <v>84</v>
      </c>
      <c r="AD660" t="s">
        <v>66</v>
      </c>
      <c r="AE660" t="s">
        <v>67</v>
      </c>
      <c r="AF660" t="s">
        <v>68</v>
      </c>
      <c r="AG660">
        <v>45520.33</v>
      </c>
      <c r="AH660" t="s">
        <v>69</v>
      </c>
      <c r="AI660" t="s">
        <v>128</v>
      </c>
      <c r="AJ660" t="s">
        <v>187</v>
      </c>
      <c r="AK660" t="s">
        <v>72</v>
      </c>
      <c r="AL660" t="s">
        <v>73</v>
      </c>
      <c r="AM660" t="s">
        <v>73</v>
      </c>
      <c r="AN660" t="s">
        <v>74</v>
      </c>
    </row>
    <row r="661" spans="1:40" x14ac:dyDescent="0.25">
      <c r="A661" t="s">
        <v>1526</v>
      </c>
      <c r="B661" t="s">
        <v>5</v>
      </c>
      <c r="C661">
        <v>432.326864</v>
      </c>
      <c r="D661">
        <v>752.25938099999996</v>
      </c>
      <c r="E661" t="s">
        <v>56</v>
      </c>
      <c r="F661">
        <v>-58191.49</v>
      </c>
      <c r="G661" t="s">
        <v>1526</v>
      </c>
      <c r="H661" t="s">
        <v>7</v>
      </c>
      <c r="I661">
        <v>67787.16</v>
      </c>
      <c r="J661">
        <v>935.65795800000001</v>
      </c>
      <c r="K661">
        <v>794.77849900000001</v>
      </c>
      <c r="L661">
        <v>0</v>
      </c>
      <c r="M661" t="s">
        <v>1526</v>
      </c>
      <c r="N661" t="s">
        <v>57</v>
      </c>
      <c r="O661" t="s">
        <v>58</v>
      </c>
      <c r="P661" t="s">
        <v>1527</v>
      </c>
      <c r="Q661" t="s">
        <v>743</v>
      </c>
      <c r="R661" t="s">
        <v>61</v>
      </c>
      <c r="S661" t="s">
        <v>58</v>
      </c>
      <c r="T661" t="s">
        <v>1527</v>
      </c>
      <c r="U661" t="s">
        <v>743</v>
      </c>
      <c r="V661" t="s">
        <v>56</v>
      </c>
      <c r="W661" t="s">
        <v>56</v>
      </c>
      <c r="X661" t="s">
        <v>56</v>
      </c>
      <c r="Y661" t="s">
        <v>62</v>
      </c>
      <c r="Z661" t="s">
        <v>63</v>
      </c>
      <c r="AA661" t="s">
        <v>64</v>
      </c>
      <c r="AB661">
        <v>1</v>
      </c>
      <c r="AC661" t="s">
        <v>744</v>
      </c>
      <c r="AD661" t="s">
        <v>66</v>
      </c>
      <c r="AE661" t="s">
        <v>67</v>
      </c>
      <c r="AF661" t="s">
        <v>68</v>
      </c>
      <c r="AG661">
        <v>81219.509999999995</v>
      </c>
      <c r="AH661" t="s">
        <v>69</v>
      </c>
      <c r="AI661" t="s">
        <v>92</v>
      </c>
      <c r="AJ661" t="s">
        <v>93</v>
      </c>
      <c r="AK661" t="s">
        <v>72</v>
      </c>
      <c r="AL661" t="s">
        <v>73</v>
      </c>
      <c r="AM661" t="s">
        <v>73</v>
      </c>
      <c r="AN661" t="s">
        <v>74</v>
      </c>
    </row>
    <row r="662" spans="1:40" x14ac:dyDescent="0.25">
      <c r="A662" t="s">
        <v>1629</v>
      </c>
      <c r="B662" t="s">
        <v>5</v>
      </c>
      <c r="C662">
        <v>429.44332500000002</v>
      </c>
      <c r="D662">
        <v>364.78321799999998</v>
      </c>
      <c r="E662" t="s">
        <v>56</v>
      </c>
      <c r="F662">
        <v>-23557.83</v>
      </c>
      <c r="G662" t="s">
        <v>1629</v>
      </c>
      <c r="H662" t="s">
        <v>7</v>
      </c>
      <c r="I662">
        <v>26889.07</v>
      </c>
      <c r="J662">
        <v>602.90717800000004</v>
      </c>
      <c r="K662">
        <v>512.12909300000001</v>
      </c>
      <c r="L662">
        <v>0</v>
      </c>
      <c r="M662" t="s">
        <v>1629</v>
      </c>
      <c r="N662" t="s">
        <v>57</v>
      </c>
      <c r="O662" t="s">
        <v>58</v>
      </c>
      <c r="P662" t="s">
        <v>1630</v>
      </c>
      <c r="Q662" t="s">
        <v>1631</v>
      </c>
      <c r="R662" t="s">
        <v>61</v>
      </c>
      <c r="S662" t="s">
        <v>58</v>
      </c>
      <c r="T662" t="s">
        <v>1630</v>
      </c>
      <c r="U662" t="s">
        <v>1631</v>
      </c>
      <c r="V662" t="s">
        <v>56</v>
      </c>
      <c r="W662" t="s">
        <v>56</v>
      </c>
      <c r="X662" t="s">
        <v>56</v>
      </c>
      <c r="Y662" t="s">
        <v>62</v>
      </c>
      <c r="Z662" t="s">
        <v>63</v>
      </c>
      <c r="AA662" t="s">
        <v>64</v>
      </c>
      <c r="AB662">
        <v>1</v>
      </c>
      <c r="AC662" t="s">
        <v>65</v>
      </c>
      <c r="AD662" t="s">
        <v>66</v>
      </c>
      <c r="AE662" t="s">
        <v>67</v>
      </c>
      <c r="AF662" t="s">
        <v>68</v>
      </c>
      <c r="AG662">
        <v>49998.05</v>
      </c>
      <c r="AH662" t="s">
        <v>69</v>
      </c>
      <c r="AI662" t="s">
        <v>208</v>
      </c>
      <c r="AJ662" t="s">
        <v>228</v>
      </c>
      <c r="AK662" t="s">
        <v>72</v>
      </c>
      <c r="AL662" t="s">
        <v>73</v>
      </c>
      <c r="AM662" t="s">
        <v>73</v>
      </c>
      <c r="AN662" t="s">
        <v>74</v>
      </c>
    </row>
    <row r="663" spans="1:40" x14ac:dyDescent="0.25">
      <c r="A663" t="s">
        <v>422</v>
      </c>
      <c r="B663" t="s">
        <v>5</v>
      </c>
      <c r="C663">
        <v>427.588685</v>
      </c>
      <c r="D663">
        <v>744.01483399999995</v>
      </c>
      <c r="E663" t="s">
        <v>56</v>
      </c>
      <c r="F663">
        <v>-51053.58</v>
      </c>
      <c r="G663" t="s">
        <v>422</v>
      </c>
      <c r="H663" t="s">
        <v>7</v>
      </c>
      <c r="I663">
        <v>59494.18</v>
      </c>
      <c r="J663">
        <v>925.74554599999999</v>
      </c>
      <c r="K663">
        <v>786.35857099999998</v>
      </c>
      <c r="L663">
        <v>0</v>
      </c>
      <c r="M663" t="s">
        <v>422</v>
      </c>
      <c r="N663" t="s">
        <v>57</v>
      </c>
      <c r="O663" t="s">
        <v>58</v>
      </c>
      <c r="P663" t="s">
        <v>423</v>
      </c>
      <c r="Q663" t="s">
        <v>223</v>
      </c>
      <c r="R663" t="s">
        <v>61</v>
      </c>
      <c r="S663" t="s">
        <v>58</v>
      </c>
      <c r="T663" t="s">
        <v>423</v>
      </c>
      <c r="U663" t="s">
        <v>223</v>
      </c>
      <c r="V663" t="s">
        <v>56</v>
      </c>
      <c r="W663" t="s">
        <v>56</v>
      </c>
      <c r="X663" t="s">
        <v>56</v>
      </c>
      <c r="Y663" t="s">
        <v>62</v>
      </c>
      <c r="Z663" t="s">
        <v>63</v>
      </c>
      <c r="AA663" t="s">
        <v>64</v>
      </c>
      <c r="AB663">
        <v>1</v>
      </c>
      <c r="AC663" t="s">
        <v>147</v>
      </c>
      <c r="AD663" t="s">
        <v>66</v>
      </c>
      <c r="AE663" t="s">
        <v>67</v>
      </c>
      <c r="AF663" t="s">
        <v>68</v>
      </c>
      <c r="AG663">
        <v>72046.559999999998</v>
      </c>
      <c r="AH663" t="s">
        <v>69</v>
      </c>
      <c r="AI663" t="s">
        <v>285</v>
      </c>
      <c r="AJ663" t="s">
        <v>143</v>
      </c>
      <c r="AK663" t="s">
        <v>72</v>
      </c>
      <c r="AL663" t="s">
        <v>73</v>
      </c>
      <c r="AM663" t="s">
        <v>73</v>
      </c>
      <c r="AN663" t="s">
        <v>74</v>
      </c>
    </row>
    <row r="664" spans="1:40" x14ac:dyDescent="0.25">
      <c r="A664" t="s">
        <v>471</v>
      </c>
      <c r="B664" t="s">
        <v>5</v>
      </c>
      <c r="C664">
        <v>422.96920299999999</v>
      </c>
      <c r="D664">
        <v>359.28388699999999</v>
      </c>
      <c r="E664" t="s">
        <v>56</v>
      </c>
      <c r="F664">
        <v>-46326.67</v>
      </c>
      <c r="G664" t="s">
        <v>471</v>
      </c>
      <c r="H664" t="s">
        <v>7</v>
      </c>
      <c r="I664">
        <v>50198.68</v>
      </c>
      <c r="J664">
        <v>563.72949400000005</v>
      </c>
      <c r="K664">
        <v>478.85028599999998</v>
      </c>
      <c r="L664">
        <v>0</v>
      </c>
      <c r="M664" t="s">
        <v>471</v>
      </c>
      <c r="N664" t="s">
        <v>57</v>
      </c>
      <c r="O664" t="s">
        <v>58</v>
      </c>
      <c r="P664" t="s">
        <v>472</v>
      </c>
      <c r="Q664" t="s">
        <v>473</v>
      </c>
      <c r="R664" t="s">
        <v>61</v>
      </c>
      <c r="S664" t="s">
        <v>58</v>
      </c>
      <c r="T664" t="s">
        <v>472</v>
      </c>
      <c r="U664" t="s">
        <v>473</v>
      </c>
      <c r="V664" t="s">
        <v>56</v>
      </c>
      <c r="W664" t="s">
        <v>56</v>
      </c>
      <c r="X664" t="s">
        <v>56</v>
      </c>
      <c r="Y664" t="s">
        <v>62</v>
      </c>
      <c r="Z664" t="s">
        <v>63</v>
      </c>
      <c r="AA664" t="s">
        <v>64</v>
      </c>
      <c r="AB664">
        <v>1</v>
      </c>
      <c r="AC664" t="s">
        <v>120</v>
      </c>
      <c r="AD664" t="s">
        <v>66</v>
      </c>
      <c r="AE664" t="s">
        <v>67</v>
      </c>
      <c r="AF664" t="s">
        <v>68</v>
      </c>
      <c r="AG664">
        <v>99826.38</v>
      </c>
      <c r="AH664" t="s">
        <v>69</v>
      </c>
      <c r="AI664" t="s">
        <v>104</v>
      </c>
      <c r="AJ664" t="s">
        <v>470</v>
      </c>
      <c r="AK664" t="s">
        <v>280</v>
      </c>
      <c r="AL664" t="s">
        <v>73</v>
      </c>
      <c r="AM664" t="s">
        <v>73</v>
      </c>
      <c r="AN664" t="s">
        <v>74</v>
      </c>
    </row>
    <row r="665" spans="1:40" x14ac:dyDescent="0.25">
      <c r="A665" t="s">
        <v>1202</v>
      </c>
      <c r="B665" t="s">
        <v>5</v>
      </c>
      <c r="C665">
        <v>420.716994</v>
      </c>
      <c r="D665">
        <v>357.37078700000001</v>
      </c>
      <c r="E665" t="s">
        <v>56</v>
      </c>
      <c r="F665">
        <v>-14035.99</v>
      </c>
      <c r="G665" t="s">
        <v>1202</v>
      </c>
      <c r="H665" t="s">
        <v>7</v>
      </c>
      <c r="I665">
        <v>15826.34</v>
      </c>
      <c r="J665">
        <v>583.48032899999998</v>
      </c>
      <c r="K665">
        <v>495.62729200000001</v>
      </c>
      <c r="L665">
        <v>0</v>
      </c>
      <c r="M665" t="s">
        <v>1202</v>
      </c>
      <c r="N665" t="s">
        <v>57</v>
      </c>
      <c r="O665" t="s">
        <v>58</v>
      </c>
      <c r="P665" t="s">
        <v>1203</v>
      </c>
      <c r="Q665" t="s">
        <v>1204</v>
      </c>
      <c r="R665" t="s">
        <v>61</v>
      </c>
      <c r="S665" t="s">
        <v>58</v>
      </c>
      <c r="T665" t="s">
        <v>1203</v>
      </c>
      <c r="U665" t="s">
        <v>1204</v>
      </c>
      <c r="V665" t="s">
        <v>56</v>
      </c>
      <c r="W665" t="s">
        <v>56</v>
      </c>
      <c r="X665" t="s">
        <v>56</v>
      </c>
      <c r="Y665" t="s">
        <v>62</v>
      </c>
      <c r="Z665" t="s">
        <v>63</v>
      </c>
      <c r="AA665" t="s">
        <v>64</v>
      </c>
      <c r="AB665">
        <v>1</v>
      </c>
      <c r="AC665" t="s">
        <v>84</v>
      </c>
      <c r="AD665" t="s">
        <v>66</v>
      </c>
      <c r="AE665" t="s">
        <v>67</v>
      </c>
      <c r="AF665" t="s">
        <v>103</v>
      </c>
      <c r="AG665">
        <v>30407.21</v>
      </c>
      <c r="AH665" t="s">
        <v>69</v>
      </c>
      <c r="AI665" t="s">
        <v>194</v>
      </c>
      <c r="AJ665" t="s">
        <v>443</v>
      </c>
      <c r="AK665" t="s">
        <v>72</v>
      </c>
      <c r="AL665" t="s">
        <v>73</v>
      </c>
      <c r="AM665" t="s">
        <v>73</v>
      </c>
      <c r="AN665" t="s">
        <v>74</v>
      </c>
    </row>
    <row r="666" spans="1:40" x14ac:dyDescent="0.25">
      <c r="A666" t="s">
        <v>440</v>
      </c>
      <c r="B666" t="s">
        <v>5</v>
      </c>
      <c r="C666" s="2">
        <v>420.433515</v>
      </c>
      <c r="D666" t="s">
        <v>56</v>
      </c>
      <c r="E666" t="s">
        <v>56</v>
      </c>
      <c r="F666">
        <v>-13181.24</v>
      </c>
      <c r="G666" t="s">
        <v>440</v>
      </c>
      <c r="H666" t="s">
        <v>7</v>
      </c>
      <c r="I666">
        <v>16340.21</v>
      </c>
      <c r="J666">
        <v>0</v>
      </c>
      <c r="K666">
        <v>0</v>
      </c>
      <c r="L666">
        <v>0</v>
      </c>
      <c r="M666" t="s">
        <v>440</v>
      </c>
      <c r="N666" t="s">
        <v>57</v>
      </c>
      <c r="O666" t="s">
        <v>58</v>
      </c>
      <c r="P666" t="s">
        <v>441</v>
      </c>
      <c r="Q666" t="s">
        <v>442</v>
      </c>
      <c r="R666" t="s">
        <v>61</v>
      </c>
      <c r="S666" t="s">
        <v>58</v>
      </c>
      <c r="T666" t="s">
        <v>441</v>
      </c>
      <c r="U666" t="s">
        <v>442</v>
      </c>
      <c r="V666" t="s">
        <v>56</v>
      </c>
      <c r="W666" t="s">
        <v>56</v>
      </c>
      <c r="X666" t="s">
        <v>56</v>
      </c>
      <c r="Y666" t="s">
        <v>62</v>
      </c>
      <c r="Z666" t="s">
        <v>63</v>
      </c>
      <c r="AA666" t="s">
        <v>64</v>
      </c>
      <c r="AB666">
        <v>1</v>
      </c>
      <c r="AC666" t="s">
        <v>78</v>
      </c>
      <c r="AD666" t="s">
        <v>66</v>
      </c>
      <c r="AE666" t="s">
        <v>85</v>
      </c>
      <c r="AF666" t="s">
        <v>277</v>
      </c>
      <c r="AG666">
        <v>34990.03</v>
      </c>
      <c r="AH666" t="s">
        <v>69</v>
      </c>
      <c r="AI666" t="s">
        <v>323</v>
      </c>
      <c r="AJ666" t="s">
        <v>443</v>
      </c>
      <c r="AK666" t="s">
        <v>72</v>
      </c>
      <c r="AL666" t="s">
        <v>281</v>
      </c>
      <c r="AM666" t="s">
        <v>73</v>
      </c>
      <c r="AN666" t="s">
        <v>56</v>
      </c>
    </row>
    <row r="667" spans="1:40" x14ac:dyDescent="0.25">
      <c r="A667" t="s">
        <v>1987</v>
      </c>
      <c r="B667" t="s">
        <v>5</v>
      </c>
      <c r="C667">
        <v>420.10889300000002</v>
      </c>
      <c r="D667">
        <v>492.15434699999997</v>
      </c>
      <c r="E667" t="s">
        <v>56</v>
      </c>
      <c r="F667">
        <v>-18098.96</v>
      </c>
      <c r="G667" t="s">
        <v>1987</v>
      </c>
      <c r="H667" t="s">
        <v>7</v>
      </c>
      <c r="I667">
        <v>21639.8</v>
      </c>
      <c r="J667">
        <v>841.640263</v>
      </c>
      <c r="K667">
        <v>714.91679099999999</v>
      </c>
      <c r="L667">
        <v>0</v>
      </c>
      <c r="M667" t="s">
        <v>1987</v>
      </c>
      <c r="N667" t="s">
        <v>57</v>
      </c>
      <c r="O667" t="s">
        <v>58</v>
      </c>
      <c r="P667" t="s">
        <v>1988</v>
      </c>
      <c r="Q667" t="s">
        <v>1989</v>
      </c>
      <c r="R667" t="s">
        <v>61</v>
      </c>
      <c r="S667" t="s">
        <v>58</v>
      </c>
      <c r="T667" t="s">
        <v>1988</v>
      </c>
      <c r="U667" t="s">
        <v>1989</v>
      </c>
      <c r="V667" t="s">
        <v>56</v>
      </c>
      <c r="W667" t="s">
        <v>56</v>
      </c>
      <c r="X667" t="s">
        <v>56</v>
      </c>
      <c r="Y667" t="s">
        <v>62</v>
      </c>
      <c r="Z667" t="s">
        <v>63</v>
      </c>
      <c r="AA667" t="s">
        <v>64</v>
      </c>
      <c r="AB667">
        <v>1</v>
      </c>
      <c r="AC667" t="s">
        <v>84</v>
      </c>
      <c r="AD667" t="s">
        <v>66</v>
      </c>
      <c r="AE667" t="s">
        <v>67</v>
      </c>
      <c r="AF667" t="s">
        <v>68</v>
      </c>
      <c r="AG667">
        <v>28823.77</v>
      </c>
      <c r="AH667" t="s">
        <v>69</v>
      </c>
      <c r="AI667" t="s">
        <v>186</v>
      </c>
      <c r="AJ667" t="s">
        <v>105</v>
      </c>
      <c r="AK667" t="s">
        <v>99</v>
      </c>
      <c r="AL667" t="s">
        <v>73</v>
      </c>
      <c r="AM667" t="s">
        <v>73</v>
      </c>
      <c r="AN667" t="s">
        <v>74</v>
      </c>
    </row>
    <row r="668" spans="1:40" x14ac:dyDescent="0.25">
      <c r="A668" t="s">
        <v>2271</v>
      </c>
      <c r="B668" t="s">
        <v>5</v>
      </c>
      <c r="C668">
        <v>419.62437</v>
      </c>
      <c r="D668">
        <v>1215.6987790000001</v>
      </c>
      <c r="E668" t="s">
        <v>56</v>
      </c>
      <c r="F668">
        <v>-58128.800000000003</v>
      </c>
      <c r="G668" t="s">
        <v>2271</v>
      </c>
      <c r="H668" t="s">
        <v>7</v>
      </c>
      <c r="I668">
        <v>62407.8</v>
      </c>
      <c r="J668">
        <v>833.56036600000004</v>
      </c>
      <c r="K668">
        <v>1064.4568509999999</v>
      </c>
      <c r="L668">
        <v>0</v>
      </c>
      <c r="M668" t="s">
        <v>2271</v>
      </c>
      <c r="N668" t="s">
        <v>57</v>
      </c>
      <c r="O668" t="s">
        <v>58</v>
      </c>
      <c r="P668" t="s">
        <v>2272</v>
      </c>
      <c r="Q668" t="s">
        <v>2273</v>
      </c>
      <c r="R668" t="s">
        <v>61</v>
      </c>
      <c r="S668" t="s">
        <v>58</v>
      </c>
      <c r="T668" t="s">
        <v>2272</v>
      </c>
      <c r="U668" t="s">
        <v>2273</v>
      </c>
      <c r="V668" t="s">
        <v>56</v>
      </c>
      <c r="W668" t="s">
        <v>56</v>
      </c>
      <c r="X668" t="s">
        <v>56</v>
      </c>
      <c r="Y668" t="s">
        <v>62</v>
      </c>
      <c r="Z668" t="s">
        <v>63</v>
      </c>
      <c r="AA668" t="s">
        <v>64</v>
      </c>
      <c r="AB668">
        <v>1</v>
      </c>
      <c r="AC668" t="s">
        <v>84</v>
      </c>
      <c r="AD668" t="s">
        <v>66</v>
      </c>
      <c r="AE668" t="s">
        <v>121</v>
      </c>
      <c r="AF668" t="s">
        <v>68</v>
      </c>
      <c r="AG668">
        <v>71121.58</v>
      </c>
      <c r="AH668" t="s">
        <v>69</v>
      </c>
      <c r="AI668" t="s">
        <v>216</v>
      </c>
      <c r="AJ668" t="s">
        <v>143</v>
      </c>
      <c r="AK668" t="s">
        <v>72</v>
      </c>
      <c r="AL668" t="s">
        <v>73</v>
      </c>
      <c r="AM668" t="s">
        <v>73</v>
      </c>
      <c r="AN668" t="s">
        <v>124</v>
      </c>
    </row>
    <row r="669" spans="1:40" x14ac:dyDescent="0.25">
      <c r="A669" t="s">
        <v>1228</v>
      </c>
      <c r="B669" t="s">
        <v>5</v>
      </c>
      <c r="C669" s="2">
        <v>418.238452</v>
      </c>
      <c r="D669" t="s">
        <v>56</v>
      </c>
      <c r="E669" t="s">
        <v>56</v>
      </c>
      <c r="F669">
        <v>-6816.81</v>
      </c>
      <c r="G669" t="s">
        <v>1228</v>
      </c>
      <c r="H669" t="s">
        <v>7</v>
      </c>
      <c r="I669">
        <v>10957.77</v>
      </c>
      <c r="J669">
        <v>0</v>
      </c>
      <c r="K669">
        <v>0</v>
      </c>
      <c r="L669">
        <v>0</v>
      </c>
      <c r="M669" t="s">
        <v>1228</v>
      </c>
      <c r="N669" t="s">
        <v>57</v>
      </c>
      <c r="O669" t="s">
        <v>58</v>
      </c>
      <c r="P669" t="s">
        <v>1229</v>
      </c>
      <c r="Q669" t="s">
        <v>1230</v>
      </c>
      <c r="R669" t="s">
        <v>61</v>
      </c>
      <c r="S669" t="s">
        <v>58</v>
      </c>
      <c r="T669" t="s">
        <v>1229</v>
      </c>
      <c r="U669" t="s">
        <v>1230</v>
      </c>
      <c r="V669" t="s">
        <v>56</v>
      </c>
      <c r="W669" t="s">
        <v>56</v>
      </c>
      <c r="X669" t="s">
        <v>56</v>
      </c>
      <c r="Y669" t="s">
        <v>62</v>
      </c>
      <c r="Z669" t="s">
        <v>63</v>
      </c>
      <c r="AA669" t="s">
        <v>64</v>
      </c>
      <c r="AB669">
        <v>1</v>
      </c>
      <c r="AC669" t="s">
        <v>84</v>
      </c>
      <c r="AD669" t="s">
        <v>66</v>
      </c>
      <c r="AE669" t="s">
        <v>85</v>
      </c>
      <c r="AF669" t="s">
        <v>103</v>
      </c>
      <c r="AG669">
        <v>44301.19</v>
      </c>
      <c r="AH669" t="s">
        <v>69</v>
      </c>
      <c r="AI669" t="s">
        <v>355</v>
      </c>
      <c r="AJ669" t="s">
        <v>1231</v>
      </c>
      <c r="AK669" t="s">
        <v>72</v>
      </c>
      <c r="AL669" t="s">
        <v>73</v>
      </c>
      <c r="AM669" t="s">
        <v>73</v>
      </c>
      <c r="AN669" t="s">
        <v>56</v>
      </c>
    </row>
    <row r="670" spans="1:40" x14ac:dyDescent="0.25">
      <c r="A670" t="s">
        <v>1363</v>
      </c>
      <c r="B670" t="s">
        <v>5</v>
      </c>
      <c r="C670">
        <v>417.26325600000001</v>
      </c>
      <c r="D670">
        <v>726.04833399999995</v>
      </c>
      <c r="E670" t="s">
        <v>56</v>
      </c>
      <c r="F670">
        <v>-54321.83</v>
      </c>
      <c r="G670" t="s">
        <v>1363</v>
      </c>
      <c r="H670" t="s">
        <v>7</v>
      </c>
      <c r="I670">
        <v>58413.14</v>
      </c>
      <c r="J670">
        <v>833.61235299999998</v>
      </c>
      <c r="K670">
        <v>708.097621</v>
      </c>
      <c r="L670">
        <v>0</v>
      </c>
      <c r="M670" t="s">
        <v>1363</v>
      </c>
      <c r="N670" t="s">
        <v>57</v>
      </c>
      <c r="O670" t="s">
        <v>58</v>
      </c>
      <c r="P670" t="s">
        <v>1364</v>
      </c>
      <c r="Q670" t="s">
        <v>1365</v>
      </c>
      <c r="R670" t="s">
        <v>61</v>
      </c>
      <c r="S670" t="s">
        <v>58</v>
      </c>
      <c r="T670" t="s">
        <v>1364</v>
      </c>
      <c r="U670" t="s">
        <v>1365</v>
      </c>
      <c r="V670" t="s">
        <v>56</v>
      </c>
      <c r="W670" t="s">
        <v>56</v>
      </c>
      <c r="X670" t="s">
        <v>56</v>
      </c>
      <c r="Y670" t="s">
        <v>62</v>
      </c>
      <c r="Z670" t="s">
        <v>63</v>
      </c>
      <c r="AA670" t="s">
        <v>64</v>
      </c>
      <c r="AB670">
        <v>1</v>
      </c>
      <c r="AC670" t="s">
        <v>120</v>
      </c>
      <c r="AD670" t="s">
        <v>66</v>
      </c>
      <c r="AE670" t="s">
        <v>67</v>
      </c>
      <c r="AF670" t="s">
        <v>68</v>
      </c>
      <c r="AG670">
        <v>78555.62</v>
      </c>
      <c r="AH670" t="s">
        <v>69</v>
      </c>
      <c r="AI670" t="s">
        <v>104</v>
      </c>
      <c r="AJ670" t="s">
        <v>98</v>
      </c>
      <c r="AK670" t="s">
        <v>72</v>
      </c>
      <c r="AL670" t="s">
        <v>73</v>
      </c>
      <c r="AM670" t="s">
        <v>73</v>
      </c>
      <c r="AN670" t="s">
        <v>74</v>
      </c>
    </row>
    <row r="671" spans="1:40" x14ac:dyDescent="0.25">
      <c r="A671" t="s">
        <v>601</v>
      </c>
      <c r="B671" t="s">
        <v>5</v>
      </c>
      <c r="C671">
        <v>416.74844100000001</v>
      </c>
      <c r="D671">
        <v>353.99976800000002</v>
      </c>
      <c r="E671" t="s">
        <v>56</v>
      </c>
      <c r="F671">
        <v>-12568.06</v>
      </c>
      <c r="G671" t="s">
        <v>601</v>
      </c>
      <c r="H671" t="s">
        <v>7</v>
      </c>
      <c r="I671">
        <v>15012.53</v>
      </c>
      <c r="J671">
        <v>612.28708600000004</v>
      </c>
      <c r="K671">
        <v>520.09669499999995</v>
      </c>
      <c r="L671">
        <v>0</v>
      </c>
      <c r="M671" t="s">
        <v>601</v>
      </c>
      <c r="N671" t="s">
        <v>57</v>
      </c>
      <c r="O671" t="s">
        <v>58</v>
      </c>
      <c r="P671" t="s">
        <v>602</v>
      </c>
      <c r="Q671" t="s">
        <v>603</v>
      </c>
      <c r="R671" t="s">
        <v>61</v>
      </c>
      <c r="S671" t="s">
        <v>58</v>
      </c>
      <c r="T671" t="s">
        <v>602</v>
      </c>
      <c r="U671" t="s">
        <v>603</v>
      </c>
      <c r="V671" t="s">
        <v>56</v>
      </c>
      <c r="W671" t="s">
        <v>56</v>
      </c>
      <c r="X671" t="s">
        <v>56</v>
      </c>
      <c r="Y671" t="s">
        <v>62</v>
      </c>
      <c r="Z671" t="s">
        <v>63</v>
      </c>
      <c r="AA671" t="s">
        <v>64</v>
      </c>
      <c r="AB671">
        <v>1</v>
      </c>
      <c r="AC671" t="s">
        <v>65</v>
      </c>
      <c r="AD671" t="s">
        <v>66</v>
      </c>
      <c r="AE671" t="s">
        <v>67</v>
      </c>
      <c r="AF671" t="s">
        <v>68</v>
      </c>
      <c r="AG671">
        <v>27486.41</v>
      </c>
      <c r="AH671" t="s">
        <v>69</v>
      </c>
      <c r="AI671" t="s">
        <v>536</v>
      </c>
      <c r="AJ671" t="s">
        <v>105</v>
      </c>
      <c r="AK671" t="s">
        <v>72</v>
      </c>
      <c r="AL671" t="s">
        <v>73</v>
      </c>
      <c r="AM671" t="s">
        <v>73</v>
      </c>
      <c r="AN671" t="s">
        <v>74</v>
      </c>
    </row>
    <row r="672" spans="1:40" x14ac:dyDescent="0.25">
      <c r="A672" t="s">
        <v>2294</v>
      </c>
      <c r="B672" t="s">
        <v>5</v>
      </c>
      <c r="C672">
        <v>411.42116399999998</v>
      </c>
      <c r="D672">
        <v>349.474605</v>
      </c>
      <c r="E672" t="s">
        <v>56</v>
      </c>
      <c r="F672">
        <v>-15578.86</v>
      </c>
      <c r="G672" t="s">
        <v>2294</v>
      </c>
      <c r="H672" t="s">
        <v>7</v>
      </c>
      <c r="I672">
        <v>18020.560000000001</v>
      </c>
      <c r="J672">
        <v>585.34689400000002</v>
      </c>
      <c r="K672">
        <v>497.21281299999998</v>
      </c>
      <c r="L672">
        <v>0</v>
      </c>
      <c r="M672" t="s">
        <v>2294</v>
      </c>
      <c r="N672" t="s">
        <v>57</v>
      </c>
      <c r="O672" t="s">
        <v>58</v>
      </c>
      <c r="P672" t="s">
        <v>2295</v>
      </c>
      <c r="Q672" t="s">
        <v>2296</v>
      </c>
      <c r="R672" t="s">
        <v>61</v>
      </c>
      <c r="S672" t="s">
        <v>58</v>
      </c>
      <c r="T672" t="s">
        <v>2295</v>
      </c>
      <c r="U672" t="s">
        <v>2296</v>
      </c>
      <c r="V672" t="s">
        <v>56</v>
      </c>
      <c r="W672" t="s">
        <v>56</v>
      </c>
      <c r="X672" t="s">
        <v>56</v>
      </c>
      <c r="Y672" t="s">
        <v>62</v>
      </c>
      <c r="Z672" t="s">
        <v>63</v>
      </c>
      <c r="AA672" t="s">
        <v>64</v>
      </c>
      <c r="AB672">
        <v>1</v>
      </c>
      <c r="AC672" t="s">
        <v>78</v>
      </c>
      <c r="AD672" t="s">
        <v>66</v>
      </c>
      <c r="AE672" t="s">
        <v>67</v>
      </c>
      <c r="AF672" t="s">
        <v>68</v>
      </c>
      <c r="AG672">
        <v>34512.19</v>
      </c>
      <c r="AH672" t="s">
        <v>69</v>
      </c>
      <c r="AI672" t="s">
        <v>400</v>
      </c>
      <c r="AJ672" t="s">
        <v>164</v>
      </c>
      <c r="AK672" t="s">
        <v>72</v>
      </c>
      <c r="AL672" t="s">
        <v>73</v>
      </c>
      <c r="AM672" t="s">
        <v>73</v>
      </c>
      <c r="AN672" t="s">
        <v>74</v>
      </c>
    </row>
    <row r="673" spans="1:40" x14ac:dyDescent="0.25">
      <c r="A673" t="s">
        <v>649</v>
      </c>
      <c r="B673" t="s">
        <v>5</v>
      </c>
      <c r="C673">
        <v>411.22946300000001</v>
      </c>
      <c r="D673">
        <v>349.31176699999997</v>
      </c>
      <c r="E673" t="s">
        <v>56</v>
      </c>
      <c r="F673">
        <v>-22559.31</v>
      </c>
      <c r="G673" t="s">
        <v>649</v>
      </c>
      <c r="H673" t="s">
        <v>7</v>
      </c>
      <c r="I673">
        <v>26680.91</v>
      </c>
      <c r="J673">
        <v>598.20881499999996</v>
      </c>
      <c r="K673">
        <v>508.13815</v>
      </c>
      <c r="L673">
        <v>0</v>
      </c>
      <c r="M673" t="s">
        <v>649</v>
      </c>
      <c r="N673" t="s">
        <v>57</v>
      </c>
      <c r="O673" t="s">
        <v>58</v>
      </c>
      <c r="P673" t="s">
        <v>650</v>
      </c>
      <c r="Q673" t="s">
        <v>500</v>
      </c>
      <c r="R673" t="s">
        <v>61</v>
      </c>
      <c r="S673" t="s">
        <v>58</v>
      </c>
      <c r="T673" t="s">
        <v>650</v>
      </c>
      <c r="U673" t="s">
        <v>500</v>
      </c>
      <c r="V673" t="s">
        <v>56</v>
      </c>
      <c r="W673" t="s">
        <v>56</v>
      </c>
      <c r="X673" t="s">
        <v>56</v>
      </c>
      <c r="Y673" t="s">
        <v>62</v>
      </c>
      <c r="Z673" t="s">
        <v>63</v>
      </c>
      <c r="AA673" t="s">
        <v>64</v>
      </c>
      <c r="AB673">
        <v>1</v>
      </c>
      <c r="AC673" t="s">
        <v>84</v>
      </c>
      <c r="AD673" t="s">
        <v>66</v>
      </c>
      <c r="AE673" t="s">
        <v>67</v>
      </c>
      <c r="AF673" t="s">
        <v>103</v>
      </c>
      <c r="AG673">
        <v>49999.45</v>
      </c>
      <c r="AH673" t="s">
        <v>69</v>
      </c>
      <c r="AI673" t="s">
        <v>501</v>
      </c>
      <c r="AJ673" t="s">
        <v>172</v>
      </c>
      <c r="AK673" t="s">
        <v>72</v>
      </c>
      <c r="AL673" t="s">
        <v>73</v>
      </c>
      <c r="AM673" t="s">
        <v>73</v>
      </c>
      <c r="AN673" t="s">
        <v>74</v>
      </c>
    </row>
    <row r="674" spans="1:40" x14ac:dyDescent="0.25">
      <c r="A674" t="s">
        <v>729</v>
      </c>
      <c r="B674" t="s">
        <v>5</v>
      </c>
      <c r="C674">
        <v>409.54675200000003</v>
      </c>
      <c r="D674">
        <v>347.88241799999997</v>
      </c>
      <c r="E674" t="s">
        <v>56</v>
      </c>
      <c r="F674">
        <v>-20547.25</v>
      </c>
      <c r="G674" t="s">
        <v>729</v>
      </c>
      <c r="H674" t="s">
        <v>7</v>
      </c>
      <c r="I674">
        <v>22739.34</v>
      </c>
      <c r="J674">
        <v>557.47734300000002</v>
      </c>
      <c r="K674">
        <v>473.53950400000002</v>
      </c>
      <c r="L674">
        <v>0</v>
      </c>
      <c r="M674" t="s">
        <v>729</v>
      </c>
      <c r="N674" t="s">
        <v>57</v>
      </c>
      <c r="O674" t="s">
        <v>58</v>
      </c>
      <c r="P674" t="s">
        <v>730</v>
      </c>
      <c r="Q674" t="s">
        <v>731</v>
      </c>
      <c r="R674" t="s">
        <v>61</v>
      </c>
      <c r="S674" t="s">
        <v>58</v>
      </c>
      <c r="T674" t="s">
        <v>730</v>
      </c>
      <c r="U674" t="s">
        <v>731</v>
      </c>
      <c r="V674" t="s">
        <v>56</v>
      </c>
      <c r="W674" t="s">
        <v>56</v>
      </c>
      <c r="X674" t="s">
        <v>56</v>
      </c>
      <c r="Y674" t="s">
        <v>62</v>
      </c>
      <c r="Z674" t="s">
        <v>63</v>
      </c>
      <c r="AA674" t="s">
        <v>64</v>
      </c>
      <c r="AB674">
        <v>1</v>
      </c>
      <c r="AC674" t="s">
        <v>78</v>
      </c>
      <c r="AD674" t="s">
        <v>66</v>
      </c>
      <c r="AE674" t="s">
        <v>67</v>
      </c>
      <c r="AF674" t="s">
        <v>68</v>
      </c>
      <c r="AG674">
        <v>45727.040000000001</v>
      </c>
      <c r="AH674" t="s">
        <v>69</v>
      </c>
      <c r="AI674" t="s">
        <v>132</v>
      </c>
      <c r="AJ674" t="s">
        <v>209</v>
      </c>
      <c r="AK674" t="s">
        <v>72</v>
      </c>
      <c r="AL674" t="s">
        <v>73</v>
      </c>
      <c r="AM674" t="s">
        <v>73</v>
      </c>
      <c r="AN674" t="s">
        <v>74</v>
      </c>
    </row>
    <row r="675" spans="1:40" x14ac:dyDescent="0.25">
      <c r="A675" t="s">
        <v>1827</v>
      </c>
      <c r="B675" t="s">
        <v>5</v>
      </c>
      <c r="C675">
        <v>408.73365899999999</v>
      </c>
      <c r="D675">
        <v>675.56799699999999</v>
      </c>
      <c r="E675" t="s">
        <v>56</v>
      </c>
      <c r="F675">
        <v>-29965.62</v>
      </c>
      <c r="G675" t="s">
        <v>1827</v>
      </c>
      <c r="H675" t="s">
        <v>7</v>
      </c>
      <c r="I675">
        <v>33589.03</v>
      </c>
      <c r="J675">
        <v>974.16188399999999</v>
      </c>
      <c r="K675">
        <v>827.48499400000003</v>
      </c>
      <c r="L675">
        <v>0</v>
      </c>
      <c r="M675" t="s">
        <v>1827</v>
      </c>
      <c r="N675" t="s">
        <v>57</v>
      </c>
      <c r="O675" t="s">
        <v>58</v>
      </c>
      <c r="P675" t="s">
        <v>1828</v>
      </c>
      <c r="Q675" t="s">
        <v>1829</v>
      </c>
      <c r="R675" t="s">
        <v>61</v>
      </c>
      <c r="S675" t="s">
        <v>58</v>
      </c>
      <c r="T675" t="s">
        <v>1828</v>
      </c>
      <c r="U675" t="s">
        <v>1829</v>
      </c>
      <c r="V675" t="s">
        <v>56</v>
      </c>
      <c r="W675" t="s">
        <v>56</v>
      </c>
      <c r="X675" t="s">
        <v>56</v>
      </c>
      <c r="Y675" t="s">
        <v>62</v>
      </c>
      <c r="Z675" t="s">
        <v>63</v>
      </c>
      <c r="AA675" t="s">
        <v>64</v>
      </c>
      <c r="AB675">
        <v>1</v>
      </c>
      <c r="AC675" t="s">
        <v>84</v>
      </c>
      <c r="AD675" t="s">
        <v>66</v>
      </c>
      <c r="AE675" t="s">
        <v>67</v>
      </c>
      <c r="AF675" t="s">
        <v>68</v>
      </c>
      <c r="AG675">
        <v>38654.589999999997</v>
      </c>
      <c r="AH675" t="s">
        <v>69</v>
      </c>
      <c r="AI675" t="s">
        <v>355</v>
      </c>
      <c r="AJ675" t="s">
        <v>339</v>
      </c>
      <c r="AK675" t="s">
        <v>99</v>
      </c>
      <c r="AL675" t="s">
        <v>73</v>
      </c>
      <c r="AM675" t="s">
        <v>73</v>
      </c>
      <c r="AN675" t="s">
        <v>74</v>
      </c>
    </row>
    <row r="676" spans="1:40" x14ac:dyDescent="0.25">
      <c r="A676" t="s">
        <v>1192</v>
      </c>
      <c r="B676" t="s">
        <v>5</v>
      </c>
      <c r="C676">
        <v>406.19590399999998</v>
      </c>
      <c r="D676">
        <v>345.03609699999998</v>
      </c>
      <c r="E676" t="s">
        <v>56</v>
      </c>
      <c r="F676">
        <v>-17252.310000000001</v>
      </c>
      <c r="G676" t="s">
        <v>1192</v>
      </c>
      <c r="H676" t="s">
        <v>7</v>
      </c>
      <c r="I676">
        <v>19396.09</v>
      </c>
      <c r="J676">
        <v>561.70261800000003</v>
      </c>
      <c r="K676">
        <v>477.12859099999997</v>
      </c>
      <c r="L676">
        <v>0</v>
      </c>
      <c r="M676" t="s">
        <v>1192</v>
      </c>
      <c r="N676" t="s">
        <v>57</v>
      </c>
      <c r="O676" t="s">
        <v>58</v>
      </c>
      <c r="P676" t="s">
        <v>1193</v>
      </c>
      <c r="Q676" t="s">
        <v>1194</v>
      </c>
      <c r="R676" t="s">
        <v>61</v>
      </c>
      <c r="S676" t="s">
        <v>58</v>
      </c>
      <c r="T676" t="s">
        <v>1193</v>
      </c>
      <c r="U676" t="s">
        <v>1194</v>
      </c>
      <c r="V676" t="s">
        <v>56</v>
      </c>
      <c r="W676" t="s">
        <v>56</v>
      </c>
      <c r="X676" t="s">
        <v>56</v>
      </c>
      <c r="Y676" t="s">
        <v>62</v>
      </c>
      <c r="Z676" t="s">
        <v>63</v>
      </c>
      <c r="AA676" t="s">
        <v>64</v>
      </c>
      <c r="AB676">
        <v>1</v>
      </c>
      <c r="AC676" t="s">
        <v>84</v>
      </c>
      <c r="AD676" t="s">
        <v>66</v>
      </c>
      <c r="AE676" t="s">
        <v>67</v>
      </c>
      <c r="AF676" t="s">
        <v>68</v>
      </c>
      <c r="AG676">
        <v>38711.06</v>
      </c>
      <c r="AH676" t="s">
        <v>69</v>
      </c>
      <c r="AI676" t="s">
        <v>297</v>
      </c>
      <c r="AJ676" t="s">
        <v>1195</v>
      </c>
      <c r="AK676" t="s">
        <v>72</v>
      </c>
      <c r="AL676" t="s">
        <v>73</v>
      </c>
      <c r="AM676" t="s">
        <v>73</v>
      </c>
      <c r="AN676" t="s">
        <v>74</v>
      </c>
    </row>
    <row r="677" spans="1:40" x14ac:dyDescent="0.25">
      <c r="A677" t="s">
        <v>2333</v>
      </c>
      <c r="B677" t="s">
        <v>5</v>
      </c>
      <c r="C677">
        <v>405.63761599999998</v>
      </c>
      <c r="D677">
        <v>344.561869</v>
      </c>
      <c r="E677" t="s">
        <v>56</v>
      </c>
      <c r="F677">
        <v>-15559.38</v>
      </c>
      <c r="G677" t="s">
        <v>2333</v>
      </c>
      <c r="H677" t="s">
        <v>7</v>
      </c>
      <c r="I677">
        <v>17742.060000000001</v>
      </c>
      <c r="J677">
        <v>568.93121299999996</v>
      </c>
      <c r="K677">
        <v>483.26879600000001</v>
      </c>
      <c r="L677">
        <v>0</v>
      </c>
      <c r="M677" t="s">
        <v>2333</v>
      </c>
      <c r="N677" t="s">
        <v>57</v>
      </c>
      <c r="O677" t="s">
        <v>58</v>
      </c>
      <c r="P677" t="s">
        <v>2334</v>
      </c>
      <c r="Q677" t="s">
        <v>2335</v>
      </c>
      <c r="R677" t="s">
        <v>61</v>
      </c>
      <c r="S677" t="s">
        <v>58</v>
      </c>
      <c r="T677" t="s">
        <v>2334</v>
      </c>
      <c r="U677" t="s">
        <v>2335</v>
      </c>
      <c r="V677" t="s">
        <v>56</v>
      </c>
      <c r="W677" t="s">
        <v>56</v>
      </c>
      <c r="X677" t="s">
        <v>56</v>
      </c>
      <c r="Y677" t="s">
        <v>62</v>
      </c>
      <c r="Z677" t="s">
        <v>63</v>
      </c>
      <c r="AA677" t="s">
        <v>64</v>
      </c>
      <c r="AB677">
        <v>1</v>
      </c>
      <c r="AC677" t="s">
        <v>78</v>
      </c>
      <c r="AD677" t="s">
        <v>66</v>
      </c>
      <c r="AE677" t="s">
        <v>67</v>
      </c>
      <c r="AF677" t="s">
        <v>68</v>
      </c>
      <c r="AG677">
        <v>34960.46</v>
      </c>
      <c r="AH677" t="s">
        <v>69</v>
      </c>
      <c r="AI677" t="s">
        <v>297</v>
      </c>
      <c r="AJ677" t="s">
        <v>109</v>
      </c>
      <c r="AK677" t="s">
        <v>72</v>
      </c>
      <c r="AL677" t="s">
        <v>73</v>
      </c>
      <c r="AM677" t="s">
        <v>73</v>
      </c>
      <c r="AN677" t="s">
        <v>74</v>
      </c>
    </row>
    <row r="678" spans="1:40" x14ac:dyDescent="0.25">
      <c r="A678" t="s">
        <v>1952</v>
      </c>
      <c r="B678" t="s">
        <v>5</v>
      </c>
      <c r="C678">
        <v>405.21609699999999</v>
      </c>
      <c r="D678">
        <v>344.20381800000001</v>
      </c>
      <c r="E678" t="s">
        <v>56</v>
      </c>
      <c r="F678">
        <v>-15205.18</v>
      </c>
      <c r="G678" t="s">
        <v>1952</v>
      </c>
      <c r="H678" t="s">
        <v>7</v>
      </c>
      <c r="I678">
        <v>16855.98</v>
      </c>
      <c r="J678">
        <v>552.49871599999994</v>
      </c>
      <c r="K678">
        <v>469.310495</v>
      </c>
      <c r="L678">
        <v>0</v>
      </c>
      <c r="M678" t="s">
        <v>1952</v>
      </c>
      <c r="N678" t="s">
        <v>57</v>
      </c>
      <c r="O678" t="s">
        <v>58</v>
      </c>
      <c r="P678" t="s">
        <v>1953</v>
      </c>
      <c r="Q678" t="s">
        <v>1954</v>
      </c>
      <c r="R678" t="s">
        <v>61</v>
      </c>
      <c r="S678" t="s">
        <v>58</v>
      </c>
      <c r="T678" t="s">
        <v>1953</v>
      </c>
      <c r="U678" t="s">
        <v>1954</v>
      </c>
      <c r="V678" t="s">
        <v>56</v>
      </c>
      <c r="W678" t="s">
        <v>56</v>
      </c>
      <c r="X678" t="s">
        <v>56</v>
      </c>
      <c r="Y678" t="s">
        <v>62</v>
      </c>
      <c r="Z678" t="s">
        <v>63</v>
      </c>
      <c r="AA678" t="s">
        <v>64</v>
      </c>
      <c r="AB678">
        <v>1</v>
      </c>
      <c r="AC678" t="s">
        <v>78</v>
      </c>
      <c r="AD678" t="s">
        <v>66</v>
      </c>
      <c r="AE678" t="s">
        <v>67</v>
      </c>
      <c r="AF678" t="s">
        <v>68</v>
      </c>
      <c r="AG678">
        <v>34200.15</v>
      </c>
      <c r="AH678" t="s">
        <v>69</v>
      </c>
      <c r="AI678" t="s">
        <v>1391</v>
      </c>
      <c r="AJ678" t="s">
        <v>71</v>
      </c>
      <c r="AK678" t="s">
        <v>72</v>
      </c>
      <c r="AL678" t="s">
        <v>73</v>
      </c>
      <c r="AM678" t="s">
        <v>73</v>
      </c>
      <c r="AN678" t="s">
        <v>74</v>
      </c>
    </row>
    <row r="679" spans="1:40" x14ac:dyDescent="0.25">
      <c r="A679" t="s">
        <v>1126</v>
      </c>
      <c r="B679" t="s">
        <v>5</v>
      </c>
      <c r="C679">
        <v>404.01656300000002</v>
      </c>
      <c r="D679">
        <v>343.18489399999999</v>
      </c>
      <c r="E679" t="s">
        <v>56</v>
      </c>
      <c r="F679">
        <v>-11511.48</v>
      </c>
      <c r="G679" t="s">
        <v>1126</v>
      </c>
      <c r="H679" t="s">
        <v>7</v>
      </c>
      <c r="I679">
        <v>15609.34</v>
      </c>
      <c r="J679">
        <v>547.84183199999995</v>
      </c>
      <c r="K679">
        <v>465.35478599999999</v>
      </c>
      <c r="L679">
        <v>0</v>
      </c>
      <c r="M679" t="s">
        <v>1126</v>
      </c>
      <c r="N679" t="s">
        <v>57</v>
      </c>
      <c r="O679" t="s">
        <v>58</v>
      </c>
      <c r="P679" t="s">
        <v>1127</v>
      </c>
      <c r="Q679" t="s">
        <v>1128</v>
      </c>
      <c r="R679" t="s">
        <v>61</v>
      </c>
      <c r="S679" t="s">
        <v>58</v>
      </c>
      <c r="T679" t="s">
        <v>1127</v>
      </c>
      <c r="U679" t="s">
        <v>1128</v>
      </c>
      <c r="V679" t="s">
        <v>56</v>
      </c>
      <c r="W679" t="s">
        <v>56</v>
      </c>
      <c r="X679" t="s">
        <v>56</v>
      </c>
      <c r="Y679" t="s">
        <v>62</v>
      </c>
      <c r="Z679" t="s">
        <v>63</v>
      </c>
      <c r="AA679" t="s">
        <v>64</v>
      </c>
      <c r="AB679">
        <v>1</v>
      </c>
      <c r="AC679" t="s">
        <v>84</v>
      </c>
      <c r="AD679" t="s">
        <v>66</v>
      </c>
      <c r="AE679" t="s">
        <v>67</v>
      </c>
      <c r="AF679" t="s">
        <v>68</v>
      </c>
      <c r="AG679">
        <v>31941.83</v>
      </c>
      <c r="AH679" t="s">
        <v>69</v>
      </c>
      <c r="AI679" t="s">
        <v>536</v>
      </c>
      <c r="AJ679" t="s">
        <v>279</v>
      </c>
      <c r="AK679" t="s">
        <v>99</v>
      </c>
      <c r="AL679" t="s">
        <v>73</v>
      </c>
      <c r="AM679" t="s">
        <v>73</v>
      </c>
      <c r="AN679" t="s">
        <v>74</v>
      </c>
    </row>
    <row r="680" spans="1:40" x14ac:dyDescent="0.25">
      <c r="A680" t="s">
        <v>2158</v>
      </c>
      <c r="B680" t="s">
        <v>5</v>
      </c>
      <c r="C680" s="2">
        <v>401.59918099999999</v>
      </c>
      <c r="D680" t="s">
        <v>56</v>
      </c>
      <c r="E680" t="s">
        <v>56</v>
      </c>
      <c r="F680">
        <v>-7207.44</v>
      </c>
      <c r="G680" t="s">
        <v>2158</v>
      </c>
      <c r="H680" t="s">
        <v>7</v>
      </c>
      <c r="I680">
        <v>9948.76</v>
      </c>
      <c r="J680">
        <v>0</v>
      </c>
      <c r="K680">
        <v>0</v>
      </c>
      <c r="L680">
        <v>0</v>
      </c>
      <c r="M680" t="s">
        <v>2158</v>
      </c>
      <c r="N680" t="s">
        <v>57</v>
      </c>
      <c r="O680" t="s">
        <v>58</v>
      </c>
      <c r="P680" t="s">
        <v>2159</v>
      </c>
      <c r="Q680" t="s">
        <v>2160</v>
      </c>
      <c r="R680" t="s">
        <v>61</v>
      </c>
      <c r="S680" t="s">
        <v>58</v>
      </c>
      <c r="T680" t="s">
        <v>2159</v>
      </c>
      <c r="U680" t="s">
        <v>2160</v>
      </c>
      <c r="V680" t="s">
        <v>56</v>
      </c>
      <c r="W680" t="s">
        <v>56</v>
      </c>
      <c r="X680" t="s">
        <v>56</v>
      </c>
      <c r="Y680" t="s">
        <v>62</v>
      </c>
      <c r="Z680" t="s">
        <v>63</v>
      </c>
      <c r="AA680" t="s">
        <v>64</v>
      </c>
      <c r="AB680">
        <v>1</v>
      </c>
      <c r="AC680" t="s">
        <v>84</v>
      </c>
      <c r="AD680" t="s">
        <v>66</v>
      </c>
      <c r="AE680" t="s">
        <v>85</v>
      </c>
      <c r="AF680" t="s">
        <v>86</v>
      </c>
      <c r="AG680">
        <v>48780.69</v>
      </c>
      <c r="AH680" t="s">
        <v>69</v>
      </c>
      <c r="AI680" t="s">
        <v>253</v>
      </c>
      <c r="AJ680" t="s">
        <v>1610</v>
      </c>
      <c r="AK680" t="s">
        <v>72</v>
      </c>
      <c r="AL680" t="s">
        <v>73</v>
      </c>
      <c r="AM680" t="s">
        <v>73</v>
      </c>
      <c r="AN680" t="s">
        <v>56</v>
      </c>
    </row>
    <row r="681" spans="1:40" x14ac:dyDescent="0.25">
      <c r="A681" t="s">
        <v>2539</v>
      </c>
      <c r="B681" t="s">
        <v>5</v>
      </c>
      <c r="C681">
        <v>401.37870900000001</v>
      </c>
      <c r="D681">
        <v>340.94421499999999</v>
      </c>
      <c r="E681" t="s">
        <v>56</v>
      </c>
      <c r="F681">
        <v>-10723.33</v>
      </c>
      <c r="G681" t="s">
        <v>2539</v>
      </c>
      <c r="H681" t="s">
        <v>7</v>
      </c>
      <c r="I681">
        <v>11833.49</v>
      </c>
      <c r="J681">
        <v>544.78358100000003</v>
      </c>
      <c r="K681">
        <v>462.75700699999999</v>
      </c>
      <c r="L681">
        <v>0</v>
      </c>
      <c r="M681" t="s">
        <v>2539</v>
      </c>
      <c r="N681" t="s">
        <v>57</v>
      </c>
      <c r="O681" t="s">
        <v>58</v>
      </c>
      <c r="P681" t="s">
        <v>2540</v>
      </c>
      <c r="Q681" t="s">
        <v>2541</v>
      </c>
      <c r="R681" t="s">
        <v>61</v>
      </c>
      <c r="S681" t="s">
        <v>58</v>
      </c>
      <c r="T681" t="s">
        <v>2540</v>
      </c>
      <c r="U681" t="s">
        <v>2541</v>
      </c>
      <c r="V681" t="s">
        <v>56</v>
      </c>
      <c r="W681" t="s">
        <v>56</v>
      </c>
      <c r="X681" t="s">
        <v>56</v>
      </c>
      <c r="Y681" t="s">
        <v>62</v>
      </c>
      <c r="Z681" t="s">
        <v>63</v>
      </c>
      <c r="AA681" t="s">
        <v>64</v>
      </c>
      <c r="AB681">
        <v>1</v>
      </c>
      <c r="AC681" t="s">
        <v>78</v>
      </c>
      <c r="AD681" t="s">
        <v>66</v>
      </c>
      <c r="AE681" t="s">
        <v>67</v>
      </c>
      <c r="AF681" t="s">
        <v>68</v>
      </c>
      <c r="AG681">
        <v>24350</v>
      </c>
      <c r="AH681" t="s">
        <v>69</v>
      </c>
      <c r="AI681" t="s">
        <v>484</v>
      </c>
      <c r="AJ681" t="s">
        <v>228</v>
      </c>
      <c r="AK681" t="s">
        <v>72</v>
      </c>
      <c r="AL681" t="s">
        <v>73</v>
      </c>
      <c r="AM681" t="s">
        <v>73</v>
      </c>
      <c r="AN681" t="s">
        <v>74</v>
      </c>
    </row>
    <row r="682" spans="1:40" x14ac:dyDescent="0.25">
      <c r="A682" t="s">
        <v>1790</v>
      </c>
      <c r="B682" t="s">
        <v>5</v>
      </c>
      <c r="C682">
        <v>399.059236</v>
      </c>
      <c r="D682">
        <v>338.97397799999999</v>
      </c>
      <c r="E682" t="s">
        <v>56</v>
      </c>
      <c r="F682">
        <v>-15273.3</v>
      </c>
      <c r="G682" t="s">
        <v>1790</v>
      </c>
      <c r="H682" t="s">
        <v>7</v>
      </c>
      <c r="I682">
        <v>19224.91</v>
      </c>
      <c r="J682">
        <v>617.81503299999997</v>
      </c>
      <c r="K682">
        <v>524.79231300000004</v>
      </c>
      <c r="L682">
        <v>0</v>
      </c>
      <c r="M682" t="s">
        <v>1790</v>
      </c>
      <c r="N682" t="s">
        <v>57</v>
      </c>
      <c r="O682" t="s">
        <v>58</v>
      </c>
      <c r="P682" t="s">
        <v>1791</v>
      </c>
      <c r="Q682" t="s">
        <v>1698</v>
      </c>
      <c r="R682" t="s">
        <v>61</v>
      </c>
      <c r="S682" t="s">
        <v>58</v>
      </c>
      <c r="T682" t="s">
        <v>1791</v>
      </c>
      <c r="U682" t="s">
        <v>1698</v>
      </c>
      <c r="V682" t="s">
        <v>56</v>
      </c>
      <c r="W682" t="s">
        <v>56</v>
      </c>
      <c r="X682" t="s">
        <v>56</v>
      </c>
      <c r="Y682" t="s">
        <v>62</v>
      </c>
      <c r="Z682" t="s">
        <v>63</v>
      </c>
      <c r="AA682" t="s">
        <v>64</v>
      </c>
      <c r="AB682">
        <v>1</v>
      </c>
      <c r="AC682" t="s">
        <v>65</v>
      </c>
      <c r="AD682" t="s">
        <v>66</v>
      </c>
      <c r="AE682" t="s">
        <v>67</v>
      </c>
      <c r="AF682" t="s">
        <v>103</v>
      </c>
      <c r="AG682">
        <v>34883.379999999997</v>
      </c>
      <c r="AH682" t="s">
        <v>69</v>
      </c>
      <c r="AI682" t="s">
        <v>536</v>
      </c>
      <c r="AJ682" t="s">
        <v>833</v>
      </c>
      <c r="AK682" t="s">
        <v>72</v>
      </c>
      <c r="AL682" t="s">
        <v>73</v>
      </c>
      <c r="AM682" t="s">
        <v>73</v>
      </c>
      <c r="AN682" t="s">
        <v>74</v>
      </c>
    </row>
    <row r="683" spans="1:40" x14ac:dyDescent="0.25">
      <c r="A683" t="s">
        <v>498</v>
      </c>
      <c r="B683" t="s">
        <v>5</v>
      </c>
      <c r="C683" s="2">
        <v>398.82605599999999</v>
      </c>
      <c r="D683">
        <v>338.77590700000002</v>
      </c>
      <c r="E683" t="s">
        <v>56</v>
      </c>
      <c r="F683">
        <v>-21878.880000000001</v>
      </c>
      <c r="G683" t="s">
        <v>498</v>
      </c>
      <c r="H683" t="s">
        <v>7</v>
      </c>
      <c r="I683">
        <v>25995.89</v>
      </c>
      <c r="J683">
        <v>0</v>
      </c>
      <c r="K683">
        <v>0</v>
      </c>
      <c r="L683">
        <v>0</v>
      </c>
      <c r="M683" t="s">
        <v>498</v>
      </c>
      <c r="N683" t="s">
        <v>57</v>
      </c>
      <c r="O683" t="s">
        <v>58</v>
      </c>
      <c r="P683" t="s">
        <v>499</v>
      </c>
      <c r="Q683" t="s">
        <v>500</v>
      </c>
      <c r="R683" t="s">
        <v>61</v>
      </c>
      <c r="S683" t="s">
        <v>58</v>
      </c>
      <c r="T683" t="s">
        <v>499</v>
      </c>
      <c r="U683" t="s">
        <v>500</v>
      </c>
      <c r="V683" t="s">
        <v>56</v>
      </c>
      <c r="W683" t="s">
        <v>56</v>
      </c>
      <c r="X683" t="s">
        <v>56</v>
      </c>
      <c r="Y683" t="s">
        <v>62</v>
      </c>
      <c r="Z683" t="s">
        <v>63</v>
      </c>
      <c r="AA683" t="s">
        <v>64</v>
      </c>
      <c r="AB683">
        <v>1</v>
      </c>
      <c r="AC683" t="s">
        <v>84</v>
      </c>
      <c r="AD683" t="s">
        <v>66</v>
      </c>
      <c r="AE683" t="s">
        <v>67</v>
      </c>
      <c r="AF683" t="s">
        <v>103</v>
      </c>
      <c r="AG683">
        <v>0</v>
      </c>
      <c r="AH683" t="s">
        <v>69</v>
      </c>
      <c r="AI683" t="s">
        <v>501</v>
      </c>
      <c r="AJ683" t="s">
        <v>187</v>
      </c>
      <c r="AK683" t="s">
        <v>72</v>
      </c>
      <c r="AL683" t="s">
        <v>73</v>
      </c>
      <c r="AM683" t="s">
        <v>73</v>
      </c>
      <c r="AN683" t="s">
        <v>74</v>
      </c>
    </row>
    <row r="684" spans="1:40" x14ac:dyDescent="0.25">
      <c r="A684" t="s">
        <v>2369</v>
      </c>
      <c r="B684" t="s">
        <v>5</v>
      </c>
      <c r="C684">
        <v>398.07718699999998</v>
      </c>
      <c r="D684">
        <v>338.13979399999999</v>
      </c>
      <c r="E684" t="s">
        <v>56</v>
      </c>
      <c r="F684">
        <v>-12006.44</v>
      </c>
      <c r="G684" t="s">
        <v>2369</v>
      </c>
      <c r="H684" t="s">
        <v>7</v>
      </c>
      <c r="I684">
        <v>14170.83</v>
      </c>
      <c r="J684">
        <v>577.881756</v>
      </c>
      <c r="K684">
        <v>490.87168000000003</v>
      </c>
      <c r="L684">
        <v>0</v>
      </c>
      <c r="M684" t="s">
        <v>2369</v>
      </c>
      <c r="N684" t="s">
        <v>57</v>
      </c>
      <c r="O684" t="s">
        <v>58</v>
      </c>
      <c r="P684" t="s">
        <v>2370</v>
      </c>
      <c r="Q684" t="s">
        <v>2371</v>
      </c>
      <c r="R684" t="s">
        <v>61</v>
      </c>
      <c r="S684" t="s">
        <v>58</v>
      </c>
      <c r="T684" t="s">
        <v>2370</v>
      </c>
      <c r="U684" t="s">
        <v>2371</v>
      </c>
      <c r="V684" t="s">
        <v>56</v>
      </c>
      <c r="W684" t="s">
        <v>56</v>
      </c>
      <c r="X684" t="s">
        <v>56</v>
      </c>
      <c r="Y684" t="s">
        <v>62</v>
      </c>
      <c r="Z684" t="s">
        <v>63</v>
      </c>
      <c r="AA684" t="s">
        <v>64</v>
      </c>
      <c r="AB684">
        <v>1</v>
      </c>
      <c r="AC684" t="s">
        <v>84</v>
      </c>
      <c r="AD684" t="s">
        <v>66</v>
      </c>
      <c r="AE684" t="s">
        <v>67</v>
      </c>
      <c r="AF684" t="s">
        <v>68</v>
      </c>
      <c r="AG684">
        <v>27489.7</v>
      </c>
      <c r="AH684" t="s">
        <v>69</v>
      </c>
      <c r="AI684" t="s">
        <v>122</v>
      </c>
      <c r="AJ684" t="s">
        <v>172</v>
      </c>
      <c r="AK684" t="s">
        <v>72</v>
      </c>
      <c r="AL684" t="s">
        <v>73</v>
      </c>
      <c r="AM684" t="s">
        <v>73</v>
      </c>
      <c r="AN684" t="s">
        <v>74</v>
      </c>
    </row>
    <row r="685" spans="1:40" x14ac:dyDescent="0.25">
      <c r="A685" t="s">
        <v>2186</v>
      </c>
      <c r="B685" t="s">
        <v>5</v>
      </c>
      <c r="C685">
        <v>393.18151899999998</v>
      </c>
      <c r="D685">
        <v>333.98125299999998</v>
      </c>
      <c r="E685" t="s">
        <v>56</v>
      </c>
      <c r="F685">
        <v>-15095.13</v>
      </c>
      <c r="G685" t="s">
        <v>2186</v>
      </c>
      <c r="H685" t="s">
        <v>7</v>
      </c>
      <c r="I685">
        <v>17909.89</v>
      </c>
      <c r="J685">
        <v>573.77755500000001</v>
      </c>
      <c r="K685">
        <v>487.38543800000002</v>
      </c>
      <c r="L685">
        <v>0</v>
      </c>
      <c r="M685" t="s">
        <v>2186</v>
      </c>
      <c r="N685" t="s">
        <v>57</v>
      </c>
      <c r="O685" t="s">
        <v>58</v>
      </c>
      <c r="P685" t="s">
        <v>2187</v>
      </c>
      <c r="Q685" t="s">
        <v>2188</v>
      </c>
      <c r="R685" t="s">
        <v>61</v>
      </c>
      <c r="S685" t="s">
        <v>58</v>
      </c>
      <c r="T685" t="s">
        <v>2187</v>
      </c>
      <c r="U685" t="s">
        <v>2188</v>
      </c>
      <c r="V685" t="s">
        <v>56</v>
      </c>
      <c r="W685" t="s">
        <v>56</v>
      </c>
      <c r="X685" t="s">
        <v>56</v>
      </c>
      <c r="Y685" t="s">
        <v>62</v>
      </c>
      <c r="Z685" t="s">
        <v>63</v>
      </c>
      <c r="AA685" t="s">
        <v>64</v>
      </c>
      <c r="AB685">
        <v>1</v>
      </c>
      <c r="AC685" t="s">
        <v>78</v>
      </c>
      <c r="AD685" t="s">
        <v>66</v>
      </c>
      <c r="AE685" t="s">
        <v>67</v>
      </c>
      <c r="AF685" t="s">
        <v>103</v>
      </c>
      <c r="AG685">
        <v>34991.870000000003</v>
      </c>
      <c r="AH685" t="s">
        <v>69</v>
      </c>
      <c r="AI685" t="s">
        <v>70</v>
      </c>
      <c r="AJ685" t="s">
        <v>704</v>
      </c>
      <c r="AK685" t="s">
        <v>72</v>
      </c>
      <c r="AL685" t="s">
        <v>73</v>
      </c>
      <c r="AM685" t="s">
        <v>73</v>
      </c>
      <c r="AN685" t="s">
        <v>74</v>
      </c>
    </row>
    <row r="686" spans="1:40" x14ac:dyDescent="0.25">
      <c r="A686" t="s">
        <v>2177</v>
      </c>
      <c r="B686" t="s">
        <v>5</v>
      </c>
      <c r="C686">
        <v>390.549149</v>
      </c>
      <c r="D686">
        <v>498.73138699999998</v>
      </c>
      <c r="E686" t="s">
        <v>56</v>
      </c>
      <c r="F686">
        <v>-43168.15</v>
      </c>
      <c r="G686" t="s">
        <v>2177</v>
      </c>
      <c r="H686" t="s">
        <v>7</v>
      </c>
      <c r="I686">
        <v>50475.25</v>
      </c>
      <c r="J686">
        <v>561.69161099999997</v>
      </c>
      <c r="K686">
        <v>717.28036399999996</v>
      </c>
      <c r="L686">
        <v>0</v>
      </c>
      <c r="M686" t="s">
        <v>2177</v>
      </c>
      <c r="N686" t="s">
        <v>57</v>
      </c>
      <c r="O686" t="s">
        <v>58</v>
      </c>
      <c r="P686" t="s">
        <v>2178</v>
      </c>
      <c r="Q686" t="s">
        <v>2179</v>
      </c>
      <c r="R686" t="s">
        <v>61</v>
      </c>
      <c r="S686" t="s">
        <v>58</v>
      </c>
      <c r="T686" t="s">
        <v>2178</v>
      </c>
      <c r="U686" t="s">
        <v>2179</v>
      </c>
      <c r="V686" t="s">
        <v>56</v>
      </c>
      <c r="W686" t="s">
        <v>56</v>
      </c>
      <c r="X686" t="s">
        <v>56</v>
      </c>
      <c r="Y686" t="s">
        <v>62</v>
      </c>
      <c r="Z686" t="s">
        <v>63</v>
      </c>
      <c r="AA686" t="s">
        <v>64</v>
      </c>
      <c r="AB686">
        <v>1</v>
      </c>
      <c r="AC686" t="s">
        <v>65</v>
      </c>
      <c r="AD686" t="s">
        <v>66</v>
      </c>
      <c r="AE686" t="s">
        <v>121</v>
      </c>
      <c r="AF686" t="s">
        <v>68</v>
      </c>
      <c r="AG686">
        <v>85365.85</v>
      </c>
      <c r="AH686" t="s">
        <v>69</v>
      </c>
      <c r="AI686" t="s">
        <v>536</v>
      </c>
      <c r="AJ686" t="s">
        <v>133</v>
      </c>
      <c r="AK686" t="s">
        <v>72</v>
      </c>
      <c r="AL686" t="s">
        <v>73</v>
      </c>
      <c r="AM686" t="s">
        <v>73</v>
      </c>
      <c r="AN686" t="s">
        <v>124</v>
      </c>
    </row>
    <row r="687" spans="1:40" x14ac:dyDescent="0.25">
      <c r="A687" t="s">
        <v>533</v>
      </c>
      <c r="B687" t="s">
        <v>5</v>
      </c>
      <c r="C687">
        <v>390.50330600000001</v>
      </c>
      <c r="D687">
        <v>331.70629100000002</v>
      </c>
      <c r="E687" t="s">
        <v>56</v>
      </c>
      <c r="F687">
        <v>-14994.78</v>
      </c>
      <c r="G687" t="s">
        <v>533</v>
      </c>
      <c r="H687" t="s">
        <v>7</v>
      </c>
      <c r="I687">
        <v>18709.490000000002</v>
      </c>
      <c r="J687">
        <v>599.30521199999998</v>
      </c>
      <c r="K687">
        <v>509.06946499999998</v>
      </c>
      <c r="L687">
        <v>0</v>
      </c>
      <c r="M687" t="s">
        <v>533</v>
      </c>
      <c r="N687" t="s">
        <v>57</v>
      </c>
      <c r="O687" t="s">
        <v>58</v>
      </c>
      <c r="P687" t="s">
        <v>534</v>
      </c>
      <c r="Q687" t="s">
        <v>535</v>
      </c>
      <c r="R687" t="s">
        <v>61</v>
      </c>
      <c r="S687" t="s">
        <v>58</v>
      </c>
      <c r="T687" t="s">
        <v>534</v>
      </c>
      <c r="U687" t="s">
        <v>535</v>
      </c>
      <c r="V687" t="s">
        <v>56</v>
      </c>
      <c r="W687" t="s">
        <v>56</v>
      </c>
      <c r="X687" t="s">
        <v>56</v>
      </c>
      <c r="Y687" t="s">
        <v>62</v>
      </c>
      <c r="Z687" t="s">
        <v>63</v>
      </c>
      <c r="AA687" t="s">
        <v>64</v>
      </c>
      <c r="AB687">
        <v>1</v>
      </c>
      <c r="AC687" t="s">
        <v>84</v>
      </c>
      <c r="AD687" t="s">
        <v>66</v>
      </c>
      <c r="AE687" t="s">
        <v>67</v>
      </c>
      <c r="AF687" t="s">
        <v>68</v>
      </c>
      <c r="AG687">
        <v>34997.589999999997</v>
      </c>
      <c r="AH687" t="s">
        <v>69</v>
      </c>
      <c r="AI687" t="s">
        <v>536</v>
      </c>
      <c r="AJ687" t="s">
        <v>164</v>
      </c>
      <c r="AK687" t="s">
        <v>72</v>
      </c>
      <c r="AL687" t="s">
        <v>73</v>
      </c>
      <c r="AM687" t="s">
        <v>73</v>
      </c>
      <c r="AN687" t="s">
        <v>74</v>
      </c>
    </row>
    <row r="688" spans="1:40" x14ac:dyDescent="0.25">
      <c r="A688" t="s">
        <v>1854</v>
      </c>
      <c r="B688" t="s">
        <v>5</v>
      </c>
      <c r="C688">
        <v>388.69279399999999</v>
      </c>
      <c r="D688">
        <v>330.16838300000001</v>
      </c>
      <c r="E688" t="s">
        <v>56</v>
      </c>
      <c r="F688">
        <v>-21320.09</v>
      </c>
      <c r="G688" t="s">
        <v>1854</v>
      </c>
      <c r="H688" t="s">
        <v>7</v>
      </c>
      <c r="I688">
        <v>26129.14</v>
      </c>
      <c r="J688">
        <v>585.93657199999996</v>
      </c>
      <c r="K688">
        <v>497.713705</v>
      </c>
      <c r="L688">
        <v>0</v>
      </c>
      <c r="M688" t="s">
        <v>1854</v>
      </c>
      <c r="N688" t="s">
        <v>57</v>
      </c>
      <c r="O688" t="s">
        <v>58</v>
      </c>
      <c r="P688" t="s">
        <v>1855</v>
      </c>
      <c r="Q688" t="s">
        <v>1856</v>
      </c>
      <c r="R688" t="s">
        <v>61</v>
      </c>
      <c r="S688" t="s">
        <v>58</v>
      </c>
      <c r="T688" t="s">
        <v>1855</v>
      </c>
      <c r="U688" t="s">
        <v>1856</v>
      </c>
      <c r="V688" t="s">
        <v>56</v>
      </c>
      <c r="W688" t="s">
        <v>56</v>
      </c>
      <c r="X688" t="s">
        <v>56</v>
      </c>
      <c r="Y688" t="s">
        <v>62</v>
      </c>
      <c r="Z688" t="s">
        <v>63</v>
      </c>
      <c r="AA688" t="s">
        <v>64</v>
      </c>
      <c r="AB688">
        <v>1</v>
      </c>
      <c r="AC688" t="s">
        <v>78</v>
      </c>
      <c r="AD688" t="s">
        <v>66</v>
      </c>
      <c r="AE688" t="s">
        <v>67</v>
      </c>
      <c r="AF688" t="s">
        <v>68</v>
      </c>
      <c r="AG688">
        <v>49992.55</v>
      </c>
      <c r="AH688" t="s">
        <v>69</v>
      </c>
      <c r="AI688" t="s">
        <v>79</v>
      </c>
      <c r="AJ688" t="s">
        <v>324</v>
      </c>
      <c r="AK688" t="s">
        <v>72</v>
      </c>
      <c r="AL688" t="s">
        <v>73</v>
      </c>
      <c r="AM688" t="s">
        <v>73</v>
      </c>
      <c r="AN688" t="s">
        <v>74</v>
      </c>
    </row>
    <row r="689" spans="1:40" x14ac:dyDescent="0.25">
      <c r="A689" t="s">
        <v>2071</v>
      </c>
      <c r="B689" t="s">
        <v>5</v>
      </c>
      <c r="C689">
        <v>387.65581400000002</v>
      </c>
      <c r="D689">
        <v>329.28753799999998</v>
      </c>
      <c r="E689" t="s">
        <v>56</v>
      </c>
      <c r="F689">
        <v>-9336.4500000000007</v>
      </c>
      <c r="G689" t="s">
        <v>2071</v>
      </c>
      <c r="H689" t="s">
        <v>7</v>
      </c>
      <c r="I689">
        <v>10975.89</v>
      </c>
      <c r="J689">
        <v>560.50420499999996</v>
      </c>
      <c r="K689">
        <v>476.11061999999998</v>
      </c>
      <c r="L689">
        <v>0</v>
      </c>
      <c r="M689" t="s">
        <v>2071</v>
      </c>
      <c r="N689" t="s">
        <v>57</v>
      </c>
      <c r="O689" t="s">
        <v>58</v>
      </c>
      <c r="P689" t="s">
        <v>2072</v>
      </c>
      <c r="Q689" t="s">
        <v>2073</v>
      </c>
      <c r="R689" t="s">
        <v>61</v>
      </c>
      <c r="S689" t="s">
        <v>58</v>
      </c>
      <c r="T689" t="s">
        <v>2072</v>
      </c>
      <c r="U689" t="s">
        <v>2073</v>
      </c>
      <c r="V689" t="s">
        <v>56</v>
      </c>
      <c r="W689" t="s">
        <v>56</v>
      </c>
      <c r="X689" t="s">
        <v>56</v>
      </c>
      <c r="Y689" t="s">
        <v>62</v>
      </c>
      <c r="Z689" t="s">
        <v>63</v>
      </c>
      <c r="AA689" t="s">
        <v>64</v>
      </c>
      <c r="AB689">
        <v>1</v>
      </c>
      <c r="AC689" t="s">
        <v>78</v>
      </c>
      <c r="AD689" t="s">
        <v>66</v>
      </c>
      <c r="AE689" t="s">
        <v>67</v>
      </c>
      <c r="AF689" t="s">
        <v>68</v>
      </c>
      <c r="AG689">
        <v>21951.22</v>
      </c>
      <c r="AH689" t="s">
        <v>69</v>
      </c>
      <c r="AI689" t="s">
        <v>382</v>
      </c>
      <c r="AJ689" t="s">
        <v>1122</v>
      </c>
      <c r="AK689" t="s">
        <v>72</v>
      </c>
      <c r="AL689" t="s">
        <v>73</v>
      </c>
      <c r="AM689" t="s">
        <v>73</v>
      </c>
      <c r="AN689" t="s">
        <v>74</v>
      </c>
    </row>
    <row r="690" spans="1:40" x14ac:dyDescent="0.25">
      <c r="A690" t="s">
        <v>2189</v>
      </c>
      <c r="B690" t="s">
        <v>5</v>
      </c>
      <c r="C690">
        <v>386.18730599999998</v>
      </c>
      <c r="D690">
        <v>452.41546799999998</v>
      </c>
      <c r="E690" t="s">
        <v>56</v>
      </c>
      <c r="F690">
        <v>-19523.63</v>
      </c>
      <c r="G690" t="s">
        <v>2189</v>
      </c>
      <c r="H690" t="s">
        <v>7</v>
      </c>
      <c r="I690">
        <v>22449.9</v>
      </c>
      <c r="J690">
        <v>915.18403999999998</v>
      </c>
      <c r="K690">
        <v>777.38728200000003</v>
      </c>
      <c r="L690">
        <v>0</v>
      </c>
      <c r="M690" t="s">
        <v>2189</v>
      </c>
      <c r="N690" t="s">
        <v>57</v>
      </c>
      <c r="O690" t="s">
        <v>58</v>
      </c>
      <c r="P690" t="s">
        <v>2190</v>
      </c>
      <c r="Q690" t="s">
        <v>60</v>
      </c>
      <c r="R690" t="s">
        <v>61</v>
      </c>
      <c r="S690" t="s">
        <v>58</v>
      </c>
      <c r="T690" t="s">
        <v>2190</v>
      </c>
      <c r="U690" t="s">
        <v>60</v>
      </c>
      <c r="V690" t="s">
        <v>56</v>
      </c>
      <c r="W690" t="s">
        <v>56</v>
      </c>
      <c r="X690" t="s">
        <v>56</v>
      </c>
      <c r="Y690" t="s">
        <v>62</v>
      </c>
      <c r="Z690" t="s">
        <v>63</v>
      </c>
      <c r="AA690" t="s">
        <v>64</v>
      </c>
      <c r="AB690">
        <v>1</v>
      </c>
      <c r="AC690" t="s">
        <v>65</v>
      </c>
      <c r="AD690" t="s">
        <v>66</v>
      </c>
      <c r="AE690" t="s">
        <v>67</v>
      </c>
      <c r="AF690" t="s">
        <v>68</v>
      </c>
      <c r="AG690">
        <v>27499</v>
      </c>
      <c r="AH690" t="s">
        <v>69</v>
      </c>
      <c r="AI690" t="s">
        <v>186</v>
      </c>
      <c r="AJ690" t="s">
        <v>254</v>
      </c>
      <c r="AK690" t="s">
        <v>72</v>
      </c>
      <c r="AL690" t="s">
        <v>73</v>
      </c>
      <c r="AM690" t="s">
        <v>73</v>
      </c>
      <c r="AN690" t="s">
        <v>74</v>
      </c>
    </row>
    <row r="691" spans="1:40" x14ac:dyDescent="0.25">
      <c r="A691" t="s">
        <v>1750</v>
      </c>
      <c r="B691" t="s">
        <v>5</v>
      </c>
      <c r="C691">
        <v>385.887902</v>
      </c>
      <c r="D691">
        <v>327.78581600000001</v>
      </c>
      <c r="E691" t="s">
        <v>56</v>
      </c>
      <c r="F691">
        <v>-14814.31</v>
      </c>
      <c r="G691" t="s">
        <v>1750</v>
      </c>
      <c r="H691" t="s">
        <v>7</v>
      </c>
      <c r="I691">
        <v>17786.080000000002</v>
      </c>
      <c r="J691">
        <v>569.85272399999997</v>
      </c>
      <c r="K691">
        <v>484.051558</v>
      </c>
      <c r="L691">
        <v>0</v>
      </c>
      <c r="M691" t="s">
        <v>1750</v>
      </c>
      <c r="N691" t="s">
        <v>57</v>
      </c>
      <c r="O691" t="s">
        <v>58</v>
      </c>
      <c r="P691" t="s">
        <v>1751</v>
      </c>
      <c r="Q691" t="s">
        <v>1752</v>
      </c>
      <c r="R691" t="s">
        <v>61</v>
      </c>
      <c r="S691" t="s">
        <v>58</v>
      </c>
      <c r="T691" t="s">
        <v>1751</v>
      </c>
      <c r="U691" t="s">
        <v>1752</v>
      </c>
      <c r="V691" t="s">
        <v>56</v>
      </c>
      <c r="W691" t="s">
        <v>56</v>
      </c>
      <c r="X691" t="s">
        <v>56</v>
      </c>
      <c r="Y691" t="s">
        <v>62</v>
      </c>
      <c r="Z691" t="s">
        <v>63</v>
      </c>
      <c r="AA691" t="s">
        <v>64</v>
      </c>
      <c r="AB691">
        <v>1</v>
      </c>
      <c r="AC691" t="s">
        <v>84</v>
      </c>
      <c r="AD691" t="s">
        <v>66</v>
      </c>
      <c r="AE691" t="s">
        <v>67</v>
      </c>
      <c r="AF691" t="s">
        <v>68</v>
      </c>
      <c r="AG691">
        <v>34990</v>
      </c>
      <c r="AH691" t="s">
        <v>69</v>
      </c>
      <c r="AI691" t="s">
        <v>1391</v>
      </c>
      <c r="AJ691" t="s">
        <v>80</v>
      </c>
      <c r="AK691" t="s">
        <v>72</v>
      </c>
      <c r="AL691" t="s">
        <v>73</v>
      </c>
      <c r="AM691" t="s">
        <v>73</v>
      </c>
      <c r="AN691" t="s">
        <v>74</v>
      </c>
    </row>
    <row r="692" spans="1:40" x14ac:dyDescent="0.25">
      <c r="A692" t="s">
        <v>1994</v>
      </c>
      <c r="B692" t="s">
        <v>5</v>
      </c>
      <c r="C692" s="2">
        <v>385.11035600000002</v>
      </c>
      <c r="D692" t="s">
        <v>56</v>
      </c>
      <c r="E692" t="s">
        <v>56</v>
      </c>
      <c r="F692">
        <v>-6871.73</v>
      </c>
      <c r="G692" t="s">
        <v>1994</v>
      </c>
      <c r="H692" t="s">
        <v>7</v>
      </c>
      <c r="I692">
        <v>11835.93</v>
      </c>
      <c r="J692">
        <v>0</v>
      </c>
      <c r="K692">
        <v>0</v>
      </c>
      <c r="L692">
        <v>0</v>
      </c>
      <c r="M692" t="s">
        <v>1994</v>
      </c>
      <c r="N692" t="s">
        <v>57</v>
      </c>
      <c r="O692" t="s">
        <v>58</v>
      </c>
      <c r="P692" t="s">
        <v>1995</v>
      </c>
      <c r="Q692" t="s">
        <v>1996</v>
      </c>
      <c r="R692" t="s">
        <v>61</v>
      </c>
      <c r="S692" t="s">
        <v>58</v>
      </c>
      <c r="T692" t="s">
        <v>1995</v>
      </c>
      <c r="U692" t="s">
        <v>1996</v>
      </c>
      <c r="V692" t="s">
        <v>56</v>
      </c>
      <c r="W692" t="s">
        <v>56</v>
      </c>
      <c r="X692" t="s">
        <v>56</v>
      </c>
      <c r="Y692" t="s">
        <v>62</v>
      </c>
      <c r="Z692" t="s">
        <v>63</v>
      </c>
      <c r="AA692" t="s">
        <v>64</v>
      </c>
      <c r="AB692">
        <v>1</v>
      </c>
      <c r="AC692" t="s">
        <v>65</v>
      </c>
      <c r="AD692" t="s">
        <v>66</v>
      </c>
      <c r="AE692" t="s">
        <v>85</v>
      </c>
      <c r="AF692" t="s">
        <v>68</v>
      </c>
      <c r="AG692">
        <v>48500</v>
      </c>
      <c r="AH692" t="s">
        <v>69</v>
      </c>
      <c r="AI692" t="s">
        <v>323</v>
      </c>
      <c r="AJ692" t="s">
        <v>1540</v>
      </c>
      <c r="AK692" t="s">
        <v>72</v>
      </c>
      <c r="AL692" t="s">
        <v>73</v>
      </c>
      <c r="AM692" t="s">
        <v>73</v>
      </c>
      <c r="AN692" t="s">
        <v>56</v>
      </c>
    </row>
    <row r="693" spans="1:40" x14ac:dyDescent="0.25">
      <c r="A693" t="s">
        <v>1144</v>
      </c>
      <c r="B693" t="s">
        <v>5</v>
      </c>
      <c r="C693">
        <v>384.28142300000002</v>
      </c>
      <c r="D693">
        <v>326.42122000000001</v>
      </c>
      <c r="E693" t="s">
        <v>56</v>
      </c>
      <c r="F693">
        <v>-18830.73</v>
      </c>
      <c r="G693" t="s">
        <v>1144</v>
      </c>
      <c r="H693" t="s">
        <v>7</v>
      </c>
      <c r="I693">
        <v>20117.79</v>
      </c>
      <c r="J693">
        <v>504.95568300000002</v>
      </c>
      <c r="K693">
        <v>428.92588699999999</v>
      </c>
      <c r="L693">
        <v>0</v>
      </c>
      <c r="M693" t="s">
        <v>1144</v>
      </c>
      <c r="N693" t="s">
        <v>57</v>
      </c>
      <c r="O693" t="s">
        <v>58</v>
      </c>
      <c r="P693" t="s">
        <v>1145</v>
      </c>
      <c r="Q693" t="s">
        <v>1146</v>
      </c>
      <c r="R693" t="s">
        <v>61</v>
      </c>
      <c r="S693" t="s">
        <v>58</v>
      </c>
      <c r="T693" t="s">
        <v>1145</v>
      </c>
      <c r="U693" t="s">
        <v>1146</v>
      </c>
      <c r="V693" t="s">
        <v>56</v>
      </c>
      <c r="W693" t="s">
        <v>56</v>
      </c>
      <c r="X693" t="s">
        <v>56</v>
      </c>
      <c r="Y693" t="s">
        <v>62</v>
      </c>
      <c r="Z693" t="s">
        <v>63</v>
      </c>
      <c r="AA693" t="s">
        <v>64</v>
      </c>
      <c r="AB693">
        <v>1</v>
      </c>
      <c r="AC693" t="s">
        <v>84</v>
      </c>
      <c r="AD693" t="s">
        <v>66</v>
      </c>
      <c r="AE693" t="s">
        <v>67</v>
      </c>
      <c r="AF693" t="s">
        <v>68</v>
      </c>
      <c r="AG693">
        <v>44662.27</v>
      </c>
      <c r="AH693" t="s">
        <v>69</v>
      </c>
      <c r="AI693" t="s">
        <v>142</v>
      </c>
      <c r="AJ693" t="s">
        <v>98</v>
      </c>
      <c r="AK693" t="s">
        <v>72</v>
      </c>
      <c r="AL693" t="s">
        <v>73</v>
      </c>
      <c r="AM693" t="s">
        <v>73</v>
      </c>
      <c r="AN693" t="s">
        <v>74</v>
      </c>
    </row>
    <row r="694" spans="1:40" x14ac:dyDescent="0.25">
      <c r="A694" t="s">
        <v>810</v>
      </c>
      <c r="B694" t="s">
        <v>5</v>
      </c>
      <c r="C694" s="2">
        <v>382.35134199999999</v>
      </c>
      <c r="D694" t="s">
        <v>56</v>
      </c>
      <c r="E694" t="s">
        <v>56</v>
      </c>
      <c r="F694">
        <v>-6979.36</v>
      </c>
      <c r="G694" t="s">
        <v>810</v>
      </c>
      <c r="H694" t="s">
        <v>7</v>
      </c>
      <c r="I694">
        <v>11429.49</v>
      </c>
      <c r="J694">
        <v>0</v>
      </c>
      <c r="K694">
        <v>0</v>
      </c>
      <c r="L694">
        <v>0</v>
      </c>
      <c r="M694" t="s">
        <v>810</v>
      </c>
      <c r="N694" t="s">
        <v>57</v>
      </c>
      <c r="O694" t="s">
        <v>58</v>
      </c>
      <c r="P694" t="s">
        <v>811</v>
      </c>
      <c r="Q694" t="s">
        <v>812</v>
      </c>
      <c r="R694" t="s">
        <v>61</v>
      </c>
      <c r="S694" t="s">
        <v>58</v>
      </c>
      <c r="T694" t="s">
        <v>811</v>
      </c>
      <c r="U694" t="s">
        <v>812</v>
      </c>
      <c r="V694" t="s">
        <v>56</v>
      </c>
      <c r="W694" t="s">
        <v>56</v>
      </c>
      <c r="X694" t="s">
        <v>56</v>
      </c>
      <c r="Y694" t="s">
        <v>62</v>
      </c>
      <c r="Z694" t="s">
        <v>63</v>
      </c>
      <c r="AA694" t="s">
        <v>64</v>
      </c>
      <c r="AB694">
        <v>1</v>
      </c>
      <c r="AC694" t="s">
        <v>84</v>
      </c>
      <c r="AD694" t="s">
        <v>66</v>
      </c>
      <c r="AE694" t="s">
        <v>289</v>
      </c>
      <c r="AF694" t="s">
        <v>68</v>
      </c>
      <c r="AG694">
        <v>49900</v>
      </c>
      <c r="AH694" t="s">
        <v>69</v>
      </c>
      <c r="AI694" t="s">
        <v>132</v>
      </c>
      <c r="AJ694" t="s">
        <v>813</v>
      </c>
      <c r="AK694" t="s">
        <v>72</v>
      </c>
      <c r="AL694" t="s">
        <v>73</v>
      </c>
      <c r="AM694" t="s">
        <v>73</v>
      </c>
      <c r="AN694" t="s">
        <v>56</v>
      </c>
    </row>
    <row r="695" spans="1:40" x14ac:dyDescent="0.25">
      <c r="A695" t="s">
        <v>379</v>
      </c>
      <c r="B695" t="s">
        <v>5</v>
      </c>
      <c r="C695">
        <v>381.86580300000003</v>
      </c>
      <c r="D695">
        <v>306.68352700000003</v>
      </c>
      <c r="E695" t="s">
        <v>56</v>
      </c>
      <c r="F695">
        <v>-10542.43</v>
      </c>
      <c r="G695" t="s">
        <v>379</v>
      </c>
      <c r="H695" t="s">
        <v>7</v>
      </c>
      <c r="I695">
        <v>17407.060000000001</v>
      </c>
      <c r="J695">
        <v>716.11966199999995</v>
      </c>
      <c r="K695">
        <v>608.29548299999999</v>
      </c>
      <c r="L695">
        <v>0</v>
      </c>
      <c r="M695" t="s">
        <v>379</v>
      </c>
      <c r="N695" t="s">
        <v>57</v>
      </c>
      <c r="O695" t="s">
        <v>58</v>
      </c>
      <c r="P695" t="s">
        <v>380</v>
      </c>
      <c r="Q695" t="s">
        <v>381</v>
      </c>
      <c r="R695" t="s">
        <v>61</v>
      </c>
      <c r="S695" t="s">
        <v>58</v>
      </c>
      <c r="T695" t="s">
        <v>380</v>
      </c>
      <c r="U695" t="s">
        <v>381</v>
      </c>
      <c r="V695" t="s">
        <v>56</v>
      </c>
      <c r="W695" t="s">
        <v>56</v>
      </c>
      <c r="X695" t="s">
        <v>56</v>
      </c>
      <c r="Y695" t="s">
        <v>62</v>
      </c>
      <c r="Z695" t="s">
        <v>63</v>
      </c>
      <c r="AA695" t="s">
        <v>64</v>
      </c>
      <c r="AB695">
        <v>1</v>
      </c>
      <c r="AC695" t="s">
        <v>84</v>
      </c>
      <c r="AD695" t="s">
        <v>66</v>
      </c>
      <c r="AE695" t="s">
        <v>67</v>
      </c>
      <c r="AF695" t="s">
        <v>68</v>
      </c>
      <c r="AG695">
        <v>27250</v>
      </c>
      <c r="AH695" t="s">
        <v>69</v>
      </c>
      <c r="AI695" t="s">
        <v>382</v>
      </c>
      <c r="AJ695" t="s">
        <v>133</v>
      </c>
      <c r="AK695" t="s">
        <v>99</v>
      </c>
      <c r="AL695" t="s">
        <v>73</v>
      </c>
      <c r="AM695" t="s">
        <v>73</v>
      </c>
      <c r="AN695" t="s">
        <v>74</v>
      </c>
    </row>
    <row r="696" spans="1:40" x14ac:dyDescent="0.25">
      <c r="A696" t="s">
        <v>1651</v>
      </c>
      <c r="B696" t="s">
        <v>5</v>
      </c>
      <c r="C696">
        <v>381.23662400000001</v>
      </c>
      <c r="D696">
        <v>323.83486799999997</v>
      </c>
      <c r="E696" t="s">
        <v>56</v>
      </c>
      <c r="F696">
        <v>-12222.06</v>
      </c>
      <c r="G696" t="s">
        <v>1651</v>
      </c>
      <c r="H696" t="s">
        <v>7</v>
      </c>
      <c r="I696">
        <v>15911.81</v>
      </c>
      <c r="J696">
        <v>496.304463</v>
      </c>
      <c r="K696">
        <v>421.57725799999997</v>
      </c>
      <c r="L696">
        <v>0</v>
      </c>
      <c r="M696" t="s">
        <v>1651</v>
      </c>
      <c r="N696" t="s">
        <v>57</v>
      </c>
      <c r="O696" t="s">
        <v>58</v>
      </c>
      <c r="P696" t="s">
        <v>1652</v>
      </c>
      <c r="Q696" t="s">
        <v>1552</v>
      </c>
      <c r="R696" t="s">
        <v>61</v>
      </c>
      <c r="S696" t="s">
        <v>58</v>
      </c>
      <c r="T696" t="s">
        <v>1652</v>
      </c>
      <c r="U696" t="s">
        <v>1552</v>
      </c>
      <c r="V696" t="s">
        <v>56</v>
      </c>
      <c r="W696" t="s">
        <v>56</v>
      </c>
      <c r="X696" t="s">
        <v>56</v>
      </c>
      <c r="Y696" t="s">
        <v>62</v>
      </c>
      <c r="Z696" t="s">
        <v>63</v>
      </c>
      <c r="AA696" t="s">
        <v>64</v>
      </c>
      <c r="AB696">
        <v>1</v>
      </c>
      <c r="AC696" t="s">
        <v>84</v>
      </c>
      <c r="AD696" t="s">
        <v>66</v>
      </c>
      <c r="AE696" t="s">
        <v>67</v>
      </c>
      <c r="AF696" t="s">
        <v>103</v>
      </c>
      <c r="AG696">
        <v>35940</v>
      </c>
      <c r="AH696" t="s">
        <v>69</v>
      </c>
      <c r="AI696" t="s">
        <v>269</v>
      </c>
      <c r="AJ696" t="s">
        <v>245</v>
      </c>
      <c r="AK696" t="s">
        <v>99</v>
      </c>
      <c r="AL696" t="s">
        <v>73</v>
      </c>
      <c r="AM696" t="s">
        <v>73</v>
      </c>
      <c r="AN696" t="s">
        <v>74</v>
      </c>
    </row>
    <row r="697" spans="1:40" x14ac:dyDescent="0.25">
      <c r="A697" t="s">
        <v>1550</v>
      </c>
      <c r="B697" t="s">
        <v>5</v>
      </c>
      <c r="C697">
        <v>381.23550299999999</v>
      </c>
      <c r="D697">
        <v>323.83391599999999</v>
      </c>
      <c r="E697" t="s">
        <v>56</v>
      </c>
      <c r="F697">
        <v>-12164.21</v>
      </c>
      <c r="G697" t="s">
        <v>1550</v>
      </c>
      <c r="H697" t="s">
        <v>7</v>
      </c>
      <c r="I697">
        <v>15836.5</v>
      </c>
      <c r="J697">
        <v>496.31231100000002</v>
      </c>
      <c r="K697">
        <v>421.58392300000003</v>
      </c>
      <c r="L697">
        <v>0</v>
      </c>
      <c r="M697" t="s">
        <v>1550</v>
      </c>
      <c r="N697" t="s">
        <v>57</v>
      </c>
      <c r="O697" t="s">
        <v>58</v>
      </c>
      <c r="P697" t="s">
        <v>1551</v>
      </c>
      <c r="Q697" t="s">
        <v>1552</v>
      </c>
      <c r="R697" t="s">
        <v>61</v>
      </c>
      <c r="S697" t="s">
        <v>58</v>
      </c>
      <c r="T697" t="s">
        <v>1551</v>
      </c>
      <c r="U697" t="s">
        <v>1552</v>
      </c>
      <c r="V697" t="s">
        <v>56</v>
      </c>
      <c r="W697" t="s">
        <v>56</v>
      </c>
      <c r="X697" t="s">
        <v>56</v>
      </c>
      <c r="Y697" t="s">
        <v>62</v>
      </c>
      <c r="Z697" t="s">
        <v>63</v>
      </c>
      <c r="AA697" t="s">
        <v>64</v>
      </c>
      <c r="AB697">
        <v>1</v>
      </c>
      <c r="AC697" t="s">
        <v>84</v>
      </c>
      <c r="AD697" t="s">
        <v>66</v>
      </c>
      <c r="AE697" t="s">
        <v>67</v>
      </c>
      <c r="AF697" t="s">
        <v>103</v>
      </c>
      <c r="AG697">
        <v>35770</v>
      </c>
      <c r="AH697" t="s">
        <v>69</v>
      </c>
      <c r="AI697" t="s">
        <v>829</v>
      </c>
      <c r="AJ697" t="s">
        <v>245</v>
      </c>
      <c r="AK697" t="s">
        <v>99</v>
      </c>
      <c r="AL697" t="s">
        <v>73</v>
      </c>
      <c r="AM697" t="s">
        <v>73</v>
      </c>
      <c r="AN697" t="s">
        <v>74</v>
      </c>
    </row>
    <row r="698" spans="1:40" x14ac:dyDescent="0.25">
      <c r="A698" t="s">
        <v>520</v>
      </c>
      <c r="B698" t="s">
        <v>5</v>
      </c>
      <c r="C698">
        <v>380.15704399999998</v>
      </c>
      <c r="D698">
        <v>322.91783700000002</v>
      </c>
      <c r="E698" t="s">
        <v>56</v>
      </c>
      <c r="F698">
        <v>-8683.1299999999992</v>
      </c>
      <c r="G698" t="s">
        <v>520</v>
      </c>
      <c r="H698" t="s">
        <v>7</v>
      </c>
      <c r="I698">
        <v>11316.31</v>
      </c>
      <c r="J698">
        <v>495.42667299999999</v>
      </c>
      <c r="K698">
        <v>420.83163400000001</v>
      </c>
      <c r="L698">
        <v>0</v>
      </c>
      <c r="M698" t="s">
        <v>520</v>
      </c>
      <c r="N698" t="s">
        <v>57</v>
      </c>
      <c r="O698" t="s">
        <v>58</v>
      </c>
      <c r="P698" t="s">
        <v>521</v>
      </c>
      <c r="Q698" t="s">
        <v>522</v>
      </c>
      <c r="R698" t="s">
        <v>61</v>
      </c>
      <c r="S698" t="s">
        <v>58</v>
      </c>
      <c r="T698" t="s">
        <v>521</v>
      </c>
      <c r="U698" t="s">
        <v>522</v>
      </c>
      <c r="V698" t="s">
        <v>56</v>
      </c>
      <c r="W698" t="s">
        <v>56</v>
      </c>
      <c r="X698" t="s">
        <v>56</v>
      </c>
      <c r="Y698" t="s">
        <v>62</v>
      </c>
      <c r="Z698" t="s">
        <v>63</v>
      </c>
      <c r="AA698" t="s">
        <v>64</v>
      </c>
      <c r="AB698">
        <v>1</v>
      </c>
      <c r="AC698" t="s">
        <v>84</v>
      </c>
      <c r="AD698" t="s">
        <v>66</v>
      </c>
      <c r="AE698" t="s">
        <v>67</v>
      </c>
      <c r="AF698" t="s">
        <v>103</v>
      </c>
      <c r="AG698">
        <v>25606</v>
      </c>
      <c r="AH698" t="s">
        <v>69</v>
      </c>
      <c r="AI698" t="s">
        <v>70</v>
      </c>
      <c r="AJ698" t="s">
        <v>123</v>
      </c>
      <c r="AK698" t="s">
        <v>99</v>
      </c>
      <c r="AL698" t="s">
        <v>73</v>
      </c>
      <c r="AM698" t="s">
        <v>73</v>
      </c>
      <c r="AN698" t="s">
        <v>74</v>
      </c>
    </row>
    <row r="699" spans="1:40" x14ac:dyDescent="0.25">
      <c r="A699" t="s">
        <v>1875</v>
      </c>
      <c r="B699" t="s">
        <v>5</v>
      </c>
      <c r="C699">
        <v>379.65817199999998</v>
      </c>
      <c r="D699">
        <v>322.494079</v>
      </c>
      <c r="E699" t="s">
        <v>56</v>
      </c>
      <c r="F699">
        <v>-16594.36</v>
      </c>
      <c r="G699" t="s">
        <v>1875</v>
      </c>
      <c r="H699" t="s">
        <v>7</v>
      </c>
      <c r="I699">
        <v>21130</v>
      </c>
      <c r="J699">
        <v>594.62254399999995</v>
      </c>
      <c r="K699">
        <v>505.09185400000001</v>
      </c>
      <c r="L699">
        <v>0</v>
      </c>
      <c r="M699" t="s">
        <v>1875</v>
      </c>
      <c r="N699" t="s">
        <v>57</v>
      </c>
      <c r="O699" t="s">
        <v>58</v>
      </c>
      <c r="P699" t="s">
        <v>1876</v>
      </c>
      <c r="Q699" t="s">
        <v>1877</v>
      </c>
      <c r="R699" t="s">
        <v>61</v>
      </c>
      <c r="S699" t="s">
        <v>58</v>
      </c>
      <c r="T699" t="s">
        <v>1876</v>
      </c>
      <c r="U699" t="s">
        <v>1877</v>
      </c>
      <c r="V699" t="s">
        <v>56</v>
      </c>
      <c r="W699" t="s">
        <v>56</v>
      </c>
      <c r="X699" t="s">
        <v>56</v>
      </c>
      <c r="Y699" t="s">
        <v>62</v>
      </c>
      <c r="Z699" t="s">
        <v>63</v>
      </c>
      <c r="AA699" t="s">
        <v>64</v>
      </c>
      <c r="AB699">
        <v>1</v>
      </c>
      <c r="AC699" t="s">
        <v>84</v>
      </c>
      <c r="AD699" t="s">
        <v>66</v>
      </c>
      <c r="AE699" t="s">
        <v>67</v>
      </c>
      <c r="AF699" t="s">
        <v>68</v>
      </c>
      <c r="AG699">
        <v>39837.4</v>
      </c>
      <c r="AH699" t="s">
        <v>69</v>
      </c>
      <c r="AI699" t="s">
        <v>323</v>
      </c>
      <c r="AJ699" t="s">
        <v>912</v>
      </c>
      <c r="AK699" t="s">
        <v>72</v>
      </c>
      <c r="AL699" t="s">
        <v>73</v>
      </c>
      <c r="AM699" t="s">
        <v>73</v>
      </c>
      <c r="AN699" t="s">
        <v>74</v>
      </c>
    </row>
    <row r="700" spans="1:40" x14ac:dyDescent="0.25">
      <c r="A700" t="s">
        <v>419</v>
      </c>
      <c r="B700" t="s">
        <v>5</v>
      </c>
      <c r="C700">
        <v>379.26804299999998</v>
      </c>
      <c r="D700">
        <v>322.162691</v>
      </c>
      <c r="E700" t="s">
        <v>56</v>
      </c>
      <c r="F700">
        <v>-20802.82</v>
      </c>
      <c r="G700" t="s">
        <v>419</v>
      </c>
      <c r="H700" t="s">
        <v>7</v>
      </c>
      <c r="I700">
        <v>23762.13</v>
      </c>
      <c r="J700">
        <v>532.86783400000002</v>
      </c>
      <c r="K700">
        <v>452.63538199999999</v>
      </c>
      <c r="L700">
        <v>0</v>
      </c>
      <c r="M700" t="s">
        <v>419</v>
      </c>
      <c r="N700" t="s">
        <v>57</v>
      </c>
      <c r="O700" t="s">
        <v>58</v>
      </c>
      <c r="P700" t="s">
        <v>420</v>
      </c>
      <c r="Q700" t="s">
        <v>421</v>
      </c>
      <c r="R700" t="s">
        <v>61</v>
      </c>
      <c r="S700" t="s">
        <v>58</v>
      </c>
      <c r="T700" t="s">
        <v>420</v>
      </c>
      <c r="U700" t="s">
        <v>421</v>
      </c>
      <c r="V700" t="s">
        <v>56</v>
      </c>
      <c r="W700" t="s">
        <v>56</v>
      </c>
      <c r="X700" t="s">
        <v>56</v>
      </c>
      <c r="Y700" t="s">
        <v>62</v>
      </c>
      <c r="Z700" t="s">
        <v>63</v>
      </c>
      <c r="AA700" t="s">
        <v>64</v>
      </c>
      <c r="AB700">
        <v>1</v>
      </c>
      <c r="AC700" t="s">
        <v>84</v>
      </c>
      <c r="AD700" t="s">
        <v>66</v>
      </c>
      <c r="AE700" t="s">
        <v>67</v>
      </c>
      <c r="AF700" t="s">
        <v>68</v>
      </c>
      <c r="AG700">
        <v>49991.87</v>
      </c>
      <c r="AH700" t="s">
        <v>69</v>
      </c>
      <c r="AI700" t="s">
        <v>79</v>
      </c>
      <c r="AJ700" t="s">
        <v>224</v>
      </c>
      <c r="AK700" t="s">
        <v>72</v>
      </c>
      <c r="AL700" t="s">
        <v>73</v>
      </c>
      <c r="AM700" t="s">
        <v>73</v>
      </c>
      <c r="AN700" t="s">
        <v>74</v>
      </c>
    </row>
    <row r="701" spans="1:40" x14ac:dyDescent="0.25">
      <c r="A701" t="s">
        <v>916</v>
      </c>
      <c r="B701" t="s">
        <v>5</v>
      </c>
      <c r="C701">
        <v>378.17276800000002</v>
      </c>
      <c r="D701">
        <v>321.232328</v>
      </c>
      <c r="E701" t="s">
        <v>56</v>
      </c>
      <c r="F701">
        <v>-13490.06</v>
      </c>
      <c r="G701" t="s">
        <v>916</v>
      </c>
      <c r="H701" t="s">
        <v>7</v>
      </c>
      <c r="I701">
        <v>15363</v>
      </c>
      <c r="J701">
        <v>529.73783500000002</v>
      </c>
      <c r="K701">
        <v>449.97665799999999</v>
      </c>
      <c r="L701">
        <v>0</v>
      </c>
      <c r="M701" t="s">
        <v>916</v>
      </c>
      <c r="N701" t="s">
        <v>57</v>
      </c>
      <c r="O701" t="s">
        <v>58</v>
      </c>
      <c r="P701" t="s">
        <v>917</v>
      </c>
      <c r="Q701" t="s">
        <v>918</v>
      </c>
      <c r="R701" t="s">
        <v>61</v>
      </c>
      <c r="S701" t="s">
        <v>58</v>
      </c>
      <c r="T701" t="s">
        <v>917</v>
      </c>
      <c r="U701" t="s">
        <v>918</v>
      </c>
      <c r="V701" t="s">
        <v>56</v>
      </c>
      <c r="W701" t="s">
        <v>56</v>
      </c>
      <c r="X701" t="s">
        <v>56</v>
      </c>
      <c r="Y701" t="s">
        <v>62</v>
      </c>
      <c r="Z701" t="s">
        <v>63</v>
      </c>
      <c r="AA701" t="s">
        <v>64</v>
      </c>
      <c r="AB701">
        <v>1</v>
      </c>
      <c r="AC701" t="s">
        <v>78</v>
      </c>
      <c r="AD701" t="s">
        <v>66</v>
      </c>
      <c r="AE701" t="s">
        <v>67</v>
      </c>
      <c r="AF701" t="s">
        <v>68</v>
      </c>
      <c r="AG701">
        <v>32512.2</v>
      </c>
      <c r="AH701" t="s">
        <v>69</v>
      </c>
      <c r="AI701" t="s">
        <v>186</v>
      </c>
      <c r="AJ701" t="s">
        <v>228</v>
      </c>
      <c r="AK701" t="s">
        <v>72</v>
      </c>
      <c r="AL701" t="s">
        <v>73</v>
      </c>
      <c r="AM701" t="s">
        <v>73</v>
      </c>
      <c r="AN701" t="s">
        <v>74</v>
      </c>
    </row>
    <row r="702" spans="1:40" x14ac:dyDescent="0.25">
      <c r="A702" t="s">
        <v>585</v>
      </c>
      <c r="B702" t="s">
        <v>5</v>
      </c>
      <c r="C702">
        <v>377.42960399999998</v>
      </c>
      <c r="D702">
        <v>656.73679900000002</v>
      </c>
      <c r="E702" t="s">
        <v>56</v>
      </c>
      <c r="F702">
        <v>-49592.58</v>
      </c>
      <c r="G702" t="s">
        <v>585</v>
      </c>
      <c r="H702" t="s">
        <v>7</v>
      </c>
      <c r="I702">
        <v>53756.92</v>
      </c>
      <c r="J702">
        <v>760.08875499999999</v>
      </c>
      <c r="K702">
        <v>645.64427000000001</v>
      </c>
      <c r="L702">
        <v>0</v>
      </c>
      <c r="M702" t="s">
        <v>585</v>
      </c>
      <c r="N702" t="s">
        <v>57</v>
      </c>
      <c r="O702" t="s">
        <v>58</v>
      </c>
      <c r="P702" t="s">
        <v>586</v>
      </c>
      <c r="Q702" t="s">
        <v>587</v>
      </c>
      <c r="R702" t="s">
        <v>61</v>
      </c>
      <c r="S702" t="s">
        <v>58</v>
      </c>
      <c r="T702" t="s">
        <v>586</v>
      </c>
      <c r="U702" t="s">
        <v>587</v>
      </c>
      <c r="V702" t="s">
        <v>56</v>
      </c>
      <c r="W702" t="s">
        <v>56</v>
      </c>
      <c r="X702" t="s">
        <v>56</v>
      </c>
      <c r="Y702" t="s">
        <v>62</v>
      </c>
      <c r="Z702" t="s">
        <v>63</v>
      </c>
      <c r="AA702" t="s">
        <v>64</v>
      </c>
      <c r="AB702">
        <v>1</v>
      </c>
      <c r="AC702" t="s">
        <v>84</v>
      </c>
      <c r="AD702" t="s">
        <v>66</v>
      </c>
      <c r="AE702" t="s">
        <v>67</v>
      </c>
      <c r="AF702" t="s">
        <v>68</v>
      </c>
      <c r="AG702">
        <v>79285.440000000002</v>
      </c>
      <c r="AH702" t="s">
        <v>69</v>
      </c>
      <c r="AI702" t="s">
        <v>104</v>
      </c>
      <c r="AJ702" t="s">
        <v>93</v>
      </c>
      <c r="AK702" t="s">
        <v>72</v>
      </c>
      <c r="AL702" t="s">
        <v>73</v>
      </c>
      <c r="AM702" t="s">
        <v>73</v>
      </c>
      <c r="AN702" t="s">
        <v>74</v>
      </c>
    </row>
    <row r="703" spans="1:40" x14ac:dyDescent="0.25">
      <c r="A703" t="s">
        <v>1607</v>
      </c>
      <c r="B703" t="s">
        <v>5</v>
      </c>
      <c r="C703" s="2">
        <v>374.842983</v>
      </c>
      <c r="D703" t="s">
        <v>56</v>
      </c>
      <c r="E703" t="s">
        <v>56</v>
      </c>
      <c r="F703">
        <v>-3044.81</v>
      </c>
      <c r="G703" t="s">
        <v>1607</v>
      </c>
      <c r="H703" t="s">
        <v>7</v>
      </c>
      <c r="I703">
        <v>6007.71</v>
      </c>
      <c r="J703">
        <v>0</v>
      </c>
      <c r="K703">
        <v>0</v>
      </c>
      <c r="L703">
        <v>0</v>
      </c>
      <c r="M703" t="s">
        <v>1607</v>
      </c>
      <c r="N703" t="s">
        <v>57</v>
      </c>
      <c r="O703" t="s">
        <v>58</v>
      </c>
      <c r="P703" t="s">
        <v>1608</v>
      </c>
      <c r="Q703" t="s">
        <v>1609</v>
      </c>
      <c r="R703" t="s">
        <v>61</v>
      </c>
      <c r="S703" t="s">
        <v>58</v>
      </c>
      <c r="T703" t="s">
        <v>1608</v>
      </c>
      <c r="U703" t="s">
        <v>1609</v>
      </c>
      <c r="V703" t="s">
        <v>56</v>
      </c>
      <c r="W703" t="s">
        <v>56</v>
      </c>
      <c r="X703" t="s">
        <v>56</v>
      </c>
      <c r="Y703" t="s">
        <v>62</v>
      </c>
      <c r="Z703" t="s">
        <v>63</v>
      </c>
      <c r="AA703" t="s">
        <v>64</v>
      </c>
      <c r="AB703">
        <v>1</v>
      </c>
      <c r="AC703" t="s">
        <v>84</v>
      </c>
      <c r="AD703" t="s">
        <v>66</v>
      </c>
      <c r="AE703" t="s">
        <v>289</v>
      </c>
      <c r="AF703" t="s">
        <v>68</v>
      </c>
      <c r="AG703">
        <v>27312.7</v>
      </c>
      <c r="AH703" t="s">
        <v>69</v>
      </c>
      <c r="AI703" t="s">
        <v>152</v>
      </c>
      <c r="AJ703" t="s">
        <v>1610</v>
      </c>
      <c r="AK703" t="s">
        <v>99</v>
      </c>
      <c r="AL703" t="s">
        <v>73</v>
      </c>
      <c r="AM703" t="s">
        <v>73</v>
      </c>
      <c r="AN703" t="s">
        <v>56</v>
      </c>
    </row>
    <row r="704" spans="1:40" x14ac:dyDescent="0.25">
      <c r="A704" t="s">
        <v>2498</v>
      </c>
      <c r="B704" t="s">
        <v>5</v>
      </c>
      <c r="C704" s="2">
        <v>371.88804199999998</v>
      </c>
      <c r="D704" t="s">
        <v>56</v>
      </c>
      <c r="E704" t="s">
        <v>56</v>
      </c>
      <c r="F704">
        <v>-31051.87</v>
      </c>
      <c r="G704" t="s">
        <v>2498</v>
      </c>
      <c r="H704" t="s">
        <v>7</v>
      </c>
      <c r="I704">
        <v>39095.279999999999</v>
      </c>
      <c r="J704">
        <v>0</v>
      </c>
      <c r="K704">
        <v>0</v>
      </c>
      <c r="L704">
        <v>0</v>
      </c>
      <c r="M704" t="s">
        <v>2498</v>
      </c>
      <c r="N704" t="s">
        <v>57</v>
      </c>
      <c r="O704" t="s">
        <v>58</v>
      </c>
      <c r="P704" t="s">
        <v>2499</v>
      </c>
      <c r="Q704" t="s">
        <v>223</v>
      </c>
      <c r="R704" t="s">
        <v>61</v>
      </c>
      <c r="S704" t="s">
        <v>58</v>
      </c>
      <c r="T704" t="s">
        <v>2499</v>
      </c>
      <c r="U704" t="s">
        <v>223</v>
      </c>
      <c r="V704" t="s">
        <v>56</v>
      </c>
      <c r="W704" t="s">
        <v>56</v>
      </c>
      <c r="X704" t="s">
        <v>56</v>
      </c>
      <c r="Y704" t="s">
        <v>62</v>
      </c>
      <c r="Z704" t="s">
        <v>63</v>
      </c>
      <c r="AA704" t="s">
        <v>64</v>
      </c>
      <c r="AB704">
        <v>1</v>
      </c>
      <c r="AC704" t="s">
        <v>147</v>
      </c>
      <c r="AD704" t="s">
        <v>66</v>
      </c>
      <c r="AE704" t="s">
        <v>85</v>
      </c>
      <c r="AF704" t="s">
        <v>86</v>
      </c>
      <c r="AG704">
        <v>79377.179999999993</v>
      </c>
      <c r="AH704" t="s">
        <v>69</v>
      </c>
      <c r="AI704" t="s">
        <v>536</v>
      </c>
      <c r="AJ704" t="s">
        <v>363</v>
      </c>
      <c r="AK704" t="s">
        <v>72</v>
      </c>
      <c r="AL704" t="s">
        <v>73</v>
      </c>
      <c r="AM704" t="s">
        <v>73</v>
      </c>
      <c r="AN704" t="s">
        <v>56</v>
      </c>
    </row>
    <row r="705" spans="1:40" x14ac:dyDescent="0.25">
      <c r="A705" t="s">
        <v>1439</v>
      </c>
      <c r="B705" t="s">
        <v>5</v>
      </c>
      <c r="C705">
        <v>367.48794500000002</v>
      </c>
      <c r="D705">
        <v>312.15629000000001</v>
      </c>
      <c r="E705" t="s">
        <v>56</v>
      </c>
      <c r="F705">
        <v>-16061.21</v>
      </c>
      <c r="G705" t="s">
        <v>1439</v>
      </c>
      <c r="H705" t="s">
        <v>7</v>
      </c>
      <c r="I705">
        <v>18884.060000000001</v>
      </c>
      <c r="J705">
        <v>531.45754099999999</v>
      </c>
      <c r="K705">
        <v>451.437433</v>
      </c>
      <c r="L705">
        <v>0</v>
      </c>
      <c r="M705" t="s">
        <v>1439</v>
      </c>
      <c r="N705" t="s">
        <v>57</v>
      </c>
      <c r="O705" t="s">
        <v>58</v>
      </c>
      <c r="P705" t="s">
        <v>1440</v>
      </c>
      <c r="Q705" t="s">
        <v>1441</v>
      </c>
      <c r="R705" t="s">
        <v>61</v>
      </c>
      <c r="S705" t="s">
        <v>58</v>
      </c>
      <c r="T705" t="s">
        <v>1440</v>
      </c>
      <c r="U705" t="s">
        <v>1441</v>
      </c>
      <c r="V705" t="s">
        <v>56</v>
      </c>
      <c r="W705" t="s">
        <v>56</v>
      </c>
      <c r="X705" t="s">
        <v>56</v>
      </c>
      <c r="Y705" t="s">
        <v>62</v>
      </c>
      <c r="Z705" t="s">
        <v>63</v>
      </c>
      <c r="AA705" t="s">
        <v>64</v>
      </c>
      <c r="AB705">
        <v>1</v>
      </c>
      <c r="AC705" t="s">
        <v>84</v>
      </c>
      <c r="AD705" t="s">
        <v>66</v>
      </c>
      <c r="AE705" t="s">
        <v>67</v>
      </c>
      <c r="AF705" t="s">
        <v>103</v>
      </c>
      <c r="AG705">
        <v>39834.449999999997</v>
      </c>
      <c r="AH705" t="s">
        <v>69</v>
      </c>
      <c r="AI705" t="s">
        <v>137</v>
      </c>
      <c r="AJ705" t="s">
        <v>1442</v>
      </c>
      <c r="AK705" t="s">
        <v>72</v>
      </c>
      <c r="AL705" t="s">
        <v>73</v>
      </c>
      <c r="AM705" t="s">
        <v>73</v>
      </c>
      <c r="AN705" t="s">
        <v>74</v>
      </c>
    </row>
    <row r="706" spans="1:40" x14ac:dyDescent="0.25">
      <c r="A706" t="s">
        <v>1388</v>
      </c>
      <c r="B706" t="s">
        <v>5</v>
      </c>
      <c r="C706">
        <v>367.30745400000001</v>
      </c>
      <c r="D706">
        <v>312.00297499999999</v>
      </c>
      <c r="E706" t="s">
        <v>56</v>
      </c>
      <c r="F706">
        <v>-14101.02</v>
      </c>
      <c r="G706" t="s">
        <v>1388</v>
      </c>
      <c r="H706" t="s">
        <v>7</v>
      </c>
      <c r="I706">
        <v>15977.46</v>
      </c>
      <c r="J706">
        <v>511.89392299999997</v>
      </c>
      <c r="K706">
        <v>434.819455</v>
      </c>
      <c r="L706">
        <v>0</v>
      </c>
      <c r="M706" t="s">
        <v>1388</v>
      </c>
      <c r="N706" t="s">
        <v>57</v>
      </c>
      <c r="O706" t="s">
        <v>58</v>
      </c>
      <c r="P706" t="s">
        <v>1389</v>
      </c>
      <c r="Q706" t="s">
        <v>1390</v>
      </c>
      <c r="R706" t="s">
        <v>61</v>
      </c>
      <c r="S706" t="s">
        <v>58</v>
      </c>
      <c r="T706" t="s">
        <v>1389</v>
      </c>
      <c r="U706" t="s">
        <v>1390</v>
      </c>
      <c r="V706" t="s">
        <v>56</v>
      </c>
      <c r="W706" t="s">
        <v>56</v>
      </c>
      <c r="X706" t="s">
        <v>56</v>
      </c>
      <c r="Y706" t="s">
        <v>62</v>
      </c>
      <c r="Z706" t="s">
        <v>63</v>
      </c>
      <c r="AA706" t="s">
        <v>64</v>
      </c>
      <c r="AB706">
        <v>1</v>
      </c>
      <c r="AC706" t="s">
        <v>78</v>
      </c>
      <c r="AD706" t="s">
        <v>66</v>
      </c>
      <c r="AE706" t="s">
        <v>67</v>
      </c>
      <c r="AF706" t="s">
        <v>68</v>
      </c>
      <c r="AG706">
        <v>34990</v>
      </c>
      <c r="AH706" t="s">
        <v>69</v>
      </c>
      <c r="AI706" t="s">
        <v>1391</v>
      </c>
      <c r="AJ706" t="s">
        <v>71</v>
      </c>
      <c r="AK706" t="s">
        <v>72</v>
      </c>
      <c r="AL706" t="s">
        <v>73</v>
      </c>
      <c r="AM706" t="s">
        <v>73</v>
      </c>
      <c r="AN706" t="s">
        <v>74</v>
      </c>
    </row>
    <row r="707" spans="1:40" x14ac:dyDescent="0.25">
      <c r="A707" t="s">
        <v>1315</v>
      </c>
      <c r="B707" t="s">
        <v>5</v>
      </c>
      <c r="C707">
        <v>365.963303</v>
      </c>
      <c r="D707">
        <v>310.86121000000003</v>
      </c>
      <c r="E707" t="s">
        <v>56</v>
      </c>
      <c r="F707">
        <v>-14011.4</v>
      </c>
      <c r="G707" t="s">
        <v>1315</v>
      </c>
      <c r="H707" t="s">
        <v>7</v>
      </c>
      <c r="I707">
        <v>16204.55</v>
      </c>
      <c r="J707">
        <v>520.57989599999996</v>
      </c>
      <c r="K707">
        <v>442.19760500000001</v>
      </c>
      <c r="L707">
        <v>0</v>
      </c>
      <c r="M707" t="s">
        <v>1315</v>
      </c>
      <c r="N707" t="s">
        <v>57</v>
      </c>
      <c r="O707" t="s">
        <v>58</v>
      </c>
      <c r="P707" t="s">
        <v>1316</v>
      </c>
      <c r="Q707" t="s">
        <v>1317</v>
      </c>
      <c r="R707" t="s">
        <v>61</v>
      </c>
      <c r="S707" t="s">
        <v>58</v>
      </c>
      <c r="T707" t="s">
        <v>1316</v>
      </c>
      <c r="U707" t="s">
        <v>1317</v>
      </c>
      <c r="V707" t="s">
        <v>56</v>
      </c>
      <c r="W707" t="s">
        <v>56</v>
      </c>
      <c r="X707" t="s">
        <v>56</v>
      </c>
      <c r="Y707" t="s">
        <v>62</v>
      </c>
      <c r="Z707" t="s">
        <v>63</v>
      </c>
      <c r="AA707" t="s">
        <v>64</v>
      </c>
      <c r="AB707">
        <v>1</v>
      </c>
      <c r="AC707" t="s">
        <v>78</v>
      </c>
      <c r="AD707" t="s">
        <v>66</v>
      </c>
      <c r="AE707" t="s">
        <v>67</v>
      </c>
      <c r="AF707" t="s">
        <v>68</v>
      </c>
      <c r="AG707">
        <v>34895.300000000003</v>
      </c>
      <c r="AH707" t="s">
        <v>69</v>
      </c>
      <c r="AI707" t="s">
        <v>104</v>
      </c>
      <c r="AJ707" t="s">
        <v>143</v>
      </c>
      <c r="AK707" t="s">
        <v>72</v>
      </c>
      <c r="AL707" t="s">
        <v>73</v>
      </c>
      <c r="AM707" t="s">
        <v>73</v>
      </c>
      <c r="AN707" t="s">
        <v>74</v>
      </c>
    </row>
    <row r="708" spans="1:40" x14ac:dyDescent="0.25">
      <c r="A708" t="s">
        <v>229</v>
      </c>
      <c r="B708" t="s">
        <v>5</v>
      </c>
      <c r="C708">
        <v>364.38485100000003</v>
      </c>
      <c r="D708">
        <v>309.52042</v>
      </c>
      <c r="E708" t="s">
        <v>56</v>
      </c>
      <c r="F708">
        <v>-19199.91</v>
      </c>
      <c r="G708" t="s">
        <v>229</v>
      </c>
      <c r="H708" t="s">
        <v>7</v>
      </c>
      <c r="I708">
        <v>22077.279999999999</v>
      </c>
      <c r="J708">
        <v>515.35911999999996</v>
      </c>
      <c r="K708">
        <v>437.76290699999998</v>
      </c>
      <c r="L708">
        <v>0</v>
      </c>
      <c r="M708" t="s">
        <v>229</v>
      </c>
      <c r="N708" t="s">
        <v>57</v>
      </c>
      <c r="O708" t="s">
        <v>58</v>
      </c>
      <c r="P708" t="s">
        <v>230</v>
      </c>
      <c r="Q708" t="s">
        <v>231</v>
      </c>
      <c r="R708" t="s">
        <v>61</v>
      </c>
      <c r="S708" t="s">
        <v>58</v>
      </c>
      <c r="T708" t="s">
        <v>230</v>
      </c>
      <c r="U708" t="s">
        <v>231</v>
      </c>
      <c r="V708" t="s">
        <v>56</v>
      </c>
      <c r="W708" t="s">
        <v>56</v>
      </c>
      <c r="X708" t="s">
        <v>56</v>
      </c>
      <c r="Y708" t="s">
        <v>62</v>
      </c>
      <c r="Z708" t="s">
        <v>63</v>
      </c>
      <c r="AA708" t="s">
        <v>64</v>
      </c>
      <c r="AB708">
        <v>1</v>
      </c>
      <c r="AC708" t="s">
        <v>84</v>
      </c>
      <c r="AD708" t="s">
        <v>66</v>
      </c>
      <c r="AE708" t="s">
        <v>67</v>
      </c>
      <c r="AF708" t="s">
        <v>68</v>
      </c>
      <c r="AG708">
        <v>48024.39</v>
      </c>
      <c r="AH708" t="s">
        <v>69</v>
      </c>
      <c r="AI708" t="s">
        <v>104</v>
      </c>
      <c r="AJ708" t="s">
        <v>177</v>
      </c>
      <c r="AK708" t="s">
        <v>72</v>
      </c>
      <c r="AL708" t="s">
        <v>73</v>
      </c>
      <c r="AM708" t="s">
        <v>73</v>
      </c>
      <c r="AN708" t="s">
        <v>74</v>
      </c>
    </row>
    <row r="709" spans="1:40" x14ac:dyDescent="0.25">
      <c r="A709" t="s">
        <v>2036</v>
      </c>
      <c r="B709" t="s">
        <v>5</v>
      </c>
      <c r="C709">
        <v>364.21744699999999</v>
      </c>
      <c r="D709">
        <v>292.50980499999997</v>
      </c>
      <c r="E709" t="s">
        <v>56</v>
      </c>
      <c r="F709">
        <v>-20205.02</v>
      </c>
      <c r="G709" t="s">
        <v>2036</v>
      </c>
      <c r="H709" t="s">
        <v>7</v>
      </c>
      <c r="I709">
        <v>22713.85</v>
      </c>
      <c r="J709">
        <v>571.97489099999996</v>
      </c>
      <c r="K709">
        <v>485.854196</v>
      </c>
      <c r="L709">
        <v>0</v>
      </c>
      <c r="M709" t="s">
        <v>2036</v>
      </c>
      <c r="N709" t="s">
        <v>57</v>
      </c>
      <c r="O709" t="s">
        <v>58</v>
      </c>
      <c r="P709" t="s">
        <v>2037</v>
      </c>
      <c r="Q709" t="s">
        <v>2038</v>
      </c>
      <c r="R709" t="s">
        <v>61</v>
      </c>
      <c r="S709" t="s">
        <v>58</v>
      </c>
      <c r="T709" t="s">
        <v>2037</v>
      </c>
      <c r="U709" t="s">
        <v>2038</v>
      </c>
      <c r="V709" t="s">
        <v>56</v>
      </c>
      <c r="W709" t="s">
        <v>56</v>
      </c>
      <c r="X709" t="s">
        <v>56</v>
      </c>
      <c r="Y709" t="s">
        <v>62</v>
      </c>
      <c r="Z709" t="s">
        <v>63</v>
      </c>
      <c r="AA709" t="s">
        <v>64</v>
      </c>
      <c r="AB709">
        <v>1</v>
      </c>
      <c r="AC709" t="s">
        <v>84</v>
      </c>
      <c r="AD709" t="s">
        <v>66</v>
      </c>
      <c r="AE709" t="s">
        <v>67</v>
      </c>
      <c r="AF709" t="s">
        <v>68</v>
      </c>
      <c r="AG709">
        <v>44517.4</v>
      </c>
      <c r="AH709" t="s">
        <v>69</v>
      </c>
      <c r="AI709" t="s">
        <v>382</v>
      </c>
      <c r="AJ709" t="s">
        <v>619</v>
      </c>
      <c r="AK709" t="s">
        <v>72</v>
      </c>
      <c r="AL709" t="s">
        <v>73</v>
      </c>
      <c r="AM709" t="s">
        <v>73</v>
      </c>
      <c r="AN709" t="s">
        <v>74</v>
      </c>
    </row>
    <row r="710" spans="1:40" x14ac:dyDescent="0.25">
      <c r="A710" t="s">
        <v>1091</v>
      </c>
      <c r="B710" t="s">
        <v>5</v>
      </c>
      <c r="C710">
        <v>361.13938200000001</v>
      </c>
      <c r="D710">
        <v>306.76361300000002</v>
      </c>
      <c r="E710" t="s">
        <v>56</v>
      </c>
      <c r="F710">
        <v>-22669.81</v>
      </c>
      <c r="G710" t="s">
        <v>1091</v>
      </c>
      <c r="H710" t="s">
        <v>7</v>
      </c>
      <c r="I710">
        <v>26607.35</v>
      </c>
      <c r="J710">
        <v>521.35006399999997</v>
      </c>
      <c r="K710">
        <v>442.851811</v>
      </c>
      <c r="L710">
        <v>0</v>
      </c>
      <c r="M710" t="s">
        <v>1091</v>
      </c>
      <c r="N710" t="s">
        <v>57</v>
      </c>
      <c r="O710" t="s">
        <v>58</v>
      </c>
      <c r="P710" t="s">
        <v>1092</v>
      </c>
      <c r="Q710" t="s">
        <v>1093</v>
      </c>
      <c r="R710" t="s">
        <v>61</v>
      </c>
      <c r="S710" t="s">
        <v>58</v>
      </c>
      <c r="T710" t="s">
        <v>1092</v>
      </c>
      <c r="U710" t="s">
        <v>1093</v>
      </c>
      <c r="V710" t="s">
        <v>56</v>
      </c>
      <c r="W710" t="s">
        <v>56</v>
      </c>
      <c r="X710" t="s">
        <v>56</v>
      </c>
      <c r="Y710" t="s">
        <v>62</v>
      </c>
      <c r="Z710" t="s">
        <v>63</v>
      </c>
      <c r="AA710" t="s">
        <v>64</v>
      </c>
      <c r="AB710">
        <v>1</v>
      </c>
      <c r="AC710" t="s">
        <v>65</v>
      </c>
      <c r="AD710" t="s">
        <v>66</v>
      </c>
      <c r="AE710" t="s">
        <v>67</v>
      </c>
      <c r="AF710" t="s">
        <v>68</v>
      </c>
      <c r="AG710">
        <v>57213.13</v>
      </c>
      <c r="AH710" t="s">
        <v>69</v>
      </c>
      <c r="AI710" t="s">
        <v>79</v>
      </c>
      <c r="AJ710" t="s">
        <v>293</v>
      </c>
      <c r="AK710" t="s">
        <v>72</v>
      </c>
      <c r="AL710" t="s">
        <v>73</v>
      </c>
      <c r="AM710" t="s">
        <v>73</v>
      </c>
      <c r="AN710" t="s">
        <v>74</v>
      </c>
    </row>
    <row r="711" spans="1:40" x14ac:dyDescent="0.25">
      <c r="A711" t="s">
        <v>1863</v>
      </c>
      <c r="B711" t="s">
        <v>5</v>
      </c>
      <c r="C711" s="2">
        <v>360.27347800000001</v>
      </c>
      <c r="D711" t="s">
        <v>56</v>
      </c>
      <c r="E711" t="s">
        <v>56</v>
      </c>
      <c r="F711">
        <v>-5880.46</v>
      </c>
      <c r="G711" t="s">
        <v>1863</v>
      </c>
      <c r="H711" t="s">
        <v>7</v>
      </c>
      <c r="I711">
        <v>7851.79</v>
      </c>
      <c r="J711">
        <v>0</v>
      </c>
      <c r="K711">
        <v>0</v>
      </c>
      <c r="L711">
        <v>0</v>
      </c>
      <c r="M711" t="s">
        <v>1863</v>
      </c>
      <c r="N711" t="s">
        <v>57</v>
      </c>
      <c r="O711" t="s">
        <v>58</v>
      </c>
      <c r="P711" t="s">
        <v>1864</v>
      </c>
      <c r="Q711" t="s">
        <v>1865</v>
      </c>
      <c r="R711" t="s">
        <v>61</v>
      </c>
      <c r="S711" t="s">
        <v>58</v>
      </c>
      <c r="T711" t="s">
        <v>1864</v>
      </c>
      <c r="U711" t="s">
        <v>1865</v>
      </c>
      <c r="V711" t="s">
        <v>56</v>
      </c>
      <c r="W711" t="s">
        <v>56</v>
      </c>
      <c r="X711" t="s">
        <v>56</v>
      </c>
      <c r="Y711" t="s">
        <v>62</v>
      </c>
      <c r="Z711" t="s">
        <v>63</v>
      </c>
      <c r="AA711" t="s">
        <v>64</v>
      </c>
      <c r="AB711">
        <v>1</v>
      </c>
      <c r="AC711" t="s">
        <v>78</v>
      </c>
      <c r="AD711" t="s">
        <v>66</v>
      </c>
      <c r="AE711" t="s">
        <v>85</v>
      </c>
      <c r="AF711" t="s">
        <v>103</v>
      </c>
      <c r="AG711">
        <v>44364.66</v>
      </c>
      <c r="AH711" t="s">
        <v>69</v>
      </c>
      <c r="AI711" t="s">
        <v>253</v>
      </c>
      <c r="AJ711" t="s">
        <v>594</v>
      </c>
      <c r="AK711" t="s">
        <v>72</v>
      </c>
      <c r="AL711" t="s">
        <v>73</v>
      </c>
      <c r="AM711" t="s">
        <v>73</v>
      </c>
      <c r="AN711" t="s">
        <v>56</v>
      </c>
    </row>
    <row r="712" spans="1:40" x14ac:dyDescent="0.25">
      <c r="A712" t="s">
        <v>974</v>
      </c>
      <c r="B712" t="s">
        <v>5</v>
      </c>
      <c r="C712">
        <v>353.036361</v>
      </c>
      <c r="D712">
        <v>299.88064100000003</v>
      </c>
      <c r="E712" t="s">
        <v>56</v>
      </c>
      <c r="F712">
        <v>-10651.57</v>
      </c>
      <c r="G712" t="s">
        <v>974</v>
      </c>
      <c r="H712" t="s">
        <v>7</v>
      </c>
      <c r="I712">
        <v>11922.88</v>
      </c>
      <c r="J712">
        <v>486.04452199999997</v>
      </c>
      <c r="K712">
        <v>412.86212799999998</v>
      </c>
      <c r="L712">
        <v>0</v>
      </c>
      <c r="M712" t="s">
        <v>974</v>
      </c>
      <c r="N712" t="s">
        <v>57</v>
      </c>
      <c r="O712" t="s">
        <v>58</v>
      </c>
      <c r="P712" t="s">
        <v>975</v>
      </c>
      <c r="Q712" t="s">
        <v>976</v>
      </c>
      <c r="R712" t="s">
        <v>61</v>
      </c>
      <c r="S712" t="s">
        <v>58</v>
      </c>
      <c r="T712" t="s">
        <v>975</v>
      </c>
      <c r="U712" t="s">
        <v>976</v>
      </c>
      <c r="V712" t="s">
        <v>56</v>
      </c>
      <c r="W712" t="s">
        <v>56</v>
      </c>
      <c r="X712" t="s">
        <v>56</v>
      </c>
      <c r="Y712" t="s">
        <v>62</v>
      </c>
      <c r="Z712" t="s">
        <v>63</v>
      </c>
      <c r="AA712" t="s">
        <v>64</v>
      </c>
      <c r="AB712">
        <v>1</v>
      </c>
      <c r="AC712" t="s">
        <v>78</v>
      </c>
      <c r="AD712" t="s">
        <v>66</v>
      </c>
      <c r="AE712" t="s">
        <v>67</v>
      </c>
      <c r="AF712" t="s">
        <v>68</v>
      </c>
      <c r="AG712">
        <v>27498.99</v>
      </c>
      <c r="AH712" t="s">
        <v>69</v>
      </c>
      <c r="AI712" t="s">
        <v>297</v>
      </c>
      <c r="AJ712" t="s">
        <v>133</v>
      </c>
      <c r="AK712" t="s">
        <v>72</v>
      </c>
      <c r="AL712" t="s">
        <v>73</v>
      </c>
      <c r="AM712" t="s">
        <v>73</v>
      </c>
      <c r="AN712" t="s">
        <v>74</v>
      </c>
    </row>
    <row r="713" spans="1:40" x14ac:dyDescent="0.25">
      <c r="A713" t="s">
        <v>2146</v>
      </c>
      <c r="B713" t="s">
        <v>5</v>
      </c>
      <c r="C713" s="2">
        <v>350.360792</v>
      </c>
      <c r="D713" t="s">
        <v>56</v>
      </c>
      <c r="E713" t="s">
        <v>56</v>
      </c>
      <c r="F713">
        <v>-3543.39</v>
      </c>
      <c r="G713" t="s">
        <v>2146</v>
      </c>
      <c r="H713" t="s">
        <v>7</v>
      </c>
      <c r="I713">
        <v>6054.7</v>
      </c>
      <c r="J713">
        <v>0</v>
      </c>
      <c r="K713">
        <v>0</v>
      </c>
      <c r="L713">
        <v>0</v>
      </c>
      <c r="M713" t="s">
        <v>2146</v>
      </c>
      <c r="N713" t="s">
        <v>57</v>
      </c>
      <c r="O713" t="s">
        <v>58</v>
      </c>
      <c r="P713" t="s">
        <v>2147</v>
      </c>
      <c r="Q713" t="s">
        <v>2148</v>
      </c>
      <c r="R713" t="s">
        <v>61</v>
      </c>
      <c r="S713" t="s">
        <v>58</v>
      </c>
      <c r="T713" t="s">
        <v>2147</v>
      </c>
      <c r="U713" t="s">
        <v>2148</v>
      </c>
      <c r="V713" t="s">
        <v>56</v>
      </c>
      <c r="W713" t="s">
        <v>56</v>
      </c>
      <c r="X713" t="s">
        <v>56</v>
      </c>
      <c r="Y713" t="s">
        <v>62</v>
      </c>
      <c r="Z713" t="s">
        <v>63</v>
      </c>
      <c r="AA713" t="s">
        <v>64</v>
      </c>
      <c r="AB713">
        <v>1</v>
      </c>
      <c r="AC713" t="s">
        <v>84</v>
      </c>
      <c r="AD713" t="s">
        <v>66</v>
      </c>
      <c r="AE713" t="s">
        <v>85</v>
      </c>
      <c r="AF713" t="s">
        <v>68</v>
      </c>
      <c r="AG713">
        <v>27489.24</v>
      </c>
      <c r="AH713" t="s">
        <v>69</v>
      </c>
      <c r="AI713" t="s">
        <v>132</v>
      </c>
      <c r="AJ713" t="s">
        <v>511</v>
      </c>
      <c r="AK713" t="s">
        <v>72</v>
      </c>
      <c r="AL713" t="s">
        <v>73</v>
      </c>
      <c r="AM713" t="s">
        <v>73</v>
      </c>
      <c r="AN713" t="s">
        <v>56</v>
      </c>
    </row>
    <row r="714" spans="1:40" x14ac:dyDescent="0.25">
      <c r="A714" t="s">
        <v>1523</v>
      </c>
      <c r="B714" t="s">
        <v>5</v>
      </c>
      <c r="C714">
        <v>347.07970499999999</v>
      </c>
      <c r="D714">
        <v>1005.528763</v>
      </c>
      <c r="E714" t="s">
        <v>56</v>
      </c>
      <c r="F714">
        <v>-48046.79</v>
      </c>
      <c r="G714" t="s">
        <v>1523</v>
      </c>
      <c r="H714" t="s">
        <v>7</v>
      </c>
      <c r="I714">
        <v>54721.59</v>
      </c>
      <c r="J714">
        <v>731.39299400000004</v>
      </c>
      <c r="K714">
        <v>933.98908400000005</v>
      </c>
      <c r="L714">
        <v>0</v>
      </c>
      <c r="M714" t="s">
        <v>1523</v>
      </c>
      <c r="N714" t="s">
        <v>57</v>
      </c>
      <c r="O714" t="s">
        <v>58</v>
      </c>
      <c r="P714" t="s">
        <v>1524</v>
      </c>
      <c r="Q714" t="s">
        <v>1525</v>
      </c>
      <c r="R714" t="s">
        <v>61</v>
      </c>
      <c r="S714" t="s">
        <v>58</v>
      </c>
      <c r="T714" t="s">
        <v>1524</v>
      </c>
      <c r="U714" t="s">
        <v>1525</v>
      </c>
      <c r="V714" t="s">
        <v>56</v>
      </c>
      <c r="W714" t="s">
        <v>56</v>
      </c>
      <c r="X714" t="s">
        <v>56</v>
      </c>
      <c r="Y714" t="s">
        <v>62</v>
      </c>
      <c r="Z714" t="s">
        <v>63</v>
      </c>
      <c r="AA714" t="s">
        <v>64</v>
      </c>
      <c r="AB714">
        <v>1</v>
      </c>
      <c r="AC714" t="s">
        <v>65</v>
      </c>
      <c r="AD714" t="s">
        <v>66</v>
      </c>
      <c r="AE714" t="s">
        <v>121</v>
      </c>
      <c r="AF714" t="s">
        <v>68</v>
      </c>
      <c r="AG714">
        <v>71073.17</v>
      </c>
      <c r="AH714" t="s">
        <v>69</v>
      </c>
      <c r="AI714" t="s">
        <v>216</v>
      </c>
      <c r="AJ714" t="s">
        <v>619</v>
      </c>
      <c r="AK714" t="s">
        <v>72</v>
      </c>
      <c r="AL714" t="s">
        <v>73</v>
      </c>
      <c r="AM714" t="s">
        <v>73</v>
      </c>
      <c r="AN714" t="s">
        <v>124</v>
      </c>
    </row>
    <row r="715" spans="1:40" x14ac:dyDescent="0.25">
      <c r="A715" t="s">
        <v>320</v>
      </c>
      <c r="B715" t="s">
        <v>5</v>
      </c>
      <c r="C715">
        <v>339.818195</v>
      </c>
      <c r="D715">
        <v>189.067789</v>
      </c>
      <c r="E715" t="s">
        <v>56</v>
      </c>
      <c r="F715">
        <v>-20350.21</v>
      </c>
      <c r="G715" t="s">
        <v>320</v>
      </c>
      <c r="H715" t="s">
        <v>7</v>
      </c>
      <c r="I715">
        <v>23216.94</v>
      </c>
      <c r="J715">
        <v>255.48956899999999</v>
      </c>
      <c r="K715">
        <v>217.02120400000001</v>
      </c>
      <c r="L715">
        <v>0</v>
      </c>
      <c r="M715" t="s">
        <v>320</v>
      </c>
      <c r="N715" t="s">
        <v>57</v>
      </c>
      <c r="O715" t="s">
        <v>58</v>
      </c>
      <c r="P715" t="s">
        <v>321</v>
      </c>
      <c r="Q715" t="s">
        <v>322</v>
      </c>
      <c r="R715" t="s">
        <v>61</v>
      </c>
      <c r="S715" t="s">
        <v>58</v>
      </c>
      <c r="T715" t="s">
        <v>321</v>
      </c>
      <c r="U715" t="s">
        <v>322</v>
      </c>
      <c r="V715" t="s">
        <v>56</v>
      </c>
      <c r="W715" t="s">
        <v>56</v>
      </c>
      <c r="X715" t="s">
        <v>56</v>
      </c>
      <c r="Y715" t="s">
        <v>62</v>
      </c>
      <c r="Z715" t="s">
        <v>63</v>
      </c>
      <c r="AA715" t="s">
        <v>64</v>
      </c>
      <c r="AB715">
        <v>1</v>
      </c>
      <c r="AC715" t="s">
        <v>65</v>
      </c>
      <c r="AD715" t="s">
        <v>66</v>
      </c>
      <c r="AE715" t="s">
        <v>67</v>
      </c>
      <c r="AF715" t="s">
        <v>68</v>
      </c>
      <c r="AG715">
        <v>101869.92</v>
      </c>
      <c r="AH715" t="s">
        <v>69</v>
      </c>
      <c r="AI715" t="s">
        <v>323</v>
      </c>
      <c r="AJ715" t="s">
        <v>324</v>
      </c>
      <c r="AK715" t="s">
        <v>72</v>
      </c>
      <c r="AL715" t="s">
        <v>73</v>
      </c>
      <c r="AM715" t="s">
        <v>73</v>
      </c>
      <c r="AN715" t="s">
        <v>74</v>
      </c>
    </row>
    <row r="716" spans="1:40" x14ac:dyDescent="0.25">
      <c r="A716" t="s">
        <v>1119</v>
      </c>
      <c r="B716" t="s">
        <v>5</v>
      </c>
      <c r="C716">
        <v>338.54495900000001</v>
      </c>
      <c r="D716">
        <v>432.32202000000001</v>
      </c>
      <c r="E716" t="s">
        <v>56</v>
      </c>
      <c r="F716">
        <v>-17159.77</v>
      </c>
      <c r="G716" t="s">
        <v>1119</v>
      </c>
      <c r="H716" t="s">
        <v>7</v>
      </c>
      <c r="I716">
        <v>22089.71</v>
      </c>
      <c r="J716">
        <v>435.79347899999999</v>
      </c>
      <c r="K716">
        <v>556.50841000000003</v>
      </c>
      <c r="L716">
        <v>0</v>
      </c>
      <c r="M716" t="s">
        <v>1119</v>
      </c>
      <c r="N716" t="s">
        <v>57</v>
      </c>
      <c r="O716" t="s">
        <v>58</v>
      </c>
      <c r="P716" t="s">
        <v>1120</v>
      </c>
      <c r="Q716" t="s">
        <v>1121</v>
      </c>
      <c r="R716" t="s">
        <v>61</v>
      </c>
      <c r="S716" t="s">
        <v>58</v>
      </c>
      <c r="T716" t="s">
        <v>1120</v>
      </c>
      <c r="U716" t="s">
        <v>1121</v>
      </c>
      <c r="V716" t="s">
        <v>56</v>
      </c>
      <c r="W716" t="s">
        <v>56</v>
      </c>
      <c r="X716" t="s">
        <v>56</v>
      </c>
      <c r="Y716" t="s">
        <v>62</v>
      </c>
      <c r="Z716" t="s">
        <v>63</v>
      </c>
      <c r="AA716" t="s">
        <v>64</v>
      </c>
      <c r="AB716">
        <v>1</v>
      </c>
      <c r="AC716" t="s">
        <v>84</v>
      </c>
      <c r="AD716" t="s">
        <v>66</v>
      </c>
      <c r="AE716" t="s">
        <v>121</v>
      </c>
      <c r="AF716" t="s">
        <v>68</v>
      </c>
      <c r="AG716">
        <v>48150</v>
      </c>
      <c r="AH716" t="s">
        <v>69</v>
      </c>
      <c r="AI716" t="s">
        <v>323</v>
      </c>
      <c r="AJ716" t="s">
        <v>1122</v>
      </c>
      <c r="AK716" t="s">
        <v>99</v>
      </c>
      <c r="AL716" t="s">
        <v>73</v>
      </c>
      <c r="AM716" t="s">
        <v>73</v>
      </c>
      <c r="AN716" t="s">
        <v>124</v>
      </c>
    </row>
    <row r="717" spans="1:40" x14ac:dyDescent="0.25">
      <c r="A717" t="s">
        <v>1000</v>
      </c>
      <c r="B717" t="s">
        <v>5</v>
      </c>
      <c r="C717">
        <v>337.24286799999999</v>
      </c>
      <c r="D717">
        <v>286.46513099999999</v>
      </c>
      <c r="E717" t="s">
        <v>56</v>
      </c>
      <c r="F717">
        <v>-12946.87</v>
      </c>
      <c r="G717" t="s">
        <v>1000</v>
      </c>
      <c r="H717" t="s">
        <v>7</v>
      </c>
      <c r="I717">
        <v>15201.26</v>
      </c>
      <c r="J717">
        <v>487.03105499999998</v>
      </c>
      <c r="K717">
        <v>413.70012100000002</v>
      </c>
      <c r="L717">
        <v>0</v>
      </c>
      <c r="M717" t="s">
        <v>1000</v>
      </c>
      <c r="N717" t="s">
        <v>57</v>
      </c>
      <c r="O717" t="s">
        <v>58</v>
      </c>
      <c r="P717" t="s">
        <v>1001</v>
      </c>
      <c r="Q717" t="s">
        <v>1002</v>
      </c>
      <c r="R717" t="s">
        <v>61</v>
      </c>
      <c r="S717" t="s">
        <v>58</v>
      </c>
      <c r="T717" t="s">
        <v>1001</v>
      </c>
      <c r="U717" t="s">
        <v>1002</v>
      </c>
      <c r="V717" t="s">
        <v>56</v>
      </c>
      <c r="W717" t="s">
        <v>56</v>
      </c>
      <c r="X717" t="s">
        <v>56</v>
      </c>
      <c r="Y717" t="s">
        <v>62</v>
      </c>
      <c r="Z717" t="s">
        <v>63</v>
      </c>
      <c r="AA717" t="s">
        <v>64</v>
      </c>
      <c r="AB717">
        <v>1</v>
      </c>
      <c r="AC717" t="s">
        <v>84</v>
      </c>
      <c r="AD717" t="s">
        <v>66</v>
      </c>
      <c r="AE717" t="s">
        <v>67</v>
      </c>
      <c r="AF717" t="s">
        <v>68</v>
      </c>
      <c r="AG717">
        <v>34990.120000000003</v>
      </c>
      <c r="AH717" t="s">
        <v>69</v>
      </c>
      <c r="AI717" t="s">
        <v>87</v>
      </c>
      <c r="AJ717" t="s">
        <v>928</v>
      </c>
      <c r="AK717" t="s">
        <v>72</v>
      </c>
      <c r="AL717" t="s">
        <v>73</v>
      </c>
      <c r="AM717" t="s">
        <v>73</v>
      </c>
      <c r="AN717" t="s">
        <v>74</v>
      </c>
    </row>
    <row r="718" spans="1:40" x14ac:dyDescent="0.25">
      <c r="A718" t="s">
        <v>2142</v>
      </c>
      <c r="B718" t="s">
        <v>5</v>
      </c>
      <c r="C718">
        <v>334.27878500000003</v>
      </c>
      <c r="D718">
        <v>283.94734299999999</v>
      </c>
      <c r="E718" t="s">
        <v>56</v>
      </c>
      <c r="F718">
        <v>-18335.86</v>
      </c>
      <c r="G718" t="s">
        <v>2142</v>
      </c>
      <c r="H718" t="s">
        <v>7</v>
      </c>
      <c r="I718">
        <v>21298.54</v>
      </c>
      <c r="J718">
        <v>477.592851</v>
      </c>
      <c r="K718">
        <v>405.68300199999999</v>
      </c>
      <c r="L718">
        <v>0</v>
      </c>
      <c r="M718" t="s">
        <v>2142</v>
      </c>
      <c r="N718" t="s">
        <v>57</v>
      </c>
      <c r="O718" t="s">
        <v>58</v>
      </c>
      <c r="P718" t="s">
        <v>2143</v>
      </c>
      <c r="Q718" t="s">
        <v>452</v>
      </c>
      <c r="R718" t="s">
        <v>61</v>
      </c>
      <c r="S718" t="s">
        <v>58</v>
      </c>
      <c r="T718" t="s">
        <v>2143</v>
      </c>
      <c r="U718" t="s">
        <v>452</v>
      </c>
      <c r="V718" t="s">
        <v>56</v>
      </c>
      <c r="W718" t="s">
        <v>56</v>
      </c>
      <c r="X718" t="s">
        <v>56</v>
      </c>
      <c r="Y718" t="s">
        <v>62</v>
      </c>
      <c r="Z718" t="s">
        <v>63</v>
      </c>
      <c r="AA718" t="s">
        <v>64</v>
      </c>
      <c r="AB718">
        <v>1</v>
      </c>
      <c r="AC718" t="s">
        <v>147</v>
      </c>
      <c r="AD718" t="s">
        <v>66</v>
      </c>
      <c r="AE718" t="s">
        <v>67</v>
      </c>
      <c r="AF718" t="s">
        <v>68</v>
      </c>
      <c r="AG718">
        <v>49993.79</v>
      </c>
      <c r="AH718" t="s">
        <v>69</v>
      </c>
      <c r="AI718" t="s">
        <v>285</v>
      </c>
      <c r="AJ718" t="s">
        <v>209</v>
      </c>
      <c r="AK718" t="s">
        <v>72</v>
      </c>
      <c r="AL718" t="s">
        <v>73</v>
      </c>
      <c r="AM718" t="s">
        <v>73</v>
      </c>
      <c r="AN718" t="s">
        <v>74</v>
      </c>
    </row>
    <row r="719" spans="1:40" x14ac:dyDescent="0.25">
      <c r="A719" t="s">
        <v>1765</v>
      </c>
      <c r="B719" t="s">
        <v>5</v>
      </c>
      <c r="C719">
        <v>332.963908</v>
      </c>
      <c r="D719">
        <v>579.36539300000004</v>
      </c>
      <c r="E719" t="s">
        <v>56</v>
      </c>
      <c r="F719">
        <v>-35441.050000000003</v>
      </c>
      <c r="G719" t="s">
        <v>1765</v>
      </c>
      <c r="H719" t="s">
        <v>7</v>
      </c>
      <c r="I719">
        <v>43332.79</v>
      </c>
      <c r="J719">
        <v>614.90812500000004</v>
      </c>
      <c r="K719">
        <v>522.32308999999998</v>
      </c>
      <c r="L719">
        <v>0</v>
      </c>
      <c r="M719" t="s">
        <v>1765</v>
      </c>
      <c r="N719" t="s">
        <v>57</v>
      </c>
      <c r="O719" t="s">
        <v>58</v>
      </c>
      <c r="P719" t="s">
        <v>1766</v>
      </c>
      <c r="Q719" t="s">
        <v>1767</v>
      </c>
      <c r="R719" t="s">
        <v>61</v>
      </c>
      <c r="S719" t="s">
        <v>58</v>
      </c>
      <c r="T719" t="s">
        <v>1766</v>
      </c>
      <c r="U719" t="s">
        <v>1767</v>
      </c>
      <c r="V719" t="s">
        <v>56</v>
      </c>
      <c r="W719" t="s">
        <v>56</v>
      </c>
      <c r="X719" t="s">
        <v>56</v>
      </c>
      <c r="Y719" t="s">
        <v>62</v>
      </c>
      <c r="Z719" t="s">
        <v>63</v>
      </c>
      <c r="AA719" t="s">
        <v>64</v>
      </c>
      <c r="AB719">
        <v>1</v>
      </c>
      <c r="AC719" t="s">
        <v>78</v>
      </c>
      <c r="AD719" t="s">
        <v>66</v>
      </c>
      <c r="AE719" t="s">
        <v>67</v>
      </c>
      <c r="AF719" t="s">
        <v>103</v>
      </c>
      <c r="AG719">
        <v>79000</v>
      </c>
      <c r="AH719" t="s">
        <v>69</v>
      </c>
      <c r="AI719" t="s">
        <v>536</v>
      </c>
      <c r="AJ719" t="s">
        <v>1768</v>
      </c>
      <c r="AK719" t="s">
        <v>99</v>
      </c>
      <c r="AL719" t="s">
        <v>73</v>
      </c>
      <c r="AM719" t="s">
        <v>73</v>
      </c>
      <c r="AN719" t="s">
        <v>74</v>
      </c>
    </row>
    <row r="720" spans="1:40" x14ac:dyDescent="0.25">
      <c r="A720" t="s">
        <v>900</v>
      </c>
      <c r="B720" t="s">
        <v>5</v>
      </c>
      <c r="C720">
        <v>330.07519400000001</v>
      </c>
      <c r="D720">
        <v>956.26479099999995</v>
      </c>
      <c r="E720" t="s">
        <v>56</v>
      </c>
      <c r="F720">
        <v>-43643.92</v>
      </c>
      <c r="G720" t="s">
        <v>900</v>
      </c>
      <c r="H720" t="s">
        <v>7</v>
      </c>
      <c r="I720">
        <v>49714.74</v>
      </c>
      <c r="J720">
        <v>695.66433700000005</v>
      </c>
      <c r="K720">
        <v>888.36357799999996</v>
      </c>
      <c r="L720">
        <v>0</v>
      </c>
      <c r="M720" t="s">
        <v>900</v>
      </c>
      <c r="N720" t="s">
        <v>57</v>
      </c>
      <c r="O720" t="s">
        <v>58</v>
      </c>
      <c r="P720" t="s">
        <v>901</v>
      </c>
      <c r="Q720" t="s">
        <v>902</v>
      </c>
      <c r="R720" t="s">
        <v>61</v>
      </c>
      <c r="S720" t="s">
        <v>58</v>
      </c>
      <c r="T720" t="s">
        <v>901</v>
      </c>
      <c r="U720" t="s">
        <v>902</v>
      </c>
      <c r="V720" t="s">
        <v>56</v>
      </c>
      <c r="W720" t="s">
        <v>56</v>
      </c>
      <c r="X720" t="s">
        <v>56</v>
      </c>
      <c r="Y720" t="s">
        <v>62</v>
      </c>
      <c r="Z720" t="s">
        <v>63</v>
      </c>
      <c r="AA720" t="s">
        <v>64</v>
      </c>
      <c r="AB720">
        <v>1</v>
      </c>
      <c r="AC720" t="s">
        <v>84</v>
      </c>
      <c r="AD720" t="s">
        <v>66</v>
      </c>
      <c r="AE720" t="s">
        <v>121</v>
      </c>
      <c r="AF720" t="s">
        <v>68</v>
      </c>
      <c r="AG720">
        <v>67886.179999999993</v>
      </c>
      <c r="AH720" t="s">
        <v>69</v>
      </c>
      <c r="AI720" t="s">
        <v>216</v>
      </c>
      <c r="AJ720" t="s">
        <v>80</v>
      </c>
      <c r="AK720" t="s">
        <v>72</v>
      </c>
      <c r="AL720" t="s">
        <v>73</v>
      </c>
      <c r="AM720" t="s">
        <v>73</v>
      </c>
      <c r="AN720" t="s">
        <v>124</v>
      </c>
    </row>
    <row r="721" spans="1:40" x14ac:dyDescent="0.25">
      <c r="A721" t="s">
        <v>755</v>
      </c>
      <c r="B721" t="s">
        <v>5</v>
      </c>
      <c r="C721" s="2">
        <v>325.87569200000002</v>
      </c>
      <c r="D721">
        <v>944.09836299999995</v>
      </c>
      <c r="E721" t="s">
        <v>56</v>
      </c>
      <c r="F721">
        <v>-51056.13</v>
      </c>
      <c r="G721" t="s">
        <v>755</v>
      </c>
      <c r="H721" t="s">
        <v>7</v>
      </c>
      <c r="I721">
        <v>57111.32</v>
      </c>
      <c r="J721">
        <v>0</v>
      </c>
      <c r="K721">
        <v>0</v>
      </c>
      <c r="L721">
        <v>0</v>
      </c>
      <c r="M721" t="s">
        <v>755</v>
      </c>
      <c r="N721" t="s">
        <v>57</v>
      </c>
      <c r="O721" t="s">
        <v>58</v>
      </c>
      <c r="P721" t="s">
        <v>756</v>
      </c>
      <c r="Q721" t="s">
        <v>757</v>
      </c>
      <c r="R721" t="s">
        <v>61</v>
      </c>
      <c r="S721" t="s">
        <v>58</v>
      </c>
      <c r="T721" t="s">
        <v>756</v>
      </c>
      <c r="U721" t="s">
        <v>757</v>
      </c>
      <c r="V721" t="s">
        <v>56</v>
      </c>
      <c r="W721" t="s">
        <v>56</v>
      </c>
      <c r="X721" t="s">
        <v>56</v>
      </c>
      <c r="Y721" t="s">
        <v>62</v>
      </c>
      <c r="Z721" t="s">
        <v>63</v>
      </c>
      <c r="AA721" t="s">
        <v>64</v>
      </c>
      <c r="AB721">
        <v>1</v>
      </c>
      <c r="AC721" t="s">
        <v>84</v>
      </c>
      <c r="AD721" t="s">
        <v>66</v>
      </c>
      <c r="AE721" t="s">
        <v>289</v>
      </c>
      <c r="AF721" t="s">
        <v>68</v>
      </c>
      <c r="AG721">
        <v>81098.36</v>
      </c>
      <c r="AH721" t="s">
        <v>69</v>
      </c>
      <c r="AI721" t="s">
        <v>382</v>
      </c>
      <c r="AJ721" t="s">
        <v>93</v>
      </c>
      <c r="AK721" t="s">
        <v>72</v>
      </c>
      <c r="AL721" t="s">
        <v>73</v>
      </c>
      <c r="AM721" t="s">
        <v>73</v>
      </c>
      <c r="AN721" t="s">
        <v>56</v>
      </c>
    </row>
    <row r="722" spans="1:40" x14ac:dyDescent="0.25">
      <c r="A722" t="s">
        <v>869</v>
      </c>
      <c r="B722" t="s">
        <v>5</v>
      </c>
      <c r="C722" s="2">
        <v>324.96224999999998</v>
      </c>
      <c r="D722" t="s">
        <v>56</v>
      </c>
      <c r="E722" t="s">
        <v>56</v>
      </c>
      <c r="F722">
        <v>-5553.71</v>
      </c>
      <c r="G722" t="s">
        <v>869</v>
      </c>
      <c r="H722" t="s">
        <v>7</v>
      </c>
      <c r="I722">
        <v>8608.68</v>
      </c>
      <c r="J722">
        <v>0</v>
      </c>
      <c r="K722">
        <v>0</v>
      </c>
      <c r="L722">
        <v>0</v>
      </c>
      <c r="M722" t="s">
        <v>869</v>
      </c>
      <c r="N722" t="s">
        <v>57</v>
      </c>
      <c r="O722" t="s">
        <v>58</v>
      </c>
      <c r="P722" t="s">
        <v>870</v>
      </c>
      <c r="Q722" t="s">
        <v>871</v>
      </c>
      <c r="R722" t="s">
        <v>61</v>
      </c>
      <c r="S722" t="s">
        <v>58</v>
      </c>
      <c r="T722" t="s">
        <v>870</v>
      </c>
      <c r="U722" t="s">
        <v>871</v>
      </c>
      <c r="V722" t="s">
        <v>56</v>
      </c>
      <c r="W722" t="s">
        <v>56</v>
      </c>
      <c r="X722" t="s">
        <v>56</v>
      </c>
      <c r="Y722" t="s">
        <v>62</v>
      </c>
      <c r="Z722" t="s">
        <v>63</v>
      </c>
      <c r="AA722" t="s">
        <v>64</v>
      </c>
      <c r="AB722">
        <v>1</v>
      </c>
      <c r="AC722" t="s">
        <v>84</v>
      </c>
      <c r="AD722" t="s">
        <v>66</v>
      </c>
      <c r="AE722" t="s">
        <v>85</v>
      </c>
      <c r="AF722" t="s">
        <v>68</v>
      </c>
      <c r="AG722">
        <v>46452.7</v>
      </c>
      <c r="AH722" t="s">
        <v>69</v>
      </c>
      <c r="AI722" t="s">
        <v>176</v>
      </c>
      <c r="AJ722" t="s">
        <v>872</v>
      </c>
      <c r="AK722" t="s">
        <v>72</v>
      </c>
      <c r="AL722" t="s">
        <v>73</v>
      </c>
      <c r="AM722" t="s">
        <v>73</v>
      </c>
      <c r="AN722" t="s">
        <v>56</v>
      </c>
    </row>
    <row r="723" spans="1:40" x14ac:dyDescent="0.25">
      <c r="A723" t="s">
        <v>2447</v>
      </c>
      <c r="B723" t="s">
        <v>5</v>
      </c>
      <c r="C723" s="2">
        <v>324.07629400000002</v>
      </c>
      <c r="D723" t="s">
        <v>56</v>
      </c>
      <c r="E723" t="s">
        <v>56</v>
      </c>
      <c r="F723">
        <v>-4313.63</v>
      </c>
      <c r="G723" t="s">
        <v>2447</v>
      </c>
      <c r="H723" t="s">
        <v>7</v>
      </c>
      <c r="I723">
        <v>8483.86</v>
      </c>
      <c r="J723">
        <v>0</v>
      </c>
      <c r="K723">
        <v>0</v>
      </c>
      <c r="L723">
        <v>0</v>
      </c>
      <c r="M723" t="s">
        <v>2447</v>
      </c>
      <c r="N723" t="s">
        <v>57</v>
      </c>
      <c r="O723" t="s">
        <v>58</v>
      </c>
      <c r="P723" t="s">
        <v>2448</v>
      </c>
      <c r="Q723" t="s">
        <v>446</v>
      </c>
      <c r="R723" t="s">
        <v>61</v>
      </c>
      <c r="S723" t="s">
        <v>58</v>
      </c>
      <c r="T723" t="s">
        <v>2448</v>
      </c>
      <c r="U723" t="s">
        <v>446</v>
      </c>
      <c r="V723" t="s">
        <v>56</v>
      </c>
      <c r="W723" t="s">
        <v>56</v>
      </c>
      <c r="X723" t="s">
        <v>56</v>
      </c>
      <c r="Y723" t="s">
        <v>62</v>
      </c>
      <c r="Z723" t="s">
        <v>63</v>
      </c>
      <c r="AA723" t="s">
        <v>64</v>
      </c>
      <c r="AB723">
        <v>1</v>
      </c>
      <c r="AC723" t="s">
        <v>65</v>
      </c>
      <c r="AD723" t="s">
        <v>66</v>
      </c>
      <c r="AE723" t="s">
        <v>85</v>
      </c>
      <c r="AF723" t="s">
        <v>103</v>
      </c>
      <c r="AG723">
        <v>36178.86</v>
      </c>
      <c r="AH723" t="s">
        <v>69</v>
      </c>
      <c r="AI723" t="s">
        <v>244</v>
      </c>
      <c r="AJ723" t="s">
        <v>581</v>
      </c>
      <c r="AK723" t="s">
        <v>72</v>
      </c>
      <c r="AL723" t="s">
        <v>73</v>
      </c>
      <c r="AM723" t="s">
        <v>73</v>
      </c>
      <c r="AN723" t="s">
        <v>56</v>
      </c>
    </row>
    <row r="724" spans="1:40" x14ac:dyDescent="0.25">
      <c r="A724" t="s">
        <v>1421</v>
      </c>
      <c r="B724" t="s">
        <v>5</v>
      </c>
      <c r="C724">
        <v>317.91242999999997</v>
      </c>
      <c r="D724">
        <v>270.04522500000002</v>
      </c>
      <c r="E724" t="s">
        <v>56</v>
      </c>
      <c r="F724">
        <v>-12150.04</v>
      </c>
      <c r="G724" t="s">
        <v>1421</v>
      </c>
      <c r="H724" t="s">
        <v>7</v>
      </c>
      <c r="I724">
        <v>16891.02</v>
      </c>
      <c r="J724">
        <v>543.61655699999994</v>
      </c>
      <c r="K724">
        <v>461.76569899999998</v>
      </c>
      <c r="L724">
        <v>0</v>
      </c>
      <c r="M724" t="s">
        <v>1421</v>
      </c>
      <c r="N724" t="s">
        <v>57</v>
      </c>
      <c r="O724" t="s">
        <v>58</v>
      </c>
      <c r="P724" t="s">
        <v>1422</v>
      </c>
      <c r="Q724" t="s">
        <v>1423</v>
      </c>
      <c r="R724" t="s">
        <v>61</v>
      </c>
      <c r="S724" t="s">
        <v>58</v>
      </c>
      <c r="T724" t="s">
        <v>1422</v>
      </c>
      <c r="U724" t="s">
        <v>1423</v>
      </c>
      <c r="V724" t="s">
        <v>56</v>
      </c>
      <c r="W724" t="s">
        <v>56</v>
      </c>
      <c r="X724" t="s">
        <v>56</v>
      </c>
      <c r="Y724" t="s">
        <v>62</v>
      </c>
      <c r="Z724" t="s">
        <v>63</v>
      </c>
      <c r="AA724" t="s">
        <v>64</v>
      </c>
      <c r="AB724">
        <v>1</v>
      </c>
      <c r="AC724" t="s">
        <v>65</v>
      </c>
      <c r="AD724" t="s">
        <v>66</v>
      </c>
      <c r="AE724" t="s">
        <v>67</v>
      </c>
      <c r="AF724" t="s">
        <v>68</v>
      </c>
      <c r="AG724">
        <v>34833.24</v>
      </c>
      <c r="AH724" t="s">
        <v>69</v>
      </c>
      <c r="AI724" t="s">
        <v>79</v>
      </c>
      <c r="AJ724" t="s">
        <v>109</v>
      </c>
      <c r="AK724" t="s">
        <v>72</v>
      </c>
      <c r="AL724" t="s">
        <v>73</v>
      </c>
      <c r="AM724" t="s">
        <v>73</v>
      </c>
      <c r="AN724" t="s">
        <v>74</v>
      </c>
    </row>
    <row r="725" spans="1:40" x14ac:dyDescent="0.25">
      <c r="A725" t="s">
        <v>1502</v>
      </c>
      <c r="B725" t="s">
        <v>5</v>
      </c>
      <c r="C725">
        <v>312.73649699999999</v>
      </c>
      <c r="D725">
        <v>265.648617</v>
      </c>
      <c r="E725" t="s">
        <v>56</v>
      </c>
      <c r="F725">
        <v>-22741.15</v>
      </c>
      <c r="G725" t="s">
        <v>1502</v>
      </c>
      <c r="H725" t="s">
        <v>7</v>
      </c>
      <c r="I725">
        <v>25912.39</v>
      </c>
      <c r="J725">
        <v>438.301941</v>
      </c>
      <c r="K725">
        <v>372.30801700000001</v>
      </c>
      <c r="L725">
        <v>0</v>
      </c>
      <c r="M725" t="s">
        <v>1502</v>
      </c>
      <c r="N725" t="s">
        <v>57</v>
      </c>
      <c r="O725" t="s">
        <v>58</v>
      </c>
      <c r="P725" t="s">
        <v>1503</v>
      </c>
      <c r="Q725" t="s">
        <v>1504</v>
      </c>
      <c r="R725" t="s">
        <v>61</v>
      </c>
      <c r="S725" t="s">
        <v>58</v>
      </c>
      <c r="T725" t="s">
        <v>1503</v>
      </c>
      <c r="U725" t="s">
        <v>1504</v>
      </c>
      <c r="V725" t="s">
        <v>56</v>
      </c>
      <c r="W725" t="s">
        <v>56</v>
      </c>
      <c r="X725" t="s">
        <v>56</v>
      </c>
      <c r="Y725" t="s">
        <v>62</v>
      </c>
      <c r="Z725" t="s">
        <v>63</v>
      </c>
      <c r="AA725" t="s">
        <v>64</v>
      </c>
      <c r="AB725">
        <v>1</v>
      </c>
      <c r="AC725" t="s">
        <v>120</v>
      </c>
      <c r="AD725" t="s">
        <v>66</v>
      </c>
      <c r="AE725" t="s">
        <v>67</v>
      </c>
      <c r="AF725" t="s">
        <v>86</v>
      </c>
      <c r="AG725">
        <v>66276.17</v>
      </c>
      <c r="AH725" t="s">
        <v>69</v>
      </c>
      <c r="AI725" t="s">
        <v>297</v>
      </c>
      <c r="AJ725" t="s">
        <v>943</v>
      </c>
      <c r="AK725" t="s">
        <v>72</v>
      </c>
      <c r="AL725" t="s">
        <v>73</v>
      </c>
      <c r="AM725" t="s">
        <v>73</v>
      </c>
      <c r="AN725" t="s">
        <v>74</v>
      </c>
    </row>
    <row r="726" spans="1:40" x14ac:dyDescent="0.25">
      <c r="A726" t="s">
        <v>89</v>
      </c>
      <c r="B726" t="s">
        <v>5</v>
      </c>
      <c r="C726">
        <v>310.57939800000003</v>
      </c>
      <c r="D726">
        <v>536.10419100000001</v>
      </c>
      <c r="E726" t="s">
        <v>56</v>
      </c>
      <c r="F726">
        <v>-20954.86</v>
      </c>
      <c r="G726" t="s">
        <v>89</v>
      </c>
      <c r="H726" t="s">
        <v>7</v>
      </c>
      <c r="I726">
        <v>23478.07</v>
      </c>
      <c r="J726">
        <v>775.42485599999998</v>
      </c>
      <c r="K726">
        <v>658.67125599999997</v>
      </c>
      <c r="L726">
        <v>0</v>
      </c>
      <c r="M726" t="s">
        <v>89</v>
      </c>
      <c r="N726" t="s">
        <v>57</v>
      </c>
      <c r="O726" t="s">
        <v>58</v>
      </c>
      <c r="P726" t="s">
        <v>90</v>
      </c>
      <c r="Q726" t="s">
        <v>91</v>
      </c>
      <c r="R726" t="s">
        <v>61</v>
      </c>
      <c r="S726" t="s">
        <v>58</v>
      </c>
      <c r="T726" t="s">
        <v>90</v>
      </c>
      <c r="U726" t="s">
        <v>91</v>
      </c>
      <c r="V726" t="s">
        <v>56</v>
      </c>
      <c r="W726" t="s">
        <v>56</v>
      </c>
      <c r="X726" t="s">
        <v>56</v>
      </c>
      <c r="Y726" t="s">
        <v>62</v>
      </c>
      <c r="Z726" t="s">
        <v>63</v>
      </c>
      <c r="AA726" t="s">
        <v>64</v>
      </c>
      <c r="AB726">
        <v>1</v>
      </c>
      <c r="AC726" t="s">
        <v>78</v>
      </c>
      <c r="AD726" t="s">
        <v>66</v>
      </c>
      <c r="AE726" t="s">
        <v>67</v>
      </c>
      <c r="AF726" t="s">
        <v>68</v>
      </c>
      <c r="AG726">
        <v>33943.089999999997</v>
      </c>
      <c r="AH726" t="s">
        <v>69</v>
      </c>
      <c r="AI726" t="s">
        <v>92</v>
      </c>
      <c r="AJ726" t="s">
        <v>93</v>
      </c>
      <c r="AK726" t="s">
        <v>72</v>
      </c>
      <c r="AL726" t="s">
        <v>73</v>
      </c>
      <c r="AM726" t="s">
        <v>73</v>
      </c>
      <c r="AN726" t="s">
        <v>74</v>
      </c>
    </row>
    <row r="727" spans="1:40" x14ac:dyDescent="0.25">
      <c r="A727" t="s">
        <v>804</v>
      </c>
      <c r="B727" t="s">
        <v>5</v>
      </c>
      <c r="C727">
        <v>306.58076</v>
      </c>
      <c r="D727">
        <v>529.20197499999995</v>
      </c>
      <c r="E727" t="s">
        <v>56</v>
      </c>
      <c r="F727">
        <v>-21526.59</v>
      </c>
      <c r="G727" t="s">
        <v>804</v>
      </c>
      <c r="H727" t="s">
        <v>7</v>
      </c>
      <c r="I727">
        <v>23731.7</v>
      </c>
      <c r="J727">
        <v>753.13818300000003</v>
      </c>
      <c r="K727">
        <v>639.740227</v>
      </c>
      <c r="L727">
        <v>0</v>
      </c>
      <c r="M727" t="s">
        <v>804</v>
      </c>
      <c r="N727" t="s">
        <v>57</v>
      </c>
      <c r="O727" t="s">
        <v>58</v>
      </c>
      <c r="P727" t="s">
        <v>805</v>
      </c>
      <c r="Q727" t="s">
        <v>806</v>
      </c>
      <c r="R727" t="s">
        <v>61</v>
      </c>
      <c r="S727" t="s">
        <v>58</v>
      </c>
      <c r="T727" t="s">
        <v>805</v>
      </c>
      <c r="U727" t="s">
        <v>806</v>
      </c>
      <c r="V727" t="s">
        <v>56</v>
      </c>
      <c r="W727" t="s">
        <v>56</v>
      </c>
      <c r="X727" t="s">
        <v>56</v>
      </c>
      <c r="Y727" t="s">
        <v>62</v>
      </c>
      <c r="Z727" t="s">
        <v>63</v>
      </c>
      <c r="AA727" t="s">
        <v>64</v>
      </c>
      <c r="AB727">
        <v>1</v>
      </c>
      <c r="AC727" t="s">
        <v>78</v>
      </c>
      <c r="AD727" t="s">
        <v>66</v>
      </c>
      <c r="AE727" t="s">
        <v>67</v>
      </c>
      <c r="AF727" t="s">
        <v>68</v>
      </c>
      <c r="AG727">
        <v>35324.019999999997</v>
      </c>
      <c r="AH727" t="s">
        <v>69</v>
      </c>
      <c r="AI727" t="s">
        <v>92</v>
      </c>
      <c r="AJ727" t="s">
        <v>93</v>
      </c>
      <c r="AK727" t="s">
        <v>280</v>
      </c>
      <c r="AL727" t="s">
        <v>73</v>
      </c>
      <c r="AM727" t="s">
        <v>73</v>
      </c>
      <c r="AN727" t="s">
        <v>74</v>
      </c>
    </row>
    <row r="728" spans="1:40" x14ac:dyDescent="0.25">
      <c r="A728" t="s">
        <v>873</v>
      </c>
      <c r="B728" t="s">
        <v>5</v>
      </c>
      <c r="C728">
        <v>303.44403</v>
      </c>
      <c r="D728">
        <v>257.75529299999999</v>
      </c>
      <c r="E728" t="s">
        <v>56</v>
      </c>
      <c r="F728">
        <v>-16571.41</v>
      </c>
      <c r="G728" t="s">
        <v>873</v>
      </c>
      <c r="H728" t="s">
        <v>7</v>
      </c>
      <c r="I728">
        <v>19155.38</v>
      </c>
      <c r="J728">
        <v>431.42760099999998</v>
      </c>
      <c r="K728">
        <v>366.468727</v>
      </c>
      <c r="L728">
        <v>0</v>
      </c>
      <c r="M728" t="s">
        <v>873</v>
      </c>
      <c r="N728" t="s">
        <v>57</v>
      </c>
      <c r="O728" t="s">
        <v>58</v>
      </c>
      <c r="P728" t="s">
        <v>874</v>
      </c>
      <c r="Q728" t="s">
        <v>875</v>
      </c>
      <c r="R728" t="s">
        <v>61</v>
      </c>
      <c r="S728" t="s">
        <v>58</v>
      </c>
      <c r="T728" t="s">
        <v>874</v>
      </c>
      <c r="U728" t="s">
        <v>875</v>
      </c>
      <c r="V728" t="s">
        <v>56</v>
      </c>
      <c r="W728" t="s">
        <v>56</v>
      </c>
      <c r="X728" t="s">
        <v>56</v>
      </c>
      <c r="Y728" t="s">
        <v>62</v>
      </c>
      <c r="Z728" t="s">
        <v>63</v>
      </c>
      <c r="AA728" t="s">
        <v>64</v>
      </c>
      <c r="AB728">
        <v>1</v>
      </c>
      <c r="AC728" t="s">
        <v>84</v>
      </c>
      <c r="AD728" t="s">
        <v>66</v>
      </c>
      <c r="AE728" t="s">
        <v>67</v>
      </c>
      <c r="AF728" t="s">
        <v>68</v>
      </c>
      <c r="AG728">
        <v>49774.16</v>
      </c>
      <c r="AH728" t="s">
        <v>69</v>
      </c>
      <c r="AI728" t="s">
        <v>97</v>
      </c>
      <c r="AJ728" t="s">
        <v>133</v>
      </c>
      <c r="AK728" t="s">
        <v>72</v>
      </c>
      <c r="AL728" t="s">
        <v>73</v>
      </c>
      <c r="AM728" t="s">
        <v>73</v>
      </c>
      <c r="AN728" t="s">
        <v>74</v>
      </c>
    </row>
    <row r="729" spans="1:40" x14ac:dyDescent="0.25">
      <c r="A729" t="s">
        <v>1028</v>
      </c>
      <c r="B729" t="s">
        <v>5</v>
      </c>
      <c r="C729">
        <v>301.20527399999997</v>
      </c>
      <c r="D729">
        <v>255.85361900000001</v>
      </c>
      <c r="E729" t="s">
        <v>56</v>
      </c>
      <c r="F729">
        <v>-12620.4</v>
      </c>
      <c r="G729" t="s">
        <v>1028</v>
      </c>
      <c r="H729" t="s">
        <v>7</v>
      </c>
      <c r="I729">
        <v>15006.8</v>
      </c>
      <c r="J729">
        <v>440.52051899999998</v>
      </c>
      <c r="K729">
        <v>374.19254899999999</v>
      </c>
      <c r="L729">
        <v>0</v>
      </c>
      <c r="M729" t="s">
        <v>1028</v>
      </c>
      <c r="N729" t="s">
        <v>57</v>
      </c>
      <c r="O729" t="s">
        <v>58</v>
      </c>
      <c r="P729" t="s">
        <v>1029</v>
      </c>
      <c r="Q729" t="s">
        <v>1030</v>
      </c>
      <c r="R729" t="s">
        <v>61</v>
      </c>
      <c r="S729" t="s">
        <v>58</v>
      </c>
      <c r="T729" t="s">
        <v>1029</v>
      </c>
      <c r="U729" t="s">
        <v>1030</v>
      </c>
      <c r="V729" t="s">
        <v>56</v>
      </c>
      <c r="W729" t="s">
        <v>56</v>
      </c>
      <c r="X729" t="s">
        <v>56</v>
      </c>
      <c r="Y729" t="s">
        <v>62</v>
      </c>
      <c r="Z729" t="s">
        <v>63</v>
      </c>
      <c r="AA729" t="s">
        <v>64</v>
      </c>
      <c r="AB729">
        <v>1</v>
      </c>
      <c r="AC729" t="s">
        <v>84</v>
      </c>
      <c r="AD729" t="s">
        <v>66</v>
      </c>
      <c r="AE729" t="s">
        <v>67</v>
      </c>
      <c r="AF729" t="s">
        <v>68</v>
      </c>
      <c r="AG729">
        <v>38188.58</v>
      </c>
      <c r="AH729" t="s">
        <v>69</v>
      </c>
      <c r="AI729" t="s">
        <v>97</v>
      </c>
      <c r="AJ729" t="s">
        <v>704</v>
      </c>
      <c r="AK729" t="s">
        <v>72</v>
      </c>
      <c r="AL729" t="s">
        <v>73</v>
      </c>
      <c r="AM729" t="s">
        <v>73</v>
      </c>
      <c r="AN729" t="s">
        <v>74</v>
      </c>
    </row>
    <row r="730" spans="1:40" x14ac:dyDescent="0.25">
      <c r="A730" t="s">
        <v>1756</v>
      </c>
      <c r="B730" t="s">
        <v>5</v>
      </c>
      <c r="C730">
        <v>299.67048599999998</v>
      </c>
      <c r="D730">
        <v>521.43402000000003</v>
      </c>
      <c r="E730" t="s">
        <v>56</v>
      </c>
      <c r="F730">
        <v>-35392.92</v>
      </c>
      <c r="G730" t="s">
        <v>1756</v>
      </c>
      <c r="H730" t="s">
        <v>7</v>
      </c>
      <c r="I730">
        <v>41166.89</v>
      </c>
      <c r="J730">
        <v>647.56684399999995</v>
      </c>
      <c r="K730">
        <v>550.06447500000002</v>
      </c>
      <c r="L730">
        <v>0</v>
      </c>
      <c r="M730" t="s">
        <v>1756</v>
      </c>
      <c r="N730" t="s">
        <v>57</v>
      </c>
      <c r="O730" t="s">
        <v>58</v>
      </c>
      <c r="P730" t="s">
        <v>1757</v>
      </c>
      <c r="Q730" t="s">
        <v>1758</v>
      </c>
      <c r="R730" t="s">
        <v>61</v>
      </c>
      <c r="S730" t="s">
        <v>58</v>
      </c>
      <c r="T730" t="s">
        <v>1757</v>
      </c>
      <c r="U730" t="s">
        <v>1758</v>
      </c>
      <c r="V730" t="s">
        <v>56</v>
      </c>
      <c r="W730" t="s">
        <v>56</v>
      </c>
      <c r="X730" t="s">
        <v>56</v>
      </c>
      <c r="Y730" t="s">
        <v>62</v>
      </c>
      <c r="Z730" t="s">
        <v>63</v>
      </c>
      <c r="AA730" t="s">
        <v>64</v>
      </c>
      <c r="AB730">
        <v>1</v>
      </c>
      <c r="AC730" t="s">
        <v>120</v>
      </c>
      <c r="AD730" t="s">
        <v>66</v>
      </c>
      <c r="AE730" t="s">
        <v>67</v>
      </c>
      <c r="AF730" t="s">
        <v>68</v>
      </c>
      <c r="AG730">
        <v>71266.47</v>
      </c>
      <c r="AH730" t="s">
        <v>69</v>
      </c>
      <c r="AI730" t="s">
        <v>114</v>
      </c>
      <c r="AJ730" t="s">
        <v>1759</v>
      </c>
      <c r="AK730" t="s">
        <v>72</v>
      </c>
      <c r="AL730" t="s">
        <v>73</v>
      </c>
      <c r="AM730" t="s">
        <v>73</v>
      </c>
      <c r="AN730" t="s">
        <v>74</v>
      </c>
    </row>
    <row r="731" spans="1:40" x14ac:dyDescent="0.25">
      <c r="A731" t="s">
        <v>1693</v>
      </c>
      <c r="B731" t="s">
        <v>5</v>
      </c>
      <c r="C731">
        <v>296.96766700000001</v>
      </c>
      <c r="D731">
        <v>252.25405699999999</v>
      </c>
      <c r="E731" t="s">
        <v>56</v>
      </c>
      <c r="F731">
        <v>-7896.45</v>
      </c>
      <c r="G731" t="s">
        <v>1693</v>
      </c>
      <c r="H731" t="s">
        <v>7</v>
      </c>
      <c r="I731">
        <v>11718.74</v>
      </c>
      <c r="J731">
        <v>440.69092000000001</v>
      </c>
      <c r="K731">
        <v>374.33729299999999</v>
      </c>
      <c r="L731">
        <v>0</v>
      </c>
      <c r="M731" t="s">
        <v>1693</v>
      </c>
      <c r="N731" t="s">
        <v>57</v>
      </c>
      <c r="O731" t="s">
        <v>58</v>
      </c>
      <c r="P731" t="s">
        <v>1694</v>
      </c>
      <c r="Q731" t="s">
        <v>1695</v>
      </c>
      <c r="R731" t="s">
        <v>61</v>
      </c>
      <c r="S731" t="s">
        <v>58</v>
      </c>
      <c r="T731" t="s">
        <v>1694</v>
      </c>
      <c r="U731" t="s">
        <v>1695</v>
      </c>
      <c r="V731" t="s">
        <v>56</v>
      </c>
      <c r="W731" t="s">
        <v>56</v>
      </c>
      <c r="X731" t="s">
        <v>56</v>
      </c>
      <c r="Y731" t="s">
        <v>62</v>
      </c>
      <c r="Z731" t="s">
        <v>63</v>
      </c>
      <c r="AA731" t="s">
        <v>64</v>
      </c>
      <c r="AB731">
        <v>1</v>
      </c>
      <c r="AC731" t="s">
        <v>84</v>
      </c>
      <c r="AD731" t="s">
        <v>66</v>
      </c>
      <c r="AE731" t="s">
        <v>67</v>
      </c>
      <c r="AF731" t="s">
        <v>68</v>
      </c>
      <c r="AG731">
        <v>29809.200000000001</v>
      </c>
      <c r="AH731" t="s">
        <v>69</v>
      </c>
      <c r="AI731" t="s">
        <v>491</v>
      </c>
      <c r="AJ731" t="s">
        <v>443</v>
      </c>
      <c r="AK731" t="s">
        <v>99</v>
      </c>
      <c r="AL731" t="s">
        <v>73</v>
      </c>
      <c r="AM731" t="s">
        <v>73</v>
      </c>
      <c r="AN731" t="s">
        <v>74</v>
      </c>
    </row>
    <row r="732" spans="1:40" x14ac:dyDescent="0.25">
      <c r="A732" t="s">
        <v>1690</v>
      </c>
      <c r="B732" t="s">
        <v>5</v>
      </c>
      <c r="C732" s="2">
        <v>294.46242100000001</v>
      </c>
      <c r="D732">
        <v>376.02860500000003</v>
      </c>
      <c r="E732" t="s">
        <v>56</v>
      </c>
      <c r="F732">
        <v>-26657.96</v>
      </c>
      <c r="G732" t="s">
        <v>1690</v>
      </c>
      <c r="H732" t="s">
        <v>7</v>
      </c>
      <c r="I732">
        <v>32617.439999999999</v>
      </c>
      <c r="J732">
        <v>0</v>
      </c>
      <c r="K732">
        <v>0</v>
      </c>
      <c r="L732">
        <v>0</v>
      </c>
      <c r="M732" t="s">
        <v>1690</v>
      </c>
      <c r="N732" t="s">
        <v>57</v>
      </c>
      <c r="O732" t="s">
        <v>58</v>
      </c>
      <c r="P732" t="s">
        <v>1691</v>
      </c>
      <c r="Q732" t="s">
        <v>1692</v>
      </c>
      <c r="R732" t="s">
        <v>61</v>
      </c>
      <c r="S732" t="s">
        <v>58</v>
      </c>
      <c r="T732" t="s">
        <v>1691</v>
      </c>
      <c r="U732" t="s">
        <v>1692</v>
      </c>
      <c r="V732" t="s">
        <v>56</v>
      </c>
      <c r="W732" t="s">
        <v>56</v>
      </c>
      <c r="X732" t="s">
        <v>56</v>
      </c>
      <c r="Y732" t="s">
        <v>62</v>
      </c>
      <c r="Z732" t="s">
        <v>63</v>
      </c>
      <c r="AA732" t="s">
        <v>64</v>
      </c>
      <c r="AB732">
        <v>1</v>
      </c>
      <c r="AC732" t="s">
        <v>84</v>
      </c>
      <c r="AD732" t="s">
        <v>66</v>
      </c>
      <c r="AE732" t="s">
        <v>289</v>
      </c>
      <c r="AF732" t="s">
        <v>68</v>
      </c>
      <c r="AG732">
        <v>69918.710000000006</v>
      </c>
      <c r="AH732" t="s">
        <v>69</v>
      </c>
      <c r="AI732" t="s">
        <v>216</v>
      </c>
      <c r="AJ732" t="s">
        <v>324</v>
      </c>
      <c r="AK732" t="s">
        <v>72</v>
      </c>
      <c r="AL732" t="s">
        <v>73</v>
      </c>
      <c r="AM732" t="s">
        <v>73</v>
      </c>
      <c r="AN732" t="s">
        <v>56</v>
      </c>
    </row>
    <row r="733" spans="1:40" x14ac:dyDescent="0.25">
      <c r="A733" t="s">
        <v>701</v>
      </c>
      <c r="B733" t="s">
        <v>5</v>
      </c>
      <c r="C733">
        <v>292.54620599999998</v>
      </c>
      <c r="D733">
        <v>248.498324</v>
      </c>
      <c r="E733" t="s">
        <v>56</v>
      </c>
      <c r="F733">
        <v>-15629.45</v>
      </c>
      <c r="G733" t="s">
        <v>701</v>
      </c>
      <c r="H733" t="s">
        <v>7</v>
      </c>
      <c r="I733">
        <v>19756.27</v>
      </c>
      <c r="J733">
        <v>454.84206</v>
      </c>
      <c r="K733">
        <v>386.35773499999999</v>
      </c>
      <c r="L733">
        <v>0</v>
      </c>
      <c r="M733" t="s">
        <v>701</v>
      </c>
      <c r="N733" t="s">
        <v>57</v>
      </c>
      <c r="O733" t="s">
        <v>58</v>
      </c>
      <c r="P733" t="s">
        <v>702</v>
      </c>
      <c r="Q733" t="s">
        <v>703</v>
      </c>
      <c r="R733" t="s">
        <v>61</v>
      </c>
      <c r="S733" t="s">
        <v>58</v>
      </c>
      <c r="T733" t="s">
        <v>702</v>
      </c>
      <c r="U733" t="s">
        <v>703</v>
      </c>
      <c r="V733" t="s">
        <v>56</v>
      </c>
      <c r="W733" t="s">
        <v>56</v>
      </c>
      <c r="X733" t="s">
        <v>56</v>
      </c>
      <c r="Y733" t="s">
        <v>62</v>
      </c>
      <c r="Z733" t="s">
        <v>63</v>
      </c>
      <c r="AA733" t="s">
        <v>64</v>
      </c>
      <c r="AB733">
        <v>1</v>
      </c>
      <c r="AC733" t="s">
        <v>78</v>
      </c>
      <c r="AD733" t="s">
        <v>66</v>
      </c>
      <c r="AE733" t="s">
        <v>67</v>
      </c>
      <c r="AF733" t="s">
        <v>86</v>
      </c>
      <c r="AG733">
        <v>48693.64</v>
      </c>
      <c r="AH733" t="s">
        <v>69</v>
      </c>
      <c r="AI733" t="s">
        <v>253</v>
      </c>
      <c r="AJ733" t="s">
        <v>704</v>
      </c>
      <c r="AK733" t="s">
        <v>72</v>
      </c>
      <c r="AL733" t="s">
        <v>73</v>
      </c>
      <c r="AM733" t="s">
        <v>73</v>
      </c>
      <c r="AN733" t="s">
        <v>74</v>
      </c>
    </row>
    <row r="734" spans="1:40" x14ac:dyDescent="0.25">
      <c r="A734" t="s">
        <v>2063</v>
      </c>
      <c r="B734" t="s">
        <v>5</v>
      </c>
      <c r="C734">
        <v>291.561916</v>
      </c>
      <c r="D734">
        <v>247.66223500000001</v>
      </c>
      <c r="E734" t="s">
        <v>56</v>
      </c>
      <c r="F734">
        <v>-39791.870000000003</v>
      </c>
      <c r="G734" t="s">
        <v>2063</v>
      </c>
      <c r="H734" t="s">
        <v>7</v>
      </c>
      <c r="I734">
        <v>46896.51</v>
      </c>
      <c r="J734">
        <v>422.64745900000003</v>
      </c>
      <c r="K734">
        <v>359.01058699999999</v>
      </c>
      <c r="L734">
        <v>0</v>
      </c>
      <c r="M734" t="s">
        <v>2063</v>
      </c>
      <c r="N734" t="s">
        <v>57</v>
      </c>
      <c r="O734" t="s">
        <v>58</v>
      </c>
      <c r="P734" t="s">
        <v>2064</v>
      </c>
      <c r="Q734" t="s">
        <v>2065</v>
      </c>
      <c r="R734" t="s">
        <v>61</v>
      </c>
      <c r="S734" t="s">
        <v>58</v>
      </c>
      <c r="T734" t="s">
        <v>2064</v>
      </c>
      <c r="U734" t="s">
        <v>2065</v>
      </c>
      <c r="V734" t="s">
        <v>56</v>
      </c>
      <c r="W734" t="s">
        <v>56</v>
      </c>
      <c r="X734" t="s">
        <v>56</v>
      </c>
      <c r="Y734" t="s">
        <v>62</v>
      </c>
      <c r="Z734" t="s">
        <v>63</v>
      </c>
      <c r="AA734" t="s">
        <v>64</v>
      </c>
      <c r="AB734">
        <v>1</v>
      </c>
      <c r="AC734" t="s">
        <v>84</v>
      </c>
      <c r="AD734" t="s">
        <v>66</v>
      </c>
      <c r="AE734" t="s">
        <v>67</v>
      </c>
      <c r="AF734" t="s">
        <v>68</v>
      </c>
      <c r="AG734">
        <v>124390.25</v>
      </c>
      <c r="AH734" t="s">
        <v>69</v>
      </c>
      <c r="AI734" t="s">
        <v>285</v>
      </c>
      <c r="AJ734" t="s">
        <v>453</v>
      </c>
      <c r="AK734" t="s">
        <v>72</v>
      </c>
      <c r="AL734" t="s">
        <v>73</v>
      </c>
      <c r="AM734" t="s">
        <v>73</v>
      </c>
      <c r="AN734" t="s">
        <v>74</v>
      </c>
    </row>
    <row r="735" spans="1:40" x14ac:dyDescent="0.25">
      <c r="A735" t="s">
        <v>2518</v>
      </c>
      <c r="B735" t="s">
        <v>5</v>
      </c>
      <c r="C735" s="2">
        <v>286.735724</v>
      </c>
      <c r="D735" t="s">
        <v>56</v>
      </c>
      <c r="E735" t="s">
        <v>56</v>
      </c>
      <c r="F735">
        <v>-3691.37</v>
      </c>
      <c r="G735" t="s">
        <v>2518</v>
      </c>
      <c r="H735" t="s">
        <v>7</v>
      </c>
      <c r="I735">
        <v>7212.93</v>
      </c>
      <c r="J735">
        <v>0</v>
      </c>
      <c r="K735">
        <v>0</v>
      </c>
      <c r="L735">
        <v>0</v>
      </c>
      <c r="M735" t="s">
        <v>2518</v>
      </c>
      <c r="N735" t="s">
        <v>57</v>
      </c>
      <c r="O735" t="s">
        <v>58</v>
      </c>
      <c r="P735" t="s">
        <v>2519</v>
      </c>
      <c r="Q735" t="s">
        <v>2520</v>
      </c>
      <c r="R735" t="s">
        <v>61</v>
      </c>
      <c r="S735" t="s">
        <v>58</v>
      </c>
      <c r="T735" t="s">
        <v>2519</v>
      </c>
      <c r="U735" t="s">
        <v>2520</v>
      </c>
      <c r="V735" t="s">
        <v>56</v>
      </c>
      <c r="W735" t="s">
        <v>56</v>
      </c>
      <c r="X735" t="s">
        <v>56</v>
      </c>
      <c r="Y735" t="s">
        <v>62</v>
      </c>
      <c r="Z735" t="s">
        <v>63</v>
      </c>
      <c r="AA735" t="s">
        <v>64</v>
      </c>
      <c r="AB735">
        <v>1</v>
      </c>
      <c r="AC735" t="s">
        <v>78</v>
      </c>
      <c r="AD735" t="s">
        <v>66</v>
      </c>
      <c r="AE735" t="s">
        <v>85</v>
      </c>
      <c r="AF735" t="s">
        <v>68</v>
      </c>
      <c r="AG735">
        <v>34991.870000000003</v>
      </c>
      <c r="AH735" t="s">
        <v>69</v>
      </c>
      <c r="AI735" t="s">
        <v>186</v>
      </c>
      <c r="AJ735" t="s">
        <v>1850</v>
      </c>
      <c r="AK735" t="s">
        <v>72</v>
      </c>
      <c r="AL735" t="s">
        <v>73</v>
      </c>
      <c r="AM735" t="s">
        <v>73</v>
      </c>
      <c r="AN735" t="s">
        <v>56</v>
      </c>
    </row>
    <row r="736" spans="1:40" x14ac:dyDescent="0.25">
      <c r="A736" t="s">
        <v>588</v>
      </c>
      <c r="B736" t="s">
        <v>5</v>
      </c>
      <c r="C736">
        <v>283.86127199999999</v>
      </c>
      <c r="D736">
        <v>895.36458400000004</v>
      </c>
      <c r="E736" t="s">
        <v>56</v>
      </c>
      <c r="F736">
        <v>-54145.52</v>
      </c>
      <c r="G736" t="s">
        <v>588</v>
      </c>
      <c r="H736" t="s">
        <v>7</v>
      </c>
      <c r="I736">
        <v>59034.63</v>
      </c>
      <c r="J736">
        <v>663.25386300000002</v>
      </c>
      <c r="K736">
        <v>846.97539300000005</v>
      </c>
      <c r="L736">
        <v>0</v>
      </c>
      <c r="M736" t="s">
        <v>588</v>
      </c>
      <c r="N736" t="s">
        <v>57</v>
      </c>
      <c r="O736" t="s">
        <v>58</v>
      </c>
      <c r="P736" t="s">
        <v>589</v>
      </c>
      <c r="Q736" t="s">
        <v>590</v>
      </c>
      <c r="R736" t="s">
        <v>61</v>
      </c>
      <c r="S736" t="s">
        <v>58</v>
      </c>
      <c r="T736" t="s">
        <v>589</v>
      </c>
      <c r="U736" t="s">
        <v>590</v>
      </c>
      <c r="V736" t="s">
        <v>56</v>
      </c>
      <c r="W736" t="s">
        <v>56</v>
      </c>
      <c r="X736" t="s">
        <v>56</v>
      </c>
      <c r="Y736" t="s">
        <v>62</v>
      </c>
      <c r="Z736" t="s">
        <v>63</v>
      </c>
      <c r="AA736" t="s">
        <v>64</v>
      </c>
      <c r="AB736">
        <v>1</v>
      </c>
      <c r="AC736" t="s">
        <v>84</v>
      </c>
      <c r="AD736" t="s">
        <v>66</v>
      </c>
      <c r="AE736" t="s">
        <v>121</v>
      </c>
      <c r="AF736" t="s">
        <v>68</v>
      </c>
      <c r="AG736">
        <v>84552.84</v>
      </c>
      <c r="AH736" t="s">
        <v>69</v>
      </c>
      <c r="AI736" t="s">
        <v>70</v>
      </c>
      <c r="AJ736" t="s">
        <v>164</v>
      </c>
      <c r="AK736" t="s">
        <v>72</v>
      </c>
      <c r="AL736" t="s">
        <v>73</v>
      </c>
      <c r="AM736" t="s">
        <v>73</v>
      </c>
      <c r="AN736" t="s">
        <v>124</v>
      </c>
    </row>
    <row r="737" spans="1:40" x14ac:dyDescent="0.25">
      <c r="A737" t="s">
        <v>1804</v>
      </c>
      <c r="B737" t="s">
        <v>5</v>
      </c>
      <c r="C737">
        <v>276.33774799999998</v>
      </c>
      <c r="D737">
        <v>788.70299799999998</v>
      </c>
      <c r="E737" t="s">
        <v>56</v>
      </c>
      <c r="F737">
        <v>-52442.33</v>
      </c>
      <c r="G737" t="s">
        <v>1804</v>
      </c>
      <c r="H737" t="s">
        <v>7</v>
      </c>
      <c r="I737">
        <v>63144.13</v>
      </c>
      <c r="J737">
        <v>792.94029699999999</v>
      </c>
      <c r="K737">
        <v>673.54944499999999</v>
      </c>
      <c r="L737">
        <v>0</v>
      </c>
      <c r="M737" t="s">
        <v>1804</v>
      </c>
      <c r="N737" t="s">
        <v>57</v>
      </c>
      <c r="O737" t="s">
        <v>58</v>
      </c>
      <c r="P737" t="s">
        <v>1805</v>
      </c>
      <c r="Q737" t="s">
        <v>432</v>
      </c>
      <c r="R737" t="s">
        <v>61</v>
      </c>
      <c r="S737" t="s">
        <v>58</v>
      </c>
      <c r="T737" t="s">
        <v>1805</v>
      </c>
      <c r="U737" t="s">
        <v>432</v>
      </c>
      <c r="V737" t="s">
        <v>56</v>
      </c>
      <c r="W737" t="s">
        <v>56</v>
      </c>
      <c r="X737" t="s">
        <v>56</v>
      </c>
      <c r="Y737" t="s">
        <v>62</v>
      </c>
      <c r="Z737" t="s">
        <v>63</v>
      </c>
      <c r="AA737" t="s">
        <v>64</v>
      </c>
      <c r="AB737">
        <v>1</v>
      </c>
      <c r="AC737" t="s">
        <v>120</v>
      </c>
      <c r="AD737" t="s">
        <v>66</v>
      </c>
      <c r="AE737" t="s">
        <v>67</v>
      </c>
      <c r="AF737" t="s">
        <v>86</v>
      </c>
      <c r="AG737">
        <v>89273.12</v>
      </c>
      <c r="AH737" t="s">
        <v>69</v>
      </c>
      <c r="AI737" t="s">
        <v>491</v>
      </c>
      <c r="AJ737" t="s">
        <v>187</v>
      </c>
      <c r="AK737" t="s">
        <v>72</v>
      </c>
      <c r="AL737" t="s">
        <v>73</v>
      </c>
      <c r="AM737" t="s">
        <v>73</v>
      </c>
      <c r="AN737" t="s">
        <v>74</v>
      </c>
    </row>
    <row r="738" spans="1:40" x14ac:dyDescent="0.25">
      <c r="A738" t="s">
        <v>188</v>
      </c>
      <c r="B738" t="s">
        <v>5</v>
      </c>
      <c r="C738">
        <v>272.55098099999998</v>
      </c>
      <c r="D738">
        <v>231.51372499999999</v>
      </c>
      <c r="E738" t="s">
        <v>56</v>
      </c>
      <c r="F738">
        <v>-23539.09</v>
      </c>
      <c r="G738" t="s">
        <v>188</v>
      </c>
      <c r="H738" t="s">
        <v>7</v>
      </c>
      <c r="I738">
        <v>26494.13</v>
      </c>
      <c r="J738">
        <v>377.32300400000003</v>
      </c>
      <c r="K738">
        <v>320.51051200000001</v>
      </c>
      <c r="L738">
        <v>0</v>
      </c>
      <c r="M738" t="s">
        <v>188</v>
      </c>
      <c r="N738" t="s">
        <v>57</v>
      </c>
      <c r="O738" t="s">
        <v>58</v>
      </c>
      <c r="P738" t="s">
        <v>189</v>
      </c>
      <c r="Q738" t="s">
        <v>190</v>
      </c>
      <c r="R738" t="s">
        <v>61</v>
      </c>
      <c r="S738" t="s">
        <v>58</v>
      </c>
      <c r="T738" t="s">
        <v>189</v>
      </c>
      <c r="U738" t="s">
        <v>190</v>
      </c>
      <c r="V738" t="s">
        <v>56</v>
      </c>
      <c r="W738" t="s">
        <v>56</v>
      </c>
      <c r="X738" t="s">
        <v>56</v>
      </c>
      <c r="Y738" t="s">
        <v>62</v>
      </c>
      <c r="Z738" t="s">
        <v>63</v>
      </c>
      <c r="AA738" t="s">
        <v>64</v>
      </c>
      <c r="AB738">
        <v>1</v>
      </c>
      <c r="AC738" t="s">
        <v>78</v>
      </c>
      <c r="AD738" t="s">
        <v>66</v>
      </c>
      <c r="AE738" t="s">
        <v>67</v>
      </c>
      <c r="AF738" t="s">
        <v>103</v>
      </c>
      <c r="AG738">
        <v>78716.289999999994</v>
      </c>
      <c r="AH738" t="s">
        <v>69</v>
      </c>
      <c r="AI738" t="s">
        <v>137</v>
      </c>
      <c r="AJ738" t="s">
        <v>172</v>
      </c>
      <c r="AK738" t="s">
        <v>72</v>
      </c>
      <c r="AL738" t="s">
        <v>73</v>
      </c>
      <c r="AM738" t="s">
        <v>73</v>
      </c>
      <c r="AN738" t="s">
        <v>74</v>
      </c>
    </row>
    <row r="739" spans="1:40" x14ac:dyDescent="0.25">
      <c r="A739" t="s">
        <v>1553</v>
      </c>
      <c r="B739" t="s">
        <v>5</v>
      </c>
      <c r="C739">
        <v>272.41533199999998</v>
      </c>
      <c r="D739">
        <v>231.39850100000001</v>
      </c>
      <c r="E739" t="s">
        <v>56</v>
      </c>
      <c r="F739">
        <v>-12903.2</v>
      </c>
      <c r="G739" t="s">
        <v>1553</v>
      </c>
      <c r="H739" t="s">
        <v>7</v>
      </c>
      <c r="I739">
        <v>16256.97</v>
      </c>
      <c r="J739">
        <v>422.14298200000002</v>
      </c>
      <c r="K739">
        <v>358.58206799999999</v>
      </c>
      <c r="L739">
        <v>0</v>
      </c>
      <c r="M739" t="s">
        <v>1553</v>
      </c>
      <c r="N739" t="s">
        <v>57</v>
      </c>
      <c r="O739" t="s">
        <v>58</v>
      </c>
      <c r="P739" t="s">
        <v>1554</v>
      </c>
      <c r="Q739" t="s">
        <v>1555</v>
      </c>
      <c r="R739" t="s">
        <v>61</v>
      </c>
      <c r="S739" t="s">
        <v>58</v>
      </c>
      <c r="T739" t="s">
        <v>1554</v>
      </c>
      <c r="U739" t="s">
        <v>1555</v>
      </c>
      <c r="V739" t="s">
        <v>56</v>
      </c>
      <c r="W739" t="s">
        <v>56</v>
      </c>
      <c r="X739" t="s">
        <v>56</v>
      </c>
      <c r="Y739" t="s">
        <v>62</v>
      </c>
      <c r="Z739" t="s">
        <v>63</v>
      </c>
      <c r="AA739" t="s">
        <v>64</v>
      </c>
      <c r="AB739">
        <v>1</v>
      </c>
      <c r="AC739" t="s">
        <v>78</v>
      </c>
      <c r="AD739" t="s">
        <v>66</v>
      </c>
      <c r="AE739" t="s">
        <v>67</v>
      </c>
      <c r="AF739" t="s">
        <v>103</v>
      </c>
      <c r="AG739">
        <v>43170.73</v>
      </c>
      <c r="AH739" t="s">
        <v>69</v>
      </c>
      <c r="AI739" t="s">
        <v>355</v>
      </c>
      <c r="AJ739" t="s">
        <v>761</v>
      </c>
      <c r="AK739" t="s">
        <v>72</v>
      </c>
      <c r="AL739" t="s">
        <v>73</v>
      </c>
      <c r="AM739" t="s">
        <v>73</v>
      </c>
      <c r="AN739" t="s">
        <v>74</v>
      </c>
    </row>
    <row r="740" spans="1:40" x14ac:dyDescent="0.25">
      <c r="A740" t="s">
        <v>636</v>
      </c>
      <c r="B740" t="s">
        <v>5</v>
      </c>
      <c r="C740">
        <v>257.64424600000001</v>
      </c>
      <c r="D740">
        <v>218.85145600000001</v>
      </c>
      <c r="E740" t="s">
        <v>56</v>
      </c>
      <c r="F740">
        <v>-11389.98</v>
      </c>
      <c r="G740" t="s">
        <v>636</v>
      </c>
      <c r="H740" t="s">
        <v>7</v>
      </c>
      <c r="I740">
        <v>13994.28</v>
      </c>
      <c r="J740">
        <v>389.359825</v>
      </c>
      <c r="K740">
        <v>330.734981</v>
      </c>
      <c r="L740">
        <v>0</v>
      </c>
      <c r="M740" t="s">
        <v>636</v>
      </c>
      <c r="N740" t="s">
        <v>57</v>
      </c>
      <c r="O740" t="s">
        <v>58</v>
      </c>
      <c r="P740" t="s">
        <v>637</v>
      </c>
      <c r="Q740" t="s">
        <v>638</v>
      </c>
      <c r="R740" t="s">
        <v>61</v>
      </c>
      <c r="S740" t="s">
        <v>58</v>
      </c>
      <c r="T740" t="s">
        <v>637</v>
      </c>
      <c r="U740" t="s">
        <v>638</v>
      </c>
      <c r="V740" t="s">
        <v>56</v>
      </c>
      <c r="W740" t="s">
        <v>56</v>
      </c>
      <c r="X740" t="s">
        <v>56</v>
      </c>
      <c r="Y740" t="s">
        <v>62</v>
      </c>
      <c r="Z740" t="s">
        <v>63</v>
      </c>
      <c r="AA740" t="s">
        <v>64</v>
      </c>
      <c r="AB740">
        <v>1</v>
      </c>
      <c r="AC740" t="s">
        <v>78</v>
      </c>
      <c r="AD740" t="s">
        <v>66</v>
      </c>
      <c r="AE740" t="s">
        <v>67</v>
      </c>
      <c r="AF740" t="s">
        <v>68</v>
      </c>
      <c r="AG740">
        <v>40292.68</v>
      </c>
      <c r="AH740" t="s">
        <v>69</v>
      </c>
      <c r="AI740" t="s">
        <v>278</v>
      </c>
      <c r="AJ740" t="s">
        <v>319</v>
      </c>
      <c r="AK740" t="s">
        <v>72</v>
      </c>
      <c r="AL740" t="s">
        <v>73</v>
      </c>
      <c r="AM740" t="s">
        <v>73</v>
      </c>
      <c r="AN740" t="s">
        <v>74</v>
      </c>
    </row>
    <row r="741" spans="1:40" x14ac:dyDescent="0.25">
      <c r="A741" t="s">
        <v>1407</v>
      </c>
      <c r="B741" t="s">
        <v>5</v>
      </c>
      <c r="C741">
        <v>256.86387400000001</v>
      </c>
      <c r="D741">
        <v>443.38356199999998</v>
      </c>
      <c r="E741" t="s">
        <v>56</v>
      </c>
      <c r="F741">
        <v>-15732.48</v>
      </c>
      <c r="G741" t="s">
        <v>1407</v>
      </c>
      <c r="H741" t="s">
        <v>7</v>
      </c>
      <c r="I741">
        <v>18432.62</v>
      </c>
      <c r="J741">
        <v>670.60574799999995</v>
      </c>
      <c r="K741">
        <v>569.63447399999995</v>
      </c>
      <c r="L741">
        <v>0</v>
      </c>
      <c r="M741" t="s">
        <v>1407</v>
      </c>
      <c r="N741" t="s">
        <v>57</v>
      </c>
      <c r="O741" t="s">
        <v>58</v>
      </c>
      <c r="P741" t="s">
        <v>1408</v>
      </c>
      <c r="Q741" t="s">
        <v>1409</v>
      </c>
      <c r="R741" t="s">
        <v>61</v>
      </c>
      <c r="S741" t="s">
        <v>58</v>
      </c>
      <c r="T741" t="s">
        <v>1408</v>
      </c>
      <c r="U741" t="s">
        <v>1409</v>
      </c>
      <c r="V741" t="s">
        <v>56</v>
      </c>
      <c r="W741" t="s">
        <v>56</v>
      </c>
      <c r="X741" t="s">
        <v>56</v>
      </c>
      <c r="Y741" t="s">
        <v>62</v>
      </c>
      <c r="Z741" t="s">
        <v>63</v>
      </c>
      <c r="AA741" t="s">
        <v>64</v>
      </c>
      <c r="AB741">
        <v>1</v>
      </c>
      <c r="AC741" t="s">
        <v>84</v>
      </c>
      <c r="AD741" t="s">
        <v>66</v>
      </c>
      <c r="AE741" t="s">
        <v>67</v>
      </c>
      <c r="AF741" t="s">
        <v>68</v>
      </c>
      <c r="AG741">
        <v>30813.01</v>
      </c>
      <c r="AH741" t="s">
        <v>69</v>
      </c>
      <c r="AI741" t="s">
        <v>285</v>
      </c>
      <c r="AJ741" t="s">
        <v>240</v>
      </c>
      <c r="AK741" t="s">
        <v>72</v>
      </c>
      <c r="AL741" t="s">
        <v>73</v>
      </c>
      <c r="AM741" t="s">
        <v>73</v>
      </c>
      <c r="AN741" t="s">
        <v>74</v>
      </c>
    </row>
    <row r="742" spans="1:40" x14ac:dyDescent="0.25">
      <c r="A742" t="s">
        <v>117</v>
      </c>
      <c r="B742" t="s">
        <v>5</v>
      </c>
      <c r="C742">
        <v>255.83166</v>
      </c>
      <c r="D742">
        <v>326.69711100000001</v>
      </c>
      <c r="E742" t="s">
        <v>56</v>
      </c>
      <c r="F742">
        <v>-16442.650000000001</v>
      </c>
      <c r="G742" t="s">
        <v>117</v>
      </c>
      <c r="H742" t="s">
        <v>7</v>
      </c>
      <c r="I742">
        <v>21430.31</v>
      </c>
      <c r="J742">
        <v>410.12671699999999</v>
      </c>
      <c r="K742">
        <v>523.73194699999999</v>
      </c>
      <c r="L742">
        <v>0</v>
      </c>
      <c r="M742" t="s">
        <v>117</v>
      </c>
      <c r="N742" t="s">
        <v>57</v>
      </c>
      <c r="O742" t="s">
        <v>58</v>
      </c>
      <c r="P742" t="s">
        <v>118</v>
      </c>
      <c r="Q742" t="s">
        <v>119</v>
      </c>
      <c r="R742" t="s">
        <v>61</v>
      </c>
      <c r="S742" t="s">
        <v>58</v>
      </c>
      <c r="T742" t="s">
        <v>118</v>
      </c>
      <c r="U742" t="s">
        <v>119</v>
      </c>
      <c r="V742" t="s">
        <v>56</v>
      </c>
      <c r="W742" t="s">
        <v>56</v>
      </c>
      <c r="X742" t="s">
        <v>56</v>
      </c>
      <c r="Y742" t="s">
        <v>62</v>
      </c>
      <c r="Z742" t="s">
        <v>63</v>
      </c>
      <c r="AA742" t="s">
        <v>64</v>
      </c>
      <c r="AB742">
        <v>1</v>
      </c>
      <c r="AC742" t="s">
        <v>120</v>
      </c>
      <c r="AD742" t="s">
        <v>66</v>
      </c>
      <c r="AE742" t="s">
        <v>121</v>
      </c>
      <c r="AF742" t="s">
        <v>68</v>
      </c>
      <c r="AG742">
        <v>49637.97</v>
      </c>
      <c r="AH742" t="s">
        <v>69</v>
      </c>
      <c r="AI742" t="s">
        <v>122</v>
      </c>
      <c r="AJ742" t="s">
        <v>123</v>
      </c>
      <c r="AK742" t="s">
        <v>72</v>
      </c>
      <c r="AL742" t="s">
        <v>73</v>
      </c>
      <c r="AM742" t="s">
        <v>73</v>
      </c>
      <c r="AN742" t="s">
        <v>124</v>
      </c>
    </row>
    <row r="743" spans="1:40" x14ac:dyDescent="0.25">
      <c r="A743" t="s">
        <v>826</v>
      </c>
      <c r="B743" t="s">
        <v>5</v>
      </c>
      <c r="C743">
        <v>255.494946</v>
      </c>
      <c r="D743">
        <v>154.511458</v>
      </c>
      <c r="E743" t="s">
        <v>56</v>
      </c>
      <c r="F743">
        <v>-18354.72</v>
      </c>
      <c r="G743" t="s">
        <v>826</v>
      </c>
      <c r="H743" t="s">
        <v>7</v>
      </c>
      <c r="I743">
        <v>31997.54</v>
      </c>
      <c r="J743">
        <v>332.98844500000001</v>
      </c>
      <c r="K743">
        <v>282.85128600000002</v>
      </c>
      <c r="L743">
        <v>0</v>
      </c>
      <c r="M743" t="s">
        <v>826</v>
      </c>
      <c r="N743" t="s">
        <v>57</v>
      </c>
      <c r="O743" t="s">
        <v>58</v>
      </c>
      <c r="P743" t="s">
        <v>827</v>
      </c>
      <c r="Q743" t="s">
        <v>828</v>
      </c>
      <c r="R743" t="s">
        <v>61</v>
      </c>
      <c r="S743" t="s">
        <v>58</v>
      </c>
      <c r="T743" t="s">
        <v>827</v>
      </c>
      <c r="U743" t="s">
        <v>828</v>
      </c>
      <c r="V743" t="s">
        <v>56</v>
      </c>
      <c r="W743" t="s">
        <v>56</v>
      </c>
      <c r="X743" t="s">
        <v>56</v>
      </c>
      <c r="Y743" t="s">
        <v>62</v>
      </c>
      <c r="Z743" t="s">
        <v>63</v>
      </c>
      <c r="AA743" t="s">
        <v>64</v>
      </c>
      <c r="AB743">
        <v>1</v>
      </c>
      <c r="AC743" t="s">
        <v>65</v>
      </c>
      <c r="AD743" t="s">
        <v>66</v>
      </c>
      <c r="AE743" t="s">
        <v>67</v>
      </c>
      <c r="AF743" t="s">
        <v>68</v>
      </c>
      <c r="AG743">
        <v>107723.58</v>
      </c>
      <c r="AH743" t="s">
        <v>69</v>
      </c>
      <c r="AI743" t="s">
        <v>829</v>
      </c>
      <c r="AJ743" t="s">
        <v>511</v>
      </c>
      <c r="AK743" t="s">
        <v>72</v>
      </c>
      <c r="AL743" t="s">
        <v>73</v>
      </c>
      <c r="AM743" t="s">
        <v>73</v>
      </c>
      <c r="AN743" t="s">
        <v>74</v>
      </c>
    </row>
    <row r="744" spans="1:40" x14ac:dyDescent="0.25">
      <c r="A744" t="s">
        <v>1035</v>
      </c>
      <c r="B744" t="s">
        <v>5</v>
      </c>
      <c r="C744">
        <v>250.00085899999999</v>
      </c>
      <c r="D744">
        <v>212.358913</v>
      </c>
      <c r="E744" t="s">
        <v>56</v>
      </c>
      <c r="F744">
        <v>-9107.16</v>
      </c>
      <c r="G744" t="s">
        <v>1035</v>
      </c>
      <c r="H744" t="s">
        <v>7</v>
      </c>
      <c r="I744">
        <v>11835.02</v>
      </c>
      <c r="J744">
        <v>399.606314</v>
      </c>
      <c r="K744">
        <v>339.43868400000002</v>
      </c>
      <c r="L744">
        <v>0</v>
      </c>
      <c r="M744" t="s">
        <v>1035</v>
      </c>
      <c r="N744" t="s">
        <v>57</v>
      </c>
      <c r="O744" t="s">
        <v>58</v>
      </c>
      <c r="P744" t="s">
        <v>1036</v>
      </c>
      <c r="Q744" t="s">
        <v>1037</v>
      </c>
      <c r="R744" t="s">
        <v>61</v>
      </c>
      <c r="S744" t="s">
        <v>58</v>
      </c>
      <c r="T744" t="s">
        <v>1036</v>
      </c>
      <c r="U744" t="s">
        <v>1037</v>
      </c>
      <c r="V744" t="s">
        <v>56</v>
      </c>
      <c r="W744" t="s">
        <v>56</v>
      </c>
      <c r="X744" t="s">
        <v>56</v>
      </c>
      <c r="Y744" t="s">
        <v>62</v>
      </c>
      <c r="Z744" t="s">
        <v>63</v>
      </c>
      <c r="AA744" t="s">
        <v>64</v>
      </c>
      <c r="AB744">
        <v>1</v>
      </c>
      <c r="AC744" t="s">
        <v>84</v>
      </c>
      <c r="AD744" t="s">
        <v>66</v>
      </c>
      <c r="AE744" t="s">
        <v>67</v>
      </c>
      <c r="AF744" t="s">
        <v>68</v>
      </c>
      <c r="AG744">
        <v>33202.04</v>
      </c>
      <c r="AH744" t="s">
        <v>69</v>
      </c>
      <c r="AI744" t="s">
        <v>220</v>
      </c>
      <c r="AJ744" t="s">
        <v>240</v>
      </c>
      <c r="AK744" t="s">
        <v>72</v>
      </c>
      <c r="AL744" t="s">
        <v>73</v>
      </c>
      <c r="AM744" t="s">
        <v>73</v>
      </c>
      <c r="AN744" t="s">
        <v>74</v>
      </c>
    </row>
    <row r="745" spans="1:40" x14ac:dyDescent="0.25">
      <c r="A745" t="s">
        <v>1070</v>
      </c>
      <c r="B745" t="s">
        <v>5</v>
      </c>
      <c r="C745">
        <v>248.08804599999999</v>
      </c>
      <c r="D745" t="s">
        <v>56</v>
      </c>
      <c r="E745" t="s">
        <v>56</v>
      </c>
      <c r="F745">
        <v>-4925.6099999999997</v>
      </c>
      <c r="G745" t="s">
        <v>1070</v>
      </c>
      <c r="H745" t="s">
        <v>7</v>
      </c>
      <c r="I745">
        <v>24808.36</v>
      </c>
      <c r="J745">
        <v>1057.9594070000001</v>
      </c>
      <c r="K745">
        <v>0</v>
      </c>
      <c r="L745">
        <v>0</v>
      </c>
      <c r="M745" t="s">
        <v>1070</v>
      </c>
      <c r="N745" t="s">
        <v>57</v>
      </c>
      <c r="O745" t="s">
        <v>58</v>
      </c>
      <c r="P745" t="s">
        <v>1071</v>
      </c>
      <c r="Q745" t="s">
        <v>1072</v>
      </c>
      <c r="R745" t="s">
        <v>61</v>
      </c>
      <c r="S745" t="s">
        <v>58</v>
      </c>
      <c r="T745" t="s">
        <v>1071</v>
      </c>
      <c r="U745" t="s">
        <v>1072</v>
      </c>
      <c r="V745" t="s">
        <v>56</v>
      </c>
      <c r="W745" t="s">
        <v>56</v>
      </c>
      <c r="X745" t="s">
        <v>56</v>
      </c>
      <c r="Y745" t="s">
        <v>62</v>
      </c>
      <c r="Z745" t="s">
        <v>63</v>
      </c>
      <c r="AA745" t="s">
        <v>64</v>
      </c>
      <c r="AB745">
        <v>1</v>
      </c>
      <c r="AC745" t="s">
        <v>147</v>
      </c>
      <c r="AD745" t="s">
        <v>66</v>
      </c>
      <c r="AE745" t="s">
        <v>113</v>
      </c>
      <c r="AF745" t="s">
        <v>86</v>
      </c>
      <c r="AG745">
        <v>78395.929999999993</v>
      </c>
      <c r="AH745" t="s">
        <v>69</v>
      </c>
      <c r="AI745" t="s">
        <v>285</v>
      </c>
      <c r="AJ745" t="s">
        <v>943</v>
      </c>
      <c r="AK745" t="s">
        <v>72</v>
      </c>
      <c r="AL745" t="s">
        <v>73</v>
      </c>
      <c r="AM745" t="s">
        <v>73</v>
      </c>
      <c r="AN745" t="s">
        <v>116</v>
      </c>
    </row>
    <row r="746" spans="1:40" x14ac:dyDescent="0.25">
      <c r="A746" t="s">
        <v>1263</v>
      </c>
      <c r="B746" t="s">
        <v>5</v>
      </c>
      <c r="C746">
        <v>248.08804599999999</v>
      </c>
      <c r="D746" t="s">
        <v>56</v>
      </c>
      <c r="E746" t="s">
        <v>56</v>
      </c>
      <c r="F746">
        <v>-4976.3900000000003</v>
      </c>
      <c r="G746" t="s">
        <v>1263</v>
      </c>
      <c r="H746" t="s">
        <v>7</v>
      </c>
      <c r="I746">
        <v>25064.12</v>
      </c>
      <c r="J746">
        <v>1057.9594070000001</v>
      </c>
      <c r="K746">
        <v>0</v>
      </c>
      <c r="L746">
        <v>0</v>
      </c>
      <c r="M746" t="s">
        <v>1263</v>
      </c>
      <c r="N746" t="s">
        <v>57</v>
      </c>
      <c r="O746" t="s">
        <v>58</v>
      </c>
      <c r="P746" t="s">
        <v>1264</v>
      </c>
      <c r="Q746" t="s">
        <v>1072</v>
      </c>
      <c r="R746" t="s">
        <v>61</v>
      </c>
      <c r="S746" t="s">
        <v>58</v>
      </c>
      <c r="T746" t="s">
        <v>1264</v>
      </c>
      <c r="U746" t="s">
        <v>1072</v>
      </c>
      <c r="V746" t="s">
        <v>56</v>
      </c>
      <c r="W746" t="s">
        <v>56</v>
      </c>
      <c r="X746" t="s">
        <v>56</v>
      </c>
      <c r="Y746" t="s">
        <v>62</v>
      </c>
      <c r="Z746" t="s">
        <v>63</v>
      </c>
      <c r="AA746" t="s">
        <v>64</v>
      </c>
      <c r="AB746">
        <v>1</v>
      </c>
      <c r="AC746" t="s">
        <v>147</v>
      </c>
      <c r="AD746" t="s">
        <v>66</v>
      </c>
      <c r="AE746" t="s">
        <v>113</v>
      </c>
      <c r="AF746" t="s">
        <v>86</v>
      </c>
      <c r="AG746">
        <v>79204.2</v>
      </c>
      <c r="AH746" t="s">
        <v>69</v>
      </c>
      <c r="AI746" t="s">
        <v>104</v>
      </c>
      <c r="AJ746" t="s">
        <v>943</v>
      </c>
      <c r="AK746" t="s">
        <v>72</v>
      </c>
      <c r="AL746" t="s">
        <v>73</v>
      </c>
      <c r="AM746" t="s">
        <v>73</v>
      </c>
      <c r="AN746" t="s">
        <v>116</v>
      </c>
    </row>
    <row r="747" spans="1:40" x14ac:dyDescent="0.25">
      <c r="A747" t="s">
        <v>566</v>
      </c>
      <c r="B747" t="s">
        <v>5</v>
      </c>
      <c r="C747" s="2">
        <v>245.97168400000001</v>
      </c>
      <c r="D747" t="s">
        <v>56</v>
      </c>
      <c r="E747" t="s">
        <v>56</v>
      </c>
      <c r="F747">
        <v>-1728.98</v>
      </c>
      <c r="G747" t="s">
        <v>566</v>
      </c>
      <c r="H747" t="s">
        <v>7</v>
      </c>
      <c r="I747">
        <v>4265.29</v>
      </c>
      <c r="J747">
        <v>0</v>
      </c>
      <c r="K747">
        <v>0</v>
      </c>
      <c r="L747">
        <v>0</v>
      </c>
      <c r="M747" t="s">
        <v>566</v>
      </c>
      <c r="N747" t="s">
        <v>57</v>
      </c>
      <c r="O747" t="s">
        <v>58</v>
      </c>
      <c r="P747" t="s">
        <v>567</v>
      </c>
      <c r="Q747" t="s">
        <v>568</v>
      </c>
      <c r="R747" t="s">
        <v>61</v>
      </c>
      <c r="S747" t="s">
        <v>58</v>
      </c>
      <c r="T747" t="s">
        <v>567</v>
      </c>
      <c r="U747" t="s">
        <v>568</v>
      </c>
      <c r="V747" t="s">
        <v>56</v>
      </c>
      <c r="W747" t="s">
        <v>56</v>
      </c>
      <c r="X747" t="s">
        <v>56</v>
      </c>
      <c r="Y747" t="s">
        <v>62</v>
      </c>
      <c r="Z747" t="s">
        <v>63</v>
      </c>
      <c r="AA747" t="s">
        <v>64</v>
      </c>
      <c r="AB747">
        <v>1</v>
      </c>
      <c r="AC747" t="s">
        <v>78</v>
      </c>
      <c r="AD747" t="s">
        <v>66</v>
      </c>
      <c r="AE747" t="s">
        <v>85</v>
      </c>
      <c r="AF747" t="s">
        <v>68</v>
      </c>
      <c r="AG747">
        <v>23500</v>
      </c>
      <c r="AH747" t="s">
        <v>69</v>
      </c>
      <c r="AI747" t="s">
        <v>163</v>
      </c>
      <c r="AJ747" t="s">
        <v>261</v>
      </c>
      <c r="AK747" t="s">
        <v>99</v>
      </c>
      <c r="AL747" t="s">
        <v>73</v>
      </c>
      <c r="AM747" t="s">
        <v>73</v>
      </c>
      <c r="AN747" t="s">
        <v>56</v>
      </c>
    </row>
    <row r="748" spans="1:40" x14ac:dyDescent="0.25">
      <c r="A748" t="s">
        <v>165</v>
      </c>
      <c r="B748" t="s">
        <v>5</v>
      </c>
      <c r="C748">
        <v>242.54764</v>
      </c>
      <c r="D748">
        <v>134.94847100000001</v>
      </c>
      <c r="E748" t="s">
        <v>56</v>
      </c>
      <c r="F748">
        <v>-15243.75</v>
      </c>
      <c r="G748" t="s">
        <v>165</v>
      </c>
      <c r="H748" t="s">
        <v>7</v>
      </c>
      <c r="I748">
        <v>17234.95</v>
      </c>
      <c r="J748">
        <v>180.71599000000001</v>
      </c>
      <c r="K748">
        <v>153.506077</v>
      </c>
      <c r="L748">
        <v>0</v>
      </c>
      <c r="M748" t="s">
        <v>165</v>
      </c>
      <c r="N748" t="s">
        <v>57</v>
      </c>
      <c r="O748" t="s">
        <v>58</v>
      </c>
      <c r="P748" t="s">
        <v>166</v>
      </c>
      <c r="Q748" t="s">
        <v>167</v>
      </c>
      <c r="R748" t="s">
        <v>61</v>
      </c>
      <c r="S748" t="s">
        <v>58</v>
      </c>
      <c r="T748" t="s">
        <v>166</v>
      </c>
      <c r="U748" t="s">
        <v>167</v>
      </c>
      <c r="V748" t="s">
        <v>56</v>
      </c>
      <c r="W748" t="s">
        <v>56</v>
      </c>
      <c r="X748" t="s">
        <v>56</v>
      </c>
      <c r="Y748" t="s">
        <v>62</v>
      </c>
      <c r="Z748" t="s">
        <v>63</v>
      </c>
      <c r="AA748" t="s">
        <v>64</v>
      </c>
      <c r="AB748">
        <v>1</v>
      </c>
      <c r="AC748" t="s">
        <v>78</v>
      </c>
      <c r="AD748" t="s">
        <v>66</v>
      </c>
      <c r="AE748" t="s">
        <v>67</v>
      </c>
      <c r="AF748" t="s">
        <v>86</v>
      </c>
      <c r="AG748">
        <v>106910.58</v>
      </c>
      <c r="AH748" t="s">
        <v>69</v>
      </c>
      <c r="AI748" t="s">
        <v>168</v>
      </c>
      <c r="AJ748" t="s">
        <v>88</v>
      </c>
      <c r="AK748" t="s">
        <v>72</v>
      </c>
      <c r="AL748" t="s">
        <v>73</v>
      </c>
      <c r="AM748" t="s">
        <v>73</v>
      </c>
      <c r="AN748" t="s">
        <v>74</v>
      </c>
    </row>
    <row r="749" spans="1:40" x14ac:dyDescent="0.25">
      <c r="A749" t="s">
        <v>1238</v>
      </c>
      <c r="B749" t="s">
        <v>5</v>
      </c>
      <c r="C749" s="2">
        <v>232.96650700000001</v>
      </c>
      <c r="D749" t="s">
        <v>56</v>
      </c>
      <c r="E749" t="s">
        <v>56</v>
      </c>
      <c r="F749">
        <v>-2356.19</v>
      </c>
      <c r="G749" t="s">
        <v>1238</v>
      </c>
      <c r="H749" t="s">
        <v>7</v>
      </c>
      <c r="I749">
        <v>4149.3599999999997</v>
      </c>
      <c r="J749">
        <v>0</v>
      </c>
      <c r="K749">
        <v>0</v>
      </c>
      <c r="L749">
        <v>0</v>
      </c>
      <c r="M749" t="s">
        <v>1238</v>
      </c>
      <c r="N749" t="s">
        <v>57</v>
      </c>
      <c r="O749" t="s">
        <v>58</v>
      </c>
      <c r="P749" t="s">
        <v>1239</v>
      </c>
      <c r="Q749" t="s">
        <v>1240</v>
      </c>
      <c r="R749" t="s">
        <v>61</v>
      </c>
      <c r="S749" t="s">
        <v>58</v>
      </c>
      <c r="T749" t="s">
        <v>1239</v>
      </c>
      <c r="U749" t="s">
        <v>1240</v>
      </c>
      <c r="V749" t="s">
        <v>56</v>
      </c>
      <c r="W749" t="s">
        <v>56</v>
      </c>
      <c r="X749" t="s">
        <v>56</v>
      </c>
      <c r="Y749" t="s">
        <v>62</v>
      </c>
      <c r="Z749" t="s">
        <v>63</v>
      </c>
      <c r="AA749" t="s">
        <v>64</v>
      </c>
      <c r="AB749">
        <v>1</v>
      </c>
      <c r="AC749" t="s">
        <v>84</v>
      </c>
      <c r="AD749" t="s">
        <v>66</v>
      </c>
      <c r="AE749" t="s">
        <v>85</v>
      </c>
      <c r="AF749" t="s">
        <v>68</v>
      </c>
      <c r="AG749">
        <v>27490</v>
      </c>
      <c r="AH749" t="s">
        <v>69</v>
      </c>
      <c r="AI749" t="s">
        <v>122</v>
      </c>
      <c r="AJ749" t="s">
        <v>1241</v>
      </c>
      <c r="AK749" t="s">
        <v>280</v>
      </c>
      <c r="AL749" t="s">
        <v>73</v>
      </c>
      <c r="AM749" t="s">
        <v>73</v>
      </c>
      <c r="AN749" t="s">
        <v>56</v>
      </c>
    </row>
    <row r="750" spans="1:40" x14ac:dyDescent="0.25">
      <c r="A750" t="s">
        <v>1985</v>
      </c>
      <c r="B750" t="s">
        <v>5</v>
      </c>
      <c r="C750" s="2">
        <v>232.96650700000001</v>
      </c>
      <c r="D750" t="s">
        <v>56</v>
      </c>
      <c r="E750" t="s">
        <v>56</v>
      </c>
      <c r="F750">
        <v>-2356.19</v>
      </c>
      <c r="G750" t="s">
        <v>1985</v>
      </c>
      <c r="H750" t="s">
        <v>7</v>
      </c>
      <c r="I750">
        <v>4149.3599999999997</v>
      </c>
      <c r="J750">
        <v>0</v>
      </c>
      <c r="K750">
        <v>0</v>
      </c>
      <c r="L750">
        <v>0</v>
      </c>
      <c r="M750" t="s">
        <v>1985</v>
      </c>
      <c r="N750" t="s">
        <v>57</v>
      </c>
      <c r="O750" t="s">
        <v>58</v>
      </c>
      <c r="P750" t="s">
        <v>1986</v>
      </c>
      <c r="Q750" t="s">
        <v>1240</v>
      </c>
      <c r="R750" t="s">
        <v>61</v>
      </c>
      <c r="S750" t="s">
        <v>58</v>
      </c>
      <c r="T750" t="s">
        <v>1986</v>
      </c>
      <c r="U750" t="s">
        <v>1240</v>
      </c>
      <c r="V750" t="s">
        <v>56</v>
      </c>
      <c r="W750" t="s">
        <v>56</v>
      </c>
      <c r="X750" t="s">
        <v>56</v>
      </c>
      <c r="Y750" t="s">
        <v>62</v>
      </c>
      <c r="Z750" t="s">
        <v>63</v>
      </c>
      <c r="AA750" t="s">
        <v>64</v>
      </c>
      <c r="AB750">
        <v>1</v>
      </c>
      <c r="AC750" t="s">
        <v>84</v>
      </c>
      <c r="AD750" t="s">
        <v>66</v>
      </c>
      <c r="AE750" t="s">
        <v>85</v>
      </c>
      <c r="AF750" t="s">
        <v>68</v>
      </c>
      <c r="AG750">
        <v>0</v>
      </c>
      <c r="AH750" t="s">
        <v>69</v>
      </c>
      <c r="AI750" t="s">
        <v>122</v>
      </c>
      <c r="AJ750" t="s">
        <v>1241</v>
      </c>
      <c r="AK750" t="s">
        <v>280</v>
      </c>
      <c r="AL750" t="s">
        <v>73</v>
      </c>
      <c r="AM750" t="s">
        <v>73</v>
      </c>
      <c r="AN750" t="s">
        <v>56</v>
      </c>
    </row>
    <row r="751" spans="1:40" x14ac:dyDescent="0.25">
      <c r="A751" t="s">
        <v>1461</v>
      </c>
      <c r="B751" t="s">
        <v>5</v>
      </c>
      <c r="C751">
        <v>231.022435</v>
      </c>
      <c r="D751">
        <v>196.23801800000001</v>
      </c>
      <c r="E751" t="s">
        <v>56</v>
      </c>
      <c r="F751">
        <v>-6967.96</v>
      </c>
      <c r="G751" t="s">
        <v>1461</v>
      </c>
      <c r="H751" t="s">
        <v>7</v>
      </c>
      <c r="I751">
        <v>8229.6</v>
      </c>
      <c r="J751">
        <v>335.58369900000002</v>
      </c>
      <c r="K751">
        <v>285.05578000000003</v>
      </c>
      <c r="L751">
        <v>0</v>
      </c>
      <c r="M751" t="s">
        <v>1461</v>
      </c>
      <c r="N751" t="s">
        <v>57</v>
      </c>
      <c r="O751" t="s">
        <v>58</v>
      </c>
      <c r="P751" t="s">
        <v>1462</v>
      </c>
      <c r="Q751" t="s">
        <v>1463</v>
      </c>
      <c r="R751" t="s">
        <v>61</v>
      </c>
      <c r="S751" t="s">
        <v>58</v>
      </c>
      <c r="T751" t="s">
        <v>1462</v>
      </c>
      <c r="U751" t="s">
        <v>1463</v>
      </c>
      <c r="V751" t="s">
        <v>56</v>
      </c>
      <c r="W751" t="s">
        <v>56</v>
      </c>
      <c r="X751" t="s">
        <v>56</v>
      </c>
      <c r="Y751" t="s">
        <v>62</v>
      </c>
      <c r="Z751" t="s">
        <v>63</v>
      </c>
      <c r="AA751" t="s">
        <v>64</v>
      </c>
      <c r="AB751">
        <v>1</v>
      </c>
      <c r="AC751" t="s">
        <v>78</v>
      </c>
      <c r="AD751" t="s">
        <v>66</v>
      </c>
      <c r="AE751" t="s">
        <v>67</v>
      </c>
      <c r="AF751" t="s">
        <v>68</v>
      </c>
      <c r="AG751">
        <v>27490</v>
      </c>
      <c r="AH751" t="s">
        <v>69</v>
      </c>
      <c r="AI751" t="s">
        <v>97</v>
      </c>
      <c r="AJ751" t="s">
        <v>347</v>
      </c>
      <c r="AK751" t="s">
        <v>280</v>
      </c>
      <c r="AL751" t="s">
        <v>73</v>
      </c>
      <c r="AM751" t="s">
        <v>73</v>
      </c>
      <c r="AN751" t="s">
        <v>74</v>
      </c>
    </row>
    <row r="752" spans="1:40" x14ac:dyDescent="0.25">
      <c r="A752" t="s">
        <v>2389</v>
      </c>
      <c r="B752" t="s">
        <v>5</v>
      </c>
      <c r="C752" s="2">
        <v>230.231742</v>
      </c>
      <c r="D752" t="s">
        <v>56</v>
      </c>
      <c r="E752" t="s">
        <v>56</v>
      </c>
      <c r="F752">
        <v>-4223.92</v>
      </c>
      <c r="G752" t="s">
        <v>2389</v>
      </c>
      <c r="H752" t="s">
        <v>7</v>
      </c>
      <c r="I752">
        <v>10593.15</v>
      </c>
      <c r="J752">
        <v>0</v>
      </c>
      <c r="K752">
        <v>0</v>
      </c>
      <c r="L752">
        <v>0</v>
      </c>
      <c r="M752" t="s">
        <v>2389</v>
      </c>
      <c r="N752" t="s">
        <v>57</v>
      </c>
      <c r="O752" t="s">
        <v>58</v>
      </c>
      <c r="P752" t="s">
        <v>2390</v>
      </c>
      <c r="Q752" t="s">
        <v>2023</v>
      </c>
      <c r="R752" t="s">
        <v>61</v>
      </c>
      <c r="S752" t="s">
        <v>58</v>
      </c>
      <c r="T752" t="s">
        <v>2390</v>
      </c>
      <c r="U752" t="s">
        <v>2023</v>
      </c>
      <c r="V752" t="s">
        <v>56</v>
      </c>
      <c r="W752" t="s">
        <v>56</v>
      </c>
      <c r="X752" t="s">
        <v>56</v>
      </c>
      <c r="Y752" t="s">
        <v>62</v>
      </c>
      <c r="Z752" t="s">
        <v>63</v>
      </c>
      <c r="AA752" t="s">
        <v>64</v>
      </c>
      <c r="AB752">
        <v>1</v>
      </c>
      <c r="AC752" t="s">
        <v>147</v>
      </c>
      <c r="AD752" t="s">
        <v>66</v>
      </c>
      <c r="AE752" t="s">
        <v>85</v>
      </c>
      <c r="AF752" t="s">
        <v>68</v>
      </c>
      <c r="AG752">
        <v>49866.77</v>
      </c>
      <c r="AH752" t="s">
        <v>69</v>
      </c>
      <c r="AI752" t="s">
        <v>168</v>
      </c>
      <c r="AJ752" t="s">
        <v>2173</v>
      </c>
      <c r="AK752" t="s">
        <v>72</v>
      </c>
      <c r="AL752" t="s">
        <v>73</v>
      </c>
      <c r="AM752" t="s">
        <v>73</v>
      </c>
      <c r="AN752" t="s">
        <v>56</v>
      </c>
    </row>
    <row r="753" spans="1:40" x14ac:dyDescent="0.25">
      <c r="A753" t="s">
        <v>2336</v>
      </c>
      <c r="B753" t="s">
        <v>5</v>
      </c>
      <c r="C753" s="2">
        <v>224.21125699999999</v>
      </c>
      <c r="D753" t="s">
        <v>56</v>
      </c>
      <c r="E753" t="s">
        <v>56</v>
      </c>
      <c r="F753">
        <v>-4834.58</v>
      </c>
      <c r="G753" t="s">
        <v>2336</v>
      </c>
      <c r="H753" t="s">
        <v>7</v>
      </c>
      <c r="I753">
        <v>7958.97</v>
      </c>
      <c r="J753">
        <v>0</v>
      </c>
      <c r="K753">
        <v>0</v>
      </c>
      <c r="L753">
        <v>0</v>
      </c>
      <c r="M753" t="s">
        <v>2336</v>
      </c>
      <c r="N753" t="s">
        <v>57</v>
      </c>
      <c r="O753" t="s">
        <v>58</v>
      </c>
      <c r="P753" t="s">
        <v>2337</v>
      </c>
      <c r="Q753" t="s">
        <v>2338</v>
      </c>
      <c r="R753" t="s">
        <v>61</v>
      </c>
      <c r="S753" t="s">
        <v>58</v>
      </c>
      <c r="T753" t="s">
        <v>2337</v>
      </c>
      <c r="U753" t="s">
        <v>2338</v>
      </c>
      <c r="V753" t="s">
        <v>56</v>
      </c>
      <c r="W753" t="s">
        <v>56</v>
      </c>
      <c r="X753" t="s">
        <v>56</v>
      </c>
      <c r="Y753" t="s">
        <v>62</v>
      </c>
      <c r="Z753" t="s">
        <v>63</v>
      </c>
      <c r="AA753" t="s">
        <v>64</v>
      </c>
      <c r="AB753">
        <v>1</v>
      </c>
      <c r="AC753" t="s">
        <v>84</v>
      </c>
      <c r="AD753" t="s">
        <v>66</v>
      </c>
      <c r="AE753" t="s">
        <v>85</v>
      </c>
      <c r="AF753" t="s">
        <v>367</v>
      </c>
      <c r="AG753">
        <v>29600</v>
      </c>
      <c r="AH753" t="s">
        <v>69</v>
      </c>
      <c r="AI753" t="s">
        <v>132</v>
      </c>
      <c r="AJ753" t="s">
        <v>813</v>
      </c>
      <c r="AK753" t="s">
        <v>99</v>
      </c>
      <c r="AL753" t="s">
        <v>281</v>
      </c>
      <c r="AM753" t="s">
        <v>73</v>
      </c>
      <c r="AN753" t="s">
        <v>56</v>
      </c>
    </row>
    <row r="754" spans="1:40" x14ac:dyDescent="0.25">
      <c r="A754" t="s">
        <v>1309</v>
      </c>
      <c r="B754" t="s">
        <v>5</v>
      </c>
      <c r="C754">
        <v>223.49051900000001</v>
      </c>
      <c r="D754">
        <v>637.87030000000004</v>
      </c>
      <c r="E754" t="s">
        <v>56</v>
      </c>
      <c r="F754">
        <v>-33604.26</v>
      </c>
      <c r="G754" t="s">
        <v>1309</v>
      </c>
      <c r="H754" t="s">
        <v>7</v>
      </c>
      <c r="I754">
        <v>39000.44</v>
      </c>
      <c r="J754">
        <v>618.13453500000003</v>
      </c>
      <c r="K754">
        <v>525.06370900000002</v>
      </c>
      <c r="L754">
        <v>0</v>
      </c>
      <c r="M754" t="s">
        <v>1309</v>
      </c>
      <c r="N754" t="s">
        <v>57</v>
      </c>
      <c r="O754" t="s">
        <v>58</v>
      </c>
      <c r="P754" t="s">
        <v>1310</v>
      </c>
      <c r="Q754" t="s">
        <v>1311</v>
      </c>
      <c r="R754" t="s">
        <v>61</v>
      </c>
      <c r="S754" t="s">
        <v>58</v>
      </c>
      <c r="T754" t="s">
        <v>1310</v>
      </c>
      <c r="U754" t="s">
        <v>1311</v>
      </c>
      <c r="V754" t="s">
        <v>56</v>
      </c>
      <c r="W754" t="s">
        <v>56</v>
      </c>
      <c r="X754" t="s">
        <v>56</v>
      </c>
      <c r="Y754" t="s">
        <v>62</v>
      </c>
      <c r="Z754" t="s">
        <v>63</v>
      </c>
      <c r="AA754" t="s">
        <v>64</v>
      </c>
      <c r="AB754">
        <v>1</v>
      </c>
      <c r="AC754" t="s">
        <v>84</v>
      </c>
      <c r="AD754" t="s">
        <v>66</v>
      </c>
      <c r="AE754" t="s">
        <v>67</v>
      </c>
      <c r="AF754" t="s">
        <v>86</v>
      </c>
      <c r="AG754">
        <v>70731.710000000006</v>
      </c>
      <c r="AH754" t="s">
        <v>69</v>
      </c>
      <c r="AI754" t="s">
        <v>128</v>
      </c>
      <c r="AJ754" t="s">
        <v>236</v>
      </c>
      <c r="AK754" t="s">
        <v>280</v>
      </c>
      <c r="AL754" t="s">
        <v>73</v>
      </c>
      <c r="AM754" t="s">
        <v>73</v>
      </c>
      <c r="AN754" t="s">
        <v>74</v>
      </c>
    </row>
    <row r="755" spans="1:40" x14ac:dyDescent="0.25">
      <c r="A755" t="s">
        <v>2170</v>
      </c>
      <c r="B755" t="s">
        <v>5</v>
      </c>
      <c r="C755" s="2">
        <v>222.90003200000001</v>
      </c>
      <c r="D755" t="s">
        <v>56</v>
      </c>
      <c r="E755" t="s">
        <v>56</v>
      </c>
      <c r="F755">
        <v>-4057.81</v>
      </c>
      <c r="G755" t="s">
        <v>2170</v>
      </c>
      <c r="H755" t="s">
        <v>7</v>
      </c>
      <c r="I755">
        <v>10107.93</v>
      </c>
      <c r="J755">
        <v>0</v>
      </c>
      <c r="K755">
        <v>0</v>
      </c>
      <c r="L755">
        <v>0</v>
      </c>
      <c r="M755" t="s">
        <v>2170</v>
      </c>
      <c r="N755" t="s">
        <v>57</v>
      </c>
      <c r="O755" t="s">
        <v>58</v>
      </c>
      <c r="P755" t="s">
        <v>2171</v>
      </c>
      <c r="Q755" t="s">
        <v>2172</v>
      </c>
      <c r="R755" t="s">
        <v>61</v>
      </c>
      <c r="S755" t="s">
        <v>58</v>
      </c>
      <c r="T755" t="s">
        <v>2171</v>
      </c>
      <c r="U755" t="s">
        <v>2172</v>
      </c>
      <c r="V755" t="s">
        <v>56</v>
      </c>
      <c r="W755" t="s">
        <v>56</v>
      </c>
      <c r="X755" t="s">
        <v>56</v>
      </c>
      <c r="Y755" t="s">
        <v>62</v>
      </c>
      <c r="Z755" t="s">
        <v>63</v>
      </c>
      <c r="AA755" t="s">
        <v>64</v>
      </c>
      <c r="AB755">
        <v>1</v>
      </c>
      <c r="AC755" t="s">
        <v>744</v>
      </c>
      <c r="AD755" t="s">
        <v>66</v>
      </c>
      <c r="AE755" t="s">
        <v>85</v>
      </c>
      <c r="AF755" t="s">
        <v>103</v>
      </c>
      <c r="AG755">
        <v>49481.41</v>
      </c>
      <c r="AH755" t="s">
        <v>69</v>
      </c>
      <c r="AI755" t="s">
        <v>501</v>
      </c>
      <c r="AJ755" t="s">
        <v>2173</v>
      </c>
      <c r="AK755" t="s">
        <v>72</v>
      </c>
      <c r="AL755" t="s">
        <v>73</v>
      </c>
      <c r="AM755" t="s">
        <v>73</v>
      </c>
      <c r="AN755" t="s">
        <v>56</v>
      </c>
    </row>
    <row r="756" spans="1:40" x14ac:dyDescent="0.25">
      <c r="A756" t="s">
        <v>720</v>
      </c>
      <c r="B756" t="s">
        <v>5</v>
      </c>
      <c r="C756">
        <v>221.56181000000001</v>
      </c>
      <c r="D756">
        <v>188.201854</v>
      </c>
      <c r="E756" t="s">
        <v>56</v>
      </c>
      <c r="F756">
        <v>-8946.41</v>
      </c>
      <c r="G756" t="s">
        <v>720</v>
      </c>
      <c r="H756" t="s">
        <v>7</v>
      </c>
      <c r="I756">
        <v>10844.9</v>
      </c>
      <c r="J756">
        <v>330.32817</v>
      </c>
      <c r="K756">
        <v>280.59156100000001</v>
      </c>
      <c r="L756">
        <v>0</v>
      </c>
      <c r="M756" t="s">
        <v>720</v>
      </c>
      <c r="N756" t="s">
        <v>57</v>
      </c>
      <c r="O756" t="s">
        <v>58</v>
      </c>
      <c r="P756" t="s">
        <v>721</v>
      </c>
      <c r="Q756" t="s">
        <v>722</v>
      </c>
      <c r="R756" t="s">
        <v>61</v>
      </c>
      <c r="S756" t="s">
        <v>58</v>
      </c>
      <c r="T756" t="s">
        <v>721</v>
      </c>
      <c r="U756" t="s">
        <v>722</v>
      </c>
      <c r="V756" t="s">
        <v>56</v>
      </c>
      <c r="W756" t="s">
        <v>56</v>
      </c>
      <c r="X756" t="s">
        <v>56</v>
      </c>
      <c r="Y756" t="s">
        <v>62</v>
      </c>
      <c r="Z756" t="s">
        <v>63</v>
      </c>
      <c r="AA756" t="s">
        <v>64</v>
      </c>
      <c r="AB756">
        <v>1</v>
      </c>
      <c r="AC756" t="s">
        <v>78</v>
      </c>
      <c r="AD756" t="s">
        <v>66</v>
      </c>
      <c r="AE756" t="s">
        <v>67</v>
      </c>
      <c r="AF756" t="s">
        <v>68</v>
      </c>
      <c r="AG756">
        <v>36802.42</v>
      </c>
      <c r="AH756" t="s">
        <v>69</v>
      </c>
      <c r="AI756" t="s">
        <v>297</v>
      </c>
      <c r="AJ756" t="s">
        <v>463</v>
      </c>
      <c r="AK756" t="s">
        <v>72</v>
      </c>
      <c r="AL756" t="s">
        <v>73</v>
      </c>
      <c r="AM756" t="s">
        <v>73</v>
      </c>
      <c r="AN756" t="s">
        <v>74</v>
      </c>
    </row>
    <row r="757" spans="1:40" x14ac:dyDescent="0.25">
      <c r="A757" t="s">
        <v>523</v>
      </c>
      <c r="B757" t="s">
        <v>5</v>
      </c>
      <c r="C757">
        <v>215.72622100000001</v>
      </c>
      <c r="D757">
        <v>624.98301300000003</v>
      </c>
      <c r="E757" t="s">
        <v>56</v>
      </c>
      <c r="F757">
        <v>-30546.07</v>
      </c>
      <c r="G757" t="s">
        <v>523</v>
      </c>
      <c r="H757" t="s">
        <v>7</v>
      </c>
      <c r="I757">
        <v>33628.199999999997</v>
      </c>
      <c r="J757">
        <v>439.42039699999998</v>
      </c>
      <c r="K757">
        <v>561.13998500000002</v>
      </c>
      <c r="L757">
        <v>0</v>
      </c>
      <c r="M757" t="s">
        <v>523</v>
      </c>
      <c r="N757" t="s">
        <v>57</v>
      </c>
      <c r="O757" t="s">
        <v>58</v>
      </c>
      <c r="P757" t="s">
        <v>524</v>
      </c>
      <c r="Q757" t="s">
        <v>525</v>
      </c>
      <c r="R757" t="s">
        <v>61</v>
      </c>
      <c r="S757" t="s">
        <v>58</v>
      </c>
      <c r="T757" t="s">
        <v>524</v>
      </c>
      <c r="U757" t="s">
        <v>525</v>
      </c>
      <c r="V757" t="s">
        <v>56</v>
      </c>
      <c r="W757" t="s">
        <v>56</v>
      </c>
      <c r="X757" t="s">
        <v>56</v>
      </c>
      <c r="Y757" t="s">
        <v>62</v>
      </c>
      <c r="Z757" t="s">
        <v>63</v>
      </c>
      <c r="AA757" t="s">
        <v>64</v>
      </c>
      <c r="AB757">
        <v>1</v>
      </c>
      <c r="AC757" t="s">
        <v>84</v>
      </c>
      <c r="AD757" t="s">
        <v>66</v>
      </c>
      <c r="AE757" t="s">
        <v>121</v>
      </c>
      <c r="AF757" t="s">
        <v>68</v>
      </c>
      <c r="AG757">
        <v>72698.11</v>
      </c>
      <c r="AH757" t="s">
        <v>69</v>
      </c>
      <c r="AI757" t="s">
        <v>142</v>
      </c>
      <c r="AJ757" t="s">
        <v>470</v>
      </c>
      <c r="AK757" t="s">
        <v>72</v>
      </c>
      <c r="AL757" t="s">
        <v>73</v>
      </c>
      <c r="AM757" t="s">
        <v>73</v>
      </c>
      <c r="AN757" t="s">
        <v>124</v>
      </c>
    </row>
    <row r="758" spans="1:40" x14ac:dyDescent="0.25">
      <c r="A758" t="s">
        <v>149</v>
      </c>
      <c r="B758" t="s">
        <v>5</v>
      </c>
      <c r="C758">
        <v>206.418531</v>
      </c>
      <c r="D758">
        <v>175.33865800000001</v>
      </c>
      <c r="E758" t="s">
        <v>56</v>
      </c>
      <c r="F758">
        <v>-7641.34</v>
      </c>
      <c r="G758" t="s">
        <v>149</v>
      </c>
      <c r="H758" t="s">
        <v>7</v>
      </c>
      <c r="I758">
        <v>10215.68</v>
      </c>
      <c r="J758">
        <v>339.41772400000002</v>
      </c>
      <c r="K758">
        <v>288.31252599999999</v>
      </c>
      <c r="L758">
        <v>0</v>
      </c>
      <c r="M758" t="s">
        <v>149</v>
      </c>
      <c r="N758" t="s">
        <v>57</v>
      </c>
      <c r="O758" t="s">
        <v>58</v>
      </c>
      <c r="P758" t="s">
        <v>150</v>
      </c>
      <c r="Q758" t="s">
        <v>151</v>
      </c>
      <c r="R758" t="s">
        <v>61</v>
      </c>
      <c r="S758" t="s">
        <v>58</v>
      </c>
      <c r="T758" t="s">
        <v>150</v>
      </c>
      <c r="U758" t="s">
        <v>151</v>
      </c>
      <c r="V758" t="s">
        <v>56</v>
      </c>
      <c r="W758" t="s">
        <v>56</v>
      </c>
      <c r="X758" t="s">
        <v>56</v>
      </c>
      <c r="Y758" t="s">
        <v>62</v>
      </c>
      <c r="Z758" t="s">
        <v>63</v>
      </c>
      <c r="AA758" t="s">
        <v>64</v>
      </c>
      <c r="AB758">
        <v>1</v>
      </c>
      <c r="AC758" t="s">
        <v>78</v>
      </c>
      <c r="AD758" t="s">
        <v>66</v>
      </c>
      <c r="AE758" t="s">
        <v>67</v>
      </c>
      <c r="AF758" t="s">
        <v>103</v>
      </c>
      <c r="AG758">
        <v>33739.839999999997</v>
      </c>
      <c r="AH758" t="s">
        <v>69</v>
      </c>
      <c r="AI758" t="s">
        <v>152</v>
      </c>
      <c r="AJ758" t="s">
        <v>153</v>
      </c>
      <c r="AK758" t="s">
        <v>72</v>
      </c>
      <c r="AL758" t="s">
        <v>73</v>
      </c>
      <c r="AM758" t="s">
        <v>73</v>
      </c>
      <c r="AN758" t="s">
        <v>74</v>
      </c>
    </row>
    <row r="759" spans="1:40" x14ac:dyDescent="0.25">
      <c r="A759" t="s">
        <v>1178</v>
      </c>
      <c r="B759" t="s">
        <v>5</v>
      </c>
      <c r="C759">
        <v>201.28729799999999</v>
      </c>
      <c r="D759">
        <v>257.04394300000001</v>
      </c>
      <c r="E759" t="s">
        <v>56</v>
      </c>
      <c r="F759">
        <v>-10510.52</v>
      </c>
      <c r="G759" t="s">
        <v>1178</v>
      </c>
      <c r="H759" t="s">
        <v>7</v>
      </c>
      <c r="I759">
        <v>13819.99</v>
      </c>
      <c r="J759">
        <v>325.52301299999999</v>
      </c>
      <c r="K759">
        <v>415.69299000000001</v>
      </c>
      <c r="L759">
        <v>0</v>
      </c>
      <c r="M759" t="s">
        <v>1178</v>
      </c>
      <c r="N759" t="s">
        <v>57</v>
      </c>
      <c r="O759" t="s">
        <v>58</v>
      </c>
      <c r="P759" t="s">
        <v>1179</v>
      </c>
      <c r="Q759" t="s">
        <v>1180</v>
      </c>
      <c r="R759" t="s">
        <v>61</v>
      </c>
      <c r="S759" t="s">
        <v>58</v>
      </c>
      <c r="T759" t="s">
        <v>1179</v>
      </c>
      <c r="U759" t="s">
        <v>1180</v>
      </c>
      <c r="V759" t="s">
        <v>56</v>
      </c>
      <c r="W759" t="s">
        <v>56</v>
      </c>
      <c r="X759" t="s">
        <v>56</v>
      </c>
      <c r="Y759" t="s">
        <v>62</v>
      </c>
      <c r="Z759" t="s">
        <v>63</v>
      </c>
      <c r="AA759" t="s">
        <v>64</v>
      </c>
      <c r="AB759">
        <v>1</v>
      </c>
      <c r="AC759" t="s">
        <v>65</v>
      </c>
      <c r="AD759" t="s">
        <v>66</v>
      </c>
      <c r="AE759" t="s">
        <v>121</v>
      </c>
      <c r="AF759" t="s">
        <v>68</v>
      </c>
      <c r="AG759">
        <v>40327.72</v>
      </c>
      <c r="AH759" t="s">
        <v>69</v>
      </c>
      <c r="AI759" t="s">
        <v>194</v>
      </c>
      <c r="AJ759" t="s">
        <v>704</v>
      </c>
      <c r="AK759" t="s">
        <v>72</v>
      </c>
      <c r="AL759" t="s">
        <v>73</v>
      </c>
      <c r="AM759" t="s">
        <v>73</v>
      </c>
      <c r="AN759" t="s">
        <v>124</v>
      </c>
    </row>
    <row r="760" spans="1:40" x14ac:dyDescent="0.25">
      <c r="A760" t="s">
        <v>2220</v>
      </c>
      <c r="B760" t="s">
        <v>5</v>
      </c>
      <c r="C760" s="2">
        <v>200.86884499999999</v>
      </c>
      <c r="D760" t="s">
        <v>56</v>
      </c>
      <c r="E760" t="s">
        <v>56</v>
      </c>
      <c r="F760">
        <v>-2839.75</v>
      </c>
      <c r="G760" t="s">
        <v>2220</v>
      </c>
      <c r="H760" t="s">
        <v>7</v>
      </c>
      <c r="I760">
        <v>6152.97</v>
      </c>
      <c r="J760">
        <v>0</v>
      </c>
      <c r="K760">
        <v>0</v>
      </c>
      <c r="L760">
        <v>0</v>
      </c>
      <c r="M760" t="s">
        <v>2220</v>
      </c>
      <c r="N760" t="s">
        <v>57</v>
      </c>
      <c r="O760" t="s">
        <v>58</v>
      </c>
      <c r="P760" t="s">
        <v>2221</v>
      </c>
      <c r="Q760" t="s">
        <v>2222</v>
      </c>
      <c r="R760" t="s">
        <v>61</v>
      </c>
      <c r="S760" t="s">
        <v>58</v>
      </c>
      <c r="T760" t="s">
        <v>2221</v>
      </c>
      <c r="U760" t="s">
        <v>2222</v>
      </c>
      <c r="V760" t="s">
        <v>56</v>
      </c>
      <c r="W760" t="s">
        <v>56</v>
      </c>
      <c r="X760" t="s">
        <v>56</v>
      </c>
      <c r="Y760" t="s">
        <v>62</v>
      </c>
      <c r="Z760" t="s">
        <v>63</v>
      </c>
      <c r="AA760" t="s">
        <v>64</v>
      </c>
      <c r="AB760">
        <v>1</v>
      </c>
      <c r="AC760" t="s">
        <v>65</v>
      </c>
      <c r="AD760" t="s">
        <v>66</v>
      </c>
      <c r="AE760" t="s">
        <v>289</v>
      </c>
      <c r="AF760" t="s">
        <v>277</v>
      </c>
      <c r="AG760">
        <v>29779.27</v>
      </c>
      <c r="AH760" t="s">
        <v>69</v>
      </c>
      <c r="AI760" t="s">
        <v>181</v>
      </c>
      <c r="AJ760" t="s">
        <v>414</v>
      </c>
      <c r="AK760" t="s">
        <v>72</v>
      </c>
      <c r="AL760" t="s">
        <v>281</v>
      </c>
      <c r="AM760" t="s">
        <v>73</v>
      </c>
      <c r="AN760" t="s">
        <v>56</v>
      </c>
    </row>
    <row r="761" spans="1:40" x14ac:dyDescent="0.25">
      <c r="A761" t="s">
        <v>582</v>
      </c>
      <c r="B761" t="s">
        <v>5</v>
      </c>
      <c r="C761" s="2">
        <v>194.82342499999999</v>
      </c>
      <c r="D761" t="s">
        <v>56</v>
      </c>
      <c r="E761" t="s">
        <v>56</v>
      </c>
      <c r="F761">
        <v>-6108</v>
      </c>
      <c r="G761" t="s">
        <v>582</v>
      </c>
      <c r="H761" t="s">
        <v>7</v>
      </c>
      <c r="I761">
        <v>10120.67</v>
      </c>
      <c r="J761">
        <v>0</v>
      </c>
      <c r="K761">
        <v>0</v>
      </c>
      <c r="L761">
        <v>0</v>
      </c>
      <c r="M761" t="s">
        <v>582</v>
      </c>
      <c r="N761" t="s">
        <v>57</v>
      </c>
      <c r="O761" t="s">
        <v>58</v>
      </c>
      <c r="P761" t="s">
        <v>583</v>
      </c>
      <c r="Q761" t="s">
        <v>584</v>
      </c>
      <c r="R761" t="s">
        <v>61</v>
      </c>
      <c r="S761" t="s">
        <v>58</v>
      </c>
      <c r="T761" t="s">
        <v>583</v>
      </c>
      <c r="U761" t="s">
        <v>584</v>
      </c>
      <c r="V761" t="s">
        <v>56</v>
      </c>
      <c r="W761" t="s">
        <v>56</v>
      </c>
      <c r="X761" t="s">
        <v>56</v>
      </c>
      <c r="Y761" t="s">
        <v>62</v>
      </c>
      <c r="Z761" t="s">
        <v>63</v>
      </c>
      <c r="AA761" t="s">
        <v>64</v>
      </c>
      <c r="AB761">
        <v>1</v>
      </c>
      <c r="AC761" t="s">
        <v>84</v>
      </c>
      <c r="AD761" t="s">
        <v>66</v>
      </c>
      <c r="AE761" t="s">
        <v>85</v>
      </c>
      <c r="AF761" t="s">
        <v>277</v>
      </c>
      <c r="AG761">
        <v>34990</v>
      </c>
      <c r="AH761" t="s">
        <v>69</v>
      </c>
      <c r="AI761" t="s">
        <v>278</v>
      </c>
      <c r="AJ761" t="s">
        <v>298</v>
      </c>
      <c r="AK761" t="s">
        <v>72</v>
      </c>
      <c r="AL761" t="s">
        <v>281</v>
      </c>
      <c r="AM761" t="s">
        <v>73</v>
      </c>
      <c r="AN761" t="s">
        <v>56</v>
      </c>
    </row>
    <row r="762" spans="1:40" x14ac:dyDescent="0.25">
      <c r="A762" t="s">
        <v>1053</v>
      </c>
      <c r="B762" t="s">
        <v>5</v>
      </c>
      <c r="C762" s="2">
        <v>186.61592400000001</v>
      </c>
      <c r="D762" t="s">
        <v>56</v>
      </c>
      <c r="E762" t="s">
        <v>56</v>
      </c>
      <c r="F762">
        <v>-2462.46</v>
      </c>
      <c r="G762" t="s">
        <v>1053</v>
      </c>
      <c r="H762" t="s">
        <v>7</v>
      </c>
      <c r="I762">
        <v>5598.2</v>
      </c>
      <c r="J762">
        <v>0</v>
      </c>
      <c r="K762">
        <v>0</v>
      </c>
      <c r="L762">
        <v>0</v>
      </c>
      <c r="M762" t="s">
        <v>1053</v>
      </c>
      <c r="N762" t="s">
        <v>57</v>
      </c>
      <c r="O762" t="s">
        <v>58</v>
      </c>
      <c r="P762" t="s">
        <v>1054</v>
      </c>
      <c r="Q762" t="s">
        <v>1055</v>
      </c>
      <c r="R762" t="s">
        <v>61</v>
      </c>
      <c r="S762" t="s">
        <v>58</v>
      </c>
      <c r="T762" t="s">
        <v>1054</v>
      </c>
      <c r="U762" t="s">
        <v>1055</v>
      </c>
      <c r="V762" t="s">
        <v>56</v>
      </c>
      <c r="W762" t="s">
        <v>56</v>
      </c>
      <c r="X762" t="s">
        <v>56</v>
      </c>
      <c r="Y762" t="s">
        <v>62</v>
      </c>
      <c r="Z762" t="s">
        <v>63</v>
      </c>
      <c r="AA762" t="s">
        <v>64</v>
      </c>
      <c r="AB762">
        <v>1</v>
      </c>
      <c r="AC762" t="s">
        <v>84</v>
      </c>
      <c r="AD762" t="s">
        <v>66</v>
      </c>
      <c r="AE762" t="s">
        <v>85</v>
      </c>
      <c r="AF762" t="s">
        <v>68</v>
      </c>
      <c r="AG762">
        <v>35865.449999999997</v>
      </c>
      <c r="AH762" t="s">
        <v>69</v>
      </c>
      <c r="AI762" t="s">
        <v>297</v>
      </c>
      <c r="AJ762" t="s">
        <v>414</v>
      </c>
      <c r="AK762" t="s">
        <v>72</v>
      </c>
      <c r="AL762" t="s">
        <v>73</v>
      </c>
      <c r="AM762" t="s">
        <v>73</v>
      </c>
      <c r="AN762" t="s">
        <v>56</v>
      </c>
    </row>
    <row r="763" spans="1:40" x14ac:dyDescent="0.25">
      <c r="A763" t="s">
        <v>2018</v>
      </c>
      <c r="B763" t="s">
        <v>5</v>
      </c>
      <c r="C763">
        <v>184.88072700000001</v>
      </c>
      <c r="D763">
        <v>157.04374100000001</v>
      </c>
      <c r="E763" t="s">
        <v>56</v>
      </c>
      <c r="F763">
        <v>-10130.81</v>
      </c>
      <c r="G763" t="s">
        <v>2018</v>
      </c>
      <c r="H763" t="s">
        <v>7</v>
      </c>
      <c r="I763">
        <v>16067.13</v>
      </c>
      <c r="J763">
        <v>360.65172100000001</v>
      </c>
      <c r="K763">
        <v>306.349378</v>
      </c>
      <c r="L763">
        <v>0</v>
      </c>
      <c r="M763" t="s">
        <v>2018</v>
      </c>
      <c r="N763" t="s">
        <v>57</v>
      </c>
      <c r="O763" t="s">
        <v>58</v>
      </c>
      <c r="P763" t="s">
        <v>2019</v>
      </c>
      <c r="Q763" t="s">
        <v>2020</v>
      </c>
      <c r="R763" t="s">
        <v>61</v>
      </c>
      <c r="S763" t="s">
        <v>58</v>
      </c>
      <c r="T763" t="s">
        <v>2019</v>
      </c>
      <c r="U763" t="s">
        <v>2020</v>
      </c>
      <c r="V763" t="s">
        <v>56</v>
      </c>
      <c r="W763" t="s">
        <v>56</v>
      </c>
      <c r="X763" t="s">
        <v>56</v>
      </c>
      <c r="Y763" t="s">
        <v>62</v>
      </c>
      <c r="Z763" t="s">
        <v>63</v>
      </c>
      <c r="AA763" t="s">
        <v>64</v>
      </c>
      <c r="AB763">
        <v>1</v>
      </c>
      <c r="AC763" t="s">
        <v>65</v>
      </c>
      <c r="AD763" t="s">
        <v>66</v>
      </c>
      <c r="AE763" t="s">
        <v>67</v>
      </c>
      <c r="AF763" t="s">
        <v>103</v>
      </c>
      <c r="AG763">
        <v>49943.09</v>
      </c>
      <c r="AH763" t="s">
        <v>69</v>
      </c>
      <c r="AI763" t="s">
        <v>128</v>
      </c>
      <c r="AJ763" t="s">
        <v>1341</v>
      </c>
      <c r="AK763" t="s">
        <v>72</v>
      </c>
      <c r="AL763" t="s">
        <v>73</v>
      </c>
      <c r="AM763" t="s">
        <v>73</v>
      </c>
      <c r="AN763" t="s">
        <v>74</v>
      </c>
    </row>
    <row r="764" spans="1:40" x14ac:dyDescent="0.25">
      <c r="A764" t="s">
        <v>1997</v>
      </c>
      <c r="B764" t="s">
        <v>5</v>
      </c>
      <c r="C764" s="2">
        <v>181.84513100000001</v>
      </c>
      <c r="D764" t="s">
        <v>56</v>
      </c>
      <c r="E764" t="s">
        <v>56</v>
      </c>
      <c r="F764">
        <v>-2338.96</v>
      </c>
      <c r="G764" t="s">
        <v>1997</v>
      </c>
      <c r="H764" t="s">
        <v>7</v>
      </c>
      <c r="I764">
        <v>7186.58</v>
      </c>
      <c r="J764">
        <v>0</v>
      </c>
      <c r="K764">
        <v>0</v>
      </c>
      <c r="L764">
        <v>0</v>
      </c>
      <c r="M764" t="s">
        <v>1997</v>
      </c>
      <c r="N764" t="s">
        <v>57</v>
      </c>
      <c r="O764" t="s">
        <v>58</v>
      </c>
      <c r="P764" t="s">
        <v>1998</v>
      </c>
      <c r="Q764" t="s">
        <v>1999</v>
      </c>
      <c r="R764" t="s">
        <v>61</v>
      </c>
      <c r="S764" t="s">
        <v>58</v>
      </c>
      <c r="T764" t="s">
        <v>1998</v>
      </c>
      <c r="U764" t="s">
        <v>1999</v>
      </c>
      <c r="V764" t="s">
        <v>56</v>
      </c>
      <c r="W764" t="s">
        <v>56</v>
      </c>
      <c r="X764" t="s">
        <v>56</v>
      </c>
      <c r="Y764" t="s">
        <v>62</v>
      </c>
      <c r="Z764" t="s">
        <v>63</v>
      </c>
      <c r="AA764" t="s">
        <v>64</v>
      </c>
      <c r="AB764">
        <v>1</v>
      </c>
      <c r="AC764" t="s">
        <v>65</v>
      </c>
      <c r="AD764" t="s">
        <v>66</v>
      </c>
      <c r="AE764" t="s">
        <v>85</v>
      </c>
      <c r="AF764" t="s">
        <v>68</v>
      </c>
      <c r="AG764">
        <v>34960.379999999997</v>
      </c>
      <c r="AH764" t="s">
        <v>69</v>
      </c>
      <c r="AI764" t="s">
        <v>297</v>
      </c>
      <c r="AJ764" t="s">
        <v>470</v>
      </c>
      <c r="AK764" t="s">
        <v>72</v>
      </c>
      <c r="AL764" t="s">
        <v>73</v>
      </c>
      <c r="AM764" t="s">
        <v>73</v>
      </c>
      <c r="AN764" t="s">
        <v>56</v>
      </c>
    </row>
    <row r="765" spans="1:40" x14ac:dyDescent="0.25">
      <c r="A765" t="s">
        <v>1062</v>
      </c>
      <c r="B765" t="s">
        <v>5</v>
      </c>
      <c r="C765" s="2">
        <v>173.29648399999999</v>
      </c>
      <c r="D765" t="s">
        <v>56</v>
      </c>
      <c r="E765" t="s">
        <v>56</v>
      </c>
      <c r="F765">
        <v>-1554.55</v>
      </c>
      <c r="G765" t="s">
        <v>1062</v>
      </c>
      <c r="H765" t="s">
        <v>7</v>
      </c>
      <c r="I765">
        <v>4705.99</v>
      </c>
      <c r="J765">
        <v>0</v>
      </c>
      <c r="K765">
        <v>0</v>
      </c>
      <c r="L765">
        <v>0</v>
      </c>
      <c r="M765" t="s">
        <v>1062</v>
      </c>
      <c r="N765" t="s">
        <v>57</v>
      </c>
      <c r="O765" t="s">
        <v>58</v>
      </c>
      <c r="P765" t="s">
        <v>1063</v>
      </c>
      <c r="Q765" t="s">
        <v>1064</v>
      </c>
      <c r="R765" t="s">
        <v>61</v>
      </c>
      <c r="S765" t="s">
        <v>58</v>
      </c>
      <c r="T765" t="s">
        <v>1063</v>
      </c>
      <c r="U765" t="s">
        <v>1064</v>
      </c>
      <c r="V765" t="s">
        <v>56</v>
      </c>
      <c r="W765" t="s">
        <v>56</v>
      </c>
      <c r="X765" t="s">
        <v>56</v>
      </c>
      <c r="Y765" t="s">
        <v>62</v>
      </c>
      <c r="Z765" t="s">
        <v>63</v>
      </c>
      <c r="AA765" t="s">
        <v>64</v>
      </c>
      <c r="AB765">
        <v>1</v>
      </c>
      <c r="AC765" t="s">
        <v>65</v>
      </c>
      <c r="AD765" t="s">
        <v>66</v>
      </c>
      <c r="AE765" t="s">
        <v>85</v>
      </c>
      <c r="AF765" t="s">
        <v>68</v>
      </c>
      <c r="AG765">
        <v>24382.12</v>
      </c>
      <c r="AH765" t="s">
        <v>69</v>
      </c>
      <c r="AI765" t="s">
        <v>122</v>
      </c>
      <c r="AJ765" t="s">
        <v>1065</v>
      </c>
      <c r="AK765" t="s">
        <v>72</v>
      </c>
      <c r="AL765" t="s">
        <v>73</v>
      </c>
      <c r="AM765" t="s">
        <v>73</v>
      </c>
      <c r="AN765" t="s">
        <v>56</v>
      </c>
    </row>
    <row r="766" spans="1:40" x14ac:dyDescent="0.25">
      <c r="A766" t="s">
        <v>708</v>
      </c>
      <c r="B766" t="s">
        <v>5</v>
      </c>
      <c r="C766">
        <v>172.82514900000001</v>
      </c>
      <c r="D766">
        <v>292.00944800000002</v>
      </c>
      <c r="E766" t="s">
        <v>56</v>
      </c>
      <c r="F766">
        <v>-13568.31</v>
      </c>
      <c r="G766" t="s">
        <v>708</v>
      </c>
      <c r="H766" t="s">
        <v>7</v>
      </c>
      <c r="I766">
        <v>15393.13</v>
      </c>
      <c r="J766">
        <v>432.37377600000002</v>
      </c>
      <c r="K766">
        <v>367.27243900000002</v>
      </c>
      <c r="L766">
        <v>0</v>
      </c>
      <c r="M766" t="s">
        <v>708</v>
      </c>
      <c r="N766" t="s">
        <v>57</v>
      </c>
      <c r="O766" t="s">
        <v>58</v>
      </c>
      <c r="P766" t="s">
        <v>709</v>
      </c>
      <c r="Q766" t="s">
        <v>710</v>
      </c>
      <c r="R766" t="s">
        <v>61</v>
      </c>
      <c r="S766" t="s">
        <v>58</v>
      </c>
      <c r="T766" t="s">
        <v>709</v>
      </c>
      <c r="U766" t="s">
        <v>710</v>
      </c>
      <c r="V766" t="s">
        <v>56</v>
      </c>
      <c r="W766" t="s">
        <v>56</v>
      </c>
      <c r="X766" t="s">
        <v>56</v>
      </c>
      <c r="Y766" t="s">
        <v>62</v>
      </c>
      <c r="Z766" t="s">
        <v>63</v>
      </c>
      <c r="AA766" t="s">
        <v>64</v>
      </c>
      <c r="AB766">
        <v>1</v>
      </c>
      <c r="AC766" t="s">
        <v>78</v>
      </c>
      <c r="AD766" t="s">
        <v>66</v>
      </c>
      <c r="AE766" t="s">
        <v>67</v>
      </c>
      <c r="AF766" t="s">
        <v>68</v>
      </c>
      <c r="AG766">
        <v>39911.39</v>
      </c>
      <c r="AH766" t="s">
        <v>69</v>
      </c>
      <c r="AI766" t="s">
        <v>285</v>
      </c>
      <c r="AJ766" t="s">
        <v>80</v>
      </c>
      <c r="AK766" t="s">
        <v>72</v>
      </c>
      <c r="AL766" t="s">
        <v>73</v>
      </c>
      <c r="AM766" t="s">
        <v>73</v>
      </c>
      <c r="AN766" t="s">
        <v>74</v>
      </c>
    </row>
    <row r="767" spans="1:40" x14ac:dyDescent="0.25">
      <c r="A767" t="s">
        <v>196</v>
      </c>
      <c r="B767" t="s">
        <v>5</v>
      </c>
      <c r="C767">
        <v>162.05930900000001</v>
      </c>
      <c r="D767">
        <v>137.65848199999999</v>
      </c>
      <c r="E767" t="s">
        <v>56</v>
      </c>
      <c r="F767">
        <v>-6123.56</v>
      </c>
      <c r="G767" t="s">
        <v>196</v>
      </c>
      <c r="H767" t="s">
        <v>7</v>
      </c>
      <c r="I767">
        <v>8999.77</v>
      </c>
      <c r="J767">
        <v>292.93521500000003</v>
      </c>
      <c r="K767">
        <v>248.82876099999999</v>
      </c>
      <c r="L767">
        <v>0</v>
      </c>
      <c r="M767" t="s">
        <v>196</v>
      </c>
      <c r="N767" t="s">
        <v>57</v>
      </c>
      <c r="O767" t="s">
        <v>58</v>
      </c>
      <c r="P767" t="s">
        <v>197</v>
      </c>
      <c r="Q767" t="s">
        <v>198</v>
      </c>
      <c r="R767" t="s">
        <v>61</v>
      </c>
      <c r="S767" t="s">
        <v>58</v>
      </c>
      <c r="T767" t="s">
        <v>197</v>
      </c>
      <c r="U767" t="s">
        <v>198</v>
      </c>
      <c r="V767" t="s">
        <v>56</v>
      </c>
      <c r="W767" t="s">
        <v>56</v>
      </c>
      <c r="X767" t="s">
        <v>56</v>
      </c>
      <c r="Y767" t="s">
        <v>62</v>
      </c>
      <c r="Z767" t="s">
        <v>63</v>
      </c>
      <c r="AA767" t="s">
        <v>64</v>
      </c>
      <c r="AB767">
        <v>1</v>
      </c>
      <c r="AC767" t="s">
        <v>84</v>
      </c>
      <c r="AD767" t="s">
        <v>66</v>
      </c>
      <c r="AE767" t="s">
        <v>67</v>
      </c>
      <c r="AF767" t="s">
        <v>103</v>
      </c>
      <c r="AG767">
        <v>34439.03</v>
      </c>
      <c r="AH767" t="s">
        <v>69</v>
      </c>
      <c r="AI767" t="s">
        <v>181</v>
      </c>
      <c r="AJ767" t="s">
        <v>199</v>
      </c>
      <c r="AK767" t="s">
        <v>72</v>
      </c>
      <c r="AL767" t="s">
        <v>73</v>
      </c>
      <c r="AM767" t="s">
        <v>73</v>
      </c>
      <c r="AN767" t="s">
        <v>74</v>
      </c>
    </row>
    <row r="768" spans="1:40" x14ac:dyDescent="0.25">
      <c r="A768" t="s">
        <v>591</v>
      </c>
      <c r="B768" t="s">
        <v>5</v>
      </c>
      <c r="C768" s="2">
        <v>161.73892699999999</v>
      </c>
      <c r="D768" t="s">
        <v>56</v>
      </c>
      <c r="E768" t="s">
        <v>56</v>
      </c>
      <c r="F768">
        <v>-2757.55</v>
      </c>
      <c r="G768" t="s">
        <v>591</v>
      </c>
      <c r="H768" t="s">
        <v>7</v>
      </c>
      <c r="I768">
        <v>8174.85</v>
      </c>
      <c r="J768">
        <v>0</v>
      </c>
      <c r="K768">
        <v>0</v>
      </c>
      <c r="L768">
        <v>0</v>
      </c>
      <c r="M768" t="s">
        <v>591</v>
      </c>
      <c r="N768" t="s">
        <v>57</v>
      </c>
      <c r="O768" t="s">
        <v>58</v>
      </c>
      <c r="P768" t="s">
        <v>592</v>
      </c>
      <c r="Q768" t="s">
        <v>593</v>
      </c>
      <c r="R768" t="s">
        <v>61</v>
      </c>
      <c r="S768" t="s">
        <v>58</v>
      </c>
      <c r="T768" t="s">
        <v>592</v>
      </c>
      <c r="U768" t="s">
        <v>593</v>
      </c>
      <c r="V768" t="s">
        <v>56</v>
      </c>
      <c r="W768" t="s">
        <v>56</v>
      </c>
      <c r="X768" t="s">
        <v>56</v>
      </c>
      <c r="Y768" t="s">
        <v>62</v>
      </c>
      <c r="Z768" t="s">
        <v>63</v>
      </c>
      <c r="AA768" t="s">
        <v>64</v>
      </c>
      <c r="AB768">
        <v>1</v>
      </c>
      <c r="AC768" t="s">
        <v>84</v>
      </c>
      <c r="AD768" t="s">
        <v>66</v>
      </c>
      <c r="AE768" t="s">
        <v>85</v>
      </c>
      <c r="AF768" t="s">
        <v>68</v>
      </c>
      <c r="AG768">
        <v>46341.46</v>
      </c>
      <c r="AH768" t="s">
        <v>69</v>
      </c>
      <c r="AI768" t="s">
        <v>168</v>
      </c>
      <c r="AJ768" t="s">
        <v>594</v>
      </c>
      <c r="AK768" t="s">
        <v>72</v>
      </c>
      <c r="AL768" t="s">
        <v>73</v>
      </c>
      <c r="AM768" t="s">
        <v>73</v>
      </c>
      <c r="AN768" t="s">
        <v>56</v>
      </c>
    </row>
    <row r="769" spans="1:40" x14ac:dyDescent="0.25">
      <c r="A769" t="s">
        <v>294</v>
      </c>
      <c r="B769" t="s">
        <v>5</v>
      </c>
      <c r="C769">
        <v>154.36098999999999</v>
      </c>
      <c r="D769">
        <v>131.11927800000001</v>
      </c>
      <c r="E769" t="s">
        <v>56</v>
      </c>
      <c r="F769">
        <v>-8466.43</v>
      </c>
      <c r="G769" t="s">
        <v>294</v>
      </c>
      <c r="H769" t="s">
        <v>7</v>
      </c>
      <c r="I769">
        <v>13954.31</v>
      </c>
      <c r="J769">
        <v>312.927077</v>
      </c>
      <c r="K769">
        <v>265.81050299999998</v>
      </c>
      <c r="L769">
        <v>0</v>
      </c>
      <c r="M769" t="s">
        <v>294</v>
      </c>
      <c r="N769" t="s">
        <v>57</v>
      </c>
      <c r="O769" t="s">
        <v>58</v>
      </c>
      <c r="P769" t="s">
        <v>295</v>
      </c>
      <c r="Q769" t="s">
        <v>296</v>
      </c>
      <c r="R769" t="s">
        <v>61</v>
      </c>
      <c r="S769" t="s">
        <v>58</v>
      </c>
      <c r="T769" t="s">
        <v>295</v>
      </c>
      <c r="U769" t="s">
        <v>296</v>
      </c>
      <c r="V769" t="s">
        <v>56</v>
      </c>
      <c r="W769" t="s">
        <v>56</v>
      </c>
      <c r="X769" t="s">
        <v>56</v>
      </c>
      <c r="Y769" t="s">
        <v>62</v>
      </c>
      <c r="Z769" t="s">
        <v>63</v>
      </c>
      <c r="AA769" t="s">
        <v>64</v>
      </c>
      <c r="AB769">
        <v>1</v>
      </c>
      <c r="AC769" t="s">
        <v>65</v>
      </c>
      <c r="AD769" t="s">
        <v>66</v>
      </c>
      <c r="AE769" t="s">
        <v>67</v>
      </c>
      <c r="AF769" t="s">
        <v>68</v>
      </c>
      <c r="AG769">
        <v>49990.3</v>
      </c>
      <c r="AH769" t="s">
        <v>69</v>
      </c>
      <c r="AI769" t="s">
        <v>297</v>
      </c>
      <c r="AJ769" t="s">
        <v>298</v>
      </c>
      <c r="AK769" t="s">
        <v>72</v>
      </c>
      <c r="AL769" t="s">
        <v>73</v>
      </c>
      <c r="AM769" t="s">
        <v>73</v>
      </c>
      <c r="AN769" t="s">
        <v>74</v>
      </c>
    </row>
    <row r="770" spans="1:40" x14ac:dyDescent="0.25">
      <c r="A770" t="s">
        <v>2237</v>
      </c>
      <c r="B770" t="s">
        <v>5</v>
      </c>
      <c r="C770" s="2">
        <v>149.94400099999999</v>
      </c>
      <c r="D770" t="s">
        <v>56</v>
      </c>
      <c r="E770" t="s">
        <v>56</v>
      </c>
      <c r="F770">
        <v>-2293.2800000000002</v>
      </c>
      <c r="G770" t="s">
        <v>2237</v>
      </c>
      <c r="H770" t="s">
        <v>7</v>
      </c>
      <c r="I770">
        <v>6616.3</v>
      </c>
      <c r="J770">
        <v>0</v>
      </c>
      <c r="K770">
        <v>0</v>
      </c>
      <c r="L770">
        <v>0</v>
      </c>
      <c r="M770" t="s">
        <v>2237</v>
      </c>
      <c r="N770" t="s">
        <v>57</v>
      </c>
      <c r="O770" t="s">
        <v>58</v>
      </c>
      <c r="P770" t="s">
        <v>2238</v>
      </c>
      <c r="Q770" t="s">
        <v>2239</v>
      </c>
      <c r="R770" t="s">
        <v>61</v>
      </c>
      <c r="S770" t="s">
        <v>58</v>
      </c>
      <c r="T770" t="s">
        <v>2238</v>
      </c>
      <c r="U770" t="s">
        <v>2239</v>
      </c>
      <c r="V770" t="s">
        <v>56</v>
      </c>
      <c r="W770" t="s">
        <v>56</v>
      </c>
      <c r="X770" t="s">
        <v>56</v>
      </c>
      <c r="Y770" t="s">
        <v>62</v>
      </c>
      <c r="Z770" t="s">
        <v>63</v>
      </c>
      <c r="AA770" t="s">
        <v>64</v>
      </c>
      <c r="AB770">
        <v>1</v>
      </c>
      <c r="AC770" t="s">
        <v>84</v>
      </c>
      <c r="AD770" t="s">
        <v>66</v>
      </c>
      <c r="AE770" t="s">
        <v>85</v>
      </c>
      <c r="AF770" t="s">
        <v>68</v>
      </c>
      <c r="AG770">
        <v>41570.36</v>
      </c>
      <c r="AH770" t="s">
        <v>69</v>
      </c>
      <c r="AI770" t="s">
        <v>297</v>
      </c>
      <c r="AJ770" t="s">
        <v>368</v>
      </c>
      <c r="AK770" t="s">
        <v>72</v>
      </c>
      <c r="AL770" t="s">
        <v>73</v>
      </c>
      <c r="AM770" t="s">
        <v>73</v>
      </c>
      <c r="AN770" t="s">
        <v>56</v>
      </c>
    </row>
    <row r="771" spans="1:40" x14ac:dyDescent="0.25">
      <c r="A771" t="s">
        <v>1059</v>
      </c>
      <c r="B771" t="s">
        <v>5</v>
      </c>
      <c r="C771" s="2">
        <v>148.57327599999999</v>
      </c>
      <c r="D771" t="s">
        <v>56</v>
      </c>
      <c r="E771" t="s">
        <v>56</v>
      </c>
      <c r="F771">
        <v>-1221.6600000000001</v>
      </c>
      <c r="G771" t="s">
        <v>1059</v>
      </c>
      <c r="H771" t="s">
        <v>7</v>
      </c>
      <c r="I771">
        <v>3527.59</v>
      </c>
      <c r="J771">
        <v>0</v>
      </c>
      <c r="K771">
        <v>0</v>
      </c>
      <c r="L771">
        <v>0</v>
      </c>
      <c r="M771" t="s">
        <v>1059</v>
      </c>
      <c r="N771" t="s">
        <v>57</v>
      </c>
      <c r="O771" t="s">
        <v>58</v>
      </c>
      <c r="P771" t="s">
        <v>1060</v>
      </c>
      <c r="Q771" t="s">
        <v>1061</v>
      </c>
      <c r="R771" t="s">
        <v>61</v>
      </c>
      <c r="S771" t="s">
        <v>58</v>
      </c>
      <c r="T771" t="s">
        <v>1060</v>
      </c>
      <c r="U771" t="s">
        <v>1061</v>
      </c>
      <c r="V771" t="s">
        <v>56</v>
      </c>
      <c r="W771" t="s">
        <v>56</v>
      </c>
      <c r="X771" t="s">
        <v>56</v>
      </c>
      <c r="Y771" t="s">
        <v>62</v>
      </c>
      <c r="Z771" t="s">
        <v>63</v>
      </c>
      <c r="AA771" t="s">
        <v>64</v>
      </c>
      <c r="AB771">
        <v>1</v>
      </c>
      <c r="AC771" t="s">
        <v>84</v>
      </c>
      <c r="AD771" t="s">
        <v>66</v>
      </c>
      <c r="AE771" t="s">
        <v>85</v>
      </c>
      <c r="AF771" t="s">
        <v>68</v>
      </c>
      <c r="AG771">
        <v>22349.59</v>
      </c>
      <c r="AH771" t="s">
        <v>69</v>
      </c>
      <c r="AI771" t="s">
        <v>269</v>
      </c>
      <c r="AJ771" t="s">
        <v>368</v>
      </c>
      <c r="AK771" t="s">
        <v>72</v>
      </c>
      <c r="AL771" t="s">
        <v>73</v>
      </c>
      <c r="AM771" t="s">
        <v>73</v>
      </c>
      <c r="AN771" t="s">
        <v>56</v>
      </c>
    </row>
    <row r="772" spans="1:40" x14ac:dyDescent="0.25">
      <c r="A772" t="s">
        <v>1844</v>
      </c>
      <c r="B772" t="s">
        <v>5</v>
      </c>
      <c r="C772" s="2">
        <v>148.546482</v>
      </c>
      <c r="D772" t="s">
        <v>56</v>
      </c>
      <c r="E772" t="s">
        <v>56</v>
      </c>
      <c r="F772">
        <v>-2231.4899999999998</v>
      </c>
      <c r="G772" t="s">
        <v>1844</v>
      </c>
      <c r="H772" t="s">
        <v>7</v>
      </c>
      <c r="I772">
        <v>6401.74</v>
      </c>
      <c r="J772">
        <v>0</v>
      </c>
      <c r="K772">
        <v>0</v>
      </c>
      <c r="L772">
        <v>0</v>
      </c>
      <c r="M772" t="s">
        <v>1844</v>
      </c>
      <c r="N772" t="s">
        <v>57</v>
      </c>
      <c r="O772" t="s">
        <v>58</v>
      </c>
      <c r="P772" t="s">
        <v>1845</v>
      </c>
      <c r="Q772" t="s">
        <v>1846</v>
      </c>
      <c r="R772" t="s">
        <v>61</v>
      </c>
      <c r="S772" t="s">
        <v>58</v>
      </c>
      <c r="T772" t="s">
        <v>1845</v>
      </c>
      <c r="U772" t="s">
        <v>1846</v>
      </c>
      <c r="V772" t="s">
        <v>56</v>
      </c>
      <c r="W772" t="s">
        <v>56</v>
      </c>
      <c r="X772" t="s">
        <v>56</v>
      </c>
      <c r="Y772" t="s">
        <v>62</v>
      </c>
      <c r="Z772" t="s">
        <v>63</v>
      </c>
      <c r="AA772" t="s">
        <v>64</v>
      </c>
      <c r="AB772">
        <v>1</v>
      </c>
      <c r="AC772" t="s">
        <v>84</v>
      </c>
      <c r="AD772" t="s">
        <v>66</v>
      </c>
      <c r="AE772" t="s">
        <v>289</v>
      </c>
      <c r="AF772" t="s">
        <v>68</v>
      </c>
      <c r="AG772">
        <v>41066.019999999997</v>
      </c>
      <c r="AH772" t="s">
        <v>69</v>
      </c>
      <c r="AI772" t="s">
        <v>297</v>
      </c>
      <c r="AJ772" t="s">
        <v>368</v>
      </c>
      <c r="AK772" t="s">
        <v>72</v>
      </c>
      <c r="AL772" t="s">
        <v>73</v>
      </c>
      <c r="AM772" t="s">
        <v>73</v>
      </c>
      <c r="AN772" t="s">
        <v>56</v>
      </c>
    </row>
    <row r="773" spans="1:40" x14ac:dyDescent="0.25">
      <c r="A773" t="s">
        <v>258</v>
      </c>
      <c r="B773" t="s">
        <v>5</v>
      </c>
      <c r="C773" s="2">
        <v>145.97224</v>
      </c>
      <c r="D773" t="s">
        <v>56</v>
      </c>
      <c r="E773" t="s">
        <v>56</v>
      </c>
      <c r="F773">
        <v>-1879.6</v>
      </c>
      <c r="G773" t="s">
        <v>258</v>
      </c>
      <c r="H773" t="s">
        <v>7</v>
      </c>
      <c r="I773">
        <v>5575.24</v>
      </c>
      <c r="J773">
        <v>0</v>
      </c>
      <c r="K773">
        <v>0</v>
      </c>
      <c r="L773">
        <v>0</v>
      </c>
      <c r="M773" t="s">
        <v>258</v>
      </c>
      <c r="N773" t="s">
        <v>57</v>
      </c>
      <c r="O773" t="s">
        <v>58</v>
      </c>
      <c r="P773" t="s">
        <v>259</v>
      </c>
      <c r="Q773" t="s">
        <v>260</v>
      </c>
      <c r="R773" t="s">
        <v>61</v>
      </c>
      <c r="S773" t="s">
        <v>58</v>
      </c>
      <c r="T773" t="s">
        <v>259</v>
      </c>
      <c r="U773" t="s">
        <v>260</v>
      </c>
      <c r="V773" t="s">
        <v>56</v>
      </c>
      <c r="W773" t="s">
        <v>56</v>
      </c>
      <c r="X773" t="s">
        <v>56</v>
      </c>
      <c r="Y773" t="s">
        <v>62</v>
      </c>
      <c r="Z773" t="s">
        <v>63</v>
      </c>
      <c r="AA773" t="s">
        <v>64</v>
      </c>
      <c r="AB773">
        <v>1</v>
      </c>
      <c r="AC773" t="s">
        <v>78</v>
      </c>
      <c r="AD773" t="s">
        <v>66</v>
      </c>
      <c r="AE773" t="s">
        <v>85</v>
      </c>
      <c r="AF773" t="s">
        <v>103</v>
      </c>
      <c r="AG773">
        <v>34998.370000000003</v>
      </c>
      <c r="AH773" t="s">
        <v>69</v>
      </c>
      <c r="AI773" t="s">
        <v>244</v>
      </c>
      <c r="AJ773" t="s">
        <v>261</v>
      </c>
      <c r="AK773" t="s">
        <v>72</v>
      </c>
      <c r="AL773" t="s">
        <v>73</v>
      </c>
      <c r="AM773" t="s">
        <v>73</v>
      </c>
      <c r="AN773" t="s">
        <v>56</v>
      </c>
    </row>
    <row r="774" spans="1:40" x14ac:dyDescent="0.25">
      <c r="A774" t="s">
        <v>1684</v>
      </c>
      <c r="B774" t="s">
        <v>5</v>
      </c>
      <c r="C774">
        <v>142.168835</v>
      </c>
      <c r="D774">
        <v>240.211817</v>
      </c>
      <c r="E774" t="s">
        <v>56</v>
      </c>
      <c r="F774">
        <v>-10929.43</v>
      </c>
      <c r="G774" t="s">
        <v>1684</v>
      </c>
      <c r="H774" t="s">
        <v>7</v>
      </c>
      <c r="I774">
        <v>12556.85</v>
      </c>
      <c r="J774">
        <v>360.17527100000001</v>
      </c>
      <c r="K774">
        <v>305.94466599999998</v>
      </c>
      <c r="L774">
        <v>0</v>
      </c>
      <c r="M774" t="s">
        <v>1684</v>
      </c>
      <c r="N774" t="s">
        <v>57</v>
      </c>
      <c r="O774" t="s">
        <v>58</v>
      </c>
      <c r="P774" t="s">
        <v>1685</v>
      </c>
      <c r="Q774" t="s">
        <v>1686</v>
      </c>
      <c r="R774" t="s">
        <v>61</v>
      </c>
      <c r="S774" t="s">
        <v>58</v>
      </c>
      <c r="T774" t="s">
        <v>1685</v>
      </c>
      <c r="U774" t="s">
        <v>1686</v>
      </c>
      <c r="V774" t="s">
        <v>56</v>
      </c>
      <c r="W774" t="s">
        <v>56</v>
      </c>
      <c r="X774" t="s">
        <v>56</v>
      </c>
      <c r="Y774" t="s">
        <v>62</v>
      </c>
      <c r="Z774" t="s">
        <v>63</v>
      </c>
      <c r="AA774" t="s">
        <v>64</v>
      </c>
      <c r="AB774">
        <v>1</v>
      </c>
      <c r="AC774" t="s">
        <v>120</v>
      </c>
      <c r="AD774" t="s">
        <v>66</v>
      </c>
      <c r="AE774" t="s">
        <v>67</v>
      </c>
      <c r="AF774" t="s">
        <v>68</v>
      </c>
      <c r="AG774">
        <v>39081.519999999997</v>
      </c>
      <c r="AH774" t="s">
        <v>69</v>
      </c>
      <c r="AI774" t="s">
        <v>400</v>
      </c>
      <c r="AJ774" t="s">
        <v>433</v>
      </c>
      <c r="AK774" t="s">
        <v>72</v>
      </c>
      <c r="AL774" t="s">
        <v>73</v>
      </c>
      <c r="AM774" t="s">
        <v>73</v>
      </c>
      <c r="AN774" t="s">
        <v>74</v>
      </c>
    </row>
    <row r="775" spans="1:40" x14ac:dyDescent="0.25">
      <c r="A775" t="s">
        <v>1775</v>
      </c>
      <c r="B775" t="s">
        <v>5</v>
      </c>
      <c r="C775">
        <v>137.99139500000001</v>
      </c>
      <c r="D775">
        <v>174.85916900000001</v>
      </c>
      <c r="E775" t="s">
        <v>56</v>
      </c>
      <c r="F775">
        <v>-3969.46</v>
      </c>
      <c r="G775" t="s">
        <v>1775</v>
      </c>
      <c r="H775" t="s">
        <v>7</v>
      </c>
      <c r="I775">
        <v>7279.5</v>
      </c>
      <c r="J775">
        <v>326.40782300000001</v>
      </c>
      <c r="K775">
        <v>277.26148999999998</v>
      </c>
      <c r="L775">
        <v>0</v>
      </c>
      <c r="M775" t="s">
        <v>1775</v>
      </c>
      <c r="N775" t="s">
        <v>57</v>
      </c>
      <c r="O775" t="s">
        <v>58</v>
      </c>
      <c r="P775" t="s">
        <v>1776</v>
      </c>
      <c r="Q775" t="s">
        <v>1777</v>
      </c>
      <c r="R775" t="s">
        <v>61</v>
      </c>
      <c r="S775" t="s">
        <v>58</v>
      </c>
      <c r="T775" t="s">
        <v>1776</v>
      </c>
      <c r="U775" t="s">
        <v>1777</v>
      </c>
      <c r="V775" t="s">
        <v>56</v>
      </c>
      <c r="W775" t="s">
        <v>56</v>
      </c>
      <c r="X775" t="s">
        <v>56</v>
      </c>
      <c r="Y775" t="s">
        <v>62</v>
      </c>
      <c r="Z775" t="s">
        <v>63</v>
      </c>
      <c r="AA775" t="s">
        <v>64</v>
      </c>
      <c r="AB775">
        <v>1</v>
      </c>
      <c r="AC775" t="s">
        <v>84</v>
      </c>
      <c r="AD775" t="s">
        <v>66</v>
      </c>
      <c r="AE775" t="s">
        <v>67</v>
      </c>
      <c r="AF775" t="s">
        <v>68</v>
      </c>
      <c r="AG775">
        <v>25000</v>
      </c>
      <c r="AH775" t="s">
        <v>69</v>
      </c>
      <c r="AI775" t="s">
        <v>269</v>
      </c>
      <c r="AJ775" t="s">
        <v>245</v>
      </c>
      <c r="AK775" t="s">
        <v>99</v>
      </c>
      <c r="AL775" t="s">
        <v>73</v>
      </c>
      <c r="AM775" t="s">
        <v>73</v>
      </c>
      <c r="AN775" t="s">
        <v>74</v>
      </c>
    </row>
    <row r="776" spans="1:40" x14ac:dyDescent="0.25">
      <c r="A776" t="s">
        <v>1769</v>
      </c>
      <c r="B776" t="s">
        <v>5</v>
      </c>
      <c r="C776" s="2">
        <v>128.948498</v>
      </c>
      <c r="D776" t="s">
        <v>56</v>
      </c>
      <c r="E776" t="s">
        <v>56</v>
      </c>
      <c r="F776">
        <v>-1658.54</v>
      </c>
      <c r="G776" t="s">
        <v>1769</v>
      </c>
      <c r="H776" t="s">
        <v>7</v>
      </c>
      <c r="I776">
        <v>4954.97</v>
      </c>
      <c r="J776">
        <v>0</v>
      </c>
      <c r="K776">
        <v>0</v>
      </c>
      <c r="L776">
        <v>0</v>
      </c>
      <c r="M776" t="s">
        <v>1769</v>
      </c>
      <c r="N776" t="s">
        <v>57</v>
      </c>
      <c r="O776" t="s">
        <v>58</v>
      </c>
      <c r="P776" t="s">
        <v>1770</v>
      </c>
      <c r="Q776" t="s">
        <v>1771</v>
      </c>
      <c r="R776" t="s">
        <v>61</v>
      </c>
      <c r="S776" t="s">
        <v>58</v>
      </c>
      <c r="T776" t="s">
        <v>1770</v>
      </c>
      <c r="U776" t="s">
        <v>1771</v>
      </c>
      <c r="V776" t="s">
        <v>56</v>
      </c>
      <c r="W776" t="s">
        <v>56</v>
      </c>
      <c r="X776" t="s">
        <v>56</v>
      </c>
      <c r="Y776" t="s">
        <v>62</v>
      </c>
      <c r="Z776" t="s">
        <v>63</v>
      </c>
      <c r="AA776" t="s">
        <v>64</v>
      </c>
      <c r="AB776">
        <v>1</v>
      </c>
      <c r="AC776" t="s">
        <v>84</v>
      </c>
      <c r="AD776" t="s">
        <v>66</v>
      </c>
      <c r="AE776" t="s">
        <v>85</v>
      </c>
      <c r="AF776" t="s">
        <v>68</v>
      </c>
      <c r="AG776">
        <v>34959.339999999997</v>
      </c>
      <c r="AH776" t="s">
        <v>69</v>
      </c>
      <c r="AI776" t="s">
        <v>122</v>
      </c>
      <c r="AJ776" t="s">
        <v>261</v>
      </c>
      <c r="AK776" t="s">
        <v>72</v>
      </c>
      <c r="AL776" t="s">
        <v>73</v>
      </c>
      <c r="AM776" t="s">
        <v>73</v>
      </c>
      <c r="AN776" t="s">
        <v>56</v>
      </c>
    </row>
    <row r="777" spans="1:40" x14ac:dyDescent="0.25">
      <c r="A777" t="s">
        <v>1847</v>
      </c>
      <c r="B777" t="s">
        <v>5</v>
      </c>
      <c r="C777" s="2">
        <v>125.28097099999999</v>
      </c>
      <c r="D777" t="s">
        <v>56</v>
      </c>
      <c r="E777" t="s">
        <v>56</v>
      </c>
      <c r="F777">
        <v>-1536.68</v>
      </c>
      <c r="G777" t="s">
        <v>1847</v>
      </c>
      <c r="H777" t="s">
        <v>7</v>
      </c>
      <c r="I777">
        <v>3351.98</v>
      </c>
      <c r="J777">
        <v>0</v>
      </c>
      <c r="K777">
        <v>0</v>
      </c>
      <c r="L777">
        <v>0</v>
      </c>
      <c r="M777" t="s">
        <v>1847</v>
      </c>
      <c r="N777" t="s">
        <v>57</v>
      </c>
      <c r="O777" t="s">
        <v>58</v>
      </c>
      <c r="P777" t="s">
        <v>1848</v>
      </c>
      <c r="Q777" t="s">
        <v>1849</v>
      </c>
      <c r="R777" t="s">
        <v>61</v>
      </c>
      <c r="S777" t="s">
        <v>58</v>
      </c>
      <c r="T777" t="s">
        <v>1848</v>
      </c>
      <c r="U777" t="s">
        <v>1849</v>
      </c>
      <c r="V777" t="s">
        <v>56</v>
      </c>
      <c r="W777" t="s">
        <v>56</v>
      </c>
      <c r="X777" t="s">
        <v>56</v>
      </c>
      <c r="Y777" t="s">
        <v>62</v>
      </c>
      <c r="Z777" t="s">
        <v>63</v>
      </c>
      <c r="AA777" t="s">
        <v>64</v>
      </c>
      <c r="AB777">
        <v>1</v>
      </c>
      <c r="AC777" t="s">
        <v>65</v>
      </c>
      <c r="AD777" t="s">
        <v>66</v>
      </c>
      <c r="AE777" t="s">
        <v>85</v>
      </c>
      <c r="AF777" t="s">
        <v>68</v>
      </c>
      <c r="AG777">
        <v>33339.18</v>
      </c>
      <c r="AH777" t="s">
        <v>69</v>
      </c>
      <c r="AI777" t="s">
        <v>70</v>
      </c>
      <c r="AJ777" t="s">
        <v>1850</v>
      </c>
      <c r="AK777" t="s">
        <v>72</v>
      </c>
      <c r="AL777" t="s">
        <v>73</v>
      </c>
      <c r="AM777" t="s">
        <v>73</v>
      </c>
      <c r="AN777" t="s">
        <v>56</v>
      </c>
    </row>
    <row r="778" spans="1:40" x14ac:dyDescent="0.25">
      <c r="A778" t="s">
        <v>2276</v>
      </c>
      <c r="B778" t="s">
        <v>5</v>
      </c>
      <c r="C778">
        <v>116.840234</v>
      </c>
      <c r="D778">
        <v>99.247918999999996</v>
      </c>
      <c r="E778" t="s">
        <v>56</v>
      </c>
      <c r="F778">
        <v>-6408.7</v>
      </c>
      <c r="G778" t="s">
        <v>2276</v>
      </c>
      <c r="H778" t="s">
        <v>7</v>
      </c>
      <c r="I778">
        <v>12798.27</v>
      </c>
      <c r="J778">
        <v>286.99808100000001</v>
      </c>
      <c r="K778">
        <v>243.78556499999999</v>
      </c>
      <c r="L778">
        <v>0</v>
      </c>
      <c r="M778" t="s">
        <v>2276</v>
      </c>
      <c r="N778" t="s">
        <v>57</v>
      </c>
      <c r="O778" t="s">
        <v>58</v>
      </c>
      <c r="P778" t="s">
        <v>2277</v>
      </c>
      <c r="Q778" t="s">
        <v>2278</v>
      </c>
      <c r="R778" t="s">
        <v>61</v>
      </c>
      <c r="S778" t="s">
        <v>58</v>
      </c>
      <c r="T778" t="s">
        <v>2277</v>
      </c>
      <c r="U778" t="s">
        <v>2278</v>
      </c>
      <c r="V778" t="s">
        <v>56</v>
      </c>
      <c r="W778" t="s">
        <v>56</v>
      </c>
      <c r="X778" t="s">
        <v>56</v>
      </c>
      <c r="Y778" t="s">
        <v>62</v>
      </c>
      <c r="Z778" t="s">
        <v>63</v>
      </c>
      <c r="AA778" t="s">
        <v>64</v>
      </c>
      <c r="AB778">
        <v>1</v>
      </c>
      <c r="AC778" t="s">
        <v>147</v>
      </c>
      <c r="AD778" t="s">
        <v>66</v>
      </c>
      <c r="AE778" t="s">
        <v>67</v>
      </c>
      <c r="AF778" t="s">
        <v>68</v>
      </c>
      <c r="AG778">
        <v>49991.87</v>
      </c>
      <c r="AH778" t="s">
        <v>69</v>
      </c>
      <c r="AI778" t="s">
        <v>765</v>
      </c>
      <c r="AJ778" t="s">
        <v>704</v>
      </c>
      <c r="AK778" t="s">
        <v>72</v>
      </c>
      <c r="AL778" t="s">
        <v>73</v>
      </c>
      <c r="AM778" t="s">
        <v>73</v>
      </c>
      <c r="AN778" t="s">
        <v>74</v>
      </c>
    </row>
    <row r="779" spans="1:40" x14ac:dyDescent="0.25">
      <c r="A779" t="s">
        <v>1232</v>
      </c>
      <c r="B779" t="s">
        <v>5</v>
      </c>
      <c r="C779" s="2">
        <v>113.312197</v>
      </c>
      <c r="D779" t="s">
        <v>56</v>
      </c>
      <c r="E779" t="s">
        <v>56</v>
      </c>
      <c r="F779">
        <v>-1457.42</v>
      </c>
      <c r="G779" t="s">
        <v>1232</v>
      </c>
      <c r="H779" t="s">
        <v>7</v>
      </c>
      <c r="I779">
        <v>5948.77</v>
      </c>
      <c r="J779">
        <v>0</v>
      </c>
      <c r="K779">
        <v>0</v>
      </c>
      <c r="L779">
        <v>0</v>
      </c>
      <c r="M779" t="s">
        <v>1232</v>
      </c>
      <c r="N779" t="s">
        <v>57</v>
      </c>
      <c r="O779" t="s">
        <v>58</v>
      </c>
      <c r="P779" t="s">
        <v>1233</v>
      </c>
      <c r="Q779" t="s">
        <v>1234</v>
      </c>
      <c r="R779" t="s">
        <v>61</v>
      </c>
      <c r="S779" t="s">
        <v>58</v>
      </c>
      <c r="T779" t="s">
        <v>1233</v>
      </c>
      <c r="U779" t="s">
        <v>1234</v>
      </c>
      <c r="V779" t="s">
        <v>56</v>
      </c>
      <c r="W779" t="s">
        <v>56</v>
      </c>
      <c r="X779" t="s">
        <v>56</v>
      </c>
      <c r="Y779" t="s">
        <v>62</v>
      </c>
      <c r="Z779" t="s">
        <v>63</v>
      </c>
      <c r="AA779" t="s">
        <v>64</v>
      </c>
      <c r="AB779">
        <v>1</v>
      </c>
      <c r="AC779" t="s">
        <v>65</v>
      </c>
      <c r="AD779" t="s">
        <v>66</v>
      </c>
      <c r="AE779" t="s">
        <v>85</v>
      </c>
      <c r="AF779" t="s">
        <v>68</v>
      </c>
      <c r="AG779">
        <v>34959.35</v>
      </c>
      <c r="AH779" t="s">
        <v>69</v>
      </c>
      <c r="AI779" t="s">
        <v>278</v>
      </c>
      <c r="AJ779" t="s">
        <v>860</v>
      </c>
      <c r="AK779" t="s">
        <v>72</v>
      </c>
      <c r="AL779" t="s">
        <v>73</v>
      </c>
      <c r="AM779" t="s">
        <v>73</v>
      </c>
      <c r="AN779" t="s">
        <v>56</v>
      </c>
    </row>
    <row r="780" spans="1:40" x14ac:dyDescent="0.25">
      <c r="A780" t="s">
        <v>1050</v>
      </c>
      <c r="B780" t="s">
        <v>5</v>
      </c>
      <c r="C780">
        <v>108.93451899999999</v>
      </c>
      <c r="D780">
        <v>92.532545999999996</v>
      </c>
      <c r="E780" t="s">
        <v>56</v>
      </c>
      <c r="F780">
        <v>-4126.2700000000004</v>
      </c>
      <c r="G780" t="s">
        <v>1050</v>
      </c>
      <c r="H780" t="s">
        <v>7</v>
      </c>
      <c r="I780">
        <v>8183.46</v>
      </c>
      <c r="J780">
        <v>265.72484700000001</v>
      </c>
      <c r="K780">
        <v>225.715383</v>
      </c>
      <c r="L780">
        <v>0</v>
      </c>
      <c r="M780" t="s">
        <v>1050</v>
      </c>
      <c r="N780" t="s">
        <v>57</v>
      </c>
      <c r="O780" t="s">
        <v>58</v>
      </c>
      <c r="P780" t="s">
        <v>1051</v>
      </c>
      <c r="Q780" t="s">
        <v>1052</v>
      </c>
      <c r="R780" t="s">
        <v>61</v>
      </c>
      <c r="S780" t="s">
        <v>58</v>
      </c>
      <c r="T780" t="s">
        <v>1051</v>
      </c>
      <c r="U780" t="s">
        <v>1052</v>
      </c>
      <c r="V780" t="s">
        <v>56</v>
      </c>
      <c r="W780" t="s">
        <v>56</v>
      </c>
      <c r="X780" t="s">
        <v>56</v>
      </c>
      <c r="Y780" t="s">
        <v>62</v>
      </c>
      <c r="Z780" t="s">
        <v>63</v>
      </c>
      <c r="AA780" t="s">
        <v>64</v>
      </c>
      <c r="AB780">
        <v>1</v>
      </c>
      <c r="AC780" t="s">
        <v>120</v>
      </c>
      <c r="AD780" t="s">
        <v>66</v>
      </c>
      <c r="AE780" t="s">
        <v>67</v>
      </c>
      <c r="AF780" t="s">
        <v>68</v>
      </c>
      <c r="AG780">
        <v>34523.25</v>
      </c>
      <c r="AH780" t="s">
        <v>69</v>
      </c>
      <c r="AI780" t="s">
        <v>70</v>
      </c>
      <c r="AJ780" t="s">
        <v>529</v>
      </c>
      <c r="AK780" t="s">
        <v>72</v>
      </c>
      <c r="AL780" t="s">
        <v>73</v>
      </c>
      <c r="AM780" t="s">
        <v>73</v>
      </c>
      <c r="AN780" t="s">
        <v>74</v>
      </c>
    </row>
    <row r="781" spans="1:40" x14ac:dyDescent="0.25">
      <c r="A781" t="s">
        <v>1974</v>
      </c>
      <c r="B781" t="s">
        <v>5</v>
      </c>
      <c r="C781">
        <v>105.06153500000001</v>
      </c>
      <c r="D781">
        <v>182.80965599999999</v>
      </c>
      <c r="E781" t="s">
        <v>56</v>
      </c>
      <c r="F781">
        <v>-12886.99</v>
      </c>
      <c r="G781" t="s">
        <v>1974</v>
      </c>
      <c r="H781" t="s">
        <v>7</v>
      </c>
      <c r="I781">
        <v>18385.34</v>
      </c>
      <c r="J781">
        <v>278.46569299999999</v>
      </c>
      <c r="K781">
        <v>236.53787600000001</v>
      </c>
      <c r="L781">
        <v>0</v>
      </c>
      <c r="M781" t="s">
        <v>1974</v>
      </c>
      <c r="N781" t="s">
        <v>57</v>
      </c>
      <c r="O781" t="s">
        <v>58</v>
      </c>
      <c r="P781" t="s">
        <v>1975</v>
      </c>
      <c r="Q781" t="s">
        <v>223</v>
      </c>
      <c r="R781" t="s">
        <v>61</v>
      </c>
      <c r="S781" t="s">
        <v>58</v>
      </c>
      <c r="T781" t="s">
        <v>1975</v>
      </c>
      <c r="U781" t="s">
        <v>223</v>
      </c>
      <c r="V781" t="s">
        <v>56</v>
      </c>
      <c r="W781" t="s">
        <v>56</v>
      </c>
      <c r="X781" t="s">
        <v>56</v>
      </c>
      <c r="Y781" t="s">
        <v>62</v>
      </c>
      <c r="Z781" t="s">
        <v>63</v>
      </c>
      <c r="AA781" t="s">
        <v>64</v>
      </c>
      <c r="AB781">
        <v>1</v>
      </c>
      <c r="AC781" t="s">
        <v>147</v>
      </c>
      <c r="AD781" t="s">
        <v>66</v>
      </c>
      <c r="AE781" t="s">
        <v>67</v>
      </c>
      <c r="AF781" t="s">
        <v>103</v>
      </c>
      <c r="AG781">
        <v>74015.13</v>
      </c>
      <c r="AH781" t="s">
        <v>69</v>
      </c>
      <c r="AI781" t="s">
        <v>536</v>
      </c>
      <c r="AJ781" t="s">
        <v>1768</v>
      </c>
      <c r="AK781" t="s">
        <v>72</v>
      </c>
      <c r="AL781" t="s">
        <v>73</v>
      </c>
      <c r="AM781" t="s">
        <v>73</v>
      </c>
      <c r="AN781" t="s">
        <v>74</v>
      </c>
    </row>
    <row r="782" spans="1:40" x14ac:dyDescent="0.25">
      <c r="A782" t="s">
        <v>364</v>
      </c>
      <c r="B782" t="s">
        <v>5</v>
      </c>
      <c r="C782" s="2">
        <v>100.408513</v>
      </c>
      <c r="D782" t="s">
        <v>56</v>
      </c>
      <c r="E782" t="s">
        <v>56</v>
      </c>
      <c r="F782">
        <v>-1057.76</v>
      </c>
      <c r="G782" t="s">
        <v>364</v>
      </c>
      <c r="H782" t="s">
        <v>7</v>
      </c>
      <c r="I782">
        <v>2890.72</v>
      </c>
      <c r="J782">
        <v>0</v>
      </c>
      <c r="K782">
        <v>0</v>
      </c>
      <c r="L782">
        <v>0</v>
      </c>
      <c r="M782" t="s">
        <v>364</v>
      </c>
      <c r="N782" t="s">
        <v>57</v>
      </c>
      <c r="O782" t="s">
        <v>58</v>
      </c>
      <c r="P782" t="s">
        <v>365</v>
      </c>
      <c r="Q782" t="s">
        <v>366</v>
      </c>
      <c r="R782" t="s">
        <v>61</v>
      </c>
      <c r="S782" t="s">
        <v>58</v>
      </c>
      <c r="T782" t="s">
        <v>365</v>
      </c>
      <c r="U782" t="s">
        <v>366</v>
      </c>
      <c r="V782" t="s">
        <v>56</v>
      </c>
      <c r="W782" t="s">
        <v>56</v>
      </c>
      <c r="X782" t="s">
        <v>56</v>
      </c>
      <c r="Y782" t="s">
        <v>62</v>
      </c>
      <c r="Z782" t="s">
        <v>63</v>
      </c>
      <c r="AA782" t="s">
        <v>64</v>
      </c>
      <c r="AB782">
        <v>1</v>
      </c>
      <c r="AC782" t="s">
        <v>84</v>
      </c>
      <c r="AD782" t="s">
        <v>66</v>
      </c>
      <c r="AE782" t="s">
        <v>289</v>
      </c>
      <c r="AF782" t="s">
        <v>367</v>
      </c>
      <c r="AG782">
        <v>22189.85</v>
      </c>
      <c r="AH782" t="s">
        <v>69</v>
      </c>
      <c r="AI782" t="s">
        <v>216</v>
      </c>
      <c r="AJ782" t="s">
        <v>368</v>
      </c>
      <c r="AK782" t="s">
        <v>72</v>
      </c>
      <c r="AL782" t="s">
        <v>281</v>
      </c>
      <c r="AM782" t="s">
        <v>73</v>
      </c>
      <c r="AN782" t="s">
        <v>56</v>
      </c>
    </row>
    <row r="783" spans="1:40" x14ac:dyDescent="0.25">
      <c r="A783" t="s">
        <v>1164</v>
      </c>
      <c r="B783" t="s">
        <v>5</v>
      </c>
      <c r="C783">
        <v>97.329306000000003</v>
      </c>
      <c r="D783">
        <v>82.674698000000006</v>
      </c>
      <c r="E783" t="s">
        <v>56</v>
      </c>
      <c r="F783">
        <v>-3737.46</v>
      </c>
      <c r="G783" t="s">
        <v>1164</v>
      </c>
      <c r="H783" t="s">
        <v>7</v>
      </c>
      <c r="I783">
        <v>8218.73</v>
      </c>
      <c r="J783">
        <v>263.23160899999999</v>
      </c>
      <c r="K783">
        <v>223.59754599999999</v>
      </c>
      <c r="L783">
        <v>0</v>
      </c>
      <c r="M783" t="s">
        <v>1164</v>
      </c>
      <c r="N783" t="s">
        <v>57</v>
      </c>
      <c r="O783" t="s">
        <v>58</v>
      </c>
      <c r="P783" t="s">
        <v>1165</v>
      </c>
      <c r="Q783" t="s">
        <v>1166</v>
      </c>
      <c r="R783" t="s">
        <v>61</v>
      </c>
      <c r="S783" t="s">
        <v>58</v>
      </c>
      <c r="T783" t="s">
        <v>1165</v>
      </c>
      <c r="U783" t="s">
        <v>1166</v>
      </c>
      <c r="V783" t="s">
        <v>56</v>
      </c>
      <c r="W783" t="s">
        <v>56</v>
      </c>
      <c r="X783" t="s">
        <v>56</v>
      </c>
      <c r="Y783" t="s">
        <v>62</v>
      </c>
      <c r="Z783" t="s">
        <v>63</v>
      </c>
      <c r="AA783" t="s">
        <v>64</v>
      </c>
      <c r="AB783">
        <v>1</v>
      </c>
      <c r="AC783" t="s">
        <v>65</v>
      </c>
      <c r="AD783" t="s">
        <v>66</v>
      </c>
      <c r="AE783" t="s">
        <v>67</v>
      </c>
      <c r="AF783" t="s">
        <v>68</v>
      </c>
      <c r="AG783">
        <v>34999</v>
      </c>
      <c r="AH783" t="s">
        <v>69</v>
      </c>
      <c r="AI783" t="s">
        <v>297</v>
      </c>
      <c r="AJ783" t="s">
        <v>153</v>
      </c>
      <c r="AK783" t="s">
        <v>72</v>
      </c>
      <c r="AL783" t="s">
        <v>73</v>
      </c>
      <c r="AM783" t="s">
        <v>73</v>
      </c>
      <c r="AN783" t="s">
        <v>74</v>
      </c>
    </row>
    <row r="784" spans="1:40" x14ac:dyDescent="0.25">
      <c r="A784" t="s">
        <v>2363</v>
      </c>
      <c r="B784" t="s">
        <v>5</v>
      </c>
      <c r="C784" s="2">
        <v>76.034482999999994</v>
      </c>
      <c r="D784" t="s">
        <v>56</v>
      </c>
      <c r="E784" t="s">
        <v>56</v>
      </c>
      <c r="F784">
        <v>-750.21</v>
      </c>
      <c r="G784" t="s">
        <v>2363</v>
      </c>
      <c r="H784" t="s">
        <v>7</v>
      </c>
      <c r="I784">
        <v>1941.36</v>
      </c>
      <c r="J784">
        <v>0</v>
      </c>
      <c r="K784">
        <v>0</v>
      </c>
      <c r="L784">
        <v>0</v>
      </c>
      <c r="M784" t="s">
        <v>2363</v>
      </c>
      <c r="N784" t="s">
        <v>57</v>
      </c>
      <c r="O784" t="s">
        <v>58</v>
      </c>
      <c r="P784" t="s">
        <v>2364</v>
      </c>
      <c r="Q784" t="s">
        <v>2365</v>
      </c>
      <c r="R784" t="s">
        <v>61</v>
      </c>
      <c r="S784" t="s">
        <v>58</v>
      </c>
      <c r="T784" t="s">
        <v>2364</v>
      </c>
      <c r="U784" t="s">
        <v>2365</v>
      </c>
      <c r="V784" t="s">
        <v>56</v>
      </c>
      <c r="W784" t="s">
        <v>56</v>
      </c>
      <c r="X784" t="s">
        <v>56</v>
      </c>
      <c r="Y784" t="s">
        <v>62</v>
      </c>
      <c r="Z784" t="s">
        <v>63</v>
      </c>
      <c r="AA784" t="s">
        <v>64</v>
      </c>
      <c r="AB784">
        <v>1</v>
      </c>
      <c r="AC784" t="s">
        <v>78</v>
      </c>
      <c r="AD784" t="s">
        <v>66</v>
      </c>
      <c r="AE784" t="s">
        <v>85</v>
      </c>
      <c r="AF784" t="s">
        <v>68</v>
      </c>
      <c r="AG784">
        <v>27491.06</v>
      </c>
      <c r="AH784" t="s">
        <v>69</v>
      </c>
      <c r="AI784" t="s">
        <v>220</v>
      </c>
      <c r="AJ784" t="s">
        <v>302</v>
      </c>
      <c r="AK784" t="s">
        <v>72</v>
      </c>
      <c r="AL784" t="s">
        <v>73</v>
      </c>
      <c r="AM784" t="s">
        <v>73</v>
      </c>
      <c r="AN784" t="s">
        <v>56</v>
      </c>
    </row>
    <row r="785" spans="1:40" x14ac:dyDescent="0.25">
      <c r="A785" t="s">
        <v>526</v>
      </c>
      <c r="B785" t="s">
        <v>5</v>
      </c>
      <c r="C785">
        <v>75.476483999999999</v>
      </c>
      <c r="D785">
        <v>64.112195999999997</v>
      </c>
      <c r="E785" t="s">
        <v>56</v>
      </c>
      <c r="F785">
        <v>-4140.16</v>
      </c>
      <c r="G785" t="s">
        <v>526</v>
      </c>
      <c r="H785" t="s">
        <v>7</v>
      </c>
      <c r="I785">
        <v>7881.08</v>
      </c>
      <c r="J785">
        <v>176.71829</v>
      </c>
      <c r="K785">
        <v>150.1103</v>
      </c>
      <c r="L785">
        <v>0</v>
      </c>
      <c r="M785" t="s">
        <v>526</v>
      </c>
      <c r="N785" t="s">
        <v>57</v>
      </c>
      <c r="O785" t="s">
        <v>58</v>
      </c>
      <c r="P785" t="s">
        <v>527</v>
      </c>
      <c r="Q785" t="s">
        <v>528</v>
      </c>
      <c r="R785" t="s">
        <v>61</v>
      </c>
      <c r="S785" t="s">
        <v>58</v>
      </c>
      <c r="T785" t="s">
        <v>527</v>
      </c>
      <c r="U785" t="s">
        <v>528</v>
      </c>
      <c r="V785" t="s">
        <v>56</v>
      </c>
      <c r="W785" t="s">
        <v>56</v>
      </c>
      <c r="X785" t="s">
        <v>56</v>
      </c>
      <c r="Y785" t="s">
        <v>62</v>
      </c>
      <c r="Z785" t="s">
        <v>63</v>
      </c>
      <c r="AA785" t="s">
        <v>64</v>
      </c>
      <c r="AB785">
        <v>1</v>
      </c>
      <c r="AC785" t="s">
        <v>84</v>
      </c>
      <c r="AD785" t="s">
        <v>66</v>
      </c>
      <c r="AE785" t="s">
        <v>67</v>
      </c>
      <c r="AF785" t="s">
        <v>86</v>
      </c>
      <c r="AG785">
        <v>49995</v>
      </c>
      <c r="AH785" t="s">
        <v>69</v>
      </c>
      <c r="AI785" t="s">
        <v>253</v>
      </c>
      <c r="AJ785" t="s">
        <v>529</v>
      </c>
      <c r="AK785" t="s">
        <v>72</v>
      </c>
      <c r="AL785" t="s">
        <v>73</v>
      </c>
      <c r="AM785" t="s">
        <v>73</v>
      </c>
      <c r="AN785" t="s">
        <v>74</v>
      </c>
    </row>
    <row r="786" spans="1:40" x14ac:dyDescent="0.25">
      <c r="A786" t="s">
        <v>1662</v>
      </c>
      <c r="B786" t="s">
        <v>5</v>
      </c>
      <c r="C786" s="2">
        <v>70.508784000000006</v>
      </c>
      <c r="D786" t="s">
        <v>56</v>
      </c>
      <c r="E786" t="s">
        <v>56</v>
      </c>
      <c r="F786">
        <v>-2167.4499999999998</v>
      </c>
      <c r="G786" t="s">
        <v>1662</v>
      </c>
      <c r="H786" t="s">
        <v>7</v>
      </c>
      <c r="I786">
        <v>5138.54</v>
      </c>
      <c r="J786">
        <v>0</v>
      </c>
      <c r="K786">
        <v>0</v>
      </c>
      <c r="L786">
        <v>0</v>
      </c>
      <c r="M786" t="s">
        <v>1662</v>
      </c>
      <c r="N786" t="s">
        <v>57</v>
      </c>
      <c r="O786" t="s">
        <v>58</v>
      </c>
      <c r="P786" t="s">
        <v>1663</v>
      </c>
      <c r="Q786" t="s">
        <v>1664</v>
      </c>
      <c r="R786" t="s">
        <v>61</v>
      </c>
      <c r="S786" t="s">
        <v>58</v>
      </c>
      <c r="T786" t="s">
        <v>1663</v>
      </c>
      <c r="U786" t="s">
        <v>1664</v>
      </c>
      <c r="V786" t="s">
        <v>56</v>
      </c>
      <c r="W786" t="s">
        <v>56</v>
      </c>
      <c r="X786" t="s">
        <v>56</v>
      </c>
      <c r="Y786" t="s">
        <v>62</v>
      </c>
      <c r="Z786" t="s">
        <v>63</v>
      </c>
      <c r="AA786" t="s">
        <v>64</v>
      </c>
      <c r="AB786">
        <v>1</v>
      </c>
      <c r="AC786" t="s">
        <v>84</v>
      </c>
      <c r="AD786" t="s">
        <v>66</v>
      </c>
      <c r="AE786" t="s">
        <v>85</v>
      </c>
      <c r="AF786" t="s">
        <v>86</v>
      </c>
      <c r="AG786">
        <v>83551.42</v>
      </c>
      <c r="AH786" t="s">
        <v>69</v>
      </c>
      <c r="AI786" t="s">
        <v>536</v>
      </c>
      <c r="AJ786" t="s">
        <v>581</v>
      </c>
      <c r="AK786" t="s">
        <v>72</v>
      </c>
      <c r="AL786" t="s">
        <v>73</v>
      </c>
      <c r="AM786" t="s">
        <v>73</v>
      </c>
      <c r="AN786" t="s">
        <v>56</v>
      </c>
    </row>
    <row r="787" spans="1:40" x14ac:dyDescent="0.25">
      <c r="A787" t="s">
        <v>1857</v>
      </c>
      <c r="B787" t="s">
        <v>5</v>
      </c>
      <c r="C787" s="2">
        <v>61.627051999999999</v>
      </c>
      <c r="D787" t="s">
        <v>56</v>
      </c>
      <c r="E787" t="s">
        <v>56</v>
      </c>
      <c r="F787">
        <v>-340.91</v>
      </c>
      <c r="G787" t="s">
        <v>1857</v>
      </c>
      <c r="H787" t="s">
        <v>7</v>
      </c>
      <c r="I787">
        <v>2351.92</v>
      </c>
      <c r="J787">
        <v>0</v>
      </c>
      <c r="K787">
        <v>0</v>
      </c>
      <c r="L787">
        <v>0</v>
      </c>
      <c r="M787" t="s">
        <v>1857</v>
      </c>
      <c r="N787" t="s">
        <v>57</v>
      </c>
      <c r="O787" t="s">
        <v>58</v>
      </c>
      <c r="P787" t="s">
        <v>1858</v>
      </c>
      <c r="Q787" t="s">
        <v>1859</v>
      </c>
      <c r="R787" t="s">
        <v>61</v>
      </c>
      <c r="S787" t="s">
        <v>58</v>
      </c>
      <c r="T787" t="s">
        <v>1858</v>
      </c>
      <c r="U787" t="s">
        <v>1859</v>
      </c>
      <c r="V787" t="s">
        <v>56</v>
      </c>
      <c r="W787" t="s">
        <v>56</v>
      </c>
      <c r="X787" t="s">
        <v>56</v>
      </c>
      <c r="Y787" t="s">
        <v>62</v>
      </c>
      <c r="Z787" t="s">
        <v>63</v>
      </c>
      <c r="AA787" t="s">
        <v>64</v>
      </c>
      <c r="AB787">
        <v>1</v>
      </c>
      <c r="AC787" t="s">
        <v>84</v>
      </c>
      <c r="AD787" t="s">
        <v>66</v>
      </c>
      <c r="AE787" t="s">
        <v>289</v>
      </c>
      <c r="AF787" t="s">
        <v>68</v>
      </c>
      <c r="AG787">
        <v>18600</v>
      </c>
      <c r="AH787" t="s">
        <v>69</v>
      </c>
      <c r="AI787" t="s">
        <v>829</v>
      </c>
      <c r="AJ787" t="s">
        <v>1069</v>
      </c>
      <c r="AK787" t="s">
        <v>99</v>
      </c>
      <c r="AL787" t="s">
        <v>73</v>
      </c>
      <c r="AM787" t="s">
        <v>73</v>
      </c>
      <c r="AN787" t="s">
        <v>56</v>
      </c>
    </row>
    <row r="788" spans="1:40" x14ac:dyDescent="0.25">
      <c r="A788" t="s">
        <v>1066</v>
      </c>
      <c r="B788" t="s">
        <v>5</v>
      </c>
      <c r="C788" s="2">
        <v>61.233645000000003</v>
      </c>
      <c r="D788" t="s">
        <v>56</v>
      </c>
      <c r="E788" t="s">
        <v>56</v>
      </c>
      <c r="F788">
        <v>-598.30999999999995</v>
      </c>
      <c r="G788" t="s">
        <v>1066</v>
      </c>
      <c r="H788" t="s">
        <v>7</v>
      </c>
      <c r="I788">
        <v>4130.47</v>
      </c>
      <c r="J788">
        <v>0</v>
      </c>
      <c r="K788">
        <v>0</v>
      </c>
      <c r="L788">
        <v>0</v>
      </c>
      <c r="M788" t="s">
        <v>1066</v>
      </c>
      <c r="N788" t="s">
        <v>57</v>
      </c>
      <c r="O788" t="s">
        <v>58</v>
      </c>
      <c r="P788" t="s">
        <v>1067</v>
      </c>
      <c r="Q788" t="s">
        <v>1068</v>
      </c>
      <c r="R788" t="s">
        <v>61</v>
      </c>
      <c r="S788" t="s">
        <v>58</v>
      </c>
      <c r="T788" t="s">
        <v>1067</v>
      </c>
      <c r="U788" t="s">
        <v>1068</v>
      </c>
      <c r="V788" t="s">
        <v>56</v>
      </c>
      <c r="W788" t="s">
        <v>56</v>
      </c>
      <c r="X788" t="s">
        <v>56</v>
      </c>
      <c r="Y788" t="s">
        <v>62</v>
      </c>
      <c r="Z788" t="s">
        <v>63</v>
      </c>
      <c r="AA788" t="s">
        <v>64</v>
      </c>
      <c r="AB788">
        <v>1</v>
      </c>
      <c r="AC788" t="s">
        <v>78</v>
      </c>
      <c r="AD788" t="s">
        <v>66</v>
      </c>
      <c r="AE788" t="s">
        <v>289</v>
      </c>
      <c r="AF788" t="s">
        <v>103</v>
      </c>
      <c r="AG788">
        <v>32853</v>
      </c>
      <c r="AH788" t="s">
        <v>69</v>
      </c>
      <c r="AI788" t="s">
        <v>181</v>
      </c>
      <c r="AJ788" t="s">
        <v>1069</v>
      </c>
      <c r="AK788" t="s">
        <v>99</v>
      </c>
      <c r="AL788" t="s">
        <v>73</v>
      </c>
      <c r="AM788" t="s">
        <v>73</v>
      </c>
      <c r="AN788" t="s">
        <v>56</v>
      </c>
    </row>
    <row r="789" spans="1:40" x14ac:dyDescent="0.25">
      <c r="A789" t="s">
        <v>933</v>
      </c>
      <c r="B789" t="s">
        <v>5</v>
      </c>
      <c r="C789" s="2">
        <v>54.673498000000002</v>
      </c>
      <c r="D789" t="s">
        <v>56</v>
      </c>
      <c r="E789" t="s">
        <v>56</v>
      </c>
      <c r="F789">
        <v>-699.97</v>
      </c>
      <c r="G789" t="s">
        <v>933</v>
      </c>
      <c r="H789" t="s">
        <v>7</v>
      </c>
      <c r="I789">
        <v>4371.2700000000004</v>
      </c>
      <c r="J789">
        <v>0</v>
      </c>
      <c r="K789">
        <v>0</v>
      </c>
      <c r="L789">
        <v>0</v>
      </c>
      <c r="M789" t="s">
        <v>933</v>
      </c>
      <c r="N789" t="s">
        <v>57</v>
      </c>
      <c r="O789" t="s">
        <v>58</v>
      </c>
      <c r="P789" t="s">
        <v>934</v>
      </c>
      <c r="Q789" t="s">
        <v>935</v>
      </c>
      <c r="R789" t="s">
        <v>61</v>
      </c>
      <c r="S789" t="s">
        <v>58</v>
      </c>
      <c r="T789" t="s">
        <v>934</v>
      </c>
      <c r="U789" t="s">
        <v>935</v>
      </c>
      <c r="V789" t="s">
        <v>56</v>
      </c>
      <c r="W789" t="s">
        <v>56</v>
      </c>
      <c r="X789" t="s">
        <v>56</v>
      </c>
      <c r="Y789" t="s">
        <v>62</v>
      </c>
      <c r="Z789" t="s">
        <v>63</v>
      </c>
      <c r="AA789" t="s">
        <v>64</v>
      </c>
      <c r="AB789">
        <v>1</v>
      </c>
      <c r="AC789" t="s">
        <v>65</v>
      </c>
      <c r="AD789" t="s">
        <v>66</v>
      </c>
      <c r="AE789" t="s">
        <v>289</v>
      </c>
      <c r="AF789" t="s">
        <v>68</v>
      </c>
      <c r="AG789">
        <v>34998.39</v>
      </c>
      <c r="AH789" t="s">
        <v>69</v>
      </c>
      <c r="AI789" t="s">
        <v>297</v>
      </c>
      <c r="AJ789" t="s">
        <v>632</v>
      </c>
      <c r="AK789" t="s">
        <v>72</v>
      </c>
      <c r="AL789" t="s">
        <v>73</v>
      </c>
      <c r="AM789" t="s">
        <v>73</v>
      </c>
      <c r="AN789" t="s">
        <v>56</v>
      </c>
    </row>
    <row r="790" spans="1:40" x14ac:dyDescent="0.25">
      <c r="A790" t="s">
        <v>1520</v>
      </c>
      <c r="B790" t="s">
        <v>5</v>
      </c>
      <c r="C790" s="2">
        <v>54.330880000000001</v>
      </c>
      <c r="D790" t="s">
        <v>56</v>
      </c>
      <c r="E790" t="s">
        <v>56</v>
      </c>
      <c r="F790">
        <v>-1468.87</v>
      </c>
      <c r="G790" t="s">
        <v>1520</v>
      </c>
      <c r="H790" t="s">
        <v>7</v>
      </c>
      <c r="I790">
        <v>6572.85</v>
      </c>
      <c r="J790">
        <v>0</v>
      </c>
      <c r="K790">
        <v>0</v>
      </c>
      <c r="L790">
        <v>0</v>
      </c>
      <c r="M790" t="s">
        <v>1520</v>
      </c>
      <c r="N790" t="s">
        <v>57</v>
      </c>
      <c r="O790" t="s">
        <v>58</v>
      </c>
      <c r="P790" t="s">
        <v>1521</v>
      </c>
      <c r="Q790" t="s">
        <v>1522</v>
      </c>
      <c r="R790" t="s">
        <v>61</v>
      </c>
      <c r="S790" t="s">
        <v>58</v>
      </c>
      <c r="T790" t="s">
        <v>1521</v>
      </c>
      <c r="U790" t="s">
        <v>1522</v>
      </c>
      <c r="V790" t="s">
        <v>56</v>
      </c>
      <c r="W790" t="s">
        <v>56</v>
      </c>
      <c r="X790" t="s">
        <v>56</v>
      </c>
      <c r="Y790" t="s">
        <v>62</v>
      </c>
      <c r="Z790" t="s">
        <v>63</v>
      </c>
      <c r="AA790" t="s">
        <v>64</v>
      </c>
      <c r="AB790">
        <v>1</v>
      </c>
      <c r="AC790" t="s">
        <v>84</v>
      </c>
      <c r="AD790" t="s">
        <v>66</v>
      </c>
      <c r="AE790" t="s">
        <v>85</v>
      </c>
      <c r="AF790" t="s">
        <v>86</v>
      </c>
      <c r="AG790">
        <v>73484.789999999994</v>
      </c>
      <c r="AH790" t="s">
        <v>69</v>
      </c>
      <c r="AI790" t="s">
        <v>114</v>
      </c>
      <c r="AJ790" t="s">
        <v>457</v>
      </c>
      <c r="AK790" t="s">
        <v>72</v>
      </c>
      <c r="AL790" t="s">
        <v>73</v>
      </c>
      <c r="AM790" t="s">
        <v>73</v>
      </c>
      <c r="AN790" t="s">
        <v>56</v>
      </c>
    </row>
    <row r="791" spans="1:40" x14ac:dyDescent="0.25">
      <c r="A791" t="s">
        <v>372</v>
      </c>
      <c r="B791" t="s">
        <v>5</v>
      </c>
      <c r="C791" s="2">
        <v>54.294103999999997</v>
      </c>
      <c r="D791" t="s">
        <v>56</v>
      </c>
      <c r="E791" t="s">
        <v>56</v>
      </c>
      <c r="F791">
        <v>-996.39</v>
      </c>
      <c r="G791" t="s">
        <v>372</v>
      </c>
      <c r="H791" t="s">
        <v>7</v>
      </c>
      <c r="I791">
        <v>5365.02</v>
      </c>
      <c r="J791">
        <v>0</v>
      </c>
      <c r="K791">
        <v>0</v>
      </c>
      <c r="L791">
        <v>0</v>
      </c>
      <c r="M791" t="s">
        <v>372</v>
      </c>
      <c r="N791" t="s">
        <v>57</v>
      </c>
      <c r="O791" t="s">
        <v>58</v>
      </c>
      <c r="P791" t="s">
        <v>373</v>
      </c>
      <c r="Q791" t="s">
        <v>374</v>
      </c>
      <c r="R791" t="s">
        <v>61</v>
      </c>
      <c r="S791" t="s">
        <v>58</v>
      </c>
      <c r="T791" t="s">
        <v>373</v>
      </c>
      <c r="U791" t="s">
        <v>374</v>
      </c>
      <c r="V791" t="s">
        <v>56</v>
      </c>
      <c r="W791" t="s">
        <v>56</v>
      </c>
      <c r="X791" t="s">
        <v>56</v>
      </c>
      <c r="Y791" t="s">
        <v>62</v>
      </c>
      <c r="Z791" t="s">
        <v>63</v>
      </c>
      <c r="AA791" t="s">
        <v>64</v>
      </c>
      <c r="AB791">
        <v>1</v>
      </c>
      <c r="AC791" t="s">
        <v>65</v>
      </c>
      <c r="AD791" t="s">
        <v>66</v>
      </c>
      <c r="AE791" t="s">
        <v>85</v>
      </c>
      <c r="AF791" t="s">
        <v>68</v>
      </c>
      <c r="AG791">
        <v>49879.06</v>
      </c>
      <c r="AH791" t="s">
        <v>69</v>
      </c>
      <c r="AI791" t="s">
        <v>269</v>
      </c>
      <c r="AJ791" t="s">
        <v>375</v>
      </c>
      <c r="AK791" t="s">
        <v>72</v>
      </c>
      <c r="AL791" t="s">
        <v>73</v>
      </c>
      <c r="AM791" t="s">
        <v>73</v>
      </c>
      <c r="AN791" t="s">
        <v>56</v>
      </c>
    </row>
    <row r="792" spans="1:40" x14ac:dyDescent="0.25">
      <c r="A792" t="s">
        <v>454</v>
      </c>
      <c r="B792" t="s">
        <v>5</v>
      </c>
      <c r="C792" s="2">
        <v>54.260672</v>
      </c>
      <c r="D792" t="s">
        <v>56</v>
      </c>
      <c r="E792" t="s">
        <v>56</v>
      </c>
      <c r="F792">
        <v>-997</v>
      </c>
      <c r="G792" t="s">
        <v>454</v>
      </c>
      <c r="H792" t="s">
        <v>7</v>
      </c>
      <c r="I792">
        <v>7430.16</v>
      </c>
      <c r="J792">
        <v>0</v>
      </c>
      <c r="K792">
        <v>0</v>
      </c>
      <c r="L792">
        <v>0</v>
      </c>
      <c r="M792" t="s">
        <v>454</v>
      </c>
      <c r="N792" t="s">
        <v>57</v>
      </c>
      <c r="O792" t="s">
        <v>58</v>
      </c>
      <c r="P792" t="s">
        <v>455</v>
      </c>
      <c r="Q792" t="s">
        <v>456</v>
      </c>
      <c r="R792" t="s">
        <v>61</v>
      </c>
      <c r="S792" t="s">
        <v>58</v>
      </c>
      <c r="T792" t="s">
        <v>455</v>
      </c>
      <c r="U792" t="s">
        <v>456</v>
      </c>
      <c r="V792" t="s">
        <v>56</v>
      </c>
      <c r="W792" t="s">
        <v>56</v>
      </c>
      <c r="X792" t="s">
        <v>56</v>
      </c>
      <c r="Y792" t="s">
        <v>62</v>
      </c>
      <c r="Z792" t="s">
        <v>63</v>
      </c>
      <c r="AA792" t="s">
        <v>64</v>
      </c>
      <c r="AB792">
        <v>1</v>
      </c>
      <c r="AC792" t="s">
        <v>120</v>
      </c>
      <c r="AD792" t="s">
        <v>66</v>
      </c>
      <c r="AE792" t="s">
        <v>85</v>
      </c>
      <c r="AF792" t="s">
        <v>86</v>
      </c>
      <c r="AG792">
        <v>49940.43</v>
      </c>
      <c r="AH792" t="s">
        <v>69</v>
      </c>
      <c r="AI792" t="s">
        <v>137</v>
      </c>
      <c r="AJ792" t="s">
        <v>457</v>
      </c>
      <c r="AK792" t="s">
        <v>72</v>
      </c>
      <c r="AL792" t="s">
        <v>73</v>
      </c>
      <c r="AM792" t="s">
        <v>73</v>
      </c>
      <c r="AN792" t="s">
        <v>56</v>
      </c>
    </row>
    <row r="793" spans="1:40" x14ac:dyDescent="0.25">
      <c r="A793" t="s">
        <v>1478</v>
      </c>
      <c r="B793" t="s">
        <v>5</v>
      </c>
      <c r="C793" s="2">
        <v>54.253985</v>
      </c>
      <c r="D793" t="s">
        <v>56</v>
      </c>
      <c r="E793" t="s">
        <v>56</v>
      </c>
      <c r="F793">
        <v>-780.87</v>
      </c>
      <c r="G793" t="s">
        <v>1478</v>
      </c>
      <c r="H793" t="s">
        <v>7</v>
      </c>
      <c r="I793">
        <v>4736.2</v>
      </c>
      <c r="J793">
        <v>0</v>
      </c>
      <c r="K793">
        <v>0</v>
      </c>
      <c r="L793">
        <v>0</v>
      </c>
      <c r="M793" t="s">
        <v>1478</v>
      </c>
      <c r="N793" t="s">
        <v>57</v>
      </c>
      <c r="O793" t="s">
        <v>58</v>
      </c>
      <c r="P793" t="s">
        <v>1479</v>
      </c>
      <c r="Q793" t="s">
        <v>1480</v>
      </c>
      <c r="R793" t="s">
        <v>61</v>
      </c>
      <c r="S793" t="s">
        <v>58</v>
      </c>
      <c r="T793" t="s">
        <v>1479</v>
      </c>
      <c r="U793" t="s">
        <v>1480</v>
      </c>
      <c r="V793" t="s">
        <v>56</v>
      </c>
      <c r="W793" t="s">
        <v>56</v>
      </c>
      <c r="X793" t="s">
        <v>56</v>
      </c>
      <c r="Y793" t="s">
        <v>62</v>
      </c>
      <c r="Z793" t="s">
        <v>63</v>
      </c>
      <c r="AA793" t="s">
        <v>64</v>
      </c>
      <c r="AB793">
        <v>1</v>
      </c>
      <c r="AC793" t="s">
        <v>84</v>
      </c>
      <c r="AD793" t="s">
        <v>66</v>
      </c>
      <c r="AE793" t="s">
        <v>85</v>
      </c>
      <c r="AF793" t="s">
        <v>68</v>
      </c>
      <c r="AG793">
        <v>39120.51</v>
      </c>
      <c r="AH793" t="s">
        <v>69</v>
      </c>
      <c r="AI793" t="s">
        <v>297</v>
      </c>
      <c r="AJ793" t="s">
        <v>1069</v>
      </c>
      <c r="AK793" t="s">
        <v>72</v>
      </c>
      <c r="AL793" t="s">
        <v>73</v>
      </c>
      <c r="AM793" t="s">
        <v>73</v>
      </c>
      <c r="AN793" t="s">
        <v>56</v>
      </c>
    </row>
    <row r="794" spans="1:40" x14ac:dyDescent="0.25">
      <c r="A794" t="s">
        <v>2021</v>
      </c>
      <c r="B794" t="s">
        <v>5</v>
      </c>
      <c r="C794" s="2">
        <v>22.282478000000001</v>
      </c>
      <c r="D794" t="s">
        <v>56</v>
      </c>
      <c r="E794" t="s">
        <v>56</v>
      </c>
      <c r="F794">
        <v>-1356.62</v>
      </c>
      <c r="G794" t="s">
        <v>2021</v>
      </c>
      <c r="H794" t="s">
        <v>7</v>
      </c>
      <c r="I794">
        <v>9889.7999999999993</v>
      </c>
      <c r="J794">
        <v>0</v>
      </c>
      <c r="K794">
        <v>0</v>
      </c>
      <c r="L794">
        <v>0</v>
      </c>
      <c r="M794" t="s">
        <v>2021</v>
      </c>
      <c r="N794" t="s">
        <v>57</v>
      </c>
      <c r="O794" t="s">
        <v>58</v>
      </c>
      <c r="P794" t="s">
        <v>2022</v>
      </c>
      <c r="Q794" t="s">
        <v>2023</v>
      </c>
      <c r="R794" t="s">
        <v>61</v>
      </c>
      <c r="S794" t="s">
        <v>58</v>
      </c>
      <c r="T794" t="s">
        <v>2022</v>
      </c>
      <c r="U794" t="s">
        <v>2023</v>
      </c>
      <c r="V794" t="s">
        <v>56</v>
      </c>
      <c r="W794" t="s">
        <v>56</v>
      </c>
      <c r="X794" t="s">
        <v>56</v>
      </c>
      <c r="Y794" t="s">
        <v>62</v>
      </c>
      <c r="Z794" t="s">
        <v>63</v>
      </c>
      <c r="AA794" t="s">
        <v>64</v>
      </c>
      <c r="AB794">
        <v>1</v>
      </c>
      <c r="AC794" t="s">
        <v>147</v>
      </c>
      <c r="AD794" t="s">
        <v>66</v>
      </c>
      <c r="AE794" t="s">
        <v>85</v>
      </c>
      <c r="AF794" t="s">
        <v>277</v>
      </c>
      <c r="AG794">
        <v>67944.850000000006</v>
      </c>
      <c r="AH794" t="s">
        <v>69</v>
      </c>
      <c r="AI794" t="s">
        <v>297</v>
      </c>
      <c r="AJ794" t="s">
        <v>457</v>
      </c>
      <c r="AK794" t="s">
        <v>72</v>
      </c>
      <c r="AL794" t="s">
        <v>281</v>
      </c>
      <c r="AM794" t="s">
        <v>73</v>
      </c>
      <c r="AN794" t="s">
        <v>56</v>
      </c>
    </row>
    <row r="795" spans="1:40" x14ac:dyDescent="0.25">
      <c r="A795" t="s">
        <v>629</v>
      </c>
      <c r="B795" t="s">
        <v>5</v>
      </c>
      <c r="C795" s="2">
        <v>7.0207000000000006E-2</v>
      </c>
      <c r="D795" t="s">
        <v>56</v>
      </c>
      <c r="E795" t="s">
        <v>56</v>
      </c>
      <c r="F795">
        <v>-0.81</v>
      </c>
      <c r="G795" t="s">
        <v>629</v>
      </c>
      <c r="H795" t="s">
        <v>7</v>
      </c>
      <c r="I795">
        <v>3085.17</v>
      </c>
      <c r="J795">
        <v>0</v>
      </c>
      <c r="K795">
        <v>0</v>
      </c>
      <c r="L795">
        <v>0</v>
      </c>
      <c r="M795" t="s">
        <v>629</v>
      </c>
      <c r="N795" t="s">
        <v>57</v>
      </c>
      <c r="O795" t="s">
        <v>58</v>
      </c>
      <c r="P795" t="s">
        <v>630</v>
      </c>
      <c r="Q795" t="s">
        <v>631</v>
      </c>
      <c r="R795" t="s">
        <v>61</v>
      </c>
      <c r="S795" t="s">
        <v>58</v>
      </c>
      <c r="T795" t="s">
        <v>630</v>
      </c>
      <c r="U795" t="s">
        <v>631</v>
      </c>
      <c r="V795" t="s">
        <v>56</v>
      </c>
      <c r="W795" t="s">
        <v>56</v>
      </c>
      <c r="X795" t="s">
        <v>56</v>
      </c>
      <c r="Y795" t="s">
        <v>62</v>
      </c>
      <c r="Z795" t="s">
        <v>63</v>
      </c>
      <c r="AA795" t="s">
        <v>64</v>
      </c>
      <c r="AB795">
        <v>1</v>
      </c>
      <c r="AC795" t="s">
        <v>65</v>
      </c>
      <c r="AD795" t="s">
        <v>66</v>
      </c>
      <c r="AE795" t="s">
        <v>85</v>
      </c>
      <c r="AF795" t="s">
        <v>68</v>
      </c>
      <c r="AG795">
        <v>31292.9</v>
      </c>
      <c r="AH795" t="s">
        <v>69</v>
      </c>
      <c r="AI795" t="s">
        <v>269</v>
      </c>
      <c r="AJ795" t="s">
        <v>632</v>
      </c>
      <c r="AK795" t="s">
        <v>72</v>
      </c>
      <c r="AL795" t="s">
        <v>73</v>
      </c>
      <c r="AM795" t="s">
        <v>73</v>
      </c>
      <c r="AN795" t="s">
        <v>56</v>
      </c>
    </row>
    <row r="796" spans="1:40" x14ac:dyDescent="0.25">
      <c r="A796" s="7" t="s">
        <v>55</v>
      </c>
      <c r="B796" s="7" t="s">
        <v>5</v>
      </c>
      <c r="C796" s="7"/>
      <c r="D796" s="7"/>
      <c r="E796" s="7"/>
      <c r="F796" s="7"/>
      <c r="G796" s="7" t="s">
        <v>55</v>
      </c>
      <c r="H796" s="7" t="s">
        <v>7</v>
      </c>
      <c r="I796" s="7">
        <v>300836.90000000002</v>
      </c>
      <c r="J796" s="7">
        <v>990.74348199999997</v>
      </c>
      <c r="K796" s="7">
        <v>841.56994599999996</v>
      </c>
      <c r="L796" s="7">
        <v>0</v>
      </c>
      <c r="M796" s="7" t="s">
        <v>55</v>
      </c>
      <c r="N796" s="7" t="s">
        <v>57</v>
      </c>
      <c r="O796" s="7" t="s">
        <v>58</v>
      </c>
      <c r="P796" s="7" t="s">
        <v>59</v>
      </c>
      <c r="Q796" s="7" t="s">
        <v>60</v>
      </c>
      <c r="R796" s="7" t="s">
        <v>61</v>
      </c>
      <c r="S796" s="7" t="s">
        <v>58</v>
      </c>
      <c r="T796" s="7" t="s">
        <v>59</v>
      </c>
      <c r="U796" s="7" t="s">
        <v>60</v>
      </c>
      <c r="V796" s="7" t="s">
        <v>56</v>
      </c>
      <c r="W796" s="7" t="s">
        <v>56</v>
      </c>
      <c r="X796" s="7" t="s">
        <v>56</v>
      </c>
      <c r="Y796" s="7" t="s">
        <v>62</v>
      </c>
      <c r="Z796" s="7" t="s">
        <v>63</v>
      </c>
      <c r="AA796" s="7" t="s">
        <v>64</v>
      </c>
      <c r="AB796" s="7">
        <v>1</v>
      </c>
      <c r="AC796" s="7" t="s">
        <v>65</v>
      </c>
      <c r="AD796" s="7" t="s">
        <v>66</v>
      </c>
      <c r="AE796" s="7" t="s">
        <v>67</v>
      </c>
      <c r="AF796" s="7" t="s">
        <v>68</v>
      </c>
      <c r="AG796" s="7">
        <v>113170.73</v>
      </c>
      <c r="AH796" s="7" t="s">
        <v>69</v>
      </c>
      <c r="AI796" s="7" t="s">
        <v>70</v>
      </c>
      <c r="AJ796" s="7" t="s">
        <v>71</v>
      </c>
      <c r="AK796" s="7" t="s">
        <v>72</v>
      </c>
      <c r="AL796" s="7" t="s">
        <v>73</v>
      </c>
      <c r="AM796" s="7" t="s">
        <v>73</v>
      </c>
      <c r="AN796" s="7" t="s">
        <v>74</v>
      </c>
    </row>
    <row r="797" spans="1:40" x14ac:dyDescent="0.25">
      <c r="A797" s="7" t="s">
        <v>55</v>
      </c>
      <c r="B797" s="7" t="s">
        <v>5</v>
      </c>
      <c r="C797" s="7"/>
      <c r="D797" s="7"/>
      <c r="E797" s="7"/>
      <c r="F797" s="7"/>
      <c r="G797" s="7" t="s">
        <v>55</v>
      </c>
      <c r="H797" s="7" t="s">
        <v>7</v>
      </c>
      <c r="I797" s="7">
        <v>300836.90000000002</v>
      </c>
      <c r="J797" s="7">
        <v>990.74348199999997</v>
      </c>
      <c r="K797" s="7">
        <v>841.56994599999996</v>
      </c>
      <c r="L797" s="7">
        <v>0</v>
      </c>
      <c r="M797" s="7" t="s">
        <v>55</v>
      </c>
      <c r="N797" s="7" t="s">
        <v>57</v>
      </c>
      <c r="O797" s="7" t="s">
        <v>58</v>
      </c>
      <c r="P797" s="7" t="s">
        <v>59</v>
      </c>
      <c r="Q797" s="7" t="s">
        <v>60</v>
      </c>
      <c r="R797" s="7" t="s">
        <v>61</v>
      </c>
      <c r="S797" s="7" t="s">
        <v>58</v>
      </c>
      <c r="T797" s="7" t="s">
        <v>59</v>
      </c>
      <c r="U797" s="7" t="s">
        <v>60</v>
      </c>
      <c r="V797" s="7" t="s">
        <v>56</v>
      </c>
      <c r="W797" s="7" t="s">
        <v>56</v>
      </c>
      <c r="X797" s="7" t="s">
        <v>56</v>
      </c>
      <c r="Y797" s="7" t="s">
        <v>62</v>
      </c>
      <c r="Z797" s="7" t="s">
        <v>63</v>
      </c>
      <c r="AA797" s="7" t="s">
        <v>64</v>
      </c>
      <c r="AB797" s="7">
        <v>1</v>
      </c>
      <c r="AC797" s="7" t="s">
        <v>65</v>
      </c>
      <c r="AD797" s="7" t="s">
        <v>66</v>
      </c>
      <c r="AE797" s="7" t="s">
        <v>67</v>
      </c>
      <c r="AF797" s="7" t="s">
        <v>68</v>
      </c>
      <c r="AG797" s="7">
        <v>113008.13</v>
      </c>
      <c r="AH797" s="7" t="s">
        <v>69</v>
      </c>
      <c r="AI797" s="7" t="s">
        <v>70</v>
      </c>
      <c r="AJ797" s="7" t="s">
        <v>71</v>
      </c>
      <c r="AK797" s="7" t="s">
        <v>72</v>
      </c>
      <c r="AL797" s="7" t="s">
        <v>73</v>
      </c>
      <c r="AM797" s="7" t="s">
        <v>73</v>
      </c>
      <c r="AN797" s="7" t="s">
        <v>74</v>
      </c>
    </row>
  </sheetData>
  <autoFilter ref="A8:AN797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C91"/>
  <sheetViews>
    <sheetView showGridLines="0" workbookViewId="0"/>
  </sheetViews>
  <sheetFormatPr defaultRowHeight="15" x14ac:dyDescent="0.25"/>
  <cols>
    <col min="1" max="1" width="3.7109375" customWidth="1"/>
    <col min="2" max="2" width="20.5703125" bestFit="1" customWidth="1"/>
    <col min="57" max="57" width="18.85546875" bestFit="1" customWidth="1"/>
    <col min="58" max="59" width="25.5703125" bestFit="1" customWidth="1"/>
    <col min="60" max="61" width="23" bestFit="1" customWidth="1"/>
    <col min="62" max="62" width="28.140625" bestFit="1" customWidth="1"/>
    <col min="63" max="64" width="31.7109375" bestFit="1" customWidth="1"/>
    <col min="65" max="66" width="32.7109375" bestFit="1" customWidth="1"/>
    <col min="67" max="67" width="18.85546875" bestFit="1" customWidth="1"/>
  </cols>
  <sheetData>
    <row r="2" spans="2:79" x14ac:dyDescent="0.25">
      <c r="B2" s="8" t="s">
        <v>55</v>
      </c>
    </row>
    <row r="3" spans="2:79" x14ac:dyDescent="0.25">
      <c r="B3" s="8"/>
    </row>
    <row r="4" spans="2:79" x14ac:dyDescent="0.25">
      <c r="B4" s="4" t="s">
        <v>2962</v>
      </c>
      <c r="C4" t="s">
        <v>2964</v>
      </c>
    </row>
    <row r="6" spans="2:79" s="15" customFormat="1" x14ac:dyDescent="0.25">
      <c r="B6" s="26" t="s">
        <v>2545</v>
      </c>
    </row>
    <row r="8" spans="2:79" x14ac:dyDescent="0.25">
      <c r="B8" t="s">
        <v>2546</v>
      </c>
      <c r="C8" t="s">
        <v>2547</v>
      </c>
      <c r="D8" t="s">
        <v>2548</v>
      </c>
      <c r="E8" t="s">
        <v>2549</v>
      </c>
      <c r="F8" t="s">
        <v>18</v>
      </c>
      <c r="G8" t="s">
        <v>2550</v>
      </c>
      <c r="H8" t="s">
        <v>2551</v>
      </c>
      <c r="I8" t="s">
        <v>2552</v>
      </c>
      <c r="J8" t="s">
        <v>2553</v>
      </c>
      <c r="K8" t="s">
        <v>2554</v>
      </c>
      <c r="L8" t="s">
        <v>2555</v>
      </c>
      <c r="M8" t="s">
        <v>35</v>
      </c>
      <c r="N8" t="s">
        <v>36</v>
      </c>
      <c r="O8" t="s">
        <v>37</v>
      </c>
      <c r="P8" t="s">
        <v>2556</v>
      </c>
      <c r="Q8" t="s">
        <v>2557</v>
      </c>
      <c r="R8" t="s">
        <v>2558</v>
      </c>
      <c r="S8" t="s">
        <v>2559</v>
      </c>
      <c r="T8" t="s">
        <v>2560</v>
      </c>
      <c r="U8" t="s">
        <v>2561</v>
      </c>
      <c r="V8" t="s">
        <v>2562</v>
      </c>
      <c r="W8" t="s">
        <v>2563</v>
      </c>
      <c r="X8" t="s">
        <v>2564</v>
      </c>
      <c r="Y8" t="s">
        <v>2565</v>
      </c>
      <c r="Z8" t="s">
        <v>2566</v>
      </c>
      <c r="AA8" t="s">
        <v>2567</v>
      </c>
      <c r="AB8" t="s">
        <v>2568</v>
      </c>
      <c r="AC8" t="s">
        <v>2569</v>
      </c>
      <c r="AD8" t="s">
        <v>2570</v>
      </c>
      <c r="AE8" t="s">
        <v>2571</v>
      </c>
      <c r="AF8" t="s">
        <v>2572</v>
      </c>
      <c r="AG8" t="s">
        <v>2573</v>
      </c>
      <c r="AH8" t="s">
        <v>2574</v>
      </c>
      <c r="AI8" t="s">
        <v>2575</v>
      </c>
      <c r="AJ8" t="s">
        <v>2576</v>
      </c>
      <c r="AK8" t="s">
        <v>2577</v>
      </c>
      <c r="AL8" t="s">
        <v>2578</v>
      </c>
      <c r="AM8" t="s">
        <v>2579</v>
      </c>
      <c r="AN8" t="s">
        <v>2580</v>
      </c>
      <c r="AO8" t="s">
        <v>2581</v>
      </c>
      <c r="AP8" t="s">
        <v>2582</v>
      </c>
      <c r="AQ8" t="s">
        <v>2583</v>
      </c>
      <c r="AR8" t="s">
        <v>2584</v>
      </c>
      <c r="AS8" t="s">
        <v>2585</v>
      </c>
      <c r="AT8" t="s">
        <v>2586</v>
      </c>
      <c r="AU8" t="s">
        <v>2587</v>
      </c>
      <c r="AV8" t="s">
        <v>2588</v>
      </c>
      <c r="AW8" t="s">
        <v>2589</v>
      </c>
      <c r="AX8" t="s">
        <v>2590</v>
      </c>
      <c r="AY8" t="s">
        <v>2591</v>
      </c>
      <c r="AZ8" t="s">
        <v>2592</v>
      </c>
      <c r="BA8" t="s">
        <v>2593</v>
      </c>
      <c r="BB8" t="s">
        <v>2594</v>
      </c>
      <c r="BC8" t="s">
        <v>2595</v>
      </c>
      <c r="BD8" t="s">
        <v>2596</v>
      </c>
      <c r="BE8" t="s">
        <v>2597</v>
      </c>
      <c r="BF8" t="s">
        <v>2598</v>
      </c>
      <c r="BG8" t="s">
        <v>2599</v>
      </c>
      <c r="BH8" t="s">
        <v>2600</v>
      </c>
      <c r="BI8" t="s">
        <v>2601</v>
      </c>
      <c r="BJ8" t="s">
        <v>2602</v>
      </c>
      <c r="BK8" t="s">
        <v>2603</v>
      </c>
      <c r="BL8" t="s">
        <v>2604</v>
      </c>
      <c r="BM8" t="s">
        <v>2605</v>
      </c>
      <c r="BN8" t="s">
        <v>2606</v>
      </c>
      <c r="BO8" t="s">
        <v>2607</v>
      </c>
      <c r="BP8" t="s">
        <v>2608</v>
      </c>
      <c r="BQ8" t="s">
        <v>2609</v>
      </c>
      <c r="BR8" t="s">
        <v>2610</v>
      </c>
      <c r="BS8" t="s">
        <v>2611</v>
      </c>
      <c r="BT8" t="s">
        <v>2612</v>
      </c>
      <c r="BU8" t="s">
        <v>2613</v>
      </c>
      <c r="BV8" t="s">
        <v>2614</v>
      </c>
      <c r="BW8" t="s">
        <v>2615</v>
      </c>
      <c r="BX8" t="s">
        <v>2616</v>
      </c>
      <c r="BY8" t="s">
        <v>2617</v>
      </c>
      <c r="BZ8" t="s">
        <v>2618</v>
      </c>
      <c r="CA8" t="s">
        <v>2619</v>
      </c>
    </row>
    <row r="9" spans="2:79" x14ac:dyDescent="0.25">
      <c r="B9" t="s">
        <v>61</v>
      </c>
      <c r="C9" t="s">
        <v>58</v>
      </c>
      <c r="D9" t="s">
        <v>59</v>
      </c>
      <c r="E9" t="s">
        <v>60</v>
      </c>
      <c r="F9" t="s">
        <v>55</v>
      </c>
      <c r="G9" t="s">
        <v>2620</v>
      </c>
      <c r="I9" t="s">
        <v>2635</v>
      </c>
      <c r="J9">
        <v>635.08000000000004</v>
      </c>
      <c r="K9" t="s">
        <v>56</v>
      </c>
      <c r="L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S9" t="s">
        <v>56</v>
      </c>
      <c r="T9" t="s">
        <v>56</v>
      </c>
      <c r="U9" t="s">
        <v>56</v>
      </c>
      <c r="V9">
        <v>0</v>
      </c>
      <c r="W9" t="s">
        <v>56</v>
      </c>
      <c r="X9" t="s">
        <v>2640</v>
      </c>
      <c r="Y9" t="s">
        <v>56</v>
      </c>
      <c r="Z9" t="s">
        <v>56</v>
      </c>
      <c r="AA9" t="s">
        <v>2627</v>
      </c>
      <c r="AB9">
        <v>635.08000000000004</v>
      </c>
      <c r="AC9">
        <v>1</v>
      </c>
      <c r="AD9" t="s">
        <v>2628</v>
      </c>
      <c r="AE9" t="s">
        <v>2629</v>
      </c>
      <c r="AG9" s="16">
        <v>45504</v>
      </c>
      <c r="AH9" s="16">
        <v>2958465</v>
      </c>
      <c r="AI9" t="s">
        <v>2630</v>
      </c>
      <c r="AJ9" t="s">
        <v>2631</v>
      </c>
      <c r="AK9" t="s">
        <v>2632</v>
      </c>
      <c r="AL9">
        <v>3187177.12</v>
      </c>
      <c r="AM9">
        <v>150625.07999999999</v>
      </c>
      <c r="AN9">
        <v>0</v>
      </c>
      <c r="AO9">
        <v>0</v>
      </c>
      <c r="AP9">
        <v>64871.67</v>
      </c>
      <c r="AQ9">
        <v>0</v>
      </c>
      <c r="AR9">
        <v>0</v>
      </c>
      <c r="AS9">
        <v>3187177.12</v>
      </c>
      <c r="AT9">
        <v>215496.75</v>
      </c>
      <c r="AU9">
        <v>38.481000000000002</v>
      </c>
      <c r="AV9">
        <v>5.4070999999999998</v>
      </c>
      <c r="AW9">
        <v>299.24599999999998</v>
      </c>
      <c r="AX9" t="s">
        <v>2633</v>
      </c>
      <c r="AY9" t="s">
        <v>2633</v>
      </c>
      <c r="AZ9" t="s">
        <v>2633</v>
      </c>
      <c r="BA9" t="s">
        <v>56</v>
      </c>
      <c r="BB9" t="s">
        <v>56</v>
      </c>
      <c r="BC9" t="s">
        <v>56</v>
      </c>
      <c r="BD9" t="s">
        <v>56</v>
      </c>
      <c r="BE9" t="s">
        <v>56</v>
      </c>
      <c r="BF9" t="s">
        <v>56</v>
      </c>
      <c r="BG9" t="s">
        <v>56</v>
      </c>
      <c r="BH9" t="s">
        <v>56</v>
      </c>
      <c r="BI9" t="s">
        <v>56</v>
      </c>
      <c r="BJ9" t="s">
        <v>56</v>
      </c>
      <c r="BK9" t="s">
        <v>56</v>
      </c>
      <c r="BL9" t="s">
        <v>56</v>
      </c>
      <c r="BM9" t="s">
        <v>56</v>
      </c>
      <c r="BN9" t="s">
        <v>56</v>
      </c>
      <c r="BO9">
        <v>0</v>
      </c>
      <c r="BP9">
        <v>1</v>
      </c>
      <c r="BQ9">
        <v>418700</v>
      </c>
      <c r="BR9" t="s">
        <v>56</v>
      </c>
      <c r="BS9" t="s">
        <v>56</v>
      </c>
      <c r="BT9" t="s">
        <v>56</v>
      </c>
      <c r="BU9" t="s">
        <v>2635</v>
      </c>
      <c r="BV9" t="s">
        <v>56</v>
      </c>
      <c r="BW9" t="s">
        <v>56</v>
      </c>
      <c r="BX9" t="s">
        <v>2635</v>
      </c>
      <c r="BY9" t="s">
        <v>56</v>
      </c>
      <c r="BZ9" t="s">
        <v>56</v>
      </c>
      <c r="CA9" t="s">
        <v>2635</v>
      </c>
    </row>
    <row r="10" spans="2:79" x14ac:dyDescent="0.25">
      <c r="B10" t="s">
        <v>61</v>
      </c>
      <c r="C10" t="s">
        <v>58</v>
      </c>
      <c r="D10" t="s">
        <v>59</v>
      </c>
      <c r="E10" t="s">
        <v>60</v>
      </c>
      <c r="F10" t="s">
        <v>55</v>
      </c>
      <c r="G10" t="s">
        <v>2620</v>
      </c>
      <c r="I10" t="s">
        <v>2621</v>
      </c>
      <c r="J10">
        <v>-264541.15999999997</v>
      </c>
      <c r="K10" t="s">
        <v>55</v>
      </c>
      <c r="L10" t="s">
        <v>61</v>
      </c>
      <c r="M10" t="s">
        <v>58</v>
      </c>
      <c r="N10" t="s">
        <v>59</v>
      </c>
      <c r="O10" t="s">
        <v>2622</v>
      </c>
      <c r="P10" t="s">
        <v>2623</v>
      </c>
      <c r="Q10" t="s">
        <v>2624</v>
      </c>
      <c r="R10" t="s">
        <v>2625</v>
      </c>
      <c r="S10">
        <v>88640.43</v>
      </c>
      <c r="T10">
        <v>140500</v>
      </c>
      <c r="U10">
        <v>140500</v>
      </c>
      <c r="V10">
        <v>3</v>
      </c>
      <c r="W10">
        <v>264154.78999999998</v>
      </c>
      <c r="X10" t="s">
        <v>2626</v>
      </c>
      <c r="Y10">
        <v>0.33556245563443998</v>
      </c>
      <c r="Z10">
        <v>0.33507235698218002</v>
      </c>
      <c r="AA10" t="s">
        <v>2627</v>
      </c>
      <c r="AB10">
        <v>-88640.429999999906</v>
      </c>
      <c r="AC10">
        <v>1</v>
      </c>
      <c r="AD10" t="s">
        <v>2628</v>
      </c>
      <c r="AE10" t="s">
        <v>2629</v>
      </c>
      <c r="AG10" s="16">
        <v>45504</v>
      </c>
      <c r="AH10" s="16">
        <v>2958465</v>
      </c>
      <c r="AI10" t="s">
        <v>2630</v>
      </c>
      <c r="AJ10" t="s">
        <v>2631</v>
      </c>
      <c r="AK10" t="s">
        <v>2632</v>
      </c>
      <c r="AL10">
        <v>3187177.12</v>
      </c>
      <c r="AM10">
        <v>150625.07999999999</v>
      </c>
      <c r="AN10">
        <v>0</v>
      </c>
      <c r="AO10">
        <v>0</v>
      </c>
      <c r="AP10">
        <v>64871.67</v>
      </c>
      <c r="AQ10">
        <v>0</v>
      </c>
      <c r="AR10">
        <v>0</v>
      </c>
      <c r="AS10">
        <v>3187177.12</v>
      </c>
      <c r="AT10">
        <v>215496.75</v>
      </c>
      <c r="AU10">
        <v>38.481000000000002</v>
      </c>
      <c r="AV10">
        <v>5.4070999999999998</v>
      </c>
      <c r="AW10">
        <v>299.24599999999998</v>
      </c>
      <c r="AX10" t="s">
        <v>2633</v>
      </c>
      <c r="AY10" t="s">
        <v>2633</v>
      </c>
      <c r="AZ10" t="s">
        <v>2633</v>
      </c>
      <c r="BA10" t="s">
        <v>56</v>
      </c>
      <c r="BB10" t="s">
        <v>56</v>
      </c>
      <c r="BC10">
        <v>1121.0599790000001</v>
      </c>
      <c r="BD10">
        <v>952.26504399999999</v>
      </c>
      <c r="BE10" t="s">
        <v>56</v>
      </c>
      <c r="BF10" t="s">
        <v>2634</v>
      </c>
      <c r="BG10" t="s">
        <v>2634</v>
      </c>
      <c r="BH10" t="s">
        <v>2635</v>
      </c>
      <c r="BI10" t="s">
        <v>56</v>
      </c>
      <c r="BJ10" t="s">
        <v>56</v>
      </c>
      <c r="BK10" t="s">
        <v>56</v>
      </c>
      <c r="BL10" t="s">
        <v>56</v>
      </c>
      <c r="BM10" t="s">
        <v>56</v>
      </c>
      <c r="BN10" t="s">
        <v>56</v>
      </c>
      <c r="BO10">
        <v>1</v>
      </c>
      <c r="BP10">
        <v>1</v>
      </c>
      <c r="BQ10">
        <v>418700</v>
      </c>
      <c r="BR10">
        <v>708.30251063188496</v>
      </c>
      <c r="BS10" t="s">
        <v>56</v>
      </c>
      <c r="BT10">
        <v>708.30250999999998</v>
      </c>
      <c r="BU10" t="s">
        <v>2634</v>
      </c>
      <c r="BV10">
        <v>601.65533877485996</v>
      </c>
      <c r="BW10">
        <v>601.65533800000003</v>
      </c>
      <c r="BX10" t="s">
        <v>2634</v>
      </c>
      <c r="BY10" t="s">
        <v>56</v>
      </c>
      <c r="BZ10" t="s">
        <v>56</v>
      </c>
      <c r="CA10" t="s">
        <v>2635</v>
      </c>
    </row>
    <row r="11" spans="2:79" x14ac:dyDescent="0.25">
      <c r="B11" t="s">
        <v>61</v>
      </c>
      <c r="C11" t="s">
        <v>58</v>
      </c>
      <c r="D11" t="s">
        <v>59</v>
      </c>
      <c r="E11" t="s">
        <v>60</v>
      </c>
      <c r="F11" t="s">
        <v>55</v>
      </c>
      <c r="G11" t="s">
        <v>2620</v>
      </c>
      <c r="I11" t="s">
        <v>2621</v>
      </c>
      <c r="J11">
        <v>-264541.15999999997</v>
      </c>
      <c r="K11" t="s">
        <v>55</v>
      </c>
      <c r="L11" t="s">
        <v>61</v>
      </c>
      <c r="M11" t="s">
        <v>58</v>
      </c>
      <c r="N11" t="s">
        <v>59</v>
      </c>
      <c r="O11" t="s">
        <v>2636</v>
      </c>
      <c r="P11" t="s">
        <v>2637</v>
      </c>
      <c r="Q11" t="s">
        <v>2624</v>
      </c>
      <c r="R11" t="s">
        <v>2625</v>
      </c>
      <c r="S11">
        <v>87820.27</v>
      </c>
      <c r="T11">
        <v>139200</v>
      </c>
      <c r="U11">
        <v>139200</v>
      </c>
      <c r="V11">
        <v>3</v>
      </c>
      <c r="W11">
        <v>264154.78999999998</v>
      </c>
      <c r="X11" t="s">
        <v>2626</v>
      </c>
      <c r="Y11">
        <v>0.33245760941908298</v>
      </c>
      <c r="Z11">
        <v>0.33197204548433901</v>
      </c>
      <c r="AA11" t="s">
        <v>2627</v>
      </c>
      <c r="AB11">
        <v>-87820.269999999902</v>
      </c>
      <c r="AC11">
        <v>1</v>
      </c>
      <c r="AD11" t="s">
        <v>2628</v>
      </c>
      <c r="AE11" t="s">
        <v>2629</v>
      </c>
      <c r="AG11" s="16">
        <v>45504</v>
      </c>
      <c r="AH11" s="16">
        <v>2958465</v>
      </c>
      <c r="AI11" t="s">
        <v>2630</v>
      </c>
      <c r="AJ11" t="s">
        <v>2631</v>
      </c>
      <c r="AK11" t="s">
        <v>2632</v>
      </c>
      <c r="AL11">
        <v>3187177.12</v>
      </c>
      <c r="AM11">
        <v>150625.07999999999</v>
      </c>
      <c r="AN11">
        <v>0</v>
      </c>
      <c r="AO11">
        <v>0</v>
      </c>
      <c r="AP11">
        <v>64871.67</v>
      </c>
      <c r="AQ11">
        <v>0</v>
      </c>
      <c r="AR11">
        <v>0</v>
      </c>
      <c r="AS11">
        <v>3187177.12</v>
      </c>
      <c r="AT11">
        <v>215496.75</v>
      </c>
      <c r="AU11">
        <v>38.481000000000002</v>
      </c>
      <c r="AV11">
        <v>5.4070999999999998</v>
      </c>
      <c r="AW11">
        <v>299.24599999999998</v>
      </c>
      <c r="AX11" t="s">
        <v>2633</v>
      </c>
      <c r="AY11" t="s">
        <v>2633</v>
      </c>
      <c r="AZ11" t="s">
        <v>2633</v>
      </c>
      <c r="BA11" t="s">
        <v>56</v>
      </c>
      <c r="BB11" t="s">
        <v>56</v>
      </c>
      <c r="BC11">
        <v>1121.0599790000001</v>
      </c>
      <c r="BD11">
        <v>952.26504399999999</v>
      </c>
      <c r="BE11" t="s">
        <v>56</v>
      </c>
      <c r="BF11" t="s">
        <v>2634</v>
      </c>
      <c r="BG11" t="s">
        <v>2634</v>
      </c>
      <c r="BH11" t="s">
        <v>2635</v>
      </c>
      <c r="BI11" t="s">
        <v>56</v>
      </c>
      <c r="BJ11" t="s">
        <v>56</v>
      </c>
      <c r="BK11" t="s">
        <v>56</v>
      </c>
      <c r="BL11" t="s">
        <v>56</v>
      </c>
      <c r="BM11" t="s">
        <v>56</v>
      </c>
      <c r="BN11" t="s">
        <v>56</v>
      </c>
      <c r="BO11">
        <v>1</v>
      </c>
      <c r="BP11">
        <v>1</v>
      </c>
      <c r="BQ11">
        <v>418700</v>
      </c>
      <c r="BR11">
        <v>708.30251063188496</v>
      </c>
      <c r="BS11" t="s">
        <v>56</v>
      </c>
      <c r="BT11">
        <v>708.30250999999998</v>
      </c>
      <c r="BU11" t="s">
        <v>2634</v>
      </c>
      <c r="BV11">
        <v>601.65533877485996</v>
      </c>
      <c r="BW11">
        <v>601.65533800000003</v>
      </c>
      <c r="BX11" t="s">
        <v>2634</v>
      </c>
      <c r="BY11" t="s">
        <v>56</v>
      </c>
      <c r="BZ11" t="s">
        <v>56</v>
      </c>
      <c r="CA11" t="s">
        <v>2635</v>
      </c>
    </row>
    <row r="12" spans="2:79" x14ac:dyDescent="0.25">
      <c r="B12" t="s">
        <v>61</v>
      </c>
      <c r="C12" t="s">
        <v>58</v>
      </c>
      <c r="D12" t="s">
        <v>59</v>
      </c>
      <c r="E12" t="s">
        <v>60</v>
      </c>
      <c r="F12" t="s">
        <v>55</v>
      </c>
      <c r="G12" t="s">
        <v>2620</v>
      </c>
      <c r="I12" t="s">
        <v>2621</v>
      </c>
      <c r="J12">
        <v>-264541.15999999997</v>
      </c>
      <c r="K12" t="s">
        <v>55</v>
      </c>
      <c r="L12" t="s">
        <v>61</v>
      </c>
      <c r="M12" t="s">
        <v>58</v>
      </c>
      <c r="N12" t="s">
        <v>59</v>
      </c>
      <c r="O12" t="s">
        <v>2638</v>
      </c>
      <c r="P12" t="s">
        <v>2639</v>
      </c>
      <c r="Q12" t="s">
        <v>2624</v>
      </c>
      <c r="R12" t="s">
        <v>2625</v>
      </c>
      <c r="S12">
        <v>87694.09</v>
      </c>
      <c r="T12">
        <v>139000</v>
      </c>
      <c r="U12">
        <v>139000</v>
      </c>
      <c r="V12">
        <v>3</v>
      </c>
      <c r="W12">
        <v>264154.78999999998</v>
      </c>
      <c r="X12" t="s">
        <v>2626</v>
      </c>
      <c r="Y12">
        <v>0.33197993494647499</v>
      </c>
      <c r="Z12">
        <v>0.33149506866908701</v>
      </c>
      <c r="AA12" t="s">
        <v>2627</v>
      </c>
      <c r="AB12">
        <v>-87694.089999999895</v>
      </c>
      <c r="AC12">
        <v>1</v>
      </c>
      <c r="AD12" t="s">
        <v>2628</v>
      </c>
      <c r="AE12" t="s">
        <v>2629</v>
      </c>
      <c r="AG12" s="16">
        <v>45504</v>
      </c>
      <c r="AH12" s="16">
        <v>2958465</v>
      </c>
      <c r="AI12" t="s">
        <v>2630</v>
      </c>
      <c r="AJ12" t="s">
        <v>2631</v>
      </c>
      <c r="AK12" t="s">
        <v>2632</v>
      </c>
      <c r="AL12">
        <v>3187177.12</v>
      </c>
      <c r="AM12">
        <v>150625.07999999999</v>
      </c>
      <c r="AN12">
        <v>0</v>
      </c>
      <c r="AO12">
        <v>0</v>
      </c>
      <c r="AP12">
        <v>64871.67</v>
      </c>
      <c r="AQ12">
        <v>0</v>
      </c>
      <c r="AR12">
        <v>0</v>
      </c>
      <c r="AS12">
        <v>3187177.12</v>
      </c>
      <c r="AT12">
        <v>215496.75</v>
      </c>
      <c r="AU12">
        <v>38.481000000000002</v>
      </c>
      <c r="AV12">
        <v>5.4070999999999998</v>
      </c>
      <c r="AW12">
        <v>299.24599999999998</v>
      </c>
      <c r="AX12" t="s">
        <v>2633</v>
      </c>
      <c r="AY12" t="s">
        <v>2633</v>
      </c>
      <c r="AZ12" t="s">
        <v>2633</v>
      </c>
      <c r="BA12" t="s">
        <v>56</v>
      </c>
      <c r="BB12" t="s">
        <v>56</v>
      </c>
      <c r="BC12">
        <v>1121.0599790000001</v>
      </c>
      <c r="BD12">
        <v>952.26504399999999</v>
      </c>
      <c r="BE12" t="s">
        <v>56</v>
      </c>
      <c r="BF12" t="s">
        <v>2634</v>
      </c>
      <c r="BG12" t="s">
        <v>2634</v>
      </c>
      <c r="BH12" t="s">
        <v>2635</v>
      </c>
      <c r="BI12" t="s">
        <v>56</v>
      </c>
      <c r="BJ12" t="s">
        <v>56</v>
      </c>
      <c r="BK12" t="s">
        <v>56</v>
      </c>
      <c r="BL12" t="s">
        <v>56</v>
      </c>
      <c r="BM12" t="s">
        <v>56</v>
      </c>
      <c r="BN12" t="s">
        <v>56</v>
      </c>
      <c r="BO12">
        <v>1</v>
      </c>
      <c r="BP12">
        <v>1</v>
      </c>
      <c r="BQ12">
        <v>418700</v>
      </c>
      <c r="BR12">
        <v>708.30251063188496</v>
      </c>
      <c r="BS12" t="s">
        <v>56</v>
      </c>
      <c r="BT12">
        <v>708.30250999999998</v>
      </c>
      <c r="BU12" t="s">
        <v>2634</v>
      </c>
      <c r="BV12">
        <v>601.65533877485996</v>
      </c>
      <c r="BW12">
        <v>601.65533800000003</v>
      </c>
      <c r="BX12" t="s">
        <v>2634</v>
      </c>
      <c r="BY12" t="s">
        <v>56</v>
      </c>
      <c r="BZ12" t="s">
        <v>56</v>
      </c>
      <c r="CA12" t="s">
        <v>2635</v>
      </c>
    </row>
    <row r="13" spans="2:79" x14ac:dyDescent="0.25">
      <c r="B13" t="s">
        <v>61</v>
      </c>
      <c r="C13" t="s">
        <v>58</v>
      </c>
      <c r="D13" t="s">
        <v>59</v>
      </c>
      <c r="E13" t="s">
        <v>60</v>
      </c>
      <c r="F13" t="s">
        <v>55</v>
      </c>
      <c r="G13" t="s">
        <v>2620</v>
      </c>
      <c r="I13" t="s">
        <v>2621</v>
      </c>
      <c r="J13">
        <v>-264541.15999999997</v>
      </c>
      <c r="K13" t="s">
        <v>55</v>
      </c>
      <c r="L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56</v>
      </c>
      <c r="S13" t="s">
        <v>56</v>
      </c>
      <c r="T13" t="s">
        <v>56</v>
      </c>
      <c r="U13" t="s">
        <v>56</v>
      </c>
      <c r="V13" t="s">
        <v>56</v>
      </c>
      <c r="W13">
        <v>264154.78999999998</v>
      </c>
      <c r="X13" t="s">
        <v>2626</v>
      </c>
      <c r="Y13" t="s">
        <v>56</v>
      </c>
      <c r="Z13">
        <v>1.46052886439297E-3</v>
      </c>
      <c r="AA13" t="s">
        <v>2641</v>
      </c>
      <c r="AB13">
        <v>-386.37</v>
      </c>
      <c r="AC13">
        <v>1</v>
      </c>
      <c r="AD13" t="s">
        <v>2628</v>
      </c>
      <c r="AE13" t="s">
        <v>2629</v>
      </c>
      <c r="AG13" s="16">
        <v>45504</v>
      </c>
      <c r="AH13" s="16">
        <v>2958465</v>
      </c>
      <c r="AI13" t="s">
        <v>2630</v>
      </c>
      <c r="AJ13" t="s">
        <v>2631</v>
      </c>
      <c r="AK13" t="s">
        <v>2632</v>
      </c>
      <c r="AL13">
        <v>3187177.12</v>
      </c>
      <c r="AM13">
        <v>150625.07999999999</v>
      </c>
      <c r="AN13">
        <v>0</v>
      </c>
      <c r="AO13">
        <v>0</v>
      </c>
      <c r="AP13">
        <v>64871.67</v>
      </c>
      <c r="AQ13">
        <v>0</v>
      </c>
      <c r="AR13">
        <v>0</v>
      </c>
      <c r="AS13">
        <v>3187177.12</v>
      </c>
      <c r="AT13">
        <v>215496.75</v>
      </c>
      <c r="AU13">
        <v>38.481000000000002</v>
      </c>
      <c r="AV13">
        <v>5.4070999999999998</v>
      </c>
      <c r="AW13">
        <v>299.24599999999998</v>
      </c>
      <c r="AX13" t="s">
        <v>2633</v>
      </c>
      <c r="AY13" t="s">
        <v>2633</v>
      </c>
      <c r="AZ13" t="s">
        <v>2633</v>
      </c>
      <c r="BA13" t="s">
        <v>56</v>
      </c>
      <c r="BB13" t="s">
        <v>56</v>
      </c>
      <c r="BC13" t="s">
        <v>56</v>
      </c>
      <c r="BD13" t="s">
        <v>56</v>
      </c>
      <c r="BE13" t="s">
        <v>56</v>
      </c>
      <c r="BF13" t="s">
        <v>56</v>
      </c>
      <c r="BG13" t="s">
        <v>56</v>
      </c>
      <c r="BH13" t="s">
        <v>56</v>
      </c>
      <c r="BI13" t="s">
        <v>56</v>
      </c>
      <c r="BJ13" t="s">
        <v>56</v>
      </c>
      <c r="BK13" t="s">
        <v>56</v>
      </c>
      <c r="BL13" t="s">
        <v>56</v>
      </c>
      <c r="BM13" t="s">
        <v>56</v>
      </c>
      <c r="BN13" t="s">
        <v>56</v>
      </c>
      <c r="BO13">
        <v>0</v>
      </c>
      <c r="BP13">
        <v>1</v>
      </c>
      <c r="BQ13">
        <v>418700</v>
      </c>
      <c r="BR13" t="s">
        <v>56</v>
      </c>
      <c r="BS13" t="s">
        <v>56</v>
      </c>
      <c r="BT13" t="s">
        <v>56</v>
      </c>
      <c r="BU13" t="s">
        <v>2635</v>
      </c>
      <c r="BV13" t="s">
        <v>56</v>
      </c>
      <c r="BW13" t="s">
        <v>56</v>
      </c>
      <c r="BX13" t="s">
        <v>2635</v>
      </c>
      <c r="BY13" t="s">
        <v>56</v>
      </c>
      <c r="BZ13" t="s">
        <v>56</v>
      </c>
      <c r="CA13" t="s">
        <v>2635</v>
      </c>
    </row>
    <row r="15" spans="2:79" x14ac:dyDescent="0.25">
      <c r="B15" t="s">
        <v>2642</v>
      </c>
      <c r="C15">
        <f>+J10</f>
        <v>-264541.15999999997</v>
      </c>
    </row>
    <row r="16" spans="2:79" x14ac:dyDescent="0.25">
      <c r="B16" t="s">
        <v>2643</v>
      </c>
      <c r="C16">
        <v>3</v>
      </c>
    </row>
    <row r="17" spans="2:159" x14ac:dyDescent="0.25">
      <c r="B17" t="s">
        <v>2649</v>
      </c>
      <c r="C17">
        <f>-C15/SUM(U10:U12)</f>
        <v>0.6318155242417004</v>
      </c>
    </row>
    <row r="18" spans="2:159" x14ac:dyDescent="0.25">
      <c r="B18" t="s">
        <v>2644</v>
      </c>
      <c r="C18">
        <f>+$C$17*BC10</f>
        <v>708.30309833827471</v>
      </c>
    </row>
    <row r="19" spans="2:159" x14ac:dyDescent="0.25">
      <c r="B19" t="s">
        <v>2645</v>
      </c>
      <c r="C19">
        <f t="shared" ref="C19:C20" si="0">+$C$17*BC11</f>
        <v>708.30309833827471</v>
      </c>
    </row>
    <row r="20" spans="2:159" x14ac:dyDescent="0.25">
      <c r="B20" t="s">
        <v>2646</v>
      </c>
      <c r="C20">
        <f t="shared" si="0"/>
        <v>708.30309833827471</v>
      </c>
    </row>
    <row r="21" spans="2:159" x14ac:dyDescent="0.25">
      <c r="B21" s="3" t="s">
        <v>2647</v>
      </c>
      <c r="C21" s="3">
        <f>+SUM(C18:C20)</f>
        <v>2124.9092950148242</v>
      </c>
    </row>
    <row r="23" spans="2:159" s="15" customFormat="1" x14ac:dyDescent="0.25">
      <c r="B23" s="26" t="s">
        <v>2648</v>
      </c>
    </row>
    <row r="24" spans="2:159" x14ac:dyDescent="0.25">
      <c r="B24" s="4"/>
    </row>
    <row r="25" spans="2:159" x14ac:dyDescent="0.25">
      <c r="B25" s="18" t="s">
        <v>2819</v>
      </c>
      <c r="CF25" t="s">
        <v>2841</v>
      </c>
    </row>
    <row r="26" spans="2:159" x14ac:dyDescent="0.25">
      <c r="B26" s="17" t="s">
        <v>31</v>
      </c>
      <c r="C26" s="17" t="s">
        <v>32</v>
      </c>
      <c r="D26" s="17" t="s">
        <v>33</v>
      </c>
      <c r="E26" s="17" t="s">
        <v>34</v>
      </c>
      <c r="F26" s="17" t="s">
        <v>2550</v>
      </c>
      <c r="G26" s="17" t="s">
        <v>35</v>
      </c>
      <c r="H26" s="17" t="s">
        <v>36</v>
      </c>
      <c r="I26" s="17" t="s">
        <v>37</v>
      </c>
      <c r="J26" s="17" t="s">
        <v>2650</v>
      </c>
      <c r="K26" s="17" t="s">
        <v>2651</v>
      </c>
      <c r="L26" s="17" t="s">
        <v>2652</v>
      </c>
      <c r="M26" s="17" t="s">
        <v>2653</v>
      </c>
      <c r="N26" s="17" t="s">
        <v>2654</v>
      </c>
      <c r="O26" s="17" t="s">
        <v>2655</v>
      </c>
      <c r="P26" s="17" t="s">
        <v>2656</v>
      </c>
      <c r="Q26" s="17" t="s">
        <v>2657</v>
      </c>
      <c r="R26" s="17" t="s">
        <v>2658</v>
      </c>
      <c r="S26" s="17" t="s">
        <v>2659</v>
      </c>
      <c r="T26" s="17" t="s">
        <v>2586</v>
      </c>
      <c r="U26" s="17" t="s">
        <v>2660</v>
      </c>
      <c r="V26" s="17" t="s">
        <v>2661</v>
      </c>
      <c r="W26" s="17" t="s">
        <v>2662</v>
      </c>
      <c r="X26" s="17" t="s">
        <v>2663</v>
      </c>
      <c r="Y26" s="17" t="s">
        <v>2664</v>
      </c>
      <c r="Z26" s="17" t="s">
        <v>2665</v>
      </c>
      <c r="AA26" s="17" t="s">
        <v>2666</v>
      </c>
      <c r="AB26" s="17" t="s">
        <v>2667</v>
      </c>
      <c r="AC26" s="17" t="s">
        <v>2668</v>
      </c>
      <c r="AD26" s="17" t="s">
        <v>2669</v>
      </c>
      <c r="AE26" s="17" t="s">
        <v>2568</v>
      </c>
      <c r="AF26" s="17" t="s">
        <v>2670</v>
      </c>
      <c r="AG26" s="17" t="s">
        <v>2671</v>
      </c>
      <c r="AH26" s="17" t="s">
        <v>2672</v>
      </c>
      <c r="AI26" s="17" t="s">
        <v>2673</v>
      </c>
      <c r="AJ26" s="17" t="s">
        <v>2674</v>
      </c>
      <c r="AK26" s="17" t="s">
        <v>2675</v>
      </c>
      <c r="AL26" s="17" t="s">
        <v>2676</v>
      </c>
      <c r="AM26" s="17" t="s">
        <v>2677</v>
      </c>
      <c r="AN26" s="17" t="s">
        <v>2678</v>
      </c>
      <c r="AO26" s="17" t="s">
        <v>2679</v>
      </c>
      <c r="AP26" s="17" t="s">
        <v>2680</v>
      </c>
      <c r="AQ26" s="17" t="s">
        <v>2681</v>
      </c>
      <c r="AR26" s="17" t="s">
        <v>2682</v>
      </c>
      <c r="AS26" s="17" t="s">
        <v>2683</v>
      </c>
      <c r="AT26" s="17" t="s">
        <v>2684</v>
      </c>
      <c r="AU26" s="17" t="s">
        <v>2685</v>
      </c>
      <c r="AV26" s="17" t="s">
        <v>2686</v>
      </c>
      <c r="AW26" s="17" t="s">
        <v>2687</v>
      </c>
      <c r="AX26" s="17" t="s">
        <v>2688</v>
      </c>
      <c r="AY26" s="17" t="s">
        <v>2689</v>
      </c>
      <c r="AZ26" s="17" t="s">
        <v>2690</v>
      </c>
      <c r="BA26" s="17" t="s">
        <v>2691</v>
      </c>
      <c r="BB26" s="17" t="s">
        <v>2692</v>
      </c>
      <c r="BC26" s="17" t="s">
        <v>2693</v>
      </c>
      <c r="BD26" s="17" t="s">
        <v>2694</v>
      </c>
      <c r="BE26" s="17" t="s">
        <v>2695</v>
      </c>
      <c r="BF26" s="17" t="s">
        <v>2696</v>
      </c>
      <c r="BG26" s="17" t="s">
        <v>2697</v>
      </c>
      <c r="BH26" s="17" t="s">
        <v>2698</v>
      </c>
      <c r="BI26" s="17" t="s">
        <v>2699</v>
      </c>
      <c r="BJ26" s="17" t="s">
        <v>2700</v>
      </c>
      <c r="BK26" s="17" t="s">
        <v>2701</v>
      </c>
      <c r="BL26" s="17" t="s">
        <v>2702</v>
      </c>
      <c r="BM26" s="17" t="s">
        <v>2703</v>
      </c>
      <c r="BN26" s="17" t="s">
        <v>2704</v>
      </c>
      <c r="BO26" s="17" t="s">
        <v>2705</v>
      </c>
      <c r="BP26" s="17" t="s">
        <v>2706</v>
      </c>
      <c r="BQ26" s="17" t="s">
        <v>2707</v>
      </c>
      <c r="BR26" s="17" t="s">
        <v>2708</v>
      </c>
      <c r="BS26" s="17" t="s">
        <v>2709</v>
      </c>
      <c r="BT26" s="17" t="s">
        <v>2710</v>
      </c>
      <c r="BU26" s="17" t="s">
        <v>2711</v>
      </c>
      <c r="BV26" s="17" t="s">
        <v>2712</v>
      </c>
      <c r="BW26" s="17" t="s">
        <v>2713</v>
      </c>
      <c r="BX26" s="17" t="s">
        <v>2714</v>
      </c>
      <c r="BY26" s="17" t="s">
        <v>2715</v>
      </c>
      <c r="BZ26" s="17" t="s">
        <v>2716</v>
      </c>
      <c r="CA26" s="17" t="s">
        <v>2717</v>
      </c>
      <c r="CB26" s="17" t="s">
        <v>2718</v>
      </c>
      <c r="CC26" s="17" t="s">
        <v>2719</v>
      </c>
      <c r="CD26" s="17" t="s">
        <v>2720</v>
      </c>
      <c r="CE26" s="17" t="s">
        <v>2721</v>
      </c>
      <c r="CF26" s="23" t="s">
        <v>2722</v>
      </c>
      <c r="CG26" s="23" t="s">
        <v>2723</v>
      </c>
      <c r="CH26" s="23" t="s">
        <v>2724</v>
      </c>
      <c r="CI26" s="17" t="s">
        <v>2725</v>
      </c>
      <c r="CJ26" s="17" t="s">
        <v>2726</v>
      </c>
      <c r="CK26" s="17" t="s">
        <v>2727</v>
      </c>
      <c r="CL26" s="17" t="s">
        <v>2728</v>
      </c>
      <c r="CM26" s="17" t="s">
        <v>2729</v>
      </c>
      <c r="CN26" s="17" t="s">
        <v>2730</v>
      </c>
      <c r="CO26" s="17" t="s">
        <v>2731</v>
      </c>
      <c r="CP26" s="17" t="s">
        <v>2732</v>
      </c>
      <c r="CQ26" s="17" t="s">
        <v>2733</v>
      </c>
      <c r="CR26" s="17" t="s">
        <v>2734</v>
      </c>
      <c r="CS26" s="17" t="s">
        <v>2735</v>
      </c>
      <c r="CT26" s="17" t="s">
        <v>2736</v>
      </c>
      <c r="CU26" s="17" t="s">
        <v>2737</v>
      </c>
      <c r="CV26" s="17" t="s">
        <v>2738</v>
      </c>
      <c r="CW26" s="17" t="s">
        <v>2739</v>
      </c>
      <c r="CX26" s="17" t="s">
        <v>2740</v>
      </c>
      <c r="CY26" s="17" t="s">
        <v>2741</v>
      </c>
      <c r="CZ26" s="17" t="s">
        <v>2742</v>
      </c>
      <c r="DA26" s="17" t="s">
        <v>2743</v>
      </c>
      <c r="DB26" s="17" t="s">
        <v>2744</v>
      </c>
      <c r="DC26" s="17" t="s">
        <v>2745</v>
      </c>
      <c r="DD26" s="17" t="s">
        <v>2746</v>
      </c>
      <c r="DE26" s="17" t="s">
        <v>2747</v>
      </c>
      <c r="DF26" s="17" t="s">
        <v>2748</v>
      </c>
      <c r="DG26" s="17" t="s">
        <v>2749</v>
      </c>
      <c r="DH26" s="17" t="s">
        <v>2750</v>
      </c>
      <c r="DI26" s="17" t="s">
        <v>2751</v>
      </c>
      <c r="DJ26" s="17" t="s">
        <v>2752</v>
      </c>
      <c r="DK26" s="17" t="s">
        <v>2753</v>
      </c>
      <c r="DL26" s="17" t="s">
        <v>2754</v>
      </c>
      <c r="DM26" s="17" t="s">
        <v>2755</v>
      </c>
      <c r="DN26" s="17" t="s">
        <v>2756</v>
      </c>
      <c r="DO26" s="17" t="s">
        <v>2757</v>
      </c>
      <c r="DP26" s="17" t="s">
        <v>2758</v>
      </c>
      <c r="DQ26" s="17" t="s">
        <v>2759</v>
      </c>
      <c r="DR26" s="17" t="s">
        <v>2760</v>
      </c>
      <c r="DS26" s="17" t="s">
        <v>2761</v>
      </c>
      <c r="DT26" s="17" t="s">
        <v>2762</v>
      </c>
      <c r="DU26" s="17" t="s">
        <v>2763</v>
      </c>
      <c r="DV26" s="17" t="s">
        <v>2764</v>
      </c>
      <c r="DW26" s="17" t="s">
        <v>2765</v>
      </c>
      <c r="DX26" s="17" t="s">
        <v>2766</v>
      </c>
      <c r="DY26" s="17" t="s">
        <v>2767</v>
      </c>
      <c r="DZ26" s="17" t="s">
        <v>2768</v>
      </c>
      <c r="EA26" s="17" t="s">
        <v>2769</v>
      </c>
      <c r="EB26" s="17" t="s">
        <v>2770</v>
      </c>
      <c r="EC26" s="17" t="s">
        <v>2771</v>
      </c>
      <c r="ED26" s="17" t="s">
        <v>2772</v>
      </c>
      <c r="EE26" s="17" t="s">
        <v>2773</v>
      </c>
      <c r="EF26" s="17" t="s">
        <v>2774</v>
      </c>
      <c r="EG26" s="17" t="s">
        <v>2775</v>
      </c>
      <c r="EH26" s="17" t="s">
        <v>2776</v>
      </c>
      <c r="EI26" s="17" t="s">
        <v>2777</v>
      </c>
      <c r="EJ26" s="17" t="s">
        <v>2778</v>
      </c>
      <c r="EK26" s="17" t="s">
        <v>2779</v>
      </c>
      <c r="EL26" s="17" t="s">
        <v>2780</v>
      </c>
      <c r="EM26" s="17" t="s">
        <v>2781</v>
      </c>
      <c r="EN26" s="17" t="s">
        <v>2782</v>
      </c>
      <c r="EO26" s="17" t="s">
        <v>2783</v>
      </c>
      <c r="EP26" s="17" t="s">
        <v>2784</v>
      </c>
      <c r="EQ26" s="17" t="s">
        <v>2785</v>
      </c>
      <c r="ER26" s="17" t="s">
        <v>2786</v>
      </c>
      <c r="ES26" s="17" t="s">
        <v>2787</v>
      </c>
      <c r="ET26" s="17" t="s">
        <v>2788</v>
      </c>
      <c r="EU26" s="17" t="s">
        <v>2789</v>
      </c>
      <c r="EV26" s="17" t="s">
        <v>2790</v>
      </c>
      <c r="EW26" s="17" t="s">
        <v>2791</v>
      </c>
      <c r="EX26" s="17" t="s">
        <v>2792</v>
      </c>
      <c r="EY26" s="17" t="s">
        <v>2793</v>
      </c>
      <c r="EZ26" s="17" t="s">
        <v>2794</v>
      </c>
      <c r="FA26" s="17" t="s">
        <v>2795</v>
      </c>
      <c r="FB26" s="17" t="s">
        <v>2796</v>
      </c>
      <c r="FC26" s="17"/>
    </row>
    <row r="27" spans="2:159" x14ac:dyDescent="0.25">
      <c r="B27" s="17" t="s">
        <v>61</v>
      </c>
      <c r="C27" s="17" t="s">
        <v>58</v>
      </c>
      <c r="D27" s="17" t="s">
        <v>59</v>
      </c>
      <c r="E27" s="17" t="s">
        <v>60</v>
      </c>
      <c r="F27" s="17" t="s">
        <v>2620</v>
      </c>
      <c r="G27" s="17" t="s">
        <v>56</v>
      </c>
      <c r="H27" s="17" t="s">
        <v>56</v>
      </c>
      <c r="I27" s="17" t="s">
        <v>56</v>
      </c>
      <c r="J27" s="17"/>
      <c r="K27" s="17" t="s">
        <v>2797</v>
      </c>
      <c r="L27" s="17" t="s">
        <v>2798</v>
      </c>
      <c r="M27" s="17" t="s">
        <v>2799</v>
      </c>
      <c r="N27" s="17" t="s">
        <v>2800</v>
      </c>
      <c r="O27" s="17" t="s">
        <v>2812</v>
      </c>
      <c r="P27" s="17" t="s">
        <v>1325</v>
      </c>
      <c r="Q27" s="17" t="s">
        <v>2813</v>
      </c>
      <c r="R27" s="17" t="s">
        <v>2814</v>
      </c>
      <c r="S27" s="17" t="s">
        <v>2842</v>
      </c>
      <c r="T27" s="17">
        <v>215496.75</v>
      </c>
      <c r="U27" s="17">
        <v>10614061.109999999</v>
      </c>
      <c r="V27" s="17" t="s">
        <v>2817</v>
      </c>
      <c r="W27" s="17" t="s">
        <v>939</v>
      </c>
      <c r="X27" s="17" t="s">
        <v>2816</v>
      </c>
      <c r="Y27" s="17" t="s">
        <v>2798</v>
      </c>
      <c r="Z27" s="17" t="s">
        <v>56</v>
      </c>
      <c r="AA27" s="17" t="s">
        <v>2842</v>
      </c>
      <c r="AB27" s="17" t="s">
        <v>2801</v>
      </c>
      <c r="AC27" s="17">
        <v>3.8740999999999999</v>
      </c>
      <c r="AD27" s="17" t="s">
        <v>2804</v>
      </c>
      <c r="AE27" s="17">
        <v>300836.90000000002</v>
      </c>
      <c r="AF27" s="17" t="s">
        <v>2842</v>
      </c>
      <c r="AG27" s="17" t="s">
        <v>56</v>
      </c>
      <c r="AH27" s="17" t="s">
        <v>56</v>
      </c>
      <c r="AI27" s="17" t="s">
        <v>56</v>
      </c>
      <c r="AJ27" s="17" t="s">
        <v>56</v>
      </c>
      <c r="AK27" s="17" t="s">
        <v>56</v>
      </c>
      <c r="AL27" s="17" t="s">
        <v>56</v>
      </c>
      <c r="AM27" s="17" t="s">
        <v>2805</v>
      </c>
      <c r="AN27" s="17" t="s">
        <v>56</v>
      </c>
      <c r="AO27" s="17" t="s">
        <v>56</v>
      </c>
      <c r="AP27" s="17" t="s">
        <v>56</v>
      </c>
      <c r="AQ27" s="17" t="s">
        <v>56</v>
      </c>
      <c r="AR27" s="17">
        <v>38.481000000000002</v>
      </c>
      <c r="AS27" s="17">
        <v>5.4070999999999998</v>
      </c>
      <c r="AT27" s="17">
        <v>299.24599999999998</v>
      </c>
      <c r="AU27" s="17" t="s">
        <v>56</v>
      </c>
      <c r="AV27" s="17" t="s">
        <v>56</v>
      </c>
      <c r="AW27" s="17" t="s">
        <v>56</v>
      </c>
      <c r="AX27" s="17">
        <v>27.4971</v>
      </c>
      <c r="AY27" s="17">
        <v>3.8637000000000001</v>
      </c>
      <c r="AZ27" s="17">
        <v>213.83</v>
      </c>
      <c r="BA27" s="17" t="s">
        <v>56</v>
      </c>
      <c r="BB27" s="17" t="s">
        <v>56</v>
      </c>
      <c r="BC27" s="17" t="s">
        <v>56</v>
      </c>
      <c r="BD27" s="17" t="s">
        <v>2806</v>
      </c>
      <c r="BE27" s="17" t="s">
        <v>56</v>
      </c>
      <c r="BF27" s="17" t="s">
        <v>56</v>
      </c>
      <c r="BG27" s="17" t="s">
        <v>56</v>
      </c>
      <c r="BH27" s="17" t="s">
        <v>1325</v>
      </c>
      <c r="BI27" s="17" t="s">
        <v>1325</v>
      </c>
      <c r="BJ27" s="17" t="s">
        <v>1325</v>
      </c>
      <c r="BK27" s="17" t="s">
        <v>1325</v>
      </c>
      <c r="BL27" s="17" t="s">
        <v>1325</v>
      </c>
      <c r="BM27" s="17" t="s">
        <v>1325</v>
      </c>
      <c r="BN27" s="17" t="s">
        <v>1325</v>
      </c>
      <c r="BO27" s="17" t="s">
        <v>1325</v>
      </c>
      <c r="BP27" s="17" t="s">
        <v>1325</v>
      </c>
      <c r="BQ27" s="17" t="s">
        <v>1325</v>
      </c>
      <c r="BR27" s="17" t="s">
        <v>1325</v>
      </c>
      <c r="BS27" s="17" t="s">
        <v>1325</v>
      </c>
      <c r="BT27" s="17" t="s">
        <v>1325</v>
      </c>
      <c r="BU27" s="17" t="s">
        <v>1325</v>
      </c>
      <c r="BV27" s="17" t="s">
        <v>1325</v>
      </c>
      <c r="BW27" s="17" t="s">
        <v>939</v>
      </c>
      <c r="BX27" s="17" t="s">
        <v>939</v>
      </c>
      <c r="BY27" s="17" t="s">
        <v>1325</v>
      </c>
      <c r="BZ27" s="17" t="s">
        <v>1325</v>
      </c>
      <c r="CA27" s="17" t="s">
        <v>56</v>
      </c>
      <c r="CB27" s="17" t="s">
        <v>56</v>
      </c>
      <c r="CC27" s="17" t="s">
        <v>56</v>
      </c>
      <c r="CD27" s="17" t="s">
        <v>2818</v>
      </c>
      <c r="CE27" s="17" t="s">
        <v>1111</v>
      </c>
      <c r="CF27" s="23">
        <v>990.74348199999997</v>
      </c>
      <c r="CG27" s="23">
        <v>841.56994599999996</v>
      </c>
      <c r="CH27" s="23" t="s">
        <v>56</v>
      </c>
      <c r="CI27" s="17">
        <v>300836.90000000002</v>
      </c>
      <c r="CJ27" s="17">
        <v>300836.90000000002</v>
      </c>
      <c r="CK27" s="17">
        <v>300836.90000000002</v>
      </c>
      <c r="CL27" s="17" t="s">
        <v>2818</v>
      </c>
      <c r="CM27" s="17" t="s">
        <v>2818</v>
      </c>
      <c r="CN27" s="17"/>
      <c r="CO27" s="17" t="s">
        <v>56</v>
      </c>
      <c r="CP27" s="17" t="s">
        <v>56</v>
      </c>
      <c r="CQ27" s="17" t="s">
        <v>56</v>
      </c>
      <c r="CR27" s="17" t="s">
        <v>56</v>
      </c>
      <c r="CS27" s="17" t="s">
        <v>56</v>
      </c>
      <c r="CT27" s="17" t="s">
        <v>56</v>
      </c>
      <c r="CU27" s="17" t="s">
        <v>56</v>
      </c>
      <c r="CV27" s="17" t="s">
        <v>56</v>
      </c>
      <c r="CW27" s="17" t="s">
        <v>56</v>
      </c>
      <c r="CX27" s="17" t="s">
        <v>56</v>
      </c>
      <c r="CY27" s="17" t="s">
        <v>56</v>
      </c>
      <c r="CZ27" s="17" t="s">
        <v>56</v>
      </c>
      <c r="DA27" s="17" t="s">
        <v>56</v>
      </c>
      <c r="DB27" s="17" t="s">
        <v>56</v>
      </c>
      <c r="DC27" s="17" t="s">
        <v>56</v>
      </c>
      <c r="DD27" s="17" t="s">
        <v>56</v>
      </c>
      <c r="DE27" s="17" t="s">
        <v>56</v>
      </c>
      <c r="DF27" s="17" t="s">
        <v>56</v>
      </c>
      <c r="DG27" s="17" t="s">
        <v>56</v>
      </c>
      <c r="DH27" s="17" t="s">
        <v>56</v>
      </c>
      <c r="DI27" s="17" t="s">
        <v>56</v>
      </c>
      <c r="DJ27" s="17" t="s">
        <v>56</v>
      </c>
      <c r="DK27" s="17" t="s">
        <v>56</v>
      </c>
      <c r="DL27" s="17" t="s">
        <v>56</v>
      </c>
      <c r="DM27" s="17" t="s">
        <v>56</v>
      </c>
      <c r="DN27" s="17" t="s">
        <v>56</v>
      </c>
      <c r="DO27" s="17" t="s">
        <v>56</v>
      </c>
      <c r="DP27" s="17" t="s">
        <v>56</v>
      </c>
      <c r="DQ27" s="17" t="s">
        <v>56</v>
      </c>
      <c r="DR27" s="17" t="s">
        <v>56</v>
      </c>
      <c r="DS27" s="17" t="s">
        <v>56</v>
      </c>
      <c r="DT27" s="17" t="s">
        <v>56</v>
      </c>
      <c r="DU27" s="17" t="s">
        <v>56</v>
      </c>
      <c r="DV27" s="17" t="s">
        <v>56</v>
      </c>
      <c r="DW27" s="17" t="s">
        <v>56</v>
      </c>
      <c r="DX27" s="17" t="s">
        <v>56</v>
      </c>
      <c r="DY27" s="17" t="s">
        <v>56</v>
      </c>
      <c r="DZ27" s="17" t="s">
        <v>56</v>
      </c>
      <c r="EA27" s="17" t="s">
        <v>56</v>
      </c>
      <c r="EB27" s="17" t="s">
        <v>56</v>
      </c>
      <c r="EC27" s="17" t="s">
        <v>56</v>
      </c>
      <c r="ED27" s="17" t="s">
        <v>56</v>
      </c>
      <c r="EE27" s="17" t="s">
        <v>56</v>
      </c>
      <c r="EF27" s="17" t="s">
        <v>56</v>
      </c>
      <c r="EG27" s="17" t="s">
        <v>56</v>
      </c>
      <c r="EH27" s="17" t="s">
        <v>56</v>
      </c>
      <c r="EI27" s="17" t="s">
        <v>56</v>
      </c>
      <c r="EJ27" s="17" t="s">
        <v>56</v>
      </c>
      <c r="EK27" s="17" t="s">
        <v>56</v>
      </c>
      <c r="EL27" s="17" t="s">
        <v>56</v>
      </c>
      <c r="EM27" s="17" t="s">
        <v>56</v>
      </c>
      <c r="EN27" s="17" t="s">
        <v>56</v>
      </c>
      <c r="EO27" s="17" t="s">
        <v>56</v>
      </c>
      <c r="EP27" s="17" t="s">
        <v>56</v>
      </c>
      <c r="EQ27" s="17" t="s">
        <v>56</v>
      </c>
      <c r="ER27" s="17" t="s">
        <v>56</v>
      </c>
      <c r="ES27" s="17" t="s">
        <v>56</v>
      </c>
      <c r="ET27" s="17" t="s">
        <v>56</v>
      </c>
      <c r="EU27" s="17" t="s">
        <v>56</v>
      </c>
      <c r="EV27" s="17" t="s">
        <v>56</v>
      </c>
      <c r="EW27" s="17" t="s">
        <v>2807</v>
      </c>
      <c r="EX27" s="17" t="s">
        <v>2808</v>
      </c>
      <c r="EY27" s="17" t="s">
        <v>2809</v>
      </c>
      <c r="EZ27" s="17" t="s">
        <v>2810</v>
      </c>
      <c r="FA27" s="17" t="s">
        <v>2811</v>
      </c>
      <c r="FB27" s="17" t="s">
        <v>2803</v>
      </c>
      <c r="FC27" s="17"/>
    </row>
    <row r="29" spans="2:159" x14ac:dyDescent="0.25">
      <c r="B29" s="18" t="s">
        <v>2844</v>
      </c>
    </row>
    <row r="30" spans="2:159" x14ac:dyDescent="0.25">
      <c r="B30" s="17" t="s">
        <v>27</v>
      </c>
      <c r="C30" s="17" t="s">
        <v>28</v>
      </c>
      <c r="D30" s="17" t="s">
        <v>29</v>
      </c>
      <c r="E30" s="17" t="s">
        <v>30</v>
      </c>
      <c r="F30" s="17" t="s">
        <v>31</v>
      </c>
      <c r="G30" s="17" t="s">
        <v>32</v>
      </c>
      <c r="H30" s="17" t="s">
        <v>33</v>
      </c>
      <c r="I30" s="17" t="s">
        <v>34</v>
      </c>
      <c r="J30" s="17" t="s">
        <v>35</v>
      </c>
      <c r="K30" s="17" t="s">
        <v>36</v>
      </c>
      <c r="L30" s="17" t="s">
        <v>37</v>
      </c>
      <c r="M30" s="17" t="s">
        <v>38</v>
      </c>
      <c r="N30" s="17" t="s">
        <v>39</v>
      </c>
      <c r="O30" s="17" t="s">
        <v>40</v>
      </c>
      <c r="P30" s="17" t="s">
        <v>41</v>
      </c>
      <c r="Q30" s="17" t="s">
        <v>42</v>
      </c>
      <c r="R30" s="17" t="s">
        <v>43</v>
      </c>
      <c r="S30" s="17" t="s">
        <v>44</v>
      </c>
      <c r="T30" s="17" t="s">
        <v>45</v>
      </c>
      <c r="U30" s="17" t="s">
        <v>46</v>
      </c>
      <c r="V30" s="17" t="s">
        <v>47</v>
      </c>
      <c r="W30" s="17" t="s">
        <v>48</v>
      </c>
      <c r="X30" s="17" t="s">
        <v>49</v>
      </c>
      <c r="Y30" s="17" t="s">
        <v>50</v>
      </c>
      <c r="Z30" s="17"/>
    </row>
    <row r="31" spans="2:159" x14ac:dyDescent="0.25">
      <c r="B31" s="17" t="s">
        <v>57</v>
      </c>
      <c r="C31" s="17" t="s">
        <v>58</v>
      </c>
      <c r="D31" s="17" t="s">
        <v>59</v>
      </c>
      <c r="E31" s="17" t="s">
        <v>60</v>
      </c>
      <c r="F31" s="17" t="s">
        <v>61</v>
      </c>
      <c r="G31" s="17" t="s">
        <v>58</v>
      </c>
      <c r="H31" s="17" t="s">
        <v>59</v>
      </c>
      <c r="I31" s="17" t="s">
        <v>60</v>
      </c>
      <c r="J31" s="17" t="s">
        <v>56</v>
      </c>
      <c r="K31" s="17" t="s">
        <v>56</v>
      </c>
      <c r="L31" s="17" t="s">
        <v>56</v>
      </c>
      <c r="M31" s="17" t="s">
        <v>62</v>
      </c>
      <c r="N31" s="17" t="s">
        <v>63</v>
      </c>
      <c r="O31" s="17" t="s">
        <v>64</v>
      </c>
      <c r="P31" s="17" t="s">
        <v>939</v>
      </c>
      <c r="Q31" s="17" t="s">
        <v>65</v>
      </c>
      <c r="R31" s="17" t="s">
        <v>66</v>
      </c>
      <c r="S31" s="17" t="s">
        <v>67</v>
      </c>
      <c r="T31" s="17" t="s">
        <v>68</v>
      </c>
      <c r="U31" s="17">
        <v>114227.64</v>
      </c>
      <c r="V31" s="17" t="s">
        <v>69</v>
      </c>
      <c r="W31" s="17" t="s">
        <v>70</v>
      </c>
      <c r="X31" s="17" t="s">
        <v>71</v>
      </c>
      <c r="Y31" s="17" t="s">
        <v>72</v>
      </c>
      <c r="Z31" s="17"/>
    </row>
    <row r="32" spans="2:159" x14ac:dyDescent="0.25">
      <c r="B32" s="17" t="s">
        <v>57</v>
      </c>
      <c r="C32" s="17" t="s">
        <v>58</v>
      </c>
      <c r="D32" s="17" t="s">
        <v>59</v>
      </c>
      <c r="E32" s="17" t="s">
        <v>60</v>
      </c>
      <c r="F32" s="17" t="s">
        <v>61</v>
      </c>
      <c r="G32" s="17" t="s">
        <v>58</v>
      </c>
      <c r="H32" s="17" t="s">
        <v>59</v>
      </c>
      <c r="I32" s="17" t="s">
        <v>60</v>
      </c>
      <c r="J32" s="17" t="s">
        <v>56</v>
      </c>
      <c r="K32" s="17" t="s">
        <v>56</v>
      </c>
      <c r="L32" s="17" t="s">
        <v>56</v>
      </c>
      <c r="M32" s="17" t="s">
        <v>62</v>
      </c>
      <c r="N32" s="17" t="s">
        <v>63</v>
      </c>
      <c r="O32" s="17" t="s">
        <v>64</v>
      </c>
      <c r="P32" s="17" t="s">
        <v>939</v>
      </c>
      <c r="Q32" s="17" t="s">
        <v>65</v>
      </c>
      <c r="R32" s="17" t="s">
        <v>66</v>
      </c>
      <c r="S32" s="17" t="s">
        <v>67</v>
      </c>
      <c r="T32" s="17" t="s">
        <v>68</v>
      </c>
      <c r="U32" s="17">
        <v>113008.13</v>
      </c>
      <c r="V32" s="17" t="s">
        <v>69</v>
      </c>
      <c r="W32" s="17" t="s">
        <v>70</v>
      </c>
      <c r="X32" s="17" t="s">
        <v>71</v>
      </c>
      <c r="Y32" s="17" t="s">
        <v>72</v>
      </c>
      <c r="Z32" s="17"/>
    </row>
    <row r="33" spans="2:79" x14ac:dyDescent="0.25">
      <c r="B33" s="17" t="s">
        <v>57</v>
      </c>
      <c r="C33" s="17" t="s">
        <v>58</v>
      </c>
      <c r="D33" s="17" t="s">
        <v>59</v>
      </c>
      <c r="E33" s="17" t="s">
        <v>60</v>
      </c>
      <c r="F33" s="17" t="s">
        <v>61</v>
      </c>
      <c r="G33" s="17" t="s">
        <v>58</v>
      </c>
      <c r="H33" s="17" t="s">
        <v>59</v>
      </c>
      <c r="I33" s="17" t="s">
        <v>60</v>
      </c>
      <c r="J33" s="17" t="s">
        <v>56</v>
      </c>
      <c r="K33" s="17" t="s">
        <v>56</v>
      </c>
      <c r="L33" s="17" t="s">
        <v>56</v>
      </c>
      <c r="M33" s="17" t="s">
        <v>62</v>
      </c>
      <c r="N33" s="17" t="s">
        <v>63</v>
      </c>
      <c r="O33" s="17" t="s">
        <v>64</v>
      </c>
      <c r="P33" s="17" t="s">
        <v>939</v>
      </c>
      <c r="Q33" s="17" t="s">
        <v>65</v>
      </c>
      <c r="R33" s="17" t="s">
        <v>66</v>
      </c>
      <c r="S33" s="17" t="s">
        <v>67</v>
      </c>
      <c r="T33" s="17" t="s">
        <v>68</v>
      </c>
      <c r="U33" s="17">
        <v>113170.73</v>
      </c>
      <c r="V33" s="17" t="s">
        <v>69</v>
      </c>
      <c r="W33" s="17" t="s">
        <v>70</v>
      </c>
      <c r="X33" s="17" t="s">
        <v>71</v>
      </c>
      <c r="Y33" s="17" t="s">
        <v>72</v>
      </c>
      <c r="Z33" s="17"/>
    </row>
    <row r="34" spans="2:79" x14ac:dyDescent="0.25">
      <c r="U34" s="19">
        <f>+SUM(U31:U33)</f>
        <v>340406.5</v>
      </c>
    </row>
    <row r="35" spans="2:79" x14ac:dyDescent="0.25">
      <c r="B35" s="20" t="s">
        <v>2845</v>
      </c>
      <c r="U35" s="21"/>
    </row>
    <row r="36" spans="2:79" x14ac:dyDescent="0.25">
      <c r="B36" s="17" t="s">
        <v>31</v>
      </c>
      <c r="C36" s="17" t="s">
        <v>32</v>
      </c>
      <c r="D36" s="17" t="s">
        <v>33</v>
      </c>
      <c r="E36" s="17" t="s">
        <v>34</v>
      </c>
      <c r="F36" s="17" t="s">
        <v>35</v>
      </c>
      <c r="G36" s="17" t="s">
        <v>36</v>
      </c>
      <c r="H36" s="17" t="s">
        <v>37</v>
      </c>
      <c r="I36" s="17" t="s">
        <v>39</v>
      </c>
      <c r="J36" s="17" t="s">
        <v>38</v>
      </c>
      <c r="K36" s="17" t="s">
        <v>40</v>
      </c>
      <c r="L36" s="17" t="s">
        <v>50</v>
      </c>
      <c r="M36" s="17" t="s">
        <v>44</v>
      </c>
      <c r="N36" s="17" t="s">
        <v>48</v>
      </c>
      <c r="O36" s="17" t="s">
        <v>46</v>
      </c>
      <c r="P36" s="17" t="s">
        <v>51</v>
      </c>
      <c r="Q36" s="17" t="s">
        <v>52</v>
      </c>
      <c r="R36" s="17" t="s">
        <v>53</v>
      </c>
      <c r="S36" s="17"/>
    </row>
    <row r="37" spans="2:79" x14ac:dyDescent="0.25">
      <c r="B37" s="17" t="s">
        <v>61</v>
      </c>
      <c r="C37" s="17" t="s">
        <v>58</v>
      </c>
      <c r="D37" s="17" t="s">
        <v>59</v>
      </c>
      <c r="E37" s="17" t="s">
        <v>60</v>
      </c>
      <c r="F37" s="17" t="s">
        <v>56</v>
      </c>
      <c r="G37" s="17" t="s">
        <v>56</v>
      </c>
      <c r="H37" s="17" t="s">
        <v>56</v>
      </c>
      <c r="I37" s="17" t="s">
        <v>63</v>
      </c>
      <c r="J37" s="17" t="s">
        <v>62</v>
      </c>
      <c r="K37" s="17" t="s">
        <v>64</v>
      </c>
      <c r="L37" s="17" t="s">
        <v>72</v>
      </c>
      <c r="M37" s="17" t="s">
        <v>67</v>
      </c>
      <c r="N37" s="17" t="s">
        <v>70</v>
      </c>
      <c r="O37" s="19">
        <v>340406.5</v>
      </c>
      <c r="P37" s="17" t="s">
        <v>73</v>
      </c>
      <c r="Q37" s="17" t="s">
        <v>73</v>
      </c>
      <c r="R37" s="17" t="s">
        <v>74</v>
      </c>
      <c r="S37" s="17"/>
    </row>
    <row r="39" spans="2:79" x14ac:dyDescent="0.25">
      <c r="B39" s="18" t="s">
        <v>2846</v>
      </c>
      <c r="BH39" t="s">
        <v>2841</v>
      </c>
    </row>
    <row r="40" spans="2:79" x14ac:dyDescent="0.25">
      <c r="B40" s="17" t="s">
        <v>2820</v>
      </c>
      <c r="C40" s="17" t="s">
        <v>31</v>
      </c>
      <c r="D40" s="17" t="s">
        <v>32</v>
      </c>
      <c r="E40" s="17" t="s">
        <v>33</v>
      </c>
      <c r="F40" s="17" t="s">
        <v>34</v>
      </c>
      <c r="G40" s="17" t="s">
        <v>2550</v>
      </c>
      <c r="H40" s="17" t="s">
        <v>2650</v>
      </c>
      <c r="I40" s="17" t="s">
        <v>2651</v>
      </c>
      <c r="J40" s="17" t="s">
        <v>2652</v>
      </c>
      <c r="K40" s="17" t="s">
        <v>2653</v>
      </c>
      <c r="L40" s="17" t="s">
        <v>2654</v>
      </c>
      <c r="M40" s="17" t="s">
        <v>2655</v>
      </c>
      <c r="N40" s="17" t="s">
        <v>2656</v>
      </c>
      <c r="O40" s="17" t="s">
        <v>2657</v>
      </c>
      <c r="P40" s="17" t="s">
        <v>2658</v>
      </c>
      <c r="Q40" s="17" t="s">
        <v>2659</v>
      </c>
      <c r="R40" s="17" t="s">
        <v>2821</v>
      </c>
      <c r="S40" s="17" t="s">
        <v>2586</v>
      </c>
      <c r="T40" s="17" t="s">
        <v>2660</v>
      </c>
      <c r="U40" s="17" t="s">
        <v>2661</v>
      </c>
      <c r="V40" s="17" t="s">
        <v>2662</v>
      </c>
      <c r="W40" s="17" t="s">
        <v>2663</v>
      </c>
      <c r="X40" s="17" t="s">
        <v>2664</v>
      </c>
      <c r="Y40" s="17" t="s">
        <v>2665</v>
      </c>
      <c r="Z40" s="17" t="s">
        <v>2666</v>
      </c>
      <c r="AA40" s="17" t="s">
        <v>2667</v>
      </c>
      <c r="AB40" s="17" t="s">
        <v>2668</v>
      </c>
      <c r="AC40" s="17" t="s">
        <v>2670</v>
      </c>
      <c r="AD40" s="17" t="s">
        <v>2669</v>
      </c>
      <c r="AE40" s="17" t="s">
        <v>2568</v>
      </c>
      <c r="AF40" s="17" t="s">
        <v>2822</v>
      </c>
      <c r="AG40" s="17" t="s">
        <v>2823</v>
      </c>
      <c r="AH40" s="17" t="s">
        <v>2694</v>
      </c>
      <c r="AI40" s="17" t="s">
        <v>2677</v>
      </c>
      <c r="AJ40" s="17" t="s">
        <v>2671</v>
      </c>
      <c r="AK40" s="17" t="s">
        <v>2672</v>
      </c>
      <c r="AL40" s="17" t="s">
        <v>2673</v>
      </c>
      <c r="AM40" s="17" t="s">
        <v>2674</v>
      </c>
      <c r="AN40" s="17" t="s">
        <v>2675</v>
      </c>
      <c r="AO40" s="17" t="s">
        <v>2676</v>
      </c>
      <c r="AP40" s="17" t="s">
        <v>2679</v>
      </c>
      <c r="AQ40" s="17" t="s">
        <v>2680</v>
      </c>
      <c r="AR40" s="17" t="s">
        <v>2681</v>
      </c>
      <c r="AS40" s="17" t="s">
        <v>2682</v>
      </c>
      <c r="AT40" s="17" t="s">
        <v>2683</v>
      </c>
      <c r="AU40" s="17" t="s">
        <v>2684</v>
      </c>
      <c r="AV40" s="17" t="s">
        <v>2685</v>
      </c>
      <c r="AW40" s="17" t="s">
        <v>2686</v>
      </c>
      <c r="AX40" s="17" t="s">
        <v>2687</v>
      </c>
      <c r="AY40" s="17" t="s">
        <v>2688</v>
      </c>
      <c r="AZ40" s="17" t="s">
        <v>2689</v>
      </c>
      <c r="BA40" s="17" t="s">
        <v>2690</v>
      </c>
      <c r="BB40" s="17" t="s">
        <v>2691</v>
      </c>
      <c r="BC40" s="17" t="s">
        <v>2692</v>
      </c>
      <c r="BD40" s="17" t="s">
        <v>2693</v>
      </c>
      <c r="BE40" s="17" t="s">
        <v>2824</v>
      </c>
      <c r="BF40" s="17" t="s">
        <v>2825</v>
      </c>
      <c r="BG40" s="17" t="s">
        <v>2826</v>
      </c>
      <c r="BH40" s="23" t="s">
        <v>2827</v>
      </c>
      <c r="BI40" s="23" t="s">
        <v>2828</v>
      </c>
      <c r="BJ40" s="17" t="s">
        <v>2829</v>
      </c>
      <c r="BK40" s="17" t="s">
        <v>2830</v>
      </c>
      <c r="BL40" s="17" t="s">
        <v>2831</v>
      </c>
      <c r="BM40" s="17" t="s">
        <v>2832</v>
      </c>
      <c r="BN40" s="17" t="s">
        <v>2833</v>
      </c>
      <c r="BO40" s="17" t="s">
        <v>2834</v>
      </c>
      <c r="BP40" s="17" t="s">
        <v>2835</v>
      </c>
      <c r="BQ40" s="17" t="s">
        <v>2836</v>
      </c>
      <c r="BR40" s="17" t="s">
        <v>2695</v>
      </c>
      <c r="BS40" s="17" t="s">
        <v>2696</v>
      </c>
      <c r="BT40" s="17" t="s">
        <v>2697</v>
      </c>
      <c r="BU40" s="17" t="s">
        <v>2717</v>
      </c>
      <c r="BV40" s="17" t="s">
        <v>2718</v>
      </c>
      <c r="BW40" s="17" t="s">
        <v>2719</v>
      </c>
      <c r="BX40" s="17" t="s">
        <v>2720</v>
      </c>
      <c r="BY40" s="17" t="s">
        <v>2721</v>
      </c>
      <c r="BZ40" s="17" t="s">
        <v>2837</v>
      </c>
      <c r="CA40" s="17" t="s">
        <v>2838</v>
      </c>
    </row>
    <row r="41" spans="2:79" x14ac:dyDescent="0.25">
      <c r="B41" s="17" t="s">
        <v>2840</v>
      </c>
      <c r="C41" s="17" t="s">
        <v>61</v>
      </c>
      <c r="D41" s="17" t="s">
        <v>58</v>
      </c>
      <c r="E41" s="17" t="s">
        <v>59</v>
      </c>
      <c r="F41" s="17" t="s">
        <v>60</v>
      </c>
      <c r="G41" s="17" t="s">
        <v>2620</v>
      </c>
      <c r="H41" s="17"/>
      <c r="I41" s="17" t="s">
        <v>2797</v>
      </c>
      <c r="J41" s="17" t="s">
        <v>2798</v>
      </c>
      <c r="K41" s="17" t="s">
        <v>2799</v>
      </c>
      <c r="L41" s="17" t="s">
        <v>2800</v>
      </c>
      <c r="M41" s="17" t="s">
        <v>2812</v>
      </c>
      <c r="N41" s="17" t="s">
        <v>1325</v>
      </c>
      <c r="O41" s="17" t="s">
        <v>2813</v>
      </c>
      <c r="P41" s="17" t="s">
        <v>2814</v>
      </c>
      <c r="Q41" s="17" t="s">
        <v>2842</v>
      </c>
      <c r="R41" s="17">
        <v>3187177.12</v>
      </c>
      <c r="S41" s="17">
        <v>215496.75</v>
      </c>
      <c r="T41" s="17">
        <v>10614061.109999999</v>
      </c>
      <c r="U41" s="17" t="s">
        <v>2815</v>
      </c>
      <c r="V41" s="17" t="s">
        <v>939</v>
      </c>
      <c r="W41" s="17" t="s">
        <v>2816</v>
      </c>
      <c r="X41" s="17" t="s">
        <v>2798</v>
      </c>
      <c r="Y41" s="17" t="s">
        <v>56</v>
      </c>
      <c r="Z41" s="17" t="s">
        <v>2842</v>
      </c>
      <c r="AA41" s="17" t="s">
        <v>2801</v>
      </c>
      <c r="AB41" s="17">
        <v>3.8740999999999999</v>
      </c>
      <c r="AC41" s="17" t="s">
        <v>2842</v>
      </c>
      <c r="AD41" s="17" t="s">
        <v>2804</v>
      </c>
      <c r="AE41" s="17">
        <v>300836.90000000002</v>
      </c>
      <c r="AF41" s="17" t="s">
        <v>2839</v>
      </c>
      <c r="AG41" s="17" t="s">
        <v>2843</v>
      </c>
      <c r="AH41" s="17" t="s">
        <v>2806</v>
      </c>
      <c r="AI41" s="17" t="s">
        <v>2805</v>
      </c>
      <c r="AJ41" s="17" t="s">
        <v>56</v>
      </c>
      <c r="AK41" s="17" t="s">
        <v>56</v>
      </c>
      <c r="AL41" s="17" t="s">
        <v>56</v>
      </c>
      <c r="AM41" s="17" t="s">
        <v>56</v>
      </c>
      <c r="AN41" s="17" t="s">
        <v>56</v>
      </c>
      <c r="AO41" s="17" t="s">
        <v>56</v>
      </c>
      <c r="AP41" s="17" t="s">
        <v>56</v>
      </c>
      <c r="AQ41" s="17" t="s">
        <v>56</v>
      </c>
      <c r="AR41" s="17" t="s">
        <v>56</v>
      </c>
      <c r="AS41" s="17">
        <v>38.481000000000002</v>
      </c>
      <c r="AT41" s="17">
        <v>5.4070999999999998</v>
      </c>
      <c r="AU41" s="17">
        <v>299.24599999999998</v>
      </c>
      <c r="AV41" s="17" t="s">
        <v>56</v>
      </c>
      <c r="AW41" s="17" t="s">
        <v>56</v>
      </c>
      <c r="AX41" s="17" t="s">
        <v>56</v>
      </c>
      <c r="AY41" s="17">
        <v>27.4971</v>
      </c>
      <c r="AZ41" s="17">
        <v>3.8637000000000001</v>
      </c>
      <c r="BA41" s="17">
        <v>213.83</v>
      </c>
      <c r="BB41" s="17" t="s">
        <v>56</v>
      </c>
      <c r="BC41" s="17" t="s">
        <v>56</v>
      </c>
      <c r="BD41" s="17" t="s">
        <v>56</v>
      </c>
      <c r="BE41" s="17">
        <v>23966</v>
      </c>
      <c r="BF41" s="17">
        <v>4.6777100000000002E-2</v>
      </c>
      <c r="BG41" s="17">
        <v>3.9733999999999998E-2</v>
      </c>
      <c r="BH41" s="23">
        <v>990.74348244762098</v>
      </c>
      <c r="BI41" s="23">
        <v>841.56994622526395</v>
      </c>
      <c r="BJ41" s="17">
        <v>23966</v>
      </c>
      <c r="BK41" s="17">
        <v>0.12779699999999999</v>
      </c>
      <c r="BL41" s="17">
        <v>4.2827899999999999E-3</v>
      </c>
      <c r="BM41" s="17">
        <v>0.12779699999999999</v>
      </c>
      <c r="BN41" s="17">
        <v>4.2827899999999999E-3</v>
      </c>
      <c r="BO41" s="17">
        <v>23966</v>
      </c>
      <c r="BP41" s="17" t="s">
        <v>56</v>
      </c>
      <c r="BQ41" s="17" t="s">
        <v>56</v>
      </c>
      <c r="BR41" s="17" t="s">
        <v>56</v>
      </c>
      <c r="BS41" s="17" t="s">
        <v>56</v>
      </c>
      <c r="BT41" s="17" t="s">
        <v>56</v>
      </c>
      <c r="BU41" s="17" t="s">
        <v>56</v>
      </c>
      <c r="BV41" s="17" t="s">
        <v>56</v>
      </c>
      <c r="BW41" s="17" t="s">
        <v>56</v>
      </c>
      <c r="BX41" s="17" t="s">
        <v>2818</v>
      </c>
      <c r="BY41" s="17" t="s">
        <v>1111</v>
      </c>
      <c r="BZ41" s="17" t="s">
        <v>2818</v>
      </c>
      <c r="CA41" s="17" t="s">
        <v>56</v>
      </c>
    </row>
    <row r="43" spans="2:79" x14ac:dyDescent="0.25">
      <c r="B43" t="s">
        <v>2847</v>
      </c>
      <c r="C43" t="s">
        <v>2822</v>
      </c>
      <c r="D43" t="s">
        <v>2848</v>
      </c>
      <c r="E43" t="s">
        <v>2849</v>
      </c>
      <c r="F43" t="s">
        <v>2850</v>
      </c>
      <c r="G43" t="s">
        <v>2851</v>
      </c>
      <c r="H43" t="s">
        <v>2852</v>
      </c>
      <c r="I43" t="s">
        <v>2853</v>
      </c>
      <c r="J43" t="s">
        <v>2854</v>
      </c>
      <c r="K43" t="s">
        <v>2855</v>
      </c>
      <c r="L43" t="s">
        <v>2856</v>
      </c>
      <c r="M43" t="s">
        <v>2857</v>
      </c>
      <c r="N43" t="s">
        <v>2858</v>
      </c>
      <c r="O43" t="s">
        <v>2859</v>
      </c>
      <c r="P43" t="s">
        <v>2860</v>
      </c>
      <c r="Q43" t="s">
        <v>2861</v>
      </c>
    </row>
    <row r="44" spans="2:79" x14ac:dyDescent="0.25">
      <c r="B44" t="s">
        <v>2862</v>
      </c>
      <c r="C44" t="s">
        <v>2863</v>
      </c>
      <c r="E44" t="s">
        <v>73</v>
      </c>
      <c r="F44" t="s">
        <v>2864</v>
      </c>
      <c r="G44" t="s">
        <v>2865</v>
      </c>
      <c r="H44" t="s">
        <v>2865</v>
      </c>
      <c r="I44" t="s">
        <v>2865</v>
      </c>
      <c r="J44" t="s">
        <v>2866</v>
      </c>
      <c r="K44" t="s">
        <v>2867</v>
      </c>
      <c r="L44" t="s">
        <v>2868</v>
      </c>
      <c r="M44" t="s">
        <v>2869</v>
      </c>
      <c r="N44">
        <v>4</v>
      </c>
      <c r="O44">
        <v>0.14030100000000001</v>
      </c>
      <c r="P44" t="s">
        <v>56</v>
      </c>
    </row>
    <row r="45" spans="2:79" x14ac:dyDescent="0.25">
      <c r="B45" t="s">
        <v>2862</v>
      </c>
      <c r="C45" t="s">
        <v>2863</v>
      </c>
      <c r="E45" t="s">
        <v>73</v>
      </c>
      <c r="F45" t="s">
        <v>116</v>
      </c>
      <c r="G45" t="s">
        <v>2865</v>
      </c>
      <c r="H45" t="s">
        <v>2865</v>
      </c>
      <c r="I45" t="s">
        <v>2865</v>
      </c>
      <c r="J45" t="s">
        <v>2866</v>
      </c>
      <c r="K45" t="s">
        <v>2867</v>
      </c>
      <c r="L45" t="s">
        <v>2868</v>
      </c>
      <c r="M45" t="s">
        <v>2869</v>
      </c>
      <c r="N45">
        <v>4</v>
      </c>
      <c r="O45">
        <v>0.13949900000000001</v>
      </c>
      <c r="P45" t="s">
        <v>56</v>
      </c>
    </row>
    <row r="46" spans="2:79" x14ac:dyDescent="0.25">
      <c r="B46" s="24" t="s">
        <v>2862</v>
      </c>
      <c r="C46" s="24" t="s">
        <v>2863</v>
      </c>
      <c r="D46" s="24"/>
      <c r="E46" s="24" t="s">
        <v>73</v>
      </c>
      <c r="F46" s="24" t="s">
        <v>74</v>
      </c>
      <c r="G46" s="24" t="s">
        <v>2865</v>
      </c>
      <c r="H46" s="24" t="s">
        <v>2865</v>
      </c>
      <c r="I46" s="24" t="s">
        <v>2865</v>
      </c>
      <c r="J46" s="24" t="s">
        <v>2866</v>
      </c>
      <c r="K46" s="24" t="s">
        <v>2867</v>
      </c>
      <c r="L46" s="24" t="s">
        <v>2868</v>
      </c>
      <c r="M46" s="24" t="s">
        <v>2869</v>
      </c>
      <c r="N46" s="24">
        <v>4</v>
      </c>
      <c r="O46" s="24">
        <v>4.6777100000000002E-2</v>
      </c>
      <c r="P46" s="24">
        <v>3.9733999999999998E-2</v>
      </c>
    </row>
    <row r="47" spans="2:79" x14ac:dyDescent="0.25">
      <c r="B47" t="s">
        <v>2862</v>
      </c>
      <c r="C47" t="s">
        <v>2863</v>
      </c>
      <c r="E47" t="s">
        <v>73</v>
      </c>
      <c r="F47" t="s">
        <v>124</v>
      </c>
      <c r="G47" t="s">
        <v>2865</v>
      </c>
      <c r="H47" t="s">
        <v>2865</v>
      </c>
      <c r="I47" t="s">
        <v>2865</v>
      </c>
      <c r="J47" t="s">
        <v>2866</v>
      </c>
      <c r="K47" t="s">
        <v>2867</v>
      </c>
      <c r="L47" t="s">
        <v>2868</v>
      </c>
      <c r="M47" t="s">
        <v>2869</v>
      </c>
      <c r="N47">
        <v>4</v>
      </c>
      <c r="O47">
        <v>3.9637499999999999E-2</v>
      </c>
      <c r="P47">
        <v>5.0617099999999998E-2</v>
      </c>
    </row>
    <row r="48" spans="2:79" x14ac:dyDescent="0.25">
      <c r="B48" t="s">
        <v>2862</v>
      </c>
      <c r="C48" t="s">
        <v>2863</v>
      </c>
      <c r="E48" t="s">
        <v>73</v>
      </c>
      <c r="F48" t="s">
        <v>2870</v>
      </c>
      <c r="G48" t="s">
        <v>2865</v>
      </c>
      <c r="H48" t="s">
        <v>2865</v>
      </c>
      <c r="I48" t="s">
        <v>2865</v>
      </c>
      <c r="J48" t="s">
        <v>2866</v>
      </c>
      <c r="K48" t="s">
        <v>2867</v>
      </c>
      <c r="L48" t="s">
        <v>2868</v>
      </c>
      <c r="M48" t="s">
        <v>2869</v>
      </c>
      <c r="N48">
        <v>4</v>
      </c>
      <c r="O48" t="s">
        <v>56</v>
      </c>
      <c r="P48">
        <v>4.0080699999999997E-2</v>
      </c>
    </row>
    <row r="49" spans="2:16" x14ac:dyDescent="0.25">
      <c r="B49" t="s">
        <v>2862</v>
      </c>
      <c r="C49" t="s">
        <v>2863</v>
      </c>
      <c r="E49" t="s">
        <v>281</v>
      </c>
      <c r="F49" t="s">
        <v>2864</v>
      </c>
      <c r="G49" t="s">
        <v>2865</v>
      </c>
      <c r="H49" t="s">
        <v>2865</v>
      </c>
      <c r="I49" t="s">
        <v>2865</v>
      </c>
      <c r="J49" t="s">
        <v>2866</v>
      </c>
      <c r="K49" t="s">
        <v>2867</v>
      </c>
      <c r="L49" t="s">
        <v>2868</v>
      </c>
      <c r="M49" t="s">
        <v>2869</v>
      </c>
      <c r="N49">
        <v>4</v>
      </c>
      <c r="O49">
        <v>0.18633</v>
      </c>
      <c r="P49" t="s">
        <v>56</v>
      </c>
    </row>
    <row r="50" spans="2:16" x14ac:dyDescent="0.25">
      <c r="B50" t="s">
        <v>2862</v>
      </c>
      <c r="C50" t="s">
        <v>2863</v>
      </c>
      <c r="E50" t="s">
        <v>281</v>
      </c>
      <c r="F50" t="s">
        <v>116</v>
      </c>
      <c r="G50" t="s">
        <v>2865</v>
      </c>
      <c r="H50" t="s">
        <v>2865</v>
      </c>
      <c r="I50" t="s">
        <v>2865</v>
      </c>
      <c r="J50" t="s">
        <v>2866</v>
      </c>
      <c r="K50" t="s">
        <v>2867</v>
      </c>
      <c r="L50" t="s">
        <v>2868</v>
      </c>
      <c r="M50" t="s">
        <v>2869</v>
      </c>
      <c r="N50">
        <v>4</v>
      </c>
      <c r="O50">
        <v>0.127885</v>
      </c>
      <c r="P50" t="s">
        <v>56</v>
      </c>
    </row>
    <row r="51" spans="2:16" x14ac:dyDescent="0.25">
      <c r="B51" t="s">
        <v>2862</v>
      </c>
      <c r="C51" t="s">
        <v>2863</v>
      </c>
      <c r="E51" t="s">
        <v>281</v>
      </c>
      <c r="F51" t="s">
        <v>2870</v>
      </c>
      <c r="G51" t="s">
        <v>2865</v>
      </c>
      <c r="H51" t="s">
        <v>2865</v>
      </c>
      <c r="I51" t="s">
        <v>2865</v>
      </c>
      <c r="J51" t="s">
        <v>2866</v>
      </c>
      <c r="K51" t="s">
        <v>2867</v>
      </c>
      <c r="L51" t="s">
        <v>2868</v>
      </c>
      <c r="M51" t="s">
        <v>2869</v>
      </c>
      <c r="N51">
        <v>4</v>
      </c>
      <c r="O51" t="s">
        <v>56</v>
      </c>
      <c r="P51">
        <v>5.3282499999999997E-2</v>
      </c>
    </row>
    <row r="52" spans="2:16" x14ac:dyDescent="0.25">
      <c r="B52" t="s">
        <v>2862</v>
      </c>
      <c r="C52" t="s">
        <v>2863</v>
      </c>
      <c r="E52" t="s">
        <v>985</v>
      </c>
      <c r="F52" t="s">
        <v>2864</v>
      </c>
      <c r="G52" t="s">
        <v>2865</v>
      </c>
      <c r="H52" t="s">
        <v>2865</v>
      </c>
      <c r="I52" t="s">
        <v>2865</v>
      </c>
      <c r="J52" t="s">
        <v>2866</v>
      </c>
      <c r="K52" t="s">
        <v>2867</v>
      </c>
      <c r="L52" t="s">
        <v>2868</v>
      </c>
      <c r="M52" t="s">
        <v>2869</v>
      </c>
      <c r="N52">
        <v>5</v>
      </c>
      <c r="O52">
        <v>0.77742900000000004</v>
      </c>
      <c r="P52" t="s">
        <v>56</v>
      </c>
    </row>
    <row r="53" spans="2:16" x14ac:dyDescent="0.25">
      <c r="B53" t="s">
        <v>2862</v>
      </c>
      <c r="C53" t="s">
        <v>2863</v>
      </c>
      <c r="E53" t="s">
        <v>73</v>
      </c>
      <c r="F53" t="s">
        <v>2865</v>
      </c>
      <c r="G53" t="s">
        <v>2865</v>
      </c>
      <c r="H53" t="s">
        <v>2865</v>
      </c>
      <c r="I53" t="s">
        <v>2865</v>
      </c>
      <c r="J53" t="s">
        <v>2866</v>
      </c>
      <c r="K53" t="s">
        <v>2867</v>
      </c>
      <c r="L53" t="s">
        <v>2868</v>
      </c>
      <c r="M53" t="s">
        <v>2869</v>
      </c>
      <c r="N53">
        <v>5</v>
      </c>
      <c r="O53">
        <v>0.12779699999999999</v>
      </c>
      <c r="P53">
        <v>4.2827899999999999E-3</v>
      </c>
    </row>
    <row r="54" spans="2:16" x14ac:dyDescent="0.25">
      <c r="B54" t="s">
        <v>2862</v>
      </c>
      <c r="C54" t="s">
        <v>2863</v>
      </c>
      <c r="E54" t="s">
        <v>281</v>
      </c>
      <c r="F54" t="s">
        <v>2865</v>
      </c>
      <c r="G54" t="s">
        <v>2865</v>
      </c>
      <c r="H54" t="s">
        <v>2865</v>
      </c>
      <c r="I54" t="s">
        <v>2865</v>
      </c>
      <c r="J54" t="s">
        <v>2866</v>
      </c>
      <c r="K54" t="s">
        <v>2867</v>
      </c>
      <c r="L54" t="s">
        <v>2868</v>
      </c>
      <c r="M54" t="s">
        <v>2869</v>
      </c>
      <c r="N54">
        <v>5</v>
      </c>
      <c r="O54">
        <v>0.18176300000000001</v>
      </c>
      <c r="P54">
        <v>1.3710599999999999E-3</v>
      </c>
    </row>
    <row r="56" spans="2:16" x14ac:dyDescent="0.25">
      <c r="B56" t="s">
        <v>2822</v>
      </c>
      <c r="C56" t="s">
        <v>2849</v>
      </c>
      <c r="D56" t="s">
        <v>2850</v>
      </c>
      <c r="E56" t="s">
        <v>2853</v>
      </c>
      <c r="F56" t="s">
        <v>2871</v>
      </c>
    </row>
    <row r="57" spans="2:16" x14ac:dyDescent="0.25">
      <c r="B57" t="s">
        <v>2863</v>
      </c>
      <c r="C57" t="s">
        <v>73</v>
      </c>
      <c r="D57" t="s">
        <v>2864</v>
      </c>
      <c r="E57" t="s">
        <v>2865</v>
      </c>
      <c r="F57">
        <v>23966</v>
      </c>
    </row>
    <row r="58" spans="2:16" x14ac:dyDescent="0.25">
      <c r="B58" t="s">
        <v>2863</v>
      </c>
      <c r="C58" t="s">
        <v>73</v>
      </c>
      <c r="D58" t="s">
        <v>116</v>
      </c>
      <c r="E58" t="s">
        <v>2865</v>
      </c>
      <c r="F58">
        <v>23966</v>
      </c>
    </row>
    <row r="59" spans="2:16" x14ac:dyDescent="0.25">
      <c r="B59" s="24" t="s">
        <v>2863</v>
      </c>
      <c r="C59" s="24" t="s">
        <v>73</v>
      </c>
      <c r="D59" s="24" t="s">
        <v>74</v>
      </c>
      <c r="E59" s="24" t="s">
        <v>2865</v>
      </c>
      <c r="F59" s="24">
        <v>23966</v>
      </c>
    </row>
    <row r="60" spans="2:16" x14ac:dyDescent="0.25">
      <c r="B60" t="s">
        <v>2863</v>
      </c>
      <c r="C60" t="s">
        <v>73</v>
      </c>
      <c r="D60" t="s">
        <v>124</v>
      </c>
      <c r="E60" t="s">
        <v>2865</v>
      </c>
      <c r="F60">
        <v>23966</v>
      </c>
    </row>
    <row r="61" spans="2:16" x14ac:dyDescent="0.25">
      <c r="B61" t="s">
        <v>2863</v>
      </c>
      <c r="C61" t="s">
        <v>73</v>
      </c>
      <c r="D61" t="s">
        <v>2870</v>
      </c>
      <c r="E61" t="s">
        <v>2865</v>
      </c>
      <c r="F61">
        <v>23966</v>
      </c>
    </row>
    <row r="62" spans="2:16" x14ac:dyDescent="0.25">
      <c r="B62" t="s">
        <v>2863</v>
      </c>
      <c r="C62" t="s">
        <v>281</v>
      </c>
      <c r="D62" t="s">
        <v>2864</v>
      </c>
      <c r="E62" t="s">
        <v>2865</v>
      </c>
      <c r="F62">
        <v>13905.007245210099</v>
      </c>
    </row>
    <row r="63" spans="2:16" x14ac:dyDescent="0.25">
      <c r="B63" t="s">
        <v>2863</v>
      </c>
      <c r="C63" t="s">
        <v>281</v>
      </c>
      <c r="D63" t="s">
        <v>116</v>
      </c>
      <c r="E63" t="s">
        <v>2865</v>
      </c>
      <c r="F63">
        <v>10734.2534308167</v>
      </c>
    </row>
    <row r="64" spans="2:16" x14ac:dyDescent="0.25">
      <c r="B64" t="s">
        <v>2863</v>
      </c>
      <c r="C64" t="s">
        <v>281</v>
      </c>
      <c r="D64" t="s">
        <v>2870</v>
      </c>
      <c r="E64" t="s">
        <v>2865</v>
      </c>
      <c r="F64">
        <v>12771.9983108901</v>
      </c>
    </row>
    <row r="65" spans="2:6" x14ac:dyDescent="0.25">
      <c r="B65" t="s">
        <v>2863</v>
      </c>
      <c r="C65" t="s">
        <v>985</v>
      </c>
      <c r="D65" t="s">
        <v>2864</v>
      </c>
      <c r="E65" t="s">
        <v>2865</v>
      </c>
      <c r="F65">
        <v>87333.248438120994</v>
      </c>
    </row>
    <row r="66" spans="2:6" x14ac:dyDescent="0.25">
      <c r="B66" t="s">
        <v>2863</v>
      </c>
      <c r="C66" t="s">
        <v>73</v>
      </c>
      <c r="D66" t="s">
        <v>2865</v>
      </c>
      <c r="E66" t="s">
        <v>2865</v>
      </c>
      <c r="F66">
        <v>23966</v>
      </c>
    </row>
    <row r="67" spans="2:6" x14ac:dyDescent="0.25">
      <c r="B67" t="s">
        <v>2863</v>
      </c>
      <c r="C67" t="s">
        <v>281</v>
      </c>
      <c r="D67" t="s">
        <v>2865</v>
      </c>
      <c r="E67" t="s">
        <v>2865</v>
      </c>
      <c r="F67">
        <v>12771.961698441</v>
      </c>
    </row>
    <row r="70" spans="2:6" x14ac:dyDescent="0.25">
      <c r="B70" t="s">
        <v>2642</v>
      </c>
      <c r="C70" s="17">
        <f>+AE27</f>
        <v>300836.90000000002</v>
      </c>
    </row>
    <row r="71" spans="2:6" x14ac:dyDescent="0.25">
      <c r="B71" t="s">
        <v>2643</v>
      </c>
      <c r="C71">
        <v>3</v>
      </c>
    </row>
    <row r="72" spans="2:6" x14ac:dyDescent="0.25">
      <c r="B72" t="s">
        <v>2649</v>
      </c>
      <c r="C72" s="17">
        <f>+C70/O37</f>
        <v>0.88375780133458093</v>
      </c>
    </row>
    <row r="73" spans="2:6" x14ac:dyDescent="0.25">
      <c r="B73" t="s">
        <v>2644</v>
      </c>
      <c r="C73" s="17">
        <f>+O46*F59*C72</f>
        <v>990.74550185172836</v>
      </c>
      <c r="D73" s="17">
        <f>+BH41</f>
        <v>990.74348244762098</v>
      </c>
    </row>
    <row r="74" spans="2:6" x14ac:dyDescent="0.25">
      <c r="B74" t="s">
        <v>2645</v>
      </c>
      <c r="C74" t="s">
        <v>2872</v>
      </c>
    </row>
    <row r="75" spans="2:6" x14ac:dyDescent="0.25">
      <c r="B75" t="s">
        <v>2646</v>
      </c>
      <c r="C75" t="s">
        <v>2872</v>
      </c>
    </row>
    <row r="76" spans="2:6" x14ac:dyDescent="0.25">
      <c r="B76" s="3" t="s">
        <v>2647</v>
      </c>
      <c r="C76" s="3">
        <f>+SUM(C73:C75)</f>
        <v>990.74550185172836</v>
      </c>
    </row>
    <row r="85" spans="2:3" x14ac:dyDescent="0.25">
      <c r="C85" s="17"/>
    </row>
    <row r="91" spans="2:3" x14ac:dyDescent="0.25">
      <c r="B91" s="3"/>
      <c r="C91" s="3"/>
    </row>
  </sheetData>
  <autoFilter ref="B8:CA13">
    <sortState ref="B7:CA11">
      <sortCondition ref="H6:H11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C55"/>
  <sheetViews>
    <sheetView showGridLines="0" workbookViewId="0">
      <selection activeCell="A2" sqref="A2"/>
    </sheetView>
  </sheetViews>
  <sheetFormatPr defaultRowHeight="15" x14ac:dyDescent="0.25"/>
  <cols>
    <col min="1" max="1" width="3.7109375" customWidth="1"/>
    <col min="2" max="2" width="20.5703125" bestFit="1" customWidth="1"/>
    <col min="3" max="3" width="10" bestFit="1" customWidth="1"/>
    <col min="68" max="69" width="23" bestFit="1" customWidth="1"/>
  </cols>
  <sheetData>
    <row r="2" spans="2:79" x14ac:dyDescent="0.25">
      <c r="B2" t="s">
        <v>2252</v>
      </c>
    </row>
    <row r="4" spans="2:79" x14ac:dyDescent="0.25">
      <c r="B4" s="4" t="s">
        <v>2962</v>
      </c>
      <c r="C4" t="s">
        <v>2963</v>
      </c>
    </row>
    <row r="6" spans="2:79" s="15" customFormat="1" x14ac:dyDescent="0.25">
      <c r="B6" s="26" t="s">
        <v>2545</v>
      </c>
    </row>
    <row r="7" spans="2:79" s="8" customFormat="1" x14ac:dyDescent="0.25">
      <c r="B7" s="29"/>
    </row>
    <row r="8" spans="2:79" x14ac:dyDescent="0.25">
      <c r="B8" s="17" t="s">
        <v>2546</v>
      </c>
      <c r="C8" s="17" t="s">
        <v>2547</v>
      </c>
      <c r="D8" s="17" t="s">
        <v>2548</v>
      </c>
      <c r="E8" s="17" t="s">
        <v>2549</v>
      </c>
      <c r="F8" s="17" t="s">
        <v>18</v>
      </c>
      <c r="G8" s="17" t="s">
        <v>2550</v>
      </c>
      <c r="H8" s="17" t="s">
        <v>2551</v>
      </c>
      <c r="I8" s="17" t="s">
        <v>2552</v>
      </c>
      <c r="J8" s="17" t="s">
        <v>2553</v>
      </c>
      <c r="K8" s="17" t="s">
        <v>2554</v>
      </c>
      <c r="L8" s="17" t="s">
        <v>2555</v>
      </c>
      <c r="M8" s="17" t="s">
        <v>35</v>
      </c>
      <c r="N8" s="17" t="s">
        <v>36</v>
      </c>
      <c r="O8" s="17" t="s">
        <v>37</v>
      </c>
      <c r="P8" s="17" t="s">
        <v>2556</v>
      </c>
      <c r="Q8" s="17" t="s">
        <v>2557</v>
      </c>
      <c r="R8" s="17" t="s">
        <v>2558</v>
      </c>
      <c r="S8" s="17" t="s">
        <v>2559</v>
      </c>
      <c r="T8" s="17" t="s">
        <v>2560</v>
      </c>
      <c r="U8" s="17" t="s">
        <v>2561</v>
      </c>
      <c r="V8" s="17" t="s">
        <v>2562</v>
      </c>
      <c r="W8" s="17" t="s">
        <v>2563</v>
      </c>
      <c r="X8" s="17" t="s">
        <v>2564</v>
      </c>
      <c r="Y8" s="17" t="s">
        <v>2565</v>
      </c>
      <c r="Z8" s="17" t="s">
        <v>2566</v>
      </c>
      <c r="AA8" s="17" t="s">
        <v>2567</v>
      </c>
      <c r="AB8" s="17" t="s">
        <v>2568</v>
      </c>
      <c r="AC8" s="17" t="s">
        <v>2569</v>
      </c>
      <c r="AD8" s="17" t="s">
        <v>2570</v>
      </c>
      <c r="AE8" s="17" t="s">
        <v>2571</v>
      </c>
      <c r="AF8" s="17" t="s">
        <v>2572</v>
      </c>
      <c r="AG8" s="17" t="s">
        <v>2573</v>
      </c>
      <c r="AH8" s="17" t="s">
        <v>2574</v>
      </c>
      <c r="AI8" s="17" t="s">
        <v>2575</v>
      </c>
      <c r="AJ8" s="17" t="s">
        <v>2576</v>
      </c>
      <c r="AK8" s="17" t="s">
        <v>2577</v>
      </c>
      <c r="AL8" s="17" t="s">
        <v>2578</v>
      </c>
      <c r="AM8" s="17" t="s">
        <v>2579</v>
      </c>
      <c r="AN8" s="17" t="s">
        <v>2580</v>
      </c>
      <c r="AO8" s="17" t="s">
        <v>2581</v>
      </c>
      <c r="AP8" s="17" t="s">
        <v>2582</v>
      </c>
      <c r="AQ8" s="17" t="s">
        <v>2583</v>
      </c>
      <c r="AR8" s="17" t="s">
        <v>2584</v>
      </c>
      <c r="AS8" s="17" t="s">
        <v>2585</v>
      </c>
      <c r="AT8" s="17" t="s">
        <v>2586</v>
      </c>
      <c r="AU8" s="17" t="s">
        <v>2587</v>
      </c>
      <c r="AV8" s="17" t="s">
        <v>2588</v>
      </c>
      <c r="AW8" s="17" t="s">
        <v>2589</v>
      </c>
      <c r="AX8" s="17" t="s">
        <v>2590</v>
      </c>
      <c r="AY8" s="17" t="s">
        <v>2591</v>
      </c>
      <c r="AZ8" s="17" t="s">
        <v>2592</v>
      </c>
      <c r="BA8" s="17" t="s">
        <v>2593</v>
      </c>
      <c r="BB8" s="17" t="s">
        <v>2594</v>
      </c>
      <c r="BC8" s="17" t="s">
        <v>2595</v>
      </c>
      <c r="BD8" s="17" t="s">
        <v>2596</v>
      </c>
      <c r="BE8" s="17" t="s">
        <v>2597</v>
      </c>
      <c r="BF8" s="17" t="s">
        <v>2598</v>
      </c>
      <c r="BG8" s="17" t="s">
        <v>2599</v>
      </c>
      <c r="BH8" s="17" t="s">
        <v>2600</v>
      </c>
      <c r="BI8" s="17" t="s">
        <v>2601</v>
      </c>
      <c r="BJ8" s="17" t="s">
        <v>2602</v>
      </c>
      <c r="BK8" s="17" t="s">
        <v>2603</v>
      </c>
      <c r="BL8" s="17" t="s">
        <v>2604</v>
      </c>
      <c r="BM8" s="17" t="s">
        <v>2605</v>
      </c>
      <c r="BN8" s="17" t="s">
        <v>2606</v>
      </c>
      <c r="BO8" s="17" t="s">
        <v>2607</v>
      </c>
      <c r="BP8" s="17" t="s">
        <v>2608</v>
      </c>
      <c r="BQ8" s="17" t="s">
        <v>2609</v>
      </c>
      <c r="BR8" s="17" t="s">
        <v>2610</v>
      </c>
      <c r="BS8" s="17" t="s">
        <v>2611</v>
      </c>
      <c r="BT8" s="17" t="s">
        <v>2612</v>
      </c>
      <c r="BU8" s="17" t="s">
        <v>2613</v>
      </c>
      <c r="BV8" s="17" t="s">
        <v>2614</v>
      </c>
      <c r="BW8" s="17" t="s">
        <v>2615</v>
      </c>
      <c r="BX8" s="17" t="s">
        <v>2616</v>
      </c>
      <c r="BY8" s="17" t="s">
        <v>2617</v>
      </c>
      <c r="BZ8" s="17" t="s">
        <v>2618</v>
      </c>
      <c r="CA8" s="17" t="s">
        <v>2619</v>
      </c>
    </row>
    <row r="9" spans="2:79" x14ac:dyDescent="0.25">
      <c r="B9" s="17" t="s">
        <v>61</v>
      </c>
      <c r="C9" s="17" t="s">
        <v>58</v>
      </c>
      <c r="D9" s="17" t="s">
        <v>2253</v>
      </c>
      <c r="E9" s="17" t="s">
        <v>2254</v>
      </c>
      <c r="F9" s="17" t="s">
        <v>2252</v>
      </c>
      <c r="G9" s="17" t="s">
        <v>2877</v>
      </c>
      <c r="H9" s="17"/>
      <c r="I9" s="17" t="s">
        <v>2635</v>
      </c>
      <c r="J9" s="17">
        <v>125.35</v>
      </c>
      <c r="K9" s="17" t="s">
        <v>56</v>
      </c>
      <c r="L9" s="17" t="s">
        <v>56</v>
      </c>
      <c r="M9" s="17" t="s">
        <v>56</v>
      </c>
      <c r="N9" s="17" t="s">
        <v>56</v>
      </c>
      <c r="O9" s="17" t="s">
        <v>56</v>
      </c>
      <c r="P9" s="17" t="s">
        <v>56</v>
      </c>
      <c r="Q9" s="17" t="s">
        <v>56</v>
      </c>
      <c r="R9" s="17" t="s">
        <v>56</v>
      </c>
      <c r="S9" s="17" t="s">
        <v>56</v>
      </c>
      <c r="T9" s="17" t="s">
        <v>56</v>
      </c>
      <c r="U9" s="17" t="s">
        <v>56</v>
      </c>
      <c r="V9" s="17" t="s">
        <v>1325</v>
      </c>
      <c r="W9" s="17" t="s">
        <v>56</v>
      </c>
      <c r="X9" s="17" t="s">
        <v>2640</v>
      </c>
      <c r="Y9" s="17" t="s">
        <v>56</v>
      </c>
      <c r="Z9" s="17" t="s">
        <v>56</v>
      </c>
      <c r="AA9" s="17" t="s">
        <v>2627</v>
      </c>
      <c r="AB9" s="17">
        <v>125.35</v>
      </c>
      <c r="AC9" s="17" t="s">
        <v>939</v>
      </c>
      <c r="AD9" s="17" t="s">
        <v>2880</v>
      </c>
      <c r="AE9" s="17" t="s">
        <v>2629</v>
      </c>
      <c r="AF9" s="17" t="s">
        <v>2875</v>
      </c>
      <c r="AG9" s="16">
        <v>45511</v>
      </c>
      <c r="AH9" s="16">
        <v>2958465</v>
      </c>
      <c r="AI9" s="17" t="s">
        <v>2630</v>
      </c>
      <c r="AJ9" s="17" t="s">
        <v>2631</v>
      </c>
      <c r="AK9" s="17" t="s">
        <v>2881</v>
      </c>
      <c r="AL9" s="17">
        <v>4279709.6100000003</v>
      </c>
      <c r="AM9" s="17">
        <v>3019225.96</v>
      </c>
      <c r="AN9" s="17">
        <v>0</v>
      </c>
      <c r="AO9" s="17">
        <v>0</v>
      </c>
      <c r="AP9" s="17">
        <v>1828888.32</v>
      </c>
      <c r="AQ9" s="17">
        <v>0</v>
      </c>
      <c r="AR9" s="17">
        <v>0</v>
      </c>
      <c r="AS9" s="17">
        <v>4279709.6100000003</v>
      </c>
      <c r="AT9" s="17">
        <v>4848114.28</v>
      </c>
      <c r="AU9" s="17">
        <v>20.712800000000001</v>
      </c>
      <c r="AV9" s="17">
        <v>9.3053000000000008</v>
      </c>
      <c r="AW9" s="17">
        <v>116.018</v>
      </c>
      <c r="AX9" s="17" t="s">
        <v>2633</v>
      </c>
      <c r="AY9" s="17" t="s">
        <v>2633</v>
      </c>
      <c r="AZ9" s="17" t="s">
        <v>2633</v>
      </c>
      <c r="BA9" s="17" t="s">
        <v>56</v>
      </c>
      <c r="BB9" s="17" t="s">
        <v>56</v>
      </c>
      <c r="BC9" s="17" t="s">
        <v>56</v>
      </c>
      <c r="BD9" s="17" t="s">
        <v>56</v>
      </c>
      <c r="BE9" s="17" t="s">
        <v>56</v>
      </c>
      <c r="BF9" s="17" t="s">
        <v>56</v>
      </c>
      <c r="BG9" s="17" t="s">
        <v>56</v>
      </c>
      <c r="BH9" s="17" t="s">
        <v>56</v>
      </c>
      <c r="BI9" s="17" t="s">
        <v>56</v>
      </c>
      <c r="BJ9" s="17" t="s">
        <v>56</v>
      </c>
      <c r="BK9" s="17" t="s">
        <v>56</v>
      </c>
      <c r="BL9" s="17" t="s">
        <v>56</v>
      </c>
      <c r="BM9" s="17" t="s">
        <v>56</v>
      </c>
      <c r="BN9" s="17" t="s">
        <v>56</v>
      </c>
      <c r="BO9" s="17" t="s">
        <v>1325</v>
      </c>
      <c r="BP9" s="17" t="s">
        <v>939</v>
      </c>
      <c r="BQ9" s="17">
        <v>229272</v>
      </c>
      <c r="BR9" s="17" t="s">
        <v>56</v>
      </c>
      <c r="BS9" s="17" t="s">
        <v>56</v>
      </c>
      <c r="BT9" s="17" t="s">
        <v>56</v>
      </c>
      <c r="BU9" s="17" t="s">
        <v>2635</v>
      </c>
      <c r="BV9" s="17" t="s">
        <v>56</v>
      </c>
      <c r="BW9" s="17" t="s">
        <v>56</v>
      </c>
      <c r="BX9" s="17" t="s">
        <v>2635</v>
      </c>
      <c r="BY9" s="17" t="s">
        <v>56</v>
      </c>
      <c r="BZ9" s="17" t="s">
        <v>56</v>
      </c>
      <c r="CA9" s="17" t="s">
        <v>2635</v>
      </c>
    </row>
    <row r="10" spans="2:79" x14ac:dyDescent="0.25">
      <c r="B10" s="17" t="s">
        <v>61</v>
      </c>
      <c r="C10" s="17" t="s">
        <v>58</v>
      </c>
      <c r="D10" s="17" t="s">
        <v>2253</v>
      </c>
      <c r="E10" s="17" t="s">
        <v>2254</v>
      </c>
      <c r="F10" s="17" t="s">
        <v>2252</v>
      </c>
      <c r="G10" s="17" t="s">
        <v>2877</v>
      </c>
      <c r="H10" s="17"/>
      <c r="I10" s="17" t="s">
        <v>2621</v>
      </c>
      <c r="J10" s="17">
        <v>-64730.69</v>
      </c>
      <c r="K10" s="17" t="s">
        <v>2252</v>
      </c>
      <c r="L10" s="17" t="s">
        <v>61</v>
      </c>
      <c r="M10" s="17" t="s">
        <v>58</v>
      </c>
      <c r="N10" s="17" t="s">
        <v>2253</v>
      </c>
      <c r="O10" s="17" t="s">
        <v>2638</v>
      </c>
      <c r="P10" s="17" t="s">
        <v>2878</v>
      </c>
      <c r="Q10" s="17" t="s">
        <v>2624</v>
      </c>
      <c r="R10" s="17" t="s">
        <v>2879</v>
      </c>
      <c r="S10" s="17">
        <v>8088.64</v>
      </c>
      <c r="T10" s="17">
        <v>28659</v>
      </c>
      <c r="U10" s="17">
        <v>28659</v>
      </c>
      <c r="V10" s="17" t="s">
        <v>559</v>
      </c>
      <c r="W10" s="17">
        <v>64709.120000000003</v>
      </c>
      <c r="X10" s="17" t="s">
        <v>2626</v>
      </c>
      <c r="Y10" s="17">
        <v>0.125</v>
      </c>
      <c r="Z10" s="17">
        <v>0.124958346651333</v>
      </c>
      <c r="AA10" s="17" t="s">
        <v>2627</v>
      </c>
      <c r="AB10" s="17">
        <v>-8088.6399999999903</v>
      </c>
      <c r="AC10" s="17" t="s">
        <v>939</v>
      </c>
      <c r="AD10" s="17" t="s">
        <v>2880</v>
      </c>
      <c r="AE10" s="17" t="s">
        <v>2629</v>
      </c>
      <c r="AF10" s="17" t="s">
        <v>2875</v>
      </c>
      <c r="AG10" s="16">
        <v>45511</v>
      </c>
      <c r="AH10" s="16">
        <v>2958465</v>
      </c>
      <c r="AI10" s="17" t="s">
        <v>2630</v>
      </c>
      <c r="AJ10" s="17" t="s">
        <v>2631</v>
      </c>
      <c r="AK10" s="17" t="s">
        <v>2881</v>
      </c>
      <c r="AL10" s="17">
        <v>4279709.6100000003</v>
      </c>
      <c r="AM10" s="17">
        <v>3019225.96</v>
      </c>
      <c r="AN10" s="17">
        <v>0</v>
      </c>
      <c r="AO10" s="17">
        <v>0</v>
      </c>
      <c r="AP10" s="17">
        <v>1828888.32</v>
      </c>
      <c r="AQ10" s="17">
        <v>0</v>
      </c>
      <c r="AR10" s="17">
        <v>0</v>
      </c>
      <c r="AS10" s="17">
        <v>4279709.6100000003</v>
      </c>
      <c r="AT10" s="17">
        <v>4848114.28</v>
      </c>
      <c r="AU10" s="17">
        <v>20.712800000000001</v>
      </c>
      <c r="AV10" s="17">
        <v>9.3053000000000008</v>
      </c>
      <c r="AW10" s="17">
        <v>116.018</v>
      </c>
      <c r="AX10" s="17" t="s">
        <v>2633</v>
      </c>
      <c r="AY10" s="17" t="s">
        <v>2633</v>
      </c>
      <c r="AZ10" s="17" t="s">
        <v>2633</v>
      </c>
      <c r="BA10" s="17" t="s">
        <v>56</v>
      </c>
      <c r="BB10" s="17" t="s">
        <v>56</v>
      </c>
      <c r="BC10" s="17">
        <v>67895.399999999994</v>
      </c>
      <c r="BD10" s="17" t="s">
        <v>56</v>
      </c>
      <c r="BE10" s="17" t="s">
        <v>56</v>
      </c>
      <c r="BF10" s="17" t="s">
        <v>2634</v>
      </c>
      <c r="BG10" s="17" t="s">
        <v>2635</v>
      </c>
      <c r="BH10" s="17" t="s">
        <v>2635</v>
      </c>
      <c r="BI10" s="17" t="s">
        <v>56</v>
      </c>
      <c r="BJ10" s="17" t="s">
        <v>56</v>
      </c>
      <c r="BK10" s="17" t="s">
        <v>56</v>
      </c>
      <c r="BL10" s="17" t="s">
        <v>56</v>
      </c>
      <c r="BM10" s="17" t="s">
        <v>56</v>
      </c>
      <c r="BN10" s="17" t="s">
        <v>56</v>
      </c>
      <c r="BO10" s="17" t="s">
        <v>939</v>
      </c>
      <c r="BP10" s="17" t="s">
        <v>939</v>
      </c>
      <c r="BQ10" s="17">
        <v>229272</v>
      </c>
      <c r="BR10" s="17">
        <v>19168.9761774</v>
      </c>
      <c r="BS10" s="17" t="s">
        <v>56</v>
      </c>
      <c r="BT10" s="17">
        <v>19168.976177</v>
      </c>
      <c r="BU10" s="17" t="s">
        <v>2634</v>
      </c>
      <c r="BV10" s="17" t="s">
        <v>56</v>
      </c>
      <c r="BW10" s="17" t="s">
        <v>56</v>
      </c>
      <c r="BX10" s="17" t="s">
        <v>2635</v>
      </c>
      <c r="BY10" s="17" t="s">
        <v>56</v>
      </c>
      <c r="BZ10" s="17" t="s">
        <v>56</v>
      </c>
      <c r="CA10" s="17" t="s">
        <v>2635</v>
      </c>
    </row>
    <row r="11" spans="2:79" x14ac:dyDescent="0.25">
      <c r="B11" s="17" t="s">
        <v>61</v>
      </c>
      <c r="C11" s="17" t="s">
        <v>58</v>
      </c>
      <c r="D11" s="17" t="s">
        <v>2253</v>
      </c>
      <c r="E11" s="17" t="s">
        <v>2254</v>
      </c>
      <c r="F11" s="17" t="s">
        <v>2252</v>
      </c>
      <c r="G11" s="17" t="s">
        <v>2877</v>
      </c>
      <c r="H11" s="17"/>
      <c r="I11" s="17" t="s">
        <v>2621</v>
      </c>
      <c r="J11" s="17">
        <v>-64730.69</v>
      </c>
      <c r="K11" s="17" t="s">
        <v>2252</v>
      </c>
      <c r="L11" s="17" t="s">
        <v>61</v>
      </c>
      <c r="M11" s="17" t="s">
        <v>58</v>
      </c>
      <c r="N11" s="17" t="s">
        <v>2253</v>
      </c>
      <c r="O11" s="17" t="s">
        <v>2882</v>
      </c>
      <c r="P11" s="17" t="s">
        <v>2883</v>
      </c>
      <c r="Q11" s="17" t="s">
        <v>2624</v>
      </c>
      <c r="R11" s="17" t="s">
        <v>2879</v>
      </c>
      <c r="S11" s="17">
        <v>8088.64</v>
      </c>
      <c r="T11" s="17">
        <v>28659</v>
      </c>
      <c r="U11" s="17">
        <v>28659</v>
      </c>
      <c r="V11" s="17" t="s">
        <v>559</v>
      </c>
      <c r="W11" s="17">
        <v>64709.120000000003</v>
      </c>
      <c r="X11" s="17" t="s">
        <v>2626</v>
      </c>
      <c r="Y11" s="17">
        <v>0.125</v>
      </c>
      <c r="Z11" s="17">
        <v>0.124958346651333</v>
      </c>
      <c r="AA11" s="17" t="s">
        <v>2627</v>
      </c>
      <c r="AB11" s="17">
        <v>-8088.6399999999903</v>
      </c>
      <c r="AC11" s="17" t="s">
        <v>939</v>
      </c>
      <c r="AD11" s="17" t="s">
        <v>2880</v>
      </c>
      <c r="AE11" s="17" t="s">
        <v>2629</v>
      </c>
      <c r="AF11" s="17" t="s">
        <v>2875</v>
      </c>
      <c r="AG11" s="16">
        <v>45511</v>
      </c>
      <c r="AH11" s="16">
        <v>2958465</v>
      </c>
      <c r="AI11" s="17" t="s">
        <v>2630</v>
      </c>
      <c r="AJ11" s="17" t="s">
        <v>2631</v>
      </c>
      <c r="AK11" s="17" t="s">
        <v>2881</v>
      </c>
      <c r="AL11" s="17">
        <v>4279709.6100000003</v>
      </c>
      <c r="AM11" s="17">
        <v>3019225.96</v>
      </c>
      <c r="AN11" s="17">
        <v>0</v>
      </c>
      <c r="AO11" s="17">
        <v>0</v>
      </c>
      <c r="AP11" s="17">
        <v>1828888.32</v>
      </c>
      <c r="AQ11" s="17">
        <v>0</v>
      </c>
      <c r="AR11" s="17">
        <v>0</v>
      </c>
      <c r="AS11" s="17">
        <v>4279709.6100000003</v>
      </c>
      <c r="AT11" s="17">
        <v>4848114.28</v>
      </c>
      <c r="AU11" s="17">
        <v>20.712800000000001</v>
      </c>
      <c r="AV11" s="17">
        <v>9.3053000000000008</v>
      </c>
      <c r="AW11" s="17">
        <v>116.018</v>
      </c>
      <c r="AX11" s="17" t="s">
        <v>2633</v>
      </c>
      <c r="AY11" s="17" t="s">
        <v>2633</v>
      </c>
      <c r="AZ11" s="17" t="s">
        <v>2633</v>
      </c>
      <c r="BA11" s="17" t="s">
        <v>56</v>
      </c>
      <c r="BB11" s="17" t="s">
        <v>56</v>
      </c>
      <c r="BC11" s="17">
        <v>67895.399999999994</v>
      </c>
      <c r="BD11" s="17" t="s">
        <v>56</v>
      </c>
      <c r="BE11" s="17" t="s">
        <v>56</v>
      </c>
      <c r="BF11" s="17" t="s">
        <v>2634</v>
      </c>
      <c r="BG11" s="17" t="s">
        <v>2635</v>
      </c>
      <c r="BH11" s="17" t="s">
        <v>2635</v>
      </c>
      <c r="BI11" s="17" t="s">
        <v>56</v>
      </c>
      <c r="BJ11" s="17" t="s">
        <v>56</v>
      </c>
      <c r="BK11" s="17" t="s">
        <v>56</v>
      </c>
      <c r="BL11" s="17" t="s">
        <v>56</v>
      </c>
      <c r="BM11" s="17" t="s">
        <v>56</v>
      </c>
      <c r="BN11" s="17" t="s">
        <v>56</v>
      </c>
      <c r="BO11" s="17" t="s">
        <v>939</v>
      </c>
      <c r="BP11" s="17" t="s">
        <v>939</v>
      </c>
      <c r="BQ11" s="17">
        <v>229272</v>
      </c>
      <c r="BR11" s="17">
        <v>19168.9761774</v>
      </c>
      <c r="BS11" s="17" t="s">
        <v>56</v>
      </c>
      <c r="BT11" s="17">
        <v>19168.976177</v>
      </c>
      <c r="BU11" s="17" t="s">
        <v>2634</v>
      </c>
      <c r="BV11" s="17" t="s">
        <v>56</v>
      </c>
      <c r="BW11" s="17" t="s">
        <v>56</v>
      </c>
      <c r="BX11" s="17" t="s">
        <v>2635</v>
      </c>
      <c r="BY11" s="17" t="s">
        <v>56</v>
      </c>
      <c r="BZ11" s="17" t="s">
        <v>56</v>
      </c>
      <c r="CA11" s="17" t="s">
        <v>2635</v>
      </c>
    </row>
    <row r="12" spans="2:79" x14ac:dyDescent="0.25">
      <c r="B12" s="17" t="s">
        <v>61</v>
      </c>
      <c r="C12" s="17" t="s">
        <v>58</v>
      </c>
      <c r="D12" s="17" t="s">
        <v>2253</v>
      </c>
      <c r="E12" s="17" t="s">
        <v>2254</v>
      </c>
      <c r="F12" s="17" t="s">
        <v>2252</v>
      </c>
      <c r="G12" s="17" t="s">
        <v>2877</v>
      </c>
      <c r="H12" s="17"/>
      <c r="I12" s="17" t="s">
        <v>2621</v>
      </c>
      <c r="J12" s="17">
        <v>-64730.69</v>
      </c>
      <c r="K12" s="17" t="s">
        <v>2252</v>
      </c>
      <c r="L12" s="17" t="s">
        <v>61</v>
      </c>
      <c r="M12" s="17" t="s">
        <v>58</v>
      </c>
      <c r="N12" s="17" t="s">
        <v>2253</v>
      </c>
      <c r="O12" s="17" t="s">
        <v>2884</v>
      </c>
      <c r="P12" s="17" t="s">
        <v>2885</v>
      </c>
      <c r="Q12" s="17" t="s">
        <v>2624</v>
      </c>
      <c r="R12" s="17" t="s">
        <v>2879</v>
      </c>
      <c r="S12" s="17">
        <v>8088.64</v>
      </c>
      <c r="T12" s="17">
        <v>28659</v>
      </c>
      <c r="U12" s="17">
        <v>28659</v>
      </c>
      <c r="V12" s="17" t="s">
        <v>559</v>
      </c>
      <c r="W12" s="17">
        <v>64709.120000000003</v>
      </c>
      <c r="X12" s="17" t="s">
        <v>2626</v>
      </c>
      <c r="Y12" s="17">
        <v>0.125</v>
      </c>
      <c r="Z12" s="17">
        <v>0.124958346651333</v>
      </c>
      <c r="AA12" s="17" t="s">
        <v>2627</v>
      </c>
      <c r="AB12" s="17">
        <v>-8088.6399999999903</v>
      </c>
      <c r="AC12" s="17" t="s">
        <v>939</v>
      </c>
      <c r="AD12" s="17" t="s">
        <v>2880</v>
      </c>
      <c r="AE12" s="17" t="s">
        <v>2629</v>
      </c>
      <c r="AF12" s="17" t="s">
        <v>2875</v>
      </c>
      <c r="AG12" s="16">
        <v>45511</v>
      </c>
      <c r="AH12" s="16">
        <v>2958465</v>
      </c>
      <c r="AI12" s="17" t="s">
        <v>2630</v>
      </c>
      <c r="AJ12" s="17" t="s">
        <v>2631</v>
      </c>
      <c r="AK12" s="17" t="s">
        <v>2881</v>
      </c>
      <c r="AL12" s="17">
        <v>4279709.6100000003</v>
      </c>
      <c r="AM12" s="17">
        <v>3019225.96</v>
      </c>
      <c r="AN12" s="17">
        <v>0</v>
      </c>
      <c r="AO12" s="17">
        <v>0</v>
      </c>
      <c r="AP12" s="17">
        <v>1828888.32</v>
      </c>
      <c r="AQ12" s="17">
        <v>0</v>
      </c>
      <c r="AR12" s="17">
        <v>0</v>
      </c>
      <c r="AS12" s="17">
        <v>4279709.6100000003</v>
      </c>
      <c r="AT12" s="17">
        <v>4848114.28</v>
      </c>
      <c r="AU12" s="17">
        <v>20.712800000000001</v>
      </c>
      <c r="AV12" s="17">
        <v>9.3053000000000008</v>
      </c>
      <c r="AW12" s="17">
        <v>116.018</v>
      </c>
      <c r="AX12" s="17" t="s">
        <v>2633</v>
      </c>
      <c r="AY12" s="17" t="s">
        <v>2633</v>
      </c>
      <c r="AZ12" s="17" t="s">
        <v>2633</v>
      </c>
      <c r="BA12" s="17" t="s">
        <v>56</v>
      </c>
      <c r="BB12" s="17" t="s">
        <v>56</v>
      </c>
      <c r="BC12" s="17">
        <v>67895.399999999994</v>
      </c>
      <c r="BD12" s="17" t="s">
        <v>56</v>
      </c>
      <c r="BE12" s="17" t="s">
        <v>56</v>
      </c>
      <c r="BF12" s="17" t="s">
        <v>2634</v>
      </c>
      <c r="BG12" s="17" t="s">
        <v>2635</v>
      </c>
      <c r="BH12" s="17" t="s">
        <v>2635</v>
      </c>
      <c r="BI12" s="17" t="s">
        <v>56</v>
      </c>
      <c r="BJ12" s="17" t="s">
        <v>56</v>
      </c>
      <c r="BK12" s="17" t="s">
        <v>56</v>
      </c>
      <c r="BL12" s="17" t="s">
        <v>56</v>
      </c>
      <c r="BM12" s="17" t="s">
        <v>56</v>
      </c>
      <c r="BN12" s="17" t="s">
        <v>56</v>
      </c>
      <c r="BO12" s="17" t="s">
        <v>939</v>
      </c>
      <c r="BP12" s="17" t="s">
        <v>939</v>
      </c>
      <c r="BQ12" s="17">
        <v>229272</v>
      </c>
      <c r="BR12" s="17">
        <v>19168.9761774</v>
      </c>
      <c r="BS12" s="17" t="s">
        <v>56</v>
      </c>
      <c r="BT12" s="17">
        <v>19168.976177</v>
      </c>
      <c r="BU12" s="17" t="s">
        <v>2634</v>
      </c>
      <c r="BV12" s="17" t="s">
        <v>56</v>
      </c>
      <c r="BW12" s="17" t="s">
        <v>56</v>
      </c>
      <c r="BX12" s="17" t="s">
        <v>2635</v>
      </c>
      <c r="BY12" s="17" t="s">
        <v>56</v>
      </c>
      <c r="BZ12" s="17" t="s">
        <v>56</v>
      </c>
      <c r="CA12" s="17" t="s">
        <v>2635</v>
      </c>
    </row>
    <row r="13" spans="2:79" x14ac:dyDescent="0.25">
      <c r="B13" s="17" t="s">
        <v>61</v>
      </c>
      <c r="C13" s="17" t="s">
        <v>58</v>
      </c>
      <c r="D13" s="17" t="s">
        <v>2253</v>
      </c>
      <c r="E13" s="17" t="s">
        <v>2254</v>
      </c>
      <c r="F13" s="17" t="s">
        <v>2252</v>
      </c>
      <c r="G13" s="17" t="s">
        <v>2877</v>
      </c>
      <c r="H13" s="17"/>
      <c r="I13" s="17" t="s">
        <v>2621</v>
      </c>
      <c r="J13" s="17">
        <v>-64730.69</v>
      </c>
      <c r="K13" s="17" t="s">
        <v>2252</v>
      </c>
      <c r="L13" s="17" t="s">
        <v>61</v>
      </c>
      <c r="M13" s="17" t="s">
        <v>58</v>
      </c>
      <c r="N13" s="17" t="s">
        <v>2253</v>
      </c>
      <c r="O13" s="17" t="s">
        <v>2886</v>
      </c>
      <c r="P13" s="17" t="s">
        <v>2887</v>
      </c>
      <c r="Q13" s="17" t="s">
        <v>2624</v>
      </c>
      <c r="R13" s="17" t="s">
        <v>2879</v>
      </c>
      <c r="S13" s="17">
        <v>8088.64</v>
      </c>
      <c r="T13" s="17">
        <v>28659</v>
      </c>
      <c r="U13" s="17">
        <v>28659</v>
      </c>
      <c r="V13" s="17" t="s">
        <v>559</v>
      </c>
      <c r="W13" s="17">
        <v>64709.120000000003</v>
      </c>
      <c r="X13" s="17" t="s">
        <v>2626</v>
      </c>
      <c r="Y13" s="17">
        <v>0.125</v>
      </c>
      <c r="Z13" s="17">
        <v>0.124958346651333</v>
      </c>
      <c r="AA13" s="17" t="s">
        <v>2627</v>
      </c>
      <c r="AB13" s="17">
        <v>-8088.6399999999903</v>
      </c>
      <c r="AC13" s="17" t="s">
        <v>939</v>
      </c>
      <c r="AD13" s="17" t="s">
        <v>2880</v>
      </c>
      <c r="AE13" s="17" t="s">
        <v>2629</v>
      </c>
      <c r="AF13" s="17" t="s">
        <v>2875</v>
      </c>
      <c r="AG13" s="16">
        <v>45511</v>
      </c>
      <c r="AH13" s="16">
        <v>2958465</v>
      </c>
      <c r="AI13" s="17" t="s">
        <v>2630</v>
      </c>
      <c r="AJ13" s="17" t="s">
        <v>2631</v>
      </c>
      <c r="AK13" s="17" t="s">
        <v>2881</v>
      </c>
      <c r="AL13" s="17">
        <v>4279709.6100000003</v>
      </c>
      <c r="AM13" s="17">
        <v>3019225.96</v>
      </c>
      <c r="AN13" s="17">
        <v>0</v>
      </c>
      <c r="AO13" s="17">
        <v>0</v>
      </c>
      <c r="AP13" s="17">
        <v>1828888.32</v>
      </c>
      <c r="AQ13" s="17">
        <v>0</v>
      </c>
      <c r="AR13" s="17">
        <v>0</v>
      </c>
      <c r="AS13" s="17">
        <v>4279709.6100000003</v>
      </c>
      <c r="AT13" s="17">
        <v>4848114.28</v>
      </c>
      <c r="AU13" s="17">
        <v>20.712800000000001</v>
      </c>
      <c r="AV13" s="17">
        <v>9.3053000000000008</v>
      </c>
      <c r="AW13" s="17">
        <v>116.018</v>
      </c>
      <c r="AX13" s="17" t="s">
        <v>2633</v>
      </c>
      <c r="AY13" s="17" t="s">
        <v>2633</v>
      </c>
      <c r="AZ13" s="17" t="s">
        <v>2633</v>
      </c>
      <c r="BA13" s="17" t="s">
        <v>56</v>
      </c>
      <c r="BB13" s="17" t="s">
        <v>56</v>
      </c>
      <c r="BC13" s="17">
        <v>67895.399999999994</v>
      </c>
      <c r="BD13" s="17" t="s">
        <v>56</v>
      </c>
      <c r="BE13" s="17" t="s">
        <v>56</v>
      </c>
      <c r="BF13" s="17" t="s">
        <v>2634</v>
      </c>
      <c r="BG13" s="17" t="s">
        <v>2635</v>
      </c>
      <c r="BH13" s="17" t="s">
        <v>2635</v>
      </c>
      <c r="BI13" s="17" t="s">
        <v>56</v>
      </c>
      <c r="BJ13" s="17" t="s">
        <v>56</v>
      </c>
      <c r="BK13" s="17" t="s">
        <v>56</v>
      </c>
      <c r="BL13" s="17" t="s">
        <v>56</v>
      </c>
      <c r="BM13" s="17" t="s">
        <v>56</v>
      </c>
      <c r="BN13" s="17" t="s">
        <v>56</v>
      </c>
      <c r="BO13" s="17" t="s">
        <v>939</v>
      </c>
      <c r="BP13" s="17" t="s">
        <v>939</v>
      </c>
      <c r="BQ13" s="17">
        <v>229272</v>
      </c>
      <c r="BR13" s="17">
        <v>19168.9761774</v>
      </c>
      <c r="BS13" s="17" t="s">
        <v>56</v>
      </c>
      <c r="BT13" s="17">
        <v>19168.976177</v>
      </c>
      <c r="BU13" s="17" t="s">
        <v>2634</v>
      </c>
      <c r="BV13" s="17" t="s">
        <v>56</v>
      </c>
      <c r="BW13" s="17" t="s">
        <v>56</v>
      </c>
      <c r="BX13" s="17" t="s">
        <v>2635</v>
      </c>
      <c r="BY13" s="17" t="s">
        <v>56</v>
      </c>
      <c r="BZ13" s="17" t="s">
        <v>56</v>
      </c>
      <c r="CA13" s="17" t="s">
        <v>2635</v>
      </c>
    </row>
    <row r="14" spans="2:79" x14ac:dyDescent="0.25">
      <c r="B14" s="17" t="s">
        <v>61</v>
      </c>
      <c r="C14" s="17" t="s">
        <v>58</v>
      </c>
      <c r="D14" s="17" t="s">
        <v>2253</v>
      </c>
      <c r="E14" s="17" t="s">
        <v>2254</v>
      </c>
      <c r="F14" s="17" t="s">
        <v>2252</v>
      </c>
      <c r="G14" s="17" t="s">
        <v>2877</v>
      </c>
      <c r="H14" s="17"/>
      <c r="I14" s="17" t="s">
        <v>2621</v>
      </c>
      <c r="J14" s="17">
        <v>-64730.69</v>
      </c>
      <c r="K14" s="17" t="s">
        <v>2252</v>
      </c>
      <c r="L14" s="17" t="s">
        <v>61</v>
      </c>
      <c r="M14" s="17" t="s">
        <v>58</v>
      </c>
      <c r="N14" s="17" t="s">
        <v>2253</v>
      </c>
      <c r="O14" s="17" t="s">
        <v>2622</v>
      </c>
      <c r="P14" s="17" t="s">
        <v>2888</v>
      </c>
      <c r="Q14" s="17" t="s">
        <v>2624</v>
      </c>
      <c r="R14" s="17" t="s">
        <v>2879</v>
      </c>
      <c r="S14" s="17">
        <v>8088.64</v>
      </c>
      <c r="T14" s="17">
        <v>28659</v>
      </c>
      <c r="U14" s="17">
        <v>28659</v>
      </c>
      <c r="V14" s="17" t="s">
        <v>559</v>
      </c>
      <c r="W14" s="17">
        <v>64709.120000000003</v>
      </c>
      <c r="X14" s="17" t="s">
        <v>2626</v>
      </c>
      <c r="Y14" s="17">
        <v>0.125</v>
      </c>
      <c r="Z14" s="17">
        <v>0.124958346651333</v>
      </c>
      <c r="AA14" s="17" t="s">
        <v>2627</v>
      </c>
      <c r="AB14" s="17">
        <v>-8088.6399999999903</v>
      </c>
      <c r="AC14" s="17" t="s">
        <v>939</v>
      </c>
      <c r="AD14" s="17" t="s">
        <v>2880</v>
      </c>
      <c r="AE14" s="17" t="s">
        <v>2629</v>
      </c>
      <c r="AF14" s="17" t="s">
        <v>2875</v>
      </c>
      <c r="AG14" s="16">
        <v>45511</v>
      </c>
      <c r="AH14" s="16">
        <v>2958465</v>
      </c>
      <c r="AI14" s="17" t="s">
        <v>2630</v>
      </c>
      <c r="AJ14" s="17" t="s">
        <v>2631</v>
      </c>
      <c r="AK14" s="17" t="s">
        <v>2881</v>
      </c>
      <c r="AL14" s="17">
        <v>4279709.6100000003</v>
      </c>
      <c r="AM14" s="17">
        <v>3019225.96</v>
      </c>
      <c r="AN14" s="17">
        <v>0</v>
      </c>
      <c r="AO14" s="17">
        <v>0</v>
      </c>
      <c r="AP14" s="17">
        <v>1828888.32</v>
      </c>
      <c r="AQ14" s="17">
        <v>0</v>
      </c>
      <c r="AR14" s="17">
        <v>0</v>
      </c>
      <c r="AS14" s="17">
        <v>4279709.6100000003</v>
      </c>
      <c r="AT14" s="17">
        <v>4848114.28</v>
      </c>
      <c r="AU14" s="17">
        <v>20.712800000000001</v>
      </c>
      <c r="AV14" s="17">
        <v>9.3053000000000008</v>
      </c>
      <c r="AW14" s="17">
        <v>116.018</v>
      </c>
      <c r="AX14" s="17" t="s">
        <v>2633</v>
      </c>
      <c r="AY14" s="17" t="s">
        <v>2633</v>
      </c>
      <c r="AZ14" s="17" t="s">
        <v>2633</v>
      </c>
      <c r="BA14" s="17" t="s">
        <v>56</v>
      </c>
      <c r="BB14" s="17" t="s">
        <v>56</v>
      </c>
      <c r="BC14" s="17" t="s">
        <v>56</v>
      </c>
      <c r="BD14" s="17" t="s">
        <v>56</v>
      </c>
      <c r="BE14" s="17" t="s">
        <v>56</v>
      </c>
      <c r="BF14" s="17" t="s">
        <v>2876</v>
      </c>
      <c r="BG14" s="17" t="s">
        <v>2876</v>
      </c>
      <c r="BH14" s="17" t="s">
        <v>2635</v>
      </c>
      <c r="BI14" s="17" t="s">
        <v>56</v>
      </c>
      <c r="BJ14" s="17" t="s">
        <v>56</v>
      </c>
      <c r="BK14" s="17" t="s">
        <v>56</v>
      </c>
      <c r="BL14" s="17" t="s">
        <v>56</v>
      </c>
      <c r="BM14" s="17" t="s">
        <v>56</v>
      </c>
      <c r="BN14" s="17" t="s">
        <v>56</v>
      </c>
      <c r="BO14" s="17" t="s">
        <v>939</v>
      </c>
      <c r="BP14" s="17" t="s">
        <v>939</v>
      </c>
      <c r="BQ14" s="17">
        <v>229272</v>
      </c>
      <c r="BR14" s="17" t="s">
        <v>56</v>
      </c>
      <c r="BS14" s="17" t="s">
        <v>56</v>
      </c>
      <c r="BT14" s="17" t="s">
        <v>56</v>
      </c>
      <c r="BU14" s="17" t="s">
        <v>2876</v>
      </c>
      <c r="BV14" s="17" t="s">
        <v>56</v>
      </c>
      <c r="BW14" s="17" t="s">
        <v>56</v>
      </c>
      <c r="BX14" s="17" t="s">
        <v>2876</v>
      </c>
      <c r="BY14" s="17" t="s">
        <v>56</v>
      </c>
      <c r="BZ14" s="17" t="s">
        <v>56</v>
      </c>
      <c r="CA14" s="17" t="s">
        <v>2635</v>
      </c>
    </row>
    <row r="15" spans="2:79" x14ac:dyDescent="0.25">
      <c r="B15" s="17" t="s">
        <v>61</v>
      </c>
      <c r="C15" s="17" t="s">
        <v>58</v>
      </c>
      <c r="D15" s="17" t="s">
        <v>2253</v>
      </c>
      <c r="E15" s="17" t="s">
        <v>2254</v>
      </c>
      <c r="F15" s="17" t="s">
        <v>2252</v>
      </c>
      <c r="G15" s="17" t="s">
        <v>2877</v>
      </c>
      <c r="H15" s="17"/>
      <c r="I15" s="17" t="s">
        <v>2621</v>
      </c>
      <c r="J15" s="17">
        <v>-64730.69</v>
      </c>
      <c r="K15" s="17" t="s">
        <v>2252</v>
      </c>
      <c r="L15" s="17" t="s">
        <v>61</v>
      </c>
      <c r="M15" s="17" t="s">
        <v>58</v>
      </c>
      <c r="N15" s="17" t="s">
        <v>2253</v>
      </c>
      <c r="O15" s="17" t="s">
        <v>2889</v>
      </c>
      <c r="P15" s="17" t="s">
        <v>2890</v>
      </c>
      <c r="Q15" s="17" t="s">
        <v>2624</v>
      </c>
      <c r="R15" s="17" t="s">
        <v>2879</v>
      </c>
      <c r="S15" s="17">
        <v>8088.64</v>
      </c>
      <c r="T15" s="17">
        <v>28659</v>
      </c>
      <c r="U15" s="17">
        <v>28659</v>
      </c>
      <c r="V15" s="17" t="s">
        <v>559</v>
      </c>
      <c r="W15" s="17">
        <v>64709.120000000003</v>
      </c>
      <c r="X15" s="17" t="s">
        <v>2626</v>
      </c>
      <c r="Y15" s="17">
        <v>0.125</v>
      </c>
      <c r="Z15" s="17">
        <v>0.124958346651333</v>
      </c>
      <c r="AA15" s="17" t="s">
        <v>2627</v>
      </c>
      <c r="AB15" s="17">
        <v>-8088.6399999999903</v>
      </c>
      <c r="AC15" s="17" t="s">
        <v>939</v>
      </c>
      <c r="AD15" s="17" t="s">
        <v>2880</v>
      </c>
      <c r="AE15" s="17" t="s">
        <v>2629</v>
      </c>
      <c r="AF15" s="17" t="s">
        <v>2875</v>
      </c>
      <c r="AG15" s="16">
        <v>45511</v>
      </c>
      <c r="AH15" s="16">
        <v>2958465</v>
      </c>
      <c r="AI15" s="17" t="s">
        <v>2630</v>
      </c>
      <c r="AJ15" s="17" t="s">
        <v>2631</v>
      </c>
      <c r="AK15" s="17" t="s">
        <v>2881</v>
      </c>
      <c r="AL15" s="17">
        <v>4279709.6100000003</v>
      </c>
      <c r="AM15" s="17">
        <v>3019225.96</v>
      </c>
      <c r="AN15" s="17">
        <v>0</v>
      </c>
      <c r="AO15" s="17">
        <v>0</v>
      </c>
      <c r="AP15" s="17">
        <v>1828888.32</v>
      </c>
      <c r="AQ15" s="17">
        <v>0</v>
      </c>
      <c r="AR15" s="17">
        <v>0</v>
      </c>
      <c r="AS15" s="17">
        <v>4279709.6100000003</v>
      </c>
      <c r="AT15" s="17">
        <v>4848114.28</v>
      </c>
      <c r="AU15" s="17">
        <v>20.712800000000001</v>
      </c>
      <c r="AV15" s="17">
        <v>9.3053000000000008</v>
      </c>
      <c r="AW15" s="17">
        <v>116.018</v>
      </c>
      <c r="AX15" s="17" t="s">
        <v>2633</v>
      </c>
      <c r="AY15" s="17" t="s">
        <v>2633</v>
      </c>
      <c r="AZ15" s="17" t="s">
        <v>2633</v>
      </c>
      <c r="BA15" s="17" t="s">
        <v>56</v>
      </c>
      <c r="BB15" s="17" t="s">
        <v>56</v>
      </c>
      <c r="BC15" s="17">
        <v>67895.399999999994</v>
      </c>
      <c r="BD15" s="17" t="s">
        <v>56</v>
      </c>
      <c r="BE15" s="17" t="s">
        <v>56</v>
      </c>
      <c r="BF15" s="17" t="s">
        <v>2634</v>
      </c>
      <c r="BG15" s="17" t="s">
        <v>2635</v>
      </c>
      <c r="BH15" s="17" t="s">
        <v>2635</v>
      </c>
      <c r="BI15" s="17" t="s">
        <v>56</v>
      </c>
      <c r="BJ15" s="17" t="s">
        <v>56</v>
      </c>
      <c r="BK15" s="17" t="s">
        <v>56</v>
      </c>
      <c r="BL15" s="17" t="s">
        <v>56</v>
      </c>
      <c r="BM15" s="17" t="s">
        <v>56</v>
      </c>
      <c r="BN15" s="17" t="s">
        <v>56</v>
      </c>
      <c r="BO15" s="17" t="s">
        <v>939</v>
      </c>
      <c r="BP15" s="17" t="s">
        <v>939</v>
      </c>
      <c r="BQ15" s="17">
        <v>229272</v>
      </c>
      <c r="BR15" s="17">
        <v>19168.9761774</v>
      </c>
      <c r="BS15" s="17" t="s">
        <v>56</v>
      </c>
      <c r="BT15" s="17">
        <v>19168.976177</v>
      </c>
      <c r="BU15" s="17" t="s">
        <v>2634</v>
      </c>
      <c r="BV15" s="17" t="s">
        <v>56</v>
      </c>
      <c r="BW15" s="17" t="s">
        <v>56</v>
      </c>
      <c r="BX15" s="17" t="s">
        <v>2635</v>
      </c>
      <c r="BY15" s="17" t="s">
        <v>56</v>
      </c>
      <c r="BZ15" s="17" t="s">
        <v>56</v>
      </c>
      <c r="CA15" s="17" t="s">
        <v>2635</v>
      </c>
    </row>
    <row r="16" spans="2:79" x14ac:dyDescent="0.25">
      <c r="B16" s="17" t="s">
        <v>61</v>
      </c>
      <c r="C16" s="17" t="s">
        <v>58</v>
      </c>
      <c r="D16" s="17" t="s">
        <v>2253</v>
      </c>
      <c r="E16" s="17" t="s">
        <v>2254</v>
      </c>
      <c r="F16" s="17" t="s">
        <v>2252</v>
      </c>
      <c r="G16" s="17" t="s">
        <v>2877</v>
      </c>
      <c r="H16" s="17"/>
      <c r="I16" s="17" t="s">
        <v>2621</v>
      </c>
      <c r="J16" s="17">
        <v>-64730.69</v>
      </c>
      <c r="K16" s="17" t="s">
        <v>2252</v>
      </c>
      <c r="L16" s="17" t="s">
        <v>61</v>
      </c>
      <c r="M16" s="17" t="s">
        <v>58</v>
      </c>
      <c r="N16" s="17" t="s">
        <v>2253</v>
      </c>
      <c r="O16" s="17" t="s">
        <v>2636</v>
      </c>
      <c r="P16" s="17" t="s">
        <v>2891</v>
      </c>
      <c r="Q16" s="17" t="s">
        <v>2624</v>
      </c>
      <c r="R16" s="17" t="s">
        <v>2879</v>
      </c>
      <c r="S16" s="17">
        <v>8088.64</v>
      </c>
      <c r="T16" s="17">
        <v>28659</v>
      </c>
      <c r="U16" s="17">
        <v>28659</v>
      </c>
      <c r="V16" s="17" t="s">
        <v>559</v>
      </c>
      <c r="W16" s="17">
        <v>64709.120000000003</v>
      </c>
      <c r="X16" s="17" t="s">
        <v>2626</v>
      </c>
      <c r="Y16" s="17">
        <v>0.125</v>
      </c>
      <c r="Z16" s="17">
        <v>0.124958346651333</v>
      </c>
      <c r="AA16" s="17" t="s">
        <v>2627</v>
      </c>
      <c r="AB16" s="17">
        <v>-8088.6399999999903</v>
      </c>
      <c r="AC16" s="17" t="s">
        <v>939</v>
      </c>
      <c r="AD16" s="17" t="s">
        <v>2880</v>
      </c>
      <c r="AE16" s="17" t="s">
        <v>2629</v>
      </c>
      <c r="AF16" s="17" t="s">
        <v>2875</v>
      </c>
      <c r="AG16" s="16">
        <v>45511</v>
      </c>
      <c r="AH16" s="16">
        <v>2958465</v>
      </c>
      <c r="AI16" s="17" t="s">
        <v>2630</v>
      </c>
      <c r="AJ16" s="17" t="s">
        <v>2631</v>
      </c>
      <c r="AK16" s="17" t="s">
        <v>2881</v>
      </c>
      <c r="AL16" s="17">
        <v>4279709.6100000003</v>
      </c>
      <c r="AM16" s="17">
        <v>3019225.96</v>
      </c>
      <c r="AN16" s="17">
        <v>0</v>
      </c>
      <c r="AO16" s="17">
        <v>0</v>
      </c>
      <c r="AP16" s="17">
        <v>1828888.32</v>
      </c>
      <c r="AQ16" s="17">
        <v>0</v>
      </c>
      <c r="AR16" s="17">
        <v>0</v>
      </c>
      <c r="AS16" s="17">
        <v>4279709.6100000003</v>
      </c>
      <c r="AT16" s="17">
        <v>4848114.28</v>
      </c>
      <c r="AU16" s="17">
        <v>20.712800000000001</v>
      </c>
      <c r="AV16" s="17">
        <v>9.3053000000000008</v>
      </c>
      <c r="AW16" s="17">
        <v>116.018</v>
      </c>
      <c r="AX16" s="17" t="s">
        <v>2633</v>
      </c>
      <c r="AY16" s="17" t="s">
        <v>2633</v>
      </c>
      <c r="AZ16" s="17" t="s">
        <v>2633</v>
      </c>
      <c r="BA16" s="17" t="s">
        <v>56</v>
      </c>
      <c r="BB16" s="17" t="s">
        <v>56</v>
      </c>
      <c r="BC16" s="17">
        <v>67895.399999999994</v>
      </c>
      <c r="BD16" s="17" t="s">
        <v>56</v>
      </c>
      <c r="BE16" s="17" t="s">
        <v>56</v>
      </c>
      <c r="BF16" s="17" t="s">
        <v>2634</v>
      </c>
      <c r="BG16" s="17" t="s">
        <v>2635</v>
      </c>
      <c r="BH16" s="17" t="s">
        <v>2635</v>
      </c>
      <c r="BI16" s="17" t="s">
        <v>56</v>
      </c>
      <c r="BJ16" s="17" t="s">
        <v>56</v>
      </c>
      <c r="BK16" s="17" t="s">
        <v>56</v>
      </c>
      <c r="BL16" s="17" t="s">
        <v>56</v>
      </c>
      <c r="BM16" s="17" t="s">
        <v>56</v>
      </c>
      <c r="BN16" s="17" t="s">
        <v>56</v>
      </c>
      <c r="BO16" s="17" t="s">
        <v>939</v>
      </c>
      <c r="BP16" s="17" t="s">
        <v>939</v>
      </c>
      <c r="BQ16" s="17">
        <v>229272</v>
      </c>
      <c r="BR16" s="17">
        <v>19168.9761774</v>
      </c>
      <c r="BS16" s="17" t="s">
        <v>56</v>
      </c>
      <c r="BT16" s="17">
        <v>19168.976177</v>
      </c>
      <c r="BU16" s="17" t="s">
        <v>2634</v>
      </c>
      <c r="BV16" s="17" t="s">
        <v>56</v>
      </c>
      <c r="BW16" s="17" t="s">
        <v>56</v>
      </c>
      <c r="BX16" s="17" t="s">
        <v>2635</v>
      </c>
      <c r="BY16" s="17" t="s">
        <v>56</v>
      </c>
      <c r="BZ16" s="17" t="s">
        <v>56</v>
      </c>
      <c r="CA16" s="17" t="s">
        <v>2635</v>
      </c>
    </row>
    <row r="17" spans="2:79" x14ac:dyDescent="0.25">
      <c r="B17" s="17" t="s">
        <v>61</v>
      </c>
      <c r="C17" s="17" t="s">
        <v>58</v>
      </c>
      <c r="D17" s="17" t="s">
        <v>2253</v>
      </c>
      <c r="E17" s="17" t="s">
        <v>2254</v>
      </c>
      <c r="F17" s="17" t="s">
        <v>2252</v>
      </c>
      <c r="G17" s="17" t="s">
        <v>2877</v>
      </c>
      <c r="H17" s="17"/>
      <c r="I17" s="17" t="s">
        <v>2621</v>
      </c>
      <c r="J17" s="17">
        <v>-64730.69</v>
      </c>
      <c r="K17" s="17" t="s">
        <v>2252</v>
      </c>
      <c r="L17" s="17" t="s">
        <v>61</v>
      </c>
      <c r="M17" s="17" t="s">
        <v>58</v>
      </c>
      <c r="N17" s="17" t="s">
        <v>2253</v>
      </c>
      <c r="O17" s="17" t="s">
        <v>2892</v>
      </c>
      <c r="P17" s="17" t="s">
        <v>2893</v>
      </c>
      <c r="Q17" s="17" t="s">
        <v>2624</v>
      </c>
      <c r="R17" s="17" t="s">
        <v>2879</v>
      </c>
      <c r="S17" s="17">
        <v>8088.64</v>
      </c>
      <c r="T17" s="17">
        <v>28659</v>
      </c>
      <c r="U17" s="17">
        <v>28659</v>
      </c>
      <c r="V17" s="17" t="s">
        <v>559</v>
      </c>
      <c r="W17" s="17">
        <v>64709.120000000003</v>
      </c>
      <c r="X17" s="17" t="s">
        <v>2626</v>
      </c>
      <c r="Y17" s="17">
        <v>0.125</v>
      </c>
      <c r="Z17" s="17">
        <v>0.124958346651333</v>
      </c>
      <c r="AA17" s="17" t="s">
        <v>2627</v>
      </c>
      <c r="AB17" s="17">
        <v>-8088.6399999999903</v>
      </c>
      <c r="AC17" s="17" t="s">
        <v>939</v>
      </c>
      <c r="AD17" s="17" t="s">
        <v>2880</v>
      </c>
      <c r="AE17" s="17" t="s">
        <v>2629</v>
      </c>
      <c r="AF17" s="17" t="s">
        <v>2875</v>
      </c>
      <c r="AG17" s="16">
        <v>45511</v>
      </c>
      <c r="AH17" s="16">
        <v>2958465</v>
      </c>
      <c r="AI17" s="17" t="s">
        <v>2630</v>
      </c>
      <c r="AJ17" s="17" t="s">
        <v>2631</v>
      </c>
      <c r="AK17" s="17" t="s">
        <v>2881</v>
      </c>
      <c r="AL17" s="17">
        <v>4279709.6100000003</v>
      </c>
      <c r="AM17" s="17">
        <v>3019225.96</v>
      </c>
      <c r="AN17" s="17">
        <v>0</v>
      </c>
      <c r="AO17" s="17">
        <v>0</v>
      </c>
      <c r="AP17" s="17">
        <v>1828888.32</v>
      </c>
      <c r="AQ17" s="17">
        <v>0</v>
      </c>
      <c r="AR17" s="17">
        <v>0</v>
      </c>
      <c r="AS17" s="17">
        <v>4279709.6100000003</v>
      </c>
      <c r="AT17" s="17">
        <v>4848114.28</v>
      </c>
      <c r="AU17" s="17">
        <v>20.712800000000001</v>
      </c>
      <c r="AV17" s="17">
        <v>9.3053000000000008</v>
      </c>
      <c r="AW17" s="17">
        <v>116.018</v>
      </c>
      <c r="AX17" s="17" t="s">
        <v>2633</v>
      </c>
      <c r="AY17" s="17" t="s">
        <v>2633</v>
      </c>
      <c r="AZ17" s="17" t="s">
        <v>2633</v>
      </c>
      <c r="BA17" s="17" t="s">
        <v>56</v>
      </c>
      <c r="BB17" s="17" t="s">
        <v>56</v>
      </c>
      <c r="BC17" s="17">
        <v>67895.399999999994</v>
      </c>
      <c r="BD17" s="17" t="s">
        <v>56</v>
      </c>
      <c r="BE17" s="17" t="s">
        <v>56</v>
      </c>
      <c r="BF17" s="17" t="s">
        <v>2634</v>
      </c>
      <c r="BG17" s="17" t="s">
        <v>2635</v>
      </c>
      <c r="BH17" s="17" t="s">
        <v>2635</v>
      </c>
      <c r="BI17" s="17" t="s">
        <v>56</v>
      </c>
      <c r="BJ17" s="17" t="s">
        <v>56</v>
      </c>
      <c r="BK17" s="17" t="s">
        <v>56</v>
      </c>
      <c r="BL17" s="17" t="s">
        <v>56</v>
      </c>
      <c r="BM17" s="17" t="s">
        <v>56</v>
      </c>
      <c r="BN17" s="17" t="s">
        <v>56</v>
      </c>
      <c r="BO17" s="17" t="s">
        <v>939</v>
      </c>
      <c r="BP17" s="17" t="s">
        <v>939</v>
      </c>
      <c r="BQ17" s="17">
        <v>229272</v>
      </c>
      <c r="BR17" s="17">
        <v>19168.9761774</v>
      </c>
      <c r="BS17" s="17" t="s">
        <v>56</v>
      </c>
      <c r="BT17" s="17">
        <v>19168.976177</v>
      </c>
      <c r="BU17" s="17" t="s">
        <v>2634</v>
      </c>
      <c r="BV17" s="17" t="s">
        <v>56</v>
      </c>
      <c r="BW17" s="17" t="s">
        <v>56</v>
      </c>
      <c r="BX17" s="17" t="s">
        <v>2635</v>
      </c>
      <c r="BY17" s="17" t="s">
        <v>56</v>
      </c>
      <c r="BZ17" s="17" t="s">
        <v>56</v>
      </c>
      <c r="CA17" s="17" t="s">
        <v>2635</v>
      </c>
    </row>
    <row r="18" spans="2:79" x14ac:dyDescent="0.25">
      <c r="B18" s="17" t="s">
        <v>61</v>
      </c>
      <c r="C18" s="17" t="s">
        <v>58</v>
      </c>
      <c r="D18" s="17" t="s">
        <v>2253</v>
      </c>
      <c r="E18" s="17" t="s">
        <v>2254</v>
      </c>
      <c r="F18" s="17" t="s">
        <v>2252</v>
      </c>
      <c r="G18" s="17" t="s">
        <v>2877</v>
      </c>
      <c r="H18" s="17"/>
      <c r="I18" s="17" t="s">
        <v>2621</v>
      </c>
      <c r="J18" s="17">
        <v>-64730.69</v>
      </c>
      <c r="K18" s="17" t="s">
        <v>2252</v>
      </c>
      <c r="L18" s="17" t="s">
        <v>56</v>
      </c>
      <c r="M18" s="17" t="s">
        <v>56</v>
      </c>
      <c r="N18" s="17" t="s">
        <v>56</v>
      </c>
      <c r="O18" s="17" t="s">
        <v>56</v>
      </c>
      <c r="P18" s="17" t="s">
        <v>56</v>
      </c>
      <c r="Q18" s="17" t="s">
        <v>56</v>
      </c>
      <c r="R18" s="17" t="s">
        <v>56</v>
      </c>
      <c r="S18" s="17" t="s">
        <v>56</v>
      </c>
      <c r="T18" s="17" t="s">
        <v>56</v>
      </c>
      <c r="U18" s="17" t="s">
        <v>56</v>
      </c>
      <c r="V18" s="17" t="s">
        <v>56</v>
      </c>
      <c r="W18" s="17">
        <v>64709.120000000003</v>
      </c>
      <c r="X18" s="17" t="s">
        <v>2626</v>
      </c>
      <c r="Y18" s="17" t="s">
        <v>56</v>
      </c>
      <c r="Z18" s="17">
        <v>3.3322678933284903E-4</v>
      </c>
      <c r="AA18" s="17" t="s">
        <v>2641</v>
      </c>
      <c r="AB18" s="17">
        <v>-21.57</v>
      </c>
      <c r="AC18" s="17" t="s">
        <v>939</v>
      </c>
      <c r="AD18" s="17" t="s">
        <v>2880</v>
      </c>
      <c r="AE18" s="17" t="s">
        <v>2629</v>
      </c>
      <c r="AF18" s="17" t="s">
        <v>2875</v>
      </c>
      <c r="AG18" s="16">
        <v>45511</v>
      </c>
      <c r="AH18" s="16">
        <v>2958465</v>
      </c>
      <c r="AI18" s="17" t="s">
        <v>2630</v>
      </c>
      <c r="AJ18" s="17" t="s">
        <v>2631</v>
      </c>
      <c r="AK18" s="17" t="s">
        <v>2881</v>
      </c>
      <c r="AL18" s="17">
        <v>4279709.6100000003</v>
      </c>
      <c r="AM18" s="17">
        <v>3019225.96</v>
      </c>
      <c r="AN18" s="17">
        <v>0</v>
      </c>
      <c r="AO18" s="17">
        <v>0</v>
      </c>
      <c r="AP18" s="17">
        <v>1828888.32</v>
      </c>
      <c r="AQ18" s="17">
        <v>0</v>
      </c>
      <c r="AR18" s="17">
        <v>0</v>
      </c>
      <c r="AS18" s="17">
        <v>4279709.6100000003</v>
      </c>
      <c r="AT18" s="17">
        <v>4848114.28</v>
      </c>
      <c r="AU18" s="17">
        <v>20.712800000000001</v>
      </c>
      <c r="AV18" s="17">
        <v>9.3053000000000008</v>
      </c>
      <c r="AW18" s="17">
        <v>116.018</v>
      </c>
      <c r="AX18" s="17" t="s">
        <v>2633</v>
      </c>
      <c r="AY18" s="17" t="s">
        <v>2633</v>
      </c>
      <c r="AZ18" s="17" t="s">
        <v>2633</v>
      </c>
      <c r="BA18" s="17" t="s">
        <v>56</v>
      </c>
      <c r="BB18" s="17" t="s">
        <v>56</v>
      </c>
      <c r="BC18" s="17" t="s">
        <v>56</v>
      </c>
      <c r="BD18" s="17" t="s">
        <v>56</v>
      </c>
      <c r="BE18" s="17" t="s">
        <v>56</v>
      </c>
      <c r="BF18" s="17" t="s">
        <v>56</v>
      </c>
      <c r="BG18" s="17" t="s">
        <v>56</v>
      </c>
      <c r="BH18" s="17" t="s">
        <v>56</v>
      </c>
      <c r="BI18" s="17" t="s">
        <v>56</v>
      </c>
      <c r="BJ18" s="17" t="s">
        <v>56</v>
      </c>
      <c r="BK18" s="17" t="s">
        <v>56</v>
      </c>
      <c r="BL18" s="17" t="s">
        <v>56</v>
      </c>
      <c r="BM18" s="17" t="s">
        <v>56</v>
      </c>
      <c r="BN18" s="17" t="s">
        <v>56</v>
      </c>
      <c r="BO18" s="17" t="s">
        <v>1325</v>
      </c>
      <c r="BP18" s="17" t="s">
        <v>939</v>
      </c>
      <c r="BQ18" s="17">
        <v>229272</v>
      </c>
      <c r="BR18" s="17" t="s">
        <v>56</v>
      </c>
      <c r="BS18" s="17" t="s">
        <v>56</v>
      </c>
      <c r="BT18" s="17" t="s">
        <v>56</v>
      </c>
      <c r="BU18" s="17" t="s">
        <v>2635</v>
      </c>
      <c r="BV18" s="17" t="s">
        <v>56</v>
      </c>
      <c r="BW18" s="17" t="s">
        <v>56</v>
      </c>
      <c r="BX18" s="17" t="s">
        <v>2635</v>
      </c>
      <c r="BY18" s="17" t="s">
        <v>56</v>
      </c>
      <c r="BZ18" s="17" t="s">
        <v>56</v>
      </c>
      <c r="CA18" s="17" t="s">
        <v>2635</v>
      </c>
    </row>
    <row r="20" spans="2:79" x14ac:dyDescent="0.25">
      <c r="B20" t="s">
        <v>2642</v>
      </c>
      <c r="C20" s="2">
        <f>+J10</f>
        <v>-64730.69</v>
      </c>
    </row>
    <row r="21" spans="2:79" x14ac:dyDescent="0.25">
      <c r="B21" t="s">
        <v>2643</v>
      </c>
      <c r="C21" s="2">
        <v>8</v>
      </c>
    </row>
    <row r="22" spans="2:79" x14ac:dyDescent="0.25">
      <c r="B22" t="s">
        <v>2649</v>
      </c>
      <c r="C22" s="2">
        <f>+-C20/SUM(U10:U17)</f>
        <v>0.2823314229386929</v>
      </c>
    </row>
    <row r="23" spans="2:79" x14ac:dyDescent="0.25">
      <c r="B23" t="s">
        <v>2644</v>
      </c>
      <c r="C23" s="2">
        <f>+$C$22*BC10</f>
        <v>19169.004892991728</v>
      </c>
    </row>
    <row r="24" spans="2:79" x14ac:dyDescent="0.25">
      <c r="B24" t="s">
        <v>2645</v>
      </c>
      <c r="C24" s="2">
        <f>+$C$22*BC11</f>
        <v>19169.004892991728</v>
      </c>
    </row>
    <row r="25" spans="2:79" x14ac:dyDescent="0.25">
      <c r="B25" t="s">
        <v>2646</v>
      </c>
      <c r="C25" s="2">
        <f>+$C$22*BC12</f>
        <v>19169.004892991728</v>
      </c>
    </row>
    <row r="26" spans="2:79" x14ac:dyDescent="0.25">
      <c r="B26" t="s">
        <v>2894</v>
      </c>
      <c r="C26" s="2">
        <f>+$C$22*BC13</f>
        <v>19169.004892991728</v>
      </c>
    </row>
    <row r="27" spans="2:79" x14ac:dyDescent="0.25">
      <c r="B27" t="s">
        <v>2895</v>
      </c>
      <c r="C27" s="2" t="s">
        <v>2876</v>
      </c>
    </row>
    <row r="28" spans="2:79" x14ac:dyDescent="0.25">
      <c r="B28" t="s">
        <v>2896</v>
      </c>
      <c r="C28" s="2">
        <f>+$C$22*BC15</f>
        <v>19169.004892991728</v>
      </c>
    </row>
    <row r="29" spans="2:79" x14ac:dyDescent="0.25">
      <c r="B29" t="s">
        <v>2897</v>
      </c>
      <c r="C29" s="2">
        <f>+$C$22*BC16</f>
        <v>19169.004892991728</v>
      </c>
    </row>
    <row r="30" spans="2:79" x14ac:dyDescent="0.25">
      <c r="B30" t="s">
        <v>2898</v>
      </c>
      <c r="C30" s="2">
        <f>+$C$22*BC17</f>
        <v>19169.004892991728</v>
      </c>
    </row>
    <row r="31" spans="2:79" x14ac:dyDescent="0.25">
      <c r="B31" s="3" t="s">
        <v>2647</v>
      </c>
      <c r="C31" s="30">
        <f>+SUM(C23:C30)</f>
        <v>134183.03425094209</v>
      </c>
    </row>
    <row r="33" spans="2:80" x14ac:dyDescent="0.25">
      <c r="B33" s="17" t="s">
        <v>2556</v>
      </c>
      <c r="C33" s="17" t="s">
        <v>2899</v>
      </c>
      <c r="D33" s="17" t="s">
        <v>2900</v>
      </c>
      <c r="E33" s="17" t="s">
        <v>2901</v>
      </c>
      <c r="F33" s="17" t="s">
        <v>2619</v>
      </c>
      <c r="G33" s="17" t="s">
        <v>2902</v>
      </c>
      <c r="H33" s="17" t="s">
        <v>2903</v>
      </c>
      <c r="I33" s="17" t="s">
        <v>2904</v>
      </c>
      <c r="J33" s="17" t="s">
        <v>2556</v>
      </c>
      <c r="K33" s="17" t="s">
        <v>48</v>
      </c>
      <c r="L33" s="17" t="s">
        <v>2905</v>
      </c>
      <c r="M33" s="17" t="s">
        <v>2906</v>
      </c>
      <c r="N33" s="17" t="s">
        <v>2907</v>
      </c>
      <c r="O33" s="17" t="s">
        <v>2558</v>
      </c>
      <c r="P33" s="17" t="s">
        <v>2908</v>
      </c>
      <c r="Q33" s="17" t="s">
        <v>2909</v>
      </c>
      <c r="R33" s="17" t="s">
        <v>2910</v>
      </c>
      <c r="S33" s="17" t="s">
        <v>2911</v>
      </c>
      <c r="T33" s="17" t="s">
        <v>2912</v>
      </c>
      <c r="U33" s="17" t="s">
        <v>2913</v>
      </c>
      <c r="V33" s="17" t="s">
        <v>2914</v>
      </c>
      <c r="W33" s="17" t="s">
        <v>2915</v>
      </c>
      <c r="X33" s="17" t="s">
        <v>2916</v>
      </c>
      <c r="Y33" s="17" t="s">
        <v>2917</v>
      </c>
      <c r="Z33" s="17" t="s">
        <v>2918</v>
      </c>
      <c r="AA33" s="17" t="s">
        <v>2919</v>
      </c>
      <c r="AB33" s="17" t="s">
        <v>2920</v>
      </c>
      <c r="AC33" s="17" t="s">
        <v>2921</v>
      </c>
      <c r="AD33" s="17" t="s">
        <v>2922</v>
      </c>
      <c r="AE33" s="17" t="s">
        <v>2923</v>
      </c>
      <c r="AF33" s="17" t="s">
        <v>2924</v>
      </c>
      <c r="AG33" s="17" t="s">
        <v>2925</v>
      </c>
      <c r="AH33" s="17" t="s">
        <v>2926</v>
      </c>
      <c r="AI33" s="17" t="s">
        <v>2927</v>
      </c>
      <c r="AJ33" s="17" t="s">
        <v>2928</v>
      </c>
      <c r="AK33" s="17" t="s">
        <v>2929</v>
      </c>
      <c r="AL33" s="17" t="s">
        <v>2930</v>
      </c>
      <c r="AM33" s="17" t="s">
        <v>2931</v>
      </c>
      <c r="AN33" s="17" t="s">
        <v>2932</v>
      </c>
      <c r="AO33" s="17" t="s">
        <v>2933</v>
      </c>
      <c r="AP33" s="17" t="s">
        <v>2934</v>
      </c>
      <c r="AQ33" s="17" t="s">
        <v>2935</v>
      </c>
      <c r="AR33" s="17" t="s">
        <v>2936</v>
      </c>
      <c r="AS33" s="17" t="s">
        <v>2937</v>
      </c>
      <c r="AT33" s="17" t="s">
        <v>2938</v>
      </c>
      <c r="AU33" s="17" t="s">
        <v>2939</v>
      </c>
      <c r="AV33" s="17" t="s">
        <v>2917</v>
      </c>
      <c r="AW33" s="17" t="s">
        <v>2918</v>
      </c>
      <c r="AX33" s="17" t="s">
        <v>2919</v>
      </c>
      <c r="AY33" s="17" t="s">
        <v>2940</v>
      </c>
      <c r="AZ33" s="17" t="s">
        <v>2941</v>
      </c>
      <c r="BA33" s="17" t="s">
        <v>2942</v>
      </c>
      <c r="BB33" s="17" t="s">
        <v>2943</v>
      </c>
      <c r="BC33" s="17" t="s">
        <v>2936</v>
      </c>
      <c r="BD33" s="17" t="s">
        <v>2944</v>
      </c>
      <c r="BE33" s="17" t="s">
        <v>2945</v>
      </c>
      <c r="BF33" s="17" t="s">
        <v>2946</v>
      </c>
      <c r="BG33" s="17" t="s">
        <v>2917</v>
      </c>
      <c r="BH33" s="17" t="s">
        <v>2918</v>
      </c>
      <c r="BI33" s="17" t="s">
        <v>2919</v>
      </c>
      <c r="BJ33" s="17" t="s">
        <v>2947</v>
      </c>
      <c r="BK33" s="17" t="s">
        <v>2948</v>
      </c>
      <c r="BL33" s="17" t="s">
        <v>2949</v>
      </c>
      <c r="BM33" s="17" t="s">
        <v>2950</v>
      </c>
      <c r="BN33" s="17" t="s">
        <v>2936</v>
      </c>
      <c r="BO33" s="17" t="s">
        <v>2951</v>
      </c>
      <c r="BP33" s="17" t="s">
        <v>2952</v>
      </c>
      <c r="BQ33" s="17" t="s">
        <v>2953</v>
      </c>
      <c r="BR33" s="17"/>
    </row>
    <row r="34" spans="2:80" x14ac:dyDescent="0.25">
      <c r="B34" s="17" t="s">
        <v>2885</v>
      </c>
      <c r="C34" s="17">
        <v>90</v>
      </c>
      <c r="D34" s="17" t="s">
        <v>2634</v>
      </c>
      <c r="E34" s="17" t="s">
        <v>2634</v>
      </c>
      <c r="F34" s="17" t="s">
        <v>2635</v>
      </c>
      <c r="G34" s="17">
        <v>67895.399999999907</v>
      </c>
      <c r="H34" s="17" t="s">
        <v>56</v>
      </c>
      <c r="I34" s="17" t="s">
        <v>56</v>
      </c>
      <c r="J34" s="17" t="s">
        <v>2885</v>
      </c>
      <c r="K34" s="17" t="s">
        <v>2957</v>
      </c>
      <c r="L34" s="17" t="s">
        <v>2954</v>
      </c>
      <c r="M34" s="17" t="s">
        <v>2955</v>
      </c>
      <c r="N34" s="17" t="s">
        <v>332</v>
      </c>
      <c r="O34" s="17" t="s">
        <v>2879</v>
      </c>
      <c r="P34" s="17" t="s">
        <v>2954</v>
      </c>
      <c r="Q34" s="17" t="s">
        <v>2955</v>
      </c>
      <c r="R34" s="17" t="s">
        <v>2864</v>
      </c>
      <c r="S34" s="17" t="s">
        <v>2956</v>
      </c>
      <c r="T34" s="17" t="s">
        <v>56</v>
      </c>
      <c r="U34" s="17" t="s">
        <v>56</v>
      </c>
      <c r="V34" s="17" t="s">
        <v>56</v>
      </c>
      <c r="W34" s="17" t="s">
        <v>56</v>
      </c>
      <c r="X34" s="17" t="s">
        <v>56</v>
      </c>
      <c r="Y34" s="17" t="s">
        <v>56</v>
      </c>
      <c r="Z34" s="17" t="s">
        <v>56</v>
      </c>
      <c r="AA34" s="17" t="s">
        <v>56</v>
      </c>
      <c r="AB34" s="17" t="s">
        <v>56</v>
      </c>
      <c r="AC34" s="17" t="s">
        <v>56</v>
      </c>
      <c r="AD34" s="17" t="s">
        <v>56</v>
      </c>
      <c r="AE34" s="17" t="s">
        <v>56</v>
      </c>
      <c r="AF34" s="17" t="s">
        <v>56</v>
      </c>
      <c r="AG34" s="17" t="s">
        <v>56</v>
      </c>
      <c r="AH34" s="17" t="s">
        <v>56</v>
      </c>
      <c r="AI34" s="17" t="s">
        <v>56</v>
      </c>
      <c r="AJ34" s="17" t="s">
        <v>56</v>
      </c>
      <c r="AK34" s="17" t="s">
        <v>56</v>
      </c>
      <c r="AL34" s="17" t="s">
        <v>56</v>
      </c>
      <c r="AM34" s="17" t="s">
        <v>56</v>
      </c>
      <c r="AN34" s="17" t="s">
        <v>56</v>
      </c>
      <c r="AO34" s="17" t="s">
        <v>56</v>
      </c>
      <c r="AP34" s="17" t="s">
        <v>56</v>
      </c>
      <c r="AQ34" s="17" t="s">
        <v>56</v>
      </c>
      <c r="AR34" s="17">
        <v>87333.248438120994</v>
      </c>
      <c r="AS34" s="17">
        <v>87333.248438120994</v>
      </c>
      <c r="AT34" s="17" t="s">
        <v>2956</v>
      </c>
      <c r="AU34" s="17" t="s">
        <v>2864</v>
      </c>
      <c r="AV34" s="17">
        <v>0.77742900000000004</v>
      </c>
      <c r="AW34" s="17" t="s">
        <v>56</v>
      </c>
      <c r="AX34" s="17" t="s">
        <v>56</v>
      </c>
      <c r="AY34" s="17">
        <v>0.77742900000000004</v>
      </c>
      <c r="AZ34" s="17" t="s">
        <v>56</v>
      </c>
      <c r="BA34" s="17" t="s">
        <v>2956</v>
      </c>
      <c r="BB34" s="17" t="s">
        <v>2864</v>
      </c>
      <c r="BC34" s="17">
        <v>87333.248438120994</v>
      </c>
      <c r="BD34" s="17">
        <v>87333.248438120994</v>
      </c>
      <c r="BE34" s="17" t="s">
        <v>2956</v>
      </c>
      <c r="BF34" s="17" t="s">
        <v>2864</v>
      </c>
      <c r="BG34" s="17" t="s">
        <v>56</v>
      </c>
      <c r="BH34" s="17" t="s">
        <v>56</v>
      </c>
      <c r="BI34" s="17" t="s">
        <v>56</v>
      </c>
      <c r="BJ34" s="17" t="s">
        <v>56</v>
      </c>
      <c r="BK34" s="17" t="s">
        <v>56</v>
      </c>
      <c r="BL34" s="17" t="s">
        <v>56</v>
      </c>
      <c r="BM34" s="17" t="s">
        <v>56</v>
      </c>
      <c r="BN34" s="17" t="s">
        <v>56</v>
      </c>
      <c r="BO34" s="17" t="s">
        <v>56</v>
      </c>
      <c r="BP34" s="17" t="s">
        <v>56</v>
      </c>
      <c r="BQ34" s="17" t="s">
        <v>56</v>
      </c>
      <c r="BR34" s="17"/>
    </row>
    <row r="35" spans="2:80" x14ac:dyDescent="0.25">
      <c r="B35" s="17" t="s">
        <v>2878</v>
      </c>
      <c r="C35" s="17">
        <v>90</v>
      </c>
      <c r="D35" s="17" t="s">
        <v>2634</v>
      </c>
      <c r="E35" s="17" t="s">
        <v>2634</v>
      </c>
      <c r="F35" s="17" t="s">
        <v>2635</v>
      </c>
      <c r="G35" s="17">
        <v>67895.399999999907</v>
      </c>
      <c r="H35" s="17" t="s">
        <v>56</v>
      </c>
      <c r="I35" s="17" t="s">
        <v>56</v>
      </c>
      <c r="J35" s="17" t="s">
        <v>2878</v>
      </c>
      <c r="K35" s="17" t="s">
        <v>2957</v>
      </c>
      <c r="L35" s="17" t="s">
        <v>2954</v>
      </c>
      <c r="M35" s="17" t="s">
        <v>2955</v>
      </c>
      <c r="N35" s="17" t="s">
        <v>332</v>
      </c>
      <c r="O35" s="17" t="s">
        <v>2879</v>
      </c>
      <c r="P35" s="17" t="s">
        <v>2954</v>
      </c>
      <c r="Q35" s="17" t="s">
        <v>2955</v>
      </c>
      <c r="R35" s="17" t="s">
        <v>2864</v>
      </c>
      <c r="S35" s="17" t="s">
        <v>2956</v>
      </c>
      <c r="T35" s="17" t="s">
        <v>56</v>
      </c>
      <c r="U35" s="17" t="s">
        <v>56</v>
      </c>
      <c r="V35" s="17" t="s">
        <v>56</v>
      </c>
      <c r="W35" s="17" t="s">
        <v>56</v>
      </c>
      <c r="X35" s="17" t="s">
        <v>56</v>
      </c>
      <c r="Y35" s="17" t="s">
        <v>56</v>
      </c>
      <c r="Z35" s="17" t="s">
        <v>56</v>
      </c>
      <c r="AA35" s="17" t="s">
        <v>56</v>
      </c>
      <c r="AB35" s="17" t="s">
        <v>56</v>
      </c>
      <c r="AC35" s="17" t="s">
        <v>56</v>
      </c>
      <c r="AD35" s="17" t="s">
        <v>56</v>
      </c>
      <c r="AE35" s="17" t="s">
        <v>56</v>
      </c>
      <c r="AF35" s="17" t="s">
        <v>56</v>
      </c>
      <c r="AG35" s="17" t="s">
        <v>56</v>
      </c>
      <c r="AH35" s="17" t="s">
        <v>56</v>
      </c>
      <c r="AI35" s="17" t="s">
        <v>56</v>
      </c>
      <c r="AJ35" s="17" t="s">
        <v>56</v>
      </c>
      <c r="AK35" s="17" t="s">
        <v>56</v>
      </c>
      <c r="AL35" s="17" t="s">
        <v>56</v>
      </c>
      <c r="AM35" s="17" t="s">
        <v>56</v>
      </c>
      <c r="AN35" s="17" t="s">
        <v>56</v>
      </c>
      <c r="AO35" s="17" t="s">
        <v>56</v>
      </c>
      <c r="AP35" s="17" t="s">
        <v>56</v>
      </c>
      <c r="AQ35" s="17" t="s">
        <v>56</v>
      </c>
      <c r="AR35" s="17">
        <v>87333.248438120994</v>
      </c>
      <c r="AS35" s="17">
        <v>87333.248438120994</v>
      </c>
      <c r="AT35" s="17" t="s">
        <v>2956</v>
      </c>
      <c r="AU35" s="17" t="s">
        <v>2864</v>
      </c>
      <c r="AV35" s="17">
        <v>0.77742900000000004</v>
      </c>
      <c r="AW35" s="17" t="s">
        <v>56</v>
      </c>
      <c r="AX35" s="17" t="s">
        <v>56</v>
      </c>
      <c r="AY35" s="17">
        <v>0.77742900000000004</v>
      </c>
      <c r="AZ35" s="17" t="s">
        <v>56</v>
      </c>
      <c r="BA35" s="17" t="s">
        <v>2956</v>
      </c>
      <c r="BB35" s="17" t="s">
        <v>2864</v>
      </c>
      <c r="BC35" s="17">
        <v>87333.248438120994</v>
      </c>
      <c r="BD35" s="17">
        <v>87333.248438120994</v>
      </c>
      <c r="BE35" s="17" t="s">
        <v>2956</v>
      </c>
      <c r="BF35" s="17" t="s">
        <v>2864</v>
      </c>
      <c r="BG35" s="17" t="s">
        <v>56</v>
      </c>
      <c r="BH35" s="17" t="s">
        <v>56</v>
      </c>
      <c r="BI35" s="17" t="s">
        <v>56</v>
      </c>
      <c r="BJ35" s="17" t="s">
        <v>56</v>
      </c>
      <c r="BK35" s="17" t="s">
        <v>56</v>
      </c>
      <c r="BL35" s="17" t="s">
        <v>56</v>
      </c>
      <c r="BM35" s="17" t="s">
        <v>56</v>
      </c>
      <c r="BN35" s="17" t="s">
        <v>56</v>
      </c>
      <c r="BO35" s="17" t="s">
        <v>56</v>
      </c>
      <c r="BP35" s="17" t="s">
        <v>56</v>
      </c>
      <c r="BQ35" s="17" t="s">
        <v>56</v>
      </c>
      <c r="BR35" s="17"/>
    </row>
    <row r="36" spans="2:80" x14ac:dyDescent="0.25">
      <c r="B36" s="17" t="s">
        <v>2883</v>
      </c>
      <c r="C36" s="17">
        <v>90</v>
      </c>
      <c r="D36" s="17" t="s">
        <v>2634</v>
      </c>
      <c r="E36" s="17" t="s">
        <v>2634</v>
      </c>
      <c r="F36" s="17" t="s">
        <v>2635</v>
      </c>
      <c r="G36" s="17">
        <v>67895.399999999907</v>
      </c>
      <c r="H36" s="17" t="s">
        <v>56</v>
      </c>
      <c r="I36" s="17" t="s">
        <v>56</v>
      </c>
      <c r="J36" s="17" t="s">
        <v>2883</v>
      </c>
      <c r="K36" s="17" t="s">
        <v>2957</v>
      </c>
      <c r="L36" s="17" t="s">
        <v>2954</v>
      </c>
      <c r="M36" s="17" t="s">
        <v>2955</v>
      </c>
      <c r="N36" s="17" t="s">
        <v>332</v>
      </c>
      <c r="O36" s="17" t="s">
        <v>2879</v>
      </c>
      <c r="P36" s="17" t="s">
        <v>2954</v>
      </c>
      <c r="Q36" s="17" t="s">
        <v>2955</v>
      </c>
      <c r="R36" s="17" t="s">
        <v>2864</v>
      </c>
      <c r="S36" s="17" t="s">
        <v>2956</v>
      </c>
      <c r="T36" s="17" t="s">
        <v>56</v>
      </c>
      <c r="U36" s="17" t="s">
        <v>56</v>
      </c>
      <c r="V36" s="17" t="s">
        <v>56</v>
      </c>
      <c r="W36" s="17" t="s">
        <v>56</v>
      </c>
      <c r="X36" s="17" t="s">
        <v>56</v>
      </c>
      <c r="Y36" s="17" t="s">
        <v>56</v>
      </c>
      <c r="Z36" s="17" t="s">
        <v>56</v>
      </c>
      <c r="AA36" s="17" t="s">
        <v>56</v>
      </c>
      <c r="AB36" s="17" t="s">
        <v>56</v>
      </c>
      <c r="AC36" s="17" t="s">
        <v>56</v>
      </c>
      <c r="AD36" s="17" t="s">
        <v>56</v>
      </c>
      <c r="AE36" s="17" t="s">
        <v>56</v>
      </c>
      <c r="AF36" s="17" t="s">
        <v>56</v>
      </c>
      <c r="AG36" s="17" t="s">
        <v>56</v>
      </c>
      <c r="AH36" s="17" t="s">
        <v>56</v>
      </c>
      <c r="AI36" s="17" t="s">
        <v>56</v>
      </c>
      <c r="AJ36" s="17" t="s">
        <v>56</v>
      </c>
      <c r="AK36" s="17" t="s">
        <v>56</v>
      </c>
      <c r="AL36" s="17" t="s">
        <v>56</v>
      </c>
      <c r="AM36" s="17" t="s">
        <v>56</v>
      </c>
      <c r="AN36" s="17" t="s">
        <v>56</v>
      </c>
      <c r="AO36" s="17" t="s">
        <v>56</v>
      </c>
      <c r="AP36" s="17" t="s">
        <v>56</v>
      </c>
      <c r="AQ36" s="17" t="s">
        <v>56</v>
      </c>
      <c r="AR36" s="17">
        <v>87333.248438120994</v>
      </c>
      <c r="AS36" s="17">
        <v>87333.248438120994</v>
      </c>
      <c r="AT36" s="17" t="s">
        <v>2956</v>
      </c>
      <c r="AU36" s="17" t="s">
        <v>2864</v>
      </c>
      <c r="AV36" s="17">
        <v>0.77742900000000004</v>
      </c>
      <c r="AW36" s="17" t="s">
        <v>56</v>
      </c>
      <c r="AX36" s="17" t="s">
        <v>56</v>
      </c>
      <c r="AY36" s="17">
        <v>0.77742900000000004</v>
      </c>
      <c r="AZ36" s="17" t="s">
        <v>56</v>
      </c>
      <c r="BA36" s="17" t="s">
        <v>2956</v>
      </c>
      <c r="BB36" s="17" t="s">
        <v>2864</v>
      </c>
      <c r="BC36" s="17">
        <v>87333.248438120994</v>
      </c>
      <c r="BD36" s="17">
        <v>87333.248438120994</v>
      </c>
      <c r="BE36" s="17" t="s">
        <v>2956</v>
      </c>
      <c r="BF36" s="17" t="s">
        <v>2864</v>
      </c>
      <c r="BG36" s="17" t="s">
        <v>56</v>
      </c>
      <c r="BH36" s="17" t="s">
        <v>56</v>
      </c>
      <c r="BI36" s="17" t="s">
        <v>56</v>
      </c>
      <c r="BJ36" s="17" t="s">
        <v>56</v>
      </c>
      <c r="BK36" s="17" t="s">
        <v>56</v>
      </c>
      <c r="BL36" s="17" t="s">
        <v>56</v>
      </c>
      <c r="BM36" s="17" t="s">
        <v>56</v>
      </c>
      <c r="BN36" s="17" t="s">
        <v>56</v>
      </c>
      <c r="BO36" s="17" t="s">
        <v>56</v>
      </c>
      <c r="BP36" s="17" t="s">
        <v>56</v>
      </c>
      <c r="BQ36" s="17" t="s">
        <v>56</v>
      </c>
      <c r="BR36" s="17"/>
    </row>
    <row r="37" spans="2:80" x14ac:dyDescent="0.25">
      <c r="B37" s="17" t="s">
        <v>2893</v>
      </c>
      <c r="C37" s="17">
        <v>90</v>
      </c>
      <c r="D37" s="17" t="s">
        <v>2634</v>
      </c>
      <c r="E37" s="17" t="s">
        <v>2634</v>
      </c>
      <c r="F37" s="17" t="s">
        <v>2635</v>
      </c>
      <c r="G37" s="17">
        <v>67895.399999999907</v>
      </c>
      <c r="H37" s="17" t="s">
        <v>56</v>
      </c>
      <c r="I37" s="17" t="s">
        <v>56</v>
      </c>
      <c r="J37" s="17" t="s">
        <v>2893</v>
      </c>
      <c r="K37" s="17" t="s">
        <v>2957</v>
      </c>
      <c r="L37" s="17" t="s">
        <v>2954</v>
      </c>
      <c r="M37" s="17" t="s">
        <v>2955</v>
      </c>
      <c r="N37" s="17" t="s">
        <v>332</v>
      </c>
      <c r="O37" s="17" t="s">
        <v>2879</v>
      </c>
      <c r="P37" s="17" t="s">
        <v>2954</v>
      </c>
      <c r="Q37" s="17" t="s">
        <v>2955</v>
      </c>
      <c r="R37" s="17" t="s">
        <v>2864</v>
      </c>
      <c r="S37" s="17" t="s">
        <v>2956</v>
      </c>
      <c r="T37" s="17" t="s">
        <v>56</v>
      </c>
      <c r="U37" s="17" t="s">
        <v>56</v>
      </c>
      <c r="V37" s="17" t="s">
        <v>56</v>
      </c>
      <c r="W37" s="17" t="s">
        <v>56</v>
      </c>
      <c r="X37" s="17" t="s">
        <v>56</v>
      </c>
      <c r="Y37" s="17" t="s">
        <v>56</v>
      </c>
      <c r="Z37" s="17" t="s">
        <v>56</v>
      </c>
      <c r="AA37" s="17" t="s">
        <v>56</v>
      </c>
      <c r="AB37" s="17" t="s">
        <v>56</v>
      </c>
      <c r="AC37" s="17" t="s">
        <v>56</v>
      </c>
      <c r="AD37" s="17" t="s">
        <v>56</v>
      </c>
      <c r="AE37" s="17" t="s">
        <v>56</v>
      </c>
      <c r="AF37" s="17" t="s">
        <v>56</v>
      </c>
      <c r="AG37" s="17" t="s">
        <v>56</v>
      </c>
      <c r="AH37" s="17" t="s">
        <v>56</v>
      </c>
      <c r="AI37" s="17" t="s">
        <v>56</v>
      </c>
      <c r="AJ37" s="17" t="s">
        <v>56</v>
      </c>
      <c r="AK37" s="17" t="s">
        <v>56</v>
      </c>
      <c r="AL37" s="17" t="s">
        <v>56</v>
      </c>
      <c r="AM37" s="17" t="s">
        <v>56</v>
      </c>
      <c r="AN37" s="17" t="s">
        <v>56</v>
      </c>
      <c r="AO37" s="17" t="s">
        <v>56</v>
      </c>
      <c r="AP37" s="17" t="s">
        <v>56</v>
      </c>
      <c r="AQ37" s="17" t="s">
        <v>56</v>
      </c>
      <c r="AR37" s="17">
        <v>87333.248438120994</v>
      </c>
      <c r="AS37" s="17">
        <v>87333.248438120994</v>
      </c>
      <c r="AT37" s="17" t="s">
        <v>2956</v>
      </c>
      <c r="AU37" s="17" t="s">
        <v>2864</v>
      </c>
      <c r="AV37" s="17">
        <v>0.77742900000000004</v>
      </c>
      <c r="AW37" s="17" t="s">
        <v>56</v>
      </c>
      <c r="AX37" s="17" t="s">
        <v>56</v>
      </c>
      <c r="AY37" s="17">
        <v>0.77742900000000004</v>
      </c>
      <c r="AZ37" s="17" t="s">
        <v>56</v>
      </c>
      <c r="BA37" s="17" t="s">
        <v>2956</v>
      </c>
      <c r="BB37" s="17" t="s">
        <v>2864</v>
      </c>
      <c r="BC37" s="17">
        <v>87333.248438120994</v>
      </c>
      <c r="BD37" s="17">
        <v>87333.248438120994</v>
      </c>
      <c r="BE37" s="17" t="s">
        <v>2956</v>
      </c>
      <c r="BF37" s="17" t="s">
        <v>2864</v>
      </c>
      <c r="BG37" s="17" t="s">
        <v>56</v>
      </c>
      <c r="BH37" s="17" t="s">
        <v>56</v>
      </c>
      <c r="BI37" s="17" t="s">
        <v>56</v>
      </c>
      <c r="BJ37" s="17" t="s">
        <v>56</v>
      </c>
      <c r="BK37" s="17" t="s">
        <v>56</v>
      </c>
      <c r="BL37" s="17" t="s">
        <v>56</v>
      </c>
      <c r="BM37" s="17" t="s">
        <v>56</v>
      </c>
      <c r="BN37" s="17" t="s">
        <v>56</v>
      </c>
      <c r="BO37" s="17" t="s">
        <v>56</v>
      </c>
      <c r="BP37" s="17" t="s">
        <v>56</v>
      </c>
      <c r="BQ37" s="17" t="s">
        <v>56</v>
      </c>
      <c r="BR37" s="17"/>
    </row>
    <row r="38" spans="2:80" x14ac:dyDescent="0.25">
      <c r="B38" s="17" t="s">
        <v>2890</v>
      </c>
      <c r="C38" s="17">
        <v>2</v>
      </c>
      <c r="D38" s="17" t="s">
        <v>2634</v>
      </c>
      <c r="E38" s="17" t="s">
        <v>2634</v>
      </c>
      <c r="F38" s="17" t="s">
        <v>2635</v>
      </c>
      <c r="G38" s="17">
        <v>67895.399999999907</v>
      </c>
      <c r="H38" s="17" t="s">
        <v>56</v>
      </c>
      <c r="I38" s="17" t="s">
        <v>56</v>
      </c>
      <c r="J38" s="17" t="s">
        <v>2890</v>
      </c>
      <c r="K38" s="17" t="s">
        <v>332</v>
      </c>
      <c r="L38" s="17" t="s">
        <v>2954</v>
      </c>
      <c r="M38" s="17" t="s">
        <v>2955</v>
      </c>
      <c r="N38" s="17" t="s">
        <v>332</v>
      </c>
      <c r="O38" s="17" t="s">
        <v>2879</v>
      </c>
      <c r="P38" s="17" t="s">
        <v>2954</v>
      </c>
      <c r="Q38" s="17" t="s">
        <v>2955</v>
      </c>
      <c r="R38" s="17" t="s">
        <v>2864</v>
      </c>
      <c r="S38" s="17" t="s">
        <v>2956</v>
      </c>
      <c r="T38" s="17" t="s">
        <v>56</v>
      </c>
      <c r="U38" s="17" t="s">
        <v>56</v>
      </c>
      <c r="V38" s="17" t="s">
        <v>56</v>
      </c>
      <c r="W38" s="17" t="s">
        <v>56</v>
      </c>
      <c r="X38" s="17" t="s">
        <v>56</v>
      </c>
      <c r="Y38" s="17" t="s">
        <v>56</v>
      </c>
      <c r="Z38" s="17" t="s">
        <v>56</v>
      </c>
      <c r="AA38" s="17" t="s">
        <v>56</v>
      </c>
      <c r="AB38" s="17" t="s">
        <v>56</v>
      </c>
      <c r="AC38" s="17" t="s">
        <v>56</v>
      </c>
      <c r="AD38" s="17" t="s">
        <v>56</v>
      </c>
      <c r="AE38" s="17" t="s">
        <v>56</v>
      </c>
      <c r="AF38" s="17" t="s">
        <v>56</v>
      </c>
      <c r="AG38" s="17" t="s">
        <v>56</v>
      </c>
      <c r="AH38" s="17" t="s">
        <v>56</v>
      </c>
      <c r="AI38" s="17" t="s">
        <v>56</v>
      </c>
      <c r="AJ38" s="17" t="s">
        <v>56</v>
      </c>
      <c r="AK38" s="17" t="s">
        <v>56</v>
      </c>
      <c r="AL38" s="17" t="s">
        <v>56</v>
      </c>
      <c r="AM38" s="17" t="s">
        <v>56</v>
      </c>
      <c r="AN38" s="17" t="s">
        <v>56</v>
      </c>
      <c r="AO38" s="17" t="s">
        <v>56</v>
      </c>
      <c r="AP38" s="17" t="s">
        <v>56</v>
      </c>
      <c r="AQ38" s="17" t="s">
        <v>56</v>
      </c>
      <c r="AR38" s="17">
        <v>87333.248438120994</v>
      </c>
      <c r="AS38" s="17">
        <v>87333.248438120994</v>
      </c>
      <c r="AT38" s="17" t="s">
        <v>2956</v>
      </c>
      <c r="AU38" s="17" t="s">
        <v>2864</v>
      </c>
      <c r="AV38" s="17">
        <v>0.77742900000000004</v>
      </c>
      <c r="AW38" s="17" t="s">
        <v>56</v>
      </c>
      <c r="AX38" s="17" t="s">
        <v>56</v>
      </c>
      <c r="AY38" s="17">
        <v>0.77742900000000004</v>
      </c>
      <c r="AZ38" s="17" t="s">
        <v>56</v>
      </c>
      <c r="BA38" s="17" t="s">
        <v>2956</v>
      </c>
      <c r="BB38" s="17" t="s">
        <v>2864</v>
      </c>
      <c r="BC38" s="17">
        <v>87333.248438120994</v>
      </c>
      <c r="BD38" s="17">
        <v>87333.248438120994</v>
      </c>
      <c r="BE38" s="17" t="s">
        <v>2956</v>
      </c>
      <c r="BF38" s="17" t="s">
        <v>2864</v>
      </c>
      <c r="BG38" s="17" t="s">
        <v>56</v>
      </c>
      <c r="BH38" s="17" t="s">
        <v>56</v>
      </c>
      <c r="BI38" s="17" t="s">
        <v>56</v>
      </c>
      <c r="BJ38" s="17" t="s">
        <v>56</v>
      </c>
      <c r="BK38" s="17" t="s">
        <v>56</v>
      </c>
      <c r="BL38" s="17" t="s">
        <v>56</v>
      </c>
      <c r="BM38" s="17" t="s">
        <v>56</v>
      </c>
      <c r="BN38" s="17" t="s">
        <v>56</v>
      </c>
      <c r="BO38" s="17" t="s">
        <v>56</v>
      </c>
      <c r="BP38" s="17" t="s">
        <v>56</v>
      </c>
      <c r="BQ38" s="17" t="s">
        <v>56</v>
      </c>
      <c r="BR38" s="17"/>
    </row>
    <row r="39" spans="2:80" x14ac:dyDescent="0.25">
      <c r="B39" s="17" t="s">
        <v>2891</v>
      </c>
      <c r="C39" s="17">
        <v>90</v>
      </c>
      <c r="D39" s="17" t="s">
        <v>2634</v>
      </c>
      <c r="E39" s="17" t="s">
        <v>2634</v>
      </c>
      <c r="F39" s="17" t="s">
        <v>2635</v>
      </c>
      <c r="G39" s="17">
        <v>67895.399999999907</v>
      </c>
      <c r="H39" s="17" t="s">
        <v>56</v>
      </c>
      <c r="I39" s="17" t="s">
        <v>56</v>
      </c>
      <c r="J39" s="17" t="s">
        <v>2891</v>
      </c>
      <c r="K39" s="17" t="s">
        <v>2957</v>
      </c>
      <c r="L39" s="17" t="s">
        <v>2954</v>
      </c>
      <c r="M39" s="17" t="s">
        <v>2955</v>
      </c>
      <c r="N39" s="17" t="s">
        <v>332</v>
      </c>
      <c r="O39" s="17" t="s">
        <v>2879</v>
      </c>
      <c r="P39" s="17" t="s">
        <v>2954</v>
      </c>
      <c r="Q39" s="17" t="s">
        <v>2955</v>
      </c>
      <c r="R39" s="17" t="s">
        <v>2864</v>
      </c>
      <c r="S39" s="17" t="s">
        <v>2956</v>
      </c>
      <c r="T39" s="17" t="s">
        <v>56</v>
      </c>
      <c r="U39" s="17" t="s">
        <v>56</v>
      </c>
      <c r="V39" s="17" t="s">
        <v>56</v>
      </c>
      <c r="W39" s="17" t="s">
        <v>56</v>
      </c>
      <c r="X39" s="17" t="s">
        <v>56</v>
      </c>
      <c r="Y39" s="17" t="s">
        <v>56</v>
      </c>
      <c r="Z39" s="17" t="s">
        <v>56</v>
      </c>
      <c r="AA39" s="17" t="s">
        <v>56</v>
      </c>
      <c r="AB39" s="17" t="s">
        <v>56</v>
      </c>
      <c r="AC39" s="17" t="s">
        <v>56</v>
      </c>
      <c r="AD39" s="17" t="s">
        <v>56</v>
      </c>
      <c r="AE39" s="17" t="s">
        <v>56</v>
      </c>
      <c r="AF39" s="17" t="s">
        <v>56</v>
      </c>
      <c r="AG39" s="17" t="s">
        <v>56</v>
      </c>
      <c r="AH39" s="17" t="s">
        <v>56</v>
      </c>
      <c r="AI39" s="17" t="s">
        <v>56</v>
      </c>
      <c r="AJ39" s="17" t="s">
        <v>56</v>
      </c>
      <c r="AK39" s="17" t="s">
        <v>56</v>
      </c>
      <c r="AL39" s="17" t="s">
        <v>56</v>
      </c>
      <c r="AM39" s="17" t="s">
        <v>56</v>
      </c>
      <c r="AN39" s="17" t="s">
        <v>56</v>
      </c>
      <c r="AO39" s="17" t="s">
        <v>56</v>
      </c>
      <c r="AP39" s="17" t="s">
        <v>56</v>
      </c>
      <c r="AQ39" s="17" t="s">
        <v>56</v>
      </c>
      <c r="AR39" s="17">
        <v>87333.248438120994</v>
      </c>
      <c r="AS39" s="17">
        <v>87333.248438120994</v>
      </c>
      <c r="AT39" s="17" t="s">
        <v>2956</v>
      </c>
      <c r="AU39" s="17" t="s">
        <v>2864</v>
      </c>
      <c r="AV39" s="17">
        <v>0.77742900000000004</v>
      </c>
      <c r="AW39" s="17" t="s">
        <v>56</v>
      </c>
      <c r="AX39" s="17" t="s">
        <v>56</v>
      </c>
      <c r="AY39" s="17">
        <v>0.77742900000000004</v>
      </c>
      <c r="AZ39" s="17" t="s">
        <v>56</v>
      </c>
      <c r="BA39" s="17" t="s">
        <v>2956</v>
      </c>
      <c r="BB39" s="17" t="s">
        <v>2864</v>
      </c>
      <c r="BC39" s="17">
        <v>87333.248438120994</v>
      </c>
      <c r="BD39" s="17">
        <v>87333.248438120994</v>
      </c>
      <c r="BE39" s="17" t="s">
        <v>2956</v>
      </c>
      <c r="BF39" s="17" t="s">
        <v>2864</v>
      </c>
      <c r="BG39" s="17" t="s">
        <v>56</v>
      </c>
      <c r="BH39" s="17" t="s">
        <v>56</v>
      </c>
      <c r="BI39" s="17" t="s">
        <v>56</v>
      </c>
      <c r="BJ39" s="17" t="s">
        <v>56</v>
      </c>
      <c r="BK39" s="17" t="s">
        <v>56</v>
      </c>
      <c r="BL39" s="17" t="s">
        <v>56</v>
      </c>
      <c r="BM39" s="17" t="s">
        <v>56</v>
      </c>
      <c r="BN39" s="17" t="s">
        <v>56</v>
      </c>
      <c r="BO39" s="17" t="s">
        <v>56</v>
      </c>
      <c r="BP39" s="17" t="s">
        <v>56</v>
      </c>
      <c r="BQ39" s="17" t="s">
        <v>56</v>
      </c>
      <c r="BR39" s="17"/>
    </row>
    <row r="40" spans="2:80" x14ac:dyDescent="0.25">
      <c r="B40" s="17" t="s">
        <v>2887</v>
      </c>
      <c r="C40" s="17">
        <v>2</v>
      </c>
      <c r="D40" s="17" t="s">
        <v>2634</v>
      </c>
      <c r="E40" s="17" t="s">
        <v>2634</v>
      </c>
      <c r="F40" s="17" t="s">
        <v>2635</v>
      </c>
      <c r="G40" s="17">
        <v>67895.399999999907</v>
      </c>
      <c r="H40" s="17" t="s">
        <v>56</v>
      </c>
      <c r="I40" s="17" t="s">
        <v>56</v>
      </c>
      <c r="J40" s="17" t="s">
        <v>2887</v>
      </c>
      <c r="K40" s="17" t="s">
        <v>332</v>
      </c>
      <c r="L40" s="17" t="s">
        <v>2954</v>
      </c>
      <c r="M40" s="17" t="s">
        <v>2955</v>
      </c>
      <c r="N40" s="17" t="s">
        <v>332</v>
      </c>
      <c r="O40" s="17" t="s">
        <v>2879</v>
      </c>
      <c r="P40" s="17" t="s">
        <v>2954</v>
      </c>
      <c r="Q40" s="17" t="s">
        <v>2955</v>
      </c>
      <c r="R40" s="17" t="s">
        <v>2864</v>
      </c>
      <c r="S40" s="17" t="s">
        <v>2956</v>
      </c>
      <c r="T40" s="17" t="s">
        <v>56</v>
      </c>
      <c r="U40" s="17" t="s">
        <v>56</v>
      </c>
      <c r="V40" s="17" t="s">
        <v>56</v>
      </c>
      <c r="W40" s="17" t="s">
        <v>56</v>
      </c>
      <c r="X40" s="17" t="s">
        <v>56</v>
      </c>
      <c r="Y40" s="17" t="s">
        <v>56</v>
      </c>
      <c r="Z40" s="17" t="s">
        <v>56</v>
      </c>
      <c r="AA40" s="17" t="s">
        <v>56</v>
      </c>
      <c r="AB40" s="17" t="s">
        <v>56</v>
      </c>
      <c r="AC40" s="17" t="s">
        <v>56</v>
      </c>
      <c r="AD40" s="17" t="s">
        <v>56</v>
      </c>
      <c r="AE40" s="17" t="s">
        <v>56</v>
      </c>
      <c r="AF40" s="17" t="s">
        <v>56</v>
      </c>
      <c r="AG40" s="17" t="s">
        <v>56</v>
      </c>
      <c r="AH40" s="17" t="s">
        <v>56</v>
      </c>
      <c r="AI40" s="17" t="s">
        <v>56</v>
      </c>
      <c r="AJ40" s="17" t="s">
        <v>56</v>
      </c>
      <c r="AK40" s="17" t="s">
        <v>56</v>
      </c>
      <c r="AL40" s="17" t="s">
        <v>56</v>
      </c>
      <c r="AM40" s="17" t="s">
        <v>56</v>
      </c>
      <c r="AN40" s="17" t="s">
        <v>56</v>
      </c>
      <c r="AO40" s="17" t="s">
        <v>56</v>
      </c>
      <c r="AP40" s="17" t="s">
        <v>56</v>
      </c>
      <c r="AQ40" s="17" t="s">
        <v>56</v>
      </c>
      <c r="AR40" s="17">
        <v>87333.248438120994</v>
      </c>
      <c r="AS40" s="17">
        <v>87333.248438120994</v>
      </c>
      <c r="AT40" s="17" t="s">
        <v>2956</v>
      </c>
      <c r="AU40" s="17" t="s">
        <v>2864</v>
      </c>
      <c r="AV40" s="17">
        <v>0.77742900000000004</v>
      </c>
      <c r="AW40" s="17" t="s">
        <v>56</v>
      </c>
      <c r="AX40" s="17" t="s">
        <v>56</v>
      </c>
      <c r="AY40" s="17">
        <v>0.77742900000000004</v>
      </c>
      <c r="AZ40" s="17" t="s">
        <v>56</v>
      </c>
      <c r="BA40" s="17" t="s">
        <v>2956</v>
      </c>
      <c r="BB40" s="17" t="s">
        <v>2864</v>
      </c>
      <c r="BC40" s="17">
        <v>87333.248438120994</v>
      </c>
      <c r="BD40" s="17">
        <v>87333.248438120994</v>
      </c>
      <c r="BE40" s="17" t="s">
        <v>2956</v>
      </c>
      <c r="BF40" s="17" t="s">
        <v>2864</v>
      </c>
      <c r="BG40" s="17" t="s">
        <v>56</v>
      </c>
      <c r="BH40" s="17" t="s">
        <v>56</v>
      </c>
      <c r="BI40" s="17" t="s">
        <v>56</v>
      </c>
      <c r="BJ40" s="17" t="s">
        <v>56</v>
      </c>
      <c r="BK40" s="17" t="s">
        <v>56</v>
      </c>
      <c r="BL40" s="17" t="s">
        <v>56</v>
      </c>
      <c r="BM40" s="17" t="s">
        <v>56</v>
      </c>
      <c r="BN40" s="17" t="s">
        <v>56</v>
      </c>
      <c r="BO40" s="17" t="s">
        <v>56</v>
      </c>
      <c r="BP40" s="17" t="s">
        <v>56</v>
      </c>
      <c r="BQ40" s="17" t="s">
        <v>56</v>
      </c>
      <c r="BR40" s="17"/>
    </row>
    <row r="41" spans="2:80" x14ac:dyDescent="0.25">
      <c r="B41" s="17" t="s">
        <v>2888</v>
      </c>
      <c r="C41" s="17">
        <v>90</v>
      </c>
      <c r="D41" s="17" t="s">
        <v>2876</v>
      </c>
      <c r="E41" s="17" t="s">
        <v>2876</v>
      </c>
      <c r="F41" s="17" t="s">
        <v>2635</v>
      </c>
      <c r="G41" s="17" t="s">
        <v>56</v>
      </c>
      <c r="H41" s="17" t="s">
        <v>56</v>
      </c>
      <c r="I41" s="17" t="s">
        <v>56</v>
      </c>
      <c r="J41" s="17" t="s">
        <v>2888</v>
      </c>
      <c r="K41" s="17" t="s">
        <v>2957</v>
      </c>
      <c r="L41" s="17" t="s">
        <v>2954</v>
      </c>
      <c r="M41" s="17" t="s">
        <v>2955</v>
      </c>
      <c r="N41" s="17" t="s">
        <v>939</v>
      </c>
      <c r="O41" s="17" t="s">
        <v>2879</v>
      </c>
      <c r="P41" s="17" t="s">
        <v>2954</v>
      </c>
      <c r="Q41" s="17" t="s">
        <v>2955</v>
      </c>
      <c r="R41" s="17" t="s">
        <v>116</v>
      </c>
      <c r="S41" s="17" t="s">
        <v>2956</v>
      </c>
      <c r="T41" s="17" t="s">
        <v>56</v>
      </c>
      <c r="U41" s="17" t="s">
        <v>56</v>
      </c>
      <c r="V41" s="17" t="s">
        <v>56</v>
      </c>
      <c r="W41" s="17" t="s">
        <v>56</v>
      </c>
      <c r="X41" s="17" t="s">
        <v>56</v>
      </c>
      <c r="Y41" s="17" t="s">
        <v>56</v>
      </c>
      <c r="Z41" s="17" t="s">
        <v>56</v>
      </c>
      <c r="AA41" s="17" t="s">
        <v>56</v>
      </c>
      <c r="AB41" s="17" t="s">
        <v>56</v>
      </c>
      <c r="AC41" s="17" t="s">
        <v>56</v>
      </c>
      <c r="AD41" s="17" t="s">
        <v>56</v>
      </c>
      <c r="AE41" s="17" t="s">
        <v>56</v>
      </c>
      <c r="AF41" s="17" t="s">
        <v>56</v>
      </c>
      <c r="AG41" s="17" t="s">
        <v>56</v>
      </c>
      <c r="AH41" s="17" t="s">
        <v>56</v>
      </c>
      <c r="AI41" s="17" t="s">
        <v>56</v>
      </c>
      <c r="AJ41" s="17" t="s">
        <v>56</v>
      </c>
      <c r="AK41" s="17" t="s">
        <v>56</v>
      </c>
      <c r="AL41" s="17" t="s">
        <v>56</v>
      </c>
      <c r="AM41" s="17" t="s">
        <v>56</v>
      </c>
      <c r="AN41" s="17" t="s">
        <v>56</v>
      </c>
      <c r="AO41" s="17" t="s">
        <v>56</v>
      </c>
      <c r="AP41" s="17" t="s">
        <v>56</v>
      </c>
      <c r="AQ41" s="17" t="s">
        <v>56</v>
      </c>
      <c r="AR41" s="17" t="s">
        <v>56</v>
      </c>
      <c r="AS41" s="17" t="s">
        <v>56</v>
      </c>
      <c r="AT41" s="17" t="s">
        <v>56</v>
      </c>
      <c r="AU41" s="17" t="s">
        <v>56</v>
      </c>
      <c r="AV41" s="17" t="s">
        <v>56</v>
      </c>
      <c r="AW41" s="17" t="s">
        <v>56</v>
      </c>
      <c r="AX41" s="17" t="s">
        <v>56</v>
      </c>
      <c r="AY41" s="17" t="s">
        <v>56</v>
      </c>
      <c r="AZ41" s="17" t="s">
        <v>56</v>
      </c>
      <c r="BA41" s="17" t="s">
        <v>56</v>
      </c>
      <c r="BB41" s="17" t="s">
        <v>56</v>
      </c>
      <c r="BC41" s="17" t="s">
        <v>56</v>
      </c>
      <c r="BD41" s="17" t="s">
        <v>56</v>
      </c>
      <c r="BE41" s="17" t="s">
        <v>56</v>
      </c>
      <c r="BF41" s="17" t="s">
        <v>56</v>
      </c>
      <c r="BG41" s="17" t="s">
        <v>56</v>
      </c>
      <c r="BH41" s="17" t="s">
        <v>56</v>
      </c>
      <c r="BI41" s="17" t="s">
        <v>56</v>
      </c>
      <c r="BJ41" s="17" t="s">
        <v>56</v>
      </c>
      <c r="BK41" s="17" t="s">
        <v>56</v>
      </c>
      <c r="BL41" s="17" t="s">
        <v>56</v>
      </c>
      <c r="BM41" s="17" t="s">
        <v>56</v>
      </c>
      <c r="BN41" s="17" t="s">
        <v>56</v>
      </c>
      <c r="BO41" s="17" t="s">
        <v>56</v>
      </c>
      <c r="BP41" s="17" t="s">
        <v>56</v>
      </c>
      <c r="BQ41" s="17" t="s">
        <v>56</v>
      </c>
      <c r="BR41" s="17"/>
    </row>
    <row r="43" spans="2:80" s="15" customFormat="1" x14ac:dyDescent="0.25">
      <c r="B43" s="26" t="s">
        <v>2648</v>
      </c>
    </row>
    <row r="45" spans="2:80" x14ac:dyDescent="0.25">
      <c r="B45" s="18" t="s">
        <v>2846</v>
      </c>
    </row>
    <row r="46" spans="2:80" x14ac:dyDescent="0.25">
      <c r="B46" s="17" t="s">
        <v>2820</v>
      </c>
      <c r="C46" s="17" t="s">
        <v>31</v>
      </c>
      <c r="D46" s="17" t="s">
        <v>32</v>
      </c>
      <c r="E46" s="17" t="s">
        <v>33</v>
      </c>
      <c r="F46" s="23" t="s">
        <v>2827</v>
      </c>
      <c r="G46" s="23" t="s">
        <v>2828</v>
      </c>
      <c r="H46" s="17" t="s">
        <v>2829</v>
      </c>
      <c r="I46" s="17" t="s">
        <v>2830</v>
      </c>
      <c r="J46" s="17" t="s">
        <v>2831</v>
      </c>
      <c r="K46" s="17" t="s">
        <v>2832</v>
      </c>
      <c r="L46" s="17" t="s">
        <v>2833</v>
      </c>
      <c r="M46" s="17" t="s">
        <v>2834</v>
      </c>
      <c r="N46" s="23" t="s">
        <v>2835</v>
      </c>
      <c r="O46" s="23" t="s">
        <v>2836</v>
      </c>
      <c r="P46" s="17" t="s">
        <v>2695</v>
      </c>
      <c r="Q46" s="17" t="s">
        <v>2696</v>
      </c>
      <c r="R46" s="17" t="s">
        <v>2697</v>
      </c>
      <c r="S46" s="17" t="s">
        <v>2717</v>
      </c>
      <c r="T46" s="17" t="s">
        <v>2718</v>
      </c>
      <c r="U46" s="17" t="s">
        <v>2719</v>
      </c>
      <c r="V46" s="17" t="s">
        <v>2720</v>
      </c>
      <c r="W46" s="17" t="s">
        <v>2721</v>
      </c>
      <c r="X46" s="17" t="s">
        <v>2837</v>
      </c>
      <c r="Y46" s="17" t="s">
        <v>2838</v>
      </c>
      <c r="Z46" s="17"/>
    </row>
    <row r="47" spans="2:80" x14ac:dyDescent="0.25">
      <c r="B47" s="17" t="s">
        <v>2840</v>
      </c>
      <c r="C47" s="17" t="s">
        <v>61</v>
      </c>
      <c r="D47" s="17" t="s">
        <v>58</v>
      </c>
      <c r="E47" s="17" t="s">
        <v>2253</v>
      </c>
      <c r="F47" s="23" t="s">
        <v>56</v>
      </c>
      <c r="G47" s="23" t="s">
        <v>56</v>
      </c>
      <c r="H47" s="17" t="s">
        <v>56</v>
      </c>
      <c r="I47" s="17" t="s">
        <v>56</v>
      </c>
      <c r="J47" s="17" t="s">
        <v>56</v>
      </c>
      <c r="K47" s="17">
        <v>0.12779699999999999</v>
      </c>
      <c r="L47" s="17">
        <v>4.2827899999999999E-3</v>
      </c>
      <c r="M47" s="17">
        <v>23966</v>
      </c>
      <c r="N47" s="23" t="s">
        <v>56</v>
      </c>
      <c r="O47" s="23" t="s">
        <v>56</v>
      </c>
      <c r="P47" s="17" t="s">
        <v>56</v>
      </c>
      <c r="Q47" s="17" t="s">
        <v>56</v>
      </c>
      <c r="R47" s="17" t="s">
        <v>56</v>
      </c>
      <c r="S47" s="17" t="s">
        <v>56</v>
      </c>
      <c r="T47" s="17" t="s">
        <v>56</v>
      </c>
      <c r="U47" s="17" t="s">
        <v>56</v>
      </c>
      <c r="V47" s="17" t="s">
        <v>2818</v>
      </c>
      <c r="W47" s="17" t="s">
        <v>1111</v>
      </c>
      <c r="X47" s="17" t="s">
        <v>56</v>
      </c>
      <c r="Y47" s="17" t="s">
        <v>1111</v>
      </c>
      <c r="Z47" s="17"/>
    </row>
    <row r="48" spans="2:80" x14ac:dyDescent="0.25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31">
        <f>+K47*$M$47</f>
        <v>3062.7829019999999</v>
      </c>
      <c r="O48" s="31">
        <f>+L47*$M$47</f>
        <v>102.64134514</v>
      </c>
      <c r="P48" s="17" t="s">
        <v>2965</v>
      </c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</row>
    <row r="49" spans="2:159" x14ac:dyDescent="0.25">
      <c r="B49" s="18" t="s">
        <v>2960</v>
      </c>
    </row>
    <row r="50" spans="2:159" x14ac:dyDescent="0.25">
      <c r="B50" s="17" t="s">
        <v>31</v>
      </c>
      <c r="C50" s="17" t="s">
        <v>32</v>
      </c>
      <c r="D50" s="17" t="s">
        <v>33</v>
      </c>
      <c r="E50" s="17" t="s">
        <v>34</v>
      </c>
      <c r="F50" s="17" t="s">
        <v>2550</v>
      </c>
      <c r="G50" s="17" t="s">
        <v>35</v>
      </c>
      <c r="H50" s="17" t="s">
        <v>36</v>
      </c>
      <c r="I50" s="17" t="s">
        <v>37</v>
      </c>
      <c r="J50" s="17" t="s">
        <v>2650</v>
      </c>
      <c r="K50" s="17" t="s">
        <v>2651</v>
      </c>
      <c r="L50" s="17" t="s">
        <v>2652</v>
      </c>
      <c r="M50" s="17" t="s">
        <v>2653</v>
      </c>
      <c r="N50" s="17" t="s">
        <v>2654</v>
      </c>
      <c r="O50" s="17" t="s">
        <v>2655</v>
      </c>
      <c r="P50" s="17" t="s">
        <v>2656</v>
      </c>
      <c r="Q50" s="17" t="s">
        <v>2657</v>
      </c>
      <c r="R50" s="17" t="s">
        <v>2658</v>
      </c>
      <c r="S50" s="17" t="s">
        <v>2659</v>
      </c>
      <c r="T50" s="17" t="s">
        <v>2586</v>
      </c>
      <c r="U50" s="17" t="s">
        <v>2660</v>
      </c>
      <c r="V50" s="17" t="s">
        <v>2661</v>
      </c>
      <c r="W50" s="17" t="s">
        <v>2662</v>
      </c>
      <c r="X50" s="17" t="s">
        <v>2663</v>
      </c>
      <c r="Y50" s="17" t="s">
        <v>2664</v>
      </c>
      <c r="Z50" s="17" t="s">
        <v>2665</v>
      </c>
      <c r="AA50" s="17" t="s">
        <v>2666</v>
      </c>
      <c r="AB50" s="17" t="s">
        <v>2667</v>
      </c>
      <c r="AC50" s="17" t="s">
        <v>2668</v>
      </c>
      <c r="AD50" s="17" t="s">
        <v>2669</v>
      </c>
      <c r="AE50" s="17" t="s">
        <v>2568</v>
      </c>
      <c r="AF50" s="17" t="s">
        <v>2670</v>
      </c>
      <c r="AG50" s="17" t="s">
        <v>2671</v>
      </c>
      <c r="AH50" s="17" t="s">
        <v>2672</v>
      </c>
      <c r="AI50" s="17" t="s">
        <v>2673</v>
      </c>
      <c r="AJ50" s="17" t="s">
        <v>2674</v>
      </c>
      <c r="AK50" s="17" t="s">
        <v>2675</v>
      </c>
      <c r="AL50" s="17" t="s">
        <v>2676</v>
      </c>
      <c r="AM50" s="17" t="s">
        <v>2677</v>
      </c>
      <c r="AN50" s="17" t="s">
        <v>2678</v>
      </c>
      <c r="AO50" s="17" t="s">
        <v>2679</v>
      </c>
      <c r="AP50" s="17" t="s">
        <v>2680</v>
      </c>
      <c r="AQ50" s="17" t="s">
        <v>2681</v>
      </c>
      <c r="AR50" s="17" t="s">
        <v>2682</v>
      </c>
      <c r="AS50" s="17" t="s">
        <v>2683</v>
      </c>
      <c r="AT50" s="17" t="s">
        <v>2684</v>
      </c>
      <c r="AU50" s="17" t="s">
        <v>2685</v>
      </c>
      <c r="AV50" s="17" t="s">
        <v>2686</v>
      </c>
      <c r="AW50" s="17" t="s">
        <v>2687</v>
      </c>
      <c r="AX50" s="17" t="s">
        <v>2688</v>
      </c>
      <c r="AY50" s="17" t="s">
        <v>2689</v>
      </c>
      <c r="AZ50" s="17" t="s">
        <v>2690</v>
      </c>
      <c r="BA50" s="17" t="s">
        <v>2691</v>
      </c>
      <c r="BB50" s="17" t="s">
        <v>2692</v>
      </c>
      <c r="BC50" s="17" t="s">
        <v>2693</v>
      </c>
      <c r="BD50" s="17" t="s">
        <v>2694</v>
      </c>
      <c r="BE50" s="17" t="s">
        <v>2695</v>
      </c>
      <c r="BF50" s="17" t="s">
        <v>2696</v>
      </c>
      <c r="BG50" s="17" t="s">
        <v>2697</v>
      </c>
      <c r="BH50" s="17" t="s">
        <v>2698</v>
      </c>
      <c r="BI50" s="17" t="s">
        <v>2699</v>
      </c>
      <c r="BJ50" s="17" t="s">
        <v>2700</v>
      </c>
      <c r="BK50" s="17" t="s">
        <v>2701</v>
      </c>
      <c r="BL50" s="17" t="s">
        <v>2702</v>
      </c>
      <c r="BM50" s="17" t="s">
        <v>2703</v>
      </c>
      <c r="BN50" s="17" t="s">
        <v>2704</v>
      </c>
      <c r="BO50" s="17" t="s">
        <v>2705</v>
      </c>
      <c r="BP50" s="17" t="s">
        <v>2706</v>
      </c>
      <c r="BQ50" s="17" t="s">
        <v>2707</v>
      </c>
      <c r="BR50" s="17" t="s">
        <v>2708</v>
      </c>
      <c r="BS50" s="17" t="s">
        <v>2709</v>
      </c>
      <c r="BT50" s="17" t="s">
        <v>2710</v>
      </c>
      <c r="BU50" s="17" t="s">
        <v>2711</v>
      </c>
      <c r="BV50" s="17" t="s">
        <v>2712</v>
      </c>
      <c r="BW50" s="17" t="s">
        <v>2713</v>
      </c>
      <c r="BX50" s="17" t="s">
        <v>2714</v>
      </c>
      <c r="BY50" s="17" t="s">
        <v>2715</v>
      </c>
      <c r="BZ50" s="17" t="s">
        <v>2716</v>
      </c>
      <c r="CA50" s="17" t="s">
        <v>2717</v>
      </c>
      <c r="CB50" s="17" t="s">
        <v>2718</v>
      </c>
      <c r="CC50" s="17" t="s">
        <v>2719</v>
      </c>
      <c r="CD50" s="17" t="s">
        <v>2720</v>
      </c>
      <c r="CE50" s="17" t="s">
        <v>2721</v>
      </c>
      <c r="CF50" s="17" t="s">
        <v>2722</v>
      </c>
      <c r="CG50" s="17" t="s">
        <v>2723</v>
      </c>
      <c r="CH50" s="17" t="s">
        <v>2724</v>
      </c>
      <c r="CI50" s="17" t="s">
        <v>2725</v>
      </c>
      <c r="CJ50" s="17" t="s">
        <v>2726</v>
      </c>
      <c r="CK50" s="17" t="s">
        <v>2727</v>
      </c>
      <c r="CL50" s="17" t="s">
        <v>2728</v>
      </c>
      <c r="CM50" s="17" t="s">
        <v>2729</v>
      </c>
      <c r="CN50" s="17" t="s">
        <v>2730</v>
      </c>
      <c r="CO50" s="17" t="s">
        <v>2731</v>
      </c>
      <c r="CP50" s="17" t="s">
        <v>2732</v>
      </c>
      <c r="CQ50" s="17" t="s">
        <v>2733</v>
      </c>
      <c r="CR50" s="17" t="s">
        <v>2734</v>
      </c>
      <c r="CS50" s="17" t="s">
        <v>2735</v>
      </c>
      <c r="CT50" s="17" t="s">
        <v>2736</v>
      </c>
      <c r="CU50" s="17" t="s">
        <v>2737</v>
      </c>
      <c r="CV50" s="17" t="s">
        <v>2738</v>
      </c>
      <c r="CW50" s="17" t="s">
        <v>2739</v>
      </c>
      <c r="CX50" s="17" t="s">
        <v>2740</v>
      </c>
      <c r="CY50" s="17" t="s">
        <v>2741</v>
      </c>
      <c r="CZ50" s="17" t="s">
        <v>2742</v>
      </c>
      <c r="DA50" s="17" t="s">
        <v>2743</v>
      </c>
      <c r="DB50" s="17" t="s">
        <v>2744</v>
      </c>
      <c r="DC50" s="17" t="s">
        <v>2745</v>
      </c>
      <c r="DD50" s="17" t="s">
        <v>2746</v>
      </c>
      <c r="DE50" s="17" t="s">
        <v>2747</v>
      </c>
      <c r="DF50" s="17" t="s">
        <v>2748</v>
      </c>
      <c r="DG50" s="17" t="s">
        <v>2749</v>
      </c>
      <c r="DH50" s="17" t="s">
        <v>2750</v>
      </c>
      <c r="DI50" s="17" t="s">
        <v>2751</v>
      </c>
      <c r="DJ50" s="17" t="s">
        <v>2752</v>
      </c>
      <c r="DK50" s="17" t="s">
        <v>2753</v>
      </c>
      <c r="DL50" s="17" t="s">
        <v>2754</v>
      </c>
      <c r="DM50" s="17" t="s">
        <v>2755</v>
      </c>
      <c r="DN50" s="17" t="s">
        <v>2756</v>
      </c>
      <c r="DO50" s="17" t="s">
        <v>2757</v>
      </c>
      <c r="DP50" s="17" t="s">
        <v>2758</v>
      </c>
      <c r="DQ50" s="17" t="s">
        <v>2759</v>
      </c>
      <c r="DR50" s="17" t="s">
        <v>2760</v>
      </c>
      <c r="DS50" s="17" t="s">
        <v>2761</v>
      </c>
      <c r="DT50" s="17" t="s">
        <v>2762</v>
      </c>
      <c r="DU50" s="17" t="s">
        <v>2763</v>
      </c>
      <c r="DV50" s="17" t="s">
        <v>2764</v>
      </c>
      <c r="DW50" s="17" t="s">
        <v>2765</v>
      </c>
      <c r="DX50" s="17" t="s">
        <v>2766</v>
      </c>
      <c r="DY50" s="17" t="s">
        <v>2767</v>
      </c>
      <c r="DZ50" s="17" t="s">
        <v>2768</v>
      </c>
      <c r="EA50" s="17" t="s">
        <v>2769</v>
      </c>
      <c r="EB50" s="17" t="s">
        <v>2770</v>
      </c>
      <c r="EC50" s="17" t="s">
        <v>2771</v>
      </c>
      <c r="ED50" s="17" t="s">
        <v>2772</v>
      </c>
      <c r="EE50" s="17" t="s">
        <v>2773</v>
      </c>
      <c r="EF50" s="17" t="s">
        <v>2774</v>
      </c>
      <c r="EG50" s="17" t="s">
        <v>2775</v>
      </c>
      <c r="EH50" s="17" t="s">
        <v>2776</v>
      </c>
      <c r="EI50" s="17" t="s">
        <v>2777</v>
      </c>
      <c r="EJ50" s="17" t="s">
        <v>2778</v>
      </c>
      <c r="EK50" s="17" t="s">
        <v>2779</v>
      </c>
      <c r="EL50" s="17" t="s">
        <v>2780</v>
      </c>
      <c r="EM50" s="17" t="s">
        <v>2781</v>
      </c>
      <c r="EN50" s="17" t="s">
        <v>2782</v>
      </c>
      <c r="EO50" s="17" t="s">
        <v>2783</v>
      </c>
      <c r="EP50" s="17" t="s">
        <v>2784</v>
      </c>
      <c r="EQ50" s="17" t="s">
        <v>2785</v>
      </c>
      <c r="ER50" s="17" t="s">
        <v>2786</v>
      </c>
      <c r="ES50" s="17" t="s">
        <v>2787</v>
      </c>
      <c r="ET50" s="17" t="s">
        <v>2788</v>
      </c>
      <c r="EU50" s="17" t="s">
        <v>2789</v>
      </c>
      <c r="EV50" s="17" t="s">
        <v>2790</v>
      </c>
      <c r="EW50" s="17" t="s">
        <v>2791</v>
      </c>
      <c r="EX50" s="17" t="s">
        <v>2792</v>
      </c>
      <c r="EY50" s="17" t="s">
        <v>2793</v>
      </c>
      <c r="EZ50" s="17" t="s">
        <v>2794</v>
      </c>
      <c r="FA50" s="17" t="s">
        <v>2795</v>
      </c>
      <c r="FB50" s="17" t="s">
        <v>2796</v>
      </c>
      <c r="FC50" s="17"/>
    </row>
    <row r="51" spans="2:159" x14ac:dyDescent="0.25">
      <c r="B51" s="17" t="s">
        <v>61</v>
      </c>
      <c r="C51" s="17" t="s">
        <v>58</v>
      </c>
      <c r="D51" s="17" t="s">
        <v>2253</v>
      </c>
      <c r="E51" s="17" t="s">
        <v>2254</v>
      </c>
      <c r="F51" s="17" t="s">
        <v>2877</v>
      </c>
      <c r="G51" s="17" t="s">
        <v>56</v>
      </c>
      <c r="H51" s="17" t="s">
        <v>56</v>
      </c>
      <c r="I51" s="17" t="s">
        <v>56</v>
      </c>
      <c r="J51" s="17"/>
      <c r="K51" s="17" t="s">
        <v>2797</v>
      </c>
      <c r="L51" s="17" t="s">
        <v>2798</v>
      </c>
      <c r="M51" s="17" t="s">
        <v>2799</v>
      </c>
      <c r="N51" s="17" t="s">
        <v>2800</v>
      </c>
      <c r="O51" s="17" t="s">
        <v>2958</v>
      </c>
      <c r="P51" s="17" t="s">
        <v>1325</v>
      </c>
      <c r="Q51" s="17" t="s">
        <v>2813</v>
      </c>
      <c r="R51" s="17" t="s">
        <v>2814</v>
      </c>
      <c r="S51" s="17" t="s">
        <v>2961</v>
      </c>
      <c r="T51" s="17">
        <v>4848114.28</v>
      </c>
      <c r="U51" s="17">
        <v>4272059.62</v>
      </c>
      <c r="V51" s="17" t="s">
        <v>2817</v>
      </c>
      <c r="W51" s="17" t="s">
        <v>939</v>
      </c>
      <c r="X51" s="17" t="s">
        <v>2816</v>
      </c>
      <c r="Y51" s="17" t="s">
        <v>2798</v>
      </c>
      <c r="Z51" s="17" t="s">
        <v>56</v>
      </c>
      <c r="AA51" s="17" t="s">
        <v>2961</v>
      </c>
      <c r="AB51" s="17" t="s">
        <v>2801</v>
      </c>
      <c r="AC51" s="17">
        <v>2.3681999999999999</v>
      </c>
      <c r="AD51" s="17" t="s">
        <v>2804</v>
      </c>
      <c r="AE51" s="17">
        <v>79208.61</v>
      </c>
      <c r="AF51" s="17" t="s">
        <v>2961</v>
      </c>
      <c r="AG51" s="17" t="s">
        <v>56</v>
      </c>
      <c r="AH51" s="17" t="s">
        <v>56</v>
      </c>
      <c r="AI51" s="17" t="s">
        <v>56</v>
      </c>
      <c r="AJ51" s="17" t="s">
        <v>56</v>
      </c>
      <c r="AK51" s="17" t="s">
        <v>56</v>
      </c>
      <c r="AL51" s="17" t="s">
        <v>56</v>
      </c>
      <c r="AM51" s="17" t="s">
        <v>2805</v>
      </c>
      <c r="AN51" s="17" t="s">
        <v>56</v>
      </c>
      <c r="AO51" s="17" t="s">
        <v>56</v>
      </c>
      <c r="AP51" s="17" t="s">
        <v>56</v>
      </c>
      <c r="AQ51" s="17" t="s">
        <v>56</v>
      </c>
      <c r="AR51" s="17">
        <v>20.712800000000001</v>
      </c>
      <c r="AS51" s="17">
        <v>9.3053000000000008</v>
      </c>
      <c r="AT51" s="17">
        <v>116.018</v>
      </c>
      <c r="AU51" s="17" t="s">
        <v>56</v>
      </c>
      <c r="AV51" s="17" t="s">
        <v>56</v>
      </c>
      <c r="AW51" s="17" t="s">
        <v>56</v>
      </c>
      <c r="AX51" s="17">
        <v>0.94810000000000005</v>
      </c>
      <c r="AY51" s="17">
        <v>0.42599999999999999</v>
      </c>
      <c r="AZ51" s="17">
        <v>5.3108000000000004</v>
      </c>
      <c r="BA51" s="17" t="s">
        <v>56</v>
      </c>
      <c r="BB51" s="17" t="s">
        <v>56</v>
      </c>
      <c r="BC51" s="17" t="s">
        <v>56</v>
      </c>
      <c r="BD51" s="17" t="s">
        <v>2806</v>
      </c>
      <c r="BE51" s="17" t="s">
        <v>56</v>
      </c>
      <c r="BF51" s="17" t="s">
        <v>56</v>
      </c>
      <c r="BG51" s="17" t="s">
        <v>56</v>
      </c>
      <c r="BH51" s="17" t="s">
        <v>1325</v>
      </c>
      <c r="BI51" s="17" t="s">
        <v>1325</v>
      </c>
      <c r="BJ51" s="17" t="s">
        <v>1325</v>
      </c>
      <c r="BK51" s="17" t="s">
        <v>1325</v>
      </c>
      <c r="BL51" s="17" t="s">
        <v>1325</v>
      </c>
      <c r="BM51" s="17" t="s">
        <v>1325</v>
      </c>
      <c r="BN51" s="17" t="s">
        <v>1325</v>
      </c>
      <c r="BO51" s="17" t="s">
        <v>1325</v>
      </c>
      <c r="BP51" s="17" t="s">
        <v>1325</v>
      </c>
      <c r="BQ51" s="17" t="s">
        <v>1325</v>
      </c>
      <c r="BR51" s="17" t="s">
        <v>1325</v>
      </c>
      <c r="BS51" s="17" t="s">
        <v>1325</v>
      </c>
      <c r="BT51" s="17" t="s">
        <v>1325</v>
      </c>
      <c r="BU51" s="17" t="s">
        <v>1325</v>
      </c>
      <c r="BV51" s="17" t="s">
        <v>1325</v>
      </c>
      <c r="BW51" s="17" t="s">
        <v>1325</v>
      </c>
      <c r="BX51" s="17" t="s">
        <v>1325</v>
      </c>
      <c r="BY51" s="17" t="s">
        <v>1325</v>
      </c>
      <c r="BZ51" s="17" t="s">
        <v>1325</v>
      </c>
      <c r="CA51" s="17" t="s">
        <v>56</v>
      </c>
      <c r="CB51" s="17" t="s">
        <v>56</v>
      </c>
      <c r="CC51" s="17" t="s">
        <v>56</v>
      </c>
      <c r="CD51" s="17" t="s">
        <v>2818</v>
      </c>
      <c r="CE51" s="17" t="s">
        <v>1111</v>
      </c>
      <c r="CF51" s="17" t="s">
        <v>56</v>
      </c>
      <c r="CG51" s="17" t="s">
        <v>56</v>
      </c>
      <c r="CH51" s="17" t="s">
        <v>56</v>
      </c>
      <c r="CI51" s="17">
        <v>79208.61</v>
      </c>
      <c r="CJ51" s="17">
        <v>79208.61</v>
      </c>
      <c r="CK51" s="17">
        <v>79208.61</v>
      </c>
      <c r="CL51" s="17"/>
      <c r="CM51" s="17"/>
      <c r="CN51" s="17"/>
      <c r="CO51" s="17" t="s">
        <v>56</v>
      </c>
      <c r="CP51" s="17" t="s">
        <v>56</v>
      </c>
      <c r="CQ51" s="17" t="s">
        <v>56</v>
      </c>
      <c r="CR51" s="17" t="s">
        <v>56</v>
      </c>
      <c r="CS51" s="17" t="s">
        <v>56</v>
      </c>
      <c r="CT51" s="17" t="s">
        <v>56</v>
      </c>
      <c r="CU51" s="17" t="s">
        <v>56</v>
      </c>
      <c r="CV51" s="17" t="s">
        <v>56</v>
      </c>
      <c r="CW51" s="17" t="s">
        <v>56</v>
      </c>
      <c r="CX51" s="17" t="s">
        <v>56</v>
      </c>
      <c r="CY51" s="17" t="s">
        <v>56</v>
      </c>
      <c r="CZ51" s="17" t="s">
        <v>56</v>
      </c>
      <c r="DA51" s="17" t="s">
        <v>56</v>
      </c>
      <c r="DB51" s="17" t="s">
        <v>56</v>
      </c>
      <c r="DC51" s="17" t="s">
        <v>56</v>
      </c>
      <c r="DD51" s="17" t="s">
        <v>56</v>
      </c>
      <c r="DE51" s="17" t="s">
        <v>56</v>
      </c>
      <c r="DF51" s="17" t="s">
        <v>56</v>
      </c>
      <c r="DG51" s="17" t="s">
        <v>56</v>
      </c>
      <c r="DH51" s="17" t="s">
        <v>56</v>
      </c>
      <c r="DI51" s="17" t="s">
        <v>56</v>
      </c>
      <c r="DJ51" s="17" t="s">
        <v>56</v>
      </c>
      <c r="DK51" s="17" t="s">
        <v>56</v>
      </c>
      <c r="DL51" s="17" t="s">
        <v>56</v>
      </c>
      <c r="DM51" s="17" t="s">
        <v>56</v>
      </c>
      <c r="DN51" s="17" t="s">
        <v>56</v>
      </c>
      <c r="DO51" s="17" t="s">
        <v>56</v>
      </c>
      <c r="DP51" s="17" t="s">
        <v>56</v>
      </c>
      <c r="DQ51" s="17" t="s">
        <v>56</v>
      </c>
      <c r="DR51" s="17" t="s">
        <v>56</v>
      </c>
      <c r="DS51" s="17" t="s">
        <v>56</v>
      </c>
      <c r="DT51" s="17" t="s">
        <v>56</v>
      </c>
      <c r="DU51" s="17" t="s">
        <v>56</v>
      </c>
      <c r="DV51" s="17" t="s">
        <v>56</v>
      </c>
      <c r="DW51" s="17" t="s">
        <v>56</v>
      </c>
      <c r="DX51" s="17" t="s">
        <v>56</v>
      </c>
      <c r="DY51" s="17" t="s">
        <v>56</v>
      </c>
      <c r="DZ51" s="17" t="s">
        <v>56</v>
      </c>
      <c r="EA51" s="17" t="s">
        <v>56</v>
      </c>
      <c r="EB51" s="17" t="s">
        <v>56</v>
      </c>
      <c r="EC51" s="17" t="s">
        <v>56</v>
      </c>
      <c r="ED51" s="17" t="s">
        <v>56</v>
      </c>
      <c r="EE51" s="17" t="s">
        <v>56</v>
      </c>
      <c r="EF51" s="17" t="s">
        <v>56</v>
      </c>
      <c r="EG51" s="17" t="s">
        <v>56</v>
      </c>
      <c r="EH51" s="17" t="s">
        <v>56</v>
      </c>
      <c r="EI51" s="17" t="s">
        <v>56</v>
      </c>
      <c r="EJ51" s="17" t="s">
        <v>56</v>
      </c>
      <c r="EK51" s="17" t="s">
        <v>56</v>
      </c>
      <c r="EL51" s="17" t="s">
        <v>56</v>
      </c>
      <c r="EM51" s="17" t="s">
        <v>56</v>
      </c>
      <c r="EN51" s="17" t="s">
        <v>56</v>
      </c>
      <c r="EO51" s="17" t="s">
        <v>56</v>
      </c>
      <c r="EP51" s="17" t="s">
        <v>56</v>
      </c>
      <c r="EQ51" s="17" t="s">
        <v>56</v>
      </c>
      <c r="ER51" s="17" t="s">
        <v>56</v>
      </c>
      <c r="ES51" s="17" t="s">
        <v>56</v>
      </c>
      <c r="ET51" s="17" t="s">
        <v>56</v>
      </c>
      <c r="EU51" s="17" t="s">
        <v>56</v>
      </c>
      <c r="EV51" s="17" t="s">
        <v>56</v>
      </c>
      <c r="EW51" s="17" t="s">
        <v>2807</v>
      </c>
      <c r="EX51" s="17" t="s">
        <v>2959</v>
      </c>
      <c r="EY51" s="17" t="s">
        <v>2809</v>
      </c>
      <c r="EZ51" s="17"/>
      <c r="FA51" s="17" t="s">
        <v>2811</v>
      </c>
      <c r="FB51" s="17" t="s">
        <v>2803</v>
      </c>
      <c r="FC51" s="17"/>
    </row>
    <row r="53" spans="2:159" x14ac:dyDescent="0.25">
      <c r="B53" s="20" t="s">
        <v>2845</v>
      </c>
    </row>
    <row r="54" spans="2:159" x14ac:dyDescent="0.25">
      <c r="B54" s="17" t="s">
        <v>31</v>
      </c>
      <c r="C54" s="17" t="s">
        <v>32</v>
      </c>
      <c r="D54" s="17" t="s">
        <v>33</v>
      </c>
      <c r="E54" s="17" t="s">
        <v>34</v>
      </c>
      <c r="F54" s="17" t="s">
        <v>35</v>
      </c>
      <c r="G54" s="17" t="s">
        <v>36</v>
      </c>
      <c r="H54" s="17" t="s">
        <v>37</v>
      </c>
      <c r="I54" s="17" t="s">
        <v>39</v>
      </c>
      <c r="J54" s="17" t="s">
        <v>38</v>
      </c>
      <c r="K54" s="17" t="s">
        <v>40</v>
      </c>
      <c r="L54" s="17" t="s">
        <v>50</v>
      </c>
      <c r="M54" s="17" t="s">
        <v>44</v>
      </c>
      <c r="N54" s="17" t="s">
        <v>48</v>
      </c>
      <c r="O54" s="17" t="s">
        <v>46</v>
      </c>
      <c r="P54" s="17" t="s">
        <v>51</v>
      </c>
      <c r="Q54" s="17" t="s">
        <v>52</v>
      </c>
      <c r="R54" s="17" t="s">
        <v>53</v>
      </c>
    </row>
    <row r="55" spans="2:159" x14ac:dyDescent="0.25">
      <c r="B55" s="17" t="s">
        <v>61</v>
      </c>
      <c r="C55" s="17" t="s">
        <v>58</v>
      </c>
      <c r="D55" s="17" t="s">
        <v>2253</v>
      </c>
      <c r="E55" s="17" t="s">
        <v>2254</v>
      </c>
      <c r="F55" s="17" t="s">
        <v>56</v>
      </c>
      <c r="G55" s="17" t="s">
        <v>56</v>
      </c>
      <c r="H55" s="17" t="s">
        <v>56</v>
      </c>
      <c r="I55" s="17" t="s">
        <v>63</v>
      </c>
      <c r="J55" s="17" t="s">
        <v>62</v>
      </c>
      <c r="K55" s="17" t="s">
        <v>64</v>
      </c>
      <c r="L55" s="17" t="s">
        <v>334</v>
      </c>
      <c r="M55" s="17" t="s">
        <v>289</v>
      </c>
      <c r="N55" s="17" t="s">
        <v>332</v>
      </c>
      <c r="O55" s="17">
        <v>23300</v>
      </c>
      <c r="P55" s="17" t="s">
        <v>985</v>
      </c>
      <c r="Q55" s="17" t="s">
        <v>73</v>
      </c>
      <c r="R55" s="17" t="s">
        <v>56</v>
      </c>
    </row>
  </sheetData>
  <autoFilter ref="B8:CA18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C52"/>
  <sheetViews>
    <sheetView showGridLines="0" workbookViewId="0"/>
  </sheetViews>
  <sheetFormatPr defaultRowHeight="15" x14ac:dyDescent="0.25"/>
  <cols>
    <col min="1" max="1" width="3.7109375" customWidth="1"/>
    <col min="2" max="2" width="20.5703125" bestFit="1" customWidth="1"/>
    <col min="3" max="3" width="9.7109375" bestFit="1" customWidth="1"/>
    <col min="55" max="57" width="17.85546875" bestFit="1" customWidth="1"/>
    <col min="58" max="60" width="25.42578125" bestFit="1" customWidth="1"/>
    <col min="65" max="66" width="32.7109375" bestFit="1" customWidth="1"/>
    <col min="67" max="67" width="18.85546875" bestFit="1" customWidth="1"/>
    <col min="68" max="69" width="23" bestFit="1" customWidth="1"/>
  </cols>
  <sheetData>
    <row r="2" spans="2:79" x14ac:dyDescent="0.25">
      <c r="B2" s="6" t="s">
        <v>1299</v>
      </c>
    </row>
    <row r="4" spans="2:79" x14ac:dyDescent="0.25">
      <c r="B4" s="4" t="s">
        <v>2962</v>
      </c>
      <c r="C4" t="s">
        <v>2998</v>
      </c>
    </row>
    <row r="5" spans="2:79" x14ac:dyDescent="0.25">
      <c r="B5" s="4"/>
      <c r="C5" t="s">
        <v>3000</v>
      </c>
    </row>
    <row r="6" spans="2:79" x14ac:dyDescent="0.25">
      <c r="B6" s="4"/>
      <c r="D6" t="s">
        <v>2999</v>
      </c>
    </row>
    <row r="8" spans="2:79" s="15" customFormat="1" x14ac:dyDescent="0.25">
      <c r="B8" s="26" t="s">
        <v>2545</v>
      </c>
    </row>
    <row r="10" spans="2:79" x14ac:dyDescent="0.25">
      <c r="B10" s="17" t="s">
        <v>2546</v>
      </c>
      <c r="C10" s="17" t="s">
        <v>2547</v>
      </c>
      <c r="D10" s="17" t="s">
        <v>2548</v>
      </c>
      <c r="E10" s="17" t="s">
        <v>2549</v>
      </c>
      <c r="F10" s="17" t="s">
        <v>18</v>
      </c>
      <c r="G10" s="17" t="s">
        <v>2550</v>
      </c>
      <c r="H10" s="17" t="s">
        <v>2551</v>
      </c>
      <c r="I10" s="17" t="s">
        <v>2552</v>
      </c>
      <c r="J10" s="17" t="s">
        <v>2553</v>
      </c>
      <c r="K10" s="17" t="s">
        <v>2554</v>
      </c>
      <c r="L10" s="17" t="s">
        <v>2555</v>
      </c>
      <c r="M10" s="17" t="s">
        <v>35</v>
      </c>
      <c r="N10" s="17" t="s">
        <v>36</v>
      </c>
      <c r="O10" s="17" t="s">
        <v>37</v>
      </c>
      <c r="P10" s="17" t="s">
        <v>2556</v>
      </c>
      <c r="Q10" s="17" t="s">
        <v>2557</v>
      </c>
      <c r="R10" s="17" t="s">
        <v>2558</v>
      </c>
      <c r="S10" s="17" t="s">
        <v>2559</v>
      </c>
      <c r="T10" s="17" t="s">
        <v>2560</v>
      </c>
      <c r="U10" s="17" t="s">
        <v>2561</v>
      </c>
      <c r="V10" s="17" t="s">
        <v>2562</v>
      </c>
      <c r="W10" s="17" t="s">
        <v>2563</v>
      </c>
      <c r="X10" s="17" t="s">
        <v>2564</v>
      </c>
      <c r="Y10" s="17" t="s">
        <v>2565</v>
      </c>
      <c r="Z10" s="17" t="s">
        <v>2566</v>
      </c>
      <c r="AA10" s="17" t="s">
        <v>2567</v>
      </c>
      <c r="AB10" s="17" t="s">
        <v>2568</v>
      </c>
      <c r="AC10" s="17" t="s">
        <v>2569</v>
      </c>
      <c r="AD10" s="17" t="s">
        <v>2570</v>
      </c>
      <c r="AE10" s="17" t="s">
        <v>2571</v>
      </c>
      <c r="AF10" s="17" t="s">
        <v>2572</v>
      </c>
      <c r="AG10" s="17" t="s">
        <v>2573</v>
      </c>
      <c r="AH10" s="17" t="s">
        <v>2574</v>
      </c>
      <c r="AI10" s="17" t="s">
        <v>2575</v>
      </c>
      <c r="AJ10" s="17" t="s">
        <v>2576</v>
      </c>
      <c r="AK10" s="17" t="s">
        <v>2577</v>
      </c>
      <c r="AL10" s="17" t="s">
        <v>2578</v>
      </c>
      <c r="AM10" s="17" t="s">
        <v>2579</v>
      </c>
      <c r="AN10" s="17" t="s">
        <v>2580</v>
      </c>
      <c r="AO10" s="17" t="s">
        <v>2581</v>
      </c>
      <c r="AP10" s="17" t="s">
        <v>2582</v>
      </c>
      <c r="AQ10" s="17" t="s">
        <v>2583</v>
      </c>
      <c r="AR10" s="17" t="s">
        <v>2584</v>
      </c>
      <c r="AS10" s="17" t="s">
        <v>2585</v>
      </c>
      <c r="AT10" s="17" t="s">
        <v>2586</v>
      </c>
      <c r="AU10" s="17" t="s">
        <v>2587</v>
      </c>
      <c r="AV10" s="17" t="s">
        <v>2588</v>
      </c>
      <c r="AW10" s="17" t="s">
        <v>2589</v>
      </c>
      <c r="AX10" s="17" t="s">
        <v>2590</v>
      </c>
      <c r="AY10" s="17" t="s">
        <v>2591</v>
      </c>
      <c r="AZ10" s="17" t="s">
        <v>2592</v>
      </c>
      <c r="BA10" s="17" t="s">
        <v>2593</v>
      </c>
      <c r="BB10" s="17" t="s">
        <v>2594</v>
      </c>
      <c r="BC10" s="17" t="s">
        <v>2595</v>
      </c>
      <c r="BD10" s="17" t="s">
        <v>2596</v>
      </c>
      <c r="BE10" s="17" t="s">
        <v>2597</v>
      </c>
      <c r="BF10" s="17" t="s">
        <v>2598</v>
      </c>
      <c r="BG10" s="17" t="s">
        <v>2599</v>
      </c>
      <c r="BH10" s="17" t="s">
        <v>2600</v>
      </c>
      <c r="BI10" s="17" t="s">
        <v>2601</v>
      </c>
      <c r="BJ10" s="17" t="s">
        <v>2602</v>
      </c>
      <c r="BK10" s="17" t="s">
        <v>2603</v>
      </c>
      <c r="BL10" s="17" t="s">
        <v>2604</v>
      </c>
      <c r="BM10" s="17" t="s">
        <v>2605</v>
      </c>
      <c r="BN10" s="17" t="s">
        <v>2606</v>
      </c>
      <c r="BO10" s="17" t="s">
        <v>2607</v>
      </c>
      <c r="BP10" s="17" t="s">
        <v>2608</v>
      </c>
      <c r="BQ10" s="17" t="s">
        <v>2609</v>
      </c>
      <c r="BR10" s="17" t="s">
        <v>2610</v>
      </c>
      <c r="BS10" s="17" t="s">
        <v>2611</v>
      </c>
      <c r="BT10" s="17" t="s">
        <v>2612</v>
      </c>
      <c r="BU10" s="17" t="s">
        <v>2613</v>
      </c>
      <c r="BV10" s="17" t="s">
        <v>2614</v>
      </c>
      <c r="BW10" s="17" t="s">
        <v>2615</v>
      </c>
      <c r="BX10" s="17" t="s">
        <v>2616</v>
      </c>
      <c r="BY10" s="17" t="s">
        <v>2617</v>
      </c>
      <c r="BZ10" s="17" t="s">
        <v>2618</v>
      </c>
      <c r="CA10" s="17" t="s">
        <v>2619</v>
      </c>
    </row>
    <row r="11" spans="2:79" x14ac:dyDescent="0.25">
      <c r="B11" s="17" t="s">
        <v>61</v>
      </c>
      <c r="C11" s="17" t="s">
        <v>58</v>
      </c>
      <c r="D11" s="17" t="s">
        <v>1300</v>
      </c>
      <c r="E11" s="17" t="s">
        <v>1301</v>
      </c>
      <c r="F11" s="17" t="s">
        <v>1299</v>
      </c>
      <c r="G11" s="17" t="s">
        <v>2966</v>
      </c>
      <c r="H11" s="17"/>
      <c r="I11" s="17" t="s">
        <v>2635</v>
      </c>
      <c r="J11" s="17">
        <v>1873.41</v>
      </c>
      <c r="K11" s="17" t="s">
        <v>56</v>
      </c>
      <c r="L11" s="17" t="s">
        <v>56</v>
      </c>
      <c r="M11" s="17" t="s">
        <v>56</v>
      </c>
      <c r="N11" s="17" t="s">
        <v>56</v>
      </c>
      <c r="O11" s="17" t="s">
        <v>56</v>
      </c>
      <c r="P11" s="17" t="s">
        <v>56</v>
      </c>
      <c r="Q11" s="17" t="s">
        <v>56</v>
      </c>
      <c r="R11" s="17" t="s">
        <v>56</v>
      </c>
      <c r="S11" s="17" t="s">
        <v>56</v>
      </c>
      <c r="T11" s="17" t="s">
        <v>56</v>
      </c>
      <c r="U11" s="17" t="s">
        <v>56</v>
      </c>
      <c r="V11" s="17" t="s">
        <v>1325</v>
      </c>
      <c r="W11" s="17" t="s">
        <v>56</v>
      </c>
      <c r="X11" s="17" t="s">
        <v>2640</v>
      </c>
      <c r="Y11" s="17" t="s">
        <v>56</v>
      </c>
      <c r="Z11" s="17" t="s">
        <v>56</v>
      </c>
      <c r="AA11" s="17" t="s">
        <v>2627</v>
      </c>
      <c r="AB11" s="17">
        <v>1873.41</v>
      </c>
      <c r="AC11" s="17" t="s">
        <v>939</v>
      </c>
      <c r="AD11" s="17" t="s">
        <v>2970</v>
      </c>
      <c r="AE11" s="17" t="s">
        <v>2629</v>
      </c>
      <c r="AF11" s="17"/>
      <c r="AG11" s="16">
        <v>45499</v>
      </c>
      <c r="AH11" s="16">
        <v>2958465</v>
      </c>
      <c r="AI11" s="17" t="s">
        <v>2630</v>
      </c>
      <c r="AJ11" s="17" t="s">
        <v>2631</v>
      </c>
      <c r="AK11" s="17" t="s">
        <v>2971</v>
      </c>
      <c r="AL11" s="17">
        <v>30410.74</v>
      </c>
      <c r="AM11" s="17">
        <v>188848.76</v>
      </c>
      <c r="AN11" s="17">
        <v>0</v>
      </c>
      <c r="AO11" s="17">
        <v>0</v>
      </c>
      <c r="AP11" s="17">
        <v>22322.99</v>
      </c>
      <c r="AQ11" s="17">
        <v>0</v>
      </c>
      <c r="AR11" s="17">
        <v>0</v>
      </c>
      <c r="AS11" s="17">
        <v>30410.74</v>
      </c>
      <c r="AT11" s="17">
        <v>211171.75</v>
      </c>
      <c r="AU11" s="17">
        <v>1100.54</v>
      </c>
      <c r="AV11" s="17">
        <v>84.305300000000003</v>
      </c>
      <c r="AW11" s="17">
        <v>444.68099999999998</v>
      </c>
      <c r="AX11" s="17" t="s">
        <v>2633</v>
      </c>
      <c r="AY11" s="17" t="s">
        <v>2633</v>
      </c>
      <c r="AZ11" s="17" t="s">
        <v>2633</v>
      </c>
      <c r="BA11" s="17" t="s">
        <v>56</v>
      </c>
      <c r="BB11" s="17" t="s">
        <v>56</v>
      </c>
      <c r="BC11" s="17" t="s">
        <v>56</v>
      </c>
      <c r="BD11" s="17" t="s">
        <v>56</v>
      </c>
      <c r="BE11" s="17" t="s">
        <v>56</v>
      </c>
      <c r="BF11" s="17" t="s">
        <v>56</v>
      </c>
      <c r="BG11" s="17" t="s">
        <v>56</v>
      </c>
      <c r="BH11" s="17" t="s">
        <v>56</v>
      </c>
      <c r="BI11" s="17" t="s">
        <v>56</v>
      </c>
      <c r="BJ11" s="17" t="s">
        <v>56</v>
      </c>
      <c r="BK11" s="17" t="s">
        <v>56</v>
      </c>
      <c r="BL11" s="17" t="s">
        <v>56</v>
      </c>
      <c r="BM11" s="17" t="s">
        <v>56</v>
      </c>
      <c r="BN11" s="17" t="s">
        <v>56</v>
      </c>
      <c r="BO11" s="17" t="s">
        <v>1325</v>
      </c>
      <c r="BP11" s="17" t="s">
        <v>939</v>
      </c>
      <c r="BQ11" s="17">
        <v>53675</v>
      </c>
      <c r="BR11" s="17" t="s">
        <v>56</v>
      </c>
      <c r="BS11" s="17" t="s">
        <v>56</v>
      </c>
      <c r="BT11" s="17" t="s">
        <v>56</v>
      </c>
      <c r="BU11" s="17" t="s">
        <v>2635</v>
      </c>
      <c r="BV11" s="17" t="s">
        <v>56</v>
      </c>
      <c r="BW11" s="17" t="s">
        <v>56</v>
      </c>
      <c r="BX11" s="17" t="s">
        <v>2635</v>
      </c>
      <c r="BY11" s="17" t="s">
        <v>56</v>
      </c>
      <c r="BZ11" s="17" t="s">
        <v>56</v>
      </c>
      <c r="CA11" s="17" t="s">
        <v>2635</v>
      </c>
    </row>
    <row r="12" spans="2:79" x14ac:dyDescent="0.25">
      <c r="B12" s="17" t="s">
        <v>61</v>
      </c>
      <c r="C12" s="17" t="s">
        <v>58</v>
      </c>
      <c r="D12" s="17" t="s">
        <v>1300</v>
      </c>
      <c r="E12" s="17" t="s">
        <v>1301</v>
      </c>
      <c r="F12" s="17" t="s">
        <v>1299</v>
      </c>
      <c r="G12" s="17" t="s">
        <v>2966</v>
      </c>
      <c r="H12" s="17"/>
      <c r="I12" s="17" t="s">
        <v>2621</v>
      </c>
      <c r="J12" s="17">
        <v>-36066.959999999999</v>
      </c>
      <c r="K12" s="17" t="s">
        <v>1299</v>
      </c>
      <c r="L12" s="17" t="s">
        <v>61</v>
      </c>
      <c r="M12" s="17" t="s">
        <v>58</v>
      </c>
      <c r="N12" s="17" t="s">
        <v>1300</v>
      </c>
      <c r="O12" s="17" t="s">
        <v>2622</v>
      </c>
      <c r="P12" s="17" t="s">
        <v>2967</v>
      </c>
      <c r="Q12" s="17" t="s">
        <v>2624</v>
      </c>
      <c r="R12" s="17" t="s">
        <v>2968</v>
      </c>
      <c r="S12" s="17">
        <v>11561.86</v>
      </c>
      <c r="T12" s="17">
        <v>25425</v>
      </c>
      <c r="U12" s="17">
        <v>25425</v>
      </c>
      <c r="V12" s="17" t="s">
        <v>2969</v>
      </c>
      <c r="W12" s="17">
        <v>35970.239999999998</v>
      </c>
      <c r="X12" s="17" t="s">
        <v>2626</v>
      </c>
      <c r="Y12" s="17">
        <v>0.32142849199782902</v>
      </c>
      <c r="Z12" s="17">
        <v>0.32056652404305702</v>
      </c>
      <c r="AA12" s="17" t="s">
        <v>2627</v>
      </c>
      <c r="AB12" s="17">
        <v>-11561.859999999901</v>
      </c>
      <c r="AC12" s="17" t="s">
        <v>939</v>
      </c>
      <c r="AD12" s="17" t="s">
        <v>2970</v>
      </c>
      <c r="AE12" s="17" t="s">
        <v>2629</v>
      </c>
      <c r="AF12" s="17"/>
      <c r="AG12" s="16">
        <v>45499</v>
      </c>
      <c r="AH12" s="16">
        <v>2958465</v>
      </c>
      <c r="AI12" s="17" t="s">
        <v>2630</v>
      </c>
      <c r="AJ12" s="17" t="s">
        <v>2631</v>
      </c>
      <c r="AK12" s="17" t="s">
        <v>2971</v>
      </c>
      <c r="AL12" s="17">
        <v>30410.74</v>
      </c>
      <c r="AM12" s="17">
        <v>188848.76</v>
      </c>
      <c r="AN12" s="17">
        <v>0</v>
      </c>
      <c r="AO12" s="17">
        <v>0</v>
      </c>
      <c r="AP12" s="17">
        <v>22322.99</v>
      </c>
      <c r="AQ12" s="17">
        <v>0</v>
      </c>
      <c r="AR12" s="17">
        <v>0</v>
      </c>
      <c r="AS12" s="17">
        <v>30410.74</v>
      </c>
      <c r="AT12" s="17">
        <v>211171.75</v>
      </c>
      <c r="AU12" s="17">
        <v>1100.54</v>
      </c>
      <c r="AV12" s="17">
        <v>84.305300000000003</v>
      </c>
      <c r="AW12" s="17">
        <v>444.68099999999998</v>
      </c>
      <c r="AX12" s="17" t="s">
        <v>2633</v>
      </c>
      <c r="AY12" s="17" t="s">
        <v>2633</v>
      </c>
      <c r="AZ12" s="17" t="s">
        <v>2633</v>
      </c>
      <c r="BA12" s="17" t="s">
        <v>56</v>
      </c>
      <c r="BB12" s="17" t="s">
        <v>56</v>
      </c>
      <c r="BC12" s="17" t="s">
        <v>56</v>
      </c>
      <c r="BD12" s="17" t="s">
        <v>56</v>
      </c>
      <c r="BE12" s="17" t="s">
        <v>56</v>
      </c>
      <c r="BF12" s="17" t="s">
        <v>56</v>
      </c>
      <c r="BG12" s="17" t="s">
        <v>56</v>
      </c>
      <c r="BH12" s="17" t="s">
        <v>56</v>
      </c>
      <c r="BI12" s="17" t="s">
        <v>56</v>
      </c>
      <c r="BJ12" s="17" t="s">
        <v>56</v>
      </c>
      <c r="BK12" s="17" t="s">
        <v>56</v>
      </c>
      <c r="BL12" s="17" t="s">
        <v>56</v>
      </c>
      <c r="BM12" s="17" t="s">
        <v>56</v>
      </c>
      <c r="BN12" s="17" t="s">
        <v>56</v>
      </c>
      <c r="BO12" s="17" t="s">
        <v>1325</v>
      </c>
      <c r="BP12" s="17" t="s">
        <v>939</v>
      </c>
      <c r="BQ12" s="17">
        <v>53675</v>
      </c>
      <c r="BR12" s="17" t="s">
        <v>56</v>
      </c>
      <c r="BS12" s="17" t="s">
        <v>56</v>
      </c>
      <c r="BT12" s="17" t="s">
        <v>56</v>
      </c>
      <c r="BU12" s="17" t="s">
        <v>2635</v>
      </c>
      <c r="BV12" s="17" t="s">
        <v>56</v>
      </c>
      <c r="BW12" s="17" t="s">
        <v>56</v>
      </c>
      <c r="BX12" s="17" t="s">
        <v>2635</v>
      </c>
      <c r="BY12" s="17" t="s">
        <v>56</v>
      </c>
      <c r="BZ12" s="17" t="s">
        <v>56</v>
      </c>
      <c r="CA12" s="17" t="s">
        <v>2635</v>
      </c>
    </row>
    <row r="13" spans="2:79" x14ac:dyDescent="0.25">
      <c r="B13" s="17" t="s">
        <v>61</v>
      </c>
      <c r="C13" s="17" t="s">
        <v>58</v>
      </c>
      <c r="D13" s="17" t="s">
        <v>1300</v>
      </c>
      <c r="E13" s="17" t="s">
        <v>1301</v>
      </c>
      <c r="F13" s="17" t="s">
        <v>1299</v>
      </c>
      <c r="G13" s="17" t="s">
        <v>2966</v>
      </c>
      <c r="H13" s="17"/>
      <c r="I13" s="17" t="s">
        <v>2621</v>
      </c>
      <c r="J13" s="17">
        <v>-36066.959999999999</v>
      </c>
      <c r="K13" s="17" t="s">
        <v>1299</v>
      </c>
      <c r="L13" s="17" t="s">
        <v>61</v>
      </c>
      <c r="M13" s="17" t="s">
        <v>58</v>
      </c>
      <c r="N13" s="17" t="s">
        <v>1300</v>
      </c>
      <c r="O13" s="17" t="s">
        <v>2636</v>
      </c>
      <c r="P13" s="17" t="s">
        <v>2972</v>
      </c>
      <c r="Q13" s="17" t="s">
        <v>2624</v>
      </c>
      <c r="R13" s="17" t="s">
        <v>2879</v>
      </c>
      <c r="S13" s="17">
        <v>6423.26</v>
      </c>
      <c r="T13" s="17">
        <v>14125</v>
      </c>
      <c r="U13" s="17">
        <v>14125</v>
      </c>
      <c r="V13" s="17" t="s">
        <v>2969</v>
      </c>
      <c r="W13" s="17">
        <v>35970.239999999998</v>
      </c>
      <c r="X13" s="17" t="s">
        <v>2626</v>
      </c>
      <c r="Y13" s="17">
        <v>0.17857150800217</v>
      </c>
      <c r="Z13" s="17">
        <v>0.17809263658484101</v>
      </c>
      <c r="AA13" s="17" t="s">
        <v>2627</v>
      </c>
      <c r="AB13" s="17">
        <v>-6423.2599999999902</v>
      </c>
      <c r="AC13" s="17" t="s">
        <v>939</v>
      </c>
      <c r="AD13" s="17" t="s">
        <v>2970</v>
      </c>
      <c r="AE13" s="17" t="s">
        <v>2629</v>
      </c>
      <c r="AF13" s="17"/>
      <c r="AG13" s="16">
        <v>45499</v>
      </c>
      <c r="AH13" s="16">
        <v>2958465</v>
      </c>
      <c r="AI13" s="17" t="s">
        <v>2630</v>
      </c>
      <c r="AJ13" s="17" t="s">
        <v>2631</v>
      </c>
      <c r="AK13" s="17" t="s">
        <v>2971</v>
      </c>
      <c r="AL13" s="17">
        <v>30410.74</v>
      </c>
      <c r="AM13" s="17">
        <v>188848.76</v>
      </c>
      <c r="AN13" s="17">
        <v>0</v>
      </c>
      <c r="AO13" s="17">
        <v>0</v>
      </c>
      <c r="AP13" s="17">
        <v>22322.99</v>
      </c>
      <c r="AQ13" s="17">
        <v>0</v>
      </c>
      <c r="AR13" s="17">
        <v>0</v>
      </c>
      <c r="AS13" s="17">
        <v>30410.74</v>
      </c>
      <c r="AT13" s="17">
        <v>211171.75</v>
      </c>
      <c r="AU13" s="17">
        <v>1100.54</v>
      </c>
      <c r="AV13" s="17">
        <v>84.305300000000003</v>
      </c>
      <c r="AW13" s="17">
        <v>444.68099999999998</v>
      </c>
      <c r="AX13" s="17" t="s">
        <v>2633</v>
      </c>
      <c r="AY13" s="17" t="s">
        <v>2633</v>
      </c>
      <c r="AZ13" s="17" t="s">
        <v>2633</v>
      </c>
      <c r="BA13" s="17" t="s">
        <v>56</v>
      </c>
      <c r="BB13" s="17" t="s">
        <v>56</v>
      </c>
      <c r="BC13" s="17">
        <v>67895.399999999994</v>
      </c>
      <c r="BD13" s="17" t="s">
        <v>56</v>
      </c>
      <c r="BE13" s="17" t="s">
        <v>56</v>
      </c>
      <c r="BF13" s="17" t="s">
        <v>2634</v>
      </c>
      <c r="BG13" s="17" t="s">
        <v>2635</v>
      </c>
      <c r="BH13" s="17" t="s">
        <v>2635</v>
      </c>
      <c r="BI13" s="17" t="s">
        <v>56</v>
      </c>
      <c r="BJ13" s="17" t="s">
        <v>56</v>
      </c>
      <c r="BK13" s="17" t="s">
        <v>56</v>
      </c>
      <c r="BL13" s="17" t="s">
        <v>56</v>
      </c>
      <c r="BM13" s="17" t="s">
        <v>56</v>
      </c>
      <c r="BN13" s="17" t="s">
        <v>56</v>
      </c>
      <c r="BO13" s="17" t="s">
        <v>939</v>
      </c>
      <c r="BP13" s="17" t="s">
        <v>939</v>
      </c>
      <c r="BQ13" s="17">
        <v>53675</v>
      </c>
      <c r="BR13" s="17">
        <v>45622.314030000001</v>
      </c>
      <c r="BS13" s="17" t="s">
        <v>56</v>
      </c>
      <c r="BT13" s="17">
        <v>45622.314030000001</v>
      </c>
      <c r="BU13" s="17" t="s">
        <v>2634</v>
      </c>
      <c r="BV13" s="17" t="s">
        <v>56</v>
      </c>
      <c r="BW13" s="17" t="s">
        <v>56</v>
      </c>
      <c r="BX13" s="17" t="s">
        <v>2635</v>
      </c>
      <c r="BY13" s="17" t="s">
        <v>56</v>
      </c>
      <c r="BZ13" s="17" t="s">
        <v>56</v>
      </c>
      <c r="CA13" s="17" t="s">
        <v>2635</v>
      </c>
    </row>
    <row r="14" spans="2:79" x14ac:dyDescent="0.25">
      <c r="B14" s="17" t="s">
        <v>61</v>
      </c>
      <c r="C14" s="17" t="s">
        <v>58</v>
      </c>
      <c r="D14" s="17" t="s">
        <v>1300</v>
      </c>
      <c r="E14" s="17" t="s">
        <v>1301</v>
      </c>
      <c r="F14" s="17" t="s">
        <v>1299</v>
      </c>
      <c r="G14" s="17" t="s">
        <v>2966</v>
      </c>
      <c r="H14" s="17"/>
      <c r="I14" s="17" t="s">
        <v>2621</v>
      </c>
      <c r="J14" s="17">
        <v>-36066.959999999999</v>
      </c>
      <c r="K14" s="17" t="s">
        <v>1299</v>
      </c>
      <c r="L14" s="17" t="s">
        <v>61</v>
      </c>
      <c r="M14" s="17" t="s">
        <v>58</v>
      </c>
      <c r="N14" s="17" t="s">
        <v>1300</v>
      </c>
      <c r="O14" s="17" t="s">
        <v>2638</v>
      </c>
      <c r="P14" s="17" t="s">
        <v>2973</v>
      </c>
      <c r="Q14" s="17" t="s">
        <v>2624</v>
      </c>
      <c r="R14" s="17" t="s">
        <v>2974</v>
      </c>
      <c r="S14" s="17">
        <v>17985.12</v>
      </c>
      <c r="T14" s="17">
        <v>39550</v>
      </c>
      <c r="U14" s="17">
        <v>39550</v>
      </c>
      <c r="V14" s="17" t="s">
        <v>2969</v>
      </c>
      <c r="W14" s="17">
        <v>35970.239999999998</v>
      </c>
      <c r="X14" s="17" t="s">
        <v>2626</v>
      </c>
      <c r="Y14" s="17">
        <v>0.5</v>
      </c>
      <c r="Z14" s="17">
        <v>0.498659160627898</v>
      </c>
      <c r="AA14" s="17" t="s">
        <v>2627</v>
      </c>
      <c r="AB14" s="17">
        <v>-17985.119999999901</v>
      </c>
      <c r="AC14" s="17" t="s">
        <v>939</v>
      </c>
      <c r="AD14" s="17" t="s">
        <v>2970</v>
      </c>
      <c r="AE14" s="17" t="s">
        <v>2629</v>
      </c>
      <c r="AF14" s="17"/>
      <c r="AG14" s="16">
        <v>45499</v>
      </c>
      <c r="AH14" s="16">
        <v>2958465</v>
      </c>
      <c r="AI14" s="17" t="s">
        <v>2630</v>
      </c>
      <c r="AJ14" s="17" t="s">
        <v>2631</v>
      </c>
      <c r="AK14" s="17" t="s">
        <v>2971</v>
      </c>
      <c r="AL14" s="17">
        <v>30410.74</v>
      </c>
      <c r="AM14" s="17">
        <v>188848.76</v>
      </c>
      <c r="AN14" s="17">
        <v>0</v>
      </c>
      <c r="AO14" s="17">
        <v>0</v>
      </c>
      <c r="AP14" s="17">
        <v>22322.99</v>
      </c>
      <c r="AQ14" s="17">
        <v>0</v>
      </c>
      <c r="AR14" s="17">
        <v>0</v>
      </c>
      <c r="AS14" s="17">
        <v>30410.74</v>
      </c>
      <c r="AT14" s="17">
        <v>211171.75</v>
      </c>
      <c r="AU14" s="17">
        <v>1100.54</v>
      </c>
      <c r="AV14" s="17">
        <v>84.305300000000003</v>
      </c>
      <c r="AW14" s="17">
        <v>444.68099999999998</v>
      </c>
      <c r="AX14" s="17" t="s">
        <v>2633</v>
      </c>
      <c r="AY14" s="17" t="s">
        <v>2633</v>
      </c>
      <c r="AZ14" s="17" t="s">
        <v>2633</v>
      </c>
      <c r="BA14" s="17" t="s">
        <v>56</v>
      </c>
      <c r="BB14" s="17" t="s">
        <v>56</v>
      </c>
      <c r="BC14" s="17">
        <v>67895.399999999994</v>
      </c>
      <c r="BD14" s="17" t="s">
        <v>56</v>
      </c>
      <c r="BE14" s="17" t="s">
        <v>56</v>
      </c>
      <c r="BF14" s="17" t="s">
        <v>2634</v>
      </c>
      <c r="BG14" s="17" t="s">
        <v>2635</v>
      </c>
      <c r="BH14" s="17" t="s">
        <v>2635</v>
      </c>
      <c r="BI14" s="17" t="s">
        <v>56</v>
      </c>
      <c r="BJ14" s="17" t="s">
        <v>56</v>
      </c>
      <c r="BK14" s="17" t="s">
        <v>56</v>
      </c>
      <c r="BL14" s="17" t="s">
        <v>56</v>
      </c>
      <c r="BM14" s="17" t="s">
        <v>56</v>
      </c>
      <c r="BN14" s="17" t="s">
        <v>56</v>
      </c>
      <c r="BO14" s="17" t="s">
        <v>939</v>
      </c>
      <c r="BP14" s="17" t="s">
        <v>939</v>
      </c>
      <c r="BQ14" s="17">
        <v>53675</v>
      </c>
      <c r="BR14" s="17">
        <v>45622.314030000001</v>
      </c>
      <c r="BS14" s="17" t="s">
        <v>56</v>
      </c>
      <c r="BT14" s="17">
        <v>45622.314030000001</v>
      </c>
      <c r="BU14" s="17" t="s">
        <v>2634</v>
      </c>
      <c r="BV14" s="17" t="s">
        <v>56</v>
      </c>
      <c r="BW14" s="17" t="s">
        <v>56</v>
      </c>
      <c r="BX14" s="17" t="s">
        <v>2635</v>
      </c>
      <c r="BY14" s="17" t="s">
        <v>56</v>
      </c>
      <c r="BZ14" s="17" t="s">
        <v>56</v>
      </c>
      <c r="CA14" s="17" t="s">
        <v>2635</v>
      </c>
    </row>
    <row r="15" spans="2:79" x14ac:dyDescent="0.25">
      <c r="B15" s="17" t="s">
        <v>61</v>
      </c>
      <c r="C15" s="17" t="s">
        <v>58</v>
      </c>
      <c r="D15" s="17" t="s">
        <v>1300</v>
      </c>
      <c r="E15" s="17" t="s">
        <v>1301</v>
      </c>
      <c r="F15" s="17" t="s">
        <v>1299</v>
      </c>
      <c r="G15" s="17" t="s">
        <v>2966</v>
      </c>
      <c r="H15" s="17"/>
      <c r="I15" s="17" t="s">
        <v>2621</v>
      </c>
      <c r="J15" s="17">
        <v>-36066.959999999999</v>
      </c>
      <c r="K15" s="17" t="s">
        <v>1299</v>
      </c>
      <c r="L15" s="17" t="s">
        <v>56</v>
      </c>
      <c r="M15" s="17" t="s">
        <v>56</v>
      </c>
      <c r="N15" s="17" t="s">
        <v>56</v>
      </c>
      <c r="O15" s="17" t="s">
        <v>56</v>
      </c>
      <c r="P15" s="17" t="s">
        <v>56</v>
      </c>
      <c r="Q15" s="17" t="s">
        <v>56</v>
      </c>
      <c r="R15" s="17" t="s">
        <v>56</v>
      </c>
      <c r="S15" s="17" t="s">
        <v>56</v>
      </c>
      <c r="T15" s="17" t="s">
        <v>56</v>
      </c>
      <c r="U15" s="17" t="s">
        <v>56</v>
      </c>
      <c r="V15" s="17" t="s">
        <v>56</v>
      </c>
      <c r="W15" s="17">
        <v>35970.239999999998</v>
      </c>
      <c r="X15" s="17" t="s">
        <v>2626</v>
      </c>
      <c r="Y15" s="17" t="s">
        <v>56</v>
      </c>
      <c r="Z15" s="17">
        <v>2.6816787442024499E-3</v>
      </c>
      <c r="AA15" s="17" t="s">
        <v>2641</v>
      </c>
      <c r="AB15" s="17">
        <v>-96.72</v>
      </c>
      <c r="AC15" s="17" t="s">
        <v>939</v>
      </c>
      <c r="AD15" s="17" t="s">
        <v>2970</v>
      </c>
      <c r="AE15" s="17" t="s">
        <v>2629</v>
      </c>
      <c r="AF15" s="17"/>
      <c r="AG15" s="16">
        <v>45499</v>
      </c>
      <c r="AH15" s="16">
        <v>2958465</v>
      </c>
      <c r="AI15" s="17" t="s">
        <v>2630</v>
      </c>
      <c r="AJ15" s="17" t="s">
        <v>2631</v>
      </c>
      <c r="AK15" s="17" t="s">
        <v>2971</v>
      </c>
      <c r="AL15" s="17">
        <v>30410.74</v>
      </c>
      <c r="AM15" s="17">
        <v>188848.76</v>
      </c>
      <c r="AN15" s="17">
        <v>0</v>
      </c>
      <c r="AO15" s="17">
        <v>0</v>
      </c>
      <c r="AP15" s="17">
        <v>22322.99</v>
      </c>
      <c r="AQ15" s="17">
        <v>0</v>
      </c>
      <c r="AR15" s="17">
        <v>0</v>
      </c>
      <c r="AS15" s="17">
        <v>30410.74</v>
      </c>
      <c r="AT15" s="17">
        <v>211171.75</v>
      </c>
      <c r="AU15" s="17">
        <v>1100.54</v>
      </c>
      <c r="AV15" s="17">
        <v>84.305300000000003</v>
      </c>
      <c r="AW15" s="17">
        <v>444.68099999999998</v>
      </c>
      <c r="AX15" s="17" t="s">
        <v>2633</v>
      </c>
      <c r="AY15" s="17" t="s">
        <v>2633</v>
      </c>
      <c r="AZ15" s="17" t="s">
        <v>2633</v>
      </c>
      <c r="BA15" s="17" t="s">
        <v>56</v>
      </c>
      <c r="BB15" s="17" t="s">
        <v>56</v>
      </c>
      <c r="BC15" s="17" t="s">
        <v>56</v>
      </c>
      <c r="BD15" s="17" t="s">
        <v>56</v>
      </c>
      <c r="BE15" s="17" t="s">
        <v>56</v>
      </c>
      <c r="BF15" s="17" t="s">
        <v>56</v>
      </c>
      <c r="BG15" s="17" t="s">
        <v>56</v>
      </c>
      <c r="BH15" s="17" t="s">
        <v>56</v>
      </c>
      <c r="BI15" s="17" t="s">
        <v>56</v>
      </c>
      <c r="BJ15" s="17" t="s">
        <v>56</v>
      </c>
      <c r="BK15" s="17" t="s">
        <v>56</v>
      </c>
      <c r="BL15" s="17" t="s">
        <v>56</v>
      </c>
      <c r="BM15" s="17" t="s">
        <v>56</v>
      </c>
      <c r="BN15" s="17" t="s">
        <v>56</v>
      </c>
      <c r="BO15" s="17" t="s">
        <v>1325</v>
      </c>
      <c r="BP15" s="17" t="s">
        <v>939</v>
      </c>
      <c r="BQ15" s="17">
        <v>53675</v>
      </c>
      <c r="BR15" s="17" t="s">
        <v>56</v>
      </c>
      <c r="BS15" s="17" t="s">
        <v>56</v>
      </c>
      <c r="BT15" s="17" t="s">
        <v>56</v>
      </c>
      <c r="BU15" s="17" t="s">
        <v>2635</v>
      </c>
      <c r="BV15" s="17" t="s">
        <v>56</v>
      </c>
      <c r="BW15" s="17" t="s">
        <v>56</v>
      </c>
      <c r="BX15" s="17" t="s">
        <v>2635</v>
      </c>
      <c r="BY15" s="17" t="s">
        <v>56</v>
      </c>
      <c r="BZ15" s="17" t="s">
        <v>56</v>
      </c>
      <c r="CA15" s="17" t="s">
        <v>2635</v>
      </c>
    </row>
    <row r="17" spans="2:69" x14ac:dyDescent="0.25">
      <c r="B17" t="s">
        <v>2642</v>
      </c>
      <c r="C17" s="2">
        <f>+J12</f>
        <v>-36066.959999999999</v>
      </c>
    </row>
    <row r="18" spans="2:69" x14ac:dyDescent="0.25">
      <c r="B18" t="s">
        <v>2643</v>
      </c>
      <c r="C18" s="2">
        <v>3</v>
      </c>
      <c r="D18" s="17" t="s">
        <v>2976</v>
      </c>
    </row>
    <row r="19" spans="2:69" x14ac:dyDescent="0.25">
      <c r="B19" t="s">
        <v>2649</v>
      </c>
      <c r="C19" s="2">
        <f>-C17/SUM(U13:U14)</f>
        <v>0.67195081509082444</v>
      </c>
    </row>
    <row r="20" spans="2:69" x14ac:dyDescent="0.25">
      <c r="B20" t="s">
        <v>2644</v>
      </c>
      <c r="C20" s="2" t="s">
        <v>2975</v>
      </c>
      <c r="D20" s="17" t="s">
        <v>2968</v>
      </c>
      <c r="E20" t="s">
        <v>2979</v>
      </c>
    </row>
    <row r="21" spans="2:69" x14ac:dyDescent="0.25">
      <c r="B21" t="s">
        <v>2645</v>
      </c>
      <c r="C21" s="2">
        <f>+$C$19*BC13</f>
        <v>45622.369370917557</v>
      </c>
      <c r="D21" s="17" t="s">
        <v>2879</v>
      </c>
      <c r="E21" t="s">
        <v>2977</v>
      </c>
    </row>
    <row r="22" spans="2:69" x14ac:dyDescent="0.25">
      <c r="B22" t="s">
        <v>2646</v>
      </c>
      <c r="C22" s="2">
        <f>+$C$19*BC14</f>
        <v>45622.369370917557</v>
      </c>
      <c r="D22" s="17" t="s">
        <v>2974</v>
      </c>
      <c r="E22" t="s">
        <v>2978</v>
      </c>
    </row>
    <row r="23" spans="2:69" x14ac:dyDescent="0.25">
      <c r="B23" s="3" t="s">
        <v>2647</v>
      </c>
      <c r="C23" s="30">
        <f>+SUM(C20:C22)</f>
        <v>91244.738741835114</v>
      </c>
    </row>
    <row r="24" spans="2:69" x14ac:dyDescent="0.25">
      <c r="B24" s="3"/>
      <c r="C24" s="30"/>
    </row>
    <row r="25" spans="2:69" x14ac:dyDescent="0.25">
      <c r="B25" s="28" t="s">
        <v>2874</v>
      </c>
      <c r="C25" s="5" t="s">
        <v>2985</v>
      </c>
      <c r="D25" s="6" t="s">
        <v>16</v>
      </c>
      <c r="G25" s="34" t="s">
        <v>2984</v>
      </c>
    </row>
    <row r="26" spans="2:69" x14ac:dyDescent="0.25">
      <c r="B26" s="17" t="s">
        <v>2556</v>
      </c>
      <c r="C26" s="17" t="s">
        <v>2899</v>
      </c>
      <c r="D26" s="17" t="s">
        <v>2900</v>
      </c>
      <c r="E26" s="17" t="s">
        <v>2901</v>
      </c>
      <c r="F26" s="17" t="s">
        <v>2619</v>
      </c>
      <c r="G26" s="32" t="s">
        <v>2902</v>
      </c>
      <c r="H26" s="17" t="s">
        <v>2903</v>
      </c>
      <c r="I26" s="17" t="s">
        <v>2904</v>
      </c>
      <c r="J26" s="17" t="s">
        <v>2556</v>
      </c>
      <c r="K26" s="17" t="s">
        <v>48</v>
      </c>
      <c r="L26" s="17" t="s">
        <v>2905</v>
      </c>
      <c r="M26" s="17" t="s">
        <v>2906</v>
      </c>
      <c r="N26" s="17" t="s">
        <v>2907</v>
      </c>
      <c r="O26" s="17" t="s">
        <v>2558</v>
      </c>
      <c r="P26" s="17" t="s">
        <v>2908</v>
      </c>
      <c r="Q26" s="17" t="s">
        <v>2909</v>
      </c>
      <c r="R26" s="17" t="s">
        <v>2910</v>
      </c>
      <c r="S26" s="17" t="s">
        <v>2911</v>
      </c>
      <c r="T26" s="17" t="s">
        <v>2912</v>
      </c>
      <c r="U26" s="17" t="s">
        <v>2913</v>
      </c>
      <c r="V26" s="17" t="s">
        <v>2914</v>
      </c>
      <c r="W26" s="17" t="s">
        <v>2915</v>
      </c>
      <c r="X26" s="17" t="s">
        <v>2916</v>
      </c>
      <c r="Y26" s="17" t="s">
        <v>2917</v>
      </c>
      <c r="Z26" s="17" t="s">
        <v>2918</v>
      </c>
      <c r="AA26" s="17" t="s">
        <v>2919</v>
      </c>
      <c r="AB26" s="17" t="s">
        <v>2920</v>
      </c>
      <c r="AC26" s="17" t="s">
        <v>2921</v>
      </c>
      <c r="AD26" s="17" t="s">
        <v>2922</v>
      </c>
      <c r="AE26" s="17" t="s">
        <v>2923</v>
      </c>
      <c r="AF26" s="17" t="s">
        <v>2924</v>
      </c>
      <c r="AG26" s="17" t="s">
        <v>2925</v>
      </c>
      <c r="AH26" s="17" t="s">
        <v>2926</v>
      </c>
      <c r="AI26" s="17" t="s">
        <v>2927</v>
      </c>
      <c r="AJ26" s="17" t="s">
        <v>2928</v>
      </c>
      <c r="AK26" s="17" t="s">
        <v>2929</v>
      </c>
      <c r="AL26" s="17" t="s">
        <v>2930</v>
      </c>
      <c r="AM26" s="17" t="s">
        <v>2931</v>
      </c>
      <c r="AN26" s="17" t="s">
        <v>2932</v>
      </c>
      <c r="AO26" s="17" t="s">
        <v>2933</v>
      </c>
      <c r="AP26" s="17" t="s">
        <v>2934</v>
      </c>
      <c r="AQ26" s="17" t="s">
        <v>2935</v>
      </c>
      <c r="AR26" s="17" t="s">
        <v>2936</v>
      </c>
      <c r="AS26" s="17" t="s">
        <v>2937</v>
      </c>
      <c r="AT26" s="17" t="s">
        <v>2938</v>
      </c>
      <c r="AU26" s="17" t="s">
        <v>2939</v>
      </c>
      <c r="AV26" s="17" t="s">
        <v>2917</v>
      </c>
      <c r="AW26" s="17" t="s">
        <v>2918</v>
      </c>
      <c r="AX26" s="17" t="s">
        <v>2919</v>
      </c>
      <c r="AY26" s="17" t="s">
        <v>2940</v>
      </c>
      <c r="AZ26" s="17" t="s">
        <v>2941</v>
      </c>
      <c r="BA26" s="17" t="s">
        <v>2942</v>
      </c>
      <c r="BB26" s="17" t="s">
        <v>2943</v>
      </c>
      <c r="BC26" s="17" t="s">
        <v>2936</v>
      </c>
      <c r="BD26" s="17" t="s">
        <v>2944</v>
      </c>
      <c r="BE26" s="17" t="s">
        <v>2945</v>
      </c>
      <c r="BF26" s="17" t="s">
        <v>2946</v>
      </c>
      <c r="BG26" s="17" t="s">
        <v>2917</v>
      </c>
      <c r="BH26" s="17" t="s">
        <v>2918</v>
      </c>
      <c r="BI26" s="17" t="s">
        <v>2919</v>
      </c>
      <c r="BJ26" s="17" t="s">
        <v>2947</v>
      </c>
      <c r="BK26" s="17" t="s">
        <v>2948</v>
      </c>
      <c r="BL26" s="17" t="s">
        <v>2949</v>
      </c>
      <c r="BM26" s="17" t="s">
        <v>2950</v>
      </c>
      <c r="BN26" s="17" t="s">
        <v>2936</v>
      </c>
      <c r="BO26" s="17" t="s">
        <v>2951</v>
      </c>
      <c r="BP26" s="17" t="s">
        <v>2952</v>
      </c>
      <c r="BQ26" s="17" t="s">
        <v>2953</v>
      </c>
    </row>
    <row r="27" spans="2:69" x14ac:dyDescent="0.25">
      <c r="B27" s="17" t="s">
        <v>2972</v>
      </c>
      <c r="C27" s="17">
        <v>0</v>
      </c>
      <c r="D27" s="17" t="s">
        <v>2634</v>
      </c>
      <c r="E27" s="17" t="s">
        <v>2634</v>
      </c>
      <c r="F27" s="17" t="s">
        <v>2635</v>
      </c>
      <c r="G27" s="32">
        <v>67895.399999999907</v>
      </c>
      <c r="H27" s="17" t="s">
        <v>56</v>
      </c>
      <c r="I27" s="17" t="s">
        <v>56</v>
      </c>
      <c r="J27" s="17" t="s">
        <v>2972</v>
      </c>
      <c r="K27" s="17" t="s">
        <v>1325</v>
      </c>
      <c r="L27" s="17" t="s">
        <v>2980</v>
      </c>
      <c r="M27" s="17" t="s">
        <v>2981</v>
      </c>
      <c r="N27" s="17" t="s">
        <v>332</v>
      </c>
      <c r="O27" s="17" t="s">
        <v>2879</v>
      </c>
      <c r="P27" s="17" t="s">
        <v>2980</v>
      </c>
      <c r="Q27" s="17" t="s">
        <v>2981</v>
      </c>
      <c r="R27" s="17" t="s">
        <v>2864</v>
      </c>
      <c r="S27" s="17" t="s">
        <v>2956</v>
      </c>
      <c r="T27" s="17" t="s">
        <v>56</v>
      </c>
      <c r="U27" s="17" t="s">
        <v>56</v>
      </c>
      <c r="V27" s="17" t="s">
        <v>56</v>
      </c>
      <c r="W27" s="17" t="s">
        <v>56</v>
      </c>
      <c r="X27" s="17" t="s">
        <v>56</v>
      </c>
      <c r="Y27" s="17" t="s">
        <v>56</v>
      </c>
      <c r="Z27" s="17" t="s">
        <v>56</v>
      </c>
      <c r="AA27" s="17" t="s">
        <v>56</v>
      </c>
      <c r="AB27" s="17" t="s">
        <v>56</v>
      </c>
      <c r="AC27" s="17" t="s">
        <v>56</v>
      </c>
      <c r="AD27" s="17" t="s">
        <v>56</v>
      </c>
      <c r="AE27" s="17" t="s">
        <v>56</v>
      </c>
      <c r="AF27" s="17" t="s">
        <v>56</v>
      </c>
      <c r="AG27" s="17" t="s">
        <v>56</v>
      </c>
      <c r="AH27" s="17" t="s">
        <v>56</v>
      </c>
      <c r="AI27" s="17" t="s">
        <v>56</v>
      </c>
      <c r="AJ27" s="17" t="s">
        <v>56</v>
      </c>
      <c r="AK27" s="17" t="s">
        <v>56</v>
      </c>
      <c r="AL27" s="17" t="s">
        <v>56</v>
      </c>
      <c r="AM27" s="17" t="s">
        <v>56</v>
      </c>
      <c r="AN27" s="17" t="s">
        <v>56</v>
      </c>
      <c r="AO27" s="17" t="s">
        <v>56</v>
      </c>
      <c r="AP27" s="17" t="s">
        <v>56</v>
      </c>
      <c r="AQ27" s="17" t="s">
        <v>56</v>
      </c>
      <c r="AR27" s="17">
        <v>87333.248438120994</v>
      </c>
      <c r="AS27" s="17">
        <v>87333.248438120994</v>
      </c>
      <c r="AT27" s="17" t="s">
        <v>2956</v>
      </c>
      <c r="AU27" s="17" t="s">
        <v>2864</v>
      </c>
      <c r="AV27" s="17">
        <v>0.77742900000000004</v>
      </c>
      <c r="AW27" s="17" t="s">
        <v>56</v>
      </c>
      <c r="AX27" s="17" t="s">
        <v>56</v>
      </c>
      <c r="AY27" s="17">
        <v>0.77742900000000004</v>
      </c>
      <c r="AZ27" s="17" t="s">
        <v>56</v>
      </c>
      <c r="BA27" s="17" t="s">
        <v>2956</v>
      </c>
      <c r="BB27" s="17" t="s">
        <v>2864</v>
      </c>
      <c r="BC27" s="17">
        <v>87333.248438120994</v>
      </c>
      <c r="BD27" s="17">
        <v>87333.248438120994</v>
      </c>
      <c r="BE27" s="17" t="s">
        <v>2956</v>
      </c>
      <c r="BF27" s="17" t="s">
        <v>2864</v>
      </c>
      <c r="BG27" s="17" t="s">
        <v>56</v>
      </c>
      <c r="BH27" s="17" t="s">
        <v>56</v>
      </c>
      <c r="BI27" s="17" t="s">
        <v>56</v>
      </c>
      <c r="BJ27" s="17" t="s">
        <v>56</v>
      </c>
      <c r="BK27" s="17" t="s">
        <v>56</v>
      </c>
      <c r="BL27" s="17" t="s">
        <v>56</v>
      </c>
      <c r="BM27" s="17" t="s">
        <v>56</v>
      </c>
      <c r="BN27" s="17" t="s">
        <v>56</v>
      </c>
      <c r="BO27" s="17" t="s">
        <v>56</v>
      </c>
      <c r="BP27" s="17" t="s">
        <v>56</v>
      </c>
      <c r="BQ27" s="17" t="s">
        <v>56</v>
      </c>
    </row>
    <row r="28" spans="2:69" x14ac:dyDescent="0.25">
      <c r="B28" s="17" t="s">
        <v>2973</v>
      </c>
      <c r="C28" s="17">
        <v>2</v>
      </c>
      <c r="D28" s="17" t="s">
        <v>2634</v>
      </c>
      <c r="E28" s="17" t="s">
        <v>2634</v>
      </c>
      <c r="F28" s="17" t="s">
        <v>2635</v>
      </c>
      <c r="G28" s="32">
        <v>67895.399999999907</v>
      </c>
      <c r="H28" s="17" t="s">
        <v>56</v>
      </c>
      <c r="I28" s="17" t="s">
        <v>56</v>
      </c>
      <c r="J28" s="17" t="s">
        <v>2973</v>
      </c>
      <c r="K28" s="17" t="s">
        <v>332</v>
      </c>
      <c r="L28" s="17" t="s">
        <v>2982</v>
      </c>
      <c r="M28" s="17" t="s">
        <v>2983</v>
      </c>
      <c r="N28" s="17" t="s">
        <v>332</v>
      </c>
      <c r="O28" s="17" t="s">
        <v>2974</v>
      </c>
      <c r="P28" s="17" t="s">
        <v>2982</v>
      </c>
      <c r="Q28" s="17" t="s">
        <v>2983</v>
      </c>
      <c r="R28" s="17" t="s">
        <v>2864</v>
      </c>
      <c r="S28" s="17" t="s">
        <v>2956</v>
      </c>
      <c r="T28" s="17" t="s">
        <v>56</v>
      </c>
      <c r="U28" s="17" t="s">
        <v>56</v>
      </c>
      <c r="V28" s="17" t="s">
        <v>56</v>
      </c>
      <c r="W28" s="17" t="s">
        <v>56</v>
      </c>
      <c r="X28" s="17" t="s">
        <v>56</v>
      </c>
      <c r="Y28" s="17" t="s">
        <v>56</v>
      </c>
      <c r="Z28" s="17" t="s">
        <v>56</v>
      </c>
      <c r="AA28" s="17" t="s">
        <v>56</v>
      </c>
      <c r="AB28" s="17" t="s">
        <v>56</v>
      </c>
      <c r="AC28" s="17" t="s">
        <v>56</v>
      </c>
      <c r="AD28" s="17" t="s">
        <v>56</v>
      </c>
      <c r="AE28" s="17" t="s">
        <v>56</v>
      </c>
      <c r="AF28" s="17" t="s">
        <v>56</v>
      </c>
      <c r="AG28" s="17" t="s">
        <v>56</v>
      </c>
      <c r="AH28" s="17" t="s">
        <v>56</v>
      </c>
      <c r="AI28" s="17" t="s">
        <v>56</v>
      </c>
      <c r="AJ28" s="17" t="s">
        <v>56</v>
      </c>
      <c r="AK28" s="17" t="s">
        <v>56</v>
      </c>
      <c r="AL28" s="17" t="s">
        <v>56</v>
      </c>
      <c r="AM28" s="17" t="s">
        <v>56</v>
      </c>
      <c r="AN28" s="17" t="s">
        <v>56</v>
      </c>
      <c r="AO28" s="17" t="s">
        <v>56</v>
      </c>
      <c r="AP28" s="17" t="s">
        <v>56</v>
      </c>
      <c r="AQ28" s="17" t="s">
        <v>56</v>
      </c>
      <c r="AR28" s="17">
        <v>87333.248438120994</v>
      </c>
      <c r="AS28" s="17">
        <v>87333.248438120994</v>
      </c>
      <c r="AT28" s="17" t="s">
        <v>2956</v>
      </c>
      <c r="AU28" s="17" t="s">
        <v>2864</v>
      </c>
      <c r="AV28" s="17">
        <v>0.77742900000000004</v>
      </c>
      <c r="AW28" s="17" t="s">
        <v>56</v>
      </c>
      <c r="AX28" s="17" t="s">
        <v>56</v>
      </c>
      <c r="AY28" s="17">
        <v>0.77742900000000004</v>
      </c>
      <c r="AZ28" s="17" t="s">
        <v>56</v>
      </c>
      <c r="BA28" s="17" t="s">
        <v>2956</v>
      </c>
      <c r="BB28" s="17" t="s">
        <v>2864</v>
      </c>
      <c r="BC28" s="17">
        <v>87333.248438120994</v>
      </c>
      <c r="BD28" s="17">
        <v>87333.248438120994</v>
      </c>
      <c r="BE28" s="17" t="s">
        <v>2956</v>
      </c>
      <c r="BF28" s="17" t="s">
        <v>2864</v>
      </c>
      <c r="BG28" s="17" t="s">
        <v>56</v>
      </c>
      <c r="BH28" s="17" t="s">
        <v>56</v>
      </c>
      <c r="BI28" s="17" t="s">
        <v>56</v>
      </c>
      <c r="BJ28" s="17" t="s">
        <v>56</v>
      </c>
      <c r="BK28" s="17" t="s">
        <v>56</v>
      </c>
      <c r="BL28" s="17" t="s">
        <v>56</v>
      </c>
      <c r="BM28" s="17" t="s">
        <v>56</v>
      </c>
      <c r="BN28" s="17" t="s">
        <v>56</v>
      </c>
      <c r="BO28" s="17" t="s">
        <v>56</v>
      </c>
      <c r="BP28" s="17" t="s">
        <v>56</v>
      </c>
      <c r="BQ28" s="17" t="s">
        <v>56</v>
      </c>
    </row>
    <row r="29" spans="2:69" x14ac:dyDescent="0.25">
      <c r="G29" s="33">
        <f>+AY27*BC27</f>
        <v>67895.399999999965</v>
      </c>
    </row>
    <row r="30" spans="2:69" x14ac:dyDescent="0.25">
      <c r="G30" s="33">
        <f>+AY28*BC28</f>
        <v>67895.399999999965</v>
      </c>
    </row>
    <row r="32" spans="2:69" s="15" customFormat="1" x14ac:dyDescent="0.25">
      <c r="B32" s="26" t="s">
        <v>2648</v>
      </c>
    </row>
    <row r="34" spans="2:159" x14ac:dyDescent="0.25">
      <c r="B34" s="18" t="s">
        <v>2960</v>
      </c>
      <c r="CF34" t="s">
        <v>2841</v>
      </c>
    </row>
    <row r="35" spans="2:159" x14ac:dyDescent="0.25">
      <c r="B35" s="17" t="s">
        <v>31</v>
      </c>
      <c r="C35" s="17" t="s">
        <v>32</v>
      </c>
      <c r="D35" s="17" t="s">
        <v>33</v>
      </c>
      <c r="E35" s="17" t="s">
        <v>34</v>
      </c>
      <c r="F35" s="17" t="s">
        <v>2550</v>
      </c>
      <c r="G35" s="17" t="s">
        <v>35</v>
      </c>
      <c r="H35" s="17" t="s">
        <v>36</v>
      </c>
      <c r="I35" s="17" t="s">
        <v>37</v>
      </c>
      <c r="J35" s="17" t="s">
        <v>2650</v>
      </c>
      <c r="K35" s="17" t="s">
        <v>2651</v>
      </c>
      <c r="L35" s="17" t="s">
        <v>2652</v>
      </c>
      <c r="M35" s="17" t="s">
        <v>2653</v>
      </c>
      <c r="N35" s="17" t="s">
        <v>2654</v>
      </c>
      <c r="O35" s="17" t="s">
        <v>2655</v>
      </c>
      <c r="P35" s="17" t="s">
        <v>2656</v>
      </c>
      <c r="Q35" s="17" t="s">
        <v>2657</v>
      </c>
      <c r="R35" s="17" t="s">
        <v>2658</v>
      </c>
      <c r="S35" s="17" t="s">
        <v>2659</v>
      </c>
      <c r="T35" s="17" t="s">
        <v>2586</v>
      </c>
      <c r="U35" s="17" t="s">
        <v>2660</v>
      </c>
      <c r="V35" s="17" t="s">
        <v>2661</v>
      </c>
      <c r="W35" s="17" t="s">
        <v>2662</v>
      </c>
      <c r="X35" s="17" t="s">
        <v>2663</v>
      </c>
      <c r="Y35" s="17" t="s">
        <v>2664</v>
      </c>
      <c r="Z35" s="17" t="s">
        <v>2665</v>
      </c>
      <c r="AA35" s="17" t="s">
        <v>2666</v>
      </c>
      <c r="AB35" s="17" t="s">
        <v>2667</v>
      </c>
      <c r="AC35" s="17" t="s">
        <v>2668</v>
      </c>
      <c r="AD35" s="17" t="s">
        <v>2669</v>
      </c>
      <c r="AE35" s="17" t="s">
        <v>2568</v>
      </c>
      <c r="AF35" s="17" t="s">
        <v>2670</v>
      </c>
      <c r="AG35" s="17" t="s">
        <v>2671</v>
      </c>
      <c r="AH35" s="17" t="s">
        <v>2672</v>
      </c>
      <c r="AI35" s="17" t="s">
        <v>2673</v>
      </c>
      <c r="AJ35" s="17" t="s">
        <v>2674</v>
      </c>
      <c r="AK35" s="17" t="s">
        <v>2675</v>
      </c>
      <c r="AL35" s="17" t="s">
        <v>2676</v>
      </c>
      <c r="AM35" s="17" t="s">
        <v>2677</v>
      </c>
      <c r="AN35" s="17" t="s">
        <v>2678</v>
      </c>
      <c r="AO35" s="17" t="s">
        <v>2679</v>
      </c>
      <c r="AP35" s="17" t="s">
        <v>2680</v>
      </c>
      <c r="AQ35" s="17" t="s">
        <v>2681</v>
      </c>
      <c r="AR35" s="17" t="s">
        <v>2682</v>
      </c>
      <c r="AS35" s="17" t="s">
        <v>2683</v>
      </c>
      <c r="AT35" s="17" t="s">
        <v>2684</v>
      </c>
      <c r="AU35" s="17" t="s">
        <v>2685</v>
      </c>
      <c r="AV35" s="17" t="s">
        <v>2686</v>
      </c>
      <c r="AW35" s="17" t="s">
        <v>2687</v>
      </c>
      <c r="AX35" s="17" t="s">
        <v>2688</v>
      </c>
      <c r="AY35" s="17" t="s">
        <v>2689</v>
      </c>
      <c r="AZ35" s="17" t="s">
        <v>2690</v>
      </c>
      <c r="BA35" s="17" t="s">
        <v>2691</v>
      </c>
      <c r="BB35" s="17" t="s">
        <v>2692</v>
      </c>
      <c r="BC35" s="17" t="s">
        <v>2693</v>
      </c>
      <c r="BD35" s="17" t="s">
        <v>2694</v>
      </c>
      <c r="BE35" s="17" t="s">
        <v>2695</v>
      </c>
      <c r="BF35" s="17" t="s">
        <v>2696</v>
      </c>
      <c r="BG35" s="17" t="s">
        <v>2697</v>
      </c>
      <c r="BH35" s="17" t="s">
        <v>2698</v>
      </c>
      <c r="BI35" s="17" t="s">
        <v>2699</v>
      </c>
      <c r="BJ35" s="17" t="s">
        <v>2700</v>
      </c>
      <c r="BK35" s="17" t="s">
        <v>2701</v>
      </c>
      <c r="BL35" s="17" t="s">
        <v>2702</v>
      </c>
      <c r="BM35" s="17" t="s">
        <v>2703</v>
      </c>
      <c r="BN35" s="17" t="s">
        <v>2704</v>
      </c>
      <c r="BO35" s="17" t="s">
        <v>2705</v>
      </c>
      <c r="BP35" s="17" t="s">
        <v>2706</v>
      </c>
      <c r="BQ35" s="17" t="s">
        <v>2707</v>
      </c>
      <c r="BR35" s="17" t="s">
        <v>2708</v>
      </c>
      <c r="BS35" s="17" t="s">
        <v>2709</v>
      </c>
      <c r="BT35" s="17" t="s">
        <v>2710</v>
      </c>
      <c r="BU35" s="17" t="s">
        <v>2711</v>
      </c>
      <c r="BV35" s="17" t="s">
        <v>2712</v>
      </c>
      <c r="BW35" s="17" t="s">
        <v>2713</v>
      </c>
      <c r="BX35" s="17" t="s">
        <v>2714</v>
      </c>
      <c r="BY35" s="17" t="s">
        <v>2715</v>
      </c>
      <c r="BZ35" s="17" t="s">
        <v>2716</v>
      </c>
      <c r="CA35" s="17" t="s">
        <v>2717</v>
      </c>
      <c r="CB35" s="17" t="s">
        <v>2718</v>
      </c>
      <c r="CC35" s="17" t="s">
        <v>2719</v>
      </c>
      <c r="CD35" s="17" t="s">
        <v>2720</v>
      </c>
      <c r="CE35" s="17" t="s">
        <v>2721</v>
      </c>
      <c r="CF35" s="32" t="s">
        <v>2722</v>
      </c>
      <c r="CG35" s="32" t="s">
        <v>2723</v>
      </c>
      <c r="CH35" s="32" t="s">
        <v>2724</v>
      </c>
      <c r="CI35" s="17" t="s">
        <v>2725</v>
      </c>
      <c r="CJ35" s="17" t="s">
        <v>2726</v>
      </c>
      <c r="CK35" s="17" t="s">
        <v>2727</v>
      </c>
      <c r="CL35" s="17" t="s">
        <v>2728</v>
      </c>
      <c r="CM35" s="17" t="s">
        <v>2729</v>
      </c>
      <c r="CN35" s="17" t="s">
        <v>2730</v>
      </c>
      <c r="CO35" s="17" t="s">
        <v>2731</v>
      </c>
      <c r="CP35" s="17" t="s">
        <v>2732</v>
      </c>
      <c r="CQ35" s="17" t="s">
        <v>2733</v>
      </c>
      <c r="CR35" s="17" t="s">
        <v>2734</v>
      </c>
      <c r="CS35" s="17" t="s">
        <v>2735</v>
      </c>
      <c r="CT35" s="17" t="s">
        <v>2736</v>
      </c>
      <c r="CU35" s="17" t="s">
        <v>2737</v>
      </c>
      <c r="CV35" s="17" t="s">
        <v>2738</v>
      </c>
      <c r="CW35" s="17" t="s">
        <v>2739</v>
      </c>
      <c r="CX35" s="17" t="s">
        <v>2740</v>
      </c>
      <c r="CY35" s="17" t="s">
        <v>2741</v>
      </c>
      <c r="CZ35" s="17" t="s">
        <v>2742</v>
      </c>
      <c r="DA35" s="17" t="s">
        <v>2743</v>
      </c>
      <c r="DB35" s="17" t="s">
        <v>2744</v>
      </c>
      <c r="DC35" s="17" t="s">
        <v>2745</v>
      </c>
      <c r="DD35" s="17" t="s">
        <v>2746</v>
      </c>
      <c r="DE35" s="17" t="s">
        <v>2747</v>
      </c>
      <c r="DF35" s="17" t="s">
        <v>2748</v>
      </c>
      <c r="DG35" s="17" t="s">
        <v>2749</v>
      </c>
      <c r="DH35" s="17" t="s">
        <v>2750</v>
      </c>
      <c r="DI35" s="17" t="s">
        <v>2751</v>
      </c>
      <c r="DJ35" s="17" t="s">
        <v>2752</v>
      </c>
      <c r="DK35" s="17" t="s">
        <v>2753</v>
      </c>
      <c r="DL35" s="17" t="s">
        <v>2754</v>
      </c>
      <c r="DM35" s="17" t="s">
        <v>2755</v>
      </c>
      <c r="DN35" s="17" t="s">
        <v>2756</v>
      </c>
      <c r="DO35" s="17" t="s">
        <v>2757</v>
      </c>
      <c r="DP35" s="17" t="s">
        <v>2758</v>
      </c>
      <c r="DQ35" s="17" t="s">
        <v>2759</v>
      </c>
      <c r="DR35" s="17" t="s">
        <v>2760</v>
      </c>
      <c r="DS35" s="17" t="s">
        <v>2761</v>
      </c>
      <c r="DT35" s="17" t="s">
        <v>2762</v>
      </c>
      <c r="DU35" s="17" t="s">
        <v>2763</v>
      </c>
      <c r="DV35" s="17" t="s">
        <v>2764</v>
      </c>
      <c r="DW35" s="17" t="s">
        <v>2765</v>
      </c>
      <c r="DX35" s="17" t="s">
        <v>2766</v>
      </c>
      <c r="DY35" s="17" t="s">
        <v>2767</v>
      </c>
      <c r="DZ35" s="17" t="s">
        <v>2768</v>
      </c>
      <c r="EA35" s="17" t="s">
        <v>2769</v>
      </c>
      <c r="EB35" s="17" t="s">
        <v>2770</v>
      </c>
      <c r="EC35" s="17" t="s">
        <v>2771</v>
      </c>
      <c r="ED35" s="17" t="s">
        <v>2772</v>
      </c>
      <c r="EE35" s="17" t="s">
        <v>2773</v>
      </c>
      <c r="EF35" s="17" t="s">
        <v>2774</v>
      </c>
      <c r="EG35" s="17" t="s">
        <v>2775</v>
      </c>
      <c r="EH35" s="17" t="s">
        <v>2776</v>
      </c>
      <c r="EI35" s="17" t="s">
        <v>2777</v>
      </c>
      <c r="EJ35" s="17" t="s">
        <v>2778</v>
      </c>
      <c r="EK35" s="17" t="s">
        <v>2779</v>
      </c>
      <c r="EL35" s="17" t="s">
        <v>2780</v>
      </c>
      <c r="EM35" s="17" t="s">
        <v>2781</v>
      </c>
      <c r="EN35" s="17" t="s">
        <v>2782</v>
      </c>
      <c r="EO35" s="17" t="s">
        <v>2783</v>
      </c>
      <c r="EP35" s="17" t="s">
        <v>2784</v>
      </c>
      <c r="EQ35" s="17" t="s">
        <v>2785</v>
      </c>
      <c r="ER35" s="17" t="s">
        <v>2786</v>
      </c>
      <c r="ES35" s="17" t="s">
        <v>2787</v>
      </c>
      <c r="ET35" s="17" t="s">
        <v>2788</v>
      </c>
      <c r="EU35" s="17" t="s">
        <v>2789</v>
      </c>
      <c r="EV35" s="17" t="s">
        <v>2790</v>
      </c>
      <c r="EW35" s="17" t="s">
        <v>2791</v>
      </c>
      <c r="EX35" s="17" t="s">
        <v>2792</v>
      </c>
      <c r="EY35" s="17" t="s">
        <v>2793</v>
      </c>
      <c r="EZ35" s="17" t="s">
        <v>2794</v>
      </c>
      <c r="FA35" s="17" t="s">
        <v>2795</v>
      </c>
      <c r="FB35" s="17" t="s">
        <v>2796</v>
      </c>
      <c r="FC35" s="17"/>
    </row>
    <row r="36" spans="2:159" x14ac:dyDescent="0.25">
      <c r="B36" s="17" t="s">
        <v>61</v>
      </c>
      <c r="C36" s="17" t="s">
        <v>58</v>
      </c>
      <c r="D36" s="17" t="s">
        <v>1300</v>
      </c>
      <c r="E36" s="17" t="s">
        <v>1301</v>
      </c>
      <c r="F36" s="17" t="s">
        <v>2966</v>
      </c>
      <c r="G36" s="17" t="s">
        <v>56</v>
      </c>
      <c r="H36" s="17" t="s">
        <v>56</v>
      </c>
      <c r="I36" s="17" t="s">
        <v>56</v>
      </c>
      <c r="J36" s="17"/>
      <c r="K36" s="17" t="s">
        <v>2797</v>
      </c>
      <c r="L36" s="17" t="s">
        <v>2986</v>
      </c>
      <c r="M36" s="17" t="s">
        <v>2799</v>
      </c>
      <c r="N36" s="17" t="s">
        <v>2800</v>
      </c>
      <c r="O36" s="17" t="s">
        <v>2994</v>
      </c>
      <c r="P36" s="17" t="s">
        <v>1325</v>
      </c>
      <c r="Q36" s="17" t="s">
        <v>2813</v>
      </c>
      <c r="R36" s="17" t="s">
        <v>2814</v>
      </c>
      <c r="S36" s="17" t="s">
        <v>2995</v>
      </c>
      <c r="T36" s="17">
        <v>211171.75</v>
      </c>
      <c r="U36" s="17">
        <v>291763.15000000002</v>
      </c>
      <c r="V36" s="17" t="s">
        <v>2817</v>
      </c>
      <c r="W36" s="17" t="s">
        <v>939</v>
      </c>
      <c r="X36" s="17" t="s">
        <v>2816</v>
      </c>
      <c r="Y36" s="17" t="s">
        <v>2986</v>
      </c>
      <c r="Z36" s="17" t="s">
        <v>56</v>
      </c>
      <c r="AA36" s="17" t="s">
        <v>2995</v>
      </c>
      <c r="AB36" s="17" t="s">
        <v>2801</v>
      </c>
      <c r="AC36" s="17">
        <v>3.5373000000000001</v>
      </c>
      <c r="AD36" s="17" t="s">
        <v>2804</v>
      </c>
      <c r="AE36" s="17">
        <v>41262.410000000003</v>
      </c>
      <c r="AF36" s="17" t="s">
        <v>2995</v>
      </c>
      <c r="AG36" s="17" t="s">
        <v>56</v>
      </c>
      <c r="AH36" s="17" t="s">
        <v>56</v>
      </c>
      <c r="AI36" s="17" t="s">
        <v>56</v>
      </c>
      <c r="AJ36" s="17" t="s">
        <v>56</v>
      </c>
      <c r="AK36" s="17" t="s">
        <v>56</v>
      </c>
      <c r="AL36" s="17" t="s">
        <v>56</v>
      </c>
      <c r="AM36" s="17" t="s">
        <v>2805</v>
      </c>
      <c r="AN36" s="17" t="s">
        <v>56</v>
      </c>
      <c r="AO36" s="17" t="s">
        <v>56</v>
      </c>
      <c r="AP36" s="17" t="s">
        <v>56</v>
      </c>
      <c r="AQ36" s="17" t="s">
        <v>56</v>
      </c>
      <c r="AR36" s="17">
        <v>1100.54</v>
      </c>
      <c r="AS36" s="17">
        <v>84.305300000000003</v>
      </c>
      <c r="AT36" s="17">
        <v>444.68099999999998</v>
      </c>
      <c r="AU36" s="17" t="s">
        <v>56</v>
      </c>
      <c r="AV36" s="17" t="s">
        <v>56</v>
      </c>
      <c r="AW36" s="17" t="s">
        <v>56</v>
      </c>
      <c r="AX36" s="17">
        <v>1235.33</v>
      </c>
      <c r="AY36" s="17">
        <v>94.630499999999998</v>
      </c>
      <c r="AZ36" s="17">
        <v>499.14299999999997</v>
      </c>
      <c r="BA36" s="17" t="s">
        <v>56</v>
      </c>
      <c r="BB36" s="17" t="s">
        <v>56</v>
      </c>
      <c r="BC36" s="17" t="s">
        <v>56</v>
      </c>
      <c r="BD36" s="17" t="s">
        <v>2806</v>
      </c>
      <c r="BE36" s="17" t="s">
        <v>56</v>
      </c>
      <c r="BF36" s="17" t="s">
        <v>56</v>
      </c>
      <c r="BG36" s="17" t="s">
        <v>56</v>
      </c>
      <c r="BH36" s="17" t="s">
        <v>1325</v>
      </c>
      <c r="BI36" s="17" t="s">
        <v>1325</v>
      </c>
      <c r="BJ36" s="17" t="s">
        <v>1325</v>
      </c>
      <c r="BK36" s="17" t="s">
        <v>1325</v>
      </c>
      <c r="BL36" s="17" t="s">
        <v>1325</v>
      </c>
      <c r="BM36" s="17" t="s">
        <v>1325</v>
      </c>
      <c r="BN36" s="17" t="s">
        <v>1325</v>
      </c>
      <c r="BO36" s="17" t="s">
        <v>1325</v>
      </c>
      <c r="BP36" s="17" t="s">
        <v>1325</v>
      </c>
      <c r="BQ36" s="17" t="s">
        <v>1325</v>
      </c>
      <c r="BR36" s="17" t="s">
        <v>1325</v>
      </c>
      <c r="BS36" s="17" t="s">
        <v>1325</v>
      </c>
      <c r="BT36" s="17" t="s">
        <v>1325</v>
      </c>
      <c r="BU36" s="17" t="s">
        <v>1325</v>
      </c>
      <c r="BV36" s="17" t="s">
        <v>1325</v>
      </c>
      <c r="BW36" s="17" t="s">
        <v>1325</v>
      </c>
      <c r="BX36" s="17" t="s">
        <v>1325</v>
      </c>
      <c r="BY36" s="17" t="s">
        <v>939</v>
      </c>
      <c r="BZ36" s="17" t="s">
        <v>1325</v>
      </c>
      <c r="CA36" s="17" t="s">
        <v>56</v>
      </c>
      <c r="CB36" s="17" t="s">
        <v>56</v>
      </c>
      <c r="CC36" s="17" t="s">
        <v>56</v>
      </c>
      <c r="CD36" s="17" t="s">
        <v>2818</v>
      </c>
      <c r="CE36" s="17" t="s">
        <v>1111</v>
      </c>
      <c r="CF36" s="32">
        <v>3610.757642</v>
      </c>
      <c r="CG36" s="32" t="s">
        <v>56</v>
      </c>
      <c r="CH36" s="32" t="s">
        <v>56</v>
      </c>
      <c r="CI36" s="17">
        <v>41262.410000000003</v>
      </c>
      <c r="CJ36" s="17">
        <v>41262.410000000003</v>
      </c>
      <c r="CK36" s="17">
        <v>41262.410000000003</v>
      </c>
      <c r="CL36" s="17" t="s">
        <v>1111</v>
      </c>
      <c r="CM36" s="17"/>
      <c r="CN36" s="17"/>
      <c r="CO36" s="17" t="s">
        <v>56</v>
      </c>
      <c r="CP36" s="17" t="s">
        <v>56</v>
      </c>
      <c r="CQ36" s="17" t="s">
        <v>56</v>
      </c>
      <c r="CR36" s="17" t="s">
        <v>56</v>
      </c>
      <c r="CS36" s="17" t="s">
        <v>56</v>
      </c>
      <c r="CT36" s="17" t="s">
        <v>56</v>
      </c>
      <c r="CU36" s="17" t="s">
        <v>56</v>
      </c>
      <c r="CV36" s="17" t="s">
        <v>56</v>
      </c>
      <c r="CW36" s="17" t="s">
        <v>56</v>
      </c>
      <c r="CX36" s="17" t="s">
        <v>56</v>
      </c>
      <c r="CY36" s="17" t="s">
        <v>56</v>
      </c>
      <c r="CZ36" s="17" t="s">
        <v>56</v>
      </c>
      <c r="DA36" s="17" t="s">
        <v>56</v>
      </c>
      <c r="DB36" s="17" t="s">
        <v>56</v>
      </c>
      <c r="DC36" s="17" t="s">
        <v>56</v>
      </c>
      <c r="DD36" s="17" t="s">
        <v>56</v>
      </c>
      <c r="DE36" s="17" t="s">
        <v>56</v>
      </c>
      <c r="DF36" s="17" t="s">
        <v>56</v>
      </c>
      <c r="DG36" s="17" t="s">
        <v>56</v>
      </c>
      <c r="DH36" s="17" t="s">
        <v>56</v>
      </c>
      <c r="DI36" s="17" t="s">
        <v>56</v>
      </c>
      <c r="DJ36" s="17" t="s">
        <v>56</v>
      </c>
      <c r="DK36" s="17" t="s">
        <v>56</v>
      </c>
      <c r="DL36" s="17" t="s">
        <v>56</v>
      </c>
      <c r="DM36" s="17" t="s">
        <v>56</v>
      </c>
      <c r="DN36" s="17" t="s">
        <v>56</v>
      </c>
      <c r="DO36" s="17" t="s">
        <v>56</v>
      </c>
      <c r="DP36" s="17" t="s">
        <v>56</v>
      </c>
      <c r="DQ36" s="17" t="s">
        <v>56</v>
      </c>
      <c r="DR36" s="17" t="s">
        <v>56</v>
      </c>
      <c r="DS36" s="17" t="s">
        <v>56</v>
      </c>
      <c r="DT36" s="17" t="s">
        <v>56</v>
      </c>
      <c r="DU36" s="17" t="s">
        <v>56</v>
      </c>
      <c r="DV36" s="17" t="s">
        <v>56</v>
      </c>
      <c r="DW36" s="17" t="s">
        <v>56</v>
      </c>
      <c r="DX36" s="17" t="s">
        <v>56</v>
      </c>
      <c r="DY36" s="17" t="s">
        <v>56</v>
      </c>
      <c r="DZ36" s="17" t="s">
        <v>56</v>
      </c>
      <c r="EA36" s="17" t="s">
        <v>56</v>
      </c>
      <c r="EB36" s="17" t="s">
        <v>56</v>
      </c>
      <c r="EC36" s="17" t="s">
        <v>56</v>
      </c>
      <c r="ED36" s="17" t="s">
        <v>56</v>
      </c>
      <c r="EE36" s="17" t="s">
        <v>56</v>
      </c>
      <c r="EF36" s="17" t="s">
        <v>56</v>
      </c>
      <c r="EG36" s="17" t="s">
        <v>56</v>
      </c>
      <c r="EH36" s="17" t="s">
        <v>56</v>
      </c>
      <c r="EI36" s="17" t="s">
        <v>56</v>
      </c>
      <c r="EJ36" s="17" t="s">
        <v>56</v>
      </c>
      <c r="EK36" s="17" t="s">
        <v>56</v>
      </c>
      <c r="EL36" s="17" t="s">
        <v>56</v>
      </c>
      <c r="EM36" s="17" t="s">
        <v>56</v>
      </c>
      <c r="EN36" s="17" t="s">
        <v>56</v>
      </c>
      <c r="EO36" s="17" t="s">
        <v>56</v>
      </c>
      <c r="EP36" s="17" t="s">
        <v>56</v>
      </c>
      <c r="EQ36" s="17" t="s">
        <v>56</v>
      </c>
      <c r="ER36" s="17" t="s">
        <v>56</v>
      </c>
      <c r="ES36" s="17" t="s">
        <v>56</v>
      </c>
      <c r="ET36" s="17" t="s">
        <v>56</v>
      </c>
      <c r="EU36" s="17" t="s">
        <v>56</v>
      </c>
      <c r="EV36" s="17" t="s">
        <v>56</v>
      </c>
      <c r="EW36" s="17" t="s">
        <v>2807</v>
      </c>
      <c r="EX36" s="17" t="s">
        <v>2808</v>
      </c>
      <c r="EY36" s="17" t="s">
        <v>2809</v>
      </c>
      <c r="EZ36" s="17" t="s">
        <v>2993</v>
      </c>
      <c r="FA36" s="17" t="s">
        <v>2811</v>
      </c>
      <c r="FB36" s="17" t="s">
        <v>2803</v>
      </c>
      <c r="FC36" s="17"/>
    </row>
    <row r="38" spans="2:159" x14ac:dyDescent="0.25">
      <c r="B38" s="18" t="s">
        <v>2846</v>
      </c>
      <c r="BM38" t="s">
        <v>2841</v>
      </c>
    </row>
    <row r="39" spans="2:159" x14ac:dyDescent="0.25">
      <c r="B39" s="17" t="s">
        <v>2820</v>
      </c>
      <c r="C39" s="17" t="s">
        <v>31</v>
      </c>
      <c r="D39" s="17" t="s">
        <v>32</v>
      </c>
      <c r="E39" s="17" t="s">
        <v>33</v>
      </c>
      <c r="F39" s="17" t="s">
        <v>34</v>
      </c>
      <c r="G39" s="17" t="s">
        <v>2550</v>
      </c>
      <c r="H39" s="17" t="s">
        <v>2650</v>
      </c>
      <c r="I39" s="17" t="s">
        <v>2651</v>
      </c>
      <c r="J39" s="17" t="s">
        <v>2652</v>
      </c>
      <c r="K39" s="17" t="s">
        <v>2653</v>
      </c>
      <c r="L39" s="17" t="s">
        <v>2654</v>
      </c>
      <c r="M39" s="17" t="s">
        <v>2655</v>
      </c>
      <c r="N39" s="17" t="s">
        <v>2656</v>
      </c>
      <c r="O39" s="17" t="s">
        <v>2657</v>
      </c>
      <c r="P39" s="17" t="s">
        <v>2658</v>
      </c>
      <c r="Q39" s="17" t="s">
        <v>2659</v>
      </c>
      <c r="R39" s="17" t="s">
        <v>2821</v>
      </c>
      <c r="S39" s="17" t="s">
        <v>2586</v>
      </c>
      <c r="T39" s="17" t="s">
        <v>2660</v>
      </c>
      <c r="U39" s="17" t="s">
        <v>2661</v>
      </c>
      <c r="V39" s="17" t="s">
        <v>2662</v>
      </c>
      <c r="W39" s="17" t="s">
        <v>2663</v>
      </c>
      <c r="X39" s="17" t="s">
        <v>2664</v>
      </c>
      <c r="Y39" s="17" t="s">
        <v>2665</v>
      </c>
      <c r="Z39" s="17" t="s">
        <v>2666</v>
      </c>
      <c r="AA39" s="17" t="s">
        <v>2667</v>
      </c>
      <c r="AB39" s="17" t="s">
        <v>2668</v>
      </c>
      <c r="AC39" s="17" t="s">
        <v>2670</v>
      </c>
      <c r="AD39" s="17" t="s">
        <v>2669</v>
      </c>
      <c r="AE39" s="17" t="s">
        <v>2568</v>
      </c>
      <c r="AF39" s="17" t="s">
        <v>2822</v>
      </c>
      <c r="AG39" s="17" t="s">
        <v>2823</v>
      </c>
      <c r="AH39" s="17" t="s">
        <v>2694</v>
      </c>
      <c r="AI39" s="17" t="s">
        <v>2677</v>
      </c>
      <c r="AJ39" s="17" t="s">
        <v>2671</v>
      </c>
      <c r="AK39" s="17" t="s">
        <v>2672</v>
      </c>
      <c r="AL39" s="17" t="s">
        <v>2673</v>
      </c>
      <c r="AM39" s="17" t="s">
        <v>2674</v>
      </c>
      <c r="AN39" s="17" t="s">
        <v>2675</v>
      </c>
      <c r="AO39" s="17" t="s">
        <v>2676</v>
      </c>
      <c r="AP39" s="17" t="s">
        <v>2679</v>
      </c>
      <c r="AQ39" s="17" t="s">
        <v>2680</v>
      </c>
      <c r="AR39" s="17" t="s">
        <v>2681</v>
      </c>
      <c r="AS39" s="17" t="s">
        <v>2682</v>
      </c>
      <c r="AT39" s="17" t="s">
        <v>2683</v>
      </c>
      <c r="AU39" s="17" t="s">
        <v>2684</v>
      </c>
      <c r="AV39" s="17" t="s">
        <v>2685</v>
      </c>
      <c r="AW39" s="17" t="s">
        <v>2686</v>
      </c>
      <c r="AX39" s="17" t="s">
        <v>2687</v>
      </c>
      <c r="AY39" s="17" t="s">
        <v>2688</v>
      </c>
      <c r="AZ39" s="17" t="s">
        <v>2689</v>
      </c>
      <c r="BA39" s="17" t="s">
        <v>2690</v>
      </c>
      <c r="BB39" s="17" t="s">
        <v>2691</v>
      </c>
      <c r="BC39" s="17" t="s">
        <v>2692</v>
      </c>
      <c r="BD39" s="17" t="s">
        <v>2693</v>
      </c>
      <c r="BE39" s="17" t="s">
        <v>2824</v>
      </c>
      <c r="BF39" s="17" t="s">
        <v>2825</v>
      </c>
      <c r="BG39" s="17" t="s">
        <v>2826</v>
      </c>
      <c r="BH39" s="17" t="s">
        <v>2827</v>
      </c>
      <c r="BI39" s="17" t="s">
        <v>2828</v>
      </c>
      <c r="BJ39" s="17" t="s">
        <v>2829</v>
      </c>
      <c r="BK39" s="17" t="s">
        <v>2830</v>
      </c>
      <c r="BL39" s="17" t="s">
        <v>2831</v>
      </c>
      <c r="BM39" s="32" t="s">
        <v>2832</v>
      </c>
      <c r="BN39" s="32" t="s">
        <v>2833</v>
      </c>
      <c r="BO39" s="32" t="s">
        <v>2834</v>
      </c>
      <c r="BP39" s="32" t="s">
        <v>2835</v>
      </c>
      <c r="BQ39" s="32" t="s">
        <v>2836</v>
      </c>
      <c r="BR39" s="17" t="s">
        <v>2695</v>
      </c>
      <c r="BS39" s="17" t="s">
        <v>2696</v>
      </c>
      <c r="BT39" s="17" t="s">
        <v>2697</v>
      </c>
      <c r="BU39" s="17" t="s">
        <v>2717</v>
      </c>
      <c r="BV39" s="17" t="s">
        <v>2718</v>
      </c>
      <c r="BW39" s="17" t="s">
        <v>2719</v>
      </c>
      <c r="BX39" s="17" t="s">
        <v>2720</v>
      </c>
      <c r="BY39" s="17" t="s">
        <v>2721</v>
      </c>
      <c r="BZ39" s="17" t="s">
        <v>2837</v>
      </c>
      <c r="CA39" s="17" t="s">
        <v>2838</v>
      </c>
    </row>
    <row r="40" spans="2:159" x14ac:dyDescent="0.25">
      <c r="B40" s="17" t="s">
        <v>2840</v>
      </c>
      <c r="C40" s="17" t="s">
        <v>61</v>
      </c>
      <c r="D40" s="17" t="s">
        <v>58</v>
      </c>
      <c r="E40" s="17" t="s">
        <v>1300</v>
      </c>
      <c r="F40" s="17" t="s">
        <v>1301</v>
      </c>
      <c r="G40" s="17" t="s">
        <v>2966</v>
      </c>
      <c r="H40" s="17"/>
      <c r="I40" s="17" t="s">
        <v>2797</v>
      </c>
      <c r="J40" s="17" t="s">
        <v>2986</v>
      </c>
      <c r="K40" s="17" t="s">
        <v>2799</v>
      </c>
      <c r="L40" s="17" t="s">
        <v>2800</v>
      </c>
      <c r="M40" s="17" t="s">
        <v>2994</v>
      </c>
      <c r="N40" s="17" t="s">
        <v>1325</v>
      </c>
      <c r="O40" s="17" t="s">
        <v>2813</v>
      </c>
      <c r="P40" s="17" t="s">
        <v>2814</v>
      </c>
      <c r="Q40" s="17" t="s">
        <v>2995</v>
      </c>
      <c r="R40" s="17">
        <v>30410.74</v>
      </c>
      <c r="S40" s="17">
        <v>211171.75</v>
      </c>
      <c r="T40" s="17">
        <v>291763.15000000002</v>
      </c>
      <c r="U40" s="17" t="s">
        <v>2815</v>
      </c>
      <c r="V40" s="17" t="s">
        <v>939</v>
      </c>
      <c r="W40" s="17" t="s">
        <v>2816</v>
      </c>
      <c r="X40" s="17" t="s">
        <v>2986</v>
      </c>
      <c r="Y40" s="17" t="s">
        <v>56</v>
      </c>
      <c r="Z40" s="17" t="s">
        <v>2995</v>
      </c>
      <c r="AA40" s="17" t="s">
        <v>2801</v>
      </c>
      <c r="AB40" s="17">
        <v>3.5373000000000001</v>
      </c>
      <c r="AC40" s="17" t="s">
        <v>2995</v>
      </c>
      <c r="AD40" s="17" t="s">
        <v>2804</v>
      </c>
      <c r="AE40" s="17">
        <v>41262.410000000003</v>
      </c>
      <c r="AF40" s="17" t="s">
        <v>2839</v>
      </c>
      <c r="AG40" s="17" t="s">
        <v>2996</v>
      </c>
      <c r="AH40" s="17" t="s">
        <v>2806</v>
      </c>
      <c r="AI40" s="17" t="s">
        <v>2805</v>
      </c>
      <c r="AJ40" s="17" t="s">
        <v>56</v>
      </c>
      <c r="AK40" s="17" t="s">
        <v>56</v>
      </c>
      <c r="AL40" s="17" t="s">
        <v>56</v>
      </c>
      <c r="AM40" s="17" t="s">
        <v>56</v>
      </c>
      <c r="AN40" s="17" t="s">
        <v>56</v>
      </c>
      <c r="AO40" s="17" t="s">
        <v>56</v>
      </c>
      <c r="AP40" s="17" t="s">
        <v>56</v>
      </c>
      <c r="AQ40" s="17" t="s">
        <v>56</v>
      </c>
      <c r="AR40" s="17" t="s">
        <v>56</v>
      </c>
      <c r="AS40" s="17">
        <v>1100.54</v>
      </c>
      <c r="AT40" s="17">
        <v>84.305300000000003</v>
      </c>
      <c r="AU40" s="17">
        <v>444.68099999999998</v>
      </c>
      <c r="AV40" s="17" t="s">
        <v>56</v>
      </c>
      <c r="AW40" s="17" t="s">
        <v>56</v>
      </c>
      <c r="AX40" s="17" t="s">
        <v>56</v>
      </c>
      <c r="AY40" s="17">
        <v>1235.33</v>
      </c>
      <c r="AZ40" s="17">
        <v>94.630499999999998</v>
      </c>
      <c r="BA40" s="17">
        <v>499.14299999999997</v>
      </c>
      <c r="BB40" s="17" t="s">
        <v>56</v>
      </c>
      <c r="BC40" s="17" t="s">
        <v>56</v>
      </c>
      <c r="BD40" s="17" t="s">
        <v>56</v>
      </c>
      <c r="BE40" s="17" t="s">
        <v>56</v>
      </c>
      <c r="BF40" s="17" t="s">
        <v>56</v>
      </c>
      <c r="BG40" s="17" t="s">
        <v>56</v>
      </c>
      <c r="BH40" s="17" t="s">
        <v>56</v>
      </c>
      <c r="BI40" s="17" t="s">
        <v>56</v>
      </c>
      <c r="BJ40" s="17" t="s">
        <v>56</v>
      </c>
      <c r="BK40" s="17" t="s">
        <v>56</v>
      </c>
      <c r="BL40" s="17" t="s">
        <v>56</v>
      </c>
      <c r="BM40" s="32">
        <v>0.12779699999999999</v>
      </c>
      <c r="BN40" s="32">
        <v>4.2827899999999999E-3</v>
      </c>
      <c r="BO40" s="32">
        <v>23966</v>
      </c>
      <c r="BP40" s="32">
        <v>3610.7576421284198</v>
      </c>
      <c r="BQ40" s="32" t="s">
        <v>56</v>
      </c>
      <c r="BR40" s="17" t="s">
        <v>56</v>
      </c>
      <c r="BS40" s="17" t="s">
        <v>56</v>
      </c>
      <c r="BT40" s="17" t="s">
        <v>56</v>
      </c>
      <c r="BU40" s="17" t="s">
        <v>56</v>
      </c>
      <c r="BV40" s="17" t="s">
        <v>56</v>
      </c>
      <c r="BW40" s="17" t="s">
        <v>56</v>
      </c>
      <c r="BX40" s="17" t="s">
        <v>2818</v>
      </c>
      <c r="BY40" s="17" t="s">
        <v>1111</v>
      </c>
      <c r="BZ40" s="17" t="s">
        <v>56</v>
      </c>
      <c r="CA40" s="17" t="s">
        <v>1111</v>
      </c>
    </row>
    <row r="41" spans="2:159" x14ac:dyDescent="0.25">
      <c r="BP41" s="17"/>
      <c r="BQ41" s="1" t="s">
        <v>2997</v>
      </c>
    </row>
    <row r="42" spans="2:159" x14ac:dyDescent="0.25">
      <c r="B42" s="20" t="s">
        <v>2845</v>
      </c>
    </row>
    <row r="43" spans="2:159" x14ac:dyDescent="0.25">
      <c r="B43" s="17" t="s">
        <v>31</v>
      </c>
      <c r="C43" s="17" t="s">
        <v>32</v>
      </c>
      <c r="D43" s="17" t="s">
        <v>33</v>
      </c>
      <c r="E43" s="17" t="s">
        <v>34</v>
      </c>
      <c r="F43" s="17" t="s">
        <v>35</v>
      </c>
      <c r="G43" s="17" t="s">
        <v>36</v>
      </c>
      <c r="H43" s="17" t="s">
        <v>37</v>
      </c>
      <c r="I43" s="17" t="s">
        <v>39</v>
      </c>
      <c r="J43" s="17" t="s">
        <v>38</v>
      </c>
      <c r="K43" s="17" t="s">
        <v>40</v>
      </c>
      <c r="L43" s="17" t="s">
        <v>50</v>
      </c>
      <c r="M43" s="17" t="s">
        <v>44</v>
      </c>
      <c r="N43" s="17" t="s">
        <v>48</v>
      </c>
      <c r="O43" s="17" t="s">
        <v>46</v>
      </c>
      <c r="P43" s="17" t="s">
        <v>51</v>
      </c>
      <c r="Q43" s="17" t="s">
        <v>52</v>
      </c>
      <c r="R43" s="17" t="s">
        <v>53</v>
      </c>
      <c r="S43" s="17"/>
    </row>
    <row r="44" spans="2:159" x14ac:dyDescent="0.25">
      <c r="B44" s="17" t="s">
        <v>61</v>
      </c>
      <c r="C44" s="17" t="s">
        <v>58</v>
      </c>
      <c r="D44" s="17" t="s">
        <v>1300</v>
      </c>
      <c r="E44" s="17" t="s">
        <v>1301</v>
      </c>
      <c r="F44" s="17" t="s">
        <v>56</v>
      </c>
      <c r="G44" s="17" t="s">
        <v>56</v>
      </c>
      <c r="H44" s="17" t="s">
        <v>56</v>
      </c>
      <c r="I44" s="17" t="s">
        <v>63</v>
      </c>
      <c r="J44" s="17" t="s">
        <v>62</v>
      </c>
      <c r="K44" s="17" t="s">
        <v>64</v>
      </c>
      <c r="L44" s="17" t="s">
        <v>334</v>
      </c>
      <c r="M44" s="17" t="s">
        <v>289</v>
      </c>
      <c r="N44" s="17" t="s">
        <v>332</v>
      </c>
      <c r="O44" s="25">
        <v>35000</v>
      </c>
      <c r="P44" s="17"/>
      <c r="Q44" s="17" t="s">
        <v>73</v>
      </c>
      <c r="R44" s="17" t="s">
        <v>56</v>
      </c>
      <c r="S44" s="17"/>
    </row>
    <row r="46" spans="2:159" x14ac:dyDescent="0.25">
      <c r="B46" t="s">
        <v>2642</v>
      </c>
      <c r="C46" s="17">
        <f>+AE36</f>
        <v>41262.410000000003</v>
      </c>
    </row>
    <row r="47" spans="2:159" x14ac:dyDescent="0.25">
      <c r="B47" t="s">
        <v>2643</v>
      </c>
      <c r="C47">
        <v>1</v>
      </c>
    </row>
    <row r="48" spans="2:159" x14ac:dyDescent="0.25">
      <c r="B48" t="s">
        <v>2649</v>
      </c>
      <c r="C48" s="25">
        <f>+C46/O44</f>
        <v>1.1789260000000001</v>
      </c>
    </row>
    <row r="49" spans="2:4" x14ac:dyDescent="0.25">
      <c r="B49" t="s">
        <v>2644</v>
      </c>
      <c r="C49" s="17">
        <f>+C48*BM40*BO40</f>
        <v>3610.7943955232522</v>
      </c>
      <c r="D49" s="17">
        <f>+BP40</f>
        <v>3610.7576421284198</v>
      </c>
    </row>
    <row r="50" spans="2:4" x14ac:dyDescent="0.25">
      <c r="B50" t="s">
        <v>2645</v>
      </c>
    </row>
    <row r="51" spans="2:4" x14ac:dyDescent="0.25">
      <c r="B51" t="s">
        <v>2646</v>
      </c>
    </row>
    <row r="52" spans="2:4" x14ac:dyDescent="0.25">
      <c r="B52" s="3" t="s">
        <v>2647</v>
      </c>
      <c r="C52" s="3">
        <f>+SUM(C49:C51)</f>
        <v>3610.7943955232522</v>
      </c>
    </row>
  </sheetData>
  <autoFilter ref="B10:CA15">
    <sortState ref="B9:CA13">
      <sortCondition ref="I8:I1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B55"/>
  <sheetViews>
    <sheetView showGridLines="0" workbookViewId="0">
      <selection activeCell="A2" sqref="A2"/>
    </sheetView>
  </sheetViews>
  <sheetFormatPr defaultRowHeight="15" x14ac:dyDescent="0.25"/>
  <cols>
    <col min="1" max="1" width="9.5703125" customWidth="1"/>
    <col min="2" max="2" width="11.7109375" bestFit="1" customWidth="1"/>
    <col min="3" max="5" width="8.5703125" bestFit="1" customWidth="1"/>
    <col min="6" max="6" width="13.85546875" bestFit="1" customWidth="1"/>
    <col min="7" max="7" width="33.85546875" bestFit="1" customWidth="1"/>
    <col min="8" max="8" width="11.85546875" bestFit="1" customWidth="1"/>
    <col min="9" max="9" width="14.140625" bestFit="1" customWidth="1"/>
    <col min="10" max="12" width="13.5703125" bestFit="1" customWidth="1"/>
    <col min="18" max="18" width="93.5703125" bestFit="1" customWidth="1"/>
  </cols>
  <sheetData>
    <row r="2" spans="1:12" x14ac:dyDescent="0.25">
      <c r="A2" s="13"/>
      <c r="B2" t="s">
        <v>2542</v>
      </c>
    </row>
    <row r="3" spans="1:12" x14ac:dyDescent="0.25">
      <c r="A3" s="14"/>
      <c r="B3" t="s">
        <v>2543</v>
      </c>
    </row>
    <row r="5" spans="1:12" x14ac:dyDescent="0.25">
      <c r="A5" s="36" t="s">
        <v>18</v>
      </c>
      <c r="B5" s="36" t="s">
        <v>1</v>
      </c>
      <c r="C5" s="36" t="s">
        <v>19</v>
      </c>
      <c r="D5" s="36" t="s">
        <v>20</v>
      </c>
      <c r="E5" s="36" t="s">
        <v>21</v>
      </c>
      <c r="F5" s="36" t="s">
        <v>3</v>
      </c>
      <c r="G5" s="37" t="s">
        <v>22</v>
      </c>
      <c r="H5" s="37" t="s">
        <v>0</v>
      </c>
      <c r="I5" s="37" t="s">
        <v>2</v>
      </c>
      <c r="J5" s="37" t="s">
        <v>23</v>
      </c>
      <c r="K5" s="37" t="s">
        <v>24</v>
      </c>
      <c r="L5" s="37" t="s">
        <v>25</v>
      </c>
    </row>
    <row r="6" spans="1:12" x14ac:dyDescent="0.25">
      <c r="A6" s="17" t="s">
        <v>3002</v>
      </c>
      <c r="B6" s="17" t="s">
        <v>4</v>
      </c>
      <c r="C6" s="17">
        <v>2.1499999999999999E-4</v>
      </c>
      <c r="D6" s="17">
        <v>9.6000000000000002E-5</v>
      </c>
      <c r="E6" s="17">
        <v>1.2049999999999999E-3</v>
      </c>
      <c r="F6" s="17">
        <v>-227.26</v>
      </c>
      <c r="G6" s="17" t="s">
        <v>3002</v>
      </c>
      <c r="H6" s="17" t="s">
        <v>7</v>
      </c>
      <c r="I6" s="17">
        <v>227.26</v>
      </c>
      <c r="J6" s="17" t="s">
        <v>1325</v>
      </c>
      <c r="K6" s="17" t="s">
        <v>1325</v>
      </c>
      <c r="L6" s="17">
        <v>0</v>
      </c>
    </row>
    <row r="7" spans="1:12" x14ac:dyDescent="0.25">
      <c r="A7" s="17" t="s">
        <v>3003</v>
      </c>
      <c r="B7" s="17" t="s">
        <v>4</v>
      </c>
      <c r="C7" s="17">
        <v>0.11117</v>
      </c>
      <c r="D7" s="17">
        <v>1.562E-2</v>
      </c>
      <c r="E7" s="17">
        <v>0.864514</v>
      </c>
      <c r="F7" s="17">
        <v>-4043.88</v>
      </c>
      <c r="G7" s="17" t="s">
        <v>3003</v>
      </c>
      <c r="H7" s="17" t="s">
        <v>7</v>
      </c>
      <c r="I7" s="17">
        <v>4043.88</v>
      </c>
      <c r="J7" s="17" t="s">
        <v>1325</v>
      </c>
      <c r="K7" s="17" t="s">
        <v>1325</v>
      </c>
      <c r="L7" s="17">
        <v>0</v>
      </c>
    </row>
    <row r="8" spans="1:12" x14ac:dyDescent="0.25">
      <c r="A8" s="17" t="s">
        <v>3004</v>
      </c>
      <c r="B8" s="17" t="s">
        <v>4</v>
      </c>
      <c r="C8" s="17">
        <v>0.34616599999999997</v>
      </c>
      <c r="D8" s="17">
        <v>0.12595600000000001</v>
      </c>
      <c r="E8" s="17">
        <v>1.2099150000000001</v>
      </c>
      <c r="F8" s="17">
        <v>-5875.51</v>
      </c>
      <c r="G8" s="17" t="s">
        <v>3004</v>
      </c>
      <c r="H8" s="17" t="s">
        <v>7</v>
      </c>
      <c r="I8" s="17">
        <v>5875.51</v>
      </c>
      <c r="J8" s="17" t="s">
        <v>1325</v>
      </c>
      <c r="K8" s="17" t="s">
        <v>1325</v>
      </c>
      <c r="L8" s="17">
        <v>0</v>
      </c>
    </row>
    <row r="9" spans="1:12" x14ac:dyDescent="0.25">
      <c r="A9" s="17" t="s">
        <v>3005</v>
      </c>
      <c r="B9" s="17" t="s">
        <v>4</v>
      </c>
      <c r="C9" s="17">
        <v>1.3209999999999999E-3</v>
      </c>
      <c r="D9" s="17">
        <v>5.9299999999999999E-4</v>
      </c>
      <c r="E9" s="17">
        <v>7.4029999999999999E-3</v>
      </c>
      <c r="F9" s="17">
        <v>-1394.42</v>
      </c>
      <c r="G9" s="17" t="s">
        <v>3005</v>
      </c>
      <c r="H9" s="17" t="s">
        <v>7</v>
      </c>
      <c r="I9" s="17">
        <v>1394.42</v>
      </c>
      <c r="J9" s="17" t="s">
        <v>1325</v>
      </c>
      <c r="K9" s="17" t="s">
        <v>1325</v>
      </c>
      <c r="L9" s="17">
        <v>0</v>
      </c>
    </row>
    <row r="10" spans="1:12" x14ac:dyDescent="0.25">
      <c r="A10" s="17" t="s">
        <v>3006</v>
      </c>
      <c r="B10" s="17" t="s">
        <v>4</v>
      </c>
      <c r="C10" s="17">
        <v>0.106826</v>
      </c>
      <c r="D10" s="17">
        <v>1.5010000000000001E-2</v>
      </c>
      <c r="E10" s="17">
        <v>0.83072900000000005</v>
      </c>
      <c r="F10" s="17">
        <v>-3885.58</v>
      </c>
      <c r="G10" s="17" t="s">
        <v>3006</v>
      </c>
      <c r="H10" s="17" t="s">
        <v>7</v>
      </c>
      <c r="I10" s="17">
        <v>3885.58</v>
      </c>
      <c r="J10" s="17" t="s">
        <v>1325</v>
      </c>
      <c r="K10" s="17" t="s">
        <v>1325</v>
      </c>
      <c r="L10" s="17">
        <v>0</v>
      </c>
    </row>
    <row r="11" spans="1:12" x14ac:dyDescent="0.25">
      <c r="A11" s="17" t="s">
        <v>3007</v>
      </c>
      <c r="B11" s="17" t="s">
        <v>4</v>
      </c>
      <c r="C11" s="17">
        <v>0.71222399999999997</v>
      </c>
      <c r="D11" s="17">
        <v>5.1204E-2</v>
      </c>
      <c r="E11" s="17">
        <v>1.110487</v>
      </c>
      <c r="F11" s="17">
        <v>-291858.03000000003</v>
      </c>
      <c r="G11" s="17" t="s">
        <v>3007</v>
      </c>
      <c r="H11" s="17" t="s">
        <v>7</v>
      </c>
      <c r="I11" s="17">
        <v>325808.24</v>
      </c>
      <c r="J11" s="17" t="s">
        <v>1325</v>
      </c>
      <c r="K11" s="17" t="s">
        <v>1325</v>
      </c>
      <c r="L11" s="17">
        <v>0</v>
      </c>
    </row>
    <row r="12" spans="1:12" x14ac:dyDescent="0.25">
      <c r="A12" s="17" t="s">
        <v>3008</v>
      </c>
      <c r="B12" s="17" t="s">
        <v>4</v>
      </c>
      <c r="C12" s="17">
        <v>7.7129000000000003E-2</v>
      </c>
      <c r="D12" s="17">
        <v>1.0836999999999999E-2</v>
      </c>
      <c r="E12" s="17">
        <v>0.59979300000000002</v>
      </c>
      <c r="F12" s="17">
        <v>-2805.02</v>
      </c>
      <c r="G12" s="17" t="s">
        <v>3008</v>
      </c>
      <c r="H12" s="17" t="s">
        <v>7</v>
      </c>
      <c r="I12" s="17">
        <v>21890.13</v>
      </c>
      <c r="J12" s="17">
        <v>811.64181900000005</v>
      </c>
      <c r="K12" s="17">
        <v>689.43513099999996</v>
      </c>
      <c r="L12" s="17">
        <v>0</v>
      </c>
    </row>
    <row r="13" spans="1:12" x14ac:dyDescent="0.25">
      <c r="A13" s="17" t="s">
        <v>3009</v>
      </c>
      <c r="B13" s="17" t="s">
        <v>4</v>
      </c>
      <c r="C13" s="17">
        <v>1.188E-3</v>
      </c>
      <c r="D13" s="17">
        <v>5.3399999999999997E-4</v>
      </c>
      <c r="E13" s="17">
        <v>6.659E-3</v>
      </c>
      <c r="F13" s="17">
        <v>-1254.79</v>
      </c>
      <c r="G13" s="17" t="s">
        <v>3009</v>
      </c>
      <c r="H13" s="17" t="s">
        <v>7</v>
      </c>
      <c r="I13" s="17">
        <v>696.73</v>
      </c>
      <c r="J13" s="17" t="s">
        <v>1325</v>
      </c>
      <c r="K13" s="17" t="s">
        <v>1325</v>
      </c>
      <c r="L13" s="17">
        <v>0</v>
      </c>
    </row>
    <row r="14" spans="1:12" x14ac:dyDescent="0.25">
      <c r="A14" s="17" t="s">
        <v>3010</v>
      </c>
      <c r="B14" s="17" t="s">
        <v>4</v>
      </c>
      <c r="C14" s="17">
        <v>3.3023999999999998E-2</v>
      </c>
      <c r="D14" s="17">
        <v>4.64E-3</v>
      </c>
      <c r="E14" s="17">
        <v>0.25680900000000001</v>
      </c>
      <c r="F14" s="17">
        <v>-1201.4100000000001</v>
      </c>
      <c r="G14" s="17" t="s">
        <v>3010</v>
      </c>
      <c r="H14" s="17" t="s">
        <v>7</v>
      </c>
      <c r="I14" s="17">
        <v>638.66999999999996</v>
      </c>
      <c r="J14" s="17" t="s">
        <v>1325</v>
      </c>
      <c r="K14" s="17" t="s">
        <v>1325</v>
      </c>
      <c r="L14" s="17">
        <v>0</v>
      </c>
    </row>
    <row r="15" spans="1:12" x14ac:dyDescent="0.25">
      <c r="A15" s="17" t="s">
        <v>3011</v>
      </c>
      <c r="B15" s="17" t="s">
        <v>4</v>
      </c>
      <c r="C15" s="17">
        <v>0.34657300000000002</v>
      </c>
      <c r="D15" s="17">
        <v>2.4916000000000001E-2</v>
      </c>
      <c r="E15" s="17">
        <v>0.54036899999999999</v>
      </c>
      <c r="F15" s="17">
        <v>-5502.43</v>
      </c>
      <c r="G15" s="17" t="s">
        <v>3011</v>
      </c>
      <c r="H15" s="17" t="s">
        <v>7</v>
      </c>
      <c r="I15" s="17">
        <v>5502.43</v>
      </c>
      <c r="J15" s="17" t="s">
        <v>1325</v>
      </c>
      <c r="K15" s="17" t="s">
        <v>1325</v>
      </c>
      <c r="L15" s="17">
        <v>0</v>
      </c>
    </row>
    <row r="16" spans="1:12" x14ac:dyDescent="0.25">
      <c r="A16" s="17" t="s">
        <v>3012</v>
      </c>
      <c r="B16" s="17" t="s">
        <v>4</v>
      </c>
      <c r="C16" s="17">
        <v>3.3463E-2</v>
      </c>
      <c r="D16" s="17">
        <v>4.7019999999999996E-3</v>
      </c>
      <c r="E16" s="17">
        <v>0.26023099999999999</v>
      </c>
      <c r="F16" s="17">
        <v>-1217.6500000000001</v>
      </c>
      <c r="G16" s="17" t="s">
        <v>3012</v>
      </c>
      <c r="H16" s="17" t="s">
        <v>7</v>
      </c>
      <c r="I16" s="17">
        <v>3849.17</v>
      </c>
      <c r="J16" s="17" t="s">
        <v>1325</v>
      </c>
      <c r="K16" s="17" t="s">
        <v>1325</v>
      </c>
      <c r="L16" s="17">
        <v>0</v>
      </c>
    </row>
    <row r="17" spans="1:80" x14ac:dyDescent="0.25">
      <c r="A17" s="17" t="s">
        <v>3013</v>
      </c>
      <c r="B17" s="17" t="s">
        <v>4</v>
      </c>
      <c r="C17" s="17">
        <v>1.539E-3</v>
      </c>
      <c r="D17" s="17">
        <v>6.9099999999999999E-4</v>
      </c>
      <c r="E17" s="17">
        <v>8.6239999999999997E-3</v>
      </c>
      <c r="F17" s="17">
        <v>-1624.58</v>
      </c>
      <c r="G17" s="17" t="s">
        <v>3013</v>
      </c>
      <c r="H17" s="17" t="s">
        <v>7</v>
      </c>
      <c r="I17" s="17">
        <v>1476.36</v>
      </c>
      <c r="J17" s="17" t="s">
        <v>1325</v>
      </c>
      <c r="K17" s="17" t="s">
        <v>1325</v>
      </c>
      <c r="L17" s="17">
        <v>0</v>
      </c>
    </row>
    <row r="18" spans="1:80" x14ac:dyDescent="0.25">
      <c r="A18" s="17" t="s">
        <v>3014</v>
      </c>
      <c r="B18" s="17" t="s">
        <v>4</v>
      </c>
      <c r="C18" s="17">
        <v>1.9494999999999998E-2</v>
      </c>
      <c r="D18" s="17">
        <v>9.2599999999999991E-3</v>
      </c>
      <c r="E18" s="17">
        <v>8.8689000000000004E-2</v>
      </c>
      <c r="F18" s="17">
        <v>-68.650000000000006</v>
      </c>
      <c r="G18" s="17" t="s">
        <v>3014</v>
      </c>
      <c r="H18" s="17" t="s">
        <v>7</v>
      </c>
      <c r="I18" s="17">
        <v>3179.44</v>
      </c>
      <c r="J18" s="17" t="s">
        <v>1325</v>
      </c>
      <c r="K18" s="17" t="s">
        <v>1325</v>
      </c>
      <c r="L18" s="17">
        <v>0</v>
      </c>
    </row>
    <row r="20" spans="1:80" s="15" customFormat="1" x14ac:dyDescent="0.25">
      <c r="B20" s="26" t="s">
        <v>2545</v>
      </c>
    </row>
    <row r="22" spans="1:80" x14ac:dyDescent="0.25">
      <c r="A22" s="17" t="s">
        <v>2546</v>
      </c>
      <c r="B22" s="17" t="s">
        <v>2547</v>
      </c>
      <c r="C22" s="17" t="s">
        <v>2548</v>
      </c>
      <c r="D22" s="17" t="s">
        <v>2549</v>
      </c>
      <c r="E22" s="17" t="s">
        <v>18</v>
      </c>
      <c r="F22" s="17" t="s">
        <v>2550</v>
      </c>
      <c r="G22" s="17" t="s">
        <v>2551</v>
      </c>
      <c r="H22" s="17" t="s">
        <v>2552</v>
      </c>
      <c r="I22" s="17" t="s">
        <v>2553</v>
      </c>
      <c r="J22" s="17" t="s">
        <v>2554</v>
      </c>
      <c r="K22" s="17" t="s">
        <v>2555</v>
      </c>
      <c r="L22" s="17" t="s">
        <v>35</v>
      </c>
      <c r="M22" s="17" t="s">
        <v>36</v>
      </c>
      <c r="N22" s="17" t="s">
        <v>37</v>
      </c>
      <c r="O22" s="17" t="s">
        <v>2556</v>
      </c>
      <c r="P22" s="17" t="s">
        <v>2557</v>
      </c>
      <c r="Q22" s="17" t="s">
        <v>2558</v>
      </c>
      <c r="R22" s="17"/>
      <c r="S22" s="17" t="s">
        <v>2559</v>
      </c>
      <c r="T22" s="17" t="s">
        <v>2560</v>
      </c>
      <c r="U22" s="17" t="s">
        <v>2561</v>
      </c>
      <c r="V22" s="17" t="s">
        <v>2562</v>
      </c>
      <c r="W22" s="17" t="s">
        <v>2563</v>
      </c>
      <c r="X22" s="17" t="s">
        <v>2564</v>
      </c>
      <c r="Y22" s="17" t="s">
        <v>2565</v>
      </c>
      <c r="Z22" s="17" t="s">
        <v>2566</v>
      </c>
      <c r="AA22" s="17" t="s">
        <v>2567</v>
      </c>
      <c r="AB22" s="17" t="s">
        <v>2568</v>
      </c>
      <c r="AC22" s="17" t="s">
        <v>2569</v>
      </c>
      <c r="AD22" s="17" t="s">
        <v>2570</v>
      </c>
      <c r="AE22" s="17" t="s">
        <v>2571</v>
      </c>
      <c r="AF22" s="17" t="s">
        <v>2572</v>
      </c>
      <c r="AG22" s="17" t="s">
        <v>2573</v>
      </c>
      <c r="AH22" s="17" t="s">
        <v>2574</v>
      </c>
      <c r="AI22" s="17" t="s">
        <v>2575</v>
      </c>
      <c r="AJ22" s="17" t="s">
        <v>2576</v>
      </c>
      <c r="AK22" s="17" t="s">
        <v>2577</v>
      </c>
      <c r="AL22" s="17" t="s">
        <v>2578</v>
      </c>
      <c r="AM22" s="17" t="s">
        <v>2579</v>
      </c>
      <c r="AN22" s="17" t="s">
        <v>2580</v>
      </c>
      <c r="AO22" s="17" t="s">
        <v>2581</v>
      </c>
      <c r="AP22" s="17" t="s">
        <v>2582</v>
      </c>
      <c r="AQ22" s="17" t="s">
        <v>2583</v>
      </c>
      <c r="AR22" s="17" t="s">
        <v>2584</v>
      </c>
      <c r="AS22" s="17" t="s">
        <v>2585</v>
      </c>
      <c r="AT22" s="17" t="s">
        <v>2586</v>
      </c>
      <c r="AU22" s="17" t="s">
        <v>2587</v>
      </c>
      <c r="AV22" s="17" t="s">
        <v>2588</v>
      </c>
      <c r="AW22" s="17" t="s">
        <v>2589</v>
      </c>
      <c r="AX22" s="17" t="s">
        <v>2590</v>
      </c>
      <c r="AY22" s="17" t="s">
        <v>2591</v>
      </c>
      <c r="AZ22" s="17" t="s">
        <v>2592</v>
      </c>
      <c r="BA22" s="17" t="s">
        <v>2593</v>
      </c>
      <c r="BB22" s="17" t="s">
        <v>2594</v>
      </c>
      <c r="BC22" s="17" t="s">
        <v>2595</v>
      </c>
      <c r="BD22" s="17" t="s">
        <v>2596</v>
      </c>
      <c r="BE22" s="17" t="s">
        <v>2597</v>
      </c>
      <c r="BF22" s="17" t="s">
        <v>2598</v>
      </c>
      <c r="BG22" s="17" t="s">
        <v>2599</v>
      </c>
      <c r="BH22" s="17" t="s">
        <v>2600</v>
      </c>
      <c r="BI22" s="17" t="s">
        <v>2601</v>
      </c>
      <c r="BJ22" s="17" t="s">
        <v>2602</v>
      </c>
      <c r="BK22" s="17" t="s">
        <v>2603</v>
      </c>
      <c r="BL22" s="17" t="s">
        <v>2604</v>
      </c>
      <c r="BM22" s="17" t="s">
        <v>2605</v>
      </c>
      <c r="BN22" s="17" t="s">
        <v>2606</v>
      </c>
      <c r="BO22" s="17" t="s">
        <v>2607</v>
      </c>
      <c r="BP22" s="17" t="s">
        <v>2608</v>
      </c>
      <c r="BQ22" s="17" t="s">
        <v>2609</v>
      </c>
      <c r="BR22" s="17" t="s">
        <v>2610</v>
      </c>
      <c r="BS22" s="17" t="s">
        <v>2611</v>
      </c>
      <c r="BT22" s="17" t="s">
        <v>2612</v>
      </c>
      <c r="BU22" s="17" t="s">
        <v>2613</v>
      </c>
      <c r="BV22" s="17" t="s">
        <v>2614</v>
      </c>
      <c r="BW22" s="17" t="s">
        <v>2615</v>
      </c>
      <c r="BX22" s="17" t="s">
        <v>2616</v>
      </c>
      <c r="BY22" s="17" t="s">
        <v>2617</v>
      </c>
      <c r="BZ22" s="17" t="s">
        <v>2618</v>
      </c>
      <c r="CA22" s="17" t="s">
        <v>2619</v>
      </c>
      <c r="CB22" s="17"/>
    </row>
    <row r="23" spans="1:80" x14ac:dyDescent="0.25">
      <c r="A23" s="17" t="s">
        <v>61</v>
      </c>
      <c r="B23" s="17" t="s">
        <v>58</v>
      </c>
      <c r="C23" s="17" t="s">
        <v>3069</v>
      </c>
      <c r="D23" s="17" t="s">
        <v>3070</v>
      </c>
      <c r="E23" s="17" t="s">
        <v>3009</v>
      </c>
      <c r="F23" s="17" t="s">
        <v>3071</v>
      </c>
      <c r="G23" s="17"/>
      <c r="H23" s="17" t="s">
        <v>2621</v>
      </c>
      <c r="I23" s="17">
        <v>-1254.79</v>
      </c>
      <c r="J23" s="17" t="s">
        <v>56</v>
      </c>
      <c r="K23" s="17" t="s">
        <v>56</v>
      </c>
      <c r="L23" s="17" t="s">
        <v>56</v>
      </c>
      <c r="M23" s="17" t="s">
        <v>56</v>
      </c>
      <c r="N23" s="17" t="s">
        <v>56</v>
      </c>
      <c r="O23" s="17" t="s">
        <v>56</v>
      </c>
      <c r="P23" s="17" t="s">
        <v>56</v>
      </c>
      <c r="Q23" s="17" t="s">
        <v>56</v>
      </c>
      <c r="R23" s="17"/>
      <c r="S23" s="17" t="s">
        <v>56</v>
      </c>
      <c r="T23" s="17" t="s">
        <v>56</v>
      </c>
      <c r="U23" s="17" t="s">
        <v>56</v>
      </c>
      <c r="V23" s="17" t="s">
        <v>1325</v>
      </c>
      <c r="W23" s="17" t="s">
        <v>56</v>
      </c>
      <c r="X23" s="17" t="s">
        <v>2640</v>
      </c>
      <c r="Y23" s="17" t="s">
        <v>56</v>
      </c>
      <c r="Z23" s="17" t="s">
        <v>56</v>
      </c>
      <c r="AA23" s="17" t="s">
        <v>2627</v>
      </c>
      <c r="AB23" s="17">
        <v>-1254.79</v>
      </c>
      <c r="AC23" s="17" t="s">
        <v>939</v>
      </c>
      <c r="AD23" s="17" t="s">
        <v>3072</v>
      </c>
      <c r="AE23" s="17" t="s">
        <v>3073</v>
      </c>
      <c r="AF23" s="17"/>
      <c r="AG23" s="16">
        <v>45226</v>
      </c>
      <c r="AH23" s="16">
        <v>2958465</v>
      </c>
      <c r="AI23" s="17" t="s">
        <v>2630</v>
      </c>
      <c r="AJ23" s="17" t="s">
        <v>2631</v>
      </c>
      <c r="AK23" s="17" t="s">
        <v>3025</v>
      </c>
      <c r="AL23" s="17">
        <v>21210.82</v>
      </c>
      <c r="AM23" s="17">
        <v>30423</v>
      </c>
      <c r="AN23" s="17">
        <v>0</v>
      </c>
      <c r="AO23" s="17">
        <v>0</v>
      </c>
      <c r="AP23" s="17">
        <v>9145.07</v>
      </c>
      <c r="AQ23" s="17">
        <v>0</v>
      </c>
      <c r="AR23" s="17">
        <v>0</v>
      </c>
      <c r="AS23" s="17">
        <v>21210.82</v>
      </c>
      <c r="AT23" s="17">
        <v>39568.07</v>
      </c>
      <c r="AU23" s="17">
        <v>0.94810000000000005</v>
      </c>
      <c r="AV23" s="17">
        <v>0.42599999999999999</v>
      </c>
      <c r="AW23" s="17">
        <v>5.3108000000000004</v>
      </c>
      <c r="AX23" s="17" t="s">
        <v>3015</v>
      </c>
      <c r="AY23" s="17" t="s">
        <v>3015</v>
      </c>
      <c r="AZ23" s="17" t="s">
        <v>3015</v>
      </c>
      <c r="BA23" s="17" t="s">
        <v>56</v>
      </c>
      <c r="BB23" s="17" t="s">
        <v>56</v>
      </c>
      <c r="BC23" s="17" t="s">
        <v>56</v>
      </c>
      <c r="BD23" s="17" t="s">
        <v>56</v>
      </c>
      <c r="BE23" s="17" t="s">
        <v>56</v>
      </c>
      <c r="BF23" s="17" t="s">
        <v>56</v>
      </c>
      <c r="BG23" s="17" t="s">
        <v>56</v>
      </c>
      <c r="BH23" s="17" t="s">
        <v>56</v>
      </c>
      <c r="BI23" s="17" t="s">
        <v>56</v>
      </c>
      <c r="BJ23" s="17" t="s">
        <v>56</v>
      </c>
      <c r="BK23" s="17" t="s">
        <v>56</v>
      </c>
      <c r="BL23" s="17" t="s">
        <v>56</v>
      </c>
      <c r="BM23" s="17" t="s">
        <v>56</v>
      </c>
      <c r="BN23" s="17" t="s">
        <v>56</v>
      </c>
      <c r="BO23" s="17" t="s">
        <v>1325</v>
      </c>
      <c r="BP23" s="17" t="s">
        <v>1325</v>
      </c>
      <c r="BQ23" s="17" t="s">
        <v>56</v>
      </c>
      <c r="BR23" s="17">
        <v>1.1889174E-3</v>
      </c>
      <c r="BS23" s="17">
        <v>1.189666399E-3</v>
      </c>
      <c r="BT23" s="17">
        <v>1.188E-3</v>
      </c>
      <c r="BU23" s="17" t="s">
        <v>3015</v>
      </c>
      <c r="BV23" s="17">
        <v>5.3420400000000004E-4</v>
      </c>
      <c r="BW23" s="17">
        <v>5.3399999999999997E-4</v>
      </c>
      <c r="BX23" s="17" t="s">
        <v>3015</v>
      </c>
      <c r="BY23" s="17">
        <v>6.6597432000000002E-3</v>
      </c>
      <c r="BZ23" s="17">
        <v>6.659E-3</v>
      </c>
      <c r="CA23" s="17" t="s">
        <v>3015</v>
      </c>
      <c r="CB23" s="17"/>
    </row>
    <row r="24" spans="1:80" x14ac:dyDescent="0.25">
      <c r="A24" s="17" t="s">
        <v>61</v>
      </c>
      <c r="B24" s="17" t="s">
        <v>58</v>
      </c>
      <c r="C24" s="17" t="s">
        <v>3032</v>
      </c>
      <c r="D24" s="17" t="s">
        <v>3033</v>
      </c>
      <c r="E24" s="17" t="s">
        <v>3005</v>
      </c>
      <c r="F24" s="17" t="s">
        <v>3034</v>
      </c>
      <c r="G24" s="17"/>
      <c r="H24" s="17" t="s">
        <v>2621</v>
      </c>
      <c r="I24" s="17">
        <v>-1394.42</v>
      </c>
      <c r="J24" s="17" t="s">
        <v>56</v>
      </c>
      <c r="K24" s="17" t="s">
        <v>56</v>
      </c>
      <c r="L24" s="17" t="s">
        <v>56</v>
      </c>
      <c r="M24" s="17" t="s">
        <v>56</v>
      </c>
      <c r="N24" s="17" t="s">
        <v>56</v>
      </c>
      <c r="O24" s="17" t="s">
        <v>56</v>
      </c>
      <c r="P24" s="17" t="s">
        <v>56</v>
      </c>
      <c r="Q24" s="17" t="s">
        <v>56</v>
      </c>
      <c r="R24" s="17"/>
      <c r="S24" s="17" t="s">
        <v>56</v>
      </c>
      <c r="T24" s="17" t="s">
        <v>56</v>
      </c>
      <c r="U24" s="17" t="s">
        <v>56</v>
      </c>
      <c r="V24" s="17" t="s">
        <v>1325</v>
      </c>
      <c r="W24" s="17" t="s">
        <v>56</v>
      </c>
      <c r="X24" s="17" t="s">
        <v>2640</v>
      </c>
      <c r="Y24" s="17" t="s">
        <v>56</v>
      </c>
      <c r="Z24" s="17" t="s">
        <v>56</v>
      </c>
      <c r="AA24" s="17" t="s">
        <v>2627</v>
      </c>
      <c r="AB24" s="17">
        <v>-1394.42</v>
      </c>
      <c r="AC24" s="17" t="s">
        <v>939</v>
      </c>
      <c r="AD24" s="17" t="s">
        <v>3035</v>
      </c>
      <c r="AE24" s="17" t="s">
        <v>3024</v>
      </c>
      <c r="AF24" s="17"/>
      <c r="AG24" s="16">
        <v>45226</v>
      </c>
      <c r="AH24" s="16">
        <v>2958465</v>
      </c>
      <c r="AI24" s="17" t="s">
        <v>2630</v>
      </c>
      <c r="AJ24" s="17" t="s">
        <v>2631</v>
      </c>
      <c r="AK24" s="17" t="s">
        <v>3025</v>
      </c>
      <c r="AL24" s="17">
        <v>-357136.14</v>
      </c>
      <c r="AM24" s="17">
        <v>599938.96</v>
      </c>
      <c r="AN24" s="17">
        <v>0</v>
      </c>
      <c r="AO24" s="17">
        <v>0</v>
      </c>
      <c r="AP24" s="17">
        <v>241557.87</v>
      </c>
      <c r="AQ24" s="17">
        <v>0</v>
      </c>
      <c r="AR24" s="17">
        <v>0</v>
      </c>
      <c r="AS24" s="17">
        <v>-357136.14</v>
      </c>
      <c r="AT24" s="17">
        <v>841496.83</v>
      </c>
      <c r="AU24" s="17">
        <v>0.94810000000000005</v>
      </c>
      <c r="AV24" s="17">
        <v>0.42599999999999999</v>
      </c>
      <c r="AW24" s="17">
        <v>5.3108000000000004</v>
      </c>
      <c r="AX24" s="17" t="s">
        <v>3015</v>
      </c>
      <c r="AY24" s="17" t="s">
        <v>3015</v>
      </c>
      <c r="AZ24" s="17" t="s">
        <v>3015</v>
      </c>
      <c r="BA24" s="17" t="s">
        <v>56</v>
      </c>
      <c r="BB24" s="17" t="s">
        <v>56</v>
      </c>
      <c r="BC24" s="17" t="s">
        <v>56</v>
      </c>
      <c r="BD24" s="17" t="s">
        <v>56</v>
      </c>
      <c r="BE24" s="17" t="s">
        <v>56</v>
      </c>
      <c r="BF24" s="17" t="s">
        <v>56</v>
      </c>
      <c r="BG24" s="17" t="s">
        <v>56</v>
      </c>
      <c r="BH24" s="17" t="s">
        <v>56</v>
      </c>
      <c r="BI24" s="17" t="s">
        <v>56</v>
      </c>
      <c r="BJ24" s="17" t="s">
        <v>56</v>
      </c>
      <c r="BK24" s="17" t="s">
        <v>56</v>
      </c>
      <c r="BL24" s="17" t="s">
        <v>56</v>
      </c>
      <c r="BM24" s="17" t="s">
        <v>56</v>
      </c>
      <c r="BN24" s="17" t="s">
        <v>56</v>
      </c>
      <c r="BO24" s="17" t="s">
        <v>1325</v>
      </c>
      <c r="BP24" s="17" t="s">
        <v>1325</v>
      </c>
      <c r="BQ24" s="17" t="s">
        <v>56</v>
      </c>
      <c r="BR24" s="17">
        <v>1.3216514E-3</v>
      </c>
      <c r="BS24" s="17">
        <v>1.322049602E-3</v>
      </c>
      <c r="BT24" s="17">
        <v>1.3209999999999999E-3</v>
      </c>
      <c r="BU24" s="17" t="s">
        <v>3015</v>
      </c>
      <c r="BV24" s="17">
        <v>5.9384399999999995E-4</v>
      </c>
      <c r="BW24" s="17">
        <v>5.9299999999999999E-4</v>
      </c>
      <c r="BX24" s="17" t="s">
        <v>3015</v>
      </c>
      <c r="BY24" s="17">
        <v>7.4032552000000001E-3</v>
      </c>
      <c r="BZ24" s="17">
        <v>7.4029999999999999E-3</v>
      </c>
      <c r="CA24" s="17" t="s">
        <v>3015</v>
      </c>
      <c r="CB24" s="17"/>
    </row>
    <row r="25" spans="1:80" x14ac:dyDescent="0.25">
      <c r="A25" s="17" t="s">
        <v>61</v>
      </c>
      <c r="B25" s="17" t="s">
        <v>58</v>
      </c>
      <c r="C25" s="17" t="s">
        <v>3060</v>
      </c>
      <c r="D25" s="17" t="s">
        <v>3061</v>
      </c>
      <c r="E25" s="17" t="s">
        <v>3010</v>
      </c>
      <c r="F25" s="17" t="s">
        <v>3062</v>
      </c>
      <c r="G25" s="17"/>
      <c r="H25" s="17" t="s">
        <v>2621</v>
      </c>
      <c r="I25" s="17">
        <v>-1201.4100000000001</v>
      </c>
      <c r="J25" s="17" t="s">
        <v>56</v>
      </c>
      <c r="K25" s="17" t="s">
        <v>56</v>
      </c>
      <c r="L25" s="17" t="s">
        <v>56</v>
      </c>
      <c r="M25" s="17" t="s">
        <v>56</v>
      </c>
      <c r="N25" s="17" t="s">
        <v>56</v>
      </c>
      <c r="O25" s="17" t="s">
        <v>56</v>
      </c>
      <c r="P25" s="17" t="s">
        <v>56</v>
      </c>
      <c r="Q25" s="17" t="s">
        <v>56</v>
      </c>
      <c r="R25" s="17"/>
      <c r="S25" s="17" t="s">
        <v>56</v>
      </c>
      <c r="T25" s="17" t="s">
        <v>56</v>
      </c>
      <c r="U25" s="17" t="s">
        <v>56</v>
      </c>
      <c r="V25" s="17" t="s">
        <v>1325</v>
      </c>
      <c r="W25" s="17" t="s">
        <v>56</v>
      </c>
      <c r="X25" s="17" t="s">
        <v>2640</v>
      </c>
      <c r="Y25" s="17" t="s">
        <v>56</v>
      </c>
      <c r="Z25" s="17" t="s">
        <v>56</v>
      </c>
      <c r="AA25" s="17" t="s">
        <v>2627</v>
      </c>
      <c r="AB25" s="17">
        <v>-1201.4100000000001</v>
      </c>
      <c r="AC25" s="17" t="s">
        <v>939</v>
      </c>
      <c r="AD25" s="17" t="s">
        <v>3063</v>
      </c>
      <c r="AE25" s="17" t="s">
        <v>3030</v>
      </c>
      <c r="AF25" s="17" t="s">
        <v>3018</v>
      </c>
      <c r="AG25" s="16">
        <v>45198</v>
      </c>
      <c r="AH25" s="16">
        <v>2958465</v>
      </c>
      <c r="AI25" s="17" t="s">
        <v>2630</v>
      </c>
      <c r="AJ25" s="17" t="s">
        <v>2631</v>
      </c>
      <c r="AK25" s="17" t="s">
        <v>3064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27.4971</v>
      </c>
      <c r="AV25" s="17">
        <v>3.8637000000000001</v>
      </c>
      <c r="AW25" s="17">
        <v>213.83</v>
      </c>
      <c r="AX25" s="17" t="s">
        <v>3015</v>
      </c>
      <c r="AY25" s="17" t="s">
        <v>3015</v>
      </c>
      <c r="AZ25" s="17" t="s">
        <v>3015</v>
      </c>
      <c r="BA25" s="17" t="s">
        <v>56</v>
      </c>
      <c r="BB25" s="17" t="s">
        <v>56</v>
      </c>
      <c r="BC25" s="17" t="s">
        <v>56</v>
      </c>
      <c r="BD25" s="17" t="s">
        <v>56</v>
      </c>
      <c r="BE25" s="17" t="s">
        <v>56</v>
      </c>
      <c r="BF25" s="17" t="s">
        <v>56</v>
      </c>
      <c r="BG25" s="17" t="s">
        <v>56</v>
      </c>
      <c r="BH25" s="17" t="s">
        <v>56</v>
      </c>
      <c r="BI25" s="17" t="s">
        <v>56</v>
      </c>
      <c r="BJ25" s="17" t="s">
        <v>56</v>
      </c>
      <c r="BK25" s="17" t="s">
        <v>56</v>
      </c>
      <c r="BL25" s="17" t="s">
        <v>56</v>
      </c>
      <c r="BM25" s="17" t="s">
        <v>56</v>
      </c>
      <c r="BN25" s="17" t="s">
        <v>56</v>
      </c>
      <c r="BO25" s="17" t="s">
        <v>1325</v>
      </c>
      <c r="BP25" s="17" t="s">
        <v>1325</v>
      </c>
      <c r="BQ25" s="17" t="s">
        <v>56</v>
      </c>
      <c r="BR25" s="17">
        <v>3.3024017099999997E-2</v>
      </c>
      <c r="BS25" s="17">
        <v>3.3035290911E-2</v>
      </c>
      <c r="BT25" s="17">
        <v>3.3023999999999998E-2</v>
      </c>
      <c r="BU25" s="17" t="s">
        <v>3015</v>
      </c>
      <c r="BV25" s="17">
        <v>4.6403036999999999E-3</v>
      </c>
      <c r="BW25" s="17">
        <v>4.64E-3</v>
      </c>
      <c r="BX25" s="17" t="s">
        <v>3015</v>
      </c>
      <c r="BY25" s="17">
        <v>0.25680983000000002</v>
      </c>
      <c r="BZ25" s="17">
        <v>0.25680900000000001</v>
      </c>
      <c r="CA25" s="17" t="s">
        <v>3015</v>
      </c>
      <c r="CB25" s="17"/>
    </row>
    <row r="26" spans="1:80" x14ac:dyDescent="0.25">
      <c r="A26" s="17" t="s">
        <v>61</v>
      </c>
      <c r="B26" s="17" t="s">
        <v>58</v>
      </c>
      <c r="C26" s="17" t="s">
        <v>3065</v>
      </c>
      <c r="D26" s="17" t="s">
        <v>3066</v>
      </c>
      <c r="E26" s="17" t="s">
        <v>3013</v>
      </c>
      <c r="F26" s="17" t="s">
        <v>3067</v>
      </c>
      <c r="G26" s="17"/>
      <c r="H26" s="17" t="s">
        <v>2621</v>
      </c>
      <c r="I26" s="17">
        <v>-1624.58</v>
      </c>
      <c r="J26" s="17" t="s">
        <v>56</v>
      </c>
      <c r="K26" s="17" t="s">
        <v>56</v>
      </c>
      <c r="L26" s="17" t="s">
        <v>56</v>
      </c>
      <c r="M26" s="17" t="s">
        <v>56</v>
      </c>
      <c r="N26" s="17" t="s">
        <v>56</v>
      </c>
      <c r="O26" s="17" t="s">
        <v>56</v>
      </c>
      <c r="P26" s="17" t="s">
        <v>56</v>
      </c>
      <c r="Q26" s="17" t="s">
        <v>56</v>
      </c>
      <c r="R26" s="17"/>
      <c r="S26" s="17" t="s">
        <v>56</v>
      </c>
      <c r="T26" s="17" t="s">
        <v>56</v>
      </c>
      <c r="U26" s="17" t="s">
        <v>56</v>
      </c>
      <c r="V26" s="17" t="s">
        <v>1325</v>
      </c>
      <c r="W26" s="17" t="s">
        <v>56</v>
      </c>
      <c r="X26" s="17" t="s">
        <v>2640</v>
      </c>
      <c r="Y26" s="17" t="s">
        <v>56</v>
      </c>
      <c r="Z26" s="17" t="s">
        <v>56</v>
      </c>
      <c r="AA26" s="17" t="s">
        <v>2627</v>
      </c>
      <c r="AB26" s="17">
        <v>-1624.58</v>
      </c>
      <c r="AC26" s="17" t="s">
        <v>939</v>
      </c>
      <c r="AD26" s="17" t="s">
        <v>3068</v>
      </c>
      <c r="AE26" s="17" t="s">
        <v>3030</v>
      </c>
      <c r="AF26" s="17"/>
      <c r="AG26" s="16">
        <v>45226</v>
      </c>
      <c r="AH26" s="16">
        <v>2958465</v>
      </c>
      <c r="AI26" s="17" t="s">
        <v>2630</v>
      </c>
      <c r="AJ26" s="17" t="s">
        <v>2631</v>
      </c>
      <c r="AK26" s="17" t="s">
        <v>3025</v>
      </c>
      <c r="AL26" s="17">
        <v>-28176.47</v>
      </c>
      <c r="AM26" s="17">
        <v>89215.06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-28176.47</v>
      </c>
      <c r="AT26" s="17">
        <v>89215.06</v>
      </c>
      <c r="AU26" s="17">
        <v>0.94810000000000005</v>
      </c>
      <c r="AV26" s="17">
        <v>0.42599999999999999</v>
      </c>
      <c r="AW26" s="17">
        <v>5.3108000000000004</v>
      </c>
      <c r="AX26" s="17" t="s">
        <v>3015</v>
      </c>
      <c r="AY26" s="17" t="s">
        <v>3015</v>
      </c>
      <c r="AZ26" s="17" t="s">
        <v>3015</v>
      </c>
      <c r="BA26" s="17" t="s">
        <v>56</v>
      </c>
      <c r="BB26" s="17" t="s">
        <v>56</v>
      </c>
      <c r="BC26" s="17" t="s">
        <v>56</v>
      </c>
      <c r="BD26" s="17" t="s">
        <v>56</v>
      </c>
      <c r="BE26" s="17" t="s">
        <v>56</v>
      </c>
      <c r="BF26" s="17" t="s">
        <v>56</v>
      </c>
      <c r="BG26" s="17" t="s">
        <v>56</v>
      </c>
      <c r="BH26" s="17" t="s">
        <v>56</v>
      </c>
      <c r="BI26" s="17" t="s">
        <v>56</v>
      </c>
      <c r="BJ26" s="17" t="s">
        <v>56</v>
      </c>
      <c r="BK26" s="17" t="s">
        <v>56</v>
      </c>
      <c r="BL26" s="17" t="s">
        <v>56</v>
      </c>
      <c r="BM26" s="17" t="s">
        <v>56</v>
      </c>
      <c r="BN26" s="17" t="s">
        <v>56</v>
      </c>
      <c r="BO26" s="17" t="s">
        <v>1325</v>
      </c>
      <c r="BP26" s="17" t="s">
        <v>1325</v>
      </c>
      <c r="BQ26" s="17" t="s">
        <v>56</v>
      </c>
      <c r="BR26" s="17">
        <v>1.5397144000000001E-3</v>
      </c>
      <c r="BS26" s="17">
        <v>1.5402642980000001E-3</v>
      </c>
      <c r="BT26" s="17">
        <v>1.539E-3</v>
      </c>
      <c r="BU26" s="17" t="s">
        <v>3015</v>
      </c>
      <c r="BV26" s="17">
        <v>6.9182399999999995E-4</v>
      </c>
      <c r="BW26" s="17">
        <v>6.9099999999999999E-4</v>
      </c>
      <c r="BX26" s="17" t="s">
        <v>3015</v>
      </c>
      <c r="BY26" s="17">
        <v>8.6247392000000003E-3</v>
      </c>
      <c r="BZ26" s="17">
        <v>8.6239999999999997E-3</v>
      </c>
      <c r="CA26" s="17" t="s">
        <v>3015</v>
      </c>
      <c r="CB26" s="17"/>
    </row>
    <row r="27" spans="1:80" x14ac:dyDescent="0.25">
      <c r="A27" s="17" t="s">
        <v>61</v>
      </c>
      <c r="B27" s="17" t="s">
        <v>58</v>
      </c>
      <c r="C27" s="17" t="s">
        <v>3036</v>
      </c>
      <c r="D27" s="17" t="s">
        <v>3037</v>
      </c>
      <c r="E27" s="17" t="s">
        <v>3003</v>
      </c>
      <c r="F27" s="17" t="s">
        <v>3038</v>
      </c>
      <c r="G27" s="17"/>
      <c r="H27" s="17" t="s">
        <v>2621</v>
      </c>
      <c r="I27" s="17">
        <v>-4043.88</v>
      </c>
      <c r="J27" s="17" t="s">
        <v>56</v>
      </c>
      <c r="K27" s="17" t="s">
        <v>56</v>
      </c>
      <c r="L27" s="17" t="s">
        <v>56</v>
      </c>
      <c r="M27" s="17" t="s">
        <v>56</v>
      </c>
      <c r="N27" s="17" t="s">
        <v>56</v>
      </c>
      <c r="O27" s="17" t="s">
        <v>56</v>
      </c>
      <c r="P27" s="17" t="s">
        <v>56</v>
      </c>
      <c r="Q27" s="17" t="s">
        <v>56</v>
      </c>
      <c r="R27" s="17"/>
      <c r="S27" s="17" t="s">
        <v>56</v>
      </c>
      <c r="T27" s="17" t="s">
        <v>56</v>
      </c>
      <c r="U27" s="17" t="s">
        <v>56</v>
      </c>
      <c r="V27" s="17" t="s">
        <v>1325</v>
      </c>
      <c r="W27" s="17" t="s">
        <v>56</v>
      </c>
      <c r="X27" s="17" t="s">
        <v>2640</v>
      </c>
      <c r="Y27" s="17" t="s">
        <v>56</v>
      </c>
      <c r="Z27" s="17" t="s">
        <v>56</v>
      </c>
      <c r="AA27" s="17" t="s">
        <v>2627</v>
      </c>
      <c r="AB27" s="17">
        <v>-4043.88</v>
      </c>
      <c r="AC27" s="17" t="s">
        <v>939</v>
      </c>
      <c r="AD27" s="17" t="s">
        <v>3039</v>
      </c>
      <c r="AE27" s="17" t="s">
        <v>3030</v>
      </c>
      <c r="AF27" s="17" t="s">
        <v>3017</v>
      </c>
      <c r="AG27" s="16">
        <v>45412</v>
      </c>
      <c r="AH27" s="16">
        <v>2958465</v>
      </c>
      <c r="AI27" s="17" t="s">
        <v>2630</v>
      </c>
      <c r="AJ27" s="17" t="s">
        <v>2631</v>
      </c>
      <c r="AK27" s="17" t="s">
        <v>3040</v>
      </c>
      <c r="AL27" s="17">
        <v>148897.28</v>
      </c>
      <c r="AM27" s="17">
        <v>121757.71</v>
      </c>
      <c r="AN27" s="17">
        <v>0</v>
      </c>
      <c r="AO27" s="17">
        <v>0</v>
      </c>
      <c r="AP27" s="17">
        <v>149752.26</v>
      </c>
      <c r="AQ27" s="17">
        <v>0</v>
      </c>
      <c r="AR27" s="17">
        <v>0</v>
      </c>
      <c r="AS27" s="17">
        <v>148897.28</v>
      </c>
      <c r="AT27" s="17">
        <v>271509.96999999997</v>
      </c>
      <c r="AU27" s="17">
        <v>27.4971</v>
      </c>
      <c r="AV27" s="17">
        <v>3.8637000000000001</v>
      </c>
      <c r="AW27" s="17">
        <v>213.83</v>
      </c>
      <c r="AX27" s="17" t="s">
        <v>3015</v>
      </c>
      <c r="AY27" s="17" t="s">
        <v>3015</v>
      </c>
      <c r="AZ27" s="17" t="s">
        <v>3015</v>
      </c>
      <c r="BA27" s="17" t="s">
        <v>56</v>
      </c>
      <c r="BB27" s="17" t="s">
        <v>56</v>
      </c>
      <c r="BC27" s="17" t="s">
        <v>56</v>
      </c>
      <c r="BD27" s="17" t="s">
        <v>56</v>
      </c>
      <c r="BE27" s="17" t="s">
        <v>56</v>
      </c>
      <c r="BF27" s="17" t="s">
        <v>56</v>
      </c>
      <c r="BG27" s="17" t="s">
        <v>56</v>
      </c>
      <c r="BH27" s="17" t="s">
        <v>56</v>
      </c>
      <c r="BI27" s="17" t="s">
        <v>56</v>
      </c>
      <c r="BJ27" s="17" t="s">
        <v>56</v>
      </c>
      <c r="BK27" s="17" t="s">
        <v>56</v>
      </c>
      <c r="BL27" s="17" t="s">
        <v>56</v>
      </c>
      <c r="BM27" s="17" t="s">
        <v>56</v>
      </c>
      <c r="BN27" s="17" t="s">
        <v>56</v>
      </c>
      <c r="BO27" s="17" t="s">
        <v>1325</v>
      </c>
      <c r="BP27" s="17" t="s">
        <v>1325</v>
      </c>
      <c r="BQ27" s="17" t="s">
        <v>56</v>
      </c>
      <c r="BR27" s="17">
        <v>0.1111707753</v>
      </c>
      <c r="BS27" s="17">
        <v>0.111194972748</v>
      </c>
      <c r="BT27" s="17">
        <v>0.11117</v>
      </c>
      <c r="BU27" s="17" t="s">
        <v>3015</v>
      </c>
      <c r="BV27" s="17">
        <v>1.56209391E-2</v>
      </c>
      <c r="BW27" s="17">
        <v>1.562E-2</v>
      </c>
      <c r="BX27" s="17" t="s">
        <v>3015</v>
      </c>
      <c r="BY27" s="17">
        <v>0.86451469000000003</v>
      </c>
      <c r="BZ27" s="17">
        <v>0.864514</v>
      </c>
      <c r="CA27" s="17" t="s">
        <v>3015</v>
      </c>
      <c r="CB27" s="17"/>
    </row>
    <row r="28" spans="1:80" x14ac:dyDescent="0.25">
      <c r="A28" s="17" t="s">
        <v>61</v>
      </c>
      <c r="B28" s="17" t="s">
        <v>58</v>
      </c>
      <c r="C28" s="17" t="s">
        <v>3079</v>
      </c>
      <c r="D28" s="17" t="s">
        <v>3080</v>
      </c>
      <c r="E28" s="17" t="s">
        <v>3002</v>
      </c>
      <c r="F28" s="17" t="s">
        <v>3081</v>
      </c>
      <c r="G28" s="17"/>
      <c r="H28" s="17" t="s">
        <v>2621</v>
      </c>
      <c r="I28" s="17">
        <v>-227.26</v>
      </c>
      <c r="J28" s="17" t="s">
        <v>56</v>
      </c>
      <c r="K28" s="17" t="s">
        <v>56</v>
      </c>
      <c r="L28" s="17" t="s">
        <v>56</v>
      </c>
      <c r="M28" s="17" t="s">
        <v>56</v>
      </c>
      <c r="N28" s="17" t="s">
        <v>56</v>
      </c>
      <c r="O28" s="17" t="s">
        <v>56</v>
      </c>
      <c r="P28" s="17" t="s">
        <v>56</v>
      </c>
      <c r="Q28" s="17" t="s">
        <v>56</v>
      </c>
      <c r="R28" s="17"/>
      <c r="S28" s="17" t="s">
        <v>56</v>
      </c>
      <c r="T28" s="17" t="s">
        <v>56</v>
      </c>
      <c r="U28" s="17" t="s">
        <v>56</v>
      </c>
      <c r="V28" s="17" t="s">
        <v>1325</v>
      </c>
      <c r="W28" s="17" t="s">
        <v>56</v>
      </c>
      <c r="X28" s="17" t="s">
        <v>2640</v>
      </c>
      <c r="Y28" s="17" t="s">
        <v>56</v>
      </c>
      <c r="Z28" s="17" t="s">
        <v>56</v>
      </c>
      <c r="AA28" s="17" t="s">
        <v>2627</v>
      </c>
      <c r="AB28" s="17">
        <v>-227.26</v>
      </c>
      <c r="AC28" s="17" t="s">
        <v>939</v>
      </c>
      <c r="AD28" s="17" t="s">
        <v>3082</v>
      </c>
      <c r="AE28" s="17" t="s">
        <v>2629</v>
      </c>
      <c r="AF28" s="17"/>
      <c r="AG28" s="16">
        <v>45496</v>
      </c>
      <c r="AH28" s="16">
        <v>2958465</v>
      </c>
      <c r="AI28" s="17" t="s">
        <v>2630</v>
      </c>
      <c r="AJ28" s="17" t="s">
        <v>2631</v>
      </c>
      <c r="AK28" s="17" t="s">
        <v>3083</v>
      </c>
      <c r="AL28" s="17">
        <v>-108294.42</v>
      </c>
      <c r="AM28" s="17">
        <v>0</v>
      </c>
      <c r="AN28" s="17">
        <v>0</v>
      </c>
      <c r="AO28" s="17">
        <v>0</v>
      </c>
      <c r="AP28" s="17">
        <v>4854.75</v>
      </c>
      <c r="AQ28" s="17">
        <v>0</v>
      </c>
      <c r="AR28" s="17">
        <v>0</v>
      </c>
      <c r="AS28" s="17">
        <v>-108294.42</v>
      </c>
      <c r="AT28" s="17">
        <v>4854.75</v>
      </c>
      <c r="AU28" s="17">
        <v>0.94810000000000005</v>
      </c>
      <c r="AV28" s="17">
        <v>0.42599999999999999</v>
      </c>
      <c r="AW28" s="17">
        <v>5.3108000000000004</v>
      </c>
      <c r="AX28" s="17" t="s">
        <v>3015</v>
      </c>
      <c r="AY28" s="17" t="s">
        <v>3015</v>
      </c>
      <c r="AZ28" s="17" t="s">
        <v>3015</v>
      </c>
      <c r="BA28" s="17" t="s">
        <v>56</v>
      </c>
      <c r="BB28" s="17" t="s">
        <v>56</v>
      </c>
      <c r="BC28" s="17" t="s">
        <v>56</v>
      </c>
      <c r="BD28" s="17" t="s">
        <v>56</v>
      </c>
      <c r="BE28" s="17" t="s">
        <v>56</v>
      </c>
      <c r="BF28" s="17" t="s">
        <v>56</v>
      </c>
      <c r="BG28" s="17" t="s">
        <v>56</v>
      </c>
      <c r="BH28" s="17" t="s">
        <v>56</v>
      </c>
      <c r="BI28" s="17" t="s">
        <v>56</v>
      </c>
      <c r="BJ28" s="17" t="s">
        <v>56</v>
      </c>
      <c r="BK28" s="17" t="s">
        <v>56</v>
      </c>
      <c r="BL28" s="17" t="s">
        <v>56</v>
      </c>
      <c r="BM28" s="17" t="s">
        <v>56</v>
      </c>
      <c r="BN28" s="17" t="s">
        <v>56</v>
      </c>
      <c r="BO28" s="17" t="s">
        <v>1325</v>
      </c>
      <c r="BP28" s="17" t="s">
        <v>1325</v>
      </c>
      <c r="BQ28" s="17" t="s">
        <v>56</v>
      </c>
      <c r="BR28" s="17">
        <v>2.1521870000000001E-4</v>
      </c>
      <c r="BS28" s="17">
        <v>2.1546520599999999E-4</v>
      </c>
      <c r="BT28" s="17">
        <v>2.1499999999999999E-4</v>
      </c>
      <c r="BU28" s="17" t="s">
        <v>3015</v>
      </c>
      <c r="BV28" s="17">
        <v>9.6701999999999997E-5</v>
      </c>
      <c r="BW28" s="17">
        <v>9.6000000000000002E-5</v>
      </c>
      <c r="BX28" s="17" t="s">
        <v>3015</v>
      </c>
      <c r="BY28" s="17">
        <v>1.2055516E-3</v>
      </c>
      <c r="BZ28" s="17">
        <v>1.2049999999999999E-3</v>
      </c>
      <c r="CA28" s="17" t="s">
        <v>3015</v>
      </c>
      <c r="CB28" s="17"/>
    </row>
    <row r="29" spans="1:80" x14ac:dyDescent="0.25">
      <c r="A29" s="17" t="s">
        <v>61</v>
      </c>
      <c r="B29" s="17" t="s">
        <v>58</v>
      </c>
      <c r="C29" s="17" t="s">
        <v>3041</v>
      </c>
      <c r="D29" s="17" t="s">
        <v>3042</v>
      </c>
      <c r="E29" s="17" t="s">
        <v>3012</v>
      </c>
      <c r="F29" s="17" t="s">
        <v>3043</v>
      </c>
      <c r="G29" s="17"/>
      <c r="H29" s="17" t="s">
        <v>2621</v>
      </c>
      <c r="I29" s="17">
        <v>-1217.6500000000001</v>
      </c>
      <c r="J29" s="17" t="s">
        <v>56</v>
      </c>
      <c r="K29" s="17" t="s">
        <v>56</v>
      </c>
      <c r="L29" s="17" t="s">
        <v>56</v>
      </c>
      <c r="M29" s="17" t="s">
        <v>56</v>
      </c>
      <c r="N29" s="17" t="s">
        <v>56</v>
      </c>
      <c r="O29" s="17" t="s">
        <v>56</v>
      </c>
      <c r="P29" s="17" t="s">
        <v>56</v>
      </c>
      <c r="Q29" s="17" t="s">
        <v>56</v>
      </c>
      <c r="R29" s="17"/>
      <c r="S29" s="17" t="s">
        <v>56</v>
      </c>
      <c r="T29" s="17" t="s">
        <v>56</v>
      </c>
      <c r="U29" s="17" t="s">
        <v>56</v>
      </c>
      <c r="V29" s="17" t="s">
        <v>1325</v>
      </c>
      <c r="W29" s="17" t="s">
        <v>56</v>
      </c>
      <c r="X29" s="17" t="s">
        <v>2640</v>
      </c>
      <c r="Y29" s="17" t="s">
        <v>56</v>
      </c>
      <c r="Z29" s="17" t="s">
        <v>56</v>
      </c>
      <c r="AA29" s="17" t="s">
        <v>2627</v>
      </c>
      <c r="AB29" s="17">
        <v>-1217.6500000000001</v>
      </c>
      <c r="AC29" s="17" t="s">
        <v>939</v>
      </c>
      <c r="AD29" s="17" t="s">
        <v>3044</v>
      </c>
      <c r="AE29" s="17" t="s">
        <v>2629</v>
      </c>
      <c r="AF29" s="17"/>
      <c r="AG29" s="16">
        <v>45503</v>
      </c>
      <c r="AH29" s="16">
        <v>2958465</v>
      </c>
      <c r="AI29" s="17" t="s">
        <v>2630</v>
      </c>
      <c r="AJ29" s="17" t="s">
        <v>2631</v>
      </c>
      <c r="AK29" s="17" t="s">
        <v>3045</v>
      </c>
      <c r="AL29" s="17">
        <v>-505292.63</v>
      </c>
      <c r="AM29" s="17">
        <v>191926.53</v>
      </c>
      <c r="AN29" s="17">
        <v>0</v>
      </c>
      <c r="AO29" s="17">
        <v>67000</v>
      </c>
      <c r="AP29" s="17">
        <v>0</v>
      </c>
      <c r="AQ29" s="17">
        <v>0</v>
      </c>
      <c r="AR29" s="17">
        <v>0</v>
      </c>
      <c r="AS29" s="17">
        <v>-505292.63</v>
      </c>
      <c r="AT29" s="17">
        <v>258926.53</v>
      </c>
      <c r="AU29" s="17">
        <v>27.4971</v>
      </c>
      <c r="AV29" s="17">
        <v>3.8637000000000001</v>
      </c>
      <c r="AW29" s="17">
        <v>213.83</v>
      </c>
      <c r="AX29" s="17" t="s">
        <v>3015</v>
      </c>
      <c r="AY29" s="17" t="s">
        <v>3015</v>
      </c>
      <c r="AZ29" s="17" t="s">
        <v>3015</v>
      </c>
      <c r="BA29" s="17" t="s">
        <v>56</v>
      </c>
      <c r="BB29" s="17" t="s">
        <v>56</v>
      </c>
      <c r="BC29" s="17" t="s">
        <v>56</v>
      </c>
      <c r="BD29" s="17" t="s">
        <v>56</v>
      </c>
      <c r="BE29" s="17" t="s">
        <v>56</v>
      </c>
      <c r="BF29" s="17" t="s">
        <v>56</v>
      </c>
      <c r="BG29" s="17" t="s">
        <v>56</v>
      </c>
      <c r="BH29" s="17" t="s">
        <v>56</v>
      </c>
      <c r="BI29" s="17" t="s">
        <v>56</v>
      </c>
      <c r="BJ29" s="17" t="s">
        <v>56</v>
      </c>
      <c r="BK29" s="17" t="s">
        <v>56</v>
      </c>
      <c r="BL29" s="17" t="s">
        <v>56</v>
      </c>
      <c r="BM29" s="17" t="s">
        <v>56</v>
      </c>
      <c r="BN29" s="17" t="s">
        <v>56</v>
      </c>
      <c r="BO29" s="17" t="s">
        <v>1325</v>
      </c>
      <c r="BP29" s="17" t="s">
        <v>1325</v>
      </c>
      <c r="BQ29" s="17" t="s">
        <v>56</v>
      </c>
      <c r="BR29" s="17">
        <v>3.3463970699999998E-2</v>
      </c>
      <c r="BS29" s="17">
        <v>3.3481843815000002E-2</v>
      </c>
      <c r="BT29" s="17">
        <v>3.3463E-2</v>
      </c>
      <c r="BU29" s="17" t="s">
        <v>3015</v>
      </c>
      <c r="BV29" s="17">
        <v>4.7021229000000003E-3</v>
      </c>
      <c r="BW29" s="17">
        <v>4.7019999999999996E-3</v>
      </c>
      <c r="BX29" s="17" t="s">
        <v>3015</v>
      </c>
      <c r="BY29" s="17">
        <v>0.26023110999999999</v>
      </c>
      <c r="BZ29" s="17">
        <v>0.26023099999999999</v>
      </c>
      <c r="CA29" s="17" t="s">
        <v>3015</v>
      </c>
      <c r="CB29" s="17"/>
    </row>
    <row r="30" spans="1:80" x14ac:dyDescent="0.25">
      <c r="A30" s="17" t="s">
        <v>61</v>
      </c>
      <c r="B30" s="17" t="s">
        <v>58</v>
      </c>
      <c r="C30" s="17" t="s">
        <v>3026</v>
      </c>
      <c r="D30" s="17" t="s">
        <v>3027</v>
      </c>
      <c r="E30" s="17" t="s">
        <v>3006</v>
      </c>
      <c r="F30" s="17" t="s">
        <v>3028</v>
      </c>
      <c r="G30" s="17"/>
      <c r="H30" s="17" t="s">
        <v>2621</v>
      </c>
      <c r="I30" s="17">
        <v>-3885.58</v>
      </c>
      <c r="J30" s="17" t="s">
        <v>56</v>
      </c>
      <c r="K30" s="17" t="s">
        <v>56</v>
      </c>
      <c r="L30" s="17" t="s">
        <v>56</v>
      </c>
      <c r="M30" s="17" t="s">
        <v>56</v>
      </c>
      <c r="N30" s="17" t="s">
        <v>56</v>
      </c>
      <c r="O30" s="17" t="s">
        <v>56</v>
      </c>
      <c r="P30" s="17" t="s">
        <v>56</v>
      </c>
      <c r="Q30" s="17" t="s">
        <v>56</v>
      </c>
      <c r="R30" s="17"/>
      <c r="S30" s="17" t="s">
        <v>56</v>
      </c>
      <c r="T30" s="17" t="s">
        <v>56</v>
      </c>
      <c r="U30" s="17" t="s">
        <v>56</v>
      </c>
      <c r="V30" s="17" t="s">
        <v>1325</v>
      </c>
      <c r="W30" s="17" t="s">
        <v>56</v>
      </c>
      <c r="X30" s="17" t="s">
        <v>2640</v>
      </c>
      <c r="Y30" s="17" t="s">
        <v>56</v>
      </c>
      <c r="Z30" s="17" t="s">
        <v>56</v>
      </c>
      <c r="AA30" s="17" t="s">
        <v>2627</v>
      </c>
      <c r="AB30" s="17">
        <v>-3885.58</v>
      </c>
      <c r="AC30" s="17" t="s">
        <v>939</v>
      </c>
      <c r="AD30" s="17" t="s">
        <v>3029</v>
      </c>
      <c r="AE30" s="17" t="s">
        <v>3030</v>
      </c>
      <c r="AF30" s="17" t="s">
        <v>3016</v>
      </c>
      <c r="AG30" s="16">
        <v>45229</v>
      </c>
      <c r="AH30" s="16">
        <v>2958465</v>
      </c>
      <c r="AI30" s="17" t="s">
        <v>2630</v>
      </c>
      <c r="AJ30" s="17" t="s">
        <v>2631</v>
      </c>
      <c r="AK30" s="17" t="s">
        <v>3031</v>
      </c>
      <c r="AL30" s="17">
        <v>1059251.33</v>
      </c>
      <c r="AM30" s="17">
        <v>2672972.9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1059251.33</v>
      </c>
      <c r="AT30" s="17">
        <v>2672972.9</v>
      </c>
      <c r="AU30" s="17">
        <v>27.4971</v>
      </c>
      <c r="AV30" s="17">
        <v>3.8637000000000001</v>
      </c>
      <c r="AW30" s="17">
        <v>213.83</v>
      </c>
      <c r="AX30" s="17" t="s">
        <v>3015</v>
      </c>
      <c r="AY30" s="17" t="s">
        <v>3015</v>
      </c>
      <c r="AZ30" s="17" t="s">
        <v>3015</v>
      </c>
      <c r="BA30" s="17" t="s">
        <v>56</v>
      </c>
      <c r="BB30" s="17" t="s">
        <v>56</v>
      </c>
      <c r="BC30" s="17" t="s">
        <v>56</v>
      </c>
      <c r="BD30" s="17" t="s">
        <v>56</v>
      </c>
      <c r="BE30" s="17" t="s">
        <v>56</v>
      </c>
      <c r="BF30" s="17" t="s">
        <v>56</v>
      </c>
      <c r="BG30" s="17" t="s">
        <v>56</v>
      </c>
      <c r="BH30" s="17" t="s">
        <v>56</v>
      </c>
      <c r="BI30" s="17" t="s">
        <v>56</v>
      </c>
      <c r="BJ30" s="17" t="s">
        <v>56</v>
      </c>
      <c r="BK30" s="17" t="s">
        <v>56</v>
      </c>
      <c r="BL30" s="17" t="s">
        <v>56</v>
      </c>
      <c r="BM30" s="17" t="s">
        <v>56</v>
      </c>
      <c r="BN30" s="17" t="s">
        <v>56</v>
      </c>
      <c r="BO30" s="17" t="s">
        <v>1325</v>
      </c>
      <c r="BP30" s="17" t="s">
        <v>1325</v>
      </c>
      <c r="BQ30" s="17" t="s">
        <v>56</v>
      </c>
      <c r="BR30" s="17">
        <v>0.10682623350000001</v>
      </c>
      <c r="BS30" s="17">
        <v>0.106842181818</v>
      </c>
      <c r="BT30" s="17">
        <v>0.106826</v>
      </c>
      <c r="BU30" s="17" t="s">
        <v>3015</v>
      </c>
      <c r="BV30" s="17">
        <v>1.5010474500000001E-2</v>
      </c>
      <c r="BW30" s="17">
        <v>1.5010000000000001E-2</v>
      </c>
      <c r="BX30" s="17" t="s">
        <v>3015</v>
      </c>
      <c r="BY30" s="17">
        <v>0.83072955000000004</v>
      </c>
      <c r="BZ30" s="17">
        <v>0.83072900000000005</v>
      </c>
      <c r="CA30" s="17" t="s">
        <v>3015</v>
      </c>
      <c r="CB30" s="17"/>
    </row>
    <row r="31" spans="1:80" x14ac:dyDescent="0.25">
      <c r="A31" s="17" t="s">
        <v>61</v>
      </c>
      <c r="B31" s="17" t="s">
        <v>58</v>
      </c>
      <c r="C31" s="17" t="s">
        <v>3050</v>
      </c>
      <c r="D31" s="17" t="s">
        <v>3051</v>
      </c>
      <c r="E31" s="17" t="s">
        <v>3004</v>
      </c>
      <c r="F31" s="17" t="s">
        <v>3052</v>
      </c>
      <c r="G31" s="17"/>
      <c r="H31" s="17" t="s">
        <v>2621</v>
      </c>
      <c r="I31" s="17">
        <v>-5875.51</v>
      </c>
      <c r="J31" s="17" t="s">
        <v>56</v>
      </c>
      <c r="K31" s="17" t="s">
        <v>56</v>
      </c>
      <c r="L31" s="17" t="s">
        <v>56</v>
      </c>
      <c r="M31" s="17" t="s">
        <v>56</v>
      </c>
      <c r="N31" s="17" t="s">
        <v>56</v>
      </c>
      <c r="O31" s="17" t="s">
        <v>56</v>
      </c>
      <c r="P31" s="17" t="s">
        <v>56</v>
      </c>
      <c r="Q31" s="17" t="s">
        <v>56</v>
      </c>
      <c r="R31" s="17"/>
      <c r="S31" s="17" t="s">
        <v>56</v>
      </c>
      <c r="T31" s="17" t="s">
        <v>56</v>
      </c>
      <c r="U31" s="17" t="s">
        <v>56</v>
      </c>
      <c r="V31" s="17" t="s">
        <v>1325</v>
      </c>
      <c r="W31" s="17" t="s">
        <v>56</v>
      </c>
      <c r="X31" s="17" t="s">
        <v>2640</v>
      </c>
      <c r="Y31" s="17" t="s">
        <v>56</v>
      </c>
      <c r="Z31" s="17" t="s">
        <v>56</v>
      </c>
      <c r="AA31" s="17" t="s">
        <v>2627</v>
      </c>
      <c r="AB31" s="17">
        <v>-5875.51</v>
      </c>
      <c r="AC31" s="17" t="s">
        <v>939</v>
      </c>
      <c r="AD31" s="17" t="s">
        <v>3053</v>
      </c>
      <c r="AE31" s="17" t="s">
        <v>2629</v>
      </c>
      <c r="AF31" s="17"/>
      <c r="AG31" s="16">
        <v>45328</v>
      </c>
      <c r="AH31" s="16">
        <v>2958465</v>
      </c>
      <c r="AI31" s="17" t="s">
        <v>2630</v>
      </c>
      <c r="AJ31" s="17" t="s">
        <v>2631</v>
      </c>
      <c r="AK31" s="17" t="s">
        <v>3054</v>
      </c>
      <c r="AL31" s="17">
        <v>194429.47</v>
      </c>
      <c r="AM31" s="17">
        <v>0</v>
      </c>
      <c r="AN31" s="17">
        <v>0</v>
      </c>
      <c r="AO31" s="17">
        <v>0</v>
      </c>
      <c r="AP31" s="17">
        <v>763783.07</v>
      </c>
      <c r="AQ31" s="17">
        <v>71766.28</v>
      </c>
      <c r="AR31" s="17">
        <v>0</v>
      </c>
      <c r="AS31" s="17">
        <v>194429.47</v>
      </c>
      <c r="AT31" s="17">
        <v>835549.35</v>
      </c>
      <c r="AU31" s="17">
        <v>60.688400000000001</v>
      </c>
      <c r="AV31" s="17">
        <v>22.082100000000001</v>
      </c>
      <c r="AW31" s="17">
        <v>212.11699999999999</v>
      </c>
      <c r="AX31" s="17" t="s">
        <v>2633</v>
      </c>
      <c r="AY31" s="17" t="s">
        <v>2633</v>
      </c>
      <c r="AZ31" s="17" t="s">
        <v>2633</v>
      </c>
      <c r="BA31" s="17" t="s">
        <v>56</v>
      </c>
      <c r="BB31" s="17" t="s">
        <v>56</v>
      </c>
      <c r="BC31" s="17" t="s">
        <v>56</v>
      </c>
      <c r="BD31" s="17" t="s">
        <v>56</v>
      </c>
      <c r="BE31" s="17" t="s">
        <v>56</v>
      </c>
      <c r="BF31" s="17" t="s">
        <v>56</v>
      </c>
      <c r="BG31" s="17" t="s">
        <v>56</v>
      </c>
      <c r="BH31" s="17" t="s">
        <v>56</v>
      </c>
      <c r="BI31" s="17" t="s">
        <v>56</v>
      </c>
      <c r="BJ31" s="17" t="s">
        <v>56</v>
      </c>
      <c r="BK31" s="17" t="s">
        <v>56</v>
      </c>
      <c r="BL31" s="17" t="s">
        <v>56</v>
      </c>
      <c r="BM31" s="17" t="s">
        <v>56</v>
      </c>
      <c r="BN31" s="17" t="s">
        <v>56</v>
      </c>
      <c r="BO31" s="17" t="s">
        <v>1325</v>
      </c>
      <c r="BP31" s="17" t="s">
        <v>1325</v>
      </c>
      <c r="BQ31" s="17" t="s">
        <v>56</v>
      </c>
      <c r="BR31" s="17">
        <v>0.3461666336</v>
      </c>
      <c r="BS31" s="17">
        <v>0.34619673158327602</v>
      </c>
      <c r="BT31" s="17">
        <v>0.34616599999999997</v>
      </c>
      <c r="BU31" s="17" t="s">
        <v>2633</v>
      </c>
      <c r="BV31" s="17">
        <v>0.1259562984</v>
      </c>
      <c r="BW31" s="17">
        <v>0.12595600000000001</v>
      </c>
      <c r="BX31" s="17" t="s">
        <v>2633</v>
      </c>
      <c r="BY31" s="17">
        <v>1.2099153680000001</v>
      </c>
      <c r="BZ31" s="17">
        <v>1.2099150000000001</v>
      </c>
      <c r="CA31" s="17" t="s">
        <v>2633</v>
      </c>
      <c r="CB31" s="17"/>
    </row>
    <row r="32" spans="1:80" s="7" customFormat="1" x14ac:dyDescent="0.25">
      <c r="A32" s="19" t="s">
        <v>61</v>
      </c>
      <c r="B32" s="19" t="s">
        <v>58</v>
      </c>
      <c r="C32" s="19" t="s">
        <v>3074</v>
      </c>
      <c r="D32" s="19" t="s">
        <v>3075</v>
      </c>
      <c r="E32" s="19" t="s">
        <v>3007</v>
      </c>
      <c r="F32" s="19" t="s">
        <v>3076</v>
      </c>
      <c r="G32" s="19"/>
      <c r="H32" s="19" t="s">
        <v>2621</v>
      </c>
      <c r="I32" s="19">
        <v>-291858.03000000003</v>
      </c>
      <c r="J32" s="19" t="s">
        <v>3007</v>
      </c>
      <c r="K32" s="19" t="s">
        <v>61</v>
      </c>
      <c r="L32" s="19" t="s">
        <v>58</v>
      </c>
      <c r="M32" s="19" t="s">
        <v>3074</v>
      </c>
      <c r="N32" s="19" t="s">
        <v>2638</v>
      </c>
      <c r="O32" s="19" t="s">
        <v>3078</v>
      </c>
      <c r="P32" s="19" t="s">
        <v>2624</v>
      </c>
      <c r="Q32" s="19" t="s">
        <v>2968</v>
      </c>
      <c r="R32" s="19" t="s">
        <v>2979</v>
      </c>
      <c r="S32" s="19">
        <v>291457.37</v>
      </c>
      <c r="T32" s="19">
        <v>455100</v>
      </c>
      <c r="U32" s="19">
        <v>455100</v>
      </c>
      <c r="V32" s="19" t="s">
        <v>939</v>
      </c>
      <c r="W32" s="19">
        <v>291457.37</v>
      </c>
      <c r="X32" s="19" t="s">
        <v>2626</v>
      </c>
      <c r="Y32" s="19">
        <v>1</v>
      </c>
      <c r="Z32" s="19">
        <v>0.99862720926335302</v>
      </c>
      <c r="AA32" s="19" t="s">
        <v>2627</v>
      </c>
      <c r="AB32" s="19">
        <v>-291457.36999999901</v>
      </c>
      <c r="AC32" s="19" t="s">
        <v>939</v>
      </c>
      <c r="AD32" s="19" t="s">
        <v>3077</v>
      </c>
      <c r="AE32" s="19" t="s">
        <v>2629</v>
      </c>
      <c r="AF32" s="19" t="s">
        <v>3019</v>
      </c>
      <c r="AG32" s="38">
        <v>45511</v>
      </c>
      <c r="AH32" s="38">
        <v>2958465</v>
      </c>
      <c r="AI32" s="19" t="s">
        <v>2630</v>
      </c>
      <c r="AJ32" s="19" t="s">
        <v>2631</v>
      </c>
      <c r="AK32" s="19" t="s">
        <v>2881</v>
      </c>
      <c r="AL32" s="19">
        <v>20662216.59</v>
      </c>
      <c r="AM32" s="19">
        <v>34090296.950000003</v>
      </c>
      <c r="AN32" s="19">
        <v>0</v>
      </c>
      <c r="AO32" s="19">
        <v>0</v>
      </c>
      <c r="AP32" s="19">
        <v>20139700.32</v>
      </c>
      <c r="AQ32" s="19">
        <v>0</v>
      </c>
      <c r="AR32" s="19">
        <v>0</v>
      </c>
      <c r="AS32" s="19">
        <v>20662216.59</v>
      </c>
      <c r="AT32" s="19">
        <v>54229997.270000003</v>
      </c>
      <c r="AU32" s="19">
        <v>183.04400000000001</v>
      </c>
      <c r="AV32" s="19">
        <v>13.159800000000001</v>
      </c>
      <c r="AW32" s="19">
        <v>285.399</v>
      </c>
      <c r="AX32" s="19" t="s">
        <v>2633</v>
      </c>
      <c r="AY32" s="19" t="s">
        <v>2633</v>
      </c>
      <c r="AZ32" s="19" t="s">
        <v>2633</v>
      </c>
      <c r="BA32" s="19" t="s">
        <v>56</v>
      </c>
      <c r="BB32" s="19" t="s">
        <v>56</v>
      </c>
      <c r="BC32" s="19" t="s">
        <v>56</v>
      </c>
      <c r="BD32" s="19" t="s">
        <v>56</v>
      </c>
      <c r="BE32" s="19" t="s">
        <v>56</v>
      </c>
      <c r="BF32" s="19" t="s">
        <v>56</v>
      </c>
      <c r="BG32" s="19" t="s">
        <v>56</v>
      </c>
      <c r="BH32" s="19" t="s">
        <v>56</v>
      </c>
      <c r="BI32" s="19" t="s">
        <v>56</v>
      </c>
      <c r="BJ32" s="19" t="s">
        <v>56</v>
      </c>
      <c r="BK32" s="19" t="s">
        <v>56</v>
      </c>
      <c r="BL32" s="19" t="s">
        <v>56</v>
      </c>
      <c r="BM32" s="19" t="s">
        <v>56</v>
      </c>
      <c r="BN32" s="19" t="s">
        <v>56</v>
      </c>
      <c r="BO32" s="19" t="s">
        <v>1325</v>
      </c>
      <c r="BP32" s="19" t="s">
        <v>1325</v>
      </c>
      <c r="BQ32" s="19" t="s">
        <v>56</v>
      </c>
      <c r="BR32" s="19">
        <v>0.71222420399999997</v>
      </c>
      <c r="BS32" s="19">
        <v>0.712350724923275</v>
      </c>
      <c r="BT32" s="19">
        <v>0.71222399999999997</v>
      </c>
      <c r="BU32" s="19" t="s">
        <v>2633</v>
      </c>
      <c r="BV32" s="19">
        <v>5.1204781800000002E-2</v>
      </c>
      <c r="BW32" s="19">
        <v>5.1204E-2</v>
      </c>
      <c r="BX32" s="19" t="s">
        <v>2633</v>
      </c>
      <c r="BY32" s="19">
        <v>1.1104875089999999</v>
      </c>
      <c r="BZ32" s="19">
        <v>1.110487</v>
      </c>
      <c r="CA32" s="19" t="s">
        <v>2633</v>
      </c>
      <c r="CB32" s="19"/>
    </row>
    <row r="33" spans="1:80" s="7" customFormat="1" x14ac:dyDescent="0.25">
      <c r="A33" s="19" t="s">
        <v>61</v>
      </c>
      <c r="B33" s="19" t="s">
        <v>58</v>
      </c>
      <c r="C33" s="19" t="s">
        <v>3074</v>
      </c>
      <c r="D33" s="19" t="s">
        <v>3075</v>
      </c>
      <c r="E33" s="19" t="s">
        <v>3007</v>
      </c>
      <c r="F33" s="19" t="s">
        <v>3076</v>
      </c>
      <c r="G33" s="19"/>
      <c r="H33" s="19" t="s">
        <v>2621</v>
      </c>
      <c r="I33" s="19">
        <v>-291858.03000000003</v>
      </c>
      <c r="J33" s="19" t="s">
        <v>3007</v>
      </c>
      <c r="K33" s="19" t="s">
        <v>56</v>
      </c>
      <c r="L33" s="19" t="s">
        <v>56</v>
      </c>
      <c r="M33" s="19" t="s">
        <v>56</v>
      </c>
      <c r="N33" s="19" t="s">
        <v>56</v>
      </c>
      <c r="O33" s="19" t="s">
        <v>56</v>
      </c>
      <c r="P33" s="19" t="s">
        <v>56</v>
      </c>
      <c r="Q33" s="19" t="s">
        <v>56</v>
      </c>
      <c r="R33" s="19"/>
      <c r="S33" s="19" t="s">
        <v>56</v>
      </c>
      <c r="T33" s="19" t="s">
        <v>56</v>
      </c>
      <c r="U33" s="19" t="s">
        <v>56</v>
      </c>
      <c r="V33" s="19" t="s">
        <v>56</v>
      </c>
      <c r="W33" s="19">
        <v>291457.37</v>
      </c>
      <c r="X33" s="19" t="s">
        <v>2626</v>
      </c>
      <c r="Y33" s="19" t="s">
        <v>56</v>
      </c>
      <c r="Z33" s="19">
        <v>1.3727907366468501E-3</v>
      </c>
      <c r="AA33" s="19" t="s">
        <v>2641</v>
      </c>
      <c r="AB33" s="19">
        <v>-400.66</v>
      </c>
      <c r="AC33" s="19" t="s">
        <v>939</v>
      </c>
      <c r="AD33" s="19" t="s">
        <v>3077</v>
      </c>
      <c r="AE33" s="19" t="s">
        <v>2629</v>
      </c>
      <c r="AF33" s="19" t="s">
        <v>3019</v>
      </c>
      <c r="AG33" s="38">
        <v>45511</v>
      </c>
      <c r="AH33" s="38">
        <v>2958465</v>
      </c>
      <c r="AI33" s="19" t="s">
        <v>2630</v>
      </c>
      <c r="AJ33" s="19" t="s">
        <v>2631</v>
      </c>
      <c r="AK33" s="19" t="s">
        <v>2881</v>
      </c>
      <c r="AL33" s="19">
        <v>20662216.59</v>
      </c>
      <c r="AM33" s="19">
        <v>34090296.950000003</v>
      </c>
      <c r="AN33" s="19">
        <v>0</v>
      </c>
      <c r="AO33" s="19">
        <v>0</v>
      </c>
      <c r="AP33" s="19">
        <v>20139700.32</v>
      </c>
      <c r="AQ33" s="19">
        <v>0</v>
      </c>
      <c r="AR33" s="19">
        <v>0</v>
      </c>
      <c r="AS33" s="19">
        <v>20662216.59</v>
      </c>
      <c r="AT33" s="19">
        <v>54229997.270000003</v>
      </c>
      <c r="AU33" s="19">
        <v>183.04400000000001</v>
      </c>
      <c r="AV33" s="19">
        <v>13.159800000000001</v>
      </c>
      <c r="AW33" s="19">
        <v>285.399</v>
      </c>
      <c r="AX33" s="19" t="s">
        <v>2633</v>
      </c>
      <c r="AY33" s="19" t="s">
        <v>2633</v>
      </c>
      <c r="AZ33" s="19" t="s">
        <v>2633</v>
      </c>
      <c r="BA33" s="19" t="s">
        <v>56</v>
      </c>
      <c r="BB33" s="19" t="s">
        <v>56</v>
      </c>
      <c r="BC33" s="19" t="s">
        <v>56</v>
      </c>
      <c r="BD33" s="19" t="s">
        <v>56</v>
      </c>
      <c r="BE33" s="19" t="s">
        <v>56</v>
      </c>
      <c r="BF33" s="19" t="s">
        <v>56</v>
      </c>
      <c r="BG33" s="19" t="s">
        <v>56</v>
      </c>
      <c r="BH33" s="19" t="s">
        <v>56</v>
      </c>
      <c r="BI33" s="19" t="s">
        <v>56</v>
      </c>
      <c r="BJ33" s="19" t="s">
        <v>56</v>
      </c>
      <c r="BK33" s="19" t="s">
        <v>56</v>
      </c>
      <c r="BL33" s="19" t="s">
        <v>56</v>
      </c>
      <c r="BM33" s="19" t="s">
        <v>56</v>
      </c>
      <c r="BN33" s="19" t="s">
        <v>56</v>
      </c>
      <c r="BO33" s="19" t="s">
        <v>1325</v>
      </c>
      <c r="BP33" s="19" t="s">
        <v>1325</v>
      </c>
      <c r="BQ33" s="19" t="s">
        <v>56</v>
      </c>
      <c r="BR33" s="19" t="s">
        <v>56</v>
      </c>
      <c r="BS33" s="19" t="s">
        <v>56</v>
      </c>
      <c r="BT33" s="19" t="s">
        <v>56</v>
      </c>
      <c r="BU33" s="19" t="s">
        <v>2635</v>
      </c>
      <c r="BV33" s="19" t="s">
        <v>56</v>
      </c>
      <c r="BW33" s="19" t="s">
        <v>56</v>
      </c>
      <c r="BX33" s="19" t="s">
        <v>2635</v>
      </c>
      <c r="BY33" s="19" t="s">
        <v>56</v>
      </c>
      <c r="BZ33" s="19" t="s">
        <v>56</v>
      </c>
      <c r="CA33" s="19" t="s">
        <v>2635</v>
      </c>
      <c r="CB33" s="19"/>
    </row>
    <row r="34" spans="1:80" x14ac:dyDescent="0.25">
      <c r="A34" s="17" t="s">
        <v>61</v>
      </c>
      <c r="B34" s="17" t="s">
        <v>58</v>
      </c>
      <c r="C34" s="17" t="s">
        <v>3055</v>
      </c>
      <c r="D34" s="17" t="s">
        <v>3056</v>
      </c>
      <c r="E34" s="17" t="s">
        <v>3014</v>
      </c>
      <c r="F34" s="17" t="s">
        <v>3057</v>
      </c>
      <c r="G34" s="17"/>
      <c r="H34" s="17" t="s">
        <v>2621</v>
      </c>
      <c r="I34" s="17">
        <v>-68.650000000000006</v>
      </c>
      <c r="J34" s="17" t="s">
        <v>56</v>
      </c>
      <c r="K34" s="17" t="s">
        <v>56</v>
      </c>
      <c r="L34" s="17" t="s">
        <v>56</v>
      </c>
      <c r="M34" s="17" t="s">
        <v>56</v>
      </c>
      <c r="N34" s="17" t="s">
        <v>56</v>
      </c>
      <c r="O34" s="17" t="s">
        <v>56</v>
      </c>
      <c r="P34" s="17" t="s">
        <v>56</v>
      </c>
      <c r="Q34" s="17" t="s">
        <v>56</v>
      </c>
      <c r="R34" s="17"/>
      <c r="S34" s="17" t="s">
        <v>56</v>
      </c>
      <c r="T34" s="17" t="s">
        <v>56</v>
      </c>
      <c r="U34" s="17" t="s">
        <v>56</v>
      </c>
      <c r="V34" s="17" t="s">
        <v>1325</v>
      </c>
      <c r="W34" s="17" t="s">
        <v>56</v>
      </c>
      <c r="X34" s="17" t="s">
        <v>2640</v>
      </c>
      <c r="Y34" s="17" t="s">
        <v>56</v>
      </c>
      <c r="Z34" s="17" t="s">
        <v>56</v>
      </c>
      <c r="AA34" s="17" t="s">
        <v>2627</v>
      </c>
      <c r="AB34" s="17">
        <v>-68.650000000000006</v>
      </c>
      <c r="AC34" s="17" t="s">
        <v>939</v>
      </c>
      <c r="AD34" s="17" t="s">
        <v>3058</v>
      </c>
      <c r="AE34" s="17" t="s">
        <v>2629</v>
      </c>
      <c r="AF34" s="17"/>
      <c r="AG34" s="16">
        <v>45469</v>
      </c>
      <c r="AH34" s="16">
        <v>2958465</v>
      </c>
      <c r="AI34" s="17" t="s">
        <v>2630</v>
      </c>
      <c r="AJ34" s="17" t="s">
        <v>2631</v>
      </c>
      <c r="AK34" s="17" t="s">
        <v>3059</v>
      </c>
      <c r="AL34" s="17">
        <v>55838.97</v>
      </c>
      <c r="AM34" s="17">
        <v>36954.31</v>
      </c>
      <c r="AN34" s="17">
        <v>0</v>
      </c>
      <c r="AO34" s="17">
        <v>0</v>
      </c>
      <c r="AP34" s="17">
        <v>32823.78</v>
      </c>
      <c r="AQ34" s="17">
        <v>3061.5</v>
      </c>
      <c r="AR34" s="17">
        <v>0</v>
      </c>
      <c r="AS34" s="17">
        <v>55838.97</v>
      </c>
      <c r="AT34" s="17">
        <v>72839.59</v>
      </c>
      <c r="AU34" s="17">
        <v>36.577100000000002</v>
      </c>
      <c r="AV34" s="17">
        <v>17.373799999999999</v>
      </c>
      <c r="AW34" s="17">
        <v>166.39599999999999</v>
      </c>
      <c r="AX34" s="17" t="s">
        <v>2633</v>
      </c>
      <c r="AY34" s="17" t="s">
        <v>2633</v>
      </c>
      <c r="AZ34" s="17" t="s">
        <v>2633</v>
      </c>
      <c r="BA34" s="17" t="s">
        <v>56</v>
      </c>
      <c r="BB34" s="17" t="s">
        <v>56</v>
      </c>
      <c r="BC34" s="17" t="s">
        <v>56</v>
      </c>
      <c r="BD34" s="17" t="s">
        <v>56</v>
      </c>
      <c r="BE34" s="17" t="s">
        <v>56</v>
      </c>
      <c r="BF34" s="17" t="s">
        <v>56</v>
      </c>
      <c r="BG34" s="17" t="s">
        <v>56</v>
      </c>
      <c r="BH34" s="17" t="s">
        <v>56</v>
      </c>
      <c r="BI34" s="17" t="s">
        <v>56</v>
      </c>
      <c r="BJ34" s="17" t="s">
        <v>56</v>
      </c>
      <c r="BK34" s="17" t="s">
        <v>56</v>
      </c>
      <c r="BL34" s="17" t="s">
        <v>56</v>
      </c>
      <c r="BM34" s="17" t="s">
        <v>56</v>
      </c>
      <c r="BN34" s="17" t="s">
        <v>56</v>
      </c>
      <c r="BO34" s="17" t="s">
        <v>1325</v>
      </c>
      <c r="BP34" s="17" t="s">
        <v>1325</v>
      </c>
      <c r="BQ34" s="17" t="s">
        <v>56</v>
      </c>
      <c r="BR34" s="17">
        <v>1.9495594299999999E-2</v>
      </c>
      <c r="BS34" s="17">
        <v>1.9513879507199901E-2</v>
      </c>
      <c r="BT34" s="17">
        <v>1.9494999999999998E-2</v>
      </c>
      <c r="BU34" s="17" t="s">
        <v>2633</v>
      </c>
      <c r="BV34" s="17">
        <v>9.2602354000000005E-3</v>
      </c>
      <c r="BW34" s="17">
        <v>9.2599999999999991E-3</v>
      </c>
      <c r="BX34" s="17" t="s">
        <v>2633</v>
      </c>
      <c r="BY34" s="17">
        <v>8.8689067999999996E-2</v>
      </c>
      <c r="BZ34" s="17">
        <v>8.8689000000000004E-2</v>
      </c>
      <c r="CA34" s="17" t="s">
        <v>2633</v>
      </c>
      <c r="CB34" s="17"/>
    </row>
    <row r="35" spans="1:80" x14ac:dyDescent="0.25">
      <c r="A35" s="17" t="s">
        <v>61</v>
      </c>
      <c r="B35" s="17" t="s">
        <v>58</v>
      </c>
      <c r="C35" s="17" t="s">
        <v>3046</v>
      </c>
      <c r="D35" s="17" t="s">
        <v>3047</v>
      </c>
      <c r="E35" s="17" t="s">
        <v>3008</v>
      </c>
      <c r="F35" s="17" t="s">
        <v>3048</v>
      </c>
      <c r="G35" s="17"/>
      <c r="H35" s="17" t="s">
        <v>2621</v>
      </c>
      <c r="I35" s="17">
        <v>-2805.02</v>
      </c>
      <c r="J35" s="17" t="s">
        <v>56</v>
      </c>
      <c r="K35" s="17" t="s">
        <v>56</v>
      </c>
      <c r="L35" s="17" t="s">
        <v>56</v>
      </c>
      <c r="M35" s="17" t="s">
        <v>56</v>
      </c>
      <c r="N35" s="17" t="s">
        <v>56</v>
      </c>
      <c r="O35" s="17" t="s">
        <v>56</v>
      </c>
      <c r="P35" s="17" t="s">
        <v>56</v>
      </c>
      <c r="Q35" s="17" t="s">
        <v>56</v>
      </c>
      <c r="R35" s="17"/>
      <c r="S35" s="17" t="s">
        <v>56</v>
      </c>
      <c r="T35" s="17" t="s">
        <v>56</v>
      </c>
      <c r="U35" s="17" t="s">
        <v>56</v>
      </c>
      <c r="V35" s="17" t="s">
        <v>1325</v>
      </c>
      <c r="W35" s="17" t="s">
        <v>56</v>
      </c>
      <c r="X35" s="17" t="s">
        <v>2640</v>
      </c>
      <c r="Y35" s="17" t="s">
        <v>56</v>
      </c>
      <c r="Z35" s="17" t="s">
        <v>56</v>
      </c>
      <c r="AA35" s="17" t="s">
        <v>2627</v>
      </c>
      <c r="AB35" s="17">
        <v>-2805.02</v>
      </c>
      <c r="AC35" s="17" t="s">
        <v>939</v>
      </c>
      <c r="AD35" s="17" t="s">
        <v>3049</v>
      </c>
      <c r="AE35" s="17" t="s">
        <v>2629</v>
      </c>
      <c r="AF35" s="17"/>
      <c r="AG35" s="16">
        <v>45499</v>
      </c>
      <c r="AH35" s="16">
        <v>2958465</v>
      </c>
      <c r="AI35" s="17" t="s">
        <v>2630</v>
      </c>
      <c r="AJ35" s="17" t="s">
        <v>2631</v>
      </c>
      <c r="AK35" s="17" t="s">
        <v>2971</v>
      </c>
      <c r="AL35" s="17">
        <v>43700.03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43700.03</v>
      </c>
      <c r="AT35" s="17">
        <v>0</v>
      </c>
      <c r="AU35" s="17">
        <v>27.4971</v>
      </c>
      <c r="AV35" s="17">
        <v>3.8637000000000001</v>
      </c>
      <c r="AW35" s="17">
        <v>213.83</v>
      </c>
      <c r="AX35" s="17" t="s">
        <v>3015</v>
      </c>
      <c r="AY35" s="17" t="s">
        <v>3015</v>
      </c>
      <c r="AZ35" s="17" t="s">
        <v>3015</v>
      </c>
      <c r="BA35" s="17" t="s">
        <v>56</v>
      </c>
      <c r="BB35" s="17" t="s">
        <v>56</v>
      </c>
      <c r="BC35" s="17" t="s">
        <v>56</v>
      </c>
      <c r="BD35" s="17" t="s">
        <v>56</v>
      </c>
      <c r="BE35" s="17" t="s">
        <v>56</v>
      </c>
      <c r="BF35" s="17" t="s">
        <v>56</v>
      </c>
      <c r="BG35" s="17" t="s">
        <v>56</v>
      </c>
      <c r="BH35" s="17" t="s">
        <v>56</v>
      </c>
      <c r="BI35" s="17" t="s">
        <v>56</v>
      </c>
      <c r="BJ35" s="17" t="s">
        <v>56</v>
      </c>
      <c r="BK35" s="17" t="s">
        <v>56</v>
      </c>
      <c r="BL35" s="17" t="s">
        <v>56</v>
      </c>
      <c r="BM35" s="17" t="s">
        <v>56</v>
      </c>
      <c r="BN35" s="17" t="s">
        <v>56</v>
      </c>
      <c r="BO35" s="17" t="s">
        <v>1325</v>
      </c>
      <c r="BP35" s="17" t="s">
        <v>1325</v>
      </c>
      <c r="BQ35" s="17" t="s">
        <v>56</v>
      </c>
      <c r="BR35" s="17">
        <v>7.7129365500000005E-2</v>
      </c>
      <c r="BS35" s="17">
        <v>7.7129915441999999E-2</v>
      </c>
      <c r="BT35" s="17">
        <v>7.7129000000000003E-2</v>
      </c>
      <c r="BU35" s="17" t="s">
        <v>3015</v>
      </c>
      <c r="BV35" s="17">
        <v>1.08376785E-2</v>
      </c>
      <c r="BW35" s="17">
        <v>1.0836999999999999E-2</v>
      </c>
      <c r="BX35" s="17" t="s">
        <v>3015</v>
      </c>
      <c r="BY35" s="17">
        <v>0.59979315</v>
      </c>
      <c r="BZ35" s="17">
        <v>0.59979300000000002</v>
      </c>
      <c r="CA35" s="17" t="s">
        <v>3015</v>
      </c>
      <c r="CB35" s="17"/>
    </row>
    <row r="36" spans="1:80" x14ac:dyDescent="0.25">
      <c r="A36" s="17" t="s">
        <v>61</v>
      </c>
      <c r="B36" s="17" t="s">
        <v>58</v>
      </c>
      <c r="C36" s="17" t="s">
        <v>3020</v>
      </c>
      <c r="D36" s="17" t="s">
        <v>3021</v>
      </c>
      <c r="E36" s="17" t="s">
        <v>3011</v>
      </c>
      <c r="F36" s="17" t="s">
        <v>3022</v>
      </c>
      <c r="G36" s="17"/>
      <c r="H36" s="17" t="s">
        <v>2621</v>
      </c>
      <c r="I36" s="17">
        <v>-5502.43</v>
      </c>
      <c r="J36" s="17" t="s">
        <v>56</v>
      </c>
      <c r="K36" s="17" t="s">
        <v>56</v>
      </c>
      <c r="L36" s="17" t="s">
        <v>56</v>
      </c>
      <c r="M36" s="17" t="s">
        <v>56</v>
      </c>
      <c r="N36" s="17" t="s">
        <v>56</v>
      </c>
      <c r="O36" s="17" t="s">
        <v>56</v>
      </c>
      <c r="P36" s="17" t="s">
        <v>56</v>
      </c>
      <c r="Q36" s="17" t="s">
        <v>56</v>
      </c>
      <c r="R36" s="17"/>
      <c r="S36" s="17" t="s">
        <v>56</v>
      </c>
      <c r="T36" s="17" t="s">
        <v>56</v>
      </c>
      <c r="U36" s="17" t="s">
        <v>56</v>
      </c>
      <c r="V36" s="17" t="s">
        <v>1325</v>
      </c>
      <c r="W36" s="17" t="s">
        <v>56</v>
      </c>
      <c r="X36" s="17" t="s">
        <v>2640</v>
      </c>
      <c r="Y36" s="17" t="s">
        <v>56</v>
      </c>
      <c r="Z36" s="17" t="s">
        <v>56</v>
      </c>
      <c r="AA36" s="17" t="s">
        <v>2627</v>
      </c>
      <c r="AB36" s="17">
        <v>-5502.43</v>
      </c>
      <c r="AC36" s="17" t="s">
        <v>939</v>
      </c>
      <c r="AD36" s="17" t="s">
        <v>3023</v>
      </c>
      <c r="AE36" s="17" t="s">
        <v>3024</v>
      </c>
      <c r="AF36" s="17"/>
      <c r="AG36" s="16">
        <v>45226</v>
      </c>
      <c r="AH36" s="16">
        <v>2958465</v>
      </c>
      <c r="AI36" s="17" t="s">
        <v>2630</v>
      </c>
      <c r="AJ36" s="17" t="s">
        <v>2631</v>
      </c>
      <c r="AK36" s="17" t="s">
        <v>3025</v>
      </c>
      <c r="AL36" s="17">
        <v>-1151.3599999999999</v>
      </c>
      <c r="AM36" s="17">
        <v>0</v>
      </c>
      <c r="AN36" s="17">
        <v>0</v>
      </c>
      <c r="AO36" s="17">
        <v>0</v>
      </c>
      <c r="AP36" s="17">
        <v>11528.45</v>
      </c>
      <c r="AQ36" s="17">
        <v>5000</v>
      </c>
      <c r="AR36" s="17">
        <v>0</v>
      </c>
      <c r="AS36" s="17">
        <v>-1151.3599999999999</v>
      </c>
      <c r="AT36" s="17">
        <v>16528.45</v>
      </c>
      <c r="AU36" s="17">
        <v>62.990499999999997</v>
      </c>
      <c r="AV36" s="17">
        <v>4.5286</v>
      </c>
      <c r="AW36" s="17">
        <v>98.213300000000004</v>
      </c>
      <c r="AX36" s="17" t="s">
        <v>3015</v>
      </c>
      <c r="AY36" s="17" t="s">
        <v>3015</v>
      </c>
      <c r="AZ36" s="17" t="s">
        <v>3015</v>
      </c>
      <c r="BA36" s="17" t="s">
        <v>56</v>
      </c>
      <c r="BB36" s="17" t="s">
        <v>56</v>
      </c>
      <c r="BC36" s="17" t="s">
        <v>56</v>
      </c>
      <c r="BD36" s="17" t="s">
        <v>56</v>
      </c>
      <c r="BE36" s="17" t="s">
        <v>56</v>
      </c>
      <c r="BF36" s="17" t="s">
        <v>56</v>
      </c>
      <c r="BG36" s="17" t="s">
        <v>56</v>
      </c>
      <c r="BH36" s="17" t="s">
        <v>56</v>
      </c>
      <c r="BI36" s="17" t="s">
        <v>56</v>
      </c>
      <c r="BJ36" s="17" t="s">
        <v>56</v>
      </c>
      <c r="BK36" s="17" t="s">
        <v>56</v>
      </c>
      <c r="BL36" s="17" t="s">
        <v>56</v>
      </c>
      <c r="BM36" s="17" t="s">
        <v>56</v>
      </c>
      <c r="BN36" s="17" t="s">
        <v>56</v>
      </c>
      <c r="BO36" s="17" t="s">
        <v>1325</v>
      </c>
      <c r="BP36" s="17" t="s">
        <v>1325</v>
      </c>
      <c r="BQ36" s="17" t="s">
        <v>56</v>
      </c>
      <c r="BR36" s="17">
        <v>0.346573731</v>
      </c>
      <c r="BS36" s="17">
        <v>0.346600816915</v>
      </c>
      <c r="BT36" s="17">
        <v>0.34657300000000002</v>
      </c>
      <c r="BU36" s="17" t="s">
        <v>3015</v>
      </c>
      <c r="BV36" s="17">
        <v>2.4916357199999999E-2</v>
      </c>
      <c r="BW36" s="17">
        <v>2.4916000000000001E-2</v>
      </c>
      <c r="BX36" s="17" t="s">
        <v>3015</v>
      </c>
      <c r="BY36" s="17">
        <v>0.54036957659999996</v>
      </c>
      <c r="BZ36" s="17">
        <v>0.54036899999999999</v>
      </c>
      <c r="CA36" s="17" t="s">
        <v>3015</v>
      </c>
      <c r="CB36" s="17"/>
    </row>
    <row r="39" spans="1:80" s="15" customFormat="1" x14ac:dyDescent="0.25">
      <c r="B39" s="26" t="s">
        <v>2648</v>
      </c>
    </row>
    <row r="40" spans="1:80" s="8" customFormat="1" x14ac:dyDescent="0.25">
      <c r="B40" s="29"/>
    </row>
    <row r="41" spans="1:80" x14ac:dyDescent="0.25">
      <c r="A41" s="20" t="s">
        <v>2845</v>
      </c>
    </row>
    <row r="42" spans="1:80" x14ac:dyDescent="0.25">
      <c r="A42" s="17" t="s">
        <v>31</v>
      </c>
      <c r="B42" s="17" t="s">
        <v>32</v>
      </c>
      <c r="C42" s="17" t="s">
        <v>33</v>
      </c>
      <c r="D42" s="17" t="s">
        <v>34</v>
      </c>
      <c r="E42" s="17" t="s">
        <v>35</v>
      </c>
      <c r="F42" s="17" t="s">
        <v>36</v>
      </c>
      <c r="G42" s="17" t="s">
        <v>37</v>
      </c>
      <c r="H42" s="17" t="s">
        <v>39</v>
      </c>
      <c r="I42" s="17" t="s">
        <v>38</v>
      </c>
      <c r="J42" s="17" t="s">
        <v>40</v>
      </c>
      <c r="K42" s="17" t="s">
        <v>50</v>
      </c>
      <c r="L42" s="17" t="s">
        <v>44</v>
      </c>
      <c r="M42" s="17" t="s">
        <v>48</v>
      </c>
      <c r="N42" s="17" t="s">
        <v>46</v>
      </c>
      <c r="O42" s="17" t="s">
        <v>51</v>
      </c>
      <c r="P42" s="17" t="s">
        <v>52</v>
      </c>
      <c r="Q42" s="17" t="s">
        <v>53</v>
      </c>
    </row>
    <row r="43" spans="1:80" x14ac:dyDescent="0.25">
      <c r="A43" s="17" t="s">
        <v>61</v>
      </c>
      <c r="B43" s="17" t="s">
        <v>58</v>
      </c>
      <c r="C43" s="17" t="s">
        <v>3069</v>
      </c>
      <c r="D43" s="17" t="s">
        <v>3070</v>
      </c>
      <c r="E43" s="17" t="s">
        <v>56</v>
      </c>
      <c r="F43" s="17" t="s">
        <v>56</v>
      </c>
      <c r="G43" s="17" t="s">
        <v>56</v>
      </c>
      <c r="H43" s="17" t="s">
        <v>63</v>
      </c>
      <c r="I43" s="17" t="s">
        <v>62</v>
      </c>
      <c r="J43" s="17" t="s">
        <v>64</v>
      </c>
      <c r="K43" s="17" t="s">
        <v>72</v>
      </c>
      <c r="L43" s="17" t="s">
        <v>85</v>
      </c>
      <c r="M43" s="17" t="s">
        <v>484</v>
      </c>
      <c r="N43" s="17" t="s">
        <v>3084</v>
      </c>
      <c r="O43" s="17" t="s">
        <v>73</v>
      </c>
      <c r="P43" s="17" t="s">
        <v>73</v>
      </c>
      <c r="Q43" s="17" t="s">
        <v>56</v>
      </c>
    </row>
    <row r="44" spans="1:80" x14ac:dyDescent="0.25">
      <c r="A44" s="22" t="s">
        <v>61</v>
      </c>
      <c r="B44" s="22" t="s">
        <v>58</v>
      </c>
      <c r="C44" s="22" t="s">
        <v>3046</v>
      </c>
      <c r="D44" s="22" t="s">
        <v>3047</v>
      </c>
      <c r="E44" s="22" t="s">
        <v>56</v>
      </c>
      <c r="F44" s="22" t="s">
        <v>56</v>
      </c>
      <c r="G44" s="22" t="s">
        <v>56</v>
      </c>
      <c r="H44" s="22" t="s">
        <v>63</v>
      </c>
      <c r="I44" s="22" t="s">
        <v>62</v>
      </c>
      <c r="J44" s="22" t="s">
        <v>64</v>
      </c>
      <c r="K44" s="22" t="s">
        <v>280</v>
      </c>
      <c r="L44" s="22" t="s">
        <v>67</v>
      </c>
      <c r="M44" s="22" t="s">
        <v>765</v>
      </c>
      <c r="N44" s="22" t="s">
        <v>3085</v>
      </c>
      <c r="O44" s="22" t="s">
        <v>73</v>
      </c>
      <c r="P44" s="22" t="s">
        <v>73</v>
      </c>
      <c r="Q44" s="22" t="s">
        <v>74</v>
      </c>
      <c r="R44" s="39" t="s">
        <v>3099</v>
      </c>
    </row>
    <row r="45" spans="1:80" x14ac:dyDescent="0.25">
      <c r="A45" s="17" t="s">
        <v>61</v>
      </c>
      <c r="B45" s="17" t="s">
        <v>58</v>
      </c>
      <c r="C45" s="17" t="s">
        <v>3065</v>
      </c>
      <c r="D45" s="17" t="s">
        <v>3066</v>
      </c>
      <c r="E45" s="17" t="s">
        <v>56</v>
      </c>
      <c r="F45" s="17" t="s">
        <v>56</v>
      </c>
      <c r="G45" s="17" t="s">
        <v>56</v>
      </c>
      <c r="H45" s="17" t="s">
        <v>63</v>
      </c>
      <c r="I45" s="17" t="s">
        <v>62</v>
      </c>
      <c r="J45" s="17" t="s">
        <v>64</v>
      </c>
      <c r="K45" s="17" t="s">
        <v>72</v>
      </c>
      <c r="L45" s="17" t="s">
        <v>1324</v>
      </c>
      <c r="M45" s="17" t="s">
        <v>1325</v>
      </c>
      <c r="N45" s="17" t="s">
        <v>3086</v>
      </c>
      <c r="O45" s="17" t="s">
        <v>73</v>
      </c>
      <c r="P45" s="17" t="s">
        <v>73</v>
      </c>
      <c r="Q45" s="17" t="s">
        <v>1326</v>
      </c>
    </row>
    <row r="46" spans="1:80" x14ac:dyDescent="0.25">
      <c r="A46" s="17" t="s">
        <v>61</v>
      </c>
      <c r="B46" s="17" t="s">
        <v>58</v>
      </c>
      <c r="C46" s="17" t="s">
        <v>3079</v>
      </c>
      <c r="D46" s="17" t="s">
        <v>3080</v>
      </c>
      <c r="E46" s="17" t="s">
        <v>56</v>
      </c>
      <c r="F46" s="17" t="s">
        <v>56</v>
      </c>
      <c r="G46" s="17" t="s">
        <v>56</v>
      </c>
      <c r="H46" s="17" t="s">
        <v>63</v>
      </c>
      <c r="I46" s="17" t="s">
        <v>62</v>
      </c>
      <c r="J46" s="17" t="s">
        <v>64</v>
      </c>
      <c r="K46" s="17" t="s">
        <v>72</v>
      </c>
      <c r="L46" s="17" t="s">
        <v>85</v>
      </c>
      <c r="M46" s="17" t="s">
        <v>253</v>
      </c>
      <c r="N46" s="17" t="s">
        <v>3087</v>
      </c>
      <c r="O46" s="17" t="s">
        <v>73</v>
      </c>
      <c r="P46" s="17" t="s">
        <v>73</v>
      </c>
      <c r="Q46" s="17" t="s">
        <v>56</v>
      </c>
    </row>
    <row r="47" spans="1:80" x14ac:dyDescent="0.25">
      <c r="A47" s="17" t="s">
        <v>61</v>
      </c>
      <c r="B47" s="17" t="s">
        <v>58</v>
      </c>
      <c r="C47" s="17" t="s">
        <v>3041</v>
      </c>
      <c r="D47" s="17" t="s">
        <v>3042</v>
      </c>
      <c r="E47" s="17" t="s">
        <v>56</v>
      </c>
      <c r="F47" s="17" t="s">
        <v>56</v>
      </c>
      <c r="G47" s="17" t="s">
        <v>56</v>
      </c>
      <c r="H47" s="17" t="s">
        <v>63</v>
      </c>
      <c r="I47" s="17" t="s">
        <v>62</v>
      </c>
      <c r="J47" s="17" t="s">
        <v>64</v>
      </c>
      <c r="K47" s="17" t="s">
        <v>72</v>
      </c>
      <c r="L47" s="17" t="s">
        <v>1324</v>
      </c>
      <c r="M47" s="17" t="s">
        <v>1325</v>
      </c>
      <c r="N47" s="17" t="s">
        <v>3088</v>
      </c>
      <c r="O47" s="17" t="s">
        <v>73</v>
      </c>
      <c r="P47" s="17" t="s">
        <v>73</v>
      </c>
      <c r="Q47" s="17" t="s">
        <v>1326</v>
      </c>
    </row>
    <row r="48" spans="1:80" x14ac:dyDescent="0.25">
      <c r="A48" s="17" t="s">
        <v>61</v>
      </c>
      <c r="B48" s="17" t="s">
        <v>58</v>
      </c>
      <c r="C48" s="17" t="s">
        <v>3036</v>
      </c>
      <c r="D48" s="17" t="s">
        <v>3037</v>
      </c>
      <c r="E48" s="17" t="s">
        <v>56</v>
      </c>
      <c r="F48" s="17" t="s">
        <v>56</v>
      </c>
      <c r="G48" s="17" t="s">
        <v>56</v>
      </c>
      <c r="H48" s="17" t="s">
        <v>63</v>
      </c>
      <c r="I48" s="17" t="s">
        <v>62</v>
      </c>
      <c r="J48" s="17" t="s">
        <v>64</v>
      </c>
      <c r="K48" s="17" t="s">
        <v>72</v>
      </c>
      <c r="L48" s="17" t="s">
        <v>1324</v>
      </c>
      <c r="M48" s="17" t="s">
        <v>1325</v>
      </c>
      <c r="N48" s="17" t="s">
        <v>3089</v>
      </c>
      <c r="O48" s="17" t="s">
        <v>73</v>
      </c>
      <c r="P48" s="17" t="s">
        <v>73</v>
      </c>
      <c r="Q48" s="17" t="s">
        <v>1326</v>
      </c>
    </row>
    <row r="49" spans="1:17" x14ac:dyDescent="0.25">
      <c r="A49" s="17" t="s">
        <v>61</v>
      </c>
      <c r="B49" s="17" t="s">
        <v>58</v>
      </c>
      <c r="C49" s="17" t="s">
        <v>3020</v>
      </c>
      <c r="D49" s="17" t="s">
        <v>3021</v>
      </c>
      <c r="E49" s="17" t="s">
        <v>56</v>
      </c>
      <c r="F49" s="17" t="s">
        <v>56</v>
      </c>
      <c r="G49" s="17" t="s">
        <v>56</v>
      </c>
      <c r="H49" s="17" t="s">
        <v>63</v>
      </c>
      <c r="I49" s="17" t="s">
        <v>62</v>
      </c>
      <c r="J49" s="17" t="s">
        <v>64</v>
      </c>
      <c r="K49" s="17" t="s">
        <v>99</v>
      </c>
      <c r="L49" s="17" t="s">
        <v>1324</v>
      </c>
      <c r="M49" s="17" t="s">
        <v>1325</v>
      </c>
      <c r="N49" s="17" t="s">
        <v>3090</v>
      </c>
      <c r="O49" s="17" t="s">
        <v>73</v>
      </c>
      <c r="P49" s="17" t="s">
        <v>73</v>
      </c>
      <c r="Q49" s="17" t="s">
        <v>1326</v>
      </c>
    </row>
    <row r="50" spans="1:17" x14ac:dyDescent="0.25">
      <c r="A50" s="17" t="s">
        <v>61</v>
      </c>
      <c r="B50" s="17" t="s">
        <v>58</v>
      </c>
      <c r="C50" s="17" t="s">
        <v>3055</v>
      </c>
      <c r="D50" s="17" t="s">
        <v>3056</v>
      </c>
      <c r="E50" s="17" t="s">
        <v>56</v>
      </c>
      <c r="F50" s="17" t="s">
        <v>56</v>
      </c>
      <c r="G50" s="17" t="s">
        <v>56</v>
      </c>
      <c r="H50" s="17" t="s">
        <v>63</v>
      </c>
      <c r="I50" s="17" t="s">
        <v>62</v>
      </c>
      <c r="J50" s="17" t="s">
        <v>64</v>
      </c>
      <c r="K50" s="17" t="s">
        <v>280</v>
      </c>
      <c r="L50" s="17" t="s">
        <v>1324</v>
      </c>
      <c r="M50" s="17" t="s">
        <v>1325</v>
      </c>
      <c r="N50" s="17" t="s">
        <v>3091</v>
      </c>
      <c r="O50" s="17" t="s">
        <v>73</v>
      </c>
      <c r="P50" s="17" t="s">
        <v>73</v>
      </c>
      <c r="Q50" s="17" t="s">
        <v>1326</v>
      </c>
    </row>
    <row r="51" spans="1:17" x14ac:dyDescent="0.25">
      <c r="A51" s="17" t="s">
        <v>61</v>
      </c>
      <c r="B51" s="17" t="s">
        <v>58</v>
      </c>
      <c r="C51" s="17" t="s">
        <v>3032</v>
      </c>
      <c r="D51" s="17" t="s">
        <v>3033</v>
      </c>
      <c r="E51" s="17" t="s">
        <v>56</v>
      </c>
      <c r="F51" s="17" t="s">
        <v>56</v>
      </c>
      <c r="G51" s="17" t="s">
        <v>56</v>
      </c>
      <c r="H51" s="17" t="s">
        <v>63</v>
      </c>
      <c r="I51" s="17" t="s">
        <v>62</v>
      </c>
      <c r="J51" s="17" t="s">
        <v>64</v>
      </c>
      <c r="K51" s="17" t="s">
        <v>72</v>
      </c>
      <c r="L51" s="17" t="s">
        <v>1324</v>
      </c>
      <c r="M51" s="17" t="s">
        <v>1325</v>
      </c>
      <c r="N51" s="17" t="s">
        <v>3092</v>
      </c>
      <c r="O51" s="17" t="s">
        <v>281</v>
      </c>
      <c r="P51" s="17" t="s">
        <v>73</v>
      </c>
      <c r="Q51" s="17" t="s">
        <v>1326</v>
      </c>
    </row>
    <row r="52" spans="1:17" x14ac:dyDescent="0.25">
      <c r="A52" s="17" t="s">
        <v>61</v>
      </c>
      <c r="B52" s="17" t="s">
        <v>58</v>
      </c>
      <c r="C52" s="17" t="s">
        <v>3074</v>
      </c>
      <c r="D52" s="17" t="s">
        <v>3075</v>
      </c>
      <c r="E52" s="17" t="s">
        <v>56</v>
      </c>
      <c r="F52" s="17" t="s">
        <v>56</v>
      </c>
      <c r="G52" s="17" t="s">
        <v>56</v>
      </c>
      <c r="H52" s="17" t="s">
        <v>3093</v>
      </c>
      <c r="I52" s="17" t="s">
        <v>62</v>
      </c>
      <c r="J52" s="17" t="s">
        <v>3094</v>
      </c>
      <c r="K52" s="17" t="s">
        <v>334</v>
      </c>
      <c r="L52" s="17" t="s">
        <v>3095</v>
      </c>
      <c r="M52" s="17" t="s">
        <v>3095</v>
      </c>
      <c r="N52" s="17" t="s">
        <v>2802</v>
      </c>
      <c r="O52" s="17"/>
      <c r="P52" s="17" t="s">
        <v>73</v>
      </c>
      <c r="Q52" s="17" t="s">
        <v>56</v>
      </c>
    </row>
    <row r="53" spans="1:17" x14ac:dyDescent="0.25">
      <c r="A53" s="17" t="s">
        <v>61</v>
      </c>
      <c r="B53" s="17" t="s">
        <v>58</v>
      </c>
      <c r="C53" s="17" t="s">
        <v>3026</v>
      </c>
      <c r="D53" s="17" t="s">
        <v>3027</v>
      </c>
      <c r="E53" s="17" t="s">
        <v>56</v>
      </c>
      <c r="F53" s="17" t="s">
        <v>56</v>
      </c>
      <c r="G53" s="17" t="s">
        <v>56</v>
      </c>
      <c r="H53" s="17" t="s">
        <v>63</v>
      </c>
      <c r="I53" s="17" t="s">
        <v>62</v>
      </c>
      <c r="J53" s="17" t="s">
        <v>64</v>
      </c>
      <c r="K53" s="17" t="s">
        <v>72</v>
      </c>
      <c r="L53" s="17" t="s">
        <v>1324</v>
      </c>
      <c r="M53" s="17" t="s">
        <v>1325</v>
      </c>
      <c r="N53" s="17" t="s">
        <v>3096</v>
      </c>
      <c r="O53" s="17" t="s">
        <v>73</v>
      </c>
      <c r="P53" s="17" t="s">
        <v>73</v>
      </c>
      <c r="Q53" s="17" t="s">
        <v>1326</v>
      </c>
    </row>
    <row r="54" spans="1:17" x14ac:dyDescent="0.25">
      <c r="A54" s="17" t="s">
        <v>61</v>
      </c>
      <c r="B54" s="17" t="s">
        <v>58</v>
      </c>
      <c r="C54" s="17" t="s">
        <v>3050</v>
      </c>
      <c r="D54" s="17" t="s">
        <v>3051</v>
      </c>
      <c r="E54" s="17" t="s">
        <v>56</v>
      </c>
      <c r="F54" s="17" t="s">
        <v>56</v>
      </c>
      <c r="G54" s="17" t="s">
        <v>56</v>
      </c>
      <c r="H54" s="17" t="s">
        <v>63</v>
      </c>
      <c r="I54" s="17" t="s">
        <v>62</v>
      </c>
      <c r="J54" s="17" t="s">
        <v>64</v>
      </c>
      <c r="K54" s="17" t="s">
        <v>72</v>
      </c>
      <c r="L54" s="17" t="s">
        <v>1324</v>
      </c>
      <c r="M54" s="17" t="s">
        <v>1325</v>
      </c>
      <c r="N54" s="17" t="s">
        <v>3097</v>
      </c>
      <c r="O54" s="17" t="s">
        <v>73</v>
      </c>
      <c r="P54" s="17" t="s">
        <v>73</v>
      </c>
      <c r="Q54" s="17" t="s">
        <v>1326</v>
      </c>
    </row>
    <row r="55" spans="1:17" x14ac:dyDescent="0.25">
      <c r="A55" s="17" t="s">
        <v>61</v>
      </c>
      <c r="B55" s="17" t="s">
        <v>58</v>
      </c>
      <c r="C55" s="17" t="s">
        <v>3060</v>
      </c>
      <c r="D55" s="17" t="s">
        <v>3061</v>
      </c>
      <c r="E55" s="17" t="s">
        <v>56</v>
      </c>
      <c r="F55" s="17" t="s">
        <v>56</v>
      </c>
      <c r="G55" s="17" t="s">
        <v>56</v>
      </c>
      <c r="H55" s="17" t="s">
        <v>63</v>
      </c>
      <c r="I55" s="17" t="s">
        <v>62</v>
      </c>
      <c r="J55" s="17" t="s">
        <v>64</v>
      </c>
      <c r="K55" s="17" t="s">
        <v>72</v>
      </c>
      <c r="L55" s="17" t="s">
        <v>289</v>
      </c>
      <c r="M55" s="17" t="s">
        <v>332</v>
      </c>
      <c r="N55" s="17" t="s">
        <v>3098</v>
      </c>
      <c r="O55" s="17" t="s">
        <v>281</v>
      </c>
      <c r="P55" s="17" t="s">
        <v>73</v>
      </c>
      <c r="Q55" s="17" t="s">
        <v>56</v>
      </c>
    </row>
  </sheetData>
  <autoFilter ref="A22:CA36">
    <sortState ref="A22:BZ35">
      <sortCondition ref="E21:E35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Q136"/>
  <sheetViews>
    <sheetView showGridLines="0" workbookViewId="0">
      <selection activeCell="N6" sqref="N6"/>
    </sheetView>
  </sheetViews>
  <sheetFormatPr defaultRowHeight="15" x14ac:dyDescent="0.25"/>
  <cols>
    <col min="1" max="1" width="17.85546875" bestFit="1" customWidth="1"/>
    <col min="2" max="2" width="12.140625" bestFit="1" customWidth="1"/>
    <col min="3" max="3" width="11.42578125" bestFit="1" customWidth="1"/>
    <col min="9" max="9" width="12.28515625" bestFit="1" customWidth="1"/>
    <col min="18" max="20" width="10" bestFit="1" customWidth="1"/>
    <col min="22" max="22" width="11.42578125" bestFit="1" customWidth="1"/>
    <col min="24" max="25" width="9.28515625" bestFit="1" customWidth="1"/>
    <col min="27" max="27" width="10.7109375" bestFit="1" customWidth="1"/>
    <col min="29" max="29" width="9.28515625" bestFit="1" customWidth="1"/>
    <col min="43" max="43" width="12.42578125" bestFit="1" customWidth="1"/>
    <col min="44" max="44" width="9.28515625" bestFit="1" customWidth="1"/>
    <col min="46" max="46" width="9.28515625" bestFit="1" customWidth="1"/>
  </cols>
  <sheetData>
    <row r="2" spans="1:12" x14ac:dyDescent="0.25">
      <c r="A2" s="13"/>
      <c r="B2" t="s">
        <v>2542</v>
      </c>
    </row>
    <row r="3" spans="1:12" x14ac:dyDescent="0.25">
      <c r="A3" s="14"/>
      <c r="B3" t="s">
        <v>2543</v>
      </c>
    </row>
    <row r="5" spans="1:12" x14ac:dyDescent="0.25">
      <c r="C5" s="2">
        <f>+SUM(C7:C16)</f>
        <v>5963551.3143239999</v>
      </c>
    </row>
    <row r="6" spans="1:12" x14ac:dyDescent="0.25">
      <c r="A6" s="36" t="s">
        <v>18</v>
      </c>
      <c r="B6" s="36" t="s">
        <v>1</v>
      </c>
      <c r="C6" s="36" t="s">
        <v>19</v>
      </c>
      <c r="D6" s="36" t="s">
        <v>20</v>
      </c>
      <c r="E6" s="36" t="s">
        <v>21</v>
      </c>
      <c r="F6" s="36" t="s">
        <v>3</v>
      </c>
      <c r="G6" s="37" t="s">
        <v>22</v>
      </c>
      <c r="H6" s="37" t="s">
        <v>0</v>
      </c>
      <c r="I6" s="37" t="s">
        <v>2</v>
      </c>
      <c r="J6" s="37" t="s">
        <v>23</v>
      </c>
      <c r="K6" s="37" t="s">
        <v>24</v>
      </c>
      <c r="L6" s="37" t="s">
        <v>25</v>
      </c>
    </row>
    <row r="7" spans="1:12" x14ac:dyDescent="0.25">
      <c r="A7" s="17" t="s">
        <v>3100</v>
      </c>
      <c r="B7" s="17" t="s">
        <v>5</v>
      </c>
      <c r="C7" s="17">
        <v>2005626.8570000001</v>
      </c>
      <c r="D7" s="17" t="s">
        <v>56</v>
      </c>
      <c r="E7" s="17" t="s">
        <v>56</v>
      </c>
      <c r="F7" s="17">
        <v>-6951359.46</v>
      </c>
      <c r="G7" s="17" t="s">
        <v>3100</v>
      </c>
      <c r="H7" s="17" t="s">
        <v>4</v>
      </c>
      <c r="I7" s="17">
        <v>7341382.6299999999</v>
      </c>
      <c r="J7" s="17">
        <v>462.43732299999999</v>
      </c>
      <c r="K7" s="17">
        <v>33.246183000000002</v>
      </c>
      <c r="L7" s="17">
        <v>721.02135299999998</v>
      </c>
    </row>
    <row r="8" spans="1:12" x14ac:dyDescent="0.25">
      <c r="A8" s="17" t="s">
        <v>3101</v>
      </c>
      <c r="B8" s="17" t="s">
        <v>5</v>
      </c>
      <c r="C8" s="17">
        <v>617115.95600000001</v>
      </c>
      <c r="D8" s="17" t="s">
        <v>56</v>
      </c>
      <c r="E8" s="17" t="s">
        <v>56</v>
      </c>
      <c r="F8" s="17">
        <v>-2101443.7400000002</v>
      </c>
      <c r="G8" s="17" t="s">
        <v>3101</v>
      </c>
      <c r="H8" s="17" t="s">
        <v>4</v>
      </c>
      <c r="I8" s="17">
        <v>2219350.46</v>
      </c>
      <c r="J8" s="17">
        <v>139.797966</v>
      </c>
      <c r="K8" s="17">
        <v>10.050547999999999</v>
      </c>
      <c r="L8" s="17">
        <v>217.96968699999999</v>
      </c>
    </row>
    <row r="9" spans="1:12" x14ac:dyDescent="0.25">
      <c r="A9" s="17" t="s">
        <v>3102</v>
      </c>
      <c r="B9" s="17" t="s">
        <v>5</v>
      </c>
      <c r="C9" s="17">
        <v>478744.04447999998</v>
      </c>
      <c r="D9" s="17" t="s">
        <v>56</v>
      </c>
      <c r="E9" s="17" t="s">
        <v>56</v>
      </c>
      <c r="F9" s="17">
        <v>-260189.33</v>
      </c>
      <c r="G9" s="17" t="s">
        <v>3102</v>
      </c>
      <c r="H9" s="17" t="s">
        <v>4</v>
      </c>
      <c r="I9" s="17">
        <v>285489.19</v>
      </c>
      <c r="J9" s="17">
        <v>163.532512</v>
      </c>
      <c r="K9" s="17">
        <v>11.757037</v>
      </c>
      <c r="L9" s="17">
        <v>254.97703000000001</v>
      </c>
    </row>
    <row r="10" spans="1:12" x14ac:dyDescent="0.25">
      <c r="A10" s="17" t="s">
        <v>3103</v>
      </c>
      <c r="B10" s="17" t="s">
        <v>5</v>
      </c>
      <c r="C10" s="17">
        <v>460289.3958</v>
      </c>
      <c r="D10" s="17" t="s">
        <v>56</v>
      </c>
      <c r="E10" s="17" t="s">
        <v>56</v>
      </c>
      <c r="F10" s="17">
        <v>-999805.24</v>
      </c>
      <c r="G10" s="17" t="s">
        <v>3103</v>
      </c>
      <c r="H10" s="17" t="s">
        <v>4</v>
      </c>
      <c r="I10" s="17">
        <v>1105498.0900000001</v>
      </c>
      <c r="J10" s="17">
        <v>69.635872000000006</v>
      </c>
      <c r="K10" s="17">
        <v>5.0063579999999996</v>
      </c>
      <c r="L10" s="17">
        <v>108.574607</v>
      </c>
    </row>
    <row r="11" spans="1:12" x14ac:dyDescent="0.25">
      <c r="A11" s="17" t="s">
        <v>3104</v>
      </c>
      <c r="B11" s="17" t="s">
        <v>5</v>
      </c>
      <c r="C11" s="17">
        <v>445563.5625</v>
      </c>
      <c r="D11" s="17" t="s">
        <v>56</v>
      </c>
      <c r="E11" s="17" t="s">
        <v>56</v>
      </c>
      <c r="F11" s="17">
        <v>-686110.34</v>
      </c>
      <c r="G11" s="17" t="s">
        <v>3104</v>
      </c>
      <c r="H11" s="17" t="s">
        <v>4</v>
      </c>
      <c r="I11" s="17">
        <v>784342.11</v>
      </c>
      <c r="J11" s="17">
        <v>157.33899299999999</v>
      </c>
      <c r="K11" s="17">
        <v>11.311759</v>
      </c>
      <c r="L11" s="17">
        <v>245.32020299999999</v>
      </c>
    </row>
    <row r="12" spans="1:12" x14ac:dyDescent="0.25">
      <c r="A12" s="17" t="s">
        <v>3105</v>
      </c>
      <c r="B12" s="17" t="s">
        <v>5</v>
      </c>
      <c r="C12" s="17">
        <v>430586.108832</v>
      </c>
      <c r="D12" s="17" t="s">
        <v>56</v>
      </c>
      <c r="E12" s="17" t="s">
        <v>56</v>
      </c>
      <c r="F12" s="17">
        <v>-907201.99</v>
      </c>
      <c r="G12" s="17" t="s">
        <v>3105</v>
      </c>
      <c r="H12" s="17" t="s">
        <v>4</v>
      </c>
      <c r="I12" s="17">
        <v>1074444.02</v>
      </c>
      <c r="J12" s="17">
        <v>282.83316300000001</v>
      </c>
      <c r="K12" s="17">
        <v>20.334060999999998</v>
      </c>
      <c r="L12" s="17">
        <v>440.988516</v>
      </c>
    </row>
    <row r="13" spans="1:12" x14ac:dyDescent="0.25">
      <c r="A13" s="17" t="s">
        <v>3106</v>
      </c>
      <c r="B13" s="17" t="s">
        <v>5</v>
      </c>
      <c r="C13" s="17">
        <v>400550.27020000003</v>
      </c>
      <c r="D13" s="17" t="s">
        <v>56</v>
      </c>
      <c r="E13" s="17" t="s">
        <v>56</v>
      </c>
      <c r="F13" s="17">
        <v>-809533.93</v>
      </c>
      <c r="G13" s="17" t="s">
        <v>3106</v>
      </c>
      <c r="H13" s="17" t="s">
        <v>4</v>
      </c>
      <c r="I13" s="17">
        <v>914966.02</v>
      </c>
      <c r="J13" s="17">
        <v>535.21394399999997</v>
      </c>
      <c r="K13" s="17">
        <v>38.478772999999997</v>
      </c>
      <c r="L13" s="17">
        <v>834.49621100000002</v>
      </c>
    </row>
    <row r="14" spans="1:12" x14ac:dyDescent="0.25">
      <c r="A14" s="17" t="s">
        <v>3107</v>
      </c>
      <c r="B14" s="17" t="s">
        <v>5</v>
      </c>
      <c r="C14" s="17">
        <v>394240.88647199998</v>
      </c>
      <c r="D14" s="17" t="s">
        <v>56</v>
      </c>
      <c r="E14" s="17" t="s">
        <v>56</v>
      </c>
      <c r="F14" s="17">
        <v>-728852.26</v>
      </c>
      <c r="G14" s="17" t="s">
        <v>3107</v>
      </c>
      <c r="H14" s="17" t="s">
        <v>4</v>
      </c>
      <c r="I14" s="17">
        <v>780813.73</v>
      </c>
      <c r="J14" s="17">
        <v>138.760819</v>
      </c>
      <c r="K14" s="17">
        <v>9.9760969999999993</v>
      </c>
      <c r="L14" s="17">
        <v>216.35343900000001</v>
      </c>
    </row>
    <row r="15" spans="1:12" x14ac:dyDescent="0.25">
      <c r="A15" s="17" t="s">
        <v>3108</v>
      </c>
      <c r="B15" s="17" t="s">
        <v>5</v>
      </c>
      <c r="C15" s="17">
        <v>385061.42839199997</v>
      </c>
      <c r="D15" s="17" t="s">
        <v>56</v>
      </c>
      <c r="E15" s="17" t="s">
        <v>56</v>
      </c>
      <c r="F15" s="17">
        <v>-1053911.74</v>
      </c>
      <c r="G15" s="17" t="s">
        <v>3108</v>
      </c>
      <c r="H15" s="17" t="s">
        <v>4</v>
      </c>
      <c r="I15" s="17">
        <v>1227328.4099999999</v>
      </c>
      <c r="J15" s="17">
        <v>306.42327999999998</v>
      </c>
      <c r="K15" s="17">
        <v>22.030052999999999</v>
      </c>
      <c r="L15" s="17">
        <v>477.769814</v>
      </c>
    </row>
    <row r="16" spans="1:12" x14ac:dyDescent="0.25">
      <c r="A16" s="17" t="s">
        <v>3109</v>
      </c>
      <c r="B16" s="17" t="s">
        <v>5</v>
      </c>
      <c r="C16" s="17">
        <v>345772.80464799999</v>
      </c>
      <c r="D16" s="17" t="s">
        <v>56</v>
      </c>
      <c r="E16" s="17" t="s">
        <v>56</v>
      </c>
      <c r="F16" s="17">
        <v>-692178.46</v>
      </c>
      <c r="G16" s="17" t="s">
        <v>3109</v>
      </c>
      <c r="H16" s="17" t="s">
        <v>4</v>
      </c>
      <c r="I16" s="17">
        <v>776655.93</v>
      </c>
      <c r="J16" s="17">
        <v>244.18155200000001</v>
      </c>
      <c r="K16" s="17">
        <v>17.555235</v>
      </c>
      <c r="L16" s="17">
        <v>380.72359999999998</v>
      </c>
    </row>
    <row r="18" spans="1:53" s="15" customFormat="1" x14ac:dyDescent="0.25">
      <c r="B18" s="26" t="s">
        <v>2545</v>
      </c>
    </row>
    <row r="20" spans="1:53" x14ac:dyDescent="0.25">
      <c r="A20" t="s">
        <v>2642</v>
      </c>
      <c r="B20" s="2">
        <f>+I29</f>
        <v>-6951359.46</v>
      </c>
    </row>
    <row r="21" spans="1:53" x14ac:dyDescent="0.25">
      <c r="A21" t="s">
        <v>2643</v>
      </c>
      <c r="B21">
        <v>52</v>
      </c>
      <c r="C21" t="s">
        <v>3220</v>
      </c>
    </row>
    <row r="22" spans="1:53" x14ac:dyDescent="0.25">
      <c r="A22" t="s">
        <v>2649</v>
      </c>
      <c r="B22">
        <f>-B20/SUM(T29:T80)</f>
        <v>0.56807677098030462</v>
      </c>
    </row>
    <row r="23" spans="1:53" x14ac:dyDescent="0.25">
      <c r="A23" t="s">
        <v>3211</v>
      </c>
      <c r="B23" s="2">
        <f>+AC29</f>
        <v>67895.399999999994</v>
      </c>
    </row>
    <row r="24" spans="1:53" x14ac:dyDescent="0.25">
      <c r="A24" t="s">
        <v>3212</v>
      </c>
      <c r="B24" s="2">
        <f>+B22*B23</f>
        <v>38569.799596416175</v>
      </c>
    </row>
    <row r="25" spans="1:53" x14ac:dyDescent="0.25">
      <c r="A25" t="s">
        <v>3213</v>
      </c>
      <c r="B25" s="2">
        <f>+B24*B21</f>
        <v>2005629.579013641</v>
      </c>
      <c r="C25" s="2">
        <f>+SUM(AT29:AT80)</f>
        <v>2005626.8570000005</v>
      </c>
    </row>
    <row r="26" spans="1:53" x14ac:dyDescent="0.25">
      <c r="B26" s="2"/>
    </row>
    <row r="27" spans="1:53" x14ac:dyDescent="0.25">
      <c r="A27" s="18" t="s">
        <v>3214</v>
      </c>
    </row>
    <row r="28" spans="1:53" x14ac:dyDescent="0.25">
      <c r="A28" s="17" t="s">
        <v>2546</v>
      </c>
      <c r="B28" s="17" t="s">
        <v>2547</v>
      </c>
      <c r="C28" s="17" t="s">
        <v>2548</v>
      </c>
      <c r="D28" s="17" t="s">
        <v>2549</v>
      </c>
      <c r="E28" s="17" t="s">
        <v>18</v>
      </c>
      <c r="F28" s="17" t="s">
        <v>2550</v>
      </c>
      <c r="G28" s="17" t="s">
        <v>2551</v>
      </c>
      <c r="H28" s="17" t="s">
        <v>2552</v>
      </c>
      <c r="I28" s="17" t="s">
        <v>2553</v>
      </c>
      <c r="J28" s="17" t="s">
        <v>2554</v>
      </c>
      <c r="K28" s="17" t="s">
        <v>2555</v>
      </c>
      <c r="L28" s="17" t="s">
        <v>35</v>
      </c>
      <c r="M28" s="17" t="s">
        <v>36</v>
      </c>
      <c r="N28" s="17" t="s">
        <v>37</v>
      </c>
      <c r="O28" s="17" t="s">
        <v>2556</v>
      </c>
      <c r="P28" s="17" t="s">
        <v>2557</v>
      </c>
      <c r="Q28" s="17" t="s">
        <v>2558</v>
      </c>
      <c r="R28" s="17" t="s">
        <v>2559</v>
      </c>
      <c r="S28" s="17" t="s">
        <v>2560</v>
      </c>
      <c r="T28" s="17" t="s">
        <v>2561</v>
      </c>
      <c r="U28" s="17" t="s">
        <v>2562</v>
      </c>
      <c r="V28" s="17" t="s">
        <v>2563</v>
      </c>
      <c r="W28" s="17" t="s">
        <v>2564</v>
      </c>
      <c r="X28" s="17" t="s">
        <v>2565</v>
      </c>
      <c r="Y28" s="17" t="s">
        <v>2566</v>
      </c>
      <c r="Z28" s="17" t="s">
        <v>2567</v>
      </c>
      <c r="AA28" s="17" t="s">
        <v>2568</v>
      </c>
      <c r="AB28" s="17" t="s">
        <v>2569</v>
      </c>
      <c r="AC28" s="17" t="s">
        <v>2595</v>
      </c>
      <c r="AD28" s="17" t="s">
        <v>2596</v>
      </c>
      <c r="AE28" s="17" t="s">
        <v>2597</v>
      </c>
      <c r="AF28" s="17" t="s">
        <v>2598</v>
      </c>
      <c r="AG28" s="17" t="s">
        <v>2599</v>
      </c>
      <c r="AH28" s="17" t="s">
        <v>2600</v>
      </c>
      <c r="AI28" s="17" t="s">
        <v>2601</v>
      </c>
      <c r="AJ28" s="17" t="s">
        <v>2602</v>
      </c>
      <c r="AK28" s="17" t="s">
        <v>2603</v>
      </c>
      <c r="AL28" s="17" t="s">
        <v>2604</v>
      </c>
      <c r="AM28" s="17" t="s">
        <v>2605</v>
      </c>
      <c r="AN28" s="17" t="s">
        <v>2606</v>
      </c>
      <c r="AO28" s="17" t="s">
        <v>2607</v>
      </c>
      <c r="AP28" s="17" t="s">
        <v>2608</v>
      </c>
      <c r="AQ28" s="17" t="s">
        <v>2609</v>
      </c>
      <c r="AR28" s="17" t="s">
        <v>2610</v>
      </c>
      <c r="AS28" s="17" t="s">
        <v>2611</v>
      </c>
      <c r="AT28" s="17" t="s">
        <v>2612</v>
      </c>
      <c r="AU28" s="17" t="s">
        <v>2613</v>
      </c>
      <c r="AV28" s="17" t="s">
        <v>2614</v>
      </c>
      <c r="AW28" s="17" t="s">
        <v>2615</v>
      </c>
      <c r="AX28" s="17" t="s">
        <v>2616</v>
      </c>
      <c r="AY28" s="17" t="s">
        <v>2617</v>
      </c>
      <c r="AZ28" s="17" t="s">
        <v>2618</v>
      </c>
      <c r="BA28" s="17" t="s">
        <v>2619</v>
      </c>
    </row>
    <row r="29" spans="1:53" x14ac:dyDescent="0.25">
      <c r="A29" s="17" t="s">
        <v>61</v>
      </c>
      <c r="B29" s="17" t="s">
        <v>58</v>
      </c>
      <c r="C29" s="17" t="s">
        <v>3110</v>
      </c>
      <c r="D29" s="17" t="s">
        <v>3111</v>
      </c>
      <c r="E29" s="17" t="s">
        <v>3100</v>
      </c>
      <c r="F29" s="17" t="s">
        <v>3112</v>
      </c>
      <c r="G29" s="17"/>
      <c r="H29" s="17" t="s">
        <v>2621</v>
      </c>
      <c r="I29" s="2">
        <v>-6951359.46</v>
      </c>
      <c r="J29" s="2" t="s">
        <v>3100</v>
      </c>
      <c r="K29" s="2" t="s">
        <v>61</v>
      </c>
      <c r="L29" s="2" t="s">
        <v>58</v>
      </c>
      <c r="M29" s="2" t="s">
        <v>3110</v>
      </c>
      <c r="N29" s="2" t="s">
        <v>3113</v>
      </c>
      <c r="O29" s="2" t="s">
        <v>3114</v>
      </c>
      <c r="P29" s="2" t="s">
        <v>2624</v>
      </c>
      <c r="Q29" s="2" t="s">
        <v>3115</v>
      </c>
      <c r="R29" s="2">
        <v>137066.78</v>
      </c>
      <c r="S29" s="2">
        <v>241695</v>
      </c>
      <c r="T29" s="2">
        <v>241695</v>
      </c>
      <c r="U29" s="2" t="s">
        <v>3116</v>
      </c>
      <c r="V29" s="2">
        <v>6939485.21</v>
      </c>
      <c r="W29" s="2" t="s">
        <v>2626</v>
      </c>
      <c r="X29" s="2">
        <v>1.9751721612214501E-2</v>
      </c>
      <c r="Y29" s="2">
        <v>1.9717981898176699E-2</v>
      </c>
      <c r="Z29" s="2" t="s">
        <v>2627</v>
      </c>
      <c r="AA29" s="2">
        <v>-137066.77999999901</v>
      </c>
      <c r="AB29" s="2" t="s">
        <v>939</v>
      </c>
      <c r="AC29" s="2">
        <v>67895.399999999994</v>
      </c>
      <c r="AD29" s="2" t="s">
        <v>56</v>
      </c>
      <c r="AE29" s="2" t="s">
        <v>56</v>
      </c>
      <c r="AF29" s="2" t="s">
        <v>2634</v>
      </c>
      <c r="AG29" s="2" t="s">
        <v>2635</v>
      </c>
      <c r="AH29" s="2" t="s">
        <v>2635</v>
      </c>
      <c r="AI29" s="2" t="s">
        <v>56</v>
      </c>
      <c r="AJ29" s="2" t="s">
        <v>56</v>
      </c>
      <c r="AK29" s="2" t="s">
        <v>56</v>
      </c>
      <c r="AL29" s="2" t="s">
        <v>56</v>
      </c>
      <c r="AM29" s="2" t="s">
        <v>56</v>
      </c>
      <c r="AN29" s="2" t="s">
        <v>56</v>
      </c>
      <c r="AO29" s="2" t="s">
        <v>939</v>
      </c>
      <c r="AP29" s="2" t="s">
        <v>939</v>
      </c>
      <c r="AQ29" s="2">
        <v>12236655</v>
      </c>
      <c r="AR29" s="2">
        <v>38569.747250400003</v>
      </c>
      <c r="AS29" s="2" t="s">
        <v>56</v>
      </c>
      <c r="AT29" s="2">
        <v>38569.74725</v>
      </c>
      <c r="AU29" s="2" t="s">
        <v>2634</v>
      </c>
      <c r="AV29" s="2" t="s">
        <v>56</v>
      </c>
      <c r="AW29" s="2" t="s">
        <v>56</v>
      </c>
      <c r="AX29" s="2" t="s">
        <v>2635</v>
      </c>
      <c r="AY29" s="2" t="s">
        <v>56</v>
      </c>
      <c r="AZ29" s="2" t="s">
        <v>56</v>
      </c>
      <c r="BA29" s="2" t="s">
        <v>2635</v>
      </c>
    </row>
    <row r="30" spans="1:53" x14ac:dyDescent="0.25">
      <c r="A30" s="17" t="s">
        <v>61</v>
      </c>
      <c r="B30" s="17" t="s">
        <v>58</v>
      </c>
      <c r="C30" s="17" t="s">
        <v>3110</v>
      </c>
      <c r="D30" s="17" t="s">
        <v>3111</v>
      </c>
      <c r="E30" s="17" t="s">
        <v>3100</v>
      </c>
      <c r="F30" s="17" t="s">
        <v>3112</v>
      </c>
      <c r="G30" s="17"/>
      <c r="H30" s="17" t="s">
        <v>2621</v>
      </c>
      <c r="I30" s="2">
        <v>-6951359.46</v>
      </c>
      <c r="J30" s="2" t="s">
        <v>3100</v>
      </c>
      <c r="K30" s="2" t="s">
        <v>61</v>
      </c>
      <c r="L30" s="2" t="s">
        <v>58</v>
      </c>
      <c r="M30" s="2" t="s">
        <v>3110</v>
      </c>
      <c r="N30" s="2" t="s">
        <v>3117</v>
      </c>
      <c r="O30" s="2" t="s">
        <v>3118</v>
      </c>
      <c r="P30" s="2" t="s">
        <v>2624</v>
      </c>
      <c r="Q30" s="2" t="s">
        <v>3115</v>
      </c>
      <c r="R30" s="2">
        <v>131137.68</v>
      </c>
      <c r="S30" s="2">
        <v>231240</v>
      </c>
      <c r="T30" s="2">
        <v>231240</v>
      </c>
      <c r="U30" s="2" t="s">
        <v>3116</v>
      </c>
      <c r="V30" s="2">
        <v>6939485.21</v>
      </c>
      <c r="W30" s="2" t="s">
        <v>2626</v>
      </c>
      <c r="X30" s="2">
        <v>1.8897321059352701E-2</v>
      </c>
      <c r="Y30" s="2">
        <v>1.8865040824690701E-2</v>
      </c>
      <c r="Z30" s="2" t="s">
        <v>2627</v>
      </c>
      <c r="AA30" s="2">
        <v>-131137.679999999</v>
      </c>
      <c r="AB30" s="2" t="s">
        <v>939</v>
      </c>
      <c r="AC30" s="2">
        <v>67895.399999999994</v>
      </c>
      <c r="AD30" s="2" t="s">
        <v>56</v>
      </c>
      <c r="AE30" s="2" t="s">
        <v>56</v>
      </c>
      <c r="AF30" s="2" t="s">
        <v>2634</v>
      </c>
      <c r="AG30" s="2" t="s">
        <v>2635</v>
      </c>
      <c r="AH30" s="2" t="s">
        <v>2635</v>
      </c>
      <c r="AI30" s="2" t="s">
        <v>56</v>
      </c>
      <c r="AJ30" s="2" t="s">
        <v>56</v>
      </c>
      <c r="AK30" s="2" t="s">
        <v>56</v>
      </c>
      <c r="AL30" s="2" t="s">
        <v>56</v>
      </c>
      <c r="AM30" s="2" t="s">
        <v>56</v>
      </c>
      <c r="AN30" s="2" t="s">
        <v>56</v>
      </c>
      <c r="AO30" s="2" t="s">
        <v>939</v>
      </c>
      <c r="AP30" s="2" t="s">
        <v>939</v>
      </c>
      <c r="AQ30" s="2">
        <v>12236655</v>
      </c>
      <c r="AR30" s="2">
        <v>38569.747250400003</v>
      </c>
      <c r="AS30" s="2" t="s">
        <v>56</v>
      </c>
      <c r="AT30" s="2">
        <v>38569.74725</v>
      </c>
      <c r="AU30" s="2" t="s">
        <v>2634</v>
      </c>
      <c r="AV30" s="2" t="s">
        <v>56</v>
      </c>
      <c r="AW30" s="2" t="s">
        <v>56</v>
      </c>
      <c r="AX30" s="2" t="s">
        <v>2635</v>
      </c>
      <c r="AY30" s="2" t="s">
        <v>56</v>
      </c>
      <c r="AZ30" s="2" t="s">
        <v>56</v>
      </c>
      <c r="BA30" s="2" t="s">
        <v>2635</v>
      </c>
    </row>
    <row r="31" spans="1:53" x14ac:dyDescent="0.25">
      <c r="A31" s="17" t="s">
        <v>61</v>
      </c>
      <c r="B31" s="17" t="s">
        <v>58</v>
      </c>
      <c r="C31" s="17" t="s">
        <v>3110</v>
      </c>
      <c r="D31" s="17" t="s">
        <v>3111</v>
      </c>
      <c r="E31" s="17" t="s">
        <v>3100</v>
      </c>
      <c r="F31" s="17" t="s">
        <v>3112</v>
      </c>
      <c r="G31" s="17"/>
      <c r="H31" s="17" t="s">
        <v>2621</v>
      </c>
      <c r="I31" s="2">
        <v>-6951359.46</v>
      </c>
      <c r="J31" s="2" t="s">
        <v>3100</v>
      </c>
      <c r="K31" s="2" t="s">
        <v>61</v>
      </c>
      <c r="L31" s="2" t="s">
        <v>58</v>
      </c>
      <c r="M31" s="2" t="s">
        <v>3110</v>
      </c>
      <c r="N31" s="2" t="s">
        <v>3119</v>
      </c>
      <c r="O31" s="2" t="s">
        <v>3120</v>
      </c>
      <c r="P31" s="2" t="s">
        <v>2624</v>
      </c>
      <c r="Q31" s="2" t="s">
        <v>3115</v>
      </c>
      <c r="R31" s="2">
        <v>131137.68</v>
      </c>
      <c r="S31" s="2">
        <v>231240</v>
      </c>
      <c r="T31" s="2">
        <v>231240</v>
      </c>
      <c r="U31" s="2" t="s">
        <v>3116</v>
      </c>
      <c r="V31" s="2">
        <v>6939485.21</v>
      </c>
      <c r="W31" s="2" t="s">
        <v>2626</v>
      </c>
      <c r="X31" s="2">
        <v>1.8897321059352701E-2</v>
      </c>
      <c r="Y31" s="2">
        <v>1.8865040824690701E-2</v>
      </c>
      <c r="Z31" s="2" t="s">
        <v>2627</v>
      </c>
      <c r="AA31" s="2">
        <v>-131137.679999999</v>
      </c>
      <c r="AB31" s="2" t="s">
        <v>939</v>
      </c>
      <c r="AC31" s="2">
        <v>67895.399999999994</v>
      </c>
      <c r="AD31" s="2" t="s">
        <v>56</v>
      </c>
      <c r="AE31" s="2" t="s">
        <v>56</v>
      </c>
      <c r="AF31" s="2" t="s">
        <v>2634</v>
      </c>
      <c r="AG31" s="2" t="s">
        <v>2635</v>
      </c>
      <c r="AH31" s="2" t="s">
        <v>2635</v>
      </c>
      <c r="AI31" s="2" t="s">
        <v>56</v>
      </c>
      <c r="AJ31" s="2" t="s">
        <v>56</v>
      </c>
      <c r="AK31" s="2" t="s">
        <v>56</v>
      </c>
      <c r="AL31" s="2" t="s">
        <v>56</v>
      </c>
      <c r="AM31" s="2" t="s">
        <v>56</v>
      </c>
      <c r="AN31" s="2" t="s">
        <v>56</v>
      </c>
      <c r="AO31" s="2" t="s">
        <v>939</v>
      </c>
      <c r="AP31" s="2" t="s">
        <v>939</v>
      </c>
      <c r="AQ31" s="2">
        <v>12236655</v>
      </c>
      <c r="AR31" s="2">
        <v>38569.747250400003</v>
      </c>
      <c r="AS31" s="2" t="s">
        <v>56</v>
      </c>
      <c r="AT31" s="2">
        <v>38569.74725</v>
      </c>
      <c r="AU31" s="2" t="s">
        <v>2634</v>
      </c>
      <c r="AV31" s="2" t="s">
        <v>56</v>
      </c>
      <c r="AW31" s="2" t="s">
        <v>56</v>
      </c>
      <c r="AX31" s="2" t="s">
        <v>2635</v>
      </c>
      <c r="AY31" s="2" t="s">
        <v>56</v>
      </c>
      <c r="AZ31" s="2" t="s">
        <v>56</v>
      </c>
      <c r="BA31" s="2" t="s">
        <v>2635</v>
      </c>
    </row>
    <row r="32" spans="1:53" x14ac:dyDescent="0.25">
      <c r="A32" s="17" t="s">
        <v>61</v>
      </c>
      <c r="B32" s="17" t="s">
        <v>58</v>
      </c>
      <c r="C32" s="17" t="s">
        <v>3110</v>
      </c>
      <c r="D32" s="17" t="s">
        <v>3111</v>
      </c>
      <c r="E32" s="17" t="s">
        <v>3100</v>
      </c>
      <c r="F32" s="17" t="s">
        <v>3112</v>
      </c>
      <c r="G32" s="17"/>
      <c r="H32" s="17" t="s">
        <v>2621</v>
      </c>
      <c r="I32" s="2">
        <v>-6951359.46</v>
      </c>
      <c r="J32" s="2" t="s">
        <v>3100</v>
      </c>
      <c r="K32" s="2" t="s">
        <v>61</v>
      </c>
      <c r="L32" s="2" t="s">
        <v>58</v>
      </c>
      <c r="M32" s="2" t="s">
        <v>3110</v>
      </c>
      <c r="N32" s="2" t="s">
        <v>3121</v>
      </c>
      <c r="O32" s="2" t="s">
        <v>3122</v>
      </c>
      <c r="P32" s="2" t="s">
        <v>2624</v>
      </c>
      <c r="Q32" s="2" t="s">
        <v>3115</v>
      </c>
      <c r="R32" s="2">
        <v>131137.68</v>
      </c>
      <c r="S32" s="2">
        <v>231240</v>
      </c>
      <c r="T32" s="2">
        <v>231240</v>
      </c>
      <c r="U32" s="2" t="s">
        <v>3116</v>
      </c>
      <c r="V32" s="2">
        <v>6939485.21</v>
      </c>
      <c r="W32" s="2" t="s">
        <v>2626</v>
      </c>
      <c r="X32" s="2">
        <v>1.8897321059352701E-2</v>
      </c>
      <c r="Y32" s="2">
        <v>1.8865040824690701E-2</v>
      </c>
      <c r="Z32" s="2" t="s">
        <v>2627</v>
      </c>
      <c r="AA32" s="2">
        <v>-131137.679999999</v>
      </c>
      <c r="AB32" s="2" t="s">
        <v>939</v>
      </c>
      <c r="AC32" s="2">
        <v>67895.399999999994</v>
      </c>
      <c r="AD32" s="2" t="s">
        <v>56</v>
      </c>
      <c r="AE32" s="2" t="s">
        <v>56</v>
      </c>
      <c r="AF32" s="2" t="s">
        <v>2634</v>
      </c>
      <c r="AG32" s="2" t="s">
        <v>2635</v>
      </c>
      <c r="AH32" s="2" t="s">
        <v>2635</v>
      </c>
      <c r="AI32" s="2" t="s">
        <v>56</v>
      </c>
      <c r="AJ32" s="2" t="s">
        <v>56</v>
      </c>
      <c r="AK32" s="2" t="s">
        <v>56</v>
      </c>
      <c r="AL32" s="2" t="s">
        <v>56</v>
      </c>
      <c r="AM32" s="2" t="s">
        <v>56</v>
      </c>
      <c r="AN32" s="2" t="s">
        <v>56</v>
      </c>
      <c r="AO32" s="2" t="s">
        <v>939</v>
      </c>
      <c r="AP32" s="2" t="s">
        <v>939</v>
      </c>
      <c r="AQ32" s="2">
        <v>12236655</v>
      </c>
      <c r="AR32" s="2">
        <v>38569.747250400003</v>
      </c>
      <c r="AS32" s="2" t="s">
        <v>56</v>
      </c>
      <c r="AT32" s="2">
        <v>38569.74725</v>
      </c>
      <c r="AU32" s="2" t="s">
        <v>2634</v>
      </c>
      <c r="AV32" s="2" t="s">
        <v>56</v>
      </c>
      <c r="AW32" s="2" t="s">
        <v>56</v>
      </c>
      <c r="AX32" s="2" t="s">
        <v>2635</v>
      </c>
      <c r="AY32" s="2" t="s">
        <v>56</v>
      </c>
      <c r="AZ32" s="2" t="s">
        <v>56</v>
      </c>
      <c r="BA32" s="2" t="s">
        <v>2635</v>
      </c>
    </row>
    <row r="33" spans="1:53" x14ac:dyDescent="0.25">
      <c r="A33" s="17" t="s">
        <v>61</v>
      </c>
      <c r="B33" s="17" t="s">
        <v>58</v>
      </c>
      <c r="C33" s="17" t="s">
        <v>3110</v>
      </c>
      <c r="D33" s="17" t="s">
        <v>3111</v>
      </c>
      <c r="E33" s="17" t="s">
        <v>3100</v>
      </c>
      <c r="F33" s="17" t="s">
        <v>3112</v>
      </c>
      <c r="G33" s="17"/>
      <c r="H33" s="17" t="s">
        <v>2621</v>
      </c>
      <c r="I33" s="2">
        <v>-6951359.46</v>
      </c>
      <c r="J33" s="2" t="s">
        <v>3100</v>
      </c>
      <c r="K33" s="2" t="s">
        <v>61</v>
      </c>
      <c r="L33" s="2" t="s">
        <v>58</v>
      </c>
      <c r="M33" s="2" t="s">
        <v>3110</v>
      </c>
      <c r="N33" s="2" t="s">
        <v>3123</v>
      </c>
      <c r="O33" s="2" t="s">
        <v>3124</v>
      </c>
      <c r="P33" s="2" t="s">
        <v>2624</v>
      </c>
      <c r="Q33" s="2" t="s">
        <v>3115</v>
      </c>
      <c r="R33" s="2">
        <v>137066.78</v>
      </c>
      <c r="S33" s="2">
        <v>241695</v>
      </c>
      <c r="T33" s="2">
        <v>241695</v>
      </c>
      <c r="U33" s="2" t="s">
        <v>3116</v>
      </c>
      <c r="V33" s="2">
        <v>6939485.21</v>
      </c>
      <c r="W33" s="2" t="s">
        <v>2626</v>
      </c>
      <c r="X33" s="2">
        <v>1.9751721612214501E-2</v>
      </c>
      <c r="Y33" s="2">
        <v>1.9717981898176699E-2</v>
      </c>
      <c r="Z33" s="2" t="s">
        <v>2627</v>
      </c>
      <c r="AA33" s="2">
        <v>-137066.77999999901</v>
      </c>
      <c r="AB33" s="2" t="s">
        <v>939</v>
      </c>
      <c r="AC33" s="2">
        <v>67895.399999999994</v>
      </c>
      <c r="AD33" s="2" t="s">
        <v>56</v>
      </c>
      <c r="AE33" s="2" t="s">
        <v>56</v>
      </c>
      <c r="AF33" s="2" t="s">
        <v>2634</v>
      </c>
      <c r="AG33" s="2" t="s">
        <v>2635</v>
      </c>
      <c r="AH33" s="2" t="s">
        <v>2635</v>
      </c>
      <c r="AI33" s="2" t="s">
        <v>56</v>
      </c>
      <c r="AJ33" s="2" t="s">
        <v>56</v>
      </c>
      <c r="AK33" s="2" t="s">
        <v>56</v>
      </c>
      <c r="AL33" s="2" t="s">
        <v>56</v>
      </c>
      <c r="AM33" s="2" t="s">
        <v>56</v>
      </c>
      <c r="AN33" s="2" t="s">
        <v>56</v>
      </c>
      <c r="AO33" s="2" t="s">
        <v>939</v>
      </c>
      <c r="AP33" s="2" t="s">
        <v>939</v>
      </c>
      <c r="AQ33" s="2">
        <v>12236655</v>
      </c>
      <c r="AR33" s="2">
        <v>38569.747250400003</v>
      </c>
      <c r="AS33" s="2" t="s">
        <v>56</v>
      </c>
      <c r="AT33" s="2">
        <v>38569.74725</v>
      </c>
      <c r="AU33" s="2" t="s">
        <v>2634</v>
      </c>
      <c r="AV33" s="2" t="s">
        <v>56</v>
      </c>
      <c r="AW33" s="2" t="s">
        <v>56</v>
      </c>
      <c r="AX33" s="2" t="s">
        <v>2635</v>
      </c>
      <c r="AY33" s="2" t="s">
        <v>56</v>
      </c>
      <c r="AZ33" s="2" t="s">
        <v>56</v>
      </c>
      <c r="BA33" s="2" t="s">
        <v>2635</v>
      </c>
    </row>
    <row r="34" spans="1:53" x14ac:dyDescent="0.25">
      <c r="A34" s="17" t="s">
        <v>61</v>
      </c>
      <c r="B34" s="17" t="s">
        <v>58</v>
      </c>
      <c r="C34" s="17" t="s">
        <v>3110</v>
      </c>
      <c r="D34" s="17" t="s">
        <v>3111</v>
      </c>
      <c r="E34" s="17" t="s">
        <v>3100</v>
      </c>
      <c r="F34" s="17" t="s">
        <v>3112</v>
      </c>
      <c r="G34" s="17"/>
      <c r="H34" s="17" t="s">
        <v>2621</v>
      </c>
      <c r="I34" s="2">
        <v>-6951359.46</v>
      </c>
      <c r="J34" s="2" t="s">
        <v>3100</v>
      </c>
      <c r="K34" s="2" t="s">
        <v>61</v>
      </c>
      <c r="L34" s="2" t="s">
        <v>58</v>
      </c>
      <c r="M34" s="2" t="s">
        <v>3110</v>
      </c>
      <c r="N34" s="2" t="s">
        <v>3125</v>
      </c>
      <c r="O34" s="2" t="s">
        <v>3126</v>
      </c>
      <c r="P34" s="2" t="s">
        <v>2624</v>
      </c>
      <c r="Q34" s="2" t="s">
        <v>3115</v>
      </c>
      <c r="R34" s="2">
        <v>131137.68</v>
      </c>
      <c r="S34" s="2">
        <v>231240</v>
      </c>
      <c r="T34" s="2">
        <v>231240</v>
      </c>
      <c r="U34" s="2" t="s">
        <v>3116</v>
      </c>
      <c r="V34" s="2">
        <v>6939485.21</v>
      </c>
      <c r="W34" s="2" t="s">
        <v>2626</v>
      </c>
      <c r="X34" s="2">
        <v>1.8897321059352701E-2</v>
      </c>
      <c r="Y34" s="2">
        <v>1.8865040824690701E-2</v>
      </c>
      <c r="Z34" s="2" t="s">
        <v>2627</v>
      </c>
      <c r="AA34" s="2">
        <v>-131137.679999999</v>
      </c>
      <c r="AB34" s="2" t="s">
        <v>939</v>
      </c>
      <c r="AC34" s="2">
        <v>67895.399999999994</v>
      </c>
      <c r="AD34" s="2" t="s">
        <v>56</v>
      </c>
      <c r="AE34" s="2" t="s">
        <v>56</v>
      </c>
      <c r="AF34" s="2" t="s">
        <v>2634</v>
      </c>
      <c r="AG34" s="2" t="s">
        <v>2635</v>
      </c>
      <c r="AH34" s="2" t="s">
        <v>2635</v>
      </c>
      <c r="AI34" s="2" t="s">
        <v>56</v>
      </c>
      <c r="AJ34" s="2" t="s">
        <v>56</v>
      </c>
      <c r="AK34" s="2" t="s">
        <v>56</v>
      </c>
      <c r="AL34" s="2" t="s">
        <v>56</v>
      </c>
      <c r="AM34" s="2" t="s">
        <v>56</v>
      </c>
      <c r="AN34" s="2" t="s">
        <v>56</v>
      </c>
      <c r="AO34" s="2" t="s">
        <v>939</v>
      </c>
      <c r="AP34" s="2" t="s">
        <v>939</v>
      </c>
      <c r="AQ34" s="2">
        <v>12236655</v>
      </c>
      <c r="AR34" s="2">
        <v>38569.747250400003</v>
      </c>
      <c r="AS34" s="2" t="s">
        <v>56</v>
      </c>
      <c r="AT34" s="2">
        <v>38569.74725</v>
      </c>
      <c r="AU34" s="2" t="s">
        <v>2634</v>
      </c>
      <c r="AV34" s="2" t="s">
        <v>56</v>
      </c>
      <c r="AW34" s="2" t="s">
        <v>56</v>
      </c>
      <c r="AX34" s="2" t="s">
        <v>2635</v>
      </c>
      <c r="AY34" s="2" t="s">
        <v>56</v>
      </c>
      <c r="AZ34" s="2" t="s">
        <v>56</v>
      </c>
      <c r="BA34" s="2" t="s">
        <v>2635</v>
      </c>
    </row>
    <row r="35" spans="1:53" x14ac:dyDescent="0.25">
      <c r="A35" s="17" t="s">
        <v>61</v>
      </c>
      <c r="B35" s="17" t="s">
        <v>58</v>
      </c>
      <c r="C35" s="17" t="s">
        <v>3110</v>
      </c>
      <c r="D35" s="17" t="s">
        <v>3111</v>
      </c>
      <c r="E35" s="17" t="s">
        <v>3100</v>
      </c>
      <c r="F35" s="17" t="s">
        <v>3112</v>
      </c>
      <c r="G35" s="17"/>
      <c r="H35" s="17" t="s">
        <v>2621</v>
      </c>
      <c r="I35" s="2">
        <v>-6951359.46</v>
      </c>
      <c r="J35" s="2" t="s">
        <v>3100</v>
      </c>
      <c r="K35" s="2" t="s">
        <v>61</v>
      </c>
      <c r="L35" s="2" t="s">
        <v>58</v>
      </c>
      <c r="M35" s="2" t="s">
        <v>3110</v>
      </c>
      <c r="N35" s="2" t="s">
        <v>3127</v>
      </c>
      <c r="O35" s="2" t="s">
        <v>3128</v>
      </c>
      <c r="P35" s="2" t="s">
        <v>2624</v>
      </c>
      <c r="Q35" s="2" t="s">
        <v>3115</v>
      </c>
      <c r="R35" s="2">
        <v>131137.68</v>
      </c>
      <c r="S35" s="2">
        <v>231240</v>
      </c>
      <c r="T35" s="2">
        <v>231240</v>
      </c>
      <c r="U35" s="2" t="s">
        <v>3116</v>
      </c>
      <c r="V35" s="2">
        <v>6939485.21</v>
      </c>
      <c r="W35" s="2" t="s">
        <v>2626</v>
      </c>
      <c r="X35" s="2">
        <v>1.8897321059352701E-2</v>
      </c>
      <c r="Y35" s="2">
        <v>1.8865040824690701E-2</v>
      </c>
      <c r="Z35" s="2" t="s">
        <v>2627</v>
      </c>
      <c r="AA35" s="2">
        <v>-131137.679999999</v>
      </c>
      <c r="AB35" s="2" t="s">
        <v>939</v>
      </c>
      <c r="AC35" s="2">
        <v>67895.399999999994</v>
      </c>
      <c r="AD35" s="2" t="s">
        <v>56</v>
      </c>
      <c r="AE35" s="2" t="s">
        <v>56</v>
      </c>
      <c r="AF35" s="2" t="s">
        <v>2634</v>
      </c>
      <c r="AG35" s="2" t="s">
        <v>2635</v>
      </c>
      <c r="AH35" s="2" t="s">
        <v>2635</v>
      </c>
      <c r="AI35" s="2" t="s">
        <v>56</v>
      </c>
      <c r="AJ35" s="2" t="s">
        <v>56</v>
      </c>
      <c r="AK35" s="2" t="s">
        <v>56</v>
      </c>
      <c r="AL35" s="2" t="s">
        <v>56</v>
      </c>
      <c r="AM35" s="2" t="s">
        <v>56</v>
      </c>
      <c r="AN35" s="2" t="s">
        <v>56</v>
      </c>
      <c r="AO35" s="2" t="s">
        <v>939</v>
      </c>
      <c r="AP35" s="2" t="s">
        <v>939</v>
      </c>
      <c r="AQ35" s="2">
        <v>12236655</v>
      </c>
      <c r="AR35" s="2">
        <v>38569.747250400003</v>
      </c>
      <c r="AS35" s="2" t="s">
        <v>56</v>
      </c>
      <c r="AT35" s="2">
        <v>38569.74725</v>
      </c>
      <c r="AU35" s="2" t="s">
        <v>2634</v>
      </c>
      <c r="AV35" s="2" t="s">
        <v>56</v>
      </c>
      <c r="AW35" s="2" t="s">
        <v>56</v>
      </c>
      <c r="AX35" s="2" t="s">
        <v>2635</v>
      </c>
      <c r="AY35" s="2" t="s">
        <v>56</v>
      </c>
      <c r="AZ35" s="2" t="s">
        <v>56</v>
      </c>
      <c r="BA35" s="2" t="s">
        <v>2635</v>
      </c>
    </row>
    <row r="36" spans="1:53" x14ac:dyDescent="0.25">
      <c r="A36" s="17" t="s">
        <v>61</v>
      </c>
      <c r="B36" s="17" t="s">
        <v>58</v>
      </c>
      <c r="C36" s="17" t="s">
        <v>3110</v>
      </c>
      <c r="D36" s="17" t="s">
        <v>3111</v>
      </c>
      <c r="E36" s="17" t="s">
        <v>3100</v>
      </c>
      <c r="F36" s="17" t="s">
        <v>3112</v>
      </c>
      <c r="G36" s="17"/>
      <c r="H36" s="17" t="s">
        <v>2621</v>
      </c>
      <c r="I36" s="2">
        <v>-6951359.46</v>
      </c>
      <c r="J36" s="2" t="s">
        <v>3100</v>
      </c>
      <c r="K36" s="2" t="s">
        <v>61</v>
      </c>
      <c r="L36" s="2" t="s">
        <v>58</v>
      </c>
      <c r="M36" s="2" t="s">
        <v>3110</v>
      </c>
      <c r="N36" s="2" t="s">
        <v>2636</v>
      </c>
      <c r="O36" s="2" t="s">
        <v>3129</v>
      </c>
      <c r="P36" s="2" t="s">
        <v>2624</v>
      </c>
      <c r="Q36" s="2" t="s">
        <v>3115</v>
      </c>
      <c r="R36" s="2">
        <v>131137.68</v>
      </c>
      <c r="S36" s="2">
        <v>231240</v>
      </c>
      <c r="T36" s="2">
        <v>231240</v>
      </c>
      <c r="U36" s="2" t="s">
        <v>3116</v>
      </c>
      <c r="V36" s="2">
        <v>6939485.21</v>
      </c>
      <c r="W36" s="2" t="s">
        <v>2626</v>
      </c>
      <c r="X36" s="2">
        <v>1.8897321059352701E-2</v>
      </c>
      <c r="Y36" s="2">
        <v>1.8865040824690701E-2</v>
      </c>
      <c r="Z36" s="2" t="s">
        <v>2627</v>
      </c>
      <c r="AA36" s="2">
        <v>-131137.679999999</v>
      </c>
      <c r="AB36" s="2" t="s">
        <v>939</v>
      </c>
      <c r="AC36" s="2">
        <v>67895.399999999994</v>
      </c>
      <c r="AD36" s="2" t="s">
        <v>56</v>
      </c>
      <c r="AE36" s="2" t="s">
        <v>56</v>
      </c>
      <c r="AF36" s="2" t="s">
        <v>2634</v>
      </c>
      <c r="AG36" s="2" t="s">
        <v>2635</v>
      </c>
      <c r="AH36" s="2" t="s">
        <v>2635</v>
      </c>
      <c r="AI36" s="2" t="s">
        <v>56</v>
      </c>
      <c r="AJ36" s="2" t="s">
        <v>56</v>
      </c>
      <c r="AK36" s="2" t="s">
        <v>56</v>
      </c>
      <c r="AL36" s="2" t="s">
        <v>56</v>
      </c>
      <c r="AM36" s="2" t="s">
        <v>56</v>
      </c>
      <c r="AN36" s="2" t="s">
        <v>56</v>
      </c>
      <c r="AO36" s="2" t="s">
        <v>939</v>
      </c>
      <c r="AP36" s="2" t="s">
        <v>939</v>
      </c>
      <c r="AQ36" s="2">
        <v>12236655</v>
      </c>
      <c r="AR36" s="2">
        <v>38569.747250400003</v>
      </c>
      <c r="AS36" s="2" t="s">
        <v>56</v>
      </c>
      <c r="AT36" s="2">
        <v>38569.74725</v>
      </c>
      <c r="AU36" s="2" t="s">
        <v>2634</v>
      </c>
      <c r="AV36" s="2" t="s">
        <v>56</v>
      </c>
      <c r="AW36" s="2" t="s">
        <v>56</v>
      </c>
      <c r="AX36" s="2" t="s">
        <v>2635</v>
      </c>
      <c r="AY36" s="2" t="s">
        <v>56</v>
      </c>
      <c r="AZ36" s="2" t="s">
        <v>56</v>
      </c>
      <c r="BA36" s="2" t="s">
        <v>2635</v>
      </c>
    </row>
    <row r="37" spans="1:53" x14ac:dyDescent="0.25">
      <c r="A37" s="17" t="s">
        <v>61</v>
      </c>
      <c r="B37" s="17" t="s">
        <v>58</v>
      </c>
      <c r="C37" s="17" t="s">
        <v>3110</v>
      </c>
      <c r="D37" s="17" t="s">
        <v>3111</v>
      </c>
      <c r="E37" s="17" t="s">
        <v>3100</v>
      </c>
      <c r="F37" s="17" t="s">
        <v>3112</v>
      </c>
      <c r="G37" s="17"/>
      <c r="H37" s="17" t="s">
        <v>2621</v>
      </c>
      <c r="I37" s="2">
        <v>-6951359.46</v>
      </c>
      <c r="J37" s="2" t="s">
        <v>3100</v>
      </c>
      <c r="K37" s="2" t="s">
        <v>61</v>
      </c>
      <c r="L37" s="2" t="s">
        <v>58</v>
      </c>
      <c r="M37" s="2" t="s">
        <v>3110</v>
      </c>
      <c r="N37" s="2" t="s">
        <v>2638</v>
      </c>
      <c r="O37" s="2" t="s">
        <v>3130</v>
      </c>
      <c r="P37" s="2" t="s">
        <v>2624</v>
      </c>
      <c r="Q37" s="2" t="s">
        <v>3115</v>
      </c>
      <c r="R37" s="2">
        <v>132881.53</v>
      </c>
      <c r="S37" s="2">
        <v>234315</v>
      </c>
      <c r="T37" s="2">
        <v>234315</v>
      </c>
      <c r="U37" s="2" t="s">
        <v>3116</v>
      </c>
      <c r="V37" s="2">
        <v>6939485.21</v>
      </c>
      <c r="W37" s="2" t="s">
        <v>2626</v>
      </c>
      <c r="X37" s="2">
        <v>1.91486149157741E-2</v>
      </c>
      <c r="Y37" s="2">
        <v>1.9115905423196099E-2</v>
      </c>
      <c r="Z37" s="2" t="s">
        <v>2627</v>
      </c>
      <c r="AA37" s="2">
        <v>-132881.52999999901</v>
      </c>
      <c r="AB37" s="2" t="s">
        <v>939</v>
      </c>
      <c r="AC37" s="2">
        <v>67895.399999999994</v>
      </c>
      <c r="AD37" s="2" t="s">
        <v>56</v>
      </c>
      <c r="AE37" s="2" t="s">
        <v>56</v>
      </c>
      <c r="AF37" s="2" t="s">
        <v>2634</v>
      </c>
      <c r="AG37" s="2" t="s">
        <v>2635</v>
      </c>
      <c r="AH37" s="2" t="s">
        <v>2635</v>
      </c>
      <c r="AI37" s="2" t="s">
        <v>56</v>
      </c>
      <c r="AJ37" s="2" t="s">
        <v>56</v>
      </c>
      <c r="AK37" s="2" t="s">
        <v>56</v>
      </c>
      <c r="AL37" s="2" t="s">
        <v>56</v>
      </c>
      <c r="AM37" s="2" t="s">
        <v>56</v>
      </c>
      <c r="AN37" s="2" t="s">
        <v>56</v>
      </c>
      <c r="AO37" s="2" t="s">
        <v>939</v>
      </c>
      <c r="AP37" s="2" t="s">
        <v>939</v>
      </c>
      <c r="AQ37" s="2">
        <v>12236655</v>
      </c>
      <c r="AR37" s="2">
        <v>38569.747250400003</v>
      </c>
      <c r="AS37" s="2" t="s">
        <v>56</v>
      </c>
      <c r="AT37" s="2">
        <v>38569.74725</v>
      </c>
      <c r="AU37" s="2" t="s">
        <v>2634</v>
      </c>
      <c r="AV37" s="2" t="s">
        <v>56</v>
      </c>
      <c r="AW37" s="2" t="s">
        <v>56</v>
      </c>
      <c r="AX37" s="2" t="s">
        <v>2635</v>
      </c>
      <c r="AY37" s="2" t="s">
        <v>56</v>
      </c>
      <c r="AZ37" s="2" t="s">
        <v>56</v>
      </c>
      <c r="BA37" s="2" t="s">
        <v>2635</v>
      </c>
    </row>
    <row r="38" spans="1:53" x14ac:dyDescent="0.25">
      <c r="A38" s="17" t="s">
        <v>61</v>
      </c>
      <c r="B38" s="17" t="s">
        <v>58</v>
      </c>
      <c r="C38" s="17" t="s">
        <v>3110</v>
      </c>
      <c r="D38" s="17" t="s">
        <v>3111</v>
      </c>
      <c r="E38" s="17" t="s">
        <v>3100</v>
      </c>
      <c r="F38" s="17" t="s">
        <v>3112</v>
      </c>
      <c r="G38" s="17"/>
      <c r="H38" s="17" t="s">
        <v>2621</v>
      </c>
      <c r="I38" s="2">
        <v>-6951359.46</v>
      </c>
      <c r="J38" s="2" t="s">
        <v>3100</v>
      </c>
      <c r="K38" s="2" t="s">
        <v>61</v>
      </c>
      <c r="L38" s="2" t="s">
        <v>58</v>
      </c>
      <c r="M38" s="2" t="s">
        <v>3110</v>
      </c>
      <c r="N38" s="2" t="s">
        <v>3131</v>
      </c>
      <c r="O38" s="2" t="s">
        <v>3132</v>
      </c>
      <c r="P38" s="2" t="s">
        <v>2624</v>
      </c>
      <c r="Q38" s="2" t="s">
        <v>3115</v>
      </c>
      <c r="R38" s="2">
        <v>137066.78</v>
      </c>
      <c r="S38" s="2">
        <v>241695</v>
      </c>
      <c r="T38" s="2">
        <v>241695</v>
      </c>
      <c r="U38" s="2" t="s">
        <v>3116</v>
      </c>
      <c r="V38" s="2">
        <v>6939485.21</v>
      </c>
      <c r="W38" s="2" t="s">
        <v>2626</v>
      </c>
      <c r="X38" s="2">
        <v>1.9751721612214501E-2</v>
      </c>
      <c r="Y38" s="2">
        <v>1.9717981898176699E-2</v>
      </c>
      <c r="Z38" s="2" t="s">
        <v>2627</v>
      </c>
      <c r="AA38" s="2">
        <v>-137066.77999999901</v>
      </c>
      <c r="AB38" s="2" t="s">
        <v>939</v>
      </c>
      <c r="AC38" s="2">
        <v>67895.399999999994</v>
      </c>
      <c r="AD38" s="2" t="s">
        <v>56</v>
      </c>
      <c r="AE38" s="2" t="s">
        <v>56</v>
      </c>
      <c r="AF38" s="2" t="s">
        <v>2634</v>
      </c>
      <c r="AG38" s="2" t="s">
        <v>2635</v>
      </c>
      <c r="AH38" s="2" t="s">
        <v>2635</v>
      </c>
      <c r="AI38" s="2" t="s">
        <v>56</v>
      </c>
      <c r="AJ38" s="2" t="s">
        <v>56</v>
      </c>
      <c r="AK38" s="2" t="s">
        <v>56</v>
      </c>
      <c r="AL38" s="2" t="s">
        <v>56</v>
      </c>
      <c r="AM38" s="2" t="s">
        <v>56</v>
      </c>
      <c r="AN38" s="2" t="s">
        <v>56</v>
      </c>
      <c r="AO38" s="2" t="s">
        <v>939</v>
      </c>
      <c r="AP38" s="2" t="s">
        <v>939</v>
      </c>
      <c r="AQ38" s="2">
        <v>12236655</v>
      </c>
      <c r="AR38" s="2">
        <v>38569.747250400003</v>
      </c>
      <c r="AS38" s="2" t="s">
        <v>56</v>
      </c>
      <c r="AT38" s="2">
        <v>38569.74725</v>
      </c>
      <c r="AU38" s="2" t="s">
        <v>2634</v>
      </c>
      <c r="AV38" s="2" t="s">
        <v>56</v>
      </c>
      <c r="AW38" s="2" t="s">
        <v>56</v>
      </c>
      <c r="AX38" s="2" t="s">
        <v>2635</v>
      </c>
      <c r="AY38" s="2" t="s">
        <v>56</v>
      </c>
      <c r="AZ38" s="2" t="s">
        <v>56</v>
      </c>
      <c r="BA38" s="2" t="s">
        <v>2635</v>
      </c>
    </row>
    <row r="39" spans="1:53" x14ac:dyDescent="0.25">
      <c r="A39" s="17" t="s">
        <v>61</v>
      </c>
      <c r="B39" s="17" t="s">
        <v>58</v>
      </c>
      <c r="C39" s="17" t="s">
        <v>3110</v>
      </c>
      <c r="D39" s="17" t="s">
        <v>3111</v>
      </c>
      <c r="E39" s="17" t="s">
        <v>3100</v>
      </c>
      <c r="F39" s="17" t="s">
        <v>3112</v>
      </c>
      <c r="G39" s="17"/>
      <c r="H39" s="17" t="s">
        <v>2621</v>
      </c>
      <c r="I39" s="2">
        <v>-6951359.46</v>
      </c>
      <c r="J39" s="2" t="s">
        <v>3100</v>
      </c>
      <c r="K39" s="2" t="s">
        <v>61</v>
      </c>
      <c r="L39" s="2" t="s">
        <v>58</v>
      </c>
      <c r="M39" s="2" t="s">
        <v>3110</v>
      </c>
      <c r="N39" s="2" t="s">
        <v>3133</v>
      </c>
      <c r="O39" s="2" t="s">
        <v>3134</v>
      </c>
      <c r="P39" s="2" t="s">
        <v>2624</v>
      </c>
      <c r="Q39" s="2" t="s">
        <v>3115</v>
      </c>
      <c r="R39" s="2">
        <v>137066.78</v>
      </c>
      <c r="S39" s="2">
        <v>241695</v>
      </c>
      <c r="T39" s="2">
        <v>241695</v>
      </c>
      <c r="U39" s="2" t="s">
        <v>3116</v>
      </c>
      <c r="V39" s="2">
        <v>6939485.21</v>
      </c>
      <c r="W39" s="2" t="s">
        <v>2626</v>
      </c>
      <c r="X39" s="2">
        <v>1.9751721612214501E-2</v>
      </c>
      <c r="Y39" s="2">
        <v>1.9717981898176699E-2</v>
      </c>
      <c r="Z39" s="2" t="s">
        <v>2627</v>
      </c>
      <c r="AA39" s="2">
        <v>-137066.77999999901</v>
      </c>
      <c r="AB39" s="2" t="s">
        <v>939</v>
      </c>
      <c r="AC39" s="2">
        <v>67895.399999999994</v>
      </c>
      <c r="AD39" s="2" t="s">
        <v>56</v>
      </c>
      <c r="AE39" s="2" t="s">
        <v>56</v>
      </c>
      <c r="AF39" s="2" t="s">
        <v>2634</v>
      </c>
      <c r="AG39" s="2" t="s">
        <v>2635</v>
      </c>
      <c r="AH39" s="2" t="s">
        <v>2635</v>
      </c>
      <c r="AI39" s="2" t="s">
        <v>56</v>
      </c>
      <c r="AJ39" s="2" t="s">
        <v>56</v>
      </c>
      <c r="AK39" s="2" t="s">
        <v>56</v>
      </c>
      <c r="AL39" s="2" t="s">
        <v>56</v>
      </c>
      <c r="AM39" s="2" t="s">
        <v>56</v>
      </c>
      <c r="AN39" s="2" t="s">
        <v>56</v>
      </c>
      <c r="AO39" s="2" t="s">
        <v>939</v>
      </c>
      <c r="AP39" s="2" t="s">
        <v>939</v>
      </c>
      <c r="AQ39" s="2">
        <v>12236655</v>
      </c>
      <c r="AR39" s="2">
        <v>38569.747250400003</v>
      </c>
      <c r="AS39" s="2" t="s">
        <v>56</v>
      </c>
      <c r="AT39" s="2">
        <v>38569.74725</v>
      </c>
      <c r="AU39" s="2" t="s">
        <v>2634</v>
      </c>
      <c r="AV39" s="2" t="s">
        <v>56</v>
      </c>
      <c r="AW39" s="2" t="s">
        <v>56</v>
      </c>
      <c r="AX39" s="2" t="s">
        <v>2635</v>
      </c>
      <c r="AY39" s="2" t="s">
        <v>56</v>
      </c>
      <c r="AZ39" s="2" t="s">
        <v>56</v>
      </c>
      <c r="BA39" s="2" t="s">
        <v>2635</v>
      </c>
    </row>
    <row r="40" spans="1:53" x14ac:dyDescent="0.25">
      <c r="A40" s="17" t="s">
        <v>61</v>
      </c>
      <c r="B40" s="17" t="s">
        <v>58</v>
      </c>
      <c r="C40" s="17" t="s">
        <v>3110</v>
      </c>
      <c r="D40" s="17" t="s">
        <v>3111</v>
      </c>
      <c r="E40" s="17" t="s">
        <v>3100</v>
      </c>
      <c r="F40" s="17" t="s">
        <v>3112</v>
      </c>
      <c r="G40" s="17"/>
      <c r="H40" s="17" t="s">
        <v>2621</v>
      </c>
      <c r="I40" s="2">
        <v>-6951359.46</v>
      </c>
      <c r="J40" s="2" t="s">
        <v>3100</v>
      </c>
      <c r="K40" s="2" t="s">
        <v>61</v>
      </c>
      <c r="L40" s="2" t="s">
        <v>58</v>
      </c>
      <c r="M40" s="2" t="s">
        <v>3110</v>
      </c>
      <c r="N40" s="2" t="s">
        <v>3135</v>
      </c>
      <c r="O40" s="2" t="s">
        <v>3136</v>
      </c>
      <c r="P40" s="2" t="s">
        <v>2624</v>
      </c>
      <c r="Q40" s="2" t="s">
        <v>3115</v>
      </c>
      <c r="R40" s="2">
        <v>131137.68</v>
      </c>
      <c r="S40" s="2">
        <v>231240</v>
      </c>
      <c r="T40" s="2">
        <v>231240</v>
      </c>
      <c r="U40" s="2" t="s">
        <v>3116</v>
      </c>
      <c r="V40" s="2">
        <v>6939485.21</v>
      </c>
      <c r="W40" s="2" t="s">
        <v>2626</v>
      </c>
      <c r="X40" s="2">
        <v>1.8897321059352701E-2</v>
      </c>
      <c r="Y40" s="2">
        <v>1.8865040824690701E-2</v>
      </c>
      <c r="Z40" s="2" t="s">
        <v>2627</v>
      </c>
      <c r="AA40" s="2">
        <v>-131137.679999999</v>
      </c>
      <c r="AB40" s="2" t="s">
        <v>939</v>
      </c>
      <c r="AC40" s="2">
        <v>67895.399999999994</v>
      </c>
      <c r="AD40" s="2" t="s">
        <v>56</v>
      </c>
      <c r="AE40" s="2" t="s">
        <v>56</v>
      </c>
      <c r="AF40" s="2" t="s">
        <v>2634</v>
      </c>
      <c r="AG40" s="2" t="s">
        <v>2635</v>
      </c>
      <c r="AH40" s="2" t="s">
        <v>2635</v>
      </c>
      <c r="AI40" s="2" t="s">
        <v>56</v>
      </c>
      <c r="AJ40" s="2" t="s">
        <v>56</v>
      </c>
      <c r="AK40" s="2" t="s">
        <v>56</v>
      </c>
      <c r="AL40" s="2" t="s">
        <v>56</v>
      </c>
      <c r="AM40" s="2" t="s">
        <v>56</v>
      </c>
      <c r="AN40" s="2" t="s">
        <v>56</v>
      </c>
      <c r="AO40" s="2" t="s">
        <v>939</v>
      </c>
      <c r="AP40" s="2" t="s">
        <v>939</v>
      </c>
      <c r="AQ40" s="2">
        <v>12236655</v>
      </c>
      <c r="AR40" s="2">
        <v>38569.747250400003</v>
      </c>
      <c r="AS40" s="2" t="s">
        <v>56</v>
      </c>
      <c r="AT40" s="2">
        <v>38569.74725</v>
      </c>
      <c r="AU40" s="2" t="s">
        <v>2634</v>
      </c>
      <c r="AV40" s="2" t="s">
        <v>56</v>
      </c>
      <c r="AW40" s="2" t="s">
        <v>56</v>
      </c>
      <c r="AX40" s="2" t="s">
        <v>2635</v>
      </c>
      <c r="AY40" s="2" t="s">
        <v>56</v>
      </c>
      <c r="AZ40" s="2" t="s">
        <v>56</v>
      </c>
      <c r="BA40" s="2" t="s">
        <v>2635</v>
      </c>
    </row>
    <row r="41" spans="1:53" x14ac:dyDescent="0.25">
      <c r="A41" s="17" t="s">
        <v>61</v>
      </c>
      <c r="B41" s="17" t="s">
        <v>58</v>
      </c>
      <c r="C41" s="17" t="s">
        <v>3110</v>
      </c>
      <c r="D41" s="17" t="s">
        <v>3111</v>
      </c>
      <c r="E41" s="17" t="s">
        <v>3100</v>
      </c>
      <c r="F41" s="17" t="s">
        <v>3112</v>
      </c>
      <c r="G41" s="17"/>
      <c r="H41" s="17" t="s">
        <v>2621</v>
      </c>
      <c r="I41" s="2">
        <v>-6951359.46</v>
      </c>
      <c r="J41" s="2" t="s">
        <v>3100</v>
      </c>
      <c r="K41" s="2" t="s">
        <v>61</v>
      </c>
      <c r="L41" s="2" t="s">
        <v>58</v>
      </c>
      <c r="M41" s="2" t="s">
        <v>3110</v>
      </c>
      <c r="N41" s="2" t="s">
        <v>2884</v>
      </c>
      <c r="O41" s="2" t="s">
        <v>3137</v>
      </c>
      <c r="P41" s="2" t="s">
        <v>2624</v>
      </c>
      <c r="Q41" s="2" t="s">
        <v>3115</v>
      </c>
      <c r="R41" s="2">
        <v>131137.68</v>
      </c>
      <c r="S41" s="2">
        <v>231240</v>
      </c>
      <c r="T41" s="2">
        <v>231240</v>
      </c>
      <c r="U41" s="2" t="s">
        <v>3116</v>
      </c>
      <c r="V41" s="2">
        <v>6939485.21</v>
      </c>
      <c r="W41" s="2" t="s">
        <v>2626</v>
      </c>
      <c r="X41" s="2">
        <v>1.8897321059352701E-2</v>
      </c>
      <c r="Y41" s="2">
        <v>1.8865040824690701E-2</v>
      </c>
      <c r="Z41" s="2" t="s">
        <v>2627</v>
      </c>
      <c r="AA41" s="2">
        <v>-131137.679999999</v>
      </c>
      <c r="AB41" s="2" t="s">
        <v>939</v>
      </c>
      <c r="AC41" s="2">
        <v>67895.399999999994</v>
      </c>
      <c r="AD41" s="2" t="s">
        <v>56</v>
      </c>
      <c r="AE41" s="2" t="s">
        <v>56</v>
      </c>
      <c r="AF41" s="2" t="s">
        <v>2634</v>
      </c>
      <c r="AG41" s="2" t="s">
        <v>2635</v>
      </c>
      <c r="AH41" s="2" t="s">
        <v>2635</v>
      </c>
      <c r="AI41" s="2" t="s">
        <v>56</v>
      </c>
      <c r="AJ41" s="2" t="s">
        <v>56</v>
      </c>
      <c r="AK41" s="2" t="s">
        <v>56</v>
      </c>
      <c r="AL41" s="2" t="s">
        <v>56</v>
      </c>
      <c r="AM41" s="2" t="s">
        <v>56</v>
      </c>
      <c r="AN41" s="2" t="s">
        <v>56</v>
      </c>
      <c r="AO41" s="2" t="s">
        <v>939</v>
      </c>
      <c r="AP41" s="2" t="s">
        <v>939</v>
      </c>
      <c r="AQ41" s="2">
        <v>12236655</v>
      </c>
      <c r="AR41" s="2">
        <v>38569.747250400003</v>
      </c>
      <c r="AS41" s="2" t="s">
        <v>56</v>
      </c>
      <c r="AT41" s="2">
        <v>38569.74725</v>
      </c>
      <c r="AU41" s="2" t="s">
        <v>2634</v>
      </c>
      <c r="AV41" s="2" t="s">
        <v>56</v>
      </c>
      <c r="AW41" s="2" t="s">
        <v>56</v>
      </c>
      <c r="AX41" s="2" t="s">
        <v>2635</v>
      </c>
      <c r="AY41" s="2" t="s">
        <v>56</v>
      </c>
      <c r="AZ41" s="2" t="s">
        <v>56</v>
      </c>
      <c r="BA41" s="2" t="s">
        <v>2635</v>
      </c>
    </row>
    <row r="42" spans="1:53" x14ac:dyDescent="0.25">
      <c r="A42" s="17" t="s">
        <v>61</v>
      </c>
      <c r="B42" s="17" t="s">
        <v>58</v>
      </c>
      <c r="C42" s="17" t="s">
        <v>3110</v>
      </c>
      <c r="D42" s="17" t="s">
        <v>3111</v>
      </c>
      <c r="E42" s="17" t="s">
        <v>3100</v>
      </c>
      <c r="F42" s="17" t="s">
        <v>3112</v>
      </c>
      <c r="G42" s="17"/>
      <c r="H42" s="17" t="s">
        <v>2621</v>
      </c>
      <c r="I42" s="2">
        <v>-6951359.46</v>
      </c>
      <c r="J42" s="2" t="s">
        <v>3100</v>
      </c>
      <c r="K42" s="2" t="s">
        <v>61</v>
      </c>
      <c r="L42" s="2" t="s">
        <v>58</v>
      </c>
      <c r="M42" s="2" t="s">
        <v>3110</v>
      </c>
      <c r="N42" s="2" t="s">
        <v>2882</v>
      </c>
      <c r="O42" s="2" t="s">
        <v>3138</v>
      </c>
      <c r="P42" s="2" t="s">
        <v>2624</v>
      </c>
      <c r="Q42" s="2" t="s">
        <v>3115</v>
      </c>
      <c r="R42" s="2">
        <v>131137.68</v>
      </c>
      <c r="S42" s="2">
        <v>231240</v>
      </c>
      <c r="T42" s="2">
        <v>231240</v>
      </c>
      <c r="U42" s="2" t="s">
        <v>3116</v>
      </c>
      <c r="V42" s="2">
        <v>6939485.21</v>
      </c>
      <c r="W42" s="2" t="s">
        <v>2626</v>
      </c>
      <c r="X42" s="2">
        <v>1.8897321059352701E-2</v>
      </c>
      <c r="Y42" s="2">
        <v>1.8865040824690701E-2</v>
      </c>
      <c r="Z42" s="2" t="s">
        <v>2627</v>
      </c>
      <c r="AA42" s="2">
        <v>-131137.679999999</v>
      </c>
      <c r="AB42" s="2" t="s">
        <v>939</v>
      </c>
      <c r="AC42" s="2">
        <v>67895.399999999994</v>
      </c>
      <c r="AD42" s="2" t="s">
        <v>56</v>
      </c>
      <c r="AE42" s="2" t="s">
        <v>56</v>
      </c>
      <c r="AF42" s="2" t="s">
        <v>2634</v>
      </c>
      <c r="AG42" s="2" t="s">
        <v>2635</v>
      </c>
      <c r="AH42" s="2" t="s">
        <v>2635</v>
      </c>
      <c r="AI42" s="2" t="s">
        <v>56</v>
      </c>
      <c r="AJ42" s="2" t="s">
        <v>56</v>
      </c>
      <c r="AK42" s="2" t="s">
        <v>56</v>
      </c>
      <c r="AL42" s="2" t="s">
        <v>56</v>
      </c>
      <c r="AM42" s="2" t="s">
        <v>56</v>
      </c>
      <c r="AN42" s="2" t="s">
        <v>56</v>
      </c>
      <c r="AO42" s="2" t="s">
        <v>939</v>
      </c>
      <c r="AP42" s="2" t="s">
        <v>939</v>
      </c>
      <c r="AQ42" s="2">
        <v>12236655</v>
      </c>
      <c r="AR42" s="2">
        <v>38569.747250400003</v>
      </c>
      <c r="AS42" s="2" t="s">
        <v>56</v>
      </c>
      <c r="AT42" s="2">
        <v>38569.74725</v>
      </c>
      <c r="AU42" s="2" t="s">
        <v>2634</v>
      </c>
      <c r="AV42" s="2" t="s">
        <v>56</v>
      </c>
      <c r="AW42" s="2" t="s">
        <v>56</v>
      </c>
      <c r="AX42" s="2" t="s">
        <v>2635</v>
      </c>
      <c r="AY42" s="2" t="s">
        <v>56</v>
      </c>
      <c r="AZ42" s="2" t="s">
        <v>56</v>
      </c>
      <c r="BA42" s="2" t="s">
        <v>2635</v>
      </c>
    </row>
    <row r="43" spans="1:53" x14ac:dyDescent="0.25">
      <c r="A43" s="17" t="s">
        <v>61</v>
      </c>
      <c r="B43" s="17" t="s">
        <v>58</v>
      </c>
      <c r="C43" s="17" t="s">
        <v>3110</v>
      </c>
      <c r="D43" s="17" t="s">
        <v>3111</v>
      </c>
      <c r="E43" s="17" t="s">
        <v>3100</v>
      </c>
      <c r="F43" s="17" t="s">
        <v>3112</v>
      </c>
      <c r="G43" s="17"/>
      <c r="H43" s="17" t="s">
        <v>2621</v>
      </c>
      <c r="I43" s="2">
        <v>-6951359.46</v>
      </c>
      <c r="J43" s="2" t="s">
        <v>3100</v>
      </c>
      <c r="K43" s="2" t="s">
        <v>61</v>
      </c>
      <c r="L43" s="2" t="s">
        <v>58</v>
      </c>
      <c r="M43" s="2" t="s">
        <v>3110</v>
      </c>
      <c r="N43" s="2" t="s">
        <v>3139</v>
      </c>
      <c r="O43" s="2" t="s">
        <v>3140</v>
      </c>
      <c r="P43" s="2" t="s">
        <v>2624</v>
      </c>
      <c r="Q43" s="2" t="s">
        <v>3115</v>
      </c>
      <c r="R43" s="2">
        <v>131137.68</v>
      </c>
      <c r="S43" s="2">
        <v>231240</v>
      </c>
      <c r="T43" s="2">
        <v>231240</v>
      </c>
      <c r="U43" s="2" t="s">
        <v>3116</v>
      </c>
      <c r="V43" s="2">
        <v>6939485.21</v>
      </c>
      <c r="W43" s="2" t="s">
        <v>2626</v>
      </c>
      <c r="X43" s="2">
        <v>1.8897321059352701E-2</v>
      </c>
      <c r="Y43" s="2">
        <v>1.8865040824690701E-2</v>
      </c>
      <c r="Z43" s="2" t="s">
        <v>2627</v>
      </c>
      <c r="AA43" s="2">
        <v>-131137.679999999</v>
      </c>
      <c r="AB43" s="2" t="s">
        <v>939</v>
      </c>
      <c r="AC43" s="2">
        <v>67895.399999999994</v>
      </c>
      <c r="AD43" s="2" t="s">
        <v>56</v>
      </c>
      <c r="AE43" s="2" t="s">
        <v>56</v>
      </c>
      <c r="AF43" s="2" t="s">
        <v>2634</v>
      </c>
      <c r="AG43" s="2" t="s">
        <v>2635</v>
      </c>
      <c r="AH43" s="2" t="s">
        <v>2635</v>
      </c>
      <c r="AI43" s="2" t="s">
        <v>56</v>
      </c>
      <c r="AJ43" s="2" t="s">
        <v>56</v>
      </c>
      <c r="AK43" s="2" t="s">
        <v>56</v>
      </c>
      <c r="AL43" s="2" t="s">
        <v>56</v>
      </c>
      <c r="AM43" s="2" t="s">
        <v>56</v>
      </c>
      <c r="AN43" s="2" t="s">
        <v>56</v>
      </c>
      <c r="AO43" s="2" t="s">
        <v>939</v>
      </c>
      <c r="AP43" s="2" t="s">
        <v>939</v>
      </c>
      <c r="AQ43" s="2">
        <v>12236655</v>
      </c>
      <c r="AR43" s="2">
        <v>38569.747250400003</v>
      </c>
      <c r="AS43" s="2" t="s">
        <v>56</v>
      </c>
      <c r="AT43" s="2">
        <v>38569.74725</v>
      </c>
      <c r="AU43" s="2" t="s">
        <v>2634</v>
      </c>
      <c r="AV43" s="2" t="s">
        <v>56</v>
      </c>
      <c r="AW43" s="2" t="s">
        <v>56</v>
      </c>
      <c r="AX43" s="2" t="s">
        <v>2635</v>
      </c>
      <c r="AY43" s="2" t="s">
        <v>56</v>
      </c>
      <c r="AZ43" s="2" t="s">
        <v>56</v>
      </c>
      <c r="BA43" s="2" t="s">
        <v>2635</v>
      </c>
    </row>
    <row r="44" spans="1:53" x14ac:dyDescent="0.25">
      <c r="A44" s="17" t="s">
        <v>61</v>
      </c>
      <c r="B44" s="17" t="s">
        <v>58</v>
      </c>
      <c r="C44" s="17" t="s">
        <v>3110</v>
      </c>
      <c r="D44" s="17" t="s">
        <v>3111</v>
      </c>
      <c r="E44" s="17" t="s">
        <v>3100</v>
      </c>
      <c r="F44" s="17" t="s">
        <v>3112</v>
      </c>
      <c r="G44" s="17"/>
      <c r="H44" s="17" t="s">
        <v>2621</v>
      </c>
      <c r="I44" s="2">
        <v>-6951359.46</v>
      </c>
      <c r="J44" s="2" t="s">
        <v>3100</v>
      </c>
      <c r="K44" s="2" t="s">
        <v>61</v>
      </c>
      <c r="L44" s="2" t="s">
        <v>58</v>
      </c>
      <c r="M44" s="2" t="s">
        <v>3110</v>
      </c>
      <c r="N44" s="2" t="s">
        <v>3141</v>
      </c>
      <c r="O44" s="2" t="s">
        <v>3142</v>
      </c>
      <c r="P44" s="2" t="s">
        <v>2624</v>
      </c>
      <c r="Q44" s="2" t="s">
        <v>3115</v>
      </c>
      <c r="R44" s="2">
        <v>137066.78</v>
      </c>
      <c r="S44" s="2">
        <v>241695</v>
      </c>
      <c r="T44" s="2">
        <v>241695</v>
      </c>
      <c r="U44" s="2" t="s">
        <v>3116</v>
      </c>
      <c r="V44" s="2">
        <v>6939485.21</v>
      </c>
      <c r="W44" s="2" t="s">
        <v>2626</v>
      </c>
      <c r="X44" s="2">
        <v>1.9751721612214501E-2</v>
      </c>
      <c r="Y44" s="2">
        <v>1.9717981898176699E-2</v>
      </c>
      <c r="Z44" s="2" t="s">
        <v>2627</v>
      </c>
      <c r="AA44" s="2">
        <v>-137066.77999999901</v>
      </c>
      <c r="AB44" s="2" t="s">
        <v>939</v>
      </c>
      <c r="AC44" s="2">
        <v>67895.399999999994</v>
      </c>
      <c r="AD44" s="2" t="s">
        <v>56</v>
      </c>
      <c r="AE44" s="2" t="s">
        <v>56</v>
      </c>
      <c r="AF44" s="2" t="s">
        <v>2634</v>
      </c>
      <c r="AG44" s="2" t="s">
        <v>2635</v>
      </c>
      <c r="AH44" s="2" t="s">
        <v>2635</v>
      </c>
      <c r="AI44" s="2" t="s">
        <v>56</v>
      </c>
      <c r="AJ44" s="2" t="s">
        <v>56</v>
      </c>
      <c r="AK44" s="2" t="s">
        <v>56</v>
      </c>
      <c r="AL44" s="2" t="s">
        <v>56</v>
      </c>
      <c r="AM44" s="2" t="s">
        <v>56</v>
      </c>
      <c r="AN44" s="2" t="s">
        <v>56</v>
      </c>
      <c r="AO44" s="2" t="s">
        <v>939</v>
      </c>
      <c r="AP44" s="2" t="s">
        <v>939</v>
      </c>
      <c r="AQ44" s="2">
        <v>12236655</v>
      </c>
      <c r="AR44" s="2">
        <v>38569.747250400003</v>
      </c>
      <c r="AS44" s="2" t="s">
        <v>56</v>
      </c>
      <c r="AT44" s="2">
        <v>38569.74725</v>
      </c>
      <c r="AU44" s="2" t="s">
        <v>2634</v>
      </c>
      <c r="AV44" s="2" t="s">
        <v>56</v>
      </c>
      <c r="AW44" s="2" t="s">
        <v>56</v>
      </c>
      <c r="AX44" s="2" t="s">
        <v>2635</v>
      </c>
      <c r="AY44" s="2" t="s">
        <v>56</v>
      </c>
      <c r="AZ44" s="2" t="s">
        <v>56</v>
      </c>
      <c r="BA44" s="2" t="s">
        <v>2635</v>
      </c>
    </row>
    <row r="45" spans="1:53" x14ac:dyDescent="0.25">
      <c r="A45" s="17" t="s">
        <v>61</v>
      </c>
      <c r="B45" s="17" t="s">
        <v>58</v>
      </c>
      <c r="C45" s="17" t="s">
        <v>3110</v>
      </c>
      <c r="D45" s="17" t="s">
        <v>3111</v>
      </c>
      <c r="E45" s="17" t="s">
        <v>3100</v>
      </c>
      <c r="F45" s="17" t="s">
        <v>3112</v>
      </c>
      <c r="G45" s="17"/>
      <c r="H45" s="17" t="s">
        <v>2621</v>
      </c>
      <c r="I45" s="2">
        <v>-6951359.46</v>
      </c>
      <c r="J45" s="2" t="s">
        <v>3100</v>
      </c>
      <c r="K45" s="2" t="s">
        <v>61</v>
      </c>
      <c r="L45" s="2" t="s">
        <v>58</v>
      </c>
      <c r="M45" s="2" t="s">
        <v>3110</v>
      </c>
      <c r="N45" s="2" t="s">
        <v>3143</v>
      </c>
      <c r="O45" s="2" t="s">
        <v>3144</v>
      </c>
      <c r="P45" s="2" t="s">
        <v>2624</v>
      </c>
      <c r="Q45" s="2" t="s">
        <v>3115</v>
      </c>
      <c r="R45" s="2">
        <v>131137.68</v>
      </c>
      <c r="S45" s="2">
        <v>231240</v>
      </c>
      <c r="T45" s="2">
        <v>231240</v>
      </c>
      <c r="U45" s="2" t="s">
        <v>3116</v>
      </c>
      <c r="V45" s="2">
        <v>6939485.21</v>
      </c>
      <c r="W45" s="2" t="s">
        <v>2626</v>
      </c>
      <c r="X45" s="2">
        <v>1.8897321059352701E-2</v>
      </c>
      <c r="Y45" s="2">
        <v>1.8865040824690701E-2</v>
      </c>
      <c r="Z45" s="2" t="s">
        <v>2627</v>
      </c>
      <c r="AA45" s="2">
        <v>-131137.679999999</v>
      </c>
      <c r="AB45" s="2" t="s">
        <v>939</v>
      </c>
      <c r="AC45" s="2">
        <v>67895.399999999994</v>
      </c>
      <c r="AD45" s="2" t="s">
        <v>56</v>
      </c>
      <c r="AE45" s="2" t="s">
        <v>56</v>
      </c>
      <c r="AF45" s="2" t="s">
        <v>2634</v>
      </c>
      <c r="AG45" s="2" t="s">
        <v>2635</v>
      </c>
      <c r="AH45" s="2" t="s">
        <v>2635</v>
      </c>
      <c r="AI45" s="2" t="s">
        <v>56</v>
      </c>
      <c r="AJ45" s="2" t="s">
        <v>56</v>
      </c>
      <c r="AK45" s="2" t="s">
        <v>56</v>
      </c>
      <c r="AL45" s="2" t="s">
        <v>56</v>
      </c>
      <c r="AM45" s="2" t="s">
        <v>56</v>
      </c>
      <c r="AN45" s="2" t="s">
        <v>56</v>
      </c>
      <c r="AO45" s="2" t="s">
        <v>939</v>
      </c>
      <c r="AP45" s="2" t="s">
        <v>939</v>
      </c>
      <c r="AQ45" s="2">
        <v>12236655</v>
      </c>
      <c r="AR45" s="2">
        <v>38569.747250400003</v>
      </c>
      <c r="AS45" s="2" t="s">
        <v>56</v>
      </c>
      <c r="AT45" s="2">
        <v>38569.74725</v>
      </c>
      <c r="AU45" s="2" t="s">
        <v>2634</v>
      </c>
      <c r="AV45" s="2" t="s">
        <v>56</v>
      </c>
      <c r="AW45" s="2" t="s">
        <v>56</v>
      </c>
      <c r="AX45" s="2" t="s">
        <v>2635</v>
      </c>
      <c r="AY45" s="2" t="s">
        <v>56</v>
      </c>
      <c r="AZ45" s="2" t="s">
        <v>56</v>
      </c>
      <c r="BA45" s="2" t="s">
        <v>2635</v>
      </c>
    </row>
    <row r="46" spans="1:53" x14ac:dyDescent="0.25">
      <c r="A46" s="17" t="s">
        <v>61</v>
      </c>
      <c r="B46" s="17" t="s">
        <v>58</v>
      </c>
      <c r="C46" s="17" t="s">
        <v>3110</v>
      </c>
      <c r="D46" s="17" t="s">
        <v>3111</v>
      </c>
      <c r="E46" s="17" t="s">
        <v>3100</v>
      </c>
      <c r="F46" s="17" t="s">
        <v>3112</v>
      </c>
      <c r="G46" s="17"/>
      <c r="H46" s="17" t="s">
        <v>2621</v>
      </c>
      <c r="I46" s="2">
        <v>-6951359.46</v>
      </c>
      <c r="J46" s="2" t="s">
        <v>3100</v>
      </c>
      <c r="K46" s="2" t="s">
        <v>61</v>
      </c>
      <c r="L46" s="2" t="s">
        <v>58</v>
      </c>
      <c r="M46" s="2" t="s">
        <v>3110</v>
      </c>
      <c r="N46" s="2" t="s">
        <v>3145</v>
      </c>
      <c r="O46" s="2" t="s">
        <v>3146</v>
      </c>
      <c r="P46" s="2" t="s">
        <v>2624</v>
      </c>
      <c r="Q46" s="2" t="s">
        <v>3115</v>
      </c>
      <c r="R46" s="2">
        <v>131137.68</v>
      </c>
      <c r="S46" s="2">
        <v>231240</v>
      </c>
      <c r="T46" s="2">
        <v>231240</v>
      </c>
      <c r="U46" s="2" t="s">
        <v>3116</v>
      </c>
      <c r="V46" s="2">
        <v>6939485.21</v>
      </c>
      <c r="W46" s="2" t="s">
        <v>2626</v>
      </c>
      <c r="X46" s="2">
        <v>1.8897321059352701E-2</v>
      </c>
      <c r="Y46" s="2">
        <v>1.8865040824690701E-2</v>
      </c>
      <c r="Z46" s="2" t="s">
        <v>2627</v>
      </c>
      <c r="AA46" s="2">
        <v>-131137.679999999</v>
      </c>
      <c r="AB46" s="2" t="s">
        <v>939</v>
      </c>
      <c r="AC46" s="2">
        <v>67895.399999999994</v>
      </c>
      <c r="AD46" s="2" t="s">
        <v>56</v>
      </c>
      <c r="AE46" s="2" t="s">
        <v>56</v>
      </c>
      <c r="AF46" s="2" t="s">
        <v>2634</v>
      </c>
      <c r="AG46" s="2" t="s">
        <v>2635</v>
      </c>
      <c r="AH46" s="2" t="s">
        <v>2635</v>
      </c>
      <c r="AI46" s="2" t="s">
        <v>56</v>
      </c>
      <c r="AJ46" s="2" t="s">
        <v>56</v>
      </c>
      <c r="AK46" s="2" t="s">
        <v>56</v>
      </c>
      <c r="AL46" s="2" t="s">
        <v>56</v>
      </c>
      <c r="AM46" s="2" t="s">
        <v>56</v>
      </c>
      <c r="AN46" s="2" t="s">
        <v>56</v>
      </c>
      <c r="AO46" s="2" t="s">
        <v>939</v>
      </c>
      <c r="AP46" s="2" t="s">
        <v>939</v>
      </c>
      <c r="AQ46" s="2">
        <v>12236655</v>
      </c>
      <c r="AR46" s="2">
        <v>38569.747250400003</v>
      </c>
      <c r="AS46" s="2" t="s">
        <v>56</v>
      </c>
      <c r="AT46" s="2">
        <v>38569.74725</v>
      </c>
      <c r="AU46" s="2" t="s">
        <v>2634</v>
      </c>
      <c r="AV46" s="2" t="s">
        <v>56</v>
      </c>
      <c r="AW46" s="2" t="s">
        <v>56</v>
      </c>
      <c r="AX46" s="2" t="s">
        <v>2635</v>
      </c>
      <c r="AY46" s="2" t="s">
        <v>56</v>
      </c>
      <c r="AZ46" s="2" t="s">
        <v>56</v>
      </c>
      <c r="BA46" s="2" t="s">
        <v>2635</v>
      </c>
    </row>
    <row r="47" spans="1:53" x14ac:dyDescent="0.25">
      <c r="A47" s="17" t="s">
        <v>61</v>
      </c>
      <c r="B47" s="17" t="s">
        <v>58</v>
      </c>
      <c r="C47" s="17" t="s">
        <v>3110</v>
      </c>
      <c r="D47" s="17" t="s">
        <v>3111</v>
      </c>
      <c r="E47" s="17" t="s">
        <v>3100</v>
      </c>
      <c r="F47" s="17" t="s">
        <v>3112</v>
      </c>
      <c r="G47" s="17"/>
      <c r="H47" s="17" t="s">
        <v>2621</v>
      </c>
      <c r="I47" s="2">
        <v>-6951359.46</v>
      </c>
      <c r="J47" s="2" t="s">
        <v>3100</v>
      </c>
      <c r="K47" s="2" t="s">
        <v>61</v>
      </c>
      <c r="L47" s="2" t="s">
        <v>58</v>
      </c>
      <c r="M47" s="2" t="s">
        <v>3110</v>
      </c>
      <c r="N47" s="2" t="s">
        <v>3147</v>
      </c>
      <c r="O47" s="2" t="s">
        <v>3148</v>
      </c>
      <c r="P47" s="2" t="s">
        <v>2624</v>
      </c>
      <c r="Q47" s="2" t="s">
        <v>3115</v>
      </c>
      <c r="R47" s="2">
        <v>131137.68</v>
      </c>
      <c r="S47" s="2">
        <v>231240</v>
      </c>
      <c r="T47" s="2">
        <v>231240</v>
      </c>
      <c r="U47" s="2" t="s">
        <v>3116</v>
      </c>
      <c r="V47" s="2">
        <v>6939485.21</v>
      </c>
      <c r="W47" s="2" t="s">
        <v>2626</v>
      </c>
      <c r="X47" s="2">
        <v>1.8897321059352701E-2</v>
      </c>
      <c r="Y47" s="2">
        <v>1.8865040824690701E-2</v>
      </c>
      <c r="Z47" s="2" t="s">
        <v>2627</v>
      </c>
      <c r="AA47" s="2">
        <v>-131137.679999999</v>
      </c>
      <c r="AB47" s="2" t="s">
        <v>939</v>
      </c>
      <c r="AC47" s="2">
        <v>67895.399999999994</v>
      </c>
      <c r="AD47" s="2" t="s">
        <v>56</v>
      </c>
      <c r="AE47" s="2" t="s">
        <v>56</v>
      </c>
      <c r="AF47" s="2" t="s">
        <v>2634</v>
      </c>
      <c r="AG47" s="2" t="s">
        <v>2635</v>
      </c>
      <c r="AH47" s="2" t="s">
        <v>2635</v>
      </c>
      <c r="AI47" s="2" t="s">
        <v>56</v>
      </c>
      <c r="AJ47" s="2" t="s">
        <v>56</v>
      </c>
      <c r="AK47" s="2" t="s">
        <v>56</v>
      </c>
      <c r="AL47" s="2" t="s">
        <v>56</v>
      </c>
      <c r="AM47" s="2" t="s">
        <v>56</v>
      </c>
      <c r="AN47" s="2" t="s">
        <v>56</v>
      </c>
      <c r="AO47" s="2" t="s">
        <v>939</v>
      </c>
      <c r="AP47" s="2" t="s">
        <v>939</v>
      </c>
      <c r="AQ47" s="2">
        <v>12236655</v>
      </c>
      <c r="AR47" s="2">
        <v>38569.747250400003</v>
      </c>
      <c r="AS47" s="2" t="s">
        <v>56</v>
      </c>
      <c r="AT47" s="2">
        <v>38569.74725</v>
      </c>
      <c r="AU47" s="2" t="s">
        <v>2634</v>
      </c>
      <c r="AV47" s="2" t="s">
        <v>56</v>
      </c>
      <c r="AW47" s="2" t="s">
        <v>56</v>
      </c>
      <c r="AX47" s="2" t="s">
        <v>2635</v>
      </c>
      <c r="AY47" s="2" t="s">
        <v>56</v>
      </c>
      <c r="AZ47" s="2" t="s">
        <v>56</v>
      </c>
      <c r="BA47" s="2" t="s">
        <v>2635</v>
      </c>
    </row>
    <row r="48" spans="1:53" x14ac:dyDescent="0.25">
      <c r="A48" s="17" t="s">
        <v>61</v>
      </c>
      <c r="B48" s="17" t="s">
        <v>58</v>
      </c>
      <c r="C48" s="17" t="s">
        <v>3110</v>
      </c>
      <c r="D48" s="17" t="s">
        <v>3111</v>
      </c>
      <c r="E48" s="17" t="s">
        <v>3100</v>
      </c>
      <c r="F48" s="17" t="s">
        <v>3112</v>
      </c>
      <c r="G48" s="17"/>
      <c r="H48" s="17" t="s">
        <v>2621</v>
      </c>
      <c r="I48" s="2">
        <v>-6951359.46</v>
      </c>
      <c r="J48" s="2" t="s">
        <v>3100</v>
      </c>
      <c r="K48" s="2" t="s">
        <v>61</v>
      </c>
      <c r="L48" s="2" t="s">
        <v>58</v>
      </c>
      <c r="M48" s="2" t="s">
        <v>3110</v>
      </c>
      <c r="N48" s="2" t="s">
        <v>2892</v>
      </c>
      <c r="O48" s="2" t="s">
        <v>3149</v>
      </c>
      <c r="P48" s="2" t="s">
        <v>2624</v>
      </c>
      <c r="Q48" s="2" t="s">
        <v>3115</v>
      </c>
      <c r="R48" s="2">
        <v>131137.68</v>
      </c>
      <c r="S48" s="2">
        <v>231240</v>
      </c>
      <c r="T48" s="2">
        <v>231240</v>
      </c>
      <c r="U48" s="2" t="s">
        <v>3116</v>
      </c>
      <c r="V48" s="2">
        <v>6939485.21</v>
      </c>
      <c r="W48" s="2" t="s">
        <v>2626</v>
      </c>
      <c r="X48" s="2">
        <v>1.8897321059352701E-2</v>
      </c>
      <c r="Y48" s="2">
        <v>1.8865040824690701E-2</v>
      </c>
      <c r="Z48" s="2" t="s">
        <v>2627</v>
      </c>
      <c r="AA48" s="2">
        <v>-131137.679999999</v>
      </c>
      <c r="AB48" s="2" t="s">
        <v>939</v>
      </c>
      <c r="AC48" s="2">
        <v>67895.399999999994</v>
      </c>
      <c r="AD48" s="2" t="s">
        <v>56</v>
      </c>
      <c r="AE48" s="2" t="s">
        <v>56</v>
      </c>
      <c r="AF48" s="2" t="s">
        <v>2634</v>
      </c>
      <c r="AG48" s="2" t="s">
        <v>2635</v>
      </c>
      <c r="AH48" s="2" t="s">
        <v>2635</v>
      </c>
      <c r="AI48" s="2" t="s">
        <v>56</v>
      </c>
      <c r="AJ48" s="2" t="s">
        <v>56</v>
      </c>
      <c r="AK48" s="2" t="s">
        <v>56</v>
      </c>
      <c r="AL48" s="2" t="s">
        <v>56</v>
      </c>
      <c r="AM48" s="2" t="s">
        <v>56</v>
      </c>
      <c r="AN48" s="2" t="s">
        <v>56</v>
      </c>
      <c r="AO48" s="2" t="s">
        <v>939</v>
      </c>
      <c r="AP48" s="2" t="s">
        <v>939</v>
      </c>
      <c r="AQ48" s="2">
        <v>12236655</v>
      </c>
      <c r="AR48" s="2">
        <v>38569.747250400003</v>
      </c>
      <c r="AS48" s="2" t="s">
        <v>56</v>
      </c>
      <c r="AT48" s="2">
        <v>38569.74725</v>
      </c>
      <c r="AU48" s="2" t="s">
        <v>2634</v>
      </c>
      <c r="AV48" s="2" t="s">
        <v>56</v>
      </c>
      <c r="AW48" s="2" t="s">
        <v>56</v>
      </c>
      <c r="AX48" s="2" t="s">
        <v>2635</v>
      </c>
      <c r="AY48" s="2" t="s">
        <v>56</v>
      </c>
      <c r="AZ48" s="2" t="s">
        <v>56</v>
      </c>
      <c r="BA48" s="2" t="s">
        <v>2635</v>
      </c>
    </row>
    <row r="49" spans="1:53" x14ac:dyDescent="0.25">
      <c r="A49" s="17" t="s">
        <v>61</v>
      </c>
      <c r="B49" s="17" t="s">
        <v>58</v>
      </c>
      <c r="C49" s="17" t="s">
        <v>3110</v>
      </c>
      <c r="D49" s="17" t="s">
        <v>3111</v>
      </c>
      <c r="E49" s="17" t="s">
        <v>3100</v>
      </c>
      <c r="F49" s="17" t="s">
        <v>3112</v>
      </c>
      <c r="G49" s="17"/>
      <c r="H49" s="17" t="s">
        <v>2621</v>
      </c>
      <c r="I49" s="2">
        <v>-6951359.46</v>
      </c>
      <c r="J49" s="2" t="s">
        <v>3100</v>
      </c>
      <c r="K49" s="2" t="s">
        <v>61</v>
      </c>
      <c r="L49" s="2" t="s">
        <v>58</v>
      </c>
      <c r="M49" s="2" t="s">
        <v>3110</v>
      </c>
      <c r="N49" s="2" t="s">
        <v>3150</v>
      </c>
      <c r="O49" s="2" t="s">
        <v>3151</v>
      </c>
      <c r="P49" s="2" t="s">
        <v>2624</v>
      </c>
      <c r="Q49" s="2" t="s">
        <v>3115</v>
      </c>
      <c r="R49" s="2">
        <v>137066.78</v>
      </c>
      <c r="S49" s="2">
        <v>241695</v>
      </c>
      <c r="T49" s="2">
        <v>241695</v>
      </c>
      <c r="U49" s="2" t="s">
        <v>3116</v>
      </c>
      <c r="V49" s="2">
        <v>6939485.21</v>
      </c>
      <c r="W49" s="2" t="s">
        <v>2626</v>
      </c>
      <c r="X49" s="2">
        <v>1.9751721612214501E-2</v>
      </c>
      <c r="Y49" s="2">
        <v>1.9717981898176699E-2</v>
      </c>
      <c r="Z49" s="2" t="s">
        <v>2627</v>
      </c>
      <c r="AA49" s="2">
        <v>-137066.77999999901</v>
      </c>
      <c r="AB49" s="2" t="s">
        <v>939</v>
      </c>
      <c r="AC49" s="2">
        <v>67895.399999999994</v>
      </c>
      <c r="AD49" s="2" t="s">
        <v>56</v>
      </c>
      <c r="AE49" s="2" t="s">
        <v>56</v>
      </c>
      <c r="AF49" s="2" t="s">
        <v>2634</v>
      </c>
      <c r="AG49" s="2" t="s">
        <v>2635</v>
      </c>
      <c r="AH49" s="2" t="s">
        <v>2635</v>
      </c>
      <c r="AI49" s="2" t="s">
        <v>56</v>
      </c>
      <c r="AJ49" s="2" t="s">
        <v>56</v>
      </c>
      <c r="AK49" s="2" t="s">
        <v>56</v>
      </c>
      <c r="AL49" s="2" t="s">
        <v>56</v>
      </c>
      <c r="AM49" s="2" t="s">
        <v>56</v>
      </c>
      <c r="AN49" s="2" t="s">
        <v>56</v>
      </c>
      <c r="AO49" s="2" t="s">
        <v>939</v>
      </c>
      <c r="AP49" s="2" t="s">
        <v>939</v>
      </c>
      <c r="AQ49" s="2">
        <v>12236655</v>
      </c>
      <c r="AR49" s="2">
        <v>38569.747250400003</v>
      </c>
      <c r="AS49" s="2" t="s">
        <v>56</v>
      </c>
      <c r="AT49" s="2">
        <v>38569.74725</v>
      </c>
      <c r="AU49" s="2" t="s">
        <v>2634</v>
      </c>
      <c r="AV49" s="2" t="s">
        <v>56</v>
      </c>
      <c r="AW49" s="2" t="s">
        <v>56</v>
      </c>
      <c r="AX49" s="2" t="s">
        <v>2635</v>
      </c>
      <c r="AY49" s="2" t="s">
        <v>56</v>
      </c>
      <c r="AZ49" s="2" t="s">
        <v>56</v>
      </c>
      <c r="BA49" s="2" t="s">
        <v>2635</v>
      </c>
    </row>
    <row r="50" spans="1:53" x14ac:dyDescent="0.25">
      <c r="A50" s="17" t="s">
        <v>61</v>
      </c>
      <c r="B50" s="17" t="s">
        <v>58</v>
      </c>
      <c r="C50" s="17" t="s">
        <v>3110</v>
      </c>
      <c r="D50" s="17" t="s">
        <v>3111</v>
      </c>
      <c r="E50" s="17" t="s">
        <v>3100</v>
      </c>
      <c r="F50" s="17" t="s">
        <v>3112</v>
      </c>
      <c r="G50" s="17"/>
      <c r="H50" s="17" t="s">
        <v>2621</v>
      </c>
      <c r="I50" s="2">
        <v>-6951359.46</v>
      </c>
      <c r="J50" s="2" t="s">
        <v>3100</v>
      </c>
      <c r="K50" s="2" t="s">
        <v>61</v>
      </c>
      <c r="L50" s="2" t="s">
        <v>58</v>
      </c>
      <c r="M50" s="2" t="s">
        <v>3110</v>
      </c>
      <c r="N50" s="2" t="s">
        <v>3152</v>
      </c>
      <c r="O50" s="2" t="s">
        <v>3153</v>
      </c>
      <c r="P50" s="2" t="s">
        <v>2624</v>
      </c>
      <c r="Q50" s="2" t="s">
        <v>3115</v>
      </c>
      <c r="R50" s="2">
        <v>137066.78</v>
      </c>
      <c r="S50" s="2">
        <v>241695</v>
      </c>
      <c r="T50" s="2">
        <v>241695</v>
      </c>
      <c r="U50" s="2" t="s">
        <v>3116</v>
      </c>
      <c r="V50" s="2">
        <v>6939485.21</v>
      </c>
      <c r="W50" s="2" t="s">
        <v>2626</v>
      </c>
      <c r="X50" s="2">
        <v>1.9751721612214501E-2</v>
      </c>
      <c r="Y50" s="2">
        <v>1.9717981898176699E-2</v>
      </c>
      <c r="Z50" s="2" t="s">
        <v>2627</v>
      </c>
      <c r="AA50" s="2">
        <v>-137066.77999999901</v>
      </c>
      <c r="AB50" s="2" t="s">
        <v>939</v>
      </c>
      <c r="AC50" s="2">
        <v>67895.399999999994</v>
      </c>
      <c r="AD50" s="2" t="s">
        <v>56</v>
      </c>
      <c r="AE50" s="2" t="s">
        <v>56</v>
      </c>
      <c r="AF50" s="2" t="s">
        <v>2634</v>
      </c>
      <c r="AG50" s="2" t="s">
        <v>2635</v>
      </c>
      <c r="AH50" s="2" t="s">
        <v>2635</v>
      </c>
      <c r="AI50" s="2" t="s">
        <v>56</v>
      </c>
      <c r="AJ50" s="2" t="s">
        <v>56</v>
      </c>
      <c r="AK50" s="2" t="s">
        <v>56</v>
      </c>
      <c r="AL50" s="2" t="s">
        <v>56</v>
      </c>
      <c r="AM50" s="2" t="s">
        <v>56</v>
      </c>
      <c r="AN50" s="2" t="s">
        <v>56</v>
      </c>
      <c r="AO50" s="2" t="s">
        <v>939</v>
      </c>
      <c r="AP50" s="2" t="s">
        <v>939</v>
      </c>
      <c r="AQ50" s="2">
        <v>12236655</v>
      </c>
      <c r="AR50" s="2">
        <v>38569.747250400003</v>
      </c>
      <c r="AS50" s="2" t="s">
        <v>56</v>
      </c>
      <c r="AT50" s="2">
        <v>38569.74725</v>
      </c>
      <c r="AU50" s="2" t="s">
        <v>2634</v>
      </c>
      <c r="AV50" s="2" t="s">
        <v>56</v>
      </c>
      <c r="AW50" s="2" t="s">
        <v>56</v>
      </c>
      <c r="AX50" s="2" t="s">
        <v>2635</v>
      </c>
      <c r="AY50" s="2" t="s">
        <v>56</v>
      </c>
      <c r="AZ50" s="2" t="s">
        <v>56</v>
      </c>
      <c r="BA50" s="2" t="s">
        <v>2635</v>
      </c>
    </row>
    <row r="51" spans="1:53" x14ac:dyDescent="0.25">
      <c r="A51" s="17" t="s">
        <v>61</v>
      </c>
      <c r="B51" s="17" t="s">
        <v>58</v>
      </c>
      <c r="C51" s="17" t="s">
        <v>3110</v>
      </c>
      <c r="D51" s="17" t="s">
        <v>3111</v>
      </c>
      <c r="E51" s="17" t="s">
        <v>3100</v>
      </c>
      <c r="F51" s="17" t="s">
        <v>3112</v>
      </c>
      <c r="G51" s="17"/>
      <c r="H51" s="17" t="s">
        <v>2621</v>
      </c>
      <c r="I51" s="2">
        <v>-6951359.46</v>
      </c>
      <c r="J51" s="2" t="s">
        <v>3100</v>
      </c>
      <c r="K51" s="2" t="s">
        <v>61</v>
      </c>
      <c r="L51" s="2" t="s">
        <v>58</v>
      </c>
      <c r="M51" s="2" t="s">
        <v>3110</v>
      </c>
      <c r="N51" s="2" t="s">
        <v>3154</v>
      </c>
      <c r="O51" s="2" t="s">
        <v>3155</v>
      </c>
      <c r="P51" s="2" t="s">
        <v>2624</v>
      </c>
      <c r="Q51" s="2" t="s">
        <v>3115</v>
      </c>
      <c r="R51" s="2">
        <v>131137.68</v>
      </c>
      <c r="S51" s="2">
        <v>231240</v>
      </c>
      <c r="T51" s="2">
        <v>231240</v>
      </c>
      <c r="U51" s="2" t="s">
        <v>3116</v>
      </c>
      <c r="V51" s="2">
        <v>6939485.21</v>
      </c>
      <c r="W51" s="2" t="s">
        <v>2626</v>
      </c>
      <c r="X51" s="2">
        <v>1.8897321059352701E-2</v>
      </c>
      <c r="Y51" s="2">
        <v>1.8865040824690701E-2</v>
      </c>
      <c r="Z51" s="2" t="s">
        <v>2627</v>
      </c>
      <c r="AA51" s="2">
        <v>-131137.679999999</v>
      </c>
      <c r="AB51" s="2" t="s">
        <v>939</v>
      </c>
      <c r="AC51" s="2">
        <v>67895.399999999994</v>
      </c>
      <c r="AD51" s="2" t="s">
        <v>56</v>
      </c>
      <c r="AE51" s="2" t="s">
        <v>56</v>
      </c>
      <c r="AF51" s="2" t="s">
        <v>2634</v>
      </c>
      <c r="AG51" s="2" t="s">
        <v>2635</v>
      </c>
      <c r="AH51" s="2" t="s">
        <v>2635</v>
      </c>
      <c r="AI51" s="2" t="s">
        <v>56</v>
      </c>
      <c r="AJ51" s="2" t="s">
        <v>56</v>
      </c>
      <c r="AK51" s="2" t="s">
        <v>56</v>
      </c>
      <c r="AL51" s="2" t="s">
        <v>56</v>
      </c>
      <c r="AM51" s="2" t="s">
        <v>56</v>
      </c>
      <c r="AN51" s="2" t="s">
        <v>56</v>
      </c>
      <c r="AO51" s="2" t="s">
        <v>939</v>
      </c>
      <c r="AP51" s="2" t="s">
        <v>939</v>
      </c>
      <c r="AQ51" s="2">
        <v>12236655</v>
      </c>
      <c r="AR51" s="2">
        <v>38569.747250400003</v>
      </c>
      <c r="AS51" s="2" t="s">
        <v>56</v>
      </c>
      <c r="AT51" s="2">
        <v>38569.74725</v>
      </c>
      <c r="AU51" s="2" t="s">
        <v>2634</v>
      </c>
      <c r="AV51" s="2" t="s">
        <v>56</v>
      </c>
      <c r="AW51" s="2" t="s">
        <v>56</v>
      </c>
      <c r="AX51" s="2" t="s">
        <v>2635</v>
      </c>
      <c r="AY51" s="2" t="s">
        <v>56</v>
      </c>
      <c r="AZ51" s="2" t="s">
        <v>56</v>
      </c>
      <c r="BA51" s="2" t="s">
        <v>2635</v>
      </c>
    </row>
    <row r="52" spans="1:53" x14ac:dyDescent="0.25">
      <c r="A52" s="17" t="s">
        <v>61</v>
      </c>
      <c r="B52" s="17" t="s">
        <v>58</v>
      </c>
      <c r="C52" s="17" t="s">
        <v>3110</v>
      </c>
      <c r="D52" s="17" t="s">
        <v>3111</v>
      </c>
      <c r="E52" s="17" t="s">
        <v>3100</v>
      </c>
      <c r="F52" s="17" t="s">
        <v>3112</v>
      </c>
      <c r="G52" s="17"/>
      <c r="H52" s="17" t="s">
        <v>2621</v>
      </c>
      <c r="I52" s="2">
        <v>-6951359.46</v>
      </c>
      <c r="J52" s="2" t="s">
        <v>3100</v>
      </c>
      <c r="K52" s="2" t="s">
        <v>61</v>
      </c>
      <c r="L52" s="2" t="s">
        <v>58</v>
      </c>
      <c r="M52" s="2" t="s">
        <v>3110</v>
      </c>
      <c r="N52" s="2" t="s">
        <v>3156</v>
      </c>
      <c r="O52" s="2" t="s">
        <v>3157</v>
      </c>
      <c r="P52" s="2" t="s">
        <v>2624</v>
      </c>
      <c r="Q52" s="2" t="s">
        <v>3115</v>
      </c>
      <c r="R52" s="2">
        <v>131137.68</v>
      </c>
      <c r="S52" s="2">
        <v>231240</v>
      </c>
      <c r="T52" s="2">
        <v>231240</v>
      </c>
      <c r="U52" s="2" t="s">
        <v>3116</v>
      </c>
      <c r="V52" s="2">
        <v>6939485.21</v>
      </c>
      <c r="W52" s="2" t="s">
        <v>2626</v>
      </c>
      <c r="X52" s="2">
        <v>1.8897321059352701E-2</v>
      </c>
      <c r="Y52" s="2">
        <v>1.8865040824690701E-2</v>
      </c>
      <c r="Z52" s="2" t="s">
        <v>2627</v>
      </c>
      <c r="AA52" s="2">
        <v>-131137.679999999</v>
      </c>
      <c r="AB52" s="2" t="s">
        <v>939</v>
      </c>
      <c r="AC52" s="2">
        <v>67895.399999999994</v>
      </c>
      <c r="AD52" s="2" t="s">
        <v>56</v>
      </c>
      <c r="AE52" s="2" t="s">
        <v>56</v>
      </c>
      <c r="AF52" s="2" t="s">
        <v>2634</v>
      </c>
      <c r="AG52" s="2" t="s">
        <v>2635</v>
      </c>
      <c r="AH52" s="2" t="s">
        <v>2635</v>
      </c>
      <c r="AI52" s="2" t="s">
        <v>56</v>
      </c>
      <c r="AJ52" s="2" t="s">
        <v>56</v>
      </c>
      <c r="AK52" s="2" t="s">
        <v>56</v>
      </c>
      <c r="AL52" s="2" t="s">
        <v>56</v>
      </c>
      <c r="AM52" s="2" t="s">
        <v>56</v>
      </c>
      <c r="AN52" s="2" t="s">
        <v>56</v>
      </c>
      <c r="AO52" s="2" t="s">
        <v>939</v>
      </c>
      <c r="AP52" s="2" t="s">
        <v>939</v>
      </c>
      <c r="AQ52" s="2">
        <v>12236655</v>
      </c>
      <c r="AR52" s="2">
        <v>38569.747250400003</v>
      </c>
      <c r="AS52" s="2" t="s">
        <v>56</v>
      </c>
      <c r="AT52" s="2">
        <v>38569.74725</v>
      </c>
      <c r="AU52" s="2" t="s">
        <v>2634</v>
      </c>
      <c r="AV52" s="2" t="s">
        <v>56</v>
      </c>
      <c r="AW52" s="2" t="s">
        <v>56</v>
      </c>
      <c r="AX52" s="2" t="s">
        <v>2635</v>
      </c>
      <c r="AY52" s="2" t="s">
        <v>56</v>
      </c>
      <c r="AZ52" s="2" t="s">
        <v>56</v>
      </c>
      <c r="BA52" s="2" t="s">
        <v>2635</v>
      </c>
    </row>
    <row r="53" spans="1:53" x14ac:dyDescent="0.25">
      <c r="A53" s="17" t="s">
        <v>61</v>
      </c>
      <c r="B53" s="17" t="s">
        <v>58</v>
      </c>
      <c r="C53" s="17" t="s">
        <v>3110</v>
      </c>
      <c r="D53" s="17" t="s">
        <v>3111</v>
      </c>
      <c r="E53" s="17" t="s">
        <v>3100</v>
      </c>
      <c r="F53" s="17" t="s">
        <v>3112</v>
      </c>
      <c r="G53" s="17"/>
      <c r="H53" s="17" t="s">
        <v>2621</v>
      </c>
      <c r="I53" s="2">
        <v>-6951359.46</v>
      </c>
      <c r="J53" s="2" t="s">
        <v>3100</v>
      </c>
      <c r="K53" s="2" t="s">
        <v>61</v>
      </c>
      <c r="L53" s="2" t="s">
        <v>58</v>
      </c>
      <c r="M53" s="2" t="s">
        <v>3110</v>
      </c>
      <c r="N53" s="2" t="s">
        <v>3158</v>
      </c>
      <c r="O53" s="2" t="s">
        <v>3159</v>
      </c>
      <c r="P53" s="2" t="s">
        <v>2624</v>
      </c>
      <c r="Q53" s="2" t="s">
        <v>3115</v>
      </c>
      <c r="R53" s="2">
        <v>131137.68</v>
      </c>
      <c r="S53" s="2">
        <v>231240</v>
      </c>
      <c r="T53" s="2">
        <v>231240</v>
      </c>
      <c r="U53" s="2" t="s">
        <v>3116</v>
      </c>
      <c r="V53" s="2">
        <v>6939485.21</v>
      </c>
      <c r="W53" s="2" t="s">
        <v>2626</v>
      </c>
      <c r="X53" s="2">
        <v>1.8897321059352701E-2</v>
      </c>
      <c r="Y53" s="2">
        <v>1.8865040824690701E-2</v>
      </c>
      <c r="Z53" s="2" t="s">
        <v>2627</v>
      </c>
      <c r="AA53" s="2">
        <v>-131137.679999999</v>
      </c>
      <c r="AB53" s="2" t="s">
        <v>939</v>
      </c>
      <c r="AC53" s="2">
        <v>67895.399999999994</v>
      </c>
      <c r="AD53" s="2" t="s">
        <v>56</v>
      </c>
      <c r="AE53" s="2" t="s">
        <v>56</v>
      </c>
      <c r="AF53" s="2" t="s">
        <v>2634</v>
      </c>
      <c r="AG53" s="2" t="s">
        <v>2635</v>
      </c>
      <c r="AH53" s="2" t="s">
        <v>2635</v>
      </c>
      <c r="AI53" s="2" t="s">
        <v>56</v>
      </c>
      <c r="AJ53" s="2" t="s">
        <v>56</v>
      </c>
      <c r="AK53" s="2" t="s">
        <v>56</v>
      </c>
      <c r="AL53" s="2" t="s">
        <v>56</v>
      </c>
      <c r="AM53" s="2" t="s">
        <v>56</v>
      </c>
      <c r="AN53" s="2" t="s">
        <v>56</v>
      </c>
      <c r="AO53" s="2" t="s">
        <v>939</v>
      </c>
      <c r="AP53" s="2" t="s">
        <v>939</v>
      </c>
      <c r="AQ53" s="2">
        <v>12236655</v>
      </c>
      <c r="AR53" s="2">
        <v>38569.747250400003</v>
      </c>
      <c r="AS53" s="2" t="s">
        <v>56</v>
      </c>
      <c r="AT53" s="2">
        <v>38569.74725</v>
      </c>
      <c r="AU53" s="2" t="s">
        <v>2634</v>
      </c>
      <c r="AV53" s="2" t="s">
        <v>56</v>
      </c>
      <c r="AW53" s="2" t="s">
        <v>56</v>
      </c>
      <c r="AX53" s="2" t="s">
        <v>2635</v>
      </c>
      <c r="AY53" s="2" t="s">
        <v>56</v>
      </c>
      <c r="AZ53" s="2" t="s">
        <v>56</v>
      </c>
      <c r="BA53" s="2" t="s">
        <v>2635</v>
      </c>
    </row>
    <row r="54" spans="1:53" x14ac:dyDescent="0.25">
      <c r="A54" s="17" t="s">
        <v>61</v>
      </c>
      <c r="B54" s="17" t="s">
        <v>58</v>
      </c>
      <c r="C54" s="17" t="s">
        <v>3110</v>
      </c>
      <c r="D54" s="17" t="s">
        <v>3111</v>
      </c>
      <c r="E54" s="17" t="s">
        <v>3100</v>
      </c>
      <c r="F54" s="17" t="s">
        <v>3112</v>
      </c>
      <c r="G54" s="17"/>
      <c r="H54" s="17" t="s">
        <v>2621</v>
      </c>
      <c r="I54" s="2">
        <v>-6951359.46</v>
      </c>
      <c r="J54" s="2" t="s">
        <v>3100</v>
      </c>
      <c r="K54" s="2" t="s">
        <v>61</v>
      </c>
      <c r="L54" s="2" t="s">
        <v>58</v>
      </c>
      <c r="M54" s="2" t="s">
        <v>3110</v>
      </c>
      <c r="N54" s="2" t="s">
        <v>3160</v>
      </c>
      <c r="O54" s="2" t="s">
        <v>3161</v>
      </c>
      <c r="P54" s="2" t="s">
        <v>2624</v>
      </c>
      <c r="Q54" s="2" t="s">
        <v>3115</v>
      </c>
      <c r="R54" s="2">
        <v>137066.78</v>
      </c>
      <c r="S54" s="2">
        <v>241695</v>
      </c>
      <c r="T54" s="2">
        <v>241695</v>
      </c>
      <c r="U54" s="2" t="s">
        <v>3116</v>
      </c>
      <c r="V54" s="2">
        <v>6939485.21</v>
      </c>
      <c r="W54" s="2" t="s">
        <v>2626</v>
      </c>
      <c r="X54" s="2">
        <v>1.9751721612214501E-2</v>
      </c>
      <c r="Y54" s="2">
        <v>1.9717981898176699E-2</v>
      </c>
      <c r="Z54" s="2" t="s">
        <v>2627</v>
      </c>
      <c r="AA54" s="2">
        <v>-137066.77999999901</v>
      </c>
      <c r="AB54" s="2" t="s">
        <v>939</v>
      </c>
      <c r="AC54" s="2">
        <v>67895.399999999994</v>
      </c>
      <c r="AD54" s="2" t="s">
        <v>56</v>
      </c>
      <c r="AE54" s="2" t="s">
        <v>56</v>
      </c>
      <c r="AF54" s="2" t="s">
        <v>2634</v>
      </c>
      <c r="AG54" s="2" t="s">
        <v>2635</v>
      </c>
      <c r="AH54" s="2" t="s">
        <v>2635</v>
      </c>
      <c r="AI54" s="2" t="s">
        <v>56</v>
      </c>
      <c r="AJ54" s="2" t="s">
        <v>56</v>
      </c>
      <c r="AK54" s="2" t="s">
        <v>56</v>
      </c>
      <c r="AL54" s="2" t="s">
        <v>56</v>
      </c>
      <c r="AM54" s="2" t="s">
        <v>56</v>
      </c>
      <c r="AN54" s="2" t="s">
        <v>56</v>
      </c>
      <c r="AO54" s="2" t="s">
        <v>939</v>
      </c>
      <c r="AP54" s="2" t="s">
        <v>939</v>
      </c>
      <c r="AQ54" s="2">
        <v>12236655</v>
      </c>
      <c r="AR54" s="2">
        <v>38569.747250400003</v>
      </c>
      <c r="AS54" s="2" t="s">
        <v>56</v>
      </c>
      <c r="AT54" s="2">
        <v>38569.74725</v>
      </c>
      <c r="AU54" s="2" t="s">
        <v>2634</v>
      </c>
      <c r="AV54" s="2" t="s">
        <v>56</v>
      </c>
      <c r="AW54" s="2" t="s">
        <v>56</v>
      </c>
      <c r="AX54" s="2" t="s">
        <v>2635</v>
      </c>
      <c r="AY54" s="2" t="s">
        <v>56</v>
      </c>
      <c r="AZ54" s="2" t="s">
        <v>56</v>
      </c>
      <c r="BA54" s="2" t="s">
        <v>2635</v>
      </c>
    </row>
    <row r="55" spans="1:53" x14ac:dyDescent="0.25">
      <c r="A55" s="17" t="s">
        <v>61</v>
      </c>
      <c r="B55" s="17" t="s">
        <v>58</v>
      </c>
      <c r="C55" s="17" t="s">
        <v>3110</v>
      </c>
      <c r="D55" s="17" t="s">
        <v>3111</v>
      </c>
      <c r="E55" s="17" t="s">
        <v>3100</v>
      </c>
      <c r="F55" s="17" t="s">
        <v>3112</v>
      </c>
      <c r="G55" s="17"/>
      <c r="H55" s="17" t="s">
        <v>2621</v>
      </c>
      <c r="I55" s="2">
        <v>-6951359.46</v>
      </c>
      <c r="J55" s="2" t="s">
        <v>3100</v>
      </c>
      <c r="K55" s="2" t="s">
        <v>61</v>
      </c>
      <c r="L55" s="2" t="s">
        <v>58</v>
      </c>
      <c r="M55" s="2" t="s">
        <v>3110</v>
      </c>
      <c r="N55" s="2" t="s">
        <v>3162</v>
      </c>
      <c r="O55" s="2" t="s">
        <v>3163</v>
      </c>
      <c r="P55" s="2" t="s">
        <v>2624</v>
      </c>
      <c r="Q55" s="2" t="s">
        <v>3115</v>
      </c>
      <c r="R55" s="2">
        <v>137066.78</v>
      </c>
      <c r="S55" s="2">
        <v>241695</v>
      </c>
      <c r="T55" s="2">
        <v>241695</v>
      </c>
      <c r="U55" s="2" t="s">
        <v>3116</v>
      </c>
      <c r="V55" s="2">
        <v>6939485.21</v>
      </c>
      <c r="W55" s="2" t="s">
        <v>2626</v>
      </c>
      <c r="X55" s="2">
        <v>1.9751721612214501E-2</v>
      </c>
      <c r="Y55" s="2">
        <v>1.9717981898176699E-2</v>
      </c>
      <c r="Z55" s="2" t="s">
        <v>2627</v>
      </c>
      <c r="AA55" s="2">
        <v>-137066.77999999901</v>
      </c>
      <c r="AB55" s="2" t="s">
        <v>939</v>
      </c>
      <c r="AC55" s="2">
        <v>67895.399999999994</v>
      </c>
      <c r="AD55" s="2" t="s">
        <v>56</v>
      </c>
      <c r="AE55" s="2" t="s">
        <v>56</v>
      </c>
      <c r="AF55" s="2" t="s">
        <v>2634</v>
      </c>
      <c r="AG55" s="2" t="s">
        <v>2635</v>
      </c>
      <c r="AH55" s="2" t="s">
        <v>2635</v>
      </c>
      <c r="AI55" s="2" t="s">
        <v>56</v>
      </c>
      <c r="AJ55" s="2" t="s">
        <v>56</v>
      </c>
      <c r="AK55" s="2" t="s">
        <v>56</v>
      </c>
      <c r="AL55" s="2" t="s">
        <v>56</v>
      </c>
      <c r="AM55" s="2" t="s">
        <v>56</v>
      </c>
      <c r="AN55" s="2" t="s">
        <v>56</v>
      </c>
      <c r="AO55" s="2" t="s">
        <v>939</v>
      </c>
      <c r="AP55" s="2" t="s">
        <v>939</v>
      </c>
      <c r="AQ55" s="2">
        <v>12236655</v>
      </c>
      <c r="AR55" s="2">
        <v>38569.747250400003</v>
      </c>
      <c r="AS55" s="2" t="s">
        <v>56</v>
      </c>
      <c r="AT55" s="2">
        <v>38569.74725</v>
      </c>
      <c r="AU55" s="2" t="s">
        <v>2634</v>
      </c>
      <c r="AV55" s="2" t="s">
        <v>56</v>
      </c>
      <c r="AW55" s="2" t="s">
        <v>56</v>
      </c>
      <c r="AX55" s="2" t="s">
        <v>2635</v>
      </c>
      <c r="AY55" s="2" t="s">
        <v>56</v>
      </c>
      <c r="AZ55" s="2" t="s">
        <v>56</v>
      </c>
      <c r="BA55" s="2" t="s">
        <v>2635</v>
      </c>
    </row>
    <row r="56" spans="1:53" x14ac:dyDescent="0.25">
      <c r="A56" s="17" t="s">
        <v>61</v>
      </c>
      <c r="B56" s="17" t="s">
        <v>58</v>
      </c>
      <c r="C56" s="17" t="s">
        <v>3110</v>
      </c>
      <c r="D56" s="17" t="s">
        <v>3111</v>
      </c>
      <c r="E56" s="17" t="s">
        <v>3100</v>
      </c>
      <c r="F56" s="17" t="s">
        <v>3112</v>
      </c>
      <c r="G56" s="17"/>
      <c r="H56" s="17" t="s">
        <v>2621</v>
      </c>
      <c r="I56" s="2">
        <v>-6951359.46</v>
      </c>
      <c r="J56" s="2" t="s">
        <v>3100</v>
      </c>
      <c r="K56" s="2" t="s">
        <v>61</v>
      </c>
      <c r="L56" s="2" t="s">
        <v>58</v>
      </c>
      <c r="M56" s="2" t="s">
        <v>3110</v>
      </c>
      <c r="N56" s="2" t="s">
        <v>3164</v>
      </c>
      <c r="O56" s="2" t="s">
        <v>3165</v>
      </c>
      <c r="P56" s="2" t="s">
        <v>2624</v>
      </c>
      <c r="Q56" s="2" t="s">
        <v>3115</v>
      </c>
      <c r="R56" s="2">
        <v>137066.78</v>
      </c>
      <c r="S56" s="2">
        <v>241695</v>
      </c>
      <c r="T56" s="2">
        <v>241695</v>
      </c>
      <c r="U56" s="2" t="s">
        <v>3116</v>
      </c>
      <c r="V56" s="2">
        <v>6939485.21</v>
      </c>
      <c r="W56" s="2" t="s">
        <v>2626</v>
      </c>
      <c r="X56" s="2">
        <v>1.9751721612214501E-2</v>
      </c>
      <c r="Y56" s="2">
        <v>1.9717981898176699E-2</v>
      </c>
      <c r="Z56" s="2" t="s">
        <v>2627</v>
      </c>
      <c r="AA56" s="2">
        <v>-137066.77999999901</v>
      </c>
      <c r="AB56" s="2" t="s">
        <v>939</v>
      </c>
      <c r="AC56" s="2">
        <v>67895.399999999994</v>
      </c>
      <c r="AD56" s="2" t="s">
        <v>56</v>
      </c>
      <c r="AE56" s="2" t="s">
        <v>56</v>
      </c>
      <c r="AF56" s="2" t="s">
        <v>2634</v>
      </c>
      <c r="AG56" s="2" t="s">
        <v>2635</v>
      </c>
      <c r="AH56" s="2" t="s">
        <v>2635</v>
      </c>
      <c r="AI56" s="2" t="s">
        <v>56</v>
      </c>
      <c r="AJ56" s="2" t="s">
        <v>56</v>
      </c>
      <c r="AK56" s="2" t="s">
        <v>56</v>
      </c>
      <c r="AL56" s="2" t="s">
        <v>56</v>
      </c>
      <c r="AM56" s="2" t="s">
        <v>56</v>
      </c>
      <c r="AN56" s="2" t="s">
        <v>56</v>
      </c>
      <c r="AO56" s="2" t="s">
        <v>939</v>
      </c>
      <c r="AP56" s="2" t="s">
        <v>939</v>
      </c>
      <c r="AQ56" s="2">
        <v>12236655</v>
      </c>
      <c r="AR56" s="2">
        <v>38569.747250400003</v>
      </c>
      <c r="AS56" s="2" t="s">
        <v>56</v>
      </c>
      <c r="AT56" s="2">
        <v>38569.74725</v>
      </c>
      <c r="AU56" s="2" t="s">
        <v>2634</v>
      </c>
      <c r="AV56" s="2" t="s">
        <v>56</v>
      </c>
      <c r="AW56" s="2" t="s">
        <v>56</v>
      </c>
      <c r="AX56" s="2" t="s">
        <v>2635</v>
      </c>
      <c r="AY56" s="2" t="s">
        <v>56</v>
      </c>
      <c r="AZ56" s="2" t="s">
        <v>56</v>
      </c>
      <c r="BA56" s="2" t="s">
        <v>2635</v>
      </c>
    </row>
    <row r="57" spans="1:53" x14ac:dyDescent="0.25">
      <c r="A57" s="17" t="s">
        <v>61</v>
      </c>
      <c r="B57" s="17" t="s">
        <v>58</v>
      </c>
      <c r="C57" s="17" t="s">
        <v>3110</v>
      </c>
      <c r="D57" s="17" t="s">
        <v>3111</v>
      </c>
      <c r="E57" s="17" t="s">
        <v>3100</v>
      </c>
      <c r="F57" s="17" t="s">
        <v>3112</v>
      </c>
      <c r="G57" s="17"/>
      <c r="H57" s="17" t="s">
        <v>2621</v>
      </c>
      <c r="I57" s="2">
        <v>-6951359.46</v>
      </c>
      <c r="J57" s="2" t="s">
        <v>3100</v>
      </c>
      <c r="K57" s="2" t="s">
        <v>61</v>
      </c>
      <c r="L57" s="2" t="s">
        <v>58</v>
      </c>
      <c r="M57" s="2" t="s">
        <v>3110</v>
      </c>
      <c r="N57" s="2" t="s">
        <v>3166</v>
      </c>
      <c r="O57" s="2" t="s">
        <v>3167</v>
      </c>
      <c r="P57" s="2" t="s">
        <v>2624</v>
      </c>
      <c r="Q57" s="2" t="s">
        <v>3115</v>
      </c>
      <c r="R57" s="2">
        <v>137066.78</v>
      </c>
      <c r="S57" s="2">
        <v>241695</v>
      </c>
      <c r="T57" s="2">
        <v>241695</v>
      </c>
      <c r="U57" s="2" t="s">
        <v>3116</v>
      </c>
      <c r="V57" s="2">
        <v>6939485.21</v>
      </c>
      <c r="W57" s="2" t="s">
        <v>2626</v>
      </c>
      <c r="X57" s="2">
        <v>1.9751721612214501E-2</v>
      </c>
      <c r="Y57" s="2">
        <v>1.9717981898176699E-2</v>
      </c>
      <c r="Z57" s="2" t="s">
        <v>2627</v>
      </c>
      <c r="AA57" s="2">
        <v>-137066.77999999901</v>
      </c>
      <c r="AB57" s="2" t="s">
        <v>939</v>
      </c>
      <c r="AC57" s="2">
        <v>67895.399999999994</v>
      </c>
      <c r="AD57" s="2" t="s">
        <v>56</v>
      </c>
      <c r="AE57" s="2" t="s">
        <v>56</v>
      </c>
      <c r="AF57" s="2" t="s">
        <v>2634</v>
      </c>
      <c r="AG57" s="2" t="s">
        <v>2635</v>
      </c>
      <c r="AH57" s="2" t="s">
        <v>2635</v>
      </c>
      <c r="AI57" s="2" t="s">
        <v>56</v>
      </c>
      <c r="AJ57" s="2" t="s">
        <v>56</v>
      </c>
      <c r="AK57" s="2" t="s">
        <v>56</v>
      </c>
      <c r="AL57" s="2" t="s">
        <v>56</v>
      </c>
      <c r="AM57" s="2" t="s">
        <v>56</v>
      </c>
      <c r="AN57" s="2" t="s">
        <v>56</v>
      </c>
      <c r="AO57" s="2" t="s">
        <v>939</v>
      </c>
      <c r="AP57" s="2" t="s">
        <v>939</v>
      </c>
      <c r="AQ57" s="2">
        <v>12236655</v>
      </c>
      <c r="AR57" s="2">
        <v>38569.747250400003</v>
      </c>
      <c r="AS57" s="2" t="s">
        <v>56</v>
      </c>
      <c r="AT57" s="2">
        <v>38569.74725</v>
      </c>
      <c r="AU57" s="2" t="s">
        <v>2634</v>
      </c>
      <c r="AV57" s="2" t="s">
        <v>56</v>
      </c>
      <c r="AW57" s="2" t="s">
        <v>56</v>
      </c>
      <c r="AX57" s="2" t="s">
        <v>2635</v>
      </c>
      <c r="AY57" s="2" t="s">
        <v>56</v>
      </c>
      <c r="AZ57" s="2" t="s">
        <v>56</v>
      </c>
      <c r="BA57" s="2" t="s">
        <v>2635</v>
      </c>
    </row>
    <row r="58" spans="1:53" x14ac:dyDescent="0.25">
      <c r="A58" s="17" t="s">
        <v>61</v>
      </c>
      <c r="B58" s="17" t="s">
        <v>58</v>
      </c>
      <c r="C58" s="17" t="s">
        <v>3110</v>
      </c>
      <c r="D58" s="17" t="s">
        <v>3111</v>
      </c>
      <c r="E58" s="17" t="s">
        <v>3100</v>
      </c>
      <c r="F58" s="17" t="s">
        <v>3112</v>
      </c>
      <c r="G58" s="17"/>
      <c r="H58" s="17" t="s">
        <v>2621</v>
      </c>
      <c r="I58" s="2">
        <v>-6951359.46</v>
      </c>
      <c r="J58" s="2" t="s">
        <v>3100</v>
      </c>
      <c r="K58" s="2" t="s">
        <v>61</v>
      </c>
      <c r="L58" s="2" t="s">
        <v>58</v>
      </c>
      <c r="M58" s="2" t="s">
        <v>3110</v>
      </c>
      <c r="N58" s="2" t="s">
        <v>3168</v>
      </c>
      <c r="O58" s="2" t="s">
        <v>3169</v>
      </c>
      <c r="P58" s="2" t="s">
        <v>2624</v>
      </c>
      <c r="Q58" s="2" t="s">
        <v>3115</v>
      </c>
      <c r="R58" s="2">
        <v>131137.68</v>
      </c>
      <c r="S58" s="2">
        <v>231240</v>
      </c>
      <c r="T58" s="2">
        <v>231240</v>
      </c>
      <c r="U58" s="2" t="s">
        <v>3116</v>
      </c>
      <c r="V58" s="2">
        <v>6939485.21</v>
      </c>
      <c r="W58" s="2" t="s">
        <v>2626</v>
      </c>
      <c r="X58" s="2">
        <v>1.8897321059352701E-2</v>
      </c>
      <c r="Y58" s="2">
        <v>1.8865040824690701E-2</v>
      </c>
      <c r="Z58" s="2" t="s">
        <v>2627</v>
      </c>
      <c r="AA58" s="2">
        <v>-131137.679999999</v>
      </c>
      <c r="AB58" s="2" t="s">
        <v>939</v>
      </c>
      <c r="AC58" s="2">
        <v>67895.399999999994</v>
      </c>
      <c r="AD58" s="2" t="s">
        <v>56</v>
      </c>
      <c r="AE58" s="2" t="s">
        <v>56</v>
      </c>
      <c r="AF58" s="2" t="s">
        <v>2634</v>
      </c>
      <c r="AG58" s="2" t="s">
        <v>2635</v>
      </c>
      <c r="AH58" s="2" t="s">
        <v>2635</v>
      </c>
      <c r="AI58" s="2" t="s">
        <v>56</v>
      </c>
      <c r="AJ58" s="2" t="s">
        <v>56</v>
      </c>
      <c r="AK58" s="2" t="s">
        <v>56</v>
      </c>
      <c r="AL58" s="2" t="s">
        <v>56</v>
      </c>
      <c r="AM58" s="2" t="s">
        <v>56</v>
      </c>
      <c r="AN58" s="2" t="s">
        <v>56</v>
      </c>
      <c r="AO58" s="2" t="s">
        <v>939</v>
      </c>
      <c r="AP58" s="2" t="s">
        <v>939</v>
      </c>
      <c r="AQ58" s="2">
        <v>12236655</v>
      </c>
      <c r="AR58" s="2">
        <v>38569.747250400003</v>
      </c>
      <c r="AS58" s="2" t="s">
        <v>56</v>
      </c>
      <c r="AT58" s="2">
        <v>38569.74725</v>
      </c>
      <c r="AU58" s="2" t="s">
        <v>2634</v>
      </c>
      <c r="AV58" s="2" t="s">
        <v>56</v>
      </c>
      <c r="AW58" s="2" t="s">
        <v>56</v>
      </c>
      <c r="AX58" s="2" t="s">
        <v>2635</v>
      </c>
      <c r="AY58" s="2" t="s">
        <v>56</v>
      </c>
      <c r="AZ58" s="2" t="s">
        <v>56</v>
      </c>
      <c r="BA58" s="2" t="s">
        <v>2635</v>
      </c>
    </row>
    <row r="59" spans="1:53" x14ac:dyDescent="0.25">
      <c r="A59" s="17" t="s">
        <v>61</v>
      </c>
      <c r="B59" s="17" t="s">
        <v>58</v>
      </c>
      <c r="C59" s="17" t="s">
        <v>3110</v>
      </c>
      <c r="D59" s="17" t="s">
        <v>3111</v>
      </c>
      <c r="E59" s="17" t="s">
        <v>3100</v>
      </c>
      <c r="F59" s="17" t="s">
        <v>3112</v>
      </c>
      <c r="G59" s="17"/>
      <c r="H59" s="17" t="s">
        <v>2621</v>
      </c>
      <c r="I59" s="2">
        <v>-6951359.46</v>
      </c>
      <c r="J59" s="2" t="s">
        <v>3100</v>
      </c>
      <c r="K59" s="2" t="s">
        <v>61</v>
      </c>
      <c r="L59" s="2" t="s">
        <v>58</v>
      </c>
      <c r="M59" s="2" t="s">
        <v>3110</v>
      </c>
      <c r="N59" s="2" t="s">
        <v>3170</v>
      </c>
      <c r="O59" s="2" t="s">
        <v>3171</v>
      </c>
      <c r="P59" s="2" t="s">
        <v>2624</v>
      </c>
      <c r="Q59" s="2" t="s">
        <v>3115</v>
      </c>
      <c r="R59" s="2">
        <v>131137.68</v>
      </c>
      <c r="S59" s="2">
        <v>231240</v>
      </c>
      <c r="T59" s="2">
        <v>231240</v>
      </c>
      <c r="U59" s="2" t="s">
        <v>3116</v>
      </c>
      <c r="V59" s="2">
        <v>6939485.21</v>
      </c>
      <c r="W59" s="2" t="s">
        <v>2626</v>
      </c>
      <c r="X59" s="2">
        <v>1.8897321059352701E-2</v>
      </c>
      <c r="Y59" s="2">
        <v>1.8865040824690701E-2</v>
      </c>
      <c r="Z59" s="2" t="s">
        <v>2627</v>
      </c>
      <c r="AA59" s="2">
        <v>-131137.679999999</v>
      </c>
      <c r="AB59" s="2" t="s">
        <v>939</v>
      </c>
      <c r="AC59" s="2">
        <v>67895.399999999994</v>
      </c>
      <c r="AD59" s="2" t="s">
        <v>56</v>
      </c>
      <c r="AE59" s="2" t="s">
        <v>56</v>
      </c>
      <c r="AF59" s="2" t="s">
        <v>2634</v>
      </c>
      <c r="AG59" s="2" t="s">
        <v>2635</v>
      </c>
      <c r="AH59" s="2" t="s">
        <v>2635</v>
      </c>
      <c r="AI59" s="2" t="s">
        <v>56</v>
      </c>
      <c r="AJ59" s="2" t="s">
        <v>56</v>
      </c>
      <c r="AK59" s="2" t="s">
        <v>56</v>
      </c>
      <c r="AL59" s="2" t="s">
        <v>56</v>
      </c>
      <c r="AM59" s="2" t="s">
        <v>56</v>
      </c>
      <c r="AN59" s="2" t="s">
        <v>56</v>
      </c>
      <c r="AO59" s="2" t="s">
        <v>939</v>
      </c>
      <c r="AP59" s="2" t="s">
        <v>939</v>
      </c>
      <c r="AQ59" s="2">
        <v>12236655</v>
      </c>
      <c r="AR59" s="2">
        <v>38569.747250400003</v>
      </c>
      <c r="AS59" s="2" t="s">
        <v>56</v>
      </c>
      <c r="AT59" s="2">
        <v>38569.74725</v>
      </c>
      <c r="AU59" s="2" t="s">
        <v>2634</v>
      </c>
      <c r="AV59" s="2" t="s">
        <v>56</v>
      </c>
      <c r="AW59" s="2" t="s">
        <v>56</v>
      </c>
      <c r="AX59" s="2" t="s">
        <v>2635</v>
      </c>
      <c r="AY59" s="2" t="s">
        <v>56</v>
      </c>
      <c r="AZ59" s="2" t="s">
        <v>56</v>
      </c>
      <c r="BA59" s="2" t="s">
        <v>2635</v>
      </c>
    </row>
    <row r="60" spans="1:53" x14ac:dyDescent="0.25">
      <c r="A60" s="17" t="s">
        <v>61</v>
      </c>
      <c r="B60" s="17" t="s">
        <v>58</v>
      </c>
      <c r="C60" s="17" t="s">
        <v>3110</v>
      </c>
      <c r="D60" s="17" t="s">
        <v>3111</v>
      </c>
      <c r="E60" s="17" t="s">
        <v>3100</v>
      </c>
      <c r="F60" s="17" t="s">
        <v>3112</v>
      </c>
      <c r="G60" s="17"/>
      <c r="H60" s="17" t="s">
        <v>2621</v>
      </c>
      <c r="I60" s="2">
        <v>-6951359.46</v>
      </c>
      <c r="J60" s="2" t="s">
        <v>3100</v>
      </c>
      <c r="K60" s="2" t="s">
        <v>61</v>
      </c>
      <c r="L60" s="2" t="s">
        <v>58</v>
      </c>
      <c r="M60" s="2" t="s">
        <v>3110</v>
      </c>
      <c r="N60" s="2" t="s">
        <v>3172</v>
      </c>
      <c r="O60" s="2" t="s">
        <v>3173</v>
      </c>
      <c r="P60" s="2" t="s">
        <v>2624</v>
      </c>
      <c r="Q60" s="2" t="s">
        <v>3115</v>
      </c>
      <c r="R60" s="2">
        <v>131137.68</v>
      </c>
      <c r="S60" s="2">
        <v>231240</v>
      </c>
      <c r="T60" s="2">
        <v>231240</v>
      </c>
      <c r="U60" s="2" t="s">
        <v>3116</v>
      </c>
      <c r="V60" s="2">
        <v>6939485.21</v>
      </c>
      <c r="W60" s="2" t="s">
        <v>2626</v>
      </c>
      <c r="X60" s="2">
        <v>1.8897321059352701E-2</v>
      </c>
      <c r="Y60" s="2">
        <v>1.8865040824690701E-2</v>
      </c>
      <c r="Z60" s="2" t="s">
        <v>2627</v>
      </c>
      <c r="AA60" s="2">
        <v>-131137.679999999</v>
      </c>
      <c r="AB60" s="2" t="s">
        <v>939</v>
      </c>
      <c r="AC60" s="2">
        <v>67895.399999999994</v>
      </c>
      <c r="AD60" s="2" t="s">
        <v>56</v>
      </c>
      <c r="AE60" s="2" t="s">
        <v>56</v>
      </c>
      <c r="AF60" s="2" t="s">
        <v>2634</v>
      </c>
      <c r="AG60" s="2" t="s">
        <v>2635</v>
      </c>
      <c r="AH60" s="2" t="s">
        <v>2635</v>
      </c>
      <c r="AI60" s="2" t="s">
        <v>56</v>
      </c>
      <c r="AJ60" s="2" t="s">
        <v>56</v>
      </c>
      <c r="AK60" s="2" t="s">
        <v>56</v>
      </c>
      <c r="AL60" s="2" t="s">
        <v>56</v>
      </c>
      <c r="AM60" s="2" t="s">
        <v>56</v>
      </c>
      <c r="AN60" s="2" t="s">
        <v>56</v>
      </c>
      <c r="AO60" s="2" t="s">
        <v>939</v>
      </c>
      <c r="AP60" s="2" t="s">
        <v>939</v>
      </c>
      <c r="AQ60" s="2">
        <v>12236655</v>
      </c>
      <c r="AR60" s="2">
        <v>38569.747250400003</v>
      </c>
      <c r="AS60" s="2" t="s">
        <v>56</v>
      </c>
      <c r="AT60" s="2">
        <v>38569.74725</v>
      </c>
      <c r="AU60" s="2" t="s">
        <v>2634</v>
      </c>
      <c r="AV60" s="2" t="s">
        <v>56</v>
      </c>
      <c r="AW60" s="2" t="s">
        <v>56</v>
      </c>
      <c r="AX60" s="2" t="s">
        <v>2635</v>
      </c>
      <c r="AY60" s="2" t="s">
        <v>56</v>
      </c>
      <c r="AZ60" s="2" t="s">
        <v>56</v>
      </c>
      <c r="BA60" s="2" t="s">
        <v>2635</v>
      </c>
    </row>
    <row r="61" spans="1:53" x14ac:dyDescent="0.25">
      <c r="A61" s="17" t="s">
        <v>61</v>
      </c>
      <c r="B61" s="17" t="s">
        <v>58</v>
      </c>
      <c r="C61" s="17" t="s">
        <v>3110</v>
      </c>
      <c r="D61" s="17" t="s">
        <v>3111</v>
      </c>
      <c r="E61" s="17" t="s">
        <v>3100</v>
      </c>
      <c r="F61" s="17" t="s">
        <v>3112</v>
      </c>
      <c r="G61" s="17"/>
      <c r="H61" s="17" t="s">
        <v>2621</v>
      </c>
      <c r="I61" s="2">
        <v>-6951359.46</v>
      </c>
      <c r="J61" s="2" t="s">
        <v>3100</v>
      </c>
      <c r="K61" s="2" t="s">
        <v>61</v>
      </c>
      <c r="L61" s="2" t="s">
        <v>58</v>
      </c>
      <c r="M61" s="2" t="s">
        <v>3110</v>
      </c>
      <c r="N61" s="2" t="s">
        <v>3174</v>
      </c>
      <c r="O61" s="2" t="s">
        <v>3175</v>
      </c>
      <c r="P61" s="2" t="s">
        <v>2624</v>
      </c>
      <c r="Q61" s="2" t="s">
        <v>3115</v>
      </c>
      <c r="R61" s="2">
        <v>131137.68</v>
      </c>
      <c r="S61" s="2">
        <v>231240</v>
      </c>
      <c r="T61" s="2">
        <v>231240</v>
      </c>
      <c r="U61" s="2" t="s">
        <v>3116</v>
      </c>
      <c r="V61" s="2">
        <v>6939485.21</v>
      </c>
      <c r="W61" s="2" t="s">
        <v>2626</v>
      </c>
      <c r="X61" s="2">
        <v>1.8897321059352701E-2</v>
      </c>
      <c r="Y61" s="2">
        <v>1.8865040824690701E-2</v>
      </c>
      <c r="Z61" s="2" t="s">
        <v>2627</v>
      </c>
      <c r="AA61" s="2">
        <v>-131137.679999999</v>
      </c>
      <c r="AB61" s="2" t="s">
        <v>939</v>
      </c>
      <c r="AC61" s="2">
        <v>67895.399999999994</v>
      </c>
      <c r="AD61" s="2" t="s">
        <v>56</v>
      </c>
      <c r="AE61" s="2" t="s">
        <v>56</v>
      </c>
      <c r="AF61" s="2" t="s">
        <v>2634</v>
      </c>
      <c r="AG61" s="2" t="s">
        <v>2635</v>
      </c>
      <c r="AH61" s="2" t="s">
        <v>2635</v>
      </c>
      <c r="AI61" s="2" t="s">
        <v>56</v>
      </c>
      <c r="AJ61" s="2" t="s">
        <v>56</v>
      </c>
      <c r="AK61" s="2" t="s">
        <v>56</v>
      </c>
      <c r="AL61" s="2" t="s">
        <v>56</v>
      </c>
      <c r="AM61" s="2" t="s">
        <v>56</v>
      </c>
      <c r="AN61" s="2" t="s">
        <v>56</v>
      </c>
      <c r="AO61" s="2" t="s">
        <v>939</v>
      </c>
      <c r="AP61" s="2" t="s">
        <v>939</v>
      </c>
      <c r="AQ61" s="2">
        <v>12236655</v>
      </c>
      <c r="AR61" s="2">
        <v>38569.747250400003</v>
      </c>
      <c r="AS61" s="2" t="s">
        <v>56</v>
      </c>
      <c r="AT61" s="2">
        <v>38569.74725</v>
      </c>
      <c r="AU61" s="2" t="s">
        <v>2634</v>
      </c>
      <c r="AV61" s="2" t="s">
        <v>56</v>
      </c>
      <c r="AW61" s="2" t="s">
        <v>56</v>
      </c>
      <c r="AX61" s="2" t="s">
        <v>2635</v>
      </c>
      <c r="AY61" s="2" t="s">
        <v>56</v>
      </c>
      <c r="AZ61" s="2" t="s">
        <v>56</v>
      </c>
      <c r="BA61" s="2" t="s">
        <v>2635</v>
      </c>
    </row>
    <row r="62" spans="1:53" x14ac:dyDescent="0.25">
      <c r="A62" s="17" t="s">
        <v>61</v>
      </c>
      <c r="B62" s="17" t="s">
        <v>58</v>
      </c>
      <c r="C62" s="17" t="s">
        <v>3110</v>
      </c>
      <c r="D62" s="17" t="s">
        <v>3111</v>
      </c>
      <c r="E62" s="17" t="s">
        <v>3100</v>
      </c>
      <c r="F62" s="17" t="s">
        <v>3112</v>
      </c>
      <c r="G62" s="17"/>
      <c r="H62" s="17" t="s">
        <v>2621</v>
      </c>
      <c r="I62" s="2">
        <v>-6951359.46</v>
      </c>
      <c r="J62" s="2" t="s">
        <v>3100</v>
      </c>
      <c r="K62" s="2" t="s">
        <v>61</v>
      </c>
      <c r="L62" s="2" t="s">
        <v>58</v>
      </c>
      <c r="M62" s="2" t="s">
        <v>3110</v>
      </c>
      <c r="N62" s="2" t="s">
        <v>3176</v>
      </c>
      <c r="O62" s="2" t="s">
        <v>3177</v>
      </c>
      <c r="P62" s="2" t="s">
        <v>2624</v>
      </c>
      <c r="Q62" s="2" t="s">
        <v>3115</v>
      </c>
      <c r="R62" s="2">
        <v>137066.78</v>
      </c>
      <c r="S62" s="2">
        <v>241695</v>
      </c>
      <c r="T62" s="2">
        <v>241695</v>
      </c>
      <c r="U62" s="2" t="s">
        <v>3116</v>
      </c>
      <c r="V62" s="2">
        <v>6939485.21</v>
      </c>
      <c r="W62" s="2" t="s">
        <v>2626</v>
      </c>
      <c r="X62" s="2">
        <v>1.9751721612214501E-2</v>
      </c>
      <c r="Y62" s="2">
        <v>1.9717981898176699E-2</v>
      </c>
      <c r="Z62" s="2" t="s">
        <v>2627</v>
      </c>
      <c r="AA62" s="2">
        <v>-137066.77999999901</v>
      </c>
      <c r="AB62" s="2" t="s">
        <v>939</v>
      </c>
      <c r="AC62" s="2">
        <v>67895.399999999994</v>
      </c>
      <c r="AD62" s="2" t="s">
        <v>56</v>
      </c>
      <c r="AE62" s="2" t="s">
        <v>56</v>
      </c>
      <c r="AF62" s="2" t="s">
        <v>2634</v>
      </c>
      <c r="AG62" s="2" t="s">
        <v>2635</v>
      </c>
      <c r="AH62" s="2" t="s">
        <v>2635</v>
      </c>
      <c r="AI62" s="2" t="s">
        <v>56</v>
      </c>
      <c r="AJ62" s="2" t="s">
        <v>56</v>
      </c>
      <c r="AK62" s="2" t="s">
        <v>56</v>
      </c>
      <c r="AL62" s="2" t="s">
        <v>56</v>
      </c>
      <c r="AM62" s="2" t="s">
        <v>56</v>
      </c>
      <c r="AN62" s="2" t="s">
        <v>56</v>
      </c>
      <c r="AO62" s="2" t="s">
        <v>939</v>
      </c>
      <c r="AP62" s="2" t="s">
        <v>939</v>
      </c>
      <c r="AQ62" s="2">
        <v>12236655</v>
      </c>
      <c r="AR62" s="2">
        <v>38569.747250400003</v>
      </c>
      <c r="AS62" s="2" t="s">
        <v>56</v>
      </c>
      <c r="AT62" s="2">
        <v>38569.74725</v>
      </c>
      <c r="AU62" s="2" t="s">
        <v>2634</v>
      </c>
      <c r="AV62" s="2" t="s">
        <v>56</v>
      </c>
      <c r="AW62" s="2" t="s">
        <v>56</v>
      </c>
      <c r="AX62" s="2" t="s">
        <v>2635</v>
      </c>
      <c r="AY62" s="2" t="s">
        <v>56</v>
      </c>
      <c r="AZ62" s="2" t="s">
        <v>56</v>
      </c>
      <c r="BA62" s="2" t="s">
        <v>2635</v>
      </c>
    </row>
    <row r="63" spans="1:53" x14ac:dyDescent="0.25">
      <c r="A63" s="17" t="s">
        <v>61</v>
      </c>
      <c r="B63" s="17" t="s">
        <v>58</v>
      </c>
      <c r="C63" s="17" t="s">
        <v>3110</v>
      </c>
      <c r="D63" s="17" t="s">
        <v>3111</v>
      </c>
      <c r="E63" s="17" t="s">
        <v>3100</v>
      </c>
      <c r="F63" s="17" t="s">
        <v>3112</v>
      </c>
      <c r="G63" s="17"/>
      <c r="H63" s="17" t="s">
        <v>2621</v>
      </c>
      <c r="I63" s="2">
        <v>-6951359.46</v>
      </c>
      <c r="J63" s="2" t="s">
        <v>3100</v>
      </c>
      <c r="K63" s="2" t="s">
        <v>61</v>
      </c>
      <c r="L63" s="2" t="s">
        <v>58</v>
      </c>
      <c r="M63" s="2" t="s">
        <v>3110</v>
      </c>
      <c r="N63" s="2" t="s">
        <v>3178</v>
      </c>
      <c r="O63" s="2" t="s">
        <v>3179</v>
      </c>
      <c r="P63" s="2" t="s">
        <v>2624</v>
      </c>
      <c r="Q63" s="2" t="s">
        <v>3115</v>
      </c>
      <c r="R63" s="2">
        <v>137066.78</v>
      </c>
      <c r="S63" s="2">
        <v>241695</v>
      </c>
      <c r="T63" s="2">
        <v>241695</v>
      </c>
      <c r="U63" s="2" t="s">
        <v>3116</v>
      </c>
      <c r="V63" s="2">
        <v>6939485.21</v>
      </c>
      <c r="W63" s="2" t="s">
        <v>2626</v>
      </c>
      <c r="X63" s="2">
        <v>1.9751721612214501E-2</v>
      </c>
      <c r="Y63" s="2">
        <v>1.9717981898176699E-2</v>
      </c>
      <c r="Z63" s="2" t="s">
        <v>2627</v>
      </c>
      <c r="AA63" s="2">
        <v>-137066.77999999901</v>
      </c>
      <c r="AB63" s="2" t="s">
        <v>939</v>
      </c>
      <c r="AC63" s="2">
        <v>67895.399999999994</v>
      </c>
      <c r="AD63" s="2" t="s">
        <v>56</v>
      </c>
      <c r="AE63" s="2" t="s">
        <v>56</v>
      </c>
      <c r="AF63" s="2" t="s">
        <v>2634</v>
      </c>
      <c r="AG63" s="2" t="s">
        <v>2635</v>
      </c>
      <c r="AH63" s="2" t="s">
        <v>2635</v>
      </c>
      <c r="AI63" s="2" t="s">
        <v>56</v>
      </c>
      <c r="AJ63" s="2" t="s">
        <v>56</v>
      </c>
      <c r="AK63" s="2" t="s">
        <v>56</v>
      </c>
      <c r="AL63" s="2" t="s">
        <v>56</v>
      </c>
      <c r="AM63" s="2" t="s">
        <v>56</v>
      </c>
      <c r="AN63" s="2" t="s">
        <v>56</v>
      </c>
      <c r="AO63" s="2" t="s">
        <v>939</v>
      </c>
      <c r="AP63" s="2" t="s">
        <v>939</v>
      </c>
      <c r="AQ63" s="2">
        <v>12236655</v>
      </c>
      <c r="AR63" s="2">
        <v>38569.747250400003</v>
      </c>
      <c r="AS63" s="2" t="s">
        <v>56</v>
      </c>
      <c r="AT63" s="2">
        <v>38569.74725</v>
      </c>
      <c r="AU63" s="2" t="s">
        <v>2634</v>
      </c>
      <c r="AV63" s="2" t="s">
        <v>56</v>
      </c>
      <c r="AW63" s="2" t="s">
        <v>56</v>
      </c>
      <c r="AX63" s="2" t="s">
        <v>2635</v>
      </c>
      <c r="AY63" s="2" t="s">
        <v>56</v>
      </c>
      <c r="AZ63" s="2" t="s">
        <v>56</v>
      </c>
      <c r="BA63" s="2" t="s">
        <v>2635</v>
      </c>
    </row>
    <row r="64" spans="1:53" x14ac:dyDescent="0.25">
      <c r="A64" s="17" t="s">
        <v>61</v>
      </c>
      <c r="B64" s="17" t="s">
        <v>58</v>
      </c>
      <c r="C64" s="17" t="s">
        <v>3110</v>
      </c>
      <c r="D64" s="17" t="s">
        <v>3111</v>
      </c>
      <c r="E64" s="17" t="s">
        <v>3100</v>
      </c>
      <c r="F64" s="17" t="s">
        <v>3112</v>
      </c>
      <c r="G64" s="17"/>
      <c r="H64" s="17" t="s">
        <v>2621</v>
      </c>
      <c r="I64" s="2">
        <v>-6951359.46</v>
      </c>
      <c r="J64" s="2" t="s">
        <v>3100</v>
      </c>
      <c r="K64" s="2" t="s">
        <v>61</v>
      </c>
      <c r="L64" s="2" t="s">
        <v>58</v>
      </c>
      <c r="M64" s="2" t="s">
        <v>3110</v>
      </c>
      <c r="N64" s="2" t="s">
        <v>3180</v>
      </c>
      <c r="O64" s="2" t="s">
        <v>3181</v>
      </c>
      <c r="P64" s="2" t="s">
        <v>2624</v>
      </c>
      <c r="Q64" s="2" t="s">
        <v>3115</v>
      </c>
      <c r="R64" s="2">
        <v>137066.78</v>
      </c>
      <c r="S64" s="2">
        <v>241695</v>
      </c>
      <c r="T64" s="2">
        <v>241695</v>
      </c>
      <c r="U64" s="2" t="s">
        <v>3116</v>
      </c>
      <c r="V64" s="2">
        <v>6939485.21</v>
      </c>
      <c r="W64" s="2" t="s">
        <v>2626</v>
      </c>
      <c r="X64" s="2">
        <v>1.9751721612214501E-2</v>
      </c>
      <c r="Y64" s="2">
        <v>1.9717981898176699E-2</v>
      </c>
      <c r="Z64" s="2" t="s">
        <v>2627</v>
      </c>
      <c r="AA64" s="2">
        <v>-137066.77999999901</v>
      </c>
      <c r="AB64" s="2" t="s">
        <v>939</v>
      </c>
      <c r="AC64" s="2">
        <v>67895.399999999994</v>
      </c>
      <c r="AD64" s="2" t="s">
        <v>56</v>
      </c>
      <c r="AE64" s="2" t="s">
        <v>56</v>
      </c>
      <c r="AF64" s="2" t="s">
        <v>2634</v>
      </c>
      <c r="AG64" s="2" t="s">
        <v>2635</v>
      </c>
      <c r="AH64" s="2" t="s">
        <v>2635</v>
      </c>
      <c r="AI64" s="2" t="s">
        <v>56</v>
      </c>
      <c r="AJ64" s="2" t="s">
        <v>56</v>
      </c>
      <c r="AK64" s="2" t="s">
        <v>56</v>
      </c>
      <c r="AL64" s="2" t="s">
        <v>56</v>
      </c>
      <c r="AM64" s="2" t="s">
        <v>56</v>
      </c>
      <c r="AN64" s="2" t="s">
        <v>56</v>
      </c>
      <c r="AO64" s="2" t="s">
        <v>939</v>
      </c>
      <c r="AP64" s="2" t="s">
        <v>939</v>
      </c>
      <c r="AQ64" s="2">
        <v>12236655</v>
      </c>
      <c r="AR64" s="2">
        <v>38569.747250400003</v>
      </c>
      <c r="AS64" s="2" t="s">
        <v>56</v>
      </c>
      <c r="AT64" s="2">
        <v>38569.74725</v>
      </c>
      <c r="AU64" s="2" t="s">
        <v>2634</v>
      </c>
      <c r="AV64" s="2" t="s">
        <v>56</v>
      </c>
      <c r="AW64" s="2" t="s">
        <v>56</v>
      </c>
      <c r="AX64" s="2" t="s">
        <v>2635</v>
      </c>
      <c r="AY64" s="2" t="s">
        <v>56</v>
      </c>
      <c r="AZ64" s="2" t="s">
        <v>56</v>
      </c>
      <c r="BA64" s="2" t="s">
        <v>2635</v>
      </c>
    </row>
    <row r="65" spans="1:53" x14ac:dyDescent="0.25">
      <c r="A65" s="17" t="s">
        <v>61</v>
      </c>
      <c r="B65" s="17" t="s">
        <v>58</v>
      </c>
      <c r="C65" s="17" t="s">
        <v>3110</v>
      </c>
      <c r="D65" s="17" t="s">
        <v>3111</v>
      </c>
      <c r="E65" s="17" t="s">
        <v>3100</v>
      </c>
      <c r="F65" s="17" t="s">
        <v>3112</v>
      </c>
      <c r="G65" s="17"/>
      <c r="H65" s="17" t="s">
        <v>2621</v>
      </c>
      <c r="I65" s="2">
        <v>-6951359.46</v>
      </c>
      <c r="J65" s="2" t="s">
        <v>3100</v>
      </c>
      <c r="K65" s="2" t="s">
        <v>61</v>
      </c>
      <c r="L65" s="2" t="s">
        <v>58</v>
      </c>
      <c r="M65" s="2" t="s">
        <v>3110</v>
      </c>
      <c r="N65" s="2" t="s">
        <v>3182</v>
      </c>
      <c r="O65" s="2" t="s">
        <v>3183</v>
      </c>
      <c r="P65" s="2" t="s">
        <v>2624</v>
      </c>
      <c r="Q65" s="2" t="s">
        <v>3115</v>
      </c>
      <c r="R65" s="2">
        <v>131137.68</v>
      </c>
      <c r="S65" s="2">
        <v>231240</v>
      </c>
      <c r="T65" s="2">
        <v>231240</v>
      </c>
      <c r="U65" s="2" t="s">
        <v>3116</v>
      </c>
      <c r="V65" s="2">
        <v>6939485.21</v>
      </c>
      <c r="W65" s="2" t="s">
        <v>2626</v>
      </c>
      <c r="X65" s="2">
        <v>1.8897321059352701E-2</v>
      </c>
      <c r="Y65" s="2">
        <v>1.8865040824690701E-2</v>
      </c>
      <c r="Z65" s="2" t="s">
        <v>2627</v>
      </c>
      <c r="AA65" s="2">
        <v>-131137.679999999</v>
      </c>
      <c r="AB65" s="2" t="s">
        <v>939</v>
      </c>
      <c r="AC65" s="2">
        <v>67895.399999999994</v>
      </c>
      <c r="AD65" s="2" t="s">
        <v>56</v>
      </c>
      <c r="AE65" s="2" t="s">
        <v>56</v>
      </c>
      <c r="AF65" s="2" t="s">
        <v>2634</v>
      </c>
      <c r="AG65" s="2" t="s">
        <v>2635</v>
      </c>
      <c r="AH65" s="2" t="s">
        <v>2635</v>
      </c>
      <c r="AI65" s="2" t="s">
        <v>56</v>
      </c>
      <c r="AJ65" s="2" t="s">
        <v>56</v>
      </c>
      <c r="AK65" s="2" t="s">
        <v>56</v>
      </c>
      <c r="AL65" s="2" t="s">
        <v>56</v>
      </c>
      <c r="AM65" s="2" t="s">
        <v>56</v>
      </c>
      <c r="AN65" s="2" t="s">
        <v>56</v>
      </c>
      <c r="AO65" s="2" t="s">
        <v>939</v>
      </c>
      <c r="AP65" s="2" t="s">
        <v>939</v>
      </c>
      <c r="AQ65" s="2">
        <v>12236655</v>
      </c>
      <c r="AR65" s="2">
        <v>38569.747250400003</v>
      </c>
      <c r="AS65" s="2" t="s">
        <v>56</v>
      </c>
      <c r="AT65" s="2">
        <v>38569.74725</v>
      </c>
      <c r="AU65" s="2" t="s">
        <v>2634</v>
      </c>
      <c r="AV65" s="2" t="s">
        <v>56</v>
      </c>
      <c r="AW65" s="2" t="s">
        <v>56</v>
      </c>
      <c r="AX65" s="2" t="s">
        <v>2635</v>
      </c>
      <c r="AY65" s="2" t="s">
        <v>56</v>
      </c>
      <c r="AZ65" s="2" t="s">
        <v>56</v>
      </c>
      <c r="BA65" s="2" t="s">
        <v>2635</v>
      </c>
    </row>
    <row r="66" spans="1:53" x14ac:dyDescent="0.25">
      <c r="A66" s="17" t="s">
        <v>61</v>
      </c>
      <c r="B66" s="17" t="s">
        <v>58</v>
      </c>
      <c r="C66" s="17" t="s">
        <v>3110</v>
      </c>
      <c r="D66" s="17" t="s">
        <v>3111</v>
      </c>
      <c r="E66" s="17" t="s">
        <v>3100</v>
      </c>
      <c r="F66" s="17" t="s">
        <v>3112</v>
      </c>
      <c r="G66" s="17"/>
      <c r="H66" s="17" t="s">
        <v>2621</v>
      </c>
      <c r="I66" s="2">
        <v>-6951359.46</v>
      </c>
      <c r="J66" s="2" t="s">
        <v>3100</v>
      </c>
      <c r="K66" s="2" t="s">
        <v>61</v>
      </c>
      <c r="L66" s="2" t="s">
        <v>58</v>
      </c>
      <c r="M66" s="2" t="s">
        <v>3110</v>
      </c>
      <c r="N66" s="2" t="s">
        <v>3184</v>
      </c>
      <c r="O66" s="2" t="s">
        <v>3185</v>
      </c>
      <c r="P66" s="2" t="s">
        <v>2624</v>
      </c>
      <c r="Q66" s="2" t="s">
        <v>3115</v>
      </c>
      <c r="R66" s="2">
        <v>137066.78</v>
      </c>
      <c r="S66" s="2">
        <v>241695</v>
      </c>
      <c r="T66" s="2">
        <v>241695</v>
      </c>
      <c r="U66" s="2" t="s">
        <v>3116</v>
      </c>
      <c r="V66" s="2">
        <v>6939485.21</v>
      </c>
      <c r="W66" s="2" t="s">
        <v>2626</v>
      </c>
      <c r="X66" s="2">
        <v>1.9751721612214501E-2</v>
      </c>
      <c r="Y66" s="2">
        <v>1.9717981898176699E-2</v>
      </c>
      <c r="Z66" s="2" t="s">
        <v>2627</v>
      </c>
      <c r="AA66" s="2">
        <v>-137066.77999999901</v>
      </c>
      <c r="AB66" s="2" t="s">
        <v>939</v>
      </c>
      <c r="AC66" s="2">
        <v>67895.399999999994</v>
      </c>
      <c r="AD66" s="2" t="s">
        <v>56</v>
      </c>
      <c r="AE66" s="2" t="s">
        <v>56</v>
      </c>
      <c r="AF66" s="2" t="s">
        <v>2634</v>
      </c>
      <c r="AG66" s="2" t="s">
        <v>2635</v>
      </c>
      <c r="AH66" s="2" t="s">
        <v>2635</v>
      </c>
      <c r="AI66" s="2" t="s">
        <v>56</v>
      </c>
      <c r="AJ66" s="2" t="s">
        <v>56</v>
      </c>
      <c r="AK66" s="2" t="s">
        <v>56</v>
      </c>
      <c r="AL66" s="2" t="s">
        <v>56</v>
      </c>
      <c r="AM66" s="2" t="s">
        <v>56</v>
      </c>
      <c r="AN66" s="2" t="s">
        <v>56</v>
      </c>
      <c r="AO66" s="2" t="s">
        <v>939</v>
      </c>
      <c r="AP66" s="2" t="s">
        <v>939</v>
      </c>
      <c r="AQ66" s="2">
        <v>12236655</v>
      </c>
      <c r="AR66" s="2">
        <v>38569.747250400003</v>
      </c>
      <c r="AS66" s="2" t="s">
        <v>56</v>
      </c>
      <c r="AT66" s="2">
        <v>38569.74725</v>
      </c>
      <c r="AU66" s="2" t="s">
        <v>2634</v>
      </c>
      <c r="AV66" s="2" t="s">
        <v>56</v>
      </c>
      <c r="AW66" s="2" t="s">
        <v>56</v>
      </c>
      <c r="AX66" s="2" t="s">
        <v>2635</v>
      </c>
      <c r="AY66" s="2" t="s">
        <v>56</v>
      </c>
      <c r="AZ66" s="2" t="s">
        <v>56</v>
      </c>
      <c r="BA66" s="2" t="s">
        <v>2635</v>
      </c>
    </row>
    <row r="67" spans="1:53" x14ac:dyDescent="0.25">
      <c r="A67" s="17" t="s">
        <v>61</v>
      </c>
      <c r="B67" s="17" t="s">
        <v>58</v>
      </c>
      <c r="C67" s="17" t="s">
        <v>3110</v>
      </c>
      <c r="D67" s="17" t="s">
        <v>3111</v>
      </c>
      <c r="E67" s="17" t="s">
        <v>3100</v>
      </c>
      <c r="F67" s="17" t="s">
        <v>3112</v>
      </c>
      <c r="G67" s="17"/>
      <c r="H67" s="17" t="s">
        <v>2621</v>
      </c>
      <c r="I67" s="2">
        <v>-6951359.46</v>
      </c>
      <c r="J67" s="2" t="s">
        <v>3100</v>
      </c>
      <c r="K67" s="2" t="s">
        <v>61</v>
      </c>
      <c r="L67" s="2" t="s">
        <v>58</v>
      </c>
      <c r="M67" s="2" t="s">
        <v>3110</v>
      </c>
      <c r="N67" s="2" t="s">
        <v>3186</v>
      </c>
      <c r="O67" s="2" t="s">
        <v>3187</v>
      </c>
      <c r="P67" s="2" t="s">
        <v>2624</v>
      </c>
      <c r="Q67" s="2" t="s">
        <v>3115</v>
      </c>
      <c r="R67" s="2">
        <v>137066.78</v>
      </c>
      <c r="S67" s="2">
        <v>241695</v>
      </c>
      <c r="T67" s="2">
        <v>241695</v>
      </c>
      <c r="U67" s="2" t="s">
        <v>3116</v>
      </c>
      <c r="V67" s="2">
        <v>6939485.21</v>
      </c>
      <c r="W67" s="2" t="s">
        <v>2626</v>
      </c>
      <c r="X67" s="2">
        <v>1.9751721612214501E-2</v>
      </c>
      <c r="Y67" s="2">
        <v>1.9717981898176699E-2</v>
      </c>
      <c r="Z67" s="2" t="s">
        <v>2627</v>
      </c>
      <c r="AA67" s="2">
        <v>-137066.77999999901</v>
      </c>
      <c r="AB67" s="2" t="s">
        <v>939</v>
      </c>
      <c r="AC67" s="2">
        <v>67895.399999999994</v>
      </c>
      <c r="AD67" s="2" t="s">
        <v>56</v>
      </c>
      <c r="AE67" s="2" t="s">
        <v>56</v>
      </c>
      <c r="AF67" s="2" t="s">
        <v>2634</v>
      </c>
      <c r="AG67" s="2" t="s">
        <v>2635</v>
      </c>
      <c r="AH67" s="2" t="s">
        <v>2635</v>
      </c>
      <c r="AI67" s="2" t="s">
        <v>56</v>
      </c>
      <c r="AJ67" s="2" t="s">
        <v>56</v>
      </c>
      <c r="AK67" s="2" t="s">
        <v>56</v>
      </c>
      <c r="AL67" s="2" t="s">
        <v>56</v>
      </c>
      <c r="AM67" s="2" t="s">
        <v>56</v>
      </c>
      <c r="AN67" s="2" t="s">
        <v>56</v>
      </c>
      <c r="AO67" s="2" t="s">
        <v>939</v>
      </c>
      <c r="AP67" s="2" t="s">
        <v>939</v>
      </c>
      <c r="AQ67" s="2">
        <v>12236655</v>
      </c>
      <c r="AR67" s="2">
        <v>38569.747250400003</v>
      </c>
      <c r="AS67" s="2" t="s">
        <v>56</v>
      </c>
      <c r="AT67" s="2">
        <v>38569.74725</v>
      </c>
      <c r="AU67" s="2" t="s">
        <v>2634</v>
      </c>
      <c r="AV67" s="2" t="s">
        <v>56</v>
      </c>
      <c r="AW67" s="2" t="s">
        <v>56</v>
      </c>
      <c r="AX67" s="2" t="s">
        <v>2635</v>
      </c>
      <c r="AY67" s="2" t="s">
        <v>56</v>
      </c>
      <c r="AZ67" s="2" t="s">
        <v>56</v>
      </c>
      <c r="BA67" s="2" t="s">
        <v>2635</v>
      </c>
    </row>
    <row r="68" spans="1:53" x14ac:dyDescent="0.25">
      <c r="A68" s="17" t="s">
        <v>61</v>
      </c>
      <c r="B68" s="17" t="s">
        <v>58</v>
      </c>
      <c r="C68" s="17" t="s">
        <v>3110</v>
      </c>
      <c r="D68" s="17" t="s">
        <v>3111</v>
      </c>
      <c r="E68" s="17" t="s">
        <v>3100</v>
      </c>
      <c r="F68" s="17" t="s">
        <v>3112</v>
      </c>
      <c r="G68" s="17"/>
      <c r="H68" s="17" t="s">
        <v>2621</v>
      </c>
      <c r="I68" s="2">
        <v>-6951359.46</v>
      </c>
      <c r="J68" s="2" t="s">
        <v>3100</v>
      </c>
      <c r="K68" s="2" t="s">
        <v>61</v>
      </c>
      <c r="L68" s="2" t="s">
        <v>58</v>
      </c>
      <c r="M68" s="2" t="s">
        <v>3110</v>
      </c>
      <c r="N68" s="2" t="s">
        <v>2886</v>
      </c>
      <c r="O68" s="2" t="s">
        <v>3188</v>
      </c>
      <c r="P68" s="2" t="s">
        <v>2624</v>
      </c>
      <c r="Q68" s="2" t="s">
        <v>3115</v>
      </c>
      <c r="R68" s="2">
        <v>131137.68</v>
      </c>
      <c r="S68" s="2">
        <v>231240</v>
      </c>
      <c r="T68" s="2">
        <v>231240</v>
      </c>
      <c r="U68" s="2" t="s">
        <v>3116</v>
      </c>
      <c r="V68" s="2">
        <v>6939485.21</v>
      </c>
      <c r="W68" s="2" t="s">
        <v>2626</v>
      </c>
      <c r="X68" s="2">
        <v>1.8897321059352701E-2</v>
      </c>
      <c r="Y68" s="2">
        <v>1.8865040824690701E-2</v>
      </c>
      <c r="Z68" s="2" t="s">
        <v>2627</v>
      </c>
      <c r="AA68" s="2">
        <v>-131137.679999999</v>
      </c>
      <c r="AB68" s="2" t="s">
        <v>939</v>
      </c>
      <c r="AC68" s="2">
        <v>67895.399999999994</v>
      </c>
      <c r="AD68" s="2" t="s">
        <v>56</v>
      </c>
      <c r="AE68" s="2" t="s">
        <v>56</v>
      </c>
      <c r="AF68" s="2" t="s">
        <v>2634</v>
      </c>
      <c r="AG68" s="2" t="s">
        <v>2635</v>
      </c>
      <c r="AH68" s="2" t="s">
        <v>2635</v>
      </c>
      <c r="AI68" s="2" t="s">
        <v>56</v>
      </c>
      <c r="AJ68" s="2" t="s">
        <v>56</v>
      </c>
      <c r="AK68" s="2" t="s">
        <v>56</v>
      </c>
      <c r="AL68" s="2" t="s">
        <v>56</v>
      </c>
      <c r="AM68" s="2" t="s">
        <v>56</v>
      </c>
      <c r="AN68" s="2" t="s">
        <v>56</v>
      </c>
      <c r="AO68" s="2" t="s">
        <v>939</v>
      </c>
      <c r="AP68" s="2" t="s">
        <v>939</v>
      </c>
      <c r="AQ68" s="2">
        <v>12236655</v>
      </c>
      <c r="AR68" s="2">
        <v>38569.747250400003</v>
      </c>
      <c r="AS68" s="2" t="s">
        <v>56</v>
      </c>
      <c r="AT68" s="2">
        <v>38569.74725</v>
      </c>
      <c r="AU68" s="2" t="s">
        <v>2634</v>
      </c>
      <c r="AV68" s="2" t="s">
        <v>56</v>
      </c>
      <c r="AW68" s="2" t="s">
        <v>56</v>
      </c>
      <c r="AX68" s="2" t="s">
        <v>2635</v>
      </c>
      <c r="AY68" s="2" t="s">
        <v>56</v>
      </c>
      <c r="AZ68" s="2" t="s">
        <v>56</v>
      </c>
      <c r="BA68" s="2" t="s">
        <v>2635</v>
      </c>
    </row>
    <row r="69" spans="1:53" x14ac:dyDescent="0.25">
      <c r="A69" s="17" t="s">
        <v>61</v>
      </c>
      <c r="B69" s="17" t="s">
        <v>58</v>
      </c>
      <c r="C69" s="17" t="s">
        <v>3110</v>
      </c>
      <c r="D69" s="17" t="s">
        <v>3111</v>
      </c>
      <c r="E69" s="17" t="s">
        <v>3100</v>
      </c>
      <c r="F69" s="17" t="s">
        <v>3112</v>
      </c>
      <c r="G69" s="17"/>
      <c r="H69" s="17" t="s">
        <v>2621</v>
      </c>
      <c r="I69" s="2">
        <v>-6951359.46</v>
      </c>
      <c r="J69" s="2" t="s">
        <v>3100</v>
      </c>
      <c r="K69" s="2" t="s">
        <v>61</v>
      </c>
      <c r="L69" s="2" t="s">
        <v>58</v>
      </c>
      <c r="M69" s="2" t="s">
        <v>3110</v>
      </c>
      <c r="N69" s="2" t="s">
        <v>3189</v>
      </c>
      <c r="O69" s="2" t="s">
        <v>3190</v>
      </c>
      <c r="P69" s="2" t="s">
        <v>2624</v>
      </c>
      <c r="Q69" s="2" t="s">
        <v>3115</v>
      </c>
      <c r="R69" s="2">
        <v>137066.78</v>
      </c>
      <c r="S69" s="2">
        <v>241695</v>
      </c>
      <c r="T69" s="2">
        <v>241695</v>
      </c>
      <c r="U69" s="2" t="s">
        <v>3116</v>
      </c>
      <c r="V69" s="2">
        <v>6939485.21</v>
      </c>
      <c r="W69" s="2" t="s">
        <v>2626</v>
      </c>
      <c r="X69" s="2">
        <v>1.9751721612214501E-2</v>
      </c>
      <c r="Y69" s="2">
        <v>1.9717981898176699E-2</v>
      </c>
      <c r="Z69" s="2" t="s">
        <v>2627</v>
      </c>
      <c r="AA69" s="2">
        <v>-137066.77999999901</v>
      </c>
      <c r="AB69" s="2" t="s">
        <v>939</v>
      </c>
      <c r="AC69" s="2">
        <v>67895.399999999994</v>
      </c>
      <c r="AD69" s="2" t="s">
        <v>56</v>
      </c>
      <c r="AE69" s="2" t="s">
        <v>56</v>
      </c>
      <c r="AF69" s="2" t="s">
        <v>2634</v>
      </c>
      <c r="AG69" s="2" t="s">
        <v>2635</v>
      </c>
      <c r="AH69" s="2" t="s">
        <v>2635</v>
      </c>
      <c r="AI69" s="2" t="s">
        <v>56</v>
      </c>
      <c r="AJ69" s="2" t="s">
        <v>56</v>
      </c>
      <c r="AK69" s="2" t="s">
        <v>56</v>
      </c>
      <c r="AL69" s="2" t="s">
        <v>56</v>
      </c>
      <c r="AM69" s="2" t="s">
        <v>56</v>
      </c>
      <c r="AN69" s="2" t="s">
        <v>56</v>
      </c>
      <c r="AO69" s="2" t="s">
        <v>939</v>
      </c>
      <c r="AP69" s="2" t="s">
        <v>939</v>
      </c>
      <c r="AQ69" s="2">
        <v>12236655</v>
      </c>
      <c r="AR69" s="2">
        <v>38569.747250400003</v>
      </c>
      <c r="AS69" s="2" t="s">
        <v>56</v>
      </c>
      <c r="AT69" s="2">
        <v>38569.74725</v>
      </c>
      <c r="AU69" s="2" t="s">
        <v>2634</v>
      </c>
      <c r="AV69" s="2" t="s">
        <v>56</v>
      </c>
      <c r="AW69" s="2" t="s">
        <v>56</v>
      </c>
      <c r="AX69" s="2" t="s">
        <v>2635</v>
      </c>
      <c r="AY69" s="2" t="s">
        <v>56</v>
      </c>
      <c r="AZ69" s="2" t="s">
        <v>56</v>
      </c>
      <c r="BA69" s="2" t="s">
        <v>2635</v>
      </c>
    </row>
    <row r="70" spans="1:53" x14ac:dyDescent="0.25">
      <c r="A70" s="17" t="s">
        <v>61</v>
      </c>
      <c r="B70" s="17" t="s">
        <v>58</v>
      </c>
      <c r="C70" s="17" t="s">
        <v>3110</v>
      </c>
      <c r="D70" s="17" t="s">
        <v>3111</v>
      </c>
      <c r="E70" s="17" t="s">
        <v>3100</v>
      </c>
      <c r="F70" s="17" t="s">
        <v>3112</v>
      </c>
      <c r="G70" s="17"/>
      <c r="H70" s="17" t="s">
        <v>2621</v>
      </c>
      <c r="I70" s="2">
        <v>-6951359.46</v>
      </c>
      <c r="J70" s="2" t="s">
        <v>3100</v>
      </c>
      <c r="K70" s="2" t="s">
        <v>61</v>
      </c>
      <c r="L70" s="2" t="s">
        <v>58</v>
      </c>
      <c r="M70" s="2" t="s">
        <v>3110</v>
      </c>
      <c r="N70" s="2" t="s">
        <v>3191</v>
      </c>
      <c r="O70" s="2" t="s">
        <v>3192</v>
      </c>
      <c r="P70" s="2" t="s">
        <v>2624</v>
      </c>
      <c r="Q70" s="2" t="s">
        <v>3115</v>
      </c>
      <c r="R70" s="2">
        <v>137066.78</v>
      </c>
      <c r="S70" s="2">
        <v>241695</v>
      </c>
      <c r="T70" s="2">
        <v>241695</v>
      </c>
      <c r="U70" s="2" t="s">
        <v>3116</v>
      </c>
      <c r="V70" s="2">
        <v>6939485.21</v>
      </c>
      <c r="W70" s="2" t="s">
        <v>2626</v>
      </c>
      <c r="X70" s="2">
        <v>1.9751721612214501E-2</v>
      </c>
      <c r="Y70" s="2">
        <v>1.9717981898176699E-2</v>
      </c>
      <c r="Z70" s="2" t="s">
        <v>2627</v>
      </c>
      <c r="AA70" s="2">
        <v>-137066.77999999901</v>
      </c>
      <c r="AB70" s="2" t="s">
        <v>939</v>
      </c>
      <c r="AC70" s="2">
        <v>67895.399999999994</v>
      </c>
      <c r="AD70" s="2" t="s">
        <v>56</v>
      </c>
      <c r="AE70" s="2" t="s">
        <v>56</v>
      </c>
      <c r="AF70" s="2" t="s">
        <v>2634</v>
      </c>
      <c r="AG70" s="2" t="s">
        <v>2635</v>
      </c>
      <c r="AH70" s="2" t="s">
        <v>2635</v>
      </c>
      <c r="AI70" s="2" t="s">
        <v>56</v>
      </c>
      <c r="AJ70" s="2" t="s">
        <v>56</v>
      </c>
      <c r="AK70" s="2" t="s">
        <v>56</v>
      </c>
      <c r="AL70" s="2" t="s">
        <v>56</v>
      </c>
      <c r="AM70" s="2" t="s">
        <v>56</v>
      </c>
      <c r="AN70" s="2" t="s">
        <v>56</v>
      </c>
      <c r="AO70" s="2" t="s">
        <v>939</v>
      </c>
      <c r="AP70" s="2" t="s">
        <v>939</v>
      </c>
      <c r="AQ70" s="2">
        <v>12236655</v>
      </c>
      <c r="AR70" s="2">
        <v>38569.747250400003</v>
      </c>
      <c r="AS70" s="2" t="s">
        <v>56</v>
      </c>
      <c r="AT70" s="2">
        <v>38569.74725</v>
      </c>
      <c r="AU70" s="2" t="s">
        <v>2634</v>
      </c>
      <c r="AV70" s="2" t="s">
        <v>56</v>
      </c>
      <c r="AW70" s="2" t="s">
        <v>56</v>
      </c>
      <c r="AX70" s="2" t="s">
        <v>2635</v>
      </c>
      <c r="AY70" s="2" t="s">
        <v>56</v>
      </c>
      <c r="AZ70" s="2" t="s">
        <v>56</v>
      </c>
      <c r="BA70" s="2" t="s">
        <v>2635</v>
      </c>
    </row>
    <row r="71" spans="1:53" x14ac:dyDescent="0.25">
      <c r="A71" s="17" t="s">
        <v>61</v>
      </c>
      <c r="B71" s="17" t="s">
        <v>58</v>
      </c>
      <c r="C71" s="17" t="s">
        <v>3110</v>
      </c>
      <c r="D71" s="17" t="s">
        <v>3111</v>
      </c>
      <c r="E71" s="17" t="s">
        <v>3100</v>
      </c>
      <c r="F71" s="17" t="s">
        <v>3112</v>
      </c>
      <c r="G71" s="17"/>
      <c r="H71" s="17" t="s">
        <v>2621</v>
      </c>
      <c r="I71" s="2">
        <v>-6951359.46</v>
      </c>
      <c r="J71" s="2" t="s">
        <v>3100</v>
      </c>
      <c r="K71" s="2" t="s">
        <v>61</v>
      </c>
      <c r="L71" s="2" t="s">
        <v>58</v>
      </c>
      <c r="M71" s="2" t="s">
        <v>3110</v>
      </c>
      <c r="N71" s="2" t="s">
        <v>3193</v>
      </c>
      <c r="O71" s="2" t="s">
        <v>3194</v>
      </c>
      <c r="P71" s="2" t="s">
        <v>2624</v>
      </c>
      <c r="Q71" s="2" t="s">
        <v>3115</v>
      </c>
      <c r="R71" s="2">
        <v>131137.68</v>
      </c>
      <c r="S71" s="2">
        <v>231240</v>
      </c>
      <c r="T71" s="2">
        <v>231240</v>
      </c>
      <c r="U71" s="2" t="s">
        <v>3116</v>
      </c>
      <c r="V71" s="2">
        <v>6939485.21</v>
      </c>
      <c r="W71" s="2" t="s">
        <v>2626</v>
      </c>
      <c r="X71" s="2">
        <v>1.8897321059352701E-2</v>
      </c>
      <c r="Y71" s="2">
        <v>1.8865040824690701E-2</v>
      </c>
      <c r="Z71" s="2" t="s">
        <v>2627</v>
      </c>
      <c r="AA71" s="2">
        <v>-131137.679999999</v>
      </c>
      <c r="AB71" s="2" t="s">
        <v>939</v>
      </c>
      <c r="AC71" s="2">
        <v>67895.399999999994</v>
      </c>
      <c r="AD71" s="2" t="s">
        <v>56</v>
      </c>
      <c r="AE71" s="2" t="s">
        <v>56</v>
      </c>
      <c r="AF71" s="2" t="s">
        <v>2634</v>
      </c>
      <c r="AG71" s="2" t="s">
        <v>2635</v>
      </c>
      <c r="AH71" s="2" t="s">
        <v>2635</v>
      </c>
      <c r="AI71" s="2" t="s">
        <v>56</v>
      </c>
      <c r="AJ71" s="2" t="s">
        <v>56</v>
      </c>
      <c r="AK71" s="2" t="s">
        <v>56</v>
      </c>
      <c r="AL71" s="2" t="s">
        <v>56</v>
      </c>
      <c r="AM71" s="2" t="s">
        <v>56</v>
      </c>
      <c r="AN71" s="2" t="s">
        <v>56</v>
      </c>
      <c r="AO71" s="2" t="s">
        <v>939</v>
      </c>
      <c r="AP71" s="2" t="s">
        <v>939</v>
      </c>
      <c r="AQ71" s="2">
        <v>12236655</v>
      </c>
      <c r="AR71" s="2">
        <v>38569.747250400003</v>
      </c>
      <c r="AS71" s="2" t="s">
        <v>56</v>
      </c>
      <c r="AT71" s="2">
        <v>38569.74725</v>
      </c>
      <c r="AU71" s="2" t="s">
        <v>2634</v>
      </c>
      <c r="AV71" s="2" t="s">
        <v>56</v>
      </c>
      <c r="AW71" s="2" t="s">
        <v>56</v>
      </c>
      <c r="AX71" s="2" t="s">
        <v>2635</v>
      </c>
      <c r="AY71" s="2" t="s">
        <v>56</v>
      </c>
      <c r="AZ71" s="2" t="s">
        <v>56</v>
      </c>
      <c r="BA71" s="2" t="s">
        <v>2635</v>
      </c>
    </row>
    <row r="72" spans="1:53" x14ac:dyDescent="0.25">
      <c r="A72" s="17" t="s">
        <v>61</v>
      </c>
      <c r="B72" s="17" t="s">
        <v>58</v>
      </c>
      <c r="C72" s="17" t="s">
        <v>3110</v>
      </c>
      <c r="D72" s="17" t="s">
        <v>3111</v>
      </c>
      <c r="E72" s="17" t="s">
        <v>3100</v>
      </c>
      <c r="F72" s="17" t="s">
        <v>3112</v>
      </c>
      <c r="G72" s="17"/>
      <c r="H72" s="17" t="s">
        <v>2621</v>
      </c>
      <c r="I72" s="2">
        <v>-6951359.46</v>
      </c>
      <c r="J72" s="2" t="s">
        <v>3100</v>
      </c>
      <c r="K72" s="2" t="s">
        <v>61</v>
      </c>
      <c r="L72" s="2" t="s">
        <v>58</v>
      </c>
      <c r="M72" s="2" t="s">
        <v>3110</v>
      </c>
      <c r="N72" s="2" t="s">
        <v>3195</v>
      </c>
      <c r="O72" s="2" t="s">
        <v>3196</v>
      </c>
      <c r="P72" s="2" t="s">
        <v>2624</v>
      </c>
      <c r="Q72" s="2" t="s">
        <v>3115</v>
      </c>
      <c r="R72" s="2">
        <v>131137.68</v>
      </c>
      <c r="S72" s="2">
        <v>231240</v>
      </c>
      <c r="T72" s="2">
        <v>231240</v>
      </c>
      <c r="U72" s="2" t="s">
        <v>3116</v>
      </c>
      <c r="V72" s="2">
        <v>6939485.21</v>
      </c>
      <c r="W72" s="2" t="s">
        <v>2626</v>
      </c>
      <c r="X72" s="2">
        <v>1.8897321059352701E-2</v>
      </c>
      <c r="Y72" s="2">
        <v>1.8865040824690701E-2</v>
      </c>
      <c r="Z72" s="2" t="s">
        <v>2627</v>
      </c>
      <c r="AA72" s="2">
        <v>-131137.679999999</v>
      </c>
      <c r="AB72" s="2" t="s">
        <v>939</v>
      </c>
      <c r="AC72" s="2">
        <v>67895.399999999994</v>
      </c>
      <c r="AD72" s="2" t="s">
        <v>56</v>
      </c>
      <c r="AE72" s="2" t="s">
        <v>56</v>
      </c>
      <c r="AF72" s="2" t="s">
        <v>2634</v>
      </c>
      <c r="AG72" s="2" t="s">
        <v>2635</v>
      </c>
      <c r="AH72" s="2" t="s">
        <v>2635</v>
      </c>
      <c r="AI72" s="2" t="s">
        <v>56</v>
      </c>
      <c r="AJ72" s="2" t="s">
        <v>56</v>
      </c>
      <c r="AK72" s="2" t="s">
        <v>56</v>
      </c>
      <c r="AL72" s="2" t="s">
        <v>56</v>
      </c>
      <c r="AM72" s="2" t="s">
        <v>56</v>
      </c>
      <c r="AN72" s="2" t="s">
        <v>56</v>
      </c>
      <c r="AO72" s="2" t="s">
        <v>939</v>
      </c>
      <c r="AP72" s="2" t="s">
        <v>939</v>
      </c>
      <c r="AQ72" s="2">
        <v>12236655</v>
      </c>
      <c r="AR72" s="2">
        <v>38569.747250400003</v>
      </c>
      <c r="AS72" s="2" t="s">
        <v>56</v>
      </c>
      <c r="AT72" s="2">
        <v>38569.74725</v>
      </c>
      <c r="AU72" s="2" t="s">
        <v>2634</v>
      </c>
      <c r="AV72" s="2" t="s">
        <v>56</v>
      </c>
      <c r="AW72" s="2" t="s">
        <v>56</v>
      </c>
      <c r="AX72" s="2" t="s">
        <v>2635</v>
      </c>
      <c r="AY72" s="2" t="s">
        <v>56</v>
      </c>
      <c r="AZ72" s="2" t="s">
        <v>56</v>
      </c>
      <c r="BA72" s="2" t="s">
        <v>2635</v>
      </c>
    </row>
    <row r="73" spans="1:53" x14ac:dyDescent="0.25">
      <c r="A73" s="17" t="s">
        <v>61</v>
      </c>
      <c r="B73" s="17" t="s">
        <v>58</v>
      </c>
      <c r="C73" s="17" t="s">
        <v>3110</v>
      </c>
      <c r="D73" s="17" t="s">
        <v>3111</v>
      </c>
      <c r="E73" s="17" t="s">
        <v>3100</v>
      </c>
      <c r="F73" s="17" t="s">
        <v>3112</v>
      </c>
      <c r="G73" s="17"/>
      <c r="H73" s="17" t="s">
        <v>2621</v>
      </c>
      <c r="I73" s="2">
        <v>-6951359.46</v>
      </c>
      <c r="J73" s="2" t="s">
        <v>3100</v>
      </c>
      <c r="K73" s="2" t="s">
        <v>61</v>
      </c>
      <c r="L73" s="2" t="s">
        <v>58</v>
      </c>
      <c r="M73" s="2" t="s">
        <v>3110</v>
      </c>
      <c r="N73" s="2" t="s">
        <v>2622</v>
      </c>
      <c r="O73" s="2" t="s">
        <v>3197</v>
      </c>
      <c r="P73" s="2" t="s">
        <v>2624</v>
      </c>
      <c r="Q73" s="2" t="s">
        <v>3115</v>
      </c>
      <c r="R73" s="2">
        <v>131137.68</v>
      </c>
      <c r="S73" s="2">
        <v>231240</v>
      </c>
      <c r="T73" s="2">
        <v>231240</v>
      </c>
      <c r="U73" s="2" t="s">
        <v>3116</v>
      </c>
      <c r="V73" s="2">
        <v>6939485.21</v>
      </c>
      <c r="W73" s="2" t="s">
        <v>2626</v>
      </c>
      <c r="X73" s="2">
        <v>1.8897321059352701E-2</v>
      </c>
      <c r="Y73" s="2">
        <v>1.8865040824690701E-2</v>
      </c>
      <c r="Z73" s="2" t="s">
        <v>2627</v>
      </c>
      <c r="AA73" s="2">
        <v>-131137.679999999</v>
      </c>
      <c r="AB73" s="2" t="s">
        <v>939</v>
      </c>
      <c r="AC73" s="2">
        <v>67895.399999999994</v>
      </c>
      <c r="AD73" s="2" t="s">
        <v>56</v>
      </c>
      <c r="AE73" s="2" t="s">
        <v>56</v>
      </c>
      <c r="AF73" s="2" t="s">
        <v>2634</v>
      </c>
      <c r="AG73" s="2" t="s">
        <v>2635</v>
      </c>
      <c r="AH73" s="2" t="s">
        <v>2635</v>
      </c>
      <c r="AI73" s="2" t="s">
        <v>56</v>
      </c>
      <c r="AJ73" s="2" t="s">
        <v>56</v>
      </c>
      <c r="AK73" s="2" t="s">
        <v>56</v>
      </c>
      <c r="AL73" s="2" t="s">
        <v>56</v>
      </c>
      <c r="AM73" s="2" t="s">
        <v>56</v>
      </c>
      <c r="AN73" s="2" t="s">
        <v>56</v>
      </c>
      <c r="AO73" s="2" t="s">
        <v>939</v>
      </c>
      <c r="AP73" s="2" t="s">
        <v>939</v>
      </c>
      <c r="AQ73" s="2">
        <v>12236655</v>
      </c>
      <c r="AR73" s="2">
        <v>38569.747250400003</v>
      </c>
      <c r="AS73" s="2" t="s">
        <v>56</v>
      </c>
      <c r="AT73" s="2">
        <v>38569.74725</v>
      </c>
      <c r="AU73" s="2" t="s">
        <v>2634</v>
      </c>
      <c r="AV73" s="2" t="s">
        <v>56</v>
      </c>
      <c r="AW73" s="2" t="s">
        <v>56</v>
      </c>
      <c r="AX73" s="2" t="s">
        <v>2635</v>
      </c>
      <c r="AY73" s="2" t="s">
        <v>56</v>
      </c>
      <c r="AZ73" s="2" t="s">
        <v>56</v>
      </c>
      <c r="BA73" s="2" t="s">
        <v>2635</v>
      </c>
    </row>
    <row r="74" spans="1:53" x14ac:dyDescent="0.25">
      <c r="A74" s="17" t="s">
        <v>61</v>
      </c>
      <c r="B74" s="17" t="s">
        <v>58</v>
      </c>
      <c r="C74" s="17" t="s">
        <v>3110</v>
      </c>
      <c r="D74" s="17" t="s">
        <v>3111</v>
      </c>
      <c r="E74" s="17" t="s">
        <v>3100</v>
      </c>
      <c r="F74" s="17" t="s">
        <v>3112</v>
      </c>
      <c r="G74" s="17"/>
      <c r="H74" s="17" t="s">
        <v>2621</v>
      </c>
      <c r="I74" s="2">
        <v>-6951359.46</v>
      </c>
      <c r="J74" s="2" t="s">
        <v>3100</v>
      </c>
      <c r="K74" s="2" t="s">
        <v>61</v>
      </c>
      <c r="L74" s="2" t="s">
        <v>58</v>
      </c>
      <c r="M74" s="2" t="s">
        <v>3110</v>
      </c>
      <c r="N74" s="2" t="s">
        <v>3198</v>
      </c>
      <c r="O74" s="2" t="s">
        <v>3199</v>
      </c>
      <c r="P74" s="2" t="s">
        <v>2624</v>
      </c>
      <c r="Q74" s="2" t="s">
        <v>3115</v>
      </c>
      <c r="R74" s="2">
        <v>137066.78</v>
      </c>
      <c r="S74" s="2">
        <v>241695</v>
      </c>
      <c r="T74" s="2">
        <v>241695</v>
      </c>
      <c r="U74" s="2" t="s">
        <v>3116</v>
      </c>
      <c r="V74" s="2">
        <v>6939485.21</v>
      </c>
      <c r="W74" s="2" t="s">
        <v>2626</v>
      </c>
      <c r="X74" s="2">
        <v>1.9751721612214501E-2</v>
      </c>
      <c r="Y74" s="2">
        <v>1.9717981898176699E-2</v>
      </c>
      <c r="Z74" s="2" t="s">
        <v>2627</v>
      </c>
      <c r="AA74" s="2">
        <v>-137066.77999999901</v>
      </c>
      <c r="AB74" s="2" t="s">
        <v>939</v>
      </c>
      <c r="AC74" s="2">
        <v>67895.399999999994</v>
      </c>
      <c r="AD74" s="2" t="s">
        <v>56</v>
      </c>
      <c r="AE74" s="2" t="s">
        <v>56</v>
      </c>
      <c r="AF74" s="2" t="s">
        <v>2634</v>
      </c>
      <c r="AG74" s="2" t="s">
        <v>2635</v>
      </c>
      <c r="AH74" s="2" t="s">
        <v>2635</v>
      </c>
      <c r="AI74" s="2" t="s">
        <v>56</v>
      </c>
      <c r="AJ74" s="2" t="s">
        <v>56</v>
      </c>
      <c r="AK74" s="2" t="s">
        <v>56</v>
      </c>
      <c r="AL74" s="2" t="s">
        <v>56</v>
      </c>
      <c r="AM74" s="2" t="s">
        <v>56</v>
      </c>
      <c r="AN74" s="2" t="s">
        <v>56</v>
      </c>
      <c r="AO74" s="2" t="s">
        <v>939</v>
      </c>
      <c r="AP74" s="2" t="s">
        <v>939</v>
      </c>
      <c r="AQ74" s="2">
        <v>12236655</v>
      </c>
      <c r="AR74" s="2">
        <v>38569.747250400003</v>
      </c>
      <c r="AS74" s="2" t="s">
        <v>56</v>
      </c>
      <c r="AT74" s="2">
        <v>38569.74725</v>
      </c>
      <c r="AU74" s="2" t="s">
        <v>2634</v>
      </c>
      <c r="AV74" s="2" t="s">
        <v>56</v>
      </c>
      <c r="AW74" s="2" t="s">
        <v>56</v>
      </c>
      <c r="AX74" s="2" t="s">
        <v>2635</v>
      </c>
      <c r="AY74" s="2" t="s">
        <v>56</v>
      </c>
      <c r="AZ74" s="2" t="s">
        <v>56</v>
      </c>
      <c r="BA74" s="2" t="s">
        <v>2635</v>
      </c>
    </row>
    <row r="75" spans="1:53" x14ac:dyDescent="0.25">
      <c r="A75" s="17" t="s">
        <v>61</v>
      </c>
      <c r="B75" s="17" t="s">
        <v>58</v>
      </c>
      <c r="C75" s="17" t="s">
        <v>3110</v>
      </c>
      <c r="D75" s="17" t="s">
        <v>3111</v>
      </c>
      <c r="E75" s="17" t="s">
        <v>3100</v>
      </c>
      <c r="F75" s="17" t="s">
        <v>3112</v>
      </c>
      <c r="G75" s="17"/>
      <c r="H75" s="17" t="s">
        <v>2621</v>
      </c>
      <c r="I75" s="2">
        <v>-6951359.46</v>
      </c>
      <c r="J75" s="2" t="s">
        <v>3100</v>
      </c>
      <c r="K75" s="2" t="s">
        <v>61</v>
      </c>
      <c r="L75" s="2" t="s">
        <v>58</v>
      </c>
      <c r="M75" s="2" t="s">
        <v>3110</v>
      </c>
      <c r="N75" s="2" t="s">
        <v>3200</v>
      </c>
      <c r="O75" s="2" t="s">
        <v>3201</v>
      </c>
      <c r="P75" s="2" t="s">
        <v>2624</v>
      </c>
      <c r="Q75" s="2" t="s">
        <v>3115</v>
      </c>
      <c r="R75" s="2">
        <v>131137.68</v>
      </c>
      <c r="S75" s="2">
        <v>231240</v>
      </c>
      <c r="T75" s="2">
        <v>231240</v>
      </c>
      <c r="U75" s="2" t="s">
        <v>3116</v>
      </c>
      <c r="V75" s="2">
        <v>6939485.21</v>
      </c>
      <c r="W75" s="2" t="s">
        <v>2626</v>
      </c>
      <c r="X75" s="2">
        <v>1.8897321059352701E-2</v>
      </c>
      <c r="Y75" s="2">
        <v>1.8865040824690701E-2</v>
      </c>
      <c r="Z75" s="2" t="s">
        <v>2627</v>
      </c>
      <c r="AA75" s="2">
        <v>-131137.679999999</v>
      </c>
      <c r="AB75" s="2" t="s">
        <v>939</v>
      </c>
      <c r="AC75" s="2">
        <v>67895.399999999994</v>
      </c>
      <c r="AD75" s="2" t="s">
        <v>56</v>
      </c>
      <c r="AE75" s="2" t="s">
        <v>56</v>
      </c>
      <c r="AF75" s="2" t="s">
        <v>2634</v>
      </c>
      <c r="AG75" s="2" t="s">
        <v>2635</v>
      </c>
      <c r="AH75" s="2" t="s">
        <v>2635</v>
      </c>
      <c r="AI75" s="2" t="s">
        <v>56</v>
      </c>
      <c r="AJ75" s="2" t="s">
        <v>56</v>
      </c>
      <c r="AK75" s="2" t="s">
        <v>56</v>
      </c>
      <c r="AL75" s="2" t="s">
        <v>56</v>
      </c>
      <c r="AM75" s="2" t="s">
        <v>56</v>
      </c>
      <c r="AN75" s="2" t="s">
        <v>56</v>
      </c>
      <c r="AO75" s="2" t="s">
        <v>939</v>
      </c>
      <c r="AP75" s="2" t="s">
        <v>939</v>
      </c>
      <c r="AQ75" s="2">
        <v>12236655</v>
      </c>
      <c r="AR75" s="2">
        <v>38569.747250400003</v>
      </c>
      <c r="AS75" s="2" t="s">
        <v>56</v>
      </c>
      <c r="AT75" s="2">
        <v>38569.74725</v>
      </c>
      <c r="AU75" s="2" t="s">
        <v>2634</v>
      </c>
      <c r="AV75" s="2" t="s">
        <v>56</v>
      </c>
      <c r="AW75" s="2" t="s">
        <v>56</v>
      </c>
      <c r="AX75" s="2" t="s">
        <v>2635</v>
      </c>
      <c r="AY75" s="2" t="s">
        <v>56</v>
      </c>
      <c r="AZ75" s="2" t="s">
        <v>56</v>
      </c>
      <c r="BA75" s="2" t="s">
        <v>2635</v>
      </c>
    </row>
    <row r="76" spans="1:53" x14ac:dyDescent="0.25">
      <c r="A76" s="17" t="s">
        <v>61</v>
      </c>
      <c r="B76" s="17" t="s">
        <v>58</v>
      </c>
      <c r="C76" s="17" t="s">
        <v>3110</v>
      </c>
      <c r="D76" s="17" t="s">
        <v>3111</v>
      </c>
      <c r="E76" s="17" t="s">
        <v>3100</v>
      </c>
      <c r="F76" s="17" t="s">
        <v>3112</v>
      </c>
      <c r="G76" s="17"/>
      <c r="H76" s="17" t="s">
        <v>2621</v>
      </c>
      <c r="I76" s="2">
        <v>-6951359.46</v>
      </c>
      <c r="J76" s="2" t="s">
        <v>3100</v>
      </c>
      <c r="K76" s="2" t="s">
        <v>61</v>
      </c>
      <c r="L76" s="2" t="s">
        <v>58</v>
      </c>
      <c r="M76" s="2" t="s">
        <v>3110</v>
      </c>
      <c r="N76" s="2" t="s">
        <v>2889</v>
      </c>
      <c r="O76" s="2" t="s">
        <v>3202</v>
      </c>
      <c r="P76" s="2" t="s">
        <v>2624</v>
      </c>
      <c r="Q76" s="2" t="s">
        <v>3115</v>
      </c>
      <c r="R76" s="2">
        <v>131137.68</v>
      </c>
      <c r="S76" s="2">
        <v>231240</v>
      </c>
      <c r="T76" s="2">
        <v>231240</v>
      </c>
      <c r="U76" s="2" t="s">
        <v>3116</v>
      </c>
      <c r="V76" s="2">
        <v>6939485.21</v>
      </c>
      <c r="W76" s="2" t="s">
        <v>2626</v>
      </c>
      <c r="X76" s="2">
        <v>1.8897321059352701E-2</v>
      </c>
      <c r="Y76" s="2">
        <v>1.8865040824690701E-2</v>
      </c>
      <c r="Z76" s="2" t="s">
        <v>2627</v>
      </c>
      <c r="AA76" s="2">
        <v>-131137.679999999</v>
      </c>
      <c r="AB76" s="2" t="s">
        <v>939</v>
      </c>
      <c r="AC76" s="2">
        <v>67895.399999999994</v>
      </c>
      <c r="AD76" s="2" t="s">
        <v>56</v>
      </c>
      <c r="AE76" s="2" t="s">
        <v>56</v>
      </c>
      <c r="AF76" s="2" t="s">
        <v>2634</v>
      </c>
      <c r="AG76" s="2" t="s">
        <v>2635</v>
      </c>
      <c r="AH76" s="2" t="s">
        <v>2635</v>
      </c>
      <c r="AI76" s="2" t="s">
        <v>56</v>
      </c>
      <c r="AJ76" s="2" t="s">
        <v>56</v>
      </c>
      <c r="AK76" s="2" t="s">
        <v>56</v>
      </c>
      <c r="AL76" s="2" t="s">
        <v>56</v>
      </c>
      <c r="AM76" s="2" t="s">
        <v>56</v>
      </c>
      <c r="AN76" s="2" t="s">
        <v>56</v>
      </c>
      <c r="AO76" s="2" t="s">
        <v>939</v>
      </c>
      <c r="AP76" s="2" t="s">
        <v>939</v>
      </c>
      <c r="AQ76" s="2">
        <v>12236655</v>
      </c>
      <c r="AR76" s="2">
        <v>38569.747250400003</v>
      </c>
      <c r="AS76" s="2" t="s">
        <v>56</v>
      </c>
      <c r="AT76" s="2">
        <v>38569.74725</v>
      </c>
      <c r="AU76" s="2" t="s">
        <v>2634</v>
      </c>
      <c r="AV76" s="2" t="s">
        <v>56</v>
      </c>
      <c r="AW76" s="2" t="s">
        <v>56</v>
      </c>
      <c r="AX76" s="2" t="s">
        <v>2635</v>
      </c>
      <c r="AY76" s="2" t="s">
        <v>56</v>
      </c>
      <c r="AZ76" s="2" t="s">
        <v>56</v>
      </c>
      <c r="BA76" s="2" t="s">
        <v>2635</v>
      </c>
    </row>
    <row r="77" spans="1:53" x14ac:dyDescent="0.25">
      <c r="A77" s="17" t="s">
        <v>61</v>
      </c>
      <c r="B77" s="17" t="s">
        <v>58</v>
      </c>
      <c r="C77" s="17" t="s">
        <v>3110</v>
      </c>
      <c r="D77" s="17" t="s">
        <v>3111</v>
      </c>
      <c r="E77" s="17" t="s">
        <v>3100</v>
      </c>
      <c r="F77" s="17" t="s">
        <v>3112</v>
      </c>
      <c r="G77" s="17"/>
      <c r="H77" s="17" t="s">
        <v>2621</v>
      </c>
      <c r="I77" s="2">
        <v>-6951359.46</v>
      </c>
      <c r="J77" s="2" t="s">
        <v>3100</v>
      </c>
      <c r="K77" s="2" t="s">
        <v>61</v>
      </c>
      <c r="L77" s="2" t="s">
        <v>58</v>
      </c>
      <c r="M77" s="2" t="s">
        <v>3110</v>
      </c>
      <c r="N77" s="2" t="s">
        <v>3203</v>
      </c>
      <c r="O77" s="2" t="s">
        <v>3204</v>
      </c>
      <c r="P77" s="2" t="s">
        <v>2624</v>
      </c>
      <c r="Q77" s="2" t="s">
        <v>3115</v>
      </c>
      <c r="R77" s="2">
        <v>137066.78</v>
      </c>
      <c r="S77" s="2">
        <v>241695</v>
      </c>
      <c r="T77" s="2">
        <v>241695</v>
      </c>
      <c r="U77" s="2" t="s">
        <v>3116</v>
      </c>
      <c r="V77" s="2">
        <v>6939485.21</v>
      </c>
      <c r="W77" s="2" t="s">
        <v>2626</v>
      </c>
      <c r="X77" s="2">
        <v>1.9751721612214501E-2</v>
      </c>
      <c r="Y77" s="2">
        <v>1.9717981898176699E-2</v>
      </c>
      <c r="Z77" s="2" t="s">
        <v>2627</v>
      </c>
      <c r="AA77" s="2">
        <v>-137066.77999999901</v>
      </c>
      <c r="AB77" s="2" t="s">
        <v>939</v>
      </c>
      <c r="AC77" s="2">
        <v>67895.399999999994</v>
      </c>
      <c r="AD77" s="2" t="s">
        <v>56</v>
      </c>
      <c r="AE77" s="2" t="s">
        <v>56</v>
      </c>
      <c r="AF77" s="2" t="s">
        <v>2634</v>
      </c>
      <c r="AG77" s="2" t="s">
        <v>2635</v>
      </c>
      <c r="AH77" s="2" t="s">
        <v>2635</v>
      </c>
      <c r="AI77" s="2" t="s">
        <v>56</v>
      </c>
      <c r="AJ77" s="2" t="s">
        <v>56</v>
      </c>
      <c r="AK77" s="2" t="s">
        <v>56</v>
      </c>
      <c r="AL77" s="2" t="s">
        <v>56</v>
      </c>
      <c r="AM77" s="2" t="s">
        <v>56</v>
      </c>
      <c r="AN77" s="2" t="s">
        <v>56</v>
      </c>
      <c r="AO77" s="2" t="s">
        <v>939</v>
      </c>
      <c r="AP77" s="2" t="s">
        <v>939</v>
      </c>
      <c r="AQ77" s="2">
        <v>12236655</v>
      </c>
      <c r="AR77" s="2">
        <v>38569.747250400003</v>
      </c>
      <c r="AS77" s="2" t="s">
        <v>56</v>
      </c>
      <c r="AT77" s="2">
        <v>38569.74725</v>
      </c>
      <c r="AU77" s="2" t="s">
        <v>2634</v>
      </c>
      <c r="AV77" s="2" t="s">
        <v>56</v>
      </c>
      <c r="AW77" s="2" t="s">
        <v>56</v>
      </c>
      <c r="AX77" s="2" t="s">
        <v>2635</v>
      </c>
      <c r="AY77" s="2" t="s">
        <v>56</v>
      </c>
      <c r="AZ77" s="2" t="s">
        <v>56</v>
      </c>
      <c r="BA77" s="2" t="s">
        <v>2635</v>
      </c>
    </row>
    <row r="78" spans="1:53" x14ac:dyDescent="0.25">
      <c r="A78" s="17" t="s">
        <v>61</v>
      </c>
      <c r="B78" s="17" t="s">
        <v>58</v>
      </c>
      <c r="C78" s="17" t="s">
        <v>3110</v>
      </c>
      <c r="D78" s="17" t="s">
        <v>3111</v>
      </c>
      <c r="E78" s="17" t="s">
        <v>3100</v>
      </c>
      <c r="F78" s="17" t="s">
        <v>3112</v>
      </c>
      <c r="G78" s="17"/>
      <c r="H78" s="17" t="s">
        <v>2621</v>
      </c>
      <c r="I78" s="2">
        <v>-6951359.46</v>
      </c>
      <c r="J78" s="2" t="s">
        <v>3100</v>
      </c>
      <c r="K78" s="2" t="s">
        <v>61</v>
      </c>
      <c r="L78" s="2" t="s">
        <v>58</v>
      </c>
      <c r="M78" s="2" t="s">
        <v>3110</v>
      </c>
      <c r="N78" s="2" t="s">
        <v>3205</v>
      </c>
      <c r="O78" s="2" t="s">
        <v>3206</v>
      </c>
      <c r="P78" s="2" t="s">
        <v>2624</v>
      </c>
      <c r="Q78" s="2" t="s">
        <v>3115</v>
      </c>
      <c r="R78" s="2">
        <v>131137.68</v>
      </c>
      <c r="S78" s="2">
        <v>231240</v>
      </c>
      <c r="T78" s="2">
        <v>231240</v>
      </c>
      <c r="U78" s="2" t="s">
        <v>3116</v>
      </c>
      <c r="V78" s="2">
        <v>6939485.21</v>
      </c>
      <c r="W78" s="2" t="s">
        <v>2626</v>
      </c>
      <c r="X78" s="2">
        <v>1.8897321059352701E-2</v>
      </c>
      <c r="Y78" s="2">
        <v>1.8865040824690701E-2</v>
      </c>
      <c r="Z78" s="2" t="s">
        <v>2627</v>
      </c>
      <c r="AA78" s="2">
        <v>-131137.679999999</v>
      </c>
      <c r="AB78" s="2" t="s">
        <v>939</v>
      </c>
      <c r="AC78" s="2">
        <v>67895.399999999994</v>
      </c>
      <c r="AD78" s="2" t="s">
        <v>56</v>
      </c>
      <c r="AE78" s="2" t="s">
        <v>56</v>
      </c>
      <c r="AF78" s="2" t="s">
        <v>2634</v>
      </c>
      <c r="AG78" s="2" t="s">
        <v>2635</v>
      </c>
      <c r="AH78" s="2" t="s">
        <v>2635</v>
      </c>
      <c r="AI78" s="2" t="s">
        <v>56</v>
      </c>
      <c r="AJ78" s="2" t="s">
        <v>56</v>
      </c>
      <c r="AK78" s="2" t="s">
        <v>56</v>
      </c>
      <c r="AL78" s="2" t="s">
        <v>56</v>
      </c>
      <c r="AM78" s="2" t="s">
        <v>56</v>
      </c>
      <c r="AN78" s="2" t="s">
        <v>56</v>
      </c>
      <c r="AO78" s="2" t="s">
        <v>939</v>
      </c>
      <c r="AP78" s="2" t="s">
        <v>939</v>
      </c>
      <c r="AQ78" s="2">
        <v>12236655</v>
      </c>
      <c r="AR78" s="2">
        <v>38569.747250400003</v>
      </c>
      <c r="AS78" s="2" t="s">
        <v>56</v>
      </c>
      <c r="AT78" s="2">
        <v>38569.74725</v>
      </c>
      <c r="AU78" s="2" t="s">
        <v>2634</v>
      </c>
      <c r="AV78" s="2" t="s">
        <v>56</v>
      </c>
      <c r="AW78" s="2" t="s">
        <v>56</v>
      </c>
      <c r="AX78" s="2" t="s">
        <v>2635</v>
      </c>
      <c r="AY78" s="2" t="s">
        <v>56</v>
      </c>
      <c r="AZ78" s="2" t="s">
        <v>56</v>
      </c>
      <c r="BA78" s="2" t="s">
        <v>2635</v>
      </c>
    </row>
    <row r="79" spans="1:53" x14ac:dyDescent="0.25">
      <c r="A79" s="17" t="s">
        <v>61</v>
      </c>
      <c r="B79" s="17" t="s">
        <v>58</v>
      </c>
      <c r="C79" s="17" t="s">
        <v>3110</v>
      </c>
      <c r="D79" s="17" t="s">
        <v>3111</v>
      </c>
      <c r="E79" s="17" t="s">
        <v>3100</v>
      </c>
      <c r="F79" s="17" t="s">
        <v>3112</v>
      </c>
      <c r="G79" s="17"/>
      <c r="H79" s="17" t="s">
        <v>2621</v>
      </c>
      <c r="I79" s="2">
        <v>-6951359.46</v>
      </c>
      <c r="J79" s="2" t="s">
        <v>3100</v>
      </c>
      <c r="K79" s="2" t="s">
        <v>61</v>
      </c>
      <c r="L79" s="2" t="s">
        <v>58</v>
      </c>
      <c r="M79" s="2" t="s">
        <v>3110</v>
      </c>
      <c r="N79" s="2" t="s">
        <v>3207</v>
      </c>
      <c r="O79" s="2" t="s">
        <v>3208</v>
      </c>
      <c r="P79" s="2" t="s">
        <v>2624</v>
      </c>
      <c r="Q79" s="2" t="s">
        <v>3115</v>
      </c>
      <c r="R79" s="2">
        <v>131137.68</v>
      </c>
      <c r="S79" s="2">
        <v>231240</v>
      </c>
      <c r="T79" s="2">
        <v>231240</v>
      </c>
      <c r="U79" s="2" t="s">
        <v>3116</v>
      </c>
      <c r="V79" s="2">
        <v>6939485.21</v>
      </c>
      <c r="W79" s="2" t="s">
        <v>2626</v>
      </c>
      <c r="X79" s="2">
        <v>1.8897321059352701E-2</v>
      </c>
      <c r="Y79" s="2">
        <v>1.8865040824690701E-2</v>
      </c>
      <c r="Z79" s="2" t="s">
        <v>2627</v>
      </c>
      <c r="AA79" s="2">
        <v>-131137.679999999</v>
      </c>
      <c r="AB79" s="2" t="s">
        <v>939</v>
      </c>
      <c r="AC79" s="2">
        <v>67895.399999999994</v>
      </c>
      <c r="AD79" s="2" t="s">
        <v>56</v>
      </c>
      <c r="AE79" s="2" t="s">
        <v>56</v>
      </c>
      <c r="AF79" s="2" t="s">
        <v>2634</v>
      </c>
      <c r="AG79" s="2" t="s">
        <v>2635</v>
      </c>
      <c r="AH79" s="2" t="s">
        <v>2635</v>
      </c>
      <c r="AI79" s="2" t="s">
        <v>56</v>
      </c>
      <c r="AJ79" s="2" t="s">
        <v>56</v>
      </c>
      <c r="AK79" s="2" t="s">
        <v>56</v>
      </c>
      <c r="AL79" s="2" t="s">
        <v>56</v>
      </c>
      <c r="AM79" s="2" t="s">
        <v>56</v>
      </c>
      <c r="AN79" s="2" t="s">
        <v>56</v>
      </c>
      <c r="AO79" s="2" t="s">
        <v>939</v>
      </c>
      <c r="AP79" s="2" t="s">
        <v>939</v>
      </c>
      <c r="AQ79" s="2">
        <v>12236655</v>
      </c>
      <c r="AR79" s="2">
        <v>38569.747250400003</v>
      </c>
      <c r="AS79" s="2" t="s">
        <v>56</v>
      </c>
      <c r="AT79" s="2">
        <v>38569.74725</v>
      </c>
      <c r="AU79" s="2" t="s">
        <v>2634</v>
      </c>
      <c r="AV79" s="2" t="s">
        <v>56</v>
      </c>
      <c r="AW79" s="2" t="s">
        <v>56</v>
      </c>
      <c r="AX79" s="2" t="s">
        <v>2635</v>
      </c>
      <c r="AY79" s="2" t="s">
        <v>56</v>
      </c>
      <c r="AZ79" s="2" t="s">
        <v>56</v>
      </c>
      <c r="BA79" s="2" t="s">
        <v>2635</v>
      </c>
    </row>
    <row r="80" spans="1:53" x14ac:dyDescent="0.25">
      <c r="A80" s="17" t="s">
        <v>61</v>
      </c>
      <c r="B80" s="17" t="s">
        <v>58</v>
      </c>
      <c r="C80" s="17" t="s">
        <v>3110</v>
      </c>
      <c r="D80" s="17" t="s">
        <v>3111</v>
      </c>
      <c r="E80" s="17" t="s">
        <v>3100</v>
      </c>
      <c r="F80" s="17" t="s">
        <v>3112</v>
      </c>
      <c r="G80" s="17"/>
      <c r="H80" s="17" t="s">
        <v>2621</v>
      </c>
      <c r="I80" s="2">
        <v>-6951359.46</v>
      </c>
      <c r="J80" s="2" t="s">
        <v>3100</v>
      </c>
      <c r="K80" s="2" t="s">
        <v>61</v>
      </c>
      <c r="L80" s="2" t="s">
        <v>58</v>
      </c>
      <c r="M80" s="2" t="s">
        <v>3110</v>
      </c>
      <c r="N80" s="2" t="s">
        <v>3209</v>
      </c>
      <c r="O80" s="2" t="s">
        <v>3210</v>
      </c>
      <c r="P80" s="2" t="s">
        <v>2624</v>
      </c>
      <c r="Q80" s="2" t="s">
        <v>3115</v>
      </c>
      <c r="R80" s="2">
        <v>131137.68</v>
      </c>
      <c r="S80" s="2">
        <v>231240</v>
      </c>
      <c r="T80" s="2">
        <v>231240</v>
      </c>
      <c r="U80" s="2" t="s">
        <v>3116</v>
      </c>
      <c r="V80" s="2">
        <v>6939485.21</v>
      </c>
      <c r="W80" s="2" t="s">
        <v>2626</v>
      </c>
      <c r="X80" s="2">
        <v>1.8897321059352701E-2</v>
      </c>
      <c r="Y80" s="2">
        <v>1.8865040824690701E-2</v>
      </c>
      <c r="Z80" s="2" t="s">
        <v>2627</v>
      </c>
      <c r="AA80" s="2">
        <v>-131137.679999999</v>
      </c>
      <c r="AB80" s="2" t="s">
        <v>939</v>
      </c>
      <c r="AC80" s="2">
        <v>67895.399999999994</v>
      </c>
      <c r="AD80" s="2" t="s">
        <v>56</v>
      </c>
      <c r="AE80" s="2" t="s">
        <v>56</v>
      </c>
      <c r="AF80" s="2" t="s">
        <v>2634</v>
      </c>
      <c r="AG80" s="2" t="s">
        <v>2635</v>
      </c>
      <c r="AH80" s="2" t="s">
        <v>2635</v>
      </c>
      <c r="AI80" s="2" t="s">
        <v>56</v>
      </c>
      <c r="AJ80" s="2" t="s">
        <v>56</v>
      </c>
      <c r="AK80" s="2" t="s">
        <v>56</v>
      </c>
      <c r="AL80" s="2" t="s">
        <v>56</v>
      </c>
      <c r="AM80" s="2" t="s">
        <v>56</v>
      </c>
      <c r="AN80" s="2" t="s">
        <v>56</v>
      </c>
      <c r="AO80" s="2" t="s">
        <v>939</v>
      </c>
      <c r="AP80" s="2" t="s">
        <v>939</v>
      </c>
      <c r="AQ80" s="2">
        <v>12236655</v>
      </c>
      <c r="AR80" s="2">
        <v>38569.747250400003</v>
      </c>
      <c r="AS80" s="2" t="s">
        <v>56</v>
      </c>
      <c r="AT80" s="2">
        <v>38569.74725</v>
      </c>
      <c r="AU80" s="2" t="s">
        <v>2634</v>
      </c>
      <c r="AV80" s="2" t="s">
        <v>56</v>
      </c>
      <c r="AW80" s="2" t="s">
        <v>56</v>
      </c>
      <c r="AX80" s="2" t="s">
        <v>2635</v>
      </c>
      <c r="AY80" s="2" t="s">
        <v>56</v>
      </c>
      <c r="AZ80" s="2" t="s">
        <v>56</v>
      </c>
      <c r="BA80" s="2" t="s">
        <v>2635</v>
      </c>
    </row>
    <row r="81" spans="1:69" x14ac:dyDescent="0.25">
      <c r="A81" s="17" t="s">
        <v>61</v>
      </c>
      <c r="B81" s="17" t="s">
        <v>58</v>
      </c>
      <c r="C81" s="17" t="s">
        <v>3110</v>
      </c>
      <c r="D81" s="17" t="s">
        <v>3111</v>
      </c>
      <c r="E81" s="17" t="s">
        <v>3100</v>
      </c>
      <c r="F81" s="17" t="s">
        <v>3112</v>
      </c>
      <c r="G81" s="17"/>
      <c r="H81" s="17" t="s">
        <v>2621</v>
      </c>
      <c r="I81" s="2">
        <v>-6951359.46</v>
      </c>
      <c r="J81" s="2" t="s">
        <v>3100</v>
      </c>
      <c r="K81" s="2" t="s">
        <v>56</v>
      </c>
      <c r="L81" s="2" t="s">
        <v>56</v>
      </c>
      <c r="M81" s="2" t="s">
        <v>56</v>
      </c>
      <c r="N81" s="2" t="s">
        <v>56</v>
      </c>
      <c r="O81" s="2" t="s">
        <v>56</v>
      </c>
      <c r="P81" s="2" t="s">
        <v>56</v>
      </c>
      <c r="Q81" s="2" t="s">
        <v>56</v>
      </c>
      <c r="R81" s="2" t="s">
        <v>56</v>
      </c>
      <c r="S81" s="2" t="s">
        <v>56</v>
      </c>
      <c r="T81" s="2" t="s">
        <v>56</v>
      </c>
      <c r="U81" s="2" t="s">
        <v>56</v>
      </c>
      <c r="V81" s="2">
        <v>6939485.21</v>
      </c>
      <c r="W81" s="2" t="s">
        <v>2626</v>
      </c>
      <c r="X81" s="2" t="s">
        <v>56</v>
      </c>
      <c r="Y81" s="2">
        <v>1.7081910478558299E-3</v>
      </c>
      <c r="Z81" s="2" t="s">
        <v>2641</v>
      </c>
      <c r="AA81" s="2">
        <v>-11874.25</v>
      </c>
      <c r="AB81" s="2" t="s">
        <v>939</v>
      </c>
      <c r="AC81" s="2" t="s">
        <v>56</v>
      </c>
      <c r="AD81" s="2" t="s">
        <v>56</v>
      </c>
      <c r="AE81" s="2" t="s">
        <v>56</v>
      </c>
      <c r="AF81" s="2" t="s">
        <v>56</v>
      </c>
      <c r="AG81" s="2" t="s">
        <v>56</v>
      </c>
      <c r="AH81" s="2" t="s">
        <v>56</v>
      </c>
      <c r="AI81" s="2" t="s">
        <v>56</v>
      </c>
      <c r="AJ81" s="2" t="s">
        <v>56</v>
      </c>
      <c r="AK81" s="2" t="s">
        <v>56</v>
      </c>
      <c r="AL81" s="2" t="s">
        <v>56</v>
      </c>
      <c r="AM81" s="2" t="s">
        <v>56</v>
      </c>
      <c r="AN81" s="2" t="s">
        <v>56</v>
      </c>
      <c r="AO81" s="2" t="s">
        <v>1325</v>
      </c>
      <c r="AP81" s="2" t="s">
        <v>939</v>
      </c>
      <c r="AQ81" s="2">
        <v>12236655</v>
      </c>
      <c r="AR81" s="2" t="s">
        <v>56</v>
      </c>
      <c r="AS81" s="2" t="s">
        <v>56</v>
      </c>
      <c r="AT81" s="2" t="s">
        <v>56</v>
      </c>
      <c r="AU81" s="2" t="s">
        <v>2635</v>
      </c>
      <c r="AV81" s="2" t="s">
        <v>56</v>
      </c>
      <c r="AW81" s="2" t="s">
        <v>56</v>
      </c>
      <c r="AX81" s="2" t="s">
        <v>2635</v>
      </c>
      <c r="AY81" s="2" t="s">
        <v>56</v>
      </c>
      <c r="AZ81" s="2" t="s">
        <v>56</v>
      </c>
      <c r="BA81" s="2" t="s">
        <v>2635</v>
      </c>
    </row>
    <row r="83" spans="1:69" x14ac:dyDescent="0.25">
      <c r="A83" s="20" t="s">
        <v>3219</v>
      </c>
    </row>
    <row r="84" spans="1:69" x14ac:dyDescent="0.25">
      <c r="A84" s="17" t="s">
        <v>2556</v>
      </c>
      <c r="B84" s="17" t="s">
        <v>2899</v>
      </c>
      <c r="C84" s="17" t="s">
        <v>2900</v>
      </c>
      <c r="D84" s="17" t="s">
        <v>2901</v>
      </c>
      <c r="E84" s="17" t="s">
        <v>2619</v>
      </c>
      <c r="F84" s="17" t="s">
        <v>2902</v>
      </c>
      <c r="G84" s="17" t="s">
        <v>2903</v>
      </c>
      <c r="H84" s="17" t="s">
        <v>2904</v>
      </c>
      <c r="I84" s="17" t="s">
        <v>2556</v>
      </c>
      <c r="J84" s="17" t="s">
        <v>48</v>
      </c>
      <c r="K84" s="17" t="s">
        <v>2905</v>
      </c>
      <c r="L84" s="17" t="s">
        <v>2906</v>
      </c>
      <c r="M84" s="17" t="s">
        <v>2907</v>
      </c>
      <c r="N84" s="17" t="s">
        <v>2558</v>
      </c>
      <c r="O84" s="17" t="s">
        <v>2908</v>
      </c>
      <c r="P84" s="17" t="s">
        <v>2909</v>
      </c>
      <c r="Q84" s="17" t="s">
        <v>2910</v>
      </c>
      <c r="R84" s="17" t="s">
        <v>2911</v>
      </c>
      <c r="S84" s="17" t="s">
        <v>2912</v>
      </c>
      <c r="T84" s="17" t="s">
        <v>2913</v>
      </c>
      <c r="U84" s="17" t="s">
        <v>2914</v>
      </c>
      <c r="V84" s="17" t="s">
        <v>2915</v>
      </c>
      <c r="W84" s="17" t="s">
        <v>2916</v>
      </c>
      <c r="X84" s="17" t="s">
        <v>2917</v>
      </c>
      <c r="Y84" s="17" t="s">
        <v>2918</v>
      </c>
      <c r="Z84" s="17" t="s">
        <v>2919</v>
      </c>
      <c r="AA84" s="17" t="s">
        <v>2920</v>
      </c>
      <c r="AB84" s="17" t="s">
        <v>2921</v>
      </c>
      <c r="AC84" s="17" t="s">
        <v>2922</v>
      </c>
      <c r="AD84" s="17" t="s">
        <v>2923</v>
      </c>
      <c r="AE84" s="17" t="s">
        <v>2924</v>
      </c>
      <c r="AF84" s="17" t="s">
        <v>2925</v>
      </c>
      <c r="AG84" s="17" t="s">
        <v>2926</v>
      </c>
      <c r="AH84" s="17" t="s">
        <v>2927</v>
      </c>
      <c r="AI84" s="17" t="s">
        <v>2928</v>
      </c>
      <c r="AJ84" s="17" t="s">
        <v>2929</v>
      </c>
      <c r="AK84" s="17" t="s">
        <v>2930</v>
      </c>
      <c r="AL84" s="17" t="s">
        <v>2931</v>
      </c>
      <c r="AM84" s="17" t="s">
        <v>2932</v>
      </c>
      <c r="AN84" s="17" t="s">
        <v>2933</v>
      </c>
      <c r="AO84" s="17" t="s">
        <v>2934</v>
      </c>
      <c r="AP84" s="17" t="s">
        <v>2935</v>
      </c>
      <c r="AQ84" s="17" t="s">
        <v>2936</v>
      </c>
      <c r="AR84" s="17" t="s">
        <v>2937</v>
      </c>
      <c r="AS84" s="17" t="s">
        <v>2938</v>
      </c>
      <c r="AT84" s="17" t="s">
        <v>2939</v>
      </c>
      <c r="AU84" s="17" t="s">
        <v>2917</v>
      </c>
      <c r="AV84" s="17" t="s">
        <v>2918</v>
      </c>
      <c r="AW84" s="17" t="s">
        <v>2919</v>
      </c>
      <c r="AX84" s="17" t="s">
        <v>2940</v>
      </c>
      <c r="AY84" s="17" t="s">
        <v>2941</v>
      </c>
      <c r="AZ84" s="17" t="s">
        <v>2942</v>
      </c>
      <c r="BA84" s="17" t="s">
        <v>2943</v>
      </c>
      <c r="BB84" s="17" t="s">
        <v>2936</v>
      </c>
      <c r="BC84" s="17" t="s">
        <v>2944</v>
      </c>
      <c r="BD84" s="17" t="s">
        <v>2945</v>
      </c>
      <c r="BE84" s="17" t="s">
        <v>2946</v>
      </c>
      <c r="BF84" s="17" t="s">
        <v>2917</v>
      </c>
      <c r="BG84" s="17" t="s">
        <v>2918</v>
      </c>
      <c r="BH84" s="17" t="s">
        <v>2919</v>
      </c>
      <c r="BI84" s="17" t="s">
        <v>2947</v>
      </c>
      <c r="BJ84" s="17" t="s">
        <v>2948</v>
      </c>
      <c r="BK84" s="17" t="s">
        <v>2949</v>
      </c>
      <c r="BL84" s="17" t="s">
        <v>2950</v>
      </c>
      <c r="BM84" s="17" t="s">
        <v>2936</v>
      </c>
      <c r="BN84" s="17" t="s">
        <v>2951</v>
      </c>
      <c r="BO84" s="17" t="s">
        <v>2952</v>
      </c>
      <c r="BP84" s="17" t="s">
        <v>2953</v>
      </c>
      <c r="BQ84" s="17"/>
    </row>
    <row r="85" spans="1:69" x14ac:dyDescent="0.25">
      <c r="A85" s="17" t="s">
        <v>3120</v>
      </c>
      <c r="B85" s="17">
        <v>621</v>
      </c>
      <c r="C85" s="17" t="s">
        <v>2634</v>
      </c>
      <c r="D85" s="17" t="s">
        <v>2634</v>
      </c>
      <c r="E85" s="17" t="s">
        <v>2635</v>
      </c>
      <c r="F85" s="17">
        <v>67895.399999999907</v>
      </c>
      <c r="G85" s="17" t="s">
        <v>56</v>
      </c>
      <c r="H85" s="17" t="s">
        <v>56</v>
      </c>
      <c r="I85" s="17" t="s">
        <v>3120</v>
      </c>
      <c r="J85" s="17" t="s">
        <v>3217</v>
      </c>
      <c r="K85" s="17" t="s">
        <v>3215</v>
      </c>
      <c r="L85" s="17" t="s">
        <v>3218</v>
      </c>
      <c r="M85" s="17" t="s">
        <v>332</v>
      </c>
      <c r="N85" s="17" t="s">
        <v>3115</v>
      </c>
      <c r="O85" s="17" t="s">
        <v>3215</v>
      </c>
      <c r="P85" s="17" t="s">
        <v>3216</v>
      </c>
      <c r="Q85" s="17" t="s">
        <v>2864</v>
      </c>
      <c r="R85" s="17" t="s">
        <v>2956</v>
      </c>
      <c r="S85" s="17" t="s">
        <v>56</v>
      </c>
      <c r="T85" s="17" t="s">
        <v>56</v>
      </c>
      <c r="U85" s="17" t="s">
        <v>56</v>
      </c>
      <c r="V85" s="17" t="s">
        <v>56</v>
      </c>
      <c r="W85" s="17" t="s">
        <v>56</v>
      </c>
      <c r="X85" s="17" t="s">
        <v>56</v>
      </c>
      <c r="Y85" s="17" t="s">
        <v>56</v>
      </c>
      <c r="Z85" s="17" t="s">
        <v>56</v>
      </c>
      <c r="AA85" s="17" t="s">
        <v>56</v>
      </c>
      <c r="AB85" s="17" t="s">
        <v>56</v>
      </c>
      <c r="AC85" s="17" t="s">
        <v>56</v>
      </c>
      <c r="AD85" s="17" t="s">
        <v>56</v>
      </c>
      <c r="AE85" s="17" t="s">
        <v>56</v>
      </c>
      <c r="AF85" s="17" t="s">
        <v>56</v>
      </c>
      <c r="AG85" s="17" t="s">
        <v>56</v>
      </c>
      <c r="AH85" s="17" t="s">
        <v>56</v>
      </c>
      <c r="AI85" s="17" t="s">
        <v>56</v>
      </c>
      <c r="AJ85" s="17" t="s">
        <v>56</v>
      </c>
      <c r="AK85" s="17" t="s">
        <v>56</v>
      </c>
      <c r="AL85" s="17" t="s">
        <v>56</v>
      </c>
      <c r="AM85" s="17" t="s">
        <v>56</v>
      </c>
      <c r="AN85" s="17" t="s">
        <v>56</v>
      </c>
      <c r="AO85" s="17" t="s">
        <v>56</v>
      </c>
      <c r="AP85" s="17" t="s">
        <v>56</v>
      </c>
      <c r="AQ85" s="17">
        <v>87333.248438120994</v>
      </c>
      <c r="AR85" s="17">
        <v>87333.248438120994</v>
      </c>
      <c r="AS85" s="17" t="s">
        <v>2956</v>
      </c>
      <c r="AT85" s="17" t="s">
        <v>2864</v>
      </c>
      <c r="AU85" s="17">
        <v>0.77742900000000004</v>
      </c>
      <c r="AV85" s="17" t="s">
        <v>56</v>
      </c>
      <c r="AW85" s="17" t="s">
        <v>56</v>
      </c>
      <c r="AX85" s="17">
        <v>0.77742900000000004</v>
      </c>
      <c r="AY85" s="17" t="s">
        <v>56</v>
      </c>
      <c r="AZ85" s="17" t="s">
        <v>2956</v>
      </c>
      <c r="BA85" s="17" t="s">
        <v>2864</v>
      </c>
      <c r="BB85" s="17">
        <v>87333.248438120994</v>
      </c>
      <c r="BC85" s="17">
        <v>87333.248438120994</v>
      </c>
      <c r="BD85" s="17" t="s">
        <v>2956</v>
      </c>
      <c r="BE85" s="17" t="s">
        <v>2864</v>
      </c>
      <c r="BF85" s="17" t="s">
        <v>56</v>
      </c>
      <c r="BG85" s="17" t="s">
        <v>56</v>
      </c>
      <c r="BH85" s="17" t="s">
        <v>56</v>
      </c>
      <c r="BI85" s="17" t="s">
        <v>56</v>
      </c>
      <c r="BJ85" s="17" t="s">
        <v>56</v>
      </c>
      <c r="BK85" s="17" t="s">
        <v>56</v>
      </c>
      <c r="BL85" s="17" t="s">
        <v>56</v>
      </c>
      <c r="BM85" s="17" t="s">
        <v>56</v>
      </c>
      <c r="BN85" s="17" t="s">
        <v>56</v>
      </c>
      <c r="BO85" s="17" t="s">
        <v>56</v>
      </c>
      <c r="BP85" s="17" t="s">
        <v>56</v>
      </c>
      <c r="BQ85" s="17"/>
    </row>
    <row r="86" spans="1:69" x14ac:dyDescent="0.25">
      <c r="A86" s="17" t="s">
        <v>3199</v>
      </c>
      <c r="B86" s="17">
        <v>621</v>
      </c>
      <c r="C86" s="17" t="s">
        <v>2634</v>
      </c>
      <c r="D86" s="17" t="s">
        <v>2634</v>
      </c>
      <c r="E86" s="17" t="s">
        <v>2635</v>
      </c>
      <c r="F86" s="17">
        <v>67895.399999999907</v>
      </c>
      <c r="G86" s="17" t="s">
        <v>56</v>
      </c>
      <c r="H86" s="17" t="s">
        <v>56</v>
      </c>
      <c r="I86" s="17" t="s">
        <v>3199</v>
      </c>
      <c r="J86" s="17" t="s">
        <v>3217</v>
      </c>
      <c r="K86" s="17" t="s">
        <v>3215</v>
      </c>
      <c r="L86" s="17" t="s">
        <v>3218</v>
      </c>
      <c r="M86" s="17" t="s">
        <v>332</v>
      </c>
      <c r="N86" s="17" t="s">
        <v>3115</v>
      </c>
      <c r="O86" s="17" t="s">
        <v>3215</v>
      </c>
      <c r="P86" s="17" t="s">
        <v>3216</v>
      </c>
      <c r="Q86" s="17" t="s">
        <v>2864</v>
      </c>
      <c r="R86" s="17" t="s">
        <v>2956</v>
      </c>
      <c r="S86" s="17" t="s">
        <v>56</v>
      </c>
      <c r="T86" s="17" t="s">
        <v>56</v>
      </c>
      <c r="U86" s="17" t="s">
        <v>56</v>
      </c>
      <c r="V86" s="17" t="s">
        <v>56</v>
      </c>
      <c r="W86" s="17" t="s">
        <v>56</v>
      </c>
      <c r="X86" s="17" t="s">
        <v>56</v>
      </c>
      <c r="Y86" s="17" t="s">
        <v>56</v>
      </c>
      <c r="Z86" s="17" t="s">
        <v>56</v>
      </c>
      <c r="AA86" s="17" t="s">
        <v>56</v>
      </c>
      <c r="AB86" s="17" t="s">
        <v>56</v>
      </c>
      <c r="AC86" s="17" t="s">
        <v>56</v>
      </c>
      <c r="AD86" s="17" t="s">
        <v>56</v>
      </c>
      <c r="AE86" s="17" t="s">
        <v>56</v>
      </c>
      <c r="AF86" s="17" t="s">
        <v>56</v>
      </c>
      <c r="AG86" s="17" t="s">
        <v>56</v>
      </c>
      <c r="AH86" s="17" t="s">
        <v>56</v>
      </c>
      <c r="AI86" s="17" t="s">
        <v>56</v>
      </c>
      <c r="AJ86" s="17" t="s">
        <v>56</v>
      </c>
      <c r="AK86" s="17" t="s">
        <v>56</v>
      </c>
      <c r="AL86" s="17" t="s">
        <v>56</v>
      </c>
      <c r="AM86" s="17" t="s">
        <v>56</v>
      </c>
      <c r="AN86" s="17" t="s">
        <v>56</v>
      </c>
      <c r="AO86" s="17" t="s">
        <v>56</v>
      </c>
      <c r="AP86" s="17" t="s">
        <v>56</v>
      </c>
      <c r="AQ86" s="17">
        <v>87333.248438120994</v>
      </c>
      <c r="AR86" s="17">
        <v>87333.248438120994</v>
      </c>
      <c r="AS86" s="17" t="s">
        <v>2956</v>
      </c>
      <c r="AT86" s="17" t="s">
        <v>2864</v>
      </c>
      <c r="AU86" s="17">
        <v>0.77742900000000004</v>
      </c>
      <c r="AV86" s="17" t="s">
        <v>56</v>
      </c>
      <c r="AW86" s="17" t="s">
        <v>56</v>
      </c>
      <c r="AX86" s="17">
        <v>0.77742900000000004</v>
      </c>
      <c r="AY86" s="17" t="s">
        <v>56</v>
      </c>
      <c r="AZ86" s="17" t="s">
        <v>2956</v>
      </c>
      <c r="BA86" s="17" t="s">
        <v>2864</v>
      </c>
      <c r="BB86" s="17">
        <v>87333.248438120994</v>
      </c>
      <c r="BC86" s="17">
        <v>87333.248438120994</v>
      </c>
      <c r="BD86" s="17" t="s">
        <v>2956</v>
      </c>
      <c r="BE86" s="17" t="s">
        <v>2864</v>
      </c>
      <c r="BF86" s="17" t="s">
        <v>56</v>
      </c>
      <c r="BG86" s="17" t="s">
        <v>56</v>
      </c>
      <c r="BH86" s="17" t="s">
        <v>56</v>
      </c>
      <c r="BI86" s="17" t="s">
        <v>56</v>
      </c>
      <c r="BJ86" s="17" t="s">
        <v>56</v>
      </c>
      <c r="BK86" s="17" t="s">
        <v>56</v>
      </c>
      <c r="BL86" s="17" t="s">
        <v>56</v>
      </c>
      <c r="BM86" s="17" t="s">
        <v>56</v>
      </c>
      <c r="BN86" s="17" t="s">
        <v>56</v>
      </c>
      <c r="BO86" s="17" t="s">
        <v>56</v>
      </c>
      <c r="BP86" s="17" t="s">
        <v>56</v>
      </c>
      <c r="BQ86" s="17"/>
    </row>
    <row r="87" spans="1:69" x14ac:dyDescent="0.25">
      <c r="A87" s="17" t="s">
        <v>3146</v>
      </c>
      <c r="B87" s="17">
        <v>621</v>
      </c>
      <c r="C87" s="17" t="s">
        <v>2634</v>
      </c>
      <c r="D87" s="17" t="s">
        <v>2634</v>
      </c>
      <c r="E87" s="17" t="s">
        <v>2635</v>
      </c>
      <c r="F87" s="17">
        <v>67895.399999999907</v>
      </c>
      <c r="G87" s="17" t="s">
        <v>56</v>
      </c>
      <c r="H87" s="17" t="s">
        <v>56</v>
      </c>
      <c r="I87" s="17" t="s">
        <v>3146</v>
      </c>
      <c r="J87" s="17" t="s">
        <v>3217</v>
      </c>
      <c r="K87" s="17" t="s">
        <v>3215</v>
      </c>
      <c r="L87" s="17" t="s">
        <v>3218</v>
      </c>
      <c r="M87" s="17" t="s">
        <v>332</v>
      </c>
      <c r="N87" s="17" t="s">
        <v>3115</v>
      </c>
      <c r="O87" s="17" t="s">
        <v>3215</v>
      </c>
      <c r="P87" s="17" t="s">
        <v>3216</v>
      </c>
      <c r="Q87" s="17" t="s">
        <v>2864</v>
      </c>
      <c r="R87" s="17" t="s">
        <v>2956</v>
      </c>
      <c r="S87" s="17" t="s">
        <v>56</v>
      </c>
      <c r="T87" s="17" t="s">
        <v>56</v>
      </c>
      <c r="U87" s="17" t="s">
        <v>56</v>
      </c>
      <c r="V87" s="17" t="s">
        <v>56</v>
      </c>
      <c r="W87" s="17" t="s">
        <v>56</v>
      </c>
      <c r="X87" s="17" t="s">
        <v>56</v>
      </c>
      <c r="Y87" s="17" t="s">
        <v>56</v>
      </c>
      <c r="Z87" s="17" t="s">
        <v>56</v>
      </c>
      <c r="AA87" s="17" t="s">
        <v>56</v>
      </c>
      <c r="AB87" s="17" t="s">
        <v>56</v>
      </c>
      <c r="AC87" s="17" t="s">
        <v>56</v>
      </c>
      <c r="AD87" s="17" t="s">
        <v>56</v>
      </c>
      <c r="AE87" s="17" t="s">
        <v>56</v>
      </c>
      <c r="AF87" s="17" t="s">
        <v>56</v>
      </c>
      <c r="AG87" s="17" t="s">
        <v>56</v>
      </c>
      <c r="AH87" s="17" t="s">
        <v>56</v>
      </c>
      <c r="AI87" s="17" t="s">
        <v>56</v>
      </c>
      <c r="AJ87" s="17" t="s">
        <v>56</v>
      </c>
      <c r="AK87" s="17" t="s">
        <v>56</v>
      </c>
      <c r="AL87" s="17" t="s">
        <v>56</v>
      </c>
      <c r="AM87" s="17" t="s">
        <v>56</v>
      </c>
      <c r="AN87" s="17" t="s">
        <v>56</v>
      </c>
      <c r="AO87" s="17" t="s">
        <v>56</v>
      </c>
      <c r="AP87" s="17" t="s">
        <v>56</v>
      </c>
      <c r="AQ87" s="17">
        <v>87333.248438120994</v>
      </c>
      <c r="AR87" s="17">
        <v>87333.248438120994</v>
      </c>
      <c r="AS87" s="17" t="s">
        <v>2956</v>
      </c>
      <c r="AT87" s="17" t="s">
        <v>2864</v>
      </c>
      <c r="AU87" s="17">
        <v>0.77742900000000004</v>
      </c>
      <c r="AV87" s="17" t="s">
        <v>56</v>
      </c>
      <c r="AW87" s="17" t="s">
        <v>56</v>
      </c>
      <c r="AX87" s="17">
        <v>0.77742900000000004</v>
      </c>
      <c r="AY87" s="17" t="s">
        <v>56</v>
      </c>
      <c r="AZ87" s="17" t="s">
        <v>2956</v>
      </c>
      <c r="BA87" s="17" t="s">
        <v>2864</v>
      </c>
      <c r="BB87" s="17">
        <v>87333.248438120994</v>
      </c>
      <c r="BC87" s="17">
        <v>87333.248438120994</v>
      </c>
      <c r="BD87" s="17" t="s">
        <v>2956</v>
      </c>
      <c r="BE87" s="17" t="s">
        <v>2864</v>
      </c>
      <c r="BF87" s="17" t="s">
        <v>56</v>
      </c>
      <c r="BG87" s="17" t="s">
        <v>56</v>
      </c>
      <c r="BH87" s="17" t="s">
        <v>56</v>
      </c>
      <c r="BI87" s="17" t="s">
        <v>56</v>
      </c>
      <c r="BJ87" s="17" t="s">
        <v>56</v>
      </c>
      <c r="BK87" s="17" t="s">
        <v>56</v>
      </c>
      <c r="BL87" s="17" t="s">
        <v>56</v>
      </c>
      <c r="BM87" s="17" t="s">
        <v>56</v>
      </c>
      <c r="BN87" s="17" t="s">
        <v>56</v>
      </c>
      <c r="BO87" s="17" t="s">
        <v>56</v>
      </c>
      <c r="BP87" s="17" t="s">
        <v>56</v>
      </c>
      <c r="BQ87" s="17"/>
    </row>
    <row r="88" spans="1:69" x14ac:dyDescent="0.25">
      <c r="A88" s="17" t="s">
        <v>3183</v>
      </c>
      <c r="B88" s="17">
        <v>621</v>
      </c>
      <c r="C88" s="17" t="s">
        <v>2634</v>
      </c>
      <c r="D88" s="17" t="s">
        <v>2634</v>
      </c>
      <c r="E88" s="17" t="s">
        <v>2635</v>
      </c>
      <c r="F88" s="17">
        <v>67895.399999999907</v>
      </c>
      <c r="G88" s="17" t="s">
        <v>56</v>
      </c>
      <c r="H88" s="17" t="s">
        <v>56</v>
      </c>
      <c r="I88" s="17" t="s">
        <v>3183</v>
      </c>
      <c r="J88" s="17" t="s">
        <v>3217</v>
      </c>
      <c r="K88" s="17" t="s">
        <v>3215</v>
      </c>
      <c r="L88" s="17" t="s">
        <v>3218</v>
      </c>
      <c r="M88" s="17" t="s">
        <v>332</v>
      </c>
      <c r="N88" s="17" t="s">
        <v>3115</v>
      </c>
      <c r="O88" s="17" t="s">
        <v>3215</v>
      </c>
      <c r="P88" s="17" t="s">
        <v>3216</v>
      </c>
      <c r="Q88" s="17" t="s">
        <v>2864</v>
      </c>
      <c r="R88" s="17" t="s">
        <v>2956</v>
      </c>
      <c r="S88" s="17" t="s">
        <v>56</v>
      </c>
      <c r="T88" s="17" t="s">
        <v>56</v>
      </c>
      <c r="U88" s="17" t="s">
        <v>56</v>
      </c>
      <c r="V88" s="17" t="s">
        <v>56</v>
      </c>
      <c r="W88" s="17" t="s">
        <v>56</v>
      </c>
      <c r="X88" s="17" t="s">
        <v>56</v>
      </c>
      <c r="Y88" s="17" t="s">
        <v>56</v>
      </c>
      <c r="Z88" s="17" t="s">
        <v>56</v>
      </c>
      <c r="AA88" s="17" t="s">
        <v>56</v>
      </c>
      <c r="AB88" s="17" t="s">
        <v>56</v>
      </c>
      <c r="AC88" s="17" t="s">
        <v>56</v>
      </c>
      <c r="AD88" s="17" t="s">
        <v>56</v>
      </c>
      <c r="AE88" s="17" t="s">
        <v>56</v>
      </c>
      <c r="AF88" s="17" t="s">
        <v>56</v>
      </c>
      <c r="AG88" s="17" t="s">
        <v>56</v>
      </c>
      <c r="AH88" s="17" t="s">
        <v>56</v>
      </c>
      <c r="AI88" s="17" t="s">
        <v>56</v>
      </c>
      <c r="AJ88" s="17" t="s">
        <v>56</v>
      </c>
      <c r="AK88" s="17" t="s">
        <v>56</v>
      </c>
      <c r="AL88" s="17" t="s">
        <v>56</v>
      </c>
      <c r="AM88" s="17" t="s">
        <v>56</v>
      </c>
      <c r="AN88" s="17" t="s">
        <v>56</v>
      </c>
      <c r="AO88" s="17" t="s">
        <v>56</v>
      </c>
      <c r="AP88" s="17" t="s">
        <v>56</v>
      </c>
      <c r="AQ88" s="17">
        <v>87333.248438120994</v>
      </c>
      <c r="AR88" s="17">
        <v>87333.248438120994</v>
      </c>
      <c r="AS88" s="17" t="s">
        <v>2956</v>
      </c>
      <c r="AT88" s="17" t="s">
        <v>2864</v>
      </c>
      <c r="AU88" s="17">
        <v>0.77742900000000004</v>
      </c>
      <c r="AV88" s="17" t="s">
        <v>56</v>
      </c>
      <c r="AW88" s="17" t="s">
        <v>56</v>
      </c>
      <c r="AX88" s="17">
        <v>0.77742900000000004</v>
      </c>
      <c r="AY88" s="17" t="s">
        <v>56</v>
      </c>
      <c r="AZ88" s="17" t="s">
        <v>2956</v>
      </c>
      <c r="BA88" s="17" t="s">
        <v>2864</v>
      </c>
      <c r="BB88" s="17">
        <v>87333.248438120994</v>
      </c>
      <c r="BC88" s="17">
        <v>87333.248438120994</v>
      </c>
      <c r="BD88" s="17" t="s">
        <v>2956</v>
      </c>
      <c r="BE88" s="17" t="s">
        <v>2864</v>
      </c>
      <c r="BF88" s="17" t="s">
        <v>56</v>
      </c>
      <c r="BG88" s="17" t="s">
        <v>56</v>
      </c>
      <c r="BH88" s="17" t="s">
        <v>56</v>
      </c>
      <c r="BI88" s="17" t="s">
        <v>56</v>
      </c>
      <c r="BJ88" s="17" t="s">
        <v>56</v>
      </c>
      <c r="BK88" s="17" t="s">
        <v>56</v>
      </c>
      <c r="BL88" s="17" t="s">
        <v>56</v>
      </c>
      <c r="BM88" s="17" t="s">
        <v>56</v>
      </c>
      <c r="BN88" s="17" t="s">
        <v>56</v>
      </c>
      <c r="BO88" s="17" t="s">
        <v>56</v>
      </c>
      <c r="BP88" s="17" t="s">
        <v>56</v>
      </c>
      <c r="BQ88" s="17"/>
    </row>
    <row r="89" spans="1:69" x14ac:dyDescent="0.25">
      <c r="A89" s="17" t="s">
        <v>3197</v>
      </c>
      <c r="B89" s="17">
        <v>621</v>
      </c>
      <c r="C89" s="17" t="s">
        <v>2634</v>
      </c>
      <c r="D89" s="17" t="s">
        <v>2634</v>
      </c>
      <c r="E89" s="17" t="s">
        <v>2635</v>
      </c>
      <c r="F89" s="17">
        <v>67895.399999999907</v>
      </c>
      <c r="G89" s="17" t="s">
        <v>56</v>
      </c>
      <c r="H89" s="17" t="s">
        <v>56</v>
      </c>
      <c r="I89" s="17" t="s">
        <v>3197</v>
      </c>
      <c r="J89" s="17" t="s">
        <v>3217</v>
      </c>
      <c r="K89" s="17" t="s">
        <v>3215</v>
      </c>
      <c r="L89" s="17" t="s">
        <v>3218</v>
      </c>
      <c r="M89" s="17" t="s">
        <v>332</v>
      </c>
      <c r="N89" s="17" t="s">
        <v>3115</v>
      </c>
      <c r="O89" s="17" t="s">
        <v>3215</v>
      </c>
      <c r="P89" s="17" t="s">
        <v>3216</v>
      </c>
      <c r="Q89" s="17" t="s">
        <v>2864</v>
      </c>
      <c r="R89" s="17" t="s">
        <v>2956</v>
      </c>
      <c r="S89" s="17" t="s">
        <v>56</v>
      </c>
      <c r="T89" s="17" t="s">
        <v>56</v>
      </c>
      <c r="U89" s="17" t="s">
        <v>56</v>
      </c>
      <c r="V89" s="17" t="s">
        <v>56</v>
      </c>
      <c r="W89" s="17" t="s">
        <v>56</v>
      </c>
      <c r="X89" s="17" t="s">
        <v>56</v>
      </c>
      <c r="Y89" s="17" t="s">
        <v>56</v>
      </c>
      <c r="Z89" s="17" t="s">
        <v>56</v>
      </c>
      <c r="AA89" s="17" t="s">
        <v>56</v>
      </c>
      <c r="AB89" s="17" t="s">
        <v>56</v>
      </c>
      <c r="AC89" s="17" t="s">
        <v>56</v>
      </c>
      <c r="AD89" s="17" t="s">
        <v>56</v>
      </c>
      <c r="AE89" s="17" t="s">
        <v>56</v>
      </c>
      <c r="AF89" s="17" t="s">
        <v>56</v>
      </c>
      <c r="AG89" s="17" t="s">
        <v>56</v>
      </c>
      <c r="AH89" s="17" t="s">
        <v>56</v>
      </c>
      <c r="AI89" s="17" t="s">
        <v>56</v>
      </c>
      <c r="AJ89" s="17" t="s">
        <v>56</v>
      </c>
      <c r="AK89" s="17" t="s">
        <v>56</v>
      </c>
      <c r="AL89" s="17" t="s">
        <v>56</v>
      </c>
      <c r="AM89" s="17" t="s">
        <v>56</v>
      </c>
      <c r="AN89" s="17" t="s">
        <v>56</v>
      </c>
      <c r="AO89" s="17" t="s">
        <v>56</v>
      </c>
      <c r="AP89" s="17" t="s">
        <v>56</v>
      </c>
      <c r="AQ89" s="17">
        <v>87333.248438120994</v>
      </c>
      <c r="AR89" s="17">
        <v>87333.248438120994</v>
      </c>
      <c r="AS89" s="17" t="s">
        <v>2956</v>
      </c>
      <c r="AT89" s="17" t="s">
        <v>2864</v>
      </c>
      <c r="AU89" s="17">
        <v>0.77742900000000004</v>
      </c>
      <c r="AV89" s="17" t="s">
        <v>56</v>
      </c>
      <c r="AW89" s="17" t="s">
        <v>56</v>
      </c>
      <c r="AX89" s="17">
        <v>0.77742900000000004</v>
      </c>
      <c r="AY89" s="17" t="s">
        <v>56</v>
      </c>
      <c r="AZ89" s="17" t="s">
        <v>2956</v>
      </c>
      <c r="BA89" s="17" t="s">
        <v>2864</v>
      </c>
      <c r="BB89" s="17">
        <v>87333.248438120994</v>
      </c>
      <c r="BC89" s="17">
        <v>87333.248438120994</v>
      </c>
      <c r="BD89" s="17" t="s">
        <v>2956</v>
      </c>
      <c r="BE89" s="17" t="s">
        <v>2864</v>
      </c>
      <c r="BF89" s="17" t="s">
        <v>56</v>
      </c>
      <c r="BG89" s="17" t="s">
        <v>56</v>
      </c>
      <c r="BH89" s="17" t="s">
        <v>56</v>
      </c>
      <c r="BI89" s="17" t="s">
        <v>56</v>
      </c>
      <c r="BJ89" s="17" t="s">
        <v>56</v>
      </c>
      <c r="BK89" s="17" t="s">
        <v>56</v>
      </c>
      <c r="BL89" s="17" t="s">
        <v>56</v>
      </c>
      <c r="BM89" s="17" t="s">
        <v>56</v>
      </c>
      <c r="BN89" s="17" t="s">
        <v>56</v>
      </c>
      <c r="BO89" s="17" t="s">
        <v>56</v>
      </c>
      <c r="BP89" s="17" t="s">
        <v>56</v>
      </c>
      <c r="BQ89" s="17"/>
    </row>
    <row r="90" spans="1:69" x14ac:dyDescent="0.25">
      <c r="A90" s="17" t="s">
        <v>3208</v>
      </c>
      <c r="B90" s="17">
        <v>621</v>
      </c>
      <c r="C90" s="17" t="s">
        <v>2634</v>
      </c>
      <c r="D90" s="17" t="s">
        <v>2634</v>
      </c>
      <c r="E90" s="17" t="s">
        <v>2635</v>
      </c>
      <c r="F90" s="17">
        <v>67895.399999999907</v>
      </c>
      <c r="G90" s="17" t="s">
        <v>56</v>
      </c>
      <c r="H90" s="17" t="s">
        <v>56</v>
      </c>
      <c r="I90" s="17" t="s">
        <v>3208</v>
      </c>
      <c r="J90" s="17" t="s">
        <v>3217</v>
      </c>
      <c r="K90" s="17" t="s">
        <v>3215</v>
      </c>
      <c r="L90" s="17" t="s">
        <v>3218</v>
      </c>
      <c r="M90" s="17" t="s">
        <v>332</v>
      </c>
      <c r="N90" s="17" t="s">
        <v>3115</v>
      </c>
      <c r="O90" s="17" t="s">
        <v>3215</v>
      </c>
      <c r="P90" s="17" t="s">
        <v>3216</v>
      </c>
      <c r="Q90" s="17" t="s">
        <v>2864</v>
      </c>
      <c r="R90" s="17" t="s">
        <v>2956</v>
      </c>
      <c r="S90" s="17" t="s">
        <v>56</v>
      </c>
      <c r="T90" s="17" t="s">
        <v>56</v>
      </c>
      <c r="U90" s="17" t="s">
        <v>56</v>
      </c>
      <c r="V90" s="17" t="s">
        <v>56</v>
      </c>
      <c r="W90" s="17" t="s">
        <v>56</v>
      </c>
      <c r="X90" s="17" t="s">
        <v>56</v>
      </c>
      <c r="Y90" s="17" t="s">
        <v>56</v>
      </c>
      <c r="Z90" s="17" t="s">
        <v>56</v>
      </c>
      <c r="AA90" s="17" t="s">
        <v>56</v>
      </c>
      <c r="AB90" s="17" t="s">
        <v>56</v>
      </c>
      <c r="AC90" s="17" t="s">
        <v>56</v>
      </c>
      <c r="AD90" s="17" t="s">
        <v>56</v>
      </c>
      <c r="AE90" s="17" t="s">
        <v>56</v>
      </c>
      <c r="AF90" s="17" t="s">
        <v>56</v>
      </c>
      <c r="AG90" s="17" t="s">
        <v>56</v>
      </c>
      <c r="AH90" s="17" t="s">
        <v>56</v>
      </c>
      <c r="AI90" s="17" t="s">
        <v>56</v>
      </c>
      <c r="AJ90" s="17" t="s">
        <v>56</v>
      </c>
      <c r="AK90" s="17" t="s">
        <v>56</v>
      </c>
      <c r="AL90" s="17" t="s">
        <v>56</v>
      </c>
      <c r="AM90" s="17" t="s">
        <v>56</v>
      </c>
      <c r="AN90" s="17" t="s">
        <v>56</v>
      </c>
      <c r="AO90" s="17" t="s">
        <v>56</v>
      </c>
      <c r="AP90" s="17" t="s">
        <v>56</v>
      </c>
      <c r="AQ90" s="17">
        <v>87333.248438120994</v>
      </c>
      <c r="AR90" s="17">
        <v>87333.248438120994</v>
      </c>
      <c r="AS90" s="17" t="s">
        <v>2956</v>
      </c>
      <c r="AT90" s="17" t="s">
        <v>2864</v>
      </c>
      <c r="AU90" s="17">
        <v>0.77742900000000004</v>
      </c>
      <c r="AV90" s="17" t="s">
        <v>56</v>
      </c>
      <c r="AW90" s="17" t="s">
        <v>56</v>
      </c>
      <c r="AX90" s="17">
        <v>0.77742900000000004</v>
      </c>
      <c r="AY90" s="17" t="s">
        <v>56</v>
      </c>
      <c r="AZ90" s="17" t="s">
        <v>2956</v>
      </c>
      <c r="BA90" s="17" t="s">
        <v>2864</v>
      </c>
      <c r="BB90" s="17">
        <v>87333.248438120994</v>
      </c>
      <c r="BC90" s="17">
        <v>87333.248438120994</v>
      </c>
      <c r="BD90" s="17" t="s">
        <v>2956</v>
      </c>
      <c r="BE90" s="17" t="s">
        <v>2864</v>
      </c>
      <c r="BF90" s="17" t="s">
        <v>56</v>
      </c>
      <c r="BG90" s="17" t="s">
        <v>56</v>
      </c>
      <c r="BH90" s="17" t="s">
        <v>56</v>
      </c>
      <c r="BI90" s="17" t="s">
        <v>56</v>
      </c>
      <c r="BJ90" s="17" t="s">
        <v>56</v>
      </c>
      <c r="BK90" s="17" t="s">
        <v>56</v>
      </c>
      <c r="BL90" s="17" t="s">
        <v>56</v>
      </c>
      <c r="BM90" s="17" t="s">
        <v>56</v>
      </c>
      <c r="BN90" s="17" t="s">
        <v>56</v>
      </c>
      <c r="BO90" s="17" t="s">
        <v>56</v>
      </c>
      <c r="BP90" s="17" t="s">
        <v>56</v>
      </c>
      <c r="BQ90" s="17"/>
    </row>
    <row r="91" spans="1:69" x14ac:dyDescent="0.25">
      <c r="A91" s="17" t="s">
        <v>3201</v>
      </c>
      <c r="B91" s="17">
        <v>621</v>
      </c>
      <c r="C91" s="17" t="s">
        <v>2634</v>
      </c>
      <c r="D91" s="17" t="s">
        <v>2634</v>
      </c>
      <c r="E91" s="17" t="s">
        <v>2635</v>
      </c>
      <c r="F91" s="17">
        <v>67895.399999999907</v>
      </c>
      <c r="G91" s="17" t="s">
        <v>56</v>
      </c>
      <c r="H91" s="17" t="s">
        <v>56</v>
      </c>
      <c r="I91" s="17" t="s">
        <v>3201</v>
      </c>
      <c r="J91" s="17" t="s">
        <v>3217</v>
      </c>
      <c r="K91" s="17" t="s">
        <v>3215</v>
      </c>
      <c r="L91" s="17" t="s">
        <v>3218</v>
      </c>
      <c r="M91" s="17" t="s">
        <v>332</v>
      </c>
      <c r="N91" s="17" t="s">
        <v>3115</v>
      </c>
      <c r="O91" s="17" t="s">
        <v>3215</v>
      </c>
      <c r="P91" s="17" t="s">
        <v>3216</v>
      </c>
      <c r="Q91" s="17" t="s">
        <v>2864</v>
      </c>
      <c r="R91" s="17" t="s">
        <v>2956</v>
      </c>
      <c r="S91" s="17" t="s">
        <v>56</v>
      </c>
      <c r="T91" s="17" t="s">
        <v>56</v>
      </c>
      <c r="U91" s="17" t="s">
        <v>56</v>
      </c>
      <c r="V91" s="17" t="s">
        <v>56</v>
      </c>
      <c r="W91" s="17" t="s">
        <v>56</v>
      </c>
      <c r="X91" s="17" t="s">
        <v>56</v>
      </c>
      <c r="Y91" s="17" t="s">
        <v>56</v>
      </c>
      <c r="Z91" s="17" t="s">
        <v>56</v>
      </c>
      <c r="AA91" s="17" t="s">
        <v>56</v>
      </c>
      <c r="AB91" s="17" t="s">
        <v>56</v>
      </c>
      <c r="AC91" s="17" t="s">
        <v>56</v>
      </c>
      <c r="AD91" s="17" t="s">
        <v>56</v>
      </c>
      <c r="AE91" s="17" t="s">
        <v>56</v>
      </c>
      <c r="AF91" s="17" t="s">
        <v>56</v>
      </c>
      <c r="AG91" s="17" t="s">
        <v>56</v>
      </c>
      <c r="AH91" s="17" t="s">
        <v>56</v>
      </c>
      <c r="AI91" s="17" t="s">
        <v>56</v>
      </c>
      <c r="AJ91" s="17" t="s">
        <v>56</v>
      </c>
      <c r="AK91" s="17" t="s">
        <v>56</v>
      </c>
      <c r="AL91" s="17" t="s">
        <v>56</v>
      </c>
      <c r="AM91" s="17" t="s">
        <v>56</v>
      </c>
      <c r="AN91" s="17" t="s">
        <v>56</v>
      </c>
      <c r="AO91" s="17" t="s">
        <v>56</v>
      </c>
      <c r="AP91" s="17" t="s">
        <v>56</v>
      </c>
      <c r="AQ91" s="17">
        <v>87333.248438120994</v>
      </c>
      <c r="AR91" s="17">
        <v>87333.248438120994</v>
      </c>
      <c r="AS91" s="17" t="s">
        <v>2956</v>
      </c>
      <c r="AT91" s="17" t="s">
        <v>2864</v>
      </c>
      <c r="AU91" s="17">
        <v>0.77742900000000004</v>
      </c>
      <c r="AV91" s="17" t="s">
        <v>56</v>
      </c>
      <c r="AW91" s="17" t="s">
        <v>56</v>
      </c>
      <c r="AX91" s="17">
        <v>0.77742900000000004</v>
      </c>
      <c r="AY91" s="17" t="s">
        <v>56</v>
      </c>
      <c r="AZ91" s="17" t="s">
        <v>2956</v>
      </c>
      <c r="BA91" s="17" t="s">
        <v>2864</v>
      </c>
      <c r="BB91" s="17">
        <v>87333.248438120994</v>
      </c>
      <c r="BC91" s="17">
        <v>87333.248438120994</v>
      </c>
      <c r="BD91" s="17" t="s">
        <v>2956</v>
      </c>
      <c r="BE91" s="17" t="s">
        <v>2864</v>
      </c>
      <c r="BF91" s="17" t="s">
        <v>56</v>
      </c>
      <c r="BG91" s="17" t="s">
        <v>56</v>
      </c>
      <c r="BH91" s="17" t="s">
        <v>56</v>
      </c>
      <c r="BI91" s="17" t="s">
        <v>56</v>
      </c>
      <c r="BJ91" s="17" t="s">
        <v>56</v>
      </c>
      <c r="BK91" s="17" t="s">
        <v>56</v>
      </c>
      <c r="BL91" s="17" t="s">
        <v>56</v>
      </c>
      <c r="BM91" s="17" t="s">
        <v>56</v>
      </c>
      <c r="BN91" s="17" t="s">
        <v>56</v>
      </c>
      <c r="BO91" s="17" t="s">
        <v>56</v>
      </c>
      <c r="BP91" s="17" t="s">
        <v>56</v>
      </c>
      <c r="BQ91" s="17"/>
    </row>
    <row r="92" spans="1:69" x14ac:dyDescent="0.25">
      <c r="A92" s="17" t="s">
        <v>3130</v>
      </c>
      <c r="B92" s="17">
        <v>621</v>
      </c>
      <c r="C92" s="17" t="s">
        <v>2634</v>
      </c>
      <c r="D92" s="17" t="s">
        <v>2634</v>
      </c>
      <c r="E92" s="17" t="s">
        <v>2635</v>
      </c>
      <c r="F92" s="17">
        <v>67895.399999999907</v>
      </c>
      <c r="G92" s="17" t="s">
        <v>56</v>
      </c>
      <c r="H92" s="17" t="s">
        <v>56</v>
      </c>
      <c r="I92" s="17" t="s">
        <v>3130</v>
      </c>
      <c r="J92" s="17" t="s">
        <v>3217</v>
      </c>
      <c r="K92" s="17" t="s">
        <v>3215</v>
      </c>
      <c r="L92" s="17" t="s">
        <v>3218</v>
      </c>
      <c r="M92" s="17" t="s">
        <v>332</v>
      </c>
      <c r="N92" s="17" t="s">
        <v>3115</v>
      </c>
      <c r="O92" s="17" t="s">
        <v>3215</v>
      </c>
      <c r="P92" s="17" t="s">
        <v>3216</v>
      </c>
      <c r="Q92" s="17" t="s">
        <v>2864</v>
      </c>
      <c r="R92" s="17" t="s">
        <v>2956</v>
      </c>
      <c r="S92" s="17" t="s">
        <v>56</v>
      </c>
      <c r="T92" s="17" t="s">
        <v>56</v>
      </c>
      <c r="U92" s="17" t="s">
        <v>56</v>
      </c>
      <c r="V92" s="17" t="s">
        <v>56</v>
      </c>
      <c r="W92" s="17" t="s">
        <v>56</v>
      </c>
      <c r="X92" s="17" t="s">
        <v>56</v>
      </c>
      <c r="Y92" s="17" t="s">
        <v>56</v>
      </c>
      <c r="Z92" s="17" t="s">
        <v>56</v>
      </c>
      <c r="AA92" s="17" t="s">
        <v>56</v>
      </c>
      <c r="AB92" s="17" t="s">
        <v>56</v>
      </c>
      <c r="AC92" s="17" t="s">
        <v>56</v>
      </c>
      <c r="AD92" s="17" t="s">
        <v>56</v>
      </c>
      <c r="AE92" s="17" t="s">
        <v>56</v>
      </c>
      <c r="AF92" s="17" t="s">
        <v>56</v>
      </c>
      <c r="AG92" s="17" t="s">
        <v>56</v>
      </c>
      <c r="AH92" s="17" t="s">
        <v>56</v>
      </c>
      <c r="AI92" s="17" t="s">
        <v>56</v>
      </c>
      <c r="AJ92" s="17" t="s">
        <v>56</v>
      </c>
      <c r="AK92" s="17" t="s">
        <v>56</v>
      </c>
      <c r="AL92" s="17" t="s">
        <v>56</v>
      </c>
      <c r="AM92" s="17" t="s">
        <v>56</v>
      </c>
      <c r="AN92" s="17" t="s">
        <v>56</v>
      </c>
      <c r="AO92" s="17" t="s">
        <v>56</v>
      </c>
      <c r="AP92" s="17" t="s">
        <v>56</v>
      </c>
      <c r="AQ92" s="17">
        <v>87333.248438120994</v>
      </c>
      <c r="AR92" s="17">
        <v>87333.248438120994</v>
      </c>
      <c r="AS92" s="17" t="s">
        <v>2956</v>
      </c>
      <c r="AT92" s="17" t="s">
        <v>2864</v>
      </c>
      <c r="AU92" s="17">
        <v>0.77742900000000004</v>
      </c>
      <c r="AV92" s="17" t="s">
        <v>56</v>
      </c>
      <c r="AW92" s="17" t="s">
        <v>56</v>
      </c>
      <c r="AX92" s="17">
        <v>0.77742900000000004</v>
      </c>
      <c r="AY92" s="17" t="s">
        <v>56</v>
      </c>
      <c r="AZ92" s="17" t="s">
        <v>2956</v>
      </c>
      <c r="BA92" s="17" t="s">
        <v>2864</v>
      </c>
      <c r="BB92" s="17">
        <v>87333.248438120994</v>
      </c>
      <c r="BC92" s="17">
        <v>87333.248438120994</v>
      </c>
      <c r="BD92" s="17" t="s">
        <v>2956</v>
      </c>
      <c r="BE92" s="17" t="s">
        <v>2864</v>
      </c>
      <c r="BF92" s="17" t="s">
        <v>56</v>
      </c>
      <c r="BG92" s="17" t="s">
        <v>56</v>
      </c>
      <c r="BH92" s="17" t="s">
        <v>56</v>
      </c>
      <c r="BI92" s="17" t="s">
        <v>56</v>
      </c>
      <c r="BJ92" s="17" t="s">
        <v>56</v>
      </c>
      <c r="BK92" s="17" t="s">
        <v>56</v>
      </c>
      <c r="BL92" s="17" t="s">
        <v>56</v>
      </c>
      <c r="BM92" s="17" t="s">
        <v>56</v>
      </c>
      <c r="BN92" s="17" t="s">
        <v>56</v>
      </c>
      <c r="BO92" s="17" t="s">
        <v>56</v>
      </c>
      <c r="BP92" s="17" t="s">
        <v>56</v>
      </c>
      <c r="BQ92" s="17"/>
    </row>
    <row r="93" spans="1:69" x14ac:dyDescent="0.25">
      <c r="A93" s="17" t="s">
        <v>3163</v>
      </c>
      <c r="B93" s="17">
        <v>621</v>
      </c>
      <c r="C93" s="17" t="s">
        <v>2634</v>
      </c>
      <c r="D93" s="17" t="s">
        <v>2634</v>
      </c>
      <c r="E93" s="17" t="s">
        <v>2635</v>
      </c>
      <c r="F93" s="17">
        <v>67895.399999999907</v>
      </c>
      <c r="G93" s="17" t="s">
        <v>56</v>
      </c>
      <c r="H93" s="17" t="s">
        <v>56</v>
      </c>
      <c r="I93" s="17" t="s">
        <v>3163</v>
      </c>
      <c r="J93" s="17" t="s">
        <v>3217</v>
      </c>
      <c r="K93" s="17" t="s">
        <v>3215</v>
      </c>
      <c r="L93" s="17" t="s">
        <v>3218</v>
      </c>
      <c r="M93" s="17" t="s">
        <v>332</v>
      </c>
      <c r="N93" s="17" t="s">
        <v>3115</v>
      </c>
      <c r="O93" s="17" t="s">
        <v>3215</v>
      </c>
      <c r="P93" s="17" t="s">
        <v>3216</v>
      </c>
      <c r="Q93" s="17" t="s">
        <v>2864</v>
      </c>
      <c r="R93" s="17" t="s">
        <v>2956</v>
      </c>
      <c r="S93" s="17" t="s">
        <v>56</v>
      </c>
      <c r="T93" s="17" t="s">
        <v>56</v>
      </c>
      <c r="U93" s="17" t="s">
        <v>56</v>
      </c>
      <c r="V93" s="17" t="s">
        <v>56</v>
      </c>
      <c r="W93" s="17" t="s">
        <v>56</v>
      </c>
      <c r="X93" s="17" t="s">
        <v>56</v>
      </c>
      <c r="Y93" s="17" t="s">
        <v>56</v>
      </c>
      <c r="Z93" s="17" t="s">
        <v>56</v>
      </c>
      <c r="AA93" s="17" t="s">
        <v>56</v>
      </c>
      <c r="AB93" s="17" t="s">
        <v>56</v>
      </c>
      <c r="AC93" s="17" t="s">
        <v>56</v>
      </c>
      <c r="AD93" s="17" t="s">
        <v>56</v>
      </c>
      <c r="AE93" s="17" t="s">
        <v>56</v>
      </c>
      <c r="AF93" s="17" t="s">
        <v>56</v>
      </c>
      <c r="AG93" s="17" t="s">
        <v>56</v>
      </c>
      <c r="AH93" s="17" t="s">
        <v>56</v>
      </c>
      <c r="AI93" s="17" t="s">
        <v>56</v>
      </c>
      <c r="AJ93" s="17" t="s">
        <v>56</v>
      </c>
      <c r="AK93" s="17" t="s">
        <v>56</v>
      </c>
      <c r="AL93" s="17" t="s">
        <v>56</v>
      </c>
      <c r="AM93" s="17" t="s">
        <v>56</v>
      </c>
      <c r="AN93" s="17" t="s">
        <v>56</v>
      </c>
      <c r="AO93" s="17" t="s">
        <v>56</v>
      </c>
      <c r="AP93" s="17" t="s">
        <v>56</v>
      </c>
      <c r="AQ93" s="17">
        <v>87333.248438120994</v>
      </c>
      <c r="AR93" s="17">
        <v>87333.248438120994</v>
      </c>
      <c r="AS93" s="17" t="s">
        <v>2956</v>
      </c>
      <c r="AT93" s="17" t="s">
        <v>2864</v>
      </c>
      <c r="AU93" s="17">
        <v>0.77742900000000004</v>
      </c>
      <c r="AV93" s="17" t="s">
        <v>56</v>
      </c>
      <c r="AW93" s="17" t="s">
        <v>56</v>
      </c>
      <c r="AX93" s="17">
        <v>0.77742900000000004</v>
      </c>
      <c r="AY93" s="17" t="s">
        <v>56</v>
      </c>
      <c r="AZ93" s="17" t="s">
        <v>2956</v>
      </c>
      <c r="BA93" s="17" t="s">
        <v>2864</v>
      </c>
      <c r="BB93" s="17">
        <v>87333.248438120994</v>
      </c>
      <c r="BC93" s="17">
        <v>87333.248438120994</v>
      </c>
      <c r="BD93" s="17" t="s">
        <v>2956</v>
      </c>
      <c r="BE93" s="17" t="s">
        <v>2864</v>
      </c>
      <c r="BF93" s="17" t="s">
        <v>56</v>
      </c>
      <c r="BG93" s="17" t="s">
        <v>56</v>
      </c>
      <c r="BH93" s="17" t="s">
        <v>56</v>
      </c>
      <c r="BI93" s="17" t="s">
        <v>56</v>
      </c>
      <c r="BJ93" s="17" t="s">
        <v>56</v>
      </c>
      <c r="BK93" s="17" t="s">
        <v>56</v>
      </c>
      <c r="BL93" s="17" t="s">
        <v>56</v>
      </c>
      <c r="BM93" s="17" t="s">
        <v>56</v>
      </c>
      <c r="BN93" s="17" t="s">
        <v>56</v>
      </c>
      <c r="BO93" s="17" t="s">
        <v>56</v>
      </c>
      <c r="BP93" s="17" t="s">
        <v>56</v>
      </c>
      <c r="BQ93" s="17"/>
    </row>
    <row r="94" spans="1:69" x14ac:dyDescent="0.25">
      <c r="A94" s="17" t="s">
        <v>3144</v>
      </c>
      <c r="B94" s="17">
        <v>621</v>
      </c>
      <c r="C94" s="17" t="s">
        <v>2634</v>
      </c>
      <c r="D94" s="17" t="s">
        <v>2634</v>
      </c>
      <c r="E94" s="17" t="s">
        <v>2635</v>
      </c>
      <c r="F94" s="17">
        <v>67895.399999999907</v>
      </c>
      <c r="G94" s="17" t="s">
        <v>56</v>
      </c>
      <c r="H94" s="17" t="s">
        <v>56</v>
      </c>
      <c r="I94" s="17" t="s">
        <v>3144</v>
      </c>
      <c r="J94" s="17" t="s">
        <v>3217</v>
      </c>
      <c r="K94" s="17" t="s">
        <v>3215</v>
      </c>
      <c r="L94" s="17" t="s">
        <v>3218</v>
      </c>
      <c r="M94" s="17" t="s">
        <v>332</v>
      </c>
      <c r="N94" s="17" t="s">
        <v>3115</v>
      </c>
      <c r="O94" s="17" t="s">
        <v>3215</v>
      </c>
      <c r="P94" s="17" t="s">
        <v>3216</v>
      </c>
      <c r="Q94" s="17" t="s">
        <v>2864</v>
      </c>
      <c r="R94" s="17" t="s">
        <v>2956</v>
      </c>
      <c r="S94" s="17" t="s">
        <v>56</v>
      </c>
      <c r="T94" s="17" t="s">
        <v>56</v>
      </c>
      <c r="U94" s="17" t="s">
        <v>56</v>
      </c>
      <c r="V94" s="17" t="s">
        <v>56</v>
      </c>
      <c r="W94" s="17" t="s">
        <v>56</v>
      </c>
      <c r="X94" s="17" t="s">
        <v>56</v>
      </c>
      <c r="Y94" s="17" t="s">
        <v>56</v>
      </c>
      <c r="Z94" s="17" t="s">
        <v>56</v>
      </c>
      <c r="AA94" s="17" t="s">
        <v>56</v>
      </c>
      <c r="AB94" s="17" t="s">
        <v>56</v>
      </c>
      <c r="AC94" s="17" t="s">
        <v>56</v>
      </c>
      <c r="AD94" s="17" t="s">
        <v>56</v>
      </c>
      <c r="AE94" s="17" t="s">
        <v>56</v>
      </c>
      <c r="AF94" s="17" t="s">
        <v>56</v>
      </c>
      <c r="AG94" s="17" t="s">
        <v>56</v>
      </c>
      <c r="AH94" s="17" t="s">
        <v>56</v>
      </c>
      <c r="AI94" s="17" t="s">
        <v>56</v>
      </c>
      <c r="AJ94" s="17" t="s">
        <v>56</v>
      </c>
      <c r="AK94" s="17" t="s">
        <v>56</v>
      </c>
      <c r="AL94" s="17" t="s">
        <v>56</v>
      </c>
      <c r="AM94" s="17" t="s">
        <v>56</v>
      </c>
      <c r="AN94" s="17" t="s">
        <v>56</v>
      </c>
      <c r="AO94" s="17" t="s">
        <v>56</v>
      </c>
      <c r="AP94" s="17" t="s">
        <v>56</v>
      </c>
      <c r="AQ94" s="17">
        <v>87333.248438120994</v>
      </c>
      <c r="AR94" s="17">
        <v>87333.248438120994</v>
      </c>
      <c r="AS94" s="17" t="s">
        <v>2956</v>
      </c>
      <c r="AT94" s="17" t="s">
        <v>2864</v>
      </c>
      <c r="AU94" s="17">
        <v>0.77742900000000004</v>
      </c>
      <c r="AV94" s="17" t="s">
        <v>56</v>
      </c>
      <c r="AW94" s="17" t="s">
        <v>56</v>
      </c>
      <c r="AX94" s="17">
        <v>0.77742900000000004</v>
      </c>
      <c r="AY94" s="17" t="s">
        <v>56</v>
      </c>
      <c r="AZ94" s="17" t="s">
        <v>2956</v>
      </c>
      <c r="BA94" s="17" t="s">
        <v>2864</v>
      </c>
      <c r="BB94" s="17">
        <v>87333.248438120994</v>
      </c>
      <c r="BC94" s="17">
        <v>87333.248438120994</v>
      </c>
      <c r="BD94" s="17" t="s">
        <v>2956</v>
      </c>
      <c r="BE94" s="17" t="s">
        <v>2864</v>
      </c>
      <c r="BF94" s="17" t="s">
        <v>56</v>
      </c>
      <c r="BG94" s="17" t="s">
        <v>56</v>
      </c>
      <c r="BH94" s="17" t="s">
        <v>56</v>
      </c>
      <c r="BI94" s="17" t="s">
        <v>56</v>
      </c>
      <c r="BJ94" s="17" t="s">
        <v>56</v>
      </c>
      <c r="BK94" s="17" t="s">
        <v>56</v>
      </c>
      <c r="BL94" s="17" t="s">
        <v>56</v>
      </c>
      <c r="BM94" s="17" t="s">
        <v>56</v>
      </c>
      <c r="BN94" s="17" t="s">
        <v>56</v>
      </c>
      <c r="BO94" s="17" t="s">
        <v>56</v>
      </c>
      <c r="BP94" s="17" t="s">
        <v>56</v>
      </c>
      <c r="BQ94" s="17"/>
    </row>
    <row r="95" spans="1:69" x14ac:dyDescent="0.25">
      <c r="A95" s="17" t="s">
        <v>3148</v>
      </c>
      <c r="B95" s="17">
        <v>621</v>
      </c>
      <c r="C95" s="17" t="s">
        <v>2634</v>
      </c>
      <c r="D95" s="17" t="s">
        <v>2634</v>
      </c>
      <c r="E95" s="17" t="s">
        <v>2635</v>
      </c>
      <c r="F95" s="17">
        <v>67895.399999999907</v>
      </c>
      <c r="G95" s="17" t="s">
        <v>56</v>
      </c>
      <c r="H95" s="17" t="s">
        <v>56</v>
      </c>
      <c r="I95" s="17" t="s">
        <v>3148</v>
      </c>
      <c r="J95" s="17" t="s">
        <v>3217</v>
      </c>
      <c r="K95" s="17" t="s">
        <v>3215</v>
      </c>
      <c r="L95" s="17" t="s">
        <v>3218</v>
      </c>
      <c r="M95" s="17" t="s">
        <v>332</v>
      </c>
      <c r="N95" s="17" t="s">
        <v>3115</v>
      </c>
      <c r="O95" s="17" t="s">
        <v>3215</v>
      </c>
      <c r="P95" s="17" t="s">
        <v>3216</v>
      </c>
      <c r="Q95" s="17" t="s">
        <v>2864</v>
      </c>
      <c r="R95" s="17" t="s">
        <v>2956</v>
      </c>
      <c r="S95" s="17" t="s">
        <v>56</v>
      </c>
      <c r="T95" s="17" t="s">
        <v>56</v>
      </c>
      <c r="U95" s="17" t="s">
        <v>56</v>
      </c>
      <c r="V95" s="17" t="s">
        <v>56</v>
      </c>
      <c r="W95" s="17" t="s">
        <v>56</v>
      </c>
      <c r="X95" s="17" t="s">
        <v>56</v>
      </c>
      <c r="Y95" s="17" t="s">
        <v>56</v>
      </c>
      <c r="Z95" s="17" t="s">
        <v>56</v>
      </c>
      <c r="AA95" s="17" t="s">
        <v>56</v>
      </c>
      <c r="AB95" s="17" t="s">
        <v>56</v>
      </c>
      <c r="AC95" s="17" t="s">
        <v>56</v>
      </c>
      <c r="AD95" s="17" t="s">
        <v>56</v>
      </c>
      <c r="AE95" s="17" t="s">
        <v>56</v>
      </c>
      <c r="AF95" s="17" t="s">
        <v>56</v>
      </c>
      <c r="AG95" s="17" t="s">
        <v>56</v>
      </c>
      <c r="AH95" s="17" t="s">
        <v>56</v>
      </c>
      <c r="AI95" s="17" t="s">
        <v>56</v>
      </c>
      <c r="AJ95" s="17" t="s">
        <v>56</v>
      </c>
      <c r="AK95" s="17" t="s">
        <v>56</v>
      </c>
      <c r="AL95" s="17" t="s">
        <v>56</v>
      </c>
      <c r="AM95" s="17" t="s">
        <v>56</v>
      </c>
      <c r="AN95" s="17" t="s">
        <v>56</v>
      </c>
      <c r="AO95" s="17" t="s">
        <v>56</v>
      </c>
      <c r="AP95" s="17" t="s">
        <v>56</v>
      </c>
      <c r="AQ95" s="17">
        <v>87333.248438120994</v>
      </c>
      <c r="AR95" s="17">
        <v>87333.248438120994</v>
      </c>
      <c r="AS95" s="17" t="s">
        <v>2956</v>
      </c>
      <c r="AT95" s="17" t="s">
        <v>2864</v>
      </c>
      <c r="AU95" s="17">
        <v>0.77742900000000004</v>
      </c>
      <c r="AV95" s="17" t="s">
        <v>56</v>
      </c>
      <c r="AW95" s="17" t="s">
        <v>56</v>
      </c>
      <c r="AX95" s="17">
        <v>0.77742900000000004</v>
      </c>
      <c r="AY95" s="17" t="s">
        <v>56</v>
      </c>
      <c r="AZ95" s="17" t="s">
        <v>2956</v>
      </c>
      <c r="BA95" s="17" t="s">
        <v>2864</v>
      </c>
      <c r="BB95" s="17">
        <v>87333.248438120994</v>
      </c>
      <c r="BC95" s="17">
        <v>87333.248438120994</v>
      </c>
      <c r="BD95" s="17" t="s">
        <v>2956</v>
      </c>
      <c r="BE95" s="17" t="s">
        <v>2864</v>
      </c>
      <c r="BF95" s="17" t="s">
        <v>56</v>
      </c>
      <c r="BG95" s="17" t="s">
        <v>56</v>
      </c>
      <c r="BH95" s="17" t="s">
        <v>56</v>
      </c>
      <c r="BI95" s="17" t="s">
        <v>56</v>
      </c>
      <c r="BJ95" s="17" t="s">
        <v>56</v>
      </c>
      <c r="BK95" s="17" t="s">
        <v>56</v>
      </c>
      <c r="BL95" s="17" t="s">
        <v>56</v>
      </c>
      <c r="BM95" s="17" t="s">
        <v>56</v>
      </c>
      <c r="BN95" s="17" t="s">
        <v>56</v>
      </c>
      <c r="BO95" s="17" t="s">
        <v>56</v>
      </c>
      <c r="BP95" s="17" t="s">
        <v>56</v>
      </c>
      <c r="BQ95" s="17"/>
    </row>
    <row r="96" spans="1:69" x14ac:dyDescent="0.25">
      <c r="A96" s="17" t="s">
        <v>3185</v>
      </c>
      <c r="B96" s="17">
        <v>621</v>
      </c>
      <c r="C96" s="17" t="s">
        <v>2634</v>
      </c>
      <c r="D96" s="17" t="s">
        <v>2634</v>
      </c>
      <c r="E96" s="17" t="s">
        <v>2635</v>
      </c>
      <c r="F96" s="17">
        <v>67895.399999999907</v>
      </c>
      <c r="G96" s="17" t="s">
        <v>56</v>
      </c>
      <c r="H96" s="17" t="s">
        <v>56</v>
      </c>
      <c r="I96" s="17" t="s">
        <v>3185</v>
      </c>
      <c r="J96" s="17" t="s">
        <v>3217</v>
      </c>
      <c r="K96" s="17" t="s">
        <v>3215</v>
      </c>
      <c r="L96" s="17" t="s">
        <v>3218</v>
      </c>
      <c r="M96" s="17" t="s">
        <v>332</v>
      </c>
      <c r="N96" s="17" t="s">
        <v>3115</v>
      </c>
      <c r="O96" s="17" t="s">
        <v>3215</v>
      </c>
      <c r="P96" s="17" t="s">
        <v>3216</v>
      </c>
      <c r="Q96" s="17" t="s">
        <v>2864</v>
      </c>
      <c r="R96" s="17" t="s">
        <v>2956</v>
      </c>
      <c r="S96" s="17" t="s">
        <v>56</v>
      </c>
      <c r="T96" s="17" t="s">
        <v>56</v>
      </c>
      <c r="U96" s="17" t="s">
        <v>56</v>
      </c>
      <c r="V96" s="17" t="s">
        <v>56</v>
      </c>
      <c r="W96" s="17" t="s">
        <v>56</v>
      </c>
      <c r="X96" s="17" t="s">
        <v>56</v>
      </c>
      <c r="Y96" s="17" t="s">
        <v>56</v>
      </c>
      <c r="Z96" s="17" t="s">
        <v>56</v>
      </c>
      <c r="AA96" s="17" t="s">
        <v>56</v>
      </c>
      <c r="AB96" s="17" t="s">
        <v>56</v>
      </c>
      <c r="AC96" s="17" t="s">
        <v>56</v>
      </c>
      <c r="AD96" s="17" t="s">
        <v>56</v>
      </c>
      <c r="AE96" s="17" t="s">
        <v>56</v>
      </c>
      <c r="AF96" s="17" t="s">
        <v>56</v>
      </c>
      <c r="AG96" s="17" t="s">
        <v>56</v>
      </c>
      <c r="AH96" s="17" t="s">
        <v>56</v>
      </c>
      <c r="AI96" s="17" t="s">
        <v>56</v>
      </c>
      <c r="AJ96" s="17" t="s">
        <v>56</v>
      </c>
      <c r="AK96" s="17" t="s">
        <v>56</v>
      </c>
      <c r="AL96" s="17" t="s">
        <v>56</v>
      </c>
      <c r="AM96" s="17" t="s">
        <v>56</v>
      </c>
      <c r="AN96" s="17" t="s">
        <v>56</v>
      </c>
      <c r="AO96" s="17" t="s">
        <v>56</v>
      </c>
      <c r="AP96" s="17" t="s">
        <v>56</v>
      </c>
      <c r="AQ96" s="17">
        <v>87333.248438120994</v>
      </c>
      <c r="AR96" s="17">
        <v>87333.248438120994</v>
      </c>
      <c r="AS96" s="17" t="s">
        <v>2956</v>
      </c>
      <c r="AT96" s="17" t="s">
        <v>2864</v>
      </c>
      <c r="AU96" s="17">
        <v>0.77742900000000004</v>
      </c>
      <c r="AV96" s="17" t="s">
        <v>56</v>
      </c>
      <c r="AW96" s="17" t="s">
        <v>56</v>
      </c>
      <c r="AX96" s="17">
        <v>0.77742900000000004</v>
      </c>
      <c r="AY96" s="17" t="s">
        <v>56</v>
      </c>
      <c r="AZ96" s="17" t="s">
        <v>2956</v>
      </c>
      <c r="BA96" s="17" t="s">
        <v>2864</v>
      </c>
      <c r="BB96" s="17">
        <v>87333.248438120994</v>
      </c>
      <c r="BC96" s="17">
        <v>87333.248438120994</v>
      </c>
      <c r="BD96" s="17" t="s">
        <v>2956</v>
      </c>
      <c r="BE96" s="17" t="s">
        <v>2864</v>
      </c>
      <c r="BF96" s="17" t="s">
        <v>56</v>
      </c>
      <c r="BG96" s="17" t="s">
        <v>56</v>
      </c>
      <c r="BH96" s="17" t="s">
        <v>56</v>
      </c>
      <c r="BI96" s="17" t="s">
        <v>56</v>
      </c>
      <c r="BJ96" s="17" t="s">
        <v>56</v>
      </c>
      <c r="BK96" s="17" t="s">
        <v>56</v>
      </c>
      <c r="BL96" s="17" t="s">
        <v>56</v>
      </c>
      <c r="BM96" s="17" t="s">
        <v>56</v>
      </c>
      <c r="BN96" s="17" t="s">
        <v>56</v>
      </c>
      <c r="BO96" s="17" t="s">
        <v>56</v>
      </c>
      <c r="BP96" s="17" t="s">
        <v>56</v>
      </c>
      <c r="BQ96" s="17"/>
    </row>
    <row r="97" spans="1:69" x14ac:dyDescent="0.25">
      <c r="A97" s="17" t="s">
        <v>3204</v>
      </c>
      <c r="B97" s="17">
        <v>621</v>
      </c>
      <c r="C97" s="17" t="s">
        <v>2634</v>
      </c>
      <c r="D97" s="17" t="s">
        <v>2634</v>
      </c>
      <c r="E97" s="17" t="s">
        <v>2635</v>
      </c>
      <c r="F97" s="17">
        <v>67895.399999999907</v>
      </c>
      <c r="G97" s="17" t="s">
        <v>56</v>
      </c>
      <c r="H97" s="17" t="s">
        <v>56</v>
      </c>
      <c r="I97" s="17" t="s">
        <v>3204</v>
      </c>
      <c r="J97" s="17" t="s">
        <v>3217</v>
      </c>
      <c r="K97" s="17" t="s">
        <v>3215</v>
      </c>
      <c r="L97" s="17" t="s">
        <v>3218</v>
      </c>
      <c r="M97" s="17" t="s">
        <v>332</v>
      </c>
      <c r="N97" s="17" t="s">
        <v>3115</v>
      </c>
      <c r="O97" s="17" t="s">
        <v>3215</v>
      </c>
      <c r="P97" s="17" t="s">
        <v>3216</v>
      </c>
      <c r="Q97" s="17" t="s">
        <v>2864</v>
      </c>
      <c r="R97" s="17" t="s">
        <v>2956</v>
      </c>
      <c r="S97" s="17" t="s">
        <v>56</v>
      </c>
      <c r="T97" s="17" t="s">
        <v>56</v>
      </c>
      <c r="U97" s="17" t="s">
        <v>56</v>
      </c>
      <c r="V97" s="17" t="s">
        <v>56</v>
      </c>
      <c r="W97" s="17" t="s">
        <v>56</v>
      </c>
      <c r="X97" s="17" t="s">
        <v>56</v>
      </c>
      <c r="Y97" s="17" t="s">
        <v>56</v>
      </c>
      <c r="Z97" s="17" t="s">
        <v>56</v>
      </c>
      <c r="AA97" s="17" t="s">
        <v>56</v>
      </c>
      <c r="AB97" s="17" t="s">
        <v>56</v>
      </c>
      <c r="AC97" s="17" t="s">
        <v>56</v>
      </c>
      <c r="AD97" s="17" t="s">
        <v>56</v>
      </c>
      <c r="AE97" s="17" t="s">
        <v>56</v>
      </c>
      <c r="AF97" s="17" t="s">
        <v>56</v>
      </c>
      <c r="AG97" s="17" t="s">
        <v>56</v>
      </c>
      <c r="AH97" s="17" t="s">
        <v>56</v>
      </c>
      <c r="AI97" s="17" t="s">
        <v>56</v>
      </c>
      <c r="AJ97" s="17" t="s">
        <v>56</v>
      </c>
      <c r="AK97" s="17" t="s">
        <v>56</v>
      </c>
      <c r="AL97" s="17" t="s">
        <v>56</v>
      </c>
      <c r="AM97" s="17" t="s">
        <v>56</v>
      </c>
      <c r="AN97" s="17" t="s">
        <v>56</v>
      </c>
      <c r="AO97" s="17" t="s">
        <v>56</v>
      </c>
      <c r="AP97" s="17" t="s">
        <v>56</v>
      </c>
      <c r="AQ97" s="17">
        <v>87333.248438120994</v>
      </c>
      <c r="AR97" s="17">
        <v>87333.248438120994</v>
      </c>
      <c r="AS97" s="17" t="s">
        <v>2956</v>
      </c>
      <c r="AT97" s="17" t="s">
        <v>2864</v>
      </c>
      <c r="AU97" s="17">
        <v>0.77742900000000004</v>
      </c>
      <c r="AV97" s="17" t="s">
        <v>56</v>
      </c>
      <c r="AW97" s="17" t="s">
        <v>56</v>
      </c>
      <c r="AX97" s="17">
        <v>0.77742900000000004</v>
      </c>
      <c r="AY97" s="17" t="s">
        <v>56</v>
      </c>
      <c r="AZ97" s="17" t="s">
        <v>2956</v>
      </c>
      <c r="BA97" s="17" t="s">
        <v>2864</v>
      </c>
      <c r="BB97" s="17">
        <v>87333.248438120994</v>
      </c>
      <c r="BC97" s="17">
        <v>87333.248438120994</v>
      </c>
      <c r="BD97" s="17" t="s">
        <v>2956</v>
      </c>
      <c r="BE97" s="17" t="s">
        <v>2864</v>
      </c>
      <c r="BF97" s="17" t="s">
        <v>56</v>
      </c>
      <c r="BG97" s="17" t="s">
        <v>56</v>
      </c>
      <c r="BH97" s="17" t="s">
        <v>56</v>
      </c>
      <c r="BI97" s="17" t="s">
        <v>56</v>
      </c>
      <c r="BJ97" s="17" t="s">
        <v>56</v>
      </c>
      <c r="BK97" s="17" t="s">
        <v>56</v>
      </c>
      <c r="BL97" s="17" t="s">
        <v>56</v>
      </c>
      <c r="BM97" s="17" t="s">
        <v>56</v>
      </c>
      <c r="BN97" s="17" t="s">
        <v>56</v>
      </c>
      <c r="BO97" s="17" t="s">
        <v>56</v>
      </c>
      <c r="BP97" s="17" t="s">
        <v>56</v>
      </c>
      <c r="BQ97" s="17"/>
    </row>
    <row r="98" spans="1:69" x14ac:dyDescent="0.25">
      <c r="A98" s="17" t="s">
        <v>3192</v>
      </c>
      <c r="B98" s="17">
        <v>621</v>
      </c>
      <c r="C98" s="17" t="s">
        <v>2634</v>
      </c>
      <c r="D98" s="17" t="s">
        <v>2634</v>
      </c>
      <c r="E98" s="17" t="s">
        <v>2635</v>
      </c>
      <c r="F98" s="17">
        <v>67895.399999999907</v>
      </c>
      <c r="G98" s="17" t="s">
        <v>56</v>
      </c>
      <c r="H98" s="17" t="s">
        <v>56</v>
      </c>
      <c r="I98" s="17" t="s">
        <v>3192</v>
      </c>
      <c r="J98" s="17" t="s">
        <v>3217</v>
      </c>
      <c r="K98" s="17" t="s">
        <v>3215</v>
      </c>
      <c r="L98" s="17" t="s">
        <v>3218</v>
      </c>
      <c r="M98" s="17" t="s">
        <v>332</v>
      </c>
      <c r="N98" s="17" t="s">
        <v>3115</v>
      </c>
      <c r="O98" s="17" t="s">
        <v>3215</v>
      </c>
      <c r="P98" s="17" t="s">
        <v>3216</v>
      </c>
      <c r="Q98" s="17" t="s">
        <v>2864</v>
      </c>
      <c r="R98" s="17" t="s">
        <v>2956</v>
      </c>
      <c r="S98" s="17" t="s">
        <v>56</v>
      </c>
      <c r="T98" s="17" t="s">
        <v>56</v>
      </c>
      <c r="U98" s="17" t="s">
        <v>56</v>
      </c>
      <c r="V98" s="17" t="s">
        <v>56</v>
      </c>
      <c r="W98" s="17" t="s">
        <v>56</v>
      </c>
      <c r="X98" s="17" t="s">
        <v>56</v>
      </c>
      <c r="Y98" s="17" t="s">
        <v>56</v>
      </c>
      <c r="Z98" s="17" t="s">
        <v>56</v>
      </c>
      <c r="AA98" s="17" t="s">
        <v>56</v>
      </c>
      <c r="AB98" s="17" t="s">
        <v>56</v>
      </c>
      <c r="AC98" s="17" t="s">
        <v>56</v>
      </c>
      <c r="AD98" s="17" t="s">
        <v>56</v>
      </c>
      <c r="AE98" s="17" t="s">
        <v>56</v>
      </c>
      <c r="AF98" s="17" t="s">
        <v>56</v>
      </c>
      <c r="AG98" s="17" t="s">
        <v>56</v>
      </c>
      <c r="AH98" s="17" t="s">
        <v>56</v>
      </c>
      <c r="AI98" s="17" t="s">
        <v>56</v>
      </c>
      <c r="AJ98" s="17" t="s">
        <v>56</v>
      </c>
      <c r="AK98" s="17" t="s">
        <v>56</v>
      </c>
      <c r="AL98" s="17" t="s">
        <v>56</v>
      </c>
      <c r="AM98" s="17" t="s">
        <v>56</v>
      </c>
      <c r="AN98" s="17" t="s">
        <v>56</v>
      </c>
      <c r="AO98" s="17" t="s">
        <v>56</v>
      </c>
      <c r="AP98" s="17" t="s">
        <v>56</v>
      </c>
      <c r="AQ98" s="17">
        <v>87333.248438120994</v>
      </c>
      <c r="AR98" s="17">
        <v>87333.248438120994</v>
      </c>
      <c r="AS98" s="17" t="s">
        <v>2956</v>
      </c>
      <c r="AT98" s="17" t="s">
        <v>2864</v>
      </c>
      <c r="AU98" s="17">
        <v>0.77742900000000004</v>
      </c>
      <c r="AV98" s="17" t="s">
        <v>56</v>
      </c>
      <c r="AW98" s="17" t="s">
        <v>56</v>
      </c>
      <c r="AX98" s="17">
        <v>0.77742900000000004</v>
      </c>
      <c r="AY98" s="17" t="s">
        <v>56</v>
      </c>
      <c r="AZ98" s="17" t="s">
        <v>2956</v>
      </c>
      <c r="BA98" s="17" t="s">
        <v>2864</v>
      </c>
      <c r="BB98" s="17">
        <v>87333.248438120994</v>
      </c>
      <c r="BC98" s="17">
        <v>87333.248438120994</v>
      </c>
      <c r="BD98" s="17" t="s">
        <v>2956</v>
      </c>
      <c r="BE98" s="17" t="s">
        <v>2864</v>
      </c>
      <c r="BF98" s="17" t="s">
        <v>56</v>
      </c>
      <c r="BG98" s="17" t="s">
        <v>56</v>
      </c>
      <c r="BH98" s="17" t="s">
        <v>56</v>
      </c>
      <c r="BI98" s="17" t="s">
        <v>56</v>
      </c>
      <c r="BJ98" s="17" t="s">
        <v>56</v>
      </c>
      <c r="BK98" s="17" t="s">
        <v>56</v>
      </c>
      <c r="BL98" s="17" t="s">
        <v>56</v>
      </c>
      <c r="BM98" s="17" t="s">
        <v>56</v>
      </c>
      <c r="BN98" s="17" t="s">
        <v>56</v>
      </c>
      <c r="BO98" s="17" t="s">
        <v>56</v>
      </c>
      <c r="BP98" s="17" t="s">
        <v>56</v>
      </c>
      <c r="BQ98" s="17"/>
    </row>
    <row r="99" spans="1:69" x14ac:dyDescent="0.25">
      <c r="A99" s="17" t="s">
        <v>3140</v>
      </c>
      <c r="B99" s="17">
        <v>621</v>
      </c>
      <c r="C99" s="17" t="s">
        <v>2634</v>
      </c>
      <c r="D99" s="17" t="s">
        <v>2634</v>
      </c>
      <c r="E99" s="17" t="s">
        <v>2635</v>
      </c>
      <c r="F99" s="17">
        <v>67895.399999999907</v>
      </c>
      <c r="G99" s="17" t="s">
        <v>56</v>
      </c>
      <c r="H99" s="17" t="s">
        <v>56</v>
      </c>
      <c r="I99" s="17" t="s">
        <v>3140</v>
      </c>
      <c r="J99" s="17" t="s">
        <v>3217</v>
      </c>
      <c r="K99" s="17" t="s">
        <v>3215</v>
      </c>
      <c r="L99" s="17" t="s">
        <v>3218</v>
      </c>
      <c r="M99" s="17" t="s">
        <v>332</v>
      </c>
      <c r="N99" s="17" t="s">
        <v>3115</v>
      </c>
      <c r="O99" s="17" t="s">
        <v>3215</v>
      </c>
      <c r="P99" s="17" t="s">
        <v>3216</v>
      </c>
      <c r="Q99" s="17" t="s">
        <v>2864</v>
      </c>
      <c r="R99" s="17" t="s">
        <v>2956</v>
      </c>
      <c r="S99" s="17" t="s">
        <v>56</v>
      </c>
      <c r="T99" s="17" t="s">
        <v>56</v>
      </c>
      <c r="U99" s="17" t="s">
        <v>56</v>
      </c>
      <c r="V99" s="17" t="s">
        <v>56</v>
      </c>
      <c r="W99" s="17" t="s">
        <v>56</v>
      </c>
      <c r="X99" s="17" t="s">
        <v>56</v>
      </c>
      <c r="Y99" s="17" t="s">
        <v>56</v>
      </c>
      <c r="Z99" s="17" t="s">
        <v>56</v>
      </c>
      <c r="AA99" s="17" t="s">
        <v>56</v>
      </c>
      <c r="AB99" s="17" t="s">
        <v>56</v>
      </c>
      <c r="AC99" s="17" t="s">
        <v>56</v>
      </c>
      <c r="AD99" s="17" t="s">
        <v>56</v>
      </c>
      <c r="AE99" s="17" t="s">
        <v>56</v>
      </c>
      <c r="AF99" s="17" t="s">
        <v>56</v>
      </c>
      <c r="AG99" s="17" t="s">
        <v>56</v>
      </c>
      <c r="AH99" s="17" t="s">
        <v>56</v>
      </c>
      <c r="AI99" s="17" t="s">
        <v>56</v>
      </c>
      <c r="AJ99" s="17" t="s">
        <v>56</v>
      </c>
      <c r="AK99" s="17" t="s">
        <v>56</v>
      </c>
      <c r="AL99" s="17" t="s">
        <v>56</v>
      </c>
      <c r="AM99" s="17" t="s">
        <v>56</v>
      </c>
      <c r="AN99" s="17" t="s">
        <v>56</v>
      </c>
      <c r="AO99" s="17" t="s">
        <v>56</v>
      </c>
      <c r="AP99" s="17" t="s">
        <v>56</v>
      </c>
      <c r="AQ99" s="17">
        <v>87333.248438120994</v>
      </c>
      <c r="AR99" s="17">
        <v>87333.248438120994</v>
      </c>
      <c r="AS99" s="17" t="s">
        <v>2956</v>
      </c>
      <c r="AT99" s="17" t="s">
        <v>2864</v>
      </c>
      <c r="AU99" s="17">
        <v>0.77742900000000004</v>
      </c>
      <c r="AV99" s="17" t="s">
        <v>56</v>
      </c>
      <c r="AW99" s="17" t="s">
        <v>56</v>
      </c>
      <c r="AX99" s="17">
        <v>0.77742900000000004</v>
      </c>
      <c r="AY99" s="17" t="s">
        <v>56</v>
      </c>
      <c r="AZ99" s="17" t="s">
        <v>2956</v>
      </c>
      <c r="BA99" s="17" t="s">
        <v>2864</v>
      </c>
      <c r="BB99" s="17">
        <v>87333.248438120994</v>
      </c>
      <c r="BC99" s="17">
        <v>87333.248438120994</v>
      </c>
      <c r="BD99" s="17" t="s">
        <v>2956</v>
      </c>
      <c r="BE99" s="17" t="s">
        <v>2864</v>
      </c>
      <c r="BF99" s="17" t="s">
        <v>56</v>
      </c>
      <c r="BG99" s="17" t="s">
        <v>56</v>
      </c>
      <c r="BH99" s="17" t="s">
        <v>56</v>
      </c>
      <c r="BI99" s="17" t="s">
        <v>56</v>
      </c>
      <c r="BJ99" s="17" t="s">
        <v>56</v>
      </c>
      <c r="BK99" s="17" t="s">
        <v>56</v>
      </c>
      <c r="BL99" s="17" t="s">
        <v>56</v>
      </c>
      <c r="BM99" s="17" t="s">
        <v>56</v>
      </c>
      <c r="BN99" s="17" t="s">
        <v>56</v>
      </c>
      <c r="BO99" s="17" t="s">
        <v>56</v>
      </c>
      <c r="BP99" s="17" t="s">
        <v>56</v>
      </c>
      <c r="BQ99" s="17"/>
    </row>
    <row r="100" spans="1:69" x14ac:dyDescent="0.25">
      <c r="A100" s="17" t="s">
        <v>3129</v>
      </c>
      <c r="B100" s="17">
        <v>621</v>
      </c>
      <c r="C100" s="17" t="s">
        <v>2634</v>
      </c>
      <c r="D100" s="17" t="s">
        <v>2634</v>
      </c>
      <c r="E100" s="17" t="s">
        <v>2635</v>
      </c>
      <c r="F100" s="17">
        <v>67895.399999999907</v>
      </c>
      <c r="G100" s="17" t="s">
        <v>56</v>
      </c>
      <c r="H100" s="17" t="s">
        <v>56</v>
      </c>
      <c r="I100" s="17" t="s">
        <v>3129</v>
      </c>
      <c r="J100" s="17" t="s">
        <v>3217</v>
      </c>
      <c r="K100" s="17" t="s">
        <v>3215</v>
      </c>
      <c r="L100" s="17" t="s">
        <v>3218</v>
      </c>
      <c r="M100" s="17" t="s">
        <v>332</v>
      </c>
      <c r="N100" s="17" t="s">
        <v>3115</v>
      </c>
      <c r="O100" s="17" t="s">
        <v>3215</v>
      </c>
      <c r="P100" s="17" t="s">
        <v>3216</v>
      </c>
      <c r="Q100" s="17" t="s">
        <v>2864</v>
      </c>
      <c r="R100" s="17" t="s">
        <v>2956</v>
      </c>
      <c r="S100" s="17" t="s">
        <v>56</v>
      </c>
      <c r="T100" s="17" t="s">
        <v>56</v>
      </c>
      <c r="U100" s="17" t="s">
        <v>56</v>
      </c>
      <c r="V100" s="17" t="s">
        <v>56</v>
      </c>
      <c r="W100" s="17" t="s">
        <v>56</v>
      </c>
      <c r="X100" s="17" t="s">
        <v>56</v>
      </c>
      <c r="Y100" s="17" t="s">
        <v>56</v>
      </c>
      <c r="Z100" s="17" t="s">
        <v>56</v>
      </c>
      <c r="AA100" s="17" t="s">
        <v>56</v>
      </c>
      <c r="AB100" s="17" t="s">
        <v>56</v>
      </c>
      <c r="AC100" s="17" t="s">
        <v>56</v>
      </c>
      <c r="AD100" s="17" t="s">
        <v>56</v>
      </c>
      <c r="AE100" s="17" t="s">
        <v>56</v>
      </c>
      <c r="AF100" s="17" t="s">
        <v>56</v>
      </c>
      <c r="AG100" s="17" t="s">
        <v>56</v>
      </c>
      <c r="AH100" s="17" t="s">
        <v>56</v>
      </c>
      <c r="AI100" s="17" t="s">
        <v>56</v>
      </c>
      <c r="AJ100" s="17" t="s">
        <v>56</v>
      </c>
      <c r="AK100" s="17" t="s">
        <v>56</v>
      </c>
      <c r="AL100" s="17" t="s">
        <v>56</v>
      </c>
      <c r="AM100" s="17" t="s">
        <v>56</v>
      </c>
      <c r="AN100" s="17" t="s">
        <v>56</v>
      </c>
      <c r="AO100" s="17" t="s">
        <v>56</v>
      </c>
      <c r="AP100" s="17" t="s">
        <v>56</v>
      </c>
      <c r="AQ100" s="17">
        <v>87333.248438120994</v>
      </c>
      <c r="AR100" s="17">
        <v>87333.248438120994</v>
      </c>
      <c r="AS100" s="17" t="s">
        <v>2956</v>
      </c>
      <c r="AT100" s="17" t="s">
        <v>2864</v>
      </c>
      <c r="AU100" s="17">
        <v>0.77742900000000004</v>
      </c>
      <c r="AV100" s="17" t="s">
        <v>56</v>
      </c>
      <c r="AW100" s="17" t="s">
        <v>56</v>
      </c>
      <c r="AX100" s="17">
        <v>0.77742900000000004</v>
      </c>
      <c r="AY100" s="17" t="s">
        <v>56</v>
      </c>
      <c r="AZ100" s="17" t="s">
        <v>2956</v>
      </c>
      <c r="BA100" s="17" t="s">
        <v>2864</v>
      </c>
      <c r="BB100" s="17">
        <v>87333.248438120994</v>
      </c>
      <c r="BC100" s="17">
        <v>87333.248438120994</v>
      </c>
      <c r="BD100" s="17" t="s">
        <v>2956</v>
      </c>
      <c r="BE100" s="17" t="s">
        <v>2864</v>
      </c>
      <c r="BF100" s="17" t="s">
        <v>56</v>
      </c>
      <c r="BG100" s="17" t="s">
        <v>56</v>
      </c>
      <c r="BH100" s="17" t="s">
        <v>56</v>
      </c>
      <c r="BI100" s="17" t="s">
        <v>56</v>
      </c>
      <c r="BJ100" s="17" t="s">
        <v>56</v>
      </c>
      <c r="BK100" s="17" t="s">
        <v>56</v>
      </c>
      <c r="BL100" s="17" t="s">
        <v>56</v>
      </c>
      <c r="BM100" s="17" t="s">
        <v>56</v>
      </c>
      <c r="BN100" s="17" t="s">
        <v>56</v>
      </c>
      <c r="BO100" s="17" t="s">
        <v>56</v>
      </c>
      <c r="BP100" s="17" t="s">
        <v>56</v>
      </c>
      <c r="BQ100" s="17"/>
    </row>
    <row r="101" spans="1:69" x14ac:dyDescent="0.25">
      <c r="A101" s="17" t="s">
        <v>3136</v>
      </c>
      <c r="B101" s="17">
        <v>621</v>
      </c>
      <c r="C101" s="17" t="s">
        <v>2634</v>
      </c>
      <c r="D101" s="17" t="s">
        <v>2634</v>
      </c>
      <c r="E101" s="17" t="s">
        <v>2635</v>
      </c>
      <c r="F101" s="17">
        <v>67895.399999999907</v>
      </c>
      <c r="G101" s="17" t="s">
        <v>56</v>
      </c>
      <c r="H101" s="17" t="s">
        <v>56</v>
      </c>
      <c r="I101" s="17" t="s">
        <v>3136</v>
      </c>
      <c r="J101" s="17" t="s">
        <v>3217</v>
      </c>
      <c r="K101" s="17" t="s">
        <v>3215</v>
      </c>
      <c r="L101" s="17" t="s">
        <v>3218</v>
      </c>
      <c r="M101" s="17" t="s">
        <v>332</v>
      </c>
      <c r="N101" s="17" t="s">
        <v>3115</v>
      </c>
      <c r="O101" s="17" t="s">
        <v>3215</v>
      </c>
      <c r="P101" s="17" t="s">
        <v>3216</v>
      </c>
      <c r="Q101" s="17" t="s">
        <v>2864</v>
      </c>
      <c r="R101" s="17" t="s">
        <v>2956</v>
      </c>
      <c r="S101" s="17" t="s">
        <v>56</v>
      </c>
      <c r="T101" s="17" t="s">
        <v>56</v>
      </c>
      <c r="U101" s="17" t="s">
        <v>56</v>
      </c>
      <c r="V101" s="17" t="s">
        <v>56</v>
      </c>
      <c r="W101" s="17" t="s">
        <v>56</v>
      </c>
      <c r="X101" s="17" t="s">
        <v>56</v>
      </c>
      <c r="Y101" s="17" t="s">
        <v>56</v>
      </c>
      <c r="Z101" s="17" t="s">
        <v>56</v>
      </c>
      <c r="AA101" s="17" t="s">
        <v>56</v>
      </c>
      <c r="AB101" s="17" t="s">
        <v>56</v>
      </c>
      <c r="AC101" s="17" t="s">
        <v>56</v>
      </c>
      <c r="AD101" s="17" t="s">
        <v>56</v>
      </c>
      <c r="AE101" s="17" t="s">
        <v>56</v>
      </c>
      <c r="AF101" s="17" t="s">
        <v>56</v>
      </c>
      <c r="AG101" s="17" t="s">
        <v>56</v>
      </c>
      <c r="AH101" s="17" t="s">
        <v>56</v>
      </c>
      <c r="AI101" s="17" t="s">
        <v>56</v>
      </c>
      <c r="AJ101" s="17" t="s">
        <v>56</v>
      </c>
      <c r="AK101" s="17" t="s">
        <v>56</v>
      </c>
      <c r="AL101" s="17" t="s">
        <v>56</v>
      </c>
      <c r="AM101" s="17" t="s">
        <v>56</v>
      </c>
      <c r="AN101" s="17" t="s">
        <v>56</v>
      </c>
      <c r="AO101" s="17" t="s">
        <v>56</v>
      </c>
      <c r="AP101" s="17" t="s">
        <v>56</v>
      </c>
      <c r="AQ101" s="17">
        <v>87333.248438120994</v>
      </c>
      <c r="AR101" s="17">
        <v>87333.248438120994</v>
      </c>
      <c r="AS101" s="17" t="s">
        <v>2956</v>
      </c>
      <c r="AT101" s="17" t="s">
        <v>2864</v>
      </c>
      <c r="AU101" s="17">
        <v>0.77742900000000004</v>
      </c>
      <c r="AV101" s="17" t="s">
        <v>56</v>
      </c>
      <c r="AW101" s="17" t="s">
        <v>56</v>
      </c>
      <c r="AX101" s="17">
        <v>0.77742900000000004</v>
      </c>
      <c r="AY101" s="17" t="s">
        <v>56</v>
      </c>
      <c r="AZ101" s="17" t="s">
        <v>2956</v>
      </c>
      <c r="BA101" s="17" t="s">
        <v>2864</v>
      </c>
      <c r="BB101" s="17">
        <v>87333.248438120994</v>
      </c>
      <c r="BC101" s="17">
        <v>87333.248438120994</v>
      </c>
      <c r="BD101" s="17" t="s">
        <v>2956</v>
      </c>
      <c r="BE101" s="17" t="s">
        <v>2864</v>
      </c>
      <c r="BF101" s="17" t="s">
        <v>56</v>
      </c>
      <c r="BG101" s="17" t="s">
        <v>56</v>
      </c>
      <c r="BH101" s="17" t="s">
        <v>56</v>
      </c>
      <c r="BI101" s="17" t="s">
        <v>56</v>
      </c>
      <c r="BJ101" s="17" t="s">
        <v>56</v>
      </c>
      <c r="BK101" s="17" t="s">
        <v>56</v>
      </c>
      <c r="BL101" s="17" t="s">
        <v>56</v>
      </c>
      <c r="BM101" s="17" t="s">
        <v>56</v>
      </c>
      <c r="BN101" s="17" t="s">
        <v>56</v>
      </c>
      <c r="BO101" s="17" t="s">
        <v>56</v>
      </c>
      <c r="BP101" s="17" t="s">
        <v>56</v>
      </c>
      <c r="BQ101" s="17"/>
    </row>
    <row r="102" spans="1:69" x14ac:dyDescent="0.25">
      <c r="A102" s="17" t="s">
        <v>3188</v>
      </c>
      <c r="B102" s="17">
        <v>621</v>
      </c>
      <c r="C102" s="17" t="s">
        <v>2634</v>
      </c>
      <c r="D102" s="17" t="s">
        <v>2634</v>
      </c>
      <c r="E102" s="17" t="s">
        <v>2635</v>
      </c>
      <c r="F102" s="17">
        <v>67895.399999999907</v>
      </c>
      <c r="G102" s="17" t="s">
        <v>56</v>
      </c>
      <c r="H102" s="17" t="s">
        <v>56</v>
      </c>
      <c r="I102" s="17" t="s">
        <v>3188</v>
      </c>
      <c r="J102" s="17" t="s">
        <v>3217</v>
      </c>
      <c r="K102" s="17" t="s">
        <v>3215</v>
      </c>
      <c r="L102" s="17" t="s">
        <v>3218</v>
      </c>
      <c r="M102" s="17" t="s">
        <v>332</v>
      </c>
      <c r="N102" s="17" t="s">
        <v>3115</v>
      </c>
      <c r="O102" s="17" t="s">
        <v>3215</v>
      </c>
      <c r="P102" s="17" t="s">
        <v>3216</v>
      </c>
      <c r="Q102" s="17" t="s">
        <v>2864</v>
      </c>
      <c r="R102" s="17" t="s">
        <v>2956</v>
      </c>
      <c r="S102" s="17" t="s">
        <v>56</v>
      </c>
      <c r="T102" s="17" t="s">
        <v>56</v>
      </c>
      <c r="U102" s="17" t="s">
        <v>56</v>
      </c>
      <c r="V102" s="17" t="s">
        <v>56</v>
      </c>
      <c r="W102" s="17" t="s">
        <v>56</v>
      </c>
      <c r="X102" s="17" t="s">
        <v>56</v>
      </c>
      <c r="Y102" s="17" t="s">
        <v>56</v>
      </c>
      <c r="Z102" s="17" t="s">
        <v>56</v>
      </c>
      <c r="AA102" s="17" t="s">
        <v>56</v>
      </c>
      <c r="AB102" s="17" t="s">
        <v>56</v>
      </c>
      <c r="AC102" s="17" t="s">
        <v>56</v>
      </c>
      <c r="AD102" s="17" t="s">
        <v>56</v>
      </c>
      <c r="AE102" s="17" t="s">
        <v>56</v>
      </c>
      <c r="AF102" s="17" t="s">
        <v>56</v>
      </c>
      <c r="AG102" s="17" t="s">
        <v>56</v>
      </c>
      <c r="AH102" s="17" t="s">
        <v>56</v>
      </c>
      <c r="AI102" s="17" t="s">
        <v>56</v>
      </c>
      <c r="AJ102" s="17" t="s">
        <v>56</v>
      </c>
      <c r="AK102" s="17" t="s">
        <v>56</v>
      </c>
      <c r="AL102" s="17" t="s">
        <v>56</v>
      </c>
      <c r="AM102" s="17" t="s">
        <v>56</v>
      </c>
      <c r="AN102" s="17" t="s">
        <v>56</v>
      </c>
      <c r="AO102" s="17" t="s">
        <v>56</v>
      </c>
      <c r="AP102" s="17" t="s">
        <v>56</v>
      </c>
      <c r="AQ102" s="17">
        <v>87333.248438120994</v>
      </c>
      <c r="AR102" s="17">
        <v>87333.248438120994</v>
      </c>
      <c r="AS102" s="17" t="s">
        <v>2956</v>
      </c>
      <c r="AT102" s="17" t="s">
        <v>2864</v>
      </c>
      <c r="AU102" s="17">
        <v>0.77742900000000004</v>
      </c>
      <c r="AV102" s="17" t="s">
        <v>56</v>
      </c>
      <c r="AW102" s="17" t="s">
        <v>56</v>
      </c>
      <c r="AX102" s="17">
        <v>0.77742900000000004</v>
      </c>
      <c r="AY102" s="17" t="s">
        <v>56</v>
      </c>
      <c r="AZ102" s="17" t="s">
        <v>2956</v>
      </c>
      <c r="BA102" s="17" t="s">
        <v>2864</v>
      </c>
      <c r="BB102" s="17">
        <v>87333.248438120994</v>
      </c>
      <c r="BC102" s="17">
        <v>87333.248438120994</v>
      </c>
      <c r="BD102" s="17" t="s">
        <v>2956</v>
      </c>
      <c r="BE102" s="17" t="s">
        <v>2864</v>
      </c>
      <c r="BF102" s="17" t="s">
        <v>56</v>
      </c>
      <c r="BG102" s="17" t="s">
        <v>56</v>
      </c>
      <c r="BH102" s="17" t="s">
        <v>56</v>
      </c>
      <c r="BI102" s="17" t="s">
        <v>56</v>
      </c>
      <c r="BJ102" s="17" t="s">
        <v>56</v>
      </c>
      <c r="BK102" s="17" t="s">
        <v>56</v>
      </c>
      <c r="BL102" s="17" t="s">
        <v>56</v>
      </c>
      <c r="BM102" s="17" t="s">
        <v>56</v>
      </c>
      <c r="BN102" s="17" t="s">
        <v>56</v>
      </c>
      <c r="BO102" s="17" t="s">
        <v>56</v>
      </c>
      <c r="BP102" s="17" t="s">
        <v>56</v>
      </c>
      <c r="BQ102" s="17"/>
    </row>
    <row r="103" spans="1:69" x14ac:dyDescent="0.25">
      <c r="A103" s="17" t="s">
        <v>3210</v>
      </c>
      <c r="B103" s="17">
        <v>621</v>
      </c>
      <c r="C103" s="17" t="s">
        <v>2634</v>
      </c>
      <c r="D103" s="17" t="s">
        <v>2634</v>
      </c>
      <c r="E103" s="17" t="s">
        <v>2635</v>
      </c>
      <c r="F103" s="17">
        <v>67895.399999999907</v>
      </c>
      <c r="G103" s="17" t="s">
        <v>56</v>
      </c>
      <c r="H103" s="17" t="s">
        <v>56</v>
      </c>
      <c r="I103" s="17" t="s">
        <v>3210</v>
      </c>
      <c r="J103" s="17" t="s">
        <v>3217</v>
      </c>
      <c r="K103" s="17" t="s">
        <v>3215</v>
      </c>
      <c r="L103" s="17" t="s">
        <v>3218</v>
      </c>
      <c r="M103" s="17" t="s">
        <v>332</v>
      </c>
      <c r="N103" s="17" t="s">
        <v>3115</v>
      </c>
      <c r="O103" s="17" t="s">
        <v>3215</v>
      </c>
      <c r="P103" s="17" t="s">
        <v>3216</v>
      </c>
      <c r="Q103" s="17" t="s">
        <v>2864</v>
      </c>
      <c r="R103" s="17" t="s">
        <v>2956</v>
      </c>
      <c r="S103" s="17" t="s">
        <v>56</v>
      </c>
      <c r="T103" s="17" t="s">
        <v>56</v>
      </c>
      <c r="U103" s="17" t="s">
        <v>56</v>
      </c>
      <c r="V103" s="17" t="s">
        <v>56</v>
      </c>
      <c r="W103" s="17" t="s">
        <v>56</v>
      </c>
      <c r="X103" s="17" t="s">
        <v>56</v>
      </c>
      <c r="Y103" s="17" t="s">
        <v>56</v>
      </c>
      <c r="Z103" s="17" t="s">
        <v>56</v>
      </c>
      <c r="AA103" s="17" t="s">
        <v>56</v>
      </c>
      <c r="AB103" s="17" t="s">
        <v>56</v>
      </c>
      <c r="AC103" s="17" t="s">
        <v>56</v>
      </c>
      <c r="AD103" s="17" t="s">
        <v>56</v>
      </c>
      <c r="AE103" s="17" t="s">
        <v>56</v>
      </c>
      <c r="AF103" s="17" t="s">
        <v>56</v>
      </c>
      <c r="AG103" s="17" t="s">
        <v>56</v>
      </c>
      <c r="AH103" s="17" t="s">
        <v>56</v>
      </c>
      <c r="AI103" s="17" t="s">
        <v>56</v>
      </c>
      <c r="AJ103" s="17" t="s">
        <v>56</v>
      </c>
      <c r="AK103" s="17" t="s">
        <v>56</v>
      </c>
      <c r="AL103" s="17" t="s">
        <v>56</v>
      </c>
      <c r="AM103" s="17" t="s">
        <v>56</v>
      </c>
      <c r="AN103" s="17" t="s">
        <v>56</v>
      </c>
      <c r="AO103" s="17" t="s">
        <v>56</v>
      </c>
      <c r="AP103" s="17" t="s">
        <v>56</v>
      </c>
      <c r="AQ103" s="17">
        <v>87333.248438120994</v>
      </c>
      <c r="AR103" s="17">
        <v>87333.248438120994</v>
      </c>
      <c r="AS103" s="17" t="s">
        <v>2956</v>
      </c>
      <c r="AT103" s="17" t="s">
        <v>2864</v>
      </c>
      <c r="AU103" s="17">
        <v>0.77742900000000004</v>
      </c>
      <c r="AV103" s="17" t="s">
        <v>56</v>
      </c>
      <c r="AW103" s="17" t="s">
        <v>56</v>
      </c>
      <c r="AX103" s="17">
        <v>0.77742900000000004</v>
      </c>
      <c r="AY103" s="17" t="s">
        <v>56</v>
      </c>
      <c r="AZ103" s="17" t="s">
        <v>2956</v>
      </c>
      <c r="BA103" s="17" t="s">
        <v>2864</v>
      </c>
      <c r="BB103" s="17">
        <v>87333.248438120994</v>
      </c>
      <c r="BC103" s="17">
        <v>87333.248438120994</v>
      </c>
      <c r="BD103" s="17" t="s">
        <v>2956</v>
      </c>
      <c r="BE103" s="17" t="s">
        <v>2864</v>
      </c>
      <c r="BF103" s="17" t="s">
        <v>56</v>
      </c>
      <c r="BG103" s="17" t="s">
        <v>56</v>
      </c>
      <c r="BH103" s="17" t="s">
        <v>56</v>
      </c>
      <c r="BI103" s="17" t="s">
        <v>56</v>
      </c>
      <c r="BJ103" s="17" t="s">
        <v>56</v>
      </c>
      <c r="BK103" s="17" t="s">
        <v>56</v>
      </c>
      <c r="BL103" s="17" t="s">
        <v>56</v>
      </c>
      <c r="BM103" s="17" t="s">
        <v>56</v>
      </c>
      <c r="BN103" s="17" t="s">
        <v>56</v>
      </c>
      <c r="BO103" s="17" t="s">
        <v>56</v>
      </c>
      <c r="BP103" s="17" t="s">
        <v>56</v>
      </c>
      <c r="BQ103" s="17"/>
    </row>
    <row r="104" spans="1:69" x14ac:dyDescent="0.25">
      <c r="A104" s="17" t="s">
        <v>3181</v>
      </c>
      <c r="B104" s="17">
        <v>621</v>
      </c>
      <c r="C104" s="17" t="s">
        <v>2634</v>
      </c>
      <c r="D104" s="17" t="s">
        <v>2634</v>
      </c>
      <c r="E104" s="17" t="s">
        <v>2635</v>
      </c>
      <c r="F104" s="17">
        <v>67895.399999999907</v>
      </c>
      <c r="G104" s="17" t="s">
        <v>56</v>
      </c>
      <c r="H104" s="17" t="s">
        <v>56</v>
      </c>
      <c r="I104" s="17" t="s">
        <v>3181</v>
      </c>
      <c r="J104" s="17" t="s">
        <v>3217</v>
      </c>
      <c r="K104" s="17" t="s">
        <v>3215</v>
      </c>
      <c r="L104" s="17" t="s">
        <v>3218</v>
      </c>
      <c r="M104" s="17" t="s">
        <v>332</v>
      </c>
      <c r="N104" s="17" t="s">
        <v>3115</v>
      </c>
      <c r="O104" s="17" t="s">
        <v>3215</v>
      </c>
      <c r="P104" s="17" t="s">
        <v>3216</v>
      </c>
      <c r="Q104" s="17" t="s">
        <v>2864</v>
      </c>
      <c r="R104" s="17" t="s">
        <v>2956</v>
      </c>
      <c r="S104" s="17" t="s">
        <v>56</v>
      </c>
      <c r="T104" s="17" t="s">
        <v>56</v>
      </c>
      <c r="U104" s="17" t="s">
        <v>56</v>
      </c>
      <c r="V104" s="17" t="s">
        <v>56</v>
      </c>
      <c r="W104" s="17" t="s">
        <v>56</v>
      </c>
      <c r="X104" s="17" t="s">
        <v>56</v>
      </c>
      <c r="Y104" s="17" t="s">
        <v>56</v>
      </c>
      <c r="Z104" s="17" t="s">
        <v>56</v>
      </c>
      <c r="AA104" s="17" t="s">
        <v>56</v>
      </c>
      <c r="AB104" s="17" t="s">
        <v>56</v>
      </c>
      <c r="AC104" s="17" t="s">
        <v>56</v>
      </c>
      <c r="AD104" s="17" t="s">
        <v>56</v>
      </c>
      <c r="AE104" s="17" t="s">
        <v>56</v>
      </c>
      <c r="AF104" s="17" t="s">
        <v>56</v>
      </c>
      <c r="AG104" s="17" t="s">
        <v>56</v>
      </c>
      <c r="AH104" s="17" t="s">
        <v>56</v>
      </c>
      <c r="AI104" s="17" t="s">
        <v>56</v>
      </c>
      <c r="AJ104" s="17" t="s">
        <v>56</v>
      </c>
      <c r="AK104" s="17" t="s">
        <v>56</v>
      </c>
      <c r="AL104" s="17" t="s">
        <v>56</v>
      </c>
      <c r="AM104" s="17" t="s">
        <v>56</v>
      </c>
      <c r="AN104" s="17" t="s">
        <v>56</v>
      </c>
      <c r="AO104" s="17" t="s">
        <v>56</v>
      </c>
      <c r="AP104" s="17" t="s">
        <v>56</v>
      </c>
      <c r="AQ104" s="17">
        <v>87333.248438120994</v>
      </c>
      <c r="AR104" s="17">
        <v>87333.248438120994</v>
      </c>
      <c r="AS104" s="17" t="s">
        <v>2956</v>
      </c>
      <c r="AT104" s="17" t="s">
        <v>2864</v>
      </c>
      <c r="AU104" s="17">
        <v>0.77742900000000004</v>
      </c>
      <c r="AV104" s="17" t="s">
        <v>56</v>
      </c>
      <c r="AW104" s="17" t="s">
        <v>56</v>
      </c>
      <c r="AX104" s="17">
        <v>0.77742900000000004</v>
      </c>
      <c r="AY104" s="17" t="s">
        <v>56</v>
      </c>
      <c r="AZ104" s="17" t="s">
        <v>2956</v>
      </c>
      <c r="BA104" s="17" t="s">
        <v>2864</v>
      </c>
      <c r="BB104" s="17">
        <v>87333.248438120994</v>
      </c>
      <c r="BC104" s="17">
        <v>87333.248438120994</v>
      </c>
      <c r="BD104" s="17" t="s">
        <v>2956</v>
      </c>
      <c r="BE104" s="17" t="s">
        <v>2864</v>
      </c>
      <c r="BF104" s="17" t="s">
        <v>56</v>
      </c>
      <c r="BG104" s="17" t="s">
        <v>56</v>
      </c>
      <c r="BH104" s="17" t="s">
        <v>56</v>
      </c>
      <c r="BI104" s="17" t="s">
        <v>56</v>
      </c>
      <c r="BJ104" s="17" t="s">
        <v>56</v>
      </c>
      <c r="BK104" s="17" t="s">
        <v>56</v>
      </c>
      <c r="BL104" s="17" t="s">
        <v>56</v>
      </c>
      <c r="BM104" s="17" t="s">
        <v>56</v>
      </c>
      <c r="BN104" s="17" t="s">
        <v>56</v>
      </c>
      <c r="BO104" s="17" t="s">
        <v>56</v>
      </c>
      <c r="BP104" s="17" t="s">
        <v>56</v>
      </c>
      <c r="BQ104" s="17"/>
    </row>
    <row r="105" spans="1:69" x14ac:dyDescent="0.25">
      <c r="A105" s="17" t="s">
        <v>3124</v>
      </c>
      <c r="B105" s="17">
        <v>621</v>
      </c>
      <c r="C105" s="17" t="s">
        <v>2634</v>
      </c>
      <c r="D105" s="17" t="s">
        <v>2634</v>
      </c>
      <c r="E105" s="17" t="s">
        <v>2635</v>
      </c>
      <c r="F105" s="17">
        <v>67895.399999999907</v>
      </c>
      <c r="G105" s="17" t="s">
        <v>56</v>
      </c>
      <c r="H105" s="17" t="s">
        <v>56</v>
      </c>
      <c r="I105" s="17" t="s">
        <v>3124</v>
      </c>
      <c r="J105" s="17" t="s">
        <v>3217</v>
      </c>
      <c r="K105" s="17" t="s">
        <v>3215</v>
      </c>
      <c r="L105" s="17" t="s">
        <v>3218</v>
      </c>
      <c r="M105" s="17" t="s">
        <v>332</v>
      </c>
      <c r="N105" s="17" t="s">
        <v>3115</v>
      </c>
      <c r="O105" s="17" t="s">
        <v>3215</v>
      </c>
      <c r="P105" s="17" t="s">
        <v>3216</v>
      </c>
      <c r="Q105" s="17" t="s">
        <v>2864</v>
      </c>
      <c r="R105" s="17" t="s">
        <v>2956</v>
      </c>
      <c r="S105" s="17" t="s">
        <v>56</v>
      </c>
      <c r="T105" s="17" t="s">
        <v>56</v>
      </c>
      <c r="U105" s="17" t="s">
        <v>56</v>
      </c>
      <c r="V105" s="17" t="s">
        <v>56</v>
      </c>
      <c r="W105" s="17" t="s">
        <v>56</v>
      </c>
      <c r="X105" s="17" t="s">
        <v>56</v>
      </c>
      <c r="Y105" s="17" t="s">
        <v>56</v>
      </c>
      <c r="Z105" s="17" t="s">
        <v>56</v>
      </c>
      <c r="AA105" s="17" t="s">
        <v>56</v>
      </c>
      <c r="AB105" s="17" t="s">
        <v>56</v>
      </c>
      <c r="AC105" s="17" t="s">
        <v>56</v>
      </c>
      <c r="AD105" s="17" t="s">
        <v>56</v>
      </c>
      <c r="AE105" s="17" t="s">
        <v>56</v>
      </c>
      <c r="AF105" s="17" t="s">
        <v>56</v>
      </c>
      <c r="AG105" s="17" t="s">
        <v>56</v>
      </c>
      <c r="AH105" s="17" t="s">
        <v>56</v>
      </c>
      <c r="AI105" s="17" t="s">
        <v>56</v>
      </c>
      <c r="AJ105" s="17" t="s">
        <v>56</v>
      </c>
      <c r="AK105" s="17" t="s">
        <v>56</v>
      </c>
      <c r="AL105" s="17" t="s">
        <v>56</v>
      </c>
      <c r="AM105" s="17" t="s">
        <v>56</v>
      </c>
      <c r="AN105" s="17" t="s">
        <v>56</v>
      </c>
      <c r="AO105" s="17" t="s">
        <v>56</v>
      </c>
      <c r="AP105" s="17" t="s">
        <v>56</v>
      </c>
      <c r="AQ105" s="17">
        <v>87333.248438120994</v>
      </c>
      <c r="AR105" s="17">
        <v>87333.248438120994</v>
      </c>
      <c r="AS105" s="17" t="s">
        <v>2956</v>
      </c>
      <c r="AT105" s="17" t="s">
        <v>2864</v>
      </c>
      <c r="AU105" s="17">
        <v>0.77742900000000004</v>
      </c>
      <c r="AV105" s="17" t="s">
        <v>56</v>
      </c>
      <c r="AW105" s="17" t="s">
        <v>56</v>
      </c>
      <c r="AX105" s="17">
        <v>0.77742900000000004</v>
      </c>
      <c r="AY105" s="17" t="s">
        <v>56</v>
      </c>
      <c r="AZ105" s="17" t="s">
        <v>2956</v>
      </c>
      <c r="BA105" s="17" t="s">
        <v>2864</v>
      </c>
      <c r="BB105" s="17">
        <v>87333.248438120994</v>
      </c>
      <c r="BC105" s="17">
        <v>87333.248438120994</v>
      </c>
      <c r="BD105" s="17" t="s">
        <v>2956</v>
      </c>
      <c r="BE105" s="17" t="s">
        <v>2864</v>
      </c>
      <c r="BF105" s="17" t="s">
        <v>56</v>
      </c>
      <c r="BG105" s="17" t="s">
        <v>56</v>
      </c>
      <c r="BH105" s="17" t="s">
        <v>56</v>
      </c>
      <c r="BI105" s="17" t="s">
        <v>56</v>
      </c>
      <c r="BJ105" s="17" t="s">
        <v>56</v>
      </c>
      <c r="BK105" s="17" t="s">
        <v>56</v>
      </c>
      <c r="BL105" s="17" t="s">
        <v>56</v>
      </c>
      <c r="BM105" s="17" t="s">
        <v>56</v>
      </c>
      <c r="BN105" s="17" t="s">
        <v>56</v>
      </c>
      <c r="BO105" s="17" t="s">
        <v>56</v>
      </c>
      <c r="BP105" s="17" t="s">
        <v>56</v>
      </c>
      <c r="BQ105" s="17"/>
    </row>
    <row r="106" spans="1:69" x14ac:dyDescent="0.25">
      <c r="A106" s="17" t="s">
        <v>3196</v>
      </c>
      <c r="B106" s="17">
        <v>621</v>
      </c>
      <c r="C106" s="17" t="s">
        <v>2634</v>
      </c>
      <c r="D106" s="17" t="s">
        <v>2634</v>
      </c>
      <c r="E106" s="17" t="s">
        <v>2635</v>
      </c>
      <c r="F106" s="17">
        <v>67895.399999999907</v>
      </c>
      <c r="G106" s="17" t="s">
        <v>56</v>
      </c>
      <c r="H106" s="17" t="s">
        <v>56</v>
      </c>
      <c r="I106" s="17" t="s">
        <v>3196</v>
      </c>
      <c r="J106" s="17" t="s">
        <v>3217</v>
      </c>
      <c r="K106" s="17" t="s">
        <v>3215</v>
      </c>
      <c r="L106" s="17" t="s">
        <v>3218</v>
      </c>
      <c r="M106" s="17" t="s">
        <v>332</v>
      </c>
      <c r="N106" s="17" t="s">
        <v>3115</v>
      </c>
      <c r="O106" s="17" t="s">
        <v>3215</v>
      </c>
      <c r="P106" s="17" t="s">
        <v>3216</v>
      </c>
      <c r="Q106" s="17" t="s">
        <v>2864</v>
      </c>
      <c r="R106" s="17" t="s">
        <v>2956</v>
      </c>
      <c r="S106" s="17" t="s">
        <v>56</v>
      </c>
      <c r="T106" s="17" t="s">
        <v>56</v>
      </c>
      <c r="U106" s="17" t="s">
        <v>56</v>
      </c>
      <c r="V106" s="17" t="s">
        <v>56</v>
      </c>
      <c r="W106" s="17" t="s">
        <v>56</v>
      </c>
      <c r="X106" s="17" t="s">
        <v>56</v>
      </c>
      <c r="Y106" s="17" t="s">
        <v>56</v>
      </c>
      <c r="Z106" s="17" t="s">
        <v>56</v>
      </c>
      <c r="AA106" s="17" t="s">
        <v>56</v>
      </c>
      <c r="AB106" s="17" t="s">
        <v>56</v>
      </c>
      <c r="AC106" s="17" t="s">
        <v>56</v>
      </c>
      <c r="AD106" s="17" t="s">
        <v>56</v>
      </c>
      <c r="AE106" s="17" t="s">
        <v>56</v>
      </c>
      <c r="AF106" s="17" t="s">
        <v>56</v>
      </c>
      <c r="AG106" s="17" t="s">
        <v>56</v>
      </c>
      <c r="AH106" s="17" t="s">
        <v>56</v>
      </c>
      <c r="AI106" s="17" t="s">
        <v>56</v>
      </c>
      <c r="AJ106" s="17" t="s">
        <v>56</v>
      </c>
      <c r="AK106" s="17" t="s">
        <v>56</v>
      </c>
      <c r="AL106" s="17" t="s">
        <v>56</v>
      </c>
      <c r="AM106" s="17" t="s">
        <v>56</v>
      </c>
      <c r="AN106" s="17" t="s">
        <v>56</v>
      </c>
      <c r="AO106" s="17" t="s">
        <v>56</v>
      </c>
      <c r="AP106" s="17" t="s">
        <v>56</v>
      </c>
      <c r="AQ106" s="17">
        <v>87333.248438120994</v>
      </c>
      <c r="AR106" s="17">
        <v>87333.248438120994</v>
      </c>
      <c r="AS106" s="17" t="s">
        <v>2956</v>
      </c>
      <c r="AT106" s="17" t="s">
        <v>2864</v>
      </c>
      <c r="AU106" s="17">
        <v>0.77742900000000004</v>
      </c>
      <c r="AV106" s="17" t="s">
        <v>56</v>
      </c>
      <c r="AW106" s="17" t="s">
        <v>56</v>
      </c>
      <c r="AX106" s="17">
        <v>0.77742900000000004</v>
      </c>
      <c r="AY106" s="17" t="s">
        <v>56</v>
      </c>
      <c r="AZ106" s="17" t="s">
        <v>2956</v>
      </c>
      <c r="BA106" s="17" t="s">
        <v>2864</v>
      </c>
      <c r="BB106" s="17">
        <v>87333.248438120994</v>
      </c>
      <c r="BC106" s="17">
        <v>87333.248438120994</v>
      </c>
      <c r="BD106" s="17" t="s">
        <v>2956</v>
      </c>
      <c r="BE106" s="17" t="s">
        <v>2864</v>
      </c>
      <c r="BF106" s="17" t="s">
        <v>56</v>
      </c>
      <c r="BG106" s="17" t="s">
        <v>56</v>
      </c>
      <c r="BH106" s="17" t="s">
        <v>56</v>
      </c>
      <c r="BI106" s="17" t="s">
        <v>56</v>
      </c>
      <c r="BJ106" s="17" t="s">
        <v>56</v>
      </c>
      <c r="BK106" s="17" t="s">
        <v>56</v>
      </c>
      <c r="BL106" s="17" t="s">
        <v>56</v>
      </c>
      <c r="BM106" s="17" t="s">
        <v>56</v>
      </c>
      <c r="BN106" s="17" t="s">
        <v>56</v>
      </c>
      <c r="BO106" s="17" t="s">
        <v>56</v>
      </c>
      <c r="BP106" s="17" t="s">
        <v>56</v>
      </c>
      <c r="BQ106" s="17"/>
    </row>
    <row r="107" spans="1:69" x14ac:dyDescent="0.25">
      <c r="A107" s="17" t="s">
        <v>3173</v>
      </c>
      <c r="B107" s="17">
        <v>621</v>
      </c>
      <c r="C107" s="17" t="s">
        <v>2634</v>
      </c>
      <c r="D107" s="17" t="s">
        <v>2634</v>
      </c>
      <c r="E107" s="17" t="s">
        <v>2635</v>
      </c>
      <c r="F107" s="17">
        <v>67895.399999999907</v>
      </c>
      <c r="G107" s="17" t="s">
        <v>56</v>
      </c>
      <c r="H107" s="17" t="s">
        <v>56</v>
      </c>
      <c r="I107" s="17" t="s">
        <v>3173</v>
      </c>
      <c r="J107" s="17" t="s">
        <v>3217</v>
      </c>
      <c r="K107" s="17" t="s">
        <v>3215</v>
      </c>
      <c r="L107" s="17" t="s">
        <v>3218</v>
      </c>
      <c r="M107" s="17" t="s">
        <v>332</v>
      </c>
      <c r="N107" s="17" t="s">
        <v>3115</v>
      </c>
      <c r="O107" s="17" t="s">
        <v>3215</v>
      </c>
      <c r="P107" s="17" t="s">
        <v>3216</v>
      </c>
      <c r="Q107" s="17" t="s">
        <v>2864</v>
      </c>
      <c r="R107" s="17" t="s">
        <v>2956</v>
      </c>
      <c r="S107" s="17" t="s">
        <v>56</v>
      </c>
      <c r="T107" s="17" t="s">
        <v>56</v>
      </c>
      <c r="U107" s="17" t="s">
        <v>56</v>
      </c>
      <c r="V107" s="17" t="s">
        <v>56</v>
      </c>
      <c r="W107" s="17" t="s">
        <v>56</v>
      </c>
      <c r="X107" s="17" t="s">
        <v>56</v>
      </c>
      <c r="Y107" s="17" t="s">
        <v>56</v>
      </c>
      <c r="Z107" s="17" t="s">
        <v>56</v>
      </c>
      <c r="AA107" s="17" t="s">
        <v>56</v>
      </c>
      <c r="AB107" s="17" t="s">
        <v>56</v>
      </c>
      <c r="AC107" s="17" t="s">
        <v>56</v>
      </c>
      <c r="AD107" s="17" t="s">
        <v>56</v>
      </c>
      <c r="AE107" s="17" t="s">
        <v>56</v>
      </c>
      <c r="AF107" s="17" t="s">
        <v>56</v>
      </c>
      <c r="AG107" s="17" t="s">
        <v>56</v>
      </c>
      <c r="AH107" s="17" t="s">
        <v>56</v>
      </c>
      <c r="AI107" s="17" t="s">
        <v>56</v>
      </c>
      <c r="AJ107" s="17" t="s">
        <v>56</v>
      </c>
      <c r="AK107" s="17" t="s">
        <v>56</v>
      </c>
      <c r="AL107" s="17" t="s">
        <v>56</v>
      </c>
      <c r="AM107" s="17" t="s">
        <v>56</v>
      </c>
      <c r="AN107" s="17" t="s">
        <v>56</v>
      </c>
      <c r="AO107" s="17" t="s">
        <v>56</v>
      </c>
      <c r="AP107" s="17" t="s">
        <v>56</v>
      </c>
      <c r="AQ107" s="17">
        <v>87333.248438120994</v>
      </c>
      <c r="AR107" s="17">
        <v>87333.248438120994</v>
      </c>
      <c r="AS107" s="17" t="s">
        <v>2956</v>
      </c>
      <c r="AT107" s="17" t="s">
        <v>2864</v>
      </c>
      <c r="AU107" s="17">
        <v>0.77742900000000004</v>
      </c>
      <c r="AV107" s="17" t="s">
        <v>56</v>
      </c>
      <c r="AW107" s="17" t="s">
        <v>56</v>
      </c>
      <c r="AX107" s="17">
        <v>0.77742900000000004</v>
      </c>
      <c r="AY107" s="17" t="s">
        <v>56</v>
      </c>
      <c r="AZ107" s="17" t="s">
        <v>2956</v>
      </c>
      <c r="BA107" s="17" t="s">
        <v>2864</v>
      </c>
      <c r="BB107" s="17">
        <v>87333.248438120994</v>
      </c>
      <c r="BC107" s="17">
        <v>87333.248438120994</v>
      </c>
      <c r="BD107" s="17" t="s">
        <v>2956</v>
      </c>
      <c r="BE107" s="17" t="s">
        <v>2864</v>
      </c>
      <c r="BF107" s="17" t="s">
        <v>56</v>
      </c>
      <c r="BG107" s="17" t="s">
        <v>56</v>
      </c>
      <c r="BH107" s="17" t="s">
        <v>56</v>
      </c>
      <c r="BI107" s="17" t="s">
        <v>56</v>
      </c>
      <c r="BJ107" s="17" t="s">
        <v>56</v>
      </c>
      <c r="BK107" s="17" t="s">
        <v>56</v>
      </c>
      <c r="BL107" s="17" t="s">
        <v>56</v>
      </c>
      <c r="BM107" s="17" t="s">
        <v>56</v>
      </c>
      <c r="BN107" s="17" t="s">
        <v>56</v>
      </c>
      <c r="BO107" s="17" t="s">
        <v>56</v>
      </c>
      <c r="BP107" s="17" t="s">
        <v>56</v>
      </c>
      <c r="BQ107" s="17"/>
    </row>
    <row r="108" spans="1:69" x14ac:dyDescent="0.25">
      <c r="A108" s="17" t="s">
        <v>3155</v>
      </c>
      <c r="B108" s="17">
        <v>621</v>
      </c>
      <c r="C108" s="17" t="s">
        <v>2634</v>
      </c>
      <c r="D108" s="17" t="s">
        <v>2634</v>
      </c>
      <c r="E108" s="17" t="s">
        <v>2635</v>
      </c>
      <c r="F108" s="17">
        <v>67895.399999999907</v>
      </c>
      <c r="G108" s="17" t="s">
        <v>56</v>
      </c>
      <c r="H108" s="17" t="s">
        <v>56</v>
      </c>
      <c r="I108" s="17" t="s">
        <v>3155</v>
      </c>
      <c r="J108" s="17" t="s">
        <v>3217</v>
      </c>
      <c r="K108" s="17" t="s">
        <v>3215</v>
      </c>
      <c r="L108" s="17" t="s">
        <v>3218</v>
      </c>
      <c r="M108" s="17" t="s">
        <v>332</v>
      </c>
      <c r="N108" s="17" t="s">
        <v>3115</v>
      </c>
      <c r="O108" s="17" t="s">
        <v>3215</v>
      </c>
      <c r="P108" s="17" t="s">
        <v>3216</v>
      </c>
      <c r="Q108" s="17" t="s">
        <v>2864</v>
      </c>
      <c r="R108" s="17" t="s">
        <v>2956</v>
      </c>
      <c r="S108" s="17" t="s">
        <v>56</v>
      </c>
      <c r="T108" s="17" t="s">
        <v>56</v>
      </c>
      <c r="U108" s="17" t="s">
        <v>56</v>
      </c>
      <c r="V108" s="17" t="s">
        <v>56</v>
      </c>
      <c r="W108" s="17" t="s">
        <v>56</v>
      </c>
      <c r="X108" s="17" t="s">
        <v>56</v>
      </c>
      <c r="Y108" s="17" t="s">
        <v>56</v>
      </c>
      <c r="Z108" s="17" t="s">
        <v>56</v>
      </c>
      <c r="AA108" s="17" t="s">
        <v>56</v>
      </c>
      <c r="AB108" s="17" t="s">
        <v>56</v>
      </c>
      <c r="AC108" s="17" t="s">
        <v>56</v>
      </c>
      <c r="AD108" s="17" t="s">
        <v>56</v>
      </c>
      <c r="AE108" s="17" t="s">
        <v>56</v>
      </c>
      <c r="AF108" s="17" t="s">
        <v>56</v>
      </c>
      <c r="AG108" s="17" t="s">
        <v>56</v>
      </c>
      <c r="AH108" s="17" t="s">
        <v>56</v>
      </c>
      <c r="AI108" s="17" t="s">
        <v>56</v>
      </c>
      <c r="AJ108" s="17" t="s">
        <v>56</v>
      </c>
      <c r="AK108" s="17" t="s">
        <v>56</v>
      </c>
      <c r="AL108" s="17" t="s">
        <v>56</v>
      </c>
      <c r="AM108" s="17" t="s">
        <v>56</v>
      </c>
      <c r="AN108" s="17" t="s">
        <v>56</v>
      </c>
      <c r="AO108" s="17" t="s">
        <v>56</v>
      </c>
      <c r="AP108" s="17" t="s">
        <v>56</v>
      </c>
      <c r="AQ108" s="17">
        <v>87333.248438120994</v>
      </c>
      <c r="AR108" s="17">
        <v>87333.248438120994</v>
      </c>
      <c r="AS108" s="17" t="s">
        <v>2956</v>
      </c>
      <c r="AT108" s="17" t="s">
        <v>2864</v>
      </c>
      <c r="AU108" s="17">
        <v>0.77742900000000004</v>
      </c>
      <c r="AV108" s="17" t="s">
        <v>56</v>
      </c>
      <c r="AW108" s="17" t="s">
        <v>56</v>
      </c>
      <c r="AX108" s="17">
        <v>0.77742900000000004</v>
      </c>
      <c r="AY108" s="17" t="s">
        <v>56</v>
      </c>
      <c r="AZ108" s="17" t="s">
        <v>2956</v>
      </c>
      <c r="BA108" s="17" t="s">
        <v>2864</v>
      </c>
      <c r="BB108" s="17">
        <v>87333.248438120994</v>
      </c>
      <c r="BC108" s="17">
        <v>87333.248438120994</v>
      </c>
      <c r="BD108" s="17" t="s">
        <v>2956</v>
      </c>
      <c r="BE108" s="17" t="s">
        <v>2864</v>
      </c>
      <c r="BF108" s="17" t="s">
        <v>56</v>
      </c>
      <c r="BG108" s="17" t="s">
        <v>56</v>
      </c>
      <c r="BH108" s="17" t="s">
        <v>56</v>
      </c>
      <c r="BI108" s="17" t="s">
        <v>56</v>
      </c>
      <c r="BJ108" s="17" t="s">
        <v>56</v>
      </c>
      <c r="BK108" s="17" t="s">
        <v>56</v>
      </c>
      <c r="BL108" s="17" t="s">
        <v>56</v>
      </c>
      <c r="BM108" s="17" t="s">
        <v>56</v>
      </c>
      <c r="BN108" s="17" t="s">
        <v>56</v>
      </c>
      <c r="BO108" s="17" t="s">
        <v>56</v>
      </c>
      <c r="BP108" s="17" t="s">
        <v>56</v>
      </c>
      <c r="BQ108" s="17"/>
    </row>
    <row r="109" spans="1:69" x14ac:dyDescent="0.25">
      <c r="A109" s="17" t="s">
        <v>3177</v>
      </c>
      <c r="B109" s="17">
        <v>621</v>
      </c>
      <c r="C109" s="17" t="s">
        <v>2634</v>
      </c>
      <c r="D109" s="17" t="s">
        <v>2634</v>
      </c>
      <c r="E109" s="17" t="s">
        <v>2635</v>
      </c>
      <c r="F109" s="17">
        <v>67895.399999999907</v>
      </c>
      <c r="G109" s="17" t="s">
        <v>56</v>
      </c>
      <c r="H109" s="17" t="s">
        <v>56</v>
      </c>
      <c r="I109" s="17" t="s">
        <v>3177</v>
      </c>
      <c r="J109" s="17" t="s">
        <v>3217</v>
      </c>
      <c r="K109" s="17" t="s">
        <v>3215</v>
      </c>
      <c r="L109" s="17" t="s">
        <v>3218</v>
      </c>
      <c r="M109" s="17" t="s">
        <v>332</v>
      </c>
      <c r="N109" s="17" t="s">
        <v>3115</v>
      </c>
      <c r="O109" s="17" t="s">
        <v>3215</v>
      </c>
      <c r="P109" s="17" t="s">
        <v>3216</v>
      </c>
      <c r="Q109" s="17" t="s">
        <v>2864</v>
      </c>
      <c r="R109" s="17" t="s">
        <v>2956</v>
      </c>
      <c r="S109" s="17" t="s">
        <v>56</v>
      </c>
      <c r="T109" s="17" t="s">
        <v>56</v>
      </c>
      <c r="U109" s="17" t="s">
        <v>56</v>
      </c>
      <c r="V109" s="17" t="s">
        <v>56</v>
      </c>
      <c r="W109" s="17" t="s">
        <v>56</v>
      </c>
      <c r="X109" s="17" t="s">
        <v>56</v>
      </c>
      <c r="Y109" s="17" t="s">
        <v>56</v>
      </c>
      <c r="Z109" s="17" t="s">
        <v>56</v>
      </c>
      <c r="AA109" s="17" t="s">
        <v>56</v>
      </c>
      <c r="AB109" s="17" t="s">
        <v>56</v>
      </c>
      <c r="AC109" s="17" t="s">
        <v>56</v>
      </c>
      <c r="AD109" s="17" t="s">
        <v>56</v>
      </c>
      <c r="AE109" s="17" t="s">
        <v>56</v>
      </c>
      <c r="AF109" s="17" t="s">
        <v>56</v>
      </c>
      <c r="AG109" s="17" t="s">
        <v>56</v>
      </c>
      <c r="AH109" s="17" t="s">
        <v>56</v>
      </c>
      <c r="AI109" s="17" t="s">
        <v>56</v>
      </c>
      <c r="AJ109" s="17" t="s">
        <v>56</v>
      </c>
      <c r="AK109" s="17" t="s">
        <v>56</v>
      </c>
      <c r="AL109" s="17" t="s">
        <v>56</v>
      </c>
      <c r="AM109" s="17" t="s">
        <v>56</v>
      </c>
      <c r="AN109" s="17" t="s">
        <v>56</v>
      </c>
      <c r="AO109" s="17" t="s">
        <v>56</v>
      </c>
      <c r="AP109" s="17" t="s">
        <v>56</v>
      </c>
      <c r="AQ109" s="17">
        <v>87333.248438120994</v>
      </c>
      <c r="AR109" s="17">
        <v>87333.248438120994</v>
      </c>
      <c r="AS109" s="17" t="s">
        <v>2956</v>
      </c>
      <c r="AT109" s="17" t="s">
        <v>2864</v>
      </c>
      <c r="AU109" s="17">
        <v>0.77742900000000004</v>
      </c>
      <c r="AV109" s="17" t="s">
        <v>56</v>
      </c>
      <c r="AW109" s="17" t="s">
        <v>56</v>
      </c>
      <c r="AX109" s="17">
        <v>0.77742900000000004</v>
      </c>
      <c r="AY109" s="17" t="s">
        <v>56</v>
      </c>
      <c r="AZ109" s="17" t="s">
        <v>2956</v>
      </c>
      <c r="BA109" s="17" t="s">
        <v>2864</v>
      </c>
      <c r="BB109" s="17">
        <v>87333.248438120994</v>
      </c>
      <c r="BC109" s="17">
        <v>87333.248438120994</v>
      </c>
      <c r="BD109" s="17" t="s">
        <v>2956</v>
      </c>
      <c r="BE109" s="17" t="s">
        <v>2864</v>
      </c>
      <c r="BF109" s="17" t="s">
        <v>56</v>
      </c>
      <c r="BG109" s="17" t="s">
        <v>56</v>
      </c>
      <c r="BH109" s="17" t="s">
        <v>56</v>
      </c>
      <c r="BI109" s="17" t="s">
        <v>56</v>
      </c>
      <c r="BJ109" s="17" t="s">
        <v>56</v>
      </c>
      <c r="BK109" s="17" t="s">
        <v>56</v>
      </c>
      <c r="BL109" s="17" t="s">
        <v>56</v>
      </c>
      <c r="BM109" s="17" t="s">
        <v>56</v>
      </c>
      <c r="BN109" s="17" t="s">
        <v>56</v>
      </c>
      <c r="BO109" s="17" t="s">
        <v>56</v>
      </c>
      <c r="BP109" s="17" t="s">
        <v>56</v>
      </c>
      <c r="BQ109" s="17"/>
    </row>
    <row r="110" spans="1:69" x14ac:dyDescent="0.25">
      <c r="A110" s="17" t="s">
        <v>3126</v>
      </c>
      <c r="B110" s="17">
        <v>621</v>
      </c>
      <c r="C110" s="17" t="s">
        <v>2634</v>
      </c>
      <c r="D110" s="17" t="s">
        <v>2634</v>
      </c>
      <c r="E110" s="17" t="s">
        <v>2635</v>
      </c>
      <c r="F110" s="17">
        <v>67895.399999999907</v>
      </c>
      <c r="G110" s="17" t="s">
        <v>56</v>
      </c>
      <c r="H110" s="17" t="s">
        <v>56</v>
      </c>
      <c r="I110" s="17" t="s">
        <v>3126</v>
      </c>
      <c r="J110" s="17" t="s">
        <v>3217</v>
      </c>
      <c r="K110" s="17" t="s">
        <v>3215</v>
      </c>
      <c r="L110" s="17" t="s">
        <v>3218</v>
      </c>
      <c r="M110" s="17" t="s">
        <v>332</v>
      </c>
      <c r="N110" s="17" t="s">
        <v>3115</v>
      </c>
      <c r="O110" s="17" t="s">
        <v>3215</v>
      </c>
      <c r="P110" s="17" t="s">
        <v>3216</v>
      </c>
      <c r="Q110" s="17" t="s">
        <v>2864</v>
      </c>
      <c r="R110" s="17" t="s">
        <v>2956</v>
      </c>
      <c r="S110" s="17" t="s">
        <v>56</v>
      </c>
      <c r="T110" s="17" t="s">
        <v>56</v>
      </c>
      <c r="U110" s="17" t="s">
        <v>56</v>
      </c>
      <c r="V110" s="17" t="s">
        <v>56</v>
      </c>
      <c r="W110" s="17" t="s">
        <v>56</v>
      </c>
      <c r="X110" s="17" t="s">
        <v>56</v>
      </c>
      <c r="Y110" s="17" t="s">
        <v>56</v>
      </c>
      <c r="Z110" s="17" t="s">
        <v>56</v>
      </c>
      <c r="AA110" s="17" t="s">
        <v>56</v>
      </c>
      <c r="AB110" s="17" t="s">
        <v>56</v>
      </c>
      <c r="AC110" s="17" t="s">
        <v>56</v>
      </c>
      <c r="AD110" s="17" t="s">
        <v>56</v>
      </c>
      <c r="AE110" s="17" t="s">
        <v>56</v>
      </c>
      <c r="AF110" s="17" t="s">
        <v>56</v>
      </c>
      <c r="AG110" s="17" t="s">
        <v>56</v>
      </c>
      <c r="AH110" s="17" t="s">
        <v>56</v>
      </c>
      <c r="AI110" s="17" t="s">
        <v>56</v>
      </c>
      <c r="AJ110" s="17" t="s">
        <v>56</v>
      </c>
      <c r="AK110" s="17" t="s">
        <v>56</v>
      </c>
      <c r="AL110" s="17" t="s">
        <v>56</v>
      </c>
      <c r="AM110" s="17" t="s">
        <v>56</v>
      </c>
      <c r="AN110" s="17" t="s">
        <v>56</v>
      </c>
      <c r="AO110" s="17" t="s">
        <v>56</v>
      </c>
      <c r="AP110" s="17" t="s">
        <v>56</v>
      </c>
      <c r="AQ110" s="17">
        <v>87333.248438120994</v>
      </c>
      <c r="AR110" s="17">
        <v>87333.248438120994</v>
      </c>
      <c r="AS110" s="17" t="s">
        <v>2956</v>
      </c>
      <c r="AT110" s="17" t="s">
        <v>2864</v>
      </c>
      <c r="AU110" s="17">
        <v>0.77742900000000004</v>
      </c>
      <c r="AV110" s="17" t="s">
        <v>56</v>
      </c>
      <c r="AW110" s="17" t="s">
        <v>56</v>
      </c>
      <c r="AX110" s="17">
        <v>0.77742900000000004</v>
      </c>
      <c r="AY110" s="17" t="s">
        <v>56</v>
      </c>
      <c r="AZ110" s="17" t="s">
        <v>2956</v>
      </c>
      <c r="BA110" s="17" t="s">
        <v>2864</v>
      </c>
      <c r="BB110" s="17">
        <v>87333.248438120994</v>
      </c>
      <c r="BC110" s="17">
        <v>87333.248438120994</v>
      </c>
      <c r="BD110" s="17" t="s">
        <v>2956</v>
      </c>
      <c r="BE110" s="17" t="s">
        <v>2864</v>
      </c>
      <c r="BF110" s="17" t="s">
        <v>56</v>
      </c>
      <c r="BG110" s="17" t="s">
        <v>56</v>
      </c>
      <c r="BH110" s="17" t="s">
        <v>56</v>
      </c>
      <c r="BI110" s="17" t="s">
        <v>56</v>
      </c>
      <c r="BJ110" s="17" t="s">
        <v>56</v>
      </c>
      <c r="BK110" s="17" t="s">
        <v>56</v>
      </c>
      <c r="BL110" s="17" t="s">
        <v>56</v>
      </c>
      <c r="BM110" s="17" t="s">
        <v>56</v>
      </c>
      <c r="BN110" s="17" t="s">
        <v>56</v>
      </c>
      <c r="BO110" s="17" t="s">
        <v>56</v>
      </c>
      <c r="BP110" s="17" t="s">
        <v>56</v>
      </c>
      <c r="BQ110" s="17"/>
    </row>
    <row r="111" spans="1:69" x14ac:dyDescent="0.25">
      <c r="A111" s="17" t="s">
        <v>3142</v>
      </c>
      <c r="B111" s="17">
        <v>621</v>
      </c>
      <c r="C111" s="17" t="s">
        <v>2634</v>
      </c>
      <c r="D111" s="17" t="s">
        <v>2634</v>
      </c>
      <c r="E111" s="17" t="s">
        <v>2635</v>
      </c>
      <c r="F111" s="17">
        <v>67895.399999999907</v>
      </c>
      <c r="G111" s="17" t="s">
        <v>56</v>
      </c>
      <c r="H111" s="17" t="s">
        <v>56</v>
      </c>
      <c r="I111" s="17" t="s">
        <v>3142</v>
      </c>
      <c r="J111" s="17" t="s">
        <v>3217</v>
      </c>
      <c r="K111" s="17" t="s">
        <v>3215</v>
      </c>
      <c r="L111" s="17" t="s">
        <v>3218</v>
      </c>
      <c r="M111" s="17" t="s">
        <v>332</v>
      </c>
      <c r="N111" s="17" t="s">
        <v>3115</v>
      </c>
      <c r="O111" s="17" t="s">
        <v>3215</v>
      </c>
      <c r="P111" s="17" t="s">
        <v>3216</v>
      </c>
      <c r="Q111" s="17" t="s">
        <v>2864</v>
      </c>
      <c r="R111" s="17" t="s">
        <v>2956</v>
      </c>
      <c r="S111" s="17" t="s">
        <v>56</v>
      </c>
      <c r="T111" s="17" t="s">
        <v>56</v>
      </c>
      <c r="U111" s="17" t="s">
        <v>56</v>
      </c>
      <c r="V111" s="17" t="s">
        <v>56</v>
      </c>
      <c r="W111" s="17" t="s">
        <v>56</v>
      </c>
      <c r="X111" s="17" t="s">
        <v>56</v>
      </c>
      <c r="Y111" s="17" t="s">
        <v>56</v>
      </c>
      <c r="Z111" s="17" t="s">
        <v>56</v>
      </c>
      <c r="AA111" s="17" t="s">
        <v>56</v>
      </c>
      <c r="AB111" s="17" t="s">
        <v>56</v>
      </c>
      <c r="AC111" s="17" t="s">
        <v>56</v>
      </c>
      <c r="AD111" s="17" t="s">
        <v>56</v>
      </c>
      <c r="AE111" s="17" t="s">
        <v>56</v>
      </c>
      <c r="AF111" s="17" t="s">
        <v>56</v>
      </c>
      <c r="AG111" s="17" t="s">
        <v>56</v>
      </c>
      <c r="AH111" s="17" t="s">
        <v>56</v>
      </c>
      <c r="AI111" s="17" t="s">
        <v>56</v>
      </c>
      <c r="AJ111" s="17" t="s">
        <v>56</v>
      </c>
      <c r="AK111" s="17" t="s">
        <v>56</v>
      </c>
      <c r="AL111" s="17" t="s">
        <v>56</v>
      </c>
      <c r="AM111" s="17" t="s">
        <v>56</v>
      </c>
      <c r="AN111" s="17" t="s">
        <v>56</v>
      </c>
      <c r="AO111" s="17" t="s">
        <v>56</v>
      </c>
      <c r="AP111" s="17" t="s">
        <v>56</v>
      </c>
      <c r="AQ111" s="17">
        <v>87333.248438120994</v>
      </c>
      <c r="AR111" s="17">
        <v>87333.248438120994</v>
      </c>
      <c r="AS111" s="17" t="s">
        <v>2956</v>
      </c>
      <c r="AT111" s="17" t="s">
        <v>2864</v>
      </c>
      <c r="AU111" s="17">
        <v>0.77742900000000004</v>
      </c>
      <c r="AV111" s="17" t="s">
        <v>56</v>
      </c>
      <c r="AW111" s="17" t="s">
        <v>56</v>
      </c>
      <c r="AX111" s="17">
        <v>0.77742900000000004</v>
      </c>
      <c r="AY111" s="17" t="s">
        <v>56</v>
      </c>
      <c r="AZ111" s="17" t="s">
        <v>2956</v>
      </c>
      <c r="BA111" s="17" t="s">
        <v>2864</v>
      </c>
      <c r="BB111" s="17">
        <v>87333.248438120994</v>
      </c>
      <c r="BC111" s="17">
        <v>87333.248438120994</v>
      </c>
      <c r="BD111" s="17" t="s">
        <v>2956</v>
      </c>
      <c r="BE111" s="17" t="s">
        <v>2864</v>
      </c>
      <c r="BF111" s="17" t="s">
        <v>56</v>
      </c>
      <c r="BG111" s="17" t="s">
        <v>56</v>
      </c>
      <c r="BH111" s="17" t="s">
        <v>56</v>
      </c>
      <c r="BI111" s="17" t="s">
        <v>56</v>
      </c>
      <c r="BJ111" s="17" t="s">
        <v>56</v>
      </c>
      <c r="BK111" s="17" t="s">
        <v>56</v>
      </c>
      <c r="BL111" s="17" t="s">
        <v>56</v>
      </c>
      <c r="BM111" s="17" t="s">
        <v>56</v>
      </c>
      <c r="BN111" s="17" t="s">
        <v>56</v>
      </c>
      <c r="BO111" s="17" t="s">
        <v>56</v>
      </c>
      <c r="BP111" s="17" t="s">
        <v>56</v>
      </c>
      <c r="BQ111" s="17"/>
    </row>
    <row r="112" spans="1:69" x14ac:dyDescent="0.25">
      <c r="A112" s="17" t="s">
        <v>3149</v>
      </c>
      <c r="B112" s="17">
        <v>621</v>
      </c>
      <c r="C112" s="17" t="s">
        <v>2634</v>
      </c>
      <c r="D112" s="17" t="s">
        <v>2634</v>
      </c>
      <c r="E112" s="17" t="s">
        <v>2635</v>
      </c>
      <c r="F112" s="17">
        <v>67895.399999999907</v>
      </c>
      <c r="G112" s="17" t="s">
        <v>56</v>
      </c>
      <c r="H112" s="17" t="s">
        <v>56</v>
      </c>
      <c r="I112" s="17" t="s">
        <v>3149</v>
      </c>
      <c r="J112" s="17" t="s">
        <v>3217</v>
      </c>
      <c r="K112" s="17" t="s">
        <v>3215</v>
      </c>
      <c r="L112" s="17" t="s">
        <v>3218</v>
      </c>
      <c r="M112" s="17" t="s">
        <v>332</v>
      </c>
      <c r="N112" s="17" t="s">
        <v>3115</v>
      </c>
      <c r="O112" s="17" t="s">
        <v>3215</v>
      </c>
      <c r="P112" s="17" t="s">
        <v>3216</v>
      </c>
      <c r="Q112" s="17" t="s">
        <v>2864</v>
      </c>
      <c r="R112" s="17" t="s">
        <v>2956</v>
      </c>
      <c r="S112" s="17" t="s">
        <v>56</v>
      </c>
      <c r="T112" s="17" t="s">
        <v>56</v>
      </c>
      <c r="U112" s="17" t="s">
        <v>56</v>
      </c>
      <c r="V112" s="17" t="s">
        <v>56</v>
      </c>
      <c r="W112" s="17" t="s">
        <v>56</v>
      </c>
      <c r="X112" s="17" t="s">
        <v>56</v>
      </c>
      <c r="Y112" s="17" t="s">
        <v>56</v>
      </c>
      <c r="Z112" s="17" t="s">
        <v>56</v>
      </c>
      <c r="AA112" s="17" t="s">
        <v>56</v>
      </c>
      <c r="AB112" s="17" t="s">
        <v>56</v>
      </c>
      <c r="AC112" s="17" t="s">
        <v>56</v>
      </c>
      <c r="AD112" s="17" t="s">
        <v>56</v>
      </c>
      <c r="AE112" s="17" t="s">
        <v>56</v>
      </c>
      <c r="AF112" s="17" t="s">
        <v>56</v>
      </c>
      <c r="AG112" s="17" t="s">
        <v>56</v>
      </c>
      <c r="AH112" s="17" t="s">
        <v>56</v>
      </c>
      <c r="AI112" s="17" t="s">
        <v>56</v>
      </c>
      <c r="AJ112" s="17" t="s">
        <v>56</v>
      </c>
      <c r="AK112" s="17" t="s">
        <v>56</v>
      </c>
      <c r="AL112" s="17" t="s">
        <v>56</v>
      </c>
      <c r="AM112" s="17" t="s">
        <v>56</v>
      </c>
      <c r="AN112" s="17" t="s">
        <v>56</v>
      </c>
      <c r="AO112" s="17" t="s">
        <v>56</v>
      </c>
      <c r="AP112" s="17" t="s">
        <v>56</v>
      </c>
      <c r="AQ112" s="17">
        <v>87333.248438120994</v>
      </c>
      <c r="AR112" s="17">
        <v>87333.248438120994</v>
      </c>
      <c r="AS112" s="17" t="s">
        <v>2956</v>
      </c>
      <c r="AT112" s="17" t="s">
        <v>2864</v>
      </c>
      <c r="AU112" s="17">
        <v>0.77742900000000004</v>
      </c>
      <c r="AV112" s="17" t="s">
        <v>56</v>
      </c>
      <c r="AW112" s="17" t="s">
        <v>56</v>
      </c>
      <c r="AX112" s="17">
        <v>0.77742900000000004</v>
      </c>
      <c r="AY112" s="17" t="s">
        <v>56</v>
      </c>
      <c r="AZ112" s="17" t="s">
        <v>2956</v>
      </c>
      <c r="BA112" s="17" t="s">
        <v>2864</v>
      </c>
      <c r="BB112" s="17">
        <v>87333.248438120994</v>
      </c>
      <c r="BC112" s="17">
        <v>87333.248438120994</v>
      </c>
      <c r="BD112" s="17" t="s">
        <v>2956</v>
      </c>
      <c r="BE112" s="17" t="s">
        <v>2864</v>
      </c>
      <c r="BF112" s="17" t="s">
        <v>56</v>
      </c>
      <c r="BG112" s="17" t="s">
        <v>56</v>
      </c>
      <c r="BH112" s="17" t="s">
        <v>56</v>
      </c>
      <c r="BI112" s="17" t="s">
        <v>56</v>
      </c>
      <c r="BJ112" s="17" t="s">
        <v>56</v>
      </c>
      <c r="BK112" s="17" t="s">
        <v>56</v>
      </c>
      <c r="BL112" s="17" t="s">
        <v>56</v>
      </c>
      <c r="BM112" s="17" t="s">
        <v>56</v>
      </c>
      <c r="BN112" s="17" t="s">
        <v>56</v>
      </c>
      <c r="BO112" s="17" t="s">
        <v>56</v>
      </c>
      <c r="BP112" s="17" t="s">
        <v>56</v>
      </c>
      <c r="BQ112" s="17"/>
    </row>
    <row r="113" spans="1:69" x14ac:dyDescent="0.25">
      <c r="A113" s="17" t="s">
        <v>3138</v>
      </c>
      <c r="B113" s="17">
        <v>621</v>
      </c>
      <c r="C113" s="17" t="s">
        <v>2634</v>
      </c>
      <c r="D113" s="17" t="s">
        <v>2634</v>
      </c>
      <c r="E113" s="17" t="s">
        <v>2635</v>
      </c>
      <c r="F113" s="17">
        <v>67895.399999999907</v>
      </c>
      <c r="G113" s="17" t="s">
        <v>56</v>
      </c>
      <c r="H113" s="17" t="s">
        <v>56</v>
      </c>
      <c r="I113" s="17" t="s">
        <v>3138</v>
      </c>
      <c r="J113" s="17" t="s">
        <v>3217</v>
      </c>
      <c r="K113" s="17" t="s">
        <v>3215</v>
      </c>
      <c r="L113" s="17" t="s">
        <v>3218</v>
      </c>
      <c r="M113" s="17" t="s">
        <v>332</v>
      </c>
      <c r="N113" s="17" t="s">
        <v>3115</v>
      </c>
      <c r="O113" s="17" t="s">
        <v>3215</v>
      </c>
      <c r="P113" s="17" t="s">
        <v>3216</v>
      </c>
      <c r="Q113" s="17" t="s">
        <v>2864</v>
      </c>
      <c r="R113" s="17" t="s">
        <v>2956</v>
      </c>
      <c r="S113" s="17" t="s">
        <v>56</v>
      </c>
      <c r="T113" s="17" t="s">
        <v>56</v>
      </c>
      <c r="U113" s="17" t="s">
        <v>56</v>
      </c>
      <c r="V113" s="17" t="s">
        <v>56</v>
      </c>
      <c r="W113" s="17" t="s">
        <v>56</v>
      </c>
      <c r="X113" s="17" t="s">
        <v>56</v>
      </c>
      <c r="Y113" s="17" t="s">
        <v>56</v>
      </c>
      <c r="Z113" s="17" t="s">
        <v>56</v>
      </c>
      <c r="AA113" s="17" t="s">
        <v>56</v>
      </c>
      <c r="AB113" s="17" t="s">
        <v>56</v>
      </c>
      <c r="AC113" s="17" t="s">
        <v>56</v>
      </c>
      <c r="AD113" s="17" t="s">
        <v>56</v>
      </c>
      <c r="AE113" s="17" t="s">
        <v>56</v>
      </c>
      <c r="AF113" s="17" t="s">
        <v>56</v>
      </c>
      <c r="AG113" s="17" t="s">
        <v>56</v>
      </c>
      <c r="AH113" s="17" t="s">
        <v>56</v>
      </c>
      <c r="AI113" s="17" t="s">
        <v>56</v>
      </c>
      <c r="AJ113" s="17" t="s">
        <v>56</v>
      </c>
      <c r="AK113" s="17" t="s">
        <v>56</v>
      </c>
      <c r="AL113" s="17" t="s">
        <v>56</v>
      </c>
      <c r="AM113" s="17" t="s">
        <v>56</v>
      </c>
      <c r="AN113" s="17" t="s">
        <v>56</v>
      </c>
      <c r="AO113" s="17" t="s">
        <v>56</v>
      </c>
      <c r="AP113" s="17" t="s">
        <v>56</v>
      </c>
      <c r="AQ113" s="17">
        <v>87333.248438120994</v>
      </c>
      <c r="AR113" s="17">
        <v>87333.248438120994</v>
      </c>
      <c r="AS113" s="17" t="s">
        <v>2956</v>
      </c>
      <c r="AT113" s="17" t="s">
        <v>2864</v>
      </c>
      <c r="AU113" s="17">
        <v>0.77742900000000004</v>
      </c>
      <c r="AV113" s="17" t="s">
        <v>56</v>
      </c>
      <c r="AW113" s="17" t="s">
        <v>56</v>
      </c>
      <c r="AX113" s="17">
        <v>0.77742900000000004</v>
      </c>
      <c r="AY113" s="17" t="s">
        <v>56</v>
      </c>
      <c r="AZ113" s="17" t="s">
        <v>2956</v>
      </c>
      <c r="BA113" s="17" t="s">
        <v>2864</v>
      </c>
      <c r="BB113" s="17">
        <v>87333.248438120994</v>
      </c>
      <c r="BC113" s="17">
        <v>87333.248438120994</v>
      </c>
      <c r="BD113" s="17" t="s">
        <v>2956</v>
      </c>
      <c r="BE113" s="17" t="s">
        <v>2864</v>
      </c>
      <c r="BF113" s="17" t="s">
        <v>56</v>
      </c>
      <c r="BG113" s="17" t="s">
        <v>56</v>
      </c>
      <c r="BH113" s="17" t="s">
        <v>56</v>
      </c>
      <c r="BI113" s="17" t="s">
        <v>56</v>
      </c>
      <c r="BJ113" s="17" t="s">
        <v>56</v>
      </c>
      <c r="BK113" s="17" t="s">
        <v>56</v>
      </c>
      <c r="BL113" s="17" t="s">
        <v>56</v>
      </c>
      <c r="BM113" s="17" t="s">
        <v>56</v>
      </c>
      <c r="BN113" s="17" t="s">
        <v>56</v>
      </c>
      <c r="BO113" s="17" t="s">
        <v>56</v>
      </c>
      <c r="BP113" s="17" t="s">
        <v>56</v>
      </c>
      <c r="BQ113" s="17"/>
    </row>
    <row r="114" spans="1:69" x14ac:dyDescent="0.25">
      <c r="A114" s="17" t="s">
        <v>3132</v>
      </c>
      <c r="B114" s="17">
        <v>621</v>
      </c>
      <c r="C114" s="17" t="s">
        <v>2634</v>
      </c>
      <c r="D114" s="17" t="s">
        <v>2634</v>
      </c>
      <c r="E114" s="17" t="s">
        <v>2635</v>
      </c>
      <c r="F114" s="17">
        <v>67895.399999999907</v>
      </c>
      <c r="G114" s="17" t="s">
        <v>56</v>
      </c>
      <c r="H114" s="17" t="s">
        <v>56</v>
      </c>
      <c r="I114" s="17" t="s">
        <v>3132</v>
      </c>
      <c r="J114" s="17" t="s">
        <v>3217</v>
      </c>
      <c r="K114" s="17" t="s">
        <v>3215</v>
      </c>
      <c r="L114" s="17" t="s">
        <v>3218</v>
      </c>
      <c r="M114" s="17" t="s">
        <v>332</v>
      </c>
      <c r="N114" s="17" t="s">
        <v>3115</v>
      </c>
      <c r="O114" s="17" t="s">
        <v>3215</v>
      </c>
      <c r="P114" s="17" t="s">
        <v>3216</v>
      </c>
      <c r="Q114" s="17" t="s">
        <v>2864</v>
      </c>
      <c r="R114" s="17" t="s">
        <v>2956</v>
      </c>
      <c r="S114" s="17" t="s">
        <v>56</v>
      </c>
      <c r="T114" s="17" t="s">
        <v>56</v>
      </c>
      <c r="U114" s="17" t="s">
        <v>56</v>
      </c>
      <c r="V114" s="17" t="s">
        <v>56</v>
      </c>
      <c r="W114" s="17" t="s">
        <v>56</v>
      </c>
      <c r="X114" s="17" t="s">
        <v>56</v>
      </c>
      <c r="Y114" s="17" t="s">
        <v>56</v>
      </c>
      <c r="Z114" s="17" t="s">
        <v>56</v>
      </c>
      <c r="AA114" s="17" t="s">
        <v>56</v>
      </c>
      <c r="AB114" s="17" t="s">
        <v>56</v>
      </c>
      <c r="AC114" s="17" t="s">
        <v>56</v>
      </c>
      <c r="AD114" s="17" t="s">
        <v>56</v>
      </c>
      <c r="AE114" s="17" t="s">
        <v>56</v>
      </c>
      <c r="AF114" s="17" t="s">
        <v>56</v>
      </c>
      <c r="AG114" s="17" t="s">
        <v>56</v>
      </c>
      <c r="AH114" s="17" t="s">
        <v>56</v>
      </c>
      <c r="AI114" s="17" t="s">
        <v>56</v>
      </c>
      <c r="AJ114" s="17" t="s">
        <v>56</v>
      </c>
      <c r="AK114" s="17" t="s">
        <v>56</v>
      </c>
      <c r="AL114" s="17" t="s">
        <v>56</v>
      </c>
      <c r="AM114" s="17" t="s">
        <v>56</v>
      </c>
      <c r="AN114" s="17" t="s">
        <v>56</v>
      </c>
      <c r="AO114" s="17" t="s">
        <v>56</v>
      </c>
      <c r="AP114" s="17" t="s">
        <v>56</v>
      </c>
      <c r="AQ114" s="17">
        <v>87333.248438120994</v>
      </c>
      <c r="AR114" s="17">
        <v>87333.248438120994</v>
      </c>
      <c r="AS114" s="17" t="s">
        <v>2956</v>
      </c>
      <c r="AT114" s="17" t="s">
        <v>2864</v>
      </c>
      <c r="AU114" s="17">
        <v>0.77742900000000004</v>
      </c>
      <c r="AV114" s="17" t="s">
        <v>56</v>
      </c>
      <c r="AW114" s="17" t="s">
        <v>56</v>
      </c>
      <c r="AX114" s="17">
        <v>0.77742900000000004</v>
      </c>
      <c r="AY114" s="17" t="s">
        <v>56</v>
      </c>
      <c r="AZ114" s="17" t="s">
        <v>2956</v>
      </c>
      <c r="BA114" s="17" t="s">
        <v>2864</v>
      </c>
      <c r="BB114" s="17">
        <v>87333.248438120994</v>
      </c>
      <c r="BC114" s="17">
        <v>87333.248438120994</v>
      </c>
      <c r="BD114" s="17" t="s">
        <v>2956</v>
      </c>
      <c r="BE114" s="17" t="s">
        <v>2864</v>
      </c>
      <c r="BF114" s="17" t="s">
        <v>56</v>
      </c>
      <c r="BG114" s="17" t="s">
        <v>56</v>
      </c>
      <c r="BH114" s="17" t="s">
        <v>56</v>
      </c>
      <c r="BI114" s="17" t="s">
        <v>56</v>
      </c>
      <c r="BJ114" s="17" t="s">
        <v>56</v>
      </c>
      <c r="BK114" s="17" t="s">
        <v>56</v>
      </c>
      <c r="BL114" s="17" t="s">
        <v>56</v>
      </c>
      <c r="BM114" s="17" t="s">
        <v>56</v>
      </c>
      <c r="BN114" s="17" t="s">
        <v>56</v>
      </c>
      <c r="BO114" s="17" t="s">
        <v>56</v>
      </c>
      <c r="BP114" s="17" t="s">
        <v>56</v>
      </c>
      <c r="BQ114" s="17"/>
    </row>
    <row r="115" spans="1:69" x14ac:dyDescent="0.25">
      <c r="A115" s="17" t="s">
        <v>3161</v>
      </c>
      <c r="B115" s="17">
        <v>621</v>
      </c>
      <c r="C115" s="17" t="s">
        <v>2634</v>
      </c>
      <c r="D115" s="17" t="s">
        <v>2634</v>
      </c>
      <c r="E115" s="17" t="s">
        <v>2635</v>
      </c>
      <c r="F115" s="17">
        <v>67895.399999999907</v>
      </c>
      <c r="G115" s="17" t="s">
        <v>56</v>
      </c>
      <c r="H115" s="17" t="s">
        <v>56</v>
      </c>
      <c r="I115" s="17" t="s">
        <v>3161</v>
      </c>
      <c r="J115" s="17" t="s">
        <v>3217</v>
      </c>
      <c r="K115" s="17" t="s">
        <v>3215</v>
      </c>
      <c r="L115" s="17" t="s">
        <v>3218</v>
      </c>
      <c r="M115" s="17" t="s">
        <v>332</v>
      </c>
      <c r="N115" s="17" t="s">
        <v>3115</v>
      </c>
      <c r="O115" s="17" t="s">
        <v>3215</v>
      </c>
      <c r="P115" s="17" t="s">
        <v>3216</v>
      </c>
      <c r="Q115" s="17" t="s">
        <v>2864</v>
      </c>
      <c r="R115" s="17" t="s">
        <v>2956</v>
      </c>
      <c r="S115" s="17" t="s">
        <v>56</v>
      </c>
      <c r="T115" s="17" t="s">
        <v>56</v>
      </c>
      <c r="U115" s="17" t="s">
        <v>56</v>
      </c>
      <c r="V115" s="17" t="s">
        <v>56</v>
      </c>
      <c r="W115" s="17" t="s">
        <v>56</v>
      </c>
      <c r="X115" s="17" t="s">
        <v>56</v>
      </c>
      <c r="Y115" s="17" t="s">
        <v>56</v>
      </c>
      <c r="Z115" s="17" t="s">
        <v>56</v>
      </c>
      <c r="AA115" s="17" t="s">
        <v>56</v>
      </c>
      <c r="AB115" s="17" t="s">
        <v>56</v>
      </c>
      <c r="AC115" s="17" t="s">
        <v>56</v>
      </c>
      <c r="AD115" s="17" t="s">
        <v>56</v>
      </c>
      <c r="AE115" s="17" t="s">
        <v>56</v>
      </c>
      <c r="AF115" s="17" t="s">
        <v>56</v>
      </c>
      <c r="AG115" s="17" t="s">
        <v>56</v>
      </c>
      <c r="AH115" s="17" t="s">
        <v>56</v>
      </c>
      <c r="AI115" s="17" t="s">
        <v>56</v>
      </c>
      <c r="AJ115" s="17" t="s">
        <v>56</v>
      </c>
      <c r="AK115" s="17" t="s">
        <v>56</v>
      </c>
      <c r="AL115" s="17" t="s">
        <v>56</v>
      </c>
      <c r="AM115" s="17" t="s">
        <v>56</v>
      </c>
      <c r="AN115" s="17" t="s">
        <v>56</v>
      </c>
      <c r="AO115" s="17" t="s">
        <v>56</v>
      </c>
      <c r="AP115" s="17" t="s">
        <v>56</v>
      </c>
      <c r="AQ115" s="17">
        <v>87333.248438120994</v>
      </c>
      <c r="AR115" s="17">
        <v>87333.248438120994</v>
      </c>
      <c r="AS115" s="17" t="s">
        <v>2956</v>
      </c>
      <c r="AT115" s="17" t="s">
        <v>2864</v>
      </c>
      <c r="AU115" s="17">
        <v>0.77742900000000004</v>
      </c>
      <c r="AV115" s="17" t="s">
        <v>56</v>
      </c>
      <c r="AW115" s="17" t="s">
        <v>56</v>
      </c>
      <c r="AX115" s="17">
        <v>0.77742900000000004</v>
      </c>
      <c r="AY115" s="17" t="s">
        <v>56</v>
      </c>
      <c r="AZ115" s="17" t="s">
        <v>2956</v>
      </c>
      <c r="BA115" s="17" t="s">
        <v>2864</v>
      </c>
      <c r="BB115" s="17">
        <v>87333.248438120994</v>
      </c>
      <c r="BC115" s="17">
        <v>87333.248438120994</v>
      </c>
      <c r="BD115" s="17" t="s">
        <v>2956</v>
      </c>
      <c r="BE115" s="17" t="s">
        <v>2864</v>
      </c>
      <c r="BF115" s="17" t="s">
        <v>56</v>
      </c>
      <c r="BG115" s="17" t="s">
        <v>56</v>
      </c>
      <c r="BH115" s="17" t="s">
        <v>56</v>
      </c>
      <c r="BI115" s="17" t="s">
        <v>56</v>
      </c>
      <c r="BJ115" s="17" t="s">
        <v>56</v>
      </c>
      <c r="BK115" s="17" t="s">
        <v>56</v>
      </c>
      <c r="BL115" s="17" t="s">
        <v>56</v>
      </c>
      <c r="BM115" s="17" t="s">
        <v>56</v>
      </c>
      <c r="BN115" s="17" t="s">
        <v>56</v>
      </c>
      <c r="BO115" s="17" t="s">
        <v>56</v>
      </c>
      <c r="BP115" s="17" t="s">
        <v>56</v>
      </c>
      <c r="BQ115" s="17"/>
    </row>
    <row r="116" spans="1:69" x14ac:dyDescent="0.25">
      <c r="A116" s="17" t="s">
        <v>3134</v>
      </c>
      <c r="B116" s="17">
        <v>621</v>
      </c>
      <c r="C116" s="17" t="s">
        <v>2634</v>
      </c>
      <c r="D116" s="17" t="s">
        <v>2634</v>
      </c>
      <c r="E116" s="17" t="s">
        <v>2635</v>
      </c>
      <c r="F116" s="17">
        <v>67895.399999999907</v>
      </c>
      <c r="G116" s="17" t="s">
        <v>56</v>
      </c>
      <c r="H116" s="17" t="s">
        <v>56</v>
      </c>
      <c r="I116" s="17" t="s">
        <v>3134</v>
      </c>
      <c r="J116" s="17" t="s">
        <v>3217</v>
      </c>
      <c r="K116" s="17" t="s">
        <v>3215</v>
      </c>
      <c r="L116" s="17" t="s">
        <v>3218</v>
      </c>
      <c r="M116" s="17" t="s">
        <v>332</v>
      </c>
      <c r="N116" s="17" t="s">
        <v>3115</v>
      </c>
      <c r="O116" s="17" t="s">
        <v>3215</v>
      </c>
      <c r="P116" s="17" t="s">
        <v>3216</v>
      </c>
      <c r="Q116" s="17" t="s">
        <v>2864</v>
      </c>
      <c r="R116" s="17" t="s">
        <v>2956</v>
      </c>
      <c r="S116" s="17" t="s">
        <v>56</v>
      </c>
      <c r="T116" s="17" t="s">
        <v>56</v>
      </c>
      <c r="U116" s="17" t="s">
        <v>56</v>
      </c>
      <c r="V116" s="17" t="s">
        <v>56</v>
      </c>
      <c r="W116" s="17" t="s">
        <v>56</v>
      </c>
      <c r="X116" s="17" t="s">
        <v>56</v>
      </c>
      <c r="Y116" s="17" t="s">
        <v>56</v>
      </c>
      <c r="Z116" s="17" t="s">
        <v>56</v>
      </c>
      <c r="AA116" s="17" t="s">
        <v>56</v>
      </c>
      <c r="AB116" s="17" t="s">
        <v>56</v>
      </c>
      <c r="AC116" s="17" t="s">
        <v>56</v>
      </c>
      <c r="AD116" s="17" t="s">
        <v>56</v>
      </c>
      <c r="AE116" s="17" t="s">
        <v>56</v>
      </c>
      <c r="AF116" s="17" t="s">
        <v>56</v>
      </c>
      <c r="AG116" s="17" t="s">
        <v>56</v>
      </c>
      <c r="AH116" s="17" t="s">
        <v>56</v>
      </c>
      <c r="AI116" s="17" t="s">
        <v>56</v>
      </c>
      <c r="AJ116" s="17" t="s">
        <v>56</v>
      </c>
      <c r="AK116" s="17" t="s">
        <v>56</v>
      </c>
      <c r="AL116" s="17" t="s">
        <v>56</v>
      </c>
      <c r="AM116" s="17" t="s">
        <v>56</v>
      </c>
      <c r="AN116" s="17" t="s">
        <v>56</v>
      </c>
      <c r="AO116" s="17" t="s">
        <v>56</v>
      </c>
      <c r="AP116" s="17" t="s">
        <v>56</v>
      </c>
      <c r="AQ116" s="17">
        <v>87333.248438120994</v>
      </c>
      <c r="AR116" s="17">
        <v>87333.248438120994</v>
      </c>
      <c r="AS116" s="17" t="s">
        <v>2956</v>
      </c>
      <c r="AT116" s="17" t="s">
        <v>2864</v>
      </c>
      <c r="AU116" s="17">
        <v>0.77742900000000004</v>
      </c>
      <c r="AV116" s="17" t="s">
        <v>56</v>
      </c>
      <c r="AW116" s="17" t="s">
        <v>56</v>
      </c>
      <c r="AX116" s="17">
        <v>0.77742900000000004</v>
      </c>
      <c r="AY116" s="17" t="s">
        <v>56</v>
      </c>
      <c r="AZ116" s="17" t="s">
        <v>2956</v>
      </c>
      <c r="BA116" s="17" t="s">
        <v>2864</v>
      </c>
      <c r="BB116" s="17">
        <v>87333.248438120994</v>
      </c>
      <c r="BC116" s="17">
        <v>87333.248438120994</v>
      </c>
      <c r="BD116" s="17" t="s">
        <v>2956</v>
      </c>
      <c r="BE116" s="17" t="s">
        <v>2864</v>
      </c>
      <c r="BF116" s="17" t="s">
        <v>56</v>
      </c>
      <c r="BG116" s="17" t="s">
        <v>56</v>
      </c>
      <c r="BH116" s="17" t="s">
        <v>56</v>
      </c>
      <c r="BI116" s="17" t="s">
        <v>56</v>
      </c>
      <c r="BJ116" s="17" t="s">
        <v>56</v>
      </c>
      <c r="BK116" s="17" t="s">
        <v>56</v>
      </c>
      <c r="BL116" s="17" t="s">
        <v>56</v>
      </c>
      <c r="BM116" s="17" t="s">
        <v>56</v>
      </c>
      <c r="BN116" s="17" t="s">
        <v>56</v>
      </c>
      <c r="BO116" s="17" t="s">
        <v>56</v>
      </c>
      <c r="BP116" s="17" t="s">
        <v>56</v>
      </c>
      <c r="BQ116" s="17"/>
    </row>
    <row r="117" spans="1:69" x14ac:dyDescent="0.25">
      <c r="A117" s="17" t="s">
        <v>3128</v>
      </c>
      <c r="B117" s="17">
        <v>621</v>
      </c>
      <c r="C117" s="17" t="s">
        <v>2634</v>
      </c>
      <c r="D117" s="17" t="s">
        <v>2634</v>
      </c>
      <c r="E117" s="17" t="s">
        <v>2635</v>
      </c>
      <c r="F117" s="17">
        <v>67895.399999999907</v>
      </c>
      <c r="G117" s="17" t="s">
        <v>56</v>
      </c>
      <c r="H117" s="17" t="s">
        <v>56</v>
      </c>
      <c r="I117" s="17" t="s">
        <v>3128</v>
      </c>
      <c r="J117" s="17" t="s">
        <v>3217</v>
      </c>
      <c r="K117" s="17" t="s">
        <v>3215</v>
      </c>
      <c r="L117" s="17" t="s">
        <v>3218</v>
      </c>
      <c r="M117" s="17" t="s">
        <v>332</v>
      </c>
      <c r="N117" s="17" t="s">
        <v>3115</v>
      </c>
      <c r="O117" s="17" t="s">
        <v>3215</v>
      </c>
      <c r="P117" s="17" t="s">
        <v>3216</v>
      </c>
      <c r="Q117" s="17" t="s">
        <v>2864</v>
      </c>
      <c r="R117" s="17" t="s">
        <v>2956</v>
      </c>
      <c r="S117" s="17" t="s">
        <v>56</v>
      </c>
      <c r="T117" s="17" t="s">
        <v>56</v>
      </c>
      <c r="U117" s="17" t="s">
        <v>56</v>
      </c>
      <c r="V117" s="17" t="s">
        <v>56</v>
      </c>
      <c r="W117" s="17" t="s">
        <v>56</v>
      </c>
      <c r="X117" s="17" t="s">
        <v>56</v>
      </c>
      <c r="Y117" s="17" t="s">
        <v>56</v>
      </c>
      <c r="Z117" s="17" t="s">
        <v>56</v>
      </c>
      <c r="AA117" s="17" t="s">
        <v>56</v>
      </c>
      <c r="AB117" s="17" t="s">
        <v>56</v>
      </c>
      <c r="AC117" s="17" t="s">
        <v>56</v>
      </c>
      <c r="AD117" s="17" t="s">
        <v>56</v>
      </c>
      <c r="AE117" s="17" t="s">
        <v>56</v>
      </c>
      <c r="AF117" s="17" t="s">
        <v>56</v>
      </c>
      <c r="AG117" s="17" t="s">
        <v>56</v>
      </c>
      <c r="AH117" s="17" t="s">
        <v>56</v>
      </c>
      <c r="AI117" s="17" t="s">
        <v>56</v>
      </c>
      <c r="AJ117" s="17" t="s">
        <v>56</v>
      </c>
      <c r="AK117" s="17" t="s">
        <v>56</v>
      </c>
      <c r="AL117" s="17" t="s">
        <v>56</v>
      </c>
      <c r="AM117" s="17" t="s">
        <v>56</v>
      </c>
      <c r="AN117" s="17" t="s">
        <v>56</v>
      </c>
      <c r="AO117" s="17" t="s">
        <v>56</v>
      </c>
      <c r="AP117" s="17" t="s">
        <v>56</v>
      </c>
      <c r="AQ117" s="17">
        <v>87333.248438120994</v>
      </c>
      <c r="AR117" s="17">
        <v>87333.248438120994</v>
      </c>
      <c r="AS117" s="17" t="s">
        <v>2956</v>
      </c>
      <c r="AT117" s="17" t="s">
        <v>2864</v>
      </c>
      <c r="AU117" s="17">
        <v>0.77742900000000004</v>
      </c>
      <c r="AV117" s="17" t="s">
        <v>56</v>
      </c>
      <c r="AW117" s="17" t="s">
        <v>56</v>
      </c>
      <c r="AX117" s="17">
        <v>0.77742900000000004</v>
      </c>
      <c r="AY117" s="17" t="s">
        <v>56</v>
      </c>
      <c r="AZ117" s="17" t="s">
        <v>2956</v>
      </c>
      <c r="BA117" s="17" t="s">
        <v>2864</v>
      </c>
      <c r="BB117" s="17">
        <v>87333.248438120994</v>
      </c>
      <c r="BC117" s="17">
        <v>87333.248438120994</v>
      </c>
      <c r="BD117" s="17" t="s">
        <v>2956</v>
      </c>
      <c r="BE117" s="17" t="s">
        <v>2864</v>
      </c>
      <c r="BF117" s="17" t="s">
        <v>56</v>
      </c>
      <c r="BG117" s="17" t="s">
        <v>56</v>
      </c>
      <c r="BH117" s="17" t="s">
        <v>56</v>
      </c>
      <c r="BI117" s="17" t="s">
        <v>56</v>
      </c>
      <c r="BJ117" s="17" t="s">
        <v>56</v>
      </c>
      <c r="BK117" s="17" t="s">
        <v>56</v>
      </c>
      <c r="BL117" s="17" t="s">
        <v>56</v>
      </c>
      <c r="BM117" s="17" t="s">
        <v>56</v>
      </c>
      <c r="BN117" s="17" t="s">
        <v>56</v>
      </c>
      <c r="BO117" s="17" t="s">
        <v>56</v>
      </c>
      <c r="BP117" s="17" t="s">
        <v>56</v>
      </c>
      <c r="BQ117" s="17"/>
    </row>
    <row r="118" spans="1:69" x14ac:dyDescent="0.25">
      <c r="A118" s="17" t="s">
        <v>3122</v>
      </c>
      <c r="B118" s="17">
        <v>621</v>
      </c>
      <c r="C118" s="17" t="s">
        <v>2634</v>
      </c>
      <c r="D118" s="17" t="s">
        <v>2634</v>
      </c>
      <c r="E118" s="17" t="s">
        <v>2635</v>
      </c>
      <c r="F118" s="17">
        <v>67895.399999999907</v>
      </c>
      <c r="G118" s="17" t="s">
        <v>56</v>
      </c>
      <c r="H118" s="17" t="s">
        <v>56</v>
      </c>
      <c r="I118" s="17" t="s">
        <v>3122</v>
      </c>
      <c r="J118" s="17" t="s">
        <v>3217</v>
      </c>
      <c r="K118" s="17" t="s">
        <v>3215</v>
      </c>
      <c r="L118" s="17" t="s">
        <v>3218</v>
      </c>
      <c r="M118" s="17" t="s">
        <v>332</v>
      </c>
      <c r="N118" s="17" t="s">
        <v>3115</v>
      </c>
      <c r="O118" s="17" t="s">
        <v>3215</v>
      </c>
      <c r="P118" s="17" t="s">
        <v>3216</v>
      </c>
      <c r="Q118" s="17" t="s">
        <v>2864</v>
      </c>
      <c r="R118" s="17" t="s">
        <v>2956</v>
      </c>
      <c r="S118" s="17" t="s">
        <v>56</v>
      </c>
      <c r="T118" s="17" t="s">
        <v>56</v>
      </c>
      <c r="U118" s="17" t="s">
        <v>56</v>
      </c>
      <c r="V118" s="17" t="s">
        <v>56</v>
      </c>
      <c r="W118" s="17" t="s">
        <v>56</v>
      </c>
      <c r="X118" s="17" t="s">
        <v>56</v>
      </c>
      <c r="Y118" s="17" t="s">
        <v>56</v>
      </c>
      <c r="Z118" s="17" t="s">
        <v>56</v>
      </c>
      <c r="AA118" s="17" t="s">
        <v>56</v>
      </c>
      <c r="AB118" s="17" t="s">
        <v>56</v>
      </c>
      <c r="AC118" s="17" t="s">
        <v>56</v>
      </c>
      <c r="AD118" s="17" t="s">
        <v>56</v>
      </c>
      <c r="AE118" s="17" t="s">
        <v>56</v>
      </c>
      <c r="AF118" s="17" t="s">
        <v>56</v>
      </c>
      <c r="AG118" s="17" t="s">
        <v>56</v>
      </c>
      <c r="AH118" s="17" t="s">
        <v>56</v>
      </c>
      <c r="AI118" s="17" t="s">
        <v>56</v>
      </c>
      <c r="AJ118" s="17" t="s">
        <v>56</v>
      </c>
      <c r="AK118" s="17" t="s">
        <v>56</v>
      </c>
      <c r="AL118" s="17" t="s">
        <v>56</v>
      </c>
      <c r="AM118" s="17" t="s">
        <v>56</v>
      </c>
      <c r="AN118" s="17" t="s">
        <v>56</v>
      </c>
      <c r="AO118" s="17" t="s">
        <v>56</v>
      </c>
      <c r="AP118" s="17" t="s">
        <v>56</v>
      </c>
      <c r="AQ118" s="17">
        <v>87333.248438120994</v>
      </c>
      <c r="AR118" s="17">
        <v>87333.248438120994</v>
      </c>
      <c r="AS118" s="17" t="s">
        <v>2956</v>
      </c>
      <c r="AT118" s="17" t="s">
        <v>2864</v>
      </c>
      <c r="AU118" s="17">
        <v>0.77742900000000004</v>
      </c>
      <c r="AV118" s="17" t="s">
        <v>56</v>
      </c>
      <c r="AW118" s="17" t="s">
        <v>56</v>
      </c>
      <c r="AX118" s="17">
        <v>0.77742900000000004</v>
      </c>
      <c r="AY118" s="17" t="s">
        <v>56</v>
      </c>
      <c r="AZ118" s="17" t="s">
        <v>2956</v>
      </c>
      <c r="BA118" s="17" t="s">
        <v>2864</v>
      </c>
      <c r="BB118" s="17">
        <v>87333.248438120994</v>
      </c>
      <c r="BC118" s="17">
        <v>87333.248438120994</v>
      </c>
      <c r="BD118" s="17" t="s">
        <v>2956</v>
      </c>
      <c r="BE118" s="17" t="s">
        <v>2864</v>
      </c>
      <c r="BF118" s="17" t="s">
        <v>56</v>
      </c>
      <c r="BG118" s="17" t="s">
        <v>56</v>
      </c>
      <c r="BH118" s="17" t="s">
        <v>56</v>
      </c>
      <c r="BI118" s="17" t="s">
        <v>56</v>
      </c>
      <c r="BJ118" s="17" t="s">
        <v>56</v>
      </c>
      <c r="BK118" s="17" t="s">
        <v>56</v>
      </c>
      <c r="BL118" s="17" t="s">
        <v>56</v>
      </c>
      <c r="BM118" s="17" t="s">
        <v>56</v>
      </c>
      <c r="BN118" s="17" t="s">
        <v>56</v>
      </c>
      <c r="BO118" s="17" t="s">
        <v>56</v>
      </c>
      <c r="BP118" s="17" t="s">
        <v>56</v>
      </c>
      <c r="BQ118" s="17"/>
    </row>
    <row r="119" spans="1:69" x14ac:dyDescent="0.25">
      <c r="A119" s="17" t="s">
        <v>3206</v>
      </c>
      <c r="B119" s="17">
        <v>621</v>
      </c>
      <c r="C119" s="17" t="s">
        <v>2634</v>
      </c>
      <c r="D119" s="17" t="s">
        <v>2634</v>
      </c>
      <c r="E119" s="17" t="s">
        <v>2635</v>
      </c>
      <c r="F119" s="17">
        <v>67895.399999999907</v>
      </c>
      <c r="G119" s="17" t="s">
        <v>56</v>
      </c>
      <c r="H119" s="17" t="s">
        <v>56</v>
      </c>
      <c r="I119" s="17" t="s">
        <v>3206</v>
      </c>
      <c r="J119" s="17" t="s">
        <v>3217</v>
      </c>
      <c r="K119" s="17" t="s">
        <v>3215</v>
      </c>
      <c r="L119" s="17" t="s">
        <v>3218</v>
      </c>
      <c r="M119" s="17" t="s">
        <v>332</v>
      </c>
      <c r="N119" s="17" t="s">
        <v>3115</v>
      </c>
      <c r="O119" s="17" t="s">
        <v>3215</v>
      </c>
      <c r="P119" s="17" t="s">
        <v>3216</v>
      </c>
      <c r="Q119" s="17" t="s">
        <v>2864</v>
      </c>
      <c r="R119" s="17" t="s">
        <v>2956</v>
      </c>
      <c r="S119" s="17" t="s">
        <v>56</v>
      </c>
      <c r="T119" s="17" t="s">
        <v>56</v>
      </c>
      <c r="U119" s="17" t="s">
        <v>56</v>
      </c>
      <c r="V119" s="17" t="s">
        <v>56</v>
      </c>
      <c r="W119" s="17" t="s">
        <v>56</v>
      </c>
      <c r="X119" s="17" t="s">
        <v>56</v>
      </c>
      <c r="Y119" s="17" t="s">
        <v>56</v>
      </c>
      <c r="Z119" s="17" t="s">
        <v>56</v>
      </c>
      <c r="AA119" s="17" t="s">
        <v>56</v>
      </c>
      <c r="AB119" s="17" t="s">
        <v>56</v>
      </c>
      <c r="AC119" s="17" t="s">
        <v>56</v>
      </c>
      <c r="AD119" s="17" t="s">
        <v>56</v>
      </c>
      <c r="AE119" s="17" t="s">
        <v>56</v>
      </c>
      <c r="AF119" s="17" t="s">
        <v>56</v>
      </c>
      <c r="AG119" s="17" t="s">
        <v>56</v>
      </c>
      <c r="AH119" s="17" t="s">
        <v>56</v>
      </c>
      <c r="AI119" s="17" t="s">
        <v>56</v>
      </c>
      <c r="AJ119" s="17" t="s">
        <v>56</v>
      </c>
      <c r="AK119" s="17" t="s">
        <v>56</v>
      </c>
      <c r="AL119" s="17" t="s">
        <v>56</v>
      </c>
      <c r="AM119" s="17" t="s">
        <v>56</v>
      </c>
      <c r="AN119" s="17" t="s">
        <v>56</v>
      </c>
      <c r="AO119" s="17" t="s">
        <v>56</v>
      </c>
      <c r="AP119" s="17" t="s">
        <v>56</v>
      </c>
      <c r="AQ119" s="17">
        <v>87333.248438120994</v>
      </c>
      <c r="AR119" s="17">
        <v>87333.248438120994</v>
      </c>
      <c r="AS119" s="17" t="s">
        <v>2956</v>
      </c>
      <c r="AT119" s="17" t="s">
        <v>2864</v>
      </c>
      <c r="AU119" s="17">
        <v>0.77742900000000004</v>
      </c>
      <c r="AV119" s="17" t="s">
        <v>56</v>
      </c>
      <c r="AW119" s="17" t="s">
        <v>56</v>
      </c>
      <c r="AX119" s="17">
        <v>0.77742900000000004</v>
      </c>
      <c r="AY119" s="17" t="s">
        <v>56</v>
      </c>
      <c r="AZ119" s="17" t="s">
        <v>2956</v>
      </c>
      <c r="BA119" s="17" t="s">
        <v>2864</v>
      </c>
      <c r="BB119" s="17">
        <v>87333.248438120994</v>
      </c>
      <c r="BC119" s="17">
        <v>87333.248438120994</v>
      </c>
      <c r="BD119" s="17" t="s">
        <v>2956</v>
      </c>
      <c r="BE119" s="17" t="s">
        <v>2864</v>
      </c>
      <c r="BF119" s="17" t="s">
        <v>56</v>
      </c>
      <c r="BG119" s="17" t="s">
        <v>56</v>
      </c>
      <c r="BH119" s="17" t="s">
        <v>56</v>
      </c>
      <c r="BI119" s="17" t="s">
        <v>56</v>
      </c>
      <c r="BJ119" s="17" t="s">
        <v>56</v>
      </c>
      <c r="BK119" s="17" t="s">
        <v>56</v>
      </c>
      <c r="BL119" s="17" t="s">
        <v>56</v>
      </c>
      <c r="BM119" s="17" t="s">
        <v>56</v>
      </c>
      <c r="BN119" s="17" t="s">
        <v>56</v>
      </c>
      <c r="BO119" s="17" t="s">
        <v>56</v>
      </c>
      <c r="BP119" s="17" t="s">
        <v>56</v>
      </c>
      <c r="BQ119" s="17"/>
    </row>
    <row r="120" spans="1:69" x14ac:dyDescent="0.25">
      <c r="A120" s="17" t="s">
        <v>3118</v>
      </c>
      <c r="B120" s="17">
        <v>621</v>
      </c>
      <c r="C120" s="17" t="s">
        <v>2634</v>
      </c>
      <c r="D120" s="17" t="s">
        <v>2634</v>
      </c>
      <c r="E120" s="17" t="s">
        <v>2635</v>
      </c>
      <c r="F120" s="17">
        <v>67895.399999999907</v>
      </c>
      <c r="G120" s="17" t="s">
        <v>56</v>
      </c>
      <c r="H120" s="17" t="s">
        <v>56</v>
      </c>
      <c r="I120" s="17" t="s">
        <v>3118</v>
      </c>
      <c r="J120" s="17" t="s">
        <v>3217</v>
      </c>
      <c r="K120" s="17" t="s">
        <v>3215</v>
      </c>
      <c r="L120" s="17" t="s">
        <v>3218</v>
      </c>
      <c r="M120" s="17" t="s">
        <v>332</v>
      </c>
      <c r="N120" s="17" t="s">
        <v>3115</v>
      </c>
      <c r="O120" s="17" t="s">
        <v>3215</v>
      </c>
      <c r="P120" s="17" t="s">
        <v>3216</v>
      </c>
      <c r="Q120" s="17" t="s">
        <v>2864</v>
      </c>
      <c r="R120" s="17" t="s">
        <v>2956</v>
      </c>
      <c r="S120" s="17" t="s">
        <v>56</v>
      </c>
      <c r="T120" s="17" t="s">
        <v>56</v>
      </c>
      <c r="U120" s="17" t="s">
        <v>56</v>
      </c>
      <c r="V120" s="17" t="s">
        <v>56</v>
      </c>
      <c r="W120" s="17" t="s">
        <v>56</v>
      </c>
      <c r="X120" s="17" t="s">
        <v>56</v>
      </c>
      <c r="Y120" s="17" t="s">
        <v>56</v>
      </c>
      <c r="Z120" s="17" t="s">
        <v>56</v>
      </c>
      <c r="AA120" s="17" t="s">
        <v>56</v>
      </c>
      <c r="AB120" s="17" t="s">
        <v>56</v>
      </c>
      <c r="AC120" s="17" t="s">
        <v>56</v>
      </c>
      <c r="AD120" s="17" t="s">
        <v>56</v>
      </c>
      <c r="AE120" s="17" t="s">
        <v>56</v>
      </c>
      <c r="AF120" s="17" t="s">
        <v>56</v>
      </c>
      <c r="AG120" s="17" t="s">
        <v>56</v>
      </c>
      <c r="AH120" s="17" t="s">
        <v>56</v>
      </c>
      <c r="AI120" s="17" t="s">
        <v>56</v>
      </c>
      <c r="AJ120" s="17" t="s">
        <v>56</v>
      </c>
      <c r="AK120" s="17" t="s">
        <v>56</v>
      </c>
      <c r="AL120" s="17" t="s">
        <v>56</v>
      </c>
      <c r="AM120" s="17" t="s">
        <v>56</v>
      </c>
      <c r="AN120" s="17" t="s">
        <v>56</v>
      </c>
      <c r="AO120" s="17" t="s">
        <v>56</v>
      </c>
      <c r="AP120" s="17" t="s">
        <v>56</v>
      </c>
      <c r="AQ120" s="17">
        <v>87333.248438120994</v>
      </c>
      <c r="AR120" s="17">
        <v>87333.248438120994</v>
      </c>
      <c r="AS120" s="17" t="s">
        <v>2956</v>
      </c>
      <c r="AT120" s="17" t="s">
        <v>2864</v>
      </c>
      <c r="AU120" s="17">
        <v>0.77742900000000004</v>
      </c>
      <c r="AV120" s="17" t="s">
        <v>56</v>
      </c>
      <c r="AW120" s="17" t="s">
        <v>56</v>
      </c>
      <c r="AX120" s="17">
        <v>0.77742900000000004</v>
      </c>
      <c r="AY120" s="17" t="s">
        <v>56</v>
      </c>
      <c r="AZ120" s="17" t="s">
        <v>2956</v>
      </c>
      <c r="BA120" s="17" t="s">
        <v>2864</v>
      </c>
      <c r="BB120" s="17">
        <v>87333.248438120994</v>
      </c>
      <c r="BC120" s="17">
        <v>87333.248438120994</v>
      </c>
      <c r="BD120" s="17" t="s">
        <v>2956</v>
      </c>
      <c r="BE120" s="17" t="s">
        <v>2864</v>
      </c>
      <c r="BF120" s="17" t="s">
        <v>56</v>
      </c>
      <c r="BG120" s="17" t="s">
        <v>56</v>
      </c>
      <c r="BH120" s="17" t="s">
        <v>56</v>
      </c>
      <c r="BI120" s="17" t="s">
        <v>56</v>
      </c>
      <c r="BJ120" s="17" t="s">
        <v>56</v>
      </c>
      <c r="BK120" s="17" t="s">
        <v>56</v>
      </c>
      <c r="BL120" s="17" t="s">
        <v>56</v>
      </c>
      <c r="BM120" s="17" t="s">
        <v>56</v>
      </c>
      <c r="BN120" s="17" t="s">
        <v>56</v>
      </c>
      <c r="BO120" s="17" t="s">
        <v>56</v>
      </c>
      <c r="BP120" s="17" t="s">
        <v>56</v>
      </c>
      <c r="BQ120" s="17"/>
    </row>
    <row r="121" spans="1:69" x14ac:dyDescent="0.25">
      <c r="A121" s="17" t="s">
        <v>3165</v>
      </c>
      <c r="B121" s="17">
        <v>621</v>
      </c>
      <c r="C121" s="17" t="s">
        <v>2634</v>
      </c>
      <c r="D121" s="17" t="s">
        <v>2634</v>
      </c>
      <c r="E121" s="17" t="s">
        <v>2635</v>
      </c>
      <c r="F121" s="17">
        <v>67895.399999999907</v>
      </c>
      <c r="G121" s="17" t="s">
        <v>56</v>
      </c>
      <c r="H121" s="17" t="s">
        <v>56</v>
      </c>
      <c r="I121" s="17" t="s">
        <v>3165</v>
      </c>
      <c r="J121" s="17" t="s">
        <v>3217</v>
      </c>
      <c r="K121" s="17" t="s">
        <v>3215</v>
      </c>
      <c r="L121" s="17" t="s">
        <v>3218</v>
      </c>
      <c r="M121" s="17" t="s">
        <v>332</v>
      </c>
      <c r="N121" s="17" t="s">
        <v>3115</v>
      </c>
      <c r="O121" s="17" t="s">
        <v>3215</v>
      </c>
      <c r="P121" s="17" t="s">
        <v>3216</v>
      </c>
      <c r="Q121" s="17" t="s">
        <v>2864</v>
      </c>
      <c r="R121" s="17" t="s">
        <v>2956</v>
      </c>
      <c r="S121" s="17" t="s">
        <v>56</v>
      </c>
      <c r="T121" s="17" t="s">
        <v>56</v>
      </c>
      <c r="U121" s="17" t="s">
        <v>56</v>
      </c>
      <c r="V121" s="17" t="s">
        <v>56</v>
      </c>
      <c r="W121" s="17" t="s">
        <v>56</v>
      </c>
      <c r="X121" s="17" t="s">
        <v>56</v>
      </c>
      <c r="Y121" s="17" t="s">
        <v>56</v>
      </c>
      <c r="Z121" s="17" t="s">
        <v>56</v>
      </c>
      <c r="AA121" s="17" t="s">
        <v>56</v>
      </c>
      <c r="AB121" s="17" t="s">
        <v>56</v>
      </c>
      <c r="AC121" s="17" t="s">
        <v>56</v>
      </c>
      <c r="AD121" s="17" t="s">
        <v>56</v>
      </c>
      <c r="AE121" s="17" t="s">
        <v>56</v>
      </c>
      <c r="AF121" s="17" t="s">
        <v>56</v>
      </c>
      <c r="AG121" s="17" t="s">
        <v>56</v>
      </c>
      <c r="AH121" s="17" t="s">
        <v>56</v>
      </c>
      <c r="AI121" s="17" t="s">
        <v>56</v>
      </c>
      <c r="AJ121" s="17" t="s">
        <v>56</v>
      </c>
      <c r="AK121" s="17" t="s">
        <v>56</v>
      </c>
      <c r="AL121" s="17" t="s">
        <v>56</v>
      </c>
      <c r="AM121" s="17" t="s">
        <v>56</v>
      </c>
      <c r="AN121" s="17" t="s">
        <v>56</v>
      </c>
      <c r="AO121" s="17" t="s">
        <v>56</v>
      </c>
      <c r="AP121" s="17" t="s">
        <v>56</v>
      </c>
      <c r="AQ121" s="17">
        <v>87333.248438120994</v>
      </c>
      <c r="AR121" s="17">
        <v>87333.248438120994</v>
      </c>
      <c r="AS121" s="17" t="s">
        <v>2956</v>
      </c>
      <c r="AT121" s="17" t="s">
        <v>2864</v>
      </c>
      <c r="AU121" s="17">
        <v>0.77742900000000004</v>
      </c>
      <c r="AV121" s="17" t="s">
        <v>56</v>
      </c>
      <c r="AW121" s="17" t="s">
        <v>56</v>
      </c>
      <c r="AX121" s="17">
        <v>0.77742900000000004</v>
      </c>
      <c r="AY121" s="17" t="s">
        <v>56</v>
      </c>
      <c r="AZ121" s="17" t="s">
        <v>2956</v>
      </c>
      <c r="BA121" s="17" t="s">
        <v>2864</v>
      </c>
      <c r="BB121" s="17">
        <v>87333.248438120994</v>
      </c>
      <c r="BC121" s="17">
        <v>87333.248438120994</v>
      </c>
      <c r="BD121" s="17" t="s">
        <v>2956</v>
      </c>
      <c r="BE121" s="17" t="s">
        <v>2864</v>
      </c>
      <c r="BF121" s="17" t="s">
        <v>56</v>
      </c>
      <c r="BG121" s="17" t="s">
        <v>56</v>
      </c>
      <c r="BH121" s="17" t="s">
        <v>56</v>
      </c>
      <c r="BI121" s="17" t="s">
        <v>56</v>
      </c>
      <c r="BJ121" s="17" t="s">
        <v>56</v>
      </c>
      <c r="BK121" s="17" t="s">
        <v>56</v>
      </c>
      <c r="BL121" s="17" t="s">
        <v>56</v>
      </c>
      <c r="BM121" s="17" t="s">
        <v>56</v>
      </c>
      <c r="BN121" s="17" t="s">
        <v>56</v>
      </c>
      <c r="BO121" s="17" t="s">
        <v>56</v>
      </c>
      <c r="BP121" s="17" t="s">
        <v>56</v>
      </c>
      <c r="BQ121" s="17"/>
    </row>
    <row r="122" spans="1:69" x14ac:dyDescent="0.25">
      <c r="A122" s="17" t="s">
        <v>3159</v>
      </c>
      <c r="B122" s="17">
        <v>621</v>
      </c>
      <c r="C122" s="17" t="s">
        <v>2634</v>
      </c>
      <c r="D122" s="17" t="s">
        <v>2634</v>
      </c>
      <c r="E122" s="17" t="s">
        <v>2635</v>
      </c>
      <c r="F122" s="17">
        <v>67895.399999999907</v>
      </c>
      <c r="G122" s="17" t="s">
        <v>56</v>
      </c>
      <c r="H122" s="17" t="s">
        <v>56</v>
      </c>
      <c r="I122" s="17" t="s">
        <v>3159</v>
      </c>
      <c r="J122" s="17" t="s">
        <v>3217</v>
      </c>
      <c r="K122" s="17" t="s">
        <v>3215</v>
      </c>
      <c r="L122" s="17" t="s">
        <v>3218</v>
      </c>
      <c r="M122" s="17" t="s">
        <v>332</v>
      </c>
      <c r="N122" s="17" t="s">
        <v>3115</v>
      </c>
      <c r="O122" s="17" t="s">
        <v>3215</v>
      </c>
      <c r="P122" s="17" t="s">
        <v>3216</v>
      </c>
      <c r="Q122" s="17" t="s">
        <v>2864</v>
      </c>
      <c r="R122" s="17" t="s">
        <v>2956</v>
      </c>
      <c r="S122" s="17" t="s">
        <v>56</v>
      </c>
      <c r="T122" s="17" t="s">
        <v>56</v>
      </c>
      <c r="U122" s="17" t="s">
        <v>56</v>
      </c>
      <c r="V122" s="17" t="s">
        <v>56</v>
      </c>
      <c r="W122" s="17" t="s">
        <v>56</v>
      </c>
      <c r="X122" s="17" t="s">
        <v>56</v>
      </c>
      <c r="Y122" s="17" t="s">
        <v>56</v>
      </c>
      <c r="Z122" s="17" t="s">
        <v>56</v>
      </c>
      <c r="AA122" s="17" t="s">
        <v>56</v>
      </c>
      <c r="AB122" s="17" t="s">
        <v>56</v>
      </c>
      <c r="AC122" s="17" t="s">
        <v>56</v>
      </c>
      <c r="AD122" s="17" t="s">
        <v>56</v>
      </c>
      <c r="AE122" s="17" t="s">
        <v>56</v>
      </c>
      <c r="AF122" s="17" t="s">
        <v>56</v>
      </c>
      <c r="AG122" s="17" t="s">
        <v>56</v>
      </c>
      <c r="AH122" s="17" t="s">
        <v>56</v>
      </c>
      <c r="AI122" s="17" t="s">
        <v>56</v>
      </c>
      <c r="AJ122" s="17" t="s">
        <v>56</v>
      </c>
      <c r="AK122" s="17" t="s">
        <v>56</v>
      </c>
      <c r="AL122" s="17" t="s">
        <v>56</v>
      </c>
      <c r="AM122" s="17" t="s">
        <v>56</v>
      </c>
      <c r="AN122" s="17" t="s">
        <v>56</v>
      </c>
      <c r="AO122" s="17" t="s">
        <v>56</v>
      </c>
      <c r="AP122" s="17" t="s">
        <v>56</v>
      </c>
      <c r="AQ122" s="17">
        <v>87333.248438120994</v>
      </c>
      <c r="AR122" s="17">
        <v>87333.248438120994</v>
      </c>
      <c r="AS122" s="17" t="s">
        <v>2956</v>
      </c>
      <c r="AT122" s="17" t="s">
        <v>2864</v>
      </c>
      <c r="AU122" s="17">
        <v>0.77742900000000004</v>
      </c>
      <c r="AV122" s="17" t="s">
        <v>56</v>
      </c>
      <c r="AW122" s="17" t="s">
        <v>56</v>
      </c>
      <c r="AX122" s="17">
        <v>0.77742900000000004</v>
      </c>
      <c r="AY122" s="17" t="s">
        <v>56</v>
      </c>
      <c r="AZ122" s="17" t="s">
        <v>2956</v>
      </c>
      <c r="BA122" s="17" t="s">
        <v>2864</v>
      </c>
      <c r="BB122" s="17">
        <v>87333.248438120994</v>
      </c>
      <c r="BC122" s="17">
        <v>87333.248438120994</v>
      </c>
      <c r="BD122" s="17" t="s">
        <v>2956</v>
      </c>
      <c r="BE122" s="17" t="s">
        <v>2864</v>
      </c>
      <c r="BF122" s="17" t="s">
        <v>56</v>
      </c>
      <c r="BG122" s="17" t="s">
        <v>56</v>
      </c>
      <c r="BH122" s="17" t="s">
        <v>56</v>
      </c>
      <c r="BI122" s="17" t="s">
        <v>56</v>
      </c>
      <c r="BJ122" s="17" t="s">
        <v>56</v>
      </c>
      <c r="BK122" s="17" t="s">
        <v>56</v>
      </c>
      <c r="BL122" s="17" t="s">
        <v>56</v>
      </c>
      <c r="BM122" s="17" t="s">
        <v>56</v>
      </c>
      <c r="BN122" s="17" t="s">
        <v>56</v>
      </c>
      <c r="BO122" s="17" t="s">
        <v>56</v>
      </c>
      <c r="BP122" s="17" t="s">
        <v>56</v>
      </c>
      <c r="BQ122" s="17"/>
    </row>
    <row r="123" spans="1:69" x14ac:dyDescent="0.25">
      <c r="A123" s="17" t="s">
        <v>3153</v>
      </c>
      <c r="B123" s="17">
        <v>621</v>
      </c>
      <c r="C123" s="17" t="s">
        <v>2634</v>
      </c>
      <c r="D123" s="17" t="s">
        <v>2634</v>
      </c>
      <c r="E123" s="17" t="s">
        <v>2635</v>
      </c>
      <c r="F123" s="17">
        <v>67895.399999999907</v>
      </c>
      <c r="G123" s="17" t="s">
        <v>56</v>
      </c>
      <c r="H123" s="17" t="s">
        <v>56</v>
      </c>
      <c r="I123" s="17" t="s">
        <v>3153</v>
      </c>
      <c r="J123" s="17" t="s">
        <v>3217</v>
      </c>
      <c r="K123" s="17" t="s">
        <v>3215</v>
      </c>
      <c r="L123" s="17" t="s">
        <v>3218</v>
      </c>
      <c r="M123" s="17" t="s">
        <v>332</v>
      </c>
      <c r="N123" s="17" t="s">
        <v>3115</v>
      </c>
      <c r="O123" s="17" t="s">
        <v>3215</v>
      </c>
      <c r="P123" s="17" t="s">
        <v>3216</v>
      </c>
      <c r="Q123" s="17" t="s">
        <v>2864</v>
      </c>
      <c r="R123" s="17" t="s">
        <v>2956</v>
      </c>
      <c r="S123" s="17" t="s">
        <v>56</v>
      </c>
      <c r="T123" s="17" t="s">
        <v>56</v>
      </c>
      <c r="U123" s="17" t="s">
        <v>56</v>
      </c>
      <c r="V123" s="17" t="s">
        <v>56</v>
      </c>
      <c r="W123" s="17" t="s">
        <v>56</v>
      </c>
      <c r="X123" s="17" t="s">
        <v>56</v>
      </c>
      <c r="Y123" s="17" t="s">
        <v>56</v>
      </c>
      <c r="Z123" s="17" t="s">
        <v>56</v>
      </c>
      <c r="AA123" s="17" t="s">
        <v>56</v>
      </c>
      <c r="AB123" s="17" t="s">
        <v>56</v>
      </c>
      <c r="AC123" s="17" t="s">
        <v>56</v>
      </c>
      <c r="AD123" s="17" t="s">
        <v>56</v>
      </c>
      <c r="AE123" s="17" t="s">
        <v>56</v>
      </c>
      <c r="AF123" s="17" t="s">
        <v>56</v>
      </c>
      <c r="AG123" s="17" t="s">
        <v>56</v>
      </c>
      <c r="AH123" s="17" t="s">
        <v>56</v>
      </c>
      <c r="AI123" s="17" t="s">
        <v>56</v>
      </c>
      <c r="AJ123" s="17" t="s">
        <v>56</v>
      </c>
      <c r="AK123" s="17" t="s">
        <v>56</v>
      </c>
      <c r="AL123" s="17" t="s">
        <v>56</v>
      </c>
      <c r="AM123" s="17" t="s">
        <v>56</v>
      </c>
      <c r="AN123" s="17" t="s">
        <v>56</v>
      </c>
      <c r="AO123" s="17" t="s">
        <v>56</v>
      </c>
      <c r="AP123" s="17" t="s">
        <v>56</v>
      </c>
      <c r="AQ123" s="17">
        <v>87333.248438120994</v>
      </c>
      <c r="AR123" s="17">
        <v>87333.248438120994</v>
      </c>
      <c r="AS123" s="17" t="s">
        <v>2956</v>
      </c>
      <c r="AT123" s="17" t="s">
        <v>2864</v>
      </c>
      <c r="AU123" s="17">
        <v>0.77742900000000004</v>
      </c>
      <c r="AV123" s="17" t="s">
        <v>56</v>
      </c>
      <c r="AW123" s="17" t="s">
        <v>56</v>
      </c>
      <c r="AX123" s="17">
        <v>0.77742900000000004</v>
      </c>
      <c r="AY123" s="17" t="s">
        <v>56</v>
      </c>
      <c r="AZ123" s="17" t="s">
        <v>2956</v>
      </c>
      <c r="BA123" s="17" t="s">
        <v>2864</v>
      </c>
      <c r="BB123" s="17">
        <v>87333.248438120994</v>
      </c>
      <c r="BC123" s="17">
        <v>87333.248438120994</v>
      </c>
      <c r="BD123" s="17" t="s">
        <v>2956</v>
      </c>
      <c r="BE123" s="17" t="s">
        <v>2864</v>
      </c>
      <c r="BF123" s="17" t="s">
        <v>56</v>
      </c>
      <c r="BG123" s="17" t="s">
        <v>56</v>
      </c>
      <c r="BH123" s="17" t="s">
        <v>56</v>
      </c>
      <c r="BI123" s="17" t="s">
        <v>56</v>
      </c>
      <c r="BJ123" s="17" t="s">
        <v>56</v>
      </c>
      <c r="BK123" s="17" t="s">
        <v>56</v>
      </c>
      <c r="BL123" s="17" t="s">
        <v>56</v>
      </c>
      <c r="BM123" s="17" t="s">
        <v>56</v>
      </c>
      <c r="BN123" s="17" t="s">
        <v>56</v>
      </c>
      <c r="BO123" s="17" t="s">
        <v>56</v>
      </c>
      <c r="BP123" s="17" t="s">
        <v>56</v>
      </c>
      <c r="BQ123" s="17"/>
    </row>
    <row r="124" spans="1:69" x14ac:dyDescent="0.25">
      <c r="A124" s="17" t="s">
        <v>3190</v>
      </c>
      <c r="B124" s="17">
        <v>621</v>
      </c>
      <c r="C124" s="17" t="s">
        <v>2634</v>
      </c>
      <c r="D124" s="17" t="s">
        <v>2634</v>
      </c>
      <c r="E124" s="17" t="s">
        <v>2635</v>
      </c>
      <c r="F124" s="17">
        <v>67895.399999999907</v>
      </c>
      <c r="G124" s="17" t="s">
        <v>56</v>
      </c>
      <c r="H124" s="17" t="s">
        <v>56</v>
      </c>
      <c r="I124" s="17" t="s">
        <v>3190</v>
      </c>
      <c r="J124" s="17" t="s">
        <v>3217</v>
      </c>
      <c r="K124" s="17" t="s">
        <v>3215</v>
      </c>
      <c r="L124" s="17" t="s">
        <v>3218</v>
      </c>
      <c r="M124" s="17" t="s">
        <v>332</v>
      </c>
      <c r="N124" s="17" t="s">
        <v>3115</v>
      </c>
      <c r="O124" s="17" t="s">
        <v>3215</v>
      </c>
      <c r="P124" s="17" t="s">
        <v>3216</v>
      </c>
      <c r="Q124" s="17" t="s">
        <v>2864</v>
      </c>
      <c r="R124" s="17" t="s">
        <v>2956</v>
      </c>
      <c r="S124" s="17" t="s">
        <v>56</v>
      </c>
      <c r="T124" s="17" t="s">
        <v>56</v>
      </c>
      <c r="U124" s="17" t="s">
        <v>56</v>
      </c>
      <c r="V124" s="17" t="s">
        <v>56</v>
      </c>
      <c r="W124" s="17" t="s">
        <v>56</v>
      </c>
      <c r="X124" s="17" t="s">
        <v>56</v>
      </c>
      <c r="Y124" s="17" t="s">
        <v>56</v>
      </c>
      <c r="Z124" s="17" t="s">
        <v>56</v>
      </c>
      <c r="AA124" s="17" t="s">
        <v>56</v>
      </c>
      <c r="AB124" s="17" t="s">
        <v>56</v>
      </c>
      <c r="AC124" s="17" t="s">
        <v>56</v>
      </c>
      <c r="AD124" s="17" t="s">
        <v>56</v>
      </c>
      <c r="AE124" s="17" t="s">
        <v>56</v>
      </c>
      <c r="AF124" s="17" t="s">
        <v>56</v>
      </c>
      <c r="AG124" s="17" t="s">
        <v>56</v>
      </c>
      <c r="AH124" s="17" t="s">
        <v>56</v>
      </c>
      <c r="AI124" s="17" t="s">
        <v>56</v>
      </c>
      <c r="AJ124" s="17" t="s">
        <v>56</v>
      </c>
      <c r="AK124" s="17" t="s">
        <v>56</v>
      </c>
      <c r="AL124" s="17" t="s">
        <v>56</v>
      </c>
      <c r="AM124" s="17" t="s">
        <v>56</v>
      </c>
      <c r="AN124" s="17" t="s">
        <v>56</v>
      </c>
      <c r="AO124" s="17" t="s">
        <v>56</v>
      </c>
      <c r="AP124" s="17" t="s">
        <v>56</v>
      </c>
      <c r="AQ124" s="17">
        <v>87333.248438120994</v>
      </c>
      <c r="AR124" s="17">
        <v>87333.248438120994</v>
      </c>
      <c r="AS124" s="17" t="s">
        <v>2956</v>
      </c>
      <c r="AT124" s="17" t="s">
        <v>2864</v>
      </c>
      <c r="AU124" s="17">
        <v>0.77742900000000004</v>
      </c>
      <c r="AV124" s="17" t="s">
        <v>56</v>
      </c>
      <c r="AW124" s="17" t="s">
        <v>56</v>
      </c>
      <c r="AX124" s="17">
        <v>0.77742900000000004</v>
      </c>
      <c r="AY124" s="17" t="s">
        <v>56</v>
      </c>
      <c r="AZ124" s="17" t="s">
        <v>2956</v>
      </c>
      <c r="BA124" s="17" t="s">
        <v>2864</v>
      </c>
      <c r="BB124" s="17">
        <v>87333.248438120994</v>
      </c>
      <c r="BC124" s="17">
        <v>87333.248438120994</v>
      </c>
      <c r="BD124" s="17" t="s">
        <v>2956</v>
      </c>
      <c r="BE124" s="17" t="s">
        <v>2864</v>
      </c>
      <c r="BF124" s="17" t="s">
        <v>56</v>
      </c>
      <c r="BG124" s="17" t="s">
        <v>56</v>
      </c>
      <c r="BH124" s="17" t="s">
        <v>56</v>
      </c>
      <c r="BI124" s="17" t="s">
        <v>56</v>
      </c>
      <c r="BJ124" s="17" t="s">
        <v>56</v>
      </c>
      <c r="BK124" s="17" t="s">
        <v>56</v>
      </c>
      <c r="BL124" s="17" t="s">
        <v>56</v>
      </c>
      <c r="BM124" s="17" t="s">
        <v>56</v>
      </c>
      <c r="BN124" s="17" t="s">
        <v>56</v>
      </c>
      <c r="BO124" s="17" t="s">
        <v>56</v>
      </c>
      <c r="BP124" s="17" t="s">
        <v>56</v>
      </c>
      <c r="BQ124" s="17"/>
    </row>
    <row r="125" spans="1:69" x14ac:dyDescent="0.25">
      <c r="A125" s="17" t="s">
        <v>3179</v>
      </c>
      <c r="B125" s="17">
        <v>621</v>
      </c>
      <c r="C125" s="17" t="s">
        <v>2634</v>
      </c>
      <c r="D125" s="17" t="s">
        <v>2634</v>
      </c>
      <c r="E125" s="17" t="s">
        <v>2635</v>
      </c>
      <c r="F125" s="17">
        <v>67895.399999999907</v>
      </c>
      <c r="G125" s="17" t="s">
        <v>56</v>
      </c>
      <c r="H125" s="17" t="s">
        <v>56</v>
      </c>
      <c r="I125" s="17" t="s">
        <v>3179</v>
      </c>
      <c r="J125" s="17" t="s">
        <v>3217</v>
      </c>
      <c r="K125" s="17" t="s">
        <v>3215</v>
      </c>
      <c r="L125" s="17" t="s">
        <v>3218</v>
      </c>
      <c r="M125" s="17" t="s">
        <v>332</v>
      </c>
      <c r="N125" s="17" t="s">
        <v>3115</v>
      </c>
      <c r="O125" s="17" t="s">
        <v>3215</v>
      </c>
      <c r="P125" s="17" t="s">
        <v>3216</v>
      </c>
      <c r="Q125" s="17" t="s">
        <v>2864</v>
      </c>
      <c r="R125" s="17" t="s">
        <v>2956</v>
      </c>
      <c r="S125" s="17" t="s">
        <v>56</v>
      </c>
      <c r="T125" s="17" t="s">
        <v>56</v>
      </c>
      <c r="U125" s="17" t="s">
        <v>56</v>
      </c>
      <c r="V125" s="17" t="s">
        <v>56</v>
      </c>
      <c r="W125" s="17" t="s">
        <v>56</v>
      </c>
      <c r="X125" s="17" t="s">
        <v>56</v>
      </c>
      <c r="Y125" s="17" t="s">
        <v>56</v>
      </c>
      <c r="Z125" s="17" t="s">
        <v>56</v>
      </c>
      <c r="AA125" s="17" t="s">
        <v>56</v>
      </c>
      <c r="AB125" s="17" t="s">
        <v>56</v>
      </c>
      <c r="AC125" s="17" t="s">
        <v>56</v>
      </c>
      <c r="AD125" s="17" t="s">
        <v>56</v>
      </c>
      <c r="AE125" s="17" t="s">
        <v>56</v>
      </c>
      <c r="AF125" s="17" t="s">
        <v>56</v>
      </c>
      <c r="AG125" s="17" t="s">
        <v>56</v>
      </c>
      <c r="AH125" s="17" t="s">
        <v>56</v>
      </c>
      <c r="AI125" s="17" t="s">
        <v>56</v>
      </c>
      <c r="AJ125" s="17" t="s">
        <v>56</v>
      </c>
      <c r="AK125" s="17" t="s">
        <v>56</v>
      </c>
      <c r="AL125" s="17" t="s">
        <v>56</v>
      </c>
      <c r="AM125" s="17" t="s">
        <v>56</v>
      </c>
      <c r="AN125" s="17" t="s">
        <v>56</v>
      </c>
      <c r="AO125" s="17" t="s">
        <v>56</v>
      </c>
      <c r="AP125" s="17" t="s">
        <v>56</v>
      </c>
      <c r="AQ125" s="17">
        <v>87333.248438120994</v>
      </c>
      <c r="AR125" s="17">
        <v>87333.248438120994</v>
      </c>
      <c r="AS125" s="17" t="s">
        <v>2956</v>
      </c>
      <c r="AT125" s="17" t="s">
        <v>2864</v>
      </c>
      <c r="AU125" s="17">
        <v>0.77742900000000004</v>
      </c>
      <c r="AV125" s="17" t="s">
        <v>56</v>
      </c>
      <c r="AW125" s="17" t="s">
        <v>56</v>
      </c>
      <c r="AX125" s="17">
        <v>0.77742900000000004</v>
      </c>
      <c r="AY125" s="17" t="s">
        <v>56</v>
      </c>
      <c r="AZ125" s="17" t="s">
        <v>2956</v>
      </c>
      <c r="BA125" s="17" t="s">
        <v>2864</v>
      </c>
      <c r="BB125" s="17">
        <v>87333.248438120994</v>
      </c>
      <c r="BC125" s="17">
        <v>87333.248438120994</v>
      </c>
      <c r="BD125" s="17" t="s">
        <v>2956</v>
      </c>
      <c r="BE125" s="17" t="s">
        <v>2864</v>
      </c>
      <c r="BF125" s="17" t="s">
        <v>56</v>
      </c>
      <c r="BG125" s="17" t="s">
        <v>56</v>
      </c>
      <c r="BH125" s="17" t="s">
        <v>56</v>
      </c>
      <c r="BI125" s="17" t="s">
        <v>56</v>
      </c>
      <c r="BJ125" s="17" t="s">
        <v>56</v>
      </c>
      <c r="BK125" s="17" t="s">
        <v>56</v>
      </c>
      <c r="BL125" s="17" t="s">
        <v>56</v>
      </c>
      <c r="BM125" s="17" t="s">
        <v>56</v>
      </c>
      <c r="BN125" s="17" t="s">
        <v>56</v>
      </c>
      <c r="BO125" s="17" t="s">
        <v>56</v>
      </c>
      <c r="BP125" s="17" t="s">
        <v>56</v>
      </c>
      <c r="BQ125" s="17"/>
    </row>
    <row r="126" spans="1:69" x14ac:dyDescent="0.25">
      <c r="A126" s="17" t="s">
        <v>3151</v>
      </c>
      <c r="B126" s="17">
        <v>621</v>
      </c>
      <c r="C126" s="17" t="s">
        <v>2634</v>
      </c>
      <c r="D126" s="17" t="s">
        <v>2634</v>
      </c>
      <c r="E126" s="17" t="s">
        <v>2635</v>
      </c>
      <c r="F126" s="17">
        <v>67895.399999999907</v>
      </c>
      <c r="G126" s="17" t="s">
        <v>56</v>
      </c>
      <c r="H126" s="17" t="s">
        <v>56</v>
      </c>
      <c r="I126" s="17" t="s">
        <v>3151</v>
      </c>
      <c r="J126" s="17" t="s">
        <v>3217</v>
      </c>
      <c r="K126" s="17" t="s">
        <v>3215</v>
      </c>
      <c r="L126" s="17" t="s">
        <v>3218</v>
      </c>
      <c r="M126" s="17" t="s">
        <v>332</v>
      </c>
      <c r="N126" s="17" t="s">
        <v>3115</v>
      </c>
      <c r="O126" s="17" t="s">
        <v>3215</v>
      </c>
      <c r="P126" s="17" t="s">
        <v>3216</v>
      </c>
      <c r="Q126" s="17" t="s">
        <v>2864</v>
      </c>
      <c r="R126" s="17" t="s">
        <v>2956</v>
      </c>
      <c r="S126" s="17" t="s">
        <v>56</v>
      </c>
      <c r="T126" s="17" t="s">
        <v>56</v>
      </c>
      <c r="U126" s="17" t="s">
        <v>56</v>
      </c>
      <c r="V126" s="17" t="s">
        <v>56</v>
      </c>
      <c r="W126" s="17" t="s">
        <v>56</v>
      </c>
      <c r="X126" s="17" t="s">
        <v>56</v>
      </c>
      <c r="Y126" s="17" t="s">
        <v>56</v>
      </c>
      <c r="Z126" s="17" t="s">
        <v>56</v>
      </c>
      <c r="AA126" s="17" t="s">
        <v>56</v>
      </c>
      <c r="AB126" s="17" t="s">
        <v>56</v>
      </c>
      <c r="AC126" s="17" t="s">
        <v>56</v>
      </c>
      <c r="AD126" s="17" t="s">
        <v>56</v>
      </c>
      <c r="AE126" s="17" t="s">
        <v>56</v>
      </c>
      <c r="AF126" s="17" t="s">
        <v>56</v>
      </c>
      <c r="AG126" s="17" t="s">
        <v>56</v>
      </c>
      <c r="AH126" s="17" t="s">
        <v>56</v>
      </c>
      <c r="AI126" s="17" t="s">
        <v>56</v>
      </c>
      <c r="AJ126" s="17" t="s">
        <v>56</v>
      </c>
      <c r="AK126" s="17" t="s">
        <v>56</v>
      </c>
      <c r="AL126" s="17" t="s">
        <v>56</v>
      </c>
      <c r="AM126" s="17" t="s">
        <v>56</v>
      </c>
      <c r="AN126" s="17" t="s">
        <v>56</v>
      </c>
      <c r="AO126" s="17" t="s">
        <v>56</v>
      </c>
      <c r="AP126" s="17" t="s">
        <v>56</v>
      </c>
      <c r="AQ126" s="17">
        <v>87333.248438120994</v>
      </c>
      <c r="AR126" s="17">
        <v>87333.248438120994</v>
      </c>
      <c r="AS126" s="17" t="s">
        <v>2956</v>
      </c>
      <c r="AT126" s="17" t="s">
        <v>2864</v>
      </c>
      <c r="AU126" s="17">
        <v>0.77742900000000004</v>
      </c>
      <c r="AV126" s="17" t="s">
        <v>56</v>
      </c>
      <c r="AW126" s="17" t="s">
        <v>56</v>
      </c>
      <c r="AX126" s="17">
        <v>0.77742900000000004</v>
      </c>
      <c r="AY126" s="17" t="s">
        <v>56</v>
      </c>
      <c r="AZ126" s="17" t="s">
        <v>2956</v>
      </c>
      <c r="BA126" s="17" t="s">
        <v>2864</v>
      </c>
      <c r="BB126" s="17">
        <v>87333.248438120994</v>
      </c>
      <c r="BC126" s="17">
        <v>87333.248438120994</v>
      </c>
      <c r="BD126" s="17" t="s">
        <v>2956</v>
      </c>
      <c r="BE126" s="17" t="s">
        <v>2864</v>
      </c>
      <c r="BF126" s="17" t="s">
        <v>56</v>
      </c>
      <c r="BG126" s="17" t="s">
        <v>56</v>
      </c>
      <c r="BH126" s="17" t="s">
        <v>56</v>
      </c>
      <c r="BI126" s="17" t="s">
        <v>56</v>
      </c>
      <c r="BJ126" s="17" t="s">
        <v>56</v>
      </c>
      <c r="BK126" s="17" t="s">
        <v>56</v>
      </c>
      <c r="BL126" s="17" t="s">
        <v>56</v>
      </c>
      <c r="BM126" s="17" t="s">
        <v>56</v>
      </c>
      <c r="BN126" s="17" t="s">
        <v>56</v>
      </c>
      <c r="BO126" s="17" t="s">
        <v>56</v>
      </c>
      <c r="BP126" s="17" t="s">
        <v>56</v>
      </c>
      <c r="BQ126" s="17"/>
    </row>
    <row r="127" spans="1:69" x14ac:dyDescent="0.25">
      <c r="A127" s="17" t="s">
        <v>3202</v>
      </c>
      <c r="B127" s="17">
        <v>621</v>
      </c>
      <c r="C127" s="17" t="s">
        <v>2634</v>
      </c>
      <c r="D127" s="17" t="s">
        <v>2634</v>
      </c>
      <c r="E127" s="17" t="s">
        <v>2635</v>
      </c>
      <c r="F127" s="17">
        <v>67895.399999999907</v>
      </c>
      <c r="G127" s="17" t="s">
        <v>56</v>
      </c>
      <c r="H127" s="17" t="s">
        <v>56</v>
      </c>
      <c r="I127" s="17" t="s">
        <v>3202</v>
      </c>
      <c r="J127" s="17" t="s">
        <v>3217</v>
      </c>
      <c r="K127" s="17" t="s">
        <v>3215</v>
      </c>
      <c r="L127" s="17" t="s">
        <v>3218</v>
      </c>
      <c r="M127" s="17" t="s">
        <v>332</v>
      </c>
      <c r="N127" s="17" t="s">
        <v>3115</v>
      </c>
      <c r="O127" s="17" t="s">
        <v>3215</v>
      </c>
      <c r="P127" s="17" t="s">
        <v>3216</v>
      </c>
      <c r="Q127" s="17" t="s">
        <v>2864</v>
      </c>
      <c r="R127" s="17" t="s">
        <v>2956</v>
      </c>
      <c r="S127" s="17" t="s">
        <v>56</v>
      </c>
      <c r="T127" s="17" t="s">
        <v>56</v>
      </c>
      <c r="U127" s="17" t="s">
        <v>56</v>
      </c>
      <c r="V127" s="17" t="s">
        <v>56</v>
      </c>
      <c r="W127" s="17" t="s">
        <v>56</v>
      </c>
      <c r="X127" s="17" t="s">
        <v>56</v>
      </c>
      <c r="Y127" s="17" t="s">
        <v>56</v>
      </c>
      <c r="Z127" s="17" t="s">
        <v>56</v>
      </c>
      <c r="AA127" s="17" t="s">
        <v>56</v>
      </c>
      <c r="AB127" s="17" t="s">
        <v>56</v>
      </c>
      <c r="AC127" s="17" t="s">
        <v>56</v>
      </c>
      <c r="AD127" s="17" t="s">
        <v>56</v>
      </c>
      <c r="AE127" s="17" t="s">
        <v>56</v>
      </c>
      <c r="AF127" s="17" t="s">
        <v>56</v>
      </c>
      <c r="AG127" s="17" t="s">
        <v>56</v>
      </c>
      <c r="AH127" s="17" t="s">
        <v>56</v>
      </c>
      <c r="AI127" s="17" t="s">
        <v>56</v>
      </c>
      <c r="AJ127" s="17" t="s">
        <v>56</v>
      </c>
      <c r="AK127" s="17" t="s">
        <v>56</v>
      </c>
      <c r="AL127" s="17" t="s">
        <v>56</v>
      </c>
      <c r="AM127" s="17" t="s">
        <v>56</v>
      </c>
      <c r="AN127" s="17" t="s">
        <v>56</v>
      </c>
      <c r="AO127" s="17" t="s">
        <v>56</v>
      </c>
      <c r="AP127" s="17" t="s">
        <v>56</v>
      </c>
      <c r="AQ127" s="17">
        <v>87333.248438120994</v>
      </c>
      <c r="AR127" s="17">
        <v>87333.248438120994</v>
      </c>
      <c r="AS127" s="17" t="s">
        <v>2956</v>
      </c>
      <c r="AT127" s="17" t="s">
        <v>2864</v>
      </c>
      <c r="AU127" s="17">
        <v>0.77742900000000004</v>
      </c>
      <c r="AV127" s="17" t="s">
        <v>56</v>
      </c>
      <c r="AW127" s="17" t="s">
        <v>56</v>
      </c>
      <c r="AX127" s="17">
        <v>0.77742900000000004</v>
      </c>
      <c r="AY127" s="17" t="s">
        <v>56</v>
      </c>
      <c r="AZ127" s="17" t="s">
        <v>2956</v>
      </c>
      <c r="BA127" s="17" t="s">
        <v>2864</v>
      </c>
      <c r="BB127" s="17">
        <v>87333.248438120994</v>
      </c>
      <c r="BC127" s="17">
        <v>87333.248438120994</v>
      </c>
      <c r="BD127" s="17" t="s">
        <v>2956</v>
      </c>
      <c r="BE127" s="17" t="s">
        <v>2864</v>
      </c>
      <c r="BF127" s="17" t="s">
        <v>56</v>
      </c>
      <c r="BG127" s="17" t="s">
        <v>56</v>
      </c>
      <c r="BH127" s="17" t="s">
        <v>56</v>
      </c>
      <c r="BI127" s="17" t="s">
        <v>56</v>
      </c>
      <c r="BJ127" s="17" t="s">
        <v>56</v>
      </c>
      <c r="BK127" s="17" t="s">
        <v>56</v>
      </c>
      <c r="BL127" s="17" t="s">
        <v>56</v>
      </c>
      <c r="BM127" s="17" t="s">
        <v>56</v>
      </c>
      <c r="BN127" s="17" t="s">
        <v>56</v>
      </c>
      <c r="BO127" s="17" t="s">
        <v>56</v>
      </c>
      <c r="BP127" s="17" t="s">
        <v>56</v>
      </c>
      <c r="BQ127" s="17"/>
    </row>
    <row r="128" spans="1:69" x14ac:dyDescent="0.25">
      <c r="A128" s="17" t="s">
        <v>3175</v>
      </c>
      <c r="B128" s="17">
        <v>621</v>
      </c>
      <c r="C128" s="17" t="s">
        <v>2634</v>
      </c>
      <c r="D128" s="17" t="s">
        <v>2634</v>
      </c>
      <c r="E128" s="17" t="s">
        <v>2635</v>
      </c>
      <c r="F128" s="17">
        <v>67895.399999999907</v>
      </c>
      <c r="G128" s="17" t="s">
        <v>56</v>
      </c>
      <c r="H128" s="17" t="s">
        <v>56</v>
      </c>
      <c r="I128" s="17" t="s">
        <v>3175</v>
      </c>
      <c r="J128" s="17" t="s">
        <v>3217</v>
      </c>
      <c r="K128" s="17" t="s">
        <v>3215</v>
      </c>
      <c r="L128" s="17" t="s">
        <v>3218</v>
      </c>
      <c r="M128" s="17" t="s">
        <v>332</v>
      </c>
      <c r="N128" s="17" t="s">
        <v>3115</v>
      </c>
      <c r="O128" s="17" t="s">
        <v>3215</v>
      </c>
      <c r="P128" s="17" t="s">
        <v>3216</v>
      </c>
      <c r="Q128" s="17" t="s">
        <v>2864</v>
      </c>
      <c r="R128" s="17" t="s">
        <v>2956</v>
      </c>
      <c r="S128" s="17" t="s">
        <v>56</v>
      </c>
      <c r="T128" s="17" t="s">
        <v>56</v>
      </c>
      <c r="U128" s="17" t="s">
        <v>56</v>
      </c>
      <c r="V128" s="17" t="s">
        <v>56</v>
      </c>
      <c r="W128" s="17" t="s">
        <v>56</v>
      </c>
      <c r="X128" s="17" t="s">
        <v>56</v>
      </c>
      <c r="Y128" s="17" t="s">
        <v>56</v>
      </c>
      <c r="Z128" s="17" t="s">
        <v>56</v>
      </c>
      <c r="AA128" s="17" t="s">
        <v>56</v>
      </c>
      <c r="AB128" s="17" t="s">
        <v>56</v>
      </c>
      <c r="AC128" s="17" t="s">
        <v>56</v>
      </c>
      <c r="AD128" s="17" t="s">
        <v>56</v>
      </c>
      <c r="AE128" s="17" t="s">
        <v>56</v>
      </c>
      <c r="AF128" s="17" t="s">
        <v>56</v>
      </c>
      <c r="AG128" s="17" t="s">
        <v>56</v>
      </c>
      <c r="AH128" s="17" t="s">
        <v>56</v>
      </c>
      <c r="AI128" s="17" t="s">
        <v>56</v>
      </c>
      <c r="AJ128" s="17" t="s">
        <v>56</v>
      </c>
      <c r="AK128" s="17" t="s">
        <v>56</v>
      </c>
      <c r="AL128" s="17" t="s">
        <v>56</v>
      </c>
      <c r="AM128" s="17" t="s">
        <v>56</v>
      </c>
      <c r="AN128" s="17" t="s">
        <v>56</v>
      </c>
      <c r="AO128" s="17" t="s">
        <v>56</v>
      </c>
      <c r="AP128" s="17" t="s">
        <v>56</v>
      </c>
      <c r="AQ128" s="17">
        <v>87333.248438120994</v>
      </c>
      <c r="AR128" s="17">
        <v>87333.248438120994</v>
      </c>
      <c r="AS128" s="17" t="s">
        <v>2956</v>
      </c>
      <c r="AT128" s="17" t="s">
        <v>2864</v>
      </c>
      <c r="AU128" s="17">
        <v>0.77742900000000004</v>
      </c>
      <c r="AV128" s="17" t="s">
        <v>56</v>
      </c>
      <c r="AW128" s="17" t="s">
        <v>56</v>
      </c>
      <c r="AX128" s="17">
        <v>0.77742900000000004</v>
      </c>
      <c r="AY128" s="17" t="s">
        <v>56</v>
      </c>
      <c r="AZ128" s="17" t="s">
        <v>2956</v>
      </c>
      <c r="BA128" s="17" t="s">
        <v>2864</v>
      </c>
      <c r="BB128" s="17">
        <v>87333.248438120994</v>
      </c>
      <c r="BC128" s="17">
        <v>87333.248438120994</v>
      </c>
      <c r="BD128" s="17" t="s">
        <v>2956</v>
      </c>
      <c r="BE128" s="17" t="s">
        <v>2864</v>
      </c>
      <c r="BF128" s="17" t="s">
        <v>56</v>
      </c>
      <c r="BG128" s="17" t="s">
        <v>56</v>
      </c>
      <c r="BH128" s="17" t="s">
        <v>56</v>
      </c>
      <c r="BI128" s="17" t="s">
        <v>56</v>
      </c>
      <c r="BJ128" s="17" t="s">
        <v>56</v>
      </c>
      <c r="BK128" s="17" t="s">
        <v>56</v>
      </c>
      <c r="BL128" s="17" t="s">
        <v>56</v>
      </c>
      <c r="BM128" s="17" t="s">
        <v>56</v>
      </c>
      <c r="BN128" s="17" t="s">
        <v>56</v>
      </c>
      <c r="BO128" s="17" t="s">
        <v>56</v>
      </c>
      <c r="BP128" s="17" t="s">
        <v>56</v>
      </c>
      <c r="BQ128" s="17"/>
    </row>
    <row r="129" spans="1:69" x14ac:dyDescent="0.25">
      <c r="A129" s="17" t="s">
        <v>3167</v>
      </c>
      <c r="B129" s="17">
        <v>621</v>
      </c>
      <c r="C129" s="17" t="s">
        <v>2634</v>
      </c>
      <c r="D129" s="17" t="s">
        <v>2634</v>
      </c>
      <c r="E129" s="17" t="s">
        <v>2635</v>
      </c>
      <c r="F129" s="17">
        <v>67895.399999999907</v>
      </c>
      <c r="G129" s="17" t="s">
        <v>56</v>
      </c>
      <c r="H129" s="17" t="s">
        <v>56</v>
      </c>
      <c r="I129" s="17" t="s">
        <v>3167</v>
      </c>
      <c r="J129" s="17" t="s">
        <v>3217</v>
      </c>
      <c r="K129" s="17" t="s">
        <v>3215</v>
      </c>
      <c r="L129" s="17" t="s">
        <v>3218</v>
      </c>
      <c r="M129" s="17" t="s">
        <v>332</v>
      </c>
      <c r="N129" s="17" t="s">
        <v>3115</v>
      </c>
      <c r="O129" s="17" t="s">
        <v>3215</v>
      </c>
      <c r="P129" s="17" t="s">
        <v>3216</v>
      </c>
      <c r="Q129" s="17" t="s">
        <v>2864</v>
      </c>
      <c r="R129" s="17" t="s">
        <v>2956</v>
      </c>
      <c r="S129" s="17" t="s">
        <v>56</v>
      </c>
      <c r="T129" s="17" t="s">
        <v>56</v>
      </c>
      <c r="U129" s="17" t="s">
        <v>56</v>
      </c>
      <c r="V129" s="17" t="s">
        <v>56</v>
      </c>
      <c r="W129" s="17" t="s">
        <v>56</v>
      </c>
      <c r="X129" s="17" t="s">
        <v>56</v>
      </c>
      <c r="Y129" s="17" t="s">
        <v>56</v>
      </c>
      <c r="Z129" s="17" t="s">
        <v>56</v>
      </c>
      <c r="AA129" s="17" t="s">
        <v>56</v>
      </c>
      <c r="AB129" s="17" t="s">
        <v>56</v>
      </c>
      <c r="AC129" s="17" t="s">
        <v>56</v>
      </c>
      <c r="AD129" s="17" t="s">
        <v>56</v>
      </c>
      <c r="AE129" s="17" t="s">
        <v>56</v>
      </c>
      <c r="AF129" s="17" t="s">
        <v>56</v>
      </c>
      <c r="AG129" s="17" t="s">
        <v>56</v>
      </c>
      <c r="AH129" s="17" t="s">
        <v>56</v>
      </c>
      <c r="AI129" s="17" t="s">
        <v>56</v>
      </c>
      <c r="AJ129" s="17" t="s">
        <v>56</v>
      </c>
      <c r="AK129" s="17" t="s">
        <v>56</v>
      </c>
      <c r="AL129" s="17" t="s">
        <v>56</v>
      </c>
      <c r="AM129" s="17" t="s">
        <v>56</v>
      </c>
      <c r="AN129" s="17" t="s">
        <v>56</v>
      </c>
      <c r="AO129" s="17" t="s">
        <v>56</v>
      </c>
      <c r="AP129" s="17" t="s">
        <v>56</v>
      </c>
      <c r="AQ129" s="17">
        <v>87333.248438120994</v>
      </c>
      <c r="AR129" s="17">
        <v>87333.248438120994</v>
      </c>
      <c r="AS129" s="17" t="s">
        <v>2956</v>
      </c>
      <c r="AT129" s="17" t="s">
        <v>2864</v>
      </c>
      <c r="AU129" s="17">
        <v>0.77742900000000004</v>
      </c>
      <c r="AV129" s="17" t="s">
        <v>56</v>
      </c>
      <c r="AW129" s="17" t="s">
        <v>56</v>
      </c>
      <c r="AX129" s="17">
        <v>0.77742900000000004</v>
      </c>
      <c r="AY129" s="17" t="s">
        <v>56</v>
      </c>
      <c r="AZ129" s="17" t="s">
        <v>2956</v>
      </c>
      <c r="BA129" s="17" t="s">
        <v>2864</v>
      </c>
      <c r="BB129" s="17">
        <v>87333.248438120994</v>
      </c>
      <c r="BC129" s="17">
        <v>87333.248438120994</v>
      </c>
      <c r="BD129" s="17" t="s">
        <v>2956</v>
      </c>
      <c r="BE129" s="17" t="s">
        <v>2864</v>
      </c>
      <c r="BF129" s="17" t="s">
        <v>56</v>
      </c>
      <c r="BG129" s="17" t="s">
        <v>56</v>
      </c>
      <c r="BH129" s="17" t="s">
        <v>56</v>
      </c>
      <c r="BI129" s="17" t="s">
        <v>56</v>
      </c>
      <c r="BJ129" s="17" t="s">
        <v>56</v>
      </c>
      <c r="BK129" s="17" t="s">
        <v>56</v>
      </c>
      <c r="BL129" s="17" t="s">
        <v>56</v>
      </c>
      <c r="BM129" s="17" t="s">
        <v>56</v>
      </c>
      <c r="BN129" s="17" t="s">
        <v>56</v>
      </c>
      <c r="BO129" s="17" t="s">
        <v>56</v>
      </c>
      <c r="BP129" s="17" t="s">
        <v>56</v>
      </c>
      <c r="BQ129" s="17"/>
    </row>
    <row r="130" spans="1:69" x14ac:dyDescent="0.25">
      <c r="A130" s="17" t="s">
        <v>3171</v>
      </c>
      <c r="B130" s="17">
        <v>621</v>
      </c>
      <c r="C130" s="17" t="s">
        <v>2634</v>
      </c>
      <c r="D130" s="17" t="s">
        <v>2634</v>
      </c>
      <c r="E130" s="17" t="s">
        <v>2635</v>
      </c>
      <c r="F130" s="17">
        <v>67895.399999999907</v>
      </c>
      <c r="G130" s="17" t="s">
        <v>56</v>
      </c>
      <c r="H130" s="17" t="s">
        <v>56</v>
      </c>
      <c r="I130" s="17" t="s">
        <v>3171</v>
      </c>
      <c r="J130" s="17" t="s">
        <v>3217</v>
      </c>
      <c r="K130" s="17" t="s">
        <v>3215</v>
      </c>
      <c r="L130" s="17" t="s">
        <v>3218</v>
      </c>
      <c r="M130" s="17" t="s">
        <v>332</v>
      </c>
      <c r="N130" s="17" t="s">
        <v>3115</v>
      </c>
      <c r="O130" s="17" t="s">
        <v>3215</v>
      </c>
      <c r="P130" s="17" t="s">
        <v>3216</v>
      </c>
      <c r="Q130" s="17" t="s">
        <v>2864</v>
      </c>
      <c r="R130" s="17" t="s">
        <v>2956</v>
      </c>
      <c r="S130" s="17" t="s">
        <v>56</v>
      </c>
      <c r="T130" s="17" t="s">
        <v>56</v>
      </c>
      <c r="U130" s="17" t="s">
        <v>56</v>
      </c>
      <c r="V130" s="17" t="s">
        <v>56</v>
      </c>
      <c r="W130" s="17" t="s">
        <v>56</v>
      </c>
      <c r="X130" s="17" t="s">
        <v>56</v>
      </c>
      <c r="Y130" s="17" t="s">
        <v>56</v>
      </c>
      <c r="Z130" s="17" t="s">
        <v>56</v>
      </c>
      <c r="AA130" s="17" t="s">
        <v>56</v>
      </c>
      <c r="AB130" s="17" t="s">
        <v>56</v>
      </c>
      <c r="AC130" s="17" t="s">
        <v>56</v>
      </c>
      <c r="AD130" s="17" t="s">
        <v>56</v>
      </c>
      <c r="AE130" s="17" t="s">
        <v>56</v>
      </c>
      <c r="AF130" s="17" t="s">
        <v>56</v>
      </c>
      <c r="AG130" s="17" t="s">
        <v>56</v>
      </c>
      <c r="AH130" s="17" t="s">
        <v>56</v>
      </c>
      <c r="AI130" s="17" t="s">
        <v>56</v>
      </c>
      <c r="AJ130" s="17" t="s">
        <v>56</v>
      </c>
      <c r="AK130" s="17" t="s">
        <v>56</v>
      </c>
      <c r="AL130" s="17" t="s">
        <v>56</v>
      </c>
      <c r="AM130" s="17" t="s">
        <v>56</v>
      </c>
      <c r="AN130" s="17" t="s">
        <v>56</v>
      </c>
      <c r="AO130" s="17" t="s">
        <v>56</v>
      </c>
      <c r="AP130" s="17" t="s">
        <v>56</v>
      </c>
      <c r="AQ130" s="17">
        <v>87333.248438120994</v>
      </c>
      <c r="AR130" s="17">
        <v>87333.248438120994</v>
      </c>
      <c r="AS130" s="17" t="s">
        <v>2956</v>
      </c>
      <c r="AT130" s="17" t="s">
        <v>2864</v>
      </c>
      <c r="AU130" s="17">
        <v>0.77742900000000004</v>
      </c>
      <c r="AV130" s="17" t="s">
        <v>56</v>
      </c>
      <c r="AW130" s="17" t="s">
        <v>56</v>
      </c>
      <c r="AX130" s="17">
        <v>0.77742900000000004</v>
      </c>
      <c r="AY130" s="17" t="s">
        <v>56</v>
      </c>
      <c r="AZ130" s="17" t="s">
        <v>2956</v>
      </c>
      <c r="BA130" s="17" t="s">
        <v>2864</v>
      </c>
      <c r="BB130" s="17">
        <v>87333.248438120994</v>
      </c>
      <c r="BC130" s="17">
        <v>87333.248438120994</v>
      </c>
      <c r="BD130" s="17" t="s">
        <v>2956</v>
      </c>
      <c r="BE130" s="17" t="s">
        <v>2864</v>
      </c>
      <c r="BF130" s="17" t="s">
        <v>56</v>
      </c>
      <c r="BG130" s="17" t="s">
        <v>56</v>
      </c>
      <c r="BH130" s="17" t="s">
        <v>56</v>
      </c>
      <c r="BI130" s="17" t="s">
        <v>56</v>
      </c>
      <c r="BJ130" s="17" t="s">
        <v>56</v>
      </c>
      <c r="BK130" s="17" t="s">
        <v>56</v>
      </c>
      <c r="BL130" s="17" t="s">
        <v>56</v>
      </c>
      <c r="BM130" s="17" t="s">
        <v>56</v>
      </c>
      <c r="BN130" s="17" t="s">
        <v>56</v>
      </c>
      <c r="BO130" s="17" t="s">
        <v>56</v>
      </c>
      <c r="BP130" s="17" t="s">
        <v>56</v>
      </c>
      <c r="BQ130" s="17"/>
    </row>
    <row r="131" spans="1:69" x14ac:dyDescent="0.25">
      <c r="A131" s="17" t="s">
        <v>3169</v>
      </c>
      <c r="B131" s="17">
        <v>621</v>
      </c>
      <c r="C131" s="17" t="s">
        <v>2634</v>
      </c>
      <c r="D131" s="17" t="s">
        <v>2634</v>
      </c>
      <c r="E131" s="17" t="s">
        <v>2635</v>
      </c>
      <c r="F131" s="17">
        <v>67895.399999999907</v>
      </c>
      <c r="G131" s="17" t="s">
        <v>56</v>
      </c>
      <c r="H131" s="17" t="s">
        <v>56</v>
      </c>
      <c r="I131" s="17" t="s">
        <v>3169</v>
      </c>
      <c r="J131" s="17" t="s">
        <v>3217</v>
      </c>
      <c r="K131" s="17" t="s">
        <v>3215</v>
      </c>
      <c r="L131" s="17" t="s">
        <v>3218</v>
      </c>
      <c r="M131" s="17" t="s">
        <v>332</v>
      </c>
      <c r="N131" s="17" t="s">
        <v>3115</v>
      </c>
      <c r="O131" s="17" t="s">
        <v>3215</v>
      </c>
      <c r="P131" s="17" t="s">
        <v>3216</v>
      </c>
      <c r="Q131" s="17" t="s">
        <v>2864</v>
      </c>
      <c r="R131" s="17" t="s">
        <v>2956</v>
      </c>
      <c r="S131" s="17" t="s">
        <v>56</v>
      </c>
      <c r="T131" s="17" t="s">
        <v>56</v>
      </c>
      <c r="U131" s="17" t="s">
        <v>56</v>
      </c>
      <c r="V131" s="17" t="s">
        <v>56</v>
      </c>
      <c r="W131" s="17" t="s">
        <v>56</v>
      </c>
      <c r="X131" s="17" t="s">
        <v>56</v>
      </c>
      <c r="Y131" s="17" t="s">
        <v>56</v>
      </c>
      <c r="Z131" s="17" t="s">
        <v>56</v>
      </c>
      <c r="AA131" s="17" t="s">
        <v>56</v>
      </c>
      <c r="AB131" s="17" t="s">
        <v>56</v>
      </c>
      <c r="AC131" s="17" t="s">
        <v>56</v>
      </c>
      <c r="AD131" s="17" t="s">
        <v>56</v>
      </c>
      <c r="AE131" s="17" t="s">
        <v>56</v>
      </c>
      <c r="AF131" s="17" t="s">
        <v>56</v>
      </c>
      <c r="AG131" s="17" t="s">
        <v>56</v>
      </c>
      <c r="AH131" s="17" t="s">
        <v>56</v>
      </c>
      <c r="AI131" s="17" t="s">
        <v>56</v>
      </c>
      <c r="AJ131" s="17" t="s">
        <v>56</v>
      </c>
      <c r="AK131" s="17" t="s">
        <v>56</v>
      </c>
      <c r="AL131" s="17" t="s">
        <v>56</v>
      </c>
      <c r="AM131" s="17" t="s">
        <v>56</v>
      </c>
      <c r="AN131" s="17" t="s">
        <v>56</v>
      </c>
      <c r="AO131" s="17" t="s">
        <v>56</v>
      </c>
      <c r="AP131" s="17" t="s">
        <v>56</v>
      </c>
      <c r="AQ131" s="17">
        <v>87333.248438120994</v>
      </c>
      <c r="AR131" s="17">
        <v>87333.248438120994</v>
      </c>
      <c r="AS131" s="17" t="s">
        <v>2956</v>
      </c>
      <c r="AT131" s="17" t="s">
        <v>2864</v>
      </c>
      <c r="AU131" s="17">
        <v>0.77742900000000004</v>
      </c>
      <c r="AV131" s="17" t="s">
        <v>56</v>
      </c>
      <c r="AW131" s="17" t="s">
        <v>56</v>
      </c>
      <c r="AX131" s="17">
        <v>0.77742900000000004</v>
      </c>
      <c r="AY131" s="17" t="s">
        <v>56</v>
      </c>
      <c r="AZ131" s="17" t="s">
        <v>2956</v>
      </c>
      <c r="BA131" s="17" t="s">
        <v>2864</v>
      </c>
      <c r="BB131" s="17">
        <v>87333.248438120994</v>
      </c>
      <c r="BC131" s="17">
        <v>87333.248438120994</v>
      </c>
      <c r="BD131" s="17" t="s">
        <v>2956</v>
      </c>
      <c r="BE131" s="17" t="s">
        <v>2864</v>
      </c>
      <c r="BF131" s="17" t="s">
        <v>56</v>
      </c>
      <c r="BG131" s="17" t="s">
        <v>56</v>
      </c>
      <c r="BH131" s="17" t="s">
        <v>56</v>
      </c>
      <c r="BI131" s="17" t="s">
        <v>56</v>
      </c>
      <c r="BJ131" s="17" t="s">
        <v>56</v>
      </c>
      <c r="BK131" s="17" t="s">
        <v>56</v>
      </c>
      <c r="BL131" s="17" t="s">
        <v>56</v>
      </c>
      <c r="BM131" s="17" t="s">
        <v>56</v>
      </c>
      <c r="BN131" s="17" t="s">
        <v>56</v>
      </c>
      <c r="BO131" s="17" t="s">
        <v>56</v>
      </c>
      <c r="BP131" s="17" t="s">
        <v>56</v>
      </c>
      <c r="BQ131" s="17"/>
    </row>
    <row r="132" spans="1:69" x14ac:dyDescent="0.25">
      <c r="A132" s="17" t="s">
        <v>3157</v>
      </c>
      <c r="B132" s="17">
        <v>621</v>
      </c>
      <c r="C132" s="17" t="s">
        <v>2634</v>
      </c>
      <c r="D132" s="17" t="s">
        <v>2634</v>
      </c>
      <c r="E132" s="17" t="s">
        <v>2635</v>
      </c>
      <c r="F132" s="17">
        <v>67895.399999999907</v>
      </c>
      <c r="G132" s="17" t="s">
        <v>56</v>
      </c>
      <c r="H132" s="17" t="s">
        <v>56</v>
      </c>
      <c r="I132" s="17" t="s">
        <v>3157</v>
      </c>
      <c r="J132" s="17" t="s">
        <v>3217</v>
      </c>
      <c r="K132" s="17" t="s">
        <v>3215</v>
      </c>
      <c r="L132" s="17" t="s">
        <v>3218</v>
      </c>
      <c r="M132" s="17" t="s">
        <v>332</v>
      </c>
      <c r="N132" s="17" t="s">
        <v>3115</v>
      </c>
      <c r="O132" s="17" t="s">
        <v>3215</v>
      </c>
      <c r="P132" s="17" t="s">
        <v>3216</v>
      </c>
      <c r="Q132" s="17" t="s">
        <v>2864</v>
      </c>
      <c r="R132" s="17" t="s">
        <v>2956</v>
      </c>
      <c r="S132" s="17" t="s">
        <v>56</v>
      </c>
      <c r="T132" s="17" t="s">
        <v>56</v>
      </c>
      <c r="U132" s="17" t="s">
        <v>56</v>
      </c>
      <c r="V132" s="17" t="s">
        <v>56</v>
      </c>
      <c r="W132" s="17" t="s">
        <v>56</v>
      </c>
      <c r="X132" s="17" t="s">
        <v>56</v>
      </c>
      <c r="Y132" s="17" t="s">
        <v>56</v>
      </c>
      <c r="Z132" s="17" t="s">
        <v>56</v>
      </c>
      <c r="AA132" s="17" t="s">
        <v>56</v>
      </c>
      <c r="AB132" s="17" t="s">
        <v>56</v>
      </c>
      <c r="AC132" s="17" t="s">
        <v>56</v>
      </c>
      <c r="AD132" s="17" t="s">
        <v>56</v>
      </c>
      <c r="AE132" s="17" t="s">
        <v>56</v>
      </c>
      <c r="AF132" s="17" t="s">
        <v>56</v>
      </c>
      <c r="AG132" s="17" t="s">
        <v>56</v>
      </c>
      <c r="AH132" s="17" t="s">
        <v>56</v>
      </c>
      <c r="AI132" s="17" t="s">
        <v>56</v>
      </c>
      <c r="AJ132" s="17" t="s">
        <v>56</v>
      </c>
      <c r="AK132" s="17" t="s">
        <v>56</v>
      </c>
      <c r="AL132" s="17" t="s">
        <v>56</v>
      </c>
      <c r="AM132" s="17" t="s">
        <v>56</v>
      </c>
      <c r="AN132" s="17" t="s">
        <v>56</v>
      </c>
      <c r="AO132" s="17" t="s">
        <v>56</v>
      </c>
      <c r="AP132" s="17" t="s">
        <v>56</v>
      </c>
      <c r="AQ132" s="17">
        <v>87333.248438120994</v>
      </c>
      <c r="AR132" s="17">
        <v>87333.248438120994</v>
      </c>
      <c r="AS132" s="17" t="s">
        <v>2956</v>
      </c>
      <c r="AT132" s="17" t="s">
        <v>2864</v>
      </c>
      <c r="AU132" s="17">
        <v>0.77742900000000004</v>
      </c>
      <c r="AV132" s="17" t="s">
        <v>56</v>
      </c>
      <c r="AW132" s="17" t="s">
        <v>56</v>
      </c>
      <c r="AX132" s="17">
        <v>0.77742900000000004</v>
      </c>
      <c r="AY132" s="17" t="s">
        <v>56</v>
      </c>
      <c r="AZ132" s="17" t="s">
        <v>2956</v>
      </c>
      <c r="BA132" s="17" t="s">
        <v>2864</v>
      </c>
      <c r="BB132" s="17">
        <v>87333.248438120994</v>
      </c>
      <c r="BC132" s="17">
        <v>87333.248438120994</v>
      </c>
      <c r="BD132" s="17" t="s">
        <v>2956</v>
      </c>
      <c r="BE132" s="17" t="s">
        <v>2864</v>
      </c>
      <c r="BF132" s="17" t="s">
        <v>56</v>
      </c>
      <c r="BG132" s="17" t="s">
        <v>56</v>
      </c>
      <c r="BH132" s="17" t="s">
        <v>56</v>
      </c>
      <c r="BI132" s="17" t="s">
        <v>56</v>
      </c>
      <c r="BJ132" s="17" t="s">
        <v>56</v>
      </c>
      <c r="BK132" s="17" t="s">
        <v>56</v>
      </c>
      <c r="BL132" s="17" t="s">
        <v>56</v>
      </c>
      <c r="BM132" s="17" t="s">
        <v>56</v>
      </c>
      <c r="BN132" s="17" t="s">
        <v>56</v>
      </c>
      <c r="BO132" s="17" t="s">
        <v>56</v>
      </c>
      <c r="BP132" s="17" t="s">
        <v>56</v>
      </c>
      <c r="BQ132" s="17"/>
    </row>
    <row r="133" spans="1:69" x14ac:dyDescent="0.25">
      <c r="A133" s="17" t="s">
        <v>3137</v>
      </c>
      <c r="B133" s="17">
        <v>621</v>
      </c>
      <c r="C133" s="17" t="s">
        <v>2634</v>
      </c>
      <c r="D133" s="17" t="s">
        <v>2634</v>
      </c>
      <c r="E133" s="17" t="s">
        <v>2635</v>
      </c>
      <c r="F133" s="17">
        <v>67895.399999999907</v>
      </c>
      <c r="G133" s="17" t="s">
        <v>56</v>
      </c>
      <c r="H133" s="17" t="s">
        <v>56</v>
      </c>
      <c r="I133" s="17" t="s">
        <v>3137</v>
      </c>
      <c r="J133" s="17" t="s">
        <v>3217</v>
      </c>
      <c r="K133" s="17" t="s">
        <v>3215</v>
      </c>
      <c r="L133" s="17" t="s">
        <v>3218</v>
      </c>
      <c r="M133" s="17" t="s">
        <v>332</v>
      </c>
      <c r="N133" s="17" t="s">
        <v>3115</v>
      </c>
      <c r="O133" s="17" t="s">
        <v>3215</v>
      </c>
      <c r="P133" s="17" t="s">
        <v>3216</v>
      </c>
      <c r="Q133" s="17" t="s">
        <v>2864</v>
      </c>
      <c r="R133" s="17" t="s">
        <v>2956</v>
      </c>
      <c r="S133" s="17" t="s">
        <v>56</v>
      </c>
      <c r="T133" s="17" t="s">
        <v>56</v>
      </c>
      <c r="U133" s="17" t="s">
        <v>56</v>
      </c>
      <c r="V133" s="17" t="s">
        <v>56</v>
      </c>
      <c r="W133" s="17" t="s">
        <v>56</v>
      </c>
      <c r="X133" s="17" t="s">
        <v>56</v>
      </c>
      <c r="Y133" s="17" t="s">
        <v>56</v>
      </c>
      <c r="Z133" s="17" t="s">
        <v>56</v>
      </c>
      <c r="AA133" s="17" t="s">
        <v>56</v>
      </c>
      <c r="AB133" s="17" t="s">
        <v>56</v>
      </c>
      <c r="AC133" s="17" t="s">
        <v>56</v>
      </c>
      <c r="AD133" s="17" t="s">
        <v>56</v>
      </c>
      <c r="AE133" s="17" t="s">
        <v>56</v>
      </c>
      <c r="AF133" s="17" t="s">
        <v>56</v>
      </c>
      <c r="AG133" s="17" t="s">
        <v>56</v>
      </c>
      <c r="AH133" s="17" t="s">
        <v>56</v>
      </c>
      <c r="AI133" s="17" t="s">
        <v>56</v>
      </c>
      <c r="AJ133" s="17" t="s">
        <v>56</v>
      </c>
      <c r="AK133" s="17" t="s">
        <v>56</v>
      </c>
      <c r="AL133" s="17" t="s">
        <v>56</v>
      </c>
      <c r="AM133" s="17" t="s">
        <v>56</v>
      </c>
      <c r="AN133" s="17" t="s">
        <v>56</v>
      </c>
      <c r="AO133" s="17" t="s">
        <v>56</v>
      </c>
      <c r="AP133" s="17" t="s">
        <v>56</v>
      </c>
      <c r="AQ133" s="17">
        <v>87333.248438120994</v>
      </c>
      <c r="AR133" s="17">
        <v>87333.248438120994</v>
      </c>
      <c r="AS133" s="17" t="s">
        <v>2956</v>
      </c>
      <c r="AT133" s="17" t="s">
        <v>2864</v>
      </c>
      <c r="AU133" s="17">
        <v>0.77742900000000004</v>
      </c>
      <c r="AV133" s="17" t="s">
        <v>56</v>
      </c>
      <c r="AW133" s="17" t="s">
        <v>56</v>
      </c>
      <c r="AX133" s="17">
        <v>0.77742900000000004</v>
      </c>
      <c r="AY133" s="17" t="s">
        <v>56</v>
      </c>
      <c r="AZ133" s="17" t="s">
        <v>2956</v>
      </c>
      <c r="BA133" s="17" t="s">
        <v>2864</v>
      </c>
      <c r="BB133" s="17">
        <v>87333.248438120994</v>
      </c>
      <c r="BC133" s="17">
        <v>87333.248438120994</v>
      </c>
      <c r="BD133" s="17" t="s">
        <v>2956</v>
      </c>
      <c r="BE133" s="17" t="s">
        <v>2864</v>
      </c>
      <c r="BF133" s="17" t="s">
        <v>56</v>
      </c>
      <c r="BG133" s="17" t="s">
        <v>56</v>
      </c>
      <c r="BH133" s="17" t="s">
        <v>56</v>
      </c>
      <c r="BI133" s="17" t="s">
        <v>56</v>
      </c>
      <c r="BJ133" s="17" t="s">
        <v>56</v>
      </c>
      <c r="BK133" s="17" t="s">
        <v>56</v>
      </c>
      <c r="BL133" s="17" t="s">
        <v>56</v>
      </c>
      <c r="BM133" s="17" t="s">
        <v>56</v>
      </c>
      <c r="BN133" s="17" t="s">
        <v>56</v>
      </c>
      <c r="BO133" s="17" t="s">
        <v>56</v>
      </c>
      <c r="BP133" s="17" t="s">
        <v>56</v>
      </c>
      <c r="BQ133" s="17"/>
    </row>
    <row r="134" spans="1:69" x14ac:dyDescent="0.25">
      <c r="A134" s="17" t="s">
        <v>3187</v>
      </c>
      <c r="B134" s="17">
        <v>621</v>
      </c>
      <c r="C134" s="17" t="s">
        <v>2634</v>
      </c>
      <c r="D134" s="17" t="s">
        <v>2634</v>
      </c>
      <c r="E134" s="17" t="s">
        <v>2635</v>
      </c>
      <c r="F134" s="17">
        <v>67895.399999999907</v>
      </c>
      <c r="G134" s="17" t="s">
        <v>56</v>
      </c>
      <c r="H134" s="17" t="s">
        <v>56</v>
      </c>
      <c r="I134" s="17" t="s">
        <v>3187</v>
      </c>
      <c r="J134" s="17" t="s">
        <v>3217</v>
      </c>
      <c r="K134" s="17" t="s">
        <v>3215</v>
      </c>
      <c r="L134" s="17" t="s">
        <v>3218</v>
      </c>
      <c r="M134" s="17" t="s">
        <v>332</v>
      </c>
      <c r="N134" s="17" t="s">
        <v>3115</v>
      </c>
      <c r="O134" s="17" t="s">
        <v>3215</v>
      </c>
      <c r="P134" s="17" t="s">
        <v>3216</v>
      </c>
      <c r="Q134" s="17" t="s">
        <v>2864</v>
      </c>
      <c r="R134" s="17" t="s">
        <v>2956</v>
      </c>
      <c r="S134" s="17" t="s">
        <v>56</v>
      </c>
      <c r="T134" s="17" t="s">
        <v>56</v>
      </c>
      <c r="U134" s="17" t="s">
        <v>56</v>
      </c>
      <c r="V134" s="17" t="s">
        <v>56</v>
      </c>
      <c r="W134" s="17" t="s">
        <v>56</v>
      </c>
      <c r="X134" s="17" t="s">
        <v>56</v>
      </c>
      <c r="Y134" s="17" t="s">
        <v>56</v>
      </c>
      <c r="Z134" s="17" t="s">
        <v>56</v>
      </c>
      <c r="AA134" s="17" t="s">
        <v>56</v>
      </c>
      <c r="AB134" s="17" t="s">
        <v>56</v>
      </c>
      <c r="AC134" s="17" t="s">
        <v>56</v>
      </c>
      <c r="AD134" s="17" t="s">
        <v>56</v>
      </c>
      <c r="AE134" s="17" t="s">
        <v>56</v>
      </c>
      <c r="AF134" s="17" t="s">
        <v>56</v>
      </c>
      <c r="AG134" s="17" t="s">
        <v>56</v>
      </c>
      <c r="AH134" s="17" t="s">
        <v>56</v>
      </c>
      <c r="AI134" s="17" t="s">
        <v>56</v>
      </c>
      <c r="AJ134" s="17" t="s">
        <v>56</v>
      </c>
      <c r="AK134" s="17" t="s">
        <v>56</v>
      </c>
      <c r="AL134" s="17" t="s">
        <v>56</v>
      </c>
      <c r="AM134" s="17" t="s">
        <v>56</v>
      </c>
      <c r="AN134" s="17" t="s">
        <v>56</v>
      </c>
      <c r="AO134" s="17" t="s">
        <v>56</v>
      </c>
      <c r="AP134" s="17" t="s">
        <v>56</v>
      </c>
      <c r="AQ134" s="17">
        <v>87333.248438120994</v>
      </c>
      <c r="AR134" s="17">
        <v>87333.248438120994</v>
      </c>
      <c r="AS134" s="17" t="s">
        <v>2956</v>
      </c>
      <c r="AT134" s="17" t="s">
        <v>2864</v>
      </c>
      <c r="AU134" s="17">
        <v>0.77742900000000004</v>
      </c>
      <c r="AV134" s="17" t="s">
        <v>56</v>
      </c>
      <c r="AW134" s="17" t="s">
        <v>56</v>
      </c>
      <c r="AX134" s="17">
        <v>0.77742900000000004</v>
      </c>
      <c r="AY134" s="17" t="s">
        <v>56</v>
      </c>
      <c r="AZ134" s="17" t="s">
        <v>2956</v>
      </c>
      <c r="BA134" s="17" t="s">
        <v>2864</v>
      </c>
      <c r="BB134" s="17">
        <v>87333.248438120994</v>
      </c>
      <c r="BC134" s="17">
        <v>87333.248438120994</v>
      </c>
      <c r="BD134" s="17" t="s">
        <v>2956</v>
      </c>
      <c r="BE134" s="17" t="s">
        <v>2864</v>
      </c>
      <c r="BF134" s="17" t="s">
        <v>56</v>
      </c>
      <c r="BG134" s="17" t="s">
        <v>56</v>
      </c>
      <c r="BH134" s="17" t="s">
        <v>56</v>
      </c>
      <c r="BI134" s="17" t="s">
        <v>56</v>
      </c>
      <c r="BJ134" s="17" t="s">
        <v>56</v>
      </c>
      <c r="BK134" s="17" t="s">
        <v>56</v>
      </c>
      <c r="BL134" s="17" t="s">
        <v>56</v>
      </c>
      <c r="BM134" s="17" t="s">
        <v>56</v>
      </c>
      <c r="BN134" s="17" t="s">
        <v>56</v>
      </c>
      <c r="BO134" s="17" t="s">
        <v>56</v>
      </c>
      <c r="BP134" s="17" t="s">
        <v>56</v>
      </c>
      <c r="BQ134" s="17"/>
    </row>
    <row r="135" spans="1:69" x14ac:dyDescent="0.25">
      <c r="A135" s="17" t="s">
        <v>3194</v>
      </c>
      <c r="B135" s="17">
        <v>621</v>
      </c>
      <c r="C135" s="17" t="s">
        <v>2634</v>
      </c>
      <c r="D135" s="17" t="s">
        <v>2634</v>
      </c>
      <c r="E135" s="17" t="s">
        <v>2635</v>
      </c>
      <c r="F135" s="17">
        <v>67895.399999999907</v>
      </c>
      <c r="G135" s="17" t="s">
        <v>56</v>
      </c>
      <c r="H135" s="17" t="s">
        <v>56</v>
      </c>
      <c r="I135" s="17" t="s">
        <v>3194</v>
      </c>
      <c r="J135" s="17" t="s">
        <v>3217</v>
      </c>
      <c r="K135" s="17" t="s">
        <v>3215</v>
      </c>
      <c r="L135" s="17" t="s">
        <v>3218</v>
      </c>
      <c r="M135" s="17" t="s">
        <v>332</v>
      </c>
      <c r="N135" s="17" t="s">
        <v>3115</v>
      </c>
      <c r="O135" s="17" t="s">
        <v>3215</v>
      </c>
      <c r="P135" s="17" t="s">
        <v>3216</v>
      </c>
      <c r="Q135" s="17" t="s">
        <v>2864</v>
      </c>
      <c r="R135" s="17" t="s">
        <v>2956</v>
      </c>
      <c r="S135" s="17" t="s">
        <v>56</v>
      </c>
      <c r="T135" s="17" t="s">
        <v>56</v>
      </c>
      <c r="U135" s="17" t="s">
        <v>56</v>
      </c>
      <c r="V135" s="17" t="s">
        <v>56</v>
      </c>
      <c r="W135" s="17" t="s">
        <v>56</v>
      </c>
      <c r="X135" s="17" t="s">
        <v>56</v>
      </c>
      <c r="Y135" s="17" t="s">
        <v>56</v>
      </c>
      <c r="Z135" s="17" t="s">
        <v>56</v>
      </c>
      <c r="AA135" s="17" t="s">
        <v>56</v>
      </c>
      <c r="AB135" s="17" t="s">
        <v>56</v>
      </c>
      <c r="AC135" s="17" t="s">
        <v>56</v>
      </c>
      <c r="AD135" s="17" t="s">
        <v>56</v>
      </c>
      <c r="AE135" s="17" t="s">
        <v>56</v>
      </c>
      <c r="AF135" s="17" t="s">
        <v>56</v>
      </c>
      <c r="AG135" s="17" t="s">
        <v>56</v>
      </c>
      <c r="AH135" s="17" t="s">
        <v>56</v>
      </c>
      <c r="AI135" s="17" t="s">
        <v>56</v>
      </c>
      <c r="AJ135" s="17" t="s">
        <v>56</v>
      </c>
      <c r="AK135" s="17" t="s">
        <v>56</v>
      </c>
      <c r="AL135" s="17" t="s">
        <v>56</v>
      </c>
      <c r="AM135" s="17" t="s">
        <v>56</v>
      </c>
      <c r="AN135" s="17" t="s">
        <v>56</v>
      </c>
      <c r="AO135" s="17" t="s">
        <v>56</v>
      </c>
      <c r="AP135" s="17" t="s">
        <v>56</v>
      </c>
      <c r="AQ135" s="17">
        <v>87333.248438120994</v>
      </c>
      <c r="AR135" s="17">
        <v>87333.248438120994</v>
      </c>
      <c r="AS135" s="17" t="s">
        <v>2956</v>
      </c>
      <c r="AT135" s="17" t="s">
        <v>2864</v>
      </c>
      <c r="AU135" s="17">
        <v>0.77742900000000004</v>
      </c>
      <c r="AV135" s="17" t="s">
        <v>56</v>
      </c>
      <c r="AW135" s="17" t="s">
        <v>56</v>
      </c>
      <c r="AX135" s="17">
        <v>0.77742900000000004</v>
      </c>
      <c r="AY135" s="17" t="s">
        <v>56</v>
      </c>
      <c r="AZ135" s="17" t="s">
        <v>2956</v>
      </c>
      <c r="BA135" s="17" t="s">
        <v>2864</v>
      </c>
      <c r="BB135" s="17">
        <v>87333.248438120994</v>
      </c>
      <c r="BC135" s="17">
        <v>87333.248438120994</v>
      </c>
      <c r="BD135" s="17" t="s">
        <v>2956</v>
      </c>
      <c r="BE135" s="17" t="s">
        <v>2864</v>
      </c>
      <c r="BF135" s="17" t="s">
        <v>56</v>
      </c>
      <c r="BG135" s="17" t="s">
        <v>56</v>
      </c>
      <c r="BH135" s="17" t="s">
        <v>56</v>
      </c>
      <c r="BI135" s="17" t="s">
        <v>56</v>
      </c>
      <c r="BJ135" s="17" t="s">
        <v>56</v>
      </c>
      <c r="BK135" s="17" t="s">
        <v>56</v>
      </c>
      <c r="BL135" s="17" t="s">
        <v>56</v>
      </c>
      <c r="BM135" s="17" t="s">
        <v>56</v>
      </c>
      <c r="BN135" s="17" t="s">
        <v>56</v>
      </c>
      <c r="BO135" s="17" t="s">
        <v>56</v>
      </c>
      <c r="BP135" s="17" t="s">
        <v>56</v>
      </c>
      <c r="BQ135" s="17"/>
    </row>
    <row r="136" spans="1:69" x14ac:dyDescent="0.25">
      <c r="A136" s="17" t="s">
        <v>3114</v>
      </c>
      <c r="B136" s="17">
        <v>621</v>
      </c>
      <c r="C136" s="17" t="s">
        <v>2634</v>
      </c>
      <c r="D136" s="17" t="s">
        <v>2634</v>
      </c>
      <c r="E136" s="17" t="s">
        <v>2635</v>
      </c>
      <c r="F136" s="17">
        <v>67895.399999999907</v>
      </c>
      <c r="G136" s="17" t="s">
        <v>56</v>
      </c>
      <c r="H136" s="17" t="s">
        <v>56</v>
      </c>
      <c r="I136" s="17" t="s">
        <v>3114</v>
      </c>
      <c r="J136" s="17" t="s">
        <v>3217</v>
      </c>
      <c r="K136" s="17" t="s">
        <v>3215</v>
      </c>
      <c r="L136" s="17" t="s">
        <v>3218</v>
      </c>
      <c r="M136" s="17" t="s">
        <v>332</v>
      </c>
      <c r="N136" s="17" t="s">
        <v>3115</v>
      </c>
      <c r="O136" s="17" t="s">
        <v>3215</v>
      </c>
      <c r="P136" s="17" t="s">
        <v>3216</v>
      </c>
      <c r="Q136" s="17" t="s">
        <v>2864</v>
      </c>
      <c r="R136" s="17" t="s">
        <v>2956</v>
      </c>
      <c r="S136" s="17" t="s">
        <v>56</v>
      </c>
      <c r="T136" s="17" t="s">
        <v>56</v>
      </c>
      <c r="U136" s="17" t="s">
        <v>56</v>
      </c>
      <c r="V136" s="17" t="s">
        <v>56</v>
      </c>
      <c r="W136" s="17" t="s">
        <v>56</v>
      </c>
      <c r="X136" s="17" t="s">
        <v>56</v>
      </c>
      <c r="Y136" s="17" t="s">
        <v>56</v>
      </c>
      <c r="Z136" s="17" t="s">
        <v>56</v>
      </c>
      <c r="AA136" s="17" t="s">
        <v>56</v>
      </c>
      <c r="AB136" s="17" t="s">
        <v>56</v>
      </c>
      <c r="AC136" s="17" t="s">
        <v>56</v>
      </c>
      <c r="AD136" s="17" t="s">
        <v>56</v>
      </c>
      <c r="AE136" s="17" t="s">
        <v>56</v>
      </c>
      <c r="AF136" s="17" t="s">
        <v>56</v>
      </c>
      <c r="AG136" s="17" t="s">
        <v>56</v>
      </c>
      <c r="AH136" s="17" t="s">
        <v>56</v>
      </c>
      <c r="AI136" s="17" t="s">
        <v>56</v>
      </c>
      <c r="AJ136" s="17" t="s">
        <v>56</v>
      </c>
      <c r="AK136" s="17" t="s">
        <v>56</v>
      </c>
      <c r="AL136" s="17" t="s">
        <v>56</v>
      </c>
      <c r="AM136" s="17" t="s">
        <v>56</v>
      </c>
      <c r="AN136" s="17" t="s">
        <v>56</v>
      </c>
      <c r="AO136" s="17" t="s">
        <v>56</v>
      </c>
      <c r="AP136" s="17" t="s">
        <v>56</v>
      </c>
      <c r="AQ136" s="17">
        <v>87333.248438120994</v>
      </c>
      <c r="AR136" s="17">
        <v>87333.248438120994</v>
      </c>
      <c r="AS136" s="17" t="s">
        <v>2956</v>
      </c>
      <c r="AT136" s="17" t="s">
        <v>2864</v>
      </c>
      <c r="AU136" s="17">
        <v>0.77742900000000004</v>
      </c>
      <c r="AV136" s="17" t="s">
        <v>56</v>
      </c>
      <c r="AW136" s="17" t="s">
        <v>56</v>
      </c>
      <c r="AX136" s="17">
        <v>0.77742900000000004</v>
      </c>
      <c r="AY136" s="17" t="s">
        <v>56</v>
      </c>
      <c r="AZ136" s="17" t="s">
        <v>2956</v>
      </c>
      <c r="BA136" s="17" t="s">
        <v>2864</v>
      </c>
      <c r="BB136" s="17">
        <v>87333.248438120994</v>
      </c>
      <c r="BC136" s="17">
        <v>87333.248438120994</v>
      </c>
      <c r="BD136" s="17" t="s">
        <v>2956</v>
      </c>
      <c r="BE136" s="17" t="s">
        <v>2864</v>
      </c>
      <c r="BF136" s="17" t="s">
        <v>56</v>
      </c>
      <c r="BG136" s="17" t="s">
        <v>56</v>
      </c>
      <c r="BH136" s="17" t="s">
        <v>56</v>
      </c>
      <c r="BI136" s="17" t="s">
        <v>56</v>
      </c>
      <c r="BJ136" s="17" t="s">
        <v>56</v>
      </c>
      <c r="BK136" s="17" t="s">
        <v>56</v>
      </c>
      <c r="BL136" s="17" t="s">
        <v>56</v>
      </c>
      <c r="BM136" s="17" t="s">
        <v>56</v>
      </c>
      <c r="BN136" s="17" t="s">
        <v>56</v>
      </c>
      <c r="BO136" s="17" t="s">
        <v>56</v>
      </c>
      <c r="BP136" s="17" t="s">
        <v>56</v>
      </c>
      <c r="BQ136" s="17"/>
    </row>
  </sheetData>
  <autoFilter ref="A28:BA81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"/>
  <sheetViews>
    <sheetView showGridLines="0" workbookViewId="0">
      <selection activeCell="H12" sqref="H12"/>
    </sheetView>
  </sheetViews>
  <sheetFormatPr defaultRowHeight="15" x14ac:dyDescent="0.25"/>
  <cols>
    <col min="1" max="1" width="12.85546875" customWidth="1"/>
    <col min="3" max="3" width="10.140625" bestFit="1" customWidth="1"/>
    <col min="4" max="4" width="10" bestFit="1" customWidth="1"/>
    <col min="6" max="6" width="12.140625" bestFit="1" customWidth="1"/>
    <col min="9" max="9" width="13.5703125" bestFit="1" customWidth="1"/>
    <col min="10" max="10" width="9.28515625" bestFit="1" customWidth="1"/>
    <col min="11" max="11" width="10" bestFit="1" customWidth="1"/>
    <col min="12" max="12" width="9.28515625" bestFit="1" customWidth="1"/>
  </cols>
  <sheetData>
    <row r="2" spans="1:13" x14ac:dyDescent="0.25">
      <c r="A2" s="13"/>
      <c r="B2" t="s">
        <v>2542</v>
      </c>
    </row>
    <row r="3" spans="1:13" x14ac:dyDescent="0.25">
      <c r="A3" s="14"/>
      <c r="B3" t="s">
        <v>2543</v>
      </c>
    </row>
    <row r="5" spans="1:13" x14ac:dyDescent="0.25">
      <c r="C5" s="2">
        <f>+SUM(C7:C16)</f>
        <v>117041.044979</v>
      </c>
      <c r="J5" s="2">
        <f>+SUM(J7:J16)</f>
        <v>49828.449999999975</v>
      </c>
    </row>
    <row r="6" spans="1:13" x14ac:dyDescent="0.25">
      <c r="A6" s="36" t="s">
        <v>18</v>
      </c>
      <c r="B6" s="36" t="s">
        <v>1</v>
      </c>
      <c r="C6" s="36" t="s">
        <v>19</v>
      </c>
      <c r="D6" s="36" t="s">
        <v>20</v>
      </c>
      <c r="E6" s="36" t="s">
        <v>21</v>
      </c>
      <c r="F6" s="36" t="s">
        <v>3</v>
      </c>
      <c r="G6" s="37" t="s">
        <v>22</v>
      </c>
      <c r="H6" s="37" t="s">
        <v>0</v>
      </c>
      <c r="I6" s="37" t="s">
        <v>2</v>
      </c>
      <c r="J6" s="37" t="s">
        <v>23</v>
      </c>
      <c r="K6" s="37" t="s">
        <v>24</v>
      </c>
      <c r="L6" s="37" t="s">
        <v>25</v>
      </c>
      <c r="M6" s="17"/>
    </row>
    <row r="7" spans="1:13" x14ac:dyDescent="0.25">
      <c r="A7" s="2" t="s">
        <v>3221</v>
      </c>
      <c r="B7" s="17" t="s">
        <v>8</v>
      </c>
      <c r="C7" s="2">
        <v>38292.347919</v>
      </c>
      <c r="D7" s="2">
        <v>205631.85335600001</v>
      </c>
      <c r="E7" s="2" t="s">
        <v>56</v>
      </c>
      <c r="F7" s="2">
        <v>-1867747.61</v>
      </c>
      <c r="G7" s="2" t="s">
        <v>3221</v>
      </c>
      <c r="H7" s="2" t="s">
        <v>6</v>
      </c>
      <c r="I7" s="2">
        <v>4050450.78</v>
      </c>
      <c r="J7" s="2">
        <v>10.34</v>
      </c>
      <c r="K7" s="2">
        <v>55.48</v>
      </c>
      <c r="L7" s="2">
        <v>0</v>
      </c>
      <c r="M7" s="17"/>
    </row>
    <row r="8" spans="1:13" x14ac:dyDescent="0.25">
      <c r="A8" s="2" t="s">
        <v>3222</v>
      </c>
      <c r="B8" s="17" t="s">
        <v>8</v>
      </c>
      <c r="C8" s="2">
        <v>22550.089765000001</v>
      </c>
      <c r="D8" s="2">
        <v>121095.12745099999</v>
      </c>
      <c r="E8" s="2" t="s">
        <v>56</v>
      </c>
      <c r="F8" s="2">
        <v>-2792527.44</v>
      </c>
      <c r="G8" s="2" t="s">
        <v>3222</v>
      </c>
      <c r="H8" s="2" t="s">
        <v>6</v>
      </c>
      <c r="I8" s="2">
        <v>2949577.4</v>
      </c>
      <c r="J8" s="2">
        <v>3.95</v>
      </c>
      <c r="K8" s="2">
        <v>21.23</v>
      </c>
      <c r="L8" s="2">
        <v>0</v>
      </c>
      <c r="M8" s="17"/>
    </row>
    <row r="9" spans="1:13" x14ac:dyDescent="0.25">
      <c r="A9" s="2" t="s">
        <v>3223</v>
      </c>
      <c r="B9" s="17" t="s">
        <v>8</v>
      </c>
      <c r="C9" s="2">
        <v>1620.5511059999999</v>
      </c>
      <c r="D9" s="2">
        <v>8702.1581349999997</v>
      </c>
      <c r="E9" s="2" t="s">
        <v>56</v>
      </c>
      <c r="F9" s="2">
        <v>-292804.76</v>
      </c>
      <c r="G9" s="2" t="s">
        <v>3223</v>
      </c>
      <c r="H9" s="2" t="s">
        <v>6</v>
      </c>
      <c r="I9" s="2">
        <v>33217288</v>
      </c>
      <c r="J9" s="2">
        <v>21495.23</v>
      </c>
      <c r="K9" s="2">
        <v>115343.25</v>
      </c>
      <c r="L9" s="2">
        <v>0</v>
      </c>
      <c r="M9" s="17"/>
    </row>
    <row r="10" spans="1:13" x14ac:dyDescent="0.25">
      <c r="A10" s="2" t="s">
        <v>3224</v>
      </c>
      <c r="B10" s="17" t="s">
        <v>8</v>
      </c>
      <c r="C10" s="2">
        <v>19588.027150999998</v>
      </c>
      <c r="D10" s="2">
        <v>105188.70076199999</v>
      </c>
      <c r="E10" s="2" t="s">
        <v>56</v>
      </c>
      <c r="F10" s="2">
        <v>-2909526.61</v>
      </c>
      <c r="G10" s="2" t="s">
        <v>3224</v>
      </c>
      <c r="H10" s="2" t="s">
        <v>6</v>
      </c>
      <c r="I10" s="2">
        <v>2915716.87</v>
      </c>
      <c r="J10" s="2">
        <v>0.38</v>
      </c>
      <c r="K10" s="2">
        <v>2.02</v>
      </c>
      <c r="L10" s="2">
        <v>0</v>
      </c>
      <c r="M10" s="17"/>
    </row>
    <row r="11" spans="1:13" x14ac:dyDescent="0.25">
      <c r="A11" s="2" t="s">
        <v>3225</v>
      </c>
      <c r="B11" s="17" t="s">
        <v>8</v>
      </c>
      <c r="C11" s="2">
        <v>19588.027150999998</v>
      </c>
      <c r="D11" s="2">
        <v>105188.70076199999</v>
      </c>
      <c r="E11" s="2" t="s">
        <v>56</v>
      </c>
      <c r="F11" s="2">
        <v>-7120985.1200000001</v>
      </c>
      <c r="G11" s="2" t="s">
        <v>3225</v>
      </c>
      <c r="H11" s="2" t="s">
        <v>6</v>
      </c>
      <c r="I11" s="2">
        <v>7139097.8099999996</v>
      </c>
      <c r="J11" s="2">
        <v>0.92</v>
      </c>
      <c r="K11" s="2">
        <v>4.9399999999999897</v>
      </c>
      <c r="L11" s="2">
        <v>0</v>
      </c>
      <c r="M11" s="17"/>
    </row>
    <row r="12" spans="1:13" x14ac:dyDescent="0.25">
      <c r="A12" s="2" t="s">
        <v>3226</v>
      </c>
      <c r="B12" s="17" t="s">
        <v>8</v>
      </c>
      <c r="C12" s="2">
        <v>19.670850000000002</v>
      </c>
      <c r="D12" s="2">
        <v>49.212994999999999</v>
      </c>
      <c r="E12" s="2" t="s">
        <v>56</v>
      </c>
      <c r="F12" s="2">
        <v>-1278523.68</v>
      </c>
      <c r="G12" s="2" t="s">
        <v>3226</v>
      </c>
      <c r="H12" s="2" t="s">
        <v>6</v>
      </c>
      <c r="I12" s="2">
        <v>160931726.34</v>
      </c>
      <c r="J12" s="2">
        <v>9382.5599999999904</v>
      </c>
      <c r="K12" s="2">
        <v>50385.03</v>
      </c>
      <c r="L12" s="2">
        <v>0</v>
      </c>
      <c r="M12" s="17"/>
    </row>
    <row r="13" spans="1:13" x14ac:dyDescent="0.25">
      <c r="A13" s="2" t="s">
        <v>3227</v>
      </c>
      <c r="B13" s="17" t="s">
        <v>8</v>
      </c>
      <c r="C13" s="2">
        <v>1019.020187</v>
      </c>
      <c r="D13" s="2">
        <v>5471.9910149999996</v>
      </c>
      <c r="E13" s="2" t="s">
        <v>56</v>
      </c>
      <c r="F13" s="2">
        <v>-179798.04</v>
      </c>
      <c r="G13" s="2" t="s">
        <v>3227</v>
      </c>
      <c r="H13" s="2" t="s">
        <v>6</v>
      </c>
      <c r="I13" s="2">
        <v>17304202.960000001</v>
      </c>
      <c r="J13" s="2">
        <v>10034.94</v>
      </c>
      <c r="K13" s="2">
        <v>53837.099999999897</v>
      </c>
      <c r="L13" s="2">
        <v>0</v>
      </c>
      <c r="M13" s="17"/>
    </row>
    <row r="14" spans="1:13" x14ac:dyDescent="0.25">
      <c r="A14" s="2" t="s">
        <v>3228</v>
      </c>
      <c r="B14" s="17" t="s">
        <v>8</v>
      </c>
      <c r="C14" s="2">
        <v>625.55400199999997</v>
      </c>
      <c r="D14" s="2">
        <v>3359.1467309999998</v>
      </c>
      <c r="E14" s="2" t="s">
        <v>56</v>
      </c>
      <c r="F14" s="2">
        <v>-112059.04</v>
      </c>
      <c r="G14" s="2" t="s">
        <v>3228</v>
      </c>
      <c r="H14" s="2" t="s">
        <v>6</v>
      </c>
      <c r="I14" s="2">
        <v>13755337.91</v>
      </c>
      <c r="J14" s="2">
        <v>8895.6099999999897</v>
      </c>
      <c r="K14" s="2">
        <v>47733.59</v>
      </c>
      <c r="L14" s="2">
        <v>0</v>
      </c>
      <c r="M14" s="17"/>
    </row>
    <row r="15" spans="1:13" x14ac:dyDescent="0.25">
      <c r="A15" s="2" t="s">
        <v>3229</v>
      </c>
      <c r="B15" s="17" t="s">
        <v>8</v>
      </c>
      <c r="C15" s="2">
        <v>6939.5372120000002</v>
      </c>
      <c r="D15" s="2">
        <v>37265.667319</v>
      </c>
      <c r="E15" s="2" t="s">
        <v>56</v>
      </c>
      <c r="F15" s="2">
        <v>-3019779.17</v>
      </c>
      <c r="G15" s="2" t="s">
        <v>3229</v>
      </c>
      <c r="H15" s="2" t="s">
        <v>6</v>
      </c>
      <c r="I15" s="2">
        <v>3019779.17</v>
      </c>
      <c r="J15" s="2">
        <v>4.2699999999999996</v>
      </c>
      <c r="K15" s="2">
        <v>22.96</v>
      </c>
      <c r="L15" s="2">
        <v>0</v>
      </c>
      <c r="M15" s="17"/>
    </row>
    <row r="16" spans="1:13" x14ac:dyDescent="0.25">
      <c r="A16" s="2" t="s">
        <v>3230</v>
      </c>
      <c r="B16" s="17" t="s">
        <v>8</v>
      </c>
      <c r="C16" s="2">
        <v>6798.2196359999998</v>
      </c>
      <c r="D16" s="2">
        <v>36506.784759000002</v>
      </c>
      <c r="E16" s="2" t="s">
        <v>56</v>
      </c>
      <c r="F16" s="2">
        <v>-851346.26</v>
      </c>
      <c r="G16" s="2" t="s">
        <v>3230</v>
      </c>
      <c r="H16" s="2" t="s">
        <v>6</v>
      </c>
      <c r="I16" s="2">
        <v>205702.36</v>
      </c>
      <c r="J16" s="2">
        <v>0.25</v>
      </c>
      <c r="K16" s="2">
        <v>1.37</v>
      </c>
      <c r="L16" s="2">
        <v>0</v>
      </c>
      <c r="M16" s="17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K53"/>
  <sheetViews>
    <sheetView showGridLines="0" workbookViewId="0">
      <selection activeCell="A30" sqref="A30:XFD30"/>
    </sheetView>
  </sheetViews>
  <sheetFormatPr defaultRowHeight="15" x14ac:dyDescent="0.25"/>
  <cols>
    <col min="1" max="1" width="3.7109375" customWidth="1"/>
    <col min="2" max="2" width="23.85546875" bestFit="1" customWidth="1"/>
    <col min="3" max="3" width="12.140625" bestFit="1" customWidth="1"/>
    <col min="4" max="4" width="9.28515625" bestFit="1" customWidth="1"/>
    <col min="19" max="20" width="27.5703125" bestFit="1" customWidth="1"/>
    <col min="110" max="110" width="9.5703125" bestFit="1" customWidth="1"/>
    <col min="111" max="111" width="12" bestFit="1" customWidth="1"/>
    <col min="112" max="112" width="16.140625" bestFit="1" customWidth="1"/>
    <col min="113" max="113" width="8" customWidth="1"/>
    <col min="114" max="114" width="16" bestFit="1" customWidth="1"/>
    <col min="115" max="115" width="8.28515625" customWidth="1"/>
    <col min="116" max="116" width="7.42578125" customWidth="1"/>
    <col min="117" max="117" width="8.5703125" customWidth="1"/>
    <col min="118" max="118" width="12.85546875" bestFit="1" customWidth="1"/>
    <col min="119" max="119" width="18.85546875" bestFit="1" customWidth="1"/>
    <col min="120" max="121" width="17.5703125" bestFit="1" customWidth="1"/>
    <col min="122" max="122" width="13.28515625" bestFit="1" customWidth="1"/>
    <col min="123" max="123" width="20" bestFit="1" customWidth="1"/>
    <col min="124" max="125" width="29" bestFit="1" customWidth="1"/>
    <col min="126" max="126" width="16.28515625" bestFit="1" customWidth="1"/>
    <col min="127" max="127" width="21.85546875" bestFit="1" customWidth="1"/>
    <col min="128" max="128" width="23.42578125" bestFit="1" customWidth="1"/>
    <col min="129" max="130" width="32.42578125" bestFit="1" customWidth="1"/>
    <col min="131" max="131" width="21.140625" bestFit="1" customWidth="1"/>
    <col min="132" max="132" width="31.7109375" bestFit="1" customWidth="1"/>
    <col min="133" max="133" width="32.42578125" bestFit="1" customWidth="1"/>
    <col min="134" max="134" width="29.140625" bestFit="1" customWidth="1"/>
    <col min="135" max="136" width="38.28515625" bestFit="1" customWidth="1"/>
    <col min="137" max="137" width="23.140625" bestFit="1" customWidth="1"/>
    <col min="138" max="138" width="27.28515625" bestFit="1" customWidth="1"/>
    <col min="139" max="139" width="30.28515625" bestFit="1" customWidth="1"/>
    <col min="140" max="141" width="39.28515625" bestFit="1" customWidth="1"/>
    <col min="142" max="142" width="22.42578125" bestFit="1" customWidth="1"/>
    <col min="143" max="144" width="34.42578125" bestFit="1" customWidth="1"/>
    <col min="145" max="145" width="29" bestFit="1" customWidth="1"/>
    <col min="146" max="147" width="38.140625" bestFit="1" customWidth="1"/>
    <col min="148" max="148" width="33.5703125" bestFit="1" customWidth="1"/>
    <col min="149" max="150" width="42.7109375" bestFit="1" customWidth="1"/>
    <col min="151" max="151" width="19.28515625" bestFit="1" customWidth="1"/>
    <col min="152" max="152" width="24.42578125" bestFit="1" customWidth="1"/>
    <col min="153" max="153" width="26.42578125" bestFit="1" customWidth="1"/>
    <col min="154" max="155" width="35.42578125" bestFit="1" customWidth="1"/>
    <col min="156" max="156" width="24.140625" bestFit="1" customWidth="1"/>
    <col min="157" max="158" width="30" bestFit="1" customWidth="1"/>
    <col min="159" max="160" width="20.140625" bestFit="1" customWidth="1"/>
    <col min="161" max="164" width="21.42578125" bestFit="1" customWidth="1"/>
    <col min="165" max="166" width="20.7109375" bestFit="1" customWidth="1"/>
    <col min="167" max="168" width="25.5703125" bestFit="1" customWidth="1"/>
    <col min="169" max="170" width="28.7109375" bestFit="1" customWidth="1"/>
    <col min="171" max="172" width="24.42578125" bestFit="1" customWidth="1"/>
    <col min="173" max="174" width="25.140625" bestFit="1" customWidth="1"/>
    <col min="175" max="176" width="27.42578125" bestFit="1" customWidth="1"/>
    <col min="177" max="178" width="26.42578125" bestFit="1" customWidth="1"/>
    <col min="179" max="180" width="29.7109375" bestFit="1" customWidth="1"/>
    <col min="181" max="182" width="30.28515625" bestFit="1" customWidth="1"/>
    <col min="183" max="184" width="31" bestFit="1" customWidth="1"/>
    <col min="185" max="185" width="10.28515625" bestFit="1" customWidth="1"/>
    <col min="186" max="186" width="10.85546875" bestFit="1" customWidth="1"/>
    <col min="187" max="187" width="13.7109375" bestFit="1" customWidth="1"/>
    <col min="188" max="188" width="16" bestFit="1" customWidth="1"/>
    <col min="189" max="189" width="20.42578125" bestFit="1" customWidth="1"/>
    <col min="190" max="190" width="15.5703125" bestFit="1" customWidth="1"/>
    <col min="191" max="191" width="19.7109375" bestFit="1" customWidth="1"/>
    <col min="192" max="192" width="16.5703125" bestFit="1" customWidth="1"/>
    <col min="193" max="193" width="22.28515625" bestFit="1" customWidth="1"/>
  </cols>
  <sheetData>
    <row r="2" spans="2:48" x14ac:dyDescent="0.25">
      <c r="B2" s="2" t="s">
        <v>3221</v>
      </c>
    </row>
    <row r="4" spans="2:48" x14ac:dyDescent="0.25">
      <c r="B4" s="4" t="s">
        <v>2962</v>
      </c>
      <c r="C4" t="s">
        <v>3400</v>
      </c>
    </row>
    <row r="5" spans="2:48" x14ac:dyDescent="0.25">
      <c r="B5" s="4"/>
      <c r="C5" t="s">
        <v>3401</v>
      </c>
    </row>
    <row r="6" spans="2:48" x14ac:dyDescent="0.25">
      <c r="B6" s="4"/>
      <c r="D6" t="s">
        <v>3402</v>
      </c>
    </row>
    <row r="8" spans="2:48" s="15" customFormat="1" x14ac:dyDescent="0.25">
      <c r="B8" s="26" t="s">
        <v>2545</v>
      </c>
    </row>
    <row r="10" spans="2:48" x14ac:dyDescent="0.25">
      <c r="B10" s="17" t="s">
        <v>2546</v>
      </c>
      <c r="C10" s="17" t="s">
        <v>2547</v>
      </c>
      <c r="D10" s="17" t="s">
        <v>2548</v>
      </c>
      <c r="E10" s="17" t="s">
        <v>2549</v>
      </c>
      <c r="F10" s="17" t="s">
        <v>18</v>
      </c>
      <c r="G10" s="17" t="s">
        <v>2550</v>
      </c>
      <c r="H10" s="17" t="s">
        <v>2551</v>
      </c>
      <c r="I10" s="17" t="s">
        <v>2552</v>
      </c>
      <c r="J10" s="17" t="s">
        <v>2553</v>
      </c>
      <c r="K10" s="17" t="s">
        <v>2554</v>
      </c>
      <c r="L10" s="17" t="s">
        <v>2555</v>
      </c>
      <c r="M10" s="17" t="s">
        <v>35</v>
      </c>
      <c r="N10" s="17" t="s">
        <v>36</v>
      </c>
      <c r="O10" s="17" t="s">
        <v>37</v>
      </c>
      <c r="P10" s="17" t="s">
        <v>2556</v>
      </c>
      <c r="Q10" s="17" t="s">
        <v>2557</v>
      </c>
      <c r="R10" s="17" t="s">
        <v>2558</v>
      </c>
      <c r="S10" s="17" t="s">
        <v>2559</v>
      </c>
      <c r="T10" s="17" t="s">
        <v>2560</v>
      </c>
      <c r="U10" s="17" t="s">
        <v>2561</v>
      </c>
      <c r="V10" s="17" t="s">
        <v>2562</v>
      </c>
      <c r="W10" s="17" t="s">
        <v>2563</v>
      </c>
      <c r="X10" s="17" t="s">
        <v>2564</v>
      </c>
      <c r="Y10" s="17" t="s">
        <v>2565</v>
      </c>
      <c r="Z10" s="17" t="s">
        <v>2566</v>
      </c>
      <c r="AA10" s="17" t="s">
        <v>2567</v>
      </c>
      <c r="AB10" s="17" t="s">
        <v>2568</v>
      </c>
      <c r="AC10" s="17" t="s">
        <v>2601</v>
      </c>
      <c r="AD10" s="17" t="s">
        <v>2602</v>
      </c>
      <c r="AE10" s="17" t="s">
        <v>2603</v>
      </c>
      <c r="AF10" s="17" t="s">
        <v>2604</v>
      </c>
      <c r="AG10" s="17" t="s">
        <v>2605</v>
      </c>
      <c r="AH10" s="17" t="s">
        <v>2606</v>
      </c>
      <c r="AI10" s="17" t="s">
        <v>2607</v>
      </c>
      <c r="AJ10" s="17" t="s">
        <v>2608</v>
      </c>
      <c r="AK10" s="17" t="s">
        <v>2609</v>
      </c>
      <c r="AL10" s="17" t="s">
        <v>2610</v>
      </c>
      <c r="AM10" s="17" t="s">
        <v>2611</v>
      </c>
      <c r="AN10" s="17" t="s">
        <v>2612</v>
      </c>
      <c r="AO10" s="17" t="s">
        <v>2613</v>
      </c>
      <c r="AP10" s="17" t="s">
        <v>2614</v>
      </c>
      <c r="AQ10" s="17" t="s">
        <v>2615</v>
      </c>
      <c r="AR10" s="17" t="s">
        <v>2616</v>
      </c>
      <c r="AS10" s="17" t="s">
        <v>2617</v>
      </c>
      <c r="AT10" s="17" t="s">
        <v>2618</v>
      </c>
      <c r="AU10" s="17" t="s">
        <v>2619</v>
      </c>
      <c r="AV10" s="17"/>
    </row>
    <row r="11" spans="2:48" x14ac:dyDescent="0.25">
      <c r="B11" s="17" t="s">
        <v>70</v>
      </c>
      <c r="C11" s="17" t="s">
        <v>3235</v>
      </c>
      <c r="D11" s="17" t="s">
        <v>3236</v>
      </c>
      <c r="E11" s="17" t="s">
        <v>3237</v>
      </c>
      <c r="F11" s="17" t="s">
        <v>3221</v>
      </c>
      <c r="G11" s="17" t="s">
        <v>3238</v>
      </c>
      <c r="H11" s="17" t="s">
        <v>3231</v>
      </c>
      <c r="I11" s="17" t="s">
        <v>2621</v>
      </c>
      <c r="J11" s="17">
        <v>-1867747.61</v>
      </c>
      <c r="K11" s="17" t="s">
        <v>3221</v>
      </c>
      <c r="L11" s="17" t="s">
        <v>70</v>
      </c>
      <c r="M11" s="17" t="s">
        <v>3240</v>
      </c>
      <c r="N11" s="17" t="s">
        <v>3241</v>
      </c>
      <c r="O11" s="17" t="s">
        <v>3237</v>
      </c>
      <c r="P11" s="17" t="s">
        <v>3242</v>
      </c>
      <c r="Q11" s="17" t="s">
        <v>3232</v>
      </c>
      <c r="R11" s="17" t="s">
        <v>56</v>
      </c>
      <c r="S11" s="17">
        <v>1397600</v>
      </c>
      <c r="T11" s="17" t="s">
        <v>56</v>
      </c>
      <c r="U11" s="17">
        <v>1397600</v>
      </c>
      <c r="V11" s="17" t="s">
        <v>332</v>
      </c>
      <c r="W11" s="17">
        <v>3511490</v>
      </c>
      <c r="X11" s="17" t="s">
        <v>3233</v>
      </c>
      <c r="Y11" s="17">
        <v>0.398007683348094</v>
      </c>
      <c r="Z11" s="17">
        <v>0.74828097357329704</v>
      </c>
      <c r="AA11" s="17" t="s">
        <v>2627</v>
      </c>
      <c r="AB11" s="17">
        <v>-743377.89933504001</v>
      </c>
      <c r="AC11" s="17">
        <v>30722.096601000001</v>
      </c>
      <c r="AD11" s="17">
        <v>164979.219251</v>
      </c>
      <c r="AE11" s="17" t="s">
        <v>56</v>
      </c>
      <c r="AF11" s="17" t="s">
        <v>3234</v>
      </c>
      <c r="AG11" s="17" t="s">
        <v>3234</v>
      </c>
      <c r="AH11" s="17" t="s">
        <v>2635</v>
      </c>
      <c r="AI11" s="17" t="s">
        <v>939</v>
      </c>
      <c r="AJ11" s="17" t="s">
        <v>939</v>
      </c>
      <c r="AK11" s="17">
        <v>3511490</v>
      </c>
      <c r="AL11" s="17">
        <v>16340.960293685401</v>
      </c>
      <c r="AM11" s="17" t="s">
        <v>56</v>
      </c>
      <c r="AN11" s="17">
        <v>16340.960293</v>
      </c>
      <c r="AO11" s="17" t="s">
        <v>3234</v>
      </c>
      <c r="AP11" s="17">
        <v>87751.786802729795</v>
      </c>
      <c r="AQ11" s="17">
        <v>87751.786802000002</v>
      </c>
      <c r="AR11" s="17" t="s">
        <v>3234</v>
      </c>
      <c r="AS11" s="17" t="s">
        <v>56</v>
      </c>
      <c r="AT11" s="17" t="s">
        <v>56</v>
      </c>
      <c r="AU11" s="17" t="s">
        <v>2635</v>
      </c>
      <c r="AV11" s="17"/>
    </row>
    <row r="12" spans="2:48" x14ac:dyDescent="0.25">
      <c r="B12" s="17" t="s">
        <v>70</v>
      </c>
      <c r="C12" s="17" t="s">
        <v>3235</v>
      </c>
      <c r="D12" s="17" t="s">
        <v>3236</v>
      </c>
      <c r="E12" s="17" t="s">
        <v>3237</v>
      </c>
      <c r="F12" s="17" t="s">
        <v>3221</v>
      </c>
      <c r="G12" s="17" t="s">
        <v>3238</v>
      </c>
      <c r="H12" s="17" t="s">
        <v>3231</v>
      </c>
      <c r="I12" s="17" t="s">
        <v>2621</v>
      </c>
      <c r="J12" s="17">
        <v>-1867747.61</v>
      </c>
      <c r="K12" s="17" t="s">
        <v>3221</v>
      </c>
      <c r="L12" s="17" t="s">
        <v>70</v>
      </c>
      <c r="M12" s="17" t="s">
        <v>3240</v>
      </c>
      <c r="N12" s="17" t="s">
        <v>3243</v>
      </c>
      <c r="O12" s="17" t="s">
        <v>3237</v>
      </c>
      <c r="P12" s="17" t="s">
        <v>3244</v>
      </c>
      <c r="Q12" s="17" t="s">
        <v>3232</v>
      </c>
      <c r="R12" s="17" t="s">
        <v>56</v>
      </c>
      <c r="S12" s="17">
        <v>2113890</v>
      </c>
      <c r="T12" s="17" t="s">
        <v>56</v>
      </c>
      <c r="U12" s="17">
        <v>2113890</v>
      </c>
      <c r="V12" s="17" t="s">
        <v>332</v>
      </c>
      <c r="W12" s="17">
        <v>3511490</v>
      </c>
      <c r="X12" s="17" t="s">
        <v>3233</v>
      </c>
      <c r="Y12" s="17">
        <v>0.601992316651905</v>
      </c>
      <c r="Z12" s="17">
        <v>1.1317856806145199</v>
      </c>
      <c r="AA12" s="17" t="s">
        <v>2627</v>
      </c>
      <c r="AB12" s="17">
        <v>-1124369.7106649501</v>
      </c>
      <c r="AC12" s="17">
        <v>41270.074650000002</v>
      </c>
      <c r="AD12" s="17">
        <v>221622.39715</v>
      </c>
      <c r="AE12" s="17" t="s">
        <v>56</v>
      </c>
      <c r="AF12" s="17" t="s">
        <v>3234</v>
      </c>
      <c r="AG12" s="17" t="s">
        <v>3234</v>
      </c>
      <c r="AH12" s="17" t="s">
        <v>2635</v>
      </c>
      <c r="AI12" s="17" t="s">
        <v>939</v>
      </c>
      <c r="AJ12" s="17" t="s">
        <v>939</v>
      </c>
      <c r="AK12" s="17">
        <v>3511490</v>
      </c>
      <c r="AL12" s="17">
        <v>21951.387626036401</v>
      </c>
      <c r="AM12" s="17" t="s">
        <v>56</v>
      </c>
      <c r="AN12" s="17">
        <v>21951.387626</v>
      </c>
      <c r="AO12" s="17" t="s">
        <v>3234</v>
      </c>
      <c r="AP12" s="17">
        <v>117880.06655449601</v>
      </c>
      <c r="AQ12" s="17">
        <v>117880.066554</v>
      </c>
      <c r="AR12" s="17" t="s">
        <v>3234</v>
      </c>
      <c r="AS12" s="17" t="s">
        <v>56</v>
      </c>
      <c r="AT12" s="17" t="s">
        <v>56</v>
      </c>
      <c r="AU12" s="17" t="s">
        <v>2635</v>
      </c>
      <c r="AV12" s="17"/>
    </row>
    <row r="14" spans="2:48" x14ac:dyDescent="0.25">
      <c r="B14" t="s">
        <v>2642</v>
      </c>
      <c r="C14" s="2">
        <f>+J11</f>
        <v>-1867747.61</v>
      </c>
      <c r="D14" s="2"/>
    </row>
    <row r="15" spans="2:48" x14ac:dyDescent="0.25">
      <c r="B15" t="s">
        <v>2643</v>
      </c>
      <c r="C15" s="2">
        <v>2</v>
      </c>
      <c r="D15" s="2"/>
    </row>
    <row r="16" spans="2:48" x14ac:dyDescent="0.25">
      <c r="B16" t="s">
        <v>2649</v>
      </c>
      <c r="C16" s="2">
        <f>-C14/SUM(U11:U12)</f>
        <v>0.53189603558603327</v>
      </c>
      <c r="D16" s="2"/>
    </row>
    <row r="17" spans="2:177" x14ac:dyDescent="0.25">
      <c r="B17" t="s">
        <v>2644</v>
      </c>
      <c r="C17" s="2">
        <f>+AC11*$C$16</f>
        <v>16340.961386963048</v>
      </c>
      <c r="D17" s="2">
        <f>+AN11</f>
        <v>16340.960293</v>
      </c>
    </row>
    <row r="18" spans="2:177" x14ac:dyDescent="0.25">
      <c r="B18" t="s">
        <v>2645</v>
      </c>
      <c r="C18" s="2">
        <f>+AC12*$C$16</f>
        <v>21951.389094674651</v>
      </c>
      <c r="D18" s="2">
        <f>+AN12</f>
        <v>21951.387626</v>
      </c>
    </row>
    <row r="19" spans="2:177" x14ac:dyDescent="0.25">
      <c r="B19" s="3" t="s">
        <v>2647</v>
      </c>
      <c r="C19" s="30">
        <f>+SUM(C17:C18)</f>
        <v>38292.350481637695</v>
      </c>
      <c r="D19" s="2"/>
    </row>
    <row r="20" spans="2:177" x14ac:dyDescent="0.25">
      <c r="B20" s="3"/>
      <c r="C20" s="30"/>
      <c r="D20" s="2"/>
    </row>
    <row r="21" spans="2:177" x14ac:dyDescent="0.25">
      <c r="B21" s="3"/>
      <c r="C21" s="30"/>
      <c r="D21" s="2"/>
      <c r="BX21" t="s">
        <v>2841</v>
      </c>
    </row>
    <row r="22" spans="2:177" x14ac:dyDescent="0.25">
      <c r="B22" s="41" t="s">
        <v>2556</v>
      </c>
      <c r="C22" s="41" t="s">
        <v>2613</v>
      </c>
      <c r="D22" s="41" t="s">
        <v>2616</v>
      </c>
      <c r="E22" s="41" t="s">
        <v>2619</v>
      </c>
      <c r="F22" s="41" t="s">
        <v>2902</v>
      </c>
      <c r="G22" s="41" t="s">
        <v>2903</v>
      </c>
      <c r="H22" s="41" t="s">
        <v>3360</v>
      </c>
      <c r="I22" s="41" t="s">
        <v>3361</v>
      </c>
      <c r="J22" s="41" t="s">
        <v>3362</v>
      </c>
      <c r="K22" s="41" t="s">
        <v>2556</v>
      </c>
      <c r="L22" s="41" t="s">
        <v>3363</v>
      </c>
      <c r="M22" s="41" t="s">
        <v>2556</v>
      </c>
      <c r="N22" s="41" t="s">
        <v>3364</v>
      </c>
      <c r="O22" s="41" t="s">
        <v>3365</v>
      </c>
      <c r="P22" s="41" t="s">
        <v>2556</v>
      </c>
      <c r="Q22" s="41" t="s">
        <v>3366</v>
      </c>
      <c r="R22" s="41" t="s">
        <v>3367</v>
      </c>
      <c r="S22" s="41" t="s">
        <v>3368</v>
      </c>
      <c r="T22" s="41" t="s">
        <v>3369</v>
      </c>
      <c r="U22" s="41" t="s">
        <v>3370</v>
      </c>
      <c r="V22" s="41" t="s">
        <v>3371</v>
      </c>
      <c r="W22" s="41" t="s">
        <v>3372</v>
      </c>
      <c r="X22" s="41" t="s">
        <v>3368</v>
      </c>
      <c r="Y22" s="41" t="s">
        <v>3364</v>
      </c>
      <c r="Z22" s="41" t="s">
        <v>3373</v>
      </c>
      <c r="AA22" s="41" t="s">
        <v>3374</v>
      </c>
      <c r="AB22" s="41" t="s">
        <v>3375</v>
      </c>
      <c r="AC22" s="41" t="s">
        <v>3376</v>
      </c>
      <c r="AD22" s="41" t="s">
        <v>2917</v>
      </c>
      <c r="AE22" s="41" t="s">
        <v>2918</v>
      </c>
      <c r="AF22" s="41" t="s">
        <v>3377</v>
      </c>
      <c r="AG22" s="41" t="s">
        <v>3378</v>
      </c>
      <c r="AH22" s="41" t="s">
        <v>3379</v>
      </c>
      <c r="AI22" s="41" t="s">
        <v>2669</v>
      </c>
      <c r="AJ22" s="41" t="s">
        <v>3380</v>
      </c>
      <c r="AK22" s="41" t="s">
        <v>3381</v>
      </c>
      <c r="AL22" s="41" t="s">
        <v>3339</v>
      </c>
      <c r="AM22" s="41" t="s">
        <v>3340</v>
      </c>
      <c r="AN22" s="41" t="s">
        <v>3382</v>
      </c>
      <c r="AO22" s="41" t="s">
        <v>3383</v>
      </c>
      <c r="AP22" s="41" t="s">
        <v>3384</v>
      </c>
      <c r="AQ22" s="41" t="s">
        <v>3385</v>
      </c>
      <c r="AR22" s="41" t="s">
        <v>3370</v>
      </c>
      <c r="AS22" s="41" t="s">
        <v>3371</v>
      </c>
      <c r="AT22" s="41" t="s">
        <v>3372</v>
      </c>
      <c r="AU22" s="41" t="s">
        <v>3368</v>
      </c>
      <c r="AV22" s="41" t="s">
        <v>3364</v>
      </c>
      <c r="AW22" s="41" t="s">
        <v>3373</v>
      </c>
      <c r="AX22" s="41" t="s">
        <v>3374</v>
      </c>
      <c r="AY22" s="41" t="s">
        <v>3375</v>
      </c>
      <c r="AZ22" s="41" t="s">
        <v>3376</v>
      </c>
      <c r="BA22" s="41" t="s">
        <v>2917</v>
      </c>
      <c r="BB22" s="41" t="s">
        <v>2918</v>
      </c>
      <c r="BC22" s="41" t="s">
        <v>3377</v>
      </c>
      <c r="BD22" s="41" t="s">
        <v>3378</v>
      </c>
      <c r="BE22" s="41" t="s">
        <v>3379</v>
      </c>
      <c r="BF22" s="41" t="s">
        <v>2669</v>
      </c>
      <c r="BG22" s="41" t="s">
        <v>3380</v>
      </c>
      <c r="BH22" s="41" t="s">
        <v>3381</v>
      </c>
      <c r="BI22" s="41" t="s">
        <v>3339</v>
      </c>
      <c r="BJ22" s="41" t="s">
        <v>3340</v>
      </c>
      <c r="BK22" s="41" t="s">
        <v>3382</v>
      </c>
      <c r="BL22" s="41" t="s">
        <v>3383</v>
      </c>
      <c r="BM22" s="41" t="s">
        <v>3384</v>
      </c>
      <c r="BN22" s="41" t="s">
        <v>3385</v>
      </c>
      <c r="BO22" s="41" t="s">
        <v>3370</v>
      </c>
      <c r="BP22" s="41" t="s">
        <v>3371</v>
      </c>
      <c r="BQ22" s="41" t="s">
        <v>3372</v>
      </c>
      <c r="BR22" s="41" t="s">
        <v>3368</v>
      </c>
      <c r="BS22" s="41" t="s">
        <v>3364</v>
      </c>
      <c r="BT22" s="41" t="s">
        <v>3373</v>
      </c>
      <c r="BU22" s="41" t="s">
        <v>3374</v>
      </c>
      <c r="BV22" s="41" t="s">
        <v>3375</v>
      </c>
      <c r="BW22" s="41" t="s">
        <v>3376</v>
      </c>
      <c r="BX22" s="41" t="s">
        <v>2917</v>
      </c>
      <c r="BY22" s="41" t="s">
        <v>2918</v>
      </c>
      <c r="BZ22" s="41" t="s">
        <v>3377</v>
      </c>
      <c r="CA22" s="41" t="s">
        <v>3378</v>
      </c>
      <c r="CB22" s="41" t="s">
        <v>3379</v>
      </c>
      <c r="CC22" s="41" t="s">
        <v>2669</v>
      </c>
      <c r="CD22" s="41" t="s">
        <v>3380</v>
      </c>
      <c r="CE22" s="41" t="s">
        <v>3381</v>
      </c>
      <c r="CF22" s="41" t="s">
        <v>3339</v>
      </c>
      <c r="CG22" s="41" t="s">
        <v>3340</v>
      </c>
      <c r="CH22" s="41" t="s">
        <v>3382</v>
      </c>
      <c r="CI22" s="41" t="s">
        <v>3383</v>
      </c>
      <c r="CJ22" s="41" t="s">
        <v>3384</v>
      </c>
      <c r="CK22" s="41" t="s">
        <v>3385</v>
      </c>
      <c r="CL22" s="41" t="s">
        <v>3370</v>
      </c>
      <c r="CM22" s="41" t="s">
        <v>3371</v>
      </c>
      <c r="CN22" s="41" t="s">
        <v>3372</v>
      </c>
      <c r="CO22" s="41" t="s">
        <v>3368</v>
      </c>
      <c r="CP22" s="41" t="s">
        <v>3364</v>
      </c>
      <c r="CQ22" s="41" t="s">
        <v>3373</v>
      </c>
      <c r="CR22" s="41" t="s">
        <v>3374</v>
      </c>
      <c r="CS22" s="41" t="s">
        <v>3375</v>
      </c>
      <c r="CT22" s="41" t="s">
        <v>3376</v>
      </c>
      <c r="CU22" s="41" t="s">
        <v>2917</v>
      </c>
      <c r="CV22" s="41" t="s">
        <v>2918</v>
      </c>
      <c r="CW22" s="41" t="s">
        <v>3377</v>
      </c>
      <c r="CX22" s="41" t="s">
        <v>3378</v>
      </c>
      <c r="CY22" s="41" t="s">
        <v>3379</v>
      </c>
      <c r="CZ22" s="41" t="s">
        <v>2669</v>
      </c>
      <c r="DA22" s="41" t="s">
        <v>3380</v>
      </c>
      <c r="DB22" s="41" t="s">
        <v>3381</v>
      </c>
      <c r="DC22" s="41" t="s">
        <v>3339</v>
      </c>
      <c r="DD22" s="41" t="s">
        <v>3340</v>
      </c>
      <c r="DE22" s="41" t="s">
        <v>3382</v>
      </c>
      <c r="DF22" s="41" t="s">
        <v>3383</v>
      </c>
      <c r="DG22" s="41" t="s">
        <v>3384</v>
      </c>
      <c r="DH22" s="41" t="s">
        <v>3385</v>
      </c>
      <c r="DI22" s="41" t="s">
        <v>3370</v>
      </c>
      <c r="DJ22" s="41" t="s">
        <v>3371</v>
      </c>
      <c r="DK22" s="41" t="s">
        <v>3372</v>
      </c>
      <c r="DL22" s="41" t="s">
        <v>3368</v>
      </c>
      <c r="DM22" s="41" t="s">
        <v>3364</v>
      </c>
      <c r="DN22" s="41" t="s">
        <v>3373</v>
      </c>
      <c r="DO22" s="41" t="s">
        <v>3374</v>
      </c>
      <c r="DP22" s="41" t="s">
        <v>3375</v>
      </c>
      <c r="DQ22" s="41" t="s">
        <v>3376</v>
      </c>
      <c r="DR22" s="41" t="s">
        <v>2917</v>
      </c>
      <c r="DS22" s="41" t="s">
        <v>2918</v>
      </c>
      <c r="DT22" s="41" t="s">
        <v>3377</v>
      </c>
      <c r="DU22" s="41" t="s">
        <v>3378</v>
      </c>
      <c r="DV22" s="41" t="s">
        <v>3379</v>
      </c>
      <c r="DW22" s="41" t="s">
        <v>2669</v>
      </c>
      <c r="DX22" s="41" t="s">
        <v>3380</v>
      </c>
      <c r="DY22" s="41" t="s">
        <v>3381</v>
      </c>
      <c r="DZ22" s="41" t="s">
        <v>3339</v>
      </c>
      <c r="EA22" s="41" t="s">
        <v>3340</v>
      </c>
      <c r="EB22" s="41" t="s">
        <v>3382</v>
      </c>
      <c r="EC22" s="41" t="s">
        <v>3383</v>
      </c>
      <c r="ED22" s="41" t="s">
        <v>3384</v>
      </c>
      <c r="EE22" s="41" t="s">
        <v>3385</v>
      </c>
      <c r="EF22" s="41" t="s">
        <v>2556</v>
      </c>
      <c r="EG22" s="41" t="s">
        <v>3386</v>
      </c>
      <c r="EH22" s="41" t="s">
        <v>2562</v>
      </c>
      <c r="EI22" s="41" t="s">
        <v>3385</v>
      </c>
      <c r="EJ22" s="17"/>
    </row>
    <row r="23" spans="2:177" x14ac:dyDescent="0.25">
      <c r="B23" s="41" t="s">
        <v>3244</v>
      </c>
      <c r="C23" s="41" t="s">
        <v>3234</v>
      </c>
      <c r="D23" s="41" t="s">
        <v>3234</v>
      </c>
      <c r="E23" s="41" t="s">
        <v>56</v>
      </c>
      <c r="F23" s="41">
        <v>41270.074650000002</v>
      </c>
      <c r="G23" s="41">
        <v>221622.39715</v>
      </c>
      <c r="H23" s="41" t="s">
        <v>3387</v>
      </c>
      <c r="I23" s="41" t="s">
        <v>3387</v>
      </c>
      <c r="J23" s="41" t="s">
        <v>56</v>
      </c>
      <c r="K23" s="41" t="s">
        <v>3244</v>
      </c>
      <c r="L23" s="41">
        <v>3804500</v>
      </c>
      <c r="M23" s="41" t="s">
        <v>56</v>
      </c>
      <c r="N23" s="41" t="s">
        <v>56</v>
      </c>
      <c r="O23" s="41" t="s">
        <v>56</v>
      </c>
      <c r="P23" s="41" t="s">
        <v>3244</v>
      </c>
      <c r="Q23" s="41" t="s">
        <v>3320</v>
      </c>
      <c r="R23" s="41" t="s">
        <v>3388</v>
      </c>
      <c r="S23" s="41" t="s">
        <v>3389</v>
      </c>
      <c r="T23" s="41" t="s">
        <v>3389</v>
      </c>
      <c r="U23" s="41" t="s">
        <v>56</v>
      </c>
      <c r="V23" s="41" t="s">
        <v>56</v>
      </c>
      <c r="W23" s="41" t="s">
        <v>56</v>
      </c>
      <c r="X23" s="41" t="s">
        <v>56</v>
      </c>
      <c r="Y23" s="41" t="s">
        <v>56</v>
      </c>
      <c r="Z23" s="41" t="s">
        <v>56</v>
      </c>
      <c r="AA23" s="41" t="s">
        <v>56</v>
      </c>
      <c r="AB23" s="41" t="s">
        <v>56</v>
      </c>
      <c r="AC23" s="41" t="s">
        <v>56</v>
      </c>
      <c r="AD23" s="41" t="s">
        <v>56</v>
      </c>
      <c r="AE23" s="41" t="s">
        <v>56</v>
      </c>
      <c r="AF23" s="41" t="s">
        <v>56</v>
      </c>
      <c r="AG23" s="41" t="s">
        <v>56</v>
      </c>
      <c r="AH23" s="41" t="s">
        <v>56</v>
      </c>
      <c r="AI23" s="41" t="s">
        <v>56</v>
      </c>
      <c r="AJ23" s="41" t="s">
        <v>56</v>
      </c>
      <c r="AK23" s="41" t="s">
        <v>56</v>
      </c>
      <c r="AL23" s="41" t="s">
        <v>56</v>
      </c>
      <c r="AM23" s="41" t="s">
        <v>56</v>
      </c>
      <c r="AN23" s="41" t="s">
        <v>56</v>
      </c>
      <c r="AO23" s="41" t="s">
        <v>56</v>
      </c>
      <c r="AP23" s="41" t="s">
        <v>56</v>
      </c>
      <c r="AQ23" s="41" t="s">
        <v>56</v>
      </c>
      <c r="AR23" s="41" t="s">
        <v>56</v>
      </c>
      <c r="AS23" s="41" t="s">
        <v>56</v>
      </c>
      <c r="AT23" s="41" t="s">
        <v>56</v>
      </c>
      <c r="AU23" s="41" t="s">
        <v>56</v>
      </c>
      <c r="AV23" s="41" t="s">
        <v>56</v>
      </c>
      <c r="AW23" s="41" t="s">
        <v>56</v>
      </c>
      <c r="AX23" s="41" t="s">
        <v>56</v>
      </c>
      <c r="AY23" s="41" t="s">
        <v>56</v>
      </c>
      <c r="AZ23" s="41" t="s">
        <v>56</v>
      </c>
      <c r="BA23" s="41" t="s">
        <v>56</v>
      </c>
      <c r="BB23" s="41" t="s">
        <v>56</v>
      </c>
      <c r="BC23" s="41" t="s">
        <v>56</v>
      </c>
      <c r="BD23" s="41" t="s">
        <v>56</v>
      </c>
      <c r="BE23" s="41" t="s">
        <v>56</v>
      </c>
      <c r="BF23" s="41" t="s">
        <v>56</v>
      </c>
      <c r="BG23" s="41" t="s">
        <v>56</v>
      </c>
      <c r="BH23" s="41" t="s">
        <v>56</v>
      </c>
      <c r="BI23" s="41" t="s">
        <v>56</v>
      </c>
      <c r="BJ23" s="41" t="s">
        <v>56</v>
      </c>
      <c r="BK23" s="41" t="s">
        <v>56</v>
      </c>
      <c r="BL23" s="41" t="s">
        <v>56</v>
      </c>
      <c r="BM23" s="41" t="s">
        <v>56</v>
      </c>
      <c r="BN23" s="41" t="s">
        <v>56</v>
      </c>
      <c r="BO23" s="41" t="s">
        <v>2863</v>
      </c>
      <c r="BP23" s="41" t="s">
        <v>56</v>
      </c>
      <c r="BQ23" s="41" t="s">
        <v>3312</v>
      </c>
      <c r="BR23" s="41" t="s">
        <v>3312</v>
      </c>
      <c r="BS23" s="41" t="s">
        <v>56</v>
      </c>
      <c r="BT23" s="41" t="s">
        <v>3390</v>
      </c>
      <c r="BU23" s="41" t="s">
        <v>3391</v>
      </c>
      <c r="BV23" s="41" t="s">
        <v>3392</v>
      </c>
      <c r="BW23" s="41" t="s">
        <v>3387</v>
      </c>
      <c r="BX23" s="41">
        <v>1.08477E-2</v>
      </c>
      <c r="BY23" s="41">
        <v>5.8252699999999998E-2</v>
      </c>
      <c r="BZ23" s="41" t="s">
        <v>2818</v>
      </c>
      <c r="CA23" s="41" t="s">
        <v>3309</v>
      </c>
      <c r="CB23" s="41" t="s">
        <v>3393</v>
      </c>
      <c r="CC23" s="41" t="s">
        <v>2862</v>
      </c>
      <c r="CD23" s="41" t="s">
        <v>3395</v>
      </c>
      <c r="CE23" s="41" t="s">
        <v>3394</v>
      </c>
      <c r="CF23" s="42">
        <v>45855.718723668979</v>
      </c>
      <c r="CG23" s="41" t="s">
        <v>3396</v>
      </c>
      <c r="CH23" s="41" t="s">
        <v>939</v>
      </c>
      <c r="CI23" s="41" t="s">
        <v>56</v>
      </c>
      <c r="CJ23" s="41" t="s">
        <v>3389</v>
      </c>
      <c r="CK23" s="41" t="s">
        <v>939</v>
      </c>
      <c r="CL23" s="41" t="s">
        <v>56</v>
      </c>
      <c r="CM23" s="41" t="s">
        <v>56</v>
      </c>
      <c r="CN23" s="41" t="s">
        <v>56</v>
      </c>
      <c r="CO23" s="41" t="s">
        <v>56</v>
      </c>
      <c r="CP23" s="41" t="s">
        <v>56</v>
      </c>
      <c r="CQ23" s="41" t="s">
        <v>56</v>
      </c>
      <c r="CR23" s="41" t="s">
        <v>56</v>
      </c>
      <c r="CS23" s="41" t="s">
        <v>56</v>
      </c>
      <c r="CT23" s="41" t="s">
        <v>56</v>
      </c>
      <c r="CU23" s="41" t="s">
        <v>56</v>
      </c>
      <c r="CV23" s="41" t="s">
        <v>56</v>
      </c>
      <c r="CW23" s="41" t="s">
        <v>56</v>
      </c>
      <c r="CX23" s="41" t="s">
        <v>56</v>
      </c>
      <c r="CY23" s="41" t="s">
        <v>56</v>
      </c>
      <c r="CZ23" s="41" t="s">
        <v>56</v>
      </c>
      <c r="DA23" s="41" t="s">
        <v>56</v>
      </c>
      <c r="DB23" s="41" t="s">
        <v>56</v>
      </c>
      <c r="DC23" s="41" t="s">
        <v>56</v>
      </c>
      <c r="DD23" s="41" t="s">
        <v>56</v>
      </c>
      <c r="DE23" s="41" t="s">
        <v>56</v>
      </c>
      <c r="DF23" s="41" t="s">
        <v>56</v>
      </c>
      <c r="DG23" s="41" t="s">
        <v>56</v>
      </c>
      <c r="DH23" s="41" t="s">
        <v>56</v>
      </c>
      <c r="DI23" s="41" t="s">
        <v>56</v>
      </c>
      <c r="DJ23" s="41" t="s">
        <v>56</v>
      </c>
      <c r="DK23" s="41" t="s">
        <v>56</v>
      </c>
      <c r="DL23" s="41" t="s">
        <v>56</v>
      </c>
      <c r="DM23" s="41" t="s">
        <v>56</v>
      </c>
      <c r="DN23" s="41" t="s">
        <v>56</v>
      </c>
      <c r="DO23" s="41" t="s">
        <v>56</v>
      </c>
      <c r="DP23" s="41" t="s">
        <v>56</v>
      </c>
      <c r="DQ23" s="41" t="s">
        <v>56</v>
      </c>
      <c r="DR23" s="41" t="s">
        <v>56</v>
      </c>
      <c r="DS23" s="41" t="s">
        <v>56</v>
      </c>
      <c r="DT23" s="41" t="s">
        <v>56</v>
      </c>
      <c r="DU23" s="41" t="s">
        <v>56</v>
      </c>
      <c r="DV23" s="41" t="s">
        <v>56</v>
      </c>
      <c r="DW23" s="41" t="s">
        <v>56</v>
      </c>
      <c r="DX23" s="41" t="s">
        <v>56</v>
      </c>
      <c r="DY23" s="41" t="s">
        <v>56</v>
      </c>
      <c r="DZ23" s="41" t="s">
        <v>56</v>
      </c>
      <c r="EA23" s="41" t="s">
        <v>56</v>
      </c>
      <c r="EB23" s="41" t="s">
        <v>56</v>
      </c>
      <c r="EC23" s="41" t="s">
        <v>56</v>
      </c>
      <c r="ED23" s="41" t="s">
        <v>56</v>
      </c>
      <c r="EE23" s="41" t="s">
        <v>56</v>
      </c>
      <c r="EF23" s="41" t="s">
        <v>3244</v>
      </c>
      <c r="EG23" s="41" t="s">
        <v>3221</v>
      </c>
      <c r="EH23" s="41" t="s">
        <v>332</v>
      </c>
      <c r="EI23" s="41" t="s">
        <v>939</v>
      </c>
      <c r="EJ23" s="17"/>
    </row>
    <row r="24" spans="2:177" x14ac:dyDescent="0.25">
      <c r="B24" s="41" t="s">
        <v>3242</v>
      </c>
      <c r="C24" s="41" t="s">
        <v>3234</v>
      </c>
      <c r="D24" s="41" t="s">
        <v>3234</v>
      </c>
      <c r="E24" s="41" t="s">
        <v>56</v>
      </c>
      <c r="F24" s="41">
        <v>30722.096601000001</v>
      </c>
      <c r="G24" s="41">
        <v>164979.219251</v>
      </c>
      <c r="H24" s="41" t="s">
        <v>3387</v>
      </c>
      <c r="I24" s="41" t="s">
        <v>3387</v>
      </c>
      <c r="J24" s="41" t="s">
        <v>56</v>
      </c>
      <c r="K24" s="41" t="s">
        <v>3242</v>
      </c>
      <c r="L24" s="41">
        <v>2832130</v>
      </c>
      <c r="M24" s="41" t="s">
        <v>56</v>
      </c>
      <c r="N24" s="41" t="s">
        <v>56</v>
      </c>
      <c r="O24" s="41" t="s">
        <v>56</v>
      </c>
      <c r="P24" s="41" t="s">
        <v>3242</v>
      </c>
      <c r="Q24" s="41" t="s">
        <v>3320</v>
      </c>
      <c r="R24" s="41" t="s">
        <v>3388</v>
      </c>
      <c r="S24" s="41" t="s">
        <v>3389</v>
      </c>
      <c r="T24" s="41" t="s">
        <v>3389</v>
      </c>
      <c r="U24" s="41" t="s">
        <v>56</v>
      </c>
      <c r="V24" s="41" t="s">
        <v>56</v>
      </c>
      <c r="W24" s="41" t="s">
        <v>56</v>
      </c>
      <c r="X24" s="41" t="s">
        <v>56</v>
      </c>
      <c r="Y24" s="41" t="s">
        <v>56</v>
      </c>
      <c r="Z24" s="41" t="s">
        <v>56</v>
      </c>
      <c r="AA24" s="41" t="s">
        <v>56</v>
      </c>
      <c r="AB24" s="41" t="s">
        <v>56</v>
      </c>
      <c r="AC24" s="41" t="s">
        <v>56</v>
      </c>
      <c r="AD24" s="41" t="s">
        <v>56</v>
      </c>
      <c r="AE24" s="41" t="s">
        <v>56</v>
      </c>
      <c r="AF24" s="41" t="s">
        <v>56</v>
      </c>
      <c r="AG24" s="41" t="s">
        <v>56</v>
      </c>
      <c r="AH24" s="41" t="s">
        <v>56</v>
      </c>
      <c r="AI24" s="41" t="s">
        <v>56</v>
      </c>
      <c r="AJ24" s="41" t="s">
        <v>56</v>
      </c>
      <c r="AK24" s="41" t="s">
        <v>56</v>
      </c>
      <c r="AL24" s="41" t="s">
        <v>56</v>
      </c>
      <c r="AM24" s="41" t="s">
        <v>56</v>
      </c>
      <c r="AN24" s="41" t="s">
        <v>56</v>
      </c>
      <c r="AO24" s="41" t="s">
        <v>56</v>
      </c>
      <c r="AP24" s="41" t="s">
        <v>56</v>
      </c>
      <c r="AQ24" s="41" t="s">
        <v>56</v>
      </c>
      <c r="AR24" s="41" t="s">
        <v>56</v>
      </c>
      <c r="AS24" s="41" t="s">
        <v>56</v>
      </c>
      <c r="AT24" s="41" t="s">
        <v>56</v>
      </c>
      <c r="AU24" s="41" t="s">
        <v>56</v>
      </c>
      <c r="AV24" s="41" t="s">
        <v>56</v>
      </c>
      <c r="AW24" s="41" t="s">
        <v>56</v>
      </c>
      <c r="AX24" s="41" t="s">
        <v>56</v>
      </c>
      <c r="AY24" s="41" t="s">
        <v>56</v>
      </c>
      <c r="AZ24" s="41" t="s">
        <v>56</v>
      </c>
      <c r="BA24" s="41" t="s">
        <v>56</v>
      </c>
      <c r="BB24" s="41" t="s">
        <v>56</v>
      </c>
      <c r="BC24" s="41" t="s">
        <v>56</v>
      </c>
      <c r="BD24" s="41" t="s">
        <v>56</v>
      </c>
      <c r="BE24" s="41" t="s">
        <v>56</v>
      </c>
      <c r="BF24" s="41" t="s">
        <v>56</v>
      </c>
      <c r="BG24" s="41" t="s">
        <v>56</v>
      </c>
      <c r="BH24" s="41" t="s">
        <v>56</v>
      </c>
      <c r="BI24" s="41" t="s">
        <v>56</v>
      </c>
      <c r="BJ24" s="41" t="s">
        <v>56</v>
      </c>
      <c r="BK24" s="41" t="s">
        <v>56</v>
      </c>
      <c r="BL24" s="41" t="s">
        <v>56</v>
      </c>
      <c r="BM24" s="41" t="s">
        <v>56</v>
      </c>
      <c r="BN24" s="41" t="s">
        <v>56</v>
      </c>
      <c r="BO24" s="41" t="s">
        <v>2863</v>
      </c>
      <c r="BP24" s="41" t="s">
        <v>56</v>
      </c>
      <c r="BQ24" s="41" t="s">
        <v>3312</v>
      </c>
      <c r="BR24" s="41" t="s">
        <v>3312</v>
      </c>
      <c r="BS24" s="41" t="s">
        <v>56</v>
      </c>
      <c r="BT24" s="41" t="s">
        <v>3390</v>
      </c>
      <c r="BU24" s="41" t="s">
        <v>3391</v>
      </c>
      <c r="BV24" s="41" t="s">
        <v>3392</v>
      </c>
      <c r="BW24" s="41" t="s">
        <v>3387</v>
      </c>
      <c r="BX24" s="41">
        <v>1.08477E-2</v>
      </c>
      <c r="BY24" s="41">
        <v>5.8252699999999998E-2</v>
      </c>
      <c r="BZ24" s="41" t="s">
        <v>2818</v>
      </c>
      <c r="CA24" s="41" t="s">
        <v>3309</v>
      </c>
      <c r="CB24" s="41" t="s">
        <v>3393</v>
      </c>
      <c r="CC24" s="41" t="s">
        <v>2862</v>
      </c>
      <c r="CD24" s="41" t="s">
        <v>3395</v>
      </c>
      <c r="CE24" s="41" t="s">
        <v>3394</v>
      </c>
      <c r="CF24" s="42">
        <v>45855.718723668979</v>
      </c>
      <c r="CG24" s="41" t="s">
        <v>3396</v>
      </c>
      <c r="CH24" s="41" t="s">
        <v>939</v>
      </c>
      <c r="CI24" s="41" t="s">
        <v>56</v>
      </c>
      <c r="CJ24" s="41" t="s">
        <v>3389</v>
      </c>
      <c r="CK24" s="41" t="s">
        <v>939</v>
      </c>
      <c r="CL24" s="41" t="s">
        <v>56</v>
      </c>
      <c r="CM24" s="41" t="s">
        <v>56</v>
      </c>
      <c r="CN24" s="41" t="s">
        <v>56</v>
      </c>
      <c r="CO24" s="41" t="s">
        <v>56</v>
      </c>
      <c r="CP24" s="41" t="s">
        <v>56</v>
      </c>
      <c r="CQ24" s="41" t="s">
        <v>56</v>
      </c>
      <c r="CR24" s="41" t="s">
        <v>56</v>
      </c>
      <c r="CS24" s="41" t="s">
        <v>56</v>
      </c>
      <c r="CT24" s="41" t="s">
        <v>56</v>
      </c>
      <c r="CU24" s="41" t="s">
        <v>56</v>
      </c>
      <c r="CV24" s="41" t="s">
        <v>56</v>
      </c>
      <c r="CW24" s="41" t="s">
        <v>56</v>
      </c>
      <c r="CX24" s="41" t="s">
        <v>56</v>
      </c>
      <c r="CY24" s="41" t="s">
        <v>56</v>
      </c>
      <c r="CZ24" s="41" t="s">
        <v>56</v>
      </c>
      <c r="DA24" s="41" t="s">
        <v>56</v>
      </c>
      <c r="DB24" s="41" t="s">
        <v>56</v>
      </c>
      <c r="DC24" s="41" t="s">
        <v>56</v>
      </c>
      <c r="DD24" s="41" t="s">
        <v>56</v>
      </c>
      <c r="DE24" s="41" t="s">
        <v>56</v>
      </c>
      <c r="DF24" s="41" t="s">
        <v>56</v>
      </c>
      <c r="DG24" s="41" t="s">
        <v>56</v>
      </c>
      <c r="DH24" s="41" t="s">
        <v>56</v>
      </c>
      <c r="DI24" s="41" t="s">
        <v>56</v>
      </c>
      <c r="DJ24" s="41" t="s">
        <v>56</v>
      </c>
      <c r="DK24" s="41" t="s">
        <v>56</v>
      </c>
      <c r="DL24" s="41" t="s">
        <v>56</v>
      </c>
      <c r="DM24" s="41" t="s">
        <v>56</v>
      </c>
      <c r="DN24" s="41" t="s">
        <v>56</v>
      </c>
      <c r="DO24" s="41" t="s">
        <v>56</v>
      </c>
      <c r="DP24" s="41" t="s">
        <v>56</v>
      </c>
      <c r="DQ24" s="41" t="s">
        <v>56</v>
      </c>
      <c r="DR24" s="41" t="s">
        <v>56</v>
      </c>
      <c r="DS24" s="41" t="s">
        <v>56</v>
      </c>
      <c r="DT24" s="41" t="s">
        <v>56</v>
      </c>
      <c r="DU24" s="41" t="s">
        <v>56</v>
      </c>
      <c r="DV24" s="41" t="s">
        <v>56</v>
      </c>
      <c r="DW24" s="41" t="s">
        <v>56</v>
      </c>
      <c r="DX24" s="41" t="s">
        <v>56</v>
      </c>
      <c r="DY24" s="41" t="s">
        <v>56</v>
      </c>
      <c r="DZ24" s="41" t="s">
        <v>56</v>
      </c>
      <c r="EA24" s="41" t="s">
        <v>56</v>
      </c>
      <c r="EB24" s="41" t="s">
        <v>56</v>
      </c>
      <c r="EC24" s="41" t="s">
        <v>56</v>
      </c>
      <c r="ED24" s="41" t="s">
        <v>56</v>
      </c>
      <c r="EE24" s="41" t="s">
        <v>56</v>
      </c>
      <c r="EF24" s="41" t="s">
        <v>3242</v>
      </c>
      <c r="EG24" s="41" t="s">
        <v>3221</v>
      </c>
      <c r="EH24" s="41" t="s">
        <v>332</v>
      </c>
      <c r="EI24" s="41" t="s">
        <v>939</v>
      </c>
      <c r="EJ24" s="17"/>
    </row>
    <row r="25" spans="2:177" x14ac:dyDescent="0.25">
      <c r="B25" s="41"/>
      <c r="C25" s="41"/>
      <c r="D25" s="41"/>
      <c r="E25" s="41"/>
      <c r="F25" s="44">
        <f>+L23*BX23</f>
        <v>41270.074650000002</v>
      </c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2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17"/>
    </row>
    <row r="26" spans="2:177" x14ac:dyDescent="0.25">
      <c r="B26" s="41"/>
      <c r="C26" s="41"/>
      <c r="D26" s="41"/>
      <c r="E26" s="41"/>
      <c r="F26" s="44">
        <f>+L24*BX24</f>
        <v>30722.096601000001</v>
      </c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2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17"/>
    </row>
    <row r="27" spans="2:177" x14ac:dyDescent="0.25">
      <c r="B27" s="3"/>
      <c r="C27" s="30"/>
      <c r="D27" s="2"/>
    </row>
    <row r="28" spans="2:177" x14ac:dyDescent="0.25">
      <c r="B28" s="3" t="s">
        <v>3398</v>
      </c>
      <c r="C28" s="43" t="s">
        <v>3399</v>
      </c>
      <c r="D28" s="2"/>
    </row>
    <row r="29" spans="2:177" x14ac:dyDescent="0.25">
      <c r="B29" s="3"/>
      <c r="C29" s="30"/>
      <c r="D29" s="2"/>
    </row>
    <row r="30" spans="2:177" s="15" customFormat="1" x14ac:dyDescent="0.25">
      <c r="B30" s="26" t="s">
        <v>2648</v>
      </c>
    </row>
    <row r="32" spans="2:177" x14ac:dyDescent="0.25">
      <c r="B32" s="18" t="s">
        <v>3322</v>
      </c>
      <c r="DF32" t="s">
        <v>2841</v>
      </c>
      <c r="EX32" t="s">
        <v>2841</v>
      </c>
      <c r="EY32" t="s">
        <v>2841</v>
      </c>
      <c r="FC32" t="s">
        <v>2841</v>
      </c>
      <c r="FU32" t="s">
        <v>2841</v>
      </c>
    </row>
    <row r="33" spans="2:193" x14ac:dyDescent="0.25">
      <c r="B33" s="17" t="s">
        <v>2820</v>
      </c>
      <c r="C33" s="17" t="s">
        <v>31</v>
      </c>
      <c r="D33" s="17" t="s">
        <v>32</v>
      </c>
      <c r="E33" s="17" t="s">
        <v>33</v>
      </c>
      <c r="F33" s="17" t="s">
        <v>34</v>
      </c>
      <c r="G33" s="17" t="s">
        <v>2550</v>
      </c>
      <c r="H33" s="17" t="s">
        <v>2650</v>
      </c>
      <c r="I33" s="17" t="s">
        <v>2651</v>
      </c>
      <c r="J33" s="17" t="s">
        <v>2652</v>
      </c>
      <c r="K33" s="17" t="s">
        <v>2653</v>
      </c>
      <c r="L33" s="17" t="s">
        <v>2654</v>
      </c>
      <c r="M33" s="17" t="s">
        <v>2655</v>
      </c>
      <c r="N33" s="17" t="s">
        <v>2656</v>
      </c>
      <c r="O33" s="17" t="s">
        <v>2657</v>
      </c>
      <c r="P33" s="17" t="s">
        <v>2658</v>
      </c>
      <c r="Q33" s="17" t="s">
        <v>2659</v>
      </c>
      <c r="R33" s="17" t="s">
        <v>2821</v>
      </c>
      <c r="S33" s="17" t="s">
        <v>2586</v>
      </c>
      <c r="T33" s="17" t="s">
        <v>2660</v>
      </c>
      <c r="U33" s="17" t="s">
        <v>2661</v>
      </c>
      <c r="V33" s="17" t="s">
        <v>2662</v>
      </c>
      <c r="W33" s="17" t="s">
        <v>2663</v>
      </c>
      <c r="X33" s="17" t="s">
        <v>2664</v>
      </c>
      <c r="Y33" s="17" t="s">
        <v>2665</v>
      </c>
      <c r="Z33" s="17" t="s">
        <v>2666</v>
      </c>
      <c r="AA33" s="17" t="s">
        <v>2667</v>
      </c>
      <c r="AB33" s="17" t="s">
        <v>2668</v>
      </c>
      <c r="AC33" s="17" t="s">
        <v>2670</v>
      </c>
      <c r="AD33" s="17" t="s">
        <v>2669</v>
      </c>
      <c r="AE33" s="17" t="s">
        <v>2568</v>
      </c>
      <c r="AF33" s="17" t="s">
        <v>2822</v>
      </c>
      <c r="AG33" s="17" t="s">
        <v>2823</v>
      </c>
      <c r="AH33" s="17" t="s">
        <v>2694</v>
      </c>
      <c r="AI33" s="17" t="s">
        <v>2677</v>
      </c>
      <c r="AJ33" s="17" t="s">
        <v>2671</v>
      </c>
      <c r="AK33" s="17" t="s">
        <v>2672</v>
      </c>
      <c r="AL33" s="17" t="s">
        <v>2673</v>
      </c>
      <c r="AM33" s="17" t="s">
        <v>2674</v>
      </c>
      <c r="AN33" s="17" t="s">
        <v>2675</v>
      </c>
      <c r="AO33" s="17" t="s">
        <v>2676</v>
      </c>
      <c r="AP33" s="17" t="s">
        <v>2679</v>
      </c>
      <c r="AQ33" s="17" t="s">
        <v>2680</v>
      </c>
      <c r="AR33" s="17" t="s">
        <v>2681</v>
      </c>
      <c r="AS33" s="17" t="s">
        <v>2682</v>
      </c>
      <c r="AT33" s="17" t="s">
        <v>2683</v>
      </c>
      <c r="AU33" s="17" t="s">
        <v>2684</v>
      </c>
      <c r="AV33" s="17" t="s">
        <v>2685</v>
      </c>
      <c r="AW33" s="17" t="s">
        <v>2686</v>
      </c>
      <c r="AX33" s="17" t="s">
        <v>2687</v>
      </c>
      <c r="AY33" s="17" t="s">
        <v>2688</v>
      </c>
      <c r="AZ33" s="17" t="s">
        <v>2689</v>
      </c>
      <c r="BA33" s="17" t="s">
        <v>2690</v>
      </c>
      <c r="BB33" s="17" t="s">
        <v>2691</v>
      </c>
      <c r="BC33" s="17" t="s">
        <v>2692</v>
      </c>
      <c r="BD33" s="17" t="s">
        <v>2693</v>
      </c>
      <c r="BE33" s="17" t="s">
        <v>2824</v>
      </c>
      <c r="BF33" s="17" t="s">
        <v>2825</v>
      </c>
      <c r="BG33" s="17" t="s">
        <v>2826</v>
      </c>
      <c r="BH33" s="17" t="s">
        <v>2827</v>
      </c>
      <c r="BI33" s="17" t="s">
        <v>2828</v>
      </c>
      <c r="BJ33" s="17" t="s">
        <v>2829</v>
      </c>
      <c r="BK33" s="17" t="s">
        <v>2830</v>
      </c>
      <c r="BL33" s="17" t="s">
        <v>2831</v>
      </c>
      <c r="BM33" s="17" t="s">
        <v>2832</v>
      </c>
      <c r="BN33" s="17" t="s">
        <v>2833</v>
      </c>
      <c r="BO33" s="17" t="s">
        <v>2834</v>
      </c>
      <c r="BP33" s="17" t="s">
        <v>2835</v>
      </c>
      <c r="BQ33" s="17" t="s">
        <v>2836</v>
      </c>
      <c r="BR33" s="17" t="s">
        <v>2695</v>
      </c>
      <c r="BS33" s="17" t="s">
        <v>2696</v>
      </c>
      <c r="BT33" s="17" t="s">
        <v>2697</v>
      </c>
      <c r="BU33" s="17" t="s">
        <v>2717</v>
      </c>
      <c r="BV33" s="17" t="s">
        <v>2718</v>
      </c>
      <c r="BW33" s="17" t="s">
        <v>2719</v>
      </c>
      <c r="BX33" s="17" t="s">
        <v>2720</v>
      </c>
      <c r="BY33" s="17" t="s">
        <v>2721</v>
      </c>
      <c r="BZ33" s="17" t="s">
        <v>2837</v>
      </c>
      <c r="CA33" s="17" t="s">
        <v>2838</v>
      </c>
      <c r="CB33" s="17" t="s">
        <v>2698</v>
      </c>
      <c r="CC33" s="17" t="s">
        <v>2699</v>
      </c>
      <c r="CD33" s="17" t="s">
        <v>2700</v>
      </c>
      <c r="CE33" s="17" t="s">
        <v>2701</v>
      </c>
      <c r="CF33" s="17" t="s">
        <v>2702</v>
      </c>
      <c r="CG33" s="17" t="s">
        <v>2703</v>
      </c>
      <c r="CH33" s="17" t="s">
        <v>2704</v>
      </c>
      <c r="CI33" s="17" t="s">
        <v>2705</v>
      </c>
      <c r="CJ33" s="17" t="s">
        <v>2706</v>
      </c>
      <c r="CK33" s="17" t="s">
        <v>2707</v>
      </c>
      <c r="CL33" s="17" t="s">
        <v>3245</v>
      </c>
      <c r="CM33" s="17" t="s">
        <v>3246</v>
      </c>
      <c r="CN33" s="17" t="s">
        <v>2710</v>
      </c>
      <c r="CO33" s="17" t="s">
        <v>2711</v>
      </c>
      <c r="CP33" s="17" t="s">
        <v>2712</v>
      </c>
      <c r="CQ33" s="17" t="s">
        <v>2713</v>
      </c>
      <c r="CR33" s="17" t="s">
        <v>2714</v>
      </c>
      <c r="CS33" s="17" t="s">
        <v>2715</v>
      </c>
      <c r="CT33" s="17" t="s">
        <v>2716</v>
      </c>
      <c r="CU33" s="17" t="s">
        <v>2709</v>
      </c>
      <c r="CV33" s="17" t="s">
        <v>2708</v>
      </c>
      <c r="CW33" s="17" t="s">
        <v>2722</v>
      </c>
      <c r="CX33" s="17" t="s">
        <v>2723</v>
      </c>
      <c r="CY33" s="17" t="s">
        <v>2724</v>
      </c>
      <c r="CZ33" s="17" t="s">
        <v>2725</v>
      </c>
      <c r="DA33" s="17" t="s">
        <v>2726</v>
      </c>
      <c r="DB33" s="17" t="s">
        <v>2727</v>
      </c>
      <c r="DC33" s="17" t="s">
        <v>2728</v>
      </c>
      <c r="DD33" s="17" t="s">
        <v>2729</v>
      </c>
      <c r="DE33" s="17" t="s">
        <v>2730</v>
      </c>
      <c r="DF33" s="17" t="s">
        <v>35</v>
      </c>
      <c r="DG33" s="17" t="s">
        <v>36</v>
      </c>
      <c r="DH33" s="17" t="s">
        <v>37</v>
      </c>
      <c r="DI33" s="17" t="s">
        <v>3247</v>
      </c>
      <c r="DJ33" s="17" t="s">
        <v>3248</v>
      </c>
      <c r="DK33" s="17" t="s">
        <v>3249</v>
      </c>
      <c r="DL33" s="17" t="s">
        <v>3250</v>
      </c>
      <c r="DM33" s="17" t="s">
        <v>3251</v>
      </c>
      <c r="DN33" s="17" t="s">
        <v>3252</v>
      </c>
      <c r="DO33" s="17" t="s">
        <v>3253</v>
      </c>
      <c r="DP33" s="17" t="s">
        <v>3254</v>
      </c>
      <c r="DQ33" s="17" t="s">
        <v>3255</v>
      </c>
      <c r="DR33" s="17" t="s">
        <v>3256</v>
      </c>
      <c r="DS33" s="17" t="s">
        <v>3257</v>
      </c>
      <c r="DT33" s="17" t="s">
        <v>3258</v>
      </c>
      <c r="DU33" s="17" t="s">
        <v>3259</v>
      </c>
      <c r="DV33" s="17" t="s">
        <v>3260</v>
      </c>
      <c r="DW33" s="17" t="s">
        <v>3261</v>
      </c>
      <c r="DX33" s="17" t="s">
        <v>3262</v>
      </c>
      <c r="DY33" s="17" t="s">
        <v>3263</v>
      </c>
      <c r="DZ33" s="17" t="s">
        <v>3264</v>
      </c>
      <c r="EA33" s="17" t="s">
        <v>3265</v>
      </c>
      <c r="EB33" s="17" t="s">
        <v>3266</v>
      </c>
      <c r="EC33" s="17" t="s">
        <v>3267</v>
      </c>
      <c r="ED33" s="17" t="s">
        <v>3268</v>
      </c>
      <c r="EE33" s="17" t="s">
        <v>3269</v>
      </c>
      <c r="EF33" s="17" t="s">
        <v>3270</v>
      </c>
      <c r="EG33" s="17" t="s">
        <v>3271</v>
      </c>
      <c r="EH33" s="17" t="s">
        <v>3272</v>
      </c>
      <c r="EI33" s="17" t="s">
        <v>3273</v>
      </c>
      <c r="EJ33" s="17" t="s">
        <v>3274</v>
      </c>
      <c r="EK33" s="17" t="s">
        <v>3275</v>
      </c>
      <c r="EL33" s="17" t="s">
        <v>3276</v>
      </c>
      <c r="EM33" s="17" t="s">
        <v>3277</v>
      </c>
      <c r="EN33" s="17" t="s">
        <v>3278</v>
      </c>
      <c r="EO33" s="17" t="s">
        <v>3279</v>
      </c>
      <c r="EP33" s="17" t="s">
        <v>3280</v>
      </c>
      <c r="EQ33" s="17" t="s">
        <v>3281</v>
      </c>
      <c r="ER33" s="17" t="s">
        <v>3282</v>
      </c>
      <c r="ES33" s="17" t="s">
        <v>3283</v>
      </c>
      <c r="ET33" s="17" t="s">
        <v>3284</v>
      </c>
      <c r="EU33" s="17" t="s">
        <v>3285</v>
      </c>
      <c r="EV33" s="17" t="s">
        <v>3286</v>
      </c>
      <c r="EW33" s="17" t="s">
        <v>3287</v>
      </c>
      <c r="EX33" s="17" t="s">
        <v>3288</v>
      </c>
      <c r="EY33" s="17" t="s">
        <v>3289</v>
      </c>
      <c r="EZ33" s="17" t="s">
        <v>3290</v>
      </c>
      <c r="FA33" s="17" t="s">
        <v>3291</v>
      </c>
      <c r="FB33" s="17" t="s">
        <v>3292</v>
      </c>
      <c r="FC33" s="17" t="s">
        <v>2757</v>
      </c>
      <c r="FD33" s="17" t="s">
        <v>2758</v>
      </c>
      <c r="FE33" s="17" t="s">
        <v>2759</v>
      </c>
      <c r="FF33" s="17" t="s">
        <v>2760</v>
      </c>
      <c r="FG33" s="17" t="s">
        <v>2761</v>
      </c>
      <c r="FH33" s="17" t="s">
        <v>2762</v>
      </c>
      <c r="FI33" s="17" t="s">
        <v>2763</v>
      </c>
      <c r="FJ33" s="17" t="s">
        <v>2764</v>
      </c>
      <c r="FK33" s="17" t="s">
        <v>2765</v>
      </c>
      <c r="FL33" s="17" t="s">
        <v>2766</v>
      </c>
      <c r="FM33" s="17" t="s">
        <v>2767</v>
      </c>
      <c r="FN33" s="17" t="s">
        <v>2768</v>
      </c>
      <c r="FO33" s="17" t="s">
        <v>2769</v>
      </c>
      <c r="FP33" s="17" t="s">
        <v>2770</v>
      </c>
      <c r="FQ33" s="17" t="s">
        <v>2771</v>
      </c>
      <c r="FR33" s="17" t="s">
        <v>2772</v>
      </c>
      <c r="FS33" s="17" t="s">
        <v>2773</v>
      </c>
      <c r="FT33" s="17" t="s">
        <v>2774</v>
      </c>
      <c r="FU33" s="17" t="s">
        <v>2775</v>
      </c>
      <c r="FV33" s="17" t="s">
        <v>2776</v>
      </c>
      <c r="FW33" s="17" t="s">
        <v>2777</v>
      </c>
      <c r="FX33" s="17" t="s">
        <v>2778</v>
      </c>
      <c r="FY33" s="17" t="s">
        <v>2779</v>
      </c>
      <c r="FZ33" s="17" t="s">
        <v>2780</v>
      </c>
      <c r="GA33" s="17" t="s">
        <v>2781</v>
      </c>
      <c r="GB33" s="17" t="s">
        <v>2782</v>
      </c>
      <c r="GC33" s="17" t="s">
        <v>3293</v>
      </c>
      <c r="GD33" s="17" t="s">
        <v>3294</v>
      </c>
      <c r="GE33" s="17" t="s">
        <v>3295</v>
      </c>
      <c r="GF33" s="17" t="s">
        <v>3296</v>
      </c>
      <c r="GG33" s="17" t="s">
        <v>3297</v>
      </c>
      <c r="GH33" s="17" t="s">
        <v>3298</v>
      </c>
      <c r="GI33" s="17" t="s">
        <v>3299</v>
      </c>
      <c r="GJ33" s="17" t="s">
        <v>3300</v>
      </c>
      <c r="GK33" s="17" t="s">
        <v>3301</v>
      </c>
    </row>
    <row r="34" spans="2:193" x14ac:dyDescent="0.25">
      <c r="B34" s="17" t="s">
        <v>2840</v>
      </c>
      <c r="C34" s="17" t="s">
        <v>70</v>
      </c>
      <c r="D34" s="17" t="s">
        <v>3235</v>
      </c>
      <c r="E34" s="17" t="s">
        <v>3236</v>
      </c>
      <c r="F34" s="17" t="s">
        <v>3237</v>
      </c>
      <c r="G34" s="17" t="s">
        <v>3238</v>
      </c>
      <c r="H34" s="17"/>
      <c r="I34" s="17" t="s">
        <v>2797</v>
      </c>
      <c r="J34" s="17" t="s">
        <v>2798</v>
      </c>
      <c r="K34" s="17" t="s">
        <v>2799</v>
      </c>
      <c r="L34" s="17" t="s">
        <v>2800</v>
      </c>
      <c r="M34" s="17" t="s">
        <v>3318</v>
      </c>
      <c r="N34" s="17" t="s">
        <v>1325</v>
      </c>
      <c r="O34" s="17" t="s">
        <v>2813</v>
      </c>
      <c r="P34" s="17" t="s">
        <v>2814</v>
      </c>
      <c r="Q34" s="17" t="s">
        <v>3323</v>
      </c>
      <c r="R34" s="17">
        <v>1362205.62</v>
      </c>
      <c r="S34" s="17">
        <v>3130000</v>
      </c>
      <c r="T34" s="17">
        <v>964939.5</v>
      </c>
      <c r="U34" s="17" t="s">
        <v>2817</v>
      </c>
      <c r="V34" s="17" t="s">
        <v>939</v>
      </c>
      <c r="W34" s="17" t="s">
        <v>2816</v>
      </c>
      <c r="X34" s="17" t="s">
        <v>2798</v>
      </c>
      <c r="Y34" s="17" t="s">
        <v>56</v>
      </c>
      <c r="Z34" s="17" t="s">
        <v>3323</v>
      </c>
      <c r="AA34" s="17" t="s">
        <v>2801</v>
      </c>
      <c r="AB34" s="17">
        <v>8.0630000000000006</v>
      </c>
      <c r="AC34" s="17" t="s">
        <v>3323</v>
      </c>
      <c r="AD34" s="17" t="s">
        <v>2804</v>
      </c>
      <c r="AE34" s="17">
        <v>2025225.39</v>
      </c>
      <c r="AF34" s="17" t="s">
        <v>2839</v>
      </c>
      <c r="AG34" s="17" t="s">
        <v>3324</v>
      </c>
      <c r="AH34" s="17" t="s">
        <v>2806</v>
      </c>
      <c r="AI34" s="17"/>
      <c r="AJ34" s="17" t="s">
        <v>56</v>
      </c>
      <c r="AK34" s="17" t="s">
        <v>56</v>
      </c>
      <c r="AL34" s="17" t="s">
        <v>56</v>
      </c>
      <c r="AM34" s="17" t="s">
        <v>56</v>
      </c>
      <c r="AN34" s="17" t="s">
        <v>56</v>
      </c>
      <c r="AO34" s="17" t="s">
        <v>56</v>
      </c>
      <c r="AP34" s="17" t="s">
        <v>56</v>
      </c>
      <c r="AQ34" s="17" t="s">
        <v>56</v>
      </c>
      <c r="AR34" s="17" t="s">
        <v>56</v>
      </c>
      <c r="AS34" s="17">
        <v>1100.54</v>
      </c>
      <c r="AT34" s="17">
        <v>84.305300000000003</v>
      </c>
      <c r="AU34" s="17">
        <v>444.68099999999998</v>
      </c>
      <c r="AV34" s="17" t="s">
        <v>56</v>
      </c>
      <c r="AW34" s="17" t="s">
        <v>56</v>
      </c>
      <c r="AX34" s="17" t="s">
        <v>56</v>
      </c>
      <c r="AY34" s="17">
        <v>1235.33</v>
      </c>
      <c r="AZ34" s="17">
        <v>94.630499999999998</v>
      </c>
      <c r="BA34" s="17">
        <v>499.14299999999997</v>
      </c>
      <c r="BB34" s="17" t="s">
        <v>56</v>
      </c>
      <c r="BC34" s="17" t="s">
        <v>56</v>
      </c>
      <c r="BD34" s="17" t="s">
        <v>56</v>
      </c>
      <c r="BE34" s="17" t="s">
        <v>56</v>
      </c>
      <c r="BF34" s="17" t="s">
        <v>56</v>
      </c>
      <c r="BG34" s="17" t="s">
        <v>56</v>
      </c>
      <c r="BH34" s="17" t="s">
        <v>56</v>
      </c>
      <c r="BI34" s="17" t="s">
        <v>56</v>
      </c>
      <c r="BJ34" s="17" t="s">
        <v>56</v>
      </c>
      <c r="BK34" s="17" t="s">
        <v>56</v>
      </c>
      <c r="BL34" s="17" t="s">
        <v>56</v>
      </c>
      <c r="BM34" s="17" t="s">
        <v>56</v>
      </c>
      <c r="BN34" s="17" t="s">
        <v>56</v>
      </c>
      <c r="BO34" s="17" t="s">
        <v>56</v>
      </c>
      <c r="BP34" s="17" t="s">
        <v>56</v>
      </c>
      <c r="BQ34" s="17" t="s">
        <v>56</v>
      </c>
      <c r="BR34" s="17" t="s">
        <v>56</v>
      </c>
      <c r="BS34" s="17" t="s">
        <v>56</v>
      </c>
      <c r="BT34" s="17" t="s">
        <v>56</v>
      </c>
      <c r="BU34" s="17" t="s">
        <v>56</v>
      </c>
      <c r="BV34" s="17" t="s">
        <v>56</v>
      </c>
      <c r="BW34" s="17" t="s">
        <v>56</v>
      </c>
      <c r="BX34" s="17" t="s">
        <v>2818</v>
      </c>
      <c r="BY34" s="17" t="s">
        <v>1111</v>
      </c>
      <c r="BZ34" s="17" t="s">
        <v>56</v>
      </c>
      <c r="CA34" s="17" t="s">
        <v>56</v>
      </c>
      <c r="CB34" s="17" t="s">
        <v>1325</v>
      </c>
      <c r="CC34" s="17" t="s">
        <v>1325</v>
      </c>
      <c r="CD34" s="17" t="s">
        <v>1325</v>
      </c>
      <c r="CE34" s="17" t="s">
        <v>1325</v>
      </c>
      <c r="CF34" s="17" t="s">
        <v>1325</v>
      </c>
      <c r="CG34" s="17" t="s">
        <v>1325</v>
      </c>
      <c r="CH34" s="17" t="s">
        <v>1325</v>
      </c>
      <c r="CI34" s="17" t="s">
        <v>1325</v>
      </c>
      <c r="CJ34" s="17" t="s">
        <v>1325</v>
      </c>
      <c r="CK34" s="17" t="s">
        <v>1325</v>
      </c>
      <c r="CL34" s="17" t="s">
        <v>1325</v>
      </c>
      <c r="CM34" s="17" t="s">
        <v>1325</v>
      </c>
      <c r="CN34" s="17" t="s">
        <v>1325</v>
      </c>
      <c r="CO34" s="17" t="s">
        <v>1325</v>
      </c>
      <c r="CP34" s="17" t="s">
        <v>1325</v>
      </c>
      <c r="CQ34" s="17" t="s">
        <v>1325</v>
      </c>
      <c r="CR34" s="17" t="s">
        <v>1325</v>
      </c>
      <c r="CS34" s="17" t="s">
        <v>1325</v>
      </c>
      <c r="CT34" s="17" t="s">
        <v>1325</v>
      </c>
      <c r="CU34" s="17" t="s">
        <v>1325</v>
      </c>
      <c r="CV34" s="17" t="s">
        <v>1325</v>
      </c>
      <c r="CW34" s="17" t="s">
        <v>56</v>
      </c>
      <c r="CX34" s="17" t="s">
        <v>56</v>
      </c>
      <c r="CY34" s="17" t="s">
        <v>56</v>
      </c>
      <c r="CZ34" s="17">
        <v>2025225.39</v>
      </c>
      <c r="DA34" s="17">
        <v>2025225.39</v>
      </c>
      <c r="DB34" s="17">
        <v>2025225.39</v>
      </c>
      <c r="DC34" s="17"/>
      <c r="DD34" s="17"/>
      <c r="DE34" s="17"/>
      <c r="DF34" s="17" t="s">
        <v>3240</v>
      </c>
      <c r="DG34" s="17" t="s">
        <v>3241</v>
      </c>
      <c r="DH34" s="17" t="s">
        <v>3237</v>
      </c>
      <c r="DI34" s="17" t="s">
        <v>3319</v>
      </c>
      <c r="DJ34" s="17" t="s">
        <v>3307</v>
      </c>
      <c r="DK34" s="17" t="s">
        <v>3320</v>
      </c>
      <c r="DL34" s="17" t="s">
        <v>332</v>
      </c>
      <c r="DM34" s="17">
        <v>0.60744900000000002</v>
      </c>
      <c r="DN34" s="17">
        <v>1230221.1000000001</v>
      </c>
      <c r="DO34" s="17">
        <v>0.59191673692594304</v>
      </c>
      <c r="DP34" s="17" t="s">
        <v>3308</v>
      </c>
      <c r="DQ34" s="17" t="s">
        <v>2839</v>
      </c>
      <c r="DR34" s="17" t="s">
        <v>56</v>
      </c>
      <c r="DS34" s="17" t="s">
        <v>56</v>
      </c>
      <c r="DT34" s="17" t="s">
        <v>56</v>
      </c>
      <c r="DU34" s="17" t="s">
        <v>56</v>
      </c>
      <c r="DV34" s="17" t="s">
        <v>2862</v>
      </c>
      <c r="DW34" s="35" t="s">
        <v>3309</v>
      </c>
      <c r="DX34" s="35" t="s">
        <v>3310</v>
      </c>
      <c r="DY34" s="17">
        <v>2.09749911953089E-3</v>
      </c>
      <c r="DZ34" s="17">
        <v>5.9025008804691097E-3</v>
      </c>
      <c r="EA34" s="17" t="s">
        <v>3311</v>
      </c>
      <c r="EB34" s="17">
        <v>8.6146439565015103E-4</v>
      </c>
      <c r="EC34" s="17">
        <v>1.5385356043498501E-3</v>
      </c>
      <c r="ED34" s="17" t="s">
        <v>56</v>
      </c>
      <c r="EE34" s="17" t="s">
        <v>56</v>
      </c>
      <c r="EF34" s="17" t="s">
        <v>56</v>
      </c>
      <c r="EG34" s="17" t="s">
        <v>2862</v>
      </c>
      <c r="EH34" s="17" t="s">
        <v>3309</v>
      </c>
      <c r="EI34" s="17" t="s">
        <v>3312</v>
      </c>
      <c r="EJ34" s="17">
        <v>1.08477E-2</v>
      </c>
      <c r="EK34" s="17">
        <v>5.8252699999999998E-2</v>
      </c>
      <c r="EL34" s="17" t="s">
        <v>3311</v>
      </c>
      <c r="EM34" s="17">
        <v>4.8999999999999998E-3</v>
      </c>
      <c r="EN34" s="17">
        <v>1.01E-2</v>
      </c>
      <c r="EO34" s="17" t="s">
        <v>3312</v>
      </c>
      <c r="EP34" s="17">
        <v>4.3641500000000004</v>
      </c>
      <c r="EQ34" s="17">
        <v>23.435700000000001</v>
      </c>
      <c r="ER34" s="17" t="s">
        <v>3313</v>
      </c>
      <c r="ES34" s="17">
        <v>0.59340000000000004</v>
      </c>
      <c r="ET34" s="17">
        <v>1.2263999999999999</v>
      </c>
      <c r="EU34" s="17" t="s">
        <v>2862</v>
      </c>
      <c r="EV34" s="17" t="s">
        <v>3309</v>
      </c>
      <c r="EW34" s="17" t="s">
        <v>3312</v>
      </c>
      <c r="EX34" s="17">
        <v>4.3641500000000004</v>
      </c>
      <c r="EY34" s="17">
        <v>23.435700000000001</v>
      </c>
      <c r="EZ34" s="17" t="s">
        <v>3311</v>
      </c>
      <c r="FA34" s="17">
        <v>0.59340000000000004</v>
      </c>
      <c r="FB34" s="17">
        <v>1.2263999999999999</v>
      </c>
      <c r="FC34" s="17" t="s">
        <v>56</v>
      </c>
      <c r="FD34" s="17" t="s">
        <v>56</v>
      </c>
      <c r="FE34" s="17" t="s">
        <v>56</v>
      </c>
      <c r="FF34" s="17" t="s">
        <v>56</v>
      </c>
      <c r="FG34" s="17" t="s">
        <v>56</v>
      </c>
      <c r="FH34" s="17" t="s">
        <v>56</v>
      </c>
      <c r="FI34" s="17" t="s">
        <v>56</v>
      </c>
      <c r="FJ34" s="17" t="s">
        <v>56</v>
      </c>
      <c r="FK34" s="17" t="s">
        <v>56</v>
      </c>
      <c r="FL34" s="17" t="s">
        <v>56</v>
      </c>
      <c r="FM34" s="17" t="s">
        <v>56</v>
      </c>
      <c r="FN34" s="17" t="s">
        <v>56</v>
      </c>
      <c r="FO34" s="17" t="s">
        <v>56</v>
      </c>
      <c r="FP34" s="17" t="s">
        <v>56</v>
      </c>
      <c r="FQ34" s="17" t="s">
        <v>56</v>
      </c>
      <c r="FR34" s="17" t="s">
        <v>56</v>
      </c>
      <c r="FS34" s="17" t="s">
        <v>56</v>
      </c>
      <c r="FT34" s="17" t="s">
        <v>56</v>
      </c>
      <c r="FU34" s="17">
        <v>5.1664268546842598</v>
      </c>
      <c r="FV34" s="17">
        <v>27.7439661419346</v>
      </c>
      <c r="FW34" s="17" t="s">
        <v>56</v>
      </c>
      <c r="FX34" s="17" t="s">
        <v>56</v>
      </c>
      <c r="FY34" s="17" t="s">
        <v>56</v>
      </c>
      <c r="FZ34" s="17" t="s">
        <v>56</v>
      </c>
      <c r="GA34" s="17" t="s">
        <v>56</v>
      </c>
      <c r="GB34" s="17" t="s">
        <v>56</v>
      </c>
      <c r="GC34" s="17" t="s">
        <v>56</v>
      </c>
      <c r="GD34" s="17" t="s">
        <v>2969</v>
      </c>
      <c r="GE34" s="17" t="s">
        <v>2969</v>
      </c>
      <c r="GF34" s="17" t="s">
        <v>56</v>
      </c>
      <c r="GG34" s="17" t="s">
        <v>2818</v>
      </c>
      <c r="GH34" s="17" t="s">
        <v>2818</v>
      </c>
      <c r="GI34" s="17" t="s">
        <v>1111</v>
      </c>
      <c r="GJ34" s="17" t="s">
        <v>1111</v>
      </c>
      <c r="GK34" s="17" t="s">
        <v>1111</v>
      </c>
    </row>
    <row r="35" spans="2:193" x14ac:dyDescent="0.25">
      <c r="B35" s="17" t="s">
        <v>2840</v>
      </c>
      <c r="C35" s="17" t="s">
        <v>70</v>
      </c>
      <c r="D35" s="17" t="s">
        <v>3235</v>
      </c>
      <c r="E35" s="17" t="s">
        <v>3236</v>
      </c>
      <c r="F35" s="17" t="s">
        <v>3237</v>
      </c>
      <c r="G35" s="17" t="s">
        <v>3238</v>
      </c>
      <c r="H35" s="17"/>
      <c r="I35" s="17" t="s">
        <v>2797</v>
      </c>
      <c r="J35" s="17" t="s">
        <v>2798</v>
      </c>
      <c r="K35" s="17" t="s">
        <v>2799</v>
      </c>
      <c r="L35" s="17" t="s">
        <v>2800</v>
      </c>
      <c r="M35" s="17" t="s">
        <v>3318</v>
      </c>
      <c r="N35" s="17" t="s">
        <v>1325</v>
      </c>
      <c r="O35" s="17" t="s">
        <v>2813</v>
      </c>
      <c r="P35" s="17" t="s">
        <v>2814</v>
      </c>
      <c r="Q35" s="17" t="s">
        <v>3323</v>
      </c>
      <c r="R35" s="17">
        <v>1362205.62</v>
      </c>
      <c r="S35" s="17">
        <v>3130000</v>
      </c>
      <c r="T35" s="17">
        <v>964939.5</v>
      </c>
      <c r="U35" s="17" t="s">
        <v>2817</v>
      </c>
      <c r="V35" s="17" t="s">
        <v>939</v>
      </c>
      <c r="W35" s="17" t="s">
        <v>2816</v>
      </c>
      <c r="X35" s="17" t="s">
        <v>2798</v>
      </c>
      <c r="Y35" s="17" t="s">
        <v>56</v>
      </c>
      <c r="Z35" s="17" t="s">
        <v>3323</v>
      </c>
      <c r="AA35" s="17" t="s">
        <v>2801</v>
      </c>
      <c r="AB35" s="17">
        <v>8.0630000000000006</v>
      </c>
      <c r="AC35" s="17" t="s">
        <v>3323</v>
      </c>
      <c r="AD35" s="17" t="s">
        <v>2804</v>
      </c>
      <c r="AE35" s="17">
        <v>2025225.39</v>
      </c>
      <c r="AF35" s="17" t="s">
        <v>2839</v>
      </c>
      <c r="AG35" s="17" t="s">
        <v>3324</v>
      </c>
      <c r="AH35" s="17" t="s">
        <v>2806</v>
      </c>
      <c r="AI35" s="17"/>
      <c r="AJ35" s="17" t="s">
        <v>56</v>
      </c>
      <c r="AK35" s="17" t="s">
        <v>56</v>
      </c>
      <c r="AL35" s="17" t="s">
        <v>56</v>
      </c>
      <c r="AM35" s="17" t="s">
        <v>56</v>
      </c>
      <c r="AN35" s="17" t="s">
        <v>56</v>
      </c>
      <c r="AO35" s="17" t="s">
        <v>56</v>
      </c>
      <c r="AP35" s="17" t="s">
        <v>56</v>
      </c>
      <c r="AQ35" s="17" t="s">
        <v>56</v>
      </c>
      <c r="AR35" s="17" t="s">
        <v>56</v>
      </c>
      <c r="AS35" s="17">
        <v>1100.54</v>
      </c>
      <c r="AT35" s="17">
        <v>84.305300000000003</v>
      </c>
      <c r="AU35" s="17">
        <v>444.68099999999998</v>
      </c>
      <c r="AV35" s="17" t="s">
        <v>56</v>
      </c>
      <c r="AW35" s="17" t="s">
        <v>56</v>
      </c>
      <c r="AX35" s="17" t="s">
        <v>56</v>
      </c>
      <c r="AY35" s="17">
        <v>1235.33</v>
      </c>
      <c r="AZ35" s="17">
        <v>94.630499999999998</v>
      </c>
      <c r="BA35" s="17">
        <v>499.14299999999997</v>
      </c>
      <c r="BB35" s="17" t="s">
        <v>56</v>
      </c>
      <c r="BC35" s="17" t="s">
        <v>56</v>
      </c>
      <c r="BD35" s="17" t="s">
        <v>56</v>
      </c>
      <c r="BE35" s="17" t="s">
        <v>56</v>
      </c>
      <c r="BF35" s="17" t="s">
        <v>56</v>
      </c>
      <c r="BG35" s="17" t="s">
        <v>56</v>
      </c>
      <c r="BH35" s="17" t="s">
        <v>56</v>
      </c>
      <c r="BI35" s="17" t="s">
        <v>56</v>
      </c>
      <c r="BJ35" s="17" t="s">
        <v>56</v>
      </c>
      <c r="BK35" s="17" t="s">
        <v>56</v>
      </c>
      <c r="BL35" s="17" t="s">
        <v>56</v>
      </c>
      <c r="BM35" s="17" t="s">
        <v>56</v>
      </c>
      <c r="BN35" s="17" t="s">
        <v>56</v>
      </c>
      <c r="BO35" s="17" t="s">
        <v>56</v>
      </c>
      <c r="BP35" s="17" t="s">
        <v>56</v>
      </c>
      <c r="BQ35" s="17" t="s">
        <v>56</v>
      </c>
      <c r="BR35" s="17" t="s">
        <v>56</v>
      </c>
      <c r="BS35" s="17" t="s">
        <v>56</v>
      </c>
      <c r="BT35" s="17" t="s">
        <v>56</v>
      </c>
      <c r="BU35" s="17" t="s">
        <v>56</v>
      </c>
      <c r="BV35" s="17" t="s">
        <v>56</v>
      </c>
      <c r="BW35" s="17" t="s">
        <v>56</v>
      </c>
      <c r="BX35" s="17" t="s">
        <v>2818</v>
      </c>
      <c r="BY35" s="17" t="s">
        <v>1111</v>
      </c>
      <c r="BZ35" s="17" t="s">
        <v>56</v>
      </c>
      <c r="CA35" s="17" t="s">
        <v>56</v>
      </c>
      <c r="CB35" s="17" t="s">
        <v>1325</v>
      </c>
      <c r="CC35" s="17" t="s">
        <v>1325</v>
      </c>
      <c r="CD35" s="17" t="s">
        <v>1325</v>
      </c>
      <c r="CE35" s="17" t="s">
        <v>1325</v>
      </c>
      <c r="CF35" s="17" t="s">
        <v>1325</v>
      </c>
      <c r="CG35" s="17" t="s">
        <v>1325</v>
      </c>
      <c r="CH35" s="17" t="s">
        <v>1325</v>
      </c>
      <c r="CI35" s="17" t="s">
        <v>1325</v>
      </c>
      <c r="CJ35" s="17" t="s">
        <v>1325</v>
      </c>
      <c r="CK35" s="17" t="s">
        <v>1325</v>
      </c>
      <c r="CL35" s="17" t="s">
        <v>1325</v>
      </c>
      <c r="CM35" s="17" t="s">
        <v>1325</v>
      </c>
      <c r="CN35" s="17" t="s">
        <v>1325</v>
      </c>
      <c r="CO35" s="17" t="s">
        <v>1325</v>
      </c>
      <c r="CP35" s="17" t="s">
        <v>1325</v>
      </c>
      <c r="CQ35" s="17" t="s">
        <v>1325</v>
      </c>
      <c r="CR35" s="17" t="s">
        <v>1325</v>
      </c>
      <c r="CS35" s="17" t="s">
        <v>1325</v>
      </c>
      <c r="CT35" s="17" t="s">
        <v>1325</v>
      </c>
      <c r="CU35" s="17" t="s">
        <v>1325</v>
      </c>
      <c r="CV35" s="17" t="s">
        <v>1325</v>
      </c>
      <c r="CW35" s="17" t="s">
        <v>56</v>
      </c>
      <c r="CX35" s="17" t="s">
        <v>56</v>
      </c>
      <c r="CY35" s="17" t="s">
        <v>56</v>
      </c>
      <c r="CZ35" s="17">
        <v>2025225.39</v>
      </c>
      <c r="DA35" s="17">
        <v>2025225.39</v>
      </c>
      <c r="DB35" s="17">
        <v>2025225.39</v>
      </c>
      <c r="DC35" s="17"/>
      <c r="DD35" s="17"/>
      <c r="DE35" s="17"/>
      <c r="DF35" s="17" t="s">
        <v>3240</v>
      </c>
      <c r="DG35" s="17" t="s">
        <v>3243</v>
      </c>
      <c r="DH35" s="17" t="s">
        <v>3237</v>
      </c>
      <c r="DI35" s="17" t="s">
        <v>3321</v>
      </c>
      <c r="DJ35" s="17" t="s">
        <v>3307</v>
      </c>
      <c r="DK35" s="17" t="s">
        <v>3320</v>
      </c>
      <c r="DL35" s="17" t="s">
        <v>332</v>
      </c>
      <c r="DM35" s="17">
        <v>0.39255000000000001</v>
      </c>
      <c r="DN35" s="17">
        <v>795002.2</v>
      </c>
      <c r="DO35" s="17">
        <v>0.59191674575457598</v>
      </c>
      <c r="DP35" s="17" t="s">
        <v>3308</v>
      </c>
      <c r="DQ35" s="17" t="s">
        <v>2839</v>
      </c>
      <c r="DR35" s="17" t="s">
        <v>56</v>
      </c>
      <c r="DS35" s="17" t="s">
        <v>56</v>
      </c>
      <c r="DT35" s="17" t="s">
        <v>56</v>
      </c>
      <c r="DU35" s="17" t="s">
        <v>56</v>
      </c>
      <c r="DV35" s="17" t="s">
        <v>2862</v>
      </c>
      <c r="DW35" s="35" t="s">
        <v>3309</v>
      </c>
      <c r="DX35" s="35" t="s">
        <v>3310</v>
      </c>
      <c r="DY35" s="17">
        <v>2.09749911953089E-3</v>
      </c>
      <c r="DZ35" s="17">
        <v>5.9025008804691097E-3</v>
      </c>
      <c r="EA35" s="17" t="s">
        <v>3311</v>
      </c>
      <c r="EB35" s="17">
        <v>8.6146439565015103E-4</v>
      </c>
      <c r="EC35" s="17">
        <v>1.5385356043498501E-3</v>
      </c>
      <c r="ED35" s="17" t="s">
        <v>56</v>
      </c>
      <c r="EE35" s="17" t="s">
        <v>56</v>
      </c>
      <c r="EF35" s="17" t="s">
        <v>56</v>
      </c>
      <c r="EG35" s="17" t="s">
        <v>2862</v>
      </c>
      <c r="EH35" s="17" t="s">
        <v>3309</v>
      </c>
      <c r="EI35" s="17" t="s">
        <v>3312</v>
      </c>
      <c r="EJ35" s="17">
        <v>1.08477E-2</v>
      </c>
      <c r="EK35" s="17">
        <v>5.8252699999999998E-2</v>
      </c>
      <c r="EL35" s="17" t="s">
        <v>3311</v>
      </c>
      <c r="EM35" s="17">
        <v>4.8999999999999998E-3</v>
      </c>
      <c r="EN35" s="17">
        <v>1.01E-2</v>
      </c>
      <c r="EO35" s="17" t="s">
        <v>3312</v>
      </c>
      <c r="EP35" s="17">
        <v>4.3641500000000004</v>
      </c>
      <c r="EQ35" s="17">
        <v>23.435700000000001</v>
      </c>
      <c r="ER35" s="17" t="s">
        <v>3313</v>
      </c>
      <c r="ES35" s="17">
        <v>0.59340000000000004</v>
      </c>
      <c r="ET35" s="17">
        <v>1.2263999999999999</v>
      </c>
      <c r="EU35" s="17" t="s">
        <v>2862</v>
      </c>
      <c r="EV35" s="17" t="s">
        <v>3309</v>
      </c>
      <c r="EW35" s="17" t="s">
        <v>3312</v>
      </c>
      <c r="EX35" s="17">
        <v>4.3641500000000004</v>
      </c>
      <c r="EY35" s="17">
        <v>23.435700000000001</v>
      </c>
      <c r="EZ35" s="17" t="s">
        <v>3311</v>
      </c>
      <c r="FA35" s="17">
        <v>0.59340000000000004</v>
      </c>
      <c r="FB35" s="17">
        <v>1.2263999999999999</v>
      </c>
      <c r="FC35" s="17" t="s">
        <v>56</v>
      </c>
      <c r="FD35" s="17" t="s">
        <v>56</v>
      </c>
      <c r="FE35" s="17" t="s">
        <v>56</v>
      </c>
      <c r="FF35" s="17" t="s">
        <v>56</v>
      </c>
      <c r="FG35" s="17" t="s">
        <v>56</v>
      </c>
      <c r="FH35" s="17" t="s">
        <v>56</v>
      </c>
      <c r="FI35" s="17" t="s">
        <v>56</v>
      </c>
      <c r="FJ35" s="17" t="s">
        <v>56</v>
      </c>
      <c r="FK35" s="17" t="s">
        <v>56</v>
      </c>
      <c r="FL35" s="17" t="s">
        <v>56</v>
      </c>
      <c r="FM35" s="17" t="s">
        <v>56</v>
      </c>
      <c r="FN35" s="17" t="s">
        <v>56</v>
      </c>
      <c r="FO35" s="17" t="s">
        <v>56</v>
      </c>
      <c r="FP35" s="17" t="s">
        <v>56</v>
      </c>
      <c r="FQ35" s="17" t="s">
        <v>56</v>
      </c>
      <c r="FR35" s="17" t="s">
        <v>56</v>
      </c>
      <c r="FS35" s="17" t="s">
        <v>56</v>
      </c>
      <c r="FT35" s="17" t="s">
        <v>56</v>
      </c>
      <c r="FU35" s="17">
        <v>5.1664269314933096</v>
      </c>
      <c r="FV35" s="17">
        <v>27.743966554402899</v>
      </c>
      <c r="FW35" s="17" t="s">
        <v>56</v>
      </c>
      <c r="FX35" s="17" t="s">
        <v>56</v>
      </c>
      <c r="FY35" s="17" t="s">
        <v>56</v>
      </c>
      <c r="FZ35" s="17" t="s">
        <v>56</v>
      </c>
      <c r="GA35" s="17" t="s">
        <v>56</v>
      </c>
      <c r="GB35" s="17" t="s">
        <v>56</v>
      </c>
      <c r="GC35" s="17" t="s">
        <v>56</v>
      </c>
      <c r="GD35" s="17" t="s">
        <v>2969</v>
      </c>
      <c r="GE35" s="17" t="s">
        <v>2969</v>
      </c>
      <c r="GF35" s="17" t="s">
        <v>56</v>
      </c>
      <c r="GG35" s="17" t="s">
        <v>2818</v>
      </c>
      <c r="GH35" s="17" t="s">
        <v>2818</v>
      </c>
      <c r="GI35" s="17" t="s">
        <v>1111</v>
      </c>
      <c r="GJ35" s="17" t="s">
        <v>1111</v>
      </c>
      <c r="GK35" s="17" t="s">
        <v>1111</v>
      </c>
    </row>
    <row r="37" spans="2:193" x14ac:dyDescent="0.25">
      <c r="B37" s="18" t="s">
        <v>3351</v>
      </c>
      <c r="AC37" s="17" t="s">
        <v>2841</v>
      </c>
    </row>
    <row r="38" spans="2:193" x14ac:dyDescent="0.25">
      <c r="B38" s="17" t="s">
        <v>2546</v>
      </c>
      <c r="C38" s="17" t="s">
        <v>2547</v>
      </c>
      <c r="D38" s="17" t="s">
        <v>2548</v>
      </c>
      <c r="E38" s="17" t="s">
        <v>2549</v>
      </c>
      <c r="F38" s="17" t="s">
        <v>2820</v>
      </c>
      <c r="G38" s="17" t="s">
        <v>2550</v>
      </c>
      <c r="H38" s="17" t="s">
        <v>2650</v>
      </c>
      <c r="I38" s="17" t="s">
        <v>3325</v>
      </c>
      <c r="J38" s="17" t="s">
        <v>2651</v>
      </c>
      <c r="K38" s="17" t="s">
        <v>3326</v>
      </c>
      <c r="L38" s="17" t="s">
        <v>3327</v>
      </c>
      <c r="M38" s="17" t="s">
        <v>2652</v>
      </c>
      <c r="N38" s="17" t="s">
        <v>2653</v>
      </c>
      <c r="O38" s="17" t="s">
        <v>3328</v>
      </c>
      <c r="P38" s="17" t="s">
        <v>2654</v>
      </c>
      <c r="Q38" s="17" t="s">
        <v>2655</v>
      </c>
      <c r="R38" s="17" t="s">
        <v>2656</v>
      </c>
      <c r="S38" s="17" t="s">
        <v>2657</v>
      </c>
      <c r="T38" s="17" t="s">
        <v>2658</v>
      </c>
      <c r="U38" s="17" t="s">
        <v>2694</v>
      </c>
      <c r="V38" s="17" t="s">
        <v>2659</v>
      </c>
      <c r="W38" s="17" t="s">
        <v>3329</v>
      </c>
      <c r="X38" s="17" t="s">
        <v>3330</v>
      </c>
      <c r="Y38" s="17" t="s">
        <v>2661</v>
      </c>
      <c r="Z38" s="17" t="s">
        <v>2663</v>
      </c>
      <c r="AA38" s="17" t="s">
        <v>3254</v>
      </c>
      <c r="AB38" s="17" t="s">
        <v>3331</v>
      </c>
      <c r="AC38" s="17" t="s">
        <v>3332</v>
      </c>
      <c r="AD38" s="17" t="s">
        <v>35</v>
      </c>
      <c r="AE38" s="17" t="s">
        <v>36</v>
      </c>
      <c r="AF38" s="17" t="s">
        <v>37</v>
      </c>
      <c r="AG38" s="17" t="s">
        <v>3333</v>
      </c>
      <c r="AH38" s="17" t="s">
        <v>3334</v>
      </c>
      <c r="AI38" s="17" t="s">
        <v>3335</v>
      </c>
      <c r="AJ38" s="17" t="s">
        <v>3336</v>
      </c>
      <c r="AK38" s="17" t="s">
        <v>3337</v>
      </c>
      <c r="AL38" s="17" t="s">
        <v>3338</v>
      </c>
      <c r="AM38" s="17" t="s">
        <v>3339</v>
      </c>
      <c r="AN38" s="17" t="s">
        <v>2662</v>
      </c>
      <c r="AO38" s="17" t="s">
        <v>3340</v>
      </c>
      <c r="AP38" s="17" t="s">
        <v>3341</v>
      </c>
      <c r="AQ38" s="17"/>
    </row>
    <row r="39" spans="2:193" x14ac:dyDescent="0.25">
      <c r="B39" s="17" t="s">
        <v>70</v>
      </c>
      <c r="C39" s="17" t="s">
        <v>3235</v>
      </c>
      <c r="D39" s="17" t="s">
        <v>3236</v>
      </c>
      <c r="E39" s="17" t="s">
        <v>3237</v>
      </c>
      <c r="F39" s="17" t="s">
        <v>2840</v>
      </c>
      <c r="G39" s="17" t="s">
        <v>3238</v>
      </c>
      <c r="H39" s="17"/>
      <c r="I39" s="17">
        <v>-2025225.39</v>
      </c>
      <c r="J39" s="17" t="s">
        <v>2797</v>
      </c>
      <c r="K39" s="17">
        <v>-795003.38122297195</v>
      </c>
      <c r="L39" s="17">
        <v>0</v>
      </c>
      <c r="M39" s="17" t="s">
        <v>2798</v>
      </c>
      <c r="N39" s="17" t="s">
        <v>2799</v>
      </c>
      <c r="O39" s="17" t="s">
        <v>3342</v>
      </c>
      <c r="P39" s="17" t="s">
        <v>2800</v>
      </c>
      <c r="Q39" s="17" t="s">
        <v>3318</v>
      </c>
      <c r="R39" s="17" t="s">
        <v>1325</v>
      </c>
      <c r="S39" s="17" t="s">
        <v>2813</v>
      </c>
      <c r="T39" s="17" t="s">
        <v>2814</v>
      </c>
      <c r="U39" s="17" t="s">
        <v>3343</v>
      </c>
      <c r="V39" s="17" t="s">
        <v>3323</v>
      </c>
      <c r="W39" s="17" t="s">
        <v>3239</v>
      </c>
      <c r="X39" s="17" t="s">
        <v>3323</v>
      </c>
      <c r="Y39" s="17" t="s">
        <v>2815</v>
      </c>
      <c r="Z39" s="17" t="s">
        <v>2816</v>
      </c>
      <c r="AA39" s="17" t="s">
        <v>3308</v>
      </c>
      <c r="AB39" s="17" t="s">
        <v>1325</v>
      </c>
      <c r="AC39" s="17">
        <v>1343100</v>
      </c>
      <c r="AD39" s="17" t="s">
        <v>3240</v>
      </c>
      <c r="AE39" s="17" t="s">
        <v>3243</v>
      </c>
      <c r="AF39" s="17" t="s">
        <v>3237</v>
      </c>
      <c r="AG39" s="17" t="s">
        <v>3346</v>
      </c>
      <c r="AH39" s="17" t="s">
        <v>3344</v>
      </c>
      <c r="AI39" s="17">
        <v>1343100</v>
      </c>
      <c r="AJ39" s="17" t="s">
        <v>3345</v>
      </c>
      <c r="AK39" s="17" t="s">
        <v>939</v>
      </c>
      <c r="AL39" s="17" t="s">
        <v>332</v>
      </c>
      <c r="AM39" s="17" t="s">
        <v>3347</v>
      </c>
      <c r="AN39" s="17" t="s">
        <v>939</v>
      </c>
      <c r="AO39" s="17" t="s">
        <v>2816</v>
      </c>
      <c r="AP39" s="17" t="s">
        <v>3348</v>
      </c>
      <c r="AQ39" s="17"/>
    </row>
    <row r="40" spans="2:193" x14ac:dyDescent="0.25">
      <c r="B40" s="17" t="s">
        <v>70</v>
      </c>
      <c r="C40" s="17" t="s">
        <v>3235</v>
      </c>
      <c r="D40" s="17" t="s">
        <v>3236</v>
      </c>
      <c r="E40" s="17" t="s">
        <v>3237</v>
      </c>
      <c r="F40" s="17" t="s">
        <v>2840</v>
      </c>
      <c r="G40" s="17" t="s">
        <v>3238</v>
      </c>
      <c r="H40" s="17"/>
      <c r="I40" s="17">
        <v>-2025225.39</v>
      </c>
      <c r="J40" s="17" t="s">
        <v>2797</v>
      </c>
      <c r="K40" s="17">
        <v>-1230221.9885247699</v>
      </c>
      <c r="L40" s="17">
        <v>0</v>
      </c>
      <c r="M40" s="17" t="s">
        <v>2798</v>
      </c>
      <c r="N40" s="17" t="s">
        <v>2799</v>
      </c>
      <c r="O40" s="17" t="s">
        <v>3342</v>
      </c>
      <c r="P40" s="17" t="s">
        <v>2800</v>
      </c>
      <c r="Q40" s="17" t="s">
        <v>3318</v>
      </c>
      <c r="R40" s="17" t="s">
        <v>1325</v>
      </c>
      <c r="S40" s="17" t="s">
        <v>2813</v>
      </c>
      <c r="T40" s="17" t="s">
        <v>2814</v>
      </c>
      <c r="U40" s="17" t="s">
        <v>3343</v>
      </c>
      <c r="V40" s="17" t="s">
        <v>3323</v>
      </c>
      <c r="W40" s="17" t="s">
        <v>3239</v>
      </c>
      <c r="X40" s="17" t="s">
        <v>3323</v>
      </c>
      <c r="Y40" s="17" t="s">
        <v>2815</v>
      </c>
      <c r="Z40" s="17" t="s">
        <v>2816</v>
      </c>
      <c r="AA40" s="17" t="s">
        <v>3308</v>
      </c>
      <c r="AB40" s="17" t="s">
        <v>1325</v>
      </c>
      <c r="AC40" s="17">
        <v>2078370</v>
      </c>
      <c r="AD40" s="17" t="s">
        <v>3240</v>
      </c>
      <c r="AE40" s="17" t="s">
        <v>3241</v>
      </c>
      <c r="AF40" s="17" t="s">
        <v>3237</v>
      </c>
      <c r="AG40" s="17" t="s">
        <v>3349</v>
      </c>
      <c r="AH40" s="17" t="s">
        <v>3344</v>
      </c>
      <c r="AI40" s="17">
        <v>2078370</v>
      </c>
      <c r="AJ40" s="17" t="s">
        <v>3345</v>
      </c>
      <c r="AK40" s="17" t="s">
        <v>939</v>
      </c>
      <c r="AL40" s="17" t="s">
        <v>332</v>
      </c>
      <c r="AM40" s="17" t="s">
        <v>3347</v>
      </c>
      <c r="AN40" s="17" t="s">
        <v>939</v>
      </c>
      <c r="AO40" s="17" t="s">
        <v>2816</v>
      </c>
      <c r="AP40" s="17" t="s">
        <v>3350</v>
      </c>
      <c r="AQ40" s="17"/>
    </row>
    <row r="42" spans="2:193" x14ac:dyDescent="0.25">
      <c r="B42" s="18" t="s">
        <v>2960</v>
      </c>
      <c r="EO42" t="s">
        <v>2841</v>
      </c>
    </row>
    <row r="43" spans="2:193" x14ac:dyDescent="0.25">
      <c r="B43" s="17" t="s">
        <v>31</v>
      </c>
      <c r="C43" s="17" t="s">
        <v>32</v>
      </c>
      <c r="D43" s="17" t="s">
        <v>33</v>
      </c>
      <c r="E43" s="17" t="s">
        <v>34</v>
      </c>
      <c r="F43" s="17" t="s">
        <v>2550</v>
      </c>
      <c r="G43" s="17" t="s">
        <v>35</v>
      </c>
      <c r="H43" s="17" t="s">
        <v>36</v>
      </c>
      <c r="I43" s="17" t="s">
        <v>37</v>
      </c>
      <c r="J43" s="17" t="s">
        <v>2650</v>
      </c>
      <c r="K43" s="17" t="s">
        <v>2651</v>
      </c>
      <c r="L43" s="17" t="s">
        <v>2652</v>
      </c>
      <c r="M43" s="17" t="s">
        <v>2653</v>
      </c>
      <c r="N43" s="17" t="s">
        <v>2654</v>
      </c>
      <c r="O43" s="17" t="s">
        <v>2655</v>
      </c>
      <c r="P43" s="17" t="s">
        <v>2656</v>
      </c>
      <c r="Q43" s="17" t="s">
        <v>2657</v>
      </c>
      <c r="R43" s="17" t="s">
        <v>2658</v>
      </c>
      <c r="S43" s="17" t="s">
        <v>2659</v>
      </c>
      <c r="T43" s="17" t="s">
        <v>2586</v>
      </c>
      <c r="U43" s="17" t="s">
        <v>2660</v>
      </c>
      <c r="V43" s="17" t="s">
        <v>2661</v>
      </c>
      <c r="W43" s="17" t="s">
        <v>2662</v>
      </c>
      <c r="X43" s="17" t="s">
        <v>2663</v>
      </c>
      <c r="Y43" s="17" t="s">
        <v>2664</v>
      </c>
      <c r="Z43" s="17" t="s">
        <v>2665</v>
      </c>
      <c r="AA43" s="17" t="s">
        <v>2666</v>
      </c>
      <c r="AB43" s="17" t="s">
        <v>2667</v>
      </c>
      <c r="AC43" s="17" t="s">
        <v>2668</v>
      </c>
      <c r="AD43" s="17" t="s">
        <v>2669</v>
      </c>
      <c r="AE43" s="17" t="s">
        <v>2568</v>
      </c>
      <c r="AF43" s="17" t="s">
        <v>2670</v>
      </c>
      <c r="AG43" s="17" t="s">
        <v>2671</v>
      </c>
      <c r="AH43" s="17" t="s">
        <v>2672</v>
      </c>
      <c r="AI43" s="17" t="s">
        <v>2673</v>
      </c>
      <c r="AJ43" s="17" t="s">
        <v>2674</v>
      </c>
      <c r="AK43" s="17" t="s">
        <v>2675</v>
      </c>
      <c r="AL43" s="17" t="s">
        <v>2676</v>
      </c>
      <c r="AM43" s="17" t="s">
        <v>2677</v>
      </c>
      <c r="AN43" s="17" t="s">
        <v>2678</v>
      </c>
      <c r="AO43" s="17" t="s">
        <v>2679</v>
      </c>
      <c r="AP43" s="17" t="s">
        <v>2680</v>
      </c>
      <c r="AQ43" s="17" t="s">
        <v>2681</v>
      </c>
      <c r="AR43" s="17" t="s">
        <v>2682</v>
      </c>
      <c r="AS43" s="17" t="s">
        <v>2683</v>
      </c>
      <c r="AT43" s="17" t="s">
        <v>2684</v>
      </c>
      <c r="AU43" s="17" t="s">
        <v>2685</v>
      </c>
      <c r="AV43" s="17" t="s">
        <v>2686</v>
      </c>
      <c r="AW43" s="17" t="s">
        <v>2687</v>
      </c>
      <c r="AX43" s="17" t="s">
        <v>2688</v>
      </c>
      <c r="AY43" s="17" t="s">
        <v>2689</v>
      </c>
      <c r="AZ43" s="17" t="s">
        <v>2690</v>
      </c>
      <c r="BA43" s="17" t="s">
        <v>2691</v>
      </c>
      <c r="BB43" s="17" t="s">
        <v>2692</v>
      </c>
      <c r="BC43" s="17" t="s">
        <v>2693</v>
      </c>
      <c r="BD43" s="17" t="s">
        <v>2694</v>
      </c>
      <c r="BE43" s="17" t="s">
        <v>2695</v>
      </c>
      <c r="BF43" s="17" t="s">
        <v>2696</v>
      </c>
      <c r="BG43" s="17" t="s">
        <v>2697</v>
      </c>
      <c r="BH43" s="17" t="s">
        <v>2698</v>
      </c>
      <c r="BI43" s="17" t="s">
        <v>2699</v>
      </c>
      <c r="BJ43" s="17" t="s">
        <v>2700</v>
      </c>
      <c r="BK43" s="17" t="s">
        <v>2701</v>
      </c>
      <c r="BL43" s="17" t="s">
        <v>2702</v>
      </c>
      <c r="BM43" s="17" t="s">
        <v>2703</v>
      </c>
      <c r="BN43" s="17" t="s">
        <v>2704</v>
      </c>
      <c r="BO43" s="17" t="s">
        <v>2705</v>
      </c>
      <c r="BP43" s="17" t="s">
        <v>2706</v>
      </c>
      <c r="BQ43" s="17" t="s">
        <v>2707</v>
      </c>
      <c r="BR43" s="17" t="s">
        <v>2708</v>
      </c>
      <c r="BS43" s="17" t="s">
        <v>2709</v>
      </c>
      <c r="BT43" s="17" t="s">
        <v>2710</v>
      </c>
      <c r="BU43" s="17" t="s">
        <v>2711</v>
      </c>
      <c r="BV43" s="17" t="s">
        <v>2712</v>
      </c>
      <c r="BW43" s="17" t="s">
        <v>2713</v>
      </c>
      <c r="BX43" s="17" t="s">
        <v>2714</v>
      </c>
      <c r="BY43" s="17" t="s">
        <v>2715</v>
      </c>
      <c r="BZ43" s="17" t="s">
        <v>2716</v>
      </c>
      <c r="CA43" s="17" t="s">
        <v>2717</v>
      </c>
      <c r="CB43" s="17" t="s">
        <v>2718</v>
      </c>
      <c r="CC43" s="17" t="s">
        <v>2719</v>
      </c>
      <c r="CD43" s="17" t="s">
        <v>2720</v>
      </c>
      <c r="CE43" s="17" t="s">
        <v>2721</v>
      </c>
      <c r="CF43" s="17" t="s">
        <v>2722</v>
      </c>
      <c r="CG43" s="17" t="s">
        <v>2723</v>
      </c>
      <c r="CH43" s="17" t="s">
        <v>2724</v>
      </c>
      <c r="CI43" s="17" t="s">
        <v>2725</v>
      </c>
      <c r="CJ43" s="17" t="s">
        <v>2726</v>
      </c>
      <c r="CK43" s="17" t="s">
        <v>2727</v>
      </c>
      <c r="CL43" s="17" t="s">
        <v>2728</v>
      </c>
      <c r="CM43" s="17" t="s">
        <v>2729</v>
      </c>
      <c r="CN43" s="17" t="s">
        <v>2730</v>
      </c>
      <c r="CO43" s="17" t="s">
        <v>2731</v>
      </c>
      <c r="CP43" s="17" t="s">
        <v>2732</v>
      </c>
      <c r="CQ43" s="17" t="s">
        <v>2733</v>
      </c>
      <c r="CR43" s="17" t="s">
        <v>2734</v>
      </c>
      <c r="CS43" s="17" t="s">
        <v>2735</v>
      </c>
      <c r="CT43" s="17" t="s">
        <v>2736</v>
      </c>
      <c r="CU43" s="17" t="s">
        <v>2737</v>
      </c>
      <c r="CV43" s="17" t="s">
        <v>2738</v>
      </c>
      <c r="CW43" s="17" t="s">
        <v>2739</v>
      </c>
      <c r="CX43" s="17" t="s">
        <v>2740</v>
      </c>
      <c r="CY43" s="17" t="s">
        <v>2741</v>
      </c>
      <c r="CZ43" s="17" t="s">
        <v>2742</v>
      </c>
      <c r="DA43" s="17" t="s">
        <v>2743</v>
      </c>
      <c r="DB43" s="17" t="s">
        <v>2744</v>
      </c>
      <c r="DC43" s="17" t="s">
        <v>2745</v>
      </c>
      <c r="DD43" s="17" t="s">
        <v>2746</v>
      </c>
      <c r="DE43" s="17" t="s">
        <v>2747</v>
      </c>
      <c r="DF43" s="17" t="s">
        <v>2748</v>
      </c>
      <c r="DG43" s="17" t="s">
        <v>2749</v>
      </c>
      <c r="DH43" s="17" t="s">
        <v>2750</v>
      </c>
      <c r="DI43" s="17" t="s">
        <v>2751</v>
      </c>
      <c r="DJ43" s="17" t="s">
        <v>2752</v>
      </c>
      <c r="DK43" s="17" t="s">
        <v>2753</v>
      </c>
      <c r="DL43" s="17" t="s">
        <v>2754</v>
      </c>
      <c r="DM43" s="17" t="s">
        <v>2755</v>
      </c>
      <c r="DN43" s="17" t="s">
        <v>2756</v>
      </c>
      <c r="DO43" s="17" t="s">
        <v>2757</v>
      </c>
      <c r="DP43" s="17" t="s">
        <v>2758</v>
      </c>
      <c r="DQ43" s="17" t="s">
        <v>2759</v>
      </c>
      <c r="DR43" s="17" t="s">
        <v>2760</v>
      </c>
      <c r="DS43" s="17" t="s">
        <v>2761</v>
      </c>
      <c r="DT43" s="17" t="s">
        <v>2762</v>
      </c>
      <c r="DU43" s="17" t="s">
        <v>2763</v>
      </c>
      <c r="DV43" s="17" t="s">
        <v>2764</v>
      </c>
      <c r="DW43" s="17" t="s">
        <v>2765</v>
      </c>
      <c r="DX43" s="17" t="s">
        <v>2766</v>
      </c>
      <c r="DY43" s="17" t="s">
        <v>2767</v>
      </c>
      <c r="DZ43" s="17" t="s">
        <v>2768</v>
      </c>
      <c r="EA43" s="17" t="s">
        <v>2769</v>
      </c>
      <c r="EB43" s="17" t="s">
        <v>2770</v>
      </c>
      <c r="EC43" s="17" t="s">
        <v>2771</v>
      </c>
      <c r="ED43" s="17" t="s">
        <v>2772</v>
      </c>
      <c r="EE43" s="17" t="s">
        <v>2773</v>
      </c>
      <c r="EF43" s="17" t="s">
        <v>2774</v>
      </c>
      <c r="EG43" s="17" t="s">
        <v>2775</v>
      </c>
      <c r="EH43" s="17" t="s">
        <v>2776</v>
      </c>
      <c r="EI43" s="17" t="s">
        <v>2777</v>
      </c>
      <c r="EJ43" s="17" t="s">
        <v>2778</v>
      </c>
      <c r="EK43" s="17" t="s">
        <v>2779</v>
      </c>
      <c r="EL43" s="17" t="s">
        <v>2780</v>
      </c>
      <c r="EM43" s="17" t="s">
        <v>2781</v>
      </c>
      <c r="EN43" s="17" t="s">
        <v>2782</v>
      </c>
      <c r="EO43" s="17" t="s">
        <v>2783</v>
      </c>
      <c r="EP43" s="17" t="s">
        <v>2784</v>
      </c>
      <c r="EQ43" s="17" t="s">
        <v>2785</v>
      </c>
      <c r="ER43" s="17" t="s">
        <v>2786</v>
      </c>
      <c r="ES43" s="17" t="s">
        <v>2787</v>
      </c>
      <c r="ET43" s="17" t="s">
        <v>2788</v>
      </c>
      <c r="EU43" s="17" t="s">
        <v>2789</v>
      </c>
      <c r="EV43" s="17" t="s">
        <v>2790</v>
      </c>
      <c r="EW43" s="17" t="s">
        <v>2791</v>
      </c>
      <c r="EX43" s="17" t="s">
        <v>2792</v>
      </c>
      <c r="EY43" s="17" t="s">
        <v>2793</v>
      </c>
      <c r="EZ43" s="17" t="s">
        <v>2794</v>
      </c>
      <c r="FA43" s="17" t="s">
        <v>2795</v>
      </c>
      <c r="FB43" s="17" t="s">
        <v>2796</v>
      </c>
    </row>
    <row r="44" spans="2:193" x14ac:dyDescent="0.25">
      <c r="B44" s="17" t="s">
        <v>70</v>
      </c>
      <c r="C44" s="17" t="s">
        <v>3235</v>
      </c>
      <c r="D44" s="17" t="s">
        <v>3236</v>
      </c>
      <c r="E44" s="17" t="s">
        <v>3237</v>
      </c>
      <c r="F44" s="17" t="s">
        <v>3238</v>
      </c>
      <c r="G44" s="17" t="s">
        <v>3240</v>
      </c>
      <c r="H44" s="17" t="s">
        <v>3241</v>
      </c>
      <c r="I44" s="17" t="s">
        <v>3237</v>
      </c>
      <c r="J44" s="17"/>
      <c r="K44" s="17" t="s">
        <v>2797</v>
      </c>
      <c r="L44" s="17" t="s">
        <v>2798</v>
      </c>
      <c r="M44" s="17" t="s">
        <v>2799</v>
      </c>
      <c r="N44" s="17" t="s">
        <v>2800</v>
      </c>
      <c r="O44" s="17" t="s">
        <v>3318</v>
      </c>
      <c r="P44" s="17" t="s">
        <v>1325</v>
      </c>
      <c r="Q44" s="17" t="s">
        <v>2813</v>
      </c>
      <c r="R44" s="17" t="s">
        <v>2814</v>
      </c>
      <c r="S44" s="17" t="s">
        <v>3302</v>
      </c>
      <c r="T44" s="17" t="s">
        <v>3303</v>
      </c>
      <c r="U44" s="17" t="s">
        <v>3304</v>
      </c>
      <c r="V44" s="17" t="s">
        <v>2817</v>
      </c>
      <c r="W44" s="17" t="s">
        <v>939</v>
      </c>
      <c r="X44" s="17" t="s">
        <v>2816</v>
      </c>
      <c r="Y44" s="17" t="s">
        <v>2798</v>
      </c>
      <c r="Z44" s="17" t="s">
        <v>56</v>
      </c>
      <c r="AA44" s="17" t="s">
        <v>3302</v>
      </c>
      <c r="AB44" s="17" t="s">
        <v>2801</v>
      </c>
      <c r="AC44" s="17" t="s">
        <v>3305</v>
      </c>
      <c r="AD44" s="17" t="s">
        <v>2804</v>
      </c>
      <c r="AE44" s="17" t="s">
        <v>3306</v>
      </c>
      <c r="AF44" s="17" t="s">
        <v>3302</v>
      </c>
      <c r="AG44" s="17" t="s">
        <v>56</v>
      </c>
      <c r="AH44" s="17" t="s">
        <v>56</v>
      </c>
      <c r="AI44" s="17" t="s">
        <v>56</v>
      </c>
      <c r="AJ44" s="17" t="s">
        <v>56</v>
      </c>
      <c r="AK44" s="17" t="s">
        <v>56</v>
      </c>
      <c r="AL44" s="17" t="s">
        <v>56</v>
      </c>
      <c r="AM44" s="17"/>
      <c r="AN44" s="17" t="s">
        <v>3354</v>
      </c>
      <c r="AO44" s="17" t="s">
        <v>56</v>
      </c>
      <c r="AP44" s="17" t="s">
        <v>56</v>
      </c>
      <c r="AQ44" s="17" t="s">
        <v>56</v>
      </c>
      <c r="AR44" s="17" t="s">
        <v>2987</v>
      </c>
      <c r="AS44" s="17" t="s">
        <v>2988</v>
      </c>
      <c r="AT44" s="17" t="s">
        <v>2989</v>
      </c>
      <c r="AU44" s="17" t="s">
        <v>56</v>
      </c>
      <c r="AV44" s="17" t="s">
        <v>56</v>
      </c>
      <c r="AW44" s="17" t="s">
        <v>56</v>
      </c>
      <c r="AX44" s="17" t="s">
        <v>2990</v>
      </c>
      <c r="AY44" s="17" t="s">
        <v>2991</v>
      </c>
      <c r="AZ44" s="17" t="s">
        <v>2992</v>
      </c>
      <c r="BA44" s="17" t="s">
        <v>56</v>
      </c>
      <c r="BB44" s="17" t="s">
        <v>56</v>
      </c>
      <c r="BC44" s="17" t="s">
        <v>56</v>
      </c>
      <c r="BD44" s="17" t="s">
        <v>2806</v>
      </c>
      <c r="BE44" s="17" t="s">
        <v>56</v>
      </c>
      <c r="BF44" s="17" t="s">
        <v>56</v>
      </c>
      <c r="BG44" s="17" t="s">
        <v>56</v>
      </c>
      <c r="BH44" s="17" t="s">
        <v>1325</v>
      </c>
      <c r="BI44" s="17" t="s">
        <v>1325</v>
      </c>
      <c r="BJ44" s="17" t="s">
        <v>1325</v>
      </c>
      <c r="BK44" s="17" t="s">
        <v>1325</v>
      </c>
      <c r="BL44" s="17" t="s">
        <v>1325</v>
      </c>
      <c r="BM44" s="17" t="s">
        <v>1325</v>
      </c>
      <c r="BN44" s="17" t="s">
        <v>1325</v>
      </c>
      <c r="BO44" s="17" t="s">
        <v>1325</v>
      </c>
      <c r="BP44" s="17" t="s">
        <v>1325</v>
      </c>
      <c r="BQ44" s="17" t="s">
        <v>1325</v>
      </c>
      <c r="BR44" s="17" t="s">
        <v>1325</v>
      </c>
      <c r="BS44" s="17" t="s">
        <v>1325</v>
      </c>
      <c r="BT44" s="17" t="s">
        <v>1325</v>
      </c>
      <c r="BU44" s="17" t="s">
        <v>1325</v>
      </c>
      <c r="BV44" s="17" t="s">
        <v>1325</v>
      </c>
      <c r="BW44" s="17" t="s">
        <v>1325</v>
      </c>
      <c r="BX44" s="17" t="s">
        <v>1325</v>
      </c>
      <c r="BY44" s="17" t="s">
        <v>1325</v>
      </c>
      <c r="BZ44" s="17" t="s">
        <v>1325</v>
      </c>
      <c r="CA44" s="17" t="s">
        <v>56</v>
      </c>
      <c r="CB44" s="17" t="s">
        <v>56</v>
      </c>
      <c r="CC44" s="17" t="s">
        <v>56</v>
      </c>
      <c r="CD44" s="17" t="s">
        <v>2818</v>
      </c>
      <c r="CE44" s="17" t="s">
        <v>1111</v>
      </c>
      <c r="CF44" s="17" t="s">
        <v>56</v>
      </c>
      <c r="CG44" s="17" t="s">
        <v>56</v>
      </c>
      <c r="CH44" s="17" t="s">
        <v>56</v>
      </c>
      <c r="CI44" s="17" t="s">
        <v>56</v>
      </c>
      <c r="CJ44" s="17" t="s">
        <v>56</v>
      </c>
      <c r="CK44" s="17" t="s">
        <v>56</v>
      </c>
      <c r="CL44" s="17" t="s">
        <v>56</v>
      </c>
      <c r="CM44" s="17" t="s">
        <v>56</v>
      </c>
      <c r="CN44" s="17" t="s">
        <v>56</v>
      </c>
      <c r="CO44" s="17" t="s">
        <v>1325</v>
      </c>
      <c r="CP44" s="17" t="s">
        <v>1325</v>
      </c>
      <c r="CQ44" s="17" t="s">
        <v>1325</v>
      </c>
      <c r="CR44" s="17" t="s">
        <v>1325</v>
      </c>
      <c r="CS44" s="17" t="s">
        <v>1325</v>
      </c>
      <c r="CT44" s="17" t="s">
        <v>1325</v>
      </c>
      <c r="CU44" s="17" t="s">
        <v>1325</v>
      </c>
      <c r="CV44" s="17" t="s">
        <v>1325</v>
      </c>
      <c r="CW44" s="17" t="s">
        <v>1325</v>
      </c>
      <c r="CX44" s="17" t="s">
        <v>1325</v>
      </c>
      <c r="CY44" s="17" t="s">
        <v>1325</v>
      </c>
      <c r="CZ44" s="17" t="s">
        <v>1325</v>
      </c>
      <c r="DA44" s="17" t="s">
        <v>1325</v>
      </c>
      <c r="DB44" s="17" t="s">
        <v>1325</v>
      </c>
      <c r="DC44" s="17" t="s">
        <v>1325</v>
      </c>
      <c r="DD44" s="17" t="s">
        <v>1325</v>
      </c>
      <c r="DE44" s="17" t="s">
        <v>1325</v>
      </c>
      <c r="DF44" s="17" t="s">
        <v>1325</v>
      </c>
      <c r="DG44" s="17" t="s">
        <v>939</v>
      </c>
      <c r="DH44" s="17" t="s">
        <v>939</v>
      </c>
      <c r="DI44" s="17" t="s">
        <v>1325</v>
      </c>
      <c r="DJ44" s="17" t="s">
        <v>1325</v>
      </c>
      <c r="DK44" s="17" t="s">
        <v>1325</v>
      </c>
      <c r="DL44" s="17" t="s">
        <v>1325</v>
      </c>
      <c r="DM44" s="17" t="s">
        <v>1325</v>
      </c>
      <c r="DN44" s="17" t="s">
        <v>1325</v>
      </c>
      <c r="DO44" s="17" t="s">
        <v>56</v>
      </c>
      <c r="DP44" s="17" t="s">
        <v>56</v>
      </c>
      <c r="DQ44" s="17" t="s">
        <v>56</v>
      </c>
      <c r="DR44" s="17" t="s">
        <v>56</v>
      </c>
      <c r="DS44" s="17" t="s">
        <v>56</v>
      </c>
      <c r="DT44" s="17" t="s">
        <v>56</v>
      </c>
      <c r="DU44" s="17" t="s">
        <v>56</v>
      </c>
      <c r="DV44" s="17" t="s">
        <v>56</v>
      </c>
      <c r="DW44" s="17" t="s">
        <v>56</v>
      </c>
      <c r="DX44" s="17" t="s">
        <v>56</v>
      </c>
      <c r="DY44" s="17" t="s">
        <v>56</v>
      </c>
      <c r="DZ44" s="17" t="s">
        <v>56</v>
      </c>
      <c r="EA44" s="17" t="s">
        <v>56</v>
      </c>
      <c r="EB44" s="17" t="s">
        <v>56</v>
      </c>
      <c r="EC44" s="17" t="s">
        <v>56</v>
      </c>
      <c r="ED44" s="17" t="s">
        <v>56</v>
      </c>
      <c r="EE44" s="17" t="s">
        <v>56</v>
      </c>
      <c r="EF44" s="17" t="s">
        <v>56</v>
      </c>
      <c r="EG44" s="17" t="s">
        <v>3314</v>
      </c>
      <c r="EH44" s="17" t="s">
        <v>3315</v>
      </c>
      <c r="EI44" s="17" t="s">
        <v>56</v>
      </c>
      <c r="EJ44" s="17" t="s">
        <v>56</v>
      </c>
      <c r="EK44" s="17" t="s">
        <v>56</v>
      </c>
      <c r="EL44" s="17" t="s">
        <v>56</v>
      </c>
      <c r="EM44" s="17" t="s">
        <v>56</v>
      </c>
      <c r="EN44" s="17" t="s">
        <v>56</v>
      </c>
      <c r="EO44" s="17" t="s">
        <v>3355</v>
      </c>
      <c r="EP44" s="17" t="s">
        <v>3356</v>
      </c>
      <c r="EQ44" s="17" t="s">
        <v>3357</v>
      </c>
      <c r="ER44" s="17" t="s">
        <v>3357</v>
      </c>
      <c r="ES44" s="17" t="s">
        <v>3357</v>
      </c>
      <c r="ET44" s="17" t="s">
        <v>1111</v>
      </c>
      <c r="EU44" s="17" t="s">
        <v>1111</v>
      </c>
      <c r="EV44" s="17"/>
      <c r="EW44" s="17" t="s">
        <v>2807</v>
      </c>
      <c r="EX44" s="17" t="s">
        <v>2808</v>
      </c>
      <c r="EY44" s="17" t="s">
        <v>3358</v>
      </c>
      <c r="EZ44" s="17" t="s">
        <v>2993</v>
      </c>
      <c r="FA44" s="17" t="s">
        <v>2811</v>
      </c>
      <c r="FB44" s="17" t="s">
        <v>2803</v>
      </c>
    </row>
    <row r="45" spans="2:193" x14ac:dyDescent="0.25">
      <c r="B45" s="17" t="s">
        <v>70</v>
      </c>
      <c r="C45" s="17" t="s">
        <v>3235</v>
      </c>
      <c r="D45" s="17" t="s">
        <v>3236</v>
      </c>
      <c r="E45" s="17" t="s">
        <v>3237</v>
      </c>
      <c r="F45" s="17" t="s">
        <v>3238</v>
      </c>
      <c r="G45" s="17" t="s">
        <v>3240</v>
      </c>
      <c r="H45" s="17" t="s">
        <v>3243</v>
      </c>
      <c r="I45" s="17" t="s">
        <v>3237</v>
      </c>
      <c r="J45" s="17"/>
      <c r="K45" s="17" t="s">
        <v>2797</v>
      </c>
      <c r="L45" s="17" t="s">
        <v>2798</v>
      </c>
      <c r="M45" s="17" t="s">
        <v>2799</v>
      </c>
      <c r="N45" s="17" t="s">
        <v>2800</v>
      </c>
      <c r="O45" s="17" t="s">
        <v>3318</v>
      </c>
      <c r="P45" s="17" t="s">
        <v>1325</v>
      </c>
      <c r="Q45" s="17" t="s">
        <v>2813</v>
      </c>
      <c r="R45" s="17" t="s">
        <v>2814</v>
      </c>
      <c r="S45" s="17" t="s">
        <v>3302</v>
      </c>
      <c r="T45" s="17" t="s">
        <v>3303</v>
      </c>
      <c r="U45" s="17" t="s">
        <v>3304</v>
      </c>
      <c r="V45" s="17" t="s">
        <v>2817</v>
      </c>
      <c r="W45" s="17" t="s">
        <v>939</v>
      </c>
      <c r="X45" s="17" t="s">
        <v>2816</v>
      </c>
      <c r="Y45" s="17" t="s">
        <v>2798</v>
      </c>
      <c r="Z45" s="17" t="s">
        <v>56</v>
      </c>
      <c r="AA45" s="17" t="s">
        <v>3302</v>
      </c>
      <c r="AB45" s="17" t="s">
        <v>2801</v>
      </c>
      <c r="AC45" s="17" t="s">
        <v>3305</v>
      </c>
      <c r="AD45" s="17" t="s">
        <v>2804</v>
      </c>
      <c r="AE45" s="17" t="s">
        <v>3306</v>
      </c>
      <c r="AF45" s="17" t="s">
        <v>3302</v>
      </c>
      <c r="AG45" s="17" t="s">
        <v>56</v>
      </c>
      <c r="AH45" s="17" t="s">
        <v>56</v>
      </c>
      <c r="AI45" s="17" t="s">
        <v>56</v>
      </c>
      <c r="AJ45" s="17" t="s">
        <v>56</v>
      </c>
      <c r="AK45" s="17" t="s">
        <v>56</v>
      </c>
      <c r="AL45" s="17" t="s">
        <v>56</v>
      </c>
      <c r="AM45" s="17"/>
      <c r="AN45" s="17" t="s">
        <v>3354</v>
      </c>
      <c r="AO45" s="17" t="s">
        <v>56</v>
      </c>
      <c r="AP45" s="17" t="s">
        <v>56</v>
      </c>
      <c r="AQ45" s="17" t="s">
        <v>56</v>
      </c>
      <c r="AR45" s="17" t="s">
        <v>2987</v>
      </c>
      <c r="AS45" s="17" t="s">
        <v>2988</v>
      </c>
      <c r="AT45" s="17" t="s">
        <v>2989</v>
      </c>
      <c r="AU45" s="17" t="s">
        <v>56</v>
      </c>
      <c r="AV45" s="17" t="s">
        <v>56</v>
      </c>
      <c r="AW45" s="17" t="s">
        <v>56</v>
      </c>
      <c r="AX45" s="17" t="s">
        <v>2990</v>
      </c>
      <c r="AY45" s="17" t="s">
        <v>2991</v>
      </c>
      <c r="AZ45" s="17" t="s">
        <v>2992</v>
      </c>
      <c r="BA45" s="17" t="s">
        <v>56</v>
      </c>
      <c r="BB45" s="17" t="s">
        <v>56</v>
      </c>
      <c r="BC45" s="17" t="s">
        <v>56</v>
      </c>
      <c r="BD45" s="17" t="s">
        <v>2806</v>
      </c>
      <c r="BE45" s="17" t="s">
        <v>56</v>
      </c>
      <c r="BF45" s="17" t="s">
        <v>56</v>
      </c>
      <c r="BG45" s="17" t="s">
        <v>56</v>
      </c>
      <c r="BH45" s="17" t="s">
        <v>1325</v>
      </c>
      <c r="BI45" s="17" t="s">
        <v>1325</v>
      </c>
      <c r="BJ45" s="17" t="s">
        <v>1325</v>
      </c>
      <c r="BK45" s="17" t="s">
        <v>1325</v>
      </c>
      <c r="BL45" s="17" t="s">
        <v>1325</v>
      </c>
      <c r="BM45" s="17" t="s">
        <v>1325</v>
      </c>
      <c r="BN45" s="17" t="s">
        <v>1325</v>
      </c>
      <c r="BO45" s="17" t="s">
        <v>1325</v>
      </c>
      <c r="BP45" s="17" t="s">
        <v>1325</v>
      </c>
      <c r="BQ45" s="17" t="s">
        <v>1325</v>
      </c>
      <c r="BR45" s="17" t="s">
        <v>1325</v>
      </c>
      <c r="BS45" s="17" t="s">
        <v>1325</v>
      </c>
      <c r="BT45" s="17" t="s">
        <v>1325</v>
      </c>
      <c r="BU45" s="17" t="s">
        <v>1325</v>
      </c>
      <c r="BV45" s="17" t="s">
        <v>1325</v>
      </c>
      <c r="BW45" s="17" t="s">
        <v>1325</v>
      </c>
      <c r="BX45" s="17" t="s">
        <v>1325</v>
      </c>
      <c r="BY45" s="17" t="s">
        <v>1325</v>
      </c>
      <c r="BZ45" s="17" t="s">
        <v>1325</v>
      </c>
      <c r="CA45" s="17" t="s">
        <v>56</v>
      </c>
      <c r="CB45" s="17" t="s">
        <v>56</v>
      </c>
      <c r="CC45" s="17" t="s">
        <v>56</v>
      </c>
      <c r="CD45" s="17" t="s">
        <v>2818</v>
      </c>
      <c r="CE45" s="17" t="s">
        <v>1111</v>
      </c>
      <c r="CF45" s="17" t="s">
        <v>56</v>
      </c>
      <c r="CG45" s="17" t="s">
        <v>56</v>
      </c>
      <c r="CH45" s="17" t="s">
        <v>56</v>
      </c>
      <c r="CI45" s="17" t="s">
        <v>56</v>
      </c>
      <c r="CJ45" s="17" t="s">
        <v>56</v>
      </c>
      <c r="CK45" s="17" t="s">
        <v>56</v>
      </c>
      <c r="CL45" s="17" t="s">
        <v>56</v>
      </c>
      <c r="CM45" s="17" t="s">
        <v>56</v>
      </c>
      <c r="CN45" s="17" t="s">
        <v>56</v>
      </c>
      <c r="CO45" s="17" t="s">
        <v>1325</v>
      </c>
      <c r="CP45" s="17" t="s">
        <v>1325</v>
      </c>
      <c r="CQ45" s="17" t="s">
        <v>1325</v>
      </c>
      <c r="CR45" s="17" t="s">
        <v>1325</v>
      </c>
      <c r="CS45" s="17" t="s">
        <v>1325</v>
      </c>
      <c r="CT45" s="17" t="s">
        <v>1325</v>
      </c>
      <c r="CU45" s="17" t="s">
        <v>1325</v>
      </c>
      <c r="CV45" s="17" t="s">
        <v>1325</v>
      </c>
      <c r="CW45" s="17" t="s">
        <v>1325</v>
      </c>
      <c r="CX45" s="17" t="s">
        <v>1325</v>
      </c>
      <c r="CY45" s="17" t="s">
        <v>1325</v>
      </c>
      <c r="CZ45" s="17" t="s">
        <v>1325</v>
      </c>
      <c r="DA45" s="17" t="s">
        <v>1325</v>
      </c>
      <c r="DB45" s="17" t="s">
        <v>1325</v>
      </c>
      <c r="DC45" s="17" t="s">
        <v>1325</v>
      </c>
      <c r="DD45" s="17" t="s">
        <v>1325</v>
      </c>
      <c r="DE45" s="17" t="s">
        <v>1325</v>
      </c>
      <c r="DF45" s="17" t="s">
        <v>1325</v>
      </c>
      <c r="DG45" s="17" t="s">
        <v>939</v>
      </c>
      <c r="DH45" s="17" t="s">
        <v>939</v>
      </c>
      <c r="DI45" s="17" t="s">
        <v>1325</v>
      </c>
      <c r="DJ45" s="17" t="s">
        <v>1325</v>
      </c>
      <c r="DK45" s="17" t="s">
        <v>1325</v>
      </c>
      <c r="DL45" s="17" t="s">
        <v>1325</v>
      </c>
      <c r="DM45" s="17" t="s">
        <v>1325</v>
      </c>
      <c r="DN45" s="17" t="s">
        <v>1325</v>
      </c>
      <c r="DO45" s="17" t="s">
        <v>56</v>
      </c>
      <c r="DP45" s="17" t="s">
        <v>56</v>
      </c>
      <c r="DQ45" s="17" t="s">
        <v>56</v>
      </c>
      <c r="DR45" s="17" t="s">
        <v>56</v>
      </c>
      <c r="DS45" s="17" t="s">
        <v>56</v>
      </c>
      <c r="DT45" s="17" t="s">
        <v>56</v>
      </c>
      <c r="DU45" s="17" t="s">
        <v>56</v>
      </c>
      <c r="DV45" s="17" t="s">
        <v>56</v>
      </c>
      <c r="DW45" s="17" t="s">
        <v>56</v>
      </c>
      <c r="DX45" s="17" t="s">
        <v>56</v>
      </c>
      <c r="DY45" s="17" t="s">
        <v>56</v>
      </c>
      <c r="DZ45" s="17" t="s">
        <v>56</v>
      </c>
      <c r="EA45" s="17" t="s">
        <v>56</v>
      </c>
      <c r="EB45" s="17" t="s">
        <v>56</v>
      </c>
      <c r="EC45" s="17" t="s">
        <v>56</v>
      </c>
      <c r="ED45" s="17" t="s">
        <v>56</v>
      </c>
      <c r="EE45" s="17" t="s">
        <v>56</v>
      </c>
      <c r="EF45" s="17" t="s">
        <v>56</v>
      </c>
      <c r="EG45" s="17" t="s">
        <v>3316</v>
      </c>
      <c r="EH45" s="17" t="s">
        <v>3317</v>
      </c>
      <c r="EI45" s="17" t="s">
        <v>56</v>
      </c>
      <c r="EJ45" s="17" t="s">
        <v>56</v>
      </c>
      <c r="EK45" s="17" t="s">
        <v>56</v>
      </c>
      <c r="EL45" s="17" t="s">
        <v>56</v>
      </c>
      <c r="EM45" s="17" t="s">
        <v>56</v>
      </c>
      <c r="EN45" s="17" t="s">
        <v>56</v>
      </c>
      <c r="EO45" s="17" t="s">
        <v>3355</v>
      </c>
      <c r="EP45" s="17" t="s">
        <v>3356</v>
      </c>
      <c r="EQ45" s="17" t="s">
        <v>3359</v>
      </c>
      <c r="ER45" s="17" t="s">
        <v>3359</v>
      </c>
      <c r="ES45" s="17" t="s">
        <v>3359</v>
      </c>
      <c r="ET45" s="17" t="s">
        <v>1111</v>
      </c>
      <c r="EU45" s="17" t="s">
        <v>1111</v>
      </c>
      <c r="EV45" s="17"/>
      <c r="EW45" s="17" t="s">
        <v>2807</v>
      </c>
      <c r="EX45" s="17" t="s">
        <v>2808</v>
      </c>
      <c r="EY45" s="17" t="s">
        <v>3358</v>
      </c>
      <c r="EZ45" s="17" t="s">
        <v>2993</v>
      </c>
      <c r="FA45" s="17" t="s">
        <v>2811</v>
      </c>
      <c r="FB45" s="17" t="s">
        <v>2803</v>
      </c>
    </row>
    <row r="47" spans="2:193" x14ac:dyDescent="0.25">
      <c r="B47" t="s">
        <v>2642</v>
      </c>
      <c r="C47" s="2">
        <f>+AE34</f>
        <v>2025225.39</v>
      </c>
    </row>
    <row r="48" spans="2:193" x14ac:dyDescent="0.25">
      <c r="B48" t="s">
        <v>2643</v>
      </c>
      <c r="C48">
        <v>2</v>
      </c>
    </row>
    <row r="49" spans="2:5" x14ac:dyDescent="0.25">
      <c r="B49" t="s">
        <v>3352</v>
      </c>
      <c r="C49" s="17">
        <f>-K39/AI39</f>
        <v>0.59191674575457665</v>
      </c>
      <c r="D49" s="40">
        <f>+DO34</f>
        <v>0.59191673692594304</v>
      </c>
    </row>
    <row r="50" spans="2:5" x14ac:dyDescent="0.25">
      <c r="B50" t="s">
        <v>3353</v>
      </c>
      <c r="C50" s="17">
        <f>-K40/AI40</f>
        <v>0.59191673692594193</v>
      </c>
      <c r="D50" s="40">
        <f>+DO35</f>
        <v>0.59191674575457598</v>
      </c>
    </row>
    <row r="51" spans="2:5" x14ac:dyDescent="0.25">
      <c r="B51" t="s">
        <v>2644</v>
      </c>
      <c r="C51" s="17">
        <f>+C49*EX34*C48</f>
        <v>5.1664269319696716</v>
      </c>
      <c r="D51" s="40" t="str">
        <f>+EO44</f>
        <v>5.17</v>
      </c>
      <c r="E51" s="40" t="s">
        <v>3397</v>
      </c>
    </row>
    <row r="52" spans="2:5" x14ac:dyDescent="0.25">
      <c r="B52" t="s">
        <v>2645</v>
      </c>
      <c r="C52" s="17">
        <f>+C50*EX35*C48</f>
        <v>5.1664268549106991</v>
      </c>
      <c r="D52" s="40" t="str">
        <f>+EO45</f>
        <v>5.17</v>
      </c>
      <c r="E52" s="40" t="s">
        <v>3397</v>
      </c>
    </row>
    <row r="53" spans="2:5" x14ac:dyDescent="0.25">
      <c r="B53" s="3" t="s">
        <v>2647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L110"/>
  <sheetViews>
    <sheetView showGridLines="0" workbookViewId="0">
      <selection activeCell="A5" sqref="A5"/>
    </sheetView>
  </sheetViews>
  <sheetFormatPr defaultRowHeight="15" x14ac:dyDescent="0.25"/>
  <cols>
    <col min="1" max="1" width="3.7109375" customWidth="1"/>
  </cols>
  <sheetData>
    <row r="2" spans="2:194" x14ac:dyDescent="0.25">
      <c r="B2" s="2" t="s">
        <v>3223</v>
      </c>
    </row>
    <row r="4" spans="2:194" s="15" customFormat="1" x14ac:dyDescent="0.25">
      <c r="B4" s="26" t="s">
        <v>2648</v>
      </c>
    </row>
    <row r="5" spans="2:194" s="8" customFormat="1" x14ac:dyDescent="0.25">
      <c r="B5" s="29"/>
    </row>
    <row r="6" spans="2:194" x14ac:dyDescent="0.25">
      <c r="B6" s="17" t="s">
        <v>2820</v>
      </c>
      <c r="C6" s="17" t="s">
        <v>31</v>
      </c>
      <c r="D6" s="17" t="s">
        <v>32</v>
      </c>
      <c r="E6" s="17" t="s">
        <v>33</v>
      </c>
      <c r="F6" s="17" t="s">
        <v>34</v>
      </c>
      <c r="G6" s="17" t="s">
        <v>2550</v>
      </c>
      <c r="H6" s="17" t="s">
        <v>2650</v>
      </c>
      <c r="I6" s="17" t="s">
        <v>2651</v>
      </c>
      <c r="J6" s="17" t="s">
        <v>2652</v>
      </c>
      <c r="K6" s="17" t="s">
        <v>2653</v>
      </c>
      <c r="L6" s="17" t="s">
        <v>2654</v>
      </c>
      <c r="M6" s="17" t="s">
        <v>2655</v>
      </c>
      <c r="N6" s="17" t="s">
        <v>2656</v>
      </c>
      <c r="O6" s="17" t="s">
        <v>2657</v>
      </c>
      <c r="P6" s="17" t="s">
        <v>2658</v>
      </c>
      <c r="Q6" s="17" t="s">
        <v>2659</v>
      </c>
      <c r="R6" s="17" t="s">
        <v>2821</v>
      </c>
      <c r="S6" s="17" t="s">
        <v>2586</v>
      </c>
      <c r="T6" s="17" t="s">
        <v>2660</v>
      </c>
      <c r="U6" s="17" t="s">
        <v>2661</v>
      </c>
      <c r="V6" s="17" t="s">
        <v>2662</v>
      </c>
      <c r="W6" s="17" t="s">
        <v>2663</v>
      </c>
      <c r="X6" s="17" t="s">
        <v>2664</v>
      </c>
      <c r="Y6" s="17" t="s">
        <v>2665</v>
      </c>
      <c r="Z6" s="17" t="s">
        <v>2666</v>
      </c>
      <c r="AA6" s="17" t="s">
        <v>2667</v>
      </c>
      <c r="AB6" s="17" t="s">
        <v>2668</v>
      </c>
      <c r="AC6" s="17" t="s">
        <v>2670</v>
      </c>
      <c r="AD6" s="17" t="s">
        <v>2669</v>
      </c>
      <c r="AE6" s="17" t="s">
        <v>2568</v>
      </c>
      <c r="AF6" s="17" t="s">
        <v>2822</v>
      </c>
      <c r="AG6" s="17" t="s">
        <v>2823</v>
      </c>
      <c r="AH6" s="17" t="s">
        <v>2694</v>
      </c>
      <c r="AI6" s="17" t="s">
        <v>2677</v>
      </c>
      <c r="AJ6" s="17" t="s">
        <v>2671</v>
      </c>
      <c r="AK6" s="17" t="s">
        <v>2672</v>
      </c>
      <c r="AL6" s="17" t="s">
        <v>2673</v>
      </c>
      <c r="AM6" s="17" t="s">
        <v>2674</v>
      </c>
      <c r="AN6" s="17" t="s">
        <v>2675</v>
      </c>
      <c r="AO6" s="17" t="s">
        <v>2676</v>
      </c>
      <c r="AP6" s="17" t="s">
        <v>2679</v>
      </c>
      <c r="AQ6" s="17" t="s">
        <v>2680</v>
      </c>
      <c r="AR6" s="17" t="s">
        <v>2681</v>
      </c>
      <c r="AS6" s="17" t="s">
        <v>2682</v>
      </c>
      <c r="AT6" s="17" t="s">
        <v>2683</v>
      </c>
      <c r="AU6" s="17" t="s">
        <v>2684</v>
      </c>
      <c r="AV6" s="17" t="s">
        <v>2685</v>
      </c>
      <c r="AW6" s="17" t="s">
        <v>2686</v>
      </c>
      <c r="AX6" s="17" t="s">
        <v>2687</v>
      </c>
      <c r="AY6" s="17" t="s">
        <v>2688</v>
      </c>
      <c r="AZ6" s="17" t="s">
        <v>2689</v>
      </c>
      <c r="BA6" s="17" t="s">
        <v>2690</v>
      </c>
      <c r="BB6" s="17" t="s">
        <v>2691</v>
      </c>
      <c r="BC6" s="17" t="s">
        <v>2692</v>
      </c>
      <c r="BD6" s="17" t="s">
        <v>2693</v>
      </c>
      <c r="BE6" s="17" t="s">
        <v>2824</v>
      </c>
      <c r="BF6" s="17" t="s">
        <v>2825</v>
      </c>
      <c r="BG6" s="17" t="s">
        <v>2826</v>
      </c>
      <c r="BH6" s="17" t="s">
        <v>2827</v>
      </c>
      <c r="BI6" s="17" t="s">
        <v>2828</v>
      </c>
      <c r="BJ6" s="17" t="s">
        <v>2829</v>
      </c>
      <c r="BK6" s="17" t="s">
        <v>2830</v>
      </c>
      <c r="BL6" s="17" t="s">
        <v>2831</v>
      </c>
      <c r="BM6" s="17" t="s">
        <v>2832</v>
      </c>
      <c r="BN6" s="17" t="s">
        <v>2833</v>
      </c>
      <c r="BO6" s="17" t="s">
        <v>2834</v>
      </c>
      <c r="BP6" s="17" t="s">
        <v>2835</v>
      </c>
      <c r="BQ6" s="17" t="s">
        <v>2836</v>
      </c>
      <c r="BR6" s="17" t="s">
        <v>2695</v>
      </c>
      <c r="BS6" s="17" t="s">
        <v>2696</v>
      </c>
      <c r="BT6" s="17" t="s">
        <v>2697</v>
      </c>
      <c r="BU6" s="17" t="s">
        <v>2717</v>
      </c>
      <c r="BV6" s="17" t="s">
        <v>2718</v>
      </c>
      <c r="BW6" s="17" t="s">
        <v>2719</v>
      </c>
      <c r="BX6" s="17" t="s">
        <v>2720</v>
      </c>
      <c r="BY6" s="17" t="s">
        <v>2721</v>
      </c>
      <c r="BZ6" s="17" t="s">
        <v>2837</v>
      </c>
      <c r="CA6" s="17" t="s">
        <v>2838</v>
      </c>
      <c r="CB6" s="17" t="s">
        <v>2698</v>
      </c>
      <c r="CC6" s="17" t="s">
        <v>2699</v>
      </c>
      <c r="CD6" s="17" t="s">
        <v>2700</v>
      </c>
      <c r="CE6" s="17" t="s">
        <v>2701</v>
      </c>
      <c r="CF6" s="17" t="s">
        <v>2702</v>
      </c>
      <c r="CG6" s="17" t="s">
        <v>2703</v>
      </c>
      <c r="CH6" s="17" t="s">
        <v>2704</v>
      </c>
      <c r="CI6" s="17" t="s">
        <v>2705</v>
      </c>
      <c r="CJ6" s="17" t="s">
        <v>2706</v>
      </c>
      <c r="CK6" s="17" t="s">
        <v>2707</v>
      </c>
      <c r="CL6" s="17" t="s">
        <v>3245</v>
      </c>
      <c r="CM6" s="17" t="s">
        <v>3246</v>
      </c>
      <c r="CN6" s="17" t="s">
        <v>2710</v>
      </c>
      <c r="CO6" s="17" t="s">
        <v>2711</v>
      </c>
      <c r="CP6" s="17" t="s">
        <v>2712</v>
      </c>
      <c r="CQ6" s="17" t="s">
        <v>2713</v>
      </c>
      <c r="CR6" s="17" t="s">
        <v>2714</v>
      </c>
      <c r="CS6" s="17" t="s">
        <v>2715</v>
      </c>
      <c r="CT6" s="17" t="s">
        <v>2716</v>
      </c>
      <c r="CU6" s="17" t="s">
        <v>2709</v>
      </c>
      <c r="CV6" s="17" t="s">
        <v>2708</v>
      </c>
      <c r="CW6" s="17" t="s">
        <v>2722</v>
      </c>
      <c r="CX6" s="17" t="s">
        <v>2723</v>
      </c>
      <c r="CY6" s="17" t="s">
        <v>2724</v>
      </c>
      <c r="CZ6" s="17" t="s">
        <v>2725</v>
      </c>
      <c r="DA6" s="17" t="s">
        <v>2726</v>
      </c>
      <c r="DB6" s="17" t="s">
        <v>2727</v>
      </c>
      <c r="DC6" s="17" t="s">
        <v>2728</v>
      </c>
      <c r="DD6" s="17" t="s">
        <v>2729</v>
      </c>
      <c r="DE6" s="17" t="s">
        <v>2730</v>
      </c>
      <c r="DF6" s="17" t="s">
        <v>35</v>
      </c>
      <c r="DG6" s="17" t="s">
        <v>36</v>
      </c>
      <c r="DH6" s="17" t="s">
        <v>37</v>
      </c>
      <c r="DI6" s="17" t="s">
        <v>3247</v>
      </c>
      <c r="DJ6" s="17" t="s">
        <v>3248</v>
      </c>
      <c r="DK6" s="17" t="s">
        <v>3249</v>
      </c>
      <c r="DL6" s="17" t="s">
        <v>3250</v>
      </c>
      <c r="DM6" s="17" t="s">
        <v>3251</v>
      </c>
      <c r="DN6" s="17" t="s">
        <v>3252</v>
      </c>
      <c r="DO6" s="17" t="s">
        <v>3253</v>
      </c>
      <c r="DP6" s="17" t="s">
        <v>3254</v>
      </c>
      <c r="DQ6" s="17" t="s">
        <v>3255</v>
      </c>
      <c r="DR6" s="17" t="s">
        <v>3256</v>
      </c>
      <c r="DS6" s="17" t="s">
        <v>3257</v>
      </c>
      <c r="DT6" s="17" t="s">
        <v>3258</v>
      </c>
      <c r="DU6" s="17" t="s">
        <v>3259</v>
      </c>
      <c r="DV6" s="17" t="s">
        <v>3260</v>
      </c>
      <c r="DW6" s="17" t="s">
        <v>3261</v>
      </c>
      <c r="DX6" s="17" t="s">
        <v>3262</v>
      </c>
      <c r="DY6" s="17" t="s">
        <v>3263</v>
      </c>
      <c r="DZ6" s="17" t="s">
        <v>3264</v>
      </c>
      <c r="EA6" s="17" t="s">
        <v>3265</v>
      </c>
      <c r="EB6" s="17" t="s">
        <v>3266</v>
      </c>
      <c r="EC6" s="17" t="s">
        <v>3267</v>
      </c>
      <c r="ED6" s="17" t="s">
        <v>3268</v>
      </c>
      <c r="EE6" s="17" t="s">
        <v>3269</v>
      </c>
      <c r="EF6" s="17" t="s">
        <v>3270</v>
      </c>
      <c r="EG6" s="17" t="s">
        <v>3271</v>
      </c>
      <c r="EH6" s="17" t="s">
        <v>3272</v>
      </c>
      <c r="EI6" s="17" t="s">
        <v>3273</v>
      </c>
      <c r="EJ6" s="17" t="s">
        <v>3274</v>
      </c>
      <c r="EK6" s="17" t="s">
        <v>3275</v>
      </c>
      <c r="EL6" s="17" t="s">
        <v>3276</v>
      </c>
      <c r="EM6" s="17" t="s">
        <v>3277</v>
      </c>
      <c r="EN6" s="17" t="s">
        <v>3278</v>
      </c>
      <c r="EO6" s="17" t="s">
        <v>3279</v>
      </c>
      <c r="EP6" s="17" t="s">
        <v>3280</v>
      </c>
      <c r="EQ6" s="17" t="s">
        <v>3281</v>
      </c>
      <c r="ER6" s="17" t="s">
        <v>3282</v>
      </c>
      <c r="ES6" s="17" t="s">
        <v>3283</v>
      </c>
      <c r="ET6" s="17" t="s">
        <v>3284</v>
      </c>
      <c r="EU6" s="17" t="s">
        <v>3285</v>
      </c>
      <c r="EV6" s="17" t="s">
        <v>3286</v>
      </c>
      <c r="EW6" s="17" t="s">
        <v>3287</v>
      </c>
      <c r="EX6" s="17" t="s">
        <v>3288</v>
      </c>
      <c r="EY6" s="17" t="s">
        <v>3289</v>
      </c>
      <c r="EZ6" s="17" t="s">
        <v>3290</v>
      </c>
      <c r="FA6" s="17" t="s">
        <v>3291</v>
      </c>
      <c r="FB6" s="17" t="s">
        <v>3292</v>
      </c>
      <c r="FC6" s="17" t="s">
        <v>2757</v>
      </c>
      <c r="FD6" s="17" t="s">
        <v>2758</v>
      </c>
      <c r="FE6" s="17" t="s">
        <v>2759</v>
      </c>
      <c r="FF6" s="17" t="s">
        <v>2760</v>
      </c>
      <c r="FG6" s="17" t="s">
        <v>2761</v>
      </c>
      <c r="FH6" s="17" t="s">
        <v>2762</v>
      </c>
      <c r="FI6" s="17" t="s">
        <v>2763</v>
      </c>
      <c r="FJ6" s="17" t="s">
        <v>2764</v>
      </c>
      <c r="FK6" s="17" t="s">
        <v>2765</v>
      </c>
      <c r="FL6" s="17" t="s">
        <v>2766</v>
      </c>
      <c r="FM6" s="17" t="s">
        <v>2767</v>
      </c>
      <c r="FN6" s="17" t="s">
        <v>2768</v>
      </c>
      <c r="FO6" s="17" t="s">
        <v>2769</v>
      </c>
      <c r="FP6" s="17" t="s">
        <v>2770</v>
      </c>
      <c r="FQ6" s="17" t="s">
        <v>2771</v>
      </c>
      <c r="FR6" s="17" t="s">
        <v>2772</v>
      </c>
      <c r="FS6" s="17" t="s">
        <v>2773</v>
      </c>
      <c r="FT6" s="17" t="s">
        <v>2774</v>
      </c>
      <c r="FU6" s="17" t="s">
        <v>2775</v>
      </c>
      <c r="FV6" s="17" t="s">
        <v>2776</v>
      </c>
      <c r="FW6" s="17" t="s">
        <v>2777</v>
      </c>
      <c r="FX6" s="17" t="s">
        <v>2778</v>
      </c>
      <c r="FY6" s="17" t="s">
        <v>2779</v>
      </c>
      <c r="FZ6" s="17" t="s">
        <v>2780</v>
      </c>
      <c r="GA6" s="17" t="s">
        <v>2781</v>
      </c>
      <c r="GB6" s="17" t="s">
        <v>2782</v>
      </c>
      <c r="GC6" s="17" t="s">
        <v>3293</v>
      </c>
      <c r="GD6" s="17" t="s">
        <v>3294</v>
      </c>
      <c r="GE6" s="17" t="s">
        <v>3295</v>
      </c>
      <c r="GF6" s="17" t="s">
        <v>3296</v>
      </c>
      <c r="GG6" s="17" t="s">
        <v>3297</v>
      </c>
      <c r="GH6" s="17" t="s">
        <v>3298</v>
      </c>
      <c r="GI6" s="17" t="s">
        <v>3299</v>
      </c>
      <c r="GJ6" s="17" t="s">
        <v>3300</v>
      </c>
      <c r="GK6" s="17" t="s">
        <v>3301</v>
      </c>
      <c r="GL6" s="17"/>
    </row>
    <row r="7" spans="2:194" x14ac:dyDescent="0.25">
      <c r="B7" s="17" t="s">
        <v>2840</v>
      </c>
      <c r="C7" s="17" t="s">
        <v>70</v>
      </c>
      <c r="D7" s="17" t="s">
        <v>3411</v>
      </c>
      <c r="E7" s="17" t="s">
        <v>3412</v>
      </c>
      <c r="F7" s="17" t="s">
        <v>3237</v>
      </c>
      <c r="G7" s="17" t="s">
        <v>3413</v>
      </c>
      <c r="H7" s="17"/>
      <c r="I7" s="17" t="s">
        <v>2797</v>
      </c>
      <c r="J7" s="17" t="s">
        <v>3403</v>
      </c>
      <c r="K7" s="17" t="s">
        <v>2653</v>
      </c>
      <c r="L7" s="17" t="s">
        <v>2800</v>
      </c>
      <c r="M7" s="17" t="s">
        <v>3414</v>
      </c>
      <c r="N7" s="17" t="s">
        <v>1325</v>
      </c>
      <c r="O7" s="17" t="s">
        <v>2813</v>
      </c>
      <c r="P7" s="17" t="s">
        <v>2814</v>
      </c>
      <c r="Q7" s="17" t="s">
        <v>3616</v>
      </c>
      <c r="R7" s="17">
        <v>17897433.710000001</v>
      </c>
      <c r="S7" s="17">
        <v>4974456.4000000004</v>
      </c>
      <c r="T7" s="17">
        <v>18587154.18</v>
      </c>
      <c r="U7" s="17" t="s">
        <v>2817</v>
      </c>
      <c r="V7" s="17" t="s">
        <v>939</v>
      </c>
      <c r="W7" s="17" t="s">
        <v>2816</v>
      </c>
      <c r="X7" s="17" t="s">
        <v>3403</v>
      </c>
      <c r="Y7" s="17" t="s">
        <v>56</v>
      </c>
      <c r="Z7" s="17" t="s">
        <v>3616</v>
      </c>
      <c r="AA7" s="17" t="s">
        <v>2801</v>
      </c>
      <c r="AB7" s="17">
        <v>2.1629</v>
      </c>
      <c r="AC7" s="17" t="s">
        <v>3616</v>
      </c>
      <c r="AD7" s="17" t="s">
        <v>2804</v>
      </c>
      <c r="AE7" s="17">
        <v>319397</v>
      </c>
      <c r="AF7" s="17" t="s">
        <v>2839</v>
      </c>
      <c r="AG7" s="17" t="s">
        <v>3617</v>
      </c>
      <c r="AH7" s="17" t="s">
        <v>2806</v>
      </c>
      <c r="AI7" s="17"/>
      <c r="AJ7" s="17" t="s">
        <v>56</v>
      </c>
      <c r="AK7" s="17" t="s">
        <v>56</v>
      </c>
      <c r="AL7" s="17" t="s">
        <v>56</v>
      </c>
      <c r="AM7" s="17" t="s">
        <v>56</v>
      </c>
      <c r="AN7" s="17" t="s">
        <v>56</v>
      </c>
      <c r="AO7" s="17" t="s">
        <v>56</v>
      </c>
      <c r="AP7" s="17" t="s">
        <v>56</v>
      </c>
      <c r="AQ7" s="17" t="s">
        <v>56</v>
      </c>
      <c r="AR7" s="17" t="s">
        <v>56</v>
      </c>
      <c r="AS7" s="17">
        <v>677.19899999999996</v>
      </c>
      <c r="AT7" s="17">
        <v>82.007599999999996</v>
      </c>
      <c r="AU7" s="17">
        <v>435.83600000000001</v>
      </c>
      <c r="AV7" s="17" t="s">
        <v>56</v>
      </c>
      <c r="AW7" s="17" t="s">
        <v>56</v>
      </c>
      <c r="AX7" s="17" t="s">
        <v>56</v>
      </c>
      <c r="AY7" s="17">
        <v>561.97</v>
      </c>
      <c r="AZ7" s="17">
        <v>68.053600000000003</v>
      </c>
      <c r="BA7" s="17">
        <v>361.67599999999999</v>
      </c>
      <c r="BB7" s="17" t="s">
        <v>56</v>
      </c>
      <c r="BC7" s="17" t="s">
        <v>56</v>
      </c>
      <c r="BD7" s="17" t="s">
        <v>56</v>
      </c>
      <c r="BE7" s="17" t="s">
        <v>56</v>
      </c>
      <c r="BF7" s="17" t="s">
        <v>56</v>
      </c>
      <c r="BG7" s="17" t="s">
        <v>56</v>
      </c>
      <c r="BH7" s="17" t="s">
        <v>56</v>
      </c>
      <c r="BI7" s="17" t="s">
        <v>56</v>
      </c>
      <c r="BJ7" s="17" t="s">
        <v>56</v>
      </c>
      <c r="BK7" s="17" t="s">
        <v>56</v>
      </c>
      <c r="BL7" s="17" t="s">
        <v>56</v>
      </c>
      <c r="BM7" s="17" t="s">
        <v>56</v>
      </c>
      <c r="BN7" s="17" t="s">
        <v>56</v>
      </c>
      <c r="BO7" s="17" t="s">
        <v>56</v>
      </c>
      <c r="BP7" s="17" t="s">
        <v>56</v>
      </c>
      <c r="BQ7" s="17" t="s">
        <v>56</v>
      </c>
      <c r="BR7" s="17" t="s">
        <v>56</v>
      </c>
      <c r="BS7" s="17" t="s">
        <v>56</v>
      </c>
      <c r="BT7" s="17" t="s">
        <v>56</v>
      </c>
      <c r="BU7" s="17" t="s">
        <v>56</v>
      </c>
      <c r="BV7" s="17" t="s">
        <v>56</v>
      </c>
      <c r="BW7" s="17" t="s">
        <v>56</v>
      </c>
      <c r="BX7" s="17" t="s">
        <v>2818</v>
      </c>
      <c r="BY7" s="17" t="s">
        <v>1111</v>
      </c>
      <c r="BZ7" s="17" t="s">
        <v>56</v>
      </c>
      <c r="CA7" s="17" t="s">
        <v>56</v>
      </c>
      <c r="CB7" s="17" t="s">
        <v>1325</v>
      </c>
      <c r="CC7" s="17" t="s">
        <v>1325</v>
      </c>
      <c r="CD7" s="17" t="s">
        <v>1325</v>
      </c>
      <c r="CE7" s="17" t="s">
        <v>1325</v>
      </c>
      <c r="CF7" s="17" t="s">
        <v>1325</v>
      </c>
      <c r="CG7" s="17" t="s">
        <v>1325</v>
      </c>
      <c r="CH7" s="17" t="s">
        <v>1325</v>
      </c>
      <c r="CI7" s="17" t="s">
        <v>1325</v>
      </c>
      <c r="CJ7" s="17" t="s">
        <v>1325</v>
      </c>
      <c r="CK7" s="17" t="s">
        <v>1325</v>
      </c>
      <c r="CL7" s="17" t="s">
        <v>1325</v>
      </c>
      <c r="CM7" s="17" t="s">
        <v>1325</v>
      </c>
      <c r="CN7" s="17" t="s">
        <v>1325</v>
      </c>
      <c r="CO7" s="17" t="s">
        <v>1325</v>
      </c>
      <c r="CP7" s="17" t="s">
        <v>1325</v>
      </c>
      <c r="CQ7" s="17" t="s">
        <v>1325</v>
      </c>
      <c r="CR7" s="17" t="s">
        <v>1325</v>
      </c>
      <c r="CS7" s="17" t="s">
        <v>1325</v>
      </c>
      <c r="CT7" s="17" t="s">
        <v>1325</v>
      </c>
      <c r="CU7" s="17" t="s">
        <v>1325</v>
      </c>
      <c r="CV7" s="17" t="s">
        <v>1325</v>
      </c>
      <c r="CW7" s="17" t="s">
        <v>56</v>
      </c>
      <c r="CX7" s="17" t="s">
        <v>56</v>
      </c>
      <c r="CY7" s="17" t="s">
        <v>56</v>
      </c>
      <c r="CZ7" s="17">
        <v>319397</v>
      </c>
      <c r="DA7" s="17">
        <v>319397</v>
      </c>
      <c r="DB7" s="17">
        <v>319397</v>
      </c>
      <c r="DC7" s="17"/>
      <c r="DD7" s="17"/>
      <c r="DE7" s="17"/>
      <c r="DF7" s="17" t="s">
        <v>3415</v>
      </c>
      <c r="DG7" s="17" t="s">
        <v>3416</v>
      </c>
      <c r="DH7" s="17" t="s">
        <v>3237</v>
      </c>
      <c r="DI7" s="17" t="s">
        <v>3417</v>
      </c>
      <c r="DJ7" s="17" t="s">
        <v>3404</v>
      </c>
      <c r="DK7" s="17" t="s">
        <v>3320</v>
      </c>
      <c r="DL7" s="17" t="s">
        <v>3418</v>
      </c>
      <c r="DM7" s="17">
        <v>4.2710999999999999E-2</v>
      </c>
      <c r="DN7" s="17">
        <v>13641.8</v>
      </c>
      <c r="DO7" s="17">
        <v>0.42855838992240503</v>
      </c>
      <c r="DP7" s="17" t="s">
        <v>3308</v>
      </c>
      <c r="DQ7" s="17" t="s">
        <v>2839</v>
      </c>
      <c r="DR7" s="17" t="s">
        <v>56</v>
      </c>
      <c r="DS7" s="17" t="s">
        <v>56</v>
      </c>
      <c r="DT7" s="17" t="s">
        <v>56</v>
      </c>
      <c r="DU7" s="17" t="s">
        <v>56</v>
      </c>
      <c r="DV7" s="17" t="s">
        <v>2862</v>
      </c>
      <c r="DW7" s="17" t="s">
        <v>3309</v>
      </c>
      <c r="DX7" s="17" t="s">
        <v>3310</v>
      </c>
      <c r="DY7" s="17">
        <v>1.2558775978191199E-2</v>
      </c>
      <c r="DZ7" s="17">
        <v>3.5341224021808802E-2</v>
      </c>
      <c r="EA7" s="17" t="s">
        <v>3311</v>
      </c>
      <c r="EB7" s="17">
        <v>5.1687863739009101E-3</v>
      </c>
      <c r="EC7" s="17">
        <v>9.2312136260990895E-3</v>
      </c>
      <c r="ED7" s="17" t="s">
        <v>56</v>
      </c>
      <c r="EE7" s="17" t="s">
        <v>56</v>
      </c>
      <c r="EF7" s="17" t="s">
        <v>56</v>
      </c>
      <c r="EG7" s="17" t="s">
        <v>2862</v>
      </c>
      <c r="EH7" s="17" t="s">
        <v>3309</v>
      </c>
      <c r="EI7" s="17" t="s">
        <v>3312</v>
      </c>
      <c r="EJ7" s="17">
        <v>1.08477E-2</v>
      </c>
      <c r="EK7" s="17">
        <v>5.8252699999999998E-2</v>
      </c>
      <c r="EL7" s="17" t="s">
        <v>3311</v>
      </c>
      <c r="EM7" s="17">
        <v>4.8999999999999998E-3</v>
      </c>
      <c r="EN7" s="17">
        <v>1.01E-2</v>
      </c>
      <c r="EO7" s="17" t="s">
        <v>3312</v>
      </c>
      <c r="EP7" s="17">
        <v>4.3641500000000004</v>
      </c>
      <c r="EQ7" s="17">
        <v>23.435700000000001</v>
      </c>
      <c r="ER7" s="17" t="s">
        <v>3313</v>
      </c>
      <c r="ES7" s="17">
        <v>0.59340000000000004</v>
      </c>
      <c r="ET7" s="17">
        <v>1.2263999999999999</v>
      </c>
      <c r="EU7" s="17" t="s">
        <v>2862</v>
      </c>
      <c r="EV7" s="17" t="s">
        <v>3309</v>
      </c>
      <c r="EW7" s="17" t="s">
        <v>3312</v>
      </c>
      <c r="EX7" s="17">
        <v>4.3641500000000004</v>
      </c>
      <c r="EY7" s="17">
        <v>23.435700000000001</v>
      </c>
      <c r="EZ7" s="17" t="s">
        <v>3311</v>
      </c>
      <c r="FA7" s="17">
        <v>0.59340000000000004</v>
      </c>
      <c r="FB7" s="17">
        <v>1.2263999999999999</v>
      </c>
      <c r="FC7" s="17" t="s">
        <v>56</v>
      </c>
      <c r="FD7" s="17" t="s">
        <v>56</v>
      </c>
      <c r="FE7" s="17" t="s">
        <v>56</v>
      </c>
      <c r="FF7" s="17" t="s">
        <v>56</v>
      </c>
      <c r="FG7" s="17" t="s">
        <v>56</v>
      </c>
      <c r="FH7" s="17" t="s">
        <v>56</v>
      </c>
      <c r="FI7" s="17" t="s">
        <v>56</v>
      </c>
      <c r="FJ7" s="17" t="s">
        <v>56</v>
      </c>
      <c r="FK7" s="17" t="s">
        <v>56</v>
      </c>
      <c r="FL7" s="17" t="s">
        <v>56</v>
      </c>
      <c r="FM7" s="17" t="s">
        <v>56</v>
      </c>
      <c r="FN7" s="17" t="s">
        <v>56</v>
      </c>
      <c r="FO7" s="17" t="s">
        <v>56</v>
      </c>
      <c r="FP7" s="17" t="s">
        <v>56</v>
      </c>
      <c r="FQ7" s="17" t="s">
        <v>56</v>
      </c>
      <c r="FR7" s="17" t="s">
        <v>56</v>
      </c>
      <c r="FS7" s="17" t="s">
        <v>56</v>
      </c>
      <c r="FT7" s="17" t="s">
        <v>56</v>
      </c>
      <c r="FU7" s="17">
        <v>194.51048211733601</v>
      </c>
      <c r="FV7" s="17">
        <v>1044.5308492506599</v>
      </c>
      <c r="FW7" s="17" t="s">
        <v>56</v>
      </c>
      <c r="FX7" s="17" t="s">
        <v>56</v>
      </c>
      <c r="FY7" s="17" t="s">
        <v>56</v>
      </c>
      <c r="FZ7" s="17" t="s">
        <v>56</v>
      </c>
      <c r="GA7" s="17" t="s">
        <v>56</v>
      </c>
      <c r="GB7" s="17" t="s">
        <v>56</v>
      </c>
      <c r="GC7" s="17" t="s">
        <v>56</v>
      </c>
      <c r="GD7" s="17" t="s">
        <v>2969</v>
      </c>
      <c r="GE7" s="17" t="s">
        <v>2969</v>
      </c>
      <c r="GF7" s="17" t="s">
        <v>56</v>
      </c>
      <c r="GG7" s="17" t="s">
        <v>2818</v>
      </c>
      <c r="GH7" s="17" t="s">
        <v>2818</v>
      </c>
      <c r="GI7" s="17" t="s">
        <v>1111</v>
      </c>
      <c r="GJ7" s="17" t="s">
        <v>1111</v>
      </c>
      <c r="GK7" s="17" t="s">
        <v>1111</v>
      </c>
      <c r="GL7" s="17"/>
    </row>
    <row r="8" spans="2:194" x14ac:dyDescent="0.25">
      <c r="B8" s="17" t="s">
        <v>2840</v>
      </c>
      <c r="C8" s="17" t="s">
        <v>70</v>
      </c>
      <c r="D8" s="17" t="s">
        <v>3411</v>
      </c>
      <c r="E8" s="17" t="s">
        <v>3412</v>
      </c>
      <c r="F8" s="17" t="s">
        <v>3237</v>
      </c>
      <c r="G8" s="17" t="s">
        <v>3413</v>
      </c>
      <c r="H8" s="17"/>
      <c r="I8" s="17" t="s">
        <v>2797</v>
      </c>
      <c r="J8" s="17" t="s">
        <v>3403</v>
      </c>
      <c r="K8" s="17" t="s">
        <v>2653</v>
      </c>
      <c r="L8" s="17" t="s">
        <v>2800</v>
      </c>
      <c r="M8" s="17" t="s">
        <v>3414</v>
      </c>
      <c r="N8" s="17" t="s">
        <v>1325</v>
      </c>
      <c r="O8" s="17" t="s">
        <v>2813</v>
      </c>
      <c r="P8" s="17" t="s">
        <v>2814</v>
      </c>
      <c r="Q8" s="17" t="s">
        <v>3616</v>
      </c>
      <c r="R8" s="17">
        <v>17897433.710000001</v>
      </c>
      <c r="S8" s="17">
        <v>4974456.4000000004</v>
      </c>
      <c r="T8" s="17">
        <v>18587154.18</v>
      </c>
      <c r="U8" s="17" t="s">
        <v>2817</v>
      </c>
      <c r="V8" s="17" t="s">
        <v>939</v>
      </c>
      <c r="W8" s="17" t="s">
        <v>2816</v>
      </c>
      <c r="X8" s="17" t="s">
        <v>3403</v>
      </c>
      <c r="Y8" s="17" t="s">
        <v>56</v>
      </c>
      <c r="Z8" s="17" t="s">
        <v>3616</v>
      </c>
      <c r="AA8" s="17" t="s">
        <v>2801</v>
      </c>
      <c r="AB8" s="17">
        <v>2.1629</v>
      </c>
      <c r="AC8" s="17" t="s">
        <v>3616</v>
      </c>
      <c r="AD8" s="17" t="s">
        <v>2804</v>
      </c>
      <c r="AE8" s="17">
        <v>319397</v>
      </c>
      <c r="AF8" s="17" t="s">
        <v>2839</v>
      </c>
      <c r="AG8" s="17" t="s">
        <v>3617</v>
      </c>
      <c r="AH8" s="17" t="s">
        <v>2806</v>
      </c>
      <c r="AI8" s="17"/>
      <c r="AJ8" s="17" t="s">
        <v>56</v>
      </c>
      <c r="AK8" s="17" t="s">
        <v>56</v>
      </c>
      <c r="AL8" s="17" t="s">
        <v>56</v>
      </c>
      <c r="AM8" s="17" t="s">
        <v>56</v>
      </c>
      <c r="AN8" s="17" t="s">
        <v>56</v>
      </c>
      <c r="AO8" s="17" t="s">
        <v>56</v>
      </c>
      <c r="AP8" s="17" t="s">
        <v>56</v>
      </c>
      <c r="AQ8" s="17" t="s">
        <v>56</v>
      </c>
      <c r="AR8" s="17" t="s">
        <v>56</v>
      </c>
      <c r="AS8" s="17">
        <v>677.19899999999996</v>
      </c>
      <c r="AT8" s="17">
        <v>82.007599999999996</v>
      </c>
      <c r="AU8" s="17">
        <v>435.83600000000001</v>
      </c>
      <c r="AV8" s="17" t="s">
        <v>56</v>
      </c>
      <c r="AW8" s="17" t="s">
        <v>56</v>
      </c>
      <c r="AX8" s="17" t="s">
        <v>56</v>
      </c>
      <c r="AY8" s="17">
        <v>561.97</v>
      </c>
      <c r="AZ8" s="17">
        <v>68.053600000000003</v>
      </c>
      <c r="BA8" s="17">
        <v>361.67599999999999</v>
      </c>
      <c r="BB8" s="17" t="s">
        <v>56</v>
      </c>
      <c r="BC8" s="17" t="s">
        <v>56</v>
      </c>
      <c r="BD8" s="17" t="s">
        <v>56</v>
      </c>
      <c r="BE8" s="17" t="s">
        <v>56</v>
      </c>
      <c r="BF8" s="17" t="s">
        <v>56</v>
      </c>
      <c r="BG8" s="17" t="s">
        <v>56</v>
      </c>
      <c r="BH8" s="17" t="s">
        <v>56</v>
      </c>
      <c r="BI8" s="17" t="s">
        <v>56</v>
      </c>
      <c r="BJ8" s="17" t="s">
        <v>56</v>
      </c>
      <c r="BK8" s="17" t="s">
        <v>56</v>
      </c>
      <c r="BL8" s="17" t="s">
        <v>56</v>
      </c>
      <c r="BM8" s="17" t="s">
        <v>56</v>
      </c>
      <c r="BN8" s="17" t="s">
        <v>56</v>
      </c>
      <c r="BO8" s="17" t="s">
        <v>56</v>
      </c>
      <c r="BP8" s="17" t="s">
        <v>56</v>
      </c>
      <c r="BQ8" s="17" t="s">
        <v>56</v>
      </c>
      <c r="BR8" s="17" t="s">
        <v>56</v>
      </c>
      <c r="BS8" s="17" t="s">
        <v>56</v>
      </c>
      <c r="BT8" s="17" t="s">
        <v>56</v>
      </c>
      <c r="BU8" s="17" t="s">
        <v>56</v>
      </c>
      <c r="BV8" s="17" t="s">
        <v>56</v>
      </c>
      <c r="BW8" s="17" t="s">
        <v>56</v>
      </c>
      <c r="BX8" s="17" t="s">
        <v>2818</v>
      </c>
      <c r="BY8" s="17" t="s">
        <v>1111</v>
      </c>
      <c r="BZ8" s="17" t="s">
        <v>56</v>
      </c>
      <c r="CA8" s="17" t="s">
        <v>56</v>
      </c>
      <c r="CB8" s="17" t="s">
        <v>1325</v>
      </c>
      <c r="CC8" s="17" t="s">
        <v>1325</v>
      </c>
      <c r="CD8" s="17" t="s">
        <v>1325</v>
      </c>
      <c r="CE8" s="17" t="s">
        <v>1325</v>
      </c>
      <c r="CF8" s="17" t="s">
        <v>1325</v>
      </c>
      <c r="CG8" s="17" t="s">
        <v>1325</v>
      </c>
      <c r="CH8" s="17" t="s">
        <v>1325</v>
      </c>
      <c r="CI8" s="17" t="s">
        <v>1325</v>
      </c>
      <c r="CJ8" s="17" t="s">
        <v>1325</v>
      </c>
      <c r="CK8" s="17" t="s">
        <v>1325</v>
      </c>
      <c r="CL8" s="17" t="s">
        <v>1325</v>
      </c>
      <c r="CM8" s="17" t="s">
        <v>1325</v>
      </c>
      <c r="CN8" s="17" t="s">
        <v>1325</v>
      </c>
      <c r="CO8" s="17" t="s">
        <v>1325</v>
      </c>
      <c r="CP8" s="17" t="s">
        <v>1325</v>
      </c>
      <c r="CQ8" s="17" t="s">
        <v>1325</v>
      </c>
      <c r="CR8" s="17" t="s">
        <v>1325</v>
      </c>
      <c r="CS8" s="17" t="s">
        <v>1325</v>
      </c>
      <c r="CT8" s="17" t="s">
        <v>1325</v>
      </c>
      <c r="CU8" s="17" t="s">
        <v>1325</v>
      </c>
      <c r="CV8" s="17" t="s">
        <v>1325</v>
      </c>
      <c r="CW8" s="17" t="s">
        <v>56</v>
      </c>
      <c r="CX8" s="17" t="s">
        <v>56</v>
      </c>
      <c r="CY8" s="17" t="s">
        <v>56</v>
      </c>
      <c r="CZ8" s="17">
        <v>319397</v>
      </c>
      <c r="DA8" s="17">
        <v>319397</v>
      </c>
      <c r="DB8" s="17">
        <v>319397</v>
      </c>
      <c r="DC8" s="17"/>
      <c r="DD8" s="17"/>
      <c r="DE8" s="17"/>
      <c r="DF8" s="17" t="s">
        <v>3415</v>
      </c>
      <c r="DG8" s="17" t="s">
        <v>3419</v>
      </c>
      <c r="DH8" s="17" t="s">
        <v>3237</v>
      </c>
      <c r="DI8" s="17" t="s">
        <v>3420</v>
      </c>
      <c r="DJ8" s="17" t="s">
        <v>3405</v>
      </c>
      <c r="DK8" s="17" t="s">
        <v>3320</v>
      </c>
      <c r="DL8" s="17" t="s">
        <v>3418</v>
      </c>
      <c r="DM8" s="17">
        <v>3.1849999999999999E-3</v>
      </c>
      <c r="DN8" s="17">
        <v>1017.3</v>
      </c>
      <c r="DO8" s="17">
        <v>0.42855973709351303</v>
      </c>
      <c r="DP8" s="17" t="s">
        <v>3308</v>
      </c>
      <c r="DQ8" s="17" t="s">
        <v>2839</v>
      </c>
      <c r="DR8" s="17" t="s">
        <v>56</v>
      </c>
      <c r="DS8" s="17" t="s">
        <v>56</v>
      </c>
      <c r="DT8" s="17" t="s">
        <v>56</v>
      </c>
      <c r="DU8" s="17" t="s">
        <v>56</v>
      </c>
      <c r="DV8" s="17" t="s">
        <v>2862</v>
      </c>
      <c r="DW8" s="17" t="s">
        <v>3309</v>
      </c>
      <c r="DX8" s="17" t="s">
        <v>3310</v>
      </c>
      <c r="DY8" s="17">
        <v>9.7795896448127796E-3</v>
      </c>
      <c r="DZ8" s="17">
        <v>2.7520410355187201E-2</v>
      </c>
      <c r="EA8" s="17" t="s">
        <v>3311</v>
      </c>
      <c r="EB8" s="17">
        <v>4.0201671797007003E-3</v>
      </c>
      <c r="EC8" s="17">
        <v>7.1798328202993004E-3</v>
      </c>
      <c r="ED8" s="17" t="s">
        <v>56</v>
      </c>
      <c r="EE8" s="17" t="s">
        <v>56</v>
      </c>
      <c r="EF8" s="17" t="s">
        <v>56</v>
      </c>
      <c r="EG8" s="17" t="s">
        <v>2862</v>
      </c>
      <c r="EH8" s="17" t="s">
        <v>3309</v>
      </c>
      <c r="EI8" s="17" t="s">
        <v>3312</v>
      </c>
      <c r="EJ8" s="17">
        <v>1.08477E-2</v>
      </c>
      <c r="EK8" s="17">
        <v>5.8252699999999998E-2</v>
      </c>
      <c r="EL8" s="17" t="s">
        <v>3311</v>
      </c>
      <c r="EM8" s="17">
        <v>4.8999999999999998E-3</v>
      </c>
      <c r="EN8" s="17">
        <v>1.01E-2</v>
      </c>
      <c r="EO8" s="17" t="s">
        <v>3312</v>
      </c>
      <c r="EP8" s="17">
        <v>4.3641500000000004</v>
      </c>
      <c r="EQ8" s="17">
        <v>23.435700000000001</v>
      </c>
      <c r="ER8" s="17" t="s">
        <v>3313</v>
      </c>
      <c r="ES8" s="17">
        <v>0.59340000000000004</v>
      </c>
      <c r="ET8" s="17">
        <v>1.2263999999999999</v>
      </c>
      <c r="EU8" s="17" t="s">
        <v>2862</v>
      </c>
      <c r="EV8" s="17" t="s">
        <v>3309</v>
      </c>
      <c r="EW8" s="17" t="s">
        <v>3312</v>
      </c>
      <c r="EX8" s="17">
        <v>4.3641500000000004</v>
      </c>
      <c r="EY8" s="17">
        <v>23.435700000000001</v>
      </c>
      <c r="EZ8" s="17" t="s">
        <v>3311</v>
      </c>
      <c r="FA8" s="17">
        <v>0.59340000000000004</v>
      </c>
      <c r="FB8" s="17">
        <v>1.2263999999999999</v>
      </c>
      <c r="FC8" s="17" t="s">
        <v>56</v>
      </c>
      <c r="FD8" s="17" t="s">
        <v>56</v>
      </c>
      <c r="FE8" s="17" t="s">
        <v>56</v>
      </c>
      <c r="FF8" s="17" t="s">
        <v>56</v>
      </c>
      <c r="FG8" s="17" t="s">
        <v>56</v>
      </c>
      <c r="FH8" s="17" t="s">
        <v>56</v>
      </c>
      <c r="FI8" s="17" t="s">
        <v>56</v>
      </c>
      <c r="FJ8" s="17" t="s">
        <v>56</v>
      </c>
      <c r="FK8" s="17" t="s">
        <v>56</v>
      </c>
      <c r="FL8" s="17" t="s">
        <v>56</v>
      </c>
      <c r="FM8" s="17" t="s">
        <v>56</v>
      </c>
      <c r="FN8" s="17" t="s">
        <v>56</v>
      </c>
      <c r="FO8" s="17" t="s">
        <v>56</v>
      </c>
      <c r="FP8" s="17" t="s">
        <v>56</v>
      </c>
      <c r="FQ8" s="17" t="s">
        <v>56</v>
      </c>
      <c r="FR8" s="17" t="s">
        <v>56</v>
      </c>
      <c r="FS8" s="17" t="s">
        <v>56</v>
      </c>
      <c r="FT8" s="17" t="s">
        <v>56</v>
      </c>
      <c r="FU8" s="17">
        <v>194.51109352776899</v>
      </c>
      <c r="FV8" s="17">
        <v>1044.5341325547299</v>
      </c>
      <c r="FW8" s="17" t="s">
        <v>56</v>
      </c>
      <c r="FX8" s="17" t="s">
        <v>56</v>
      </c>
      <c r="FY8" s="17" t="s">
        <v>56</v>
      </c>
      <c r="FZ8" s="17" t="s">
        <v>56</v>
      </c>
      <c r="GA8" s="17" t="s">
        <v>56</v>
      </c>
      <c r="GB8" s="17" t="s">
        <v>56</v>
      </c>
      <c r="GC8" s="17" t="s">
        <v>56</v>
      </c>
      <c r="GD8" s="17" t="s">
        <v>2969</v>
      </c>
      <c r="GE8" s="17" t="s">
        <v>2969</v>
      </c>
      <c r="GF8" s="17" t="s">
        <v>56</v>
      </c>
      <c r="GG8" s="17" t="s">
        <v>2818</v>
      </c>
      <c r="GH8" s="17" t="s">
        <v>2818</v>
      </c>
      <c r="GI8" s="17" t="s">
        <v>1111</v>
      </c>
      <c r="GJ8" s="17" t="s">
        <v>1111</v>
      </c>
      <c r="GK8" s="17" t="s">
        <v>1111</v>
      </c>
      <c r="GL8" s="17"/>
    </row>
    <row r="9" spans="2:194" x14ac:dyDescent="0.25">
      <c r="B9" s="17" t="s">
        <v>2840</v>
      </c>
      <c r="C9" s="17" t="s">
        <v>70</v>
      </c>
      <c r="D9" s="17" t="s">
        <v>3411</v>
      </c>
      <c r="E9" s="17" t="s">
        <v>3412</v>
      </c>
      <c r="F9" s="17" t="s">
        <v>3237</v>
      </c>
      <c r="G9" s="17" t="s">
        <v>3413</v>
      </c>
      <c r="H9" s="17"/>
      <c r="I9" s="17" t="s">
        <v>2797</v>
      </c>
      <c r="J9" s="17" t="s">
        <v>3403</v>
      </c>
      <c r="K9" s="17" t="s">
        <v>2653</v>
      </c>
      <c r="L9" s="17" t="s">
        <v>2800</v>
      </c>
      <c r="M9" s="17" t="s">
        <v>3414</v>
      </c>
      <c r="N9" s="17" t="s">
        <v>1325</v>
      </c>
      <c r="O9" s="17" t="s">
        <v>2813</v>
      </c>
      <c r="P9" s="17" t="s">
        <v>2814</v>
      </c>
      <c r="Q9" s="17" t="s">
        <v>3616</v>
      </c>
      <c r="R9" s="17">
        <v>17897433.710000001</v>
      </c>
      <c r="S9" s="17">
        <v>4974456.4000000004</v>
      </c>
      <c r="T9" s="17">
        <v>18587154.18</v>
      </c>
      <c r="U9" s="17" t="s">
        <v>2817</v>
      </c>
      <c r="V9" s="17" t="s">
        <v>939</v>
      </c>
      <c r="W9" s="17" t="s">
        <v>2816</v>
      </c>
      <c r="X9" s="17" t="s">
        <v>3403</v>
      </c>
      <c r="Y9" s="17" t="s">
        <v>56</v>
      </c>
      <c r="Z9" s="17" t="s">
        <v>3616</v>
      </c>
      <c r="AA9" s="17" t="s">
        <v>2801</v>
      </c>
      <c r="AB9" s="17">
        <v>2.1629</v>
      </c>
      <c r="AC9" s="17" t="s">
        <v>3616</v>
      </c>
      <c r="AD9" s="17" t="s">
        <v>2804</v>
      </c>
      <c r="AE9" s="17">
        <v>319397</v>
      </c>
      <c r="AF9" s="17" t="s">
        <v>2839</v>
      </c>
      <c r="AG9" s="17" t="s">
        <v>3617</v>
      </c>
      <c r="AH9" s="17" t="s">
        <v>2806</v>
      </c>
      <c r="AI9" s="17"/>
      <c r="AJ9" s="17" t="s">
        <v>56</v>
      </c>
      <c r="AK9" s="17" t="s">
        <v>56</v>
      </c>
      <c r="AL9" s="17" t="s">
        <v>56</v>
      </c>
      <c r="AM9" s="17" t="s">
        <v>56</v>
      </c>
      <c r="AN9" s="17" t="s">
        <v>56</v>
      </c>
      <c r="AO9" s="17" t="s">
        <v>56</v>
      </c>
      <c r="AP9" s="17" t="s">
        <v>56</v>
      </c>
      <c r="AQ9" s="17" t="s">
        <v>56</v>
      </c>
      <c r="AR9" s="17" t="s">
        <v>56</v>
      </c>
      <c r="AS9" s="17">
        <v>677.19899999999996</v>
      </c>
      <c r="AT9" s="17">
        <v>82.007599999999996</v>
      </c>
      <c r="AU9" s="17">
        <v>435.83600000000001</v>
      </c>
      <c r="AV9" s="17" t="s">
        <v>56</v>
      </c>
      <c r="AW9" s="17" t="s">
        <v>56</v>
      </c>
      <c r="AX9" s="17" t="s">
        <v>56</v>
      </c>
      <c r="AY9" s="17">
        <v>561.97</v>
      </c>
      <c r="AZ9" s="17">
        <v>68.053600000000003</v>
      </c>
      <c r="BA9" s="17">
        <v>361.67599999999999</v>
      </c>
      <c r="BB9" s="17" t="s">
        <v>56</v>
      </c>
      <c r="BC9" s="17" t="s">
        <v>56</v>
      </c>
      <c r="BD9" s="17" t="s">
        <v>56</v>
      </c>
      <c r="BE9" s="17" t="s">
        <v>56</v>
      </c>
      <c r="BF9" s="17" t="s">
        <v>56</v>
      </c>
      <c r="BG9" s="17" t="s">
        <v>56</v>
      </c>
      <c r="BH9" s="17" t="s">
        <v>56</v>
      </c>
      <c r="BI9" s="17" t="s">
        <v>56</v>
      </c>
      <c r="BJ9" s="17" t="s">
        <v>56</v>
      </c>
      <c r="BK9" s="17" t="s">
        <v>56</v>
      </c>
      <c r="BL9" s="17" t="s">
        <v>56</v>
      </c>
      <c r="BM9" s="17" t="s">
        <v>56</v>
      </c>
      <c r="BN9" s="17" t="s">
        <v>56</v>
      </c>
      <c r="BO9" s="17" t="s">
        <v>56</v>
      </c>
      <c r="BP9" s="17" t="s">
        <v>56</v>
      </c>
      <c r="BQ9" s="17" t="s">
        <v>56</v>
      </c>
      <c r="BR9" s="17" t="s">
        <v>56</v>
      </c>
      <c r="BS9" s="17" t="s">
        <v>56</v>
      </c>
      <c r="BT9" s="17" t="s">
        <v>56</v>
      </c>
      <c r="BU9" s="17" t="s">
        <v>56</v>
      </c>
      <c r="BV9" s="17" t="s">
        <v>56</v>
      </c>
      <c r="BW9" s="17" t="s">
        <v>56</v>
      </c>
      <c r="BX9" s="17" t="s">
        <v>2818</v>
      </c>
      <c r="BY9" s="17" t="s">
        <v>1111</v>
      </c>
      <c r="BZ9" s="17" t="s">
        <v>56</v>
      </c>
      <c r="CA9" s="17" t="s">
        <v>56</v>
      </c>
      <c r="CB9" s="17" t="s">
        <v>1325</v>
      </c>
      <c r="CC9" s="17" t="s">
        <v>1325</v>
      </c>
      <c r="CD9" s="17" t="s">
        <v>1325</v>
      </c>
      <c r="CE9" s="17" t="s">
        <v>1325</v>
      </c>
      <c r="CF9" s="17" t="s">
        <v>1325</v>
      </c>
      <c r="CG9" s="17" t="s">
        <v>1325</v>
      </c>
      <c r="CH9" s="17" t="s">
        <v>1325</v>
      </c>
      <c r="CI9" s="17" t="s">
        <v>1325</v>
      </c>
      <c r="CJ9" s="17" t="s">
        <v>1325</v>
      </c>
      <c r="CK9" s="17" t="s">
        <v>1325</v>
      </c>
      <c r="CL9" s="17" t="s">
        <v>1325</v>
      </c>
      <c r="CM9" s="17" t="s">
        <v>1325</v>
      </c>
      <c r="CN9" s="17" t="s">
        <v>1325</v>
      </c>
      <c r="CO9" s="17" t="s">
        <v>1325</v>
      </c>
      <c r="CP9" s="17" t="s">
        <v>1325</v>
      </c>
      <c r="CQ9" s="17" t="s">
        <v>1325</v>
      </c>
      <c r="CR9" s="17" t="s">
        <v>1325</v>
      </c>
      <c r="CS9" s="17" t="s">
        <v>1325</v>
      </c>
      <c r="CT9" s="17" t="s">
        <v>1325</v>
      </c>
      <c r="CU9" s="17" t="s">
        <v>1325</v>
      </c>
      <c r="CV9" s="17" t="s">
        <v>1325</v>
      </c>
      <c r="CW9" s="17" t="s">
        <v>56</v>
      </c>
      <c r="CX9" s="17" t="s">
        <v>56</v>
      </c>
      <c r="CY9" s="17" t="s">
        <v>56</v>
      </c>
      <c r="CZ9" s="17">
        <v>319397</v>
      </c>
      <c r="DA9" s="17">
        <v>319397</v>
      </c>
      <c r="DB9" s="17">
        <v>319397</v>
      </c>
      <c r="DC9" s="17"/>
      <c r="DD9" s="17"/>
      <c r="DE9" s="17"/>
      <c r="DF9" s="17" t="s">
        <v>3415</v>
      </c>
      <c r="DG9" s="17" t="s">
        <v>3421</v>
      </c>
      <c r="DH9" s="17" t="s">
        <v>3237</v>
      </c>
      <c r="DI9" s="17" t="s">
        <v>3422</v>
      </c>
      <c r="DJ9" s="17" t="s">
        <v>3405</v>
      </c>
      <c r="DK9" s="17" t="s">
        <v>3320</v>
      </c>
      <c r="DL9" s="17" t="s">
        <v>3418</v>
      </c>
      <c r="DM9" s="17">
        <v>3.5100000000000001E-3</v>
      </c>
      <c r="DN9" s="17">
        <v>1121.0999999999999</v>
      </c>
      <c r="DO9" s="17">
        <v>0.428559715493119</v>
      </c>
      <c r="DP9" s="17" t="s">
        <v>3308</v>
      </c>
      <c r="DQ9" s="17" t="s">
        <v>2839</v>
      </c>
      <c r="DR9" s="17" t="s">
        <v>56</v>
      </c>
      <c r="DS9" s="17" t="s">
        <v>56</v>
      </c>
      <c r="DT9" s="17" t="s">
        <v>56</v>
      </c>
      <c r="DU9" s="17" t="s">
        <v>56</v>
      </c>
      <c r="DV9" s="17" t="s">
        <v>2862</v>
      </c>
      <c r="DW9" s="17" t="s">
        <v>3309</v>
      </c>
      <c r="DX9" s="17" t="s">
        <v>3310</v>
      </c>
      <c r="DY9" s="17">
        <v>9.7795896448127796E-3</v>
      </c>
      <c r="DZ9" s="17">
        <v>2.7520410355187201E-2</v>
      </c>
      <c r="EA9" s="17" t="s">
        <v>3311</v>
      </c>
      <c r="EB9" s="17">
        <v>4.0201671797007003E-3</v>
      </c>
      <c r="EC9" s="17">
        <v>7.1798328202993004E-3</v>
      </c>
      <c r="ED9" s="17" t="s">
        <v>56</v>
      </c>
      <c r="EE9" s="17" t="s">
        <v>56</v>
      </c>
      <c r="EF9" s="17" t="s">
        <v>56</v>
      </c>
      <c r="EG9" s="17" t="s">
        <v>2862</v>
      </c>
      <c r="EH9" s="17" t="s">
        <v>3309</v>
      </c>
      <c r="EI9" s="17" t="s">
        <v>3312</v>
      </c>
      <c r="EJ9" s="17">
        <v>1.08477E-2</v>
      </c>
      <c r="EK9" s="17">
        <v>5.8252699999999998E-2</v>
      </c>
      <c r="EL9" s="17" t="s">
        <v>3311</v>
      </c>
      <c r="EM9" s="17">
        <v>4.8999999999999998E-3</v>
      </c>
      <c r="EN9" s="17">
        <v>1.01E-2</v>
      </c>
      <c r="EO9" s="17" t="s">
        <v>3312</v>
      </c>
      <c r="EP9" s="17">
        <v>4.3641500000000004</v>
      </c>
      <c r="EQ9" s="17">
        <v>23.435700000000001</v>
      </c>
      <c r="ER9" s="17" t="s">
        <v>3313</v>
      </c>
      <c r="ES9" s="17">
        <v>0.59340000000000004</v>
      </c>
      <c r="ET9" s="17">
        <v>1.2263999999999999</v>
      </c>
      <c r="EU9" s="17" t="s">
        <v>2862</v>
      </c>
      <c r="EV9" s="17" t="s">
        <v>3309</v>
      </c>
      <c r="EW9" s="17" t="s">
        <v>3312</v>
      </c>
      <c r="EX9" s="17">
        <v>4.3641500000000004</v>
      </c>
      <c r="EY9" s="17">
        <v>23.435700000000001</v>
      </c>
      <c r="EZ9" s="17" t="s">
        <v>3311</v>
      </c>
      <c r="FA9" s="17">
        <v>0.59340000000000004</v>
      </c>
      <c r="FB9" s="17">
        <v>1.2263999999999999</v>
      </c>
      <c r="FC9" s="17" t="s">
        <v>56</v>
      </c>
      <c r="FD9" s="17" t="s">
        <v>56</v>
      </c>
      <c r="FE9" s="17" t="s">
        <v>56</v>
      </c>
      <c r="FF9" s="17" t="s">
        <v>56</v>
      </c>
      <c r="FG9" s="17" t="s">
        <v>56</v>
      </c>
      <c r="FH9" s="17" t="s">
        <v>56</v>
      </c>
      <c r="FI9" s="17" t="s">
        <v>56</v>
      </c>
      <c r="FJ9" s="17" t="s">
        <v>56</v>
      </c>
      <c r="FK9" s="17" t="s">
        <v>56</v>
      </c>
      <c r="FL9" s="17" t="s">
        <v>56</v>
      </c>
      <c r="FM9" s="17" t="s">
        <v>56</v>
      </c>
      <c r="FN9" s="17" t="s">
        <v>56</v>
      </c>
      <c r="FO9" s="17" t="s">
        <v>56</v>
      </c>
      <c r="FP9" s="17" t="s">
        <v>56</v>
      </c>
      <c r="FQ9" s="17" t="s">
        <v>56</v>
      </c>
      <c r="FR9" s="17" t="s">
        <v>56</v>
      </c>
      <c r="FS9" s="17" t="s">
        <v>56</v>
      </c>
      <c r="FT9" s="17" t="s">
        <v>56</v>
      </c>
      <c r="FU9" s="17">
        <v>194.511083724142</v>
      </c>
      <c r="FV9" s="17">
        <v>1044.5340799087701</v>
      </c>
      <c r="FW9" s="17" t="s">
        <v>56</v>
      </c>
      <c r="FX9" s="17" t="s">
        <v>56</v>
      </c>
      <c r="FY9" s="17" t="s">
        <v>56</v>
      </c>
      <c r="FZ9" s="17" t="s">
        <v>56</v>
      </c>
      <c r="GA9" s="17" t="s">
        <v>56</v>
      </c>
      <c r="GB9" s="17" t="s">
        <v>56</v>
      </c>
      <c r="GC9" s="17" t="s">
        <v>56</v>
      </c>
      <c r="GD9" s="17" t="s">
        <v>2969</v>
      </c>
      <c r="GE9" s="17" t="s">
        <v>2969</v>
      </c>
      <c r="GF9" s="17" t="s">
        <v>56</v>
      </c>
      <c r="GG9" s="17" t="s">
        <v>2818</v>
      </c>
      <c r="GH9" s="17" t="s">
        <v>2818</v>
      </c>
      <c r="GI9" s="17" t="s">
        <v>1111</v>
      </c>
      <c r="GJ9" s="17" t="s">
        <v>1111</v>
      </c>
      <c r="GK9" s="17" t="s">
        <v>1111</v>
      </c>
      <c r="GL9" s="17"/>
    </row>
    <row r="10" spans="2:194" x14ac:dyDescent="0.25">
      <c r="B10" s="17" t="s">
        <v>2840</v>
      </c>
      <c r="C10" s="17" t="s">
        <v>70</v>
      </c>
      <c r="D10" s="17" t="s">
        <v>3411</v>
      </c>
      <c r="E10" s="17" t="s">
        <v>3412</v>
      </c>
      <c r="F10" s="17" t="s">
        <v>3237</v>
      </c>
      <c r="G10" s="17" t="s">
        <v>3413</v>
      </c>
      <c r="H10" s="17"/>
      <c r="I10" s="17" t="s">
        <v>2797</v>
      </c>
      <c r="J10" s="17" t="s">
        <v>3403</v>
      </c>
      <c r="K10" s="17" t="s">
        <v>2653</v>
      </c>
      <c r="L10" s="17" t="s">
        <v>2800</v>
      </c>
      <c r="M10" s="17" t="s">
        <v>3414</v>
      </c>
      <c r="N10" s="17" t="s">
        <v>1325</v>
      </c>
      <c r="O10" s="17" t="s">
        <v>2813</v>
      </c>
      <c r="P10" s="17" t="s">
        <v>2814</v>
      </c>
      <c r="Q10" s="17" t="s">
        <v>3616</v>
      </c>
      <c r="R10" s="17">
        <v>17897433.710000001</v>
      </c>
      <c r="S10" s="17">
        <v>4974456.4000000004</v>
      </c>
      <c r="T10" s="17">
        <v>18587154.18</v>
      </c>
      <c r="U10" s="17" t="s">
        <v>2817</v>
      </c>
      <c r="V10" s="17" t="s">
        <v>939</v>
      </c>
      <c r="W10" s="17" t="s">
        <v>2816</v>
      </c>
      <c r="X10" s="17" t="s">
        <v>3403</v>
      </c>
      <c r="Y10" s="17" t="s">
        <v>56</v>
      </c>
      <c r="Z10" s="17" t="s">
        <v>3616</v>
      </c>
      <c r="AA10" s="17" t="s">
        <v>2801</v>
      </c>
      <c r="AB10" s="17">
        <v>2.1629</v>
      </c>
      <c r="AC10" s="17" t="s">
        <v>3616</v>
      </c>
      <c r="AD10" s="17" t="s">
        <v>2804</v>
      </c>
      <c r="AE10" s="17">
        <v>319397</v>
      </c>
      <c r="AF10" s="17" t="s">
        <v>2839</v>
      </c>
      <c r="AG10" s="17" t="s">
        <v>3617</v>
      </c>
      <c r="AH10" s="17" t="s">
        <v>2806</v>
      </c>
      <c r="AI10" s="17"/>
      <c r="AJ10" s="17" t="s">
        <v>56</v>
      </c>
      <c r="AK10" s="17" t="s">
        <v>56</v>
      </c>
      <c r="AL10" s="17" t="s">
        <v>56</v>
      </c>
      <c r="AM10" s="17" t="s">
        <v>56</v>
      </c>
      <c r="AN10" s="17" t="s">
        <v>56</v>
      </c>
      <c r="AO10" s="17" t="s">
        <v>56</v>
      </c>
      <c r="AP10" s="17" t="s">
        <v>56</v>
      </c>
      <c r="AQ10" s="17" t="s">
        <v>56</v>
      </c>
      <c r="AR10" s="17" t="s">
        <v>56</v>
      </c>
      <c r="AS10" s="17">
        <v>677.19899999999996</v>
      </c>
      <c r="AT10" s="17">
        <v>82.007599999999996</v>
      </c>
      <c r="AU10" s="17">
        <v>435.83600000000001</v>
      </c>
      <c r="AV10" s="17" t="s">
        <v>56</v>
      </c>
      <c r="AW10" s="17" t="s">
        <v>56</v>
      </c>
      <c r="AX10" s="17" t="s">
        <v>56</v>
      </c>
      <c r="AY10" s="17">
        <v>561.97</v>
      </c>
      <c r="AZ10" s="17">
        <v>68.053600000000003</v>
      </c>
      <c r="BA10" s="17">
        <v>361.67599999999999</v>
      </c>
      <c r="BB10" s="17" t="s">
        <v>56</v>
      </c>
      <c r="BC10" s="17" t="s">
        <v>56</v>
      </c>
      <c r="BD10" s="17" t="s">
        <v>56</v>
      </c>
      <c r="BE10" s="17" t="s">
        <v>56</v>
      </c>
      <c r="BF10" s="17" t="s">
        <v>56</v>
      </c>
      <c r="BG10" s="17" t="s">
        <v>56</v>
      </c>
      <c r="BH10" s="17" t="s">
        <v>56</v>
      </c>
      <c r="BI10" s="17" t="s">
        <v>56</v>
      </c>
      <c r="BJ10" s="17" t="s">
        <v>56</v>
      </c>
      <c r="BK10" s="17" t="s">
        <v>56</v>
      </c>
      <c r="BL10" s="17" t="s">
        <v>56</v>
      </c>
      <c r="BM10" s="17" t="s">
        <v>56</v>
      </c>
      <c r="BN10" s="17" t="s">
        <v>56</v>
      </c>
      <c r="BO10" s="17" t="s">
        <v>56</v>
      </c>
      <c r="BP10" s="17" t="s">
        <v>56</v>
      </c>
      <c r="BQ10" s="17" t="s">
        <v>56</v>
      </c>
      <c r="BR10" s="17" t="s">
        <v>56</v>
      </c>
      <c r="BS10" s="17" t="s">
        <v>56</v>
      </c>
      <c r="BT10" s="17" t="s">
        <v>56</v>
      </c>
      <c r="BU10" s="17" t="s">
        <v>56</v>
      </c>
      <c r="BV10" s="17" t="s">
        <v>56</v>
      </c>
      <c r="BW10" s="17" t="s">
        <v>56</v>
      </c>
      <c r="BX10" s="17" t="s">
        <v>2818</v>
      </c>
      <c r="BY10" s="17" t="s">
        <v>1111</v>
      </c>
      <c r="BZ10" s="17" t="s">
        <v>56</v>
      </c>
      <c r="CA10" s="17" t="s">
        <v>56</v>
      </c>
      <c r="CB10" s="17" t="s">
        <v>1325</v>
      </c>
      <c r="CC10" s="17" t="s">
        <v>1325</v>
      </c>
      <c r="CD10" s="17" t="s">
        <v>1325</v>
      </c>
      <c r="CE10" s="17" t="s">
        <v>1325</v>
      </c>
      <c r="CF10" s="17" t="s">
        <v>1325</v>
      </c>
      <c r="CG10" s="17" t="s">
        <v>1325</v>
      </c>
      <c r="CH10" s="17" t="s">
        <v>1325</v>
      </c>
      <c r="CI10" s="17" t="s">
        <v>1325</v>
      </c>
      <c r="CJ10" s="17" t="s">
        <v>1325</v>
      </c>
      <c r="CK10" s="17" t="s">
        <v>1325</v>
      </c>
      <c r="CL10" s="17" t="s">
        <v>1325</v>
      </c>
      <c r="CM10" s="17" t="s">
        <v>1325</v>
      </c>
      <c r="CN10" s="17" t="s">
        <v>1325</v>
      </c>
      <c r="CO10" s="17" t="s">
        <v>1325</v>
      </c>
      <c r="CP10" s="17" t="s">
        <v>1325</v>
      </c>
      <c r="CQ10" s="17" t="s">
        <v>1325</v>
      </c>
      <c r="CR10" s="17" t="s">
        <v>1325</v>
      </c>
      <c r="CS10" s="17" t="s">
        <v>1325</v>
      </c>
      <c r="CT10" s="17" t="s">
        <v>1325</v>
      </c>
      <c r="CU10" s="17" t="s">
        <v>1325</v>
      </c>
      <c r="CV10" s="17" t="s">
        <v>1325</v>
      </c>
      <c r="CW10" s="17" t="s">
        <v>56</v>
      </c>
      <c r="CX10" s="17" t="s">
        <v>56</v>
      </c>
      <c r="CY10" s="17" t="s">
        <v>56</v>
      </c>
      <c r="CZ10" s="17">
        <v>319397</v>
      </c>
      <c r="DA10" s="17">
        <v>319397</v>
      </c>
      <c r="DB10" s="17">
        <v>319397</v>
      </c>
      <c r="DC10" s="17"/>
      <c r="DD10" s="17"/>
      <c r="DE10" s="17"/>
      <c r="DF10" s="17" t="s">
        <v>3415</v>
      </c>
      <c r="DG10" s="17" t="s">
        <v>3423</v>
      </c>
      <c r="DH10" s="17" t="s">
        <v>3237</v>
      </c>
      <c r="DI10" s="17" t="s">
        <v>3424</v>
      </c>
      <c r="DJ10" s="17" t="s">
        <v>3405</v>
      </c>
      <c r="DK10" s="17" t="s">
        <v>3320</v>
      </c>
      <c r="DL10" s="17" t="s">
        <v>3418</v>
      </c>
      <c r="DM10" s="17">
        <v>9.887E-3</v>
      </c>
      <c r="DN10" s="17">
        <v>3157.9</v>
      </c>
      <c r="DO10" s="17">
        <v>0.42855891075858299</v>
      </c>
      <c r="DP10" s="17" t="s">
        <v>3308</v>
      </c>
      <c r="DQ10" s="17" t="s">
        <v>2839</v>
      </c>
      <c r="DR10" s="17" t="s">
        <v>56</v>
      </c>
      <c r="DS10" s="17" t="s">
        <v>56</v>
      </c>
      <c r="DT10" s="17" t="s">
        <v>56</v>
      </c>
      <c r="DU10" s="17" t="s">
        <v>56</v>
      </c>
      <c r="DV10" s="17" t="s">
        <v>2862</v>
      </c>
      <c r="DW10" s="17" t="s">
        <v>3309</v>
      </c>
      <c r="DX10" s="17" t="s">
        <v>3310</v>
      </c>
      <c r="DY10" s="17">
        <v>9.7795896448127796E-3</v>
      </c>
      <c r="DZ10" s="17">
        <v>2.7520410355187201E-2</v>
      </c>
      <c r="EA10" s="17" t="s">
        <v>3311</v>
      </c>
      <c r="EB10" s="17">
        <v>4.0201671797007003E-3</v>
      </c>
      <c r="EC10" s="17">
        <v>7.1798328202993004E-3</v>
      </c>
      <c r="ED10" s="17" t="s">
        <v>56</v>
      </c>
      <c r="EE10" s="17" t="s">
        <v>56</v>
      </c>
      <c r="EF10" s="17" t="s">
        <v>56</v>
      </c>
      <c r="EG10" s="17" t="s">
        <v>2862</v>
      </c>
      <c r="EH10" s="17" t="s">
        <v>3309</v>
      </c>
      <c r="EI10" s="17" t="s">
        <v>3312</v>
      </c>
      <c r="EJ10" s="17">
        <v>1.08477E-2</v>
      </c>
      <c r="EK10" s="17">
        <v>5.8252699999999998E-2</v>
      </c>
      <c r="EL10" s="17" t="s">
        <v>3311</v>
      </c>
      <c r="EM10" s="17">
        <v>4.8999999999999998E-3</v>
      </c>
      <c r="EN10" s="17">
        <v>1.01E-2</v>
      </c>
      <c r="EO10" s="17" t="s">
        <v>3312</v>
      </c>
      <c r="EP10" s="17">
        <v>4.3641500000000004</v>
      </c>
      <c r="EQ10" s="17">
        <v>23.435700000000001</v>
      </c>
      <c r="ER10" s="17" t="s">
        <v>3313</v>
      </c>
      <c r="ES10" s="17">
        <v>0.59340000000000004</v>
      </c>
      <c r="ET10" s="17">
        <v>1.2263999999999999</v>
      </c>
      <c r="EU10" s="17" t="s">
        <v>2862</v>
      </c>
      <c r="EV10" s="17" t="s">
        <v>3309</v>
      </c>
      <c r="EW10" s="17" t="s">
        <v>3312</v>
      </c>
      <c r="EX10" s="17">
        <v>4.3641500000000004</v>
      </c>
      <c r="EY10" s="17">
        <v>23.435700000000001</v>
      </c>
      <c r="EZ10" s="17" t="s">
        <v>3311</v>
      </c>
      <c r="FA10" s="17">
        <v>0.59340000000000004</v>
      </c>
      <c r="FB10" s="17">
        <v>1.2263999999999999</v>
      </c>
      <c r="FC10" s="17" t="s">
        <v>56</v>
      </c>
      <c r="FD10" s="17" t="s">
        <v>56</v>
      </c>
      <c r="FE10" s="17" t="s">
        <v>56</v>
      </c>
      <c r="FF10" s="17" t="s">
        <v>56</v>
      </c>
      <c r="FG10" s="17" t="s">
        <v>56</v>
      </c>
      <c r="FH10" s="17" t="s">
        <v>56</v>
      </c>
      <c r="FI10" s="17" t="s">
        <v>56</v>
      </c>
      <c r="FJ10" s="17" t="s">
        <v>56</v>
      </c>
      <c r="FK10" s="17" t="s">
        <v>56</v>
      </c>
      <c r="FL10" s="17" t="s">
        <v>56</v>
      </c>
      <c r="FM10" s="17" t="s">
        <v>56</v>
      </c>
      <c r="FN10" s="17" t="s">
        <v>56</v>
      </c>
      <c r="FO10" s="17" t="s">
        <v>56</v>
      </c>
      <c r="FP10" s="17" t="s">
        <v>56</v>
      </c>
      <c r="FQ10" s="17" t="s">
        <v>56</v>
      </c>
      <c r="FR10" s="17" t="s">
        <v>56</v>
      </c>
      <c r="FS10" s="17" t="s">
        <v>56</v>
      </c>
      <c r="FT10" s="17" t="s">
        <v>56</v>
      </c>
      <c r="FU10" s="17">
        <v>194.51071849366599</v>
      </c>
      <c r="FV10" s="17">
        <v>1044.5321186031599</v>
      </c>
      <c r="FW10" s="17" t="s">
        <v>56</v>
      </c>
      <c r="FX10" s="17" t="s">
        <v>56</v>
      </c>
      <c r="FY10" s="17" t="s">
        <v>56</v>
      </c>
      <c r="FZ10" s="17" t="s">
        <v>56</v>
      </c>
      <c r="GA10" s="17" t="s">
        <v>56</v>
      </c>
      <c r="GB10" s="17" t="s">
        <v>56</v>
      </c>
      <c r="GC10" s="17" t="s">
        <v>56</v>
      </c>
      <c r="GD10" s="17" t="s">
        <v>2969</v>
      </c>
      <c r="GE10" s="17" t="s">
        <v>2969</v>
      </c>
      <c r="GF10" s="17" t="s">
        <v>56</v>
      </c>
      <c r="GG10" s="17" t="s">
        <v>2818</v>
      </c>
      <c r="GH10" s="17" t="s">
        <v>2818</v>
      </c>
      <c r="GI10" s="17" t="s">
        <v>1111</v>
      </c>
      <c r="GJ10" s="17" t="s">
        <v>1111</v>
      </c>
      <c r="GK10" s="17" t="s">
        <v>1111</v>
      </c>
      <c r="GL10" s="17"/>
    </row>
    <row r="11" spans="2:194" x14ac:dyDescent="0.25">
      <c r="B11" s="17" t="s">
        <v>2840</v>
      </c>
      <c r="C11" s="17" t="s">
        <v>70</v>
      </c>
      <c r="D11" s="17" t="s">
        <v>3411</v>
      </c>
      <c r="E11" s="17" t="s">
        <v>3412</v>
      </c>
      <c r="F11" s="17" t="s">
        <v>3237</v>
      </c>
      <c r="G11" s="17" t="s">
        <v>3413</v>
      </c>
      <c r="H11" s="17"/>
      <c r="I11" s="17" t="s">
        <v>2797</v>
      </c>
      <c r="J11" s="17" t="s">
        <v>3403</v>
      </c>
      <c r="K11" s="17" t="s">
        <v>2653</v>
      </c>
      <c r="L11" s="17" t="s">
        <v>2800</v>
      </c>
      <c r="M11" s="17" t="s">
        <v>3414</v>
      </c>
      <c r="N11" s="17" t="s">
        <v>1325</v>
      </c>
      <c r="O11" s="17" t="s">
        <v>2813</v>
      </c>
      <c r="P11" s="17" t="s">
        <v>2814</v>
      </c>
      <c r="Q11" s="17" t="s">
        <v>3616</v>
      </c>
      <c r="R11" s="17">
        <v>17897433.710000001</v>
      </c>
      <c r="S11" s="17">
        <v>4974456.4000000004</v>
      </c>
      <c r="T11" s="17">
        <v>18587154.18</v>
      </c>
      <c r="U11" s="17" t="s">
        <v>2817</v>
      </c>
      <c r="V11" s="17" t="s">
        <v>939</v>
      </c>
      <c r="W11" s="17" t="s">
        <v>2816</v>
      </c>
      <c r="X11" s="17" t="s">
        <v>3403</v>
      </c>
      <c r="Y11" s="17" t="s">
        <v>56</v>
      </c>
      <c r="Z11" s="17" t="s">
        <v>3616</v>
      </c>
      <c r="AA11" s="17" t="s">
        <v>2801</v>
      </c>
      <c r="AB11" s="17">
        <v>2.1629</v>
      </c>
      <c r="AC11" s="17" t="s">
        <v>3616</v>
      </c>
      <c r="AD11" s="17" t="s">
        <v>2804</v>
      </c>
      <c r="AE11" s="17">
        <v>319397</v>
      </c>
      <c r="AF11" s="17" t="s">
        <v>2839</v>
      </c>
      <c r="AG11" s="17" t="s">
        <v>3617</v>
      </c>
      <c r="AH11" s="17" t="s">
        <v>2806</v>
      </c>
      <c r="AI11" s="17"/>
      <c r="AJ11" s="17" t="s">
        <v>56</v>
      </c>
      <c r="AK11" s="17" t="s">
        <v>56</v>
      </c>
      <c r="AL11" s="17" t="s">
        <v>56</v>
      </c>
      <c r="AM11" s="17" t="s">
        <v>56</v>
      </c>
      <c r="AN11" s="17" t="s">
        <v>56</v>
      </c>
      <c r="AO11" s="17" t="s">
        <v>56</v>
      </c>
      <c r="AP11" s="17" t="s">
        <v>56</v>
      </c>
      <c r="AQ11" s="17" t="s">
        <v>56</v>
      </c>
      <c r="AR11" s="17" t="s">
        <v>56</v>
      </c>
      <c r="AS11" s="17">
        <v>677.19899999999996</v>
      </c>
      <c r="AT11" s="17">
        <v>82.007599999999996</v>
      </c>
      <c r="AU11" s="17">
        <v>435.83600000000001</v>
      </c>
      <c r="AV11" s="17" t="s">
        <v>56</v>
      </c>
      <c r="AW11" s="17" t="s">
        <v>56</v>
      </c>
      <c r="AX11" s="17" t="s">
        <v>56</v>
      </c>
      <c r="AY11" s="17">
        <v>561.97</v>
      </c>
      <c r="AZ11" s="17">
        <v>68.053600000000003</v>
      </c>
      <c r="BA11" s="17">
        <v>361.67599999999999</v>
      </c>
      <c r="BB11" s="17" t="s">
        <v>56</v>
      </c>
      <c r="BC11" s="17" t="s">
        <v>56</v>
      </c>
      <c r="BD11" s="17" t="s">
        <v>56</v>
      </c>
      <c r="BE11" s="17" t="s">
        <v>56</v>
      </c>
      <c r="BF11" s="17" t="s">
        <v>56</v>
      </c>
      <c r="BG11" s="17" t="s">
        <v>56</v>
      </c>
      <c r="BH11" s="17" t="s">
        <v>56</v>
      </c>
      <c r="BI11" s="17" t="s">
        <v>56</v>
      </c>
      <c r="BJ11" s="17" t="s">
        <v>56</v>
      </c>
      <c r="BK11" s="17" t="s">
        <v>56</v>
      </c>
      <c r="BL11" s="17" t="s">
        <v>56</v>
      </c>
      <c r="BM11" s="17" t="s">
        <v>56</v>
      </c>
      <c r="BN11" s="17" t="s">
        <v>56</v>
      </c>
      <c r="BO11" s="17" t="s">
        <v>56</v>
      </c>
      <c r="BP11" s="17" t="s">
        <v>56</v>
      </c>
      <c r="BQ11" s="17" t="s">
        <v>56</v>
      </c>
      <c r="BR11" s="17" t="s">
        <v>56</v>
      </c>
      <c r="BS11" s="17" t="s">
        <v>56</v>
      </c>
      <c r="BT11" s="17" t="s">
        <v>56</v>
      </c>
      <c r="BU11" s="17" t="s">
        <v>56</v>
      </c>
      <c r="BV11" s="17" t="s">
        <v>56</v>
      </c>
      <c r="BW11" s="17" t="s">
        <v>56</v>
      </c>
      <c r="BX11" s="17" t="s">
        <v>2818</v>
      </c>
      <c r="BY11" s="17" t="s">
        <v>1111</v>
      </c>
      <c r="BZ11" s="17" t="s">
        <v>56</v>
      </c>
      <c r="CA11" s="17" t="s">
        <v>56</v>
      </c>
      <c r="CB11" s="17" t="s">
        <v>1325</v>
      </c>
      <c r="CC11" s="17" t="s">
        <v>1325</v>
      </c>
      <c r="CD11" s="17" t="s">
        <v>1325</v>
      </c>
      <c r="CE11" s="17" t="s">
        <v>1325</v>
      </c>
      <c r="CF11" s="17" t="s">
        <v>1325</v>
      </c>
      <c r="CG11" s="17" t="s">
        <v>1325</v>
      </c>
      <c r="CH11" s="17" t="s">
        <v>1325</v>
      </c>
      <c r="CI11" s="17" t="s">
        <v>1325</v>
      </c>
      <c r="CJ11" s="17" t="s">
        <v>1325</v>
      </c>
      <c r="CK11" s="17" t="s">
        <v>1325</v>
      </c>
      <c r="CL11" s="17" t="s">
        <v>1325</v>
      </c>
      <c r="CM11" s="17" t="s">
        <v>1325</v>
      </c>
      <c r="CN11" s="17" t="s">
        <v>1325</v>
      </c>
      <c r="CO11" s="17" t="s">
        <v>1325</v>
      </c>
      <c r="CP11" s="17" t="s">
        <v>1325</v>
      </c>
      <c r="CQ11" s="17" t="s">
        <v>1325</v>
      </c>
      <c r="CR11" s="17" t="s">
        <v>1325</v>
      </c>
      <c r="CS11" s="17" t="s">
        <v>1325</v>
      </c>
      <c r="CT11" s="17" t="s">
        <v>1325</v>
      </c>
      <c r="CU11" s="17" t="s">
        <v>1325</v>
      </c>
      <c r="CV11" s="17" t="s">
        <v>1325</v>
      </c>
      <c r="CW11" s="17" t="s">
        <v>56</v>
      </c>
      <c r="CX11" s="17" t="s">
        <v>56</v>
      </c>
      <c r="CY11" s="17" t="s">
        <v>56</v>
      </c>
      <c r="CZ11" s="17">
        <v>319397</v>
      </c>
      <c r="DA11" s="17">
        <v>319397</v>
      </c>
      <c r="DB11" s="17">
        <v>319397</v>
      </c>
      <c r="DC11" s="17"/>
      <c r="DD11" s="17"/>
      <c r="DE11" s="17"/>
      <c r="DF11" s="17" t="s">
        <v>3415</v>
      </c>
      <c r="DG11" s="17" t="s">
        <v>3425</v>
      </c>
      <c r="DH11" s="17" t="s">
        <v>3237</v>
      </c>
      <c r="DI11" s="17" t="s">
        <v>3426</v>
      </c>
      <c r="DJ11" s="17" t="s">
        <v>3405</v>
      </c>
      <c r="DK11" s="17" t="s">
        <v>3320</v>
      </c>
      <c r="DL11" s="17" t="s">
        <v>3418</v>
      </c>
      <c r="DM11" s="17">
        <v>6.7400000000000001E-4</v>
      </c>
      <c r="DN11" s="17">
        <v>215.3</v>
      </c>
      <c r="DO11" s="17">
        <v>0.42855076600397601</v>
      </c>
      <c r="DP11" s="17" t="s">
        <v>3308</v>
      </c>
      <c r="DQ11" s="17" t="s">
        <v>2839</v>
      </c>
      <c r="DR11" s="17" t="s">
        <v>56</v>
      </c>
      <c r="DS11" s="17" t="s">
        <v>56</v>
      </c>
      <c r="DT11" s="17" t="s">
        <v>56</v>
      </c>
      <c r="DU11" s="17" t="s">
        <v>56</v>
      </c>
      <c r="DV11" s="17" t="s">
        <v>2862</v>
      </c>
      <c r="DW11" s="17" t="s">
        <v>3309</v>
      </c>
      <c r="DX11" s="17" t="s">
        <v>3310</v>
      </c>
      <c r="DY11" s="17">
        <v>9.7795896448127796E-3</v>
      </c>
      <c r="DZ11" s="17">
        <v>2.7520410355187201E-2</v>
      </c>
      <c r="EA11" s="17" t="s">
        <v>3311</v>
      </c>
      <c r="EB11" s="17">
        <v>4.0201671797007003E-3</v>
      </c>
      <c r="EC11" s="17">
        <v>7.1798328202993004E-3</v>
      </c>
      <c r="ED11" s="17" t="s">
        <v>56</v>
      </c>
      <c r="EE11" s="17" t="s">
        <v>56</v>
      </c>
      <c r="EF11" s="17" t="s">
        <v>56</v>
      </c>
      <c r="EG11" s="17" t="s">
        <v>2862</v>
      </c>
      <c r="EH11" s="17" t="s">
        <v>3309</v>
      </c>
      <c r="EI11" s="17" t="s">
        <v>3312</v>
      </c>
      <c r="EJ11" s="17">
        <v>1.08477E-2</v>
      </c>
      <c r="EK11" s="17">
        <v>5.8252699999999998E-2</v>
      </c>
      <c r="EL11" s="17" t="s">
        <v>3311</v>
      </c>
      <c r="EM11" s="17">
        <v>4.8999999999999998E-3</v>
      </c>
      <c r="EN11" s="17">
        <v>1.01E-2</v>
      </c>
      <c r="EO11" s="17" t="s">
        <v>3312</v>
      </c>
      <c r="EP11" s="17">
        <v>4.3641500000000004</v>
      </c>
      <c r="EQ11" s="17">
        <v>23.435700000000001</v>
      </c>
      <c r="ER11" s="17" t="s">
        <v>3313</v>
      </c>
      <c r="ES11" s="17">
        <v>0.59340000000000004</v>
      </c>
      <c r="ET11" s="17">
        <v>1.2263999999999999</v>
      </c>
      <c r="EU11" s="17" t="s">
        <v>2862</v>
      </c>
      <c r="EV11" s="17" t="s">
        <v>3309</v>
      </c>
      <c r="EW11" s="17" t="s">
        <v>3312</v>
      </c>
      <c r="EX11" s="17">
        <v>4.3641500000000004</v>
      </c>
      <c r="EY11" s="17">
        <v>23.435700000000001</v>
      </c>
      <c r="EZ11" s="17" t="s">
        <v>3311</v>
      </c>
      <c r="FA11" s="17">
        <v>0.59340000000000004</v>
      </c>
      <c r="FB11" s="17">
        <v>1.2263999999999999</v>
      </c>
      <c r="FC11" s="17" t="s">
        <v>56</v>
      </c>
      <c r="FD11" s="17" t="s">
        <v>56</v>
      </c>
      <c r="FE11" s="17" t="s">
        <v>56</v>
      </c>
      <c r="FF11" s="17" t="s">
        <v>56</v>
      </c>
      <c r="FG11" s="17" t="s">
        <v>56</v>
      </c>
      <c r="FH11" s="17" t="s">
        <v>56</v>
      </c>
      <c r="FI11" s="17" t="s">
        <v>56</v>
      </c>
      <c r="FJ11" s="17" t="s">
        <v>56</v>
      </c>
      <c r="FK11" s="17" t="s">
        <v>56</v>
      </c>
      <c r="FL11" s="17" t="s">
        <v>56</v>
      </c>
      <c r="FM11" s="17" t="s">
        <v>56</v>
      </c>
      <c r="FN11" s="17" t="s">
        <v>56</v>
      </c>
      <c r="FO11" s="17" t="s">
        <v>56</v>
      </c>
      <c r="FP11" s="17" t="s">
        <v>56</v>
      </c>
      <c r="FQ11" s="17" t="s">
        <v>56</v>
      </c>
      <c r="FR11" s="17" t="s">
        <v>56</v>
      </c>
      <c r="FS11" s="17" t="s">
        <v>56</v>
      </c>
      <c r="FT11" s="17" t="s">
        <v>56</v>
      </c>
      <c r="FU11" s="17">
        <v>194.507021845645</v>
      </c>
      <c r="FV11" s="17">
        <v>1044.5122674216</v>
      </c>
      <c r="FW11" s="17" t="s">
        <v>56</v>
      </c>
      <c r="FX11" s="17" t="s">
        <v>56</v>
      </c>
      <c r="FY11" s="17" t="s">
        <v>56</v>
      </c>
      <c r="FZ11" s="17" t="s">
        <v>56</v>
      </c>
      <c r="GA11" s="17" t="s">
        <v>56</v>
      </c>
      <c r="GB11" s="17" t="s">
        <v>56</v>
      </c>
      <c r="GC11" s="17" t="s">
        <v>56</v>
      </c>
      <c r="GD11" s="17" t="s">
        <v>2969</v>
      </c>
      <c r="GE11" s="17" t="s">
        <v>2969</v>
      </c>
      <c r="GF11" s="17" t="s">
        <v>56</v>
      </c>
      <c r="GG11" s="17" t="s">
        <v>2818</v>
      </c>
      <c r="GH11" s="17" t="s">
        <v>2818</v>
      </c>
      <c r="GI11" s="17" t="s">
        <v>1111</v>
      </c>
      <c r="GJ11" s="17" t="s">
        <v>1111</v>
      </c>
      <c r="GK11" s="17" t="s">
        <v>1111</v>
      </c>
      <c r="GL11" s="17"/>
    </row>
    <row r="12" spans="2:194" x14ac:dyDescent="0.25">
      <c r="B12" s="17" t="s">
        <v>2840</v>
      </c>
      <c r="C12" s="17" t="s">
        <v>70</v>
      </c>
      <c r="D12" s="17" t="s">
        <v>3411</v>
      </c>
      <c r="E12" s="17" t="s">
        <v>3412</v>
      </c>
      <c r="F12" s="17" t="s">
        <v>3237</v>
      </c>
      <c r="G12" s="17" t="s">
        <v>3413</v>
      </c>
      <c r="H12" s="17"/>
      <c r="I12" s="17" t="s">
        <v>2797</v>
      </c>
      <c r="J12" s="17" t="s">
        <v>3403</v>
      </c>
      <c r="K12" s="17" t="s">
        <v>2653</v>
      </c>
      <c r="L12" s="17" t="s">
        <v>2800</v>
      </c>
      <c r="M12" s="17" t="s">
        <v>3414</v>
      </c>
      <c r="N12" s="17" t="s">
        <v>1325</v>
      </c>
      <c r="O12" s="17" t="s">
        <v>2813</v>
      </c>
      <c r="P12" s="17" t="s">
        <v>2814</v>
      </c>
      <c r="Q12" s="17" t="s">
        <v>3616</v>
      </c>
      <c r="R12" s="17">
        <v>17897433.710000001</v>
      </c>
      <c r="S12" s="17">
        <v>4974456.4000000004</v>
      </c>
      <c r="T12" s="17">
        <v>18587154.18</v>
      </c>
      <c r="U12" s="17" t="s">
        <v>2817</v>
      </c>
      <c r="V12" s="17" t="s">
        <v>939</v>
      </c>
      <c r="W12" s="17" t="s">
        <v>2816</v>
      </c>
      <c r="X12" s="17" t="s">
        <v>3403</v>
      </c>
      <c r="Y12" s="17" t="s">
        <v>56</v>
      </c>
      <c r="Z12" s="17" t="s">
        <v>3616</v>
      </c>
      <c r="AA12" s="17" t="s">
        <v>2801</v>
      </c>
      <c r="AB12" s="17">
        <v>2.1629</v>
      </c>
      <c r="AC12" s="17" t="s">
        <v>3616</v>
      </c>
      <c r="AD12" s="17" t="s">
        <v>2804</v>
      </c>
      <c r="AE12" s="17">
        <v>319397</v>
      </c>
      <c r="AF12" s="17" t="s">
        <v>2839</v>
      </c>
      <c r="AG12" s="17" t="s">
        <v>3617</v>
      </c>
      <c r="AH12" s="17" t="s">
        <v>2806</v>
      </c>
      <c r="AI12" s="17"/>
      <c r="AJ12" s="17" t="s">
        <v>56</v>
      </c>
      <c r="AK12" s="17" t="s">
        <v>56</v>
      </c>
      <c r="AL12" s="17" t="s">
        <v>56</v>
      </c>
      <c r="AM12" s="17" t="s">
        <v>56</v>
      </c>
      <c r="AN12" s="17" t="s">
        <v>56</v>
      </c>
      <c r="AO12" s="17" t="s">
        <v>56</v>
      </c>
      <c r="AP12" s="17" t="s">
        <v>56</v>
      </c>
      <c r="AQ12" s="17" t="s">
        <v>56</v>
      </c>
      <c r="AR12" s="17" t="s">
        <v>56</v>
      </c>
      <c r="AS12" s="17">
        <v>677.19899999999996</v>
      </c>
      <c r="AT12" s="17">
        <v>82.007599999999996</v>
      </c>
      <c r="AU12" s="17">
        <v>435.83600000000001</v>
      </c>
      <c r="AV12" s="17" t="s">
        <v>56</v>
      </c>
      <c r="AW12" s="17" t="s">
        <v>56</v>
      </c>
      <c r="AX12" s="17" t="s">
        <v>56</v>
      </c>
      <c r="AY12" s="17">
        <v>561.97</v>
      </c>
      <c r="AZ12" s="17">
        <v>68.053600000000003</v>
      </c>
      <c r="BA12" s="17">
        <v>361.67599999999999</v>
      </c>
      <c r="BB12" s="17" t="s">
        <v>56</v>
      </c>
      <c r="BC12" s="17" t="s">
        <v>56</v>
      </c>
      <c r="BD12" s="17" t="s">
        <v>56</v>
      </c>
      <c r="BE12" s="17" t="s">
        <v>56</v>
      </c>
      <c r="BF12" s="17" t="s">
        <v>56</v>
      </c>
      <c r="BG12" s="17" t="s">
        <v>56</v>
      </c>
      <c r="BH12" s="17" t="s">
        <v>56</v>
      </c>
      <c r="BI12" s="17" t="s">
        <v>56</v>
      </c>
      <c r="BJ12" s="17" t="s">
        <v>56</v>
      </c>
      <c r="BK12" s="17" t="s">
        <v>56</v>
      </c>
      <c r="BL12" s="17" t="s">
        <v>56</v>
      </c>
      <c r="BM12" s="17" t="s">
        <v>56</v>
      </c>
      <c r="BN12" s="17" t="s">
        <v>56</v>
      </c>
      <c r="BO12" s="17" t="s">
        <v>56</v>
      </c>
      <c r="BP12" s="17" t="s">
        <v>56</v>
      </c>
      <c r="BQ12" s="17" t="s">
        <v>56</v>
      </c>
      <c r="BR12" s="17" t="s">
        <v>56</v>
      </c>
      <c r="BS12" s="17" t="s">
        <v>56</v>
      </c>
      <c r="BT12" s="17" t="s">
        <v>56</v>
      </c>
      <c r="BU12" s="17" t="s">
        <v>56</v>
      </c>
      <c r="BV12" s="17" t="s">
        <v>56</v>
      </c>
      <c r="BW12" s="17" t="s">
        <v>56</v>
      </c>
      <c r="BX12" s="17" t="s">
        <v>2818</v>
      </c>
      <c r="BY12" s="17" t="s">
        <v>1111</v>
      </c>
      <c r="BZ12" s="17" t="s">
        <v>56</v>
      </c>
      <c r="CA12" s="17" t="s">
        <v>56</v>
      </c>
      <c r="CB12" s="17" t="s">
        <v>1325</v>
      </c>
      <c r="CC12" s="17" t="s">
        <v>1325</v>
      </c>
      <c r="CD12" s="17" t="s">
        <v>1325</v>
      </c>
      <c r="CE12" s="17" t="s">
        <v>1325</v>
      </c>
      <c r="CF12" s="17" t="s">
        <v>1325</v>
      </c>
      <c r="CG12" s="17" t="s">
        <v>1325</v>
      </c>
      <c r="CH12" s="17" t="s">
        <v>1325</v>
      </c>
      <c r="CI12" s="17" t="s">
        <v>1325</v>
      </c>
      <c r="CJ12" s="17" t="s">
        <v>1325</v>
      </c>
      <c r="CK12" s="17" t="s">
        <v>1325</v>
      </c>
      <c r="CL12" s="17" t="s">
        <v>1325</v>
      </c>
      <c r="CM12" s="17" t="s">
        <v>1325</v>
      </c>
      <c r="CN12" s="17" t="s">
        <v>1325</v>
      </c>
      <c r="CO12" s="17" t="s">
        <v>1325</v>
      </c>
      <c r="CP12" s="17" t="s">
        <v>1325</v>
      </c>
      <c r="CQ12" s="17" t="s">
        <v>1325</v>
      </c>
      <c r="CR12" s="17" t="s">
        <v>1325</v>
      </c>
      <c r="CS12" s="17" t="s">
        <v>1325</v>
      </c>
      <c r="CT12" s="17" t="s">
        <v>1325</v>
      </c>
      <c r="CU12" s="17" t="s">
        <v>1325</v>
      </c>
      <c r="CV12" s="17" t="s">
        <v>1325</v>
      </c>
      <c r="CW12" s="17" t="s">
        <v>56</v>
      </c>
      <c r="CX12" s="17" t="s">
        <v>56</v>
      </c>
      <c r="CY12" s="17" t="s">
        <v>56</v>
      </c>
      <c r="CZ12" s="17">
        <v>319397</v>
      </c>
      <c r="DA12" s="17">
        <v>319397</v>
      </c>
      <c r="DB12" s="17">
        <v>319397</v>
      </c>
      <c r="DC12" s="17"/>
      <c r="DD12" s="17"/>
      <c r="DE12" s="17"/>
      <c r="DF12" s="17" t="s">
        <v>3415</v>
      </c>
      <c r="DG12" s="17" t="s">
        <v>3427</v>
      </c>
      <c r="DH12" s="17" t="s">
        <v>3237</v>
      </c>
      <c r="DI12" s="17" t="s">
        <v>3428</v>
      </c>
      <c r="DJ12" s="17" t="s">
        <v>3406</v>
      </c>
      <c r="DK12" s="17" t="s">
        <v>3320</v>
      </c>
      <c r="DL12" s="17" t="s">
        <v>3418</v>
      </c>
      <c r="DM12" s="17">
        <v>1.8519999999999999E-3</v>
      </c>
      <c r="DN12" s="17">
        <v>591.5</v>
      </c>
      <c r="DO12" s="17">
        <v>0.42855630199855099</v>
      </c>
      <c r="DP12" s="17" t="s">
        <v>3308</v>
      </c>
      <c r="DQ12" s="17" t="s">
        <v>2839</v>
      </c>
      <c r="DR12" s="17" t="s">
        <v>56</v>
      </c>
      <c r="DS12" s="17" t="s">
        <v>56</v>
      </c>
      <c r="DT12" s="17" t="s">
        <v>56</v>
      </c>
      <c r="DU12" s="17" t="s">
        <v>56</v>
      </c>
      <c r="DV12" s="17" t="s">
        <v>2862</v>
      </c>
      <c r="DW12" s="17" t="s">
        <v>3309</v>
      </c>
      <c r="DX12" s="17" t="s">
        <v>3310</v>
      </c>
      <c r="DY12" s="17">
        <v>3.4870922862201099E-3</v>
      </c>
      <c r="DZ12" s="17">
        <v>9.8129077137798903E-3</v>
      </c>
      <c r="EA12" s="17" t="s">
        <v>3311</v>
      </c>
      <c r="EB12" s="17">
        <v>1.4357739927502501E-3</v>
      </c>
      <c r="EC12" s="17">
        <v>2.56422600724975E-3</v>
      </c>
      <c r="ED12" s="17" t="s">
        <v>56</v>
      </c>
      <c r="EE12" s="17" t="s">
        <v>56</v>
      </c>
      <c r="EF12" s="17" t="s">
        <v>56</v>
      </c>
      <c r="EG12" s="17" t="s">
        <v>2862</v>
      </c>
      <c r="EH12" s="17" t="s">
        <v>3309</v>
      </c>
      <c r="EI12" s="17" t="s">
        <v>3312</v>
      </c>
      <c r="EJ12" s="17">
        <v>1.08477E-2</v>
      </c>
      <c r="EK12" s="17">
        <v>5.8252699999999998E-2</v>
      </c>
      <c r="EL12" s="17" t="s">
        <v>3311</v>
      </c>
      <c r="EM12" s="17">
        <v>4.8999999999999998E-3</v>
      </c>
      <c r="EN12" s="17">
        <v>1.01E-2</v>
      </c>
      <c r="EO12" s="17" t="s">
        <v>3312</v>
      </c>
      <c r="EP12" s="17">
        <v>4.3641500000000004</v>
      </c>
      <c r="EQ12" s="17">
        <v>23.435700000000001</v>
      </c>
      <c r="ER12" s="17" t="s">
        <v>3313</v>
      </c>
      <c r="ES12" s="17">
        <v>0.59340000000000004</v>
      </c>
      <c r="ET12" s="17">
        <v>1.2263999999999999</v>
      </c>
      <c r="EU12" s="17" t="s">
        <v>2862</v>
      </c>
      <c r="EV12" s="17" t="s">
        <v>3309</v>
      </c>
      <c r="EW12" s="17" t="s">
        <v>3312</v>
      </c>
      <c r="EX12" s="17">
        <v>4.3641500000000004</v>
      </c>
      <c r="EY12" s="17">
        <v>23.435700000000001</v>
      </c>
      <c r="EZ12" s="17" t="s">
        <v>3311</v>
      </c>
      <c r="FA12" s="17">
        <v>0.59340000000000004</v>
      </c>
      <c r="FB12" s="17">
        <v>1.2263999999999999</v>
      </c>
      <c r="FC12" s="17" t="s">
        <v>56</v>
      </c>
      <c r="FD12" s="17" t="s">
        <v>56</v>
      </c>
      <c r="FE12" s="17" t="s">
        <v>56</v>
      </c>
      <c r="FF12" s="17" t="s">
        <v>56</v>
      </c>
      <c r="FG12" s="17" t="s">
        <v>56</v>
      </c>
      <c r="FH12" s="17" t="s">
        <v>56</v>
      </c>
      <c r="FI12" s="17" t="s">
        <v>56</v>
      </c>
      <c r="FJ12" s="17" t="s">
        <v>56</v>
      </c>
      <c r="FK12" s="17" t="s">
        <v>56</v>
      </c>
      <c r="FL12" s="17" t="s">
        <v>56</v>
      </c>
      <c r="FM12" s="17" t="s">
        <v>56</v>
      </c>
      <c r="FN12" s="17" t="s">
        <v>56</v>
      </c>
      <c r="FO12" s="17" t="s">
        <v>56</v>
      </c>
      <c r="FP12" s="17" t="s">
        <v>56</v>
      </c>
      <c r="FQ12" s="17" t="s">
        <v>56</v>
      </c>
      <c r="FR12" s="17" t="s">
        <v>56</v>
      </c>
      <c r="FS12" s="17" t="s">
        <v>56</v>
      </c>
      <c r="FT12" s="17" t="s">
        <v>56</v>
      </c>
      <c r="FU12" s="17">
        <v>194.50953443343599</v>
      </c>
      <c r="FV12" s="17">
        <v>1044.5257601415301</v>
      </c>
      <c r="FW12" s="17" t="s">
        <v>56</v>
      </c>
      <c r="FX12" s="17" t="s">
        <v>56</v>
      </c>
      <c r="FY12" s="17" t="s">
        <v>56</v>
      </c>
      <c r="FZ12" s="17" t="s">
        <v>56</v>
      </c>
      <c r="GA12" s="17" t="s">
        <v>56</v>
      </c>
      <c r="GB12" s="17" t="s">
        <v>56</v>
      </c>
      <c r="GC12" s="17" t="s">
        <v>56</v>
      </c>
      <c r="GD12" s="17" t="s">
        <v>2969</v>
      </c>
      <c r="GE12" s="17" t="s">
        <v>2969</v>
      </c>
      <c r="GF12" s="17" t="s">
        <v>56</v>
      </c>
      <c r="GG12" s="17" t="s">
        <v>2818</v>
      </c>
      <c r="GH12" s="17" t="s">
        <v>2818</v>
      </c>
      <c r="GI12" s="17" t="s">
        <v>1111</v>
      </c>
      <c r="GJ12" s="17" t="s">
        <v>1111</v>
      </c>
      <c r="GK12" s="17" t="s">
        <v>1111</v>
      </c>
      <c r="GL12" s="17"/>
    </row>
    <row r="13" spans="2:194" x14ac:dyDescent="0.25">
      <c r="B13" s="17" t="s">
        <v>2840</v>
      </c>
      <c r="C13" s="17" t="s">
        <v>70</v>
      </c>
      <c r="D13" s="17" t="s">
        <v>3411</v>
      </c>
      <c r="E13" s="17" t="s">
        <v>3412</v>
      </c>
      <c r="F13" s="17" t="s">
        <v>3237</v>
      </c>
      <c r="G13" s="17" t="s">
        <v>3413</v>
      </c>
      <c r="H13" s="17"/>
      <c r="I13" s="17" t="s">
        <v>2797</v>
      </c>
      <c r="J13" s="17" t="s">
        <v>3403</v>
      </c>
      <c r="K13" s="17" t="s">
        <v>2653</v>
      </c>
      <c r="L13" s="17" t="s">
        <v>2800</v>
      </c>
      <c r="M13" s="17" t="s">
        <v>3414</v>
      </c>
      <c r="N13" s="17" t="s">
        <v>1325</v>
      </c>
      <c r="O13" s="17" t="s">
        <v>2813</v>
      </c>
      <c r="P13" s="17" t="s">
        <v>2814</v>
      </c>
      <c r="Q13" s="17" t="s">
        <v>3616</v>
      </c>
      <c r="R13" s="17">
        <v>17897433.710000001</v>
      </c>
      <c r="S13" s="17">
        <v>4974456.4000000004</v>
      </c>
      <c r="T13" s="17">
        <v>18587154.18</v>
      </c>
      <c r="U13" s="17" t="s">
        <v>2817</v>
      </c>
      <c r="V13" s="17" t="s">
        <v>939</v>
      </c>
      <c r="W13" s="17" t="s">
        <v>2816</v>
      </c>
      <c r="X13" s="17" t="s">
        <v>3403</v>
      </c>
      <c r="Y13" s="17" t="s">
        <v>56</v>
      </c>
      <c r="Z13" s="17" t="s">
        <v>3616</v>
      </c>
      <c r="AA13" s="17" t="s">
        <v>2801</v>
      </c>
      <c r="AB13" s="17">
        <v>2.1629</v>
      </c>
      <c r="AC13" s="17" t="s">
        <v>3616</v>
      </c>
      <c r="AD13" s="17" t="s">
        <v>2804</v>
      </c>
      <c r="AE13" s="17">
        <v>319397</v>
      </c>
      <c r="AF13" s="17" t="s">
        <v>2839</v>
      </c>
      <c r="AG13" s="17" t="s">
        <v>3617</v>
      </c>
      <c r="AH13" s="17" t="s">
        <v>2806</v>
      </c>
      <c r="AI13" s="17"/>
      <c r="AJ13" s="17" t="s">
        <v>56</v>
      </c>
      <c r="AK13" s="17" t="s">
        <v>56</v>
      </c>
      <c r="AL13" s="17" t="s">
        <v>56</v>
      </c>
      <c r="AM13" s="17" t="s">
        <v>56</v>
      </c>
      <c r="AN13" s="17" t="s">
        <v>56</v>
      </c>
      <c r="AO13" s="17" t="s">
        <v>56</v>
      </c>
      <c r="AP13" s="17" t="s">
        <v>56</v>
      </c>
      <c r="AQ13" s="17" t="s">
        <v>56</v>
      </c>
      <c r="AR13" s="17" t="s">
        <v>56</v>
      </c>
      <c r="AS13" s="17">
        <v>677.19899999999996</v>
      </c>
      <c r="AT13" s="17">
        <v>82.007599999999996</v>
      </c>
      <c r="AU13" s="17">
        <v>435.83600000000001</v>
      </c>
      <c r="AV13" s="17" t="s">
        <v>56</v>
      </c>
      <c r="AW13" s="17" t="s">
        <v>56</v>
      </c>
      <c r="AX13" s="17" t="s">
        <v>56</v>
      </c>
      <c r="AY13" s="17">
        <v>561.97</v>
      </c>
      <c r="AZ13" s="17">
        <v>68.053600000000003</v>
      </c>
      <c r="BA13" s="17">
        <v>361.67599999999999</v>
      </c>
      <c r="BB13" s="17" t="s">
        <v>56</v>
      </c>
      <c r="BC13" s="17" t="s">
        <v>56</v>
      </c>
      <c r="BD13" s="17" t="s">
        <v>56</v>
      </c>
      <c r="BE13" s="17" t="s">
        <v>56</v>
      </c>
      <c r="BF13" s="17" t="s">
        <v>56</v>
      </c>
      <c r="BG13" s="17" t="s">
        <v>56</v>
      </c>
      <c r="BH13" s="17" t="s">
        <v>56</v>
      </c>
      <c r="BI13" s="17" t="s">
        <v>56</v>
      </c>
      <c r="BJ13" s="17" t="s">
        <v>56</v>
      </c>
      <c r="BK13" s="17" t="s">
        <v>56</v>
      </c>
      <c r="BL13" s="17" t="s">
        <v>56</v>
      </c>
      <c r="BM13" s="17" t="s">
        <v>56</v>
      </c>
      <c r="BN13" s="17" t="s">
        <v>56</v>
      </c>
      <c r="BO13" s="17" t="s">
        <v>56</v>
      </c>
      <c r="BP13" s="17" t="s">
        <v>56</v>
      </c>
      <c r="BQ13" s="17" t="s">
        <v>56</v>
      </c>
      <c r="BR13" s="17" t="s">
        <v>56</v>
      </c>
      <c r="BS13" s="17" t="s">
        <v>56</v>
      </c>
      <c r="BT13" s="17" t="s">
        <v>56</v>
      </c>
      <c r="BU13" s="17" t="s">
        <v>56</v>
      </c>
      <c r="BV13" s="17" t="s">
        <v>56</v>
      </c>
      <c r="BW13" s="17" t="s">
        <v>56</v>
      </c>
      <c r="BX13" s="17" t="s">
        <v>2818</v>
      </c>
      <c r="BY13" s="17" t="s">
        <v>1111</v>
      </c>
      <c r="BZ13" s="17" t="s">
        <v>56</v>
      </c>
      <c r="CA13" s="17" t="s">
        <v>56</v>
      </c>
      <c r="CB13" s="17" t="s">
        <v>1325</v>
      </c>
      <c r="CC13" s="17" t="s">
        <v>1325</v>
      </c>
      <c r="CD13" s="17" t="s">
        <v>1325</v>
      </c>
      <c r="CE13" s="17" t="s">
        <v>1325</v>
      </c>
      <c r="CF13" s="17" t="s">
        <v>1325</v>
      </c>
      <c r="CG13" s="17" t="s">
        <v>1325</v>
      </c>
      <c r="CH13" s="17" t="s">
        <v>1325</v>
      </c>
      <c r="CI13" s="17" t="s">
        <v>1325</v>
      </c>
      <c r="CJ13" s="17" t="s">
        <v>1325</v>
      </c>
      <c r="CK13" s="17" t="s">
        <v>1325</v>
      </c>
      <c r="CL13" s="17" t="s">
        <v>1325</v>
      </c>
      <c r="CM13" s="17" t="s">
        <v>1325</v>
      </c>
      <c r="CN13" s="17" t="s">
        <v>1325</v>
      </c>
      <c r="CO13" s="17" t="s">
        <v>1325</v>
      </c>
      <c r="CP13" s="17" t="s">
        <v>1325</v>
      </c>
      <c r="CQ13" s="17" t="s">
        <v>1325</v>
      </c>
      <c r="CR13" s="17" t="s">
        <v>1325</v>
      </c>
      <c r="CS13" s="17" t="s">
        <v>1325</v>
      </c>
      <c r="CT13" s="17" t="s">
        <v>1325</v>
      </c>
      <c r="CU13" s="17" t="s">
        <v>1325</v>
      </c>
      <c r="CV13" s="17" t="s">
        <v>1325</v>
      </c>
      <c r="CW13" s="17" t="s">
        <v>56</v>
      </c>
      <c r="CX13" s="17" t="s">
        <v>56</v>
      </c>
      <c r="CY13" s="17" t="s">
        <v>56</v>
      </c>
      <c r="CZ13" s="17">
        <v>319397</v>
      </c>
      <c r="DA13" s="17">
        <v>319397</v>
      </c>
      <c r="DB13" s="17">
        <v>319397</v>
      </c>
      <c r="DC13" s="17"/>
      <c r="DD13" s="17"/>
      <c r="DE13" s="17"/>
      <c r="DF13" s="17" t="s">
        <v>3415</v>
      </c>
      <c r="DG13" s="17" t="s">
        <v>3429</v>
      </c>
      <c r="DH13" s="17" t="s">
        <v>3237</v>
      </c>
      <c r="DI13" s="17" t="s">
        <v>3430</v>
      </c>
      <c r="DJ13" s="17" t="s">
        <v>3405</v>
      </c>
      <c r="DK13" s="17" t="s">
        <v>3320</v>
      </c>
      <c r="DL13" s="17" t="s">
        <v>3418</v>
      </c>
      <c r="DM13" s="17">
        <v>7.3359999999999996E-3</v>
      </c>
      <c r="DN13" s="17">
        <v>2343.1</v>
      </c>
      <c r="DO13" s="17">
        <v>0.42855799260607103</v>
      </c>
      <c r="DP13" s="17" t="s">
        <v>3308</v>
      </c>
      <c r="DQ13" s="17" t="s">
        <v>2839</v>
      </c>
      <c r="DR13" s="17" t="s">
        <v>56</v>
      </c>
      <c r="DS13" s="17" t="s">
        <v>56</v>
      </c>
      <c r="DT13" s="17" t="s">
        <v>56</v>
      </c>
      <c r="DU13" s="17" t="s">
        <v>56</v>
      </c>
      <c r="DV13" s="17" t="s">
        <v>2862</v>
      </c>
      <c r="DW13" s="17" t="s">
        <v>3309</v>
      </c>
      <c r="DX13" s="17" t="s">
        <v>3310</v>
      </c>
      <c r="DY13" s="17">
        <v>9.7795896448127796E-3</v>
      </c>
      <c r="DZ13" s="17">
        <v>2.7520410355187201E-2</v>
      </c>
      <c r="EA13" s="17" t="s">
        <v>3311</v>
      </c>
      <c r="EB13" s="17">
        <v>4.0201671797007003E-3</v>
      </c>
      <c r="EC13" s="17">
        <v>7.1798328202993004E-3</v>
      </c>
      <c r="ED13" s="17" t="s">
        <v>56</v>
      </c>
      <c r="EE13" s="17" t="s">
        <v>56</v>
      </c>
      <c r="EF13" s="17" t="s">
        <v>56</v>
      </c>
      <c r="EG13" s="17" t="s">
        <v>2862</v>
      </c>
      <c r="EH13" s="17" t="s">
        <v>3309</v>
      </c>
      <c r="EI13" s="17" t="s">
        <v>3312</v>
      </c>
      <c r="EJ13" s="17">
        <v>1.08477E-2</v>
      </c>
      <c r="EK13" s="17">
        <v>5.8252699999999998E-2</v>
      </c>
      <c r="EL13" s="17" t="s">
        <v>3311</v>
      </c>
      <c r="EM13" s="17">
        <v>4.8999999999999998E-3</v>
      </c>
      <c r="EN13" s="17">
        <v>1.01E-2</v>
      </c>
      <c r="EO13" s="17" t="s">
        <v>3312</v>
      </c>
      <c r="EP13" s="17">
        <v>4.3641500000000004</v>
      </c>
      <c r="EQ13" s="17">
        <v>23.435700000000001</v>
      </c>
      <c r="ER13" s="17" t="s">
        <v>3313</v>
      </c>
      <c r="ES13" s="17">
        <v>0.59340000000000004</v>
      </c>
      <c r="ET13" s="17">
        <v>1.2263999999999999</v>
      </c>
      <c r="EU13" s="17" t="s">
        <v>2862</v>
      </c>
      <c r="EV13" s="17" t="s">
        <v>3309</v>
      </c>
      <c r="EW13" s="17" t="s">
        <v>3312</v>
      </c>
      <c r="EX13" s="17">
        <v>4.3641500000000004</v>
      </c>
      <c r="EY13" s="17">
        <v>23.435700000000001</v>
      </c>
      <c r="EZ13" s="17" t="s">
        <v>3311</v>
      </c>
      <c r="FA13" s="17">
        <v>0.59340000000000004</v>
      </c>
      <c r="FB13" s="17">
        <v>1.2263999999999999</v>
      </c>
      <c r="FC13" s="17" t="s">
        <v>56</v>
      </c>
      <c r="FD13" s="17" t="s">
        <v>56</v>
      </c>
      <c r="FE13" s="17" t="s">
        <v>56</v>
      </c>
      <c r="FF13" s="17" t="s">
        <v>56</v>
      </c>
      <c r="FG13" s="17" t="s">
        <v>56</v>
      </c>
      <c r="FH13" s="17" t="s">
        <v>56</v>
      </c>
      <c r="FI13" s="17" t="s">
        <v>56</v>
      </c>
      <c r="FJ13" s="17" t="s">
        <v>56</v>
      </c>
      <c r="FK13" s="17" t="s">
        <v>56</v>
      </c>
      <c r="FL13" s="17" t="s">
        <v>56</v>
      </c>
      <c r="FM13" s="17" t="s">
        <v>56</v>
      </c>
      <c r="FN13" s="17" t="s">
        <v>56</v>
      </c>
      <c r="FO13" s="17" t="s">
        <v>56</v>
      </c>
      <c r="FP13" s="17" t="s">
        <v>56</v>
      </c>
      <c r="FQ13" s="17" t="s">
        <v>56</v>
      </c>
      <c r="FR13" s="17" t="s">
        <v>56</v>
      </c>
      <c r="FS13" s="17" t="s">
        <v>56</v>
      </c>
      <c r="FT13" s="17" t="s">
        <v>56</v>
      </c>
      <c r="FU13" s="17">
        <v>194.51030179415</v>
      </c>
      <c r="FV13" s="17">
        <v>1044.5298809062799</v>
      </c>
      <c r="FW13" s="17" t="s">
        <v>56</v>
      </c>
      <c r="FX13" s="17" t="s">
        <v>56</v>
      </c>
      <c r="FY13" s="17" t="s">
        <v>56</v>
      </c>
      <c r="FZ13" s="17" t="s">
        <v>56</v>
      </c>
      <c r="GA13" s="17" t="s">
        <v>56</v>
      </c>
      <c r="GB13" s="17" t="s">
        <v>56</v>
      </c>
      <c r="GC13" s="17" t="s">
        <v>56</v>
      </c>
      <c r="GD13" s="17" t="s">
        <v>2969</v>
      </c>
      <c r="GE13" s="17" t="s">
        <v>2969</v>
      </c>
      <c r="GF13" s="17" t="s">
        <v>56</v>
      </c>
      <c r="GG13" s="17" t="s">
        <v>2818</v>
      </c>
      <c r="GH13" s="17" t="s">
        <v>2818</v>
      </c>
      <c r="GI13" s="17" t="s">
        <v>1111</v>
      </c>
      <c r="GJ13" s="17" t="s">
        <v>1111</v>
      </c>
      <c r="GK13" s="17" t="s">
        <v>1111</v>
      </c>
      <c r="GL13" s="17"/>
    </row>
    <row r="14" spans="2:194" x14ac:dyDescent="0.25">
      <c r="B14" s="17" t="s">
        <v>2840</v>
      </c>
      <c r="C14" s="17" t="s">
        <v>70</v>
      </c>
      <c r="D14" s="17" t="s">
        <v>3411</v>
      </c>
      <c r="E14" s="17" t="s">
        <v>3412</v>
      </c>
      <c r="F14" s="17" t="s">
        <v>3237</v>
      </c>
      <c r="G14" s="17" t="s">
        <v>3413</v>
      </c>
      <c r="H14" s="17"/>
      <c r="I14" s="17" t="s">
        <v>2797</v>
      </c>
      <c r="J14" s="17" t="s">
        <v>3403</v>
      </c>
      <c r="K14" s="17" t="s">
        <v>2653</v>
      </c>
      <c r="L14" s="17" t="s">
        <v>2800</v>
      </c>
      <c r="M14" s="17" t="s">
        <v>3414</v>
      </c>
      <c r="N14" s="17" t="s">
        <v>1325</v>
      </c>
      <c r="O14" s="17" t="s">
        <v>2813</v>
      </c>
      <c r="P14" s="17" t="s">
        <v>2814</v>
      </c>
      <c r="Q14" s="17" t="s">
        <v>3616</v>
      </c>
      <c r="R14" s="17">
        <v>17897433.710000001</v>
      </c>
      <c r="S14" s="17">
        <v>4974456.4000000004</v>
      </c>
      <c r="T14" s="17">
        <v>18587154.18</v>
      </c>
      <c r="U14" s="17" t="s">
        <v>2817</v>
      </c>
      <c r="V14" s="17" t="s">
        <v>939</v>
      </c>
      <c r="W14" s="17" t="s">
        <v>2816</v>
      </c>
      <c r="X14" s="17" t="s">
        <v>3403</v>
      </c>
      <c r="Y14" s="17" t="s">
        <v>56</v>
      </c>
      <c r="Z14" s="17" t="s">
        <v>3616</v>
      </c>
      <c r="AA14" s="17" t="s">
        <v>2801</v>
      </c>
      <c r="AB14" s="17">
        <v>2.1629</v>
      </c>
      <c r="AC14" s="17" t="s">
        <v>3616</v>
      </c>
      <c r="AD14" s="17" t="s">
        <v>2804</v>
      </c>
      <c r="AE14" s="17">
        <v>319397</v>
      </c>
      <c r="AF14" s="17" t="s">
        <v>2839</v>
      </c>
      <c r="AG14" s="17" t="s">
        <v>3617</v>
      </c>
      <c r="AH14" s="17" t="s">
        <v>2806</v>
      </c>
      <c r="AI14" s="17"/>
      <c r="AJ14" s="17" t="s">
        <v>56</v>
      </c>
      <c r="AK14" s="17" t="s">
        <v>56</v>
      </c>
      <c r="AL14" s="17" t="s">
        <v>56</v>
      </c>
      <c r="AM14" s="17" t="s">
        <v>56</v>
      </c>
      <c r="AN14" s="17" t="s">
        <v>56</v>
      </c>
      <c r="AO14" s="17" t="s">
        <v>56</v>
      </c>
      <c r="AP14" s="17" t="s">
        <v>56</v>
      </c>
      <c r="AQ14" s="17" t="s">
        <v>56</v>
      </c>
      <c r="AR14" s="17" t="s">
        <v>56</v>
      </c>
      <c r="AS14" s="17">
        <v>677.19899999999996</v>
      </c>
      <c r="AT14" s="17">
        <v>82.007599999999996</v>
      </c>
      <c r="AU14" s="17">
        <v>435.83600000000001</v>
      </c>
      <c r="AV14" s="17" t="s">
        <v>56</v>
      </c>
      <c r="AW14" s="17" t="s">
        <v>56</v>
      </c>
      <c r="AX14" s="17" t="s">
        <v>56</v>
      </c>
      <c r="AY14" s="17">
        <v>561.97</v>
      </c>
      <c r="AZ14" s="17">
        <v>68.053600000000003</v>
      </c>
      <c r="BA14" s="17">
        <v>361.67599999999999</v>
      </c>
      <c r="BB14" s="17" t="s">
        <v>56</v>
      </c>
      <c r="BC14" s="17" t="s">
        <v>56</v>
      </c>
      <c r="BD14" s="17" t="s">
        <v>56</v>
      </c>
      <c r="BE14" s="17" t="s">
        <v>56</v>
      </c>
      <c r="BF14" s="17" t="s">
        <v>56</v>
      </c>
      <c r="BG14" s="17" t="s">
        <v>56</v>
      </c>
      <c r="BH14" s="17" t="s">
        <v>56</v>
      </c>
      <c r="BI14" s="17" t="s">
        <v>56</v>
      </c>
      <c r="BJ14" s="17" t="s">
        <v>56</v>
      </c>
      <c r="BK14" s="17" t="s">
        <v>56</v>
      </c>
      <c r="BL14" s="17" t="s">
        <v>56</v>
      </c>
      <c r="BM14" s="17" t="s">
        <v>56</v>
      </c>
      <c r="BN14" s="17" t="s">
        <v>56</v>
      </c>
      <c r="BO14" s="17" t="s">
        <v>56</v>
      </c>
      <c r="BP14" s="17" t="s">
        <v>56</v>
      </c>
      <c r="BQ14" s="17" t="s">
        <v>56</v>
      </c>
      <c r="BR14" s="17" t="s">
        <v>56</v>
      </c>
      <c r="BS14" s="17" t="s">
        <v>56</v>
      </c>
      <c r="BT14" s="17" t="s">
        <v>56</v>
      </c>
      <c r="BU14" s="17" t="s">
        <v>56</v>
      </c>
      <c r="BV14" s="17" t="s">
        <v>56</v>
      </c>
      <c r="BW14" s="17" t="s">
        <v>56</v>
      </c>
      <c r="BX14" s="17" t="s">
        <v>2818</v>
      </c>
      <c r="BY14" s="17" t="s">
        <v>1111</v>
      </c>
      <c r="BZ14" s="17" t="s">
        <v>56</v>
      </c>
      <c r="CA14" s="17" t="s">
        <v>56</v>
      </c>
      <c r="CB14" s="17" t="s">
        <v>1325</v>
      </c>
      <c r="CC14" s="17" t="s">
        <v>1325</v>
      </c>
      <c r="CD14" s="17" t="s">
        <v>1325</v>
      </c>
      <c r="CE14" s="17" t="s">
        <v>1325</v>
      </c>
      <c r="CF14" s="17" t="s">
        <v>1325</v>
      </c>
      <c r="CG14" s="17" t="s">
        <v>1325</v>
      </c>
      <c r="CH14" s="17" t="s">
        <v>1325</v>
      </c>
      <c r="CI14" s="17" t="s">
        <v>1325</v>
      </c>
      <c r="CJ14" s="17" t="s">
        <v>1325</v>
      </c>
      <c r="CK14" s="17" t="s">
        <v>1325</v>
      </c>
      <c r="CL14" s="17" t="s">
        <v>1325</v>
      </c>
      <c r="CM14" s="17" t="s">
        <v>1325</v>
      </c>
      <c r="CN14" s="17" t="s">
        <v>1325</v>
      </c>
      <c r="CO14" s="17" t="s">
        <v>1325</v>
      </c>
      <c r="CP14" s="17" t="s">
        <v>1325</v>
      </c>
      <c r="CQ14" s="17" t="s">
        <v>1325</v>
      </c>
      <c r="CR14" s="17" t="s">
        <v>1325</v>
      </c>
      <c r="CS14" s="17" t="s">
        <v>1325</v>
      </c>
      <c r="CT14" s="17" t="s">
        <v>1325</v>
      </c>
      <c r="CU14" s="17" t="s">
        <v>1325</v>
      </c>
      <c r="CV14" s="17" t="s">
        <v>1325</v>
      </c>
      <c r="CW14" s="17" t="s">
        <v>56</v>
      </c>
      <c r="CX14" s="17" t="s">
        <v>56</v>
      </c>
      <c r="CY14" s="17" t="s">
        <v>56</v>
      </c>
      <c r="CZ14" s="17">
        <v>319397</v>
      </c>
      <c r="DA14" s="17">
        <v>319397</v>
      </c>
      <c r="DB14" s="17">
        <v>319397</v>
      </c>
      <c r="DC14" s="17"/>
      <c r="DD14" s="17"/>
      <c r="DE14" s="17"/>
      <c r="DF14" s="17" t="s">
        <v>3415</v>
      </c>
      <c r="DG14" s="17" t="s">
        <v>3431</v>
      </c>
      <c r="DH14" s="17" t="s">
        <v>3237</v>
      </c>
      <c r="DI14" s="17" t="s">
        <v>3432</v>
      </c>
      <c r="DJ14" s="17" t="s">
        <v>3405</v>
      </c>
      <c r="DK14" s="17" t="s">
        <v>3320</v>
      </c>
      <c r="DL14" s="17" t="s">
        <v>3418</v>
      </c>
      <c r="DM14" s="17">
        <v>2.4405E-2</v>
      </c>
      <c r="DN14" s="17">
        <v>7794.9</v>
      </c>
      <c r="DO14" s="17">
        <v>0.42855811113859998</v>
      </c>
      <c r="DP14" s="17" t="s">
        <v>3308</v>
      </c>
      <c r="DQ14" s="17" t="s">
        <v>2839</v>
      </c>
      <c r="DR14" s="17" t="s">
        <v>56</v>
      </c>
      <c r="DS14" s="17" t="s">
        <v>56</v>
      </c>
      <c r="DT14" s="17" t="s">
        <v>56</v>
      </c>
      <c r="DU14" s="17" t="s">
        <v>56</v>
      </c>
      <c r="DV14" s="17" t="s">
        <v>2862</v>
      </c>
      <c r="DW14" s="17" t="s">
        <v>3309</v>
      </c>
      <c r="DX14" s="17" t="s">
        <v>3310</v>
      </c>
      <c r="DY14" s="17">
        <v>9.7795896448127796E-3</v>
      </c>
      <c r="DZ14" s="17">
        <v>2.7520410355187201E-2</v>
      </c>
      <c r="EA14" s="17" t="s">
        <v>3311</v>
      </c>
      <c r="EB14" s="17">
        <v>4.0201671797007003E-3</v>
      </c>
      <c r="EC14" s="17">
        <v>7.1798328202993004E-3</v>
      </c>
      <c r="ED14" s="17" t="s">
        <v>56</v>
      </c>
      <c r="EE14" s="17" t="s">
        <v>56</v>
      </c>
      <c r="EF14" s="17" t="s">
        <v>56</v>
      </c>
      <c r="EG14" s="17" t="s">
        <v>2862</v>
      </c>
      <c r="EH14" s="17" t="s">
        <v>3309</v>
      </c>
      <c r="EI14" s="17" t="s">
        <v>3312</v>
      </c>
      <c r="EJ14" s="17">
        <v>1.08477E-2</v>
      </c>
      <c r="EK14" s="17">
        <v>5.8252699999999998E-2</v>
      </c>
      <c r="EL14" s="17" t="s">
        <v>3311</v>
      </c>
      <c r="EM14" s="17">
        <v>4.8999999999999998E-3</v>
      </c>
      <c r="EN14" s="17">
        <v>1.01E-2</v>
      </c>
      <c r="EO14" s="17" t="s">
        <v>3312</v>
      </c>
      <c r="EP14" s="17">
        <v>4.3641500000000004</v>
      </c>
      <c r="EQ14" s="17">
        <v>23.435700000000001</v>
      </c>
      <c r="ER14" s="17" t="s">
        <v>3313</v>
      </c>
      <c r="ES14" s="17">
        <v>0.59340000000000004</v>
      </c>
      <c r="ET14" s="17">
        <v>1.2263999999999999</v>
      </c>
      <c r="EU14" s="17" t="s">
        <v>2862</v>
      </c>
      <c r="EV14" s="17" t="s">
        <v>3309</v>
      </c>
      <c r="EW14" s="17" t="s">
        <v>3312</v>
      </c>
      <c r="EX14" s="17">
        <v>4.3641500000000004</v>
      </c>
      <c r="EY14" s="17">
        <v>23.435700000000001</v>
      </c>
      <c r="EZ14" s="17" t="s">
        <v>3311</v>
      </c>
      <c r="FA14" s="17">
        <v>0.59340000000000004</v>
      </c>
      <c r="FB14" s="17">
        <v>1.2263999999999999</v>
      </c>
      <c r="FC14" s="17" t="s">
        <v>56</v>
      </c>
      <c r="FD14" s="17" t="s">
        <v>56</v>
      </c>
      <c r="FE14" s="17" t="s">
        <v>56</v>
      </c>
      <c r="FF14" s="17" t="s">
        <v>56</v>
      </c>
      <c r="FG14" s="17" t="s">
        <v>56</v>
      </c>
      <c r="FH14" s="17" t="s">
        <v>56</v>
      </c>
      <c r="FI14" s="17" t="s">
        <v>56</v>
      </c>
      <c r="FJ14" s="17" t="s">
        <v>56</v>
      </c>
      <c r="FK14" s="17" t="s">
        <v>56</v>
      </c>
      <c r="FL14" s="17" t="s">
        <v>56</v>
      </c>
      <c r="FM14" s="17" t="s">
        <v>56</v>
      </c>
      <c r="FN14" s="17" t="s">
        <v>56</v>
      </c>
      <c r="FO14" s="17" t="s">
        <v>56</v>
      </c>
      <c r="FP14" s="17" t="s">
        <v>56</v>
      </c>
      <c r="FQ14" s="17" t="s">
        <v>56</v>
      </c>
      <c r="FR14" s="17" t="s">
        <v>56</v>
      </c>
      <c r="FS14" s="17" t="s">
        <v>56</v>
      </c>
      <c r="FT14" s="17" t="s">
        <v>56</v>
      </c>
      <c r="FU14" s="17">
        <v>194.51035557793401</v>
      </c>
      <c r="FV14" s="17">
        <v>1044.5301697278501</v>
      </c>
      <c r="FW14" s="17" t="s">
        <v>56</v>
      </c>
      <c r="FX14" s="17" t="s">
        <v>56</v>
      </c>
      <c r="FY14" s="17" t="s">
        <v>56</v>
      </c>
      <c r="FZ14" s="17" t="s">
        <v>56</v>
      </c>
      <c r="GA14" s="17" t="s">
        <v>56</v>
      </c>
      <c r="GB14" s="17" t="s">
        <v>56</v>
      </c>
      <c r="GC14" s="17" t="s">
        <v>56</v>
      </c>
      <c r="GD14" s="17" t="s">
        <v>2969</v>
      </c>
      <c r="GE14" s="17" t="s">
        <v>2969</v>
      </c>
      <c r="GF14" s="17" t="s">
        <v>56</v>
      </c>
      <c r="GG14" s="17" t="s">
        <v>2818</v>
      </c>
      <c r="GH14" s="17" t="s">
        <v>2818</v>
      </c>
      <c r="GI14" s="17" t="s">
        <v>1111</v>
      </c>
      <c r="GJ14" s="17" t="s">
        <v>1111</v>
      </c>
      <c r="GK14" s="17" t="s">
        <v>1111</v>
      </c>
      <c r="GL14" s="17"/>
    </row>
    <row r="15" spans="2:194" x14ac:dyDescent="0.25">
      <c r="B15" s="17" t="s">
        <v>2840</v>
      </c>
      <c r="C15" s="17" t="s">
        <v>70</v>
      </c>
      <c r="D15" s="17" t="s">
        <v>3411</v>
      </c>
      <c r="E15" s="17" t="s">
        <v>3412</v>
      </c>
      <c r="F15" s="17" t="s">
        <v>3237</v>
      </c>
      <c r="G15" s="17" t="s">
        <v>3413</v>
      </c>
      <c r="H15" s="17"/>
      <c r="I15" s="17" t="s">
        <v>2797</v>
      </c>
      <c r="J15" s="17" t="s">
        <v>3403</v>
      </c>
      <c r="K15" s="17" t="s">
        <v>2653</v>
      </c>
      <c r="L15" s="17" t="s">
        <v>2800</v>
      </c>
      <c r="M15" s="17" t="s">
        <v>3414</v>
      </c>
      <c r="N15" s="17" t="s">
        <v>1325</v>
      </c>
      <c r="O15" s="17" t="s">
        <v>2813</v>
      </c>
      <c r="P15" s="17" t="s">
        <v>2814</v>
      </c>
      <c r="Q15" s="17" t="s">
        <v>3616</v>
      </c>
      <c r="R15" s="17">
        <v>17897433.710000001</v>
      </c>
      <c r="S15" s="17">
        <v>4974456.4000000004</v>
      </c>
      <c r="T15" s="17">
        <v>18587154.18</v>
      </c>
      <c r="U15" s="17" t="s">
        <v>2817</v>
      </c>
      <c r="V15" s="17" t="s">
        <v>939</v>
      </c>
      <c r="W15" s="17" t="s">
        <v>2816</v>
      </c>
      <c r="X15" s="17" t="s">
        <v>3403</v>
      </c>
      <c r="Y15" s="17" t="s">
        <v>56</v>
      </c>
      <c r="Z15" s="17" t="s">
        <v>3616</v>
      </c>
      <c r="AA15" s="17" t="s">
        <v>2801</v>
      </c>
      <c r="AB15" s="17">
        <v>2.1629</v>
      </c>
      <c r="AC15" s="17" t="s">
        <v>3616</v>
      </c>
      <c r="AD15" s="17" t="s">
        <v>2804</v>
      </c>
      <c r="AE15" s="17">
        <v>319397</v>
      </c>
      <c r="AF15" s="17" t="s">
        <v>2839</v>
      </c>
      <c r="AG15" s="17" t="s">
        <v>3617</v>
      </c>
      <c r="AH15" s="17" t="s">
        <v>2806</v>
      </c>
      <c r="AI15" s="17"/>
      <c r="AJ15" s="17" t="s">
        <v>56</v>
      </c>
      <c r="AK15" s="17" t="s">
        <v>56</v>
      </c>
      <c r="AL15" s="17" t="s">
        <v>56</v>
      </c>
      <c r="AM15" s="17" t="s">
        <v>56</v>
      </c>
      <c r="AN15" s="17" t="s">
        <v>56</v>
      </c>
      <c r="AO15" s="17" t="s">
        <v>56</v>
      </c>
      <c r="AP15" s="17" t="s">
        <v>56</v>
      </c>
      <c r="AQ15" s="17" t="s">
        <v>56</v>
      </c>
      <c r="AR15" s="17" t="s">
        <v>56</v>
      </c>
      <c r="AS15" s="17">
        <v>677.19899999999996</v>
      </c>
      <c r="AT15" s="17">
        <v>82.007599999999996</v>
      </c>
      <c r="AU15" s="17">
        <v>435.83600000000001</v>
      </c>
      <c r="AV15" s="17" t="s">
        <v>56</v>
      </c>
      <c r="AW15" s="17" t="s">
        <v>56</v>
      </c>
      <c r="AX15" s="17" t="s">
        <v>56</v>
      </c>
      <c r="AY15" s="17">
        <v>561.97</v>
      </c>
      <c r="AZ15" s="17">
        <v>68.053600000000003</v>
      </c>
      <c r="BA15" s="17">
        <v>361.67599999999999</v>
      </c>
      <c r="BB15" s="17" t="s">
        <v>56</v>
      </c>
      <c r="BC15" s="17" t="s">
        <v>56</v>
      </c>
      <c r="BD15" s="17" t="s">
        <v>56</v>
      </c>
      <c r="BE15" s="17" t="s">
        <v>56</v>
      </c>
      <c r="BF15" s="17" t="s">
        <v>56</v>
      </c>
      <c r="BG15" s="17" t="s">
        <v>56</v>
      </c>
      <c r="BH15" s="17" t="s">
        <v>56</v>
      </c>
      <c r="BI15" s="17" t="s">
        <v>56</v>
      </c>
      <c r="BJ15" s="17" t="s">
        <v>56</v>
      </c>
      <c r="BK15" s="17" t="s">
        <v>56</v>
      </c>
      <c r="BL15" s="17" t="s">
        <v>56</v>
      </c>
      <c r="BM15" s="17" t="s">
        <v>56</v>
      </c>
      <c r="BN15" s="17" t="s">
        <v>56</v>
      </c>
      <c r="BO15" s="17" t="s">
        <v>56</v>
      </c>
      <c r="BP15" s="17" t="s">
        <v>56</v>
      </c>
      <c r="BQ15" s="17" t="s">
        <v>56</v>
      </c>
      <c r="BR15" s="17" t="s">
        <v>56</v>
      </c>
      <c r="BS15" s="17" t="s">
        <v>56</v>
      </c>
      <c r="BT15" s="17" t="s">
        <v>56</v>
      </c>
      <c r="BU15" s="17" t="s">
        <v>56</v>
      </c>
      <c r="BV15" s="17" t="s">
        <v>56</v>
      </c>
      <c r="BW15" s="17" t="s">
        <v>56</v>
      </c>
      <c r="BX15" s="17" t="s">
        <v>2818</v>
      </c>
      <c r="BY15" s="17" t="s">
        <v>1111</v>
      </c>
      <c r="BZ15" s="17" t="s">
        <v>56</v>
      </c>
      <c r="CA15" s="17" t="s">
        <v>56</v>
      </c>
      <c r="CB15" s="17" t="s">
        <v>1325</v>
      </c>
      <c r="CC15" s="17" t="s">
        <v>1325</v>
      </c>
      <c r="CD15" s="17" t="s">
        <v>1325</v>
      </c>
      <c r="CE15" s="17" t="s">
        <v>1325</v>
      </c>
      <c r="CF15" s="17" t="s">
        <v>1325</v>
      </c>
      <c r="CG15" s="17" t="s">
        <v>1325</v>
      </c>
      <c r="CH15" s="17" t="s">
        <v>1325</v>
      </c>
      <c r="CI15" s="17" t="s">
        <v>1325</v>
      </c>
      <c r="CJ15" s="17" t="s">
        <v>1325</v>
      </c>
      <c r="CK15" s="17" t="s">
        <v>1325</v>
      </c>
      <c r="CL15" s="17" t="s">
        <v>1325</v>
      </c>
      <c r="CM15" s="17" t="s">
        <v>1325</v>
      </c>
      <c r="CN15" s="17" t="s">
        <v>1325</v>
      </c>
      <c r="CO15" s="17" t="s">
        <v>1325</v>
      </c>
      <c r="CP15" s="17" t="s">
        <v>1325</v>
      </c>
      <c r="CQ15" s="17" t="s">
        <v>1325</v>
      </c>
      <c r="CR15" s="17" t="s">
        <v>1325</v>
      </c>
      <c r="CS15" s="17" t="s">
        <v>1325</v>
      </c>
      <c r="CT15" s="17" t="s">
        <v>1325</v>
      </c>
      <c r="CU15" s="17" t="s">
        <v>1325</v>
      </c>
      <c r="CV15" s="17" t="s">
        <v>1325</v>
      </c>
      <c r="CW15" s="17" t="s">
        <v>56</v>
      </c>
      <c r="CX15" s="17" t="s">
        <v>56</v>
      </c>
      <c r="CY15" s="17" t="s">
        <v>56</v>
      </c>
      <c r="CZ15" s="17">
        <v>319397</v>
      </c>
      <c r="DA15" s="17">
        <v>319397</v>
      </c>
      <c r="DB15" s="17">
        <v>319397</v>
      </c>
      <c r="DC15" s="17"/>
      <c r="DD15" s="17"/>
      <c r="DE15" s="17"/>
      <c r="DF15" s="17" t="s">
        <v>3415</v>
      </c>
      <c r="DG15" s="17" t="s">
        <v>3433</v>
      </c>
      <c r="DH15" s="17" t="s">
        <v>3237</v>
      </c>
      <c r="DI15" s="17" t="s">
        <v>3434</v>
      </c>
      <c r="DJ15" s="17" t="s">
        <v>3405</v>
      </c>
      <c r="DK15" s="17" t="s">
        <v>3320</v>
      </c>
      <c r="DL15" s="17" t="s">
        <v>3418</v>
      </c>
      <c r="DM15" s="17">
        <v>4.6800000000000001E-3</v>
      </c>
      <c r="DN15" s="17">
        <v>1494.8</v>
      </c>
      <c r="DO15" s="17">
        <v>0.42855696838589402</v>
      </c>
      <c r="DP15" s="17" t="s">
        <v>3308</v>
      </c>
      <c r="DQ15" s="17" t="s">
        <v>2839</v>
      </c>
      <c r="DR15" s="17" t="s">
        <v>56</v>
      </c>
      <c r="DS15" s="17" t="s">
        <v>56</v>
      </c>
      <c r="DT15" s="17" t="s">
        <v>56</v>
      </c>
      <c r="DU15" s="17" t="s">
        <v>56</v>
      </c>
      <c r="DV15" s="17" t="s">
        <v>2862</v>
      </c>
      <c r="DW15" s="17" t="s">
        <v>3309</v>
      </c>
      <c r="DX15" s="17" t="s">
        <v>3310</v>
      </c>
      <c r="DY15" s="17">
        <v>9.7795896448127796E-3</v>
      </c>
      <c r="DZ15" s="17">
        <v>2.7520410355187201E-2</v>
      </c>
      <c r="EA15" s="17" t="s">
        <v>3311</v>
      </c>
      <c r="EB15" s="17">
        <v>4.0201671797007003E-3</v>
      </c>
      <c r="EC15" s="17">
        <v>7.1798328202993004E-3</v>
      </c>
      <c r="ED15" s="17" t="s">
        <v>56</v>
      </c>
      <c r="EE15" s="17" t="s">
        <v>56</v>
      </c>
      <c r="EF15" s="17" t="s">
        <v>56</v>
      </c>
      <c r="EG15" s="17" t="s">
        <v>2862</v>
      </c>
      <c r="EH15" s="17" t="s">
        <v>3309</v>
      </c>
      <c r="EI15" s="17" t="s">
        <v>3312</v>
      </c>
      <c r="EJ15" s="17">
        <v>1.08477E-2</v>
      </c>
      <c r="EK15" s="17">
        <v>5.8252699999999998E-2</v>
      </c>
      <c r="EL15" s="17" t="s">
        <v>3311</v>
      </c>
      <c r="EM15" s="17">
        <v>4.8999999999999998E-3</v>
      </c>
      <c r="EN15" s="17">
        <v>1.01E-2</v>
      </c>
      <c r="EO15" s="17" t="s">
        <v>3312</v>
      </c>
      <c r="EP15" s="17">
        <v>4.3641500000000004</v>
      </c>
      <c r="EQ15" s="17">
        <v>23.435700000000001</v>
      </c>
      <c r="ER15" s="17" t="s">
        <v>3313</v>
      </c>
      <c r="ES15" s="17">
        <v>0.59340000000000004</v>
      </c>
      <c r="ET15" s="17">
        <v>1.2263999999999999</v>
      </c>
      <c r="EU15" s="17" t="s">
        <v>2862</v>
      </c>
      <c r="EV15" s="17" t="s">
        <v>3309</v>
      </c>
      <c r="EW15" s="17" t="s">
        <v>3312</v>
      </c>
      <c r="EX15" s="17">
        <v>4.3641500000000004</v>
      </c>
      <c r="EY15" s="17">
        <v>23.435700000000001</v>
      </c>
      <c r="EZ15" s="17" t="s">
        <v>3311</v>
      </c>
      <c r="FA15" s="17">
        <v>0.59340000000000004</v>
      </c>
      <c r="FB15" s="17">
        <v>1.2263999999999999</v>
      </c>
      <c r="FC15" s="17" t="s">
        <v>56</v>
      </c>
      <c r="FD15" s="17" t="s">
        <v>56</v>
      </c>
      <c r="FE15" s="17" t="s">
        <v>56</v>
      </c>
      <c r="FF15" s="17" t="s">
        <v>56</v>
      </c>
      <c r="FG15" s="17" t="s">
        <v>56</v>
      </c>
      <c r="FH15" s="17" t="s">
        <v>56</v>
      </c>
      <c r="FI15" s="17" t="s">
        <v>56</v>
      </c>
      <c r="FJ15" s="17" t="s">
        <v>56</v>
      </c>
      <c r="FK15" s="17" t="s">
        <v>56</v>
      </c>
      <c r="FL15" s="17" t="s">
        <v>56</v>
      </c>
      <c r="FM15" s="17" t="s">
        <v>56</v>
      </c>
      <c r="FN15" s="17" t="s">
        <v>56</v>
      </c>
      <c r="FO15" s="17" t="s">
        <v>56</v>
      </c>
      <c r="FP15" s="17" t="s">
        <v>56</v>
      </c>
      <c r="FQ15" s="17" t="s">
        <v>56</v>
      </c>
      <c r="FR15" s="17" t="s">
        <v>56</v>
      </c>
      <c r="FS15" s="17" t="s">
        <v>56</v>
      </c>
      <c r="FT15" s="17" t="s">
        <v>56</v>
      </c>
      <c r="FU15" s="17">
        <v>194.50983689347001</v>
      </c>
      <c r="FV15" s="17">
        <v>1044.5273843667801</v>
      </c>
      <c r="FW15" s="17" t="s">
        <v>56</v>
      </c>
      <c r="FX15" s="17" t="s">
        <v>56</v>
      </c>
      <c r="FY15" s="17" t="s">
        <v>56</v>
      </c>
      <c r="FZ15" s="17" t="s">
        <v>56</v>
      </c>
      <c r="GA15" s="17" t="s">
        <v>56</v>
      </c>
      <c r="GB15" s="17" t="s">
        <v>56</v>
      </c>
      <c r="GC15" s="17" t="s">
        <v>56</v>
      </c>
      <c r="GD15" s="17" t="s">
        <v>2969</v>
      </c>
      <c r="GE15" s="17" t="s">
        <v>2969</v>
      </c>
      <c r="GF15" s="17" t="s">
        <v>56</v>
      </c>
      <c r="GG15" s="17" t="s">
        <v>2818</v>
      </c>
      <c r="GH15" s="17" t="s">
        <v>2818</v>
      </c>
      <c r="GI15" s="17" t="s">
        <v>1111</v>
      </c>
      <c r="GJ15" s="17" t="s">
        <v>1111</v>
      </c>
      <c r="GK15" s="17" t="s">
        <v>1111</v>
      </c>
      <c r="GL15" s="17"/>
    </row>
    <row r="16" spans="2:194" x14ac:dyDescent="0.25">
      <c r="B16" s="17" t="s">
        <v>2840</v>
      </c>
      <c r="C16" s="17" t="s">
        <v>70</v>
      </c>
      <c r="D16" s="17" t="s">
        <v>3411</v>
      </c>
      <c r="E16" s="17" t="s">
        <v>3412</v>
      </c>
      <c r="F16" s="17" t="s">
        <v>3237</v>
      </c>
      <c r="G16" s="17" t="s">
        <v>3413</v>
      </c>
      <c r="H16" s="17"/>
      <c r="I16" s="17" t="s">
        <v>2797</v>
      </c>
      <c r="J16" s="17" t="s">
        <v>3403</v>
      </c>
      <c r="K16" s="17" t="s">
        <v>2653</v>
      </c>
      <c r="L16" s="17" t="s">
        <v>2800</v>
      </c>
      <c r="M16" s="17" t="s">
        <v>3414</v>
      </c>
      <c r="N16" s="17" t="s">
        <v>1325</v>
      </c>
      <c r="O16" s="17" t="s">
        <v>2813</v>
      </c>
      <c r="P16" s="17" t="s">
        <v>2814</v>
      </c>
      <c r="Q16" s="17" t="s">
        <v>3616</v>
      </c>
      <c r="R16" s="17">
        <v>17897433.710000001</v>
      </c>
      <c r="S16" s="17">
        <v>4974456.4000000004</v>
      </c>
      <c r="T16" s="17">
        <v>18587154.18</v>
      </c>
      <c r="U16" s="17" t="s">
        <v>2817</v>
      </c>
      <c r="V16" s="17" t="s">
        <v>939</v>
      </c>
      <c r="W16" s="17" t="s">
        <v>2816</v>
      </c>
      <c r="X16" s="17" t="s">
        <v>3403</v>
      </c>
      <c r="Y16" s="17" t="s">
        <v>56</v>
      </c>
      <c r="Z16" s="17" t="s">
        <v>3616</v>
      </c>
      <c r="AA16" s="17" t="s">
        <v>2801</v>
      </c>
      <c r="AB16" s="17">
        <v>2.1629</v>
      </c>
      <c r="AC16" s="17" t="s">
        <v>3616</v>
      </c>
      <c r="AD16" s="17" t="s">
        <v>2804</v>
      </c>
      <c r="AE16" s="17">
        <v>319397</v>
      </c>
      <c r="AF16" s="17" t="s">
        <v>2839</v>
      </c>
      <c r="AG16" s="17" t="s">
        <v>3617</v>
      </c>
      <c r="AH16" s="17" t="s">
        <v>2806</v>
      </c>
      <c r="AI16" s="17"/>
      <c r="AJ16" s="17" t="s">
        <v>56</v>
      </c>
      <c r="AK16" s="17" t="s">
        <v>56</v>
      </c>
      <c r="AL16" s="17" t="s">
        <v>56</v>
      </c>
      <c r="AM16" s="17" t="s">
        <v>56</v>
      </c>
      <c r="AN16" s="17" t="s">
        <v>56</v>
      </c>
      <c r="AO16" s="17" t="s">
        <v>56</v>
      </c>
      <c r="AP16" s="17" t="s">
        <v>56</v>
      </c>
      <c r="AQ16" s="17" t="s">
        <v>56</v>
      </c>
      <c r="AR16" s="17" t="s">
        <v>56</v>
      </c>
      <c r="AS16" s="17">
        <v>677.19899999999996</v>
      </c>
      <c r="AT16" s="17">
        <v>82.007599999999996</v>
      </c>
      <c r="AU16" s="17">
        <v>435.83600000000001</v>
      </c>
      <c r="AV16" s="17" t="s">
        <v>56</v>
      </c>
      <c r="AW16" s="17" t="s">
        <v>56</v>
      </c>
      <c r="AX16" s="17" t="s">
        <v>56</v>
      </c>
      <c r="AY16" s="17">
        <v>561.97</v>
      </c>
      <c r="AZ16" s="17">
        <v>68.053600000000003</v>
      </c>
      <c r="BA16" s="17">
        <v>361.67599999999999</v>
      </c>
      <c r="BB16" s="17" t="s">
        <v>56</v>
      </c>
      <c r="BC16" s="17" t="s">
        <v>56</v>
      </c>
      <c r="BD16" s="17" t="s">
        <v>56</v>
      </c>
      <c r="BE16" s="17" t="s">
        <v>56</v>
      </c>
      <c r="BF16" s="17" t="s">
        <v>56</v>
      </c>
      <c r="BG16" s="17" t="s">
        <v>56</v>
      </c>
      <c r="BH16" s="17" t="s">
        <v>56</v>
      </c>
      <c r="BI16" s="17" t="s">
        <v>56</v>
      </c>
      <c r="BJ16" s="17" t="s">
        <v>56</v>
      </c>
      <c r="BK16" s="17" t="s">
        <v>56</v>
      </c>
      <c r="BL16" s="17" t="s">
        <v>56</v>
      </c>
      <c r="BM16" s="17" t="s">
        <v>56</v>
      </c>
      <c r="BN16" s="17" t="s">
        <v>56</v>
      </c>
      <c r="BO16" s="17" t="s">
        <v>56</v>
      </c>
      <c r="BP16" s="17" t="s">
        <v>56</v>
      </c>
      <c r="BQ16" s="17" t="s">
        <v>56</v>
      </c>
      <c r="BR16" s="17" t="s">
        <v>56</v>
      </c>
      <c r="BS16" s="17" t="s">
        <v>56</v>
      </c>
      <c r="BT16" s="17" t="s">
        <v>56</v>
      </c>
      <c r="BU16" s="17" t="s">
        <v>56</v>
      </c>
      <c r="BV16" s="17" t="s">
        <v>56</v>
      </c>
      <c r="BW16" s="17" t="s">
        <v>56</v>
      </c>
      <c r="BX16" s="17" t="s">
        <v>2818</v>
      </c>
      <c r="BY16" s="17" t="s">
        <v>1111</v>
      </c>
      <c r="BZ16" s="17" t="s">
        <v>56</v>
      </c>
      <c r="CA16" s="17" t="s">
        <v>56</v>
      </c>
      <c r="CB16" s="17" t="s">
        <v>1325</v>
      </c>
      <c r="CC16" s="17" t="s">
        <v>1325</v>
      </c>
      <c r="CD16" s="17" t="s">
        <v>1325</v>
      </c>
      <c r="CE16" s="17" t="s">
        <v>1325</v>
      </c>
      <c r="CF16" s="17" t="s">
        <v>1325</v>
      </c>
      <c r="CG16" s="17" t="s">
        <v>1325</v>
      </c>
      <c r="CH16" s="17" t="s">
        <v>1325</v>
      </c>
      <c r="CI16" s="17" t="s">
        <v>1325</v>
      </c>
      <c r="CJ16" s="17" t="s">
        <v>1325</v>
      </c>
      <c r="CK16" s="17" t="s">
        <v>1325</v>
      </c>
      <c r="CL16" s="17" t="s">
        <v>1325</v>
      </c>
      <c r="CM16" s="17" t="s">
        <v>1325</v>
      </c>
      <c r="CN16" s="17" t="s">
        <v>1325</v>
      </c>
      <c r="CO16" s="17" t="s">
        <v>1325</v>
      </c>
      <c r="CP16" s="17" t="s">
        <v>1325</v>
      </c>
      <c r="CQ16" s="17" t="s">
        <v>1325</v>
      </c>
      <c r="CR16" s="17" t="s">
        <v>1325</v>
      </c>
      <c r="CS16" s="17" t="s">
        <v>1325</v>
      </c>
      <c r="CT16" s="17" t="s">
        <v>1325</v>
      </c>
      <c r="CU16" s="17" t="s">
        <v>1325</v>
      </c>
      <c r="CV16" s="17" t="s">
        <v>1325</v>
      </c>
      <c r="CW16" s="17" t="s">
        <v>56</v>
      </c>
      <c r="CX16" s="17" t="s">
        <v>56</v>
      </c>
      <c r="CY16" s="17" t="s">
        <v>56</v>
      </c>
      <c r="CZ16" s="17">
        <v>319397</v>
      </c>
      <c r="DA16" s="17">
        <v>319397</v>
      </c>
      <c r="DB16" s="17">
        <v>319397</v>
      </c>
      <c r="DC16" s="17"/>
      <c r="DD16" s="17"/>
      <c r="DE16" s="17"/>
      <c r="DF16" s="17" t="s">
        <v>3415</v>
      </c>
      <c r="DG16" s="17" t="s">
        <v>3435</v>
      </c>
      <c r="DH16" s="17" t="s">
        <v>3237</v>
      </c>
      <c r="DI16" s="17" t="s">
        <v>3436</v>
      </c>
      <c r="DJ16" s="17" t="s">
        <v>3405</v>
      </c>
      <c r="DK16" s="17" t="s">
        <v>3320</v>
      </c>
      <c r="DL16" s="17" t="s">
        <v>3418</v>
      </c>
      <c r="DM16" s="17">
        <v>1.289E-3</v>
      </c>
      <c r="DN16" s="17">
        <v>411.7</v>
      </c>
      <c r="DO16" s="17">
        <v>0.42855699030176803</v>
      </c>
      <c r="DP16" s="17" t="s">
        <v>3308</v>
      </c>
      <c r="DQ16" s="17" t="s">
        <v>2839</v>
      </c>
      <c r="DR16" s="17" t="s">
        <v>56</v>
      </c>
      <c r="DS16" s="17" t="s">
        <v>56</v>
      </c>
      <c r="DT16" s="17" t="s">
        <v>56</v>
      </c>
      <c r="DU16" s="17" t="s">
        <v>56</v>
      </c>
      <c r="DV16" s="17" t="s">
        <v>2862</v>
      </c>
      <c r="DW16" s="17" t="s">
        <v>3309</v>
      </c>
      <c r="DX16" s="17" t="s">
        <v>3310</v>
      </c>
      <c r="DY16" s="17">
        <v>9.7795896448127796E-3</v>
      </c>
      <c r="DZ16" s="17">
        <v>2.7520410355187201E-2</v>
      </c>
      <c r="EA16" s="17" t="s">
        <v>3311</v>
      </c>
      <c r="EB16" s="17">
        <v>4.0201671797007003E-3</v>
      </c>
      <c r="EC16" s="17">
        <v>7.1798328202993004E-3</v>
      </c>
      <c r="ED16" s="17" t="s">
        <v>56</v>
      </c>
      <c r="EE16" s="17" t="s">
        <v>56</v>
      </c>
      <c r="EF16" s="17" t="s">
        <v>56</v>
      </c>
      <c r="EG16" s="17" t="s">
        <v>2862</v>
      </c>
      <c r="EH16" s="17" t="s">
        <v>3309</v>
      </c>
      <c r="EI16" s="17" t="s">
        <v>3312</v>
      </c>
      <c r="EJ16" s="17">
        <v>1.08477E-2</v>
      </c>
      <c r="EK16" s="17">
        <v>5.8252699999999998E-2</v>
      </c>
      <c r="EL16" s="17" t="s">
        <v>3311</v>
      </c>
      <c r="EM16" s="17">
        <v>4.8999999999999998E-3</v>
      </c>
      <c r="EN16" s="17">
        <v>1.01E-2</v>
      </c>
      <c r="EO16" s="17" t="s">
        <v>3312</v>
      </c>
      <c r="EP16" s="17">
        <v>4.3641500000000004</v>
      </c>
      <c r="EQ16" s="17">
        <v>23.435700000000001</v>
      </c>
      <c r="ER16" s="17" t="s">
        <v>3313</v>
      </c>
      <c r="ES16" s="17">
        <v>0.59340000000000004</v>
      </c>
      <c r="ET16" s="17">
        <v>1.2263999999999999</v>
      </c>
      <c r="EU16" s="17" t="s">
        <v>2862</v>
      </c>
      <c r="EV16" s="17" t="s">
        <v>3309</v>
      </c>
      <c r="EW16" s="17" t="s">
        <v>3312</v>
      </c>
      <c r="EX16" s="17">
        <v>4.3641500000000004</v>
      </c>
      <c r="EY16" s="17">
        <v>23.435700000000001</v>
      </c>
      <c r="EZ16" s="17" t="s">
        <v>3311</v>
      </c>
      <c r="FA16" s="17">
        <v>0.59340000000000004</v>
      </c>
      <c r="FB16" s="17">
        <v>1.2263999999999999</v>
      </c>
      <c r="FC16" s="17" t="s">
        <v>56</v>
      </c>
      <c r="FD16" s="17" t="s">
        <v>56</v>
      </c>
      <c r="FE16" s="17" t="s">
        <v>56</v>
      </c>
      <c r="FF16" s="17" t="s">
        <v>56</v>
      </c>
      <c r="FG16" s="17" t="s">
        <v>56</v>
      </c>
      <c r="FH16" s="17" t="s">
        <v>56</v>
      </c>
      <c r="FI16" s="17" t="s">
        <v>56</v>
      </c>
      <c r="FJ16" s="17" t="s">
        <v>56</v>
      </c>
      <c r="FK16" s="17" t="s">
        <v>56</v>
      </c>
      <c r="FL16" s="17" t="s">
        <v>56</v>
      </c>
      <c r="FM16" s="17" t="s">
        <v>56</v>
      </c>
      <c r="FN16" s="17" t="s">
        <v>56</v>
      </c>
      <c r="FO16" s="17" t="s">
        <v>56</v>
      </c>
      <c r="FP16" s="17" t="s">
        <v>56</v>
      </c>
      <c r="FQ16" s="17" t="s">
        <v>56</v>
      </c>
      <c r="FR16" s="17" t="s">
        <v>56</v>
      </c>
      <c r="FS16" s="17" t="s">
        <v>56</v>
      </c>
      <c r="FT16" s="17" t="s">
        <v>56</v>
      </c>
      <c r="FU16" s="17">
        <v>194.50984687864499</v>
      </c>
      <c r="FV16" s="17">
        <v>1044.5274379876601</v>
      </c>
      <c r="FW16" s="17" t="s">
        <v>56</v>
      </c>
      <c r="FX16" s="17" t="s">
        <v>56</v>
      </c>
      <c r="FY16" s="17" t="s">
        <v>56</v>
      </c>
      <c r="FZ16" s="17" t="s">
        <v>56</v>
      </c>
      <c r="GA16" s="17" t="s">
        <v>56</v>
      </c>
      <c r="GB16" s="17" t="s">
        <v>56</v>
      </c>
      <c r="GC16" s="17" t="s">
        <v>56</v>
      </c>
      <c r="GD16" s="17" t="s">
        <v>2969</v>
      </c>
      <c r="GE16" s="17" t="s">
        <v>2969</v>
      </c>
      <c r="GF16" s="17" t="s">
        <v>56</v>
      </c>
      <c r="GG16" s="17" t="s">
        <v>2818</v>
      </c>
      <c r="GH16" s="17" t="s">
        <v>2818</v>
      </c>
      <c r="GI16" s="17" t="s">
        <v>1111</v>
      </c>
      <c r="GJ16" s="17" t="s">
        <v>1111</v>
      </c>
      <c r="GK16" s="17" t="s">
        <v>1111</v>
      </c>
      <c r="GL16" s="17"/>
    </row>
    <row r="17" spans="2:194" x14ac:dyDescent="0.25">
      <c r="B17" s="17" t="s">
        <v>2840</v>
      </c>
      <c r="C17" s="17" t="s">
        <v>70</v>
      </c>
      <c r="D17" s="17" t="s">
        <v>3411</v>
      </c>
      <c r="E17" s="17" t="s">
        <v>3412</v>
      </c>
      <c r="F17" s="17" t="s">
        <v>3237</v>
      </c>
      <c r="G17" s="17" t="s">
        <v>3413</v>
      </c>
      <c r="H17" s="17"/>
      <c r="I17" s="17" t="s">
        <v>2797</v>
      </c>
      <c r="J17" s="17" t="s">
        <v>3403</v>
      </c>
      <c r="K17" s="17" t="s">
        <v>2653</v>
      </c>
      <c r="L17" s="17" t="s">
        <v>2800</v>
      </c>
      <c r="M17" s="17" t="s">
        <v>3414</v>
      </c>
      <c r="N17" s="17" t="s">
        <v>1325</v>
      </c>
      <c r="O17" s="17" t="s">
        <v>2813</v>
      </c>
      <c r="P17" s="17" t="s">
        <v>2814</v>
      </c>
      <c r="Q17" s="17" t="s">
        <v>3616</v>
      </c>
      <c r="R17" s="17">
        <v>17897433.710000001</v>
      </c>
      <c r="S17" s="17">
        <v>4974456.4000000004</v>
      </c>
      <c r="T17" s="17">
        <v>18587154.18</v>
      </c>
      <c r="U17" s="17" t="s">
        <v>2817</v>
      </c>
      <c r="V17" s="17" t="s">
        <v>939</v>
      </c>
      <c r="W17" s="17" t="s">
        <v>2816</v>
      </c>
      <c r="X17" s="17" t="s">
        <v>3403</v>
      </c>
      <c r="Y17" s="17" t="s">
        <v>56</v>
      </c>
      <c r="Z17" s="17" t="s">
        <v>3616</v>
      </c>
      <c r="AA17" s="17" t="s">
        <v>2801</v>
      </c>
      <c r="AB17" s="17">
        <v>2.1629</v>
      </c>
      <c r="AC17" s="17" t="s">
        <v>3616</v>
      </c>
      <c r="AD17" s="17" t="s">
        <v>2804</v>
      </c>
      <c r="AE17" s="17">
        <v>319397</v>
      </c>
      <c r="AF17" s="17" t="s">
        <v>2839</v>
      </c>
      <c r="AG17" s="17" t="s">
        <v>3617</v>
      </c>
      <c r="AH17" s="17" t="s">
        <v>2806</v>
      </c>
      <c r="AI17" s="17"/>
      <c r="AJ17" s="17" t="s">
        <v>56</v>
      </c>
      <c r="AK17" s="17" t="s">
        <v>56</v>
      </c>
      <c r="AL17" s="17" t="s">
        <v>56</v>
      </c>
      <c r="AM17" s="17" t="s">
        <v>56</v>
      </c>
      <c r="AN17" s="17" t="s">
        <v>56</v>
      </c>
      <c r="AO17" s="17" t="s">
        <v>56</v>
      </c>
      <c r="AP17" s="17" t="s">
        <v>56</v>
      </c>
      <c r="AQ17" s="17" t="s">
        <v>56</v>
      </c>
      <c r="AR17" s="17" t="s">
        <v>56</v>
      </c>
      <c r="AS17" s="17">
        <v>677.19899999999996</v>
      </c>
      <c r="AT17" s="17">
        <v>82.007599999999996</v>
      </c>
      <c r="AU17" s="17">
        <v>435.83600000000001</v>
      </c>
      <c r="AV17" s="17" t="s">
        <v>56</v>
      </c>
      <c r="AW17" s="17" t="s">
        <v>56</v>
      </c>
      <c r="AX17" s="17" t="s">
        <v>56</v>
      </c>
      <c r="AY17" s="17">
        <v>561.97</v>
      </c>
      <c r="AZ17" s="17">
        <v>68.053600000000003</v>
      </c>
      <c r="BA17" s="17">
        <v>361.67599999999999</v>
      </c>
      <c r="BB17" s="17" t="s">
        <v>56</v>
      </c>
      <c r="BC17" s="17" t="s">
        <v>56</v>
      </c>
      <c r="BD17" s="17" t="s">
        <v>56</v>
      </c>
      <c r="BE17" s="17" t="s">
        <v>56</v>
      </c>
      <c r="BF17" s="17" t="s">
        <v>56</v>
      </c>
      <c r="BG17" s="17" t="s">
        <v>56</v>
      </c>
      <c r="BH17" s="17" t="s">
        <v>56</v>
      </c>
      <c r="BI17" s="17" t="s">
        <v>56</v>
      </c>
      <c r="BJ17" s="17" t="s">
        <v>56</v>
      </c>
      <c r="BK17" s="17" t="s">
        <v>56</v>
      </c>
      <c r="BL17" s="17" t="s">
        <v>56</v>
      </c>
      <c r="BM17" s="17" t="s">
        <v>56</v>
      </c>
      <c r="BN17" s="17" t="s">
        <v>56</v>
      </c>
      <c r="BO17" s="17" t="s">
        <v>56</v>
      </c>
      <c r="BP17" s="17" t="s">
        <v>56</v>
      </c>
      <c r="BQ17" s="17" t="s">
        <v>56</v>
      </c>
      <c r="BR17" s="17" t="s">
        <v>56</v>
      </c>
      <c r="BS17" s="17" t="s">
        <v>56</v>
      </c>
      <c r="BT17" s="17" t="s">
        <v>56</v>
      </c>
      <c r="BU17" s="17" t="s">
        <v>56</v>
      </c>
      <c r="BV17" s="17" t="s">
        <v>56</v>
      </c>
      <c r="BW17" s="17" t="s">
        <v>56</v>
      </c>
      <c r="BX17" s="17" t="s">
        <v>2818</v>
      </c>
      <c r="BY17" s="17" t="s">
        <v>1111</v>
      </c>
      <c r="BZ17" s="17" t="s">
        <v>56</v>
      </c>
      <c r="CA17" s="17" t="s">
        <v>56</v>
      </c>
      <c r="CB17" s="17" t="s">
        <v>1325</v>
      </c>
      <c r="CC17" s="17" t="s">
        <v>1325</v>
      </c>
      <c r="CD17" s="17" t="s">
        <v>1325</v>
      </c>
      <c r="CE17" s="17" t="s">
        <v>1325</v>
      </c>
      <c r="CF17" s="17" t="s">
        <v>1325</v>
      </c>
      <c r="CG17" s="17" t="s">
        <v>1325</v>
      </c>
      <c r="CH17" s="17" t="s">
        <v>1325</v>
      </c>
      <c r="CI17" s="17" t="s">
        <v>1325</v>
      </c>
      <c r="CJ17" s="17" t="s">
        <v>1325</v>
      </c>
      <c r="CK17" s="17" t="s">
        <v>1325</v>
      </c>
      <c r="CL17" s="17" t="s">
        <v>1325</v>
      </c>
      <c r="CM17" s="17" t="s">
        <v>1325</v>
      </c>
      <c r="CN17" s="17" t="s">
        <v>1325</v>
      </c>
      <c r="CO17" s="17" t="s">
        <v>1325</v>
      </c>
      <c r="CP17" s="17" t="s">
        <v>1325</v>
      </c>
      <c r="CQ17" s="17" t="s">
        <v>1325</v>
      </c>
      <c r="CR17" s="17" t="s">
        <v>1325</v>
      </c>
      <c r="CS17" s="17" t="s">
        <v>1325</v>
      </c>
      <c r="CT17" s="17" t="s">
        <v>1325</v>
      </c>
      <c r="CU17" s="17" t="s">
        <v>1325</v>
      </c>
      <c r="CV17" s="17" t="s">
        <v>1325</v>
      </c>
      <c r="CW17" s="17" t="s">
        <v>56</v>
      </c>
      <c r="CX17" s="17" t="s">
        <v>56</v>
      </c>
      <c r="CY17" s="17" t="s">
        <v>56</v>
      </c>
      <c r="CZ17" s="17">
        <v>319397</v>
      </c>
      <c r="DA17" s="17">
        <v>319397</v>
      </c>
      <c r="DB17" s="17">
        <v>319397</v>
      </c>
      <c r="DC17" s="17"/>
      <c r="DD17" s="17"/>
      <c r="DE17" s="17"/>
      <c r="DF17" s="17" t="s">
        <v>3415</v>
      </c>
      <c r="DG17" s="17" t="s">
        <v>3437</v>
      </c>
      <c r="DH17" s="17" t="s">
        <v>3237</v>
      </c>
      <c r="DI17" s="17" t="s">
        <v>3438</v>
      </c>
      <c r="DJ17" s="17" t="s">
        <v>3405</v>
      </c>
      <c r="DK17" s="17" t="s">
        <v>3320</v>
      </c>
      <c r="DL17" s="17" t="s">
        <v>3418</v>
      </c>
      <c r="DM17" s="17">
        <v>8.0619999999999997E-3</v>
      </c>
      <c r="DN17" s="17">
        <v>2575</v>
      </c>
      <c r="DO17" s="17">
        <v>0.42855806055416801</v>
      </c>
      <c r="DP17" s="17" t="s">
        <v>3308</v>
      </c>
      <c r="DQ17" s="17" t="s">
        <v>2839</v>
      </c>
      <c r="DR17" s="17" t="s">
        <v>56</v>
      </c>
      <c r="DS17" s="17" t="s">
        <v>56</v>
      </c>
      <c r="DT17" s="17" t="s">
        <v>56</v>
      </c>
      <c r="DU17" s="17" t="s">
        <v>56</v>
      </c>
      <c r="DV17" s="17" t="s">
        <v>2862</v>
      </c>
      <c r="DW17" s="17" t="s">
        <v>3309</v>
      </c>
      <c r="DX17" s="17" t="s">
        <v>3310</v>
      </c>
      <c r="DY17" s="17">
        <v>9.7795896448127796E-3</v>
      </c>
      <c r="DZ17" s="17">
        <v>2.7520410355187201E-2</v>
      </c>
      <c r="EA17" s="17" t="s">
        <v>3311</v>
      </c>
      <c r="EB17" s="17">
        <v>4.0201671797007003E-3</v>
      </c>
      <c r="EC17" s="17">
        <v>7.1798328202993004E-3</v>
      </c>
      <c r="ED17" s="17" t="s">
        <v>56</v>
      </c>
      <c r="EE17" s="17" t="s">
        <v>56</v>
      </c>
      <c r="EF17" s="17" t="s">
        <v>56</v>
      </c>
      <c r="EG17" s="17" t="s">
        <v>2862</v>
      </c>
      <c r="EH17" s="17" t="s">
        <v>3309</v>
      </c>
      <c r="EI17" s="17" t="s">
        <v>3312</v>
      </c>
      <c r="EJ17" s="17">
        <v>1.08477E-2</v>
      </c>
      <c r="EK17" s="17">
        <v>5.8252699999999998E-2</v>
      </c>
      <c r="EL17" s="17" t="s">
        <v>3311</v>
      </c>
      <c r="EM17" s="17">
        <v>4.8999999999999998E-3</v>
      </c>
      <c r="EN17" s="17">
        <v>1.01E-2</v>
      </c>
      <c r="EO17" s="17" t="s">
        <v>3312</v>
      </c>
      <c r="EP17" s="17">
        <v>4.3641500000000004</v>
      </c>
      <c r="EQ17" s="17">
        <v>23.435700000000001</v>
      </c>
      <c r="ER17" s="17" t="s">
        <v>3313</v>
      </c>
      <c r="ES17" s="17">
        <v>0.59340000000000004</v>
      </c>
      <c r="ET17" s="17">
        <v>1.2263999999999999</v>
      </c>
      <c r="EU17" s="17" t="s">
        <v>2862</v>
      </c>
      <c r="EV17" s="17" t="s">
        <v>3309</v>
      </c>
      <c r="EW17" s="17" t="s">
        <v>3312</v>
      </c>
      <c r="EX17" s="17">
        <v>4.3641500000000004</v>
      </c>
      <c r="EY17" s="17">
        <v>23.435700000000001</v>
      </c>
      <c r="EZ17" s="17" t="s">
        <v>3311</v>
      </c>
      <c r="FA17" s="17">
        <v>0.59340000000000004</v>
      </c>
      <c r="FB17" s="17">
        <v>1.2263999999999999</v>
      </c>
      <c r="FC17" s="17" t="s">
        <v>56</v>
      </c>
      <c r="FD17" s="17" t="s">
        <v>56</v>
      </c>
      <c r="FE17" s="17" t="s">
        <v>56</v>
      </c>
      <c r="FF17" s="17" t="s">
        <v>56</v>
      </c>
      <c r="FG17" s="17" t="s">
        <v>56</v>
      </c>
      <c r="FH17" s="17" t="s">
        <v>56</v>
      </c>
      <c r="FI17" s="17" t="s">
        <v>56</v>
      </c>
      <c r="FJ17" s="17" t="s">
        <v>56</v>
      </c>
      <c r="FK17" s="17" t="s">
        <v>56</v>
      </c>
      <c r="FL17" s="17" t="s">
        <v>56</v>
      </c>
      <c r="FM17" s="17" t="s">
        <v>56</v>
      </c>
      <c r="FN17" s="17" t="s">
        <v>56</v>
      </c>
      <c r="FO17" s="17" t="s">
        <v>56</v>
      </c>
      <c r="FP17" s="17" t="s">
        <v>56</v>
      </c>
      <c r="FQ17" s="17" t="s">
        <v>56</v>
      </c>
      <c r="FR17" s="17" t="s">
        <v>56</v>
      </c>
      <c r="FS17" s="17" t="s">
        <v>56</v>
      </c>
      <c r="FT17" s="17" t="s">
        <v>56</v>
      </c>
      <c r="FU17" s="17">
        <v>194.51033261203099</v>
      </c>
      <c r="FV17" s="17">
        <v>1044.5300463998201</v>
      </c>
      <c r="FW17" s="17" t="s">
        <v>56</v>
      </c>
      <c r="FX17" s="17" t="s">
        <v>56</v>
      </c>
      <c r="FY17" s="17" t="s">
        <v>56</v>
      </c>
      <c r="FZ17" s="17" t="s">
        <v>56</v>
      </c>
      <c r="GA17" s="17" t="s">
        <v>56</v>
      </c>
      <c r="GB17" s="17" t="s">
        <v>56</v>
      </c>
      <c r="GC17" s="17" t="s">
        <v>56</v>
      </c>
      <c r="GD17" s="17" t="s">
        <v>2969</v>
      </c>
      <c r="GE17" s="17" t="s">
        <v>2969</v>
      </c>
      <c r="GF17" s="17" t="s">
        <v>56</v>
      </c>
      <c r="GG17" s="17" t="s">
        <v>2818</v>
      </c>
      <c r="GH17" s="17" t="s">
        <v>2818</v>
      </c>
      <c r="GI17" s="17" t="s">
        <v>1111</v>
      </c>
      <c r="GJ17" s="17" t="s">
        <v>1111</v>
      </c>
      <c r="GK17" s="17" t="s">
        <v>1111</v>
      </c>
      <c r="GL17" s="17"/>
    </row>
    <row r="18" spans="2:194" x14ac:dyDescent="0.25">
      <c r="B18" s="17" t="s">
        <v>2840</v>
      </c>
      <c r="C18" s="17" t="s">
        <v>70</v>
      </c>
      <c r="D18" s="17" t="s">
        <v>3411</v>
      </c>
      <c r="E18" s="17" t="s">
        <v>3412</v>
      </c>
      <c r="F18" s="17" t="s">
        <v>3237</v>
      </c>
      <c r="G18" s="17" t="s">
        <v>3413</v>
      </c>
      <c r="H18" s="17"/>
      <c r="I18" s="17" t="s">
        <v>2797</v>
      </c>
      <c r="J18" s="17" t="s">
        <v>3403</v>
      </c>
      <c r="K18" s="17" t="s">
        <v>2653</v>
      </c>
      <c r="L18" s="17" t="s">
        <v>2800</v>
      </c>
      <c r="M18" s="17" t="s">
        <v>3414</v>
      </c>
      <c r="N18" s="17" t="s">
        <v>1325</v>
      </c>
      <c r="O18" s="17" t="s">
        <v>2813</v>
      </c>
      <c r="P18" s="17" t="s">
        <v>2814</v>
      </c>
      <c r="Q18" s="17" t="s">
        <v>3616</v>
      </c>
      <c r="R18" s="17">
        <v>17897433.710000001</v>
      </c>
      <c r="S18" s="17">
        <v>4974456.4000000004</v>
      </c>
      <c r="T18" s="17">
        <v>18587154.18</v>
      </c>
      <c r="U18" s="17" t="s">
        <v>2817</v>
      </c>
      <c r="V18" s="17" t="s">
        <v>939</v>
      </c>
      <c r="W18" s="17" t="s">
        <v>2816</v>
      </c>
      <c r="X18" s="17" t="s">
        <v>3403</v>
      </c>
      <c r="Y18" s="17" t="s">
        <v>56</v>
      </c>
      <c r="Z18" s="17" t="s">
        <v>3616</v>
      </c>
      <c r="AA18" s="17" t="s">
        <v>2801</v>
      </c>
      <c r="AB18" s="17">
        <v>2.1629</v>
      </c>
      <c r="AC18" s="17" t="s">
        <v>3616</v>
      </c>
      <c r="AD18" s="17" t="s">
        <v>2804</v>
      </c>
      <c r="AE18" s="17">
        <v>319397</v>
      </c>
      <c r="AF18" s="17" t="s">
        <v>2839</v>
      </c>
      <c r="AG18" s="17" t="s">
        <v>3617</v>
      </c>
      <c r="AH18" s="17" t="s">
        <v>2806</v>
      </c>
      <c r="AI18" s="17"/>
      <c r="AJ18" s="17" t="s">
        <v>56</v>
      </c>
      <c r="AK18" s="17" t="s">
        <v>56</v>
      </c>
      <c r="AL18" s="17" t="s">
        <v>56</v>
      </c>
      <c r="AM18" s="17" t="s">
        <v>56</v>
      </c>
      <c r="AN18" s="17" t="s">
        <v>56</v>
      </c>
      <c r="AO18" s="17" t="s">
        <v>56</v>
      </c>
      <c r="AP18" s="17" t="s">
        <v>56</v>
      </c>
      <c r="AQ18" s="17" t="s">
        <v>56</v>
      </c>
      <c r="AR18" s="17" t="s">
        <v>56</v>
      </c>
      <c r="AS18" s="17">
        <v>677.19899999999996</v>
      </c>
      <c r="AT18" s="17">
        <v>82.007599999999996</v>
      </c>
      <c r="AU18" s="17">
        <v>435.83600000000001</v>
      </c>
      <c r="AV18" s="17" t="s">
        <v>56</v>
      </c>
      <c r="AW18" s="17" t="s">
        <v>56</v>
      </c>
      <c r="AX18" s="17" t="s">
        <v>56</v>
      </c>
      <c r="AY18" s="17">
        <v>561.97</v>
      </c>
      <c r="AZ18" s="17">
        <v>68.053600000000003</v>
      </c>
      <c r="BA18" s="17">
        <v>361.67599999999999</v>
      </c>
      <c r="BB18" s="17" t="s">
        <v>56</v>
      </c>
      <c r="BC18" s="17" t="s">
        <v>56</v>
      </c>
      <c r="BD18" s="17" t="s">
        <v>56</v>
      </c>
      <c r="BE18" s="17" t="s">
        <v>56</v>
      </c>
      <c r="BF18" s="17" t="s">
        <v>56</v>
      </c>
      <c r="BG18" s="17" t="s">
        <v>56</v>
      </c>
      <c r="BH18" s="17" t="s">
        <v>56</v>
      </c>
      <c r="BI18" s="17" t="s">
        <v>56</v>
      </c>
      <c r="BJ18" s="17" t="s">
        <v>56</v>
      </c>
      <c r="BK18" s="17" t="s">
        <v>56</v>
      </c>
      <c r="BL18" s="17" t="s">
        <v>56</v>
      </c>
      <c r="BM18" s="17" t="s">
        <v>56</v>
      </c>
      <c r="BN18" s="17" t="s">
        <v>56</v>
      </c>
      <c r="BO18" s="17" t="s">
        <v>56</v>
      </c>
      <c r="BP18" s="17" t="s">
        <v>56</v>
      </c>
      <c r="BQ18" s="17" t="s">
        <v>56</v>
      </c>
      <c r="BR18" s="17" t="s">
        <v>56</v>
      </c>
      <c r="BS18" s="17" t="s">
        <v>56</v>
      </c>
      <c r="BT18" s="17" t="s">
        <v>56</v>
      </c>
      <c r="BU18" s="17" t="s">
        <v>56</v>
      </c>
      <c r="BV18" s="17" t="s">
        <v>56</v>
      </c>
      <c r="BW18" s="17" t="s">
        <v>56</v>
      </c>
      <c r="BX18" s="17" t="s">
        <v>2818</v>
      </c>
      <c r="BY18" s="17" t="s">
        <v>1111</v>
      </c>
      <c r="BZ18" s="17" t="s">
        <v>56</v>
      </c>
      <c r="CA18" s="17" t="s">
        <v>56</v>
      </c>
      <c r="CB18" s="17" t="s">
        <v>1325</v>
      </c>
      <c r="CC18" s="17" t="s">
        <v>1325</v>
      </c>
      <c r="CD18" s="17" t="s">
        <v>1325</v>
      </c>
      <c r="CE18" s="17" t="s">
        <v>1325</v>
      </c>
      <c r="CF18" s="17" t="s">
        <v>1325</v>
      </c>
      <c r="CG18" s="17" t="s">
        <v>1325</v>
      </c>
      <c r="CH18" s="17" t="s">
        <v>1325</v>
      </c>
      <c r="CI18" s="17" t="s">
        <v>1325</v>
      </c>
      <c r="CJ18" s="17" t="s">
        <v>1325</v>
      </c>
      <c r="CK18" s="17" t="s">
        <v>1325</v>
      </c>
      <c r="CL18" s="17" t="s">
        <v>1325</v>
      </c>
      <c r="CM18" s="17" t="s">
        <v>1325</v>
      </c>
      <c r="CN18" s="17" t="s">
        <v>1325</v>
      </c>
      <c r="CO18" s="17" t="s">
        <v>1325</v>
      </c>
      <c r="CP18" s="17" t="s">
        <v>1325</v>
      </c>
      <c r="CQ18" s="17" t="s">
        <v>1325</v>
      </c>
      <c r="CR18" s="17" t="s">
        <v>1325</v>
      </c>
      <c r="CS18" s="17" t="s">
        <v>1325</v>
      </c>
      <c r="CT18" s="17" t="s">
        <v>1325</v>
      </c>
      <c r="CU18" s="17" t="s">
        <v>1325</v>
      </c>
      <c r="CV18" s="17" t="s">
        <v>1325</v>
      </c>
      <c r="CW18" s="17" t="s">
        <v>56</v>
      </c>
      <c r="CX18" s="17" t="s">
        <v>56</v>
      </c>
      <c r="CY18" s="17" t="s">
        <v>56</v>
      </c>
      <c r="CZ18" s="17">
        <v>319397</v>
      </c>
      <c r="DA18" s="17">
        <v>319397</v>
      </c>
      <c r="DB18" s="17">
        <v>319397</v>
      </c>
      <c r="DC18" s="17"/>
      <c r="DD18" s="17"/>
      <c r="DE18" s="17"/>
      <c r="DF18" s="17" t="s">
        <v>3415</v>
      </c>
      <c r="DG18" s="17" t="s">
        <v>3439</v>
      </c>
      <c r="DH18" s="17" t="s">
        <v>3237</v>
      </c>
      <c r="DI18" s="17" t="s">
        <v>3440</v>
      </c>
      <c r="DJ18" s="17" t="s">
        <v>3405</v>
      </c>
      <c r="DK18" s="17" t="s">
        <v>3320</v>
      </c>
      <c r="DL18" s="17" t="s">
        <v>3418</v>
      </c>
      <c r="DM18" s="17">
        <v>7.4139999999999996E-3</v>
      </c>
      <c r="DN18" s="17">
        <v>2368</v>
      </c>
      <c r="DO18" s="17">
        <v>0.42855783172457401</v>
      </c>
      <c r="DP18" s="17" t="s">
        <v>3308</v>
      </c>
      <c r="DQ18" s="17" t="s">
        <v>2839</v>
      </c>
      <c r="DR18" s="17" t="s">
        <v>56</v>
      </c>
      <c r="DS18" s="17" t="s">
        <v>56</v>
      </c>
      <c r="DT18" s="17" t="s">
        <v>56</v>
      </c>
      <c r="DU18" s="17" t="s">
        <v>56</v>
      </c>
      <c r="DV18" s="17" t="s">
        <v>2862</v>
      </c>
      <c r="DW18" s="17" t="s">
        <v>3309</v>
      </c>
      <c r="DX18" s="17" t="s">
        <v>3310</v>
      </c>
      <c r="DY18" s="17">
        <v>9.7795896448127796E-3</v>
      </c>
      <c r="DZ18" s="17">
        <v>2.7520410355187201E-2</v>
      </c>
      <c r="EA18" s="17" t="s">
        <v>3311</v>
      </c>
      <c r="EB18" s="17">
        <v>4.0201671797007003E-3</v>
      </c>
      <c r="EC18" s="17">
        <v>7.1798328202993004E-3</v>
      </c>
      <c r="ED18" s="17" t="s">
        <v>56</v>
      </c>
      <c r="EE18" s="17" t="s">
        <v>56</v>
      </c>
      <c r="EF18" s="17" t="s">
        <v>56</v>
      </c>
      <c r="EG18" s="17" t="s">
        <v>2862</v>
      </c>
      <c r="EH18" s="17" t="s">
        <v>3309</v>
      </c>
      <c r="EI18" s="17" t="s">
        <v>3312</v>
      </c>
      <c r="EJ18" s="17">
        <v>1.08477E-2</v>
      </c>
      <c r="EK18" s="17">
        <v>5.8252699999999998E-2</v>
      </c>
      <c r="EL18" s="17" t="s">
        <v>3311</v>
      </c>
      <c r="EM18" s="17">
        <v>4.8999999999999998E-3</v>
      </c>
      <c r="EN18" s="17">
        <v>1.01E-2</v>
      </c>
      <c r="EO18" s="17" t="s">
        <v>3312</v>
      </c>
      <c r="EP18" s="17">
        <v>4.3641500000000004</v>
      </c>
      <c r="EQ18" s="17">
        <v>23.435700000000001</v>
      </c>
      <c r="ER18" s="17" t="s">
        <v>3313</v>
      </c>
      <c r="ES18" s="17">
        <v>0.59340000000000004</v>
      </c>
      <c r="ET18" s="17">
        <v>1.2263999999999999</v>
      </c>
      <c r="EU18" s="17" t="s">
        <v>2862</v>
      </c>
      <c r="EV18" s="17" t="s">
        <v>3309</v>
      </c>
      <c r="EW18" s="17" t="s">
        <v>3312</v>
      </c>
      <c r="EX18" s="17">
        <v>4.3641500000000004</v>
      </c>
      <c r="EY18" s="17">
        <v>23.435700000000001</v>
      </c>
      <c r="EZ18" s="17" t="s">
        <v>3311</v>
      </c>
      <c r="FA18" s="17">
        <v>0.59340000000000004</v>
      </c>
      <c r="FB18" s="17">
        <v>1.2263999999999999</v>
      </c>
      <c r="FC18" s="17" t="s">
        <v>56</v>
      </c>
      <c r="FD18" s="17" t="s">
        <v>56</v>
      </c>
      <c r="FE18" s="17" t="s">
        <v>56</v>
      </c>
      <c r="FF18" s="17" t="s">
        <v>56</v>
      </c>
      <c r="FG18" s="17" t="s">
        <v>56</v>
      </c>
      <c r="FH18" s="17" t="s">
        <v>56</v>
      </c>
      <c r="FI18" s="17" t="s">
        <v>56</v>
      </c>
      <c r="FJ18" s="17" t="s">
        <v>56</v>
      </c>
      <c r="FK18" s="17" t="s">
        <v>56</v>
      </c>
      <c r="FL18" s="17" t="s">
        <v>56</v>
      </c>
      <c r="FM18" s="17" t="s">
        <v>56</v>
      </c>
      <c r="FN18" s="17" t="s">
        <v>56</v>
      </c>
      <c r="FO18" s="17" t="s">
        <v>56</v>
      </c>
      <c r="FP18" s="17" t="s">
        <v>56</v>
      </c>
      <c r="FQ18" s="17" t="s">
        <v>56</v>
      </c>
      <c r="FR18" s="17" t="s">
        <v>56</v>
      </c>
      <c r="FS18" s="17" t="s">
        <v>56</v>
      </c>
      <c r="FT18" s="17" t="s">
        <v>56</v>
      </c>
      <c r="FU18" s="17">
        <v>194.510228766209</v>
      </c>
      <c r="FV18" s="17">
        <v>1044.5294887426501</v>
      </c>
      <c r="FW18" s="17" t="s">
        <v>56</v>
      </c>
      <c r="FX18" s="17" t="s">
        <v>56</v>
      </c>
      <c r="FY18" s="17" t="s">
        <v>56</v>
      </c>
      <c r="FZ18" s="17" t="s">
        <v>56</v>
      </c>
      <c r="GA18" s="17" t="s">
        <v>56</v>
      </c>
      <c r="GB18" s="17" t="s">
        <v>56</v>
      </c>
      <c r="GC18" s="17" t="s">
        <v>56</v>
      </c>
      <c r="GD18" s="17" t="s">
        <v>2969</v>
      </c>
      <c r="GE18" s="17" t="s">
        <v>2969</v>
      </c>
      <c r="GF18" s="17" t="s">
        <v>56</v>
      </c>
      <c r="GG18" s="17" t="s">
        <v>2818</v>
      </c>
      <c r="GH18" s="17" t="s">
        <v>2818</v>
      </c>
      <c r="GI18" s="17" t="s">
        <v>1111</v>
      </c>
      <c r="GJ18" s="17" t="s">
        <v>1111</v>
      </c>
      <c r="GK18" s="17" t="s">
        <v>1111</v>
      </c>
      <c r="GL18" s="17"/>
    </row>
    <row r="19" spans="2:194" x14ac:dyDescent="0.25">
      <c r="B19" s="17" t="s">
        <v>2840</v>
      </c>
      <c r="C19" s="17" t="s">
        <v>70</v>
      </c>
      <c r="D19" s="17" t="s">
        <v>3411</v>
      </c>
      <c r="E19" s="17" t="s">
        <v>3412</v>
      </c>
      <c r="F19" s="17" t="s">
        <v>3237</v>
      </c>
      <c r="G19" s="17" t="s">
        <v>3413</v>
      </c>
      <c r="H19" s="17"/>
      <c r="I19" s="17" t="s">
        <v>2797</v>
      </c>
      <c r="J19" s="17" t="s">
        <v>3403</v>
      </c>
      <c r="K19" s="17" t="s">
        <v>2653</v>
      </c>
      <c r="L19" s="17" t="s">
        <v>2800</v>
      </c>
      <c r="M19" s="17" t="s">
        <v>3414</v>
      </c>
      <c r="N19" s="17" t="s">
        <v>1325</v>
      </c>
      <c r="O19" s="17" t="s">
        <v>2813</v>
      </c>
      <c r="P19" s="17" t="s">
        <v>2814</v>
      </c>
      <c r="Q19" s="17" t="s">
        <v>3616</v>
      </c>
      <c r="R19" s="17">
        <v>17897433.710000001</v>
      </c>
      <c r="S19" s="17">
        <v>4974456.4000000004</v>
      </c>
      <c r="T19" s="17">
        <v>18587154.18</v>
      </c>
      <c r="U19" s="17" t="s">
        <v>2817</v>
      </c>
      <c r="V19" s="17" t="s">
        <v>939</v>
      </c>
      <c r="W19" s="17" t="s">
        <v>2816</v>
      </c>
      <c r="X19" s="17" t="s">
        <v>3403</v>
      </c>
      <c r="Y19" s="17" t="s">
        <v>56</v>
      </c>
      <c r="Z19" s="17" t="s">
        <v>3616</v>
      </c>
      <c r="AA19" s="17" t="s">
        <v>2801</v>
      </c>
      <c r="AB19" s="17">
        <v>2.1629</v>
      </c>
      <c r="AC19" s="17" t="s">
        <v>3616</v>
      </c>
      <c r="AD19" s="17" t="s">
        <v>2804</v>
      </c>
      <c r="AE19" s="17">
        <v>319397</v>
      </c>
      <c r="AF19" s="17" t="s">
        <v>2839</v>
      </c>
      <c r="AG19" s="17" t="s">
        <v>3617</v>
      </c>
      <c r="AH19" s="17" t="s">
        <v>2806</v>
      </c>
      <c r="AI19" s="17"/>
      <c r="AJ19" s="17" t="s">
        <v>56</v>
      </c>
      <c r="AK19" s="17" t="s">
        <v>56</v>
      </c>
      <c r="AL19" s="17" t="s">
        <v>56</v>
      </c>
      <c r="AM19" s="17" t="s">
        <v>56</v>
      </c>
      <c r="AN19" s="17" t="s">
        <v>56</v>
      </c>
      <c r="AO19" s="17" t="s">
        <v>56</v>
      </c>
      <c r="AP19" s="17" t="s">
        <v>56</v>
      </c>
      <c r="AQ19" s="17" t="s">
        <v>56</v>
      </c>
      <c r="AR19" s="17" t="s">
        <v>56</v>
      </c>
      <c r="AS19" s="17">
        <v>677.19899999999996</v>
      </c>
      <c r="AT19" s="17">
        <v>82.007599999999996</v>
      </c>
      <c r="AU19" s="17">
        <v>435.83600000000001</v>
      </c>
      <c r="AV19" s="17" t="s">
        <v>56</v>
      </c>
      <c r="AW19" s="17" t="s">
        <v>56</v>
      </c>
      <c r="AX19" s="17" t="s">
        <v>56</v>
      </c>
      <c r="AY19" s="17">
        <v>561.97</v>
      </c>
      <c r="AZ19" s="17">
        <v>68.053600000000003</v>
      </c>
      <c r="BA19" s="17">
        <v>361.67599999999999</v>
      </c>
      <c r="BB19" s="17" t="s">
        <v>56</v>
      </c>
      <c r="BC19" s="17" t="s">
        <v>56</v>
      </c>
      <c r="BD19" s="17" t="s">
        <v>56</v>
      </c>
      <c r="BE19" s="17" t="s">
        <v>56</v>
      </c>
      <c r="BF19" s="17" t="s">
        <v>56</v>
      </c>
      <c r="BG19" s="17" t="s">
        <v>56</v>
      </c>
      <c r="BH19" s="17" t="s">
        <v>56</v>
      </c>
      <c r="BI19" s="17" t="s">
        <v>56</v>
      </c>
      <c r="BJ19" s="17" t="s">
        <v>56</v>
      </c>
      <c r="BK19" s="17" t="s">
        <v>56</v>
      </c>
      <c r="BL19" s="17" t="s">
        <v>56</v>
      </c>
      <c r="BM19" s="17" t="s">
        <v>56</v>
      </c>
      <c r="BN19" s="17" t="s">
        <v>56</v>
      </c>
      <c r="BO19" s="17" t="s">
        <v>56</v>
      </c>
      <c r="BP19" s="17" t="s">
        <v>56</v>
      </c>
      <c r="BQ19" s="17" t="s">
        <v>56</v>
      </c>
      <c r="BR19" s="17" t="s">
        <v>56</v>
      </c>
      <c r="BS19" s="17" t="s">
        <v>56</v>
      </c>
      <c r="BT19" s="17" t="s">
        <v>56</v>
      </c>
      <c r="BU19" s="17" t="s">
        <v>56</v>
      </c>
      <c r="BV19" s="17" t="s">
        <v>56</v>
      </c>
      <c r="BW19" s="17" t="s">
        <v>56</v>
      </c>
      <c r="BX19" s="17" t="s">
        <v>2818</v>
      </c>
      <c r="BY19" s="17" t="s">
        <v>1111</v>
      </c>
      <c r="BZ19" s="17" t="s">
        <v>56</v>
      </c>
      <c r="CA19" s="17" t="s">
        <v>56</v>
      </c>
      <c r="CB19" s="17" t="s">
        <v>1325</v>
      </c>
      <c r="CC19" s="17" t="s">
        <v>1325</v>
      </c>
      <c r="CD19" s="17" t="s">
        <v>1325</v>
      </c>
      <c r="CE19" s="17" t="s">
        <v>1325</v>
      </c>
      <c r="CF19" s="17" t="s">
        <v>1325</v>
      </c>
      <c r="CG19" s="17" t="s">
        <v>1325</v>
      </c>
      <c r="CH19" s="17" t="s">
        <v>1325</v>
      </c>
      <c r="CI19" s="17" t="s">
        <v>1325</v>
      </c>
      <c r="CJ19" s="17" t="s">
        <v>1325</v>
      </c>
      <c r="CK19" s="17" t="s">
        <v>1325</v>
      </c>
      <c r="CL19" s="17" t="s">
        <v>1325</v>
      </c>
      <c r="CM19" s="17" t="s">
        <v>1325</v>
      </c>
      <c r="CN19" s="17" t="s">
        <v>1325</v>
      </c>
      <c r="CO19" s="17" t="s">
        <v>1325</v>
      </c>
      <c r="CP19" s="17" t="s">
        <v>1325</v>
      </c>
      <c r="CQ19" s="17" t="s">
        <v>1325</v>
      </c>
      <c r="CR19" s="17" t="s">
        <v>1325</v>
      </c>
      <c r="CS19" s="17" t="s">
        <v>1325</v>
      </c>
      <c r="CT19" s="17" t="s">
        <v>1325</v>
      </c>
      <c r="CU19" s="17" t="s">
        <v>1325</v>
      </c>
      <c r="CV19" s="17" t="s">
        <v>1325</v>
      </c>
      <c r="CW19" s="17" t="s">
        <v>56</v>
      </c>
      <c r="CX19" s="17" t="s">
        <v>56</v>
      </c>
      <c r="CY19" s="17" t="s">
        <v>56</v>
      </c>
      <c r="CZ19" s="17">
        <v>319397</v>
      </c>
      <c r="DA19" s="17">
        <v>319397</v>
      </c>
      <c r="DB19" s="17">
        <v>319397</v>
      </c>
      <c r="DC19" s="17"/>
      <c r="DD19" s="17"/>
      <c r="DE19" s="17"/>
      <c r="DF19" s="17" t="s">
        <v>3415</v>
      </c>
      <c r="DG19" s="17" t="s">
        <v>3441</v>
      </c>
      <c r="DH19" s="17" t="s">
        <v>3237</v>
      </c>
      <c r="DI19" s="17" t="s">
        <v>3430</v>
      </c>
      <c r="DJ19" s="17" t="s">
        <v>3405</v>
      </c>
      <c r="DK19" s="17" t="s">
        <v>3320</v>
      </c>
      <c r="DL19" s="17" t="s">
        <v>3418</v>
      </c>
      <c r="DM19" s="17">
        <v>0</v>
      </c>
      <c r="DN19" s="17">
        <v>0</v>
      </c>
      <c r="DO19" s="17">
        <v>0.35488555555555501</v>
      </c>
      <c r="DP19" s="17" t="s">
        <v>3308</v>
      </c>
      <c r="DQ19" s="17" t="s">
        <v>2839</v>
      </c>
      <c r="DR19" s="17" t="s">
        <v>56</v>
      </c>
      <c r="DS19" s="17" t="s">
        <v>56</v>
      </c>
      <c r="DT19" s="17" t="s">
        <v>56</v>
      </c>
      <c r="DU19" s="17" t="s">
        <v>56</v>
      </c>
      <c r="DV19" s="17" t="s">
        <v>2862</v>
      </c>
      <c r="DW19" s="17" t="s">
        <v>3309</v>
      </c>
      <c r="DX19" s="17" t="s">
        <v>3310</v>
      </c>
      <c r="DY19" s="17">
        <v>9.7795896448127796E-3</v>
      </c>
      <c r="DZ19" s="17">
        <v>2.7520410355187201E-2</v>
      </c>
      <c r="EA19" s="17" t="s">
        <v>3311</v>
      </c>
      <c r="EB19" s="17">
        <v>4.0201671797007003E-3</v>
      </c>
      <c r="EC19" s="17">
        <v>7.1798328202993004E-3</v>
      </c>
      <c r="ED19" s="17" t="s">
        <v>56</v>
      </c>
      <c r="EE19" s="17" t="s">
        <v>56</v>
      </c>
      <c r="EF19" s="17" t="s">
        <v>56</v>
      </c>
      <c r="EG19" s="17" t="s">
        <v>2862</v>
      </c>
      <c r="EH19" s="17" t="s">
        <v>3309</v>
      </c>
      <c r="EI19" s="17" t="s">
        <v>3312</v>
      </c>
      <c r="EJ19" s="17">
        <v>1.08477E-2</v>
      </c>
      <c r="EK19" s="17">
        <v>5.8252699999999998E-2</v>
      </c>
      <c r="EL19" s="17" t="s">
        <v>3311</v>
      </c>
      <c r="EM19" s="17">
        <v>4.8999999999999998E-3</v>
      </c>
      <c r="EN19" s="17">
        <v>1.01E-2</v>
      </c>
      <c r="EO19" s="17" t="s">
        <v>3312</v>
      </c>
      <c r="EP19" s="17">
        <v>4.3641500000000004</v>
      </c>
      <c r="EQ19" s="17">
        <v>23.435700000000001</v>
      </c>
      <c r="ER19" s="17" t="s">
        <v>3313</v>
      </c>
      <c r="ES19" s="17">
        <v>0.59340000000000004</v>
      </c>
      <c r="ET19" s="17">
        <v>1.2263999999999999</v>
      </c>
      <c r="EU19" s="17" t="s">
        <v>2862</v>
      </c>
      <c r="EV19" s="17" t="s">
        <v>3309</v>
      </c>
      <c r="EW19" s="17" t="s">
        <v>3312</v>
      </c>
      <c r="EX19" s="17">
        <v>4.3641500000000004</v>
      </c>
      <c r="EY19" s="17">
        <v>23.435700000000001</v>
      </c>
      <c r="EZ19" s="17" t="s">
        <v>3311</v>
      </c>
      <c r="FA19" s="17">
        <v>0.59340000000000004</v>
      </c>
      <c r="FB19" s="17">
        <v>1.2263999999999999</v>
      </c>
      <c r="FC19" s="17" t="s">
        <v>56</v>
      </c>
      <c r="FD19" s="17" t="s">
        <v>56</v>
      </c>
      <c r="FE19" s="17" t="s">
        <v>56</v>
      </c>
      <c r="FF19" s="17" t="s">
        <v>56</v>
      </c>
      <c r="FG19" s="17" t="s">
        <v>56</v>
      </c>
      <c r="FH19" s="17" t="s">
        <v>56</v>
      </c>
      <c r="FI19" s="17" t="s">
        <v>56</v>
      </c>
      <c r="FJ19" s="17" t="s">
        <v>56</v>
      </c>
      <c r="FK19" s="17" t="s">
        <v>56</v>
      </c>
      <c r="FL19" s="17" t="s">
        <v>56</v>
      </c>
      <c r="FM19" s="17" t="s">
        <v>56</v>
      </c>
      <c r="FN19" s="17" t="s">
        <v>56</v>
      </c>
      <c r="FO19" s="17" t="s">
        <v>56</v>
      </c>
      <c r="FP19" s="17" t="s">
        <v>56</v>
      </c>
      <c r="FQ19" s="17" t="s">
        <v>56</v>
      </c>
      <c r="FR19" s="17" t="s">
        <v>56</v>
      </c>
      <c r="FS19" s="17" t="s">
        <v>56</v>
      </c>
      <c r="FT19" s="17" t="s">
        <v>56</v>
      </c>
      <c r="FU19" s="17">
        <v>161.07247489167301</v>
      </c>
      <c r="FV19" s="17">
        <v>864.96710695525996</v>
      </c>
      <c r="FW19" s="17" t="s">
        <v>56</v>
      </c>
      <c r="FX19" s="17" t="s">
        <v>56</v>
      </c>
      <c r="FY19" s="17" t="s">
        <v>56</v>
      </c>
      <c r="FZ19" s="17" t="s">
        <v>56</v>
      </c>
      <c r="GA19" s="17" t="s">
        <v>56</v>
      </c>
      <c r="GB19" s="17" t="s">
        <v>56</v>
      </c>
      <c r="GC19" s="17" t="s">
        <v>56</v>
      </c>
      <c r="GD19" s="17" t="s">
        <v>2969</v>
      </c>
      <c r="GE19" s="17" t="s">
        <v>2969</v>
      </c>
      <c r="GF19" s="17" t="s">
        <v>56</v>
      </c>
      <c r="GG19" s="17" t="s">
        <v>2818</v>
      </c>
      <c r="GH19" s="17" t="s">
        <v>2818</v>
      </c>
      <c r="GI19" s="17" t="s">
        <v>1111</v>
      </c>
      <c r="GJ19" s="17" t="s">
        <v>1111</v>
      </c>
      <c r="GK19" s="17" t="s">
        <v>1111</v>
      </c>
      <c r="GL19" s="17"/>
    </row>
    <row r="20" spans="2:194" x14ac:dyDescent="0.25">
      <c r="B20" s="17" t="s">
        <v>2840</v>
      </c>
      <c r="C20" s="17" t="s">
        <v>70</v>
      </c>
      <c r="D20" s="17" t="s">
        <v>3411</v>
      </c>
      <c r="E20" s="17" t="s">
        <v>3412</v>
      </c>
      <c r="F20" s="17" t="s">
        <v>3237</v>
      </c>
      <c r="G20" s="17" t="s">
        <v>3413</v>
      </c>
      <c r="H20" s="17"/>
      <c r="I20" s="17" t="s">
        <v>2797</v>
      </c>
      <c r="J20" s="17" t="s">
        <v>3403</v>
      </c>
      <c r="K20" s="17" t="s">
        <v>2653</v>
      </c>
      <c r="L20" s="17" t="s">
        <v>2800</v>
      </c>
      <c r="M20" s="17" t="s">
        <v>3414</v>
      </c>
      <c r="N20" s="17" t="s">
        <v>1325</v>
      </c>
      <c r="O20" s="17" t="s">
        <v>2813</v>
      </c>
      <c r="P20" s="17" t="s">
        <v>2814</v>
      </c>
      <c r="Q20" s="17" t="s">
        <v>3616</v>
      </c>
      <c r="R20" s="17">
        <v>17897433.710000001</v>
      </c>
      <c r="S20" s="17">
        <v>4974456.4000000004</v>
      </c>
      <c r="T20" s="17">
        <v>18587154.18</v>
      </c>
      <c r="U20" s="17" t="s">
        <v>2817</v>
      </c>
      <c r="V20" s="17" t="s">
        <v>939</v>
      </c>
      <c r="W20" s="17" t="s">
        <v>2816</v>
      </c>
      <c r="X20" s="17" t="s">
        <v>3403</v>
      </c>
      <c r="Y20" s="17" t="s">
        <v>56</v>
      </c>
      <c r="Z20" s="17" t="s">
        <v>3616</v>
      </c>
      <c r="AA20" s="17" t="s">
        <v>2801</v>
      </c>
      <c r="AB20" s="17">
        <v>2.1629</v>
      </c>
      <c r="AC20" s="17" t="s">
        <v>3616</v>
      </c>
      <c r="AD20" s="17" t="s">
        <v>2804</v>
      </c>
      <c r="AE20" s="17">
        <v>319397</v>
      </c>
      <c r="AF20" s="17" t="s">
        <v>2839</v>
      </c>
      <c r="AG20" s="17" t="s">
        <v>3617</v>
      </c>
      <c r="AH20" s="17" t="s">
        <v>2806</v>
      </c>
      <c r="AI20" s="17"/>
      <c r="AJ20" s="17" t="s">
        <v>56</v>
      </c>
      <c r="AK20" s="17" t="s">
        <v>56</v>
      </c>
      <c r="AL20" s="17" t="s">
        <v>56</v>
      </c>
      <c r="AM20" s="17" t="s">
        <v>56</v>
      </c>
      <c r="AN20" s="17" t="s">
        <v>56</v>
      </c>
      <c r="AO20" s="17" t="s">
        <v>56</v>
      </c>
      <c r="AP20" s="17" t="s">
        <v>56</v>
      </c>
      <c r="AQ20" s="17" t="s">
        <v>56</v>
      </c>
      <c r="AR20" s="17" t="s">
        <v>56</v>
      </c>
      <c r="AS20" s="17">
        <v>677.19899999999996</v>
      </c>
      <c r="AT20" s="17">
        <v>82.007599999999996</v>
      </c>
      <c r="AU20" s="17">
        <v>435.83600000000001</v>
      </c>
      <c r="AV20" s="17" t="s">
        <v>56</v>
      </c>
      <c r="AW20" s="17" t="s">
        <v>56</v>
      </c>
      <c r="AX20" s="17" t="s">
        <v>56</v>
      </c>
      <c r="AY20" s="17">
        <v>561.97</v>
      </c>
      <c r="AZ20" s="17">
        <v>68.053600000000003</v>
      </c>
      <c r="BA20" s="17">
        <v>361.67599999999999</v>
      </c>
      <c r="BB20" s="17" t="s">
        <v>56</v>
      </c>
      <c r="BC20" s="17" t="s">
        <v>56</v>
      </c>
      <c r="BD20" s="17" t="s">
        <v>56</v>
      </c>
      <c r="BE20" s="17" t="s">
        <v>56</v>
      </c>
      <c r="BF20" s="17" t="s">
        <v>56</v>
      </c>
      <c r="BG20" s="17" t="s">
        <v>56</v>
      </c>
      <c r="BH20" s="17" t="s">
        <v>56</v>
      </c>
      <c r="BI20" s="17" t="s">
        <v>56</v>
      </c>
      <c r="BJ20" s="17" t="s">
        <v>56</v>
      </c>
      <c r="BK20" s="17" t="s">
        <v>56</v>
      </c>
      <c r="BL20" s="17" t="s">
        <v>56</v>
      </c>
      <c r="BM20" s="17" t="s">
        <v>56</v>
      </c>
      <c r="BN20" s="17" t="s">
        <v>56</v>
      </c>
      <c r="BO20" s="17" t="s">
        <v>56</v>
      </c>
      <c r="BP20" s="17" t="s">
        <v>56</v>
      </c>
      <c r="BQ20" s="17" t="s">
        <v>56</v>
      </c>
      <c r="BR20" s="17" t="s">
        <v>56</v>
      </c>
      <c r="BS20" s="17" t="s">
        <v>56</v>
      </c>
      <c r="BT20" s="17" t="s">
        <v>56</v>
      </c>
      <c r="BU20" s="17" t="s">
        <v>56</v>
      </c>
      <c r="BV20" s="17" t="s">
        <v>56</v>
      </c>
      <c r="BW20" s="17" t="s">
        <v>56</v>
      </c>
      <c r="BX20" s="17" t="s">
        <v>2818</v>
      </c>
      <c r="BY20" s="17" t="s">
        <v>1111</v>
      </c>
      <c r="BZ20" s="17" t="s">
        <v>56</v>
      </c>
      <c r="CA20" s="17" t="s">
        <v>56</v>
      </c>
      <c r="CB20" s="17" t="s">
        <v>1325</v>
      </c>
      <c r="CC20" s="17" t="s">
        <v>1325</v>
      </c>
      <c r="CD20" s="17" t="s">
        <v>1325</v>
      </c>
      <c r="CE20" s="17" t="s">
        <v>1325</v>
      </c>
      <c r="CF20" s="17" t="s">
        <v>1325</v>
      </c>
      <c r="CG20" s="17" t="s">
        <v>1325</v>
      </c>
      <c r="CH20" s="17" t="s">
        <v>1325</v>
      </c>
      <c r="CI20" s="17" t="s">
        <v>1325</v>
      </c>
      <c r="CJ20" s="17" t="s">
        <v>1325</v>
      </c>
      <c r="CK20" s="17" t="s">
        <v>1325</v>
      </c>
      <c r="CL20" s="17" t="s">
        <v>1325</v>
      </c>
      <c r="CM20" s="17" t="s">
        <v>1325</v>
      </c>
      <c r="CN20" s="17" t="s">
        <v>1325</v>
      </c>
      <c r="CO20" s="17" t="s">
        <v>1325</v>
      </c>
      <c r="CP20" s="17" t="s">
        <v>1325</v>
      </c>
      <c r="CQ20" s="17" t="s">
        <v>1325</v>
      </c>
      <c r="CR20" s="17" t="s">
        <v>1325</v>
      </c>
      <c r="CS20" s="17" t="s">
        <v>1325</v>
      </c>
      <c r="CT20" s="17" t="s">
        <v>1325</v>
      </c>
      <c r="CU20" s="17" t="s">
        <v>1325</v>
      </c>
      <c r="CV20" s="17" t="s">
        <v>1325</v>
      </c>
      <c r="CW20" s="17" t="s">
        <v>56</v>
      </c>
      <c r="CX20" s="17" t="s">
        <v>56</v>
      </c>
      <c r="CY20" s="17" t="s">
        <v>56</v>
      </c>
      <c r="CZ20" s="17">
        <v>319397</v>
      </c>
      <c r="DA20" s="17">
        <v>319397</v>
      </c>
      <c r="DB20" s="17">
        <v>319397</v>
      </c>
      <c r="DC20" s="17"/>
      <c r="DD20" s="17"/>
      <c r="DE20" s="17"/>
      <c r="DF20" s="17" t="s">
        <v>3415</v>
      </c>
      <c r="DG20" s="17" t="s">
        <v>3442</v>
      </c>
      <c r="DH20" s="17" t="s">
        <v>3237</v>
      </c>
      <c r="DI20" s="17" t="s">
        <v>3443</v>
      </c>
      <c r="DJ20" s="17" t="s">
        <v>3405</v>
      </c>
      <c r="DK20" s="17" t="s">
        <v>3320</v>
      </c>
      <c r="DL20" s="17" t="s">
        <v>3418</v>
      </c>
      <c r="DM20" s="17">
        <v>2.6359999999999999E-3</v>
      </c>
      <c r="DN20" s="17">
        <v>841.9</v>
      </c>
      <c r="DO20" s="17">
        <v>0.428556004218829</v>
      </c>
      <c r="DP20" s="17" t="s">
        <v>3308</v>
      </c>
      <c r="DQ20" s="17" t="s">
        <v>2839</v>
      </c>
      <c r="DR20" s="17" t="s">
        <v>56</v>
      </c>
      <c r="DS20" s="17" t="s">
        <v>56</v>
      </c>
      <c r="DT20" s="17" t="s">
        <v>56</v>
      </c>
      <c r="DU20" s="17" t="s">
        <v>56</v>
      </c>
      <c r="DV20" s="17" t="s">
        <v>2862</v>
      </c>
      <c r="DW20" s="17" t="s">
        <v>3309</v>
      </c>
      <c r="DX20" s="17" t="s">
        <v>3310</v>
      </c>
      <c r="DY20" s="17">
        <v>9.7795896448127796E-3</v>
      </c>
      <c r="DZ20" s="17">
        <v>2.7520410355187201E-2</v>
      </c>
      <c r="EA20" s="17" t="s">
        <v>3311</v>
      </c>
      <c r="EB20" s="17">
        <v>4.0201671797007003E-3</v>
      </c>
      <c r="EC20" s="17">
        <v>7.1798328202993004E-3</v>
      </c>
      <c r="ED20" s="17" t="s">
        <v>56</v>
      </c>
      <c r="EE20" s="17" t="s">
        <v>56</v>
      </c>
      <c r="EF20" s="17" t="s">
        <v>56</v>
      </c>
      <c r="EG20" s="17" t="s">
        <v>2862</v>
      </c>
      <c r="EH20" s="17" t="s">
        <v>3309</v>
      </c>
      <c r="EI20" s="17" t="s">
        <v>3312</v>
      </c>
      <c r="EJ20" s="17">
        <v>1.08477E-2</v>
      </c>
      <c r="EK20" s="17">
        <v>5.8252699999999998E-2</v>
      </c>
      <c r="EL20" s="17" t="s">
        <v>3311</v>
      </c>
      <c r="EM20" s="17">
        <v>4.8999999999999998E-3</v>
      </c>
      <c r="EN20" s="17">
        <v>1.01E-2</v>
      </c>
      <c r="EO20" s="17" t="s">
        <v>3312</v>
      </c>
      <c r="EP20" s="17">
        <v>4.3641500000000004</v>
      </c>
      <c r="EQ20" s="17">
        <v>23.435700000000001</v>
      </c>
      <c r="ER20" s="17" t="s">
        <v>3313</v>
      </c>
      <c r="ES20" s="17">
        <v>0.59340000000000004</v>
      </c>
      <c r="ET20" s="17">
        <v>1.2263999999999999</v>
      </c>
      <c r="EU20" s="17" t="s">
        <v>2862</v>
      </c>
      <c r="EV20" s="17" t="s">
        <v>3309</v>
      </c>
      <c r="EW20" s="17" t="s">
        <v>3312</v>
      </c>
      <c r="EX20" s="17">
        <v>4.3641500000000004</v>
      </c>
      <c r="EY20" s="17">
        <v>23.435700000000001</v>
      </c>
      <c r="EZ20" s="17" t="s">
        <v>3311</v>
      </c>
      <c r="FA20" s="17">
        <v>0.59340000000000004</v>
      </c>
      <c r="FB20" s="17">
        <v>1.2263999999999999</v>
      </c>
      <c r="FC20" s="17" t="s">
        <v>56</v>
      </c>
      <c r="FD20" s="17" t="s">
        <v>56</v>
      </c>
      <c r="FE20" s="17" t="s">
        <v>56</v>
      </c>
      <c r="FF20" s="17" t="s">
        <v>56</v>
      </c>
      <c r="FG20" s="17" t="s">
        <v>56</v>
      </c>
      <c r="FH20" s="17" t="s">
        <v>56</v>
      </c>
      <c r="FI20" s="17" t="s">
        <v>56</v>
      </c>
      <c r="FJ20" s="17" t="s">
        <v>56</v>
      </c>
      <c r="FK20" s="17" t="s">
        <v>56</v>
      </c>
      <c r="FL20" s="17" t="s">
        <v>56</v>
      </c>
      <c r="FM20" s="17" t="s">
        <v>56</v>
      </c>
      <c r="FN20" s="17" t="s">
        <v>56</v>
      </c>
      <c r="FO20" s="17" t="s">
        <v>56</v>
      </c>
      <c r="FP20" s="17" t="s">
        <v>56</v>
      </c>
      <c r="FQ20" s="17" t="s">
        <v>56</v>
      </c>
      <c r="FR20" s="17" t="s">
        <v>56</v>
      </c>
      <c r="FS20" s="17" t="s">
        <v>56</v>
      </c>
      <c r="FT20" s="17" t="s">
        <v>56</v>
      </c>
      <c r="FU20" s="17">
        <v>194.50939931586001</v>
      </c>
      <c r="FV20" s="17">
        <v>1044.5250345535101</v>
      </c>
      <c r="FW20" s="17" t="s">
        <v>56</v>
      </c>
      <c r="FX20" s="17" t="s">
        <v>56</v>
      </c>
      <c r="FY20" s="17" t="s">
        <v>56</v>
      </c>
      <c r="FZ20" s="17" t="s">
        <v>56</v>
      </c>
      <c r="GA20" s="17" t="s">
        <v>56</v>
      </c>
      <c r="GB20" s="17" t="s">
        <v>56</v>
      </c>
      <c r="GC20" s="17" t="s">
        <v>56</v>
      </c>
      <c r="GD20" s="17" t="s">
        <v>2969</v>
      </c>
      <c r="GE20" s="17" t="s">
        <v>2969</v>
      </c>
      <c r="GF20" s="17" t="s">
        <v>56</v>
      </c>
      <c r="GG20" s="17" t="s">
        <v>2818</v>
      </c>
      <c r="GH20" s="17" t="s">
        <v>2818</v>
      </c>
      <c r="GI20" s="17" t="s">
        <v>1111</v>
      </c>
      <c r="GJ20" s="17" t="s">
        <v>1111</v>
      </c>
      <c r="GK20" s="17" t="s">
        <v>1111</v>
      </c>
      <c r="GL20" s="17"/>
    </row>
    <row r="21" spans="2:194" x14ac:dyDescent="0.25">
      <c r="B21" s="17" t="s">
        <v>2840</v>
      </c>
      <c r="C21" s="17" t="s">
        <v>70</v>
      </c>
      <c r="D21" s="17" t="s">
        <v>3411</v>
      </c>
      <c r="E21" s="17" t="s">
        <v>3412</v>
      </c>
      <c r="F21" s="17" t="s">
        <v>3237</v>
      </c>
      <c r="G21" s="17" t="s">
        <v>3413</v>
      </c>
      <c r="H21" s="17"/>
      <c r="I21" s="17" t="s">
        <v>2797</v>
      </c>
      <c r="J21" s="17" t="s">
        <v>3403</v>
      </c>
      <c r="K21" s="17" t="s">
        <v>2653</v>
      </c>
      <c r="L21" s="17" t="s">
        <v>2800</v>
      </c>
      <c r="M21" s="17" t="s">
        <v>3414</v>
      </c>
      <c r="N21" s="17" t="s">
        <v>1325</v>
      </c>
      <c r="O21" s="17" t="s">
        <v>2813</v>
      </c>
      <c r="P21" s="17" t="s">
        <v>2814</v>
      </c>
      <c r="Q21" s="17" t="s">
        <v>3616</v>
      </c>
      <c r="R21" s="17">
        <v>17897433.710000001</v>
      </c>
      <c r="S21" s="17">
        <v>4974456.4000000004</v>
      </c>
      <c r="T21" s="17">
        <v>18587154.18</v>
      </c>
      <c r="U21" s="17" t="s">
        <v>2817</v>
      </c>
      <c r="V21" s="17" t="s">
        <v>939</v>
      </c>
      <c r="W21" s="17" t="s">
        <v>2816</v>
      </c>
      <c r="X21" s="17" t="s">
        <v>3403</v>
      </c>
      <c r="Y21" s="17" t="s">
        <v>56</v>
      </c>
      <c r="Z21" s="17" t="s">
        <v>3616</v>
      </c>
      <c r="AA21" s="17" t="s">
        <v>2801</v>
      </c>
      <c r="AB21" s="17">
        <v>2.1629</v>
      </c>
      <c r="AC21" s="17" t="s">
        <v>3616</v>
      </c>
      <c r="AD21" s="17" t="s">
        <v>2804</v>
      </c>
      <c r="AE21" s="17">
        <v>319397</v>
      </c>
      <c r="AF21" s="17" t="s">
        <v>2839</v>
      </c>
      <c r="AG21" s="17" t="s">
        <v>3617</v>
      </c>
      <c r="AH21" s="17" t="s">
        <v>2806</v>
      </c>
      <c r="AI21" s="17"/>
      <c r="AJ21" s="17" t="s">
        <v>56</v>
      </c>
      <c r="AK21" s="17" t="s">
        <v>56</v>
      </c>
      <c r="AL21" s="17" t="s">
        <v>56</v>
      </c>
      <c r="AM21" s="17" t="s">
        <v>56</v>
      </c>
      <c r="AN21" s="17" t="s">
        <v>56</v>
      </c>
      <c r="AO21" s="17" t="s">
        <v>56</v>
      </c>
      <c r="AP21" s="17" t="s">
        <v>56</v>
      </c>
      <c r="AQ21" s="17" t="s">
        <v>56</v>
      </c>
      <c r="AR21" s="17" t="s">
        <v>56</v>
      </c>
      <c r="AS21" s="17">
        <v>677.19899999999996</v>
      </c>
      <c r="AT21" s="17">
        <v>82.007599999999996</v>
      </c>
      <c r="AU21" s="17">
        <v>435.83600000000001</v>
      </c>
      <c r="AV21" s="17" t="s">
        <v>56</v>
      </c>
      <c r="AW21" s="17" t="s">
        <v>56</v>
      </c>
      <c r="AX21" s="17" t="s">
        <v>56</v>
      </c>
      <c r="AY21" s="17">
        <v>561.97</v>
      </c>
      <c r="AZ21" s="17">
        <v>68.053600000000003</v>
      </c>
      <c r="BA21" s="17">
        <v>361.67599999999999</v>
      </c>
      <c r="BB21" s="17" t="s">
        <v>56</v>
      </c>
      <c r="BC21" s="17" t="s">
        <v>56</v>
      </c>
      <c r="BD21" s="17" t="s">
        <v>56</v>
      </c>
      <c r="BE21" s="17" t="s">
        <v>56</v>
      </c>
      <c r="BF21" s="17" t="s">
        <v>56</v>
      </c>
      <c r="BG21" s="17" t="s">
        <v>56</v>
      </c>
      <c r="BH21" s="17" t="s">
        <v>56</v>
      </c>
      <c r="BI21" s="17" t="s">
        <v>56</v>
      </c>
      <c r="BJ21" s="17" t="s">
        <v>56</v>
      </c>
      <c r="BK21" s="17" t="s">
        <v>56</v>
      </c>
      <c r="BL21" s="17" t="s">
        <v>56</v>
      </c>
      <c r="BM21" s="17" t="s">
        <v>56</v>
      </c>
      <c r="BN21" s="17" t="s">
        <v>56</v>
      </c>
      <c r="BO21" s="17" t="s">
        <v>56</v>
      </c>
      <c r="BP21" s="17" t="s">
        <v>56</v>
      </c>
      <c r="BQ21" s="17" t="s">
        <v>56</v>
      </c>
      <c r="BR21" s="17" t="s">
        <v>56</v>
      </c>
      <c r="BS21" s="17" t="s">
        <v>56</v>
      </c>
      <c r="BT21" s="17" t="s">
        <v>56</v>
      </c>
      <c r="BU21" s="17" t="s">
        <v>56</v>
      </c>
      <c r="BV21" s="17" t="s">
        <v>56</v>
      </c>
      <c r="BW21" s="17" t="s">
        <v>56</v>
      </c>
      <c r="BX21" s="17" t="s">
        <v>2818</v>
      </c>
      <c r="BY21" s="17" t="s">
        <v>1111</v>
      </c>
      <c r="BZ21" s="17" t="s">
        <v>56</v>
      </c>
      <c r="CA21" s="17" t="s">
        <v>56</v>
      </c>
      <c r="CB21" s="17" t="s">
        <v>1325</v>
      </c>
      <c r="CC21" s="17" t="s">
        <v>1325</v>
      </c>
      <c r="CD21" s="17" t="s">
        <v>1325</v>
      </c>
      <c r="CE21" s="17" t="s">
        <v>1325</v>
      </c>
      <c r="CF21" s="17" t="s">
        <v>1325</v>
      </c>
      <c r="CG21" s="17" t="s">
        <v>1325</v>
      </c>
      <c r="CH21" s="17" t="s">
        <v>1325</v>
      </c>
      <c r="CI21" s="17" t="s">
        <v>1325</v>
      </c>
      <c r="CJ21" s="17" t="s">
        <v>1325</v>
      </c>
      <c r="CK21" s="17" t="s">
        <v>1325</v>
      </c>
      <c r="CL21" s="17" t="s">
        <v>1325</v>
      </c>
      <c r="CM21" s="17" t="s">
        <v>1325</v>
      </c>
      <c r="CN21" s="17" t="s">
        <v>1325</v>
      </c>
      <c r="CO21" s="17" t="s">
        <v>1325</v>
      </c>
      <c r="CP21" s="17" t="s">
        <v>1325</v>
      </c>
      <c r="CQ21" s="17" t="s">
        <v>1325</v>
      </c>
      <c r="CR21" s="17" t="s">
        <v>1325</v>
      </c>
      <c r="CS21" s="17" t="s">
        <v>1325</v>
      </c>
      <c r="CT21" s="17" t="s">
        <v>1325</v>
      </c>
      <c r="CU21" s="17" t="s">
        <v>1325</v>
      </c>
      <c r="CV21" s="17" t="s">
        <v>1325</v>
      </c>
      <c r="CW21" s="17" t="s">
        <v>56</v>
      </c>
      <c r="CX21" s="17" t="s">
        <v>56</v>
      </c>
      <c r="CY21" s="17" t="s">
        <v>56</v>
      </c>
      <c r="CZ21" s="17">
        <v>319397</v>
      </c>
      <c r="DA21" s="17">
        <v>319397</v>
      </c>
      <c r="DB21" s="17">
        <v>319397</v>
      </c>
      <c r="DC21" s="17"/>
      <c r="DD21" s="17"/>
      <c r="DE21" s="17"/>
      <c r="DF21" s="17" t="s">
        <v>3415</v>
      </c>
      <c r="DG21" s="17" t="s">
        <v>3444</v>
      </c>
      <c r="DH21" s="17" t="s">
        <v>3237</v>
      </c>
      <c r="DI21" s="17" t="s">
        <v>3445</v>
      </c>
      <c r="DJ21" s="17" t="s">
        <v>3405</v>
      </c>
      <c r="DK21" s="17" t="s">
        <v>3320</v>
      </c>
      <c r="DL21" s="17" t="s">
        <v>3418</v>
      </c>
      <c r="DM21" s="17">
        <v>5.7730000000000004E-3</v>
      </c>
      <c r="DN21" s="17">
        <v>1843.9</v>
      </c>
      <c r="DO21" s="17">
        <v>0.42855907111782399</v>
      </c>
      <c r="DP21" s="17" t="s">
        <v>3308</v>
      </c>
      <c r="DQ21" s="17" t="s">
        <v>2839</v>
      </c>
      <c r="DR21" s="17" t="s">
        <v>56</v>
      </c>
      <c r="DS21" s="17" t="s">
        <v>56</v>
      </c>
      <c r="DT21" s="17" t="s">
        <v>56</v>
      </c>
      <c r="DU21" s="17" t="s">
        <v>56</v>
      </c>
      <c r="DV21" s="17" t="s">
        <v>2862</v>
      </c>
      <c r="DW21" s="17" t="s">
        <v>3309</v>
      </c>
      <c r="DX21" s="17" t="s">
        <v>3310</v>
      </c>
      <c r="DY21" s="17">
        <v>9.7795896448127796E-3</v>
      </c>
      <c r="DZ21" s="17">
        <v>2.7520410355187201E-2</v>
      </c>
      <c r="EA21" s="17" t="s">
        <v>3311</v>
      </c>
      <c r="EB21" s="17">
        <v>4.0201671797007003E-3</v>
      </c>
      <c r="EC21" s="17">
        <v>7.1798328202993004E-3</v>
      </c>
      <c r="ED21" s="17" t="s">
        <v>56</v>
      </c>
      <c r="EE21" s="17" t="s">
        <v>56</v>
      </c>
      <c r="EF21" s="17" t="s">
        <v>56</v>
      </c>
      <c r="EG21" s="17" t="s">
        <v>2862</v>
      </c>
      <c r="EH21" s="17" t="s">
        <v>3309</v>
      </c>
      <c r="EI21" s="17" t="s">
        <v>3312</v>
      </c>
      <c r="EJ21" s="17">
        <v>1.08477E-2</v>
      </c>
      <c r="EK21" s="17">
        <v>5.8252699999999998E-2</v>
      </c>
      <c r="EL21" s="17" t="s">
        <v>3311</v>
      </c>
      <c r="EM21" s="17">
        <v>4.8999999999999998E-3</v>
      </c>
      <c r="EN21" s="17">
        <v>1.01E-2</v>
      </c>
      <c r="EO21" s="17" t="s">
        <v>3312</v>
      </c>
      <c r="EP21" s="17">
        <v>4.3641500000000004</v>
      </c>
      <c r="EQ21" s="17">
        <v>23.435700000000001</v>
      </c>
      <c r="ER21" s="17" t="s">
        <v>3313</v>
      </c>
      <c r="ES21" s="17">
        <v>0.59340000000000004</v>
      </c>
      <c r="ET21" s="17">
        <v>1.2263999999999999</v>
      </c>
      <c r="EU21" s="17" t="s">
        <v>2862</v>
      </c>
      <c r="EV21" s="17" t="s">
        <v>3309</v>
      </c>
      <c r="EW21" s="17" t="s">
        <v>3312</v>
      </c>
      <c r="EX21" s="17">
        <v>4.3641500000000004</v>
      </c>
      <c r="EY21" s="17">
        <v>23.435700000000001</v>
      </c>
      <c r="EZ21" s="17" t="s">
        <v>3311</v>
      </c>
      <c r="FA21" s="17">
        <v>0.59340000000000004</v>
      </c>
      <c r="FB21" s="17">
        <v>1.2263999999999999</v>
      </c>
      <c r="FC21" s="17" t="s">
        <v>56</v>
      </c>
      <c r="FD21" s="17" t="s">
        <v>56</v>
      </c>
      <c r="FE21" s="17" t="s">
        <v>56</v>
      </c>
      <c r="FF21" s="17" t="s">
        <v>56</v>
      </c>
      <c r="FG21" s="17" t="s">
        <v>56</v>
      </c>
      <c r="FH21" s="17" t="s">
        <v>56</v>
      </c>
      <c r="FI21" s="17" t="s">
        <v>56</v>
      </c>
      <c r="FJ21" s="17" t="s">
        <v>56</v>
      </c>
      <c r="FK21" s="17" t="s">
        <v>56</v>
      </c>
      <c r="FL21" s="17" t="s">
        <v>56</v>
      </c>
      <c r="FM21" s="17" t="s">
        <v>56</v>
      </c>
      <c r="FN21" s="17" t="s">
        <v>56</v>
      </c>
      <c r="FO21" s="17" t="s">
        <v>56</v>
      </c>
      <c r="FP21" s="17" t="s">
        <v>56</v>
      </c>
      <c r="FQ21" s="17" t="s">
        <v>56</v>
      </c>
      <c r="FR21" s="17" t="s">
        <v>56</v>
      </c>
      <c r="FS21" s="17" t="s">
        <v>56</v>
      </c>
      <c r="FT21" s="17" t="s">
        <v>56</v>
      </c>
      <c r="FU21" s="17">
        <v>194.51079129467001</v>
      </c>
      <c r="FV21" s="17">
        <v>1044.5325095481401</v>
      </c>
      <c r="FW21" s="17" t="s">
        <v>56</v>
      </c>
      <c r="FX21" s="17" t="s">
        <v>56</v>
      </c>
      <c r="FY21" s="17" t="s">
        <v>56</v>
      </c>
      <c r="FZ21" s="17" t="s">
        <v>56</v>
      </c>
      <c r="GA21" s="17" t="s">
        <v>56</v>
      </c>
      <c r="GB21" s="17" t="s">
        <v>56</v>
      </c>
      <c r="GC21" s="17" t="s">
        <v>56</v>
      </c>
      <c r="GD21" s="17" t="s">
        <v>2969</v>
      </c>
      <c r="GE21" s="17" t="s">
        <v>2969</v>
      </c>
      <c r="GF21" s="17" t="s">
        <v>56</v>
      </c>
      <c r="GG21" s="17" t="s">
        <v>2818</v>
      </c>
      <c r="GH21" s="17" t="s">
        <v>2818</v>
      </c>
      <c r="GI21" s="17" t="s">
        <v>1111</v>
      </c>
      <c r="GJ21" s="17" t="s">
        <v>1111</v>
      </c>
      <c r="GK21" s="17" t="s">
        <v>1111</v>
      </c>
      <c r="GL21" s="17"/>
    </row>
    <row r="22" spans="2:194" x14ac:dyDescent="0.25">
      <c r="B22" s="17" t="s">
        <v>2840</v>
      </c>
      <c r="C22" s="17" t="s">
        <v>70</v>
      </c>
      <c r="D22" s="17" t="s">
        <v>3411</v>
      </c>
      <c r="E22" s="17" t="s">
        <v>3412</v>
      </c>
      <c r="F22" s="17" t="s">
        <v>3237</v>
      </c>
      <c r="G22" s="17" t="s">
        <v>3413</v>
      </c>
      <c r="H22" s="17"/>
      <c r="I22" s="17" t="s">
        <v>2797</v>
      </c>
      <c r="J22" s="17" t="s">
        <v>3403</v>
      </c>
      <c r="K22" s="17" t="s">
        <v>2653</v>
      </c>
      <c r="L22" s="17" t="s">
        <v>2800</v>
      </c>
      <c r="M22" s="17" t="s">
        <v>3414</v>
      </c>
      <c r="N22" s="17" t="s">
        <v>1325</v>
      </c>
      <c r="O22" s="17" t="s">
        <v>2813</v>
      </c>
      <c r="P22" s="17" t="s">
        <v>2814</v>
      </c>
      <c r="Q22" s="17" t="s">
        <v>3616</v>
      </c>
      <c r="R22" s="17">
        <v>17897433.710000001</v>
      </c>
      <c r="S22" s="17">
        <v>4974456.4000000004</v>
      </c>
      <c r="T22" s="17">
        <v>18587154.18</v>
      </c>
      <c r="U22" s="17" t="s">
        <v>2817</v>
      </c>
      <c r="V22" s="17" t="s">
        <v>939</v>
      </c>
      <c r="W22" s="17" t="s">
        <v>2816</v>
      </c>
      <c r="X22" s="17" t="s">
        <v>3403</v>
      </c>
      <c r="Y22" s="17" t="s">
        <v>56</v>
      </c>
      <c r="Z22" s="17" t="s">
        <v>3616</v>
      </c>
      <c r="AA22" s="17" t="s">
        <v>2801</v>
      </c>
      <c r="AB22" s="17">
        <v>2.1629</v>
      </c>
      <c r="AC22" s="17" t="s">
        <v>3616</v>
      </c>
      <c r="AD22" s="17" t="s">
        <v>2804</v>
      </c>
      <c r="AE22" s="17">
        <v>319397</v>
      </c>
      <c r="AF22" s="17" t="s">
        <v>2839</v>
      </c>
      <c r="AG22" s="17" t="s">
        <v>3617</v>
      </c>
      <c r="AH22" s="17" t="s">
        <v>2806</v>
      </c>
      <c r="AI22" s="17"/>
      <c r="AJ22" s="17" t="s">
        <v>56</v>
      </c>
      <c r="AK22" s="17" t="s">
        <v>56</v>
      </c>
      <c r="AL22" s="17" t="s">
        <v>56</v>
      </c>
      <c r="AM22" s="17" t="s">
        <v>56</v>
      </c>
      <c r="AN22" s="17" t="s">
        <v>56</v>
      </c>
      <c r="AO22" s="17" t="s">
        <v>56</v>
      </c>
      <c r="AP22" s="17" t="s">
        <v>56</v>
      </c>
      <c r="AQ22" s="17" t="s">
        <v>56</v>
      </c>
      <c r="AR22" s="17" t="s">
        <v>56</v>
      </c>
      <c r="AS22" s="17">
        <v>677.19899999999996</v>
      </c>
      <c r="AT22" s="17">
        <v>82.007599999999996</v>
      </c>
      <c r="AU22" s="17">
        <v>435.83600000000001</v>
      </c>
      <c r="AV22" s="17" t="s">
        <v>56</v>
      </c>
      <c r="AW22" s="17" t="s">
        <v>56</v>
      </c>
      <c r="AX22" s="17" t="s">
        <v>56</v>
      </c>
      <c r="AY22" s="17">
        <v>561.97</v>
      </c>
      <c r="AZ22" s="17">
        <v>68.053600000000003</v>
      </c>
      <c r="BA22" s="17">
        <v>361.67599999999999</v>
      </c>
      <c r="BB22" s="17" t="s">
        <v>56</v>
      </c>
      <c r="BC22" s="17" t="s">
        <v>56</v>
      </c>
      <c r="BD22" s="17" t="s">
        <v>56</v>
      </c>
      <c r="BE22" s="17" t="s">
        <v>56</v>
      </c>
      <c r="BF22" s="17" t="s">
        <v>56</v>
      </c>
      <c r="BG22" s="17" t="s">
        <v>56</v>
      </c>
      <c r="BH22" s="17" t="s">
        <v>56</v>
      </c>
      <c r="BI22" s="17" t="s">
        <v>56</v>
      </c>
      <c r="BJ22" s="17" t="s">
        <v>56</v>
      </c>
      <c r="BK22" s="17" t="s">
        <v>56</v>
      </c>
      <c r="BL22" s="17" t="s">
        <v>56</v>
      </c>
      <c r="BM22" s="17" t="s">
        <v>56</v>
      </c>
      <c r="BN22" s="17" t="s">
        <v>56</v>
      </c>
      <c r="BO22" s="17" t="s">
        <v>56</v>
      </c>
      <c r="BP22" s="17" t="s">
        <v>56</v>
      </c>
      <c r="BQ22" s="17" t="s">
        <v>56</v>
      </c>
      <c r="BR22" s="17" t="s">
        <v>56</v>
      </c>
      <c r="BS22" s="17" t="s">
        <v>56</v>
      </c>
      <c r="BT22" s="17" t="s">
        <v>56</v>
      </c>
      <c r="BU22" s="17" t="s">
        <v>56</v>
      </c>
      <c r="BV22" s="17" t="s">
        <v>56</v>
      </c>
      <c r="BW22" s="17" t="s">
        <v>56</v>
      </c>
      <c r="BX22" s="17" t="s">
        <v>2818</v>
      </c>
      <c r="BY22" s="17" t="s">
        <v>1111</v>
      </c>
      <c r="BZ22" s="17" t="s">
        <v>56</v>
      </c>
      <c r="CA22" s="17" t="s">
        <v>56</v>
      </c>
      <c r="CB22" s="17" t="s">
        <v>1325</v>
      </c>
      <c r="CC22" s="17" t="s">
        <v>1325</v>
      </c>
      <c r="CD22" s="17" t="s">
        <v>1325</v>
      </c>
      <c r="CE22" s="17" t="s">
        <v>1325</v>
      </c>
      <c r="CF22" s="17" t="s">
        <v>1325</v>
      </c>
      <c r="CG22" s="17" t="s">
        <v>1325</v>
      </c>
      <c r="CH22" s="17" t="s">
        <v>1325</v>
      </c>
      <c r="CI22" s="17" t="s">
        <v>1325</v>
      </c>
      <c r="CJ22" s="17" t="s">
        <v>1325</v>
      </c>
      <c r="CK22" s="17" t="s">
        <v>1325</v>
      </c>
      <c r="CL22" s="17" t="s">
        <v>1325</v>
      </c>
      <c r="CM22" s="17" t="s">
        <v>1325</v>
      </c>
      <c r="CN22" s="17" t="s">
        <v>1325</v>
      </c>
      <c r="CO22" s="17" t="s">
        <v>1325</v>
      </c>
      <c r="CP22" s="17" t="s">
        <v>1325</v>
      </c>
      <c r="CQ22" s="17" t="s">
        <v>1325</v>
      </c>
      <c r="CR22" s="17" t="s">
        <v>1325</v>
      </c>
      <c r="CS22" s="17" t="s">
        <v>1325</v>
      </c>
      <c r="CT22" s="17" t="s">
        <v>1325</v>
      </c>
      <c r="CU22" s="17" t="s">
        <v>1325</v>
      </c>
      <c r="CV22" s="17" t="s">
        <v>1325</v>
      </c>
      <c r="CW22" s="17" t="s">
        <v>56</v>
      </c>
      <c r="CX22" s="17" t="s">
        <v>56</v>
      </c>
      <c r="CY22" s="17" t="s">
        <v>56</v>
      </c>
      <c r="CZ22" s="17">
        <v>319397</v>
      </c>
      <c r="DA22" s="17">
        <v>319397</v>
      </c>
      <c r="DB22" s="17">
        <v>319397</v>
      </c>
      <c r="DC22" s="17"/>
      <c r="DD22" s="17"/>
      <c r="DE22" s="17"/>
      <c r="DF22" s="17" t="s">
        <v>3415</v>
      </c>
      <c r="DG22" s="17" t="s">
        <v>3446</v>
      </c>
      <c r="DH22" s="17" t="s">
        <v>3237</v>
      </c>
      <c r="DI22" s="17" t="s">
        <v>3447</v>
      </c>
      <c r="DJ22" s="17" t="s">
        <v>3405</v>
      </c>
      <c r="DK22" s="17" t="s">
        <v>3320</v>
      </c>
      <c r="DL22" s="17" t="s">
        <v>3418</v>
      </c>
      <c r="DM22" s="17">
        <v>6.9550000000000002E-3</v>
      </c>
      <c r="DN22" s="17">
        <v>2221.4</v>
      </c>
      <c r="DO22" s="17">
        <v>0.42855819497492198</v>
      </c>
      <c r="DP22" s="17" t="s">
        <v>3308</v>
      </c>
      <c r="DQ22" s="17" t="s">
        <v>2839</v>
      </c>
      <c r="DR22" s="17" t="s">
        <v>56</v>
      </c>
      <c r="DS22" s="17" t="s">
        <v>56</v>
      </c>
      <c r="DT22" s="17" t="s">
        <v>56</v>
      </c>
      <c r="DU22" s="17" t="s">
        <v>56</v>
      </c>
      <c r="DV22" s="17" t="s">
        <v>2862</v>
      </c>
      <c r="DW22" s="17" t="s">
        <v>3309</v>
      </c>
      <c r="DX22" s="17" t="s">
        <v>3310</v>
      </c>
      <c r="DY22" s="17">
        <v>9.7795896448127796E-3</v>
      </c>
      <c r="DZ22" s="17">
        <v>2.7520410355187201E-2</v>
      </c>
      <c r="EA22" s="17" t="s">
        <v>3311</v>
      </c>
      <c r="EB22" s="17">
        <v>4.0201671797007003E-3</v>
      </c>
      <c r="EC22" s="17">
        <v>7.1798328202993004E-3</v>
      </c>
      <c r="ED22" s="17" t="s">
        <v>56</v>
      </c>
      <c r="EE22" s="17" t="s">
        <v>56</v>
      </c>
      <c r="EF22" s="17" t="s">
        <v>56</v>
      </c>
      <c r="EG22" s="17" t="s">
        <v>2862</v>
      </c>
      <c r="EH22" s="17" t="s">
        <v>3309</v>
      </c>
      <c r="EI22" s="17" t="s">
        <v>3312</v>
      </c>
      <c r="EJ22" s="17">
        <v>1.08477E-2</v>
      </c>
      <c r="EK22" s="17">
        <v>5.8252699999999998E-2</v>
      </c>
      <c r="EL22" s="17" t="s">
        <v>3311</v>
      </c>
      <c r="EM22" s="17">
        <v>4.8999999999999998E-3</v>
      </c>
      <c r="EN22" s="17">
        <v>1.01E-2</v>
      </c>
      <c r="EO22" s="17" t="s">
        <v>3312</v>
      </c>
      <c r="EP22" s="17">
        <v>4.3641500000000004</v>
      </c>
      <c r="EQ22" s="17">
        <v>23.435700000000001</v>
      </c>
      <c r="ER22" s="17" t="s">
        <v>3313</v>
      </c>
      <c r="ES22" s="17">
        <v>0.59340000000000004</v>
      </c>
      <c r="ET22" s="17">
        <v>1.2263999999999999</v>
      </c>
      <c r="EU22" s="17" t="s">
        <v>2862</v>
      </c>
      <c r="EV22" s="17" t="s">
        <v>3309</v>
      </c>
      <c r="EW22" s="17" t="s">
        <v>3312</v>
      </c>
      <c r="EX22" s="17">
        <v>4.3641500000000004</v>
      </c>
      <c r="EY22" s="17">
        <v>23.435700000000001</v>
      </c>
      <c r="EZ22" s="17" t="s">
        <v>3311</v>
      </c>
      <c r="FA22" s="17">
        <v>0.59340000000000004</v>
      </c>
      <c r="FB22" s="17">
        <v>1.2263999999999999</v>
      </c>
      <c r="FC22" s="17" t="s">
        <v>56</v>
      </c>
      <c r="FD22" s="17" t="s">
        <v>56</v>
      </c>
      <c r="FE22" s="17" t="s">
        <v>56</v>
      </c>
      <c r="FF22" s="17" t="s">
        <v>56</v>
      </c>
      <c r="FG22" s="17" t="s">
        <v>56</v>
      </c>
      <c r="FH22" s="17" t="s">
        <v>56</v>
      </c>
      <c r="FI22" s="17" t="s">
        <v>56</v>
      </c>
      <c r="FJ22" s="17" t="s">
        <v>56</v>
      </c>
      <c r="FK22" s="17" t="s">
        <v>56</v>
      </c>
      <c r="FL22" s="17" t="s">
        <v>56</v>
      </c>
      <c r="FM22" s="17" t="s">
        <v>56</v>
      </c>
      <c r="FN22" s="17" t="s">
        <v>56</v>
      </c>
      <c r="FO22" s="17" t="s">
        <v>56</v>
      </c>
      <c r="FP22" s="17" t="s">
        <v>56</v>
      </c>
      <c r="FQ22" s="17" t="s">
        <v>56</v>
      </c>
      <c r="FR22" s="17" t="s">
        <v>56</v>
      </c>
      <c r="FS22" s="17" t="s">
        <v>56</v>
      </c>
      <c r="FT22" s="17" t="s">
        <v>56</v>
      </c>
      <c r="FU22" s="17">
        <v>194.510393612374</v>
      </c>
      <c r="FV22" s="17">
        <v>1044.5303739746601</v>
      </c>
      <c r="FW22" s="17" t="s">
        <v>56</v>
      </c>
      <c r="FX22" s="17" t="s">
        <v>56</v>
      </c>
      <c r="FY22" s="17" t="s">
        <v>56</v>
      </c>
      <c r="FZ22" s="17" t="s">
        <v>56</v>
      </c>
      <c r="GA22" s="17" t="s">
        <v>56</v>
      </c>
      <c r="GB22" s="17" t="s">
        <v>56</v>
      </c>
      <c r="GC22" s="17" t="s">
        <v>56</v>
      </c>
      <c r="GD22" s="17" t="s">
        <v>2969</v>
      </c>
      <c r="GE22" s="17" t="s">
        <v>2969</v>
      </c>
      <c r="GF22" s="17" t="s">
        <v>56</v>
      </c>
      <c r="GG22" s="17" t="s">
        <v>2818</v>
      </c>
      <c r="GH22" s="17" t="s">
        <v>2818</v>
      </c>
      <c r="GI22" s="17" t="s">
        <v>1111</v>
      </c>
      <c r="GJ22" s="17" t="s">
        <v>1111</v>
      </c>
      <c r="GK22" s="17" t="s">
        <v>1111</v>
      </c>
      <c r="GL22" s="17"/>
    </row>
    <row r="23" spans="2:194" x14ac:dyDescent="0.25">
      <c r="B23" s="17" t="s">
        <v>2840</v>
      </c>
      <c r="C23" s="17" t="s">
        <v>70</v>
      </c>
      <c r="D23" s="17" t="s">
        <v>3411</v>
      </c>
      <c r="E23" s="17" t="s">
        <v>3412</v>
      </c>
      <c r="F23" s="17" t="s">
        <v>3237</v>
      </c>
      <c r="G23" s="17" t="s">
        <v>3413</v>
      </c>
      <c r="H23" s="17"/>
      <c r="I23" s="17" t="s">
        <v>2797</v>
      </c>
      <c r="J23" s="17" t="s">
        <v>3403</v>
      </c>
      <c r="K23" s="17" t="s">
        <v>2653</v>
      </c>
      <c r="L23" s="17" t="s">
        <v>2800</v>
      </c>
      <c r="M23" s="17" t="s">
        <v>3414</v>
      </c>
      <c r="N23" s="17" t="s">
        <v>1325</v>
      </c>
      <c r="O23" s="17" t="s">
        <v>2813</v>
      </c>
      <c r="P23" s="17" t="s">
        <v>2814</v>
      </c>
      <c r="Q23" s="17" t="s">
        <v>3616</v>
      </c>
      <c r="R23" s="17">
        <v>17897433.710000001</v>
      </c>
      <c r="S23" s="17">
        <v>4974456.4000000004</v>
      </c>
      <c r="T23" s="17">
        <v>18587154.18</v>
      </c>
      <c r="U23" s="17" t="s">
        <v>2817</v>
      </c>
      <c r="V23" s="17" t="s">
        <v>939</v>
      </c>
      <c r="W23" s="17" t="s">
        <v>2816</v>
      </c>
      <c r="X23" s="17" t="s">
        <v>3403</v>
      </c>
      <c r="Y23" s="17" t="s">
        <v>56</v>
      </c>
      <c r="Z23" s="17" t="s">
        <v>3616</v>
      </c>
      <c r="AA23" s="17" t="s">
        <v>2801</v>
      </c>
      <c r="AB23" s="17">
        <v>2.1629</v>
      </c>
      <c r="AC23" s="17" t="s">
        <v>3616</v>
      </c>
      <c r="AD23" s="17" t="s">
        <v>2804</v>
      </c>
      <c r="AE23" s="17">
        <v>319397</v>
      </c>
      <c r="AF23" s="17" t="s">
        <v>2839</v>
      </c>
      <c r="AG23" s="17" t="s">
        <v>3617</v>
      </c>
      <c r="AH23" s="17" t="s">
        <v>2806</v>
      </c>
      <c r="AI23" s="17"/>
      <c r="AJ23" s="17" t="s">
        <v>56</v>
      </c>
      <c r="AK23" s="17" t="s">
        <v>56</v>
      </c>
      <c r="AL23" s="17" t="s">
        <v>56</v>
      </c>
      <c r="AM23" s="17" t="s">
        <v>56</v>
      </c>
      <c r="AN23" s="17" t="s">
        <v>56</v>
      </c>
      <c r="AO23" s="17" t="s">
        <v>56</v>
      </c>
      <c r="AP23" s="17" t="s">
        <v>56</v>
      </c>
      <c r="AQ23" s="17" t="s">
        <v>56</v>
      </c>
      <c r="AR23" s="17" t="s">
        <v>56</v>
      </c>
      <c r="AS23" s="17">
        <v>677.19899999999996</v>
      </c>
      <c r="AT23" s="17">
        <v>82.007599999999996</v>
      </c>
      <c r="AU23" s="17">
        <v>435.83600000000001</v>
      </c>
      <c r="AV23" s="17" t="s">
        <v>56</v>
      </c>
      <c r="AW23" s="17" t="s">
        <v>56</v>
      </c>
      <c r="AX23" s="17" t="s">
        <v>56</v>
      </c>
      <c r="AY23" s="17">
        <v>561.97</v>
      </c>
      <c r="AZ23" s="17">
        <v>68.053600000000003</v>
      </c>
      <c r="BA23" s="17">
        <v>361.67599999999999</v>
      </c>
      <c r="BB23" s="17" t="s">
        <v>56</v>
      </c>
      <c r="BC23" s="17" t="s">
        <v>56</v>
      </c>
      <c r="BD23" s="17" t="s">
        <v>56</v>
      </c>
      <c r="BE23" s="17" t="s">
        <v>56</v>
      </c>
      <c r="BF23" s="17" t="s">
        <v>56</v>
      </c>
      <c r="BG23" s="17" t="s">
        <v>56</v>
      </c>
      <c r="BH23" s="17" t="s">
        <v>56</v>
      </c>
      <c r="BI23" s="17" t="s">
        <v>56</v>
      </c>
      <c r="BJ23" s="17" t="s">
        <v>56</v>
      </c>
      <c r="BK23" s="17" t="s">
        <v>56</v>
      </c>
      <c r="BL23" s="17" t="s">
        <v>56</v>
      </c>
      <c r="BM23" s="17" t="s">
        <v>56</v>
      </c>
      <c r="BN23" s="17" t="s">
        <v>56</v>
      </c>
      <c r="BO23" s="17" t="s">
        <v>56</v>
      </c>
      <c r="BP23" s="17" t="s">
        <v>56</v>
      </c>
      <c r="BQ23" s="17" t="s">
        <v>56</v>
      </c>
      <c r="BR23" s="17" t="s">
        <v>56</v>
      </c>
      <c r="BS23" s="17" t="s">
        <v>56</v>
      </c>
      <c r="BT23" s="17" t="s">
        <v>56</v>
      </c>
      <c r="BU23" s="17" t="s">
        <v>56</v>
      </c>
      <c r="BV23" s="17" t="s">
        <v>56</v>
      </c>
      <c r="BW23" s="17" t="s">
        <v>56</v>
      </c>
      <c r="BX23" s="17" t="s">
        <v>2818</v>
      </c>
      <c r="BY23" s="17" t="s">
        <v>1111</v>
      </c>
      <c r="BZ23" s="17" t="s">
        <v>56</v>
      </c>
      <c r="CA23" s="17" t="s">
        <v>56</v>
      </c>
      <c r="CB23" s="17" t="s">
        <v>1325</v>
      </c>
      <c r="CC23" s="17" t="s">
        <v>1325</v>
      </c>
      <c r="CD23" s="17" t="s">
        <v>1325</v>
      </c>
      <c r="CE23" s="17" t="s">
        <v>1325</v>
      </c>
      <c r="CF23" s="17" t="s">
        <v>1325</v>
      </c>
      <c r="CG23" s="17" t="s">
        <v>1325</v>
      </c>
      <c r="CH23" s="17" t="s">
        <v>1325</v>
      </c>
      <c r="CI23" s="17" t="s">
        <v>1325</v>
      </c>
      <c r="CJ23" s="17" t="s">
        <v>1325</v>
      </c>
      <c r="CK23" s="17" t="s">
        <v>1325</v>
      </c>
      <c r="CL23" s="17" t="s">
        <v>1325</v>
      </c>
      <c r="CM23" s="17" t="s">
        <v>1325</v>
      </c>
      <c r="CN23" s="17" t="s">
        <v>1325</v>
      </c>
      <c r="CO23" s="17" t="s">
        <v>1325</v>
      </c>
      <c r="CP23" s="17" t="s">
        <v>1325</v>
      </c>
      <c r="CQ23" s="17" t="s">
        <v>1325</v>
      </c>
      <c r="CR23" s="17" t="s">
        <v>1325</v>
      </c>
      <c r="CS23" s="17" t="s">
        <v>1325</v>
      </c>
      <c r="CT23" s="17" t="s">
        <v>1325</v>
      </c>
      <c r="CU23" s="17" t="s">
        <v>1325</v>
      </c>
      <c r="CV23" s="17" t="s">
        <v>1325</v>
      </c>
      <c r="CW23" s="17" t="s">
        <v>56</v>
      </c>
      <c r="CX23" s="17" t="s">
        <v>56</v>
      </c>
      <c r="CY23" s="17" t="s">
        <v>56</v>
      </c>
      <c r="CZ23" s="17">
        <v>319397</v>
      </c>
      <c r="DA23" s="17">
        <v>319397</v>
      </c>
      <c r="DB23" s="17">
        <v>319397</v>
      </c>
      <c r="DC23" s="17"/>
      <c r="DD23" s="17"/>
      <c r="DE23" s="17"/>
      <c r="DF23" s="17" t="s">
        <v>3415</v>
      </c>
      <c r="DG23" s="17" t="s">
        <v>3448</v>
      </c>
      <c r="DH23" s="17" t="s">
        <v>3237</v>
      </c>
      <c r="DI23" s="17" t="s">
        <v>3449</v>
      </c>
      <c r="DJ23" s="17" t="s">
        <v>3406</v>
      </c>
      <c r="DK23" s="17" t="s">
        <v>3320</v>
      </c>
      <c r="DL23" s="17" t="s">
        <v>3418</v>
      </c>
      <c r="DM23" s="17">
        <v>1.3368E-2</v>
      </c>
      <c r="DN23" s="17">
        <v>4269.7</v>
      </c>
      <c r="DO23" s="17">
        <v>0.428557809273311</v>
      </c>
      <c r="DP23" s="17" t="s">
        <v>3308</v>
      </c>
      <c r="DQ23" s="17" t="s">
        <v>2839</v>
      </c>
      <c r="DR23" s="17" t="s">
        <v>56</v>
      </c>
      <c r="DS23" s="17" t="s">
        <v>56</v>
      </c>
      <c r="DT23" s="17" t="s">
        <v>56</v>
      </c>
      <c r="DU23" s="17" t="s">
        <v>56</v>
      </c>
      <c r="DV23" s="17" t="s">
        <v>2862</v>
      </c>
      <c r="DW23" s="17" t="s">
        <v>3309</v>
      </c>
      <c r="DX23" s="17" t="s">
        <v>3310</v>
      </c>
      <c r="DY23" s="17">
        <v>3.4870922862201099E-3</v>
      </c>
      <c r="DZ23" s="17">
        <v>9.8129077137798903E-3</v>
      </c>
      <c r="EA23" s="17" t="s">
        <v>3311</v>
      </c>
      <c r="EB23" s="17">
        <v>1.4357739927502501E-3</v>
      </c>
      <c r="EC23" s="17">
        <v>2.56422600724975E-3</v>
      </c>
      <c r="ED23" s="17" t="s">
        <v>56</v>
      </c>
      <c r="EE23" s="17" t="s">
        <v>56</v>
      </c>
      <c r="EF23" s="17" t="s">
        <v>56</v>
      </c>
      <c r="EG23" s="17" t="s">
        <v>2862</v>
      </c>
      <c r="EH23" s="17" t="s">
        <v>3309</v>
      </c>
      <c r="EI23" s="17" t="s">
        <v>3312</v>
      </c>
      <c r="EJ23" s="17">
        <v>1.08477E-2</v>
      </c>
      <c r="EK23" s="17">
        <v>5.8252699999999998E-2</v>
      </c>
      <c r="EL23" s="17" t="s">
        <v>3311</v>
      </c>
      <c r="EM23" s="17">
        <v>4.8999999999999998E-3</v>
      </c>
      <c r="EN23" s="17">
        <v>1.01E-2</v>
      </c>
      <c r="EO23" s="17" t="s">
        <v>3312</v>
      </c>
      <c r="EP23" s="17">
        <v>4.3641500000000004</v>
      </c>
      <c r="EQ23" s="17">
        <v>23.435700000000001</v>
      </c>
      <c r="ER23" s="17" t="s">
        <v>3313</v>
      </c>
      <c r="ES23" s="17">
        <v>0.59340000000000004</v>
      </c>
      <c r="ET23" s="17">
        <v>1.2263999999999999</v>
      </c>
      <c r="EU23" s="17" t="s">
        <v>2862</v>
      </c>
      <c r="EV23" s="17" t="s">
        <v>3309</v>
      </c>
      <c r="EW23" s="17" t="s">
        <v>3312</v>
      </c>
      <c r="EX23" s="17">
        <v>4.3641500000000004</v>
      </c>
      <c r="EY23" s="17">
        <v>23.435700000000001</v>
      </c>
      <c r="EZ23" s="17" t="s">
        <v>3311</v>
      </c>
      <c r="FA23" s="17">
        <v>0.59340000000000004</v>
      </c>
      <c r="FB23" s="17">
        <v>1.2263999999999999</v>
      </c>
      <c r="FC23" s="17" t="s">
        <v>56</v>
      </c>
      <c r="FD23" s="17" t="s">
        <v>56</v>
      </c>
      <c r="FE23" s="17" t="s">
        <v>56</v>
      </c>
      <c r="FF23" s="17" t="s">
        <v>56</v>
      </c>
      <c r="FG23" s="17" t="s">
        <v>56</v>
      </c>
      <c r="FH23" s="17" t="s">
        <v>56</v>
      </c>
      <c r="FI23" s="17" t="s">
        <v>56</v>
      </c>
      <c r="FJ23" s="17" t="s">
        <v>56</v>
      </c>
      <c r="FK23" s="17" t="s">
        <v>56</v>
      </c>
      <c r="FL23" s="17" t="s">
        <v>56</v>
      </c>
      <c r="FM23" s="17" t="s">
        <v>56</v>
      </c>
      <c r="FN23" s="17" t="s">
        <v>56</v>
      </c>
      <c r="FO23" s="17" t="s">
        <v>56</v>
      </c>
      <c r="FP23" s="17" t="s">
        <v>56</v>
      </c>
      <c r="FQ23" s="17" t="s">
        <v>56</v>
      </c>
      <c r="FR23" s="17" t="s">
        <v>56</v>
      </c>
      <c r="FS23" s="17" t="s">
        <v>56</v>
      </c>
      <c r="FT23" s="17" t="s">
        <v>56</v>
      </c>
      <c r="FU23" s="17">
        <v>194.510218554098</v>
      </c>
      <c r="FV23" s="17">
        <v>1044.52943390311</v>
      </c>
      <c r="FW23" s="17" t="s">
        <v>56</v>
      </c>
      <c r="FX23" s="17" t="s">
        <v>56</v>
      </c>
      <c r="FY23" s="17" t="s">
        <v>56</v>
      </c>
      <c r="FZ23" s="17" t="s">
        <v>56</v>
      </c>
      <c r="GA23" s="17" t="s">
        <v>56</v>
      </c>
      <c r="GB23" s="17" t="s">
        <v>56</v>
      </c>
      <c r="GC23" s="17" t="s">
        <v>56</v>
      </c>
      <c r="GD23" s="17" t="s">
        <v>2969</v>
      </c>
      <c r="GE23" s="17" t="s">
        <v>2969</v>
      </c>
      <c r="GF23" s="17" t="s">
        <v>56</v>
      </c>
      <c r="GG23" s="17" t="s">
        <v>2818</v>
      </c>
      <c r="GH23" s="17" t="s">
        <v>2818</v>
      </c>
      <c r="GI23" s="17" t="s">
        <v>1111</v>
      </c>
      <c r="GJ23" s="17" t="s">
        <v>1111</v>
      </c>
      <c r="GK23" s="17" t="s">
        <v>1111</v>
      </c>
      <c r="GL23" s="17"/>
    </row>
    <row r="24" spans="2:194" x14ac:dyDescent="0.25">
      <c r="B24" s="17" t="s">
        <v>2840</v>
      </c>
      <c r="C24" s="17" t="s">
        <v>70</v>
      </c>
      <c r="D24" s="17" t="s">
        <v>3411</v>
      </c>
      <c r="E24" s="17" t="s">
        <v>3412</v>
      </c>
      <c r="F24" s="17" t="s">
        <v>3237</v>
      </c>
      <c r="G24" s="17" t="s">
        <v>3413</v>
      </c>
      <c r="H24" s="17"/>
      <c r="I24" s="17" t="s">
        <v>2797</v>
      </c>
      <c r="J24" s="17" t="s">
        <v>3403</v>
      </c>
      <c r="K24" s="17" t="s">
        <v>2653</v>
      </c>
      <c r="L24" s="17" t="s">
        <v>2800</v>
      </c>
      <c r="M24" s="17" t="s">
        <v>3414</v>
      </c>
      <c r="N24" s="17" t="s">
        <v>1325</v>
      </c>
      <c r="O24" s="17" t="s">
        <v>2813</v>
      </c>
      <c r="P24" s="17" t="s">
        <v>2814</v>
      </c>
      <c r="Q24" s="17" t="s">
        <v>3616</v>
      </c>
      <c r="R24" s="17">
        <v>17897433.710000001</v>
      </c>
      <c r="S24" s="17">
        <v>4974456.4000000004</v>
      </c>
      <c r="T24" s="17">
        <v>18587154.18</v>
      </c>
      <c r="U24" s="17" t="s">
        <v>2817</v>
      </c>
      <c r="V24" s="17" t="s">
        <v>939</v>
      </c>
      <c r="W24" s="17" t="s">
        <v>2816</v>
      </c>
      <c r="X24" s="17" t="s">
        <v>3403</v>
      </c>
      <c r="Y24" s="17" t="s">
        <v>56</v>
      </c>
      <c r="Z24" s="17" t="s">
        <v>3616</v>
      </c>
      <c r="AA24" s="17" t="s">
        <v>2801</v>
      </c>
      <c r="AB24" s="17">
        <v>2.1629</v>
      </c>
      <c r="AC24" s="17" t="s">
        <v>3616</v>
      </c>
      <c r="AD24" s="17" t="s">
        <v>2804</v>
      </c>
      <c r="AE24" s="17">
        <v>319397</v>
      </c>
      <c r="AF24" s="17" t="s">
        <v>2839</v>
      </c>
      <c r="AG24" s="17" t="s">
        <v>3617</v>
      </c>
      <c r="AH24" s="17" t="s">
        <v>2806</v>
      </c>
      <c r="AI24" s="17"/>
      <c r="AJ24" s="17" t="s">
        <v>56</v>
      </c>
      <c r="AK24" s="17" t="s">
        <v>56</v>
      </c>
      <c r="AL24" s="17" t="s">
        <v>56</v>
      </c>
      <c r="AM24" s="17" t="s">
        <v>56</v>
      </c>
      <c r="AN24" s="17" t="s">
        <v>56</v>
      </c>
      <c r="AO24" s="17" t="s">
        <v>56</v>
      </c>
      <c r="AP24" s="17" t="s">
        <v>56</v>
      </c>
      <c r="AQ24" s="17" t="s">
        <v>56</v>
      </c>
      <c r="AR24" s="17" t="s">
        <v>56</v>
      </c>
      <c r="AS24" s="17">
        <v>677.19899999999996</v>
      </c>
      <c r="AT24" s="17">
        <v>82.007599999999996</v>
      </c>
      <c r="AU24" s="17">
        <v>435.83600000000001</v>
      </c>
      <c r="AV24" s="17" t="s">
        <v>56</v>
      </c>
      <c r="AW24" s="17" t="s">
        <v>56</v>
      </c>
      <c r="AX24" s="17" t="s">
        <v>56</v>
      </c>
      <c r="AY24" s="17">
        <v>561.97</v>
      </c>
      <c r="AZ24" s="17">
        <v>68.053600000000003</v>
      </c>
      <c r="BA24" s="17">
        <v>361.67599999999999</v>
      </c>
      <c r="BB24" s="17" t="s">
        <v>56</v>
      </c>
      <c r="BC24" s="17" t="s">
        <v>56</v>
      </c>
      <c r="BD24" s="17" t="s">
        <v>56</v>
      </c>
      <c r="BE24" s="17" t="s">
        <v>56</v>
      </c>
      <c r="BF24" s="17" t="s">
        <v>56</v>
      </c>
      <c r="BG24" s="17" t="s">
        <v>56</v>
      </c>
      <c r="BH24" s="17" t="s">
        <v>56</v>
      </c>
      <c r="BI24" s="17" t="s">
        <v>56</v>
      </c>
      <c r="BJ24" s="17" t="s">
        <v>56</v>
      </c>
      <c r="BK24" s="17" t="s">
        <v>56</v>
      </c>
      <c r="BL24" s="17" t="s">
        <v>56</v>
      </c>
      <c r="BM24" s="17" t="s">
        <v>56</v>
      </c>
      <c r="BN24" s="17" t="s">
        <v>56</v>
      </c>
      <c r="BO24" s="17" t="s">
        <v>56</v>
      </c>
      <c r="BP24" s="17" t="s">
        <v>56</v>
      </c>
      <c r="BQ24" s="17" t="s">
        <v>56</v>
      </c>
      <c r="BR24" s="17" t="s">
        <v>56</v>
      </c>
      <c r="BS24" s="17" t="s">
        <v>56</v>
      </c>
      <c r="BT24" s="17" t="s">
        <v>56</v>
      </c>
      <c r="BU24" s="17" t="s">
        <v>56</v>
      </c>
      <c r="BV24" s="17" t="s">
        <v>56</v>
      </c>
      <c r="BW24" s="17" t="s">
        <v>56</v>
      </c>
      <c r="BX24" s="17" t="s">
        <v>2818</v>
      </c>
      <c r="BY24" s="17" t="s">
        <v>1111</v>
      </c>
      <c r="BZ24" s="17" t="s">
        <v>56</v>
      </c>
      <c r="CA24" s="17" t="s">
        <v>56</v>
      </c>
      <c r="CB24" s="17" t="s">
        <v>1325</v>
      </c>
      <c r="CC24" s="17" t="s">
        <v>1325</v>
      </c>
      <c r="CD24" s="17" t="s">
        <v>1325</v>
      </c>
      <c r="CE24" s="17" t="s">
        <v>1325</v>
      </c>
      <c r="CF24" s="17" t="s">
        <v>1325</v>
      </c>
      <c r="CG24" s="17" t="s">
        <v>1325</v>
      </c>
      <c r="CH24" s="17" t="s">
        <v>1325</v>
      </c>
      <c r="CI24" s="17" t="s">
        <v>1325</v>
      </c>
      <c r="CJ24" s="17" t="s">
        <v>1325</v>
      </c>
      <c r="CK24" s="17" t="s">
        <v>1325</v>
      </c>
      <c r="CL24" s="17" t="s">
        <v>1325</v>
      </c>
      <c r="CM24" s="17" t="s">
        <v>1325</v>
      </c>
      <c r="CN24" s="17" t="s">
        <v>1325</v>
      </c>
      <c r="CO24" s="17" t="s">
        <v>1325</v>
      </c>
      <c r="CP24" s="17" t="s">
        <v>1325</v>
      </c>
      <c r="CQ24" s="17" t="s">
        <v>1325</v>
      </c>
      <c r="CR24" s="17" t="s">
        <v>1325</v>
      </c>
      <c r="CS24" s="17" t="s">
        <v>1325</v>
      </c>
      <c r="CT24" s="17" t="s">
        <v>1325</v>
      </c>
      <c r="CU24" s="17" t="s">
        <v>1325</v>
      </c>
      <c r="CV24" s="17" t="s">
        <v>1325</v>
      </c>
      <c r="CW24" s="17" t="s">
        <v>56</v>
      </c>
      <c r="CX24" s="17" t="s">
        <v>56</v>
      </c>
      <c r="CY24" s="17" t="s">
        <v>56</v>
      </c>
      <c r="CZ24" s="17">
        <v>319397</v>
      </c>
      <c r="DA24" s="17">
        <v>319397</v>
      </c>
      <c r="DB24" s="17">
        <v>319397</v>
      </c>
      <c r="DC24" s="17"/>
      <c r="DD24" s="17"/>
      <c r="DE24" s="17"/>
      <c r="DF24" s="17" t="s">
        <v>3415</v>
      </c>
      <c r="DG24" s="17" t="s">
        <v>3450</v>
      </c>
      <c r="DH24" s="17" t="s">
        <v>3237</v>
      </c>
      <c r="DI24" s="17" t="s">
        <v>3451</v>
      </c>
      <c r="DJ24" s="17" t="s">
        <v>3405</v>
      </c>
      <c r="DK24" s="17" t="s">
        <v>3320</v>
      </c>
      <c r="DL24" s="17" t="s">
        <v>3418</v>
      </c>
      <c r="DM24" s="17">
        <v>8.0999999999999996E-4</v>
      </c>
      <c r="DN24" s="17">
        <v>258.7</v>
      </c>
      <c r="DO24" s="17">
        <v>0.42854722312913901</v>
      </c>
      <c r="DP24" s="17" t="s">
        <v>3308</v>
      </c>
      <c r="DQ24" s="17" t="s">
        <v>2839</v>
      </c>
      <c r="DR24" s="17" t="s">
        <v>56</v>
      </c>
      <c r="DS24" s="17" t="s">
        <v>56</v>
      </c>
      <c r="DT24" s="17" t="s">
        <v>56</v>
      </c>
      <c r="DU24" s="17" t="s">
        <v>56</v>
      </c>
      <c r="DV24" s="17" t="s">
        <v>2862</v>
      </c>
      <c r="DW24" s="17" t="s">
        <v>3309</v>
      </c>
      <c r="DX24" s="17" t="s">
        <v>3310</v>
      </c>
      <c r="DY24" s="17">
        <v>9.7795896448127796E-3</v>
      </c>
      <c r="DZ24" s="17">
        <v>2.7520410355187201E-2</v>
      </c>
      <c r="EA24" s="17" t="s">
        <v>3311</v>
      </c>
      <c r="EB24" s="17">
        <v>4.0201671797007003E-3</v>
      </c>
      <c r="EC24" s="17">
        <v>7.1798328202993004E-3</v>
      </c>
      <c r="ED24" s="17" t="s">
        <v>56</v>
      </c>
      <c r="EE24" s="17" t="s">
        <v>56</v>
      </c>
      <c r="EF24" s="17" t="s">
        <v>56</v>
      </c>
      <c r="EG24" s="17" t="s">
        <v>2862</v>
      </c>
      <c r="EH24" s="17" t="s">
        <v>3309</v>
      </c>
      <c r="EI24" s="17" t="s">
        <v>3312</v>
      </c>
      <c r="EJ24" s="17">
        <v>1.08477E-2</v>
      </c>
      <c r="EK24" s="17">
        <v>5.8252699999999998E-2</v>
      </c>
      <c r="EL24" s="17" t="s">
        <v>3311</v>
      </c>
      <c r="EM24" s="17">
        <v>4.8999999999999998E-3</v>
      </c>
      <c r="EN24" s="17">
        <v>1.01E-2</v>
      </c>
      <c r="EO24" s="17" t="s">
        <v>3312</v>
      </c>
      <c r="EP24" s="17">
        <v>4.3641500000000004</v>
      </c>
      <c r="EQ24" s="17">
        <v>23.435700000000001</v>
      </c>
      <c r="ER24" s="17" t="s">
        <v>3313</v>
      </c>
      <c r="ES24" s="17">
        <v>0.59340000000000004</v>
      </c>
      <c r="ET24" s="17">
        <v>1.2263999999999999</v>
      </c>
      <c r="EU24" s="17" t="s">
        <v>2862</v>
      </c>
      <c r="EV24" s="17" t="s">
        <v>3309</v>
      </c>
      <c r="EW24" s="17" t="s">
        <v>3312</v>
      </c>
      <c r="EX24" s="17">
        <v>4.3641500000000004</v>
      </c>
      <c r="EY24" s="17">
        <v>23.435700000000001</v>
      </c>
      <c r="EZ24" s="17" t="s">
        <v>3311</v>
      </c>
      <c r="FA24" s="17">
        <v>0.59340000000000004</v>
      </c>
      <c r="FB24" s="17">
        <v>1.2263999999999999</v>
      </c>
      <c r="FC24" s="17" t="s">
        <v>56</v>
      </c>
      <c r="FD24" s="17" t="s">
        <v>56</v>
      </c>
      <c r="FE24" s="17" t="s">
        <v>56</v>
      </c>
      <c r="FF24" s="17" t="s">
        <v>56</v>
      </c>
      <c r="FG24" s="17" t="s">
        <v>56</v>
      </c>
      <c r="FH24" s="17" t="s">
        <v>56</v>
      </c>
      <c r="FI24" s="17" t="s">
        <v>56</v>
      </c>
      <c r="FJ24" s="17" t="s">
        <v>56</v>
      </c>
      <c r="FK24" s="17" t="s">
        <v>56</v>
      </c>
      <c r="FL24" s="17" t="s">
        <v>56</v>
      </c>
      <c r="FM24" s="17" t="s">
        <v>56</v>
      </c>
      <c r="FN24" s="17" t="s">
        <v>56</v>
      </c>
      <c r="FO24" s="17" t="s">
        <v>56</v>
      </c>
      <c r="FP24" s="17" t="s">
        <v>56</v>
      </c>
      <c r="FQ24" s="17" t="s">
        <v>56</v>
      </c>
      <c r="FR24" s="17" t="s">
        <v>56</v>
      </c>
      <c r="FS24" s="17" t="s">
        <v>56</v>
      </c>
      <c r="FT24" s="17" t="s">
        <v>56</v>
      </c>
      <c r="FU24" s="17">
        <v>194.505413823954</v>
      </c>
      <c r="FV24" s="17">
        <v>1044.5036322660801</v>
      </c>
      <c r="FW24" s="17" t="s">
        <v>56</v>
      </c>
      <c r="FX24" s="17" t="s">
        <v>56</v>
      </c>
      <c r="FY24" s="17" t="s">
        <v>56</v>
      </c>
      <c r="FZ24" s="17" t="s">
        <v>56</v>
      </c>
      <c r="GA24" s="17" t="s">
        <v>56</v>
      </c>
      <c r="GB24" s="17" t="s">
        <v>56</v>
      </c>
      <c r="GC24" s="17" t="s">
        <v>56</v>
      </c>
      <c r="GD24" s="17" t="s">
        <v>2969</v>
      </c>
      <c r="GE24" s="17" t="s">
        <v>2969</v>
      </c>
      <c r="GF24" s="17" t="s">
        <v>56</v>
      </c>
      <c r="GG24" s="17" t="s">
        <v>2818</v>
      </c>
      <c r="GH24" s="17" t="s">
        <v>2818</v>
      </c>
      <c r="GI24" s="17" t="s">
        <v>1111</v>
      </c>
      <c r="GJ24" s="17" t="s">
        <v>1111</v>
      </c>
      <c r="GK24" s="17" t="s">
        <v>1111</v>
      </c>
      <c r="GL24" s="17"/>
    </row>
    <row r="25" spans="2:194" x14ac:dyDescent="0.25">
      <c r="B25" s="17" t="s">
        <v>2840</v>
      </c>
      <c r="C25" s="17" t="s">
        <v>70</v>
      </c>
      <c r="D25" s="17" t="s">
        <v>3411</v>
      </c>
      <c r="E25" s="17" t="s">
        <v>3412</v>
      </c>
      <c r="F25" s="17" t="s">
        <v>3237</v>
      </c>
      <c r="G25" s="17" t="s">
        <v>3413</v>
      </c>
      <c r="H25" s="17"/>
      <c r="I25" s="17" t="s">
        <v>2797</v>
      </c>
      <c r="J25" s="17" t="s">
        <v>3403</v>
      </c>
      <c r="K25" s="17" t="s">
        <v>2653</v>
      </c>
      <c r="L25" s="17" t="s">
        <v>2800</v>
      </c>
      <c r="M25" s="17" t="s">
        <v>3414</v>
      </c>
      <c r="N25" s="17" t="s">
        <v>1325</v>
      </c>
      <c r="O25" s="17" t="s">
        <v>2813</v>
      </c>
      <c r="P25" s="17" t="s">
        <v>2814</v>
      </c>
      <c r="Q25" s="17" t="s">
        <v>3616</v>
      </c>
      <c r="R25" s="17">
        <v>17897433.710000001</v>
      </c>
      <c r="S25" s="17">
        <v>4974456.4000000004</v>
      </c>
      <c r="T25" s="17">
        <v>18587154.18</v>
      </c>
      <c r="U25" s="17" t="s">
        <v>2817</v>
      </c>
      <c r="V25" s="17" t="s">
        <v>939</v>
      </c>
      <c r="W25" s="17" t="s">
        <v>2816</v>
      </c>
      <c r="X25" s="17" t="s">
        <v>3403</v>
      </c>
      <c r="Y25" s="17" t="s">
        <v>56</v>
      </c>
      <c r="Z25" s="17" t="s">
        <v>3616</v>
      </c>
      <c r="AA25" s="17" t="s">
        <v>2801</v>
      </c>
      <c r="AB25" s="17">
        <v>2.1629</v>
      </c>
      <c r="AC25" s="17" t="s">
        <v>3616</v>
      </c>
      <c r="AD25" s="17" t="s">
        <v>2804</v>
      </c>
      <c r="AE25" s="17">
        <v>319397</v>
      </c>
      <c r="AF25" s="17" t="s">
        <v>2839</v>
      </c>
      <c r="AG25" s="17" t="s">
        <v>3617</v>
      </c>
      <c r="AH25" s="17" t="s">
        <v>2806</v>
      </c>
      <c r="AI25" s="17"/>
      <c r="AJ25" s="17" t="s">
        <v>56</v>
      </c>
      <c r="AK25" s="17" t="s">
        <v>56</v>
      </c>
      <c r="AL25" s="17" t="s">
        <v>56</v>
      </c>
      <c r="AM25" s="17" t="s">
        <v>56</v>
      </c>
      <c r="AN25" s="17" t="s">
        <v>56</v>
      </c>
      <c r="AO25" s="17" t="s">
        <v>56</v>
      </c>
      <c r="AP25" s="17" t="s">
        <v>56</v>
      </c>
      <c r="AQ25" s="17" t="s">
        <v>56</v>
      </c>
      <c r="AR25" s="17" t="s">
        <v>56</v>
      </c>
      <c r="AS25" s="17">
        <v>677.19899999999996</v>
      </c>
      <c r="AT25" s="17">
        <v>82.007599999999996</v>
      </c>
      <c r="AU25" s="17">
        <v>435.83600000000001</v>
      </c>
      <c r="AV25" s="17" t="s">
        <v>56</v>
      </c>
      <c r="AW25" s="17" t="s">
        <v>56</v>
      </c>
      <c r="AX25" s="17" t="s">
        <v>56</v>
      </c>
      <c r="AY25" s="17">
        <v>561.97</v>
      </c>
      <c r="AZ25" s="17">
        <v>68.053600000000003</v>
      </c>
      <c r="BA25" s="17">
        <v>361.67599999999999</v>
      </c>
      <c r="BB25" s="17" t="s">
        <v>56</v>
      </c>
      <c r="BC25" s="17" t="s">
        <v>56</v>
      </c>
      <c r="BD25" s="17" t="s">
        <v>56</v>
      </c>
      <c r="BE25" s="17" t="s">
        <v>56</v>
      </c>
      <c r="BF25" s="17" t="s">
        <v>56</v>
      </c>
      <c r="BG25" s="17" t="s">
        <v>56</v>
      </c>
      <c r="BH25" s="17" t="s">
        <v>56</v>
      </c>
      <c r="BI25" s="17" t="s">
        <v>56</v>
      </c>
      <c r="BJ25" s="17" t="s">
        <v>56</v>
      </c>
      <c r="BK25" s="17" t="s">
        <v>56</v>
      </c>
      <c r="BL25" s="17" t="s">
        <v>56</v>
      </c>
      <c r="BM25" s="17" t="s">
        <v>56</v>
      </c>
      <c r="BN25" s="17" t="s">
        <v>56</v>
      </c>
      <c r="BO25" s="17" t="s">
        <v>56</v>
      </c>
      <c r="BP25" s="17" t="s">
        <v>56</v>
      </c>
      <c r="BQ25" s="17" t="s">
        <v>56</v>
      </c>
      <c r="BR25" s="17" t="s">
        <v>56</v>
      </c>
      <c r="BS25" s="17" t="s">
        <v>56</v>
      </c>
      <c r="BT25" s="17" t="s">
        <v>56</v>
      </c>
      <c r="BU25" s="17" t="s">
        <v>56</v>
      </c>
      <c r="BV25" s="17" t="s">
        <v>56</v>
      </c>
      <c r="BW25" s="17" t="s">
        <v>56</v>
      </c>
      <c r="BX25" s="17" t="s">
        <v>2818</v>
      </c>
      <c r="BY25" s="17" t="s">
        <v>1111</v>
      </c>
      <c r="BZ25" s="17" t="s">
        <v>56</v>
      </c>
      <c r="CA25" s="17" t="s">
        <v>56</v>
      </c>
      <c r="CB25" s="17" t="s">
        <v>1325</v>
      </c>
      <c r="CC25" s="17" t="s">
        <v>1325</v>
      </c>
      <c r="CD25" s="17" t="s">
        <v>1325</v>
      </c>
      <c r="CE25" s="17" t="s">
        <v>1325</v>
      </c>
      <c r="CF25" s="17" t="s">
        <v>1325</v>
      </c>
      <c r="CG25" s="17" t="s">
        <v>1325</v>
      </c>
      <c r="CH25" s="17" t="s">
        <v>1325</v>
      </c>
      <c r="CI25" s="17" t="s">
        <v>1325</v>
      </c>
      <c r="CJ25" s="17" t="s">
        <v>1325</v>
      </c>
      <c r="CK25" s="17" t="s">
        <v>1325</v>
      </c>
      <c r="CL25" s="17" t="s">
        <v>1325</v>
      </c>
      <c r="CM25" s="17" t="s">
        <v>1325</v>
      </c>
      <c r="CN25" s="17" t="s">
        <v>1325</v>
      </c>
      <c r="CO25" s="17" t="s">
        <v>1325</v>
      </c>
      <c r="CP25" s="17" t="s">
        <v>1325</v>
      </c>
      <c r="CQ25" s="17" t="s">
        <v>1325</v>
      </c>
      <c r="CR25" s="17" t="s">
        <v>1325</v>
      </c>
      <c r="CS25" s="17" t="s">
        <v>1325</v>
      </c>
      <c r="CT25" s="17" t="s">
        <v>1325</v>
      </c>
      <c r="CU25" s="17" t="s">
        <v>1325</v>
      </c>
      <c r="CV25" s="17" t="s">
        <v>1325</v>
      </c>
      <c r="CW25" s="17" t="s">
        <v>56</v>
      </c>
      <c r="CX25" s="17" t="s">
        <v>56</v>
      </c>
      <c r="CY25" s="17" t="s">
        <v>56</v>
      </c>
      <c r="CZ25" s="17">
        <v>319397</v>
      </c>
      <c r="DA25" s="17">
        <v>319397</v>
      </c>
      <c r="DB25" s="17">
        <v>319397</v>
      </c>
      <c r="DC25" s="17"/>
      <c r="DD25" s="17"/>
      <c r="DE25" s="17"/>
      <c r="DF25" s="17" t="s">
        <v>3415</v>
      </c>
      <c r="DG25" s="17" t="s">
        <v>3452</v>
      </c>
      <c r="DH25" s="17" t="s">
        <v>3237</v>
      </c>
      <c r="DI25" s="17" t="s">
        <v>3453</v>
      </c>
      <c r="DJ25" s="17" t="s">
        <v>3405</v>
      </c>
      <c r="DK25" s="17" t="s">
        <v>3320</v>
      </c>
      <c r="DL25" s="17" t="s">
        <v>3418</v>
      </c>
      <c r="DM25" s="17">
        <v>1.45E-4</v>
      </c>
      <c r="DN25" s="17">
        <v>46.3</v>
      </c>
      <c r="DO25" s="17">
        <v>0.42855278033935801</v>
      </c>
      <c r="DP25" s="17" t="s">
        <v>3308</v>
      </c>
      <c r="DQ25" s="17" t="s">
        <v>2839</v>
      </c>
      <c r="DR25" s="17" t="s">
        <v>56</v>
      </c>
      <c r="DS25" s="17" t="s">
        <v>56</v>
      </c>
      <c r="DT25" s="17" t="s">
        <v>56</v>
      </c>
      <c r="DU25" s="17" t="s">
        <v>56</v>
      </c>
      <c r="DV25" s="17" t="s">
        <v>2862</v>
      </c>
      <c r="DW25" s="17" t="s">
        <v>3309</v>
      </c>
      <c r="DX25" s="17" t="s">
        <v>3310</v>
      </c>
      <c r="DY25" s="17">
        <v>9.7795896448127796E-3</v>
      </c>
      <c r="DZ25" s="17">
        <v>2.7520410355187201E-2</v>
      </c>
      <c r="EA25" s="17" t="s">
        <v>3311</v>
      </c>
      <c r="EB25" s="17">
        <v>4.0201671797007003E-3</v>
      </c>
      <c r="EC25" s="17">
        <v>7.1798328202993004E-3</v>
      </c>
      <c r="ED25" s="17" t="s">
        <v>56</v>
      </c>
      <c r="EE25" s="17" t="s">
        <v>56</v>
      </c>
      <c r="EF25" s="17" t="s">
        <v>56</v>
      </c>
      <c r="EG25" s="17" t="s">
        <v>2862</v>
      </c>
      <c r="EH25" s="17" t="s">
        <v>3309</v>
      </c>
      <c r="EI25" s="17" t="s">
        <v>3312</v>
      </c>
      <c r="EJ25" s="17">
        <v>1.08477E-2</v>
      </c>
      <c r="EK25" s="17">
        <v>5.8252699999999998E-2</v>
      </c>
      <c r="EL25" s="17" t="s">
        <v>3311</v>
      </c>
      <c r="EM25" s="17">
        <v>4.8999999999999998E-3</v>
      </c>
      <c r="EN25" s="17">
        <v>1.01E-2</v>
      </c>
      <c r="EO25" s="17" t="s">
        <v>3312</v>
      </c>
      <c r="EP25" s="17">
        <v>4.3641500000000004</v>
      </c>
      <c r="EQ25" s="17">
        <v>23.435700000000001</v>
      </c>
      <c r="ER25" s="17" t="s">
        <v>3313</v>
      </c>
      <c r="ES25" s="17">
        <v>0.59340000000000004</v>
      </c>
      <c r="ET25" s="17">
        <v>1.2263999999999999</v>
      </c>
      <c r="EU25" s="17" t="s">
        <v>2862</v>
      </c>
      <c r="EV25" s="17" t="s">
        <v>3309</v>
      </c>
      <c r="EW25" s="17" t="s">
        <v>3312</v>
      </c>
      <c r="EX25" s="17">
        <v>4.3641500000000004</v>
      </c>
      <c r="EY25" s="17">
        <v>23.435700000000001</v>
      </c>
      <c r="EZ25" s="17" t="s">
        <v>3311</v>
      </c>
      <c r="FA25" s="17">
        <v>0.59340000000000004</v>
      </c>
      <c r="FB25" s="17">
        <v>1.2263999999999999</v>
      </c>
      <c r="FC25" s="17" t="s">
        <v>56</v>
      </c>
      <c r="FD25" s="17" t="s">
        <v>56</v>
      </c>
      <c r="FE25" s="17" t="s">
        <v>56</v>
      </c>
      <c r="FF25" s="17" t="s">
        <v>56</v>
      </c>
      <c r="FG25" s="17" t="s">
        <v>56</v>
      </c>
      <c r="FH25" s="17" t="s">
        <v>56</v>
      </c>
      <c r="FI25" s="17" t="s">
        <v>56</v>
      </c>
      <c r="FJ25" s="17" t="s">
        <v>56</v>
      </c>
      <c r="FK25" s="17" t="s">
        <v>56</v>
      </c>
      <c r="FL25" s="17" t="s">
        <v>56</v>
      </c>
      <c r="FM25" s="17" t="s">
        <v>56</v>
      </c>
      <c r="FN25" s="17" t="s">
        <v>56</v>
      </c>
      <c r="FO25" s="17" t="s">
        <v>56</v>
      </c>
      <c r="FP25" s="17" t="s">
        <v>56</v>
      </c>
      <c r="FQ25" s="17" t="s">
        <v>56</v>
      </c>
      <c r="FR25" s="17" t="s">
        <v>56</v>
      </c>
      <c r="FS25" s="17" t="s">
        <v>56</v>
      </c>
      <c r="FT25" s="17" t="s">
        <v>56</v>
      </c>
      <c r="FU25" s="17">
        <v>194.507936079209</v>
      </c>
      <c r="FV25" s="17">
        <v>1044.51717690077</v>
      </c>
      <c r="FW25" s="17" t="s">
        <v>56</v>
      </c>
      <c r="FX25" s="17" t="s">
        <v>56</v>
      </c>
      <c r="FY25" s="17" t="s">
        <v>56</v>
      </c>
      <c r="FZ25" s="17" t="s">
        <v>56</v>
      </c>
      <c r="GA25" s="17" t="s">
        <v>56</v>
      </c>
      <c r="GB25" s="17" t="s">
        <v>56</v>
      </c>
      <c r="GC25" s="17" t="s">
        <v>56</v>
      </c>
      <c r="GD25" s="17" t="s">
        <v>2969</v>
      </c>
      <c r="GE25" s="17" t="s">
        <v>2969</v>
      </c>
      <c r="GF25" s="17" t="s">
        <v>56</v>
      </c>
      <c r="GG25" s="17" t="s">
        <v>2818</v>
      </c>
      <c r="GH25" s="17" t="s">
        <v>2818</v>
      </c>
      <c r="GI25" s="17" t="s">
        <v>1111</v>
      </c>
      <c r="GJ25" s="17" t="s">
        <v>1111</v>
      </c>
      <c r="GK25" s="17" t="s">
        <v>1111</v>
      </c>
      <c r="GL25" s="17"/>
    </row>
    <row r="26" spans="2:194" x14ac:dyDescent="0.25">
      <c r="B26" s="17" t="s">
        <v>2840</v>
      </c>
      <c r="C26" s="17" t="s">
        <v>70</v>
      </c>
      <c r="D26" s="17" t="s">
        <v>3411</v>
      </c>
      <c r="E26" s="17" t="s">
        <v>3412</v>
      </c>
      <c r="F26" s="17" t="s">
        <v>3237</v>
      </c>
      <c r="G26" s="17" t="s">
        <v>3413</v>
      </c>
      <c r="H26" s="17"/>
      <c r="I26" s="17" t="s">
        <v>2797</v>
      </c>
      <c r="J26" s="17" t="s">
        <v>3403</v>
      </c>
      <c r="K26" s="17" t="s">
        <v>2653</v>
      </c>
      <c r="L26" s="17" t="s">
        <v>2800</v>
      </c>
      <c r="M26" s="17" t="s">
        <v>3414</v>
      </c>
      <c r="N26" s="17" t="s">
        <v>1325</v>
      </c>
      <c r="O26" s="17" t="s">
        <v>2813</v>
      </c>
      <c r="P26" s="17" t="s">
        <v>2814</v>
      </c>
      <c r="Q26" s="17" t="s">
        <v>3616</v>
      </c>
      <c r="R26" s="17">
        <v>17897433.710000001</v>
      </c>
      <c r="S26" s="17">
        <v>4974456.4000000004</v>
      </c>
      <c r="T26" s="17">
        <v>18587154.18</v>
      </c>
      <c r="U26" s="17" t="s">
        <v>2817</v>
      </c>
      <c r="V26" s="17" t="s">
        <v>939</v>
      </c>
      <c r="W26" s="17" t="s">
        <v>2816</v>
      </c>
      <c r="X26" s="17" t="s">
        <v>3403</v>
      </c>
      <c r="Y26" s="17" t="s">
        <v>56</v>
      </c>
      <c r="Z26" s="17" t="s">
        <v>3616</v>
      </c>
      <c r="AA26" s="17" t="s">
        <v>2801</v>
      </c>
      <c r="AB26" s="17">
        <v>2.1629</v>
      </c>
      <c r="AC26" s="17" t="s">
        <v>3616</v>
      </c>
      <c r="AD26" s="17" t="s">
        <v>2804</v>
      </c>
      <c r="AE26" s="17">
        <v>319397</v>
      </c>
      <c r="AF26" s="17" t="s">
        <v>2839</v>
      </c>
      <c r="AG26" s="17" t="s">
        <v>3617</v>
      </c>
      <c r="AH26" s="17" t="s">
        <v>2806</v>
      </c>
      <c r="AI26" s="17"/>
      <c r="AJ26" s="17" t="s">
        <v>56</v>
      </c>
      <c r="AK26" s="17" t="s">
        <v>56</v>
      </c>
      <c r="AL26" s="17" t="s">
        <v>56</v>
      </c>
      <c r="AM26" s="17" t="s">
        <v>56</v>
      </c>
      <c r="AN26" s="17" t="s">
        <v>56</v>
      </c>
      <c r="AO26" s="17" t="s">
        <v>56</v>
      </c>
      <c r="AP26" s="17" t="s">
        <v>56</v>
      </c>
      <c r="AQ26" s="17" t="s">
        <v>56</v>
      </c>
      <c r="AR26" s="17" t="s">
        <v>56</v>
      </c>
      <c r="AS26" s="17">
        <v>677.19899999999996</v>
      </c>
      <c r="AT26" s="17">
        <v>82.007599999999996</v>
      </c>
      <c r="AU26" s="17">
        <v>435.83600000000001</v>
      </c>
      <c r="AV26" s="17" t="s">
        <v>56</v>
      </c>
      <c r="AW26" s="17" t="s">
        <v>56</v>
      </c>
      <c r="AX26" s="17" t="s">
        <v>56</v>
      </c>
      <c r="AY26" s="17">
        <v>561.97</v>
      </c>
      <c r="AZ26" s="17">
        <v>68.053600000000003</v>
      </c>
      <c r="BA26" s="17">
        <v>361.67599999999999</v>
      </c>
      <c r="BB26" s="17" t="s">
        <v>56</v>
      </c>
      <c r="BC26" s="17" t="s">
        <v>56</v>
      </c>
      <c r="BD26" s="17" t="s">
        <v>56</v>
      </c>
      <c r="BE26" s="17" t="s">
        <v>56</v>
      </c>
      <c r="BF26" s="17" t="s">
        <v>56</v>
      </c>
      <c r="BG26" s="17" t="s">
        <v>56</v>
      </c>
      <c r="BH26" s="17" t="s">
        <v>56</v>
      </c>
      <c r="BI26" s="17" t="s">
        <v>56</v>
      </c>
      <c r="BJ26" s="17" t="s">
        <v>56</v>
      </c>
      <c r="BK26" s="17" t="s">
        <v>56</v>
      </c>
      <c r="BL26" s="17" t="s">
        <v>56</v>
      </c>
      <c r="BM26" s="17" t="s">
        <v>56</v>
      </c>
      <c r="BN26" s="17" t="s">
        <v>56</v>
      </c>
      <c r="BO26" s="17" t="s">
        <v>56</v>
      </c>
      <c r="BP26" s="17" t="s">
        <v>56</v>
      </c>
      <c r="BQ26" s="17" t="s">
        <v>56</v>
      </c>
      <c r="BR26" s="17" t="s">
        <v>56</v>
      </c>
      <c r="BS26" s="17" t="s">
        <v>56</v>
      </c>
      <c r="BT26" s="17" t="s">
        <v>56</v>
      </c>
      <c r="BU26" s="17" t="s">
        <v>56</v>
      </c>
      <c r="BV26" s="17" t="s">
        <v>56</v>
      </c>
      <c r="BW26" s="17" t="s">
        <v>56</v>
      </c>
      <c r="BX26" s="17" t="s">
        <v>2818</v>
      </c>
      <c r="BY26" s="17" t="s">
        <v>1111</v>
      </c>
      <c r="BZ26" s="17" t="s">
        <v>56</v>
      </c>
      <c r="CA26" s="17" t="s">
        <v>56</v>
      </c>
      <c r="CB26" s="17" t="s">
        <v>1325</v>
      </c>
      <c r="CC26" s="17" t="s">
        <v>1325</v>
      </c>
      <c r="CD26" s="17" t="s">
        <v>1325</v>
      </c>
      <c r="CE26" s="17" t="s">
        <v>1325</v>
      </c>
      <c r="CF26" s="17" t="s">
        <v>1325</v>
      </c>
      <c r="CG26" s="17" t="s">
        <v>1325</v>
      </c>
      <c r="CH26" s="17" t="s">
        <v>1325</v>
      </c>
      <c r="CI26" s="17" t="s">
        <v>1325</v>
      </c>
      <c r="CJ26" s="17" t="s">
        <v>1325</v>
      </c>
      <c r="CK26" s="17" t="s">
        <v>1325</v>
      </c>
      <c r="CL26" s="17" t="s">
        <v>1325</v>
      </c>
      <c r="CM26" s="17" t="s">
        <v>1325</v>
      </c>
      <c r="CN26" s="17" t="s">
        <v>1325</v>
      </c>
      <c r="CO26" s="17" t="s">
        <v>1325</v>
      </c>
      <c r="CP26" s="17" t="s">
        <v>1325</v>
      </c>
      <c r="CQ26" s="17" t="s">
        <v>1325</v>
      </c>
      <c r="CR26" s="17" t="s">
        <v>1325</v>
      </c>
      <c r="CS26" s="17" t="s">
        <v>1325</v>
      </c>
      <c r="CT26" s="17" t="s">
        <v>1325</v>
      </c>
      <c r="CU26" s="17" t="s">
        <v>1325</v>
      </c>
      <c r="CV26" s="17" t="s">
        <v>1325</v>
      </c>
      <c r="CW26" s="17" t="s">
        <v>56</v>
      </c>
      <c r="CX26" s="17" t="s">
        <v>56</v>
      </c>
      <c r="CY26" s="17" t="s">
        <v>56</v>
      </c>
      <c r="CZ26" s="17">
        <v>319397</v>
      </c>
      <c r="DA26" s="17">
        <v>319397</v>
      </c>
      <c r="DB26" s="17">
        <v>319397</v>
      </c>
      <c r="DC26" s="17"/>
      <c r="DD26" s="17"/>
      <c r="DE26" s="17"/>
      <c r="DF26" s="17" t="s">
        <v>3415</v>
      </c>
      <c r="DG26" s="17" t="s">
        <v>3454</v>
      </c>
      <c r="DH26" s="17" t="s">
        <v>3237</v>
      </c>
      <c r="DI26" s="17" t="s">
        <v>3455</v>
      </c>
      <c r="DJ26" s="17" t="s">
        <v>3307</v>
      </c>
      <c r="DK26" s="17" t="s">
        <v>3320</v>
      </c>
      <c r="DL26" s="17" t="s">
        <v>3418</v>
      </c>
      <c r="DM26" s="17">
        <v>5.4219999999999997E-3</v>
      </c>
      <c r="DN26" s="17">
        <v>1731.8</v>
      </c>
      <c r="DO26" s="17">
        <v>0.61460800786728098</v>
      </c>
      <c r="DP26" s="17" t="s">
        <v>3308</v>
      </c>
      <c r="DQ26" s="17" t="s">
        <v>2839</v>
      </c>
      <c r="DR26" s="17" t="s">
        <v>56</v>
      </c>
      <c r="DS26" s="17" t="s">
        <v>56</v>
      </c>
      <c r="DT26" s="17" t="s">
        <v>56</v>
      </c>
      <c r="DU26" s="17" t="s">
        <v>56</v>
      </c>
      <c r="DV26" s="17" t="s">
        <v>2862</v>
      </c>
      <c r="DW26" s="17" t="s">
        <v>3309</v>
      </c>
      <c r="DX26" s="17" t="s">
        <v>3310</v>
      </c>
      <c r="DY26" s="17">
        <v>2.09749911953089E-3</v>
      </c>
      <c r="DZ26" s="17">
        <v>5.9025008804691097E-3</v>
      </c>
      <c r="EA26" s="17" t="s">
        <v>3311</v>
      </c>
      <c r="EB26" s="17">
        <v>8.6146439565015103E-4</v>
      </c>
      <c r="EC26" s="17">
        <v>1.5385356043498501E-3</v>
      </c>
      <c r="ED26" s="17" t="s">
        <v>56</v>
      </c>
      <c r="EE26" s="17" t="s">
        <v>56</v>
      </c>
      <c r="EF26" s="17" t="s">
        <v>56</v>
      </c>
      <c r="EG26" s="17" t="s">
        <v>2862</v>
      </c>
      <c r="EH26" s="17" t="s">
        <v>3309</v>
      </c>
      <c r="EI26" s="17" t="s">
        <v>3312</v>
      </c>
      <c r="EJ26" s="17">
        <v>1.08477E-2</v>
      </c>
      <c r="EK26" s="17">
        <v>5.8252699999999998E-2</v>
      </c>
      <c r="EL26" s="17" t="s">
        <v>3311</v>
      </c>
      <c r="EM26" s="17">
        <v>4.8999999999999998E-3</v>
      </c>
      <c r="EN26" s="17">
        <v>1.01E-2</v>
      </c>
      <c r="EO26" s="17" t="s">
        <v>3312</v>
      </c>
      <c r="EP26" s="17">
        <v>4.3641500000000004</v>
      </c>
      <c r="EQ26" s="17">
        <v>23.435700000000001</v>
      </c>
      <c r="ER26" s="17" t="s">
        <v>3313</v>
      </c>
      <c r="ES26" s="17">
        <v>0.59340000000000004</v>
      </c>
      <c r="ET26" s="17">
        <v>1.2263999999999999</v>
      </c>
      <c r="EU26" s="17" t="s">
        <v>2862</v>
      </c>
      <c r="EV26" s="17" t="s">
        <v>3309</v>
      </c>
      <c r="EW26" s="17" t="s">
        <v>3312</v>
      </c>
      <c r="EX26" s="17">
        <v>4.3641500000000004</v>
      </c>
      <c r="EY26" s="17">
        <v>23.435700000000001</v>
      </c>
      <c r="EZ26" s="17" t="s">
        <v>3311</v>
      </c>
      <c r="FA26" s="17">
        <v>0.59340000000000004</v>
      </c>
      <c r="FB26" s="17">
        <v>1.2263999999999999</v>
      </c>
      <c r="FC26" s="17" t="s">
        <v>56</v>
      </c>
      <c r="FD26" s="17" t="s">
        <v>56</v>
      </c>
      <c r="FE26" s="17" t="s">
        <v>56</v>
      </c>
      <c r="FF26" s="17" t="s">
        <v>56</v>
      </c>
      <c r="FG26" s="17" t="s">
        <v>56</v>
      </c>
      <c r="FH26" s="17" t="s">
        <v>56</v>
      </c>
      <c r="FI26" s="17" t="s">
        <v>56</v>
      </c>
      <c r="FJ26" s="17" t="s">
        <v>56</v>
      </c>
      <c r="FK26" s="17" t="s">
        <v>56</v>
      </c>
      <c r="FL26" s="17" t="s">
        <v>56</v>
      </c>
      <c r="FM26" s="17" t="s">
        <v>56</v>
      </c>
      <c r="FN26" s="17" t="s">
        <v>56</v>
      </c>
      <c r="FO26" s="17" t="s">
        <v>56</v>
      </c>
      <c r="FP26" s="17" t="s">
        <v>56</v>
      </c>
      <c r="FQ26" s="17" t="s">
        <v>56</v>
      </c>
      <c r="FR26" s="17" t="s">
        <v>56</v>
      </c>
      <c r="FS26" s="17" t="s">
        <v>56</v>
      </c>
      <c r="FT26" s="17" t="s">
        <v>56</v>
      </c>
      <c r="FU26" s="17">
        <v>278.953119872998</v>
      </c>
      <c r="FV26" s="17">
        <v>1497.99196439344</v>
      </c>
      <c r="FW26" s="17" t="s">
        <v>56</v>
      </c>
      <c r="FX26" s="17" t="s">
        <v>56</v>
      </c>
      <c r="FY26" s="17" t="s">
        <v>56</v>
      </c>
      <c r="FZ26" s="17" t="s">
        <v>56</v>
      </c>
      <c r="GA26" s="17" t="s">
        <v>56</v>
      </c>
      <c r="GB26" s="17" t="s">
        <v>56</v>
      </c>
      <c r="GC26" s="17" t="s">
        <v>56</v>
      </c>
      <c r="GD26" s="17" t="s">
        <v>2969</v>
      </c>
      <c r="GE26" s="17" t="s">
        <v>2969</v>
      </c>
      <c r="GF26" s="17" t="s">
        <v>56</v>
      </c>
      <c r="GG26" s="17" t="s">
        <v>2818</v>
      </c>
      <c r="GH26" s="17" t="s">
        <v>2818</v>
      </c>
      <c r="GI26" s="17" t="s">
        <v>1111</v>
      </c>
      <c r="GJ26" s="17" t="s">
        <v>1111</v>
      </c>
      <c r="GK26" s="17" t="s">
        <v>1111</v>
      </c>
      <c r="GL26" s="17"/>
    </row>
    <row r="27" spans="2:194" x14ac:dyDescent="0.25">
      <c r="B27" s="17" t="s">
        <v>2840</v>
      </c>
      <c r="C27" s="17" t="s">
        <v>70</v>
      </c>
      <c r="D27" s="17" t="s">
        <v>3411</v>
      </c>
      <c r="E27" s="17" t="s">
        <v>3412</v>
      </c>
      <c r="F27" s="17" t="s">
        <v>3237</v>
      </c>
      <c r="G27" s="17" t="s">
        <v>3413</v>
      </c>
      <c r="H27" s="17"/>
      <c r="I27" s="17" t="s">
        <v>2797</v>
      </c>
      <c r="J27" s="17" t="s">
        <v>3403</v>
      </c>
      <c r="K27" s="17" t="s">
        <v>2653</v>
      </c>
      <c r="L27" s="17" t="s">
        <v>2800</v>
      </c>
      <c r="M27" s="17" t="s">
        <v>3414</v>
      </c>
      <c r="N27" s="17" t="s">
        <v>1325</v>
      </c>
      <c r="O27" s="17" t="s">
        <v>2813</v>
      </c>
      <c r="P27" s="17" t="s">
        <v>2814</v>
      </c>
      <c r="Q27" s="17" t="s">
        <v>3616</v>
      </c>
      <c r="R27" s="17">
        <v>17897433.710000001</v>
      </c>
      <c r="S27" s="17">
        <v>4974456.4000000004</v>
      </c>
      <c r="T27" s="17">
        <v>18587154.18</v>
      </c>
      <c r="U27" s="17" t="s">
        <v>2817</v>
      </c>
      <c r="V27" s="17" t="s">
        <v>939</v>
      </c>
      <c r="W27" s="17" t="s">
        <v>2816</v>
      </c>
      <c r="X27" s="17" t="s">
        <v>3403</v>
      </c>
      <c r="Y27" s="17" t="s">
        <v>56</v>
      </c>
      <c r="Z27" s="17" t="s">
        <v>3616</v>
      </c>
      <c r="AA27" s="17" t="s">
        <v>2801</v>
      </c>
      <c r="AB27" s="17">
        <v>2.1629</v>
      </c>
      <c r="AC27" s="17" t="s">
        <v>3616</v>
      </c>
      <c r="AD27" s="17" t="s">
        <v>2804</v>
      </c>
      <c r="AE27" s="17">
        <v>319397</v>
      </c>
      <c r="AF27" s="17" t="s">
        <v>2839</v>
      </c>
      <c r="AG27" s="17" t="s">
        <v>3617</v>
      </c>
      <c r="AH27" s="17" t="s">
        <v>2806</v>
      </c>
      <c r="AI27" s="17"/>
      <c r="AJ27" s="17" t="s">
        <v>56</v>
      </c>
      <c r="AK27" s="17" t="s">
        <v>56</v>
      </c>
      <c r="AL27" s="17" t="s">
        <v>56</v>
      </c>
      <c r="AM27" s="17" t="s">
        <v>56</v>
      </c>
      <c r="AN27" s="17" t="s">
        <v>56</v>
      </c>
      <c r="AO27" s="17" t="s">
        <v>56</v>
      </c>
      <c r="AP27" s="17" t="s">
        <v>56</v>
      </c>
      <c r="AQ27" s="17" t="s">
        <v>56</v>
      </c>
      <c r="AR27" s="17" t="s">
        <v>56</v>
      </c>
      <c r="AS27" s="17">
        <v>677.19899999999996</v>
      </c>
      <c r="AT27" s="17">
        <v>82.007599999999996</v>
      </c>
      <c r="AU27" s="17">
        <v>435.83600000000001</v>
      </c>
      <c r="AV27" s="17" t="s">
        <v>56</v>
      </c>
      <c r="AW27" s="17" t="s">
        <v>56</v>
      </c>
      <c r="AX27" s="17" t="s">
        <v>56</v>
      </c>
      <c r="AY27" s="17">
        <v>561.97</v>
      </c>
      <c r="AZ27" s="17">
        <v>68.053600000000003</v>
      </c>
      <c r="BA27" s="17">
        <v>361.67599999999999</v>
      </c>
      <c r="BB27" s="17" t="s">
        <v>56</v>
      </c>
      <c r="BC27" s="17" t="s">
        <v>56</v>
      </c>
      <c r="BD27" s="17" t="s">
        <v>56</v>
      </c>
      <c r="BE27" s="17" t="s">
        <v>56</v>
      </c>
      <c r="BF27" s="17" t="s">
        <v>56</v>
      </c>
      <c r="BG27" s="17" t="s">
        <v>56</v>
      </c>
      <c r="BH27" s="17" t="s">
        <v>56</v>
      </c>
      <c r="BI27" s="17" t="s">
        <v>56</v>
      </c>
      <c r="BJ27" s="17" t="s">
        <v>56</v>
      </c>
      <c r="BK27" s="17" t="s">
        <v>56</v>
      </c>
      <c r="BL27" s="17" t="s">
        <v>56</v>
      </c>
      <c r="BM27" s="17" t="s">
        <v>56</v>
      </c>
      <c r="BN27" s="17" t="s">
        <v>56</v>
      </c>
      <c r="BO27" s="17" t="s">
        <v>56</v>
      </c>
      <c r="BP27" s="17" t="s">
        <v>56</v>
      </c>
      <c r="BQ27" s="17" t="s">
        <v>56</v>
      </c>
      <c r="BR27" s="17" t="s">
        <v>56</v>
      </c>
      <c r="BS27" s="17" t="s">
        <v>56</v>
      </c>
      <c r="BT27" s="17" t="s">
        <v>56</v>
      </c>
      <c r="BU27" s="17" t="s">
        <v>56</v>
      </c>
      <c r="BV27" s="17" t="s">
        <v>56</v>
      </c>
      <c r="BW27" s="17" t="s">
        <v>56</v>
      </c>
      <c r="BX27" s="17" t="s">
        <v>2818</v>
      </c>
      <c r="BY27" s="17" t="s">
        <v>1111</v>
      </c>
      <c r="BZ27" s="17" t="s">
        <v>56</v>
      </c>
      <c r="CA27" s="17" t="s">
        <v>56</v>
      </c>
      <c r="CB27" s="17" t="s">
        <v>1325</v>
      </c>
      <c r="CC27" s="17" t="s">
        <v>1325</v>
      </c>
      <c r="CD27" s="17" t="s">
        <v>1325</v>
      </c>
      <c r="CE27" s="17" t="s">
        <v>1325</v>
      </c>
      <c r="CF27" s="17" t="s">
        <v>1325</v>
      </c>
      <c r="CG27" s="17" t="s">
        <v>1325</v>
      </c>
      <c r="CH27" s="17" t="s">
        <v>1325</v>
      </c>
      <c r="CI27" s="17" t="s">
        <v>1325</v>
      </c>
      <c r="CJ27" s="17" t="s">
        <v>1325</v>
      </c>
      <c r="CK27" s="17" t="s">
        <v>1325</v>
      </c>
      <c r="CL27" s="17" t="s">
        <v>1325</v>
      </c>
      <c r="CM27" s="17" t="s">
        <v>1325</v>
      </c>
      <c r="CN27" s="17" t="s">
        <v>1325</v>
      </c>
      <c r="CO27" s="17" t="s">
        <v>1325</v>
      </c>
      <c r="CP27" s="17" t="s">
        <v>1325</v>
      </c>
      <c r="CQ27" s="17" t="s">
        <v>1325</v>
      </c>
      <c r="CR27" s="17" t="s">
        <v>1325</v>
      </c>
      <c r="CS27" s="17" t="s">
        <v>1325</v>
      </c>
      <c r="CT27" s="17" t="s">
        <v>1325</v>
      </c>
      <c r="CU27" s="17" t="s">
        <v>1325</v>
      </c>
      <c r="CV27" s="17" t="s">
        <v>1325</v>
      </c>
      <c r="CW27" s="17" t="s">
        <v>56</v>
      </c>
      <c r="CX27" s="17" t="s">
        <v>56</v>
      </c>
      <c r="CY27" s="17" t="s">
        <v>56</v>
      </c>
      <c r="CZ27" s="17">
        <v>319397</v>
      </c>
      <c r="DA27" s="17">
        <v>319397</v>
      </c>
      <c r="DB27" s="17">
        <v>319397</v>
      </c>
      <c r="DC27" s="17"/>
      <c r="DD27" s="17"/>
      <c r="DE27" s="17"/>
      <c r="DF27" s="17" t="s">
        <v>3415</v>
      </c>
      <c r="DG27" s="17" t="s">
        <v>3456</v>
      </c>
      <c r="DH27" s="17" t="s">
        <v>3237</v>
      </c>
      <c r="DI27" s="17" t="s">
        <v>3457</v>
      </c>
      <c r="DJ27" s="17" t="s">
        <v>3405</v>
      </c>
      <c r="DK27" s="17" t="s">
        <v>3320</v>
      </c>
      <c r="DL27" s="17" t="s">
        <v>3418</v>
      </c>
      <c r="DM27" s="17">
        <v>1.1900000000000001E-4</v>
      </c>
      <c r="DN27" s="17">
        <v>38</v>
      </c>
      <c r="DO27" s="17">
        <v>0.42853028955056099</v>
      </c>
      <c r="DP27" s="17" t="s">
        <v>3308</v>
      </c>
      <c r="DQ27" s="17" t="s">
        <v>2839</v>
      </c>
      <c r="DR27" s="17" t="s">
        <v>56</v>
      </c>
      <c r="DS27" s="17" t="s">
        <v>56</v>
      </c>
      <c r="DT27" s="17" t="s">
        <v>56</v>
      </c>
      <c r="DU27" s="17" t="s">
        <v>56</v>
      </c>
      <c r="DV27" s="17" t="s">
        <v>2862</v>
      </c>
      <c r="DW27" s="17" t="s">
        <v>3309</v>
      </c>
      <c r="DX27" s="17" t="s">
        <v>3310</v>
      </c>
      <c r="DY27" s="17">
        <v>9.7795896448127796E-3</v>
      </c>
      <c r="DZ27" s="17">
        <v>2.7520410355187201E-2</v>
      </c>
      <c r="EA27" s="17" t="s">
        <v>3311</v>
      </c>
      <c r="EB27" s="17">
        <v>4.0201671797007003E-3</v>
      </c>
      <c r="EC27" s="17">
        <v>7.1798328202993004E-3</v>
      </c>
      <c r="ED27" s="17" t="s">
        <v>56</v>
      </c>
      <c r="EE27" s="17" t="s">
        <v>56</v>
      </c>
      <c r="EF27" s="17" t="s">
        <v>56</v>
      </c>
      <c r="EG27" s="17" t="s">
        <v>2862</v>
      </c>
      <c r="EH27" s="17" t="s">
        <v>3309</v>
      </c>
      <c r="EI27" s="17" t="s">
        <v>3312</v>
      </c>
      <c r="EJ27" s="17">
        <v>1.08477E-2</v>
      </c>
      <c r="EK27" s="17">
        <v>5.8252699999999998E-2</v>
      </c>
      <c r="EL27" s="17" t="s">
        <v>3311</v>
      </c>
      <c r="EM27" s="17">
        <v>4.8999999999999998E-3</v>
      </c>
      <c r="EN27" s="17">
        <v>1.01E-2</v>
      </c>
      <c r="EO27" s="17" t="s">
        <v>3312</v>
      </c>
      <c r="EP27" s="17">
        <v>4.3641500000000004</v>
      </c>
      <c r="EQ27" s="17">
        <v>23.435700000000001</v>
      </c>
      <c r="ER27" s="17" t="s">
        <v>3313</v>
      </c>
      <c r="ES27" s="17">
        <v>0.59340000000000004</v>
      </c>
      <c r="ET27" s="17">
        <v>1.2263999999999999</v>
      </c>
      <c r="EU27" s="17" t="s">
        <v>2862</v>
      </c>
      <c r="EV27" s="17" t="s">
        <v>3309</v>
      </c>
      <c r="EW27" s="17" t="s">
        <v>3312</v>
      </c>
      <c r="EX27" s="17">
        <v>4.3641500000000004</v>
      </c>
      <c r="EY27" s="17">
        <v>23.435700000000001</v>
      </c>
      <c r="EZ27" s="17" t="s">
        <v>3311</v>
      </c>
      <c r="FA27" s="17">
        <v>0.59340000000000004</v>
      </c>
      <c r="FB27" s="17">
        <v>1.2263999999999999</v>
      </c>
      <c r="FC27" s="17" t="s">
        <v>56</v>
      </c>
      <c r="FD27" s="17" t="s">
        <v>56</v>
      </c>
      <c r="FE27" s="17" t="s">
        <v>56</v>
      </c>
      <c r="FF27" s="17" t="s">
        <v>56</v>
      </c>
      <c r="FG27" s="17" t="s">
        <v>56</v>
      </c>
      <c r="FH27" s="17" t="s">
        <v>56</v>
      </c>
      <c r="FI27" s="17" t="s">
        <v>56</v>
      </c>
      <c r="FJ27" s="17" t="s">
        <v>56</v>
      </c>
      <c r="FK27" s="17" t="s">
        <v>56</v>
      </c>
      <c r="FL27" s="17" t="s">
        <v>56</v>
      </c>
      <c r="FM27" s="17" t="s">
        <v>56</v>
      </c>
      <c r="FN27" s="17" t="s">
        <v>56</v>
      </c>
      <c r="FO27" s="17" t="s">
        <v>56</v>
      </c>
      <c r="FP27" s="17" t="s">
        <v>56</v>
      </c>
      <c r="FQ27" s="17" t="s">
        <v>56</v>
      </c>
      <c r="FR27" s="17" t="s">
        <v>56</v>
      </c>
      <c r="FS27" s="17" t="s">
        <v>56</v>
      </c>
      <c r="FT27" s="17" t="s">
        <v>56</v>
      </c>
      <c r="FU27" s="17">
        <v>194.497728143828</v>
      </c>
      <c r="FV27" s="17">
        <v>1044.46235978605</v>
      </c>
      <c r="FW27" s="17" t="s">
        <v>56</v>
      </c>
      <c r="FX27" s="17" t="s">
        <v>56</v>
      </c>
      <c r="FY27" s="17" t="s">
        <v>56</v>
      </c>
      <c r="FZ27" s="17" t="s">
        <v>56</v>
      </c>
      <c r="GA27" s="17" t="s">
        <v>56</v>
      </c>
      <c r="GB27" s="17" t="s">
        <v>56</v>
      </c>
      <c r="GC27" s="17" t="s">
        <v>56</v>
      </c>
      <c r="GD27" s="17" t="s">
        <v>2969</v>
      </c>
      <c r="GE27" s="17" t="s">
        <v>2969</v>
      </c>
      <c r="GF27" s="17" t="s">
        <v>56</v>
      </c>
      <c r="GG27" s="17" t="s">
        <v>2818</v>
      </c>
      <c r="GH27" s="17" t="s">
        <v>2818</v>
      </c>
      <c r="GI27" s="17" t="s">
        <v>1111</v>
      </c>
      <c r="GJ27" s="17" t="s">
        <v>1111</v>
      </c>
      <c r="GK27" s="17" t="s">
        <v>1111</v>
      </c>
      <c r="GL27" s="17"/>
    </row>
    <row r="28" spans="2:194" x14ac:dyDescent="0.25">
      <c r="B28" s="17" t="s">
        <v>2840</v>
      </c>
      <c r="C28" s="17" t="s">
        <v>70</v>
      </c>
      <c r="D28" s="17" t="s">
        <v>3411</v>
      </c>
      <c r="E28" s="17" t="s">
        <v>3412</v>
      </c>
      <c r="F28" s="17" t="s">
        <v>3237</v>
      </c>
      <c r="G28" s="17" t="s">
        <v>3413</v>
      </c>
      <c r="H28" s="17"/>
      <c r="I28" s="17" t="s">
        <v>2797</v>
      </c>
      <c r="J28" s="17" t="s">
        <v>3403</v>
      </c>
      <c r="K28" s="17" t="s">
        <v>2653</v>
      </c>
      <c r="L28" s="17" t="s">
        <v>2800</v>
      </c>
      <c r="M28" s="17" t="s">
        <v>3414</v>
      </c>
      <c r="N28" s="17" t="s">
        <v>1325</v>
      </c>
      <c r="O28" s="17" t="s">
        <v>2813</v>
      </c>
      <c r="P28" s="17" t="s">
        <v>2814</v>
      </c>
      <c r="Q28" s="17" t="s">
        <v>3616</v>
      </c>
      <c r="R28" s="17">
        <v>17897433.710000001</v>
      </c>
      <c r="S28" s="17">
        <v>4974456.4000000004</v>
      </c>
      <c r="T28" s="17">
        <v>18587154.18</v>
      </c>
      <c r="U28" s="17" t="s">
        <v>2817</v>
      </c>
      <c r="V28" s="17" t="s">
        <v>939</v>
      </c>
      <c r="W28" s="17" t="s">
        <v>2816</v>
      </c>
      <c r="X28" s="17" t="s">
        <v>3403</v>
      </c>
      <c r="Y28" s="17" t="s">
        <v>56</v>
      </c>
      <c r="Z28" s="17" t="s">
        <v>3616</v>
      </c>
      <c r="AA28" s="17" t="s">
        <v>2801</v>
      </c>
      <c r="AB28" s="17">
        <v>2.1629</v>
      </c>
      <c r="AC28" s="17" t="s">
        <v>3616</v>
      </c>
      <c r="AD28" s="17" t="s">
        <v>2804</v>
      </c>
      <c r="AE28" s="17">
        <v>319397</v>
      </c>
      <c r="AF28" s="17" t="s">
        <v>2839</v>
      </c>
      <c r="AG28" s="17" t="s">
        <v>3617</v>
      </c>
      <c r="AH28" s="17" t="s">
        <v>2806</v>
      </c>
      <c r="AI28" s="17"/>
      <c r="AJ28" s="17" t="s">
        <v>56</v>
      </c>
      <c r="AK28" s="17" t="s">
        <v>56</v>
      </c>
      <c r="AL28" s="17" t="s">
        <v>56</v>
      </c>
      <c r="AM28" s="17" t="s">
        <v>56</v>
      </c>
      <c r="AN28" s="17" t="s">
        <v>56</v>
      </c>
      <c r="AO28" s="17" t="s">
        <v>56</v>
      </c>
      <c r="AP28" s="17" t="s">
        <v>56</v>
      </c>
      <c r="AQ28" s="17" t="s">
        <v>56</v>
      </c>
      <c r="AR28" s="17" t="s">
        <v>56</v>
      </c>
      <c r="AS28" s="17">
        <v>677.19899999999996</v>
      </c>
      <c r="AT28" s="17">
        <v>82.007599999999996</v>
      </c>
      <c r="AU28" s="17">
        <v>435.83600000000001</v>
      </c>
      <c r="AV28" s="17" t="s">
        <v>56</v>
      </c>
      <c r="AW28" s="17" t="s">
        <v>56</v>
      </c>
      <c r="AX28" s="17" t="s">
        <v>56</v>
      </c>
      <c r="AY28" s="17">
        <v>561.97</v>
      </c>
      <c r="AZ28" s="17">
        <v>68.053600000000003</v>
      </c>
      <c r="BA28" s="17">
        <v>361.67599999999999</v>
      </c>
      <c r="BB28" s="17" t="s">
        <v>56</v>
      </c>
      <c r="BC28" s="17" t="s">
        <v>56</v>
      </c>
      <c r="BD28" s="17" t="s">
        <v>56</v>
      </c>
      <c r="BE28" s="17" t="s">
        <v>56</v>
      </c>
      <c r="BF28" s="17" t="s">
        <v>56</v>
      </c>
      <c r="BG28" s="17" t="s">
        <v>56</v>
      </c>
      <c r="BH28" s="17" t="s">
        <v>56</v>
      </c>
      <c r="BI28" s="17" t="s">
        <v>56</v>
      </c>
      <c r="BJ28" s="17" t="s">
        <v>56</v>
      </c>
      <c r="BK28" s="17" t="s">
        <v>56</v>
      </c>
      <c r="BL28" s="17" t="s">
        <v>56</v>
      </c>
      <c r="BM28" s="17" t="s">
        <v>56</v>
      </c>
      <c r="BN28" s="17" t="s">
        <v>56</v>
      </c>
      <c r="BO28" s="17" t="s">
        <v>56</v>
      </c>
      <c r="BP28" s="17" t="s">
        <v>56</v>
      </c>
      <c r="BQ28" s="17" t="s">
        <v>56</v>
      </c>
      <c r="BR28" s="17" t="s">
        <v>56</v>
      </c>
      <c r="BS28" s="17" t="s">
        <v>56</v>
      </c>
      <c r="BT28" s="17" t="s">
        <v>56</v>
      </c>
      <c r="BU28" s="17" t="s">
        <v>56</v>
      </c>
      <c r="BV28" s="17" t="s">
        <v>56</v>
      </c>
      <c r="BW28" s="17" t="s">
        <v>56</v>
      </c>
      <c r="BX28" s="17" t="s">
        <v>2818</v>
      </c>
      <c r="BY28" s="17" t="s">
        <v>1111</v>
      </c>
      <c r="BZ28" s="17" t="s">
        <v>56</v>
      </c>
      <c r="CA28" s="17" t="s">
        <v>56</v>
      </c>
      <c r="CB28" s="17" t="s">
        <v>1325</v>
      </c>
      <c r="CC28" s="17" t="s">
        <v>1325</v>
      </c>
      <c r="CD28" s="17" t="s">
        <v>1325</v>
      </c>
      <c r="CE28" s="17" t="s">
        <v>1325</v>
      </c>
      <c r="CF28" s="17" t="s">
        <v>1325</v>
      </c>
      <c r="CG28" s="17" t="s">
        <v>1325</v>
      </c>
      <c r="CH28" s="17" t="s">
        <v>1325</v>
      </c>
      <c r="CI28" s="17" t="s">
        <v>1325</v>
      </c>
      <c r="CJ28" s="17" t="s">
        <v>1325</v>
      </c>
      <c r="CK28" s="17" t="s">
        <v>1325</v>
      </c>
      <c r="CL28" s="17" t="s">
        <v>1325</v>
      </c>
      <c r="CM28" s="17" t="s">
        <v>1325</v>
      </c>
      <c r="CN28" s="17" t="s">
        <v>1325</v>
      </c>
      <c r="CO28" s="17" t="s">
        <v>1325</v>
      </c>
      <c r="CP28" s="17" t="s">
        <v>1325</v>
      </c>
      <c r="CQ28" s="17" t="s">
        <v>1325</v>
      </c>
      <c r="CR28" s="17" t="s">
        <v>1325</v>
      </c>
      <c r="CS28" s="17" t="s">
        <v>1325</v>
      </c>
      <c r="CT28" s="17" t="s">
        <v>1325</v>
      </c>
      <c r="CU28" s="17" t="s">
        <v>1325</v>
      </c>
      <c r="CV28" s="17" t="s">
        <v>1325</v>
      </c>
      <c r="CW28" s="17" t="s">
        <v>56</v>
      </c>
      <c r="CX28" s="17" t="s">
        <v>56</v>
      </c>
      <c r="CY28" s="17" t="s">
        <v>56</v>
      </c>
      <c r="CZ28" s="17">
        <v>319397</v>
      </c>
      <c r="DA28" s="17">
        <v>319397</v>
      </c>
      <c r="DB28" s="17">
        <v>319397</v>
      </c>
      <c r="DC28" s="17"/>
      <c r="DD28" s="17"/>
      <c r="DE28" s="17"/>
      <c r="DF28" s="17" t="s">
        <v>3415</v>
      </c>
      <c r="DG28" s="17" t="s">
        <v>3458</v>
      </c>
      <c r="DH28" s="17" t="s">
        <v>3237</v>
      </c>
      <c r="DI28" s="17" t="s">
        <v>3459</v>
      </c>
      <c r="DJ28" s="17" t="s">
        <v>3405</v>
      </c>
      <c r="DK28" s="17" t="s">
        <v>3320</v>
      </c>
      <c r="DL28" s="17" t="s">
        <v>3418</v>
      </c>
      <c r="DM28" s="17">
        <v>2.1090000000000002E-3</v>
      </c>
      <c r="DN28" s="17">
        <v>673.6</v>
      </c>
      <c r="DO28" s="17">
        <v>0.42855884872137401</v>
      </c>
      <c r="DP28" s="17" t="s">
        <v>3308</v>
      </c>
      <c r="DQ28" s="17" t="s">
        <v>2839</v>
      </c>
      <c r="DR28" s="17" t="s">
        <v>56</v>
      </c>
      <c r="DS28" s="17" t="s">
        <v>56</v>
      </c>
      <c r="DT28" s="17" t="s">
        <v>56</v>
      </c>
      <c r="DU28" s="17" t="s">
        <v>56</v>
      </c>
      <c r="DV28" s="17" t="s">
        <v>2862</v>
      </c>
      <c r="DW28" s="17" t="s">
        <v>3309</v>
      </c>
      <c r="DX28" s="17" t="s">
        <v>3310</v>
      </c>
      <c r="DY28" s="17">
        <v>9.7795896448127796E-3</v>
      </c>
      <c r="DZ28" s="17">
        <v>2.7520410355187201E-2</v>
      </c>
      <c r="EA28" s="17" t="s">
        <v>3311</v>
      </c>
      <c r="EB28" s="17">
        <v>4.0201671797007003E-3</v>
      </c>
      <c r="EC28" s="17">
        <v>7.1798328202993004E-3</v>
      </c>
      <c r="ED28" s="17" t="s">
        <v>56</v>
      </c>
      <c r="EE28" s="17" t="s">
        <v>56</v>
      </c>
      <c r="EF28" s="17" t="s">
        <v>56</v>
      </c>
      <c r="EG28" s="17" t="s">
        <v>2862</v>
      </c>
      <c r="EH28" s="17" t="s">
        <v>3309</v>
      </c>
      <c r="EI28" s="17" t="s">
        <v>3312</v>
      </c>
      <c r="EJ28" s="17">
        <v>1.08477E-2</v>
      </c>
      <c r="EK28" s="17">
        <v>5.8252699999999998E-2</v>
      </c>
      <c r="EL28" s="17" t="s">
        <v>3311</v>
      </c>
      <c r="EM28" s="17">
        <v>4.8999999999999998E-3</v>
      </c>
      <c r="EN28" s="17">
        <v>1.01E-2</v>
      </c>
      <c r="EO28" s="17" t="s">
        <v>3312</v>
      </c>
      <c r="EP28" s="17">
        <v>4.3641500000000004</v>
      </c>
      <c r="EQ28" s="17">
        <v>23.435700000000001</v>
      </c>
      <c r="ER28" s="17" t="s">
        <v>3313</v>
      </c>
      <c r="ES28" s="17">
        <v>0.59340000000000004</v>
      </c>
      <c r="ET28" s="17">
        <v>1.2263999999999999</v>
      </c>
      <c r="EU28" s="17" t="s">
        <v>2862</v>
      </c>
      <c r="EV28" s="17" t="s">
        <v>3309</v>
      </c>
      <c r="EW28" s="17" t="s">
        <v>3312</v>
      </c>
      <c r="EX28" s="17">
        <v>4.3641500000000004</v>
      </c>
      <c r="EY28" s="17">
        <v>23.435700000000001</v>
      </c>
      <c r="EZ28" s="17" t="s">
        <v>3311</v>
      </c>
      <c r="FA28" s="17">
        <v>0.59340000000000004</v>
      </c>
      <c r="FB28" s="17">
        <v>1.2263999999999999</v>
      </c>
      <c r="FC28" s="17" t="s">
        <v>56</v>
      </c>
      <c r="FD28" s="17" t="s">
        <v>56</v>
      </c>
      <c r="FE28" s="17" t="s">
        <v>56</v>
      </c>
      <c r="FF28" s="17" t="s">
        <v>56</v>
      </c>
      <c r="FG28" s="17" t="s">
        <v>56</v>
      </c>
      <c r="FH28" s="17" t="s">
        <v>56</v>
      </c>
      <c r="FI28" s="17" t="s">
        <v>56</v>
      </c>
      <c r="FJ28" s="17" t="s">
        <v>56</v>
      </c>
      <c r="FK28" s="17" t="s">
        <v>56</v>
      </c>
      <c r="FL28" s="17" t="s">
        <v>56</v>
      </c>
      <c r="FM28" s="17" t="s">
        <v>56</v>
      </c>
      <c r="FN28" s="17" t="s">
        <v>56</v>
      </c>
      <c r="FO28" s="17" t="s">
        <v>56</v>
      </c>
      <c r="FP28" s="17" t="s">
        <v>56</v>
      </c>
      <c r="FQ28" s="17" t="s">
        <v>56</v>
      </c>
      <c r="FR28" s="17" t="s">
        <v>56</v>
      </c>
      <c r="FS28" s="17" t="s">
        <v>56</v>
      </c>
      <c r="FT28" s="17" t="s">
        <v>56</v>
      </c>
      <c r="FU28" s="17">
        <v>194.51069035362701</v>
      </c>
      <c r="FV28" s="17">
        <v>1044.5319674897701</v>
      </c>
      <c r="FW28" s="17" t="s">
        <v>56</v>
      </c>
      <c r="FX28" s="17" t="s">
        <v>56</v>
      </c>
      <c r="FY28" s="17" t="s">
        <v>56</v>
      </c>
      <c r="FZ28" s="17" t="s">
        <v>56</v>
      </c>
      <c r="GA28" s="17" t="s">
        <v>56</v>
      </c>
      <c r="GB28" s="17" t="s">
        <v>56</v>
      </c>
      <c r="GC28" s="17" t="s">
        <v>56</v>
      </c>
      <c r="GD28" s="17" t="s">
        <v>2969</v>
      </c>
      <c r="GE28" s="17" t="s">
        <v>2969</v>
      </c>
      <c r="GF28" s="17" t="s">
        <v>56</v>
      </c>
      <c r="GG28" s="17" t="s">
        <v>2818</v>
      </c>
      <c r="GH28" s="17" t="s">
        <v>2818</v>
      </c>
      <c r="GI28" s="17" t="s">
        <v>1111</v>
      </c>
      <c r="GJ28" s="17" t="s">
        <v>1111</v>
      </c>
      <c r="GK28" s="17" t="s">
        <v>1111</v>
      </c>
      <c r="GL28" s="17"/>
    </row>
    <row r="29" spans="2:194" x14ac:dyDescent="0.25">
      <c r="B29" s="17" t="s">
        <v>2840</v>
      </c>
      <c r="C29" s="17" t="s">
        <v>70</v>
      </c>
      <c r="D29" s="17" t="s">
        <v>3411</v>
      </c>
      <c r="E29" s="17" t="s">
        <v>3412</v>
      </c>
      <c r="F29" s="17" t="s">
        <v>3237</v>
      </c>
      <c r="G29" s="17" t="s">
        <v>3413</v>
      </c>
      <c r="H29" s="17"/>
      <c r="I29" s="17" t="s">
        <v>2797</v>
      </c>
      <c r="J29" s="17" t="s">
        <v>3403</v>
      </c>
      <c r="K29" s="17" t="s">
        <v>2653</v>
      </c>
      <c r="L29" s="17" t="s">
        <v>2800</v>
      </c>
      <c r="M29" s="17" t="s">
        <v>3414</v>
      </c>
      <c r="N29" s="17" t="s">
        <v>1325</v>
      </c>
      <c r="O29" s="17" t="s">
        <v>2813</v>
      </c>
      <c r="P29" s="17" t="s">
        <v>2814</v>
      </c>
      <c r="Q29" s="17" t="s">
        <v>3616</v>
      </c>
      <c r="R29" s="17">
        <v>17897433.710000001</v>
      </c>
      <c r="S29" s="17">
        <v>4974456.4000000004</v>
      </c>
      <c r="T29" s="17">
        <v>18587154.18</v>
      </c>
      <c r="U29" s="17" t="s">
        <v>2817</v>
      </c>
      <c r="V29" s="17" t="s">
        <v>939</v>
      </c>
      <c r="W29" s="17" t="s">
        <v>2816</v>
      </c>
      <c r="X29" s="17" t="s">
        <v>3403</v>
      </c>
      <c r="Y29" s="17" t="s">
        <v>56</v>
      </c>
      <c r="Z29" s="17" t="s">
        <v>3616</v>
      </c>
      <c r="AA29" s="17" t="s">
        <v>2801</v>
      </c>
      <c r="AB29" s="17">
        <v>2.1629</v>
      </c>
      <c r="AC29" s="17" t="s">
        <v>3616</v>
      </c>
      <c r="AD29" s="17" t="s">
        <v>2804</v>
      </c>
      <c r="AE29" s="17">
        <v>319397</v>
      </c>
      <c r="AF29" s="17" t="s">
        <v>2839</v>
      </c>
      <c r="AG29" s="17" t="s">
        <v>3617</v>
      </c>
      <c r="AH29" s="17" t="s">
        <v>2806</v>
      </c>
      <c r="AI29" s="17"/>
      <c r="AJ29" s="17" t="s">
        <v>56</v>
      </c>
      <c r="AK29" s="17" t="s">
        <v>56</v>
      </c>
      <c r="AL29" s="17" t="s">
        <v>56</v>
      </c>
      <c r="AM29" s="17" t="s">
        <v>56</v>
      </c>
      <c r="AN29" s="17" t="s">
        <v>56</v>
      </c>
      <c r="AO29" s="17" t="s">
        <v>56</v>
      </c>
      <c r="AP29" s="17" t="s">
        <v>56</v>
      </c>
      <c r="AQ29" s="17" t="s">
        <v>56</v>
      </c>
      <c r="AR29" s="17" t="s">
        <v>56</v>
      </c>
      <c r="AS29" s="17">
        <v>677.19899999999996</v>
      </c>
      <c r="AT29" s="17">
        <v>82.007599999999996</v>
      </c>
      <c r="AU29" s="17">
        <v>435.83600000000001</v>
      </c>
      <c r="AV29" s="17" t="s">
        <v>56</v>
      </c>
      <c r="AW29" s="17" t="s">
        <v>56</v>
      </c>
      <c r="AX29" s="17" t="s">
        <v>56</v>
      </c>
      <c r="AY29" s="17">
        <v>561.97</v>
      </c>
      <c r="AZ29" s="17">
        <v>68.053600000000003</v>
      </c>
      <c r="BA29" s="17">
        <v>361.67599999999999</v>
      </c>
      <c r="BB29" s="17" t="s">
        <v>56</v>
      </c>
      <c r="BC29" s="17" t="s">
        <v>56</v>
      </c>
      <c r="BD29" s="17" t="s">
        <v>56</v>
      </c>
      <c r="BE29" s="17" t="s">
        <v>56</v>
      </c>
      <c r="BF29" s="17" t="s">
        <v>56</v>
      </c>
      <c r="BG29" s="17" t="s">
        <v>56</v>
      </c>
      <c r="BH29" s="17" t="s">
        <v>56</v>
      </c>
      <c r="BI29" s="17" t="s">
        <v>56</v>
      </c>
      <c r="BJ29" s="17" t="s">
        <v>56</v>
      </c>
      <c r="BK29" s="17" t="s">
        <v>56</v>
      </c>
      <c r="BL29" s="17" t="s">
        <v>56</v>
      </c>
      <c r="BM29" s="17" t="s">
        <v>56</v>
      </c>
      <c r="BN29" s="17" t="s">
        <v>56</v>
      </c>
      <c r="BO29" s="17" t="s">
        <v>56</v>
      </c>
      <c r="BP29" s="17" t="s">
        <v>56</v>
      </c>
      <c r="BQ29" s="17" t="s">
        <v>56</v>
      </c>
      <c r="BR29" s="17" t="s">
        <v>56</v>
      </c>
      <c r="BS29" s="17" t="s">
        <v>56</v>
      </c>
      <c r="BT29" s="17" t="s">
        <v>56</v>
      </c>
      <c r="BU29" s="17" t="s">
        <v>56</v>
      </c>
      <c r="BV29" s="17" t="s">
        <v>56</v>
      </c>
      <c r="BW29" s="17" t="s">
        <v>56</v>
      </c>
      <c r="BX29" s="17" t="s">
        <v>2818</v>
      </c>
      <c r="BY29" s="17" t="s">
        <v>1111</v>
      </c>
      <c r="BZ29" s="17" t="s">
        <v>56</v>
      </c>
      <c r="CA29" s="17" t="s">
        <v>56</v>
      </c>
      <c r="CB29" s="17" t="s">
        <v>1325</v>
      </c>
      <c r="CC29" s="17" t="s">
        <v>1325</v>
      </c>
      <c r="CD29" s="17" t="s">
        <v>1325</v>
      </c>
      <c r="CE29" s="17" t="s">
        <v>1325</v>
      </c>
      <c r="CF29" s="17" t="s">
        <v>1325</v>
      </c>
      <c r="CG29" s="17" t="s">
        <v>1325</v>
      </c>
      <c r="CH29" s="17" t="s">
        <v>1325</v>
      </c>
      <c r="CI29" s="17" t="s">
        <v>1325</v>
      </c>
      <c r="CJ29" s="17" t="s">
        <v>1325</v>
      </c>
      <c r="CK29" s="17" t="s">
        <v>1325</v>
      </c>
      <c r="CL29" s="17" t="s">
        <v>1325</v>
      </c>
      <c r="CM29" s="17" t="s">
        <v>1325</v>
      </c>
      <c r="CN29" s="17" t="s">
        <v>1325</v>
      </c>
      <c r="CO29" s="17" t="s">
        <v>1325</v>
      </c>
      <c r="CP29" s="17" t="s">
        <v>1325</v>
      </c>
      <c r="CQ29" s="17" t="s">
        <v>1325</v>
      </c>
      <c r="CR29" s="17" t="s">
        <v>1325</v>
      </c>
      <c r="CS29" s="17" t="s">
        <v>1325</v>
      </c>
      <c r="CT29" s="17" t="s">
        <v>1325</v>
      </c>
      <c r="CU29" s="17" t="s">
        <v>1325</v>
      </c>
      <c r="CV29" s="17" t="s">
        <v>1325</v>
      </c>
      <c r="CW29" s="17" t="s">
        <v>56</v>
      </c>
      <c r="CX29" s="17" t="s">
        <v>56</v>
      </c>
      <c r="CY29" s="17" t="s">
        <v>56</v>
      </c>
      <c r="CZ29" s="17">
        <v>319397</v>
      </c>
      <c r="DA29" s="17">
        <v>319397</v>
      </c>
      <c r="DB29" s="17">
        <v>319397</v>
      </c>
      <c r="DC29" s="17"/>
      <c r="DD29" s="17"/>
      <c r="DE29" s="17"/>
      <c r="DF29" s="17" t="s">
        <v>3415</v>
      </c>
      <c r="DG29" s="17" t="s">
        <v>3460</v>
      </c>
      <c r="DH29" s="17" t="s">
        <v>3237</v>
      </c>
      <c r="DI29" s="17" t="s">
        <v>3461</v>
      </c>
      <c r="DJ29" s="17" t="s">
        <v>3405</v>
      </c>
      <c r="DK29" s="17" t="s">
        <v>3320</v>
      </c>
      <c r="DL29" s="17" t="s">
        <v>3418</v>
      </c>
      <c r="DM29" s="17">
        <v>2.856E-3</v>
      </c>
      <c r="DN29" s="17">
        <v>912.2</v>
      </c>
      <c r="DO29" s="17">
        <v>0.428557563226867</v>
      </c>
      <c r="DP29" s="17" t="s">
        <v>3308</v>
      </c>
      <c r="DQ29" s="17" t="s">
        <v>2839</v>
      </c>
      <c r="DR29" s="17" t="s">
        <v>56</v>
      </c>
      <c r="DS29" s="17" t="s">
        <v>56</v>
      </c>
      <c r="DT29" s="17" t="s">
        <v>56</v>
      </c>
      <c r="DU29" s="17" t="s">
        <v>56</v>
      </c>
      <c r="DV29" s="17" t="s">
        <v>2862</v>
      </c>
      <c r="DW29" s="17" t="s">
        <v>3309</v>
      </c>
      <c r="DX29" s="17" t="s">
        <v>3310</v>
      </c>
      <c r="DY29" s="17">
        <v>9.7795896448127796E-3</v>
      </c>
      <c r="DZ29" s="17">
        <v>2.7520410355187201E-2</v>
      </c>
      <c r="EA29" s="17" t="s">
        <v>3311</v>
      </c>
      <c r="EB29" s="17">
        <v>4.0201671797007003E-3</v>
      </c>
      <c r="EC29" s="17">
        <v>7.1798328202993004E-3</v>
      </c>
      <c r="ED29" s="17" t="s">
        <v>56</v>
      </c>
      <c r="EE29" s="17" t="s">
        <v>56</v>
      </c>
      <c r="EF29" s="17" t="s">
        <v>56</v>
      </c>
      <c r="EG29" s="17" t="s">
        <v>2862</v>
      </c>
      <c r="EH29" s="17" t="s">
        <v>3309</v>
      </c>
      <c r="EI29" s="17" t="s">
        <v>3312</v>
      </c>
      <c r="EJ29" s="17">
        <v>1.08477E-2</v>
      </c>
      <c r="EK29" s="17">
        <v>5.8252699999999998E-2</v>
      </c>
      <c r="EL29" s="17" t="s">
        <v>3311</v>
      </c>
      <c r="EM29" s="17">
        <v>4.8999999999999998E-3</v>
      </c>
      <c r="EN29" s="17">
        <v>1.01E-2</v>
      </c>
      <c r="EO29" s="17" t="s">
        <v>3312</v>
      </c>
      <c r="EP29" s="17">
        <v>4.3641500000000004</v>
      </c>
      <c r="EQ29" s="17">
        <v>23.435700000000001</v>
      </c>
      <c r="ER29" s="17" t="s">
        <v>3313</v>
      </c>
      <c r="ES29" s="17">
        <v>0.59340000000000004</v>
      </c>
      <c r="ET29" s="17">
        <v>1.2263999999999999</v>
      </c>
      <c r="EU29" s="17" t="s">
        <v>2862</v>
      </c>
      <c r="EV29" s="17" t="s">
        <v>3309</v>
      </c>
      <c r="EW29" s="17" t="s">
        <v>3312</v>
      </c>
      <c r="EX29" s="17">
        <v>4.3641500000000004</v>
      </c>
      <c r="EY29" s="17">
        <v>23.435700000000001</v>
      </c>
      <c r="EZ29" s="17" t="s">
        <v>3311</v>
      </c>
      <c r="FA29" s="17">
        <v>0.59340000000000004</v>
      </c>
      <c r="FB29" s="17">
        <v>1.2263999999999999</v>
      </c>
      <c r="FC29" s="17" t="s">
        <v>56</v>
      </c>
      <c r="FD29" s="17" t="s">
        <v>56</v>
      </c>
      <c r="FE29" s="17" t="s">
        <v>56</v>
      </c>
      <c r="FF29" s="17" t="s">
        <v>56</v>
      </c>
      <c r="FG29" s="17" t="s">
        <v>56</v>
      </c>
      <c r="FH29" s="17" t="s">
        <v>56</v>
      </c>
      <c r="FI29" s="17" t="s">
        <v>56</v>
      </c>
      <c r="FJ29" s="17" t="s">
        <v>56</v>
      </c>
      <c r="FK29" s="17" t="s">
        <v>56</v>
      </c>
      <c r="FL29" s="17" t="s">
        <v>56</v>
      </c>
      <c r="FM29" s="17" t="s">
        <v>56</v>
      </c>
      <c r="FN29" s="17" t="s">
        <v>56</v>
      </c>
      <c r="FO29" s="17" t="s">
        <v>56</v>
      </c>
      <c r="FP29" s="17" t="s">
        <v>56</v>
      </c>
      <c r="FQ29" s="17" t="s">
        <v>56</v>
      </c>
      <c r="FR29" s="17" t="s">
        <v>56</v>
      </c>
      <c r="FS29" s="17" t="s">
        <v>56</v>
      </c>
      <c r="FT29" s="17" t="s">
        <v>56</v>
      </c>
      <c r="FU29" s="17">
        <v>194.51010690168499</v>
      </c>
      <c r="FV29" s="17">
        <v>1044.52883432416</v>
      </c>
      <c r="FW29" s="17" t="s">
        <v>56</v>
      </c>
      <c r="FX29" s="17" t="s">
        <v>56</v>
      </c>
      <c r="FY29" s="17" t="s">
        <v>56</v>
      </c>
      <c r="FZ29" s="17" t="s">
        <v>56</v>
      </c>
      <c r="GA29" s="17" t="s">
        <v>56</v>
      </c>
      <c r="GB29" s="17" t="s">
        <v>56</v>
      </c>
      <c r="GC29" s="17" t="s">
        <v>56</v>
      </c>
      <c r="GD29" s="17" t="s">
        <v>2969</v>
      </c>
      <c r="GE29" s="17" t="s">
        <v>2969</v>
      </c>
      <c r="GF29" s="17" t="s">
        <v>56</v>
      </c>
      <c r="GG29" s="17" t="s">
        <v>2818</v>
      </c>
      <c r="GH29" s="17" t="s">
        <v>2818</v>
      </c>
      <c r="GI29" s="17" t="s">
        <v>1111</v>
      </c>
      <c r="GJ29" s="17" t="s">
        <v>1111</v>
      </c>
      <c r="GK29" s="17" t="s">
        <v>1111</v>
      </c>
      <c r="GL29" s="17"/>
    </row>
    <row r="30" spans="2:194" x14ac:dyDescent="0.25">
      <c r="B30" s="17" t="s">
        <v>2840</v>
      </c>
      <c r="C30" s="17" t="s">
        <v>70</v>
      </c>
      <c r="D30" s="17" t="s">
        <v>3411</v>
      </c>
      <c r="E30" s="17" t="s">
        <v>3412</v>
      </c>
      <c r="F30" s="17" t="s">
        <v>3237</v>
      </c>
      <c r="G30" s="17" t="s">
        <v>3413</v>
      </c>
      <c r="H30" s="17"/>
      <c r="I30" s="17" t="s">
        <v>2797</v>
      </c>
      <c r="J30" s="17" t="s">
        <v>3403</v>
      </c>
      <c r="K30" s="17" t="s">
        <v>2653</v>
      </c>
      <c r="L30" s="17" t="s">
        <v>2800</v>
      </c>
      <c r="M30" s="17" t="s">
        <v>3414</v>
      </c>
      <c r="N30" s="17" t="s">
        <v>1325</v>
      </c>
      <c r="O30" s="17" t="s">
        <v>2813</v>
      </c>
      <c r="P30" s="17" t="s">
        <v>2814</v>
      </c>
      <c r="Q30" s="17" t="s">
        <v>3616</v>
      </c>
      <c r="R30" s="17">
        <v>17897433.710000001</v>
      </c>
      <c r="S30" s="17">
        <v>4974456.4000000004</v>
      </c>
      <c r="T30" s="17">
        <v>18587154.18</v>
      </c>
      <c r="U30" s="17" t="s">
        <v>2817</v>
      </c>
      <c r="V30" s="17" t="s">
        <v>939</v>
      </c>
      <c r="W30" s="17" t="s">
        <v>2816</v>
      </c>
      <c r="X30" s="17" t="s">
        <v>3403</v>
      </c>
      <c r="Y30" s="17" t="s">
        <v>56</v>
      </c>
      <c r="Z30" s="17" t="s">
        <v>3616</v>
      </c>
      <c r="AA30" s="17" t="s">
        <v>2801</v>
      </c>
      <c r="AB30" s="17">
        <v>2.1629</v>
      </c>
      <c r="AC30" s="17" t="s">
        <v>3616</v>
      </c>
      <c r="AD30" s="17" t="s">
        <v>2804</v>
      </c>
      <c r="AE30" s="17">
        <v>319397</v>
      </c>
      <c r="AF30" s="17" t="s">
        <v>2839</v>
      </c>
      <c r="AG30" s="17" t="s">
        <v>3617</v>
      </c>
      <c r="AH30" s="17" t="s">
        <v>2806</v>
      </c>
      <c r="AI30" s="17"/>
      <c r="AJ30" s="17" t="s">
        <v>56</v>
      </c>
      <c r="AK30" s="17" t="s">
        <v>56</v>
      </c>
      <c r="AL30" s="17" t="s">
        <v>56</v>
      </c>
      <c r="AM30" s="17" t="s">
        <v>56</v>
      </c>
      <c r="AN30" s="17" t="s">
        <v>56</v>
      </c>
      <c r="AO30" s="17" t="s">
        <v>56</v>
      </c>
      <c r="AP30" s="17" t="s">
        <v>56</v>
      </c>
      <c r="AQ30" s="17" t="s">
        <v>56</v>
      </c>
      <c r="AR30" s="17" t="s">
        <v>56</v>
      </c>
      <c r="AS30" s="17">
        <v>677.19899999999996</v>
      </c>
      <c r="AT30" s="17">
        <v>82.007599999999996</v>
      </c>
      <c r="AU30" s="17">
        <v>435.83600000000001</v>
      </c>
      <c r="AV30" s="17" t="s">
        <v>56</v>
      </c>
      <c r="AW30" s="17" t="s">
        <v>56</v>
      </c>
      <c r="AX30" s="17" t="s">
        <v>56</v>
      </c>
      <c r="AY30" s="17">
        <v>561.97</v>
      </c>
      <c r="AZ30" s="17">
        <v>68.053600000000003</v>
      </c>
      <c r="BA30" s="17">
        <v>361.67599999999999</v>
      </c>
      <c r="BB30" s="17" t="s">
        <v>56</v>
      </c>
      <c r="BC30" s="17" t="s">
        <v>56</v>
      </c>
      <c r="BD30" s="17" t="s">
        <v>56</v>
      </c>
      <c r="BE30" s="17" t="s">
        <v>56</v>
      </c>
      <c r="BF30" s="17" t="s">
        <v>56</v>
      </c>
      <c r="BG30" s="17" t="s">
        <v>56</v>
      </c>
      <c r="BH30" s="17" t="s">
        <v>56</v>
      </c>
      <c r="BI30" s="17" t="s">
        <v>56</v>
      </c>
      <c r="BJ30" s="17" t="s">
        <v>56</v>
      </c>
      <c r="BK30" s="17" t="s">
        <v>56</v>
      </c>
      <c r="BL30" s="17" t="s">
        <v>56</v>
      </c>
      <c r="BM30" s="17" t="s">
        <v>56</v>
      </c>
      <c r="BN30" s="17" t="s">
        <v>56</v>
      </c>
      <c r="BO30" s="17" t="s">
        <v>56</v>
      </c>
      <c r="BP30" s="17" t="s">
        <v>56</v>
      </c>
      <c r="BQ30" s="17" t="s">
        <v>56</v>
      </c>
      <c r="BR30" s="17" t="s">
        <v>56</v>
      </c>
      <c r="BS30" s="17" t="s">
        <v>56</v>
      </c>
      <c r="BT30" s="17" t="s">
        <v>56</v>
      </c>
      <c r="BU30" s="17" t="s">
        <v>56</v>
      </c>
      <c r="BV30" s="17" t="s">
        <v>56</v>
      </c>
      <c r="BW30" s="17" t="s">
        <v>56</v>
      </c>
      <c r="BX30" s="17" t="s">
        <v>2818</v>
      </c>
      <c r="BY30" s="17" t="s">
        <v>1111</v>
      </c>
      <c r="BZ30" s="17" t="s">
        <v>56</v>
      </c>
      <c r="CA30" s="17" t="s">
        <v>56</v>
      </c>
      <c r="CB30" s="17" t="s">
        <v>1325</v>
      </c>
      <c r="CC30" s="17" t="s">
        <v>1325</v>
      </c>
      <c r="CD30" s="17" t="s">
        <v>1325</v>
      </c>
      <c r="CE30" s="17" t="s">
        <v>1325</v>
      </c>
      <c r="CF30" s="17" t="s">
        <v>1325</v>
      </c>
      <c r="CG30" s="17" t="s">
        <v>1325</v>
      </c>
      <c r="CH30" s="17" t="s">
        <v>1325</v>
      </c>
      <c r="CI30" s="17" t="s">
        <v>1325</v>
      </c>
      <c r="CJ30" s="17" t="s">
        <v>1325</v>
      </c>
      <c r="CK30" s="17" t="s">
        <v>1325</v>
      </c>
      <c r="CL30" s="17" t="s">
        <v>1325</v>
      </c>
      <c r="CM30" s="17" t="s">
        <v>1325</v>
      </c>
      <c r="CN30" s="17" t="s">
        <v>1325</v>
      </c>
      <c r="CO30" s="17" t="s">
        <v>1325</v>
      </c>
      <c r="CP30" s="17" t="s">
        <v>1325</v>
      </c>
      <c r="CQ30" s="17" t="s">
        <v>1325</v>
      </c>
      <c r="CR30" s="17" t="s">
        <v>1325</v>
      </c>
      <c r="CS30" s="17" t="s">
        <v>1325</v>
      </c>
      <c r="CT30" s="17" t="s">
        <v>1325</v>
      </c>
      <c r="CU30" s="17" t="s">
        <v>1325</v>
      </c>
      <c r="CV30" s="17" t="s">
        <v>1325</v>
      </c>
      <c r="CW30" s="17" t="s">
        <v>56</v>
      </c>
      <c r="CX30" s="17" t="s">
        <v>56</v>
      </c>
      <c r="CY30" s="17" t="s">
        <v>56</v>
      </c>
      <c r="CZ30" s="17">
        <v>319397</v>
      </c>
      <c r="DA30" s="17">
        <v>319397</v>
      </c>
      <c r="DB30" s="17">
        <v>319397</v>
      </c>
      <c r="DC30" s="17"/>
      <c r="DD30" s="17"/>
      <c r="DE30" s="17"/>
      <c r="DF30" s="17" t="s">
        <v>3415</v>
      </c>
      <c r="DG30" s="17" t="s">
        <v>3462</v>
      </c>
      <c r="DH30" s="17" t="s">
        <v>3237</v>
      </c>
      <c r="DI30" s="17" t="s">
        <v>3463</v>
      </c>
      <c r="DJ30" s="17" t="s">
        <v>3405</v>
      </c>
      <c r="DK30" s="17" t="s">
        <v>3320</v>
      </c>
      <c r="DL30" s="17" t="s">
        <v>3418</v>
      </c>
      <c r="DM30" s="17">
        <v>3.2049999999999999E-3</v>
      </c>
      <c r="DN30" s="17">
        <v>1023.7</v>
      </c>
      <c r="DO30" s="17">
        <v>0.61460724998799499</v>
      </c>
      <c r="DP30" s="17" t="s">
        <v>3308</v>
      </c>
      <c r="DQ30" s="17" t="s">
        <v>2839</v>
      </c>
      <c r="DR30" s="17" t="s">
        <v>56</v>
      </c>
      <c r="DS30" s="17" t="s">
        <v>56</v>
      </c>
      <c r="DT30" s="17" t="s">
        <v>56</v>
      </c>
      <c r="DU30" s="17" t="s">
        <v>56</v>
      </c>
      <c r="DV30" s="17" t="s">
        <v>2862</v>
      </c>
      <c r="DW30" s="17" t="s">
        <v>3309</v>
      </c>
      <c r="DX30" s="17" t="s">
        <v>3310</v>
      </c>
      <c r="DY30" s="17">
        <v>9.7795896448127796E-3</v>
      </c>
      <c r="DZ30" s="17">
        <v>2.7520410355187201E-2</v>
      </c>
      <c r="EA30" s="17" t="s">
        <v>3311</v>
      </c>
      <c r="EB30" s="17">
        <v>4.0201671797007003E-3</v>
      </c>
      <c r="EC30" s="17">
        <v>7.1798328202993004E-3</v>
      </c>
      <c r="ED30" s="17" t="s">
        <v>56</v>
      </c>
      <c r="EE30" s="17" t="s">
        <v>56</v>
      </c>
      <c r="EF30" s="17" t="s">
        <v>56</v>
      </c>
      <c r="EG30" s="17" t="s">
        <v>2862</v>
      </c>
      <c r="EH30" s="17" t="s">
        <v>3309</v>
      </c>
      <c r="EI30" s="17" t="s">
        <v>3312</v>
      </c>
      <c r="EJ30" s="17">
        <v>1.08477E-2</v>
      </c>
      <c r="EK30" s="17">
        <v>5.8252699999999998E-2</v>
      </c>
      <c r="EL30" s="17" t="s">
        <v>3311</v>
      </c>
      <c r="EM30" s="17">
        <v>4.8999999999999998E-3</v>
      </c>
      <c r="EN30" s="17">
        <v>1.01E-2</v>
      </c>
      <c r="EO30" s="17" t="s">
        <v>3312</v>
      </c>
      <c r="EP30" s="17">
        <v>4.3641500000000004</v>
      </c>
      <c r="EQ30" s="17">
        <v>23.435700000000001</v>
      </c>
      <c r="ER30" s="17" t="s">
        <v>3313</v>
      </c>
      <c r="ES30" s="17">
        <v>0.59340000000000004</v>
      </c>
      <c r="ET30" s="17">
        <v>1.2263999999999999</v>
      </c>
      <c r="EU30" s="17" t="s">
        <v>2862</v>
      </c>
      <c r="EV30" s="17" t="s">
        <v>3309</v>
      </c>
      <c r="EW30" s="17" t="s">
        <v>3312</v>
      </c>
      <c r="EX30" s="17">
        <v>4.3641500000000004</v>
      </c>
      <c r="EY30" s="17">
        <v>23.435700000000001</v>
      </c>
      <c r="EZ30" s="17" t="s">
        <v>3311</v>
      </c>
      <c r="FA30" s="17">
        <v>0.59340000000000004</v>
      </c>
      <c r="FB30" s="17">
        <v>1.2263999999999999</v>
      </c>
      <c r="FC30" s="17" t="s">
        <v>56</v>
      </c>
      <c r="FD30" s="17" t="s">
        <v>56</v>
      </c>
      <c r="FE30" s="17" t="s">
        <v>56</v>
      </c>
      <c r="FF30" s="17" t="s">
        <v>56</v>
      </c>
      <c r="FG30" s="17" t="s">
        <v>56</v>
      </c>
      <c r="FH30" s="17" t="s">
        <v>56</v>
      </c>
      <c r="FI30" s="17" t="s">
        <v>56</v>
      </c>
      <c r="FJ30" s="17" t="s">
        <v>56</v>
      </c>
      <c r="FK30" s="17" t="s">
        <v>56</v>
      </c>
      <c r="FL30" s="17" t="s">
        <v>56</v>
      </c>
      <c r="FM30" s="17" t="s">
        <v>56</v>
      </c>
      <c r="FN30" s="17" t="s">
        <v>56</v>
      </c>
      <c r="FO30" s="17" t="s">
        <v>56</v>
      </c>
      <c r="FP30" s="17" t="s">
        <v>56</v>
      </c>
      <c r="FQ30" s="17" t="s">
        <v>56</v>
      </c>
      <c r="FR30" s="17" t="s">
        <v>56</v>
      </c>
      <c r="FS30" s="17" t="s">
        <v>56</v>
      </c>
      <c r="FT30" s="17" t="s">
        <v>56</v>
      </c>
      <c r="FU30" s="17">
        <v>278.95277588371198</v>
      </c>
      <c r="FV30" s="17">
        <v>1497.99011715406</v>
      </c>
      <c r="FW30" s="17" t="s">
        <v>56</v>
      </c>
      <c r="FX30" s="17" t="s">
        <v>56</v>
      </c>
      <c r="FY30" s="17" t="s">
        <v>56</v>
      </c>
      <c r="FZ30" s="17" t="s">
        <v>56</v>
      </c>
      <c r="GA30" s="17" t="s">
        <v>56</v>
      </c>
      <c r="GB30" s="17" t="s">
        <v>56</v>
      </c>
      <c r="GC30" s="17" t="s">
        <v>56</v>
      </c>
      <c r="GD30" s="17" t="s">
        <v>2969</v>
      </c>
      <c r="GE30" s="17" t="s">
        <v>2969</v>
      </c>
      <c r="GF30" s="17" t="s">
        <v>56</v>
      </c>
      <c r="GG30" s="17" t="s">
        <v>2818</v>
      </c>
      <c r="GH30" s="17" t="s">
        <v>2818</v>
      </c>
      <c r="GI30" s="17" t="s">
        <v>1111</v>
      </c>
      <c r="GJ30" s="17" t="s">
        <v>1111</v>
      </c>
      <c r="GK30" s="17" t="s">
        <v>1111</v>
      </c>
      <c r="GL30" s="17"/>
    </row>
    <row r="31" spans="2:194" x14ac:dyDescent="0.25">
      <c r="B31" s="17" t="s">
        <v>2840</v>
      </c>
      <c r="C31" s="17" t="s">
        <v>70</v>
      </c>
      <c r="D31" s="17" t="s">
        <v>3411</v>
      </c>
      <c r="E31" s="17" t="s">
        <v>3412</v>
      </c>
      <c r="F31" s="17" t="s">
        <v>3237</v>
      </c>
      <c r="G31" s="17" t="s">
        <v>3413</v>
      </c>
      <c r="H31" s="17"/>
      <c r="I31" s="17" t="s">
        <v>2797</v>
      </c>
      <c r="J31" s="17" t="s">
        <v>3403</v>
      </c>
      <c r="K31" s="17" t="s">
        <v>2653</v>
      </c>
      <c r="L31" s="17" t="s">
        <v>2800</v>
      </c>
      <c r="M31" s="17" t="s">
        <v>3414</v>
      </c>
      <c r="N31" s="17" t="s">
        <v>1325</v>
      </c>
      <c r="O31" s="17" t="s">
        <v>2813</v>
      </c>
      <c r="P31" s="17" t="s">
        <v>2814</v>
      </c>
      <c r="Q31" s="17" t="s">
        <v>3616</v>
      </c>
      <c r="R31" s="17">
        <v>17897433.710000001</v>
      </c>
      <c r="S31" s="17">
        <v>4974456.4000000004</v>
      </c>
      <c r="T31" s="17">
        <v>18587154.18</v>
      </c>
      <c r="U31" s="17" t="s">
        <v>2817</v>
      </c>
      <c r="V31" s="17" t="s">
        <v>939</v>
      </c>
      <c r="W31" s="17" t="s">
        <v>2816</v>
      </c>
      <c r="X31" s="17" t="s">
        <v>3403</v>
      </c>
      <c r="Y31" s="17" t="s">
        <v>56</v>
      </c>
      <c r="Z31" s="17" t="s">
        <v>3616</v>
      </c>
      <c r="AA31" s="17" t="s">
        <v>2801</v>
      </c>
      <c r="AB31" s="17">
        <v>2.1629</v>
      </c>
      <c r="AC31" s="17" t="s">
        <v>3616</v>
      </c>
      <c r="AD31" s="17" t="s">
        <v>2804</v>
      </c>
      <c r="AE31" s="17">
        <v>319397</v>
      </c>
      <c r="AF31" s="17" t="s">
        <v>2839</v>
      </c>
      <c r="AG31" s="17" t="s">
        <v>3617</v>
      </c>
      <c r="AH31" s="17" t="s">
        <v>2806</v>
      </c>
      <c r="AI31" s="17"/>
      <c r="AJ31" s="17" t="s">
        <v>56</v>
      </c>
      <c r="AK31" s="17" t="s">
        <v>56</v>
      </c>
      <c r="AL31" s="17" t="s">
        <v>56</v>
      </c>
      <c r="AM31" s="17" t="s">
        <v>56</v>
      </c>
      <c r="AN31" s="17" t="s">
        <v>56</v>
      </c>
      <c r="AO31" s="17" t="s">
        <v>56</v>
      </c>
      <c r="AP31" s="17" t="s">
        <v>56</v>
      </c>
      <c r="AQ31" s="17" t="s">
        <v>56</v>
      </c>
      <c r="AR31" s="17" t="s">
        <v>56</v>
      </c>
      <c r="AS31" s="17">
        <v>677.19899999999996</v>
      </c>
      <c r="AT31" s="17">
        <v>82.007599999999996</v>
      </c>
      <c r="AU31" s="17">
        <v>435.83600000000001</v>
      </c>
      <c r="AV31" s="17" t="s">
        <v>56</v>
      </c>
      <c r="AW31" s="17" t="s">
        <v>56</v>
      </c>
      <c r="AX31" s="17" t="s">
        <v>56</v>
      </c>
      <c r="AY31" s="17">
        <v>561.97</v>
      </c>
      <c r="AZ31" s="17">
        <v>68.053600000000003</v>
      </c>
      <c r="BA31" s="17">
        <v>361.67599999999999</v>
      </c>
      <c r="BB31" s="17" t="s">
        <v>56</v>
      </c>
      <c r="BC31" s="17" t="s">
        <v>56</v>
      </c>
      <c r="BD31" s="17" t="s">
        <v>56</v>
      </c>
      <c r="BE31" s="17" t="s">
        <v>56</v>
      </c>
      <c r="BF31" s="17" t="s">
        <v>56</v>
      </c>
      <c r="BG31" s="17" t="s">
        <v>56</v>
      </c>
      <c r="BH31" s="17" t="s">
        <v>56</v>
      </c>
      <c r="BI31" s="17" t="s">
        <v>56</v>
      </c>
      <c r="BJ31" s="17" t="s">
        <v>56</v>
      </c>
      <c r="BK31" s="17" t="s">
        <v>56</v>
      </c>
      <c r="BL31" s="17" t="s">
        <v>56</v>
      </c>
      <c r="BM31" s="17" t="s">
        <v>56</v>
      </c>
      <c r="BN31" s="17" t="s">
        <v>56</v>
      </c>
      <c r="BO31" s="17" t="s">
        <v>56</v>
      </c>
      <c r="BP31" s="17" t="s">
        <v>56</v>
      </c>
      <c r="BQ31" s="17" t="s">
        <v>56</v>
      </c>
      <c r="BR31" s="17" t="s">
        <v>56</v>
      </c>
      <c r="BS31" s="17" t="s">
        <v>56</v>
      </c>
      <c r="BT31" s="17" t="s">
        <v>56</v>
      </c>
      <c r="BU31" s="17" t="s">
        <v>56</v>
      </c>
      <c r="BV31" s="17" t="s">
        <v>56</v>
      </c>
      <c r="BW31" s="17" t="s">
        <v>56</v>
      </c>
      <c r="BX31" s="17" t="s">
        <v>2818</v>
      </c>
      <c r="BY31" s="17" t="s">
        <v>1111</v>
      </c>
      <c r="BZ31" s="17" t="s">
        <v>56</v>
      </c>
      <c r="CA31" s="17" t="s">
        <v>56</v>
      </c>
      <c r="CB31" s="17" t="s">
        <v>1325</v>
      </c>
      <c r="CC31" s="17" t="s">
        <v>1325</v>
      </c>
      <c r="CD31" s="17" t="s">
        <v>1325</v>
      </c>
      <c r="CE31" s="17" t="s">
        <v>1325</v>
      </c>
      <c r="CF31" s="17" t="s">
        <v>1325</v>
      </c>
      <c r="CG31" s="17" t="s">
        <v>1325</v>
      </c>
      <c r="CH31" s="17" t="s">
        <v>1325</v>
      </c>
      <c r="CI31" s="17" t="s">
        <v>1325</v>
      </c>
      <c r="CJ31" s="17" t="s">
        <v>1325</v>
      </c>
      <c r="CK31" s="17" t="s">
        <v>1325</v>
      </c>
      <c r="CL31" s="17" t="s">
        <v>1325</v>
      </c>
      <c r="CM31" s="17" t="s">
        <v>1325</v>
      </c>
      <c r="CN31" s="17" t="s">
        <v>1325</v>
      </c>
      <c r="CO31" s="17" t="s">
        <v>1325</v>
      </c>
      <c r="CP31" s="17" t="s">
        <v>1325</v>
      </c>
      <c r="CQ31" s="17" t="s">
        <v>1325</v>
      </c>
      <c r="CR31" s="17" t="s">
        <v>1325</v>
      </c>
      <c r="CS31" s="17" t="s">
        <v>1325</v>
      </c>
      <c r="CT31" s="17" t="s">
        <v>1325</v>
      </c>
      <c r="CU31" s="17" t="s">
        <v>1325</v>
      </c>
      <c r="CV31" s="17" t="s">
        <v>1325</v>
      </c>
      <c r="CW31" s="17" t="s">
        <v>56</v>
      </c>
      <c r="CX31" s="17" t="s">
        <v>56</v>
      </c>
      <c r="CY31" s="17" t="s">
        <v>56</v>
      </c>
      <c r="CZ31" s="17">
        <v>319397</v>
      </c>
      <c r="DA31" s="17">
        <v>319397</v>
      </c>
      <c r="DB31" s="17">
        <v>319397</v>
      </c>
      <c r="DC31" s="17"/>
      <c r="DD31" s="17"/>
      <c r="DE31" s="17"/>
      <c r="DF31" s="17" t="s">
        <v>3415</v>
      </c>
      <c r="DG31" s="17" t="s">
        <v>3464</v>
      </c>
      <c r="DH31" s="17" t="s">
        <v>3237</v>
      </c>
      <c r="DI31" s="17" t="s">
        <v>3465</v>
      </c>
      <c r="DJ31" s="17" t="s">
        <v>3405</v>
      </c>
      <c r="DK31" s="17" t="s">
        <v>3320</v>
      </c>
      <c r="DL31" s="17" t="s">
        <v>3418</v>
      </c>
      <c r="DM31" s="17">
        <v>1.5449999999999999E-3</v>
      </c>
      <c r="DN31" s="17">
        <v>493.5</v>
      </c>
      <c r="DO31" s="17">
        <v>0.42855480631076298</v>
      </c>
      <c r="DP31" s="17" t="s">
        <v>3308</v>
      </c>
      <c r="DQ31" s="17" t="s">
        <v>2839</v>
      </c>
      <c r="DR31" s="17" t="s">
        <v>56</v>
      </c>
      <c r="DS31" s="17" t="s">
        <v>56</v>
      </c>
      <c r="DT31" s="17" t="s">
        <v>56</v>
      </c>
      <c r="DU31" s="17" t="s">
        <v>56</v>
      </c>
      <c r="DV31" s="17" t="s">
        <v>2862</v>
      </c>
      <c r="DW31" s="17" t="s">
        <v>3309</v>
      </c>
      <c r="DX31" s="17" t="s">
        <v>3310</v>
      </c>
      <c r="DY31" s="17">
        <v>9.7795896448127796E-3</v>
      </c>
      <c r="DZ31" s="17">
        <v>2.7520410355187201E-2</v>
      </c>
      <c r="EA31" s="17" t="s">
        <v>3311</v>
      </c>
      <c r="EB31" s="17">
        <v>4.0201671797007003E-3</v>
      </c>
      <c r="EC31" s="17">
        <v>7.1798328202993004E-3</v>
      </c>
      <c r="ED31" s="17" t="s">
        <v>56</v>
      </c>
      <c r="EE31" s="17" t="s">
        <v>56</v>
      </c>
      <c r="EF31" s="17" t="s">
        <v>56</v>
      </c>
      <c r="EG31" s="17" t="s">
        <v>2862</v>
      </c>
      <c r="EH31" s="17" t="s">
        <v>3309</v>
      </c>
      <c r="EI31" s="17" t="s">
        <v>3312</v>
      </c>
      <c r="EJ31" s="17">
        <v>1.08477E-2</v>
      </c>
      <c r="EK31" s="17">
        <v>5.8252699999999998E-2</v>
      </c>
      <c r="EL31" s="17" t="s">
        <v>3311</v>
      </c>
      <c r="EM31" s="17">
        <v>4.8999999999999998E-3</v>
      </c>
      <c r="EN31" s="17">
        <v>1.01E-2</v>
      </c>
      <c r="EO31" s="17" t="s">
        <v>3312</v>
      </c>
      <c r="EP31" s="17">
        <v>4.3641500000000004</v>
      </c>
      <c r="EQ31" s="17">
        <v>23.435700000000001</v>
      </c>
      <c r="ER31" s="17" t="s">
        <v>3313</v>
      </c>
      <c r="ES31" s="17">
        <v>0.59340000000000004</v>
      </c>
      <c r="ET31" s="17">
        <v>1.2263999999999999</v>
      </c>
      <c r="EU31" s="17" t="s">
        <v>2862</v>
      </c>
      <c r="EV31" s="17" t="s">
        <v>3309</v>
      </c>
      <c r="EW31" s="17" t="s">
        <v>3312</v>
      </c>
      <c r="EX31" s="17">
        <v>4.3641500000000004</v>
      </c>
      <c r="EY31" s="17">
        <v>23.435700000000001</v>
      </c>
      <c r="EZ31" s="17" t="s">
        <v>3311</v>
      </c>
      <c r="FA31" s="17">
        <v>0.59340000000000004</v>
      </c>
      <c r="FB31" s="17">
        <v>1.2263999999999999</v>
      </c>
      <c r="FC31" s="17" t="s">
        <v>56</v>
      </c>
      <c r="FD31" s="17" t="s">
        <v>56</v>
      </c>
      <c r="FE31" s="17" t="s">
        <v>56</v>
      </c>
      <c r="FF31" s="17" t="s">
        <v>56</v>
      </c>
      <c r="FG31" s="17" t="s">
        <v>56</v>
      </c>
      <c r="FH31" s="17" t="s">
        <v>56</v>
      </c>
      <c r="FI31" s="17" t="s">
        <v>56</v>
      </c>
      <c r="FJ31" s="17" t="s">
        <v>56</v>
      </c>
      <c r="FK31" s="17" t="s">
        <v>56</v>
      </c>
      <c r="FL31" s="17" t="s">
        <v>56</v>
      </c>
      <c r="FM31" s="17" t="s">
        <v>56</v>
      </c>
      <c r="FN31" s="17" t="s">
        <v>56</v>
      </c>
      <c r="FO31" s="17" t="s">
        <v>56</v>
      </c>
      <c r="FP31" s="17" t="s">
        <v>56</v>
      </c>
      <c r="FQ31" s="17" t="s">
        <v>56</v>
      </c>
      <c r="FR31" s="17" t="s">
        <v>56</v>
      </c>
      <c r="FS31" s="17" t="s">
        <v>56</v>
      </c>
      <c r="FT31" s="17" t="s">
        <v>56</v>
      </c>
      <c r="FU31" s="17">
        <v>194.50885562307101</v>
      </c>
      <c r="FV31" s="17">
        <v>1044.5221148965099</v>
      </c>
      <c r="FW31" s="17" t="s">
        <v>56</v>
      </c>
      <c r="FX31" s="17" t="s">
        <v>56</v>
      </c>
      <c r="FY31" s="17" t="s">
        <v>56</v>
      </c>
      <c r="FZ31" s="17" t="s">
        <v>56</v>
      </c>
      <c r="GA31" s="17" t="s">
        <v>56</v>
      </c>
      <c r="GB31" s="17" t="s">
        <v>56</v>
      </c>
      <c r="GC31" s="17" t="s">
        <v>56</v>
      </c>
      <c r="GD31" s="17" t="s">
        <v>2969</v>
      </c>
      <c r="GE31" s="17" t="s">
        <v>2969</v>
      </c>
      <c r="GF31" s="17" t="s">
        <v>56</v>
      </c>
      <c r="GG31" s="17" t="s">
        <v>2818</v>
      </c>
      <c r="GH31" s="17" t="s">
        <v>2818</v>
      </c>
      <c r="GI31" s="17" t="s">
        <v>1111</v>
      </c>
      <c r="GJ31" s="17" t="s">
        <v>1111</v>
      </c>
      <c r="GK31" s="17" t="s">
        <v>1111</v>
      </c>
      <c r="GL31" s="17"/>
    </row>
    <row r="32" spans="2:194" x14ac:dyDescent="0.25">
      <c r="B32" s="17" t="s">
        <v>2840</v>
      </c>
      <c r="C32" s="17" t="s">
        <v>70</v>
      </c>
      <c r="D32" s="17" t="s">
        <v>3411</v>
      </c>
      <c r="E32" s="17" t="s">
        <v>3412</v>
      </c>
      <c r="F32" s="17" t="s">
        <v>3237</v>
      </c>
      <c r="G32" s="17" t="s">
        <v>3413</v>
      </c>
      <c r="H32" s="17"/>
      <c r="I32" s="17" t="s">
        <v>2797</v>
      </c>
      <c r="J32" s="17" t="s">
        <v>3403</v>
      </c>
      <c r="K32" s="17" t="s">
        <v>2653</v>
      </c>
      <c r="L32" s="17" t="s">
        <v>2800</v>
      </c>
      <c r="M32" s="17" t="s">
        <v>3414</v>
      </c>
      <c r="N32" s="17" t="s">
        <v>1325</v>
      </c>
      <c r="O32" s="17" t="s">
        <v>2813</v>
      </c>
      <c r="P32" s="17" t="s">
        <v>2814</v>
      </c>
      <c r="Q32" s="17" t="s">
        <v>3616</v>
      </c>
      <c r="R32" s="17">
        <v>17897433.710000001</v>
      </c>
      <c r="S32" s="17">
        <v>4974456.4000000004</v>
      </c>
      <c r="T32" s="17">
        <v>18587154.18</v>
      </c>
      <c r="U32" s="17" t="s">
        <v>2817</v>
      </c>
      <c r="V32" s="17" t="s">
        <v>939</v>
      </c>
      <c r="W32" s="17" t="s">
        <v>2816</v>
      </c>
      <c r="X32" s="17" t="s">
        <v>3403</v>
      </c>
      <c r="Y32" s="17" t="s">
        <v>56</v>
      </c>
      <c r="Z32" s="17" t="s">
        <v>3616</v>
      </c>
      <c r="AA32" s="17" t="s">
        <v>2801</v>
      </c>
      <c r="AB32" s="17">
        <v>2.1629</v>
      </c>
      <c r="AC32" s="17" t="s">
        <v>3616</v>
      </c>
      <c r="AD32" s="17" t="s">
        <v>2804</v>
      </c>
      <c r="AE32" s="17">
        <v>319397</v>
      </c>
      <c r="AF32" s="17" t="s">
        <v>2839</v>
      </c>
      <c r="AG32" s="17" t="s">
        <v>3617</v>
      </c>
      <c r="AH32" s="17" t="s">
        <v>2806</v>
      </c>
      <c r="AI32" s="17"/>
      <c r="AJ32" s="17" t="s">
        <v>56</v>
      </c>
      <c r="AK32" s="17" t="s">
        <v>56</v>
      </c>
      <c r="AL32" s="17" t="s">
        <v>56</v>
      </c>
      <c r="AM32" s="17" t="s">
        <v>56</v>
      </c>
      <c r="AN32" s="17" t="s">
        <v>56</v>
      </c>
      <c r="AO32" s="17" t="s">
        <v>56</v>
      </c>
      <c r="AP32" s="17" t="s">
        <v>56</v>
      </c>
      <c r="AQ32" s="17" t="s">
        <v>56</v>
      </c>
      <c r="AR32" s="17" t="s">
        <v>56</v>
      </c>
      <c r="AS32" s="17">
        <v>677.19899999999996</v>
      </c>
      <c r="AT32" s="17">
        <v>82.007599999999996</v>
      </c>
      <c r="AU32" s="17">
        <v>435.83600000000001</v>
      </c>
      <c r="AV32" s="17" t="s">
        <v>56</v>
      </c>
      <c r="AW32" s="17" t="s">
        <v>56</v>
      </c>
      <c r="AX32" s="17" t="s">
        <v>56</v>
      </c>
      <c r="AY32" s="17">
        <v>561.97</v>
      </c>
      <c r="AZ32" s="17">
        <v>68.053600000000003</v>
      </c>
      <c r="BA32" s="17">
        <v>361.67599999999999</v>
      </c>
      <c r="BB32" s="17" t="s">
        <v>56</v>
      </c>
      <c r="BC32" s="17" t="s">
        <v>56</v>
      </c>
      <c r="BD32" s="17" t="s">
        <v>56</v>
      </c>
      <c r="BE32" s="17" t="s">
        <v>56</v>
      </c>
      <c r="BF32" s="17" t="s">
        <v>56</v>
      </c>
      <c r="BG32" s="17" t="s">
        <v>56</v>
      </c>
      <c r="BH32" s="17" t="s">
        <v>56</v>
      </c>
      <c r="BI32" s="17" t="s">
        <v>56</v>
      </c>
      <c r="BJ32" s="17" t="s">
        <v>56</v>
      </c>
      <c r="BK32" s="17" t="s">
        <v>56</v>
      </c>
      <c r="BL32" s="17" t="s">
        <v>56</v>
      </c>
      <c r="BM32" s="17" t="s">
        <v>56</v>
      </c>
      <c r="BN32" s="17" t="s">
        <v>56</v>
      </c>
      <c r="BO32" s="17" t="s">
        <v>56</v>
      </c>
      <c r="BP32" s="17" t="s">
        <v>56</v>
      </c>
      <c r="BQ32" s="17" t="s">
        <v>56</v>
      </c>
      <c r="BR32" s="17" t="s">
        <v>56</v>
      </c>
      <c r="BS32" s="17" t="s">
        <v>56</v>
      </c>
      <c r="BT32" s="17" t="s">
        <v>56</v>
      </c>
      <c r="BU32" s="17" t="s">
        <v>56</v>
      </c>
      <c r="BV32" s="17" t="s">
        <v>56</v>
      </c>
      <c r="BW32" s="17" t="s">
        <v>56</v>
      </c>
      <c r="BX32" s="17" t="s">
        <v>2818</v>
      </c>
      <c r="BY32" s="17" t="s">
        <v>1111</v>
      </c>
      <c r="BZ32" s="17" t="s">
        <v>56</v>
      </c>
      <c r="CA32" s="17" t="s">
        <v>56</v>
      </c>
      <c r="CB32" s="17" t="s">
        <v>1325</v>
      </c>
      <c r="CC32" s="17" t="s">
        <v>1325</v>
      </c>
      <c r="CD32" s="17" t="s">
        <v>1325</v>
      </c>
      <c r="CE32" s="17" t="s">
        <v>1325</v>
      </c>
      <c r="CF32" s="17" t="s">
        <v>1325</v>
      </c>
      <c r="CG32" s="17" t="s">
        <v>1325</v>
      </c>
      <c r="CH32" s="17" t="s">
        <v>1325</v>
      </c>
      <c r="CI32" s="17" t="s">
        <v>1325</v>
      </c>
      <c r="CJ32" s="17" t="s">
        <v>1325</v>
      </c>
      <c r="CK32" s="17" t="s">
        <v>1325</v>
      </c>
      <c r="CL32" s="17" t="s">
        <v>1325</v>
      </c>
      <c r="CM32" s="17" t="s">
        <v>1325</v>
      </c>
      <c r="CN32" s="17" t="s">
        <v>1325</v>
      </c>
      <c r="CO32" s="17" t="s">
        <v>1325</v>
      </c>
      <c r="CP32" s="17" t="s">
        <v>1325</v>
      </c>
      <c r="CQ32" s="17" t="s">
        <v>1325</v>
      </c>
      <c r="CR32" s="17" t="s">
        <v>1325</v>
      </c>
      <c r="CS32" s="17" t="s">
        <v>1325</v>
      </c>
      <c r="CT32" s="17" t="s">
        <v>1325</v>
      </c>
      <c r="CU32" s="17" t="s">
        <v>1325</v>
      </c>
      <c r="CV32" s="17" t="s">
        <v>1325</v>
      </c>
      <c r="CW32" s="17" t="s">
        <v>56</v>
      </c>
      <c r="CX32" s="17" t="s">
        <v>56</v>
      </c>
      <c r="CY32" s="17" t="s">
        <v>56</v>
      </c>
      <c r="CZ32" s="17">
        <v>319397</v>
      </c>
      <c r="DA32" s="17">
        <v>319397</v>
      </c>
      <c r="DB32" s="17">
        <v>319397</v>
      </c>
      <c r="DC32" s="17"/>
      <c r="DD32" s="17"/>
      <c r="DE32" s="17"/>
      <c r="DF32" s="17" t="s">
        <v>3415</v>
      </c>
      <c r="DG32" s="17" t="s">
        <v>3466</v>
      </c>
      <c r="DH32" s="17" t="s">
        <v>3237</v>
      </c>
      <c r="DI32" s="17" t="s">
        <v>3467</v>
      </c>
      <c r="DJ32" s="17" t="s">
        <v>3405</v>
      </c>
      <c r="DK32" s="17" t="s">
        <v>3320</v>
      </c>
      <c r="DL32" s="17" t="s">
        <v>3418</v>
      </c>
      <c r="DM32" s="17">
        <v>1.2083999999999999E-2</v>
      </c>
      <c r="DN32" s="17">
        <v>3859.6</v>
      </c>
      <c r="DO32" s="17">
        <v>0.42855799999999999</v>
      </c>
      <c r="DP32" s="17" t="s">
        <v>3308</v>
      </c>
      <c r="DQ32" s="17" t="s">
        <v>2839</v>
      </c>
      <c r="DR32" s="17" t="s">
        <v>56</v>
      </c>
      <c r="DS32" s="17" t="s">
        <v>56</v>
      </c>
      <c r="DT32" s="17" t="s">
        <v>56</v>
      </c>
      <c r="DU32" s="17" t="s">
        <v>56</v>
      </c>
      <c r="DV32" s="17" t="s">
        <v>2862</v>
      </c>
      <c r="DW32" s="17" t="s">
        <v>3309</v>
      </c>
      <c r="DX32" s="17" t="s">
        <v>3310</v>
      </c>
      <c r="DY32" s="17">
        <v>9.7795896448127796E-3</v>
      </c>
      <c r="DZ32" s="17">
        <v>2.7520410355187201E-2</v>
      </c>
      <c r="EA32" s="17" t="s">
        <v>3311</v>
      </c>
      <c r="EB32" s="17">
        <v>4.0201671797007003E-3</v>
      </c>
      <c r="EC32" s="17">
        <v>7.1798328202993004E-3</v>
      </c>
      <c r="ED32" s="17" t="s">
        <v>56</v>
      </c>
      <c r="EE32" s="17" t="s">
        <v>56</v>
      </c>
      <c r="EF32" s="17" t="s">
        <v>56</v>
      </c>
      <c r="EG32" s="17" t="s">
        <v>2862</v>
      </c>
      <c r="EH32" s="17" t="s">
        <v>3309</v>
      </c>
      <c r="EI32" s="17" t="s">
        <v>3312</v>
      </c>
      <c r="EJ32" s="17">
        <v>1.08477E-2</v>
      </c>
      <c r="EK32" s="17">
        <v>5.8252699999999998E-2</v>
      </c>
      <c r="EL32" s="17" t="s">
        <v>3311</v>
      </c>
      <c r="EM32" s="17">
        <v>4.8999999999999998E-3</v>
      </c>
      <c r="EN32" s="17">
        <v>1.01E-2</v>
      </c>
      <c r="EO32" s="17" t="s">
        <v>3312</v>
      </c>
      <c r="EP32" s="17">
        <v>4.3641500000000004</v>
      </c>
      <c r="EQ32" s="17">
        <v>23.435700000000001</v>
      </c>
      <c r="ER32" s="17" t="s">
        <v>3313</v>
      </c>
      <c r="ES32" s="17">
        <v>0.59340000000000004</v>
      </c>
      <c r="ET32" s="17">
        <v>1.2263999999999999</v>
      </c>
      <c r="EU32" s="17" t="s">
        <v>2862</v>
      </c>
      <c r="EV32" s="17" t="s">
        <v>3309</v>
      </c>
      <c r="EW32" s="17" t="s">
        <v>3312</v>
      </c>
      <c r="EX32" s="17">
        <v>4.3641500000000004</v>
      </c>
      <c r="EY32" s="17">
        <v>23.435700000000001</v>
      </c>
      <c r="EZ32" s="17" t="s">
        <v>3311</v>
      </c>
      <c r="FA32" s="17">
        <v>0.59340000000000004</v>
      </c>
      <c r="FB32" s="17">
        <v>1.2263999999999999</v>
      </c>
      <c r="FC32" s="17" t="s">
        <v>56</v>
      </c>
      <c r="FD32" s="17" t="s">
        <v>56</v>
      </c>
      <c r="FE32" s="17" t="s">
        <v>56</v>
      </c>
      <c r="FF32" s="17" t="s">
        <v>56</v>
      </c>
      <c r="FG32" s="17" t="s">
        <v>56</v>
      </c>
      <c r="FH32" s="17" t="s">
        <v>56</v>
      </c>
      <c r="FI32" s="17" t="s">
        <v>56</v>
      </c>
      <c r="FJ32" s="17" t="s">
        <v>56</v>
      </c>
      <c r="FK32" s="17" t="s">
        <v>56</v>
      </c>
      <c r="FL32" s="17" t="s">
        <v>56</v>
      </c>
      <c r="FM32" s="17" t="s">
        <v>56</v>
      </c>
      <c r="FN32" s="17" t="s">
        <v>56</v>
      </c>
      <c r="FO32" s="17" t="s">
        <v>56</v>
      </c>
      <c r="FP32" s="17" t="s">
        <v>56</v>
      </c>
      <c r="FQ32" s="17" t="s">
        <v>56</v>
      </c>
      <c r="FR32" s="17" t="s">
        <v>56</v>
      </c>
      <c r="FS32" s="17" t="s">
        <v>56</v>
      </c>
      <c r="FT32" s="17" t="s">
        <v>56</v>
      </c>
      <c r="FU32" s="17">
        <v>194.51030515279999</v>
      </c>
      <c r="FV32" s="17">
        <v>1044.5298989424</v>
      </c>
      <c r="FW32" s="17" t="s">
        <v>56</v>
      </c>
      <c r="FX32" s="17" t="s">
        <v>56</v>
      </c>
      <c r="FY32" s="17" t="s">
        <v>56</v>
      </c>
      <c r="FZ32" s="17" t="s">
        <v>56</v>
      </c>
      <c r="GA32" s="17" t="s">
        <v>56</v>
      </c>
      <c r="GB32" s="17" t="s">
        <v>56</v>
      </c>
      <c r="GC32" s="17" t="s">
        <v>56</v>
      </c>
      <c r="GD32" s="17" t="s">
        <v>2969</v>
      </c>
      <c r="GE32" s="17" t="s">
        <v>2969</v>
      </c>
      <c r="GF32" s="17" t="s">
        <v>56</v>
      </c>
      <c r="GG32" s="17" t="s">
        <v>2818</v>
      </c>
      <c r="GH32" s="17" t="s">
        <v>2818</v>
      </c>
      <c r="GI32" s="17" t="s">
        <v>1111</v>
      </c>
      <c r="GJ32" s="17" t="s">
        <v>1111</v>
      </c>
      <c r="GK32" s="17" t="s">
        <v>1111</v>
      </c>
      <c r="GL32" s="17"/>
    </row>
    <row r="33" spans="2:194" x14ac:dyDescent="0.25">
      <c r="B33" s="17" t="s">
        <v>2840</v>
      </c>
      <c r="C33" s="17" t="s">
        <v>70</v>
      </c>
      <c r="D33" s="17" t="s">
        <v>3411</v>
      </c>
      <c r="E33" s="17" t="s">
        <v>3412</v>
      </c>
      <c r="F33" s="17" t="s">
        <v>3237</v>
      </c>
      <c r="G33" s="17" t="s">
        <v>3413</v>
      </c>
      <c r="H33" s="17"/>
      <c r="I33" s="17" t="s">
        <v>2797</v>
      </c>
      <c r="J33" s="17" t="s">
        <v>3403</v>
      </c>
      <c r="K33" s="17" t="s">
        <v>2653</v>
      </c>
      <c r="L33" s="17" t="s">
        <v>2800</v>
      </c>
      <c r="M33" s="17" t="s">
        <v>3414</v>
      </c>
      <c r="N33" s="17" t="s">
        <v>1325</v>
      </c>
      <c r="O33" s="17" t="s">
        <v>2813</v>
      </c>
      <c r="P33" s="17" t="s">
        <v>2814</v>
      </c>
      <c r="Q33" s="17" t="s">
        <v>3616</v>
      </c>
      <c r="R33" s="17">
        <v>17897433.710000001</v>
      </c>
      <c r="S33" s="17">
        <v>4974456.4000000004</v>
      </c>
      <c r="T33" s="17">
        <v>18587154.18</v>
      </c>
      <c r="U33" s="17" t="s">
        <v>2817</v>
      </c>
      <c r="V33" s="17" t="s">
        <v>939</v>
      </c>
      <c r="W33" s="17" t="s">
        <v>2816</v>
      </c>
      <c r="X33" s="17" t="s">
        <v>3403</v>
      </c>
      <c r="Y33" s="17" t="s">
        <v>56</v>
      </c>
      <c r="Z33" s="17" t="s">
        <v>3616</v>
      </c>
      <c r="AA33" s="17" t="s">
        <v>2801</v>
      </c>
      <c r="AB33" s="17">
        <v>2.1629</v>
      </c>
      <c r="AC33" s="17" t="s">
        <v>3616</v>
      </c>
      <c r="AD33" s="17" t="s">
        <v>2804</v>
      </c>
      <c r="AE33" s="17">
        <v>319397</v>
      </c>
      <c r="AF33" s="17" t="s">
        <v>2839</v>
      </c>
      <c r="AG33" s="17" t="s">
        <v>3617</v>
      </c>
      <c r="AH33" s="17" t="s">
        <v>2806</v>
      </c>
      <c r="AI33" s="17"/>
      <c r="AJ33" s="17" t="s">
        <v>56</v>
      </c>
      <c r="AK33" s="17" t="s">
        <v>56</v>
      </c>
      <c r="AL33" s="17" t="s">
        <v>56</v>
      </c>
      <c r="AM33" s="17" t="s">
        <v>56</v>
      </c>
      <c r="AN33" s="17" t="s">
        <v>56</v>
      </c>
      <c r="AO33" s="17" t="s">
        <v>56</v>
      </c>
      <c r="AP33" s="17" t="s">
        <v>56</v>
      </c>
      <c r="AQ33" s="17" t="s">
        <v>56</v>
      </c>
      <c r="AR33" s="17" t="s">
        <v>56</v>
      </c>
      <c r="AS33" s="17">
        <v>677.19899999999996</v>
      </c>
      <c r="AT33" s="17">
        <v>82.007599999999996</v>
      </c>
      <c r="AU33" s="17">
        <v>435.83600000000001</v>
      </c>
      <c r="AV33" s="17" t="s">
        <v>56</v>
      </c>
      <c r="AW33" s="17" t="s">
        <v>56</v>
      </c>
      <c r="AX33" s="17" t="s">
        <v>56</v>
      </c>
      <c r="AY33" s="17">
        <v>561.97</v>
      </c>
      <c r="AZ33" s="17">
        <v>68.053600000000003</v>
      </c>
      <c r="BA33" s="17">
        <v>361.67599999999999</v>
      </c>
      <c r="BB33" s="17" t="s">
        <v>56</v>
      </c>
      <c r="BC33" s="17" t="s">
        <v>56</v>
      </c>
      <c r="BD33" s="17" t="s">
        <v>56</v>
      </c>
      <c r="BE33" s="17" t="s">
        <v>56</v>
      </c>
      <c r="BF33" s="17" t="s">
        <v>56</v>
      </c>
      <c r="BG33" s="17" t="s">
        <v>56</v>
      </c>
      <c r="BH33" s="17" t="s">
        <v>56</v>
      </c>
      <c r="BI33" s="17" t="s">
        <v>56</v>
      </c>
      <c r="BJ33" s="17" t="s">
        <v>56</v>
      </c>
      <c r="BK33" s="17" t="s">
        <v>56</v>
      </c>
      <c r="BL33" s="17" t="s">
        <v>56</v>
      </c>
      <c r="BM33" s="17" t="s">
        <v>56</v>
      </c>
      <c r="BN33" s="17" t="s">
        <v>56</v>
      </c>
      <c r="BO33" s="17" t="s">
        <v>56</v>
      </c>
      <c r="BP33" s="17" t="s">
        <v>56</v>
      </c>
      <c r="BQ33" s="17" t="s">
        <v>56</v>
      </c>
      <c r="BR33" s="17" t="s">
        <v>56</v>
      </c>
      <c r="BS33" s="17" t="s">
        <v>56</v>
      </c>
      <c r="BT33" s="17" t="s">
        <v>56</v>
      </c>
      <c r="BU33" s="17" t="s">
        <v>56</v>
      </c>
      <c r="BV33" s="17" t="s">
        <v>56</v>
      </c>
      <c r="BW33" s="17" t="s">
        <v>56</v>
      </c>
      <c r="BX33" s="17" t="s">
        <v>2818</v>
      </c>
      <c r="BY33" s="17" t="s">
        <v>1111</v>
      </c>
      <c r="BZ33" s="17" t="s">
        <v>56</v>
      </c>
      <c r="CA33" s="17" t="s">
        <v>56</v>
      </c>
      <c r="CB33" s="17" t="s">
        <v>1325</v>
      </c>
      <c r="CC33" s="17" t="s">
        <v>1325</v>
      </c>
      <c r="CD33" s="17" t="s">
        <v>1325</v>
      </c>
      <c r="CE33" s="17" t="s">
        <v>1325</v>
      </c>
      <c r="CF33" s="17" t="s">
        <v>1325</v>
      </c>
      <c r="CG33" s="17" t="s">
        <v>1325</v>
      </c>
      <c r="CH33" s="17" t="s">
        <v>1325</v>
      </c>
      <c r="CI33" s="17" t="s">
        <v>1325</v>
      </c>
      <c r="CJ33" s="17" t="s">
        <v>1325</v>
      </c>
      <c r="CK33" s="17" t="s">
        <v>1325</v>
      </c>
      <c r="CL33" s="17" t="s">
        <v>1325</v>
      </c>
      <c r="CM33" s="17" t="s">
        <v>1325</v>
      </c>
      <c r="CN33" s="17" t="s">
        <v>1325</v>
      </c>
      <c r="CO33" s="17" t="s">
        <v>1325</v>
      </c>
      <c r="CP33" s="17" t="s">
        <v>1325</v>
      </c>
      <c r="CQ33" s="17" t="s">
        <v>1325</v>
      </c>
      <c r="CR33" s="17" t="s">
        <v>1325</v>
      </c>
      <c r="CS33" s="17" t="s">
        <v>1325</v>
      </c>
      <c r="CT33" s="17" t="s">
        <v>1325</v>
      </c>
      <c r="CU33" s="17" t="s">
        <v>1325</v>
      </c>
      <c r="CV33" s="17" t="s">
        <v>1325</v>
      </c>
      <c r="CW33" s="17" t="s">
        <v>56</v>
      </c>
      <c r="CX33" s="17" t="s">
        <v>56</v>
      </c>
      <c r="CY33" s="17" t="s">
        <v>56</v>
      </c>
      <c r="CZ33" s="17">
        <v>319397</v>
      </c>
      <c r="DA33" s="17">
        <v>319397</v>
      </c>
      <c r="DB33" s="17">
        <v>319397</v>
      </c>
      <c r="DC33" s="17"/>
      <c r="DD33" s="17"/>
      <c r="DE33" s="17"/>
      <c r="DF33" s="17" t="s">
        <v>3415</v>
      </c>
      <c r="DG33" s="17" t="s">
        <v>3468</v>
      </c>
      <c r="DH33" s="17" t="s">
        <v>3237</v>
      </c>
      <c r="DI33" s="17" t="s">
        <v>3469</v>
      </c>
      <c r="DJ33" s="17" t="s">
        <v>3405</v>
      </c>
      <c r="DK33" s="17" t="s">
        <v>3320</v>
      </c>
      <c r="DL33" s="17" t="s">
        <v>3418</v>
      </c>
      <c r="DM33" s="17">
        <v>1.9949999999999998E-3</v>
      </c>
      <c r="DN33" s="17">
        <v>637.20000000000005</v>
      </c>
      <c r="DO33" s="17">
        <v>0.42855688525218499</v>
      </c>
      <c r="DP33" s="17" t="s">
        <v>3308</v>
      </c>
      <c r="DQ33" s="17" t="s">
        <v>2839</v>
      </c>
      <c r="DR33" s="17" t="s">
        <v>56</v>
      </c>
      <c r="DS33" s="17" t="s">
        <v>56</v>
      </c>
      <c r="DT33" s="17" t="s">
        <v>56</v>
      </c>
      <c r="DU33" s="17" t="s">
        <v>56</v>
      </c>
      <c r="DV33" s="17" t="s">
        <v>2862</v>
      </c>
      <c r="DW33" s="17" t="s">
        <v>3309</v>
      </c>
      <c r="DX33" s="17" t="s">
        <v>3310</v>
      </c>
      <c r="DY33" s="17">
        <v>9.7795896448127796E-3</v>
      </c>
      <c r="DZ33" s="17">
        <v>2.7520410355187201E-2</v>
      </c>
      <c r="EA33" s="17" t="s">
        <v>3311</v>
      </c>
      <c r="EB33" s="17">
        <v>4.0201671797007003E-3</v>
      </c>
      <c r="EC33" s="17">
        <v>7.1798328202993004E-3</v>
      </c>
      <c r="ED33" s="17" t="s">
        <v>56</v>
      </c>
      <c r="EE33" s="17" t="s">
        <v>56</v>
      </c>
      <c r="EF33" s="17" t="s">
        <v>56</v>
      </c>
      <c r="EG33" s="17" t="s">
        <v>2862</v>
      </c>
      <c r="EH33" s="17" t="s">
        <v>3309</v>
      </c>
      <c r="EI33" s="17" t="s">
        <v>3312</v>
      </c>
      <c r="EJ33" s="17">
        <v>1.08477E-2</v>
      </c>
      <c r="EK33" s="17">
        <v>5.8252699999999998E-2</v>
      </c>
      <c r="EL33" s="17" t="s">
        <v>3311</v>
      </c>
      <c r="EM33" s="17">
        <v>4.8999999999999998E-3</v>
      </c>
      <c r="EN33" s="17">
        <v>1.01E-2</v>
      </c>
      <c r="EO33" s="17" t="s">
        <v>3312</v>
      </c>
      <c r="EP33" s="17">
        <v>4.3641500000000004</v>
      </c>
      <c r="EQ33" s="17">
        <v>23.435700000000001</v>
      </c>
      <c r="ER33" s="17" t="s">
        <v>3313</v>
      </c>
      <c r="ES33" s="17">
        <v>0.59340000000000004</v>
      </c>
      <c r="ET33" s="17">
        <v>1.2263999999999999</v>
      </c>
      <c r="EU33" s="17" t="s">
        <v>2862</v>
      </c>
      <c r="EV33" s="17" t="s">
        <v>3309</v>
      </c>
      <c r="EW33" s="17" t="s">
        <v>3312</v>
      </c>
      <c r="EX33" s="17">
        <v>4.3641500000000004</v>
      </c>
      <c r="EY33" s="17">
        <v>23.435700000000001</v>
      </c>
      <c r="EZ33" s="17" t="s">
        <v>3311</v>
      </c>
      <c r="FA33" s="17">
        <v>0.59340000000000004</v>
      </c>
      <c r="FB33" s="17">
        <v>1.2263999999999999</v>
      </c>
      <c r="FC33" s="17" t="s">
        <v>56</v>
      </c>
      <c r="FD33" s="17" t="s">
        <v>56</v>
      </c>
      <c r="FE33" s="17" t="s">
        <v>56</v>
      </c>
      <c r="FF33" s="17" t="s">
        <v>56</v>
      </c>
      <c r="FG33" s="17" t="s">
        <v>56</v>
      </c>
      <c r="FH33" s="17" t="s">
        <v>56</v>
      </c>
      <c r="FI33" s="17" t="s">
        <v>56</v>
      </c>
      <c r="FJ33" s="17" t="s">
        <v>56</v>
      </c>
      <c r="FK33" s="17" t="s">
        <v>56</v>
      </c>
      <c r="FL33" s="17" t="s">
        <v>56</v>
      </c>
      <c r="FM33" s="17" t="s">
        <v>56</v>
      </c>
      <c r="FN33" s="17" t="s">
        <v>56</v>
      </c>
      <c r="FO33" s="17" t="s">
        <v>56</v>
      </c>
      <c r="FP33" s="17" t="s">
        <v>56</v>
      </c>
      <c r="FQ33" s="17" t="s">
        <v>56</v>
      </c>
      <c r="FR33" s="17" t="s">
        <v>56</v>
      </c>
      <c r="FS33" s="17" t="s">
        <v>56</v>
      </c>
      <c r="FT33" s="17" t="s">
        <v>56</v>
      </c>
      <c r="FU33" s="17">
        <v>194.50979917673999</v>
      </c>
      <c r="FV33" s="17">
        <v>1044.5271818260901</v>
      </c>
      <c r="FW33" s="17" t="s">
        <v>56</v>
      </c>
      <c r="FX33" s="17" t="s">
        <v>56</v>
      </c>
      <c r="FY33" s="17" t="s">
        <v>56</v>
      </c>
      <c r="FZ33" s="17" t="s">
        <v>56</v>
      </c>
      <c r="GA33" s="17" t="s">
        <v>56</v>
      </c>
      <c r="GB33" s="17" t="s">
        <v>56</v>
      </c>
      <c r="GC33" s="17" t="s">
        <v>56</v>
      </c>
      <c r="GD33" s="17" t="s">
        <v>2969</v>
      </c>
      <c r="GE33" s="17" t="s">
        <v>2969</v>
      </c>
      <c r="GF33" s="17" t="s">
        <v>56</v>
      </c>
      <c r="GG33" s="17" t="s">
        <v>2818</v>
      </c>
      <c r="GH33" s="17" t="s">
        <v>2818</v>
      </c>
      <c r="GI33" s="17" t="s">
        <v>1111</v>
      </c>
      <c r="GJ33" s="17" t="s">
        <v>1111</v>
      </c>
      <c r="GK33" s="17" t="s">
        <v>1111</v>
      </c>
      <c r="GL33" s="17"/>
    </row>
    <row r="34" spans="2:194" x14ac:dyDescent="0.25">
      <c r="B34" s="17" t="s">
        <v>2840</v>
      </c>
      <c r="C34" s="17" t="s">
        <v>70</v>
      </c>
      <c r="D34" s="17" t="s">
        <v>3411</v>
      </c>
      <c r="E34" s="17" t="s">
        <v>3412</v>
      </c>
      <c r="F34" s="17" t="s">
        <v>3237</v>
      </c>
      <c r="G34" s="17" t="s">
        <v>3413</v>
      </c>
      <c r="H34" s="17"/>
      <c r="I34" s="17" t="s">
        <v>2797</v>
      </c>
      <c r="J34" s="17" t="s">
        <v>3403</v>
      </c>
      <c r="K34" s="17" t="s">
        <v>2653</v>
      </c>
      <c r="L34" s="17" t="s">
        <v>2800</v>
      </c>
      <c r="M34" s="17" t="s">
        <v>3414</v>
      </c>
      <c r="N34" s="17" t="s">
        <v>1325</v>
      </c>
      <c r="O34" s="17" t="s">
        <v>2813</v>
      </c>
      <c r="P34" s="17" t="s">
        <v>2814</v>
      </c>
      <c r="Q34" s="17" t="s">
        <v>3616</v>
      </c>
      <c r="R34" s="17">
        <v>17897433.710000001</v>
      </c>
      <c r="S34" s="17">
        <v>4974456.4000000004</v>
      </c>
      <c r="T34" s="17">
        <v>18587154.18</v>
      </c>
      <c r="U34" s="17" t="s">
        <v>2817</v>
      </c>
      <c r="V34" s="17" t="s">
        <v>939</v>
      </c>
      <c r="W34" s="17" t="s">
        <v>2816</v>
      </c>
      <c r="X34" s="17" t="s">
        <v>3403</v>
      </c>
      <c r="Y34" s="17" t="s">
        <v>56</v>
      </c>
      <c r="Z34" s="17" t="s">
        <v>3616</v>
      </c>
      <c r="AA34" s="17" t="s">
        <v>2801</v>
      </c>
      <c r="AB34" s="17">
        <v>2.1629</v>
      </c>
      <c r="AC34" s="17" t="s">
        <v>3616</v>
      </c>
      <c r="AD34" s="17" t="s">
        <v>2804</v>
      </c>
      <c r="AE34" s="17">
        <v>319397</v>
      </c>
      <c r="AF34" s="17" t="s">
        <v>2839</v>
      </c>
      <c r="AG34" s="17" t="s">
        <v>3617</v>
      </c>
      <c r="AH34" s="17" t="s">
        <v>2806</v>
      </c>
      <c r="AI34" s="17"/>
      <c r="AJ34" s="17" t="s">
        <v>56</v>
      </c>
      <c r="AK34" s="17" t="s">
        <v>56</v>
      </c>
      <c r="AL34" s="17" t="s">
        <v>56</v>
      </c>
      <c r="AM34" s="17" t="s">
        <v>56</v>
      </c>
      <c r="AN34" s="17" t="s">
        <v>56</v>
      </c>
      <c r="AO34" s="17" t="s">
        <v>56</v>
      </c>
      <c r="AP34" s="17" t="s">
        <v>56</v>
      </c>
      <c r="AQ34" s="17" t="s">
        <v>56</v>
      </c>
      <c r="AR34" s="17" t="s">
        <v>56</v>
      </c>
      <c r="AS34" s="17">
        <v>677.19899999999996</v>
      </c>
      <c r="AT34" s="17">
        <v>82.007599999999996</v>
      </c>
      <c r="AU34" s="17">
        <v>435.83600000000001</v>
      </c>
      <c r="AV34" s="17" t="s">
        <v>56</v>
      </c>
      <c r="AW34" s="17" t="s">
        <v>56</v>
      </c>
      <c r="AX34" s="17" t="s">
        <v>56</v>
      </c>
      <c r="AY34" s="17">
        <v>561.97</v>
      </c>
      <c r="AZ34" s="17">
        <v>68.053600000000003</v>
      </c>
      <c r="BA34" s="17">
        <v>361.67599999999999</v>
      </c>
      <c r="BB34" s="17" t="s">
        <v>56</v>
      </c>
      <c r="BC34" s="17" t="s">
        <v>56</v>
      </c>
      <c r="BD34" s="17" t="s">
        <v>56</v>
      </c>
      <c r="BE34" s="17" t="s">
        <v>56</v>
      </c>
      <c r="BF34" s="17" t="s">
        <v>56</v>
      </c>
      <c r="BG34" s="17" t="s">
        <v>56</v>
      </c>
      <c r="BH34" s="17" t="s">
        <v>56</v>
      </c>
      <c r="BI34" s="17" t="s">
        <v>56</v>
      </c>
      <c r="BJ34" s="17" t="s">
        <v>56</v>
      </c>
      <c r="BK34" s="17" t="s">
        <v>56</v>
      </c>
      <c r="BL34" s="17" t="s">
        <v>56</v>
      </c>
      <c r="BM34" s="17" t="s">
        <v>56</v>
      </c>
      <c r="BN34" s="17" t="s">
        <v>56</v>
      </c>
      <c r="BO34" s="17" t="s">
        <v>56</v>
      </c>
      <c r="BP34" s="17" t="s">
        <v>56</v>
      </c>
      <c r="BQ34" s="17" t="s">
        <v>56</v>
      </c>
      <c r="BR34" s="17" t="s">
        <v>56</v>
      </c>
      <c r="BS34" s="17" t="s">
        <v>56</v>
      </c>
      <c r="BT34" s="17" t="s">
        <v>56</v>
      </c>
      <c r="BU34" s="17" t="s">
        <v>56</v>
      </c>
      <c r="BV34" s="17" t="s">
        <v>56</v>
      </c>
      <c r="BW34" s="17" t="s">
        <v>56</v>
      </c>
      <c r="BX34" s="17" t="s">
        <v>2818</v>
      </c>
      <c r="BY34" s="17" t="s">
        <v>1111</v>
      </c>
      <c r="BZ34" s="17" t="s">
        <v>56</v>
      </c>
      <c r="CA34" s="17" t="s">
        <v>56</v>
      </c>
      <c r="CB34" s="17" t="s">
        <v>1325</v>
      </c>
      <c r="CC34" s="17" t="s">
        <v>1325</v>
      </c>
      <c r="CD34" s="17" t="s">
        <v>1325</v>
      </c>
      <c r="CE34" s="17" t="s">
        <v>1325</v>
      </c>
      <c r="CF34" s="17" t="s">
        <v>1325</v>
      </c>
      <c r="CG34" s="17" t="s">
        <v>1325</v>
      </c>
      <c r="CH34" s="17" t="s">
        <v>1325</v>
      </c>
      <c r="CI34" s="17" t="s">
        <v>1325</v>
      </c>
      <c r="CJ34" s="17" t="s">
        <v>1325</v>
      </c>
      <c r="CK34" s="17" t="s">
        <v>1325</v>
      </c>
      <c r="CL34" s="17" t="s">
        <v>1325</v>
      </c>
      <c r="CM34" s="17" t="s">
        <v>1325</v>
      </c>
      <c r="CN34" s="17" t="s">
        <v>1325</v>
      </c>
      <c r="CO34" s="17" t="s">
        <v>1325</v>
      </c>
      <c r="CP34" s="17" t="s">
        <v>1325</v>
      </c>
      <c r="CQ34" s="17" t="s">
        <v>1325</v>
      </c>
      <c r="CR34" s="17" t="s">
        <v>1325</v>
      </c>
      <c r="CS34" s="17" t="s">
        <v>1325</v>
      </c>
      <c r="CT34" s="17" t="s">
        <v>1325</v>
      </c>
      <c r="CU34" s="17" t="s">
        <v>1325</v>
      </c>
      <c r="CV34" s="17" t="s">
        <v>1325</v>
      </c>
      <c r="CW34" s="17" t="s">
        <v>56</v>
      </c>
      <c r="CX34" s="17" t="s">
        <v>56</v>
      </c>
      <c r="CY34" s="17" t="s">
        <v>56</v>
      </c>
      <c r="CZ34" s="17">
        <v>319397</v>
      </c>
      <c r="DA34" s="17">
        <v>319397</v>
      </c>
      <c r="DB34" s="17">
        <v>319397</v>
      </c>
      <c r="DC34" s="17"/>
      <c r="DD34" s="17"/>
      <c r="DE34" s="17"/>
      <c r="DF34" s="17" t="s">
        <v>3415</v>
      </c>
      <c r="DG34" s="17" t="s">
        <v>3470</v>
      </c>
      <c r="DH34" s="17" t="s">
        <v>3237</v>
      </c>
      <c r="DI34" s="17" t="s">
        <v>3471</v>
      </c>
      <c r="DJ34" s="17" t="s">
        <v>3405</v>
      </c>
      <c r="DK34" s="17" t="s">
        <v>3320</v>
      </c>
      <c r="DL34" s="17" t="s">
        <v>3418</v>
      </c>
      <c r="DM34" s="17">
        <v>9.2569999999999996E-3</v>
      </c>
      <c r="DN34" s="17">
        <v>2956.7</v>
      </c>
      <c r="DO34" s="17">
        <v>0.61460918745998705</v>
      </c>
      <c r="DP34" s="17" t="s">
        <v>3308</v>
      </c>
      <c r="DQ34" s="17" t="s">
        <v>2839</v>
      </c>
      <c r="DR34" s="17" t="s">
        <v>56</v>
      </c>
      <c r="DS34" s="17" t="s">
        <v>56</v>
      </c>
      <c r="DT34" s="17" t="s">
        <v>56</v>
      </c>
      <c r="DU34" s="17" t="s">
        <v>56</v>
      </c>
      <c r="DV34" s="17" t="s">
        <v>2862</v>
      </c>
      <c r="DW34" s="17" t="s">
        <v>3309</v>
      </c>
      <c r="DX34" s="17" t="s">
        <v>3310</v>
      </c>
      <c r="DY34" s="17">
        <v>9.7795896448127796E-3</v>
      </c>
      <c r="DZ34" s="17">
        <v>2.7520410355187201E-2</v>
      </c>
      <c r="EA34" s="17" t="s">
        <v>3311</v>
      </c>
      <c r="EB34" s="17">
        <v>4.0201671797007003E-3</v>
      </c>
      <c r="EC34" s="17">
        <v>7.1798328202993004E-3</v>
      </c>
      <c r="ED34" s="17" t="s">
        <v>56</v>
      </c>
      <c r="EE34" s="17" t="s">
        <v>56</v>
      </c>
      <c r="EF34" s="17" t="s">
        <v>56</v>
      </c>
      <c r="EG34" s="17" t="s">
        <v>2862</v>
      </c>
      <c r="EH34" s="17" t="s">
        <v>3309</v>
      </c>
      <c r="EI34" s="17" t="s">
        <v>3312</v>
      </c>
      <c r="EJ34" s="17">
        <v>1.08477E-2</v>
      </c>
      <c r="EK34" s="17">
        <v>5.8252699999999998E-2</v>
      </c>
      <c r="EL34" s="17" t="s">
        <v>3311</v>
      </c>
      <c r="EM34" s="17">
        <v>4.8999999999999998E-3</v>
      </c>
      <c r="EN34" s="17">
        <v>1.01E-2</v>
      </c>
      <c r="EO34" s="17" t="s">
        <v>3312</v>
      </c>
      <c r="EP34" s="17">
        <v>4.3641500000000004</v>
      </c>
      <c r="EQ34" s="17">
        <v>23.435700000000001</v>
      </c>
      <c r="ER34" s="17" t="s">
        <v>3313</v>
      </c>
      <c r="ES34" s="17">
        <v>0.59340000000000004</v>
      </c>
      <c r="ET34" s="17">
        <v>1.2263999999999999</v>
      </c>
      <c r="EU34" s="17" t="s">
        <v>2862</v>
      </c>
      <c r="EV34" s="17" t="s">
        <v>3309</v>
      </c>
      <c r="EW34" s="17" t="s">
        <v>3312</v>
      </c>
      <c r="EX34" s="17">
        <v>4.3641500000000004</v>
      </c>
      <c r="EY34" s="17">
        <v>23.435700000000001</v>
      </c>
      <c r="EZ34" s="17" t="s">
        <v>3311</v>
      </c>
      <c r="FA34" s="17">
        <v>0.59340000000000004</v>
      </c>
      <c r="FB34" s="17">
        <v>1.2263999999999999</v>
      </c>
      <c r="FC34" s="17" t="s">
        <v>56</v>
      </c>
      <c r="FD34" s="17" t="s">
        <v>56</v>
      </c>
      <c r="FE34" s="17" t="s">
        <v>56</v>
      </c>
      <c r="FF34" s="17" t="s">
        <v>56</v>
      </c>
      <c r="FG34" s="17" t="s">
        <v>56</v>
      </c>
      <c r="FH34" s="17" t="s">
        <v>56</v>
      </c>
      <c r="FI34" s="17" t="s">
        <v>56</v>
      </c>
      <c r="FJ34" s="17" t="s">
        <v>56</v>
      </c>
      <c r="FK34" s="17" t="s">
        <v>56</v>
      </c>
      <c r="FL34" s="17" t="s">
        <v>56</v>
      </c>
      <c r="FM34" s="17" t="s">
        <v>56</v>
      </c>
      <c r="FN34" s="17" t="s">
        <v>56</v>
      </c>
      <c r="FO34" s="17" t="s">
        <v>56</v>
      </c>
      <c r="FP34" s="17" t="s">
        <v>56</v>
      </c>
      <c r="FQ34" s="17" t="s">
        <v>56</v>
      </c>
      <c r="FR34" s="17" t="s">
        <v>56</v>
      </c>
      <c r="FS34" s="17" t="s">
        <v>56</v>
      </c>
      <c r="FT34" s="17" t="s">
        <v>56</v>
      </c>
      <c r="FU34" s="17">
        <v>278.95365525993702</v>
      </c>
      <c r="FV34" s="17">
        <v>1497.99483944761</v>
      </c>
      <c r="FW34" s="17" t="s">
        <v>56</v>
      </c>
      <c r="FX34" s="17" t="s">
        <v>56</v>
      </c>
      <c r="FY34" s="17" t="s">
        <v>56</v>
      </c>
      <c r="FZ34" s="17" t="s">
        <v>56</v>
      </c>
      <c r="GA34" s="17" t="s">
        <v>56</v>
      </c>
      <c r="GB34" s="17" t="s">
        <v>56</v>
      </c>
      <c r="GC34" s="17" t="s">
        <v>56</v>
      </c>
      <c r="GD34" s="17" t="s">
        <v>2969</v>
      </c>
      <c r="GE34" s="17" t="s">
        <v>2969</v>
      </c>
      <c r="GF34" s="17" t="s">
        <v>56</v>
      </c>
      <c r="GG34" s="17" t="s">
        <v>2818</v>
      </c>
      <c r="GH34" s="17" t="s">
        <v>2818</v>
      </c>
      <c r="GI34" s="17" t="s">
        <v>1111</v>
      </c>
      <c r="GJ34" s="17" t="s">
        <v>1111</v>
      </c>
      <c r="GK34" s="17" t="s">
        <v>1111</v>
      </c>
      <c r="GL34" s="17"/>
    </row>
    <row r="35" spans="2:194" x14ac:dyDescent="0.25">
      <c r="B35" s="17" t="s">
        <v>2840</v>
      </c>
      <c r="C35" s="17" t="s">
        <v>70</v>
      </c>
      <c r="D35" s="17" t="s">
        <v>3411</v>
      </c>
      <c r="E35" s="17" t="s">
        <v>3412</v>
      </c>
      <c r="F35" s="17" t="s">
        <v>3237</v>
      </c>
      <c r="G35" s="17" t="s">
        <v>3413</v>
      </c>
      <c r="H35" s="17"/>
      <c r="I35" s="17" t="s">
        <v>2797</v>
      </c>
      <c r="J35" s="17" t="s">
        <v>3403</v>
      </c>
      <c r="K35" s="17" t="s">
        <v>2653</v>
      </c>
      <c r="L35" s="17" t="s">
        <v>2800</v>
      </c>
      <c r="M35" s="17" t="s">
        <v>3414</v>
      </c>
      <c r="N35" s="17" t="s">
        <v>1325</v>
      </c>
      <c r="O35" s="17" t="s">
        <v>2813</v>
      </c>
      <c r="P35" s="17" t="s">
        <v>2814</v>
      </c>
      <c r="Q35" s="17" t="s">
        <v>3616</v>
      </c>
      <c r="R35" s="17">
        <v>17897433.710000001</v>
      </c>
      <c r="S35" s="17">
        <v>4974456.4000000004</v>
      </c>
      <c r="T35" s="17">
        <v>18587154.18</v>
      </c>
      <c r="U35" s="17" t="s">
        <v>2817</v>
      </c>
      <c r="V35" s="17" t="s">
        <v>939</v>
      </c>
      <c r="W35" s="17" t="s">
        <v>2816</v>
      </c>
      <c r="X35" s="17" t="s">
        <v>3403</v>
      </c>
      <c r="Y35" s="17" t="s">
        <v>56</v>
      </c>
      <c r="Z35" s="17" t="s">
        <v>3616</v>
      </c>
      <c r="AA35" s="17" t="s">
        <v>2801</v>
      </c>
      <c r="AB35" s="17">
        <v>2.1629</v>
      </c>
      <c r="AC35" s="17" t="s">
        <v>3616</v>
      </c>
      <c r="AD35" s="17" t="s">
        <v>2804</v>
      </c>
      <c r="AE35" s="17">
        <v>319397</v>
      </c>
      <c r="AF35" s="17" t="s">
        <v>2839</v>
      </c>
      <c r="AG35" s="17" t="s">
        <v>3617</v>
      </c>
      <c r="AH35" s="17" t="s">
        <v>2806</v>
      </c>
      <c r="AI35" s="17"/>
      <c r="AJ35" s="17" t="s">
        <v>56</v>
      </c>
      <c r="AK35" s="17" t="s">
        <v>56</v>
      </c>
      <c r="AL35" s="17" t="s">
        <v>56</v>
      </c>
      <c r="AM35" s="17" t="s">
        <v>56</v>
      </c>
      <c r="AN35" s="17" t="s">
        <v>56</v>
      </c>
      <c r="AO35" s="17" t="s">
        <v>56</v>
      </c>
      <c r="AP35" s="17" t="s">
        <v>56</v>
      </c>
      <c r="AQ35" s="17" t="s">
        <v>56</v>
      </c>
      <c r="AR35" s="17" t="s">
        <v>56</v>
      </c>
      <c r="AS35" s="17">
        <v>677.19899999999996</v>
      </c>
      <c r="AT35" s="17">
        <v>82.007599999999996</v>
      </c>
      <c r="AU35" s="17">
        <v>435.83600000000001</v>
      </c>
      <c r="AV35" s="17" t="s">
        <v>56</v>
      </c>
      <c r="AW35" s="17" t="s">
        <v>56</v>
      </c>
      <c r="AX35" s="17" t="s">
        <v>56</v>
      </c>
      <c r="AY35" s="17">
        <v>561.97</v>
      </c>
      <c r="AZ35" s="17">
        <v>68.053600000000003</v>
      </c>
      <c r="BA35" s="17">
        <v>361.67599999999999</v>
      </c>
      <c r="BB35" s="17" t="s">
        <v>56</v>
      </c>
      <c r="BC35" s="17" t="s">
        <v>56</v>
      </c>
      <c r="BD35" s="17" t="s">
        <v>56</v>
      </c>
      <c r="BE35" s="17" t="s">
        <v>56</v>
      </c>
      <c r="BF35" s="17" t="s">
        <v>56</v>
      </c>
      <c r="BG35" s="17" t="s">
        <v>56</v>
      </c>
      <c r="BH35" s="17" t="s">
        <v>56</v>
      </c>
      <c r="BI35" s="17" t="s">
        <v>56</v>
      </c>
      <c r="BJ35" s="17" t="s">
        <v>56</v>
      </c>
      <c r="BK35" s="17" t="s">
        <v>56</v>
      </c>
      <c r="BL35" s="17" t="s">
        <v>56</v>
      </c>
      <c r="BM35" s="17" t="s">
        <v>56</v>
      </c>
      <c r="BN35" s="17" t="s">
        <v>56</v>
      </c>
      <c r="BO35" s="17" t="s">
        <v>56</v>
      </c>
      <c r="BP35" s="17" t="s">
        <v>56</v>
      </c>
      <c r="BQ35" s="17" t="s">
        <v>56</v>
      </c>
      <c r="BR35" s="17" t="s">
        <v>56</v>
      </c>
      <c r="BS35" s="17" t="s">
        <v>56</v>
      </c>
      <c r="BT35" s="17" t="s">
        <v>56</v>
      </c>
      <c r="BU35" s="17" t="s">
        <v>56</v>
      </c>
      <c r="BV35" s="17" t="s">
        <v>56</v>
      </c>
      <c r="BW35" s="17" t="s">
        <v>56</v>
      </c>
      <c r="BX35" s="17" t="s">
        <v>2818</v>
      </c>
      <c r="BY35" s="17" t="s">
        <v>1111</v>
      </c>
      <c r="BZ35" s="17" t="s">
        <v>56</v>
      </c>
      <c r="CA35" s="17" t="s">
        <v>56</v>
      </c>
      <c r="CB35" s="17" t="s">
        <v>1325</v>
      </c>
      <c r="CC35" s="17" t="s">
        <v>1325</v>
      </c>
      <c r="CD35" s="17" t="s">
        <v>1325</v>
      </c>
      <c r="CE35" s="17" t="s">
        <v>1325</v>
      </c>
      <c r="CF35" s="17" t="s">
        <v>1325</v>
      </c>
      <c r="CG35" s="17" t="s">
        <v>1325</v>
      </c>
      <c r="CH35" s="17" t="s">
        <v>1325</v>
      </c>
      <c r="CI35" s="17" t="s">
        <v>1325</v>
      </c>
      <c r="CJ35" s="17" t="s">
        <v>1325</v>
      </c>
      <c r="CK35" s="17" t="s">
        <v>1325</v>
      </c>
      <c r="CL35" s="17" t="s">
        <v>1325</v>
      </c>
      <c r="CM35" s="17" t="s">
        <v>1325</v>
      </c>
      <c r="CN35" s="17" t="s">
        <v>1325</v>
      </c>
      <c r="CO35" s="17" t="s">
        <v>1325</v>
      </c>
      <c r="CP35" s="17" t="s">
        <v>1325</v>
      </c>
      <c r="CQ35" s="17" t="s">
        <v>1325</v>
      </c>
      <c r="CR35" s="17" t="s">
        <v>1325</v>
      </c>
      <c r="CS35" s="17" t="s">
        <v>1325</v>
      </c>
      <c r="CT35" s="17" t="s">
        <v>1325</v>
      </c>
      <c r="CU35" s="17" t="s">
        <v>1325</v>
      </c>
      <c r="CV35" s="17" t="s">
        <v>1325</v>
      </c>
      <c r="CW35" s="17" t="s">
        <v>56</v>
      </c>
      <c r="CX35" s="17" t="s">
        <v>56</v>
      </c>
      <c r="CY35" s="17" t="s">
        <v>56</v>
      </c>
      <c r="CZ35" s="17">
        <v>319397</v>
      </c>
      <c r="DA35" s="17">
        <v>319397</v>
      </c>
      <c r="DB35" s="17">
        <v>319397</v>
      </c>
      <c r="DC35" s="17"/>
      <c r="DD35" s="17"/>
      <c r="DE35" s="17"/>
      <c r="DF35" s="17" t="s">
        <v>3415</v>
      </c>
      <c r="DG35" s="17" t="s">
        <v>3472</v>
      </c>
      <c r="DH35" s="17" t="s">
        <v>3237</v>
      </c>
      <c r="DI35" s="17" t="s">
        <v>3473</v>
      </c>
      <c r="DJ35" s="17" t="s">
        <v>3405</v>
      </c>
      <c r="DK35" s="17" t="s">
        <v>3320</v>
      </c>
      <c r="DL35" s="17" t="s">
        <v>3418</v>
      </c>
      <c r="DM35" s="17">
        <v>2.5049999999999998E-3</v>
      </c>
      <c r="DN35" s="17">
        <v>800.1</v>
      </c>
      <c r="DO35" s="17">
        <v>0.428559948955543</v>
      </c>
      <c r="DP35" s="17" t="s">
        <v>3308</v>
      </c>
      <c r="DQ35" s="17" t="s">
        <v>2839</v>
      </c>
      <c r="DR35" s="17" t="s">
        <v>56</v>
      </c>
      <c r="DS35" s="17" t="s">
        <v>56</v>
      </c>
      <c r="DT35" s="17" t="s">
        <v>56</v>
      </c>
      <c r="DU35" s="17" t="s">
        <v>56</v>
      </c>
      <c r="DV35" s="17" t="s">
        <v>2862</v>
      </c>
      <c r="DW35" s="17" t="s">
        <v>3309</v>
      </c>
      <c r="DX35" s="17" t="s">
        <v>3310</v>
      </c>
      <c r="DY35" s="17">
        <v>9.7795896448127796E-3</v>
      </c>
      <c r="DZ35" s="17">
        <v>2.7520410355187201E-2</v>
      </c>
      <c r="EA35" s="17" t="s">
        <v>3311</v>
      </c>
      <c r="EB35" s="17">
        <v>4.0201671797007003E-3</v>
      </c>
      <c r="EC35" s="17">
        <v>7.1798328202993004E-3</v>
      </c>
      <c r="ED35" s="17" t="s">
        <v>56</v>
      </c>
      <c r="EE35" s="17" t="s">
        <v>56</v>
      </c>
      <c r="EF35" s="17" t="s">
        <v>56</v>
      </c>
      <c r="EG35" s="17" t="s">
        <v>2862</v>
      </c>
      <c r="EH35" s="17" t="s">
        <v>3309</v>
      </c>
      <c r="EI35" s="17" t="s">
        <v>3312</v>
      </c>
      <c r="EJ35" s="17">
        <v>1.08477E-2</v>
      </c>
      <c r="EK35" s="17">
        <v>5.8252699999999998E-2</v>
      </c>
      <c r="EL35" s="17" t="s">
        <v>3311</v>
      </c>
      <c r="EM35" s="17">
        <v>4.8999999999999998E-3</v>
      </c>
      <c r="EN35" s="17">
        <v>1.01E-2</v>
      </c>
      <c r="EO35" s="17" t="s">
        <v>3312</v>
      </c>
      <c r="EP35" s="17">
        <v>4.3641500000000004</v>
      </c>
      <c r="EQ35" s="17">
        <v>23.435700000000001</v>
      </c>
      <c r="ER35" s="17" t="s">
        <v>3313</v>
      </c>
      <c r="ES35" s="17">
        <v>0.59340000000000004</v>
      </c>
      <c r="ET35" s="17">
        <v>1.2263999999999999</v>
      </c>
      <c r="EU35" s="17" t="s">
        <v>2862</v>
      </c>
      <c r="EV35" s="17" t="s">
        <v>3309</v>
      </c>
      <c r="EW35" s="17" t="s">
        <v>3312</v>
      </c>
      <c r="EX35" s="17">
        <v>4.3641500000000004</v>
      </c>
      <c r="EY35" s="17">
        <v>23.435700000000001</v>
      </c>
      <c r="EZ35" s="17" t="s">
        <v>3311</v>
      </c>
      <c r="FA35" s="17">
        <v>0.59340000000000004</v>
      </c>
      <c r="FB35" s="17">
        <v>1.2263999999999999</v>
      </c>
      <c r="FC35" s="17" t="s">
        <v>56</v>
      </c>
      <c r="FD35" s="17" t="s">
        <v>56</v>
      </c>
      <c r="FE35" s="17" t="s">
        <v>56</v>
      </c>
      <c r="FF35" s="17" t="s">
        <v>56</v>
      </c>
      <c r="FG35" s="17" t="s">
        <v>56</v>
      </c>
      <c r="FH35" s="17" t="s">
        <v>56</v>
      </c>
      <c r="FI35" s="17" t="s">
        <v>56</v>
      </c>
      <c r="FJ35" s="17" t="s">
        <v>56</v>
      </c>
      <c r="FK35" s="17" t="s">
        <v>56</v>
      </c>
      <c r="FL35" s="17" t="s">
        <v>56</v>
      </c>
      <c r="FM35" s="17" t="s">
        <v>56</v>
      </c>
      <c r="FN35" s="17" t="s">
        <v>56</v>
      </c>
      <c r="FO35" s="17" t="s">
        <v>56</v>
      </c>
      <c r="FP35" s="17" t="s">
        <v>56</v>
      </c>
      <c r="FQ35" s="17" t="s">
        <v>56</v>
      </c>
      <c r="FR35" s="17" t="s">
        <v>56</v>
      </c>
      <c r="FS35" s="17" t="s">
        <v>56</v>
      </c>
      <c r="FT35" s="17" t="s">
        <v>56</v>
      </c>
      <c r="FU35" s="17">
        <v>194.51118970316099</v>
      </c>
      <c r="FV35" s="17">
        <v>1044.5346490213101</v>
      </c>
      <c r="FW35" s="17" t="s">
        <v>56</v>
      </c>
      <c r="FX35" s="17" t="s">
        <v>56</v>
      </c>
      <c r="FY35" s="17" t="s">
        <v>56</v>
      </c>
      <c r="FZ35" s="17" t="s">
        <v>56</v>
      </c>
      <c r="GA35" s="17" t="s">
        <v>56</v>
      </c>
      <c r="GB35" s="17" t="s">
        <v>56</v>
      </c>
      <c r="GC35" s="17" t="s">
        <v>56</v>
      </c>
      <c r="GD35" s="17" t="s">
        <v>2969</v>
      </c>
      <c r="GE35" s="17" t="s">
        <v>2969</v>
      </c>
      <c r="GF35" s="17" t="s">
        <v>56</v>
      </c>
      <c r="GG35" s="17" t="s">
        <v>2818</v>
      </c>
      <c r="GH35" s="17" t="s">
        <v>2818</v>
      </c>
      <c r="GI35" s="17" t="s">
        <v>1111</v>
      </c>
      <c r="GJ35" s="17" t="s">
        <v>1111</v>
      </c>
      <c r="GK35" s="17" t="s">
        <v>1111</v>
      </c>
      <c r="GL35" s="17"/>
    </row>
    <row r="36" spans="2:194" x14ac:dyDescent="0.25">
      <c r="B36" s="17" t="s">
        <v>2840</v>
      </c>
      <c r="C36" s="17" t="s">
        <v>70</v>
      </c>
      <c r="D36" s="17" t="s">
        <v>3411</v>
      </c>
      <c r="E36" s="17" t="s">
        <v>3412</v>
      </c>
      <c r="F36" s="17" t="s">
        <v>3237</v>
      </c>
      <c r="G36" s="17" t="s">
        <v>3413</v>
      </c>
      <c r="H36" s="17"/>
      <c r="I36" s="17" t="s">
        <v>2797</v>
      </c>
      <c r="J36" s="17" t="s">
        <v>3403</v>
      </c>
      <c r="K36" s="17" t="s">
        <v>2653</v>
      </c>
      <c r="L36" s="17" t="s">
        <v>2800</v>
      </c>
      <c r="M36" s="17" t="s">
        <v>3414</v>
      </c>
      <c r="N36" s="17" t="s">
        <v>1325</v>
      </c>
      <c r="O36" s="17" t="s">
        <v>2813</v>
      </c>
      <c r="P36" s="17" t="s">
        <v>2814</v>
      </c>
      <c r="Q36" s="17" t="s">
        <v>3616</v>
      </c>
      <c r="R36" s="17">
        <v>17897433.710000001</v>
      </c>
      <c r="S36" s="17">
        <v>4974456.4000000004</v>
      </c>
      <c r="T36" s="17">
        <v>18587154.18</v>
      </c>
      <c r="U36" s="17" t="s">
        <v>2817</v>
      </c>
      <c r="V36" s="17" t="s">
        <v>939</v>
      </c>
      <c r="W36" s="17" t="s">
        <v>2816</v>
      </c>
      <c r="X36" s="17" t="s">
        <v>3403</v>
      </c>
      <c r="Y36" s="17" t="s">
        <v>56</v>
      </c>
      <c r="Z36" s="17" t="s">
        <v>3616</v>
      </c>
      <c r="AA36" s="17" t="s">
        <v>2801</v>
      </c>
      <c r="AB36" s="17">
        <v>2.1629</v>
      </c>
      <c r="AC36" s="17" t="s">
        <v>3616</v>
      </c>
      <c r="AD36" s="17" t="s">
        <v>2804</v>
      </c>
      <c r="AE36" s="17">
        <v>319397</v>
      </c>
      <c r="AF36" s="17" t="s">
        <v>2839</v>
      </c>
      <c r="AG36" s="17" t="s">
        <v>3617</v>
      </c>
      <c r="AH36" s="17" t="s">
        <v>2806</v>
      </c>
      <c r="AI36" s="17"/>
      <c r="AJ36" s="17" t="s">
        <v>56</v>
      </c>
      <c r="AK36" s="17" t="s">
        <v>56</v>
      </c>
      <c r="AL36" s="17" t="s">
        <v>56</v>
      </c>
      <c r="AM36" s="17" t="s">
        <v>56</v>
      </c>
      <c r="AN36" s="17" t="s">
        <v>56</v>
      </c>
      <c r="AO36" s="17" t="s">
        <v>56</v>
      </c>
      <c r="AP36" s="17" t="s">
        <v>56</v>
      </c>
      <c r="AQ36" s="17" t="s">
        <v>56</v>
      </c>
      <c r="AR36" s="17" t="s">
        <v>56</v>
      </c>
      <c r="AS36" s="17">
        <v>677.19899999999996</v>
      </c>
      <c r="AT36" s="17">
        <v>82.007599999999996</v>
      </c>
      <c r="AU36" s="17">
        <v>435.83600000000001</v>
      </c>
      <c r="AV36" s="17" t="s">
        <v>56</v>
      </c>
      <c r="AW36" s="17" t="s">
        <v>56</v>
      </c>
      <c r="AX36" s="17" t="s">
        <v>56</v>
      </c>
      <c r="AY36" s="17">
        <v>561.97</v>
      </c>
      <c r="AZ36" s="17">
        <v>68.053600000000003</v>
      </c>
      <c r="BA36" s="17">
        <v>361.67599999999999</v>
      </c>
      <c r="BB36" s="17" t="s">
        <v>56</v>
      </c>
      <c r="BC36" s="17" t="s">
        <v>56</v>
      </c>
      <c r="BD36" s="17" t="s">
        <v>56</v>
      </c>
      <c r="BE36" s="17" t="s">
        <v>56</v>
      </c>
      <c r="BF36" s="17" t="s">
        <v>56</v>
      </c>
      <c r="BG36" s="17" t="s">
        <v>56</v>
      </c>
      <c r="BH36" s="17" t="s">
        <v>56</v>
      </c>
      <c r="BI36" s="17" t="s">
        <v>56</v>
      </c>
      <c r="BJ36" s="17" t="s">
        <v>56</v>
      </c>
      <c r="BK36" s="17" t="s">
        <v>56</v>
      </c>
      <c r="BL36" s="17" t="s">
        <v>56</v>
      </c>
      <c r="BM36" s="17" t="s">
        <v>56</v>
      </c>
      <c r="BN36" s="17" t="s">
        <v>56</v>
      </c>
      <c r="BO36" s="17" t="s">
        <v>56</v>
      </c>
      <c r="BP36" s="17" t="s">
        <v>56</v>
      </c>
      <c r="BQ36" s="17" t="s">
        <v>56</v>
      </c>
      <c r="BR36" s="17" t="s">
        <v>56</v>
      </c>
      <c r="BS36" s="17" t="s">
        <v>56</v>
      </c>
      <c r="BT36" s="17" t="s">
        <v>56</v>
      </c>
      <c r="BU36" s="17" t="s">
        <v>56</v>
      </c>
      <c r="BV36" s="17" t="s">
        <v>56</v>
      </c>
      <c r="BW36" s="17" t="s">
        <v>56</v>
      </c>
      <c r="BX36" s="17" t="s">
        <v>2818</v>
      </c>
      <c r="BY36" s="17" t="s">
        <v>1111</v>
      </c>
      <c r="BZ36" s="17" t="s">
        <v>56</v>
      </c>
      <c r="CA36" s="17" t="s">
        <v>56</v>
      </c>
      <c r="CB36" s="17" t="s">
        <v>1325</v>
      </c>
      <c r="CC36" s="17" t="s">
        <v>1325</v>
      </c>
      <c r="CD36" s="17" t="s">
        <v>1325</v>
      </c>
      <c r="CE36" s="17" t="s">
        <v>1325</v>
      </c>
      <c r="CF36" s="17" t="s">
        <v>1325</v>
      </c>
      <c r="CG36" s="17" t="s">
        <v>1325</v>
      </c>
      <c r="CH36" s="17" t="s">
        <v>1325</v>
      </c>
      <c r="CI36" s="17" t="s">
        <v>1325</v>
      </c>
      <c r="CJ36" s="17" t="s">
        <v>1325</v>
      </c>
      <c r="CK36" s="17" t="s">
        <v>1325</v>
      </c>
      <c r="CL36" s="17" t="s">
        <v>1325</v>
      </c>
      <c r="CM36" s="17" t="s">
        <v>1325</v>
      </c>
      <c r="CN36" s="17" t="s">
        <v>1325</v>
      </c>
      <c r="CO36" s="17" t="s">
        <v>1325</v>
      </c>
      <c r="CP36" s="17" t="s">
        <v>1325</v>
      </c>
      <c r="CQ36" s="17" t="s">
        <v>1325</v>
      </c>
      <c r="CR36" s="17" t="s">
        <v>1325</v>
      </c>
      <c r="CS36" s="17" t="s">
        <v>1325</v>
      </c>
      <c r="CT36" s="17" t="s">
        <v>1325</v>
      </c>
      <c r="CU36" s="17" t="s">
        <v>1325</v>
      </c>
      <c r="CV36" s="17" t="s">
        <v>1325</v>
      </c>
      <c r="CW36" s="17" t="s">
        <v>56</v>
      </c>
      <c r="CX36" s="17" t="s">
        <v>56</v>
      </c>
      <c r="CY36" s="17" t="s">
        <v>56</v>
      </c>
      <c r="CZ36" s="17">
        <v>319397</v>
      </c>
      <c r="DA36" s="17">
        <v>319397</v>
      </c>
      <c r="DB36" s="17">
        <v>319397</v>
      </c>
      <c r="DC36" s="17"/>
      <c r="DD36" s="17"/>
      <c r="DE36" s="17"/>
      <c r="DF36" s="17" t="s">
        <v>3415</v>
      </c>
      <c r="DG36" s="17" t="s">
        <v>3474</v>
      </c>
      <c r="DH36" s="17" t="s">
        <v>3237</v>
      </c>
      <c r="DI36" s="17" t="s">
        <v>3475</v>
      </c>
      <c r="DJ36" s="17" t="s">
        <v>3405</v>
      </c>
      <c r="DK36" s="17" t="s">
        <v>3320</v>
      </c>
      <c r="DL36" s="17" t="s">
        <v>3418</v>
      </c>
      <c r="DM36" s="17">
        <v>2.2200000000000002E-3</v>
      </c>
      <c r="DN36" s="17">
        <v>709.1</v>
      </c>
      <c r="DO36" s="17">
        <v>0.42855834203910897</v>
      </c>
      <c r="DP36" s="17" t="s">
        <v>3308</v>
      </c>
      <c r="DQ36" s="17" t="s">
        <v>2839</v>
      </c>
      <c r="DR36" s="17" t="s">
        <v>56</v>
      </c>
      <c r="DS36" s="17" t="s">
        <v>56</v>
      </c>
      <c r="DT36" s="17" t="s">
        <v>56</v>
      </c>
      <c r="DU36" s="17" t="s">
        <v>56</v>
      </c>
      <c r="DV36" s="17" t="s">
        <v>2862</v>
      </c>
      <c r="DW36" s="17" t="s">
        <v>3309</v>
      </c>
      <c r="DX36" s="17" t="s">
        <v>3310</v>
      </c>
      <c r="DY36" s="17">
        <v>9.7795896448127796E-3</v>
      </c>
      <c r="DZ36" s="17">
        <v>2.7520410355187201E-2</v>
      </c>
      <c r="EA36" s="17" t="s">
        <v>3311</v>
      </c>
      <c r="EB36" s="17">
        <v>4.0201671797007003E-3</v>
      </c>
      <c r="EC36" s="17">
        <v>7.1798328202993004E-3</v>
      </c>
      <c r="ED36" s="17" t="s">
        <v>56</v>
      </c>
      <c r="EE36" s="17" t="s">
        <v>56</v>
      </c>
      <c r="EF36" s="17" t="s">
        <v>56</v>
      </c>
      <c r="EG36" s="17" t="s">
        <v>2862</v>
      </c>
      <c r="EH36" s="17" t="s">
        <v>3309</v>
      </c>
      <c r="EI36" s="17" t="s">
        <v>3312</v>
      </c>
      <c r="EJ36" s="17">
        <v>1.08477E-2</v>
      </c>
      <c r="EK36" s="17">
        <v>5.8252699999999998E-2</v>
      </c>
      <c r="EL36" s="17" t="s">
        <v>3311</v>
      </c>
      <c r="EM36" s="17">
        <v>4.8999999999999998E-3</v>
      </c>
      <c r="EN36" s="17">
        <v>1.01E-2</v>
      </c>
      <c r="EO36" s="17" t="s">
        <v>3312</v>
      </c>
      <c r="EP36" s="17">
        <v>4.3641500000000004</v>
      </c>
      <c r="EQ36" s="17">
        <v>23.435700000000001</v>
      </c>
      <c r="ER36" s="17" t="s">
        <v>3313</v>
      </c>
      <c r="ES36" s="17">
        <v>0.59340000000000004</v>
      </c>
      <c r="ET36" s="17">
        <v>1.2263999999999999</v>
      </c>
      <c r="EU36" s="17" t="s">
        <v>2862</v>
      </c>
      <c r="EV36" s="17" t="s">
        <v>3309</v>
      </c>
      <c r="EW36" s="17" t="s">
        <v>3312</v>
      </c>
      <c r="EX36" s="17">
        <v>4.3641500000000004</v>
      </c>
      <c r="EY36" s="17">
        <v>23.435700000000001</v>
      </c>
      <c r="EZ36" s="17" t="s">
        <v>3311</v>
      </c>
      <c r="FA36" s="17">
        <v>0.59340000000000004</v>
      </c>
      <c r="FB36" s="17">
        <v>1.2263999999999999</v>
      </c>
      <c r="FC36" s="17" t="s">
        <v>56</v>
      </c>
      <c r="FD36" s="17" t="s">
        <v>56</v>
      </c>
      <c r="FE36" s="17" t="s">
        <v>56</v>
      </c>
      <c r="FF36" s="17" t="s">
        <v>56</v>
      </c>
      <c r="FG36" s="17" t="s">
        <v>56</v>
      </c>
      <c r="FH36" s="17" t="s">
        <v>56</v>
      </c>
      <c r="FI36" s="17" t="s">
        <v>56</v>
      </c>
      <c r="FJ36" s="17" t="s">
        <v>56</v>
      </c>
      <c r="FK36" s="17" t="s">
        <v>56</v>
      </c>
      <c r="FL36" s="17" t="s">
        <v>56</v>
      </c>
      <c r="FM36" s="17" t="s">
        <v>56</v>
      </c>
      <c r="FN36" s="17" t="s">
        <v>56</v>
      </c>
      <c r="FO36" s="17" t="s">
        <v>56</v>
      </c>
      <c r="FP36" s="17" t="s">
        <v>56</v>
      </c>
      <c r="FQ36" s="17" t="s">
        <v>56</v>
      </c>
      <c r="FR36" s="17" t="s">
        <v>56</v>
      </c>
      <c r="FS36" s="17" t="s">
        <v>56</v>
      </c>
      <c r="FT36" s="17" t="s">
        <v>56</v>
      </c>
      <c r="FU36" s="17">
        <v>194.51046037688701</v>
      </c>
      <c r="FV36" s="17">
        <v>1044.53073250337</v>
      </c>
      <c r="FW36" s="17" t="s">
        <v>56</v>
      </c>
      <c r="FX36" s="17" t="s">
        <v>56</v>
      </c>
      <c r="FY36" s="17" t="s">
        <v>56</v>
      </c>
      <c r="FZ36" s="17" t="s">
        <v>56</v>
      </c>
      <c r="GA36" s="17" t="s">
        <v>56</v>
      </c>
      <c r="GB36" s="17" t="s">
        <v>56</v>
      </c>
      <c r="GC36" s="17" t="s">
        <v>56</v>
      </c>
      <c r="GD36" s="17" t="s">
        <v>2969</v>
      </c>
      <c r="GE36" s="17" t="s">
        <v>2969</v>
      </c>
      <c r="GF36" s="17" t="s">
        <v>56</v>
      </c>
      <c r="GG36" s="17" t="s">
        <v>2818</v>
      </c>
      <c r="GH36" s="17" t="s">
        <v>2818</v>
      </c>
      <c r="GI36" s="17" t="s">
        <v>1111</v>
      </c>
      <c r="GJ36" s="17" t="s">
        <v>1111</v>
      </c>
      <c r="GK36" s="17" t="s">
        <v>1111</v>
      </c>
      <c r="GL36" s="17"/>
    </row>
    <row r="37" spans="2:194" x14ac:dyDescent="0.25">
      <c r="B37" s="17" t="s">
        <v>2840</v>
      </c>
      <c r="C37" s="17" t="s">
        <v>70</v>
      </c>
      <c r="D37" s="17" t="s">
        <v>3411</v>
      </c>
      <c r="E37" s="17" t="s">
        <v>3412</v>
      </c>
      <c r="F37" s="17" t="s">
        <v>3237</v>
      </c>
      <c r="G37" s="17" t="s">
        <v>3413</v>
      </c>
      <c r="H37" s="17"/>
      <c r="I37" s="17" t="s">
        <v>2797</v>
      </c>
      <c r="J37" s="17" t="s">
        <v>3403</v>
      </c>
      <c r="K37" s="17" t="s">
        <v>2653</v>
      </c>
      <c r="L37" s="17" t="s">
        <v>2800</v>
      </c>
      <c r="M37" s="17" t="s">
        <v>3414</v>
      </c>
      <c r="N37" s="17" t="s">
        <v>1325</v>
      </c>
      <c r="O37" s="17" t="s">
        <v>2813</v>
      </c>
      <c r="P37" s="17" t="s">
        <v>2814</v>
      </c>
      <c r="Q37" s="17" t="s">
        <v>3616</v>
      </c>
      <c r="R37" s="17">
        <v>17897433.710000001</v>
      </c>
      <c r="S37" s="17">
        <v>4974456.4000000004</v>
      </c>
      <c r="T37" s="17">
        <v>18587154.18</v>
      </c>
      <c r="U37" s="17" t="s">
        <v>2817</v>
      </c>
      <c r="V37" s="17" t="s">
        <v>939</v>
      </c>
      <c r="W37" s="17" t="s">
        <v>2816</v>
      </c>
      <c r="X37" s="17" t="s">
        <v>3403</v>
      </c>
      <c r="Y37" s="17" t="s">
        <v>56</v>
      </c>
      <c r="Z37" s="17" t="s">
        <v>3616</v>
      </c>
      <c r="AA37" s="17" t="s">
        <v>2801</v>
      </c>
      <c r="AB37" s="17">
        <v>2.1629</v>
      </c>
      <c r="AC37" s="17" t="s">
        <v>3616</v>
      </c>
      <c r="AD37" s="17" t="s">
        <v>2804</v>
      </c>
      <c r="AE37" s="17">
        <v>319397</v>
      </c>
      <c r="AF37" s="17" t="s">
        <v>2839</v>
      </c>
      <c r="AG37" s="17" t="s">
        <v>3617</v>
      </c>
      <c r="AH37" s="17" t="s">
        <v>2806</v>
      </c>
      <c r="AI37" s="17"/>
      <c r="AJ37" s="17" t="s">
        <v>56</v>
      </c>
      <c r="AK37" s="17" t="s">
        <v>56</v>
      </c>
      <c r="AL37" s="17" t="s">
        <v>56</v>
      </c>
      <c r="AM37" s="17" t="s">
        <v>56</v>
      </c>
      <c r="AN37" s="17" t="s">
        <v>56</v>
      </c>
      <c r="AO37" s="17" t="s">
        <v>56</v>
      </c>
      <c r="AP37" s="17" t="s">
        <v>56</v>
      </c>
      <c r="AQ37" s="17" t="s">
        <v>56</v>
      </c>
      <c r="AR37" s="17" t="s">
        <v>56</v>
      </c>
      <c r="AS37" s="17">
        <v>677.19899999999996</v>
      </c>
      <c r="AT37" s="17">
        <v>82.007599999999996</v>
      </c>
      <c r="AU37" s="17">
        <v>435.83600000000001</v>
      </c>
      <c r="AV37" s="17" t="s">
        <v>56</v>
      </c>
      <c r="AW37" s="17" t="s">
        <v>56</v>
      </c>
      <c r="AX37" s="17" t="s">
        <v>56</v>
      </c>
      <c r="AY37" s="17">
        <v>561.97</v>
      </c>
      <c r="AZ37" s="17">
        <v>68.053600000000003</v>
      </c>
      <c r="BA37" s="17">
        <v>361.67599999999999</v>
      </c>
      <c r="BB37" s="17" t="s">
        <v>56</v>
      </c>
      <c r="BC37" s="17" t="s">
        <v>56</v>
      </c>
      <c r="BD37" s="17" t="s">
        <v>56</v>
      </c>
      <c r="BE37" s="17" t="s">
        <v>56</v>
      </c>
      <c r="BF37" s="17" t="s">
        <v>56</v>
      </c>
      <c r="BG37" s="17" t="s">
        <v>56</v>
      </c>
      <c r="BH37" s="17" t="s">
        <v>56</v>
      </c>
      <c r="BI37" s="17" t="s">
        <v>56</v>
      </c>
      <c r="BJ37" s="17" t="s">
        <v>56</v>
      </c>
      <c r="BK37" s="17" t="s">
        <v>56</v>
      </c>
      <c r="BL37" s="17" t="s">
        <v>56</v>
      </c>
      <c r="BM37" s="17" t="s">
        <v>56</v>
      </c>
      <c r="BN37" s="17" t="s">
        <v>56</v>
      </c>
      <c r="BO37" s="17" t="s">
        <v>56</v>
      </c>
      <c r="BP37" s="17" t="s">
        <v>56</v>
      </c>
      <c r="BQ37" s="17" t="s">
        <v>56</v>
      </c>
      <c r="BR37" s="17" t="s">
        <v>56</v>
      </c>
      <c r="BS37" s="17" t="s">
        <v>56</v>
      </c>
      <c r="BT37" s="17" t="s">
        <v>56</v>
      </c>
      <c r="BU37" s="17" t="s">
        <v>56</v>
      </c>
      <c r="BV37" s="17" t="s">
        <v>56</v>
      </c>
      <c r="BW37" s="17" t="s">
        <v>56</v>
      </c>
      <c r="BX37" s="17" t="s">
        <v>2818</v>
      </c>
      <c r="BY37" s="17" t="s">
        <v>1111</v>
      </c>
      <c r="BZ37" s="17" t="s">
        <v>56</v>
      </c>
      <c r="CA37" s="17" t="s">
        <v>56</v>
      </c>
      <c r="CB37" s="17" t="s">
        <v>1325</v>
      </c>
      <c r="CC37" s="17" t="s">
        <v>1325</v>
      </c>
      <c r="CD37" s="17" t="s">
        <v>1325</v>
      </c>
      <c r="CE37" s="17" t="s">
        <v>1325</v>
      </c>
      <c r="CF37" s="17" t="s">
        <v>1325</v>
      </c>
      <c r="CG37" s="17" t="s">
        <v>1325</v>
      </c>
      <c r="CH37" s="17" t="s">
        <v>1325</v>
      </c>
      <c r="CI37" s="17" t="s">
        <v>1325</v>
      </c>
      <c r="CJ37" s="17" t="s">
        <v>1325</v>
      </c>
      <c r="CK37" s="17" t="s">
        <v>1325</v>
      </c>
      <c r="CL37" s="17" t="s">
        <v>1325</v>
      </c>
      <c r="CM37" s="17" t="s">
        <v>1325</v>
      </c>
      <c r="CN37" s="17" t="s">
        <v>1325</v>
      </c>
      <c r="CO37" s="17" t="s">
        <v>1325</v>
      </c>
      <c r="CP37" s="17" t="s">
        <v>1325</v>
      </c>
      <c r="CQ37" s="17" t="s">
        <v>1325</v>
      </c>
      <c r="CR37" s="17" t="s">
        <v>1325</v>
      </c>
      <c r="CS37" s="17" t="s">
        <v>1325</v>
      </c>
      <c r="CT37" s="17" t="s">
        <v>1325</v>
      </c>
      <c r="CU37" s="17" t="s">
        <v>1325</v>
      </c>
      <c r="CV37" s="17" t="s">
        <v>1325</v>
      </c>
      <c r="CW37" s="17" t="s">
        <v>56</v>
      </c>
      <c r="CX37" s="17" t="s">
        <v>56</v>
      </c>
      <c r="CY37" s="17" t="s">
        <v>56</v>
      </c>
      <c r="CZ37" s="17">
        <v>319397</v>
      </c>
      <c r="DA37" s="17">
        <v>319397</v>
      </c>
      <c r="DB37" s="17">
        <v>319397</v>
      </c>
      <c r="DC37" s="17"/>
      <c r="DD37" s="17"/>
      <c r="DE37" s="17"/>
      <c r="DF37" s="17" t="s">
        <v>3415</v>
      </c>
      <c r="DG37" s="17" t="s">
        <v>3476</v>
      </c>
      <c r="DH37" s="17" t="s">
        <v>3237</v>
      </c>
      <c r="DI37" s="17" t="s">
        <v>3451</v>
      </c>
      <c r="DJ37" s="17" t="s">
        <v>3405</v>
      </c>
      <c r="DK37" s="17" t="s">
        <v>3320</v>
      </c>
      <c r="DL37" s="17" t="s">
        <v>3418</v>
      </c>
      <c r="DM37" s="17">
        <v>8.0999999999999996E-4</v>
      </c>
      <c r="DN37" s="17">
        <v>258.7</v>
      </c>
      <c r="DO37" s="17">
        <v>0.42854722312913901</v>
      </c>
      <c r="DP37" s="17" t="s">
        <v>3308</v>
      </c>
      <c r="DQ37" s="17" t="s">
        <v>2839</v>
      </c>
      <c r="DR37" s="17" t="s">
        <v>56</v>
      </c>
      <c r="DS37" s="17" t="s">
        <v>56</v>
      </c>
      <c r="DT37" s="17" t="s">
        <v>56</v>
      </c>
      <c r="DU37" s="17" t="s">
        <v>56</v>
      </c>
      <c r="DV37" s="17" t="s">
        <v>2862</v>
      </c>
      <c r="DW37" s="17" t="s">
        <v>3309</v>
      </c>
      <c r="DX37" s="17" t="s">
        <v>3310</v>
      </c>
      <c r="DY37" s="17">
        <v>9.7795896448127796E-3</v>
      </c>
      <c r="DZ37" s="17">
        <v>2.7520410355187201E-2</v>
      </c>
      <c r="EA37" s="17" t="s">
        <v>3311</v>
      </c>
      <c r="EB37" s="17">
        <v>4.0201671797007003E-3</v>
      </c>
      <c r="EC37" s="17">
        <v>7.1798328202993004E-3</v>
      </c>
      <c r="ED37" s="17" t="s">
        <v>56</v>
      </c>
      <c r="EE37" s="17" t="s">
        <v>56</v>
      </c>
      <c r="EF37" s="17" t="s">
        <v>56</v>
      </c>
      <c r="EG37" s="17" t="s">
        <v>2862</v>
      </c>
      <c r="EH37" s="17" t="s">
        <v>3309</v>
      </c>
      <c r="EI37" s="17" t="s">
        <v>3312</v>
      </c>
      <c r="EJ37" s="17">
        <v>1.08477E-2</v>
      </c>
      <c r="EK37" s="17">
        <v>5.8252699999999998E-2</v>
      </c>
      <c r="EL37" s="17" t="s">
        <v>3311</v>
      </c>
      <c r="EM37" s="17">
        <v>4.8999999999999998E-3</v>
      </c>
      <c r="EN37" s="17">
        <v>1.01E-2</v>
      </c>
      <c r="EO37" s="17" t="s">
        <v>3312</v>
      </c>
      <c r="EP37" s="17">
        <v>4.3641500000000004</v>
      </c>
      <c r="EQ37" s="17">
        <v>23.435700000000001</v>
      </c>
      <c r="ER37" s="17" t="s">
        <v>3313</v>
      </c>
      <c r="ES37" s="17">
        <v>0.59340000000000004</v>
      </c>
      <c r="ET37" s="17">
        <v>1.2263999999999999</v>
      </c>
      <c r="EU37" s="17" t="s">
        <v>2862</v>
      </c>
      <c r="EV37" s="17" t="s">
        <v>3309</v>
      </c>
      <c r="EW37" s="17" t="s">
        <v>3312</v>
      </c>
      <c r="EX37" s="17">
        <v>4.3641500000000004</v>
      </c>
      <c r="EY37" s="17">
        <v>23.435700000000001</v>
      </c>
      <c r="EZ37" s="17" t="s">
        <v>3311</v>
      </c>
      <c r="FA37" s="17">
        <v>0.59340000000000004</v>
      </c>
      <c r="FB37" s="17">
        <v>1.2263999999999999</v>
      </c>
      <c r="FC37" s="17" t="s">
        <v>56</v>
      </c>
      <c r="FD37" s="17" t="s">
        <v>56</v>
      </c>
      <c r="FE37" s="17" t="s">
        <v>56</v>
      </c>
      <c r="FF37" s="17" t="s">
        <v>56</v>
      </c>
      <c r="FG37" s="17" t="s">
        <v>56</v>
      </c>
      <c r="FH37" s="17" t="s">
        <v>56</v>
      </c>
      <c r="FI37" s="17" t="s">
        <v>56</v>
      </c>
      <c r="FJ37" s="17" t="s">
        <v>56</v>
      </c>
      <c r="FK37" s="17" t="s">
        <v>56</v>
      </c>
      <c r="FL37" s="17" t="s">
        <v>56</v>
      </c>
      <c r="FM37" s="17" t="s">
        <v>56</v>
      </c>
      <c r="FN37" s="17" t="s">
        <v>56</v>
      </c>
      <c r="FO37" s="17" t="s">
        <v>56</v>
      </c>
      <c r="FP37" s="17" t="s">
        <v>56</v>
      </c>
      <c r="FQ37" s="17" t="s">
        <v>56</v>
      </c>
      <c r="FR37" s="17" t="s">
        <v>56</v>
      </c>
      <c r="FS37" s="17" t="s">
        <v>56</v>
      </c>
      <c r="FT37" s="17" t="s">
        <v>56</v>
      </c>
      <c r="FU37" s="17">
        <v>194.505413823954</v>
      </c>
      <c r="FV37" s="17">
        <v>1044.5036322660801</v>
      </c>
      <c r="FW37" s="17" t="s">
        <v>56</v>
      </c>
      <c r="FX37" s="17" t="s">
        <v>56</v>
      </c>
      <c r="FY37" s="17" t="s">
        <v>56</v>
      </c>
      <c r="FZ37" s="17" t="s">
        <v>56</v>
      </c>
      <c r="GA37" s="17" t="s">
        <v>56</v>
      </c>
      <c r="GB37" s="17" t="s">
        <v>56</v>
      </c>
      <c r="GC37" s="17" t="s">
        <v>56</v>
      </c>
      <c r="GD37" s="17" t="s">
        <v>2969</v>
      </c>
      <c r="GE37" s="17" t="s">
        <v>2969</v>
      </c>
      <c r="GF37" s="17" t="s">
        <v>56</v>
      </c>
      <c r="GG37" s="17" t="s">
        <v>2818</v>
      </c>
      <c r="GH37" s="17" t="s">
        <v>2818</v>
      </c>
      <c r="GI37" s="17" t="s">
        <v>1111</v>
      </c>
      <c r="GJ37" s="17" t="s">
        <v>1111</v>
      </c>
      <c r="GK37" s="17" t="s">
        <v>1111</v>
      </c>
      <c r="GL37" s="17"/>
    </row>
    <row r="38" spans="2:194" x14ac:dyDescent="0.25">
      <c r="B38" s="17" t="s">
        <v>2840</v>
      </c>
      <c r="C38" s="17" t="s">
        <v>70</v>
      </c>
      <c r="D38" s="17" t="s">
        <v>3411</v>
      </c>
      <c r="E38" s="17" t="s">
        <v>3412</v>
      </c>
      <c r="F38" s="17" t="s">
        <v>3237</v>
      </c>
      <c r="G38" s="17" t="s">
        <v>3413</v>
      </c>
      <c r="H38" s="17"/>
      <c r="I38" s="17" t="s">
        <v>2797</v>
      </c>
      <c r="J38" s="17" t="s">
        <v>3403</v>
      </c>
      <c r="K38" s="17" t="s">
        <v>2653</v>
      </c>
      <c r="L38" s="17" t="s">
        <v>2800</v>
      </c>
      <c r="M38" s="17" t="s">
        <v>3414</v>
      </c>
      <c r="N38" s="17" t="s">
        <v>1325</v>
      </c>
      <c r="O38" s="17" t="s">
        <v>2813</v>
      </c>
      <c r="P38" s="17" t="s">
        <v>2814</v>
      </c>
      <c r="Q38" s="17" t="s">
        <v>3616</v>
      </c>
      <c r="R38" s="17">
        <v>17897433.710000001</v>
      </c>
      <c r="S38" s="17">
        <v>4974456.4000000004</v>
      </c>
      <c r="T38" s="17">
        <v>18587154.18</v>
      </c>
      <c r="U38" s="17" t="s">
        <v>2817</v>
      </c>
      <c r="V38" s="17" t="s">
        <v>939</v>
      </c>
      <c r="W38" s="17" t="s">
        <v>2816</v>
      </c>
      <c r="X38" s="17" t="s">
        <v>3403</v>
      </c>
      <c r="Y38" s="17" t="s">
        <v>56</v>
      </c>
      <c r="Z38" s="17" t="s">
        <v>3616</v>
      </c>
      <c r="AA38" s="17" t="s">
        <v>2801</v>
      </c>
      <c r="AB38" s="17">
        <v>2.1629</v>
      </c>
      <c r="AC38" s="17" t="s">
        <v>3616</v>
      </c>
      <c r="AD38" s="17" t="s">
        <v>2804</v>
      </c>
      <c r="AE38" s="17">
        <v>319397</v>
      </c>
      <c r="AF38" s="17" t="s">
        <v>2839</v>
      </c>
      <c r="AG38" s="17" t="s">
        <v>3617</v>
      </c>
      <c r="AH38" s="17" t="s">
        <v>2806</v>
      </c>
      <c r="AI38" s="17"/>
      <c r="AJ38" s="17" t="s">
        <v>56</v>
      </c>
      <c r="AK38" s="17" t="s">
        <v>56</v>
      </c>
      <c r="AL38" s="17" t="s">
        <v>56</v>
      </c>
      <c r="AM38" s="17" t="s">
        <v>56</v>
      </c>
      <c r="AN38" s="17" t="s">
        <v>56</v>
      </c>
      <c r="AO38" s="17" t="s">
        <v>56</v>
      </c>
      <c r="AP38" s="17" t="s">
        <v>56</v>
      </c>
      <c r="AQ38" s="17" t="s">
        <v>56</v>
      </c>
      <c r="AR38" s="17" t="s">
        <v>56</v>
      </c>
      <c r="AS38" s="17">
        <v>677.19899999999996</v>
      </c>
      <c r="AT38" s="17">
        <v>82.007599999999996</v>
      </c>
      <c r="AU38" s="17">
        <v>435.83600000000001</v>
      </c>
      <c r="AV38" s="17" t="s">
        <v>56</v>
      </c>
      <c r="AW38" s="17" t="s">
        <v>56</v>
      </c>
      <c r="AX38" s="17" t="s">
        <v>56</v>
      </c>
      <c r="AY38" s="17">
        <v>561.97</v>
      </c>
      <c r="AZ38" s="17">
        <v>68.053600000000003</v>
      </c>
      <c r="BA38" s="17">
        <v>361.67599999999999</v>
      </c>
      <c r="BB38" s="17" t="s">
        <v>56</v>
      </c>
      <c r="BC38" s="17" t="s">
        <v>56</v>
      </c>
      <c r="BD38" s="17" t="s">
        <v>56</v>
      </c>
      <c r="BE38" s="17" t="s">
        <v>56</v>
      </c>
      <c r="BF38" s="17" t="s">
        <v>56</v>
      </c>
      <c r="BG38" s="17" t="s">
        <v>56</v>
      </c>
      <c r="BH38" s="17" t="s">
        <v>56</v>
      </c>
      <c r="BI38" s="17" t="s">
        <v>56</v>
      </c>
      <c r="BJ38" s="17" t="s">
        <v>56</v>
      </c>
      <c r="BK38" s="17" t="s">
        <v>56</v>
      </c>
      <c r="BL38" s="17" t="s">
        <v>56</v>
      </c>
      <c r="BM38" s="17" t="s">
        <v>56</v>
      </c>
      <c r="BN38" s="17" t="s">
        <v>56</v>
      </c>
      <c r="BO38" s="17" t="s">
        <v>56</v>
      </c>
      <c r="BP38" s="17" t="s">
        <v>56</v>
      </c>
      <c r="BQ38" s="17" t="s">
        <v>56</v>
      </c>
      <c r="BR38" s="17" t="s">
        <v>56</v>
      </c>
      <c r="BS38" s="17" t="s">
        <v>56</v>
      </c>
      <c r="BT38" s="17" t="s">
        <v>56</v>
      </c>
      <c r="BU38" s="17" t="s">
        <v>56</v>
      </c>
      <c r="BV38" s="17" t="s">
        <v>56</v>
      </c>
      <c r="BW38" s="17" t="s">
        <v>56</v>
      </c>
      <c r="BX38" s="17" t="s">
        <v>2818</v>
      </c>
      <c r="BY38" s="17" t="s">
        <v>1111</v>
      </c>
      <c r="BZ38" s="17" t="s">
        <v>56</v>
      </c>
      <c r="CA38" s="17" t="s">
        <v>56</v>
      </c>
      <c r="CB38" s="17" t="s">
        <v>1325</v>
      </c>
      <c r="CC38" s="17" t="s">
        <v>1325</v>
      </c>
      <c r="CD38" s="17" t="s">
        <v>1325</v>
      </c>
      <c r="CE38" s="17" t="s">
        <v>1325</v>
      </c>
      <c r="CF38" s="17" t="s">
        <v>1325</v>
      </c>
      <c r="CG38" s="17" t="s">
        <v>1325</v>
      </c>
      <c r="CH38" s="17" t="s">
        <v>1325</v>
      </c>
      <c r="CI38" s="17" t="s">
        <v>1325</v>
      </c>
      <c r="CJ38" s="17" t="s">
        <v>1325</v>
      </c>
      <c r="CK38" s="17" t="s">
        <v>1325</v>
      </c>
      <c r="CL38" s="17" t="s">
        <v>1325</v>
      </c>
      <c r="CM38" s="17" t="s">
        <v>1325</v>
      </c>
      <c r="CN38" s="17" t="s">
        <v>1325</v>
      </c>
      <c r="CO38" s="17" t="s">
        <v>1325</v>
      </c>
      <c r="CP38" s="17" t="s">
        <v>1325</v>
      </c>
      <c r="CQ38" s="17" t="s">
        <v>1325</v>
      </c>
      <c r="CR38" s="17" t="s">
        <v>1325</v>
      </c>
      <c r="CS38" s="17" t="s">
        <v>1325</v>
      </c>
      <c r="CT38" s="17" t="s">
        <v>1325</v>
      </c>
      <c r="CU38" s="17" t="s">
        <v>1325</v>
      </c>
      <c r="CV38" s="17" t="s">
        <v>1325</v>
      </c>
      <c r="CW38" s="17" t="s">
        <v>56</v>
      </c>
      <c r="CX38" s="17" t="s">
        <v>56</v>
      </c>
      <c r="CY38" s="17" t="s">
        <v>56</v>
      </c>
      <c r="CZ38" s="17">
        <v>319397</v>
      </c>
      <c r="DA38" s="17">
        <v>319397</v>
      </c>
      <c r="DB38" s="17">
        <v>319397</v>
      </c>
      <c r="DC38" s="17"/>
      <c r="DD38" s="17"/>
      <c r="DE38" s="17"/>
      <c r="DF38" s="17" t="s">
        <v>3415</v>
      </c>
      <c r="DG38" s="17" t="s">
        <v>3477</v>
      </c>
      <c r="DH38" s="17" t="s">
        <v>3237</v>
      </c>
      <c r="DI38" s="17" t="s">
        <v>3478</v>
      </c>
      <c r="DJ38" s="17" t="s">
        <v>3405</v>
      </c>
      <c r="DK38" s="17" t="s">
        <v>3320</v>
      </c>
      <c r="DL38" s="17" t="s">
        <v>3418</v>
      </c>
      <c r="DM38" s="17">
        <v>8.0199999999999998E-4</v>
      </c>
      <c r="DN38" s="17">
        <v>256.2</v>
      </c>
      <c r="DO38" s="17">
        <v>0.42854745304347802</v>
      </c>
      <c r="DP38" s="17" t="s">
        <v>3308</v>
      </c>
      <c r="DQ38" s="17" t="s">
        <v>2839</v>
      </c>
      <c r="DR38" s="17" t="s">
        <v>56</v>
      </c>
      <c r="DS38" s="17" t="s">
        <v>56</v>
      </c>
      <c r="DT38" s="17" t="s">
        <v>56</v>
      </c>
      <c r="DU38" s="17" t="s">
        <v>56</v>
      </c>
      <c r="DV38" s="17" t="s">
        <v>2862</v>
      </c>
      <c r="DW38" s="17" t="s">
        <v>3309</v>
      </c>
      <c r="DX38" s="17" t="s">
        <v>3310</v>
      </c>
      <c r="DY38" s="17">
        <v>9.7795896448127796E-3</v>
      </c>
      <c r="DZ38" s="17">
        <v>2.7520410355187201E-2</v>
      </c>
      <c r="EA38" s="17" t="s">
        <v>3311</v>
      </c>
      <c r="EB38" s="17">
        <v>4.0201671797007003E-3</v>
      </c>
      <c r="EC38" s="17">
        <v>7.1798328202993004E-3</v>
      </c>
      <c r="ED38" s="17" t="s">
        <v>56</v>
      </c>
      <c r="EE38" s="17" t="s">
        <v>56</v>
      </c>
      <c r="EF38" s="17" t="s">
        <v>56</v>
      </c>
      <c r="EG38" s="17" t="s">
        <v>2862</v>
      </c>
      <c r="EH38" s="17" t="s">
        <v>3309</v>
      </c>
      <c r="EI38" s="17" t="s">
        <v>3312</v>
      </c>
      <c r="EJ38" s="17">
        <v>1.08477E-2</v>
      </c>
      <c r="EK38" s="17">
        <v>5.8252699999999998E-2</v>
      </c>
      <c r="EL38" s="17" t="s">
        <v>3311</v>
      </c>
      <c r="EM38" s="17">
        <v>4.8999999999999998E-3</v>
      </c>
      <c r="EN38" s="17">
        <v>1.01E-2</v>
      </c>
      <c r="EO38" s="17" t="s">
        <v>3312</v>
      </c>
      <c r="EP38" s="17">
        <v>4.3641500000000004</v>
      </c>
      <c r="EQ38" s="17">
        <v>23.435700000000001</v>
      </c>
      <c r="ER38" s="17" t="s">
        <v>3313</v>
      </c>
      <c r="ES38" s="17">
        <v>0.59340000000000004</v>
      </c>
      <c r="ET38" s="17">
        <v>1.2263999999999999</v>
      </c>
      <c r="EU38" s="17" t="s">
        <v>2862</v>
      </c>
      <c r="EV38" s="17" t="s">
        <v>3309</v>
      </c>
      <c r="EW38" s="17" t="s">
        <v>3312</v>
      </c>
      <c r="EX38" s="17">
        <v>4.3641500000000004</v>
      </c>
      <c r="EY38" s="17">
        <v>23.435700000000001</v>
      </c>
      <c r="EZ38" s="17" t="s">
        <v>3311</v>
      </c>
      <c r="FA38" s="17">
        <v>0.59340000000000004</v>
      </c>
      <c r="FB38" s="17">
        <v>1.2263999999999999</v>
      </c>
      <c r="FC38" s="17" t="s">
        <v>56</v>
      </c>
      <c r="FD38" s="17" t="s">
        <v>56</v>
      </c>
      <c r="FE38" s="17" t="s">
        <v>56</v>
      </c>
      <c r="FF38" s="17" t="s">
        <v>56</v>
      </c>
      <c r="FG38" s="17" t="s">
        <v>56</v>
      </c>
      <c r="FH38" s="17" t="s">
        <v>56</v>
      </c>
      <c r="FI38" s="17" t="s">
        <v>56</v>
      </c>
      <c r="FJ38" s="17" t="s">
        <v>56</v>
      </c>
      <c r="FK38" s="17" t="s">
        <v>56</v>
      </c>
      <c r="FL38" s="17" t="s">
        <v>56</v>
      </c>
      <c r="FM38" s="17" t="s">
        <v>56</v>
      </c>
      <c r="FN38" s="17" t="s">
        <v>56</v>
      </c>
      <c r="FO38" s="17" t="s">
        <v>56</v>
      </c>
      <c r="FP38" s="17" t="s">
        <v>56</v>
      </c>
      <c r="FQ38" s="17" t="s">
        <v>56</v>
      </c>
      <c r="FR38" s="17" t="s">
        <v>56</v>
      </c>
      <c r="FS38" s="17" t="s">
        <v>56</v>
      </c>
      <c r="FT38" s="17" t="s">
        <v>56</v>
      </c>
      <c r="FU38" s="17">
        <v>194.50551816903399</v>
      </c>
      <c r="FV38" s="17">
        <v>1044.50419260429</v>
      </c>
      <c r="FW38" s="17" t="s">
        <v>56</v>
      </c>
      <c r="FX38" s="17" t="s">
        <v>56</v>
      </c>
      <c r="FY38" s="17" t="s">
        <v>56</v>
      </c>
      <c r="FZ38" s="17" t="s">
        <v>56</v>
      </c>
      <c r="GA38" s="17" t="s">
        <v>56</v>
      </c>
      <c r="GB38" s="17" t="s">
        <v>56</v>
      </c>
      <c r="GC38" s="17" t="s">
        <v>56</v>
      </c>
      <c r="GD38" s="17" t="s">
        <v>2969</v>
      </c>
      <c r="GE38" s="17" t="s">
        <v>2969</v>
      </c>
      <c r="GF38" s="17" t="s">
        <v>56</v>
      </c>
      <c r="GG38" s="17" t="s">
        <v>2818</v>
      </c>
      <c r="GH38" s="17" t="s">
        <v>2818</v>
      </c>
      <c r="GI38" s="17" t="s">
        <v>1111</v>
      </c>
      <c r="GJ38" s="17" t="s">
        <v>1111</v>
      </c>
      <c r="GK38" s="17" t="s">
        <v>1111</v>
      </c>
      <c r="GL38" s="17"/>
    </row>
    <row r="39" spans="2:194" x14ac:dyDescent="0.25">
      <c r="B39" s="17" t="s">
        <v>2840</v>
      </c>
      <c r="C39" s="17" t="s">
        <v>70</v>
      </c>
      <c r="D39" s="17" t="s">
        <v>3411</v>
      </c>
      <c r="E39" s="17" t="s">
        <v>3412</v>
      </c>
      <c r="F39" s="17" t="s">
        <v>3237</v>
      </c>
      <c r="G39" s="17" t="s">
        <v>3413</v>
      </c>
      <c r="H39" s="17"/>
      <c r="I39" s="17" t="s">
        <v>2797</v>
      </c>
      <c r="J39" s="17" t="s">
        <v>3403</v>
      </c>
      <c r="K39" s="17" t="s">
        <v>2653</v>
      </c>
      <c r="L39" s="17" t="s">
        <v>2800</v>
      </c>
      <c r="M39" s="17" t="s">
        <v>3414</v>
      </c>
      <c r="N39" s="17" t="s">
        <v>1325</v>
      </c>
      <c r="O39" s="17" t="s">
        <v>2813</v>
      </c>
      <c r="P39" s="17" t="s">
        <v>2814</v>
      </c>
      <c r="Q39" s="17" t="s">
        <v>3616</v>
      </c>
      <c r="R39" s="17">
        <v>17897433.710000001</v>
      </c>
      <c r="S39" s="17">
        <v>4974456.4000000004</v>
      </c>
      <c r="T39" s="17">
        <v>18587154.18</v>
      </c>
      <c r="U39" s="17" t="s">
        <v>2817</v>
      </c>
      <c r="V39" s="17" t="s">
        <v>939</v>
      </c>
      <c r="W39" s="17" t="s">
        <v>2816</v>
      </c>
      <c r="X39" s="17" t="s">
        <v>3403</v>
      </c>
      <c r="Y39" s="17" t="s">
        <v>56</v>
      </c>
      <c r="Z39" s="17" t="s">
        <v>3616</v>
      </c>
      <c r="AA39" s="17" t="s">
        <v>2801</v>
      </c>
      <c r="AB39" s="17">
        <v>2.1629</v>
      </c>
      <c r="AC39" s="17" t="s">
        <v>3616</v>
      </c>
      <c r="AD39" s="17" t="s">
        <v>2804</v>
      </c>
      <c r="AE39" s="17">
        <v>319397</v>
      </c>
      <c r="AF39" s="17" t="s">
        <v>2839</v>
      </c>
      <c r="AG39" s="17" t="s">
        <v>3617</v>
      </c>
      <c r="AH39" s="17" t="s">
        <v>2806</v>
      </c>
      <c r="AI39" s="17"/>
      <c r="AJ39" s="17" t="s">
        <v>56</v>
      </c>
      <c r="AK39" s="17" t="s">
        <v>56</v>
      </c>
      <c r="AL39" s="17" t="s">
        <v>56</v>
      </c>
      <c r="AM39" s="17" t="s">
        <v>56</v>
      </c>
      <c r="AN39" s="17" t="s">
        <v>56</v>
      </c>
      <c r="AO39" s="17" t="s">
        <v>56</v>
      </c>
      <c r="AP39" s="17" t="s">
        <v>56</v>
      </c>
      <c r="AQ39" s="17" t="s">
        <v>56</v>
      </c>
      <c r="AR39" s="17" t="s">
        <v>56</v>
      </c>
      <c r="AS39" s="17">
        <v>677.19899999999996</v>
      </c>
      <c r="AT39" s="17">
        <v>82.007599999999996</v>
      </c>
      <c r="AU39" s="17">
        <v>435.83600000000001</v>
      </c>
      <c r="AV39" s="17" t="s">
        <v>56</v>
      </c>
      <c r="AW39" s="17" t="s">
        <v>56</v>
      </c>
      <c r="AX39" s="17" t="s">
        <v>56</v>
      </c>
      <c r="AY39" s="17">
        <v>561.97</v>
      </c>
      <c r="AZ39" s="17">
        <v>68.053600000000003</v>
      </c>
      <c r="BA39" s="17">
        <v>361.67599999999999</v>
      </c>
      <c r="BB39" s="17" t="s">
        <v>56</v>
      </c>
      <c r="BC39" s="17" t="s">
        <v>56</v>
      </c>
      <c r="BD39" s="17" t="s">
        <v>56</v>
      </c>
      <c r="BE39" s="17" t="s">
        <v>56</v>
      </c>
      <c r="BF39" s="17" t="s">
        <v>56</v>
      </c>
      <c r="BG39" s="17" t="s">
        <v>56</v>
      </c>
      <c r="BH39" s="17" t="s">
        <v>56</v>
      </c>
      <c r="BI39" s="17" t="s">
        <v>56</v>
      </c>
      <c r="BJ39" s="17" t="s">
        <v>56</v>
      </c>
      <c r="BK39" s="17" t="s">
        <v>56</v>
      </c>
      <c r="BL39" s="17" t="s">
        <v>56</v>
      </c>
      <c r="BM39" s="17" t="s">
        <v>56</v>
      </c>
      <c r="BN39" s="17" t="s">
        <v>56</v>
      </c>
      <c r="BO39" s="17" t="s">
        <v>56</v>
      </c>
      <c r="BP39" s="17" t="s">
        <v>56</v>
      </c>
      <c r="BQ39" s="17" t="s">
        <v>56</v>
      </c>
      <c r="BR39" s="17" t="s">
        <v>56</v>
      </c>
      <c r="BS39" s="17" t="s">
        <v>56</v>
      </c>
      <c r="BT39" s="17" t="s">
        <v>56</v>
      </c>
      <c r="BU39" s="17" t="s">
        <v>56</v>
      </c>
      <c r="BV39" s="17" t="s">
        <v>56</v>
      </c>
      <c r="BW39" s="17" t="s">
        <v>56</v>
      </c>
      <c r="BX39" s="17" t="s">
        <v>2818</v>
      </c>
      <c r="BY39" s="17" t="s">
        <v>1111</v>
      </c>
      <c r="BZ39" s="17" t="s">
        <v>56</v>
      </c>
      <c r="CA39" s="17" t="s">
        <v>56</v>
      </c>
      <c r="CB39" s="17" t="s">
        <v>1325</v>
      </c>
      <c r="CC39" s="17" t="s">
        <v>1325</v>
      </c>
      <c r="CD39" s="17" t="s">
        <v>1325</v>
      </c>
      <c r="CE39" s="17" t="s">
        <v>1325</v>
      </c>
      <c r="CF39" s="17" t="s">
        <v>1325</v>
      </c>
      <c r="CG39" s="17" t="s">
        <v>1325</v>
      </c>
      <c r="CH39" s="17" t="s">
        <v>1325</v>
      </c>
      <c r="CI39" s="17" t="s">
        <v>1325</v>
      </c>
      <c r="CJ39" s="17" t="s">
        <v>1325</v>
      </c>
      <c r="CK39" s="17" t="s">
        <v>1325</v>
      </c>
      <c r="CL39" s="17" t="s">
        <v>1325</v>
      </c>
      <c r="CM39" s="17" t="s">
        <v>1325</v>
      </c>
      <c r="CN39" s="17" t="s">
        <v>1325</v>
      </c>
      <c r="CO39" s="17" t="s">
        <v>1325</v>
      </c>
      <c r="CP39" s="17" t="s">
        <v>1325</v>
      </c>
      <c r="CQ39" s="17" t="s">
        <v>1325</v>
      </c>
      <c r="CR39" s="17" t="s">
        <v>1325</v>
      </c>
      <c r="CS39" s="17" t="s">
        <v>1325</v>
      </c>
      <c r="CT39" s="17" t="s">
        <v>1325</v>
      </c>
      <c r="CU39" s="17" t="s">
        <v>1325</v>
      </c>
      <c r="CV39" s="17" t="s">
        <v>1325</v>
      </c>
      <c r="CW39" s="17" t="s">
        <v>56</v>
      </c>
      <c r="CX39" s="17" t="s">
        <v>56</v>
      </c>
      <c r="CY39" s="17" t="s">
        <v>56</v>
      </c>
      <c r="CZ39" s="17">
        <v>319397</v>
      </c>
      <c r="DA39" s="17">
        <v>319397</v>
      </c>
      <c r="DB39" s="17">
        <v>319397</v>
      </c>
      <c r="DC39" s="17"/>
      <c r="DD39" s="17"/>
      <c r="DE39" s="17"/>
      <c r="DF39" s="17" t="s">
        <v>3415</v>
      </c>
      <c r="DG39" s="17" t="s">
        <v>3479</v>
      </c>
      <c r="DH39" s="17" t="s">
        <v>3237</v>
      </c>
      <c r="DI39" s="17" t="s">
        <v>3480</v>
      </c>
      <c r="DJ39" s="17" t="s">
        <v>3405</v>
      </c>
      <c r="DK39" s="17" t="s">
        <v>3320</v>
      </c>
      <c r="DL39" s="17" t="s">
        <v>3418</v>
      </c>
      <c r="DM39" s="17">
        <v>1.0853E-2</v>
      </c>
      <c r="DN39" s="17">
        <v>3466.4</v>
      </c>
      <c r="DO39" s="17">
        <v>0.42855859477932901</v>
      </c>
      <c r="DP39" s="17" t="s">
        <v>3308</v>
      </c>
      <c r="DQ39" s="17" t="s">
        <v>2839</v>
      </c>
      <c r="DR39" s="17" t="s">
        <v>56</v>
      </c>
      <c r="DS39" s="17" t="s">
        <v>56</v>
      </c>
      <c r="DT39" s="17" t="s">
        <v>56</v>
      </c>
      <c r="DU39" s="17" t="s">
        <v>56</v>
      </c>
      <c r="DV39" s="17" t="s">
        <v>2862</v>
      </c>
      <c r="DW39" s="17" t="s">
        <v>3309</v>
      </c>
      <c r="DX39" s="17" t="s">
        <v>3310</v>
      </c>
      <c r="DY39" s="17">
        <v>9.7795896448127796E-3</v>
      </c>
      <c r="DZ39" s="17">
        <v>2.7520410355187201E-2</v>
      </c>
      <c r="EA39" s="17" t="s">
        <v>3311</v>
      </c>
      <c r="EB39" s="17">
        <v>4.0201671797007003E-3</v>
      </c>
      <c r="EC39" s="17">
        <v>7.1798328202993004E-3</v>
      </c>
      <c r="ED39" s="17" t="s">
        <v>56</v>
      </c>
      <c r="EE39" s="17" t="s">
        <v>56</v>
      </c>
      <c r="EF39" s="17" t="s">
        <v>56</v>
      </c>
      <c r="EG39" s="17" t="s">
        <v>2862</v>
      </c>
      <c r="EH39" s="17" t="s">
        <v>3309</v>
      </c>
      <c r="EI39" s="17" t="s">
        <v>3312</v>
      </c>
      <c r="EJ39" s="17">
        <v>1.08477E-2</v>
      </c>
      <c r="EK39" s="17">
        <v>5.8252699999999998E-2</v>
      </c>
      <c r="EL39" s="17" t="s">
        <v>3311</v>
      </c>
      <c r="EM39" s="17">
        <v>4.8999999999999998E-3</v>
      </c>
      <c r="EN39" s="17">
        <v>1.01E-2</v>
      </c>
      <c r="EO39" s="17" t="s">
        <v>3312</v>
      </c>
      <c r="EP39" s="17">
        <v>4.3641500000000004</v>
      </c>
      <c r="EQ39" s="17">
        <v>23.435700000000001</v>
      </c>
      <c r="ER39" s="17" t="s">
        <v>3313</v>
      </c>
      <c r="ES39" s="17">
        <v>0.59340000000000004</v>
      </c>
      <c r="ET39" s="17">
        <v>1.2263999999999999</v>
      </c>
      <c r="EU39" s="17" t="s">
        <v>2862</v>
      </c>
      <c r="EV39" s="17" t="s">
        <v>3309</v>
      </c>
      <c r="EW39" s="17" t="s">
        <v>3312</v>
      </c>
      <c r="EX39" s="17">
        <v>4.3641500000000004</v>
      </c>
      <c r="EY39" s="17">
        <v>23.435700000000001</v>
      </c>
      <c r="EZ39" s="17" t="s">
        <v>3311</v>
      </c>
      <c r="FA39" s="17">
        <v>0.59340000000000004</v>
      </c>
      <c r="FB39" s="17">
        <v>1.2263999999999999</v>
      </c>
      <c r="FC39" s="17" t="s">
        <v>56</v>
      </c>
      <c r="FD39" s="17" t="s">
        <v>56</v>
      </c>
      <c r="FE39" s="17" t="s">
        <v>56</v>
      </c>
      <c r="FF39" s="17" t="s">
        <v>56</v>
      </c>
      <c r="FG39" s="17" t="s">
        <v>56</v>
      </c>
      <c r="FH39" s="17" t="s">
        <v>56</v>
      </c>
      <c r="FI39" s="17" t="s">
        <v>56</v>
      </c>
      <c r="FJ39" s="17" t="s">
        <v>56</v>
      </c>
      <c r="FK39" s="17" t="s">
        <v>56</v>
      </c>
      <c r="FL39" s="17" t="s">
        <v>56</v>
      </c>
      <c r="FM39" s="17" t="s">
        <v>56</v>
      </c>
      <c r="FN39" s="17" t="s">
        <v>56</v>
      </c>
      <c r="FO39" s="17" t="s">
        <v>56</v>
      </c>
      <c r="FP39" s="17" t="s">
        <v>56</v>
      </c>
      <c r="FQ39" s="17" t="s">
        <v>56</v>
      </c>
      <c r="FR39" s="17" t="s">
        <v>56</v>
      </c>
      <c r="FS39" s="17" t="s">
        <v>56</v>
      </c>
      <c r="FT39" s="17" t="s">
        <v>56</v>
      </c>
      <c r="FU39" s="17">
        <v>194.51057507024001</v>
      </c>
      <c r="FV39" s="17">
        <v>1044.5313484123201</v>
      </c>
      <c r="FW39" s="17" t="s">
        <v>56</v>
      </c>
      <c r="FX39" s="17" t="s">
        <v>56</v>
      </c>
      <c r="FY39" s="17" t="s">
        <v>56</v>
      </c>
      <c r="FZ39" s="17" t="s">
        <v>56</v>
      </c>
      <c r="GA39" s="17" t="s">
        <v>56</v>
      </c>
      <c r="GB39" s="17" t="s">
        <v>56</v>
      </c>
      <c r="GC39" s="17" t="s">
        <v>56</v>
      </c>
      <c r="GD39" s="17" t="s">
        <v>2969</v>
      </c>
      <c r="GE39" s="17" t="s">
        <v>2969</v>
      </c>
      <c r="GF39" s="17" t="s">
        <v>56</v>
      </c>
      <c r="GG39" s="17" t="s">
        <v>2818</v>
      </c>
      <c r="GH39" s="17" t="s">
        <v>2818</v>
      </c>
      <c r="GI39" s="17" t="s">
        <v>1111</v>
      </c>
      <c r="GJ39" s="17" t="s">
        <v>1111</v>
      </c>
      <c r="GK39" s="17" t="s">
        <v>1111</v>
      </c>
      <c r="GL39" s="17"/>
    </row>
    <row r="40" spans="2:194" x14ac:dyDescent="0.25">
      <c r="B40" s="17" t="s">
        <v>2840</v>
      </c>
      <c r="C40" s="17" t="s">
        <v>70</v>
      </c>
      <c r="D40" s="17" t="s">
        <v>3411</v>
      </c>
      <c r="E40" s="17" t="s">
        <v>3412</v>
      </c>
      <c r="F40" s="17" t="s">
        <v>3237</v>
      </c>
      <c r="G40" s="17" t="s">
        <v>3413</v>
      </c>
      <c r="H40" s="17"/>
      <c r="I40" s="17" t="s">
        <v>2797</v>
      </c>
      <c r="J40" s="17" t="s">
        <v>3403</v>
      </c>
      <c r="K40" s="17" t="s">
        <v>2653</v>
      </c>
      <c r="L40" s="17" t="s">
        <v>2800</v>
      </c>
      <c r="M40" s="17" t="s">
        <v>3414</v>
      </c>
      <c r="N40" s="17" t="s">
        <v>1325</v>
      </c>
      <c r="O40" s="17" t="s">
        <v>2813</v>
      </c>
      <c r="P40" s="17" t="s">
        <v>2814</v>
      </c>
      <c r="Q40" s="17" t="s">
        <v>3616</v>
      </c>
      <c r="R40" s="17">
        <v>17897433.710000001</v>
      </c>
      <c r="S40" s="17">
        <v>4974456.4000000004</v>
      </c>
      <c r="T40" s="17">
        <v>18587154.18</v>
      </c>
      <c r="U40" s="17" t="s">
        <v>2817</v>
      </c>
      <c r="V40" s="17" t="s">
        <v>939</v>
      </c>
      <c r="W40" s="17" t="s">
        <v>2816</v>
      </c>
      <c r="X40" s="17" t="s">
        <v>3403</v>
      </c>
      <c r="Y40" s="17" t="s">
        <v>56</v>
      </c>
      <c r="Z40" s="17" t="s">
        <v>3616</v>
      </c>
      <c r="AA40" s="17" t="s">
        <v>2801</v>
      </c>
      <c r="AB40" s="17">
        <v>2.1629</v>
      </c>
      <c r="AC40" s="17" t="s">
        <v>3616</v>
      </c>
      <c r="AD40" s="17" t="s">
        <v>2804</v>
      </c>
      <c r="AE40" s="17">
        <v>319397</v>
      </c>
      <c r="AF40" s="17" t="s">
        <v>2839</v>
      </c>
      <c r="AG40" s="17" t="s">
        <v>3617</v>
      </c>
      <c r="AH40" s="17" t="s">
        <v>2806</v>
      </c>
      <c r="AI40" s="17"/>
      <c r="AJ40" s="17" t="s">
        <v>56</v>
      </c>
      <c r="AK40" s="17" t="s">
        <v>56</v>
      </c>
      <c r="AL40" s="17" t="s">
        <v>56</v>
      </c>
      <c r="AM40" s="17" t="s">
        <v>56</v>
      </c>
      <c r="AN40" s="17" t="s">
        <v>56</v>
      </c>
      <c r="AO40" s="17" t="s">
        <v>56</v>
      </c>
      <c r="AP40" s="17" t="s">
        <v>56</v>
      </c>
      <c r="AQ40" s="17" t="s">
        <v>56</v>
      </c>
      <c r="AR40" s="17" t="s">
        <v>56</v>
      </c>
      <c r="AS40" s="17">
        <v>677.19899999999996</v>
      </c>
      <c r="AT40" s="17">
        <v>82.007599999999996</v>
      </c>
      <c r="AU40" s="17">
        <v>435.83600000000001</v>
      </c>
      <c r="AV40" s="17" t="s">
        <v>56</v>
      </c>
      <c r="AW40" s="17" t="s">
        <v>56</v>
      </c>
      <c r="AX40" s="17" t="s">
        <v>56</v>
      </c>
      <c r="AY40" s="17">
        <v>561.97</v>
      </c>
      <c r="AZ40" s="17">
        <v>68.053600000000003</v>
      </c>
      <c r="BA40" s="17">
        <v>361.67599999999999</v>
      </c>
      <c r="BB40" s="17" t="s">
        <v>56</v>
      </c>
      <c r="BC40" s="17" t="s">
        <v>56</v>
      </c>
      <c r="BD40" s="17" t="s">
        <v>56</v>
      </c>
      <c r="BE40" s="17" t="s">
        <v>56</v>
      </c>
      <c r="BF40" s="17" t="s">
        <v>56</v>
      </c>
      <c r="BG40" s="17" t="s">
        <v>56</v>
      </c>
      <c r="BH40" s="17" t="s">
        <v>56</v>
      </c>
      <c r="BI40" s="17" t="s">
        <v>56</v>
      </c>
      <c r="BJ40" s="17" t="s">
        <v>56</v>
      </c>
      <c r="BK40" s="17" t="s">
        <v>56</v>
      </c>
      <c r="BL40" s="17" t="s">
        <v>56</v>
      </c>
      <c r="BM40" s="17" t="s">
        <v>56</v>
      </c>
      <c r="BN40" s="17" t="s">
        <v>56</v>
      </c>
      <c r="BO40" s="17" t="s">
        <v>56</v>
      </c>
      <c r="BP40" s="17" t="s">
        <v>56</v>
      </c>
      <c r="BQ40" s="17" t="s">
        <v>56</v>
      </c>
      <c r="BR40" s="17" t="s">
        <v>56</v>
      </c>
      <c r="BS40" s="17" t="s">
        <v>56</v>
      </c>
      <c r="BT40" s="17" t="s">
        <v>56</v>
      </c>
      <c r="BU40" s="17" t="s">
        <v>56</v>
      </c>
      <c r="BV40" s="17" t="s">
        <v>56</v>
      </c>
      <c r="BW40" s="17" t="s">
        <v>56</v>
      </c>
      <c r="BX40" s="17" t="s">
        <v>2818</v>
      </c>
      <c r="BY40" s="17" t="s">
        <v>1111</v>
      </c>
      <c r="BZ40" s="17" t="s">
        <v>56</v>
      </c>
      <c r="CA40" s="17" t="s">
        <v>56</v>
      </c>
      <c r="CB40" s="17" t="s">
        <v>1325</v>
      </c>
      <c r="CC40" s="17" t="s">
        <v>1325</v>
      </c>
      <c r="CD40" s="17" t="s">
        <v>1325</v>
      </c>
      <c r="CE40" s="17" t="s">
        <v>1325</v>
      </c>
      <c r="CF40" s="17" t="s">
        <v>1325</v>
      </c>
      <c r="CG40" s="17" t="s">
        <v>1325</v>
      </c>
      <c r="CH40" s="17" t="s">
        <v>1325</v>
      </c>
      <c r="CI40" s="17" t="s">
        <v>1325</v>
      </c>
      <c r="CJ40" s="17" t="s">
        <v>1325</v>
      </c>
      <c r="CK40" s="17" t="s">
        <v>1325</v>
      </c>
      <c r="CL40" s="17" t="s">
        <v>1325</v>
      </c>
      <c r="CM40" s="17" t="s">
        <v>1325</v>
      </c>
      <c r="CN40" s="17" t="s">
        <v>1325</v>
      </c>
      <c r="CO40" s="17" t="s">
        <v>1325</v>
      </c>
      <c r="CP40" s="17" t="s">
        <v>1325</v>
      </c>
      <c r="CQ40" s="17" t="s">
        <v>1325</v>
      </c>
      <c r="CR40" s="17" t="s">
        <v>1325</v>
      </c>
      <c r="CS40" s="17" t="s">
        <v>1325</v>
      </c>
      <c r="CT40" s="17" t="s">
        <v>1325</v>
      </c>
      <c r="CU40" s="17" t="s">
        <v>1325</v>
      </c>
      <c r="CV40" s="17" t="s">
        <v>1325</v>
      </c>
      <c r="CW40" s="17" t="s">
        <v>56</v>
      </c>
      <c r="CX40" s="17" t="s">
        <v>56</v>
      </c>
      <c r="CY40" s="17" t="s">
        <v>56</v>
      </c>
      <c r="CZ40" s="17">
        <v>319397</v>
      </c>
      <c r="DA40" s="17">
        <v>319397</v>
      </c>
      <c r="DB40" s="17">
        <v>319397</v>
      </c>
      <c r="DC40" s="17"/>
      <c r="DD40" s="17"/>
      <c r="DE40" s="17"/>
      <c r="DF40" s="17" t="s">
        <v>3415</v>
      </c>
      <c r="DG40" s="17" t="s">
        <v>3481</v>
      </c>
      <c r="DH40" s="17" t="s">
        <v>3237</v>
      </c>
      <c r="DI40" s="17" t="s">
        <v>3482</v>
      </c>
      <c r="DJ40" s="17" t="s">
        <v>3406</v>
      </c>
      <c r="DK40" s="17" t="s">
        <v>3320</v>
      </c>
      <c r="DL40" s="17" t="s">
        <v>3418</v>
      </c>
      <c r="DM40" s="17">
        <v>2.0375999999999998E-2</v>
      </c>
      <c r="DN40" s="17">
        <v>6508</v>
      </c>
      <c r="DO40" s="17">
        <v>0.42855817038851501</v>
      </c>
      <c r="DP40" s="17" t="s">
        <v>3308</v>
      </c>
      <c r="DQ40" s="17" t="s">
        <v>2839</v>
      </c>
      <c r="DR40" s="17" t="s">
        <v>56</v>
      </c>
      <c r="DS40" s="17" t="s">
        <v>56</v>
      </c>
      <c r="DT40" s="17" t="s">
        <v>56</v>
      </c>
      <c r="DU40" s="17" t="s">
        <v>56</v>
      </c>
      <c r="DV40" s="17" t="s">
        <v>2862</v>
      </c>
      <c r="DW40" s="17" t="s">
        <v>3309</v>
      </c>
      <c r="DX40" s="17" t="s">
        <v>3310</v>
      </c>
      <c r="DY40" s="17">
        <v>3.4870922862201099E-3</v>
      </c>
      <c r="DZ40" s="17">
        <v>9.8129077137798903E-3</v>
      </c>
      <c r="EA40" s="17" t="s">
        <v>3311</v>
      </c>
      <c r="EB40" s="17">
        <v>1.4357739927502501E-3</v>
      </c>
      <c r="EC40" s="17">
        <v>2.56422600724975E-3</v>
      </c>
      <c r="ED40" s="17" t="s">
        <v>56</v>
      </c>
      <c r="EE40" s="17" t="s">
        <v>56</v>
      </c>
      <c r="EF40" s="17" t="s">
        <v>56</v>
      </c>
      <c r="EG40" s="17" t="s">
        <v>2862</v>
      </c>
      <c r="EH40" s="17" t="s">
        <v>3309</v>
      </c>
      <c r="EI40" s="17" t="s">
        <v>3312</v>
      </c>
      <c r="EJ40" s="17">
        <v>1.08477E-2</v>
      </c>
      <c r="EK40" s="17">
        <v>5.8252699999999998E-2</v>
      </c>
      <c r="EL40" s="17" t="s">
        <v>3311</v>
      </c>
      <c r="EM40" s="17">
        <v>4.8999999999999998E-3</v>
      </c>
      <c r="EN40" s="17">
        <v>1.01E-2</v>
      </c>
      <c r="EO40" s="17" t="s">
        <v>3312</v>
      </c>
      <c r="EP40" s="17">
        <v>4.3641500000000004</v>
      </c>
      <c r="EQ40" s="17">
        <v>23.435700000000001</v>
      </c>
      <c r="ER40" s="17" t="s">
        <v>3313</v>
      </c>
      <c r="ES40" s="17">
        <v>0.59340000000000004</v>
      </c>
      <c r="ET40" s="17">
        <v>1.2263999999999999</v>
      </c>
      <c r="EU40" s="17" t="s">
        <v>2862</v>
      </c>
      <c r="EV40" s="17" t="s">
        <v>3309</v>
      </c>
      <c r="EW40" s="17" t="s">
        <v>3312</v>
      </c>
      <c r="EX40" s="17">
        <v>4.3641500000000004</v>
      </c>
      <c r="EY40" s="17">
        <v>23.435700000000001</v>
      </c>
      <c r="EZ40" s="17" t="s">
        <v>3311</v>
      </c>
      <c r="FA40" s="17">
        <v>0.59340000000000004</v>
      </c>
      <c r="FB40" s="17">
        <v>1.2263999999999999</v>
      </c>
      <c r="FC40" s="17" t="s">
        <v>56</v>
      </c>
      <c r="FD40" s="17" t="s">
        <v>56</v>
      </c>
      <c r="FE40" s="17" t="s">
        <v>56</v>
      </c>
      <c r="FF40" s="17" t="s">
        <v>56</v>
      </c>
      <c r="FG40" s="17" t="s">
        <v>56</v>
      </c>
      <c r="FH40" s="17" t="s">
        <v>56</v>
      </c>
      <c r="FI40" s="17" t="s">
        <v>56</v>
      </c>
      <c r="FJ40" s="17" t="s">
        <v>56</v>
      </c>
      <c r="FK40" s="17" t="s">
        <v>56</v>
      </c>
      <c r="FL40" s="17" t="s">
        <v>56</v>
      </c>
      <c r="FM40" s="17" t="s">
        <v>56</v>
      </c>
      <c r="FN40" s="17" t="s">
        <v>56</v>
      </c>
      <c r="FO40" s="17" t="s">
        <v>56</v>
      </c>
      <c r="FP40" s="17" t="s">
        <v>56</v>
      </c>
      <c r="FQ40" s="17" t="s">
        <v>56</v>
      </c>
      <c r="FR40" s="17" t="s">
        <v>56</v>
      </c>
      <c r="FS40" s="17" t="s">
        <v>56</v>
      </c>
      <c r="FT40" s="17" t="s">
        <v>56</v>
      </c>
      <c r="FU40" s="17">
        <v>194.510382447133</v>
      </c>
      <c r="FV40" s="17">
        <v>1044.53031401677</v>
      </c>
      <c r="FW40" s="17" t="s">
        <v>56</v>
      </c>
      <c r="FX40" s="17" t="s">
        <v>56</v>
      </c>
      <c r="FY40" s="17" t="s">
        <v>56</v>
      </c>
      <c r="FZ40" s="17" t="s">
        <v>56</v>
      </c>
      <c r="GA40" s="17" t="s">
        <v>56</v>
      </c>
      <c r="GB40" s="17" t="s">
        <v>56</v>
      </c>
      <c r="GC40" s="17" t="s">
        <v>56</v>
      </c>
      <c r="GD40" s="17" t="s">
        <v>2969</v>
      </c>
      <c r="GE40" s="17" t="s">
        <v>2969</v>
      </c>
      <c r="GF40" s="17" t="s">
        <v>56</v>
      </c>
      <c r="GG40" s="17" t="s">
        <v>2818</v>
      </c>
      <c r="GH40" s="17" t="s">
        <v>2818</v>
      </c>
      <c r="GI40" s="17" t="s">
        <v>1111</v>
      </c>
      <c r="GJ40" s="17" t="s">
        <v>1111</v>
      </c>
      <c r="GK40" s="17" t="s">
        <v>1111</v>
      </c>
      <c r="GL40" s="17"/>
    </row>
    <row r="41" spans="2:194" x14ac:dyDescent="0.25">
      <c r="B41" s="17" t="s">
        <v>2840</v>
      </c>
      <c r="C41" s="17" t="s">
        <v>70</v>
      </c>
      <c r="D41" s="17" t="s">
        <v>3411</v>
      </c>
      <c r="E41" s="17" t="s">
        <v>3412</v>
      </c>
      <c r="F41" s="17" t="s">
        <v>3237</v>
      </c>
      <c r="G41" s="17" t="s">
        <v>3413</v>
      </c>
      <c r="H41" s="17"/>
      <c r="I41" s="17" t="s">
        <v>2797</v>
      </c>
      <c r="J41" s="17" t="s">
        <v>3403</v>
      </c>
      <c r="K41" s="17" t="s">
        <v>2653</v>
      </c>
      <c r="L41" s="17" t="s">
        <v>2800</v>
      </c>
      <c r="M41" s="17" t="s">
        <v>3414</v>
      </c>
      <c r="N41" s="17" t="s">
        <v>1325</v>
      </c>
      <c r="O41" s="17" t="s">
        <v>2813</v>
      </c>
      <c r="P41" s="17" t="s">
        <v>2814</v>
      </c>
      <c r="Q41" s="17" t="s">
        <v>3616</v>
      </c>
      <c r="R41" s="17">
        <v>17897433.710000001</v>
      </c>
      <c r="S41" s="17">
        <v>4974456.4000000004</v>
      </c>
      <c r="T41" s="17">
        <v>18587154.18</v>
      </c>
      <c r="U41" s="17" t="s">
        <v>2817</v>
      </c>
      <c r="V41" s="17" t="s">
        <v>939</v>
      </c>
      <c r="W41" s="17" t="s">
        <v>2816</v>
      </c>
      <c r="X41" s="17" t="s">
        <v>3403</v>
      </c>
      <c r="Y41" s="17" t="s">
        <v>56</v>
      </c>
      <c r="Z41" s="17" t="s">
        <v>3616</v>
      </c>
      <c r="AA41" s="17" t="s">
        <v>2801</v>
      </c>
      <c r="AB41" s="17">
        <v>2.1629</v>
      </c>
      <c r="AC41" s="17" t="s">
        <v>3616</v>
      </c>
      <c r="AD41" s="17" t="s">
        <v>2804</v>
      </c>
      <c r="AE41" s="17">
        <v>319397</v>
      </c>
      <c r="AF41" s="17" t="s">
        <v>2839</v>
      </c>
      <c r="AG41" s="17" t="s">
        <v>3617</v>
      </c>
      <c r="AH41" s="17" t="s">
        <v>2806</v>
      </c>
      <c r="AI41" s="17"/>
      <c r="AJ41" s="17" t="s">
        <v>56</v>
      </c>
      <c r="AK41" s="17" t="s">
        <v>56</v>
      </c>
      <c r="AL41" s="17" t="s">
        <v>56</v>
      </c>
      <c r="AM41" s="17" t="s">
        <v>56</v>
      </c>
      <c r="AN41" s="17" t="s">
        <v>56</v>
      </c>
      <c r="AO41" s="17" t="s">
        <v>56</v>
      </c>
      <c r="AP41" s="17" t="s">
        <v>56</v>
      </c>
      <c r="AQ41" s="17" t="s">
        <v>56</v>
      </c>
      <c r="AR41" s="17" t="s">
        <v>56</v>
      </c>
      <c r="AS41" s="17">
        <v>677.19899999999996</v>
      </c>
      <c r="AT41" s="17">
        <v>82.007599999999996</v>
      </c>
      <c r="AU41" s="17">
        <v>435.83600000000001</v>
      </c>
      <c r="AV41" s="17" t="s">
        <v>56</v>
      </c>
      <c r="AW41" s="17" t="s">
        <v>56</v>
      </c>
      <c r="AX41" s="17" t="s">
        <v>56</v>
      </c>
      <c r="AY41" s="17">
        <v>561.97</v>
      </c>
      <c r="AZ41" s="17">
        <v>68.053600000000003</v>
      </c>
      <c r="BA41" s="17">
        <v>361.67599999999999</v>
      </c>
      <c r="BB41" s="17" t="s">
        <v>56</v>
      </c>
      <c r="BC41" s="17" t="s">
        <v>56</v>
      </c>
      <c r="BD41" s="17" t="s">
        <v>56</v>
      </c>
      <c r="BE41" s="17" t="s">
        <v>56</v>
      </c>
      <c r="BF41" s="17" t="s">
        <v>56</v>
      </c>
      <c r="BG41" s="17" t="s">
        <v>56</v>
      </c>
      <c r="BH41" s="17" t="s">
        <v>56</v>
      </c>
      <c r="BI41" s="17" t="s">
        <v>56</v>
      </c>
      <c r="BJ41" s="17" t="s">
        <v>56</v>
      </c>
      <c r="BK41" s="17" t="s">
        <v>56</v>
      </c>
      <c r="BL41" s="17" t="s">
        <v>56</v>
      </c>
      <c r="BM41" s="17" t="s">
        <v>56</v>
      </c>
      <c r="BN41" s="17" t="s">
        <v>56</v>
      </c>
      <c r="BO41" s="17" t="s">
        <v>56</v>
      </c>
      <c r="BP41" s="17" t="s">
        <v>56</v>
      </c>
      <c r="BQ41" s="17" t="s">
        <v>56</v>
      </c>
      <c r="BR41" s="17" t="s">
        <v>56</v>
      </c>
      <c r="BS41" s="17" t="s">
        <v>56</v>
      </c>
      <c r="BT41" s="17" t="s">
        <v>56</v>
      </c>
      <c r="BU41" s="17" t="s">
        <v>56</v>
      </c>
      <c r="BV41" s="17" t="s">
        <v>56</v>
      </c>
      <c r="BW41" s="17" t="s">
        <v>56</v>
      </c>
      <c r="BX41" s="17" t="s">
        <v>2818</v>
      </c>
      <c r="BY41" s="17" t="s">
        <v>1111</v>
      </c>
      <c r="BZ41" s="17" t="s">
        <v>56</v>
      </c>
      <c r="CA41" s="17" t="s">
        <v>56</v>
      </c>
      <c r="CB41" s="17" t="s">
        <v>1325</v>
      </c>
      <c r="CC41" s="17" t="s">
        <v>1325</v>
      </c>
      <c r="CD41" s="17" t="s">
        <v>1325</v>
      </c>
      <c r="CE41" s="17" t="s">
        <v>1325</v>
      </c>
      <c r="CF41" s="17" t="s">
        <v>1325</v>
      </c>
      <c r="CG41" s="17" t="s">
        <v>1325</v>
      </c>
      <c r="CH41" s="17" t="s">
        <v>1325</v>
      </c>
      <c r="CI41" s="17" t="s">
        <v>1325</v>
      </c>
      <c r="CJ41" s="17" t="s">
        <v>1325</v>
      </c>
      <c r="CK41" s="17" t="s">
        <v>1325</v>
      </c>
      <c r="CL41" s="17" t="s">
        <v>1325</v>
      </c>
      <c r="CM41" s="17" t="s">
        <v>1325</v>
      </c>
      <c r="CN41" s="17" t="s">
        <v>1325</v>
      </c>
      <c r="CO41" s="17" t="s">
        <v>1325</v>
      </c>
      <c r="CP41" s="17" t="s">
        <v>1325</v>
      </c>
      <c r="CQ41" s="17" t="s">
        <v>1325</v>
      </c>
      <c r="CR41" s="17" t="s">
        <v>1325</v>
      </c>
      <c r="CS41" s="17" t="s">
        <v>1325</v>
      </c>
      <c r="CT41" s="17" t="s">
        <v>1325</v>
      </c>
      <c r="CU41" s="17" t="s">
        <v>1325</v>
      </c>
      <c r="CV41" s="17" t="s">
        <v>1325</v>
      </c>
      <c r="CW41" s="17" t="s">
        <v>56</v>
      </c>
      <c r="CX41" s="17" t="s">
        <v>56</v>
      </c>
      <c r="CY41" s="17" t="s">
        <v>56</v>
      </c>
      <c r="CZ41" s="17">
        <v>319397</v>
      </c>
      <c r="DA41" s="17">
        <v>319397</v>
      </c>
      <c r="DB41" s="17">
        <v>319397</v>
      </c>
      <c r="DC41" s="17"/>
      <c r="DD41" s="17"/>
      <c r="DE41" s="17"/>
      <c r="DF41" s="17" t="s">
        <v>3415</v>
      </c>
      <c r="DG41" s="17" t="s">
        <v>3483</v>
      </c>
      <c r="DH41" s="17" t="s">
        <v>3237</v>
      </c>
      <c r="DI41" s="17" t="s">
        <v>3484</v>
      </c>
      <c r="DJ41" s="17" t="s">
        <v>3405</v>
      </c>
      <c r="DK41" s="17" t="s">
        <v>3320</v>
      </c>
      <c r="DL41" s="17" t="s">
        <v>3418</v>
      </c>
      <c r="DM41" s="17">
        <v>3.9750000000000002E-3</v>
      </c>
      <c r="DN41" s="17">
        <v>1269.5999999999999</v>
      </c>
      <c r="DO41" s="17">
        <v>0.42855682653391802</v>
      </c>
      <c r="DP41" s="17" t="s">
        <v>3308</v>
      </c>
      <c r="DQ41" s="17" t="s">
        <v>2839</v>
      </c>
      <c r="DR41" s="17" t="s">
        <v>56</v>
      </c>
      <c r="DS41" s="17" t="s">
        <v>56</v>
      </c>
      <c r="DT41" s="17" t="s">
        <v>56</v>
      </c>
      <c r="DU41" s="17" t="s">
        <v>56</v>
      </c>
      <c r="DV41" s="17" t="s">
        <v>2862</v>
      </c>
      <c r="DW41" s="17" t="s">
        <v>3309</v>
      </c>
      <c r="DX41" s="17" t="s">
        <v>3310</v>
      </c>
      <c r="DY41" s="17">
        <v>9.7795896448127796E-3</v>
      </c>
      <c r="DZ41" s="17">
        <v>2.7520410355187201E-2</v>
      </c>
      <c r="EA41" s="17" t="s">
        <v>3311</v>
      </c>
      <c r="EB41" s="17">
        <v>4.0201671797007003E-3</v>
      </c>
      <c r="EC41" s="17">
        <v>7.1798328202993004E-3</v>
      </c>
      <c r="ED41" s="17" t="s">
        <v>56</v>
      </c>
      <c r="EE41" s="17" t="s">
        <v>56</v>
      </c>
      <c r="EF41" s="17" t="s">
        <v>56</v>
      </c>
      <c r="EG41" s="17" t="s">
        <v>2862</v>
      </c>
      <c r="EH41" s="17" t="s">
        <v>3309</v>
      </c>
      <c r="EI41" s="17" t="s">
        <v>3312</v>
      </c>
      <c r="EJ41" s="17">
        <v>1.08477E-2</v>
      </c>
      <c r="EK41" s="17">
        <v>5.8252699999999998E-2</v>
      </c>
      <c r="EL41" s="17" t="s">
        <v>3311</v>
      </c>
      <c r="EM41" s="17">
        <v>4.8999999999999998E-3</v>
      </c>
      <c r="EN41" s="17">
        <v>1.01E-2</v>
      </c>
      <c r="EO41" s="17" t="s">
        <v>3312</v>
      </c>
      <c r="EP41" s="17">
        <v>4.3641500000000004</v>
      </c>
      <c r="EQ41" s="17">
        <v>23.435700000000001</v>
      </c>
      <c r="ER41" s="17" t="s">
        <v>3313</v>
      </c>
      <c r="ES41" s="17">
        <v>0.59340000000000004</v>
      </c>
      <c r="ET41" s="17">
        <v>1.2263999999999999</v>
      </c>
      <c r="EU41" s="17" t="s">
        <v>2862</v>
      </c>
      <c r="EV41" s="17" t="s">
        <v>3309</v>
      </c>
      <c r="EW41" s="17" t="s">
        <v>3312</v>
      </c>
      <c r="EX41" s="17">
        <v>4.3641500000000004</v>
      </c>
      <c r="EY41" s="17">
        <v>23.435700000000001</v>
      </c>
      <c r="EZ41" s="17" t="s">
        <v>3311</v>
      </c>
      <c r="FA41" s="17">
        <v>0.59340000000000004</v>
      </c>
      <c r="FB41" s="17">
        <v>1.2263999999999999</v>
      </c>
      <c r="FC41" s="17" t="s">
        <v>56</v>
      </c>
      <c r="FD41" s="17" t="s">
        <v>56</v>
      </c>
      <c r="FE41" s="17" t="s">
        <v>56</v>
      </c>
      <c r="FF41" s="17" t="s">
        <v>56</v>
      </c>
      <c r="FG41" s="17" t="s">
        <v>56</v>
      </c>
      <c r="FH41" s="17" t="s">
        <v>56</v>
      </c>
      <c r="FI41" s="17" t="s">
        <v>56</v>
      </c>
      <c r="FJ41" s="17" t="s">
        <v>56</v>
      </c>
      <c r="FK41" s="17" t="s">
        <v>56</v>
      </c>
      <c r="FL41" s="17" t="s">
        <v>56</v>
      </c>
      <c r="FM41" s="17" t="s">
        <v>56</v>
      </c>
      <c r="FN41" s="17" t="s">
        <v>56</v>
      </c>
      <c r="FO41" s="17" t="s">
        <v>56</v>
      </c>
      <c r="FP41" s="17" t="s">
        <v>56</v>
      </c>
      <c r="FQ41" s="17" t="s">
        <v>56</v>
      </c>
      <c r="FR41" s="17" t="s">
        <v>56</v>
      </c>
      <c r="FS41" s="17" t="s">
        <v>56</v>
      </c>
      <c r="FT41" s="17" t="s">
        <v>56</v>
      </c>
      <c r="FU41" s="17">
        <v>194.50977253447701</v>
      </c>
      <c r="FV41" s="17">
        <v>1044.5270387558201</v>
      </c>
      <c r="FW41" s="17" t="s">
        <v>56</v>
      </c>
      <c r="FX41" s="17" t="s">
        <v>56</v>
      </c>
      <c r="FY41" s="17" t="s">
        <v>56</v>
      </c>
      <c r="FZ41" s="17" t="s">
        <v>56</v>
      </c>
      <c r="GA41" s="17" t="s">
        <v>56</v>
      </c>
      <c r="GB41" s="17" t="s">
        <v>56</v>
      </c>
      <c r="GC41" s="17" t="s">
        <v>56</v>
      </c>
      <c r="GD41" s="17" t="s">
        <v>2969</v>
      </c>
      <c r="GE41" s="17" t="s">
        <v>2969</v>
      </c>
      <c r="GF41" s="17" t="s">
        <v>56</v>
      </c>
      <c r="GG41" s="17" t="s">
        <v>2818</v>
      </c>
      <c r="GH41" s="17" t="s">
        <v>2818</v>
      </c>
      <c r="GI41" s="17" t="s">
        <v>1111</v>
      </c>
      <c r="GJ41" s="17" t="s">
        <v>1111</v>
      </c>
      <c r="GK41" s="17" t="s">
        <v>1111</v>
      </c>
      <c r="GL41" s="17"/>
    </row>
    <row r="42" spans="2:194" x14ac:dyDescent="0.25">
      <c r="B42" s="17" t="s">
        <v>2840</v>
      </c>
      <c r="C42" s="17" t="s">
        <v>70</v>
      </c>
      <c r="D42" s="17" t="s">
        <v>3411</v>
      </c>
      <c r="E42" s="17" t="s">
        <v>3412</v>
      </c>
      <c r="F42" s="17" t="s">
        <v>3237</v>
      </c>
      <c r="G42" s="17" t="s">
        <v>3413</v>
      </c>
      <c r="H42" s="17"/>
      <c r="I42" s="17" t="s">
        <v>2797</v>
      </c>
      <c r="J42" s="17" t="s">
        <v>3403</v>
      </c>
      <c r="K42" s="17" t="s">
        <v>2653</v>
      </c>
      <c r="L42" s="17" t="s">
        <v>2800</v>
      </c>
      <c r="M42" s="17" t="s">
        <v>3414</v>
      </c>
      <c r="N42" s="17" t="s">
        <v>1325</v>
      </c>
      <c r="O42" s="17" t="s">
        <v>2813</v>
      </c>
      <c r="P42" s="17" t="s">
        <v>2814</v>
      </c>
      <c r="Q42" s="17" t="s">
        <v>3616</v>
      </c>
      <c r="R42" s="17">
        <v>17897433.710000001</v>
      </c>
      <c r="S42" s="17">
        <v>4974456.4000000004</v>
      </c>
      <c r="T42" s="17">
        <v>18587154.18</v>
      </c>
      <c r="U42" s="17" t="s">
        <v>2817</v>
      </c>
      <c r="V42" s="17" t="s">
        <v>939</v>
      </c>
      <c r="W42" s="17" t="s">
        <v>2816</v>
      </c>
      <c r="X42" s="17" t="s">
        <v>3403</v>
      </c>
      <c r="Y42" s="17" t="s">
        <v>56</v>
      </c>
      <c r="Z42" s="17" t="s">
        <v>3616</v>
      </c>
      <c r="AA42" s="17" t="s">
        <v>2801</v>
      </c>
      <c r="AB42" s="17">
        <v>2.1629</v>
      </c>
      <c r="AC42" s="17" t="s">
        <v>3616</v>
      </c>
      <c r="AD42" s="17" t="s">
        <v>2804</v>
      </c>
      <c r="AE42" s="17">
        <v>319397</v>
      </c>
      <c r="AF42" s="17" t="s">
        <v>2839</v>
      </c>
      <c r="AG42" s="17" t="s">
        <v>3617</v>
      </c>
      <c r="AH42" s="17" t="s">
        <v>2806</v>
      </c>
      <c r="AI42" s="17"/>
      <c r="AJ42" s="17" t="s">
        <v>56</v>
      </c>
      <c r="AK42" s="17" t="s">
        <v>56</v>
      </c>
      <c r="AL42" s="17" t="s">
        <v>56</v>
      </c>
      <c r="AM42" s="17" t="s">
        <v>56</v>
      </c>
      <c r="AN42" s="17" t="s">
        <v>56</v>
      </c>
      <c r="AO42" s="17" t="s">
        <v>56</v>
      </c>
      <c r="AP42" s="17" t="s">
        <v>56</v>
      </c>
      <c r="AQ42" s="17" t="s">
        <v>56</v>
      </c>
      <c r="AR42" s="17" t="s">
        <v>56</v>
      </c>
      <c r="AS42" s="17">
        <v>677.19899999999996</v>
      </c>
      <c r="AT42" s="17">
        <v>82.007599999999996</v>
      </c>
      <c r="AU42" s="17">
        <v>435.83600000000001</v>
      </c>
      <c r="AV42" s="17" t="s">
        <v>56</v>
      </c>
      <c r="AW42" s="17" t="s">
        <v>56</v>
      </c>
      <c r="AX42" s="17" t="s">
        <v>56</v>
      </c>
      <c r="AY42" s="17">
        <v>561.97</v>
      </c>
      <c r="AZ42" s="17">
        <v>68.053600000000003</v>
      </c>
      <c r="BA42" s="17">
        <v>361.67599999999999</v>
      </c>
      <c r="BB42" s="17" t="s">
        <v>56</v>
      </c>
      <c r="BC42" s="17" t="s">
        <v>56</v>
      </c>
      <c r="BD42" s="17" t="s">
        <v>56</v>
      </c>
      <c r="BE42" s="17" t="s">
        <v>56</v>
      </c>
      <c r="BF42" s="17" t="s">
        <v>56</v>
      </c>
      <c r="BG42" s="17" t="s">
        <v>56</v>
      </c>
      <c r="BH42" s="17" t="s">
        <v>56</v>
      </c>
      <c r="BI42" s="17" t="s">
        <v>56</v>
      </c>
      <c r="BJ42" s="17" t="s">
        <v>56</v>
      </c>
      <c r="BK42" s="17" t="s">
        <v>56</v>
      </c>
      <c r="BL42" s="17" t="s">
        <v>56</v>
      </c>
      <c r="BM42" s="17" t="s">
        <v>56</v>
      </c>
      <c r="BN42" s="17" t="s">
        <v>56</v>
      </c>
      <c r="BO42" s="17" t="s">
        <v>56</v>
      </c>
      <c r="BP42" s="17" t="s">
        <v>56</v>
      </c>
      <c r="BQ42" s="17" t="s">
        <v>56</v>
      </c>
      <c r="BR42" s="17" t="s">
        <v>56</v>
      </c>
      <c r="BS42" s="17" t="s">
        <v>56</v>
      </c>
      <c r="BT42" s="17" t="s">
        <v>56</v>
      </c>
      <c r="BU42" s="17" t="s">
        <v>56</v>
      </c>
      <c r="BV42" s="17" t="s">
        <v>56</v>
      </c>
      <c r="BW42" s="17" t="s">
        <v>56</v>
      </c>
      <c r="BX42" s="17" t="s">
        <v>2818</v>
      </c>
      <c r="BY42" s="17" t="s">
        <v>1111</v>
      </c>
      <c r="BZ42" s="17" t="s">
        <v>56</v>
      </c>
      <c r="CA42" s="17" t="s">
        <v>56</v>
      </c>
      <c r="CB42" s="17" t="s">
        <v>1325</v>
      </c>
      <c r="CC42" s="17" t="s">
        <v>1325</v>
      </c>
      <c r="CD42" s="17" t="s">
        <v>1325</v>
      </c>
      <c r="CE42" s="17" t="s">
        <v>1325</v>
      </c>
      <c r="CF42" s="17" t="s">
        <v>1325</v>
      </c>
      <c r="CG42" s="17" t="s">
        <v>1325</v>
      </c>
      <c r="CH42" s="17" t="s">
        <v>1325</v>
      </c>
      <c r="CI42" s="17" t="s">
        <v>1325</v>
      </c>
      <c r="CJ42" s="17" t="s">
        <v>1325</v>
      </c>
      <c r="CK42" s="17" t="s">
        <v>1325</v>
      </c>
      <c r="CL42" s="17" t="s">
        <v>1325</v>
      </c>
      <c r="CM42" s="17" t="s">
        <v>1325</v>
      </c>
      <c r="CN42" s="17" t="s">
        <v>1325</v>
      </c>
      <c r="CO42" s="17" t="s">
        <v>1325</v>
      </c>
      <c r="CP42" s="17" t="s">
        <v>1325</v>
      </c>
      <c r="CQ42" s="17" t="s">
        <v>1325</v>
      </c>
      <c r="CR42" s="17" t="s">
        <v>1325</v>
      </c>
      <c r="CS42" s="17" t="s">
        <v>1325</v>
      </c>
      <c r="CT42" s="17" t="s">
        <v>1325</v>
      </c>
      <c r="CU42" s="17" t="s">
        <v>1325</v>
      </c>
      <c r="CV42" s="17" t="s">
        <v>1325</v>
      </c>
      <c r="CW42" s="17" t="s">
        <v>56</v>
      </c>
      <c r="CX42" s="17" t="s">
        <v>56</v>
      </c>
      <c r="CY42" s="17" t="s">
        <v>56</v>
      </c>
      <c r="CZ42" s="17">
        <v>319397</v>
      </c>
      <c r="DA42" s="17">
        <v>319397</v>
      </c>
      <c r="DB42" s="17">
        <v>319397</v>
      </c>
      <c r="DC42" s="17"/>
      <c r="DD42" s="17"/>
      <c r="DE42" s="17"/>
      <c r="DF42" s="17" t="s">
        <v>3415</v>
      </c>
      <c r="DG42" s="17" t="s">
        <v>3485</v>
      </c>
      <c r="DH42" s="17" t="s">
        <v>3237</v>
      </c>
      <c r="DI42" s="17" t="s">
        <v>3486</v>
      </c>
      <c r="DJ42" s="17" t="s">
        <v>3405</v>
      </c>
      <c r="DK42" s="17" t="s">
        <v>3320</v>
      </c>
      <c r="DL42" s="17" t="s">
        <v>3418</v>
      </c>
      <c r="DM42" s="17">
        <v>1.89E-3</v>
      </c>
      <c r="DN42" s="17">
        <v>603.70000000000005</v>
      </c>
      <c r="DO42" s="17">
        <v>0.42855868865862301</v>
      </c>
      <c r="DP42" s="17" t="s">
        <v>3308</v>
      </c>
      <c r="DQ42" s="17" t="s">
        <v>2839</v>
      </c>
      <c r="DR42" s="17" t="s">
        <v>56</v>
      </c>
      <c r="DS42" s="17" t="s">
        <v>56</v>
      </c>
      <c r="DT42" s="17" t="s">
        <v>56</v>
      </c>
      <c r="DU42" s="17" t="s">
        <v>56</v>
      </c>
      <c r="DV42" s="17" t="s">
        <v>2862</v>
      </c>
      <c r="DW42" s="17" t="s">
        <v>3309</v>
      </c>
      <c r="DX42" s="17" t="s">
        <v>3310</v>
      </c>
      <c r="DY42" s="17">
        <v>9.7795896448127796E-3</v>
      </c>
      <c r="DZ42" s="17">
        <v>2.7520410355187201E-2</v>
      </c>
      <c r="EA42" s="17" t="s">
        <v>3311</v>
      </c>
      <c r="EB42" s="17">
        <v>4.0201671797007003E-3</v>
      </c>
      <c r="EC42" s="17">
        <v>7.1798328202993004E-3</v>
      </c>
      <c r="ED42" s="17" t="s">
        <v>56</v>
      </c>
      <c r="EE42" s="17" t="s">
        <v>56</v>
      </c>
      <c r="EF42" s="17" t="s">
        <v>56</v>
      </c>
      <c r="EG42" s="17" t="s">
        <v>2862</v>
      </c>
      <c r="EH42" s="17" t="s">
        <v>3309</v>
      </c>
      <c r="EI42" s="17" t="s">
        <v>3312</v>
      </c>
      <c r="EJ42" s="17">
        <v>1.08477E-2</v>
      </c>
      <c r="EK42" s="17">
        <v>5.8252699999999998E-2</v>
      </c>
      <c r="EL42" s="17" t="s">
        <v>3311</v>
      </c>
      <c r="EM42" s="17">
        <v>4.8999999999999998E-3</v>
      </c>
      <c r="EN42" s="17">
        <v>1.01E-2</v>
      </c>
      <c r="EO42" s="17" t="s">
        <v>3312</v>
      </c>
      <c r="EP42" s="17">
        <v>4.3641500000000004</v>
      </c>
      <c r="EQ42" s="17">
        <v>23.435700000000001</v>
      </c>
      <c r="ER42" s="17" t="s">
        <v>3313</v>
      </c>
      <c r="ES42" s="17">
        <v>0.59340000000000004</v>
      </c>
      <c r="ET42" s="17">
        <v>1.2263999999999999</v>
      </c>
      <c r="EU42" s="17" t="s">
        <v>2862</v>
      </c>
      <c r="EV42" s="17" t="s">
        <v>3309</v>
      </c>
      <c r="EW42" s="17" t="s">
        <v>3312</v>
      </c>
      <c r="EX42" s="17">
        <v>4.3641500000000004</v>
      </c>
      <c r="EY42" s="17">
        <v>23.435700000000001</v>
      </c>
      <c r="EZ42" s="17" t="s">
        <v>3311</v>
      </c>
      <c r="FA42" s="17">
        <v>0.59340000000000004</v>
      </c>
      <c r="FB42" s="17">
        <v>1.2263999999999999</v>
      </c>
      <c r="FC42" s="17" t="s">
        <v>56</v>
      </c>
      <c r="FD42" s="17" t="s">
        <v>56</v>
      </c>
      <c r="FE42" s="17" t="s">
        <v>56</v>
      </c>
      <c r="FF42" s="17" t="s">
        <v>56</v>
      </c>
      <c r="FG42" s="17" t="s">
        <v>56</v>
      </c>
      <c r="FH42" s="17" t="s">
        <v>56</v>
      </c>
      <c r="FI42" s="17" t="s">
        <v>56</v>
      </c>
      <c r="FJ42" s="17" t="s">
        <v>56</v>
      </c>
      <c r="FK42" s="17" t="s">
        <v>56</v>
      </c>
      <c r="FL42" s="17" t="s">
        <v>56</v>
      </c>
      <c r="FM42" s="17" t="s">
        <v>56</v>
      </c>
      <c r="FN42" s="17" t="s">
        <v>56</v>
      </c>
      <c r="FO42" s="17" t="s">
        <v>56</v>
      </c>
      <c r="FP42" s="17" t="s">
        <v>56</v>
      </c>
      <c r="FQ42" s="17" t="s">
        <v>56</v>
      </c>
      <c r="FR42" s="17" t="s">
        <v>56</v>
      </c>
      <c r="FS42" s="17" t="s">
        <v>56</v>
      </c>
      <c r="FT42" s="17" t="s">
        <v>56</v>
      </c>
      <c r="FU42" s="17">
        <v>194.51061768878299</v>
      </c>
      <c r="FV42" s="17">
        <v>1044.53157727599</v>
      </c>
      <c r="FW42" s="17" t="s">
        <v>56</v>
      </c>
      <c r="FX42" s="17" t="s">
        <v>56</v>
      </c>
      <c r="FY42" s="17" t="s">
        <v>56</v>
      </c>
      <c r="FZ42" s="17" t="s">
        <v>56</v>
      </c>
      <c r="GA42" s="17" t="s">
        <v>56</v>
      </c>
      <c r="GB42" s="17" t="s">
        <v>56</v>
      </c>
      <c r="GC42" s="17" t="s">
        <v>56</v>
      </c>
      <c r="GD42" s="17" t="s">
        <v>2969</v>
      </c>
      <c r="GE42" s="17" t="s">
        <v>2969</v>
      </c>
      <c r="GF42" s="17" t="s">
        <v>56</v>
      </c>
      <c r="GG42" s="17" t="s">
        <v>2818</v>
      </c>
      <c r="GH42" s="17" t="s">
        <v>2818</v>
      </c>
      <c r="GI42" s="17" t="s">
        <v>1111</v>
      </c>
      <c r="GJ42" s="17" t="s">
        <v>1111</v>
      </c>
      <c r="GK42" s="17" t="s">
        <v>1111</v>
      </c>
      <c r="GL42" s="17"/>
    </row>
    <row r="43" spans="2:194" x14ac:dyDescent="0.25">
      <c r="B43" s="17" t="s">
        <v>2840</v>
      </c>
      <c r="C43" s="17" t="s">
        <v>70</v>
      </c>
      <c r="D43" s="17" t="s">
        <v>3411</v>
      </c>
      <c r="E43" s="17" t="s">
        <v>3412</v>
      </c>
      <c r="F43" s="17" t="s">
        <v>3237</v>
      </c>
      <c r="G43" s="17" t="s">
        <v>3413</v>
      </c>
      <c r="H43" s="17"/>
      <c r="I43" s="17" t="s">
        <v>2797</v>
      </c>
      <c r="J43" s="17" t="s">
        <v>3403</v>
      </c>
      <c r="K43" s="17" t="s">
        <v>2653</v>
      </c>
      <c r="L43" s="17" t="s">
        <v>2800</v>
      </c>
      <c r="M43" s="17" t="s">
        <v>3414</v>
      </c>
      <c r="N43" s="17" t="s">
        <v>1325</v>
      </c>
      <c r="O43" s="17" t="s">
        <v>2813</v>
      </c>
      <c r="P43" s="17" t="s">
        <v>2814</v>
      </c>
      <c r="Q43" s="17" t="s">
        <v>3616</v>
      </c>
      <c r="R43" s="17">
        <v>17897433.710000001</v>
      </c>
      <c r="S43" s="17">
        <v>4974456.4000000004</v>
      </c>
      <c r="T43" s="17">
        <v>18587154.18</v>
      </c>
      <c r="U43" s="17" t="s">
        <v>2817</v>
      </c>
      <c r="V43" s="17" t="s">
        <v>939</v>
      </c>
      <c r="W43" s="17" t="s">
        <v>2816</v>
      </c>
      <c r="X43" s="17" t="s">
        <v>3403</v>
      </c>
      <c r="Y43" s="17" t="s">
        <v>56</v>
      </c>
      <c r="Z43" s="17" t="s">
        <v>3616</v>
      </c>
      <c r="AA43" s="17" t="s">
        <v>2801</v>
      </c>
      <c r="AB43" s="17">
        <v>2.1629</v>
      </c>
      <c r="AC43" s="17" t="s">
        <v>3616</v>
      </c>
      <c r="AD43" s="17" t="s">
        <v>2804</v>
      </c>
      <c r="AE43" s="17">
        <v>319397</v>
      </c>
      <c r="AF43" s="17" t="s">
        <v>2839</v>
      </c>
      <c r="AG43" s="17" t="s">
        <v>3617</v>
      </c>
      <c r="AH43" s="17" t="s">
        <v>2806</v>
      </c>
      <c r="AI43" s="17"/>
      <c r="AJ43" s="17" t="s">
        <v>56</v>
      </c>
      <c r="AK43" s="17" t="s">
        <v>56</v>
      </c>
      <c r="AL43" s="17" t="s">
        <v>56</v>
      </c>
      <c r="AM43" s="17" t="s">
        <v>56</v>
      </c>
      <c r="AN43" s="17" t="s">
        <v>56</v>
      </c>
      <c r="AO43" s="17" t="s">
        <v>56</v>
      </c>
      <c r="AP43" s="17" t="s">
        <v>56</v>
      </c>
      <c r="AQ43" s="17" t="s">
        <v>56</v>
      </c>
      <c r="AR43" s="17" t="s">
        <v>56</v>
      </c>
      <c r="AS43" s="17">
        <v>677.19899999999996</v>
      </c>
      <c r="AT43" s="17">
        <v>82.007599999999996</v>
      </c>
      <c r="AU43" s="17">
        <v>435.83600000000001</v>
      </c>
      <c r="AV43" s="17" t="s">
        <v>56</v>
      </c>
      <c r="AW43" s="17" t="s">
        <v>56</v>
      </c>
      <c r="AX43" s="17" t="s">
        <v>56</v>
      </c>
      <c r="AY43" s="17">
        <v>561.97</v>
      </c>
      <c r="AZ43" s="17">
        <v>68.053600000000003</v>
      </c>
      <c r="BA43" s="17">
        <v>361.67599999999999</v>
      </c>
      <c r="BB43" s="17" t="s">
        <v>56</v>
      </c>
      <c r="BC43" s="17" t="s">
        <v>56</v>
      </c>
      <c r="BD43" s="17" t="s">
        <v>56</v>
      </c>
      <c r="BE43" s="17" t="s">
        <v>56</v>
      </c>
      <c r="BF43" s="17" t="s">
        <v>56</v>
      </c>
      <c r="BG43" s="17" t="s">
        <v>56</v>
      </c>
      <c r="BH43" s="17" t="s">
        <v>56</v>
      </c>
      <c r="BI43" s="17" t="s">
        <v>56</v>
      </c>
      <c r="BJ43" s="17" t="s">
        <v>56</v>
      </c>
      <c r="BK43" s="17" t="s">
        <v>56</v>
      </c>
      <c r="BL43" s="17" t="s">
        <v>56</v>
      </c>
      <c r="BM43" s="17" t="s">
        <v>56</v>
      </c>
      <c r="BN43" s="17" t="s">
        <v>56</v>
      </c>
      <c r="BO43" s="17" t="s">
        <v>56</v>
      </c>
      <c r="BP43" s="17" t="s">
        <v>56</v>
      </c>
      <c r="BQ43" s="17" t="s">
        <v>56</v>
      </c>
      <c r="BR43" s="17" t="s">
        <v>56</v>
      </c>
      <c r="BS43" s="17" t="s">
        <v>56</v>
      </c>
      <c r="BT43" s="17" t="s">
        <v>56</v>
      </c>
      <c r="BU43" s="17" t="s">
        <v>56</v>
      </c>
      <c r="BV43" s="17" t="s">
        <v>56</v>
      </c>
      <c r="BW43" s="17" t="s">
        <v>56</v>
      </c>
      <c r="BX43" s="17" t="s">
        <v>2818</v>
      </c>
      <c r="BY43" s="17" t="s">
        <v>1111</v>
      </c>
      <c r="BZ43" s="17" t="s">
        <v>56</v>
      </c>
      <c r="CA43" s="17" t="s">
        <v>56</v>
      </c>
      <c r="CB43" s="17" t="s">
        <v>1325</v>
      </c>
      <c r="CC43" s="17" t="s">
        <v>1325</v>
      </c>
      <c r="CD43" s="17" t="s">
        <v>1325</v>
      </c>
      <c r="CE43" s="17" t="s">
        <v>1325</v>
      </c>
      <c r="CF43" s="17" t="s">
        <v>1325</v>
      </c>
      <c r="CG43" s="17" t="s">
        <v>1325</v>
      </c>
      <c r="CH43" s="17" t="s">
        <v>1325</v>
      </c>
      <c r="CI43" s="17" t="s">
        <v>1325</v>
      </c>
      <c r="CJ43" s="17" t="s">
        <v>1325</v>
      </c>
      <c r="CK43" s="17" t="s">
        <v>1325</v>
      </c>
      <c r="CL43" s="17" t="s">
        <v>1325</v>
      </c>
      <c r="CM43" s="17" t="s">
        <v>1325</v>
      </c>
      <c r="CN43" s="17" t="s">
        <v>1325</v>
      </c>
      <c r="CO43" s="17" t="s">
        <v>1325</v>
      </c>
      <c r="CP43" s="17" t="s">
        <v>1325</v>
      </c>
      <c r="CQ43" s="17" t="s">
        <v>1325</v>
      </c>
      <c r="CR43" s="17" t="s">
        <v>1325</v>
      </c>
      <c r="CS43" s="17" t="s">
        <v>1325</v>
      </c>
      <c r="CT43" s="17" t="s">
        <v>1325</v>
      </c>
      <c r="CU43" s="17" t="s">
        <v>1325</v>
      </c>
      <c r="CV43" s="17" t="s">
        <v>1325</v>
      </c>
      <c r="CW43" s="17" t="s">
        <v>56</v>
      </c>
      <c r="CX43" s="17" t="s">
        <v>56</v>
      </c>
      <c r="CY43" s="17" t="s">
        <v>56</v>
      </c>
      <c r="CZ43" s="17">
        <v>319397</v>
      </c>
      <c r="DA43" s="17">
        <v>319397</v>
      </c>
      <c r="DB43" s="17">
        <v>319397</v>
      </c>
      <c r="DC43" s="17"/>
      <c r="DD43" s="17"/>
      <c r="DE43" s="17"/>
      <c r="DF43" s="17" t="s">
        <v>3415</v>
      </c>
      <c r="DG43" s="17" t="s">
        <v>3487</v>
      </c>
      <c r="DH43" s="17" t="s">
        <v>3237</v>
      </c>
      <c r="DI43" s="17" t="s">
        <v>3488</v>
      </c>
      <c r="DJ43" s="17" t="s">
        <v>3405</v>
      </c>
      <c r="DK43" s="17" t="s">
        <v>3320</v>
      </c>
      <c r="DL43" s="17" t="s">
        <v>3418</v>
      </c>
      <c r="DM43" s="17">
        <v>7.6800000000000002E-4</v>
      </c>
      <c r="DN43" s="17">
        <v>245.3</v>
      </c>
      <c r="DO43" s="17">
        <v>0.42855496598603798</v>
      </c>
      <c r="DP43" s="17" t="s">
        <v>3308</v>
      </c>
      <c r="DQ43" s="17" t="s">
        <v>2839</v>
      </c>
      <c r="DR43" s="17" t="s">
        <v>56</v>
      </c>
      <c r="DS43" s="17" t="s">
        <v>56</v>
      </c>
      <c r="DT43" s="17" t="s">
        <v>56</v>
      </c>
      <c r="DU43" s="17" t="s">
        <v>56</v>
      </c>
      <c r="DV43" s="17" t="s">
        <v>2862</v>
      </c>
      <c r="DW43" s="17" t="s">
        <v>3309</v>
      </c>
      <c r="DX43" s="17" t="s">
        <v>3310</v>
      </c>
      <c r="DY43" s="17">
        <v>9.7795896448127796E-3</v>
      </c>
      <c r="DZ43" s="17">
        <v>2.7520410355187201E-2</v>
      </c>
      <c r="EA43" s="17" t="s">
        <v>3311</v>
      </c>
      <c r="EB43" s="17">
        <v>4.0201671797007003E-3</v>
      </c>
      <c r="EC43" s="17">
        <v>7.1798328202993004E-3</v>
      </c>
      <c r="ED43" s="17" t="s">
        <v>56</v>
      </c>
      <c r="EE43" s="17" t="s">
        <v>56</v>
      </c>
      <c r="EF43" s="17" t="s">
        <v>56</v>
      </c>
      <c r="EG43" s="17" t="s">
        <v>2862</v>
      </c>
      <c r="EH43" s="17" t="s">
        <v>3309</v>
      </c>
      <c r="EI43" s="17" t="s">
        <v>3312</v>
      </c>
      <c r="EJ43" s="17">
        <v>1.08477E-2</v>
      </c>
      <c r="EK43" s="17">
        <v>5.8252699999999998E-2</v>
      </c>
      <c r="EL43" s="17" t="s">
        <v>3311</v>
      </c>
      <c r="EM43" s="17">
        <v>4.8999999999999998E-3</v>
      </c>
      <c r="EN43" s="17">
        <v>1.01E-2</v>
      </c>
      <c r="EO43" s="17" t="s">
        <v>3312</v>
      </c>
      <c r="EP43" s="17">
        <v>4.3641500000000004</v>
      </c>
      <c r="EQ43" s="17">
        <v>23.435700000000001</v>
      </c>
      <c r="ER43" s="17" t="s">
        <v>3313</v>
      </c>
      <c r="ES43" s="17">
        <v>0.59340000000000004</v>
      </c>
      <c r="ET43" s="17">
        <v>1.2263999999999999</v>
      </c>
      <c r="EU43" s="17" t="s">
        <v>2862</v>
      </c>
      <c r="EV43" s="17" t="s">
        <v>3309</v>
      </c>
      <c r="EW43" s="17" t="s">
        <v>3312</v>
      </c>
      <c r="EX43" s="17">
        <v>4.3641500000000004</v>
      </c>
      <c r="EY43" s="17">
        <v>23.435700000000001</v>
      </c>
      <c r="EZ43" s="17" t="s">
        <v>3311</v>
      </c>
      <c r="FA43" s="17">
        <v>0.59340000000000004</v>
      </c>
      <c r="FB43" s="17">
        <v>1.2263999999999999</v>
      </c>
      <c r="FC43" s="17" t="s">
        <v>56</v>
      </c>
      <c r="FD43" s="17" t="s">
        <v>56</v>
      </c>
      <c r="FE43" s="17" t="s">
        <v>56</v>
      </c>
      <c r="FF43" s="17" t="s">
        <v>56</v>
      </c>
      <c r="FG43" s="17" t="s">
        <v>56</v>
      </c>
      <c r="FH43" s="17" t="s">
        <v>56</v>
      </c>
      <c r="FI43" s="17" t="s">
        <v>56</v>
      </c>
      <c r="FJ43" s="17" t="s">
        <v>56</v>
      </c>
      <c r="FK43" s="17" t="s">
        <v>56</v>
      </c>
      <c r="FL43" s="17" t="s">
        <v>56</v>
      </c>
      <c r="FM43" s="17" t="s">
        <v>56</v>
      </c>
      <c r="FN43" s="17" t="s">
        <v>56</v>
      </c>
      <c r="FO43" s="17" t="s">
        <v>56</v>
      </c>
      <c r="FP43" s="17" t="s">
        <v>56</v>
      </c>
      <c r="FQ43" s="17" t="s">
        <v>56</v>
      </c>
      <c r="FR43" s="17" t="s">
        <v>56</v>
      </c>
      <c r="FS43" s="17" t="s">
        <v>56</v>
      </c>
      <c r="FT43" s="17" t="s">
        <v>56</v>
      </c>
      <c r="FU43" s="17">
        <v>194.50892806097801</v>
      </c>
      <c r="FV43" s="17">
        <v>1044.5225038916301</v>
      </c>
      <c r="FW43" s="17" t="s">
        <v>56</v>
      </c>
      <c r="FX43" s="17" t="s">
        <v>56</v>
      </c>
      <c r="FY43" s="17" t="s">
        <v>56</v>
      </c>
      <c r="FZ43" s="17" t="s">
        <v>56</v>
      </c>
      <c r="GA43" s="17" t="s">
        <v>56</v>
      </c>
      <c r="GB43" s="17" t="s">
        <v>56</v>
      </c>
      <c r="GC43" s="17" t="s">
        <v>56</v>
      </c>
      <c r="GD43" s="17" t="s">
        <v>2969</v>
      </c>
      <c r="GE43" s="17" t="s">
        <v>2969</v>
      </c>
      <c r="GF43" s="17" t="s">
        <v>56</v>
      </c>
      <c r="GG43" s="17" t="s">
        <v>2818</v>
      </c>
      <c r="GH43" s="17" t="s">
        <v>2818</v>
      </c>
      <c r="GI43" s="17" t="s">
        <v>1111</v>
      </c>
      <c r="GJ43" s="17" t="s">
        <v>1111</v>
      </c>
      <c r="GK43" s="17" t="s">
        <v>1111</v>
      </c>
      <c r="GL43" s="17"/>
    </row>
    <row r="44" spans="2:194" x14ac:dyDescent="0.25">
      <c r="B44" s="17" t="s">
        <v>2840</v>
      </c>
      <c r="C44" s="17" t="s">
        <v>70</v>
      </c>
      <c r="D44" s="17" t="s">
        <v>3411</v>
      </c>
      <c r="E44" s="17" t="s">
        <v>3412</v>
      </c>
      <c r="F44" s="17" t="s">
        <v>3237</v>
      </c>
      <c r="G44" s="17" t="s">
        <v>3413</v>
      </c>
      <c r="H44" s="17"/>
      <c r="I44" s="17" t="s">
        <v>2797</v>
      </c>
      <c r="J44" s="17" t="s">
        <v>3403</v>
      </c>
      <c r="K44" s="17" t="s">
        <v>2653</v>
      </c>
      <c r="L44" s="17" t="s">
        <v>2800</v>
      </c>
      <c r="M44" s="17" t="s">
        <v>3414</v>
      </c>
      <c r="N44" s="17" t="s">
        <v>1325</v>
      </c>
      <c r="O44" s="17" t="s">
        <v>2813</v>
      </c>
      <c r="P44" s="17" t="s">
        <v>2814</v>
      </c>
      <c r="Q44" s="17" t="s">
        <v>3616</v>
      </c>
      <c r="R44" s="17">
        <v>17897433.710000001</v>
      </c>
      <c r="S44" s="17">
        <v>4974456.4000000004</v>
      </c>
      <c r="T44" s="17">
        <v>18587154.18</v>
      </c>
      <c r="U44" s="17" t="s">
        <v>2817</v>
      </c>
      <c r="V44" s="17" t="s">
        <v>939</v>
      </c>
      <c r="W44" s="17" t="s">
        <v>2816</v>
      </c>
      <c r="X44" s="17" t="s">
        <v>3403</v>
      </c>
      <c r="Y44" s="17" t="s">
        <v>56</v>
      </c>
      <c r="Z44" s="17" t="s">
        <v>3616</v>
      </c>
      <c r="AA44" s="17" t="s">
        <v>2801</v>
      </c>
      <c r="AB44" s="17">
        <v>2.1629</v>
      </c>
      <c r="AC44" s="17" t="s">
        <v>3616</v>
      </c>
      <c r="AD44" s="17" t="s">
        <v>2804</v>
      </c>
      <c r="AE44" s="17">
        <v>319397</v>
      </c>
      <c r="AF44" s="17" t="s">
        <v>2839</v>
      </c>
      <c r="AG44" s="17" t="s">
        <v>3617</v>
      </c>
      <c r="AH44" s="17" t="s">
        <v>2806</v>
      </c>
      <c r="AI44" s="17"/>
      <c r="AJ44" s="17" t="s">
        <v>56</v>
      </c>
      <c r="AK44" s="17" t="s">
        <v>56</v>
      </c>
      <c r="AL44" s="17" t="s">
        <v>56</v>
      </c>
      <c r="AM44" s="17" t="s">
        <v>56</v>
      </c>
      <c r="AN44" s="17" t="s">
        <v>56</v>
      </c>
      <c r="AO44" s="17" t="s">
        <v>56</v>
      </c>
      <c r="AP44" s="17" t="s">
        <v>56</v>
      </c>
      <c r="AQ44" s="17" t="s">
        <v>56</v>
      </c>
      <c r="AR44" s="17" t="s">
        <v>56</v>
      </c>
      <c r="AS44" s="17">
        <v>677.19899999999996</v>
      </c>
      <c r="AT44" s="17">
        <v>82.007599999999996</v>
      </c>
      <c r="AU44" s="17">
        <v>435.83600000000001</v>
      </c>
      <c r="AV44" s="17" t="s">
        <v>56</v>
      </c>
      <c r="AW44" s="17" t="s">
        <v>56</v>
      </c>
      <c r="AX44" s="17" t="s">
        <v>56</v>
      </c>
      <c r="AY44" s="17">
        <v>561.97</v>
      </c>
      <c r="AZ44" s="17">
        <v>68.053600000000003</v>
      </c>
      <c r="BA44" s="17">
        <v>361.67599999999999</v>
      </c>
      <c r="BB44" s="17" t="s">
        <v>56</v>
      </c>
      <c r="BC44" s="17" t="s">
        <v>56</v>
      </c>
      <c r="BD44" s="17" t="s">
        <v>56</v>
      </c>
      <c r="BE44" s="17" t="s">
        <v>56</v>
      </c>
      <c r="BF44" s="17" t="s">
        <v>56</v>
      </c>
      <c r="BG44" s="17" t="s">
        <v>56</v>
      </c>
      <c r="BH44" s="17" t="s">
        <v>56</v>
      </c>
      <c r="BI44" s="17" t="s">
        <v>56</v>
      </c>
      <c r="BJ44" s="17" t="s">
        <v>56</v>
      </c>
      <c r="BK44" s="17" t="s">
        <v>56</v>
      </c>
      <c r="BL44" s="17" t="s">
        <v>56</v>
      </c>
      <c r="BM44" s="17" t="s">
        <v>56</v>
      </c>
      <c r="BN44" s="17" t="s">
        <v>56</v>
      </c>
      <c r="BO44" s="17" t="s">
        <v>56</v>
      </c>
      <c r="BP44" s="17" t="s">
        <v>56</v>
      </c>
      <c r="BQ44" s="17" t="s">
        <v>56</v>
      </c>
      <c r="BR44" s="17" t="s">
        <v>56</v>
      </c>
      <c r="BS44" s="17" t="s">
        <v>56</v>
      </c>
      <c r="BT44" s="17" t="s">
        <v>56</v>
      </c>
      <c r="BU44" s="17" t="s">
        <v>56</v>
      </c>
      <c r="BV44" s="17" t="s">
        <v>56</v>
      </c>
      <c r="BW44" s="17" t="s">
        <v>56</v>
      </c>
      <c r="BX44" s="17" t="s">
        <v>2818</v>
      </c>
      <c r="BY44" s="17" t="s">
        <v>1111</v>
      </c>
      <c r="BZ44" s="17" t="s">
        <v>56</v>
      </c>
      <c r="CA44" s="17" t="s">
        <v>56</v>
      </c>
      <c r="CB44" s="17" t="s">
        <v>1325</v>
      </c>
      <c r="CC44" s="17" t="s">
        <v>1325</v>
      </c>
      <c r="CD44" s="17" t="s">
        <v>1325</v>
      </c>
      <c r="CE44" s="17" t="s">
        <v>1325</v>
      </c>
      <c r="CF44" s="17" t="s">
        <v>1325</v>
      </c>
      <c r="CG44" s="17" t="s">
        <v>1325</v>
      </c>
      <c r="CH44" s="17" t="s">
        <v>1325</v>
      </c>
      <c r="CI44" s="17" t="s">
        <v>1325</v>
      </c>
      <c r="CJ44" s="17" t="s">
        <v>1325</v>
      </c>
      <c r="CK44" s="17" t="s">
        <v>1325</v>
      </c>
      <c r="CL44" s="17" t="s">
        <v>1325</v>
      </c>
      <c r="CM44" s="17" t="s">
        <v>1325</v>
      </c>
      <c r="CN44" s="17" t="s">
        <v>1325</v>
      </c>
      <c r="CO44" s="17" t="s">
        <v>1325</v>
      </c>
      <c r="CP44" s="17" t="s">
        <v>1325</v>
      </c>
      <c r="CQ44" s="17" t="s">
        <v>1325</v>
      </c>
      <c r="CR44" s="17" t="s">
        <v>1325</v>
      </c>
      <c r="CS44" s="17" t="s">
        <v>1325</v>
      </c>
      <c r="CT44" s="17" t="s">
        <v>1325</v>
      </c>
      <c r="CU44" s="17" t="s">
        <v>1325</v>
      </c>
      <c r="CV44" s="17" t="s">
        <v>1325</v>
      </c>
      <c r="CW44" s="17" t="s">
        <v>56</v>
      </c>
      <c r="CX44" s="17" t="s">
        <v>56</v>
      </c>
      <c r="CY44" s="17" t="s">
        <v>56</v>
      </c>
      <c r="CZ44" s="17">
        <v>319397</v>
      </c>
      <c r="DA44" s="17">
        <v>319397</v>
      </c>
      <c r="DB44" s="17">
        <v>319397</v>
      </c>
      <c r="DC44" s="17"/>
      <c r="DD44" s="17"/>
      <c r="DE44" s="17"/>
      <c r="DF44" s="17" t="s">
        <v>3415</v>
      </c>
      <c r="DG44" s="17" t="s">
        <v>3489</v>
      </c>
      <c r="DH44" s="17" t="s">
        <v>3237</v>
      </c>
      <c r="DI44" s="17" t="s">
        <v>3490</v>
      </c>
      <c r="DJ44" s="17" t="s">
        <v>3405</v>
      </c>
      <c r="DK44" s="17" t="s">
        <v>3320</v>
      </c>
      <c r="DL44" s="17" t="s">
        <v>3418</v>
      </c>
      <c r="DM44" s="17">
        <v>4.5698999999999997E-2</v>
      </c>
      <c r="DN44" s="17">
        <v>14596.1</v>
      </c>
      <c r="DO44" s="17">
        <v>0.428558302699726</v>
      </c>
      <c r="DP44" s="17" t="s">
        <v>3308</v>
      </c>
      <c r="DQ44" s="17" t="s">
        <v>2839</v>
      </c>
      <c r="DR44" s="17" t="s">
        <v>56</v>
      </c>
      <c r="DS44" s="17" t="s">
        <v>56</v>
      </c>
      <c r="DT44" s="17" t="s">
        <v>56</v>
      </c>
      <c r="DU44" s="17" t="s">
        <v>56</v>
      </c>
      <c r="DV44" s="17" t="s">
        <v>2862</v>
      </c>
      <c r="DW44" s="17" t="s">
        <v>3309</v>
      </c>
      <c r="DX44" s="17" t="s">
        <v>3310</v>
      </c>
      <c r="DY44" s="17">
        <v>9.7795896448127796E-3</v>
      </c>
      <c r="DZ44" s="17">
        <v>2.7520410355187201E-2</v>
      </c>
      <c r="EA44" s="17" t="s">
        <v>3311</v>
      </c>
      <c r="EB44" s="17">
        <v>4.0201671797007003E-3</v>
      </c>
      <c r="EC44" s="17">
        <v>7.1798328202993004E-3</v>
      </c>
      <c r="ED44" s="17" t="s">
        <v>56</v>
      </c>
      <c r="EE44" s="17" t="s">
        <v>56</v>
      </c>
      <c r="EF44" s="17" t="s">
        <v>56</v>
      </c>
      <c r="EG44" s="17" t="s">
        <v>2862</v>
      </c>
      <c r="EH44" s="17" t="s">
        <v>3309</v>
      </c>
      <c r="EI44" s="17" t="s">
        <v>3312</v>
      </c>
      <c r="EJ44" s="17">
        <v>1.08477E-2</v>
      </c>
      <c r="EK44" s="17">
        <v>5.8252699999999998E-2</v>
      </c>
      <c r="EL44" s="17" t="s">
        <v>3311</v>
      </c>
      <c r="EM44" s="17">
        <v>4.8999999999999998E-3</v>
      </c>
      <c r="EN44" s="17">
        <v>1.01E-2</v>
      </c>
      <c r="EO44" s="17" t="s">
        <v>3312</v>
      </c>
      <c r="EP44" s="17">
        <v>4.3641500000000004</v>
      </c>
      <c r="EQ44" s="17">
        <v>23.435700000000001</v>
      </c>
      <c r="ER44" s="17" t="s">
        <v>3313</v>
      </c>
      <c r="ES44" s="17">
        <v>0.59340000000000004</v>
      </c>
      <c r="ET44" s="17">
        <v>1.2263999999999999</v>
      </c>
      <c r="EU44" s="17" t="s">
        <v>2862</v>
      </c>
      <c r="EV44" s="17" t="s">
        <v>3309</v>
      </c>
      <c r="EW44" s="17" t="s">
        <v>3312</v>
      </c>
      <c r="EX44" s="17">
        <v>4.3641500000000004</v>
      </c>
      <c r="EY44" s="17">
        <v>23.435700000000001</v>
      </c>
      <c r="EZ44" s="17" t="s">
        <v>3311</v>
      </c>
      <c r="FA44" s="17">
        <v>0.59340000000000004</v>
      </c>
      <c r="FB44" s="17">
        <v>1.2263999999999999</v>
      </c>
      <c r="FC44" s="17" t="s">
        <v>56</v>
      </c>
      <c r="FD44" s="17" t="s">
        <v>56</v>
      </c>
      <c r="FE44" s="17" t="s">
        <v>56</v>
      </c>
      <c r="FF44" s="17" t="s">
        <v>56</v>
      </c>
      <c r="FG44" s="17" t="s">
        <v>56</v>
      </c>
      <c r="FH44" s="17" t="s">
        <v>56</v>
      </c>
      <c r="FI44" s="17" t="s">
        <v>56</v>
      </c>
      <c r="FJ44" s="17" t="s">
        <v>56</v>
      </c>
      <c r="FK44" s="17" t="s">
        <v>56</v>
      </c>
      <c r="FL44" s="17" t="s">
        <v>56</v>
      </c>
      <c r="FM44" s="17" t="s">
        <v>56</v>
      </c>
      <c r="FN44" s="17" t="s">
        <v>56</v>
      </c>
      <c r="FO44" s="17" t="s">
        <v>56</v>
      </c>
      <c r="FP44" s="17" t="s">
        <v>56</v>
      </c>
      <c r="FQ44" s="17" t="s">
        <v>56</v>
      </c>
      <c r="FR44" s="17" t="s">
        <v>56</v>
      </c>
      <c r="FS44" s="17" t="s">
        <v>56</v>
      </c>
      <c r="FT44" s="17" t="s">
        <v>56</v>
      </c>
      <c r="FU44" s="17">
        <v>194.51044249434599</v>
      </c>
      <c r="FV44" s="17">
        <v>1044.5306364732501</v>
      </c>
      <c r="FW44" s="17" t="s">
        <v>56</v>
      </c>
      <c r="FX44" s="17" t="s">
        <v>56</v>
      </c>
      <c r="FY44" s="17" t="s">
        <v>56</v>
      </c>
      <c r="FZ44" s="17" t="s">
        <v>56</v>
      </c>
      <c r="GA44" s="17" t="s">
        <v>56</v>
      </c>
      <c r="GB44" s="17" t="s">
        <v>56</v>
      </c>
      <c r="GC44" s="17" t="s">
        <v>56</v>
      </c>
      <c r="GD44" s="17" t="s">
        <v>2969</v>
      </c>
      <c r="GE44" s="17" t="s">
        <v>2969</v>
      </c>
      <c r="GF44" s="17" t="s">
        <v>56</v>
      </c>
      <c r="GG44" s="17" t="s">
        <v>2818</v>
      </c>
      <c r="GH44" s="17" t="s">
        <v>2818</v>
      </c>
      <c r="GI44" s="17" t="s">
        <v>1111</v>
      </c>
      <c r="GJ44" s="17" t="s">
        <v>1111</v>
      </c>
      <c r="GK44" s="17" t="s">
        <v>1111</v>
      </c>
      <c r="GL44" s="17"/>
    </row>
    <row r="45" spans="2:194" x14ac:dyDescent="0.25">
      <c r="B45" s="17" t="s">
        <v>2840</v>
      </c>
      <c r="C45" s="17" t="s">
        <v>70</v>
      </c>
      <c r="D45" s="17" t="s">
        <v>3411</v>
      </c>
      <c r="E45" s="17" t="s">
        <v>3412</v>
      </c>
      <c r="F45" s="17" t="s">
        <v>3237</v>
      </c>
      <c r="G45" s="17" t="s">
        <v>3413</v>
      </c>
      <c r="H45" s="17"/>
      <c r="I45" s="17" t="s">
        <v>2797</v>
      </c>
      <c r="J45" s="17" t="s">
        <v>3403</v>
      </c>
      <c r="K45" s="17" t="s">
        <v>2653</v>
      </c>
      <c r="L45" s="17" t="s">
        <v>2800</v>
      </c>
      <c r="M45" s="17" t="s">
        <v>3414</v>
      </c>
      <c r="N45" s="17" t="s">
        <v>1325</v>
      </c>
      <c r="O45" s="17" t="s">
        <v>2813</v>
      </c>
      <c r="P45" s="17" t="s">
        <v>2814</v>
      </c>
      <c r="Q45" s="17" t="s">
        <v>3616</v>
      </c>
      <c r="R45" s="17">
        <v>17897433.710000001</v>
      </c>
      <c r="S45" s="17">
        <v>4974456.4000000004</v>
      </c>
      <c r="T45" s="17">
        <v>18587154.18</v>
      </c>
      <c r="U45" s="17" t="s">
        <v>2817</v>
      </c>
      <c r="V45" s="17" t="s">
        <v>939</v>
      </c>
      <c r="W45" s="17" t="s">
        <v>2816</v>
      </c>
      <c r="X45" s="17" t="s">
        <v>3403</v>
      </c>
      <c r="Y45" s="17" t="s">
        <v>56</v>
      </c>
      <c r="Z45" s="17" t="s">
        <v>3616</v>
      </c>
      <c r="AA45" s="17" t="s">
        <v>2801</v>
      </c>
      <c r="AB45" s="17">
        <v>2.1629</v>
      </c>
      <c r="AC45" s="17" t="s">
        <v>3616</v>
      </c>
      <c r="AD45" s="17" t="s">
        <v>2804</v>
      </c>
      <c r="AE45" s="17">
        <v>319397</v>
      </c>
      <c r="AF45" s="17" t="s">
        <v>2839</v>
      </c>
      <c r="AG45" s="17" t="s">
        <v>3617</v>
      </c>
      <c r="AH45" s="17" t="s">
        <v>2806</v>
      </c>
      <c r="AI45" s="17"/>
      <c r="AJ45" s="17" t="s">
        <v>56</v>
      </c>
      <c r="AK45" s="17" t="s">
        <v>56</v>
      </c>
      <c r="AL45" s="17" t="s">
        <v>56</v>
      </c>
      <c r="AM45" s="17" t="s">
        <v>56</v>
      </c>
      <c r="AN45" s="17" t="s">
        <v>56</v>
      </c>
      <c r="AO45" s="17" t="s">
        <v>56</v>
      </c>
      <c r="AP45" s="17" t="s">
        <v>56</v>
      </c>
      <c r="AQ45" s="17" t="s">
        <v>56</v>
      </c>
      <c r="AR45" s="17" t="s">
        <v>56</v>
      </c>
      <c r="AS45" s="17">
        <v>677.19899999999996</v>
      </c>
      <c r="AT45" s="17">
        <v>82.007599999999996</v>
      </c>
      <c r="AU45" s="17">
        <v>435.83600000000001</v>
      </c>
      <c r="AV45" s="17" t="s">
        <v>56</v>
      </c>
      <c r="AW45" s="17" t="s">
        <v>56</v>
      </c>
      <c r="AX45" s="17" t="s">
        <v>56</v>
      </c>
      <c r="AY45" s="17">
        <v>561.97</v>
      </c>
      <c r="AZ45" s="17">
        <v>68.053600000000003</v>
      </c>
      <c r="BA45" s="17">
        <v>361.67599999999999</v>
      </c>
      <c r="BB45" s="17" t="s">
        <v>56</v>
      </c>
      <c r="BC45" s="17" t="s">
        <v>56</v>
      </c>
      <c r="BD45" s="17" t="s">
        <v>56</v>
      </c>
      <c r="BE45" s="17" t="s">
        <v>56</v>
      </c>
      <c r="BF45" s="17" t="s">
        <v>56</v>
      </c>
      <c r="BG45" s="17" t="s">
        <v>56</v>
      </c>
      <c r="BH45" s="17" t="s">
        <v>56</v>
      </c>
      <c r="BI45" s="17" t="s">
        <v>56</v>
      </c>
      <c r="BJ45" s="17" t="s">
        <v>56</v>
      </c>
      <c r="BK45" s="17" t="s">
        <v>56</v>
      </c>
      <c r="BL45" s="17" t="s">
        <v>56</v>
      </c>
      <c r="BM45" s="17" t="s">
        <v>56</v>
      </c>
      <c r="BN45" s="17" t="s">
        <v>56</v>
      </c>
      <c r="BO45" s="17" t="s">
        <v>56</v>
      </c>
      <c r="BP45" s="17" t="s">
        <v>56</v>
      </c>
      <c r="BQ45" s="17" t="s">
        <v>56</v>
      </c>
      <c r="BR45" s="17" t="s">
        <v>56</v>
      </c>
      <c r="BS45" s="17" t="s">
        <v>56</v>
      </c>
      <c r="BT45" s="17" t="s">
        <v>56</v>
      </c>
      <c r="BU45" s="17" t="s">
        <v>56</v>
      </c>
      <c r="BV45" s="17" t="s">
        <v>56</v>
      </c>
      <c r="BW45" s="17" t="s">
        <v>56</v>
      </c>
      <c r="BX45" s="17" t="s">
        <v>2818</v>
      </c>
      <c r="BY45" s="17" t="s">
        <v>1111</v>
      </c>
      <c r="BZ45" s="17" t="s">
        <v>56</v>
      </c>
      <c r="CA45" s="17" t="s">
        <v>56</v>
      </c>
      <c r="CB45" s="17" t="s">
        <v>1325</v>
      </c>
      <c r="CC45" s="17" t="s">
        <v>1325</v>
      </c>
      <c r="CD45" s="17" t="s">
        <v>1325</v>
      </c>
      <c r="CE45" s="17" t="s">
        <v>1325</v>
      </c>
      <c r="CF45" s="17" t="s">
        <v>1325</v>
      </c>
      <c r="CG45" s="17" t="s">
        <v>1325</v>
      </c>
      <c r="CH45" s="17" t="s">
        <v>1325</v>
      </c>
      <c r="CI45" s="17" t="s">
        <v>1325</v>
      </c>
      <c r="CJ45" s="17" t="s">
        <v>1325</v>
      </c>
      <c r="CK45" s="17" t="s">
        <v>1325</v>
      </c>
      <c r="CL45" s="17" t="s">
        <v>1325</v>
      </c>
      <c r="CM45" s="17" t="s">
        <v>1325</v>
      </c>
      <c r="CN45" s="17" t="s">
        <v>1325</v>
      </c>
      <c r="CO45" s="17" t="s">
        <v>1325</v>
      </c>
      <c r="CP45" s="17" t="s">
        <v>1325</v>
      </c>
      <c r="CQ45" s="17" t="s">
        <v>1325</v>
      </c>
      <c r="CR45" s="17" t="s">
        <v>1325</v>
      </c>
      <c r="CS45" s="17" t="s">
        <v>1325</v>
      </c>
      <c r="CT45" s="17" t="s">
        <v>1325</v>
      </c>
      <c r="CU45" s="17" t="s">
        <v>1325</v>
      </c>
      <c r="CV45" s="17" t="s">
        <v>1325</v>
      </c>
      <c r="CW45" s="17" t="s">
        <v>56</v>
      </c>
      <c r="CX45" s="17" t="s">
        <v>56</v>
      </c>
      <c r="CY45" s="17" t="s">
        <v>56</v>
      </c>
      <c r="CZ45" s="17">
        <v>319397</v>
      </c>
      <c r="DA45" s="17">
        <v>319397</v>
      </c>
      <c r="DB45" s="17">
        <v>319397</v>
      </c>
      <c r="DC45" s="17"/>
      <c r="DD45" s="17"/>
      <c r="DE45" s="17"/>
      <c r="DF45" s="17" t="s">
        <v>3415</v>
      </c>
      <c r="DG45" s="17" t="s">
        <v>3491</v>
      </c>
      <c r="DH45" s="17" t="s">
        <v>3237</v>
      </c>
      <c r="DI45" s="17" t="s">
        <v>3492</v>
      </c>
      <c r="DJ45" s="17" t="s">
        <v>3405</v>
      </c>
      <c r="DK45" s="17" t="s">
        <v>3320</v>
      </c>
      <c r="DL45" s="17" t="s">
        <v>3418</v>
      </c>
      <c r="DM45" s="17">
        <v>1.4279999999999999E-2</v>
      </c>
      <c r="DN45" s="17">
        <v>4561</v>
      </c>
      <c r="DO45" s="17">
        <v>0.42855856981114299</v>
      </c>
      <c r="DP45" s="17" t="s">
        <v>3308</v>
      </c>
      <c r="DQ45" s="17" t="s">
        <v>2839</v>
      </c>
      <c r="DR45" s="17" t="s">
        <v>56</v>
      </c>
      <c r="DS45" s="17" t="s">
        <v>56</v>
      </c>
      <c r="DT45" s="17" t="s">
        <v>56</v>
      </c>
      <c r="DU45" s="17" t="s">
        <v>56</v>
      </c>
      <c r="DV45" s="17" t="s">
        <v>2862</v>
      </c>
      <c r="DW45" s="17" t="s">
        <v>3309</v>
      </c>
      <c r="DX45" s="17" t="s">
        <v>3310</v>
      </c>
      <c r="DY45" s="17">
        <v>9.7795896448127796E-3</v>
      </c>
      <c r="DZ45" s="17">
        <v>2.7520410355187201E-2</v>
      </c>
      <c r="EA45" s="17" t="s">
        <v>3311</v>
      </c>
      <c r="EB45" s="17">
        <v>4.0201671797007003E-3</v>
      </c>
      <c r="EC45" s="17">
        <v>7.1798328202993004E-3</v>
      </c>
      <c r="ED45" s="17" t="s">
        <v>56</v>
      </c>
      <c r="EE45" s="17" t="s">
        <v>56</v>
      </c>
      <c r="EF45" s="17" t="s">
        <v>56</v>
      </c>
      <c r="EG45" s="17" t="s">
        <v>2862</v>
      </c>
      <c r="EH45" s="17" t="s">
        <v>3309</v>
      </c>
      <c r="EI45" s="17" t="s">
        <v>3312</v>
      </c>
      <c r="EJ45" s="17">
        <v>1.08477E-2</v>
      </c>
      <c r="EK45" s="17">
        <v>5.8252699999999998E-2</v>
      </c>
      <c r="EL45" s="17" t="s">
        <v>3311</v>
      </c>
      <c r="EM45" s="17">
        <v>4.8999999999999998E-3</v>
      </c>
      <c r="EN45" s="17">
        <v>1.01E-2</v>
      </c>
      <c r="EO45" s="17" t="s">
        <v>3312</v>
      </c>
      <c r="EP45" s="17">
        <v>4.3641500000000004</v>
      </c>
      <c r="EQ45" s="17">
        <v>23.435700000000001</v>
      </c>
      <c r="ER45" s="17" t="s">
        <v>3313</v>
      </c>
      <c r="ES45" s="17">
        <v>0.59340000000000004</v>
      </c>
      <c r="ET45" s="17">
        <v>1.2263999999999999</v>
      </c>
      <c r="EU45" s="17" t="s">
        <v>2862</v>
      </c>
      <c r="EV45" s="17" t="s">
        <v>3309</v>
      </c>
      <c r="EW45" s="17" t="s">
        <v>3312</v>
      </c>
      <c r="EX45" s="17">
        <v>4.3641500000000004</v>
      </c>
      <c r="EY45" s="17">
        <v>23.435700000000001</v>
      </c>
      <c r="EZ45" s="17" t="s">
        <v>3311</v>
      </c>
      <c r="FA45" s="17">
        <v>0.59340000000000004</v>
      </c>
      <c r="FB45" s="17">
        <v>1.2263999999999999</v>
      </c>
      <c r="FC45" s="17" t="s">
        <v>56</v>
      </c>
      <c r="FD45" s="17" t="s">
        <v>56</v>
      </c>
      <c r="FE45" s="17" t="s">
        <v>56</v>
      </c>
      <c r="FF45" s="17" t="s">
        <v>56</v>
      </c>
      <c r="FG45" s="17" t="s">
        <v>56</v>
      </c>
      <c r="FH45" s="17" t="s">
        <v>56</v>
      </c>
      <c r="FI45" s="17" t="s">
        <v>56</v>
      </c>
      <c r="FJ45" s="17" t="s">
        <v>56</v>
      </c>
      <c r="FK45" s="17" t="s">
        <v>56</v>
      </c>
      <c r="FL45" s="17" t="s">
        <v>56</v>
      </c>
      <c r="FM45" s="17" t="s">
        <v>56</v>
      </c>
      <c r="FN45" s="17" t="s">
        <v>56</v>
      </c>
      <c r="FO45" s="17" t="s">
        <v>56</v>
      </c>
      <c r="FP45" s="17" t="s">
        <v>56</v>
      </c>
      <c r="FQ45" s="17" t="s">
        <v>56</v>
      </c>
      <c r="FR45" s="17" t="s">
        <v>56</v>
      </c>
      <c r="FS45" s="17" t="s">
        <v>56</v>
      </c>
      <c r="FT45" s="17" t="s">
        <v>56</v>
      </c>
      <c r="FU45" s="17">
        <v>194.51056376883699</v>
      </c>
      <c r="FV45" s="17">
        <v>1044.53128772323</v>
      </c>
      <c r="FW45" s="17" t="s">
        <v>56</v>
      </c>
      <c r="FX45" s="17" t="s">
        <v>56</v>
      </c>
      <c r="FY45" s="17" t="s">
        <v>56</v>
      </c>
      <c r="FZ45" s="17" t="s">
        <v>56</v>
      </c>
      <c r="GA45" s="17" t="s">
        <v>56</v>
      </c>
      <c r="GB45" s="17" t="s">
        <v>56</v>
      </c>
      <c r="GC45" s="17" t="s">
        <v>56</v>
      </c>
      <c r="GD45" s="17" t="s">
        <v>2969</v>
      </c>
      <c r="GE45" s="17" t="s">
        <v>2969</v>
      </c>
      <c r="GF45" s="17" t="s">
        <v>56</v>
      </c>
      <c r="GG45" s="17" t="s">
        <v>2818</v>
      </c>
      <c r="GH45" s="17" t="s">
        <v>2818</v>
      </c>
      <c r="GI45" s="17" t="s">
        <v>1111</v>
      </c>
      <c r="GJ45" s="17" t="s">
        <v>1111</v>
      </c>
      <c r="GK45" s="17" t="s">
        <v>1111</v>
      </c>
      <c r="GL45" s="17"/>
    </row>
    <row r="46" spans="2:194" x14ac:dyDescent="0.25">
      <c r="B46" s="17" t="s">
        <v>2840</v>
      </c>
      <c r="C46" s="17" t="s">
        <v>70</v>
      </c>
      <c r="D46" s="17" t="s">
        <v>3411</v>
      </c>
      <c r="E46" s="17" t="s">
        <v>3412</v>
      </c>
      <c r="F46" s="17" t="s">
        <v>3237</v>
      </c>
      <c r="G46" s="17" t="s">
        <v>3413</v>
      </c>
      <c r="H46" s="17"/>
      <c r="I46" s="17" t="s">
        <v>2797</v>
      </c>
      <c r="J46" s="17" t="s">
        <v>3403</v>
      </c>
      <c r="K46" s="17" t="s">
        <v>2653</v>
      </c>
      <c r="L46" s="17" t="s">
        <v>2800</v>
      </c>
      <c r="M46" s="17" t="s">
        <v>3414</v>
      </c>
      <c r="N46" s="17" t="s">
        <v>1325</v>
      </c>
      <c r="O46" s="17" t="s">
        <v>2813</v>
      </c>
      <c r="P46" s="17" t="s">
        <v>2814</v>
      </c>
      <c r="Q46" s="17" t="s">
        <v>3616</v>
      </c>
      <c r="R46" s="17">
        <v>17897433.710000001</v>
      </c>
      <c r="S46" s="17">
        <v>4974456.4000000004</v>
      </c>
      <c r="T46" s="17">
        <v>18587154.18</v>
      </c>
      <c r="U46" s="17" t="s">
        <v>2817</v>
      </c>
      <c r="V46" s="17" t="s">
        <v>939</v>
      </c>
      <c r="W46" s="17" t="s">
        <v>2816</v>
      </c>
      <c r="X46" s="17" t="s">
        <v>3403</v>
      </c>
      <c r="Y46" s="17" t="s">
        <v>56</v>
      </c>
      <c r="Z46" s="17" t="s">
        <v>3616</v>
      </c>
      <c r="AA46" s="17" t="s">
        <v>2801</v>
      </c>
      <c r="AB46" s="17">
        <v>2.1629</v>
      </c>
      <c r="AC46" s="17" t="s">
        <v>3616</v>
      </c>
      <c r="AD46" s="17" t="s">
        <v>2804</v>
      </c>
      <c r="AE46" s="17">
        <v>319397</v>
      </c>
      <c r="AF46" s="17" t="s">
        <v>2839</v>
      </c>
      <c r="AG46" s="17" t="s">
        <v>3617</v>
      </c>
      <c r="AH46" s="17" t="s">
        <v>2806</v>
      </c>
      <c r="AI46" s="17"/>
      <c r="AJ46" s="17" t="s">
        <v>56</v>
      </c>
      <c r="AK46" s="17" t="s">
        <v>56</v>
      </c>
      <c r="AL46" s="17" t="s">
        <v>56</v>
      </c>
      <c r="AM46" s="17" t="s">
        <v>56</v>
      </c>
      <c r="AN46" s="17" t="s">
        <v>56</v>
      </c>
      <c r="AO46" s="17" t="s">
        <v>56</v>
      </c>
      <c r="AP46" s="17" t="s">
        <v>56</v>
      </c>
      <c r="AQ46" s="17" t="s">
        <v>56</v>
      </c>
      <c r="AR46" s="17" t="s">
        <v>56</v>
      </c>
      <c r="AS46" s="17">
        <v>677.19899999999996</v>
      </c>
      <c r="AT46" s="17">
        <v>82.007599999999996</v>
      </c>
      <c r="AU46" s="17">
        <v>435.83600000000001</v>
      </c>
      <c r="AV46" s="17" t="s">
        <v>56</v>
      </c>
      <c r="AW46" s="17" t="s">
        <v>56</v>
      </c>
      <c r="AX46" s="17" t="s">
        <v>56</v>
      </c>
      <c r="AY46" s="17">
        <v>561.97</v>
      </c>
      <c r="AZ46" s="17">
        <v>68.053600000000003</v>
      </c>
      <c r="BA46" s="17">
        <v>361.67599999999999</v>
      </c>
      <c r="BB46" s="17" t="s">
        <v>56</v>
      </c>
      <c r="BC46" s="17" t="s">
        <v>56</v>
      </c>
      <c r="BD46" s="17" t="s">
        <v>56</v>
      </c>
      <c r="BE46" s="17" t="s">
        <v>56</v>
      </c>
      <c r="BF46" s="17" t="s">
        <v>56</v>
      </c>
      <c r="BG46" s="17" t="s">
        <v>56</v>
      </c>
      <c r="BH46" s="17" t="s">
        <v>56</v>
      </c>
      <c r="BI46" s="17" t="s">
        <v>56</v>
      </c>
      <c r="BJ46" s="17" t="s">
        <v>56</v>
      </c>
      <c r="BK46" s="17" t="s">
        <v>56</v>
      </c>
      <c r="BL46" s="17" t="s">
        <v>56</v>
      </c>
      <c r="BM46" s="17" t="s">
        <v>56</v>
      </c>
      <c r="BN46" s="17" t="s">
        <v>56</v>
      </c>
      <c r="BO46" s="17" t="s">
        <v>56</v>
      </c>
      <c r="BP46" s="17" t="s">
        <v>56</v>
      </c>
      <c r="BQ46" s="17" t="s">
        <v>56</v>
      </c>
      <c r="BR46" s="17" t="s">
        <v>56</v>
      </c>
      <c r="BS46" s="17" t="s">
        <v>56</v>
      </c>
      <c r="BT46" s="17" t="s">
        <v>56</v>
      </c>
      <c r="BU46" s="17" t="s">
        <v>56</v>
      </c>
      <c r="BV46" s="17" t="s">
        <v>56</v>
      </c>
      <c r="BW46" s="17" t="s">
        <v>56</v>
      </c>
      <c r="BX46" s="17" t="s">
        <v>2818</v>
      </c>
      <c r="BY46" s="17" t="s">
        <v>1111</v>
      </c>
      <c r="BZ46" s="17" t="s">
        <v>56</v>
      </c>
      <c r="CA46" s="17" t="s">
        <v>56</v>
      </c>
      <c r="CB46" s="17" t="s">
        <v>1325</v>
      </c>
      <c r="CC46" s="17" t="s">
        <v>1325</v>
      </c>
      <c r="CD46" s="17" t="s">
        <v>1325</v>
      </c>
      <c r="CE46" s="17" t="s">
        <v>1325</v>
      </c>
      <c r="CF46" s="17" t="s">
        <v>1325</v>
      </c>
      <c r="CG46" s="17" t="s">
        <v>1325</v>
      </c>
      <c r="CH46" s="17" t="s">
        <v>1325</v>
      </c>
      <c r="CI46" s="17" t="s">
        <v>1325</v>
      </c>
      <c r="CJ46" s="17" t="s">
        <v>1325</v>
      </c>
      <c r="CK46" s="17" t="s">
        <v>1325</v>
      </c>
      <c r="CL46" s="17" t="s">
        <v>1325</v>
      </c>
      <c r="CM46" s="17" t="s">
        <v>1325</v>
      </c>
      <c r="CN46" s="17" t="s">
        <v>1325</v>
      </c>
      <c r="CO46" s="17" t="s">
        <v>1325</v>
      </c>
      <c r="CP46" s="17" t="s">
        <v>1325</v>
      </c>
      <c r="CQ46" s="17" t="s">
        <v>1325</v>
      </c>
      <c r="CR46" s="17" t="s">
        <v>1325</v>
      </c>
      <c r="CS46" s="17" t="s">
        <v>1325</v>
      </c>
      <c r="CT46" s="17" t="s">
        <v>1325</v>
      </c>
      <c r="CU46" s="17" t="s">
        <v>1325</v>
      </c>
      <c r="CV46" s="17" t="s">
        <v>1325</v>
      </c>
      <c r="CW46" s="17" t="s">
        <v>56</v>
      </c>
      <c r="CX46" s="17" t="s">
        <v>56</v>
      </c>
      <c r="CY46" s="17" t="s">
        <v>56</v>
      </c>
      <c r="CZ46" s="17">
        <v>319397</v>
      </c>
      <c r="DA46" s="17">
        <v>319397</v>
      </c>
      <c r="DB46" s="17">
        <v>319397</v>
      </c>
      <c r="DC46" s="17"/>
      <c r="DD46" s="17"/>
      <c r="DE46" s="17"/>
      <c r="DF46" s="17" t="s">
        <v>3415</v>
      </c>
      <c r="DG46" s="17" t="s">
        <v>3493</v>
      </c>
      <c r="DH46" s="17" t="s">
        <v>3237</v>
      </c>
      <c r="DI46" s="17" t="s">
        <v>3494</v>
      </c>
      <c r="DJ46" s="17" t="s">
        <v>3405</v>
      </c>
      <c r="DK46" s="17" t="s">
        <v>3320</v>
      </c>
      <c r="DL46" s="17" t="s">
        <v>3418</v>
      </c>
      <c r="DM46" s="17">
        <v>2.6549999999999998E-3</v>
      </c>
      <c r="DN46" s="17">
        <v>848</v>
      </c>
      <c r="DO46" s="17">
        <v>0.42856008381000499</v>
      </c>
      <c r="DP46" s="17" t="s">
        <v>3308</v>
      </c>
      <c r="DQ46" s="17" t="s">
        <v>2839</v>
      </c>
      <c r="DR46" s="17" t="s">
        <v>56</v>
      </c>
      <c r="DS46" s="17" t="s">
        <v>56</v>
      </c>
      <c r="DT46" s="17" t="s">
        <v>56</v>
      </c>
      <c r="DU46" s="17" t="s">
        <v>56</v>
      </c>
      <c r="DV46" s="17" t="s">
        <v>2862</v>
      </c>
      <c r="DW46" s="17" t="s">
        <v>3309</v>
      </c>
      <c r="DX46" s="17" t="s">
        <v>3310</v>
      </c>
      <c r="DY46" s="17">
        <v>9.7795896448127796E-3</v>
      </c>
      <c r="DZ46" s="17">
        <v>2.7520410355187201E-2</v>
      </c>
      <c r="EA46" s="17" t="s">
        <v>3311</v>
      </c>
      <c r="EB46" s="17">
        <v>4.0201671797007003E-3</v>
      </c>
      <c r="EC46" s="17">
        <v>7.1798328202993004E-3</v>
      </c>
      <c r="ED46" s="17" t="s">
        <v>56</v>
      </c>
      <c r="EE46" s="17" t="s">
        <v>56</v>
      </c>
      <c r="EF46" s="17" t="s">
        <v>56</v>
      </c>
      <c r="EG46" s="17" t="s">
        <v>2862</v>
      </c>
      <c r="EH46" s="17" t="s">
        <v>3309</v>
      </c>
      <c r="EI46" s="17" t="s">
        <v>3312</v>
      </c>
      <c r="EJ46" s="17">
        <v>1.08477E-2</v>
      </c>
      <c r="EK46" s="17">
        <v>5.8252699999999998E-2</v>
      </c>
      <c r="EL46" s="17" t="s">
        <v>3311</v>
      </c>
      <c r="EM46" s="17">
        <v>4.8999999999999998E-3</v>
      </c>
      <c r="EN46" s="17">
        <v>1.01E-2</v>
      </c>
      <c r="EO46" s="17" t="s">
        <v>3312</v>
      </c>
      <c r="EP46" s="17">
        <v>4.3641500000000004</v>
      </c>
      <c r="EQ46" s="17">
        <v>23.435700000000001</v>
      </c>
      <c r="ER46" s="17" t="s">
        <v>3313</v>
      </c>
      <c r="ES46" s="17">
        <v>0.59340000000000004</v>
      </c>
      <c r="ET46" s="17">
        <v>1.2263999999999999</v>
      </c>
      <c r="EU46" s="17" t="s">
        <v>2862</v>
      </c>
      <c r="EV46" s="17" t="s">
        <v>3309</v>
      </c>
      <c r="EW46" s="17" t="s">
        <v>3312</v>
      </c>
      <c r="EX46" s="17">
        <v>4.3641500000000004</v>
      </c>
      <c r="EY46" s="17">
        <v>23.435700000000001</v>
      </c>
      <c r="EZ46" s="17" t="s">
        <v>3311</v>
      </c>
      <c r="FA46" s="17">
        <v>0.59340000000000004</v>
      </c>
      <c r="FB46" s="17">
        <v>1.2263999999999999</v>
      </c>
      <c r="FC46" s="17" t="s">
        <v>56</v>
      </c>
      <c r="FD46" s="17" t="s">
        <v>56</v>
      </c>
      <c r="FE46" s="17" t="s">
        <v>56</v>
      </c>
      <c r="FF46" s="17" t="s">
        <v>56</v>
      </c>
      <c r="FG46" s="17" t="s">
        <v>56</v>
      </c>
      <c r="FH46" s="17" t="s">
        <v>56</v>
      </c>
      <c r="FI46" s="17" t="s">
        <v>56</v>
      </c>
      <c r="FJ46" s="17" t="s">
        <v>56</v>
      </c>
      <c r="FK46" s="17" t="s">
        <v>56</v>
      </c>
      <c r="FL46" s="17" t="s">
        <v>56</v>
      </c>
      <c r="FM46" s="17" t="s">
        <v>56</v>
      </c>
      <c r="FN46" s="17" t="s">
        <v>56</v>
      </c>
      <c r="FO46" s="17" t="s">
        <v>56</v>
      </c>
      <c r="FP46" s="17" t="s">
        <v>56</v>
      </c>
      <c r="FQ46" s="17" t="s">
        <v>56</v>
      </c>
      <c r="FR46" s="17" t="s">
        <v>56</v>
      </c>
      <c r="FS46" s="17" t="s">
        <v>56</v>
      </c>
      <c r="FT46" s="17" t="s">
        <v>56</v>
      </c>
      <c r="FU46" s="17">
        <v>194.51125093044001</v>
      </c>
      <c r="FV46" s="17">
        <v>1044.53497781481</v>
      </c>
      <c r="FW46" s="17" t="s">
        <v>56</v>
      </c>
      <c r="FX46" s="17" t="s">
        <v>56</v>
      </c>
      <c r="FY46" s="17" t="s">
        <v>56</v>
      </c>
      <c r="FZ46" s="17" t="s">
        <v>56</v>
      </c>
      <c r="GA46" s="17" t="s">
        <v>56</v>
      </c>
      <c r="GB46" s="17" t="s">
        <v>56</v>
      </c>
      <c r="GC46" s="17" t="s">
        <v>56</v>
      </c>
      <c r="GD46" s="17" t="s">
        <v>2969</v>
      </c>
      <c r="GE46" s="17" t="s">
        <v>2969</v>
      </c>
      <c r="GF46" s="17" t="s">
        <v>56</v>
      </c>
      <c r="GG46" s="17" t="s">
        <v>2818</v>
      </c>
      <c r="GH46" s="17" t="s">
        <v>2818</v>
      </c>
      <c r="GI46" s="17" t="s">
        <v>1111</v>
      </c>
      <c r="GJ46" s="17" t="s">
        <v>1111</v>
      </c>
      <c r="GK46" s="17" t="s">
        <v>1111</v>
      </c>
      <c r="GL46" s="17"/>
    </row>
    <row r="47" spans="2:194" x14ac:dyDescent="0.25">
      <c r="B47" s="17" t="s">
        <v>2840</v>
      </c>
      <c r="C47" s="17" t="s">
        <v>70</v>
      </c>
      <c r="D47" s="17" t="s">
        <v>3411</v>
      </c>
      <c r="E47" s="17" t="s">
        <v>3412</v>
      </c>
      <c r="F47" s="17" t="s">
        <v>3237</v>
      </c>
      <c r="G47" s="17" t="s">
        <v>3413</v>
      </c>
      <c r="H47" s="17"/>
      <c r="I47" s="17" t="s">
        <v>2797</v>
      </c>
      <c r="J47" s="17" t="s">
        <v>3403</v>
      </c>
      <c r="K47" s="17" t="s">
        <v>2653</v>
      </c>
      <c r="L47" s="17" t="s">
        <v>2800</v>
      </c>
      <c r="M47" s="17" t="s">
        <v>3414</v>
      </c>
      <c r="N47" s="17" t="s">
        <v>1325</v>
      </c>
      <c r="O47" s="17" t="s">
        <v>2813</v>
      </c>
      <c r="P47" s="17" t="s">
        <v>2814</v>
      </c>
      <c r="Q47" s="17" t="s">
        <v>3616</v>
      </c>
      <c r="R47" s="17">
        <v>17897433.710000001</v>
      </c>
      <c r="S47" s="17">
        <v>4974456.4000000004</v>
      </c>
      <c r="T47" s="17">
        <v>18587154.18</v>
      </c>
      <c r="U47" s="17" t="s">
        <v>2817</v>
      </c>
      <c r="V47" s="17" t="s">
        <v>939</v>
      </c>
      <c r="W47" s="17" t="s">
        <v>2816</v>
      </c>
      <c r="X47" s="17" t="s">
        <v>3403</v>
      </c>
      <c r="Y47" s="17" t="s">
        <v>56</v>
      </c>
      <c r="Z47" s="17" t="s">
        <v>3616</v>
      </c>
      <c r="AA47" s="17" t="s">
        <v>2801</v>
      </c>
      <c r="AB47" s="17">
        <v>2.1629</v>
      </c>
      <c r="AC47" s="17" t="s">
        <v>3616</v>
      </c>
      <c r="AD47" s="17" t="s">
        <v>2804</v>
      </c>
      <c r="AE47" s="17">
        <v>319397</v>
      </c>
      <c r="AF47" s="17" t="s">
        <v>2839</v>
      </c>
      <c r="AG47" s="17" t="s">
        <v>3617</v>
      </c>
      <c r="AH47" s="17" t="s">
        <v>2806</v>
      </c>
      <c r="AI47" s="17"/>
      <c r="AJ47" s="17" t="s">
        <v>56</v>
      </c>
      <c r="AK47" s="17" t="s">
        <v>56</v>
      </c>
      <c r="AL47" s="17" t="s">
        <v>56</v>
      </c>
      <c r="AM47" s="17" t="s">
        <v>56</v>
      </c>
      <c r="AN47" s="17" t="s">
        <v>56</v>
      </c>
      <c r="AO47" s="17" t="s">
        <v>56</v>
      </c>
      <c r="AP47" s="17" t="s">
        <v>56</v>
      </c>
      <c r="AQ47" s="17" t="s">
        <v>56</v>
      </c>
      <c r="AR47" s="17" t="s">
        <v>56</v>
      </c>
      <c r="AS47" s="17">
        <v>677.19899999999996</v>
      </c>
      <c r="AT47" s="17">
        <v>82.007599999999996</v>
      </c>
      <c r="AU47" s="17">
        <v>435.83600000000001</v>
      </c>
      <c r="AV47" s="17" t="s">
        <v>56</v>
      </c>
      <c r="AW47" s="17" t="s">
        <v>56</v>
      </c>
      <c r="AX47" s="17" t="s">
        <v>56</v>
      </c>
      <c r="AY47" s="17">
        <v>561.97</v>
      </c>
      <c r="AZ47" s="17">
        <v>68.053600000000003</v>
      </c>
      <c r="BA47" s="17">
        <v>361.67599999999999</v>
      </c>
      <c r="BB47" s="17" t="s">
        <v>56</v>
      </c>
      <c r="BC47" s="17" t="s">
        <v>56</v>
      </c>
      <c r="BD47" s="17" t="s">
        <v>56</v>
      </c>
      <c r="BE47" s="17" t="s">
        <v>56</v>
      </c>
      <c r="BF47" s="17" t="s">
        <v>56</v>
      </c>
      <c r="BG47" s="17" t="s">
        <v>56</v>
      </c>
      <c r="BH47" s="17" t="s">
        <v>56</v>
      </c>
      <c r="BI47" s="17" t="s">
        <v>56</v>
      </c>
      <c r="BJ47" s="17" t="s">
        <v>56</v>
      </c>
      <c r="BK47" s="17" t="s">
        <v>56</v>
      </c>
      <c r="BL47" s="17" t="s">
        <v>56</v>
      </c>
      <c r="BM47" s="17" t="s">
        <v>56</v>
      </c>
      <c r="BN47" s="17" t="s">
        <v>56</v>
      </c>
      <c r="BO47" s="17" t="s">
        <v>56</v>
      </c>
      <c r="BP47" s="17" t="s">
        <v>56</v>
      </c>
      <c r="BQ47" s="17" t="s">
        <v>56</v>
      </c>
      <c r="BR47" s="17" t="s">
        <v>56</v>
      </c>
      <c r="BS47" s="17" t="s">
        <v>56</v>
      </c>
      <c r="BT47" s="17" t="s">
        <v>56</v>
      </c>
      <c r="BU47" s="17" t="s">
        <v>56</v>
      </c>
      <c r="BV47" s="17" t="s">
        <v>56</v>
      </c>
      <c r="BW47" s="17" t="s">
        <v>56</v>
      </c>
      <c r="BX47" s="17" t="s">
        <v>2818</v>
      </c>
      <c r="BY47" s="17" t="s">
        <v>1111</v>
      </c>
      <c r="BZ47" s="17" t="s">
        <v>56</v>
      </c>
      <c r="CA47" s="17" t="s">
        <v>56</v>
      </c>
      <c r="CB47" s="17" t="s">
        <v>1325</v>
      </c>
      <c r="CC47" s="17" t="s">
        <v>1325</v>
      </c>
      <c r="CD47" s="17" t="s">
        <v>1325</v>
      </c>
      <c r="CE47" s="17" t="s">
        <v>1325</v>
      </c>
      <c r="CF47" s="17" t="s">
        <v>1325</v>
      </c>
      <c r="CG47" s="17" t="s">
        <v>1325</v>
      </c>
      <c r="CH47" s="17" t="s">
        <v>1325</v>
      </c>
      <c r="CI47" s="17" t="s">
        <v>1325</v>
      </c>
      <c r="CJ47" s="17" t="s">
        <v>1325</v>
      </c>
      <c r="CK47" s="17" t="s">
        <v>1325</v>
      </c>
      <c r="CL47" s="17" t="s">
        <v>1325</v>
      </c>
      <c r="CM47" s="17" t="s">
        <v>1325</v>
      </c>
      <c r="CN47" s="17" t="s">
        <v>1325</v>
      </c>
      <c r="CO47" s="17" t="s">
        <v>1325</v>
      </c>
      <c r="CP47" s="17" t="s">
        <v>1325</v>
      </c>
      <c r="CQ47" s="17" t="s">
        <v>1325</v>
      </c>
      <c r="CR47" s="17" t="s">
        <v>1325</v>
      </c>
      <c r="CS47" s="17" t="s">
        <v>1325</v>
      </c>
      <c r="CT47" s="17" t="s">
        <v>1325</v>
      </c>
      <c r="CU47" s="17" t="s">
        <v>1325</v>
      </c>
      <c r="CV47" s="17" t="s">
        <v>1325</v>
      </c>
      <c r="CW47" s="17" t="s">
        <v>56</v>
      </c>
      <c r="CX47" s="17" t="s">
        <v>56</v>
      </c>
      <c r="CY47" s="17" t="s">
        <v>56</v>
      </c>
      <c r="CZ47" s="17">
        <v>319397</v>
      </c>
      <c r="DA47" s="17">
        <v>319397</v>
      </c>
      <c r="DB47" s="17">
        <v>319397</v>
      </c>
      <c r="DC47" s="17"/>
      <c r="DD47" s="17"/>
      <c r="DE47" s="17"/>
      <c r="DF47" s="17" t="s">
        <v>3415</v>
      </c>
      <c r="DG47" s="17" t="s">
        <v>3495</v>
      </c>
      <c r="DH47" s="17" t="s">
        <v>3237</v>
      </c>
      <c r="DI47" s="17" t="s">
        <v>3496</v>
      </c>
      <c r="DJ47" s="17" t="s">
        <v>3405</v>
      </c>
      <c r="DK47" s="17" t="s">
        <v>3320</v>
      </c>
      <c r="DL47" s="17" t="s">
        <v>3418</v>
      </c>
      <c r="DM47" s="17">
        <v>5.2069999999999998E-3</v>
      </c>
      <c r="DN47" s="17">
        <v>1663.1</v>
      </c>
      <c r="DO47" s="17">
        <v>0.61461024119364305</v>
      </c>
      <c r="DP47" s="17" t="s">
        <v>3308</v>
      </c>
      <c r="DQ47" s="17" t="s">
        <v>2839</v>
      </c>
      <c r="DR47" s="17" t="s">
        <v>56</v>
      </c>
      <c r="DS47" s="17" t="s">
        <v>56</v>
      </c>
      <c r="DT47" s="17" t="s">
        <v>56</v>
      </c>
      <c r="DU47" s="17" t="s">
        <v>56</v>
      </c>
      <c r="DV47" s="17" t="s">
        <v>2862</v>
      </c>
      <c r="DW47" s="17" t="s">
        <v>3309</v>
      </c>
      <c r="DX47" s="17" t="s">
        <v>3310</v>
      </c>
      <c r="DY47" s="17">
        <v>9.7795896448127796E-3</v>
      </c>
      <c r="DZ47" s="17">
        <v>2.7520410355187201E-2</v>
      </c>
      <c r="EA47" s="17" t="s">
        <v>3311</v>
      </c>
      <c r="EB47" s="17">
        <v>4.0201671797007003E-3</v>
      </c>
      <c r="EC47" s="17">
        <v>7.1798328202993004E-3</v>
      </c>
      <c r="ED47" s="17" t="s">
        <v>56</v>
      </c>
      <c r="EE47" s="17" t="s">
        <v>56</v>
      </c>
      <c r="EF47" s="17" t="s">
        <v>56</v>
      </c>
      <c r="EG47" s="17" t="s">
        <v>2862</v>
      </c>
      <c r="EH47" s="17" t="s">
        <v>3309</v>
      </c>
      <c r="EI47" s="17" t="s">
        <v>3312</v>
      </c>
      <c r="EJ47" s="17">
        <v>1.08477E-2</v>
      </c>
      <c r="EK47" s="17">
        <v>5.8252699999999998E-2</v>
      </c>
      <c r="EL47" s="17" t="s">
        <v>3311</v>
      </c>
      <c r="EM47" s="17">
        <v>4.8999999999999998E-3</v>
      </c>
      <c r="EN47" s="17">
        <v>1.01E-2</v>
      </c>
      <c r="EO47" s="17" t="s">
        <v>3312</v>
      </c>
      <c r="EP47" s="17">
        <v>4.3641500000000004</v>
      </c>
      <c r="EQ47" s="17">
        <v>23.435700000000001</v>
      </c>
      <c r="ER47" s="17" t="s">
        <v>3313</v>
      </c>
      <c r="ES47" s="17">
        <v>0.59340000000000004</v>
      </c>
      <c r="ET47" s="17">
        <v>1.2263999999999999</v>
      </c>
      <c r="EU47" s="17" t="s">
        <v>2862</v>
      </c>
      <c r="EV47" s="17" t="s">
        <v>3309</v>
      </c>
      <c r="EW47" s="17" t="s">
        <v>3312</v>
      </c>
      <c r="EX47" s="17">
        <v>4.3641500000000004</v>
      </c>
      <c r="EY47" s="17">
        <v>23.435700000000001</v>
      </c>
      <c r="EZ47" s="17" t="s">
        <v>3311</v>
      </c>
      <c r="FA47" s="17">
        <v>0.59340000000000004</v>
      </c>
      <c r="FB47" s="17">
        <v>1.2263999999999999</v>
      </c>
      <c r="FC47" s="17" t="s">
        <v>56</v>
      </c>
      <c r="FD47" s="17" t="s">
        <v>56</v>
      </c>
      <c r="FE47" s="17" t="s">
        <v>56</v>
      </c>
      <c r="FF47" s="17" t="s">
        <v>56</v>
      </c>
      <c r="FG47" s="17" t="s">
        <v>56</v>
      </c>
      <c r="FH47" s="17" t="s">
        <v>56</v>
      </c>
      <c r="FI47" s="17" t="s">
        <v>56</v>
      </c>
      <c r="FJ47" s="17" t="s">
        <v>56</v>
      </c>
      <c r="FK47" s="17" t="s">
        <v>56</v>
      </c>
      <c r="FL47" s="17" t="s">
        <v>56</v>
      </c>
      <c r="FM47" s="17" t="s">
        <v>56</v>
      </c>
      <c r="FN47" s="17" t="s">
        <v>56</v>
      </c>
      <c r="FO47" s="17" t="s">
        <v>56</v>
      </c>
      <c r="FP47" s="17" t="s">
        <v>56</v>
      </c>
      <c r="FQ47" s="17" t="s">
        <v>56</v>
      </c>
      <c r="FR47" s="17" t="s">
        <v>56</v>
      </c>
      <c r="FS47" s="17" t="s">
        <v>56</v>
      </c>
      <c r="FT47" s="17" t="s">
        <v>56</v>
      </c>
      <c r="FU47" s="17">
        <v>278.95413350444198</v>
      </c>
      <c r="FV47" s="17">
        <v>1497.9974076441099</v>
      </c>
      <c r="FW47" s="17" t="s">
        <v>56</v>
      </c>
      <c r="FX47" s="17" t="s">
        <v>56</v>
      </c>
      <c r="FY47" s="17" t="s">
        <v>56</v>
      </c>
      <c r="FZ47" s="17" t="s">
        <v>56</v>
      </c>
      <c r="GA47" s="17" t="s">
        <v>56</v>
      </c>
      <c r="GB47" s="17" t="s">
        <v>56</v>
      </c>
      <c r="GC47" s="17" t="s">
        <v>56</v>
      </c>
      <c r="GD47" s="17" t="s">
        <v>2969</v>
      </c>
      <c r="GE47" s="17" t="s">
        <v>2969</v>
      </c>
      <c r="GF47" s="17" t="s">
        <v>56</v>
      </c>
      <c r="GG47" s="17" t="s">
        <v>2818</v>
      </c>
      <c r="GH47" s="17" t="s">
        <v>2818</v>
      </c>
      <c r="GI47" s="17" t="s">
        <v>1111</v>
      </c>
      <c r="GJ47" s="17" t="s">
        <v>1111</v>
      </c>
      <c r="GK47" s="17" t="s">
        <v>1111</v>
      </c>
      <c r="GL47" s="17"/>
    </row>
    <row r="48" spans="2:194" x14ac:dyDescent="0.25">
      <c r="B48" s="17" t="s">
        <v>2840</v>
      </c>
      <c r="C48" s="17" t="s">
        <v>70</v>
      </c>
      <c r="D48" s="17" t="s">
        <v>3411</v>
      </c>
      <c r="E48" s="17" t="s">
        <v>3412</v>
      </c>
      <c r="F48" s="17" t="s">
        <v>3237</v>
      </c>
      <c r="G48" s="17" t="s">
        <v>3413</v>
      </c>
      <c r="H48" s="17"/>
      <c r="I48" s="17" t="s">
        <v>2797</v>
      </c>
      <c r="J48" s="17" t="s">
        <v>3403</v>
      </c>
      <c r="K48" s="17" t="s">
        <v>2653</v>
      </c>
      <c r="L48" s="17" t="s">
        <v>2800</v>
      </c>
      <c r="M48" s="17" t="s">
        <v>3414</v>
      </c>
      <c r="N48" s="17" t="s">
        <v>1325</v>
      </c>
      <c r="O48" s="17" t="s">
        <v>2813</v>
      </c>
      <c r="P48" s="17" t="s">
        <v>2814</v>
      </c>
      <c r="Q48" s="17" t="s">
        <v>3616</v>
      </c>
      <c r="R48" s="17">
        <v>17897433.710000001</v>
      </c>
      <c r="S48" s="17">
        <v>4974456.4000000004</v>
      </c>
      <c r="T48" s="17">
        <v>18587154.18</v>
      </c>
      <c r="U48" s="17" t="s">
        <v>2817</v>
      </c>
      <c r="V48" s="17" t="s">
        <v>939</v>
      </c>
      <c r="W48" s="17" t="s">
        <v>2816</v>
      </c>
      <c r="X48" s="17" t="s">
        <v>3403</v>
      </c>
      <c r="Y48" s="17" t="s">
        <v>56</v>
      </c>
      <c r="Z48" s="17" t="s">
        <v>3616</v>
      </c>
      <c r="AA48" s="17" t="s">
        <v>2801</v>
      </c>
      <c r="AB48" s="17">
        <v>2.1629</v>
      </c>
      <c r="AC48" s="17" t="s">
        <v>3616</v>
      </c>
      <c r="AD48" s="17" t="s">
        <v>2804</v>
      </c>
      <c r="AE48" s="17">
        <v>319397</v>
      </c>
      <c r="AF48" s="17" t="s">
        <v>2839</v>
      </c>
      <c r="AG48" s="17" t="s">
        <v>3617</v>
      </c>
      <c r="AH48" s="17" t="s">
        <v>2806</v>
      </c>
      <c r="AI48" s="17"/>
      <c r="AJ48" s="17" t="s">
        <v>56</v>
      </c>
      <c r="AK48" s="17" t="s">
        <v>56</v>
      </c>
      <c r="AL48" s="17" t="s">
        <v>56</v>
      </c>
      <c r="AM48" s="17" t="s">
        <v>56</v>
      </c>
      <c r="AN48" s="17" t="s">
        <v>56</v>
      </c>
      <c r="AO48" s="17" t="s">
        <v>56</v>
      </c>
      <c r="AP48" s="17" t="s">
        <v>56</v>
      </c>
      <c r="AQ48" s="17" t="s">
        <v>56</v>
      </c>
      <c r="AR48" s="17" t="s">
        <v>56</v>
      </c>
      <c r="AS48" s="17">
        <v>677.19899999999996</v>
      </c>
      <c r="AT48" s="17">
        <v>82.007599999999996</v>
      </c>
      <c r="AU48" s="17">
        <v>435.83600000000001</v>
      </c>
      <c r="AV48" s="17" t="s">
        <v>56</v>
      </c>
      <c r="AW48" s="17" t="s">
        <v>56</v>
      </c>
      <c r="AX48" s="17" t="s">
        <v>56</v>
      </c>
      <c r="AY48" s="17">
        <v>561.97</v>
      </c>
      <c r="AZ48" s="17">
        <v>68.053600000000003</v>
      </c>
      <c r="BA48" s="17">
        <v>361.67599999999999</v>
      </c>
      <c r="BB48" s="17" t="s">
        <v>56</v>
      </c>
      <c r="BC48" s="17" t="s">
        <v>56</v>
      </c>
      <c r="BD48" s="17" t="s">
        <v>56</v>
      </c>
      <c r="BE48" s="17" t="s">
        <v>56</v>
      </c>
      <c r="BF48" s="17" t="s">
        <v>56</v>
      </c>
      <c r="BG48" s="17" t="s">
        <v>56</v>
      </c>
      <c r="BH48" s="17" t="s">
        <v>56</v>
      </c>
      <c r="BI48" s="17" t="s">
        <v>56</v>
      </c>
      <c r="BJ48" s="17" t="s">
        <v>56</v>
      </c>
      <c r="BK48" s="17" t="s">
        <v>56</v>
      </c>
      <c r="BL48" s="17" t="s">
        <v>56</v>
      </c>
      <c r="BM48" s="17" t="s">
        <v>56</v>
      </c>
      <c r="BN48" s="17" t="s">
        <v>56</v>
      </c>
      <c r="BO48" s="17" t="s">
        <v>56</v>
      </c>
      <c r="BP48" s="17" t="s">
        <v>56</v>
      </c>
      <c r="BQ48" s="17" t="s">
        <v>56</v>
      </c>
      <c r="BR48" s="17" t="s">
        <v>56</v>
      </c>
      <c r="BS48" s="17" t="s">
        <v>56</v>
      </c>
      <c r="BT48" s="17" t="s">
        <v>56</v>
      </c>
      <c r="BU48" s="17" t="s">
        <v>56</v>
      </c>
      <c r="BV48" s="17" t="s">
        <v>56</v>
      </c>
      <c r="BW48" s="17" t="s">
        <v>56</v>
      </c>
      <c r="BX48" s="17" t="s">
        <v>2818</v>
      </c>
      <c r="BY48" s="17" t="s">
        <v>1111</v>
      </c>
      <c r="BZ48" s="17" t="s">
        <v>56</v>
      </c>
      <c r="CA48" s="17" t="s">
        <v>56</v>
      </c>
      <c r="CB48" s="17" t="s">
        <v>1325</v>
      </c>
      <c r="CC48" s="17" t="s">
        <v>1325</v>
      </c>
      <c r="CD48" s="17" t="s">
        <v>1325</v>
      </c>
      <c r="CE48" s="17" t="s">
        <v>1325</v>
      </c>
      <c r="CF48" s="17" t="s">
        <v>1325</v>
      </c>
      <c r="CG48" s="17" t="s">
        <v>1325</v>
      </c>
      <c r="CH48" s="17" t="s">
        <v>1325</v>
      </c>
      <c r="CI48" s="17" t="s">
        <v>1325</v>
      </c>
      <c r="CJ48" s="17" t="s">
        <v>1325</v>
      </c>
      <c r="CK48" s="17" t="s">
        <v>1325</v>
      </c>
      <c r="CL48" s="17" t="s">
        <v>1325</v>
      </c>
      <c r="CM48" s="17" t="s">
        <v>1325</v>
      </c>
      <c r="CN48" s="17" t="s">
        <v>1325</v>
      </c>
      <c r="CO48" s="17" t="s">
        <v>1325</v>
      </c>
      <c r="CP48" s="17" t="s">
        <v>1325</v>
      </c>
      <c r="CQ48" s="17" t="s">
        <v>1325</v>
      </c>
      <c r="CR48" s="17" t="s">
        <v>1325</v>
      </c>
      <c r="CS48" s="17" t="s">
        <v>1325</v>
      </c>
      <c r="CT48" s="17" t="s">
        <v>1325</v>
      </c>
      <c r="CU48" s="17" t="s">
        <v>1325</v>
      </c>
      <c r="CV48" s="17" t="s">
        <v>1325</v>
      </c>
      <c r="CW48" s="17" t="s">
        <v>56</v>
      </c>
      <c r="CX48" s="17" t="s">
        <v>56</v>
      </c>
      <c r="CY48" s="17" t="s">
        <v>56</v>
      </c>
      <c r="CZ48" s="17">
        <v>319397</v>
      </c>
      <c r="DA48" s="17">
        <v>319397</v>
      </c>
      <c r="DB48" s="17">
        <v>319397</v>
      </c>
      <c r="DC48" s="17"/>
      <c r="DD48" s="17"/>
      <c r="DE48" s="17"/>
      <c r="DF48" s="17" t="s">
        <v>3415</v>
      </c>
      <c r="DG48" s="17" t="s">
        <v>3497</v>
      </c>
      <c r="DH48" s="17" t="s">
        <v>3237</v>
      </c>
      <c r="DI48" s="17" t="s">
        <v>3498</v>
      </c>
      <c r="DJ48" s="17" t="s">
        <v>3405</v>
      </c>
      <c r="DK48" s="17" t="s">
        <v>3320</v>
      </c>
      <c r="DL48" s="17" t="s">
        <v>3418</v>
      </c>
      <c r="DM48" s="17">
        <v>1.8308999999999999E-2</v>
      </c>
      <c r="DN48" s="17">
        <v>5847.8</v>
      </c>
      <c r="DO48" s="17">
        <v>0.614610460884918</v>
      </c>
      <c r="DP48" s="17" t="s">
        <v>3308</v>
      </c>
      <c r="DQ48" s="17" t="s">
        <v>2839</v>
      </c>
      <c r="DR48" s="17" t="s">
        <v>56</v>
      </c>
      <c r="DS48" s="17" t="s">
        <v>56</v>
      </c>
      <c r="DT48" s="17" t="s">
        <v>56</v>
      </c>
      <c r="DU48" s="17" t="s">
        <v>56</v>
      </c>
      <c r="DV48" s="17" t="s">
        <v>2862</v>
      </c>
      <c r="DW48" s="17" t="s">
        <v>3309</v>
      </c>
      <c r="DX48" s="17" t="s">
        <v>3310</v>
      </c>
      <c r="DY48" s="17">
        <v>9.7795896448127796E-3</v>
      </c>
      <c r="DZ48" s="17">
        <v>2.7520410355187201E-2</v>
      </c>
      <c r="EA48" s="17" t="s">
        <v>3311</v>
      </c>
      <c r="EB48" s="17">
        <v>4.0201671797007003E-3</v>
      </c>
      <c r="EC48" s="17">
        <v>7.1798328202993004E-3</v>
      </c>
      <c r="ED48" s="17" t="s">
        <v>56</v>
      </c>
      <c r="EE48" s="17" t="s">
        <v>56</v>
      </c>
      <c r="EF48" s="17" t="s">
        <v>56</v>
      </c>
      <c r="EG48" s="17" t="s">
        <v>2862</v>
      </c>
      <c r="EH48" s="17" t="s">
        <v>3309</v>
      </c>
      <c r="EI48" s="17" t="s">
        <v>3312</v>
      </c>
      <c r="EJ48" s="17">
        <v>1.08477E-2</v>
      </c>
      <c r="EK48" s="17">
        <v>5.8252699999999998E-2</v>
      </c>
      <c r="EL48" s="17" t="s">
        <v>3311</v>
      </c>
      <c r="EM48" s="17">
        <v>4.8999999999999998E-3</v>
      </c>
      <c r="EN48" s="17">
        <v>1.01E-2</v>
      </c>
      <c r="EO48" s="17" t="s">
        <v>3312</v>
      </c>
      <c r="EP48" s="17">
        <v>4.3641500000000004</v>
      </c>
      <c r="EQ48" s="17">
        <v>23.435700000000001</v>
      </c>
      <c r="ER48" s="17" t="s">
        <v>3313</v>
      </c>
      <c r="ES48" s="17">
        <v>0.59340000000000004</v>
      </c>
      <c r="ET48" s="17">
        <v>1.2263999999999999</v>
      </c>
      <c r="EU48" s="17" t="s">
        <v>2862</v>
      </c>
      <c r="EV48" s="17" t="s">
        <v>3309</v>
      </c>
      <c r="EW48" s="17" t="s">
        <v>3312</v>
      </c>
      <c r="EX48" s="17">
        <v>4.3641500000000004</v>
      </c>
      <c r="EY48" s="17">
        <v>23.435700000000001</v>
      </c>
      <c r="EZ48" s="17" t="s">
        <v>3311</v>
      </c>
      <c r="FA48" s="17">
        <v>0.59340000000000004</v>
      </c>
      <c r="FB48" s="17">
        <v>1.2263999999999999</v>
      </c>
      <c r="FC48" s="17" t="s">
        <v>56</v>
      </c>
      <c r="FD48" s="17" t="s">
        <v>56</v>
      </c>
      <c r="FE48" s="17" t="s">
        <v>56</v>
      </c>
      <c r="FF48" s="17" t="s">
        <v>56</v>
      </c>
      <c r="FG48" s="17" t="s">
        <v>56</v>
      </c>
      <c r="FH48" s="17" t="s">
        <v>56</v>
      </c>
      <c r="FI48" s="17" t="s">
        <v>56</v>
      </c>
      <c r="FJ48" s="17" t="s">
        <v>56</v>
      </c>
      <c r="FK48" s="17" t="s">
        <v>56</v>
      </c>
      <c r="FL48" s="17" t="s">
        <v>56</v>
      </c>
      <c r="FM48" s="17" t="s">
        <v>56</v>
      </c>
      <c r="FN48" s="17" t="s">
        <v>56</v>
      </c>
      <c r="FO48" s="17" t="s">
        <v>56</v>
      </c>
      <c r="FP48" s="17" t="s">
        <v>56</v>
      </c>
      <c r="FQ48" s="17" t="s">
        <v>56</v>
      </c>
      <c r="FR48" s="17" t="s">
        <v>56</v>
      </c>
      <c r="FS48" s="17" t="s">
        <v>56</v>
      </c>
      <c r="FT48" s="17" t="s">
        <v>56</v>
      </c>
      <c r="FU48" s="17">
        <v>278.95423322003302</v>
      </c>
      <c r="FV48" s="17">
        <v>1497.99794312173</v>
      </c>
      <c r="FW48" s="17" t="s">
        <v>56</v>
      </c>
      <c r="FX48" s="17" t="s">
        <v>56</v>
      </c>
      <c r="FY48" s="17" t="s">
        <v>56</v>
      </c>
      <c r="FZ48" s="17" t="s">
        <v>56</v>
      </c>
      <c r="GA48" s="17" t="s">
        <v>56</v>
      </c>
      <c r="GB48" s="17" t="s">
        <v>56</v>
      </c>
      <c r="GC48" s="17" t="s">
        <v>56</v>
      </c>
      <c r="GD48" s="17" t="s">
        <v>2969</v>
      </c>
      <c r="GE48" s="17" t="s">
        <v>2969</v>
      </c>
      <c r="GF48" s="17" t="s">
        <v>56</v>
      </c>
      <c r="GG48" s="17" t="s">
        <v>2818</v>
      </c>
      <c r="GH48" s="17" t="s">
        <v>2818</v>
      </c>
      <c r="GI48" s="17" t="s">
        <v>1111</v>
      </c>
      <c r="GJ48" s="17" t="s">
        <v>1111</v>
      </c>
      <c r="GK48" s="17" t="s">
        <v>1111</v>
      </c>
      <c r="GL48" s="17"/>
    </row>
    <row r="49" spans="2:194" x14ac:dyDescent="0.25">
      <c r="B49" s="17" t="s">
        <v>2840</v>
      </c>
      <c r="C49" s="17" t="s">
        <v>70</v>
      </c>
      <c r="D49" s="17" t="s">
        <v>3411</v>
      </c>
      <c r="E49" s="17" t="s">
        <v>3412</v>
      </c>
      <c r="F49" s="17" t="s">
        <v>3237</v>
      </c>
      <c r="G49" s="17" t="s">
        <v>3413</v>
      </c>
      <c r="H49" s="17"/>
      <c r="I49" s="17" t="s">
        <v>2797</v>
      </c>
      <c r="J49" s="17" t="s">
        <v>3403</v>
      </c>
      <c r="K49" s="17" t="s">
        <v>2653</v>
      </c>
      <c r="L49" s="17" t="s">
        <v>2800</v>
      </c>
      <c r="M49" s="17" t="s">
        <v>3414</v>
      </c>
      <c r="N49" s="17" t="s">
        <v>1325</v>
      </c>
      <c r="O49" s="17" t="s">
        <v>2813</v>
      </c>
      <c r="P49" s="17" t="s">
        <v>2814</v>
      </c>
      <c r="Q49" s="17" t="s">
        <v>3616</v>
      </c>
      <c r="R49" s="17">
        <v>17897433.710000001</v>
      </c>
      <c r="S49" s="17">
        <v>4974456.4000000004</v>
      </c>
      <c r="T49" s="17">
        <v>18587154.18</v>
      </c>
      <c r="U49" s="17" t="s">
        <v>2817</v>
      </c>
      <c r="V49" s="17" t="s">
        <v>939</v>
      </c>
      <c r="W49" s="17" t="s">
        <v>2816</v>
      </c>
      <c r="X49" s="17" t="s">
        <v>3403</v>
      </c>
      <c r="Y49" s="17" t="s">
        <v>56</v>
      </c>
      <c r="Z49" s="17" t="s">
        <v>3616</v>
      </c>
      <c r="AA49" s="17" t="s">
        <v>2801</v>
      </c>
      <c r="AB49" s="17">
        <v>2.1629</v>
      </c>
      <c r="AC49" s="17" t="s">
        <v>3616</v>
      </c>
      <c r="AD49" s="17" t="s">
        <v>2804</v>
      </c>
      <c r="AE49" s="17">
        <v>319397</v>
      </c>
      <c r="AF49" s="17" t="s">
        <v>2839</v>
      </c>
      <c r="AG49" s="17" t="s">
        <v>3617</v>
      </c>
      <c r="AH49" s="17" t="s">
        <v>2806</v>
      </c>
      <c r="AI49" s="17"/>
      <c r="AJ49" s="17" t="s">
        <v>56</v>
      </c>
      <c r="AK49" s="17" t="s">
        <v>56</v>
      </c>
      <c r="AL49" s="17" t="s">
        <v>56</v>
      </c>
      <c r="AM49" s="17" t="s">
        <v>56</v>
      </c>
      <c r="AN49" s="17" t="s">
        <v>56</v>
      </c>
      <c r="AO49" s="17" t="s">
        <v>56</v>
      </c>
      <c r="AP49" s="17" t="s">
        <v>56</v>
      </c>
      <c r="AQ49" s="17" t="s">
        <v>56</v>
      </c>
      <c r="AR49" s="17" t="s">
        <v>56</v>
      </c>
      <c r="AS49" s="17">
        <v>677.19899999999996</v>
      </c>
      <c r="AT49" s="17">
        <v>82.007599999999996</v>
      </c>
      <c r="AU49" s="17">
        <v>435.83600000000001</v>
      </c>
      <c r="AV49" s="17" t="s">
        <v>56</v>
      </c>
      <c r="AW49" s="17" t="s">
        <v>56</v>
      </c>
      <c r="AX49" s="17" t="s">
        <v>56</v>
      </c>
      <c r="AY49" s="17">
        <v>561.97</v>
      </c>
      <c r="AZ49" s="17">
        <v>68.053600000000003</v>
      </c>
      <c r="BA49" s="17">
        <v>361.67599999999999</v>
      </c>
      <c r="BB49" s="17" t="s">
        <v>56</v>
      </c>
      <c r="BC49" s="17" t="s">
        <v>56</v>
      </c>
      <c r="BD49" s="17" t="s">
        <v>56</v>
      </c>
      <c r="BE49" s="17" t="s">
        <v>56</v>
      </c>
      <c r="BF49" s="17" t="s">
        <v>56</v>
      </c>
      <c r="BG49" s="17" t="s">
        <v>56</v>
      </c>
      <c r="BH49" s="17" t="s">
        <v>56</v>
      </c>
      <c r="BI49" s="17" t="s">
        <v>56</v>
      </c>
      <c r="BJ49" s="17" t="s">
        <v>56</v>
      </c>
      <c r="BK49" s="17" t="s">
        <v>56</v>
      </c>
      <c r="BL49" s="17" t="s">
        <v>56</v>
      </c>
      <c r="BM49" s="17" t="s">
        <v>56</v>
      </c>
      <c r="BN49" s="17" t="s">
        <v>56</v>
      </c>
      <c r="BO49" s="17" t="s">
        <v>56</v>
      </c>
      <c r="BP49" s="17" t="s">
        <v>56</v>
      </c>
      <c r="BQ49" s="17" t="s">
        <v>56</v>
      </c>
      <c r="BR49" s="17" t="s">
        <v>56</v>
      </c>
      <c r="BS49" s="17" t="s">
        <v>56</v>
      </c>
      <c r="BT49" s="17" t="s">
        <v>56</v>
      </c>
      <c r="BU49" s="17" t="s">
        <v>56</v>
      </c>
      <c r="BV49" s="17" t="s">
        <v>56</v>
      </c>
      <c r="BW49" s="17" t="s">
        <v>56</v>
      </c>
      <c r="BX49" s="17" t="s">
        <v>2818</v>
      </c>
      <c r="BY49" s="17" t="s">
        <v>1111</v>
      </c>
      <c r="BZ49" s="17" t="s">
        <v>56</v>
      </c>
      <c r="CA49" s="17" t="s">
        <v>56</v>
      </c>
      <c r="CB49" s="17" t="s">
        <v>1325</v>
      </c>
      <c r="CC49" s="17" t="s">
        <v>1325</v>
      </c>
      <c r="CD49" s="17" t="s">
        <v>1325</v>
      </c>
      <c r="CE49" s="17" t="s">
        <v>1325</v>
      </c>
      <c r="CF49" s="17" t="s">
        <v>1325</v>
      </c>
      <c r="CG49" s="17" t="s">
        <v>1325</v>
      </c>
      <c r="CH49" s="17" t="s">
        <v>1325</v>
      </c>
      <c r="CI49" s="17" t="s">
        <v>1325</v>
      </c>
      <c r="CJ49" s="17" t="s">
        <v>1325</v>
      </c>
      <c r="CK49" s="17" t="s">
        <v>1325</v>
      </c>
      <c r="CL49" s="17" t="s">
        <v>1325</v>
      </c>
      <c r="CM49" s="17" t="s">
        <v>1325</v>
      </c>
      <c r="CN49" s="17" t="s">
        <v>1325</v>
      </c>
      <c r="CO49" s="17" t="s">
        <v>1325</v>
      </c>
      <c r="CP49" s="17" t="s">
        <v>1325</v>
      </c>
      <c r="CQ49" s="17" t="s">
        <v>1325</v>
      </c>
      <c r="CR49" s="17" t="s">
        <v>1325</v>
      </c>
      <c r="CS49" s="17" t="s">
        <v>1325</v>
      </c>
      <c r="CT49" s="17" t="s">
        <v>1325</v>
      </c>
      <c r="CU49" s="17" t="s">
        <v>1325</v>
      </c>
      <c r="CV49" s="17" t="s">
        <v>1325</v>
      </c>
      <c r="CW49" s="17" t="s">
        <v>56</v>
      </c>
      <c r="CX49" s="17" t="s">
        <v>56</v>
      </c>
      <c r="CY49" s="17" t="s">
        <v>56</v>
      </c>
      <c r="CZ49" s="17">
        <v>319397</v>
      </c>
      <c r="DA49" s="17">
        <v>319397</v>
      </c>
      <c r="DB49" s="17">
        <v>319397</v>
      </c>
      <c r="DC49" s="17"/>
      <c r="DD49" s="17"/>
      <c r="DE49" s="17"/>
      <c r="DF49" s="17" t="s">
        <v>3415</v>
      </c>
      <c r="DG49" s="17" t="s">
        <v>3499</v>
      </c>
      <c r="DH49" s="17" t="s">
        <v>3237</v>
      </c>
      <c r="DI49" s="17" t="s">
        <v>3438</v>
      </c>
      <c r="DJ49" s="17" t="s">
        <v>3405</v>
      </c>
      <c r="DK49" s="17" t="s">
        <v>3320</v>
      </c>
      <c r="DL49" s="17" t="s">
        <v>3418</v>
      </c>
      <c r="DM49" s="17">
        <v>4.4149999999999997E-3</v>
      </c>
      <c r="DN49" s="17">
        <v>1410.1</v>
      </c>
      <c r="DO49" s="17">
        <v>0.42855779115466403</v>
      </c>
      <c r="DP49" s="17" t="s">
        <v>3308</v>
      </c>
      <c r="DQ49" s="17" t="s">
        <v>2839</v>
      </c>
      <c r="DR49" s="17" t="s">
        <v>56</v>
      </c>
      <c r="DS49" s="17" t="s">
        <v>56</v>
      </c>
      <c r="DT49" s="17" t="s">
        <v>56</v>
      </c>
      <c r="DU49" s="17" t="s">
        <v>56</v>
      </c>
      <c r="DV49" s="17" t="s">
        <v>2862</v>
      </c>
      <c r="DW49" s="17" t="s">
        <v>3309</v>
      </c>
      <c r="DX49" s="17" t="s">
        <v>3310</v>
      </c>
      <c r="DY49" s="17">
        <v>9.7795896448127796E-3</v>
      </c>
      <c r="DZ49" s="17">
        <v>2.7520410355187201E-2</v>
      </c>
      <c r="EA49" s="17" t="s">
        <v>3311</v>
      </c>
      <c r="EB49" s="17">
        <v>4.0201671797007003E-3</v>
      </c>
      <c r="EC49" s="17">
        <v>7.1798328202993004E-3</v>
      </c>
      <c r="ED49" s="17" t="s">
        <v>56</v>
      </c>
      <c r="EE49" s="17" t="s">
        <v>56</v>
      </c>
      <c r="EF49" s="17" t="s">
        <v>56</v>
      </c>
      <c r="EG49" s="17" t="s">
        <v>2862</v>
      </c>
      <c r="EH49" s="17" t="s">
        <v>3309</v>
      </c>
      <c r="EI49" s="17" t="s">
        <v>3312</v>
      </c>
      <c r="EJ49" s="17">
        <v>1.08477E-2</v>
      </c>
      <c r="EK49" s="17">
        <v>5.8252699999999998E-2</v>
      </c>
      <c r="EL49" s="17" t="s">
        <v>3311</v>
      </c>
      <c r="EM49" s="17">
        <v>4.8999999999999998E-3</v>
      </c>
      <c r="EN49" s="17">
        <v>1.01E-2</v>
      </c>
      <c r="EO49" s="17" t="s">
        <v>3312</v>
      </c>
      <c r="EP49" s="17">
        <v>4.3641500000000004</v>
      </c>
      <c r="EQ49" s="17">
        <v>23.435700000000001</v>
      </c>
      <c r="ER49" s="17" t="s">
        <v>3313</v>
      </c>
      <c r="ES49" s="17">
        <v>0.59340000000000004</v>
      </c>
      <c r="ET49" s="17">
        <v>1.2263999999999999</v>
      </c>
      <c r="EU49" s="17" t="s">
        <v>2862</v>
      </c>
      <c r="EV49" s="17" t="s">
        <v>3309</v>
      </c>
      <c r="EW49" s="17" t="s">
        <v>3312</v>
      </c>
      <c r="EX49" s="17">
        <v>4.3641500000000004</v>
      </c>
      <c r="EY49" s="17">
        <v>23.435700000000001</v>
      </c>
      <c r="EZ49" s="17" t="s">
        <v>3311</v>
      </c>
      <c r="FA49" s="17">
        <v>0.59340000000000004</v>
      </c>
      <c r="FB49" s="17">
        <v>1.2263999999999999</v>
      </c>
      <c r="FC49" s="17" t="s">
        <v>56</v>
      </c>
      <c r="FD49" s="17" t="s">
        <v>56</v>
      </c>
      <c r="FE49" s="17" t="s">
        <v>56</v>
      </c>
      <c r="FF49" s="17" t="s">
        <v>56</v>
      </c>
      <c r="FG49" s="17" t="s">
        <v>56</v>
      </c>
      <c r="FH49" s="17" t="s">
        <v>56</v>
      </c>
      <c r="FI49" s="17" t="s">
        <v>56</v>
      </c>
      <c r="FJ49" s="17" t="s">
        <v>56</v>
      </c>
      <c r="FK49" s="17" t="s">
        <v>56</v>
      </c>
      <c r="FL49" s="17" t="s">
        <v>56</v>
      </c>
      <c r="FM49" s="17" t="s">
        <v>56</v>
      </c>
      <c r="FN49" s="17" t="s">
        <v>56</v>
      </c>
      <c r="FO49" s="17" t="s">
        <v>56</v>
      </c>
      <c r="FP49" s="17" t="s">
        <v>56</v>
      </c>
      <c r="FQ49" s="17" t="s">
        <v>56</v>
      </c>
      <c r="FR49" s="17" t="s">
        <v>56</v>
      </c>
      <c r="FS49" s="17" t="s">
        <v>56</v>
      </c>
      <c r="FT49" s="17" t="s">
        <v>56</v>
      </c>
      <c r="FU49" s="17">
        <v>194.510210339022</v>
      </c>
      <c r="FV49" s="17">
        <v>1044.52938978775</v>
      </c>
      <c r="FW49" s="17" t="s">
        <v>56</v>
      </c>
      <c r="FX49" s="17" t="s">
        <v>56</v>
      </c>
      <c r="FY49" s="17" t="s">
        <v>56</v>
      </c>
      <c r="FZ49" s="17" t="s">
        <v>56</v>
      </c>
      <c r="GA49" s="17" t="s">
        <v>56</v>
      </c>
      <c r="GB49" s="17" t="s">
        <v>56</v>
      </c>
      <c r="GC49" s="17" t="s">
        <v>56</v>
      </c>
      <c r="GD49" s="17" t="s">
        <v>2969</v>
      </c>
      <c r="GE49" s="17" t="s">
        <v>2969</v>
      </c>
      <c r="GF49" s="17" t="s">
        <v>56</v>
      </c>
      <c r="GG49" s="17" t="s">
        <v>2818</v>
      </c>
      <c r="GH49" s="17" t="s">
        <v>2818</v>
      </c>
      <c r="GI49" s="17" t="s">
        <v>1111</v>
      </c>
      <c r="GJ49" s="17" t="s">
        <v>1111</v>
      </c>
      <c r="GK49" s="17" t="s">
        <v>1111</v>
      </c>
      <c r="GL49" s="17"/>
    </row>
    <row r="50" spans="2:194" x14ac:dyDescent="0.25">
      <c r="B50" s="17" t="s">
        <v>2840</v>
      </c>
      <c r="C50" s="17" t="s">
        <v>70</v>
      </c>
      <c r="D50" s="17" t="s">
        <v>3411</v>
      </c>
      <c r="E50" s="17" t="s">
        <v>3412</v>
      </c>
      <c r="F50" s="17" t="s">
        <v>3237</v>
      </c>
      <c r="G50" s="17" t="s">
        <v>3413</v>
      </c>
      <c r="H50" s="17"/>
      <c r="I50" s="17" t="s">
        <v>2797</v>
      </c>
      <c r="J50" s="17" t="s">
        <v>3403</v>
      </c>
      <c r="K50" s="17" t="s">
        <v>2653</v>
      </c>
      <c r="L50" s="17" t="s">
        <v>2800</v>
      </c>
      <c r="M50" s="17" t="s">
        <v>3414</v>
      </c>
      <c r="N50" s="17" t="s">
        <v>1325</v>
      </c>
      <c r="O50" s="17" t="s">
        <v>2813</v>
      </c>
      <c r="P50" s="17" t="s">
        <v>2814</v>
      </c>
      <c r="Q50" s="17" t="s">
        <v>3616</v>
      </c>
      <c r="R50" s="17">
        <v>17897433.710000001</v>
      </c>
      <c r="S50" s="17">
        <v>4974456.4000000004</v>
      </c>
      <c r="T50" s="17">
        <v>18587154.18</v>
      </c>
      <c r="U50" s="17" t="s">
        <v>2817</v>
      </c>
      <c r="V50" s="17" t="s">
        <v>939</v>
      </c>
      <c r="W50" s="17" t="s">
        <v>2816</v>
      </c>
      <c r="X50" s="17" t="s">
        <v>3403</v>
      </c>
      <c r="Y50" s="17" t="s">
        <v>56</v>
      </c>
      <c r="Z50" s="17" t="s">
        <v>3616</v>
      </c>
      <c r="AA50" s="17" t="s">
        <v>2801</v>
      </c>
      <c r="AB50" s="17">
        <v>2.1629</v>
      </c>
      <c r="AC50" s="17" t="s">
        <v>3616</v>
      </c>
      <c r="AD50" s="17" t="s">
        <v>2804</v>
      </c>
      <c r="AE50" s="17">
        <v>319397</v>
      </c>
      <c r="AF50" s="17" t="s">
        <v>2839</v>
      </c>
      <c r="AG50" s="17" t="s">
        <v>3617</v>
      </c>
      <c r="AH50" s="17" t="s">
        <v>2806</v>
      </c>
      <c r="AI50" s="17"/>
      <c r="AJ50" s="17" t="s">
        <v>56</v>
      </c>
      <c r="AK50" s="17" t="s">
        <v>56</v>
      </c>
      <c r="AL50" s="17" t="s">
        <v>56</v>
      </c>
      <c r="AM50" s="17" t="s">
        <v>56</v>
      </c>
      <c r="AN50" s="17" t="s">
        <v>56</v>
      </c>
      <c r="AO50" s="17" t="s">
        <v>56</v>
      </c>
      <c r="AP50" s="17" t="s">
        <v>56</v>
      </c>
      <c r="AQ50" s="17" t="s">
        <v>56</v>
      </c>
      <c r="AR50" s="17" t="s">
        <v>56</v>
      </c>
      <c r="AS50" s="17">
        <v>677.19899999999996</v>
      </c>
      <c r="AT50" s="17">
        <v>82.007599999999996</v>
      </c>
      <c r="AU50" s="17">
        <v>435.83600000000001</v>
      </c>
      <c r="AV50" s="17" t="s">
        <v>56</v>
      </c>
      <c r="AW50" s="17" t="s">
        <v>56</v>
      </c>
      <c r="AX50" s="17" t="s">
        <v>56</v>
      </c>
      <c r="AY50" s="17">
        <v>561.97</v>
      </c>
      <c r="AZ50" s="17">
        <v>68.053600000000003</v>
      </c>
      <c r="BA50" s="17">
        <v>361.67599999999999</v>
      </c>
      <c r="BB50" s="17" t="s">
        <v>56</v>
      </c>
      <c r="BC50" s="17" t="s">
        <v>56</v>
      </c>
      <c r="BD50" s="17" t="s">
        <v>56</v>
      </c>
      <c r="BE50" s="17" t="s">
        <v>56</v>
      </c>
      <c r="BF50" s="17" t="s">
        <v>56</v>
      </c>
      <c r="BG50" s="17" t="s">
        <v>56</v>
      </c>
      <c r="BH50" s="17" t="s">
        <v>56</v>
      </c>
      <c r="BI50" s="17" t="s">
        <v>56</v>
      </c>
      <c r="BJ50" s="17" t="s">
        <v>56</v>
      </c>
      <c r="BK50" s="17" t="s">
        <v>56</v>
      </c>
      <c r="BL50" s="17" t="s">
        <v>56</v>
      </c>
      <c r="BM50" s="17" t="s">
        <v>56</v>
      </c>
      <c r="BN50" s="17" t="s">
        <v>56</v>
      </c>
      <c r="BO50" s="17" t="s">
        <v>56</v>
      </c>
      <c r="BP50" s="17" t="s">
        <v>56</v>
      </c>
      <c r="BQ50" s="17" t="s">
        <v>56</v>
      </c>
      <c r="BR50" s="17" t="s">
        <v>56</v>
      </c>
      <c r="BS50" s="17" t="s">
        <v>56</v>
      </c>
      <c r="BT50" s="17" t="s">
        <v>56</v>
      </c>
      <c r="BU50" s="17" t="s">
        <v>56</v>
      </c>
      <c r="BV50" s="17" t="s">
        <v>56</v>
      </c>
      <c r="BW50" s="17" t="s">
        <v>56</v>
      </c>
      <c r="BX50" s="17" t="s">
        <v>2818</v>
      </c>
      <c r="BY50" s="17" t="s">
        <v>1111</v>
      </c>
      <c r="BZ50" s="17" t="s">
        <v>56</v>
      </c>
      <c r="CA50" s="17" t="s">
        <v>56</v>
      </c>
      <c r="CB50" s="17" t="s">
        <v>1325</v>
      </c>
      <c r="CC50" s="17" t="s">
        <v>1325</v>
      </c>
      <c r="CD50" s="17" t="s">
        <v>1325</v>
      </c>
      <c r="CE50" s="17" t="s">
        <v>1325</v>
      </c>
      <c r="CF50" s="17" t="s">
        <v>1325</v>
      </c>
      <c r="CG50" s="17" t="s">
        <v>1325</v>
      </c>
      <c r="CH50" s="17" t="s">
        <v>1325</v>
      </c>
      <c r="CI50" s="17" t="s">
        <v>1325</v>
      </c>
      <c r="CJ50" s="17" t="s">
        <v>1325</v>
      </c>
      <c r="CK50" s="17" t="s">
        <v>1325</v>
      </c>
      <c r="CL50" s="17" t="s">
        <v>1325</v>
      </c>
      <c r="CM50" s="17" t="s">
        <v>1325</v>
      </c>
      <c r="CN50" s="17" t="s">
        <v>1325</v>
      </c>
      <c r="CO50" s="17" t="s">
        <v>1325</v>
      </c>
      <c r="CP50" s="17" t="s">
        <v>1325</v>
      </c>
      <c r="CQ50" s="17" t="s">
        <v>1325</v>
      </c>
      <c r="CR50" s="17" t="s">
        <v>1325</v>
      </c>
      <c r="CS50" s="17" t="s">
        <v>1325</v>
      </c>
      <c r="CT50" s="17" t="s">
        <v>1325</v>
      </c>
      <c r="CU50" s="17" t="s">
        <v>1325</v>
      </c>
      <c r="CV50" s="17" t="s">
        <v>1325</v>
      </c>
      <c r="CW50" s="17" t="s">
        <v>56</v>
      </c>
      <c r="CX50" s="17" t="s">
        <v>56</v>
      </c>
      <c r="CY50" s="17" t="s">
        <v>56</v>
      </c>
      <c r="CZ50" s="17">
        <v>319397</v>
      </c>
      <c r="DA50" s="17">
        <v>319397</v>
      </c>
      <c r="DB50" s="17">
        <v>319397</v>
      </c>
      <c r="DC50" s="17"/>
      <c r="DD50" s="17"/>
      <c r="DE50" s="17"/>
      <c r="DF50" s="17" t="s">
        <v>3415</v>
      </c>
      <c r="DG50" s="17" t="s">
        <v>3500</v>
      </c>
      <c r="DH50" s="17" t="s">
        <v>3237</v>
      </c>
      <c r="DI50" s="17" t="s">
        <v>3501</v>
      </c>
      <c r="DJ50" s="17" t="s">
        <v>3405</v>
      </c>
      <c r="DK50" s="17" t="s">
        <v>3320</v>
      </c>
      <c r="DL50" s="17" t="s">
        <v>3418</v>
      </c>
      <c r="DM50" s="17">
        <v>1.018E-3</v>
      </c>
      <c r="DN50" s="17">
        <v>325.10000000000002</v>
      </c>
      <c r="DO50" s="17">
        <v>0.42856007743083002</v>
      </c>
      <c r="DP50" s="17" t="s">
        <v>3308</v>
      </c>
      <c r="DQ50" s="17" t="s">
        <v>2839</v>
      </c>
      <c r="DR50" s="17" t="s">
        <v>56</v>
      </c>
      <c r="DS50" s="17" t="s">
        <v>56</v>
      </c>
      <c r="DT50" s="17" t="s">
        <v>56</v>
      </c>
      <c r="DU50" s="17" t="s">
        <v>56</v>
      </c>
      <c r="DV50" s="17" t="s">
        <v>2862</v>
      </c>
      <c r="DW50" s="17" t="s">
        <v>3309</v>
      </c>
      <c r="DX50" s="17" t="s">
        <v>3310</v>
      </c>
      <c r="DY50" s="17">
        <v>9.7795896448127796E-3</v>
      </c>
      <c r="DZ50" s="17">
        <v>2.7520410355187201E-2</v>
      </c>
      <c r="EA50" s="17" t="s">
        <v>3311</v>
      </c>
      <c r="EB50" s="17">
        <v>4.0201671797007003E-3</v>
      </c>
      <c r="EC50" s="17">
        <v>7.1798328202993004E-3</v>
      </c>
      <c r="ED50" s="17" t="s">
        <v>56</v>
      </c>
      <c r="EE50" s="17" t="s">
        <v>56</v>
      </c>
      <c r="EF50" s="17" t="s">
        <v>56</v>
      </c>
      <c r="EG50" s="17" t="s">
        <v>2862</v>
      </c>
      <c r="EH50" s="17" t="s">
        <v>3309</v>
      </c>
      <c r="EI50" s="17" t="s">
        <v>3312</v>
      </c>
      <c r="EJ50" s="17">
        <v>1.08477E-2</v>
      </c>
      <c r="EK50" s="17">
        <v>5.8252699999999998E-2</v>
      </c>
      <c r="EL50" s="17" t="s">
        <v>3311</v>
      </c>
      <c r="EM50" s="17">
        <v>4.8999999999999998E-3</v>
      </c>
      <c r="EN50" s="17">
        <v>1.01E-2</v>
      </c>
      <c r="EO50" s="17" t="s">
        <v>3312</v>
      </c>
      <c r="EP50" s="17">
        <v>4.3641500000000004</v>
      </c>
      <c r="EQ50" s="17">
        <v>23.435700000000001</v>
      </c>
      <c r="ER50" s="17" t="s">
        <v>3313</v>
      </c>
      <c r="ES50" s="17">
        <v>0.59340000000000004</v>
      </c>
      <c r="ET50" s="17">
        <v>1.2263999999999999</v>
      </c>
      <c r="EU50" s="17" t="s">
        <v>2862</v>
      </c>
      <c r="EV50" s="17" t="s">
        <v>3309</v>
      </c>
      <c r="EW50" s="17" t="s">
        <v>3312</v>
      </c>
      <c r="EX50" s="17">
        <v>4.3641500000000004</v>
      </c>
      <c r="EY50" s="17">
        <v>23.435700000000001</v>
      </c>
      <c r="EZ50" s="17" t="s">
        <v>3311</v>
      </c>
      <c r="FA50" s="17">
        <v>0.59340000000000004</v>
      </c>
      <c r="FB50" s="17">
        <v>1.2263999999999999</v>
      </c>
      <c r="FC50" s="17" t="s">
        <v>56</v>
      </c>
      <c r="FD50" s="17" t="s">
        <v>56</v>
      </c>
      <c r="FE50" s="17" t="s">
        <v>56</v>
      </c>
      <c r="FF50" s="17" t="s">
        <v>56</v>
      </c>
      <c r="FG50" s="17" t="s">
        <v>56</v>
      </c>
      <c r="FH50" s="17" t="s">
        <v>56</v>
      </c>
      <c r="FI50" s="17" t="s">
        <v>56</v>
      </c>
      <c r="FJ50" s="17" t="s">
        <v>56</v>
      </c>
      <c r="FK50" s="17" t="s">
        <v>56</v>
      </c>
      <c r="FL50" s="17" t="s">
        <v>56</v>
      </c>
      <c r="FM50" s="17" t="s">
        <v>56</v>
      </c>
      <c r="FN50" s="17" t="s">
        <v>56</v>
      </c>
      <c r="FO50" s="17" t="s">
        <v>56</v>
      </c>
      <c r="FP50" s="17" t="s">
        <v>56</v>
      </c>
      <c r="FQ50" s="17" t="s">
        <v>56</v>
      </c>
      <c r="FR50" s="17" t="s">
        <v>56</v>
      </c>
      <c r="FS50" s="17" t="s">
        <v>56</v>
      </c>
      <c r="FT50" s="17" t="s">
        <v>56</v>
      </c>
      <c r="FU50" s="17">
        <v>194.51124802566099</v>
      </c>
      <c r="FV50" s="17">
        <v>1044.5349622160099</v>
      </c>
      <c r="FW50" s="17" t="s">
        <v>56</v>
      </c>
      <c r="FX50" s="17" t="s">
        <v>56</v>
      </c>
      <c r="FY50" s="17" t="s">
        <v>56</v>
      </c>
      <c r="FZ50" s="17" t="s">
        <v>56</v>
      </c>
      <c r="GA50" s="17" t="s">
        <v>56</v>
      </c>
      <c r="GB50" s="17" t="s">
        <v>56</v>
      </c>
      <c r="GC50" s="17" t="s">
        <v>56</v>
      </c>
      <c r="GD50" s="17" t="s">
        <v>2969</v>
      </c>
      <c r="GE50" s="17" t="s">
        <v>2969</v>
      </c>
      <c r="GF50" s="17" t="s">
        <v>56</v>
      </c>
      <c r="GG50" s="17" t="s">
        <v>2818</v>
      </c>
      <c r="GH50" s="17" t="s">
        <v>2818</v>
      </c>
      <c r="GI50" s="17" t="s">
        <v>1111</v>
      </c>
      <c r="GJ50" s="17" t="s">
        <v>1111</v>
      </c>
      <c r="GK50" s="17" t="s">
        <v>1111</v>
      </c>
      <c r="GL50" s="17"/>
    </row>
    <row r="51" spans="2:194" x14ac:dyDescent="0.25">
      <c r="B51" s="17" t="s">
        <v>2840</v>
      </c>
      <c r="C51" s="17" t="s">
        <v>70</v>
      </c>
      <c r="D51" s="17" t="s">
        <v>3411</v>
      </c>
      <c r="E51" s="17" t="s">
        <v>3412</v>
      </c>
      <c r="F51" s="17" t="s">
        <v>3237</v>
      </c>
      <c r="G51" s="17" t="s">
        <v>3413</v>
      </c>
      <c r="H51" s="17"/>
      <c r="I51" s="17" t="s">
        <v>2797</v>
      </c>
      <c r="J51" s="17" t="s">
        <v>3403</v>
      </c>
      <c r="K51" s="17" t="s">
        <v>2653</v>
      </c>
      <c r="L51" s="17" t="s">
        <v>2800</v>
      </c>
      <c r="M51" s="17" t="s">
        <v>3414</v>
      </c>
      <c r="N51" s="17" t="s">
        <v>1325</v>
      </c>
      <c r="O51" s="17" t="s">
        <v>2813</v>
      </c>
      <c r="P51" s="17" t="s">
        <v>2814</v>
      </c>
      <c r="Q51" s="17" t="s">
        <v>3616</v>
      </c>
      <c r="R51" s="17">
        <v>17897433.710000001</v>
      </c>
      <c r="S51" s="17">
        <v>4974456.4000000004</v>
      </c>
      <c r="T51" s="17">
        <v>18587154.18</v>
      </c>
      <c r="U51" s="17" t="s">
        <v>2817</v>
      </c>
      <c r="V51" s="17" t="s">
        <v>939</v>
      </c>
      <c r="W51" s="17" t="s">
        <v>2816</v>
      </c>
      <c r="X51" s="17" t="s">
        <v>3403</v>
      </c>
      <c r="Y51" s="17" t="s">
        <v>56</v>
      </c>
      <c r="Z51" s="17" t="s">
        <v>3616</v>
      </c>
      <c r="AA51" s="17" t="s">
        <v>2801</v>
      </c>
      <c r="AB51" s="17">
        <v>2.1629</v>
      </c>
      <c r="AC51" s="17" t="s">
        <v>3616</v>
      </c>
      <c r="AD51" s="17" t="s">
        <v>2804</v>
      </c>
      <c r="AE51" s="17">
        <v>319397</v>
      </c>
      <c r="AF51" s="17" t="s">
        <v>2839</v>
      </c>
      <c r="AG51" s="17" t="s">
        <v>3617</v>
      </c>
      <c r="AH51" s="17" t="s">
        <v>2806</v>
      </c>
      <c r="AI51" s="17"/>
      <c r="AJ51" s="17" t="s">
        <v>56</v>
      </c>
      <c r="AK51" s="17" t="s">
        <v>56</v>
      </c>
      <c r="AL51" s="17" t="s">
        <v>56</v>
      </c>
      <c r="AM51" s="17" t="s">
        <v>56</v>
      </c>
      <c r="AN51" s="17" t="s">
        <v>56</v>
      </c>
      <c r="AO51" s="17" t="s">
        <v>56</v>
      </c>
      <c r="AP51" s="17" t="s">
        <v>56</v>
      </c>
      <c r="AQ51" s="17" t="s">
        <v>56</v>
      </c>
      <c r="AR51" s="17" t="s">
        <v>56</v>
      </c>
      <c r="AS51" s="17">
        <v>677.19899999999996</v>
      </c>
      <c r="AT51" s="17">
        <v>82.007599999999996</v>
      </c>
      <c r="AU51" s="17">
        <v>435.83600000000001</v>
      </c>
      <c r="AV51" s="17" t="s">
        <v>56</v>
      </c>
      <c r="AW51" s="17" t="s">
        <v>56</v>
      </c>
      <c r="AX51" s="17" t="s">
        <v>56</v>
      </c>
      <c r="AY51" s="17">
        <v>561.97</v>
      </c>
      <c r="AZ51" s="17">
        <v>68.053600000000003</v>
      </c>
      <c r="BA51" s="17">
        <v>361.67599999999999</v>
      </c>
      <c r="BB51" s="17" t="s">
        <v>56</v>
      </c>
      <c r="BC51" s="17" t="s">
        <v>56</v>
      </c>
      <c r="BD51" s="17" t="s">
        <v>56</v>
      </c>
      <c r="BE51" s="17" t="s">
        <v>56</v>
      </c>
      <c r="BF51" s="17" t="s">
        <v>56</v>
      </c>
      <c r="BG51" s="17" t="s">
        <v>56</v>
      </c>
      <c r="BH51" s="17" t="s">
        <v>56</v>
      </c>
      <c r="BI51" s="17" t="s">
        <v>56</v>
      </c>
      <c r="BJ51" s="17" t="s">
        <v>56</v>
      </c>
      <c r="BK51" s="17" t="s">
        <v>56</v>
      </c>
      <c r="BL51" s="17" t="s">
        <v>56</v>
      </c>
      <c r="BM51" s="17" t="s">
        <v>56</v>
      </c>
      <c r="BN51" s="17" t="s">
        <v>56</v>
      </c>
      <c r="BO51" s="17" t="s">
        <v>56</v>
      </c>
      <c r="BP51" s="17" t="s">
        <v>56</v>
      </c>
      <c r="BQ51" s="17" t="s">
        <v>56</v>
      </c>
      <c r="BR51" s="17" t="s">
        <v>56</v>
      </c>
      <c r="BS51" s="17" t="s">
        <v>56</v>
      </c>
      <c r="BT51" s="17" t="s">
        <v>56</v>
      </c>
      <c r="BU51" s="17" t="s">
        <v>56</v>
      </c>
      <c r="BV51" s="17" t="s">
        <v>56</v>
      </c>
      <c r="BW51" s="17" t="s">
        <v>56</v>
      </c>
      <c r="BX51" s="17" t="s">
        <v>2818</v>
      </c>
      <c r="BY51" s="17" t="s">
        <v>1111</v>
      </c>
      <c r="BZ51" s="17" t="s">
        <v>56</v>
      </c>
      <c r="CA51" s="17" t="s">
        <v>56</v>
      </c>
      <c r="CB51" s="17" t="s">
        <v>1325</v>
      </c>
      <c r="CC51" s="17" t="s">
        <v>1325</v>
      </c>
      <c r="CD51" s="17" t="s">
        <v>1325</v>
      </c>
      <c r="CE51" s="17" t="s">
        <v>1325</v>
      </c>
      <c r="CF51" s="17" t="s">
        <v>1325</v>
      </c>
      <c r="CG51" s="17" t="s">
        <v>1325</v>
      </c>
      <c r="CH51" s="17" t="s">
        <v>1325</v>
      </c>
      <c r="CI51" s="17" t="s">
        <v>1325</v>
      </c>
      <c r="CJ51" s="17" t="s">
        <v>1325</v>
      </c>
      <c r="CK51" s="17" t="s">
        <v>1325</v>
      </c>
      <c r="CL51" s="17" t="s">
        <v>1325</v>
      </c>
      <c r="CM51" s="17" t="s">
        <v>1325</v>
      </c>
      <c r="CN51" s="17" t="s">
        <v>1325</v>
      </c>
      <c r="CO51" s="17" t="s">
        <v>1325</v>
      </c>
      <c r="CP51" s="17" t="s">
        <v>1325</v>
      </c>
      <c r="CQ51" s="17" t="s">
        <v>1325</v>
      </c>
      <c r="CR51" s="17" t="s">
        <v>1325</v>
      </c>
      <c r="CS51" s="17" t="s">
        <v>1325</v>
      </c>
      <c r="CT51" s="17" t="s">
        <v>1325</v>
      </c>
      <c r="CU51" s="17" t="s">
        <v>1325</v>
      </c>
      <c r="CV51" s="17" t="s">
        <v>1325</v>
      </c>
      <c r="CW51" s="17" t="s">
        <v>56</v>
      </c>
      <c r="CX51" s="17" t="s">
        <v>56</v>
      </c>
      <c r="CY51" s="17" t="s">
        <v>56</v>
      </c>
      <c r="CZ51" s="17">
        <v>319397</v>
      </c>
      <c r="DA51" s="17">
        <v>319397</v>
      </c>
      <c r="DB51" s="17">
        <v>319397</v>
      </c>
      <c r="DC51" s="17"/>
      <c r="DD51" s="17"/>
      <c r="DE51" s="17"/>
      <c r="DF51" s="17" t="s">
        <v>3415</v>
      </c>
      <c r="DG51" s="17" t="s">
        <v>3502</v>
      </c>
      <c r="DH51" s="17" t="s">
        <v>3237</v>
      </c>
      <c r="DI51" s="17" t="s">
        <v>3503</v>
      </c>
      <c r="DJ51" s="17" t="s">
        <v>3405</v>
      </c>
      <c r="DK51" s="17" t="s">
        <v>3320</v>
      </c>
      <c r="DL51" s="17" t="s">
        <v>3418</v>
      </c>
      <c r="DM51" s="17">
        <v>7.9310000000000005E-3</v>
      </c>
      <c r="DN51" s="17">
        <v>2533.1</v>
      </c>
      <c r="DO51" s="17">
        <v>0.4285577195686</v>
      </c>
      <c r="DP51" s="17" t="s">
        <v>3308</v>
      </c>
      <c r="DQ51" s="17" t="s">
        <v>2839</v>
      </c>
      <c r="DR51" s="17" t="s">
        <v>56</v>
      </c>
      <c r="DS51" s="17" t="s">
        <v>56</v>
      </c>
      <c r="DT51" s="17" t="s">
        <v>56</v>
      </c>
      <c r="DU51" s="17" t="s">
        <v>56</v>
      </c>
      <c r="DV51" s="17" t="s">
        <v>2862</v>
      </c>
      <c r="DW51" s="17" t="s">
        <v>3309</v>
      </c>
      <c r="DX51" s="17" t="s">
        <v>3310</v>
      </c>
      <c r="DY51" s="17">
        <v>9.7795896448127796E-3</v>
      </c>
      <c r="DZ51" s="17">
        <v>2.7520410355187201E-2</v>
      </c>
      <c r="EA51" s="17" t="s">
        <v>3311</v>
      </c>
      <c r="EB51" s="17">
        <v>4.0201671797007003E-3</v>
      </c>
      <c r="EC51" s="17">
        <v>7.1798328202993004E-3</v>
      </c>
      <c r="ED51" s="17" t="s">
        <v>56</v>
      </c>
      <c r="EE51" s="17" t="s">
        <v>56</v>
      </c>
      <c r="EF51" s="17" t="s">
        <v>56</v>
      </c>
      <c r="EG51" s="17" t="s">
        <v>2862</v>
      </c>
      <c r="EH51" s="17" t="s">
        <v>3309</v>
      </c>
      <c r="EI51" s="17" t="s">
        <v>3312</v>
      </c>
      <c r="EJ51" s="17">
        <v>1.08477E-2</v>
      </c>
      <c r="EK51" s="17">
        <v>5.8252699999999998E-2</v>
      </c>
      <c r="EL51" s="17" t="s">
        <v>3311</v>
      </c>
      <c r="EM51" s="17">
        <v>4.8999999999999998E-3</v>
      </c>
      <c r="EN51" s="17">
        <v>1.01E-2</v>
      </c>
      <c r="EO51" s="17" t="s">
        <v>3312</v>
      </c>
      <c r="EP51" s="17">
        <v>4.3641500000000004</v>
      </c>
      <c r="EQ51" s="17">
        <v>23.435700000000001</v>
      </c>
      <c r="ER51" s="17" t="s">
        <v>3313</v>
      </c>
      <c r="ES51" s="17">
        <v>0.59340000000000004</v>
      </c>
      <c r="ET51" s="17">
        <v>1.2263999999999999</v>
      </c>
      <c r="EU51" s="17" t="s">
        <v>2862</v>
      </c>
      <c r="EV51" s="17" t="s">
        <v>3309</v>
      </c>
      <c r="EW51" s="17" t="s">
        <v>3312</v>
      </c>
      <c r="EX51" s="17">
        <v>4.3641500000000004</v>
      </c>
      <c r="EY51" s="17">
        <v>23.435700000000001</v>
      </c>
      <c r="EZ51" s="17" t="s">
        <v>3311</v>
      </c>
      <c r="FA51" s="17">
        <v>0.59340000000000004</v>
      </c>
      <c r="FB51" s="17">
        <v>1.2263999999999999</v>
      </c>
      <c r="FC51" s="17" t="s">
        <v>56</v>
      </c>
      <c r="FD51" s="17" t="s">
        <v>56</v>
      </c>
      <c r="FE51" s="17" t="s">
        <v>56</v>
      </c>
      <c r="FF51" s="17" t="s">
        <v>56</v>
      </c>
      <c r="FG51" s="17" t="s">
        <v>56</v>
      </c>
      <c r="FH51" s="17" t="s">
        <v>56</v>
      </c>
      <c r="FI51" s="17" t="s">
        <v>56</v>
      </c>
      <c r="FJ51" s="17" t="s">
        <v>56</v>
      </c>
      <c r="FK51" s="17" t="s">
        <v>56</v>
      </c>
      <c r="FL51" s="17" t="s">
        <v>56</v>
      </c>
      <c r="FM51" s="17" t="s">
        <v>56</v>
      </c>
      <c r="FN51" s="17" t="s">
        <v>56</v>
      </c>
      <c r="FO51" s="17" t="s">
        <v>56</v>
      </c>
      <c r="FP51" s="17" t="s">
        <v>56</v>
      </c>
      <c r="FQ51" s="17" t="s">
        <v>56</v>
      </c>
      <c r="FR51" s="17" t="s">
        <v>56</v>
      </c>
      <c r="FS51" s="17" t="s">
        <v>56</v>
      </c>
      <c r="FT51" s="17" t="s">
        <v>56</v>
      </c>
      <c r="FU51" s="17">
        <v>194.51017784181599</v>
      </c>
      <c r="FV51" s="17">
        <v>1044.5292152761599</v>
      </c>
      <c r="FW51" s="17" t="s">
        <v>56</v>
      </c>
      <c r="FX51" s="17" t="s">
        <v>56</v>
      </c>
      <c r="FY51" s="17" t="s">
        <v>56</v>
      </c>
      <c r="FZ51" s="17" t="s">
        <v>56</v>
      </c>
      <c r="GA51" s="17" t="s">
        <v>56</v>
      </c>
      <c r="GB51" s="17" t="s">
        <v>56</v>
      </c>
      <c r="GC51" s="17" t="s">
        <v>56</v>
      </c>
      <c r="GD51" s="17" t="s">
        <v>2969</v>
      </c>
      <c r="GE51" s="17" t="s">
        <v>2969</v>
      </c>
      <c r="GF51" s="17" t="s">
        <v>56</v>
      </c>
      <c r="GG51" s="17" t="s">
        <v>2818</v>
      </c>
      <c r="GH51" s="17" t="s">
        <v>2818</v>
      </c>
      <c r="GI51" s="17" t="s">
        <v>1111</v>
      </c>
      <c r="GJ51" s="17" t="s">
        <v>1111</v>
      </c>
      <c r="GK51" s="17" t="s">
        <v>1111</v>
      </c>
      <c r="GL51" s="17"/>
    </row>
    <row r="52" spans="2:194" x14ac:dyDescent="0.25">
      <c r="B52" s="17" t="s">
        <v>2840</v>
      </c>
      <c r="C52" s="17" t="s">
        <v>70</v>
      </c>
      <c r="D52" s="17" t="s">
        <v>3411</v>
      </c>
      <c r="E52" s="17" t="s">
        <v>3412</v>
      </c>
      <c r="F52" s="17" t="s">
        <v>3237</v>
      </c>
      <c r="G52" s="17" t="s">
        <v>3413</v>
      </c>
      <c r="H52" s="17"/>
      <c r="I52" s="17" t="s">
        <v>2797</v>
      </c>
      <c r="J52" s="17" t="s">
        <v>3403</v>
      </c>
      <c r="K52" s="17" t="s">
        <v>2653</v>
      </c>
      <c r="L52" s="17" t="s">
        <v>2800</v>
      </c>
      <c r="M52" s="17" t="s">
        <v>3414</v>
      </c>
      <c r="N52" s="17" t="s">
        <v>1325</v>
      </c>
      <c r="O52" s="17" t="s">
        <v>2813</v>
      </c>
      <c r="P52" s="17" t="s">
        <v>2814</v>
      </c>
      <c r="Q52" s="17" t="s">
        <v>3616</v>
      </c>
      <c r="R52" s="17">
        <v>17897433.710000001</v>
      </c>
      <c r="S52" s="17">
        <v>4974456.4000000004</v>
      </c>
      <c r="T52" s="17">
        <v>18587154.18</v>
      </c>
      <c r="U52" s="17" t="s">
        <v>2817</v>
      </c>
      <c r="V52" s="17" t="s">
        <v>939</v>
      </c>
      <c r="W52" s="17" t="s">
        <v>2816</v>
      </c>
      <c r="X52" s="17" t="s">
        <v>3403</v>
      </c>
      <c r="Y52" s="17" t="s">
        <v>56</v>
      </c>
      <c r="Z52" s="17" t="s">
        <v>3616</v>
      </c>
      <c r="AA52" s="17" t="s">
        <v>2801</v>
      </c>
      <c r="AB52" s="17">
        <v>2.1629</v>
      </c>
      <c r="AC52" s="17" t="s">
        <v>3616</v>
      </c>
      <c r="AD52" s="17" t="s">
        <v>2804</v>
      </c>
      <c r="AE52" s="17">
        <v>319397</v>
      </c>
      <c r="AF52" s="17" t="s">
        <v>2839</v>
      </c>
      <c r="AG52" s="17" t="s">
        <v>3617</v>
      </c>
      <c r="AH52" s="17" t="s">
        <v>2806</v>
      </c>
      <c r="AI52" s="17"/>
      <c r="AJ52" s="17" t="s">
        <v>56</v>
      </c>
      <c r="AK52" s="17" t="s">
        <v>56</v>
      </c>
      <c r="AL52" s="17" t="s">
        <v>56</v>
      </c>
      <c r="AM52" s="17" t="s">
        <v>56</v>
      </c>
      <c r="AN52" s="17" t="s">
        <v>56</v>
      </c>
      <c r="AO52" s="17" t="s">
        <v>56</v>
      </c>
      <c r="AP52" s="17" t="s">
        <v>56</v>
      </c>
      <c r="AQ52" s="17" t="s">
        <v>56</v>
      </c>
      <c r="AR52" s="17" t="s">
        <v>56</v>
      </c>
      <c r="AS52" s="17">
        <v>677.19899999999996</v>
      </c>
      <c r="AT52" s="17">
        <v>82.007599999999996</v>
      </c>
      <c r="AU52" s="17">
        <v>435.83600000000001</v>
      </c>
      <c r="AV52" s="17" t="s">
        <v>56</v>
      </c>
      <c r="AW52" s="17" t="s">
        <v>56</v>
      </c>
      <c r="AX52" s="17" t="s">
        <v>56</v>
      </c>
      <c r="AY52" s="17">
        <v>561.97</v>
      </c>
      <c r="AZ52" s="17">
        <v>68.053600000000003</v>
      </c>
      <c r="BA52" s="17">
        <v>361.67599999999999</v>
      </c>
      <c r="BB52" s="17" t="s">
        <v>56</v>
      </c>
      <c r="BC52" s="17" t="s">
        <v>56</v>
      </c>
      <c r="BD52" s="17" t="s">
        <v>56</v>
      </c>
      <c r="BE52" s="17" t="s">
        <v>56</v>
      </c>
      <c r="BF52" s="17" t="s">
        <v>56</v>
      </c>
      <c r="BG52" s="17" t="s">
        <v>56</v>
      </c>
      <c r="BH52" s="17" t="s">
        <v>56</v>
      </c>
      <c r="BI52" s="17" t="s">
        <v>56</v>
      </c>
      <c r="BJ52" s="17" t="s">
        <v>56</v>
      </c>
      <c r="BK52" s="17" t="s">
        <v>56</v>
      </c>
      <c r="BL52" s="17" t="s">
        <v>56</v>
      </c>
      <c r="BM52" s="17" t="s">
        <v>56</v>
      </c>
      <c r="BN52" s="17" t="s">
        <v>56</v>
      </c>
      <c r="BO52" s="17" t="s">
        <v>56</v>
      </c>
      <c r="BP52" s="17" t="s">
        <v>56</v>
      </c>
      <c r="BQ52" s="17" t="s">
        <v>56</v>
      </c>
      <c r="BR52" s="17" t="s">
        <v>56</v>
      </c>
      <c r="BS52" s="17" t="s">
        <v>56</v>
      </c>
      <c r="BT52" s="17" t="s">
        <v>56</v>
      </c>
      <c r="BU52" s="17" t="s">
        <v>56</v>
      </c>
      <c r="BV52" s="17" t="s">
        <v>56</v>
      </c>
      <c r="BW52" s="17" t="s">
        <v>56</v>
      </c>
      <c r="BX52" s="17" t="s">
        <v>2818</v>
      </c>
      <c r="BY52" s="17" t="s">
        <v>1111</v>
      </c>
      <c r="BZ52" s="17" t="s">
        <v>56</v>
      </c>
      <c r="CA52" s="17" t="s">
        <v>56</v>
      </c>
      <c r="CB52" s="17" t="s">
        <v>1325</v>
      </c>
      <c r="CC52" s="17" t="s">
        <v>1325</v>
      </c>
      <c r="CD52" s="17" t="s">
        <v>1325</v>
      </c>
      <c r="CE52" s="17" t="s">
        <v>1325</v>
      </c>
      <c r="CF52" s="17" t="s">
        <v>1325</v>
      </c>
      <c r="CG52" s="17" t="s">
        <v>1325</v>
      </c>
      <c r="CH52" s="17" t="s">
        <v>1325</v>
      </c>
      <c r="CI52" s="17" t="s">
        <v>1325</v>
      </c>
      <c r="CJ52" s="17" t="s">
        <v>1325</v>
      </c>
      <c r="CK52" s="17" t="s">
        <v>1325</v>
      </c>
      <c r="CL52" s="17" t="s">
        <v>1325</v>
      </c>
      <c r="CM52" s="17" t="s">
        <v>1325</v>
      </c>
      <c r="CN52" s="17" t="s">
        <v>1325</v>
      </c>
      <c r="CO52" s="17" t="s">
        <v>1325</v>
      </c>
      <c r="CP52" s="17" t="s">
        <v>1325</v>
      </c>
      <c r="CQ52" s="17" t="s">
        <v>1325</v>
      </c>
      <c r="CR52" s="17" t="s">
        <v>1325</v>
      </c>
      <c r="CS52" s="17" t="s">
        <v>1325</v>
      </c>
      <c r="CT52" s="17" t="s">
        <v>1325</v>
      </c>
      <c r="CU52" s="17" t="s">
        <v>1325</v>
      </c>
      <c r="CV52" s="17" t="s">
        <v>1325</v>
      </c>
      <c r="CW52" s="17" t="s">
        <v>56</v>
      </c>
      <c r="CX52" s="17" t="s">
        <v>56</v>
      </c>
      <c r="CY52" s="17" t="s">
        <v>56</v>
      </c>
      <c r="CZ52" s="17">
        <v>319397</v>
      </c>
      <c r="DA52" s="17">
        <v>319397</v>
      </c>
      <c r="DB52" s="17">
        <v>319397</v>
      </c>
      <c r="DC52" s="17"/>
      <c r="DD52" s="17"/>
      <c r="DE52" s="17"/>
      <c r="DF52" s="17" t="s">
        <v>3415</v>
      </c>
      <c r="DG52" s="17" t="s">
        <v>3504</v>
      </c>
      <c r="DH52" s="17" t="s">
        <v>3237</v>
      </c>
      <c r="DI52" s="17" t="s">
        <v>3505</v>
      </c>
      <c r="DJ52" s="17" t="s">
        <v>3405</v>
      </c>
      <c r="DK52" s="17" t="s">
        <v>3320</v>
      </c>
      <c r="DL52" s="17" t="s">
        <v>3418</v>
      </c>
      <c r="DM52" s="17">
        <v>6.9199999999999999E-3</v>
      </c>
      <c r="DN52" s="17">
        <v>2210.1999999999998</v>
      </c>
      <c r="DO52" s="17">
        <v>0.428558572196587</v>
      </c>
      <c r="DP52" s="17" t="s">
        <v>3308</v>
      </c>
      <c r="DQ52" s="17" t="s">
        <v>2839</v>
      </c>
      <c r="DR52" s="17" t="s">
        <v>56</v>
      </c>
      <c r="DS52" s="17" t="s">
        <v>56</v>
      </c>
      <c r="DT52" s="17" t="s">
        <v>56</v>
      </c>
      <c r="DU52" s="17" t="s">
        <v>56</v>
      </c>
      <c r="DV52" s="17" t="s">
        <v>2862</v>
      </c>
      <c r="DW52" s="17" t="s">
        <v>3309</v>
      </c>
      <c r="DX52" s="17" t="s">
        <v>3310</v>
      </c>
      <c r="DY52" s="17">
        <v>9.7795896448127796E-3</v>
      </c>
      <c r="DZ52" s="17">
        <v>2.7520410355187201E-2</v>
      </c>
      <c r="EA52" s="17" t="s">
        <v>3311</v>
      </c>
      <c r="EB52" s="17">
        <v>4.0201671797007003E-3</v>
      </c>
      <c r="EC52" s="17">
        <v>7.1798328202993004E-3</v>
      </c>
      <c r="ED52" s="17" t="s">
        <v>56</v>
      </c>
      <c r="EE52" s="17" t="s">
        <v>56</v>
      </c>
      <c r="EF52" s="17" t="s">
        <v>56</v>
      </c>
      <c r="EG52" s="17" t="s">
        <v>2862</v>
      </c>
      <c r="EH52" s="17" t="s">
        <v>3309</v>
      </c>
      <c r="EI52" s="17" t="s">
        <v>3312</v>
      </c>
      <c r="EJ52" s="17">
        <v>1.08477E-2</v>
      </c>
      <c r="EK52" s="17">
        <v>5.8252699999999998E-2</v>
      </c>
      <c r="EL52" s="17" t="s">
        <v>3311</v>
      </c>
      <c r="EM52" s="17">
        <v>4.8999999999999998E-3</v>
      </c>
      <c r="EN52" s="17">
        <v>1.01E-2</v>
      </c>
      <c r="EO52" s="17" t="s">
        <v>3312</v>
      </c>
      <c r="EP52" s="17">
        <v>4.3641500000000004</v>
      </c>
      <c r="EQ52" s="17">
        <v>23.435700000000001</v>
      </c>
      <c r="ER52" s="17" t="s">
        <v>3313</v>
      </c>
      <c r="ES52" s="17">
        <v>0.59340000000000004</v>
      </c>
      <c r="ET52" s="17">
        <v>1.2263999999999999</v>
      </c>
      <c r="EU52" s="17" t="s">
        <v>2862</v>
      </c>
      <c r="EV52" s="17" t="s">
        <v>3309</v>
      </c>
      <c r="EW52" s="17" t="s">
        <v>3312</v>
      </c>
      <c r="EX52" s="17">
        <v>4.3641500000000004</v>
      </c>
      <c r="EY52" s="17">
        <v>23.435700000000001</v>
      </c>
      <c r="EZ52" s="17" t="s">
        <v>3311</v>
      </c>
      <c r="FA52" s="17">
        <v>0.59340000000000004</v>
      </c>
      <c r="FB52" s="17">
        <v>1.2263999999999999</v>
      </c>
      <c r="FC52" s="17" t="s">
        <v>56</v>
      </c>
      <c r="FD52" s="17" t="s">
        <v>56</v>
      </c>
      <c r="FE52" s="17" t="s">
        <v>56</v>
      </c>
      <c r="FF52" s="17" t="s">
        <v>56</v>
      </c>
      <c r="FG52" s="17" t="s">
        <v>56</v>
      </c>
      <c r="FH52" s="17" t="s">
        <v>56</v>
      </c>
      <c r="FI52" s="17" t="s">
        <v>56</v>
      </c>
      <c r="FJ52" s="17" t="s">
        <v>56</v>
      </c>
      <c r="FK52" s="17" t="s">
        <v>56</v>
      </c>
      <c r="FL52" s="17" t="s">
        <v>56</v>
      </c>
      <c r="FM52" s="17" t="s">
        <v>56</v>
      </c>
      <c r="FN52" s="17" t="s">
        <v>56</v>
      </c>
      <c r="FO52" s="17" t="s">
        <v>56</v>
      </c>
      <c r="FP52" s="17" t="s">
        <v>56</v>
      </c>
      <c r="FQ52" s="17" t="s">
        <v>56</v>
      </c>
      <c r="FR52" s="17" t="s">
        <v>56</v>
      </c>
      <c r="FS52" s="17" t="s">
        <v>56</v>
      </c>
      <c r="FT52" s="17" t="s">
        <v>56</v>
      </c>
      <c r="FU52" s="17">
        <v>194.51056481274199</v>
      </c>
      <c r="FV52" s="17">
        <v>1044.53129332905</v>
      </c>
      <c r="FW52" s="17" t="s">
        <v>56</v>
      </c>
      <c r="FX52" s="17" t="s">
        <v>56</v>
      </c>
      <c r="FY52" s="17" t="s">
        <v>56</v>
      </c>
      <c r="FZ52" s="17" t="s">
        <v>56</v>
      </c>
      <c r="GA52" s="17" t="s">
        <v>56</v>
      </c>
      <c r="GB52" s="17" t="s">
        <v>56</v>
      </c>
      <c r="GC52" s="17" t="s">
        <v>56</v>
      </c>
      <c r="GD52" s="17" t="s">
        <v>2969</v>
      </c>
      <c r="GE52" s="17" t="s">
        <v>2969</v>
      </c>
      <c r="GF52" s="17" t="s">
        <v>56</v>
      </c>
      <c r="GG52" s="17" t="s">
        <v>2818</v>
      </c>
      <c r="GH52" s="17" t="s">
        <v>2818</v>
      </c>
      <c r="GI52" s="17" t="s">
        <v>1111</v>
      </c>
      <c r="GJ52" s="17" t="s">
        <v>1111</v>
      </c>
      <c r="GK52" s="17" t="s">
        <v>1111</v>
      </c>
      <c r="GL52" s="17"/>
    </row>
    <row r="53" spans="2:194" x14ac:dyDescent="0.25">
      <c r="B53" s="17" t="s">
        <v>2840</v>
      </c>
      <c r="C53" s="17" t="s">
        <v>70</v>
      </c>
      <c r="D53" s="17" t="s">
        <v>3411</v>
      </c>
      <c r="E53" s="17" t="s">
        <v>3412</v>
      </c>
      <c r="F53" s="17" t="s">
        <v>3237</v>
      </c>
      <c r="G53" s="17" t="s">
        <v>3413</v>
      </c>
      <c r="H53" s="17"/>
      <c r="I53" s="17" t="s">
        <v>2797</v>
      </c>
      <c r="J53" s="17" t="s">
        <v>3403</v>
      </c>
      <c r="K53" s="17" t="s">
        <v>2653</v>
      </c>
      <c r="L53" s="17" t="s">
        <v>2800</v>
      </c>
      <c r="M53" s="17" t="s">
        <v>3414</v>
      </c>
      <c r="N53" s="17" t="s">
        <v>1325</v>
      </c>
      <c r="O53" s="17" t="s">
        <v>2813</v>
      </c>
      <c r="P53" s="17" t="s">
        <v>2814</v>
      </c>
      <c r="Q53" s="17" t="s">
        <v>3616</v>
      </c>
      <c r="R53" s="17">
        <v>17897433.710000001</v>
      </c>
      <c r="S53" s="17">
        <v>4974456.4000000004</v>
      </c>
      <c r="T53" s="17">
        <v>18587154.18</v>
      </c>
      <c r="U53" s="17" t="s">
        <v>2817</v>
      </c>
      <c r="V53" s="17" t="s">
        <v>939</v>
      </c>
      <c r="W53" s="17" t="s">
        <v>2816</v>
      </c>
      <c r="X53" s="17" t="s">
        <v>3403</v>
      </c>
      <c r="Y53" s="17" t="s">
        <v>56</v>
      </c>
      <c r="Z53" s="17" t="s">
        <v>3616</v>
      </c>
      <c r="AA53" s="17" t="s">
        <v>2801</v>
      </c>
      <c r="AB53" s="17">
        <v>2.1629</v>
      </c>
      <c r="AC53" s="17" t="s">
        <v>3616</v>
      </c>
      <c r="AD53" s="17" t="s">
        <v>2804</v>
      </c>
      <c r="AE53" s="17">
        <v>319397</v>
      </c>
      <c r="AF53" s="17" t="s">
        <v>2839</v>
      </c>
      <c r="AG53" s="17" t="s">
        <v>3617</v>
      </c>
      <c r="AH53" s="17" t="s">
        <v>2806</v>
      </c>
      <c r="AI53" s="17"/>
      <c r="AJ53" s="17" t="s">
        <v>56</v>
      </c>
      <c r="AK53" s="17" t="s">
        <v>56</v>
      </c>
      <c r="AL53" s="17" t="s">
        <v>56</v>
      </c>
      <c r="AM53" s="17" t="s">
        <v>56</v>
      </c>
      <c r="AN53" s="17" t="s">
        <v>56</v>
      </c>
      <c r="AO53" s="17" t="s">
        <v>56</v>
      </c>
      <c r="AP53" s="17" t="s">
        <v>56</v>
      </c>
      <c r="AQ53" s="17" t="s">
        <v>56</v>
      </c>
      <c r="AR53" s="17" t="s">
        <v>56</v>
      </c>
      <c r="AS53" s="17">
        <v>677.19899999999996</v>
      </c>
      <c r="AT53" s="17">
        <v>82.007599999999996</v>
      </c>
      <c r="AU53" s="17">
        <v>435.83600000000001</v>
      </c>
      <c r="AV53" s="17" t="s">
        <v>56</v>
      </c>
      <c r="AW53" s="17" t="s">
        <v>56</v>
      </c>
      <c r="AX53" s="17" t="s">
        <v>56</v>
      </c>
      <c r="AY53" s="17">
        <v>561.97</v>
      </c>
      <c r="AZ53" s="17">
        <v>68.053600000000003</v>
      </c>
      <c r="BA53" s="17">
        <v>361.67599999999999</v>
      </c>
      <c r="BB53" s="17" t="s">
        <v>56</v>
      </c>
      <c r="BC53" s="17" t="s">
        <v>56</v>
      </c>
      <c r="BD53" s="17" t="s">
        <v>56</v>
      </c>
      <c r="BE53" s="17" t="s">
        <v>56</v>
      </c>
      <c r="BF53" s="17" t="s">
        <v>56</v>
      </c>
      <c r="BG53" s="17" t="s">
        <v>56</v>
      </c>
      <c r="BH53" s="17" t="s">
        <v>56</v>
      </c>
      <c r="BI53" s="17" t="s">
        <v>56</v>
      </c>
      <c r="BJ53" s="17" t="s">
        <v>56</v>
      </c>
      <c r="BK53" s="17" t="s">
        <v>56</v>
      </c>
      <c r="BL53" s="17" t="s">
        <v>56</v>
      </c>
      <c r="BM53" s="17" t="s">
        <v>56</v>
      </c>
      <c r="BN53" s="17" t="s">
        <v>56</v>
      </c>
      <c r="BO53" s="17" t="s">
        <v>56</v>
      </c>
      <c r="BP53" s="17" t="s">
        <v>56</v>
      </c>
      <c r="BQ53" s="17" t="s">
        <v>56</v>
      </c>
      <c r="BR53" s="17" t="s">
        <v>56</v>
      </c>
      <c r="BS53" s="17" t="s">
        <v>56</v>
      </c>
      <c r="BT53" s="17" t="s">
        <v>56</v>
      </c>
      <c r="BU53" s="17" t="s">
        <v>56</v>
      </c>
      <c r="BV53" s="17" t="s">
        <v>56</v>
      </c>
      <c r="BW53" s="17" t="s">
        <v>56</v>
      </c>
      <c r="BX53" s="17" t="s">
        <v>2818</v>
      </c>
      <c r="BY53" s="17" t="s">
        <v>1111</v>
      </c>
      <c r="BZ53" s="17" t="s">
        <v>56</v>
      </c>
      <c r="CA53" s="17" t="s">
        <v>56</v>
      </c>
      <c r="CB53" s="17" t="s">
        <v>1325</v>
      </c>
      <c r="CC53" s="17" t="s">
        <v>1325</v>
      </c>
      <c r="CD53" s="17" t="s">
        <v>1325</v>
      </c>
      <c r="CE53" s="17" t="s">
        <v>1325</v>
      </c>
      <c r="CF53" s="17" t="s">
        <v>1325</v>
      </c>
      <c r="CG53" s="17" t="s">
        <v>1325</v>
      </c>
      <c r="CH53" s="17" t="s">
        <v>1325</v>
      </c>
      <c r="CI53" s="17" t="s">
        <v>1325</v>
      </c>
      <c r="CJ53" s="17" t="s">
        <v>1325</v>
      </c>
      <c r="CK53" s="17" t="s">
        <v>1325</v>
      </c>
      <c r="CL53" s="17" t="s">
        <v>1325</v>
      </c>
      <c r="CM53" s="17" t="s">
        <v>1325</v>
      </c>
      <c r="CN53" s="17" t="s">
        <v>1325</v>
      </c>
      <c r="CO53" s="17" t="s">
        <v>1325</v>
      </c>
      <c r="CP53" s="17" t="s">
        <v>1325</v>
      </c>
      <c r="CQ53" s="17" t="s">
        <v>1325</v>
      </c>
      <c r="CR53" s="17" t="s">
        <v>1325</v>
      </c>
      <c r="CS53" s="17" t="s">
        <v>1325</v>
      </c>
      <c r="CT53" s="17" t="s">
        <v>1325</v>
      </c>
      <c r="CU53" s="17" t="s">
        <v>1325</v>
      </c>
      <c r="CV53" s="17" t="s">
        <v>1325</v>
      </c>
      <c r="CW53" s="17" t="s">
        <v>56</v>
      </c>
      <c r="CX53" s="17" t="s">
        <v>56</v>
      </c>
      <c r="CY53" s="17" t="s">
        <v>56</v>
      </c>
      <c r="CZ53" s="17">
        <v>319397</v>
      </c>
      <c r="DA53" s="17">
        <v>319397</v>
      </c>
      <c r="DB53" s="17">
        <v>319397</v>
      </c>
      <c r="DC53" s="17"/>
      <c r="DD53" s="17"/>
      <c r="DE53" s="17"/>
      <c r="DF53" s="17" t="s">
        <v>3415</v>
      </c>
      <c r="DG53" s="17" t="s">
        <v>3506</v>
      </c>
      <c r="DH53" s="17" t="s">
        <v>3237</v>
      </c>
      <c r="DI53" s="17" t="s">
        <v>3507</v>
      </c>
      <c r="DJ53" s="17" t="s">
        <v>3405</v>
      </c>
      <c r="DK53" s="17" t="s">
        <v>3320</v>
      </c>
      <c r="DL53" s="17" t="s">
        <v>3418</v>
      </c>
      <c r="DM53" s="17">
        <v>3.5469999999999998E-3</v>
      </c>
      <c r="DN53" s="17">
        <v>1132.9000000000001</v>
      </c>
      <c r="DO53" s="17">
        <v>0.428556119179273</v>
      </c>
      <c r="DP53" s="17" t="s">
        <v>3308</v>
      </c>
      <c r="DQ53" s="17" t="s">
        <v>2839</v>
      </c>
      <c r="DR53" s="17" t="s">
        <v>56</v>
      </c>
      <c r="DS53" s="17" t="s">
        <v>56</v>
      </c>
      <c r="DT53" s="17" t="s">
        <v>56</v>
      </c>
      <c r="DU53" s="17" t="s">
        <v>56</v>
      </c>
      <c r="DV53" s="17" t="s">
        <v>2862</v>
      </c>
      <c r="DW53" s="17" t="s">
        <v>3309</v>
      </c>
      <c r="DX53" s="17" t="s">
        <v>3310</v>
      </c>
      <c r="DY53" s="17">
        <v>9.7795896448127796E-3</v>
      </c>
      <c r="DZ53" s="17">
        <v>2.7520410355187201E-2</v>
      </c>
      <c r="EA53" s="17" t="s">
        <v>3311</v>
      </c>
      <c r="EB53" s="17">
        <v>4.0201671797007003E-3</v>
      </c>
      <c r="EC53" s="17">
        <v>7.1798328202993004E-3</v>
      </c>
      <c r="ED53" s="17" t="s">
        <v>56</v>
      </c>
      <c r="EE53" s="17" t="s">
        <v>56</v>
      </c>
      <c r="EF53" s="17" t="s">
        <v>56</v>
      </c>
      <c r="EG53" s="17" t="s">
        <v>2862</v>
      </c>
      <c r="EH53" s="17" t="s">
        <v>3309</v>
      </c>
      <c r="EI53" s="17" t="s">
        <v>3312</v>
      </c>
      <c r="EJ53" s="17">
        <v>1.08477E-2</v>
      </c>
      <c r="EK53" s="17">
        <v>5.8252699999999998E-2</v>
      </c>
      <c r="EL53" s="17" t="s">
        <v>3311</v>
      </c>
      <c r="EM53" s="17">
        <v>4.8999999999999998E-3</v>
      </c>
      <c r="EN53" s="17">
        <v>1.01E-2</v>
      </c>
      <c r="EO53" s="17" t="s">
        <v>3312</v>
      </c>
      <c r="EP53" s="17">
        <v>4.3641500000000004</v>
      </c>
      <c r="EQ53" s="17">
        <v>23.435700000000001</v>
      </c>
      <c r="ER53" s="17" t="s">
        <v>3313</v>
      </c>
      <c r="ES53" s="17">
        <v>0.59340000000000004</v>
      </c>
      <c r="ET53" s="17">
        <v>1.2263999999999999</v>
      </c>
      <c r="EU53" s="17" t="s">
        <v>2862</v>
      </c>
      <c r="EV53" s="17" t="s">
        <v>3309</v>
      </c>
      <c r="EW53" s="17" t="s">
        <v>3312</v>
      </c>
      <c r="EX53" s="17">
        <v>4.3641500000000004</v>
      </c>
      <c r="EY53" s="17">
        <v>23.435700000000001</v>
      </c>
      <c r="EZ53" s="17" t="s">
        <v>3311</v>
      </c>
      <c r="FA53" s="17">
        <v>0.59340000000000004</v>
      </c>
      <c r="FB53" s="17">
        <v>1.2263999999999999</v>
      </c>
      <c r="FC53" s="17" t="s">
        <v>56</v>
      </c>
      <c r="FD53" s="17" t="s">
        <v>56</v>
      </c>
      <c r="FE53" s="17" t="s">
        <v>56</v>
      </c>
      <c r="FF53" s="17" t="s">
        <v>56</v>
      </c>
      <c r="FG53" s="17" t="s">
        <v>56</v>
      </c>
      <c r="FH53" s="17" t="s">
        <v>56</v>
      </c>
      <c r="FI53" s="17" t="s">
        <v>56</v>
      </c>
      <c r="FJ53" s="17" t="s">
        <v>56</v>
      </c>
      <c r="FK53" s="17" t="s">
        <v>56</v>
      </c>
      <c r="FL53" s="17" t="s">
        <v>56</v>
      </c>
      <c r="FM53" s="17" t="s">
        <v>56</v>
      </c>
      <c r="FN53" s="17" t="s">
        <v>56</v>
      </c>
      <c r="FO53" s="17" t="s">
        <v>56</v>
      </c>
      <c r="FP53" s="17" t="s">
        <v>56</v>
      </c>
      <c r="FQ53" s="17" t="s">
        <v>56</v>
      </c>
      <c r="FR53" s="17" t="s">
        <v>56</v>
      </c>
      <c r="FS53" s="17" t="s">
        <v>56</v>
      </c>
      <c r="FT53" s="17" t="s">
        <v>56</v>
      </c>
      <c r="FU53" s="17">
        <v>194.509451465707</v>
      </c>
      <c r="FV53" s="17">
        <v>1044.5253146007501</v>
      </c>
      <c r="FW53" s="17" t="s">
        <v>56</v>
      </c>
      <c r="FX53" s="17" t="s">
        <v>56</v>
      </c>
      <c r="FY53" s="17" t="s">
        <v>56</v>
      </c>
      <c r="FZ53" s="17" t="s">
        <v>56</v>
      </c>
      <c r="GA53" s="17" t="s">
        <v>56</v>
      </c>
      <c r="GB53" s="17" t="s">
        <v>56</v>
      </c>
      <c r="GC53" s="17" t="s">
        <v>56</v>
      </c>
      <c r="GD53" s="17" t="s">
        <v>2969</v>
      </c>
      <c r="GE53" s="17" t="s">
        <v>2969</v>
      </c>
      <c r="GF53" s="17" t="s">
        <v>56</v>
      </c>
      <c r="GG53" s="17" t="s">
        <v>2818</v>
      </c>
      <c r="GH53" s="17" t="s">
        <v>2818</v>
      </c>
      <c r="GI53" s="17" t="s">
        <v>1111</v>
      </c>
      <c r="GJ53" s="17" t="s">
        <v>1111</v>
      </c>
      <c r="GK53" s="17" t="s">
        <v>1111</v>
      </c>
      <c r="GL53" s="17"/>
    </row>
    <row r="54" spans="2:194" x14ac:dyDescent="0.25">
      <c r="B54" s="17" t="s">
        <v>2840</v>
      </c>
      <c r="C54" s="17" t="s">
        <v>70</v>
      </c>
      <c r="D54" s="17" t="s">
        <v>3411</v>
      </c>
      <c r="E54" s="17" t="s">
        <v>3412</v>
      </c>
      <c r="F54" s="17" t="s">
        <v>3237</v>
      </c>
      <c r="G54" s="17" t="s">
        <v>3413</v>
      </c>
      <c r="H54" s="17"/>
      <c r="I54" s="17" t="s">
        <v>2797</v>
      </c>
      <c r="J54" s="17" t="s">
        <v>3403</v>
      </c>
      <c r="K54" s="17" t="s">
        <v>2653</v>
      </c>
      <c r="L54" s="17" t="s">
        <v>2800</v>
      </c>
      <c r="M54" s="17" t="s">
        <v>3414</v>
      </c>
      <c r="N54" s="17" t="s">
        <v>1325</v>
      </c>
      <c r="O54" s="17" t="s">
        <v>2813</v>
      </c>
      <c r="P54" s="17" t="s">
        <v>2814</v>
      </c>
      <c r="Q54" s="17" t="s">
        <v>3616</v>
      </c>
      <c r="R54" s="17">
        <v>17897433.710000001</v>
      </c>
      <c r="S54" s="17">
        <v>4974456.4000000004</v>
      </c>
      <c r="T54" s="17">
        <v>18587154.18</v>
      </c>
      <c r="U54" s="17" t="s">
        <v>2817</v>
      </c>
      <c r="V54" s="17" t="s">
        <v>939</v>
      </c>
      <c r="W54" s="17" t="s">
        <v>2816</v>
      </c>
      <c r="X54" s="17" t="s">
        <v>3403</v>
      </c>
      <c r="Y54" s="17" t="s">
        <v>56</v>
      </c>
      <c r="Z54" s="17" t="s">
        <v>3616</v>
      </c>
      <c r="AA54" s="17" t="s">
        <v>2801</v>
      </c>
      <c r="AB54" s="17">
        <v>2.1629</v>
      </c>
      <c r="AC54" s="17" t="s">
        <v>3616</v>
      </c>
      <c r="AD54" s="17" t="s">
        <v>2804</v>
      </c>
      <c r="AE54" s="17">
        <v>319397</v>
      </c>
      <c r="AF54" s="17" t="s">
        <v>2839</v>
      </c>
      <c r="AG54" s="17" t="s">
        <v>3617</v>
      </c>
      <c r="AH54" s="17" t="s">
        <v>2806</v>
      </c>
      <c r="AI54" s="17"/>
      <c r="AJ54" s="17" t="s">
        <v>56</v>
      </c>
      <c r="AK54" s="17" t="s">
        <v>56</v>
      </c>
      <c r="AL54" s="17" t="s">
        <v>56</v>
      </c>
      <c r="AM54" s="17" t="s">
        <v>56</v>
      </c>
      <c r="AN54" s="17" t="s">
        <v>56</v>
      </c>
      <c r="AO54" s="17" t="s">
        <v>56</v>
      </c>
      <c r="AP54" s="17" t="s">
        <v>56</v>
      </c>
      <c r="AQ54" s="17" t="s">
        <v>56</v>
      </c>
      <c r="AR54" s="17" t="s">
        <v>56</v>
      </c>
      <c r="AS54" s="17">
        <v>677.19899999999996</v>
      </c>
      <c r="AT54" s="17">
        <v>82.007599999999996</v>
      </c>
      <c r="AU54" s="17">
        <v>435.83600000000001</v>
      </c>
      <c r="AV54" s="17" t="s">
        <v>56</v>
      </c>
      <c r="AW54" s="17" t="s">
        <v>56</v>
      </c>
      <c r="AX54" s="17" t="s">
        <v>56</v>
      </c>
      <c r="AY54" s="17">
        <v>561.97</v>
      </c>
      <c r="AZ54" s="17">
        <v>68.053600000000003</v>
      </c>
      <c r="BA54" s="17">
        <v>361.67599999999999</v>
      </c>
      <c r="BB54" s="17" t="s">
        <v>56</v>
      </c>
      <c r="BC54" s="17" t="s">
        <v>56</v>
      </c>
      <c r="BD54" s="17" t="s">
        <v>56</v>
      </c>
      <c r="BE54" s="17" t="s">
        <v>56</v>
      </c>
      <c r="BF54" s="17" t="s">
        <v>56</v>
      </c>
      <c r="BG54" s="17" t="s">
        <v>56</v>
      </c>
      <c r="BH54" s="17" t="s">
        <v>56</v>
      </c>
      <c r="BI54" s="17" t="s">
        <v>56</v>
      </c>
      <c r="BJ54" s="17" t="s">
        <v>56</v>
      </c>
      <c r="BK54" s="17" t="s">
        <v>56</v>
      </c>
      <c r="BL54" s="17" t="s">
        <v>56</v>
      </c>
      <c r="BM54" s="17" t="s">
        <v>56</v>
      </c>
      <c r="BN54" s="17" t="s">
        <v>56</v>
      </c>
      <c r="BO54" s="17" t="s">
        <v>56</v>
      </c>
      <c r="BP54" s="17" t="s">
        <v>56</v>
      </c>
      <c r="BQ54" s="17" t="s">
        <v>56</v>
      </c>
      <c r="BR54" s="17" t="s">
        <v>56</v>
      </c>
      <c r="BS54" s="17" t="s">
        <v>56</v>
      </c>
      <c r="BT54" s="17" t="s">
        <v>56</v>
      </c>
      <c r="BU54" s="17" t="s">
        <v>56</v>
      </c>
      <c r="BV54" s="17" t="s">
        <v>56</v>
      </c>
      <c r="BW54" s="17" t="s">
        <v>56</v>
      </c>
      <c r="BX54" s="17" t="s">
        <v>2818</v>
      </c>
      <c r="BY54" s="17" t="s">
        <v>1111</v>
      </c>
      <c r="BZ54" s="17" t="s">
        <v>56</v>
      </c>
      <c r="CA54" s="17" t="s">
        <v>56</v>
      </c>
      <c r="CB54" s="17" t="s">
        <v>1325</v>
      </c>
      <c r="CC54" s="17" t="s">
        <v>1325</v>
      </c>
      <c r="CD54" s="17" t="s">
        <v>1325</v>
      </c>
      <c r="CE54" s="17" t="s">
        <v>1325</v>
      </c>
      <c r="CF54" s="17" t="s">
        <v>1325</v>
      </c>
      <c r="CG54" s="17" t="s">
        <v>1325</v>
      </c>
      <c r="CH54" s="17" t="s">
        <v>1325</v>
      </c>
      <c r="CI54" s="17" t="s">
        <v>1325</v>
      </c>
      <c r="CJ54" s="17" t="s">
        <v>1325</v>
      </c>
      <c r="CK54" s="17" t="s">
        <v>1325</v>
      </c>
      <c r="CL54" s="17" t="s">
        <v>1325</v>
      </c>
      <c r="CM54" s="17" t="s">
        <v>1325</v>
      </c>
      <c r="CN54" s="17" t="s">
        <v>1325</v>
      </c>
      <c r="CO54" s="17" t="s">
        <v>1325</v>
      </c>
      <c r="CP54" s="17" t="s">
        <v>1325</v>
      </c>
      <c r="CQ54" s="17" t="s">
        <v>1325</v>
      </c>
      <c r="CR54" s="17" t="s">
        <v>1325</v>
      </c>
      <c r="CS54" s="17" t="s">
        <v>1325</v>
      </c>
      <c r="CT54" s="17" t="s">
        <v>1325</v>
      </c>
      <c r="CU54" s="17" t="s">
        <v>1325</v>
      </c>
      <c r="CV54" s="17" t="s">
        <v>1325</v>
      </c>
      <c r="CW54" s="17" t="s">
        <v>56</v>
      </c>
      <c r="CX54" s="17" t="s">
        <v>56</v>
      </c>
      <c r="CY54" s="17" t="s">
        <v>56</v>
      </c>
      <c r="CZ54" s="17">
        <v>319397</v>
      </c>
      <c r="DA54" s="17">
        <v>319397</v>
      </c>
      <c r="DB54" s="17">
        <v>319397</v>
      </c>
      <c r="DC54" s="17"/>
      <c r="DD54" s="17"/>
      <c r="DE54" s="17"/>
      <c r="DF54" s="17" t="s">
        <v>3415</v>
      </c>
      <c r="DG54" s="17" t="s">
        <v>3508</v>
      </c>
      <c r="DH54" s="17" t="s">
        <v>3237</v>
      </c>
      <c r="DI54" s="17" t="s">
        <v>3509</v>
      </c>
      <c r="DJ54" s="17" t="s">
        <v>3405</v>
      </c>
      <c r="DK54" s="17" t="s">
        <v>3320</v>
      </c>
      <c r="DL54" s="17" t="s">
        <v>3418</v>
      </c>
      <c r="DM54" s="17">
        <v>8.0260000000000001E-3</v>
      </c>
      <c r="DN54" s="17">
        <v>2563.5</v>
      </c>
      <c r="DO54" s="17">
        <v>0.428557412001003</v>
      </c>
      <c r="DP54" s="17" t="s">
        <v>3308</v>
      </c>
      <c r="DQ54" s="17" t="s">
        <v>2839</v>
      </c>
      <c r="DR54" s="17" t="s">
        <v>56</v>
      </c>
      <c r="DS54" s="17" t="s">
        <v>56</v>
      </c>
      <c r="DT54" s="17" t="s">
        <v>56</v>
      </c>
      <c r="DU54" s="17" t="s">
        <v>56</v>
      </c>
      <c r="DV54" s="17" t="s">
        <v>2862</v>
      </c>
      <c r="DW54" s="17" t="s">
        <v>3309</v>
      </c>
      <c r="DX54" s="17" t="s">
        <v>3310</v>
      </c>
      <c r="DY54" s="17">
        <v>9.7795896448127796E-3</v>
      </c>
      <c r="DZ54" s="17">
        <v>2.7520410355187201E-2</v>
      </c>
      <c r="EA54" s="17" t="s">
        <v>3311</v>
      </c>
      <c r="EB54" s="17">
        <v>4.0201671797007003E-3</v>
      </c>
      <c r="EC54" s="17">
        <v>7.1798328202993004E-3</v>
      </c>
      <c r="ED54" s="17" t="s">
        <v>56</v>
      </c>
      <c r="EE54" s="17" t="s">
        <v>56</v>
      </c>
      <c r="EF54" s="17" t="s">
        <v>56</v>
      </c>
      <c r="EG54" s="17" t="s">
        <v>2862</v>
      </c>
      <c r="EH54" s="17" t="s">
        <v>3309</v>
      </c>
      <c r="EI54" s="17" t="s">
        <v>3312</v>
      </c>
      <c r="EJ54" s="17">
        <v>1.08477E-2</v>
      </c>
      <c r="EK54" s="17">
        <v>5.8252699999999998E-2</v>
      </c>
      <c r="EL54" s="17" t="s">
        <v>3311</v>
      </c>
      <c r="EM54" s="17">
        <v>4.8999999999999998E-3</v>
      </c>
      <c r="EN54" s="17">
        <v>1.01E-2</v>
      </c>
      <c r="EO54" s="17" t="s">
        <v>3312</v>
      </c>
      <c r="EP54" s="17">
        <v>4.3641500000000004</v>
      </c>
      <c r="EQ54" s="17">
        <v>23.435700000000001</v>
      </c>
      <c r="ER54" s="17" t="s">
        <v>3313</v>
      </c>
      <c r="ES54" s="17">
        <v>0.59340000000000004</v>
      </c>
      <c r="ET54" s="17">
        <v>1.2263999999999999</v>
      </c>
      <c r="EU54" s="17" t="s">
        <v>2862</v>
      </c>
      <c r="EV54" s="17" t="s">
        <v>3309</v>
      </c>
      <c r="EW54" s="17" t="s">
        <v>3312</v>
      </c>
      <c r="EX54" s="17">
        <v>4.3641500000000004</v>
      </c>
      <c r="EY54" s="17">
        <v>23.435700000000001</v>
      </c>
      <c r="EZ54" s="17" t="s">
        <v>3311</v>
      </c>
      <c r="FA54" s="17">
        <v>0.59340000000000004</v>
      </c>
      <c r="FB54" s="17">
        <v>1.2263999999999999</v>
      </c>
      <c r="FC54" s="17" t="s">
        <v>56</v>
      </c>
      <c r="FD54" s="17" t="s">
        <v>56</v>
      </c>
      <c r="FE54" s="17" t="s">
        <v>56</v>
      </c>
      <c r="FF54" s="17" t="s">
        <v>56</v>
      </c>
      <c r="FG54" s="17" t="s">
        <v>56</v>
      </c>
      <c r="FH54" s="17" t="s">
        <v>56</v>
      </c>
      <c r="FI54" s="17" t="s">
        <v>56</v>
      </c>
      <c r="FJ54" s="17" t="s">
        <v>56</v>
      </c>
      <c r="FK54" s="17" t="s">
        <v>56</v>
      </c>
      <c r="FL54" s="17" t="s">
        <v>56</v>
      </c>
      <c r="FM54" s="17" t="s">
        <v>56</v>
      </c>
      <c r="FN54" s="17" t="s">
        <v>56</v>
      </c>
      <c r="FO54" s="17" t="s">
        <v>56</v>
      </c>
      <c r="FP54" s="17" t="s">
        <v>56</v>
      </c>
      <c r="FQ54" s="17" t="s">
        <v>56</v>
      </c>
      <c r="FR54" s="17" t="s">
        <v>56</v>
      </c>
      <c r="FS54" s="17" t="s">
        <v>56</v>
      </c>
      <c r="FT54" s="17" t="s">
        <v>56</v>
      </c>
      <c r="FU54" s="17">
        <v>194.51003827629901</v>
      </c>
      <c r="FV54" s="17">
        <v>1044.52846580247</v>
      </c>
      <c r="FW54" s="17" t="s">
        <v>56</v>
      </c>
      <c r="FX54" s="17" t="s">
        <v>56</v>
      </c>
      <c r="FY54" s="17" t="s">
        <v>56</v>
      </c>
      <c r="FZ54" s="17" t="s">
        <v>56</v>
      </c>
      <c r="GA54" s="17" t="s">
        <v>56</v>
      </c>
      <c r="GB54" s="17" t="s">
        <v>56</v>
      </c>
      <c r="GC54" s="17" t="s">
        <v>56</v>
      </c>
      <c r="GD54" s="17" t="s">
        <v>2969</v>
      </c>
      <c r="GE54" s="17" t="s">
        <v>2969</v>
      </c>
      <c r="GF54" s="17" t="s">
        <v>56</v>
      </c>
      <c r="GG54" s="17" t="s">
        <v>2818</v>
      </c>
      <c r="GH54" s="17" t="s">
        <v>2818</v>
      </c>
      <c r="GI54" s="17" t="s">
        <v>1111</v>
      </c>
      <c r="GJ54" s="17" t="s">
        <v>1111</v>
      </c>
      <c r="GK54" s="17" t="s">
        <v>1111</v>
      </c>
      <c r="GL54" s="17"/>
    </row>
    <row r="55" spans="2:194" x14ac:dyDescent="0.25">
      <c r="B55" s="17" t="s">
        <v>2840</v>
      </c>
      <c r="C55" s="17" t="s">
        <v>70</v>
      </c>
      <c r="D55" s="17" t="s">
        <v>3411</v>
      </c>
      <c r="E55" s="17" t="s">
        <v>3412</v>
      </c>
      <c r="F55" s="17" t="s">
        <v>3237</v>
      </c>
      <c r="G55" s="17" t="s">
        <v>3413</v>
      </c>
      <c r="H55" s="17"/>
      <c r="I55" s="17" t="s">
        <v>2797</v>
      </c>
      <c r="J55" s="17" t="s">
        <v>3403</v>
      </c>
      <c r="K55" s="17" t="s">
        <v>2653</v>
      </c>
      <c r="L55" s="17" t="s">
        <v>2800</v>
      </c>
      <c r="M55" s="17" t="s">
        <v>3414</v>
      </c>
      <c r="N55" s="17" t="s">
        <v>1325</v>
      </c>
      <c r="O55" s="17" t="s">
        <v>2813</v>
      </c>
      <c r="P55" s="17" t="s">
        <v>2814</v>
      </c>
      <c r="Q55" s="17" t="s">
        <v>3616</v>
      </c>
      <c r="R55" s="17">
        <v>17897433.710000001</v>
      </c>
      <c r="S55" s="17">
        <v>4974456.4000000004</v>
      </c>
      <c r="T55" s="17">
        <v>18587154.18</v>
      </c>
      <c r="U55" s="17" t="s">
        <v>2817</v>
      </c>
      <c r="V55" s="17" t="s">
        <v>939</v>
      </c>
      <c r="W55" s="17" t="s">
        <v>2816</v>
      </c>
      <c r="X55" s="17" t="s">
        <v>3403</v>
      </c>
      <c r="Y55" s="17" t="s">
        <v>56</v>
      </c>
      <c r="Z55" s="17" t="s">
        <v>3616</v>
      </c>
      <c r="AA55" s="17" t="s">
        <v>2801</v>
      </c>
      <c r="AB55" s="17">
        <v>2.1629</v>
      </c>
      <c r="AC55" s="17" t="s">
        <v>3616</v>
      </c>
      <c r="AD55" s="17" t="s">
        <v>2804</v>
      </c>
      <c r="AE55" s="17">
        <v>319397</v>
      </c>
      <c r="AF55" s="17" t="s">
        <v>2839</v>
      </c>
      <c r="AG55" s="17" t="s">
        <v>3617</v>
      </c>
      <c r="AH55" s="17" t="s">
        <v>2806</v>
      </c>
      <c r="AI55" s="17"/>
      <c r="AJ55" s="17" t="s">
        <v>56</v>
      </c>
      <c r="AK55" s="17" t="s">
        <v>56</v>
      </c>
      <c r="AL55" s="17" t="s">
        <v>56</v>
      </c>
      <c r="AM55" s="17" t="s">
        <v>56</v>
      </c>
      <c r="AN55" s="17" t="s">
        <v>56</v>
      </c>
      <c r="AO55" s="17" t="s">
        <v>56</v>
      </c>
      <c r="AP55" s="17" t="s">
        <v>56</v>
      </c>
      <c r="AQ55" s="17" t="s">
        <v>56</v>
      </c>
      <c r="AR55" s="17" t="s">
        <v>56</v>
      </c>
      <c r="AS55" s="17">
        <v>677.19899999999996</v>
      </c>
      <c r="AT55" s="17">
        <v>82.007599999999996</v>
      </c>
      <c r="AU55" s="17">
        <v>435.83600000000001</v>
      </c>
      <c r="AV55" s="17" t="s">
        <v>56</v>
      </c>
      <c r="AW55" s="17" t="s">
        <v>56</v>
      </c>
      <c r="AX55" s="17" t="s">
        <v>56</v>
      </c>
      <c r="AY55" s="17">
        <v>561.97</v>
      </c>
      <c r="AZ55" s="17">
        <v>68.053600000000003</v>
      </c>
      <c r="BA55" s="17">
        <v>361.67599999999999</v>
      </c>
      <c r="BB55" s="17" t="s">
        <v>56</v>
      </c>
      <c r="BC55" s="17" t="s">
        <v>56</v>
      </c>
      <c r="BD55" s="17" t="s">
        <v>56</v>
      </c>
      <c r="BE55" s="17" t="s">
        <v>56</v>
      </c>
      <c r="BF55" s="17" t="s">
        <v>56</v>
      </c>
      <c r="BG55" s="17" t="s">
        <v>56</v>
      </c>
      <c r="BH55" s="17" t="s">
        <v>56</v>
      </c>
      <c r="BI55" s="17" t="s">
        <v>56</v>
      </c>
      <c r="BJ55" s="17" t="s">
        <v>56</v>
      </c>
      <c r="BK55" s="17" t="s">
        <v>56</v>
      </c>
      <c r="BL55" s="17" t="s">
        <v>56</v>
      </c>
      <c r="BM55" s="17" t="s">
        <v>56</v>
      </c>
      <c r="BN55" s="17" t="s">
        <v>56</v>
      </c>
      <c r="BO55" s="17" t="s">
        <v>56</v>
      </c>
      <c r="BP55" s="17" t="s">
        <v>56</v>
      </c>
      <c r="BQ55" s="17" t="s">
        <v>56</v>
      </c>
      <c r="BR55" s="17" t="s">
        <v>56</v>
      </c>
      <c r="BS55" s="17" t="s">
        <v>56</v>
      </c>
      <c r="BT55" s="17" t="s">
        <v>56</v>
      </c>
      <c r="BU55" s="17" t="s">
        <v>56</v>
      </c>
      <c r="BV55" s="17" t="s">
        <v>56</v>
      </c>
      <c r="BW55" s="17" t="s">
        <v>56</v>
      </c>
      <c r="BX55" s="17" t="s">
        <v>2818</v>
      </c>
      <c r="BY55" s="17" t="s">
        <v>1111</v>
      </c>
      <c r="BZ55" s="17" t="s">
        <v>56</v>
      </c>
      <c r="CA55" s="17" t="s">
        <v>56</v>
      </c>
      <c r="CB55" s="17" t="s">
        <v>1325</v>
      </c>
      <c r="CC55" s="17" t="s">
        <v>1325</v>
      </c>
      <c r="CD55" s="17" t="s">
        <v>1325</v>
      </c>
      <c r="CE55" s="17" t="s">
        <v>1325</v>
      </c>
      <c r="CF55" s="17" t="s">
        <v>1325</v>
      </c>
      <c r="CG55" s="17" t="s">
        <v>1325</v>
      </c>
      <c r="CH55" s="17" t="s">
        <v>1325</v>
      </c>
      <c r="CI55" s="17" t="s">
        <v>1325</v>
      </c>
      <c r="CJ55" s="17" t="s">
        <v>1325</v>
      </c>
      <c r="CK55" s="17" t="s">
        <v>1325</v>
      </c>
      <c r="CL55" s="17" t="s">
        <v>1325</v>
      </c>
      <c r="CM55" s="17" t="s">
        <v>1325</v>
      </c>
      <c r="CN55" s="17" t="s">
        <v>1325</v>
      </c>
      <c r="CO55" s="17" t="s">
        <v>1325</v>
      </c>
      <c r="CP55" s="17" t="s">
        <v>1325</v>
      </c>
      <c r="CQ55" s="17" t="s">
        <v>1325</v>
      </c>
      <c r="CR55" s="17" t="s">
        <v>1325</v>
      </c>
      <c r="CS55" s="17" t="s">
        <v>1325</v>
      </c>
      <c r="CT55" s="17" t="s">
        <v>1325</v>
      </c>
      <c r="CU55" s="17" t="s">
        <v>1325</v>
      </c>
      <c r="CV55" s="17" t="s">
        <v>1325</v>
      </c>
      <c r="CW55" s="17" t="s">
        <v>56</v>
      </c>
      <c r="CX55" s="17" t="s">
        <v>56</v>
      </c>
      <c r="CY55" s="17" t="s">
        <v>56</v>
      </c>
      <c r="CZ55" s="17">
        <v>319397</v>
      </c>
      <c r="DA55" s="17">
        <v>319397</v>
      </c>
      <c r="DB55" s="17">
        <v>319397</v>
      </c>
      <c r="DC55" s="17"/>
      <c r="DD55" s="17"/>
      <c r="DE55" s="17"/>
      <c r="DF55" s="17" t="s">
        <v>3415</v>
      </c>
      <c r="DG55" s="17" t="s">
        <v>3510</v>
      </c>
      <c r="DH55" s="17" t="s">
        <v>3237</v>
      </c>
      <c r="DI55" s="17" t="s">
        <v>3511</v>
      </c>
      <c r="DJ55" s="17" t="s">
        <v>3405</v>
      </c>
      <c r="DK55" s="17" t="s">
        <v>3320</v>
      </c>
      <c r="DL55" s="17" t="s">
        <v>3418</v>
      </c>
      <c r="DM55" s="17">
        <v>4.2180000000000004E-3</v>
      </c>
      <c r="DN55" s="17">
        <v>1347.2</v>
      </c>
      <c r="DO55" s="17">
        <v>0.42855783282760801</v>
      </c>
      <c r="DP55" s="17" t="s">
        <v>3308</v>
      </c>
      <c r="DQ55" s="17" t="s">
        <v>2839</v>
      </c>
      <c r="DR55" s="17" t="s">
        <v>56</v>
      </c>
      <c r="DS55" s="17" t="s">
        <v>56</v>
      </c>
      <c r="DT55" s="17" t="s">
        <v>56</v>
      </c>
      <c r="DU55" s="17" t="s">
        <v>56</v>
      </c>
      <c r="DV55" s="17" t="s">
        <v>2862</v>
      </c>
      <c r="DW55" s="17" t="s">
        <v>3309</v>
      </c>
      <c r="DX55" s="17" t="s">
        <v>3310</v>
      </c>
      <c r="DY55" s="17">
        <v>9.7795896448127796E-3</v>
      </c>
      <c r="DZ55" s="17">
        <v>2.7520410355187201E-2</v>
      </c>
      <c r="EA55" s="17" t="s">
        <v>3311</v>
      </c>
      <c r="EB55" s="17">
        <v>4.0201671797007003E-3</v>
      </c>
      <c r="EC55" s="17">
        <v>7.1798328202993004E-3</v>
      </c>
      <c r="ED55" s="17" t="s">
        <v>56</v>
      </c>
      <c r="EE55" s="17" t="s">
        <v>56</v>
      </c>
      <c r="EF55" s="17" t="s">
        <v>56</v>
      </c>
      <c r="EG55" s="17" t="s">
        <v>2862</v>
      </c>
      <c r="EH55" s="17" t="s">
        <v>3309</v>
      </c>
      <c r="EI55" s="17" t="s">
        <v>3312</v>
      </c>
      <c r="EJ55" s="17">
        <v>1.08477E-2</v>
      </c>
      <c r="EK55" s="17">
        <v>5.8252699999999998E-2</v>
      </c>
      <c r="EL55" s="17" t="s">
        <v>3311</v>
      </c>
      <c r="EM55" s="17">
        <v>4.8999999999999998E-3</v>
      </c>
      <c r="EN55" s="17">
        <v>1.01E-2</v>
      </c>
      <c r="EO55" s="17" t="s">
        <v>3312</v>
      </c>
      <c r="EP55" s="17">
        <v>4.3641500000000004</v>
      </c>
      <c r="EQ55" s="17">
        <v>23.435700000000001</v>
      </c>
      <c r="ER55" s="17" t="s">
        <v>3313</v>
      </c>
      <c r="ES55" s="17">
        <v>0.59340000000000004</v>
      </c>
      <c r="ET55" s="17">
        <v>1.2263999999999999</v>
      </c>
      <c r="EU55" s="17" t="s">
        <v>2862</v>
      </c>
      <c r="EV55" s="17" t="s">
        <v>3309</v>
      </c>
      <c r="EW55" s="17" t="s">
        <v>3312</v>
      </c>
      <c r="EX55" s="17">
        <v>4.3641500000000004</v>
      </c>
      <c r="EY55" s="17">
        <v>23.435700000000001</v>
      </c>
      <c r="EZ55" s="17" t="s">
        <v>3311</v>
      </c>
      <c r="FA55" s="17">
        <v>0.59340000000000004</v>
      </c>
      <c r="FB55" s="17">
        <v>1.2263999999999999</v>
      </c>
      <c r="FC55" s="17" t="s">
        <v>56</v>
      </c>
      <c r="FD55" s="17" t="s">
        <v>56</v>
      </c>
      <c r="FE55" s="17" t="s">
        <v>56</v>
      </c>
      <c r="FF55" s="17" t="s">
        <v>56</v>
      </c>
      <c r="FG55" s="17" t="s">
        <v>56</v>
      </c>
      <c r="FH55" s="17" t="s">
        <v>56</v>
      </c>
      <c r="FI55" s="17" t="s">
        <v>56</v>
      </c>
      <c r="FJ55" s="17" t="s">
        <v>56</v>
      </c>
      <c r="FK55" s="17" t="s">
        <v>56</v>
      </c>
      <c r="FL55" s="17" t="s">
        <v>56</v>
      </c>
      <c r="FM55" s="17" t="s">
        <v>56</v>
      </c>
      <c r="FN55" s="17" t="s">
        <v>56</v>
      </c>
      <c r="FO55" s="17" t="s">
        <v>56</v>
      </c>
      <c r="FP55" s="17" t="s">
        <v>56</v>
      </c>
      <c r="FQ55" s="17" t="s">
        <v>56</v>
      </c>
      <c r="FR55" s="17" t="s">
        <v>56</v>
      </c>
      <c r="FS55" s="17" t="s">
        <v>56</v>
      </c>
      <c r="FT55" s="17" t="s">
        <v>56</v>
      </c>
      <c r="FU55" s="17">
        <v>194.51022926546801</v>
      </c>
      <c r="FV55" s="17">
        <v>1044.5294914236999</v>
      </c>
      <c r="FW55" s="17" t="s">
        <v>56</v>
      </c>
      <c r="FX55" s="17" t="s">
        <v>56</v>
      </c>
      <c r="FY55" s="17" t="s">
        <v>56</v>
      </c>
      <c r="FZ55" s="17" t="s">
        <v>56</v>
      </c>
      <c r="GA55" s="17" t="s">
        <v>56</v>
      </c>
      <c r="GB55" s="17" t="s">
        <v>56</v>
      </c>
      <c r="GC55" s="17" t="s">
        <v>56</v>
      </c>
      <c r="GD55" s="17" t="s">
        <v>2969</v>
      </c>
      <c r="GE55" s="17" t="s">
        <v>2969</v>
      </c>
      <c r="GF55" s="17" t="s">
        <v>56</v>
      </c>
      <c r="GG55" s="17" t="s">
        <v>2818</v>
      </c>
      <c r="GH55" s="17" t="s">
        <v>2818</v>
      </c>
      <c r="GI55" s="17" t="s">
        <v>1111</v>
      </c>
      <c r="GJ55" s="17" t="s">
        <v>1111</v>
      </c>
      <c r="GK55" s="17" t="s">
        <v>1111</v>
      </c>
      <c r="GL55" s="17"/>
    </row>
    <row r="56" spans="2:194" x14ac:dyDescent="0.25">
      <c r="B56" s="17" t="s">
        <v>2840</v>
      </c>
      <c r="C56" s="17" t="s">
        <v>70</v>
      </c>
      <c r="D56" s="17" t="s">
        <v>3411</v>
      </c>
      <c r="E56" s="17" t="s">
        <v>3412</v>
      </c>
      <c r="F56" s="17" t="s">
        <v>3237</v>
      </c>
      <c r="G56" s="17" t="s">
        <v>3413</v>
      </c>
      <c r="H56" s="17"/>
      <c r="I56" s="17" t="s">
        <v>2797</v>
      </c>
      <c r="J56" s="17" t="s">
        <v>3403</v>
      </c>
      <c r="K56" s="17" t="s">
        <v>2653</v>
      </c>
      <c r="L56" s="17" t="s">
        <v>2800</v>
      </c>
      <c r="M56" s="17" t="s">
        <v>3414</v>
      </c>
      <c r="N56" s="17" t="s">
        <v>1325</v>
      </c>
      <c r="O56" s="17" t="s">
        <v>2813</v>
      </c>
      <c r="P56" s="17" t="s">
        <v>2814</v>
      </c>
      <c r="Q56" s="17" t="s">
        <v>3616</v>
      </c>
      <c r="R56" s="17">
        <v>17897433.710000001</v>
      </c>
      <c r="S56" s="17">
        <v>4974456.4000000004</v>
      </c>
      <c r="T56" s="17">
        <v>18587154.18</v>
      </c>
      <c r="U56" s="17" t="s">
        <v>2817</v>
      </c>
      <c r="V56" s="17" t="s">
        <v>939</v>
      </c>
      <c r="W56" s="17" t="s">
        <v>2816</v>
      </c>
      <c r="X56" s="17" t="s">
        <v>3403</v>
      </c>
      <c r="Y56" s="17" t="s">
        <v>56</v>
      </c>
      <c r="Z56" s="17" t="s">
        <v>3616</v>
      </c>
      <c r="AA56" s="17" t="s">
        <v>2801</v>
      </c>
      <c r="AB56" s="17">
        <v>2.1629</v>
      </c>
      <c r="AC56" s="17" t="s">
        <v>3616</v>
      </c>
      <c r="AD56" s="17" t="s">
        <v>2804</v>
      </c>
      <c r="AE56" s="17">
        <v>319397</v>
      </c>
      <c r="AF56" s="17" t="s">
        <v>2839</v>
      </c>
      <c r="AG56" s="17" t="s">
        <v>3617</v>
      </c>
      <c r="AH56" s="17" t="s">
        <v>2806</v>
      </c>
      <c r="AI56" s="17"/>
      <c r="AJ56" s="17" t="s">
        <v>56</v>
      </c>
      <c r="AK56" s="17" t="s">
        <v>56</v>
      </c>
      <c r="AL56" s="17" t="s">
        <v>56</v>
      </c>
      <c r="AM56" s="17" t="s">
        <v>56</v>
      </c>
      <c r="AN56" s="17" t="s">
        <v>56</v>
      </c>
      <c r="AO56" s="17" t="s">
        <v>56</v>
      </c>
      <c r="AP56" s="17" t="s">
        <v>56</v>
      </c>
      <c r="AQ56" s="17" t="s">
        <v>56</v>
      </c>
      <c r="AR56" s="17" t="s">
        <v>56</v>
      </c>
      <c r="AS56" s="17">
        <v>677.19899999999996</v>
      </c>
      <c r="AT56" s="17">
        <v>82.007599999999996</v>
      </c>
      <c r="AU56" s="17">
        <v>435.83600000000001</v>
      </c>
      <c r="AV56" s="17" t="s">
        <v>56</v>
      </c>
      <c r="AW56" s="17" t="s">
        <v>56</v>
      </c>
      <c r="AX56" s="17" t="s">
        <v>56</v>
      </c>
      <c r="AY56" s="17">
        <v>561.97</v>
      </c>
      <c r="AZ56" s="17">
        <v>68.053600000000003</v>
      </c>
      <c r="BA56" s="17">
        <v>361.67599999999999</v>
      </c>
      <c r="BB56" s="17" t="s">
        <v>56</v>
      </c>
      <c r="BC56" s="17" t="s">
        <v>56</v>
      </c>
      <c r="BD56" s="17" t="s">
        <v>56</v>
      </c>
      <c r="BE56" s="17" t="s">
        <v>56</v>
      </c>
      <c r="BF56" s="17" t="s">
        <v>56</v>
      </c>
      <c r="BG56" s="17" t="s">
        <v>56</v>
      </c>
      <c r="BH56" s="17" t="s">
        <v>56</v>
      </c>
      <c r="BI56" s="17" t="s">
        <v>56</v>
      </c>
      <c r="BJ56" s="17" t="s">
        <v>56</v>
      </c>
      <c r="BK56" s="17" t="s">
        <v>56</v>
      </c>
      <c r="BL56" s="17" t="s">
        <v>56</v>
      </c>
      <c r="BM56" s="17" t="s">
        <v>56</v>
      </c>
      <c r="BN56" s="17" t="s">
        <v>56</v>
      </c>
      <c r="BO56" s="17" t="s">
        <v>56</v>
      </c>
      <c r="BP56" s="17" t="s">
        <v>56</v>
      </c>
      <c r="BQ56" s="17" t="s">
        <v>56</v>
      </c>
      <c r="BR56" s="17" t="s">
        <v>56</v>
      </c>
      <c r="BS56" s="17" t="s">
        <v>56</v>
      </c>
      <c r="BT56" s="17" t="s">
        <v>56</v>
      </c>
      <c r="BU56" s="17" t="s">
        <v>56</v>
      </c>
      <c r="BV56" s="17" t="s">
        <v>56</v>
      </c>
      <c r="BW56" s="17" t="s">
        <v>56</v>
      </c>
      <c r="BX56" s="17" t="s">
        <v>2818</v>
      </c>
      <c r="BY56" s="17" t="s">
        <v>1111</v>
      </c>
      <c r="BZ56" s="17" t="s">
        <v>56</v>
      </c>
      <c r="CA56" s="17" t="s">
        <v>56</v>
      </c>
      <c r="CB56" s="17" t="s">
        <v>1325</v>
      </c>
      <c r="CC56" s="17" t="s">
        <v>1325</v>
      </c>
      <c r="CD56" s="17" t="s">
        <v>1325</v>
      </c>
      <c r="CE56" s="17" t="s">
        <v>1325</v>
      </c>
      <c r="CF56" s="17" t="s">
        <v>1325</v>
      </c>
      <c r="CG56" s="17" t="s">
        <v>1325</v>
      </c>
      <c r="CH56" s="17" t="s">
        <v>1325</v>
      </c>
      <c r="CI56" s="17" t="s">
        <v>1325</v>
      </c>
      <c r="CJ56" s="17" t="s">
        <v>1325</v>
      </c>
      <c r="CK56" s="17" t="s">
        <v>1325</v>
      </c>
      <c r="CL56" s="17" t="s">
        <v>1325</v>
      </c>
      <c r="CM56" s="17" t="s">
        <v>1325</v>
      </c>
      <c r="CN56" s="17" t="s">
        <v>1325</v>
      </c>
      <c r="CO56" s="17" t="s">
        <v>1325</v>
      </c>
      <c r="CP56" s="17" t="s">
        <v>1325</v>
      </c>
      <c r="CQ56" s="17" t="s">
        <v>1325</v>
      </c>
      <c r="CR56" s="17" t="s">
        <v>1325</v>
      </c>
      <c r="CS56" s="17" t="s">
        <v>1325</v>
      </c>
      <c r="CT56" s="17" t="s">
        <v>1325</v>
      </c>
      <c r="CU56" s="17" t="s">
        <v>1325</v>
      </c>
      <c r="CV56" s="17" t="s">
        <v>1325</v>
      </c>
      <c r="CW56" s="17" t="s">
        <v>56</v>
      </c>
      <c r="CX56" s="17" t="s">
        <v>56</v>
      </c>
      <c r="CY56" s="17" t="s">
        <v>56</v>
      </c>
      <c r="CZ56" s="17">
        <v>319397</v>
      </c>
      <c r="DA56" s="17">
        <v>319397</v>
      </c>
      <c r="DB56" s="17">
        <v>319397</v>
      </c>
      <c r="DC56" s="17"/>
      <c r="DD56" s="17"/>
      <c r="DE56" s="17"/>
      <c r="DF56" s="17" t="s">
        <v>3415</v>
      </c>
      <c r="DG56" s="17" t="s">
        <v>3512</v>
      </c>
      <c r="DH56" s="17" t="s">
        <v>3237</v>
      </c>
      <c r="DI56" s="17" t="s">
        <v>3513</v>
      </c>
      <c r="DJ56" s="17" t="s">
        <v>3405</v>
      </c>
      <c r="DK56" s="17" t="s">
        <v>3320</v>
      </c>
      <c r="DL56" s="17" t="s">
        <v>3418</v>
      </c>
      <c r="DM56" s="17">
        <v>7.3999999999999999E-4</v>
      </c>
      <c r="DN56" s="17">
        <v>236.4</v>
      </c>
      <c r="DO56" s="17">
        <v>0.42855902539855001</v>
      </c>
      <c r="DP56" s="17" t="s">
        <v>3308</v>
      </c>
      <c r="DQ56" s="17" t="s">
        <v>2839</v>
      </c>
      <c r="DR56" s="17" t="s">
        <v>56</v>
      </c>
      <c r="DS56" s="17" t="s">
        <v>56</v>
      </c>
      <c r="DT56" s="17" t="s">
        <v>56</v>
      </c>
      <c r="DU56" s="17" t="s">
        <v>56</v>
      </c>
      <c r="DV56" s="17" t="s">
        <v>2862</v>
      </c>
      <c r="DW56" s="17" t="s">
        <v>3309</v>
      </c>
      <c r="DX56" s="17" t="s">
        <v>3310</v>
      </c>
      <c r="DY56" s="17">
        <v>9.7795896448127796E-3</v>
      </c>
      <c r="DZ56" s="17">
        <v>2.7520410355187201E-2</v>
      </c>
      <c r="EA56" s="17" t="s">
        <v>3311</v>
      </c>
      <c r="EB56" s="17">
        <v>4.0201671797007003E-3</v>
      </c>
      <c r="EC56" s="17">
        <v>7.1798328202993004E-3</v>
      </c>
      <c r="ED56" s="17" t="s">
        <v>56</v>
      </c>
      <c r="EE56" s="17" t="s">
        <v>56</v>
      </c>
      <c r="EF56" s="17" t="s">
        <v>56</v>
      </c>
      <c r="EG56" s="17" t="s">
        <v>2862</v>
      </c>
      <c r="EH56" s="17" t="s">
        <v>3309</v>
      </c>
      <c r="EI56" s="17" t="s">
        <v>3312</v>
      </c>
      <c r="EJ56" s="17">
        <v>1.08477E-2</v>
      </c>
      <c r="EK56" s="17">
        <v>5.8252699999999998E-2</v>
      </c>
      <c r="EL56" s="17" t="s">
        <v>3311</v>
      </c>
      <c r="EM56" s="17">
        <v>4.8999999999999998E-3</v>
      </c>
      <c r="EN56" s="17">
        <v>1.01E-2</v>
      </c>
      <c r="EO56" s="17" t="s">
        <v>3312</v>
      </c>
      <c r="EP56" s="17">
        <v>4.3641500000000004</v>
      </c>
      <c r="EQ56" s="17">
        <v>23.435700000000001</v>
      </c>
      <c r="ER56" s="17" t="s">
        <v>3313</v>
      </c>
      <c r="ES56" s="17">
        <v>0.59340000000000004</v>
      </c>
      <c r="ET56" s="17">
        <v>1.2263999999999999</v>
      </c>
      <c r="EU56" s="17" t="s">
        <v>2862</v>
      </c>
      <c r="EV56" s="17" t="s">
        <v>3309</v>
      </c>
      <c r="EW56" s="17" t="s">
        <v>3312</v>
      </c>
      <c r="EX56" s="17">
        <v>4.3641500000000004</v>
      </c>
      <c r="EY56" s="17">
        <v>23.435700000000001</v>
      </c>
      <c r="EZ56" s="17" t="s">
        <v>3311</v>
      </c>
      <c r="FA56" s="17">
        <v>0.59340000000000004</v>
      </c>
      <c r="FB56" s="17">
        <v>1.2263999999999999</v>
      </c>
      <c r="FC56" s="17" t="s">
        <v>56</v>
      </c>
      <c r="FD56" s="17" t="s">
        <v>56</v>
      </c>
      <c r="FE56" s="17" t="s">
        <v>56</v>
      </c>
      <c r="FF56" s="17" t="s">
        <v>56</v>
      </c>
      <c r="FG56" s="17" t="s">
        <v>56</v>
      </c>
      <c r="FH56" s="17" t="s">
        <v>56</v>
      </c>
      <c r="FI56" s="17" t="s">
        <v>56</v>
      </c>
      <c r="FJ56" s="17" t="s">
        <v>56</v>
      </c>
      <c r="FK56" s="17" t="s">
        <v>56</v>
      </c>
      <c r="FL56" s="17" t="s">
        <v>56</v>
      </c>
      <c r="FM56" s="17" t="s">
        <v>56</v>
      </c>
      <c r="FN56" s="17" t="s">
        <v>56</v>
      </c>
      <c r="FO56" s="17" t="s">
        <v>56</v>
      </c>
      <c r="FP56" s="17" t="s">
        <v>56</v>
      </c>
      <c r="FQ56" s="17" t="s">
        <v>56</v>
      </c>
      <c r="FR56" s="17" t="s">
        <v>56</v>
      </c>
      <c r="FS56" s="17" t="s">
        <v>56</v>
      </c>
      <c r="FT56" s="17" t="s">
        <v>56</v>
      </c>
      <c r="FU56" s="17">
        <v>194.510770507351</v>
      </c>
      <c r="FV56" s="17">
        <v>1044.5323979192101</v>
      </c>
      <c r="FW56" s="17" t="s">
        <v>56</v>
      </c>
      <c r="FX56" s="17" t="s">
        <v>56</v>
      </c>
      <c r="FY56" s="17" t="s">
        <v>56</v>
      </c>
      <c r="FZ56" s="17" t="s">
        <v>56</v>
      </c>
      <c r="GA56" s="17" t="s">
        <v>56</v>
      </c>
      <c r="GB56" s="17" t="s">
        <v>56</v>
      </c>
      <c r="GC56" s="17" t="s">
        <v>56</v>
      </c>
      <c r="GD56" s="17" t="s">
        <v>2969</v>
      </c>
      <c r="GE56" s="17" t="s">
        <v>2969</v>
      </c>
      <c r="GF56" s="17" t="s">
        <v>56</v>
      </c>
      <c r="GG56" s="17" t="s">
        <v>2818</v>
      </c>
      <c r="GH56" s="17" t="s">
        <v>2818</v>
      </c>
      <c r="GI56" s="17" t="s">
        <v>1111</v>
      </c>
      <c r="GJ56" s="17" t="s">
        <v>1111</v>
      </c>
      <c r="GK56" s="17" t="s">
        <v>1111</v>
      </c>
      <c r="GL56" s="17"/>
    </row>
    <row r="57" spans="2:194" x14ac:dyDescent="0.25">
      <c r="B57" s="17" t="s">
        <v>2840</v>
      </c>
      <c r="C57" s="17" t="s">
        <v>70</v>
      </c>
      <c r="D57" s="17" t="s">
        <v>3411</v>
      </c>
      <c r="E57" s="17" t="s">
        <v>3412</v>
      </c>
      <c r="F57" s="17" t="s">
        <v>3237</v>
      </c>
      <c r="G57" s="17" t="s">
        <v>3413</v>
      </c>
      <c r="H57" s="17"/>
      <c r="I57" s="17" t="s">
        <v>2797</v>
      </c>
      <c r="J57" s="17" t="s">
        <v>3403</v>
      </c>
      <c r="K57" s="17" t="s">
        <v>2653</v>
      </c>
      <c r="L57" s="17" t="s">
        <v>2800</v>
      </c>
      <c r="M57" s="17" t="s">
        <v>3414</v>
      </c>
      <c r="N57" s="17" t="s">
        <v>1325</v>
      </c>
      <c r="O57" s="17" t="s">
        <v>2813</v>
      </c>
      <c r="P57" s="17" t="s">
        <v>2814</v>
      </c>
      <c r="Q57" s="17" t="s">
        <v>3616</v>
      </c>
      <c r="R57" s="17">
        <v>17897433.710000001</v>
      </c>
      <c r="S57" s="17">
        <v>4974456.4000000004</v>
      </c>
      <c r="T57" s="17">
        <v>18587154.18</v>
      </c>
      <c r="U57" s="17" t="s">
        <v>2817</v>
      </c>
      <c r="V57" s="17" t="s">
        <v>939</v>
      </c>
      <c r="W57" s="17" t="s">
        <v>2816</v>
      </c>
      <c r="X57" s="17" t="s">
        <v>3403</v>
      </c>
      <c r="Y57" s="17" t="s">
        <v>56</v>
      </c>
      <c r="Z57" s="17" t="s">
        <v>3616</v>
      </c>
      <c r="AA57" s="17" t="s">
        <v>2801</v>
      </c>
      <c r="AB57" s="17">
        <v>2.1629</v>
      </c>
      <c r="AC57" s="17" t="s">
        <v>3616</v>
      </c>
      <c r="AD57" s="17" t="s">
        <v>2804</v>
      </c>
      <c r="AE57" s="17">
        <v>319397</v>
      </c>
      <c r="AF57" s="17" t="s">
        <v>2839</v>
      </c>
      <c r="AG57" s="17" t="s">
        <v>3617</v>
      </c>
      <c r="AH57" s="17" t="s">
        <v>2806</v>
      </c>
      <c r="AI57" s="17"/>
      <c r="AJ57" s="17" t="s">
        <v>56</v>
      </c>
      <c r="AK57" s="17" t="s">
        <v>56</v>
      </c>
      <c r="AL57" s="17" t="s">
        <v>56</v>
      </c>
      <c r="AM57" s="17" t="s">
        <v>56</v>
      </c>
      <c r="AN57" s="17" t="s">
        <v>56</v>
      </c>
      <c r="AO57" s="17" t="s">
        <v>56</v>
      </c>
      <c r="AP57" s="17" t="s">
        <v>56</v>
      </c>
      <c r="AQ57" s="17" t="s">
        <v>56</v>
      </c>
      <c r="AR57" s="17" t="s">
        <v>56</v>
      </c>
      <c r="AS57" s="17">
        <v>677.19899999999996</v>
      </c>
      <c r="AT57" s="17">
        <v>82.007599999999996</v>
      </c>
      <c r="AU57" s="17">
        <v>435.83600000000001</v>
      </c>
      <c r="AV57" s="17" t="s">
        <v>56</v>
      </c>
      <c r="AW57" s="17" t="s">
        <v>56</v>
      </c>
      <c r="AX57" s="17" t="s">
        <v>56</v>
      </c>
      <c r="AY57" s="17">
        <v>561.97</v>
      </c>
      <c r="AZ57" s="17">
        <v>68.053600000000003</v>
      </c>
      <c r="BA57" s="17">
        <v>361.67599999999999</v>
      </c>
      <c r="BB57" s="17" t="s">
        <v>56</v>
      </c>
      <c r="BC57" s="17" t="s">
        <v>56</v>
      </c>
      <c r="BD57" s="17" t="s">
        <v>56</v>
      </c>
      <c r="BE57" s="17" t="s">
        <v>56</v>
      </c>
      <c r="BF57" s="17" t="s">
        <v>56</v>
      </c>
      <c r="BG57" s="17" t="s">
        <v>56</v>
      </c>
      <c r="BH57" s="17" t="s">
        <v>56</v>
      </c>
      <c r="BI57" s="17" t="s">
        <v>56</v>
      </c>
      <c r="BJ57" s="17" t="s">
        <v>56</v>
      </c>
      <c r="BK57" s="17" t="s">
        <v>56</v>
      </c>
      <c r="BL57" s="17" t="s">
        <v>56</v>
      </c>
      <c r="BM57" s="17" t="s">
        <v>56</v>
      </c>
      <c r="BN57" s="17" t="s">
        <v>56</v>
      </c>
      <c r="BO57" s="17" t="s">
        <v>56</v>
      </c>
      <c r="BP57" s="17" t="s">
        <v>56</v>
      </c>
      <c r="BQ57" s="17" t="s">
        <v>56</v>
      </c>
      <c r="BR57" s="17" t="s">
        <v>56</v>
      </c>
      <c r="BS57" s="17" t="s">
        <v>56</v>
      </c>
      <c r="BT57" s="17" t="s">
        <v>56</v>
      </c>
      <c r="BU57" s="17" t="s">
        <v>56</v>
      </c>
      <c r="BV57" s="17" t="s">
        <v>56</v>
      </c>
      <c r="BW57" s="17" t="s">
        <v>56</v>
      </c>
      <c r="BX57" s="17" t="s">
        <v>2818</v>
      </c>
      <c r="BY57" s="17" t="s">
        <v>1111</v>
      </c>
      <c r="BZ57" s="17" t="s">
        <v>56</v>
      </c>
      <c r="CA57" s="17" t="s">
        <v>56</v>
      </c>
      <c r="CB57" s="17" t="s">
        <v>1325</v>
      </c>
      <c r="CC57" s="17" t="s">
        <v>1325</v>
      </c>
      <c r="CD57" s="17" t="s">
        <v>1325</v>
      </c>
      <c r="CE57" s="17" t="s">
        <v>1325</v>
      </c>
      <c r="CF57" s="17" t="s">
        <v>1325</v>
      </c>
      <c r="CG57" s="17" t="s">
        <v>1325</v>
      </c>
      <c r="CH57" s="17" t="s">
        <v>1325</v>
      </c>
      <c r="CI57" s="17" t="s">
        <v>1325</v>
      </c>
      <c r="CJ57" s="17" t="s">
        <v>1325</v>
      </c>
      <c r="CK57" s="17" t="s">
        <v>1325</v>
      </c>
      <c r="CL57" s="17" t="s">
        <v>1325</v>
      </c>
      <c r="CM57" s="17" t="s">
        <v>1325</v>
      </c>
      <c r="CN57" s="17" t="s">
        <v>1325</v>
      </c>
      <c r="CO57" s="17" t="s">
        <v>1325</v>
      </c>
      <c r="CP57" s="17" t="s">
        <v>1325</v>
      </c>
      <c r="CQ57" s="17" t="s">
        <v>1325</v>
      </c>
      <c r="CR57" s="17" t="s">
        <v>1325</v>
      </c>
      <c r="CS57" s="17" t="s">
        <v>1325</v>
      </c>
      <c r="CT57" s="17" t="s">
        <v>1325</v>
      </c>
      <c r="CU57" s="17" t="s">
        <v>1325</v>
      </c>
      <c r="CV57" s="17" t="s">
        <v>1325</v>
      </c>
      <c r="CW57" s="17" t="s">
        <v>56</v>
      </c>
      <c r="CX57" s="17" t="s">
        <v>56</v>
      </c>
      <c r="CY57" s="17" t="s">
        <v>56</v>
      </c>
      <c r="CZ57" s="17">
        <v>319397</v>
      </c>
      <c r="DA57" s="17">
        <v>319397</v>
      </c>
      <c r="DB57" s="17">
        <v>319397</v>
      </c>
      <c r="DC57" s="17"/>
      <c r="DD57" s="17"/>
      <c r="DE57" s="17"/>
      <c r="DF57" s="17" t="s">
        <v>3415</v>
      </c>
      <c r="DG57" s="17" t="s">
        <v>3514</v>
      </c>
      <c r="DH57" s="17" t="s">
        <v>3237</v>
      </c>
      <c r="DI57" s="17" t="s">
        <v>3515</v>
      </c>
      <c r="DJ57" s="17" t="s">
        <v>3405</v>
      </c>
      <c r="DK57" s="17" t="s">
        <v>3320</v>
      </c>
      <c r="DL57" s="17" t="s">
        <v>3418</v>
      </c>
      <c r="DM57" s="17">
        <v>4.0639999999999999E-3</v>
      </c>
      <c r="DN57" s="17">
        <v>1298</v>
      </c>
      <c r="DO57" s="17">
        <v>0.61460784365056798</v>
      </c>
      <c r="DP57" s="17" t="s">
        <v>3308</v>
      </c>
      <c r="DQ57" s="17" t="s">
        <v>2839</v>
      </c>
      <c r="DR57" s="17" t="s">
        <v>56</v>
      </c>
      <c r="DS57" s="17" t="s">
        <v>56</v>
      </c>
      <c r="DT57" s="17" t="s">
        <v>56</v>
      </c>
      <c r="DU57" s="17" t="s">
        <v>56</v>
      </c>
      <c r="DV57" s="17" t="s">
        <v>2862</v>
      </c>
      <c r="DW57" s="17" t="s">
        <v>3309</v>
      </c>
      <c r="DX57" s="17" t="s">
        <v>3310</v>
      </c>
      <c r="DY57" s="17">
        <v>9.7795896448127796E-3</v>
      </c>
      <c r="DZ57" s="17">
        <v>2.7520410355187201E-2</v>
      </c>
      <c r="EA57" s="17" t="s">
        <v>3311</v>
      </c>
      <c r="EB57" s="17">
        <v>4.0201671797007003E-3</v>
      </c>
      <c r="EC57" s="17">
        <v>7.1798328202993004E-3</v>
      </c>
      <c r="ED57" s="17" t="s">
        <v>56</v>
      </c>
      <c r="EE57" s="17" t="s">
        <v>56</v>
      </c>
      <c r="EF57" s="17" t="s">
        <v>56</v>
      </c>
      <c r="EG57" s="17" t="s">
        <v>2862</v>
      </c>
      <c r="EH57" s="17" t="s">
        <v>3309</v>
      </c>
      <c r="EI57" s="17" t="s">
        <v>3312</v>
      </c>
      <c r="EJ57" s="17">
        <v>1.08477E-2</v>
      </c>
      <c r="EK57" s="17">
        <v>5.8252699999999998E-2</v>
      </c>
      <c r="EL57" s="17" t="s">
        <v>3311</v>
      </c>
      <c r="EM57" s="17">
        <v>4.8999999999999998E-3</v>
      </c>
      <c r="EN57" s="17">
        <v>1.01E-2</v>
      </c>
      <c r="EO57" s="17" t="s">
        <v>3312</v>
      </c>
      <c r="EP57" s="17">
        <v>4.3641500000000004</v>
      </c>
      <c r="EQ57" s="17">
        <v>23.435700000000001</v>
      </c>
      <c r="ER57" s="17" t="s">
        <v>3313</v>
      </c>
      <c r="ES57" s="17">
        <v>0.59340000000000004</v>
      </c>
      <c r="ET57" s="17">
        <v>1.2263999999999999</v>
      </c>
      <c r="EU57" s="17" t="s">
        <v>2862</v>
      </c>
      <c r="EV57" s="17" t="s">
        <v>3309</v>
      </c>
      <c r="EW57" s="17" t="s">
        <v>3312</v>
      </c>
      <c r="EX57" s="17">
        <v>4.3641500000000004</v>
      </c>
      <c r="EY57" s="17">
        <v>23.435700000000001</v>
      </c>
      <c r="EZ57" s="17" t="s">
        <v>3311</v>
      </c>
      <c r="FA57" s="17">
        <v>0.59340000000000004</v>
      </c>
      <c r="FB57" s="17">
        <v>1.2263999999999999</v>
      </c>
      <c r="FC57" s="17" t="s">
        <v>56</v>
      </c>
      <c r="FD57" s="17" t="s">
        <v>56</v>
      </c>
      <c r="FE57" s="17" t="s">
        <v>56</v>
      </c>
      <c r="FF57" s="17" t="s">
        <v>56</v>
      </c>
      <c r="FG57" s="17" t="s">
        <v>56</v>
      </c>
      <c r="FH57" s="17" t="s">
        <v>56</v>
      </c>
      <c r="FI57" s="17" t="s">
        <v>56</v>
      </c>
      <c r="FJ57" s="17" t="s">
        <v>56</v>
      </c>
      <c r="FK57" s="17" t="s">
        <v>56</v>
      </c>
      <c r="FL57" s="17" t="s">
        <v>56</v>
      </c>
      <c r="FM57" s="17" t="s">
        <v>56</v>
      </c>
      <c r="FN57" s="17" t="s">
        <v>56</v>
      </c>
      <c r="FO57" s="17" t="s">
        <v>56</v>
      </c>
      <c r="FP57" s="17" t="s">
        <v>56</v>
      </c>
      <c r="FQ57" s="17" t="s">
        <v>56</v>
      </c>
      <c r="FR57" s="17" t="s">
        <v>56</v>
      </c>
      <c r="FS57" s="17" t="s">
        <v>56</v>
      </c>
      <c r="FT57" s="17" t="s">
        <v>56</v>
      </c>
      <c r="FU57" s="17">
        <v>278.95304534728098</v>
      </c>
      <c r="FV57" s="17">
        <v>1497.9915641866701</v>
      </c>
      <c r="FW57" s="17" t="s">
        <v>56</v>
      </c>
      <c r="FX57" s="17" t="s">
        <v>56</v>
      </c>
      <c r="FY57" s="17" t="s">
        <v>56</v>
      </c>
      <c r="FZ57" s="17" t="s">
        <v>56</v>
      </c>
      <c r="GA57" s="17" t="s">
        <v>56</v>
      </c>
      <c r="GB57" s="17" t="s">
        <v>56</v>
      </c>
      <c r="GC57" s="17" t="s">
        <v>56</v>
      </c>
      <c r="GD57" s="17" t="s">
        <v>2969</v>
      </c>
      <c r="GE57" s="17" t="s">
        <v>2969</v>
      </c>
      <c r="GF57" s="17" t="s">
        <v>56</v>
      </c>
      <c r="GG57" s="17" t="s">
        <v>2818</v>
      </c>
      <c r="GH57" s="17" t="s">
        <v>2818</v>
      </c>
      <c r="GI57" s="17" t="s">
        <v>1111</v>
      </c>
      <c r="GJ57" s="17" t="s">
        <v>1111</v>
      </c>
      <c r="GK57" s="17" t="s">
        <v>1111</v>
      </c>
      <c r="GL57" s="17"/>
    </row>
    <row r="58" spans="2:194" x14ac:dyDescent="0.25">
      <c r="B58" s="17" t="s">
        <v>2840</v>
      </c>
      <c r="C58" s="17" t="s">
        <v>70</v>
      </c>
      <c r="D58" s="17" t="s">
        <v>3411</v>
      </c>
      <c r="E58" s="17" t="s">
        <v>3412</v>
      </c>
      <c r="F58" s="17" t="s">
        <v>3237</v>
      </c>
      <c r="G58" s="17" t="s">
        <v>3413</v>
      </c>
      <c r="H58" s="17"/>
      <c r="I58" s="17" t="s">
        <v>2797</v>
      </c>
      <c r="J58" s="17" t="s">
        <v>3403</v>
      </c>
      <c r="K58" s="17" t="s">
        <v>2653</v>
      </c>
      <c r="L58" s="17" t="s">
        <v>2800</v>
      </c>
      <c r="M58" s="17" t="s">
        <v>3414</v>
      </c>
      <c r="N58" s="17" t="s">
        <v>1325</v>
      </c>
      <c r="O58" s="17" t="s">
        <v>2813</v>
      </c>
      <c r="P58" s="17" t="s">
        <v>2814</v>
      </c>
      <c r="Q58" s="17" t="s">
        <v>3616</v>
      </c>
      <c r="R58" s="17">
        <v>17897433.710000001</v>
      </c>
      <c r="S58" s="17">
        <v>4974456.4000000004</v>
      </c>
      <c r="T58" s="17">
        <v>18587154.18</v>
      </c>
      <c r="U58" s="17" t="s">
        <v>2817</v>
      </c>
      <c r="V58" s="17" t="s">
        <v>939</v>
      </c>
      <c r="W58" s="17" t="s">
        <v>2816</v>
      </c>
      <c r="X58" s="17" t="s">
        <v>3403</v>
      </c>
      <c r="Y58" s="17" t="s">
        <v>56</v>
      </c>
      <c r="Z58" s="17" t="s">
        <v>3616</v>
      </c>
      <c r="AA58" s="17" t="s">
        <v>2801</v>
      </c>
      <c r="AB58" s="17">
        <v>2.1629</v>
      </c>
      <c r="AC58" s="17" t="s">
        <v>3616</v>
      </c>
      <c r="AD58" s="17" t="s">
        <v>2804</v>
      </c>
      <c r="AE58" s="17">
        <v>319397</v>
      </c>
      <c r="AF58" s="17" t="s">
        <v>2839</v>
      </c>
      <c r="AG58" s="17" t="s">
        <v>3617</v>
      </c>
      <c r="AH58" s="17" t="s">
        <v>2806</v>
      </c>
      <c r="AI58" s="17"/>
      <c r="AJ58" s="17" t="s">
        <v>56</v>
      </c>
      <c r="AK58" s="17" t="s">
        <v>56</v>
      </c>
      <c r="AL58" s="17" t="s">
        <v>56</v>
      </c>
      <c r="AM58" s="17" t="s">
        <v>56</v>
      </c>
      <c r="AN58" s="17" t="s">
        <v>56</v>
      </c>
      <c r="AO58" s="17" t="s">
        <v>56</v>
      </c>
      <c r="AP58" s="17" t="s">
        <v>56</v>
      </c>
      <c r="AQ58" s="17" t="s">
        <v>56</v>
      </c>
      <c r="AR58" s="17" t="s">
        <v>56</v>
      </c>
      <c r="AS58" s="17">
        <v>677.19899999999996</v>
      </c>
      <c r="AT58" s="17">
        <v>82.007599999999996</v>
      </c>
      <c r="AU58" s="17">
        <v>435.83600000000001</v>
      </c>
      <c r="AV58" s="17" t="s">
        <v>56</v>
      </c>
      <c r="AW58" s="17" t="s">
        <v>56</v>
      </c>
      <c r="AX58" s="17" t="s">
        <v>56</v>
      </c>
      <c r="AY58" s="17">
        <v>561.97</v>
      </c>
      <c r="AZ58" s="17">
        <v>68.053600000000003</v>
      </c>
      <c r="BA58" s="17">
        <v>361.67599999999999</v>
      </c>
      <c r="BB58" s="17" t="s">
        <v>56</v>
      </c>
      <c r="BC58" s="17" t="s">
        <v>56</v>
      </c>
      <c r="BD58" s="17" t="s">
        <v>56</v>
      </c>
      <c r="BE58" s="17" t="s">
        <v>56</v>
      </c>
      <c r="BF58" s="17" t="s">
        <v>56</v>
      </c>
      <c r="BG58" s="17" t="s">
        <v>56</v>
      </c>
      <c r="BH58" s="17" t="s">
        <v>56</v>
      </c>
      <c r="BI58" s="17" t="s">
        <v>56</v>
      </c>
      <c r="BJ58" s="17" t="s">
        <v>56</v>
      </c>
      <c r="BK58" s="17" t="s">
        <v>56</v>
      </c>
      <c r="BL58" s="17" t="s">
        <v>56</v>
      </c>
      <c r="BM58" s="17" t="s">
        <v>56</v>
      </c>
      <c r="BN58" s="17" t="s">
        <v>56</v>
      </c>
      <c r="BO58" s="17" t="s">
        <v>56</v>
      </c>
      <c r="BP58" s="17" t="s">
        <v>56</v>
      </c>
      <c r="BQ58" s="17" t="s">
        <v>56</v>
      </c>
      <c r="BR58" s="17" t="s">
        <v>56</v>
      </c>
      <c r="BS58" s="17" t="s">
        <v>56</v>
      </c>
      <c r="BT58" s="17" t="s">
        <v>56</v>
      </c>
      <c r="BU58" s="17" t="s">
        <v>56</v>
      </c>
      <c r="BV58" s="17" t="s">
        <v>56</v>
      </c>
      <c r="BW58" s="17" t="s">
        <v>56</v>
      </c>
      <c r="BX58" s="17" t="s">
        <v>2818</v>
      </c>
      <c r="BY58" s="17" t="s">
        <v>1111</v>
      </c>
      <c r="BZ58" s="17" t="s">
        <v>56</v>
      </c>
      <c r="CA58" s="17" t="s">
        <v>56</v>
      </c>
      <c r="CB58" s="17" t="s">
        <v>1325</v>
      </c>
      <c r="CC58" s="17" t="s">
        <v>1325</v>
      </c>
      <c r="CD58" s="17" t="s">
        <v>1325</v>
      </c>
      <c r="CE58" s="17" t="s">
        <v>1325</v>
      </c>
      <c r="CF58" s="17" t="s">
        <v>1325</v>
      </c>
      <c r="CG58" s="17" t="s">
        <v>1325</v>
      </c>
      <c r="CH58" s="17" t="s">
        <v>1325</v>
      </c>
      <c r="CI58" s="17" t="s">
        <v>1325</v>
      </c>
      <c r="CJ58" s="17" t="s">
        <v>1325</v>
      </c>
      <c r="CK58" s="17" t="s">
        <v>1325</v>
      </c>
      <c r="CL58" s="17" t="s">
        <v>1325</v>
      </c>
      <c r="CM58" s="17" t="s">
        <v>1325</v>
      </c>
      <c r="CN58" s="17" t="s">
        <v>1325</v>
      </c>
      <c r="CO58" s="17" t="s">
        <v>1325</v>
      </c>
      <c r="CP58" s="17" t="s">
        <v>1325</v>
      </c>
      <c r="CQ58" s="17" t="s">
        <v>1325</v>
      </c>
      <c r="CR58" s="17" t="s">
        <v>1325</v>
      </c>
      <c r="CS58" s="17" t="s">
        <v>1325</v>
      </c>
      <c r="CT58" s="17" t="s">
        <v>1325</v>
      </c>
      <c r="CU58" s="17" t="s">
        <v>1325</v>
      </c>
      <c r="CV58" s="17" t="s">
        <v>1325</v>
      </c>
      <c r="CW58" s="17" t="s">
        <v>56</v>
      </c>
      <c r="CX58" s="17" t="s">
        <v>56</v>
      </c>
      <c r="CY58" s="17" t="s">
        <v>56</v>
      </c>
      <c r="CZ58" s="17">
        <v>319397</v>
      </c>
      <c r="DA58" s="17">
        <v>319397</v>
      </c>
      <c r="DB58" s="17">
        <v>319397</v>
      </c>
      <c r="DC58" s="17"/>
      <c r="DD58" s="17"/>
      <c r="DE58" s="17"/>
      <c r="DF58" s="17" t="s">
        <v>3415</v>
      </c>
      <c r="DG58" s="17" t="s">
        <v>3516</v>
      </c>
      <c r="DH58" s="17" t="s">
        <v>3237</v>
      </c>
      <c r="DI58" s="17" t="s">
        <v>3517</v>
      </c>
      <c r="DJ58" s="17" t="s">
        <v>3406</v>
      </c>
      <c r="DK58" s="17" t="s">
        <v>3320</v>
      </c>
      <c r="DL58" s="17" t="s">
        <v>3418</v>
      </c>
      <c r="DM58" s="17">
        <v>4.3210000000000002E-3</v>
      </c>
      <c r="DN58" s="17">
        <v>1380.1</v>
      </c>
      <c r="DO58" s="17">
        <v>0.428557196671841</v>
      </c>
      <c r="DP58" s="17" t="s">
        <v>3308</v>
      </c>
      <c r="DQ58" s="17" t="s">
        <v>2839</v>
      </c>
      <c r="DR58" s="17" t="s">
        <v>56</v>
      </c>
      <c r="DS58" s="17" t="s">
        <v>56</v>
      </c>
      <c r="DT58" s="17" t="s">
        <v>56</v>
      </c>
      <c r="DU58" s="17" t="s">
        <v>56</v>
      </c>
      <c r="DV58" s="17" t="s">
        <v>2862</v>
      </c>
      <c r="DW58" s="17" t="s">
        <v>3309</v>
      </c>
      <c r="DX58" s="17" t="s">
        <v>3310</v>
      </c>
      <c r="DY58" s="17">
        <v>3.4870922862201099E-3</v>
      </c>
      <c r="DZ58" s="17">
        <v>9.8129077137798903E-3</v>
      </c>
      <c r="EA58" s="17" t="s">
        <v>3311</v>
      </c>
      <c r="EB58" s="17">
        <v>1.4357739927502501E-3</v>
      </c>
      <c r="EC58" s="17">
        <v>2.56422600724975E-3</v>
      </c>
      <c r="ED58" s="17" t="s">
        <v>56</v>
      </c>
      <c r="EE58" s="17" t="s">
        <v>56</v>
      </c>
      <c r="EF58" s="17" t="s">
        <v>56</v>
      </c>
      <c r="EG58" s="17" t="s">
        <v>2862</v>
      </c>
      <c r="EH58" s="17" t="s">
        <v>3309</v>
      </c>
      <c r="EI58" s="17" t="s">
        <v>3312</v>
      </c>
      <c r="EJ58" s="17">
        <v>1.08477E-2</v>
      </c>
      <c r="EK58" s="17">
        <v>5.8252699999999998E-2</v>
      </c>
      <c r="EL58" s="17" t="s">
        <v>3311</v>
      </c>
      <c r="EM58" s="17">
        <v>4.8999999999999998E-3</v>
      </c>
      <c r="EN58" s="17">
        <v>1.01E-2</v>
      </c>
      <c r="EO58" s="17" t="s">
        <v>3312</v>
      </c>
      <c r="EP58" s="17">
        <v>4.3641500000000004</v>
      </c>
      <c r="EQ58" s="17">
        <v>23.435700000000001</v>
      </c>
      <c r="ER58" s="17" t="s">
        <v>3313</v>
      </c>
      <c r="ES58" s="17">
        <v>0.59340000000000004</v>
      </c>
      <c r="ET58" s="17">
        <v>1.2263999999999999</v>
      </c>
      <c r="EU58" s="17" t="s">
        <v>2862</v>
      </c>
      <c r="EV58" s="17" t="s">
        <v>3309</v>
      </c>
      <c r="EW58" s="17" t="s">
        <v>3312</v>
      </c>
      <c r="EX58" s="17">
        <v>4.3641500000000004</v>
      </c>
      <c r="EY58" s="17">
        <v>23.435700000000001</v>
      </c>
      <c r="EZ58" s="17" t="s">
        <v>3311</v>
      </c>
      <c r="FA58" s="17">
        <v>0.59340000000000004</v>
      </c>
      <c r="FB58" s="17">
        <v>1.2263999999999999</v>
      </c>
      <c r="FC58" s="17" t="s">
        <v>56</v>
      </c>
      <c r="FD58" s="17" t="s">
        <v>56</v>
      </c>
      <c r="FE58" s="17" t="s">
        <v>56</v>
      </c>
      <c r="FF58" s="17" t="s">
        <v>56</v>
      </c>
      <c r="FG58" s="17" t="s">
        <v>56</v>
      </c>
      <c r="FH58" s="17" t="s">
        <v>56</v>
      </c>
      <c r="FI58" s="17" t="s">
        <v>56</v>
      </c>
      <c r="FJ58" s="17" t="s">
        <v>56</v>
      </c>
      <c r="FK58" s="17" t="s">
        <v>56</v>
      </c>
      <c r="FL58" s="17" t="s">
        <v>56</v>
      </c>
      <c r="FM58" s="17" t="s">
        <v>56</v>
      </c>
      <c r="FN58" s="17" t="s">
        <v>56</v>
      </c>
      <c r="FO58" s="17" t="s">
        <v>56</v>
      </c>
      <c r="FP58" s="17" t="s">
        <v>56</v>
      </c>
      <c r="FQ58" s="17" t="s">
        <v>56</v>
      </c>
      <c r="FR58" s="17" t="s">
        <v>56</v>
      </c>
      <c r="FS58" s="17" t="s">
        <v>56</v>
      </c>
      <c r="FT58" s="17" t="s">
        <v>56</v>
      </c>
      <c r="FU58" s="17">
        <v>194.509940512356</v>
      </c>
      <c r="FV58" s="17">
        <v>1044.52794080529</v>
      </c>
      <c r="FW58" s="17" t="s">
        <v>56</v>
      </c>
      <c r="FX58" s="17" t="s">
        <v>56</v>
      </c>
      <c r="FY58" s="17" t="s">
        <v>56</v>
      </c>
      <c r="FZ58" s="17" t="s">
        <v>56</v>
      </c>
      <c r="GA58" s="17" t="s">
        <v>56</v>
      </c>
      <c r="GB58" s="17" t="s">
        <v>56</v>
      </c>
      <c r="GC58" s="17" t="s">
        <v>56</v>
      </c>
      <c r="GD58" s="17" t="s">
        <v>2969</v>
      </c>
      <c r="GE58" s="17" t="s">
        <v>2969</v>
      </c>
      <c r="GF58" s="17" t="s">
        <v>56</v>
      </c>
      <c r="GG58" s="17" t="s">
        <v>2818</v>
      </c>
      <c r="GH58" s="17" t="s">
        <v>2818</v>
      </c>
      <c r="GI58" s="17" t="s">
        <v>1111</v>
      </c>
      <c r="GJ58" s="17" t="s">
        <v>1111</v>
      </c>
      <c r="GK58" s="17" t="s">
        <v>1111</v>
      </c>
      <c r="GL58" s="17"/>
    </row>
    <row r="59" spans="2:194" x14ac:dyDescent="0.25">
      <c r="B59" s="17" t="s">
        <v>2840</v>
      </c>
      <c r="C59" s="17" t="s">
        <v>70</v>
      </c>
      <c r="D59" s="17" t="s">
        <v>3411</v>
      </c>
      <c r="E59" s="17" t="s">
        <v>3412</v>
      </c>
      <c r="F59" s="17" t="s">
        <v>3237</v>
      </c>
      <c r="G59" s="17" t="s">
        <v>3413</v>
      </c>
      <c r="H59" s="17"/>
      <c r="I59" s="17" t="s">
        <v>2797</v>
      </c>
      <c r="J59" s="17" t="s">
        <v>3403</v>
      </c>
      <c r="K59" s="17" t="s">
        <v>2653</v>
      </c>
      <c r="L59" s="17" t="s">
        <v>2800</v>
      </c>
      <c r="M59" s="17" t="s">
        <v>3414</v>
      </c>
      <c r="N59" s="17" t="s">
        <v>1325</v>
      </c>
      <c r="O59" s="17" t="s">
        <v>2813</v>
      </c>
      <c r="P59" s="17" t="s">
        <v>2814</v>
      </c>
      <c r="Q59" s="17" t="s">
        <v>3616</v>
      </c>
      <c r="R59" s="17">
        <v>17897433.710000001</v>
      </c>
      <c r="S59" s="17">
        <v>4974456.4000000004</v>
      </c>
      <c r="T59" s="17">
        <v>18587154.18</v>
      </c>
      <c r="U59" s="17" t="s">
        <v>2817</v>
      </c>
      <c r="V59" s="17" t="s">
        <v>939</v>
      </c>
      <c r="W59" s="17" t="s">
        <v>2816</v>
      </c>
      <c r="X59" s="17" t="s">
        <v>3403</v>
      </c>
      <c r="Y59" s="17" t="s">
        <v>56</v>
      </c>
      <c r="Z59" s="17" t="s">
        <v>3616</v>
      </c>
      <c r="AA59" s="17" t="s">
        <v>2801</v>
      </c>
      <c r="AB59" s="17">
        <v>2.1629</v>
      </c>
      <c r="AC59" s="17" t="s">
        <v>3616</v>
      </c>
      <c r="AD59" s="17" t="s">
        <v>2804</v>
      </c>
      <c r="AE59" s="17">
        <v>319397</v>
      </c>
      <c r="AF59" s="17" t="s">
        <v>2839</v>
      </c>
      <c r="AG59" s="17" t="s">
        <v>3617</v>
      </c>
      <c r="AH59" s="17" t="s">
        <v>2806</v>
      </c>
      <c r="AI59" s="17"/>
      <c r="AJ59" s="17" t="s">
        <v>56</v>
      </c>
      <c r="AK59" s="17" t="s">
        <v>56</v>
      </c>
      <c r="AL59" s="17" t="s">
        <v>56</v>
      </c>
      <c r="AM59" s="17" t="s">
        <v>56</v>
      </c>
      <c r="AN59" s="17" t="s">
        <v>56</v>
      </c>
      <c r="AO59" s="17" t="s">
        <v>56</v>
      </c>
      <c r="AP59" s="17" t="s">
        <v>56</v>
      </c>
      <c r="AQ59" s="17" t="s">
        <v>56</v>
      </c>
      <c r="AR59" s="17" t="s">
        <v>56</v>
      </c>
      <c r="AS59" s="17">
        <v>677.19899999999996</v>
      </c>
      <c r="AT59" s="17">
        <v>82.007599999999996</v>
      </c>
      <c r="AU59" s="17">
        <v>435.83600000000001</v>
      </c>
      <c r="AV59" s="17" t="s">
        <v>56</v>
      </c>
      <c r="AW59" s="17" t="s">
        <v>56</v>
      </c>
      <c r="AX59" s="17" t="s">
        <v>56</v>
      </c>
      <c r="AY59" s="17">
        <v>561.97</v>
      </c>
      <c r="AZ59" s="17">
        <v>68.053600000000003</v>
      </c>
      <c r="BA59" s="17">
        <v>361.67599999999999</v>
      </c>
      <c r="BB59" s="17" t="s">
        <v>56</v>
      </c>
      <c r="BC59" s="17" t="s">
        <v>56</v>
      </c>
      <c r="BD59" s="17" t="s">
        <v>56</v>
      </c>
      <c r="BE59" s="17" t="s">
        <v>56</v>
      </c>
      <c r="BF59" s="17" t="s">
        <v>56</v>
      </c>
      <c r="BG59" s="17" t="s">
        <v>56</v>
      </c>
      <c r="BH59" s="17" t="s">
        <v>56</v>
      </c>
      <c r="BI59" s="17" t="s">
        <v>56</v>
      </c>
      <c r="BJ59" s="17" t="s">
        <v>56</v>
      </c>
      <c r="BK59" s="17" t="s">
        <v>56</v>
      </c>
      <c r="BL59" s="17" t="s">
        <v>56</v>
      </c>
      <c r="BM59" s="17" t="s">
        <v>56</v>
      </c>
      <c r="BN59" s="17" t="s">
        <v>56</v>
      </c>
      <c r="BO59" s="17" t="s">
        <v>56</v>
      </c>
      <c r="BP59" s="17" t="s">
        <v>56</v>
      </c>
      <c r="BQ59" s="17" t="s">
        <v>56</v>
      </c>
      <c r="BR59" s="17" t="s">
        <v>56</v>
      </c>
      <c r="BS59" s="17" t="s">
        <v>56</v>
      </c>
      <c r="BT59" s="17" t="s">
        <v>56</v>
      </c>
      <c r="BU59" s="17" t="s">
        <v>56</v>
      </c>
      <c r="BV59" s="17" t="s">
        <v>56</v>
      </c>
      <c r="BW59" s="17" t="s">
        <v>56</v>
      </c>
      <c r="BX59" s="17" t="s">
        <v>2818</v>
      </c>
      <c r="BY59" s="17" t="s">
        <v>1111</v>
      </c>
      <c r="BZ59" s="17" t="s">
        <v>56</v>
      </c>
      <c r="CA59" s="17" t="s">
        <v>56</v>
      </c>
      <c r="CB59" s="17" t="s">
        <v>1325</v>
      </c>
      <c r="CC59" s="17" t="s">
        <v>1325</v>
      </c>
      <c r="CD59" s="17" t="s">
        <v>1325</v>
      </c>
      <c r="CE59" s="17" t="s">
        <v>1325</v>
      </c>
      <c r="CF59" s="17" t="s">
        <v>1325</v>
      </c>
      <c r="CG59" s="17" t="s">
        <v>1325</v>
      </c>
      <c r="CH59" s="17" t="s">
        <v>1325</v>
      </c>
      <c r="CI59" s="17" t="s">
        <v>1325</v>
      </c>
      <c r="CJ59" s="17" t="s">
        <v>1325</v>
      </c>
      <c r="CK59" s="17" t="s">
        <v>1325</v>
      </c>
      <c r="CL59" s="17" t="s">
        <v>1325</v>
      </c>
      <c r="CM59" s="17" t="s">
        <v>1325</v>
      </c>
      <c r="CN59" s="17" t="s">
        <v>1325</v>
      </c>
      <c r="CO59" s="17" t="s">
        <v>1325</v>
      </c>
      <c r="CP59" s="17" t="s">
        <v>1325</v>
      </c>
      <c r="CQ59" s="17" t="s">
        <v>1325</v>
      </c>
      <c r="CR59" s="17" t="s">
        <v>1325</v>
      </c>
      <c r="CS59" s="17" t="s">
        <v>1325</v>
      </c>
      <c r="CT59" s="17" t="s">
        <v>1325</v>
      </c>
      <c r="CU59" s="17" t="s">
        <v>1325</v>
      </c>
      <c r="CV59" s="17" t="s">
        <v>1325</v>
      </c>
      <c r="CW59" s="17" t="s">
        <v>56</v>
      </c>
      <c r="CX59" s="17" t="s">
        <v>56</v>
      </c>
      <c r="CY59" s="17" t="s">
        <v>56</v>
      </c>
      <c r="CZ59" s="17">
        <v>319397</v>
      </c>
      <c r="DA59" s="17">
        <v>319397</v>
      </c>
      <c r="DB59" s="17">
        <v>319397</v>
      </c>
      <c r="DC59" s="17"/>
      <c r="DD59" s="17"/>
      <c r="DE59" s="17"/>
      <c r="DF59" s="17" t="s">
        <v>3415</v>
      </c>
      <c r="DG59" s="17" t="s">
        <v>3518</v>
      </c>
      <c r="DH59" s="17" t="s">
        <v>3237</v>
      </c>
      <c r="DI59" s="17" t="s">
        <v>3519</v>
      </c>
      <c r="DJ59" s="17" t="s">
        <v>3405</v>
      </c>
      <c r="DK59" s="17" t="s">
        <v>3320</v>
      </c>
      <c r="DL59" s="17" t="s">
        <v>3418</v>
      </c>
      <c r="DM59" s="17">
        <v>3.0699999999999998E-4</v>
      </c>
      <c r="DN59" s="17">
        <v>98.1</v>
      </c>
      <c r="DO59" s="17">
        <v>0.42856382615720501</v>
      </c>
      <c r="DP59" s="17" t="s">
        <v>3308</v>
      </c>
      <c r="DQ59" s="17" t="s">
        <v>2839</v>
      </c>
      <c r="DR59" s="17" t="s">
        <v>56</v>
      </c>
      <c r="DS59" s="17" t="s">
        <v>56</v>
      </c>
      <c r="DT59" s="17" t="s">
        <v>56</v>
      </c>
      <c r="DU59" s="17" t="s">
        <v>56</v>
      </c>
      <c r="DV59" s="17" t="s">
        <v>2862</v>
      </c>
      <c r="DW59" s="17" t="s">
        <v>3309</v>
      </c>
      <c r="DX59" s="17" t="s">
        <v>3310</v>
      </c>
      <c r="DY59" s="17">
        <v>9.7795896448127796E-3</v>
      </c>
      <c r="DZ59" s="17">
        <v>2.7520410355187201E-2</v>
      </c>
      <c r="EA59" s="17" t="s">
        <v>3311</v>
      </c>
      <c r="EB59" s="17">
        <v>4.0201671797007003E-3</v>
      </c>
      <c r="EC59" s="17">
        <v>7.1798328202993004E-3</v>
      </c>
      <c r="ED59" s="17" t="s">
        <v>56</v>
      </c>
      <c r="EE59" s="17" t="s">
        <v>56</v>
      </c>
      <c r="EF59" s="17" t="s">
        <v>56</v>
      </c>
      <c r="EG59" s="17" t="s">
        <v>2862</v>
      </c>
      <c r="EH59" s="17" t="s">
        <v>3309</v>
      </c>
      <c r="EI59" s="17" t="s">
        <v>3312</v>
      </c>
      <c r="EJ59" s="17">
        <v>1.08477E-2</v>
      </c>
      <c r="EK59" s="17">
        <v>5.8252699999999998E-2</v>
      </c>
      <c r="EL59" s="17" t="s">
        <v>3311</v>
      </c>
      <c r="EM59" s="17">
        <v>4.8999999999999998E-3</v>
      </c>
      <c r="EN59" s="17">
        <v>1.01E-2</v>
      </c>
      <c r="EO59" s="17" t="s">
        <v>3312</v>
      </c>
      <c r="EP59" s="17">
        <v>4.3641500000000004</v>
      </c>
      <c r="EQ59" s="17">
        <v>23.435700000000001</v>
      </c>
      <c r="ER59" s="17" t="s">
        <v>3313</v>
      </c>
      <c r="ES59" s="17">
        <v>0.59340000000000004</v>
      </c>
      <c r="ET59" s="17">
        <v>1.2263999999999999</v>
      </c>
      <c r="EU59" s="17" t="s">
        <v>2862</v>
      </c>
      <c r="EV59" s="17" t="s">
        <v>3309</v>
      </c>
      <c r="EW59" s="17" t="s">
        <v>3312</v>
      </c>
      <c r="EX59" s="17">
        <v>4.3641500000000004</v>
      </c>
      <c r="EY59" s="17">
        <v>23.435700000000001</v>
      </c>
      <c r="EZ59" s="17" t="s">
        <v>3311</v>
      </c>
      <c r="FA59" s="17">
        <v>0.59340000000000004</v>
      </c>
      <c r="FB59" s="17">
        <v>1.2263999999999999</v>
      </c>
      <c r="FC59" s="17" t="s">
        <v>56</v>
      </c>
      <c r="FD59" s="17" t="s">
        <v>56</v>
      </c>
      <c r="FE59" s="17" t="s">
        <v>56</v>
      </c>
      <c r="FF59" s="17" t="s">
        <v>56</v>
      </c>
      <c r="FG59" s="17" t="s">
        <v>56</v>
      </c>
      <c r="FH59" s="17" t="s">
        <v>56</v>
      </c>
      <c r="FI59" s="17" t="s">
        <v>56</v>
      </c>
      <c r="FJ59" s="17" t="s">
        <v>56</v>
      </c>
      <c r="FK59" s="17" t="s">
        <v>56</v>
      </c>
      <c r="FL59" s="17" t="s">
        <v>56</v>
      </c>
      <c r="FM59" s="17" t="s">
        <v>56</v>
      </c>
      <c r="FN59" s="17" t="s">
        <v>56</v>
      </c>
      <c r="FO59" s="17" t="s">
        <v>56</v>
      </c>
      <c r="FP59" s="17" t="s">
        <v>56</v>
      </c>
      <c r="FQ59" s="17" t="s">
        <v>56</v>
      </c>
      <c r="FR59" s="17" t="s">
        <v>56</v>
      </c>
      <c r="FS59" s="17" t="s">
        <v>56</v>
      </c>
      <c r="FT59" s="17" t="s">
        <v>56</v>
      </c>
      <c r="FU59" s="17">
        <v>194.51294945412801</v>
      </c>
      <c r="FV59" s="17">
        <v>1044.5440989705</v>
      </c>
      <c r="FW59" s="17" t="s">
        <v>56</v>
      </c>
      <c r="FX59" s="17" t="s">
        <v>56</v>
      </c>
      <c r="FY59" s="17" t="s">
        <v>56</v>
      </c>
      <c r="FZ59" s="17" t="s">
        <v>56</v>
      </c>
      <c r="GA59" s="17" t="s">
        <v>56</v>
      </c>
      <c r="GB59" s="17" t="s">
        <v>56</v>
      </c>
      <c r="GC59" s="17" t="s">
        <v>56</v>
      </c>
      <c r="GD59" s="17" t="s">
        <v>2969</v>
      </c>
      <c r="GE59" s="17" t="s">
        <v>2969</v>
      </c>
      <c r="GF59" s="17" t="s">
        <v>56</v>
      </c>
      <c r="GG59" s="17" t="s">
        <v>2818</v>
      </c>
      <c r="GH59" s="17" t="s">
        <v>2818</v>
      </c>
      <c r="GI59" s="17" t="s">
        <v>1111</v>
      </c>
      <c r="GJ59" s="17" t="s">
        <v>1111</v>
      </c>
      <c r="GK59" s="17" t="s">
        <v>1111</v>
      </c>
      <c r="GL59" s="17"/>
    </row>
    <row r="60" spans="2:194" x14ac:dyDescent="0.25">
      <c r="B60" s="17" t="s">
        <v>2840</v>
      </c>
      <c r="C60" s="17" t="s">
        <v>70</v>
      </c>
      <c r="D60" s="17" t="s">
        <v>3411</v>
      </c>
      <c r="E60" s="17" t="s">
        <v>3412</v>
      </c>
      <c r="F60" s="17" t="s">
        <v>3237</v>
      </c>
      <c r="G60" s="17" t="s">
        <v>3413</v>
      </c>
      <c r="H60" s="17"/>
      <c r="I60" s="17" t="s">
        <v>2797</v>
      </c>
      <c r="J60" s="17" t="s">
        <v>3403</v>
      </c>
      <c r="K60" s="17" t="s">
        <v>2653</v>
      </c>
      <c r="L60" s="17" t="s">
        <v>2800</v>
      </c>
      <c r="M60" s="17" t="s">
        <v>3414</v>
      </c>
      <c r="N60" s="17" t="s">
        <v>1325</v>
      </c>
      <c r="O60" s="17" t="s">
        <v>2813</v>
      </c>
      <c r="P60" s="17" t="s">
        <v>2814</v>
      </c>
      <c r="Q60" s="17" t="s">
        <v>3616</v>
      </c>
      <c r="R60" s="17">
        <v>17897433.710000001</v>
      </c>
      <c r="S60" s="17">
        <v>4974456.4000000004</v>
      </c>
      <c r="T60" s="17">
        <v>18587154.18</v>
      </c>
      <c r="U60" s="17" t="s">
        <v>2817</v>
      </c>
      <c r="V60" s="17" t="s">
        <v>939</v>
      </c>
      <c r="W60" s="17" t="s">
        <v>2816</v>
      </c>
      <c r="X60" s="17" t="s">
        <v>3403</v>
      </c>
      <c r="Y60" s="17" t="s">
        <v>56</v>
      </c>
      <c r="Z60" s="17" t="s">
        <v>3616</v>
      </c>
      <c r="AA60" s="17" t="s">
        <v>2801</v>
      </c>
      <c r="AB60" s="17">
        <v>2.1629</v>
      </c>
      <c r="AC60" s="17" t="s">
        <v>3616</v>
      </c>
      <c r="AD60" s="17" t="s">
        <v>2804</v>
      </c>
      <c r="AE60" s="17">
        <v>319397</v>
      </c>
      <c r="AF60" s="17" t="s">
        <v>2839</v>
      </c>
      <c r="AG60" s="17" t="s">
        <v>3617</v>
      </c>
      <c r="AH60" s="17" t="s">
        <v>2806</v>
      </c>
      <c r="AI60" s="17"/>
      <c r="AJ60" s="17" t="s">
        <v>56</v>
      </c>
      <c r="AK60" s="17" t="s">
        <v>56</v>
      </c>
      <c r="AL60" s="17" t="s">
        <v>56</v>
      </c>
      <c r="AM60" s="17" t="s">
        <v>56</v>
      </c>
      <c r="AN60" s="17" t="s">
        <v>56</v>
      </c>
      <c r="AO60" s="17" t="s">
        <v>56</v>
      </c>
      <c r="AP60" s="17" t="s">
        <v>56</v>
      </c>
      <c r="AQ60" s="17" t="s">
        <v>56</v>
      </c>
      <c r="AR60" s="17" t="s">
        <v>56</v>
      </c>
      <c r="AS60" s="17">
        <v>677.19899999999996</v>
      </c>
      <c r="AT60" s="17">
        <v>82.007599999999996</v>
      </c>
      <c r="AU60" s="17">
        <v>435.83600000000001</v>
      </c>
      <c r="AV60" s="17" t="s">
        <v>56</v>
      </c>
      <c r="AW60" s="17" t="s">
        <v>56</v>
      </c>
      <c r="AX60" s="17" t="s">
        <v>56</v>
      </c>
      <c r="AY60" s="17">
        <v>561.97</v>
      </c>
      <c r="AZ60" s="17">
        <v>68.053600000000003</v>
      </c>
      <c r="BA60" s="17">
        <v>361.67599999999999</v>
      </c>
      <c r="BB60" s="17" t="s">
        <v>56</v>
      </c>
      <c r="BC60" s="17" t="s">
        <v>56</v>
      </c>
      <c r="BD60" s="17" t="s">
        <v>56</v>
      </c>
      <c r="BE60" s="17" t="s">
        <v>56</v>
      </c>
      <c r="BF60" s="17" t="s">
        <v>56</v>
      </c>
      <c r="BG60" s="17" t="s">
        <v>56</v>
      </c>
      <c r="BH60" s="17" t="s">
        <v>56</v>
      </c>
      <c r="BI60" s="17" t="s">
        <v>56</v>
      </c>
      <c r="BJ60" s="17" t="s">
        <v>56</v>
      </c>
      <c r="BK60" s="17" t="s">
        <v>56</v>
      </c>
      <c r="BL60" s="17" t="s">
        <v>56</v>
      </c>
      <c r="BM60" s="17" t="s">
        <v>56</v>
      </c>
      <c r="BN60" s="17" t="s">
        <v>56</v>
      </c>
      <c r="BO60" s="17" t="s">
        <v>56</v>
      </c>
      <c r="BP60" s="17" t="s">
        <v>56</v>
      </c>
      <c r="BQ60" s="17" t="s">
        <v>56</v>
      </c>
      <c r="BR60" s="17" t="s">
        <v>56</v>
      </c>
      <c r="BS60" s="17" t="s">
        <v>56</v>
      </c>
      <c r="BT60" s="17" t="s">
        <v>56</v>
      </c>
      <c r="BU60" s="17" t="s">
        <v>56</v>
      </c>
      <c r="BV60" s="17" t="s">
        <v>56</v>
      </c>
      <c r="BW60" s="17" t="s">
        <v>56</v>
      </c>
      <c r="BX60" s="17" t="s">
        <v>2818</v>
      </c>
      <c r="BY60" s="17" t="s">
        <v>1111</v>
      </c>
      <c r="BZ60" s="17" t="s">
        <v>56</v>
      </c>
      <c r="CA60" s="17" t="s">
        <v>56</v>
      </c>
      <c r="CB60" s="17" t="s">
        <v>1325</v>
      </c>
      <c r="CC60" s="17" t="s">
        <v>1325</v>
      </c>
      <c r="CD60" s="17" t="s">
        <v>1325</v>
      </c>
      <c r="CE60" s="17" t="s">
        <v>1325</v>
      </c>
      <c r="CF60" s="17" t="s">
        <v>1325</v>
      </c>
      <c r="CG60" s="17" t="s">
        <v>1325</v>
      </c>
      <c r="CH60" s="17" t="s">
        <v>1325</v>
      </c>
      <c r="CI60" s="17" t="s">
        <v>1325</v>
      </c>
      <c r="CJ60" s="17" t="s">
        <v>1325</v>
      </c>
      <c r="CK60" s="17" t="s">
        <v>1325</v>
      </c>
      <c r="CL60" s="17" t="s">
        <v>1325</v>
      </c>
      <c r="CM60" s="17" t="s">
        <v>1325</v>
      </c>
      <c r="CN60" s="17" t="s">
        <v>1325</v>
      </c>
      <c r="CO60" s="17" t="s">
        <v>1325</v>
      </c>
      <c r="CP60" s="17" t="s">
        <v>1325</v>
      </c>
      <c r="CQ60" s="17" t="s">
        <v>1325</v>
      </c>
      <c r="CR60" s="17" t="s">
        <v>1325</v>
      </c>
      <c r="CS60" s="17" t="s">
        <v>1325</v>
      </c>
      <c r="CT60" s="17" t="s">
        <v>1325</v>
      </c>
      <c r="CU60" s="17" t="s">
        <v>1325</v>
      </c>
      <c r="CV60" s="17" t="s">
        <v>1325</v>
      </c>
      <c r="CW60" s="17" t="s">
        <v>56</v>
      </c>
      <c r="CX60" s="17" t="s">
        <v>56</v>
      </c>
      <c r="CY60" s="17" t="s">
        <v>56</v>
      </c>
      <c r="CZ60" s="17">
        <v>319397</v>
      </c>
      <c r="DA60" s="17">
        <v>319397</v>
      </c>
      <c r="DB60" s="17">
        <v>319397</v>
      </c>
      <c r="DC60" s="17"/>
      <c r="DD60" s="17"/>
      <c r="DE60" s="17"/>
      <c r="DF60" s="17" t="s">
        <v>3415</v>
      </c>
      <c r="DG60" s="17" t="s">
        <v>3520</v>
      </c>
      <c r="DH60" s="17" t="s">
        <v>3237</v>
      </c>
      <c r="DI60" s="17" t="s">
        <v>3521</v>
      </c>
      <c r="DJ60" s="17" t="s">
        <v>3407</v>
      </c>
      <c r="DK60" s="17" t="s">
        <v>3320</v>
      </c>
      <c r="DL60" s="17" t="s">
        <v>3418</v>
      </c>
      <c r="DM60" s="17">
        <v>0.273866</v>
      </c>
      <c r="DN60" s="17">
        <v>87472</v>
      </c>
      <c r="DO60" s="17">
        <v>0.428558406264967</v>
      </c>
      <c r="DP60" s="17" t="s">
        <v>3308</v>
      </c>
      <c r="DQ60" s="17" t="s">
        <v>2839</v>
      </c>
      <c r="DR60" s="17" t="s">
        <v>56</v>
      </c>
      <c r="DS60" s="17" t="s">
        <v>56</v>
      </c>
      <c r="DT60" s="17" t="s">
        <v>56</v>
      </c>
      <c r="DU60" s="17" t="s">
        <v>56</v>
      </c>
      <c r="DV60" s="17" t="s">
        <v>2862</v>
      </c>
      <c r="DW60" s="17" t="s">
        <v>3309</v>
      </c>
      <c r="DX60" s="17" t="s">
        <v>3310</v>
      </c>
      <c r="DY60" s="17">
        <v>7.07905952841676E-4</v>
      </c>
      <c r="DZ60" s="17">
        <v>1.99209404715832E-3</v>
      </c>
      <c r="EA60" s="17" t="s">
        <v>3311</v>
      </c>
      <c r="EB60" s="17">
        <v>2.8715479855005E-4</v>
      </c>
      <c r="EC60" s="17">
        <v>5.1284520144994998E-4</v>
      </c>
      <c r="ED60" s="17" t="s">
        <v>56</v>
      </c>
      <c r="EE60" s="17" t="s">
        <v>56</v>
      </c>
      <c r="EF60" s="17" t="s">
        <v>56</v>
      </c>
      <c r="EG60" s="17" t="s">
        <v>2862</v>
      </c>
      <c r="EH60" s="17" t="s">
        <v>3309</v>
      </c>
      <c r="EI60" s="17" t="s">
        <v>3312</v>
      </c>
      <c r="EJ60" s="17">
        <v>1.08477E-2</v>
      </c>
      <c r="EK60" s="17">
        <v>5.8252699999999998E-2</v>
      </c>
      <c r="EL60" s="17" t="s">
        <v>3311</v>
      </c>
      <c r="EM60" s="17">
        <v>4.8999999999999998E-3</v>
      </c>
      <c r="EN60" s="17">
        <v>1.01E-2</v>
      </c>
      <c r="EO60" s="17" t="s">
        <v>3312</v>
      </c>
      <c r="EP60" s="17">
        <v>4.3641500000000004</v>
      </c>
      <c r="EQ60" s="17">
        <v>23.435700000000001</v>
      </c>
      <c r="ER60" s="17" t="s">
        <v>3313</v>
      </c>
      <c r="ES60" s="17">
        <v>0.59340000000000004</v>
      </c>
      <c r="ET60" s="17">
        <v>1.2263999999999999</v>
      </c>
      <c r="EU60" s="17" t="s">
        <v>2862</v>
      </c>
      <c r="EV60" s="17" t="s">
        <v>3309</v>
      </c>
      <c r="EW60" s="17" t="s">
        <v>3312</v>
      </c>
      <c r="EX60" s="17">
        <v>4.3641500000000004</v>
      </c>
      <c r="EY60" s="17">
        <v>23.435700000000001</v>
      </c>
      <c r="EZ60" s="17" t="s">
        <v>3311</v>
      </c>
      <c r="FA60" s="17">
        <v>0.59340000000000004</v>
      </c>
      <c r="FB60" s="17">
        <v>1.2263999999999999</v>
      </c>
      <c r="FC60" s="17" t="s">
        <v>56</v>
      </c>
      <c r="FD60" s="17" t="s">
        <v>56</v>
      </c>
      <c r="FE60" s="17" t="s">
        <v>56</v>
      </c>
      <c r="FF60" s="17" t="s">
        <v>56</v>
      </c>
      <c r="FG60" s="17" t="s">
        <v>56</v>
      </c>
      <c r="FH60" s="17" t="s">
        <v>56</v>
      </c>
      <c r="FI60" s="17" t="s">
        <v>56</v>
      </c>
      <c r="FJ60" s="17" t="s">
        <v>56</v>
      </c>
      <c r="FK60" s="17" t="s">
        <v>56</v>
      </c>
      <c r="FL60" s="17" t="s">
        <v>56</v>
      </c>
      <c r="FM60" s="17" t="s">
        <v>56</v>
      </c>
      <c r="FN60" s="17" t="s">
        <v>56</v>
      </c>
      <c r="FO60" s="17" t="s">
        <v>56</v>
      </c>
      <c r="FP60" s="17" t="s">
        <v>56</v>
      </c>
      <c r="FQ60" s="17" t="s">
        <v>56</v>
      </c>
      <c r="FR60" s="17" t="s">
        <v>56</v>
      </c>
      <c r="FS60" s="17" t="s">
        <v>56</v>
      </c>
      <c r="FT60" s="17" t="s">
        <v>56</v>
      </c>
      <c r="FU60" s="17">
        <v>194.51048951544399</v>
      </c>
      <c r="FV60" s="17">
        <v>1044.53088897885</v>
      </c>
      <c r="FW60" s="17" t="s">
        <v>56</v>
      </c>
      <c r="FX60" s="17" t="s">
        <v>56</v>
      </c>
      <c r="FY60" s="17" t="s">
        <v>56</v>
      </c>
      <c r="FZ60" s="17" t="s">
        <v>56</v>
      </c>
      <c r="GA60" s="17" t="s">
        <v>56</v>
      </c>
      <c r="GB60" s="17" t="s">
        <v>56</v>
      </c>
      <c r="GC60" s="17" t="s">
        <v>56</v>
      </c>
      <c r="GD60" s="17" t="s">
        <v>2969</v>
      </c>
      <c r="GE60" s="17" t="s">
        <v>2969</v>
      </c>
      <c r="GF60" s="17" t="s">
        <v>56</v>
      </c>
      <c r="GG60" s="17" t="s">
        <v>2818</v>
      </c>
      <c r="GH60" s="17" t="s">
        <v>2818</v>
      </c>
      <c r="GI60" s="17" t="s">
        <v>1111</v>
      </c>
      <c r="GJ60" s="17" t="s">
        <v>1111</v>
      </c>
      <c r="GK60" s="17" t="s">
        <v>1111</v>
      </c>
      <c r="GL60" s="17"/>
    </row>
    <row r="61" spans="2:194" x14ac:dyDescent="0.25">
      <c r="B61" s="17" t="s">
        <v>2840</v>
      </c>
      <c r="C61" s="17" t="s">
        <v>70</v>
      </c>
      <c r="D61" s="17" t="s">
        <v>3411</v>
      </c>
      <c r="E61" s="17" t="s">
        <v>3412</v>
      </c>
      <c r="F61" s="17" t="s">
        <v>3237</v>
      </c>
      <c r="G61" s="17" t="s">
        <v>3413</v>
      </c>
      <c r="H61" s="17"/>
      <c r="I61" s="17" t="s">
        <v>2797</v>
      </c>
      <c r="J61" s="17" t="s">
        <v>3403</v>
      </c>
      <c r="K61" s="17" t="s">
        <v>2653</v>
      </c>
      <c r="L61" s="17" t="s">
        <v>2800</v>
      </c>
      <c r="M61" s="17" t="s">
        <v>3414</v>
      </c>
      <c r="N61" s="17" t="s">
        <v>1325</v>
      </c>
      <c r="O61" s="17" t="s">
        <v>2813</v>
      </c>
      <c r="P61" s="17" t="s">
        <v>2814</v>
      </c>
      <c r="Q61" s="17" t="s">
        <v>3616</v>
      </c>
      <c r="R61" s="17">
        <v>17897433.710000001</v>
      </c>
      <c r="S61" s="17">
        <v>4974456.4000000004</v>
      </c>
      <c r="T61" s="17">
        <v>18587154.18</v>
      </c>
      <c r="U61" s="17" t="s">
        <v>2817</v>
      </c>
      <c r="V61" s="17" t="s">
        <v>939</v>
      </c>
      <c r="W61" s="17" t="s">
        <v>2816</v>
      </c>
      <c r="X61" s="17" t="s">
        <v>3403</v>
      </c>
      <c r="Y61" s="17" t="s">
        <v>56</v>
      </c>
      <c r="Z61" s="17" t="s">
        <v>3616</v>
      </c>
      <c r="AA61" s="17" t="s">
        <v>2801</v>
      </c>
      <c r="AB61" s="17">
        <v>2.1629</v>
      </c>
      <c r="AC61" s="17" t="s">
        <v>3616</v>
      </c>
      <c r="AD61" s="17" t="s">
        <v>2804</v>
      </c>
      <c r="AE61" s="17">
        <v>319397</v>
      </c>
      <c r="AF61" s="17" t="s">
        <v>2839</v>
      </c>
      <c r="AG61" s="17" t="s">
        <v>3617</v>
      </c>
      <c r="AH61" s="17" t="s">
        <v>2806</v>
      </c>
      <c r="AI61" s="17"/>
      <c r="AJ61" s="17" t="s">
        <v>56</v>
      </c>
      <c r="AK61" s="17" t="s">
        <v>56</v>
      </c>
      <c r="AL61" s="17" t="s">
        <v>56</v>
      </c>
      <c r="AM61" s="17" t="s">
        <v>56</v>
      </c>
      <c r="AN61" s="17" t="s">
        <v>56</v>
      </c>
      <c r="AO61" s="17" t="s">
        <v>56</v>
      </c>
      <c r="AP61" s="17" t="s">
        <v>56</v>
      </c>
      <c r="AQ61" s="17" t="s">
        <v>56</v>
      </c>
      <c r="AR61" s="17" t="s">
        <v>56</v>
      </c>
      <c r="AS61" s="17">
        <v>677.19899999999996</v>
      </c>
      <c r="AT61" s="17">
        <v>82.007599999999996</v>
      </c>
      <c r="AU61" s="17">
        <v>435.83600000000001</v>
      </c>
      <c r="AV61" s="17" t="s">
        <v>56</v>
      </c>
      <c r="AW61" s="17" t="s">
        <v>56</v>
      </c>
      <c r="AX61" s="17" t="s">
        <v>56</v>
      </c>
      <c r="AY61" s="17">
        <v>561.97</v>
      </c>
      <c r="AZ61" s="17">
        <v>68.053600000000003</v>
      </c>
      <c r="BA61" s="17">
        <v>361.67599999999999</v>
      </c>
      <c r="BB61" s="17" t="s">
        <v>56</v>
      </c>
      <c r="BC61" s="17" t="s">
        <v>56</v>
      </c>
      <c r="BD61" s="17" t="s">
        <v>56</v>
      </c>
      <c r="BE61" s="17" t="s">
        <v>56</v>
      </c>
      <c r="BF61" s="17" t="s">
        <v>56</v>
      </c>
      <c r="BG61" s="17" t="s">
        <v>56</v>
      </c>
      <c r="BH61" s="17" t="s">
        <v>56</v>
      </c>
      <c r="BI61" s="17" t="s">
        <v>56</v>
      </c>
      <c r="BJ61" s="17" t="s">
        <v>56</v>
      </c>
      <c r="BK61" s="17" t="s">
        <v>56</v>
      </c>
      <c r="BL61" s="17" t="s">
        <v>56</v>
      </c>
      <c r="BM61" s="17" t="s">
        <v>56</v>
      </c>
      <c r="BN61" s="17" t="s">
        <v>56</v>
      </c>
      <c r="BO61" s="17" t="s">
        <v>56</v>
      </c>
      <c r="BP61" s="17" t="s">
        <v>56</v>
      </c>
      <c r="BQ61" s="17" t="s">
        <v>56</v>
      </c>
      <c r="BR61" s="17" t="s">
        <v>56</v>
      </c>
      <c r="BS61" s="17" t="s">
        <v>56</v>
      </c>
      <c r="BT61" s="17" t="s">
        <v>56</v>
      </c>
      <c r="BU61" s="17" t="s">
        <v>56</v>
      </c>
      <c r="BV61" s="17" t="s">
        <v>56</v>
      </c>
      <c r="BW61" s="17" t="s">
        <v>56</v>
      </c>
      <c r="BX61" s="17" t="s">
        <v>2818</v>
      </c>
      <c r="BY61" s="17" t="s">
        <v>1111</v>
      </c>
      <c r="BZ61" s="17" t="s">
        <v>56</v>
      </c>
      <c r="CA61" s="17" t="s">
        <v>56</v>
      </c>
      <c r="CB61" s="17" t="s">
        <v>1325</v>
      </c>
      <c r="CC61" s="17" t="s">
        <v>1325</v>
      </c>
      <c r="CD61" s="17" t="s">
        <v>1325</v>
      </c>
      <c r="CE61" s="17" t="s">
        <v>1325</v>
      </c>
      <c r="CF61" s="17" t="s">
        <v>1325</v>
      </c>
      <c r="CG61" s="17" t="s">
        <v>1325</v>
      </c>
      <c r="CH61" s="17" t="s">
        <v>1325</v>
      </c>
      <c r="CI61" s="17" t="s">
        <v>1325</v>
      </c>
      <c r="CJ61" s="17" t="s">
        <v>1325</v>
      </c>
      <c r="CK61" s="17" t="s">
        <v>1325</v>
      </c>
      <c r="CL61" s="17" t="s">
        <v>1325</v>
      </c>
      <c r="CM61" s="17" t="s">
        <v>1325</v>
      </c>
      <c r="CN61" s="17" t="s">
        <v>1325</v>
      </c>
      <c r="CO61" s="17" t="s">
        <v>1325</v>
      </c>
      <c r="CP61" s="17" t="s">
        <v>1325</v>
      </c>
      <c r="CQ61" s="17" t="s">
        <v>1325</v>
      </c>
      <c r="CR61" s="17" t="s">
        <v>1325</v>
      </c>
      <c r="CS61" s="17" t="s">
        <v>1325</v>
      </c>
      <c r="CT61" s="17" t="s">
        <v>1325</v>
      </c>
      <c r="CU61" s="17" t="s">
        <v>1325</v>
      </c>
      <c r="CV61" s="17" t="s">
        <v>1325</v>
      </c>
      <c r="CW61" s="17" t="s">
        <v>56</v>
      </c>
      <c r="CX61" s="17" t="s">
        <v>56</v>
      </c>
      <c r="CY61" s="17" t="s">
        <v>56</v>
      </c>
      <c r="CZ61" s="17">
        <v>319397</v>
      </c>
      <c r="DA61" s="17">
        <v>319397</v>
      </c>
      <c r="DB61" s="17">
        <v>319397</v>
      </c>
      <c r="DC61" s="17"/>
      <c r="DD61" s="17"/>
      <c r="DE61" s="17"/>
      <c r="DF61" s="17" t="s">
        <v>3415</v>
      </c>
      <c r="DG61" s="17" t="s">
        <v>3522</v>
      </c>
      <c r="DH61" s="17" t="s">
        <v>3237</v>
      </c>
      <c r="DI61" s="17" t="s">
        <v>3523</v>
      </c>
      <c r="DJ61" s="17" t="s">
        <v>3405</v>
      </c>
      <c r="DK61" s="17" t="s">
        <v>3320</v>
      </c>
      <c r="DL61" s="17" t="s">
        <v>3418</v>
      </c>
      <c r="DM61" s="17">
        <v>3.0564000000000001E-2</v>
      </c>
      <c r="DN61" s="17">
        <v>9762</v>
      </c>
      <c r="DO61" s="17">
        <v>0.42855845081961402</v>
      </c>
      <c r="DP61" s="17" t="s">
        <v>3308</v>
      </c>
      <c r="DQ61" s="17" t="s">
        <v>2839</v>
      </c>
      <c r="DR61" s="17" t="s">
        <v>56</v>
      </c>
      <c r="DS61" s="17" t="s">
        <v>56</v>
      </c>
      <c r="DT61" s="17" t="s">
        <v>56</v>
      </c>
      <c r="DU61" s="17" t="s">
        <v>56</v>
      </c>
      <c r="DV61" s="17" t="s">
        <v>2862</v>
      </c>
      <c r="DW61" s="17" t="s">
        <v>3309</v>
      </c>
      <c r="DX61" s="17" t="s">
        <v>3310</v>
      </c>
      <c r="DY61" s="17">
        <v>9.7795896448127796E-3</v>
      </c>
      <c r="DZ61" s="17">
        <v>2.7520410355187201E-2</v>
      </c>
      <c r="EA61" s="17" t="s">
        <v>3311</v>
      </c>
      <c r="EB61" s="17">
        <v>4.0201671797007003E-3</v>
      </c>
      <c r="EC61" s="17">
        <v>7.1798328202993004E-3</v>
      </c>
      <c r="ED61" s="17" t="s">
        <v>56</v>
      </c>
      <c r="EE61" s="17" t="s">
        <v>56</v>
      </c>
      <c r="EF61" s="17" t="s">
        <v>56</v>
      </c>
      <c r="EG61" s="17" t="s">
        <v>2862</v>
      </c>
      <c r="EH61" s="17" t="s">
        <v>3309</v>
      </c>
      <c r="EI61" s="17" t="s">
        <v>3312</v>
      </c>
      <c r="EJ61" s="17">
        <v>1.08477E-2</v>
      </c>
      <c r="EK61" s="17">
        <v>5.8252699999999998E-2</v>
      </c>
      <c r="EL61" s="17" t="s">
        <v>3311</v>
      </c>
      <c r="EM61" s="17">
        <v>4.8999999999999998E-3</v>
      </c>
      <c r="EN61" s="17">
        <v>1.01E-2</v>
      </c>
      <c r="EO61" s="17" t="s">
        <v>3312</v>
      </c>
      <c r="EP61" s="17">
        <v>4.3641500000000004</v>
      </c>
      <c r="EQ61" s="17">
        <v>23.435700000000001</v>
      </c>
      <c r="ER61" s="17" t="s">
        <v>3313</v>
      </c>
      <c r="ES61" s="17">
        <v>0.59340000000000004</v>
      </c>
      <c r="ET61" s="17">
        <v>1.2263999999999999</v>
      </c>
      <c r="EU61" s="17" t="s">
        <v>2862</v>
      </c>
      <c r="EV61" s="17" t="s">
        <v>3309</v>
      </c>
      <c r="EW61" s="17" t="s">
        <v>3312</v>
      </c>
      <c r="EX61" s="17">
        <v>4.3641500000000004</v>
      </c>
      <c r="EY61" s="17">
        <v>23.435700000000001</v>
      </c>
      <c r="EZ61" s="17" t="s">
        <v>3311</v>
      </c>
      <c r="FA61" s="17">
        <v>0.59340000000000004</v>
      </c>
      <c r="FB61" s="17">
        <v>1.2263999999999999</v>
      </c>
      <c r="FC61" s="17" t="s">
        <v>56</v>
      </c>
      <c r="FD61" s="17" t="s">
        <v>56</v>
      </c>
      <c r="FE61" s="17" t="s">
        <v>56</v>
      </c>
      <c r="FF61" s="17" t="s">
        <v>56</v>
      </c>
      <c r="FG61" s="17" t="s">
        <v>56</v>
      </c>
      <c r="FH61" s="17" t="s">
        <v>56</v>
      </c>
      <c r="FI61" s="17" t="s">
        <v>56</v>
      </c>
      <c r="FJ61" s="17" t="s">
        <v>56</v>
      </c>
      <c r="FK61" s="17" t="s">
        <v>56</v>
      </c>
      <c r="FL61" s="17" t="s">
        <v>56</v>
      </c>
      <c r="FM61" s="17" t="s">
        <v>56</v>
      </c>
      <c r="FN61" s="17" t="s">
        <v>56</v>
      </c>
      <c r="FO61" s="17" t="s">
        <v>56</v>
      </c>
      <c r="FP61" s="17" t="s">
        <v>56</v>
      </c>
      <c r="FQ61" s="17" t="s">
        <v>56</v>
      </c>
      <c r="FR61" s="17" t="s">
        <v>56</v>
      </c>
      <c r="FS61" s="17" t="s">
        <v>56</v>
      </c>
      <c r="FT61" s="17" t="s">
        <v>56</v>
      </c>
      <c r="FU61" s="17">
        <v>194.510509758117</v>
      </c>
      <c r="FV61" s="17">
        <v>1044.5309976830099</v>
      </c>
      <c r="FW61" s="17" t="s">
        <v>56</v>
      </c>
      <c r="FX61" s="17" t="s">
        <v>56</v>
      </c>
      <c r="FY61" s="17" t="s">
        <v>56</v>
      </c>
      <c r="FZ61" s="17" t="s">
        <v>56</v>
      </c>
      <c r="GA61" s="17" t="s">
        <v>56</v>
      </c>
      <c r="GB61" s="17" t="s">
        <v>56</v>
      </c>
      <c r="GC61" s="17" t="s">
        <v>56</v>
      </c>
      <c r="GD61" s="17" t="s">
        <v>2969</v>
      </c>
      <c r="GE61" s="17" t="s">
        <v>2969</v>
      </c>
      <c r="GF61" s="17" t="s">
        <v>56</v>
      </c>
      <c r="GG61" s="17" t="s">
        <v>2818</v>
      </c>
      <c r="GH61" s="17" t="s">
        <v>2818</v>
      </c>
      <c r="GI61" s="17" t="s">
        <v>1111</v>
      </c>
      <c r="GJ61" s="17" t="s">
        <v>1111</v>
      </c>
      <c r="GK61" s="17" t="s">
        <v>1111</v>
      </c>
      <c r="GL61" s="17"/>
    </row>
    <row r="62" spans="2:194" x14ac:dyDescent="0.25">
      <c r="B62" s="17" t="s">
        <v>2840</v>
      </c>
      <c r="C62" s="17" t="s">
        <v>70</v>
      </c>
      <c r="D62" s="17" t="s">
        <v>3411</v>
      </c>
      <c r="E62" s="17" t="s">
        <v>3412</v>
      </c>
      <c r="F62" s="17" t="s">
        <v>3237</v>
      </c>
      <c r="G62" s="17" t="s">
        <v>3413</v>
      </c>
      <c r="H62" s="17"/>
      <c r="I62" s="17" t="s">
        <v>2797</v>
      </c>
      <c r="J62" s="17" t="s">
        <v>3403</v>
      </c>
      <c r="K62" s="17" t="s">
        <v>2653</v>
      </c>
      <c r="L62" s="17" t="s">
        <v>2800</v>
      </c>
      <c r="M62" s="17" t="s">
        <v>3414</v>
      </c>
      <c r="N62" s="17" t="s">
        <v>1325</v>
      </c>
      <c r="O62" s="17" t="s">
        <v>2813</v>
      </c>
      <c r="P62" s="17" t="s">
        <v>2814</v>
      </c>
      <c r="Q62" s="17" t="s">
        <v>3616</v>
      </c>
      <c r="R62" s="17">
        <v>17897433.710000001</v>
      </c>
      <c r="S62" s="17">
        <v>4974456.4000000004</v>
      </c>
      <c r="T62" s="17">
        <v>18587154.18</v>
      </c>
      <c r="U62" s="17" t="s">
        <v>2817</v>
      </c>
      <c r="V62" s="17" t="s">
        <v>939</v>
      </c>
      <c r="W62" s="17" t="s">
        <v>2816</v>
      </c>
      <c r="X62" s="17" t="s">
        <v>3403</v>
      </c>
      <c r="Y62" s="17" t="s">
        <v>56</v>
      </c>
      <c r="Z62" s="17" t="s">
        <v>3616</v>
      </c>
      <c r="AA62" s="17" t="s">
        <v>2801</v>
      </c>
      <c r="AB62" s="17">
        <v>2.1629</v>
      </c>
      <c r="AC62" s="17" t="s">
        <v>3616</v>
      </c>
      <c r="AD62" s="17" t="s">
        <v>2804</v>
      </c>
      <c r="AE62" s="17">
        <v>319397</v>
      </c>
      <c r="AF62" s="17" t="s">
        <v>2839</v>
      </c>
      <c r="AG62" s="17" t="s">
        <v>3617</v>
      </c>
      <c r="AH62" s="17" t="s">
        <v>2806</v>
      </c>
      <c r="AI62" s="17"/>
      <c r="AJ62" s="17" t="s">
        <v>56</v>
      </c>
      <c r="AK62" s="17" t="s">
        <v>56</v>
      </c>
      <c r="AL62" s="17" t="s">
        <v>56</v>
      </c>
      <c r="AM62" s="17" t="s">
        <v>56</v>
      </c>
      <c r="AN62" s="17" t="s">
        <v>56</v>
      </c>
      <c r="AO62" s="17" t="s">
        <v>56</v>
      </c>
      <c r="AP62" s="17" t="s">
        <v>56</v>
      </c>
      <c r="AQ62" s="17" t="s">
        <v>56</v>
      </c>
      <c r="AR62" s="17" t="s">
        <v>56</v>
      </c>
      <c r="AS62" s="17">
        <v>677.19899999999996</v>
      </c>
      <c r="AT62" s="17">
        <v>82.007599999999996</v>
      </c>
      <c r="AU62" s="17">
        <v>435.83600000000001</v>
      </c>
      <c r="AV62" s="17" t="s">
        <v>56</v>
      </c>
      <c r="AW62" s="17" t="s">
        <v>56</v>
      </c>
      <c r="AX62" s="17" t="s">
        <v>56</v>
      </c>
      <c r="AY62" s="17">
        <v>561.97</v>
      </c>
      <c r="AZ62" s="17">
        <v>68.053600000000003</v>
      </c>
      <c r="BA62" s="17">
        <v>361.67599999999999</v>
      </c>
      <c r="BB62" s="17" t="s">
        <v>56</v>
      </c>
      <c r="BC62" s="17" t="s">
        <v>56</v>
      </c>
      <c r="BD62" s="17" t="s">
        <v>56</v>
      </c>
      <c r="BE62" s="17" t="s">
        <v>56</v>
      </c>
      <c r="BF62" s="17" t="s">
        <v>56</v>
      </c>
      <c r="BG62" s="17" t="s">
        <v>56</v>
      </c>
      <c r="BH62" s="17" t="s">
        <v>56</v>
      </c>
      <c r="BI62" s="17" t="s">
        <v>56</v>
      </c>
      <c r="BJ62" s="17" t="s">
        <v>56</v>
      </c>
      <c r="BK62" s="17" t="s">
        <v>56</v>
      </c>
      <c r="BL62" s="17" t="s">
        <v>56</v>
      </c>
      <c r="BM62" s="17" t="s">
        <v>56</v>
      </c>
      <c r="BN62" s="17" t="s">
        <v>56</v>
      </c>
      <c r="BO62" s="17" t="s">
        <v>56</v>
      </c>
      <c r="BP62" s="17" t="s">
        <v>56</v>
      </c>
      <c r="BQ62" s="17" t="s">
        <v>56</v>
      </c>
      <c r="BR62" s="17" t="s">
        <v>56</v>
      </c>
      <c r="BS62" s="17" t="s">
        <v>56</v>
      </c>
      <c r="BT62" s="17" t="s">
        <v>56</v>
      </c>
      <c r="BU62" s="17" t="s">
        <v>56</v>
      </c>
      <c r="BV62" s="17" t="s">
        <v>56</v>
      </c>
      <c r="BW62" s="17" t="s">
        <v>56</v>
      </c>
      <c r="BX62" s="17" t="s">
        <v>2818</v>
      </c>
      <c r="BY62" s="17" t="s">
        <v>1111</v>
      </c>
      <c r="BZ62" s="17" t="s">
        <v>56</v>
      </c>
      <c r="CA62" s="17" t="s">
        <v>56</v>
      </c>
      <c r="CB62" s="17" t="s">
        <v>1325</v>
      </c>
      <c r="CC62" s="17" t="s">
        <v>1325</v>
      </c>
      <c r="CD62" s="17" t="s">
        <v>1325</v>
      </c>
      <c r="CE62" s="17" t="s">
        <v>1325</v>
      </c>
      <c r="CF62" s="17" t="s">
        <v>1325</v>
      </c>
      <c r="CG62" s="17" t="s">
        <v>1325</v>
      </c>
      <c r="CH62" s="17" t="s">
        <v>1325</v>
      </c>
      <c r="CI62" s="17" t="s">
        <v>1325</v>
      </c>
      <c r="CJ62" s="17" t="s">
        <v>1325</v>
      </c>
      <c r="CK62" s="17" t="s">
        <v>1325</v>
      </c>
      <c r="CL62" s="17" t="s">
        <v>1325</v>
      </c>
      <c r="CM62" s="17" t="s">
        <v>1325</v>
      </c>
      <c r="CN62" s="17" t="s">
        <v>1325</v>
      </c>
      <c r="CO62" s="17" t="s">
        <v>1325</v>
      </c>
      <c r="CP62" s="17" t="s">
        <v>1325</v>
      </c>
      <c r="CQ62" s="17" t="s">
        <v>1325</v>
      </c>
      <c r="CR62" s="17" t="s">
        <v>1325</v>
      </c>
      <c r="CS62" s="17" t="s">
        <v>1325</v>
      </c>
      <c r="CT62" s="17" t="s">
        <v>1325</v>
      </c>
      <c r="CU62" s="17" t="s">
        <v>1325</v>
      </c>
      <c r="CV62" s="17" t="s">
        <v>1325</v>
      </c>
      <c r="CW62" s="17" t="s">
        <v>56</v>
      </c>
      <c r="CX62" s="17" t="s">
        <v>56</v>
      </c>
      <c r="CY62" s="17" t="s">
        <v>56</v>
      </c>
      <c r="CZ62" s="17">
        <v>319397</v>
      </c>
      <c r="DA62" s="17">
        <v>319397</v>
      </c>
      <c r="DB62" s="17">
        <v>319397</v>
      </c>
      <c r="DC62" s="17"/>
      <c r="DD62" s="17"/>
      <c r="DE62" s="17"/>
      <c r="DF62" s="17" t="s">
        <v>3415</v>
      </c>
      <c r="DG62" s="17" t="s">
        <v>3524</v>
      </c>
      <c r="DH62" s="17" t="s">
        <v>3237</v>
      </c>
      <c r="DI62" s="17" t="s">
        <v>3525</v>
      </c>
      <c r="DJ62" s="17" t="s">
        <v>3405</v>
      </c>
      <c r="DK62" s="17" t="s">
        <v>3320</v>
      </c>
      <c r="DL62" s="17" t="s">
        <v>3418</v>
      </c>
      <c r="DM62" s="17">
        <v>1.3349E-2</v>
      </c>
      <c r="DN62" s="17">
        <v>4263.6000000000004</v>
      </c>
      <c r="DO62" s="17">
        <v>0.42855828446074901</v>
      </c>
      <c r="DP62" s="17" t="s">
        <v>3308</v>
      </c>
      <c r="DQ62" s="17" t="s">
        <v>2839</v>
      </c>
      <c r="DR62" s="17" t="s">
        <v>56</v>
      </c>
      <c r="DS62" s="17" t="s">
        <v>56</v>
      </c>
      <c r="DT62" s="17" t="s">
        <v>56</v>
      </c>
      <c r="DU62" s="17" t="s">
        <v>56</v>
      </c>
      <c r="DV62" s="17" t="s">
        <v>2862</v>
      </c>
      <c r="DW62" s="17" t="s">
        <v>3309</v>
      </c>
      <c r="DX62" s="17" t="s">
        <v>3310</v>
      </c>
      <c r="DY62" s="17">
        <v>9.7795896448127796E-3</v>
      </c>
      <c r="DZ62" s="17">
        <v>2.7520410355187201E-2</v>
      </c>
      <c r="EA62" s="17" t="s">
        <v>3311</v>
      </c>
      <c r="EB62" s="17">
        <v>4.0201671797007003E-3</v>
      </c>
      <c r="EC62" s="17">
        <v>7.1798328202993004E-3</v>
      </c>
      <c r="ED62" s="17" t="s">
        <v>56</v>
      </c>
      <c r="EE62" s="17" t="s">
        <v>56</v>
      </c>
      <c r="EF62" s="17" t="s">
        <v>56</v>
      </c>
      <c r="EG62" s="17" t="s">
        <v>2862</v>
      </c>
      <c r="EH62" s="17" t="s">
        <v>3309</v>
      </c>
      <c r="EI62" s="17" t="s">
        <v>3312</v>
      </c>
      <c r="EJ62" s="17">
        <v>1.08477E-2</v>
      </c>
      <c r="EK62" s="17">
        <v>5.8252699999999998E-2</v>
      </c>
      <c r="EL62" s="17" t="s">
        <v>3311</v>
      </c>
      <c r="EM62" s="17">
        <v>4.8999999999999998E-3</v>
      </c>
      <c r="EN62" s="17">
        <v>1.01E-2</v>
      </c>
      <c r="EO62" s="17" t="s">
        <v>3312</v>
      </c>
      <c r="EP62" s="17">
        <v>4.3641500000000004</v>
      </c>
      <c r="EQ62" s="17">
        <v>23.435700000000001</v>
      </c>
      <c r="ER62" s="17" t="s">
        <v>3313</v>
      </c>
      <c r="ES62" s="17">
        <v>0.59340000000000004</v>
      </c>
      <c r="ET62" s="17">
        <v>1.2263999999999999</v>
      </c>
      <c r="EU62" s="17" t="s">
        <v>2862</v>
      </c>
      <c r="EV62" s="17" t="s">
        <v>3309</v>
      </c>
      <c r="EW62" s="17" t="s">
        <v>3312</v>
      </c>
      <c r="EX62" s="17">
        <v>4.3641500000000004</v>
      </c>
      <c r="EY62" s="17">
        <v>23.435700000000001</v>
      </c>
      <c r="EZ62" s="17" t="s">
        <v>3311</v>
      </c>
      <c r="FA62" s="17">
        <v>0.59340000000000004</v>
      </c>
      <c r="FB62" s="17">
        <v>1.2263999999999999</v>
      </c>
      <c r="FC62" s="17" t="s">
        <v>56</v>
      </c>
      <c r="FD62" s="17" t="s">
        <v>56</v>
      </c>
      <c r="FE62" s="17" t="s">
        <v>56</v>
      </c>
      <c r="FF62" s="17" t="s">
        <v>56</v>
      </c>
      <c r="FG62" s="17" t="s">
        <v>56</v>
      </c>
      <c r="FH62" s="17" t="s">
        <v>56</v>
      </c>
      <c r="FI62" s="17" t="s">
        <v>56</v>
      </c>
      <c r="FJ62" s="17" t="s">
        <v>56</v>
      </c>
      <c r="FK62" s="17" t="s">
        <v>56</v>
      </c>
      <c r="FL62" s="17" t="s">
        <v>56</v>
      </c>
      <c r="FM62" s="17" t="s">
        <v>56</v>
      </c>
      <c r="FN62" s="17" t="s">
        <v>56</v>
      </c>
      <c r="FO62" s="17" t="s">
        <v>56</v>
      </c>
      <c r="FP62" s="17" t="s">
        <v>56</v>
      </c>
      <c r="FQ62" s="17" t="s">
        <v>56</v>
      </c>
      <c r="FR62" s="17" t="s">
        <v>56</v>
      </c>
      <c r="FS62" s="17" t="s">
        <v>56</v>
      </c>
      <c r="FT62" s="17" t="s">
        <v>56</v>
      </c>
      <c r="FU62" s="17">
        <v>194.51043423388299</v>
      </c>
      <c r="FV62" s="17">
        <v>1044.5305921141601</v>
      </c>
      <c r="FW62" s="17" t="s">
        <v>56</v>
      </c>
      <c r="FX62" s="17" t="s">
        <v>56</v>
      </c>
      <c r="FY62" s="17" t="s">
        <v>56</v>
      </c>
      <c r="FZ62" s="17" t="s">
        <v>56</v>
      </c>
      <c r="GA62" s="17" t="s">
        <v>56</v>
      </c>
      <c r="GB62" s="17" t="s">
        <v>56</v>
      </c>
      <c r="GC62" s="17" t="s">
        <v>56</v>
      </c>
      <c r="GD62" s="17" t="s">
        <v>2969</v>
      </c>
      <c r="GE62" s="17" t="s">
        <v>2969</v>
      </c>
      <c r="GF62" s="17" t="s">
        <v>56</v>
      </c>
      <c r="GG62" s="17" t="s">
        <v>2818</v>
      </c>
      <c r="GH62" s="17" t="s">
        <v>2818</v>
      </c>
      <c r="GI62" s="17" t="s">
        <v>1111</v>
      </c>
      <c r="GJ62" s="17" t="s">
        <v>1111</v>
      </c>
      <c r="GK62" s="17" t="s">
        <v>1111</v>
      </c>
      <c r="GL62" s="17"/>
    </row>
    <row r="63" spans="2:194" x14ac:dyDescent="0.25">
      <c r="B63" s="17" t="s">
        <v>2840</v>
      </c>
      <c r="C63" s="17" t="s">
        <v>70</v>
      </c>
      <c r="D63" s="17" t="s">
        <v>3411</v>
      </c>
      <c r="E63" s="17" t="s">
        <v>3412</v>
      </c>
      <c r="F63" s="17" t="s">
        <v>3237</v>
      </c>
      <c r="G63" s="17" t="s">
        <v>3413</v>
      </c>
      <c r="H63" s="17"/>
      <c r="I63" s="17" t="s">
        <v>2797</v>
      </c>
      <c r="J63" s="17" t="s">
        <v>3403</v>
      </c>
      <c r="K63" s="17" t="s">
        <v>2653</v>
      </c>
      <c r="L63" s="17" t="s">
        <v>2800</v>
      </c>
      <c r="M63" s="17" t="s">
        <v>3414</v>
      </c>
      <c r="N63" s="17" t="s">
        <v>1325</v>
      </c>
      <c r="O63" s="17" t="s">
        <v>2813</v>
      </c>
      <c r="P63" s="17" t="s">
        <v>2814</v>
      </c>
      <c r="Q63" s="17" t="s">
        <v>3616</v>
      </c>
      <c r="R63" s="17">
        <v>17897433.710000001</v>
      </c>
      <c r="S63" s="17">
        <v>4974456.4000000004</v>
      </c>
      <c r="T63" s="17">
        <v>18587154.18</v>
      </c>
      <c r="U63" s="17" t="s">
        <v>2817</v>
      </c>
      <c r="V63" s="17" t="s">
        <v>939</v>
      </c>
      <c r="W63" s="17" t="s">
        <v>2816</v>
      </c>
      <c r="X63" s="17" t="s">
        <v>3403</v>
      </c>
      <c r="Y63" s="17" t="s">
        <v>56</v>
      </c>
      <c r="Z63" s="17" t="s">
        <v>3616</v>
      </c>
      <c r="AA63" s="17" t="s">
        <v>2801</v>
      </c>
      <c r="AB63" s="17">
        <v>2.1629</v>
      </c>
      <c r="AC63" s="17" t="s">
        <v>3616</v>
      </c>
      <c r="AD63" s="17" t="s">
        <v>2804</v>
      </c>
      <c r="AE63" s="17">
        <v>319397</v>
      </c>
      <c r="AF63" s="17" t="s">
        <v>2839</v>
      </c>
      <c r="AG63" s="17" t="s">
        <v>3617</v>
      </c>
      <c r="AH63" s="17" t="s">
        <v>2806</v>
      </c>
      <c r="AI63" s="17"/>
      <c r="AJ63" s="17" t="s">
        <v>56</v>
      </c>
      <c r="AK63" s="17" t="s">
        <v>56</v>
      </c>
      <c r="AL63" s="17" t="s">
        <v>56</v>
      </c>
      <c r="AM63" s="17" t="s">
        <v>56</v>
      </c>
      <c r="AN63" s="17" t="s">
        <v>56</v>
      </c>
      <c r="AO63" s="17" t="s">
        <v>56</v>
      </c>
      <c r="AP63" s="17" t="s">
        <v>56</v>
      </c>
      <c r="AQ63" s="17" t="s">
        <v>56</v>
      </c>
      <c r="AR63" s="17" t="s">
        <v>56</v>
      </c>
      <c r="AS63" s="17">
        <v>677.19899999999996</v>
      </c>
      <c r="AT63" s="17">
        <v>82.007599999999996</v>
      </c>
      <c r="AU63" s="17">
        <v>435.83600000000001</v>
      </c>
      <c r="AV63" s="17" t="s">
        <v>56</v>
      </c>
      <c r="AW63" s="17" t="s">
        <v>56</v>
      </c>
      <c r="AX63" s="17" t="s">
        <v>56</v>
      </c>
      <c r="AY63" s="17">
        <v>561.97</v>
      </c>
      <c r="AZ63" s="17">
        <v>68.053600000000003</v>
      </c>
      <c r="BA63" s="17">
        <v>361.67599999999999</v>
      </c>
      <c r="BB63" s="17" t="s">
        <v>56</v>
      </c>
      <c r="BC63" s="17" t="s">
        <v>56</v>
      </c>
      <c r="BD63" s="17" t="s">
        <v>56</v>
      </c>
      <c r="BE63" s="17" t="s">
        <v>56</v>
      </c>
      <c r="BF63" s="17" t="s">
        <v>56</v>
      </c>
      <c r="BG63" s="17" t="s">
        <v>56</v>
      </c>
      <c r="BH63" s="17" t="s">
        <v>56</v>
      </c>
      <c r="BI63" s="17" t="s">
        <v>56</v>
      </c>
      <c r="BJ63" s="17" t="s">
        <v>56</v>
      </c>
      <c r="BK63" s="17" t="s">
        <v>56</v>
      </c>
      <c r="BL63" s="17" t="s">
        <v>56</v>
      </c>
      <c r="BM63" s="17" t="s">
        <v>56</v>
      </c>
      <c r="BN63" s="17" t="s">
        <v>56</v>
      </c>
      <c r="BO63" s="17" t="s">
        <v>56</v>
      </c>
      <c r="BP63" s="17" t="s">
        <v>56</v>
      </c>
      <c r="BQ63" s="17" t="s">
        <v>56</v>
      </c>
      <c r="BR63" s="17" t="s">
        <v>56</v>
      </c>
      <c r="BS63" s="17" t="s">
        <v>56</v>
      </c>
      <c r="BT63" s="17" t="s">
        <v>56</v>
      </c>
      <c r="BU63" s="17" t="s">
        <v>56</v>
      </c>
      <c r="BV63" s="17" t="s">
        <v>56</v>
      </c>
      <c r="BW63" s="17" t="s">
        <v>56</v>
      </c>
      <c r="BX63" s="17" t="s">
        <v>2818</v>
      </c>
      <c r="BY63" s="17" t="s">
        <v>1111</v>
      </c>
      <c r="BZ63" s="17" t="s">
        <v>56</v>
      </c>
      <c r="CA63" s="17" t="s">
        <v>56</v>
      </c>
      <c r="CB63" s="17" t="s">
        <v>1325</v>
      </c>
      <c r="CC63" s="17" t="s">
        <v>1325</v>
      </c>
      <c r="CD63" s="17" t="s">
        <v>1325</v>
      </c>
      <c r="CE63" s="17" t="s">
        <v>1325</v>
      </c>
      <c r="CF63" s="17" t="s">
        <v>1325</v>
      </c>
      <c r="CG63" s="17" t="s">
        <v>1325</v>
      </c>
      <c r="CH63" s="17" t="s">
        <v>1325</v>
      </c>
      <c r="CI63" s="17" t="s">
        <v>1325</v>
      </c>
      <c r="CJ63" s="17" t="s">
        <v>1325</v>
      </c>
      <c r="CK63" s="17" t="s">
        <v>1325</v>
      </c>
      <c r="CL63" s="17" t="s">
        <v>1325</v>
      </c>
      <c r="CM63" s="17" t="s">
        <v>1325</v>
      </c>
      <c r="CN63" s="17" t="s">
        <v>1325</v>
      </c>
      <c r="CO63" s="17" t="s">
        <v>1325</v>
      </c>
      <c r="CP63" s="17" t="s">
        <v>1325</v>
      </c>
      <c r="CQ63" s="17" t="s">
        <v>1325</v>
      </c>
      <c r="CR63" s="17" t="s">
        <v>1325</v>
      </c>
      <c r="CS63" s="17" t="s">
        <v>1325</v>
      </c>
      <c r="CT63" s="17" t="s">
        <v>1325</v>
      </c>
      <c r="CU63" s="17" t="s">
        <v>1325</v>
      </c>
      <c r="CV63" s="17" t="s">
        <v>1325</v>
      </c>
      <c r="CW63" s="17" t="s">
        <v>56</v>
      </c>
      <c r="CX63" s="17" t="s">
        <v>56</v>
      </c>
      <c r="CY63" s="17" t="s">
        <v>56</v>
      </c>
      <c r="CZ63" s="17">
        <v>319397</v>
      </c>
      <c r="DA63" s="17">
        <v>319397</v>
      </c>
      <c r="DB63" s="17">
        <v>319397</v>
      </c>
      <c r="DC63" s="17"/>
      <c r="DD63" s="17"/>
      <c r="DE63" s="17"/>
      <c r="DF63" s="17" t="s">
        <v>3415</v>
      </c>
      <c r="DG63" s="17" t="s">
        <v>3526</v>
      </c>
      <c r="DH63" s="17" t="s">
        <v>3237</v>
      </c>
      <c r="DI63" s="17" t="s">
        <v>3527</v>
      </c>
      <c r="DJ63" s="17" t="s">
        <v>3405</v>
      </c>
      <c r="DK63" s="17" t="s">
        <v>3320</v>
      </c>
      <c r="DL63" s="17" t="s">
        <v>3418</v>
      </c>
      <c r="DM63" s="17">
        <v>9.5569999999999995E-3</v>
      </c>
      <c r="DN63" s="17">
        <v>3052.5</v>
      </c>
      <c r="DO63" s="17">
        <v>0.42855831217885698</v>
      </c>
      <c r="DP63" s="17" t="s">
        <v>3308</v>
      </c>
      <c r="DQ63" s="17" t="s">
        <v>2839</v>
      </c>
      <c r="DR63" s="17" t="s">
        <v>56</v>
      </c>
      <c r="DS63" s="17" t="s">
        <v>56</v>
      </c>
      <c r="DT63" s="17" t="s">
        <v>56</v>
      </c>
      <c r="DU63" s="17" t="s">
        <v>56</v>
      </c>
      <c r="DV63" s="17" t="s">
        <v>2862</v>
      </c>
      <c r="DW63" s="17" t="s">
        <v>3309</v>
      </c>
      <c r="DX63" s="17" t="s">
        <v>3310</v>
      </c>
      <c r="DY63" s="17">
        <v>9.7795896448127796E-3</v>
      </c>
      <c r="DZ63" s="17">
        <v>2.7520410355187201E-2</v>
      </c>
      <c r="EA63" s="17" t="s">
        <v>3311</v>
      </c>
      <c r="EB63" s="17">
        <v>4.0201671797007003E-3</v>
      </c>
      <c r="EC63" s="17">
        <v>7.1798328202993004E-3</v>
      </c>
      <c r="ED63" s="17" t="s">
        <v>56</v>
      </c>
      <c r="EE63" s="17" t="s">
        <v>56</v>
      </c>
      <c r="EF63" s="17" t="s">
        <v>56</v>
      </c>
      <c r="EG63" s="17" t="s">
        <v>2862</v>
      </c>
      <c r="EH63" s="17" t="s">
        <v>3309</v>
      </c>
      <c r="EI63" s="17" t="s">
        <v>3312</v>
      </c>
      <c r="EJ63" s="17">
        <v>1.08477E-2</v>
      </c>
      <c r="EK63" s="17">
        <v>5.8252699999999998E-2</v>
      </c>
      <c r="EL63" s="17" t="s">
        <v>3311</v>
      </c>
      <c r="EM63" s="17">
        <v>4.8999999999999998E-3</v>
      </c>
      <c r="EN63" s="17">
        <v>1.01E-2</v>
      </c>
      <c r="EO63" s="17" t="s">
        <v>3312</v>
      </c>
      <c r="EP63" s="17">
        <v>4.3641500000000004</v>
      </c>
      <c r="EQ63" s="17">
        <v>23.435700000000001</v>
      </c>
      <c r="ER63" s="17" t="s">
        <v>3313</v>
      </c>
      <c r="ES63" s="17">
        <v>0.59340000000000004</v>
      </c>
      <c r="ET63" s="17">
        <v>1.2263999999999999</v>
      </c>
      <c r="EU63" s="17" t="s">
        <v>2862</v>
      </c>
      <c r="EV63" s="17" t="s">
        <v>3309</v>
      </c>
      <c r="EW63" s="17" t="s">
        <v>3312</v>
      </c>
      <c r="EX63" s="17">
        <v>4.3641500000000004</v>
      </c>
      <c r="EY63" s="17">
        <v>23.435700000000001</v>
      </c>
      <c r="EZ63" s="17" t="s">
        <v>3311</v>
      </c>
      <c r="FA63" s="17">
        <v>0.59340000000000004</v>
      </c>
      <c r="FB63" s="17">
        <v>1.2263999999999999</v>
      </c>
      <c r="FC63" s="17" t="s">
        <v>56</v>
      </c>
      <c r="FD63" s="17" t="s">
        <v>56</v>
      </c>
      <c r="FE63" s="17" t="s">
        <v>56</v>
      </c>
      <c r="FF63" s="17" t="s">
        <v>56</v>
      </c>
      <c r="FG63" s="17" t="s">
        <v>56</v>
      </c>
      <c r="FH63" s="17" t="s">
        <v>56</v>
      </c>
      <c r="FI63" s="17" t="s">
        <v>56</v>
      </c>
      <c r="FJ63" s="17" t="s">
        <v>56</v>
      </c>
      <c r="FK63" s="17" t="s">
        <v>56</v>
      </c>
      <c r="FL63" s="17" t="s">
        <v>56</v>
      </c>
      <c r="FM63" s="17" t="s">
        <v>56</v>
      </c>
      <c r="FN63" s="17" t="s">
        <v>56</v>
      </c>
      <c r="FO63" s="17" t="s">
        <v>56</v>
      </c>
      <c r="FP63" s="17" t="s">
        <v>56</v>
      </c>
      <c r="FQ63" s="17" t="s">
        <v>56</v>
      </c>
      <c r="FR63" s="17" t="s">
        <v>56</v>
      </c>
      <c r="FS63" s="17" t="s">
        <v>56</v>
      </c>
      <c r="FT63" s="17" t="s">
        <v>56</v>
      </c>
      <c r="FU63" s="17">
        <v>194.510446806126</v>
      </c>
      <c r="FV63" s="17">
        <v>1044.5306596277201</v>
      </c>
      <c r="FW63" s="17" t="s">
        <v>56</v>
      </c>
      <c r="FX63" s="17" t="s">
        <v>56</v>
      </c>
      <c r="FY63" s="17" t="s">
        <v>56</v>
      </c>
      <c r="FZ63" s="17" t="s">
        <v>56</v>
      </c>
      <c r="GA63" s="17" t="s">
        <v>56</v>
      </c>
      <c r="GB63" s="17" t="s">
        <v>56</v>
      </c>
      <c r="GC63" s="17" t="s">
        <v>56</v>
      </c>
      <c r="GD63" s="17" t="s">
        <v>2969</v>
      </c>
      <c r="GE63" s="17" t="s">
        <v>2969</v>
      </c>
      <c r="GF63" s="17" t="s">
        <v>56</v>
      </c>
      <c r="GG63" s="17" t="s">
        <v>2818</v>
      </c>
      <c r="GH63" s="17" t="s">
        <v>2818</v>
      </c>
      <c r="GI63" s="17" t="s">
        <v>1111</v>
      </c>
      <c r="GJ63" s="17" t="s">
        <v>1111</v>
      </c>
      <c r="GK63" s="17" t="s">
        <v>1111</v>
      </c>
      <c r="GL63" s="17"/>
    </row>
    <row r="64" spans="2:194" x14ac:dyDescent="0.25">
      <c r="B64" s="17" t="s">
        <v>2840</v>
      </c>
      <c r="C64" s="17" t="s">
        <v>70</v>
      </c>
      <c r="D64" s="17" t="s">
        <v>3411</v>
      </c>
      <c r="E64" s="17" t="s">
        <v>3412</v>
      </c>
      <c r="F64" s="17" t="s">
        <v>3237</v>
      </c>
      <c r="G64" s="17" t="s">
        <v>3413</v>
      </c>
      <c r="H64" s="17"/>
      <c r="I64" s="17" t="s">
        <v>2797</v>
      </c>
      <c r="J64" s="17" t="s">
        <v>3403</v>
      </c>
      <c r="K64" s="17" t="s">
        <v>2653</v>
      </c>
      <c r="L64" s="17" t="s">
        <v>2800</v>
      </c>
      <c r="M64" s="17" t="s">
        <v>3414</v>
      </c>
      <c r="N64" s="17" t="s">
        <v>1325</v>
      </c>
      <c r="O64" s="17" t="s">
        <v>2813</v>
      </c>
      <c r="P64" s="17" t="s">
        <v>2814</v>
      </c>
      <c r="Q64" s="17" t="s">
        <v>3616</v>
      </c>
      <c r="R64" s="17">
        <v>17897433.710000001</v>
      </c>
      <c r="S64" s="17">
        <v>4974456.4000000004</v>
      </c>
      <c r="T64" s="17">
        <v>18587154.18</v>
      </c>
      <c r="U64" s="17" t="s">
        <v>2817</v>
      </c>
      <c r="V64" s="17" t="s">
        <v>939</v>
      </c>
      <c r="W64" s="17" t="s">
        <v>2816</v>
      </c>
      <c r="X64" s="17" t="s">
        <v>3403</v>
      </c>
      <c r="Y64" s="17" t="s">
        <v>56</v>
      </c>
      <c r="Z64" s="17" t="s">
        <v>3616</v>
      </c>
      <c r="AA64" s="17" t="s">
        <v>2801</v>
      </c>
      <c r="AB64" s="17">
        <v>2.1629</v>
      </c>
      <c r="AC64" s="17" t="s">
        <v>3616</v>
      </c>
      <c r="AD64" s="17" t="s">
        <v>2804</v>
      </c>
      <c r="AE64" s="17">
        <v>319397</v>
      </c>
      <c r="AF64" s="17" t="s">
        <v>2839</v>
      </c>
      <c r="AG64" s="17" t="s">
        <v>3617</v>
      </c>
      <c r="AH64" s="17" t="s">
        <v>2806</v>
      </c>
      <c r="AI64" s="17"/>
      <c r="AJ64" s="17" t="s">
        <v>56</v>
      </c>
      <c r="AK64" s="17" t="s">
        <v>56</v>
      </c>
      <c r="AL64" s="17" t="s">
        <v>56</v>
      </c>
      <c r="AM64" s="17" t="s">
        <v>56</v>
      </c>
      <c r="AN64" s="17" t="s">
        <v>56</v>
      </c>
      <c r="AO64" s="17" t="s">
        <v>56</v>
      </c>
      <c r="AP64" s="17" t="s">
        <v>56</v>
      </c>
      <c r="AQ64" s="17" t="s">
        <v>56</v>
      </c>
      <c r="AR64" s="17" t="s">
        <v>56</v>
      </c>
      <c r="AS64" s="17">
        <v>677.19899999999996</v>
      </c>
      <c r="AT64" s="17">
        <v>82.007599999999996</v>
      </c>
      <c r="AU64" s="17">
        <v>435.83600000000001</v>
      </c>
      <c r="AV64" s="17" t="s">
        <v>56</v>
      </c>
      <c r="AW64" s="17" t="s">
        <v>56</v>
      </c>
      <c r="AX64" s="17" t="s">
        <v>56</v>
      </c>
      <c r="AY64" s="17">
        <v>561.97</v>
      </c>
      <c r="AZ64" s="17">
        <v>68.053600000000003</v>
      </c>
      <c r="BA64" s="17">
        <v>361.67599999999999</v>
      </c>
      <c r="BB64" s="17" t="s">
        <v>56</v>
      </c>
      <c r="BC64" s="17" t="s">
        <v>56</v>
      </c>
      <c r="BD64" s="17" t="s">
        <v>56</v>
      </c>
      <c r="BE64" s="17" t="s">
        <v>56</v>
      </c>
      <c r="BF64" s="17" t="s">
        <v>56</v>
      </c>
      <c r="BG64" s="17" t="s">
        <v>56</v>
      </c>
      <c r="BH64" s="17" t="s">
        <v>56</v>
      </c>
      <c r="BI64" s="17" t="s">
        <v>56</v>
      </c>
      <c r="BJ64" s="17" t="s">
        <v>56</v>
      </c>
      <c r="BK64" s="17" t="s">
        <v>56</v>
      </c>
      <c r="BL64" s="17" t="s">
        <v>56</v>
      </c>
      <c r="BM64" s="17" t="s">
        <v>56</v>
      </c>
      <c r="BN64" s="17" t="s">
        <v>56</v>
      </c>
      <c r="BO64" s="17" t="s">
        <v>56</v>
      </c>
      <c r="BP64" s="17" t="s">
        <v>56</v>
      </c>
      <c r="BQ64" s="17" t="s">
        <v>56</v>
      </c>
      <c r="BR64" s="17" t="s">
        <v>56</v>
      </c>
      <c r="BS64" s="17" t="s">
        <v>56</v>
      </c>
      <c r="BT64" s="17" t="s">
        <v>56</v>
      </c>
      <c r="BU64" s="17" t="s">
        <v>56</v>
      </c>
      <c r="BV64" s="17" t="s">
        <v>56</v>
      </c>
      <c r="BW64" s="17" t="s">
        <v>56</v>
      </c>
      <c r="BX64" s="17" t="s">
        <v>2818</v>
      </c>
      <c r="BY64" s="17" t="s">
        <v>1111</v>
      </c>
      <c r="BZ64" s="17" t="s">
        <v>56</v>
      </c>
      <c r="CA64" s="17" t="s">
        <v>56</v>
      </c>
      <c r="CB64" s="17" t="s">
        <v>1325</v>
      </c>
      <c r="CC64" s="17" t="s">
        <v>1325</v>
      </c>
      <c r="CD64" s="17" t="s">
        <v>1325</v>
      </c>
      <c r="CE64" s="17" t="s">
        <v>1325</v>
      </c>
      <c r="CF64" s="17" t="s">
        <v>1325</v>
      </c>
      <c r="CG64" s="17" t="s">
        <v>1325</v>
      </c>
      <c r="CH64" s="17" t="s">
        <v>1325</v>
      </c>
      <c r="CI64" s="17" t="s">
        <v>1325</v>
      </c>
      <c r="CJ64" s="17" t="s">
        <v>1325</v>
      </c>
      <c r="CK64" s="17" t="s">
        <v>1325</v>
      </c>
      <c r="CL64" s="17" t="s">
        <v>1325</v>
      </c>
      <c r="CM64" s="17" t="s">
        <v>1325</v>
      </c>
      <c r="CN64" s="17" t="s">
        <v>1325</v>
      </c>
      <c r="CO64" s="17" t="s">
        <v>1325</v>
      </c>
      <c r="CP64" s="17" t="s">
        <v>1325</v>
      </c>
      <c r="CQ64" s="17" t="s">
        <v>1325</v>
      </c>
      <c r="CR64" s="17" t="s">
        <v>1325</v>
      </c>
      <c r="CS64" s="17" t="s">
        <v>1325</v>
      </c>
      <c r="CT64" s="17" t="s">
        <v>1325</v>
      </c>
      <c r="CU64" s="17" t="s">
        <v>1325</v>
      </c>
      <c r="CV64" s="17" t="s">
        <v>1325</v>
      </c>
      <c r="CW64" s="17" t="s">
        <v>56</v>
      </c>
      <c r="CX64" s="17" t="s">
        <v>56</v>
      </c>
      <c r="CY64" s="17" t="s">
        <v>56</v>
      </c>
      <c r="CZ64" s="17">
        <v>319397</v>
      </c>
      <c r="DA64" s="17">
        <v>319397</v>
      </c>
      <c r="DB64" s="17">
        <v>319397</v>
      </c>
      <c r="DC64" s="17"/>
      <c r="DD64" s="17"/>
      <c r="DE64" s="17"/>
      <c r="DF64" s="17" t="s">
        <v>3415</v>
      </c>
      <c r="DG64" s="17" t="s">
        <v>3528</v>
      </c>
      <c r="DH64" s="17" t="s">
        <v>3237</v>
      </c>
      <c r="DI64" s="17" t="s">
        <v>3529</v>
      </c>
      <c r="DJ64" s="17" t="s">
        <v>3405</v>
      </c>
      <c r="DK64" s="17" t="s">
        <v>3320</v>
      </c>
      <c r="DL64" s="17" t="s">
        <v>3418</v>
      </c>
      <c r="DM64" s="17">
        <v>7.2160000000000002E-3</v>
      </c>
      <c r="DN64" s="17">
        <v>2304.8000000000002</v>
      </c>
      <c r="DO64" s="17">
        <v>0.61460925915999998</v>
      </c>
      <c r="DP64" s="17" t="s">
        <v>3308</v>
      </c>
      <c r="DQ64" s="17" t="s">
        <v>2839</v>
      </c>
      <c r="DR64" s="17" t="s">
        <v>56</v>
      </c>
      <c r="DS64" s="17" t="s">
        <v>56</v>
      </c>
      <c r="DT64" s="17" t="s">
        <v>56</v>
      </c>
      <c r="DU64" s="17" t="s">
        <v>56</v>
      </c>
      <c r="DV64" s="17" t="s">
        <v>2862</v>
      </c>
      <c r="DW64" s="17" t="s">
        <v>3309</v>
      </c>
      <c r="DX64" s="17" t="s">
        <v>3310</v>
      </c>
      <c r="DY64" s="17">
        <v>9.7795896448127796E-3</v>
      </c>
      <c r="DZ64" s="17">
        <v>2.7520410355187201E-2</v>
      </c>
      <c r="EA64" s="17" t="s">
        <v>3311</v>
      </c>
      <c r="EB64" s="17">
        <v>4.0201671797007003E-3</v>
      </c>
      <c r="EC64" s="17">
        <v>7.1798328202993004E-3</v>
      </c>
      <c r="ED64" s="17" t="s">
        <v>56</v>
      </c>
      <c r="EE64" s="17" t="s">
        <v>56</v>
      </c>
      <c r="EF64" s="17" t="s">
        <v>56</v>
      </c>
      <c r="EG64" s="17" t="s">
        <v>2862</v>
      </c>
      <c r="EH64" s="17" t="s">
        <v>3309</v>
      </c>
      <c r="EI64" s="17" t="s">
        <v>3312</v>
      </c>
      <c r="EJ64" s="17">
        <v>1.08477E-2</v>
      </c>
      <c r="EK64" s="17">
        <v>5.8252699999999998E-2</v>
      </c>
      <c r="EL64" s="17" t="s">
        <v>3311</v>
      </c>
      <c r="EM64" s="17">
        <v>4.8999999999999998E-3</v>
      </c>
      <c r="EN64" s="17">
        <v>1.01E-2</v>
      </c>
      <c r="EO64" s="17" t="s">
        <v>3312</v>
      </c>
      <c r="EP64" s="17">
        <v>4.3641500000000004</v>
      </c>
      <c r="EQ64" s="17">
        <v>23.435700000000001</v>
      </c>
      <c r="ER64" s="17" t="s">
        <v>3313</v>
      </c>
      <c r="ES64" s="17">
        <v>0.59340000000000004</v>
      </c>
      <c r="ET64" s="17">
        <v>1.2263999999999999</v>
      </c>
      <c r="EU64" s="17" t="s">
        <v>2862</v>
      </c>
      <c r="EV64" s="17" t="s">
        <v>3309</v>
      </c>
      <c r="EW64" s="17" t="s">
        <v>3312</v>
      </c>
      <c r="EX64" s="17">
        <v>4.3641500000000004</v>
      </c>
      <c r="EY64" s="17">
        <v>23.435700000000001</v>
      </c>
      <c r="EZ64" s="17" t="s">
        <v>3311</v>
      </c>
      <c r="FA64" s="17">
        <v>0.59340000000000004</v>
      </c>
      <c r="FB64" s="17">
        <v>1.2263999999999999</v>
      </c>
      <c r="FC64" s="17" t="s">
        <v>56</v>
      </c>
      <c r="FD64" s="17" t="s">
        <v>56</v>
      </c>
      <c r="FE64" s="17" t="s">
        <v>56</v>
      </c>
      <c r="FF64" s="17" t="s">
        <v>56</v>
      </c>
      <c r="FG64" s="17" t="s">
        <v>56</v>
      </c>
      <c r="FH64" s="17" t="s">
        <v>56</v>
      </c>
      <c r="FI64" s="17" t="s">
        <v>56</v>
      </c>
      <c r="FJ64" s="17" t="s">
        <v>56</v>
      </c>
      <c r="FK64" s="17" t="s">
        <v>56</v>
      </c>
      <c r="FL64" s="17" t="s">
        <v>56</v>
      </c>
      <c r="FM64" s="17" t="s">
        <v>56</v>
      </c>
      <c r="FN64" s="17" t="s">
        <v>56</v>
      </c>
      <c r="FO64" s="17" t="s">
        <v>56</v>
      </c>
      <c r="FP64" s="17" t="s">
        <v>56</v>
      </c>
      <c r="FQ64" s="17" t="s">
        <v>56</v>
      </c>
      <c r="FR64" s="17" t="s">
        <v>56</v>
      </c>
      <c r="FS64" s="17" t="s">
        <v>56</v>
      </c>
      <c r="FT64" s="17" t="s">
        <v>56</v>
      </c>
      <c r="FU64" s="17">
        <v>278.95368780253102</v>
      </c>
      <c r="FV64" s="17">
        <v>1497.99501420294</v>
      </c>
      <c r="FW64" s="17" t="s">
        <v>56</v>
      </c>
      <c r="FX64" s="17" t="s">
        <v>56</v>
      </c>
      <c r="FY64" s="17" t="s">
        <v>56</v>
      </c>
      <c r="FZ64" s="17" t="s">
        <v>56</v>
      </c>
      <c r="GA64" s="17" t="s">
        <v>56</v>
      </c>
      <c r="GB64" s="17" t="s">
        <v>56</v>
      </c>
      <c r="GC64" s="17" t="s">
        <v>56</v>
      </c>
      <c r="GD64" s="17" t="s">
        <v>2969</v>
      </c>
      <c r="GE64" s="17" t="s">
        <v>2969</v>
      </c>
      <c r="GF64" s="17" t="s">
        <v>56</v>
      </c>
      <c r="GG64" s="17" t="s">
        <v>2818</v>
      </c>
      <c r="GH64" s="17" t="s">
        <v>2818</v>
      </c>
      <c r="GI64" s="17" t="s">
        <v>1111</v>
      </c>
      <c r="GJ64" s="17" t="s">
        <v>1111</v>
      </c>
      <c r="GK64" s="17" t="s">
        <v>1111</v>
      </c>
      <c r="GL64" s="17"/>
    </row>
    <row r="65" spans="2:194" x14ac:dyDescent="0.25">
      <c r="B65" s="17" t="s">
        <v>2840</v>
      </c>
      <c r="C65" s="17" t="s">
        <v>70</v>
      </c>
      <c r="D65" s="17" t="s">
        <v>3411</v>
      </c>
      <c r="E65" s="17" t="s">
        <v>3412</v>
      </c>
      <c r="F65" s="17" t="s">
        <v>3237</v>
      </c>
      <c r="G65" s="17" t="s">
        <v>3413</v>
      </c>
      <c r="H65" s="17"/>
      <c r="I65" s="17" t="s">
        <v>2797</v>
      </c>
      <c r="J65" s="17" t="s">
        <v>3403</v>
      </c>
      <c r="K65" s="17" t="s">
        <v>2653</v>
      </c>
      <c r="L65" s="17" t="s">
        <v>2800</v>
      </c>
      <c r="M65" s="17" t="s">
        <v>3414</v>
      </c>
      <c r="N65" s="17" t="s">
        <v>1325</v>
      </c>
      <c r="O65" s="17" t="s">
        <v>2813</v>
      </c>
      <c r="P65" s="17" t="s">
        <v>2814</v>
      </c>
      <c r="Q65" s="17" t="s">
        <v>3616</v>
      </c>
      <c r="R65" s="17">
        <v>17897433.710000001</v>
      </c>
      <c r="S65" s="17">
        <v>4974456.4000000004</v>
      </c>
      <c r="T65" s="17">
        <v>18587154.18</v>
      </c>
      <c r="U65" s="17" t="s">
        <v>2817</v>
      </c>
      <c r="V65" s="17" t="s">
        <v>939</v>
      </c>
      <c r="W65" s="17" t="s">
        <v>2816</v>
      </c>
      <c r="X65" s="17" t="s">
        <v>3403</v>
      </c>
      <c r="Y65" s="17" t="s">
        <v>56</v>
      </c>
      <c r="Z65" s="17" t="s">
        <v>3616</v>
      </c>
      <c r="AA65" s="17" t="s">
        <v>2801</v>
      </c>
      <c r="AB65" s="17">
        <v>2.1629</v>
      </c>
      <c r="AC65" s="17" t="s">
        <v>3616</v>
      </c>
      <c r="AD65" s="17" t="s">
        <v>2804</v>
      </c>
      <c r="AE65" s="17">
        <v>319397</v>
      </c>
      <c r="AF65" s="17" t="s">
        <v>2839</v>
      </c>
      <c r="AG65" s="17" t="s">
        <v>3617</v>
      </c>
      <c r="AH65" s="17" t="s">
        <v>2806</v>
      </c>
      <c r="AI65" s="17"/>
      <c r="AJ65" s="17" t="s">
        <v>56</v>
      </c>
      <c r="AK65" s="17" t="s">
        <v>56</v>
      </c>
      <c r="AL65" s="17" t="s">
        <v>56</v>
      </c>
      <c r="AM65" s="17" t="s">
        <v>56</v>
      </c>
      <c r="AN65" s="17" t="s">
        <v>56</v>
      </c>
      <c r="AO65" s="17" t="s">
        <v>56</v>
      </c>
      <c r="AP65" s="17" t="s">
        <v>56</v>
      </c>
      <c r="AQ65" s="17" t="s">
        <v>56</v>
      </c>
      <c r="AR65" s="17" t="s">
        <v>56</v>
      </c>
      <c r="AS65" s="17">
        <v>677.19899999999996</v>
      </c>
      <c r="AT65" s="17">
        <v>82.007599999999996</v>
      </c>
      <c r="AU65" s="17">
        <v>435.83600000000001</v>
      </c>
      <c r="AV65" s="17" t="s">
        <v>56</v>
      </c>
      <c r="AW65" s="17" t="s">
        <v>56</v>
      </c>
      <c r="AX65" s="17" t="s">
        <v>56</v>
      </c>
      <c r="AY65" s="17">
        <v>561.97</v>
      </c>
      <c r="AZ65" s="17">
        <v>68.053600000000003</v>
      </c>
      <c r="BA65" s="17">
        <v>361.67599999999999</v>
      </c>
      <c r="BB65" s="17" t="s">
        <v>56</v>
      </c>
      <c r="BC65" s="17" t="s">
        <v>56</v>
      </c>
      <c r="BD65" s="17" t="s">
        <v>56</v>
      </c>
      <c r="BE65" s="17" t="s">
        <v>56</v>
      </c>
      <c r="BF65" s="17" t="s">
        <v>56</v>
      </c>
      <c r="BG65" s="17" t="s">
        <v>56</v>
      </c>
      <c r="BH65" s="17" t="s">
        <v>56</v>
      </c>
      <c r="BI65" s="17" t="s">
        <v>56</v>
      </c>
      <c r="BJ65" s="17" t="s">
        <v>56</v>
      </c>
      <c r="BK65" s="17" t="s">
        <v>56</v>
      </c>
      <c r="BL65" s="17" t="s">
        <v>56</v>
      </c>
      <c r="BM65" s="17" t="s">
        <v>56</v>
      </c>
      <c r="BN65" s="17" t="s">
        <v>56</v>
      </c>
      <c r="BO65" s="17" t="s">
        <v>56</v>
      </c>
      <c r="BP65" s="17" t="s">
        <v>56</v>
      </c>
      <c r="BQ65" s="17" t="s">
        <v>56</v>
      </c>
      <c r="BR65" s="17" t="s">
        <v>56</v>
      </c>
      <c r="BS65" s="17" t="s">
        <v>56</v>
      </c>
      <c r="BT65" s="17" t="s">
        <v>56</v>
      </c>
      <c r="BU65" s="17" t="s">
        <v>56</v>
      </c>
      <c r="BV65" s="17" t="s">
        <v>56</v>
      </c>
      <c r="BW65" s="17" t="s">
        <v>56</v>
      </c>
      <c r="BX65" s="17" t="s">
        <v>2818</v>
      </c>
      <c r="BY65" s="17" t="s">
        <v>1111</v>
      </c>
      <c r="BZ65" s="17" t="s">
        <v>56</v>
      </c>
      <c r="CA65" s="17" t="s">
        <v>56</v>
      </c>
      <c r="CB65" s="17" t="s">
        <v>1325</v>
      </c>
      <c r="CC65" s="17" t="s">
        <v>1325</v>
      </c>
      <c r="CD65" s="17" t="s">
        <v>1325</v>
      </c>
      <c r="CE65" s="17" t="s">
        <v>1325</v>
      </c>
      <c r="CF65" s="17" t="s">
        <v>1325</v>
      </c>
      <c r="CG65" s="17" t="s">
        <v>1325</v>
      </c>
      <c r="CH65" s="17" t="s">
        <v>1325</v>
      </c>
      <c r="CI65" s="17" t="s">
        <v>1325</v>
      </c>
      <c r="CJ65" s="17" t="s">
        <v>1325</v>
      </c>
      <c r="CK65" s="17" t="s">
        <v>1325</v>
      </c>
      <c r="CL65" s="17" t="s">
        <v>1325</v>
      </c>
      <c r="CM65" s="17" t="s">
        <v>1325</v>
      </c>
      <c r="CN65" s="17" t="s">
        <v>1325</v>
      </c>
      <c r="CO65" s="17" t="s">
        <v>1325</v>
      </c>
      <c r="CP65" s="17" t="s">
        <v>1325</v>
      </c>
      <c r="CQ65" s="17" t="s">
        <v>1325</v>
      </c>
      <c r="CR65" s="17" t="s">
        <v>1325</v>
      </c>
      <c r="CS65" s="17" t="s">
        <v>1325</v>
      </c>
      <c r="CT65" s="17" t="s">
        <v>1325</v>
      </c>
      <c r="CU65" s="17" t="s">
        <v>1325</v>
      </c>
      <c r="CV65" s="17" t="s">
        <v>1325</v>
      </c>
      <c r="CW65" s="17" t="s">
        <v>56</v>
      </c>
      <c r="CX65" s="17" t="s">
        <v>56</v>
      </c>
      <c r="CY65" s="17" t="s">
        <v>56</v>
      </c>
      <c r="CZ65" s="17">
        <v>319397</v>
      </c>
      <c r="DA65" s="17">
        <v>319397</v>
      </c>
      <c r="DB65" s="17">
        <v>319397</v>
      </c>
      <c r="DC65" s="17"/>
      <c r="DD65" s="17"/>
      <c r="DE65" s="17"/>
      <c r="DF65" s="17" t="s">
        <v>3415</v>
      </c>
      <c r="DG65" s="17" t="s">
        <v>3530</v>
      </c>
      <c r="DH65" s="17" t="s">
        <v>3237</v>
      </c>
      <c r="DI65" s="17" t="s">
        <v>3531</v>
      </c>
      <c r="DJ65" s="17" t="s">
        <v>3406</v>
      </c>
      <c r="DK65" s="17" t="s">
        <v>3320</v>
      </c>
      <c r="DL65" s="17" t="s">
        <v>3418</v>
      </c>
      <c r="DM65" s="17">
        <v>2.4989999999999999E-3</v>
      </c>
      <c r="DN65" s="17">
        <v>798.2</v>
      </c>
      <c r="DO65" s="17">
        <v>0.42855773958131999</v>
      </c>
      <c r="DP65" s="17" t="s">
        <v>3308</v>
      </c>
      <c r="DQ65" s="17" t="s">
        <v>2839</v>
      </c>
      <c r="DR65" s="17" t="s">
        <v>56</v>
      </c>
      <c r="DS65" s="17" t="s">
        <v>56</v>
      </c>
      <c r="DT65" s="17" t="s">
        <v>56</v>
      </c>
      <c r="DU65" s="17" t="s">
        <v>56</v>
      </c>
      <c r="DV65" s="17" t="s">
        <v>2862</v>
      </c>
      <c r="DW65" s="17" t="s">
        <v>3309</v>
      </c>
      <c r="DX65" s="17" t="s">
        <v>3310</v>
      </c>
      <c r="DY65" s="17">
        <v>3.4870922862201099E-3</v>
      </c>
      <c r="DZ65" s="17">
        <v>9.8129077137798903E-3</v>
      </c>
      <c r="EA65" s="17" t="s">
        <v>3311</v>
      </c>
      <c r="EB65" s="17">
        <v>1.4357739927502501E-3</v>
      </c>
      <c r="EC65" s="17">
        <v>2.56422600724975E-3</v>
      </c>
      <c r="ED65" s="17" t="s">
        <v>56</v>
      </c>
      <c r="EE65" s="17" t="s">
        <v>56</v>
      </c>
      <c r="EF65" s="17" t="s">
        <v>56</v>
      </c>
      <c r="EG65" s="17" t="s">
        <v>2862</v>
      </c>
      <c r="EH65" s="17" t="s">
        <v>3309</v>
      </c>
      <c r="EI65" s="17" t="s">
        <v>3312</v>
      </c>
      <c r="EJ65" s="17">
        <v>1.08477E-2</v>
      </c>
      <c r="EK65" s="17">
        <v>5.8252699999999998E-2</v>
      </c>
      <c r="EL65" s="17" t="s">
        <v>3311</v>
      </c>
      <c r="EM65" s="17">
        <v>4.8999999999999998E-3</v>
      </c>
      <c r="EN65" s="17">
        <v>1.01E-2</v>
      </c>
      <c r="EO65" s="17" t="s">
        <v>3312</v>
      </c>
      <c r="EP65" s="17">
        <v>4.3641500000000004</v>
      </c>
      <c r="EQ65" s="17">
        <v>23.435700000000001</v>
      </c>
      <c r="ER65" s="17" t="s">
        <v>3313</v>
      </c>
      <c r="ES65" s="17">
        <v>0.59340000000000004</v>
      </c>
      <c r="ET65" s="17">
        <v>1.2263999999999999</v>
      </c>
      <c r="EU65" s="17" t="s">
        <v>2862</v>
      </c>
      <c r="EV65" s="17" t="s">
        <v>3309</v>
      </c>
      <c r="EW65" s="17" t="s">
        <v>3312</v>
      </c>
      <c r="EX65" s="17">
        <v>4.3641500000000004</v>
      </c>
      <c r="EY65" s="17">
        <v>23.435700000000001</v>
      </c>
      <c r="EZ65" s="17" t="s">
        <v>3311</v>
      </c>
      <c r="FA65" s="17">
        <v>0.59340000000000004</v>
      </c>
      <c r="FB65" s="17">
        <v>1.2263999999999999</v>
      </c>
      <c r="FC65" s="17" t="s">
        <v>56</v>
      </c>
      <c r="FD65" s="17" t="s">
        <v>56</v>
      </c>
      <c r="FE65" s="17" t="s">
        <v>56</v>
      </c>
      <c r="FF65" s="17" t="s">
        <v>56</v>
      </c>
      <c r="FG65" s="17" t="s">
        <v>56</v>
      </c>
      <c r="FH65" s="17" t="s">
        <v>56</v>
      </c>
      <c r="FI65" s="17" t="s">
        <v>56</v>
      </c>
      <c r="FJ65" s="17" t="s">
        <v>56</v>
      </c>
      <c r="FK65" s="17" t="s">
        <v>56</v>
      </c>
      <c r="FL65" s="17" t="s">
        <v>56</v>
      </c>
      <c r="FM65" s="17" t="s">
        <v>56</v>
      </c>
      <c r="FN65" s="17" t="s">
        <v>56</v>
      </c>
      <c r="FO65" s="17" t="s">
        <v>56</v>
      </c>
      <c r="FP65" s="17" t="s">
        <v>56</v>
      </c>
      <c r="FQ65" s="17" t="s">
        <v>56</v>
      </c>
      <c r="FR65" s="17" t="s">
        <v>56</v>
      </c>
      <c r="FS65" s="17" t="s">
        <v>56</v>
      </c>
      <c r="FT65" s="17" t="s">
        <v>56</v>
      </c>
      <c r="FU65" s="17">
        <v>194.51018691924801</v>
      </c>
      <c r="FV65" s="17">
        <v>1044.52926402241</v>
      </c>
      <c r="FW65" s="17" t="s">
        <v>56</v>
      </c>
      <c r="FX65" s="17" t="s">
        <v>56</v>
      </c>
      <c r="FY65" s="17" t="s">
        <v>56</v>
      </c>
      <c r="FZ65" s="17" t="s">
        <v>56</v>
      </c>
      <c r="GA65" s="17" t="s">
        <v>56</v>
      </c>
      <c r="GB65" s="17" t="s">
        <v>56</v>
      </c>
      <c r="GC65" s="17" t="s">
        <v>56</v>
      </c>
      <c r="GD65" s="17" t="s">
        <v>2969</v>
      </c>
      <c r="GE65" s="17" t="s">
        <v>2969</v>
      </c>
      <c r="GF65" s="17" t="s">
        <v>56</v>
      </c>
      <c r="GG65" s="17" t="s">
        <v>2818</v>
      </c>
      <c r="GH65" s="17" t="s">
        <v>2818</v>
      </c>
      <c r="GI65" s="17" t="s">
        <v>1111</v>
      </c>
      <c r="GJ65" s="17" t="s">
        <v>1111</v>
      </c>
      <c r="GK65" s="17" t="s">
        <v>1111</v>
      </c>
      <c r="GL65" s="17"/>
    </row>
    <row r="66" spans="2:194" x14ac:dyDescent="0.25">
      <c r="B66" s="17" t="s">
        <v>2840</v>
      </c>
      <c r="C66" s="17" t="s">
        <v>70</v>
      </c>
      <c r="D66" s="17" t="s">
        <v>3411</v>
      </c>
      <c r="E66" s="17" t="s">
        <v>3412</v>
      </c>
      <c r="F66" s="17" t="s">
        <v>3237</v>
      </c>
      <c r="G66" s="17" t="s">
        <v>3413</v>
      </c>
      <c r="H66" s="17"/>
      <c r="I66" s="17" t="s">
        <v>2797</v>
      </c>
      <c r="J66" s="17" t="s">
        <v>3403</v>
      </c>
      <c r="K66" s="17" t="s">
        <v>2653</v>
      </c>
      <c r="L66" s="17" t="s">
        <v>2800</v>
      </c>
      <c r="M66" s="17" t="s">
        <v>3414</v>
      </c>
      <c r="N66" s="17" t="s">
        <v>1325</v>
      </c>
      <c r="O66" s="17" t="s">
        <v>2813</v>
      </c>
      <c r="P66" s="17" t="s">
        <v>2814</v>
      </c>
      <c r="Q66" s="17" t="s">
        <v>3616</v>
      </c>
      <c r="R66" s="17">
        <v>17897433.710000001</v>
      </c>
      <c r="S66" s="17">
        <v>4974456.4000000004</v>
      </c>
      <c r="T66" s="17">
        <v>18587154.18</v>
      </c>
      <c r="U66" s="17" t="s">
        <v>2817</v>
      </c>
      <c r="V66" s="17" t="s">
        <v>939</v>
      </c>
      <c r="W66" s="17" t="s">
        <v>2816</v>
      </c>
      <c r="X66" s="17" t="s">
        <v>3403</v>
      </c>
      <c r="Y66" s="17" t="s">
        <v>56</v>
      </c>
      <c r="Z66" s="17" t="s">
        <v>3616</v>
      </c>
      <c r="AA66" s="17" t="s">
        <v>2801</v>
      </c>
      <c r="AB66" s="17">
        <v>2.1629</v>
      </c>
      <c r="AC66" s="17" t="s">
        <v>3616</v>
      </c>
      <c r="AD66" s="17" t="s">
        <v>2804</v>
      </c>
      <c r="AE66" s="17">
        <v>319397</v>
      </c>
      <c r="AF66" s="17" t="s">
        <v>2839</v>
      </c>
      <c r="AG66" s="17" t="s">
        <v>3617</v>
      </c>
      <c r="AH66" s="17" t="s">
        <v>2806</v>
      </c>
      <c r="AI66" s="17"/>
      <c r="AJ66" s="17" t="s">
        <v>56</v>
      </c>
      <c r="AK66" s="17" t="s">
        <v>56</v>
      </c>
      <c r="AL66" s="17" t="s">
        <v>56</v>
      </c>
      <c r="AM66" s="17" t="s">
        <v>56</v>
      </c>
      <c r="AN66" s="17" t="s">
        <v>56</v>
      </c>
      <c r="AO66" s="17" t="s">
        <v>56</v>
      </c>
      <c r="AP66" s="17" t="s">
        <v>56</v>
      </c>
      <c r="AQ66" s="17" t="s">
        <v>56</v>
      </c>
      <c r="AR66" s="17" t="s">
        <v>56</v>
      </c>
      <c r="AS66" s="17">
        <v>677.19899999999996</v>
      </c>
      <c r="AT66" s="17">
        <v>82.007599999999996</v>
      </c>
      <c r="AU66" s="17">
        <v>435.83600000000001</v>
      </c>
      <c r="AV66" s="17" t="s">
        <v>56</v>
      </c>
      <c r="AW66" s="17" t="s">
        <v>56</v>
      </c>
      <c r="AX66" s="17" t="s">
        <v>56</v>
      </c>
      <c r="AY66" s="17">
        <v>561.97</v>
      </c>
      <c r="AZ66" s="17">
        <v>68.053600000000003</v>
      </c>
      <c r="BA66" s="17">
        <v>361.67599999999999</v>
      </c>
      <c r="BB66" s="17" t="s">
        <v>56</v>
      </c>
      <c r="BC66" s="17" t="s">
        <v>56</v>
      </c>
      <c r="BD66" s="17" t="s">
        <v>56</v>
      </c>
      <c r="BE66" s="17" t="s">
        <v>56</v>
      </c>
      <c r="BF66" s="17" t="s">
        <v>56</v>
      </c>
      <c r="BG66" s="17" t="s">
        <v>56</v>
      </c>
      <c r="BH66" s="17" t="s">
        <v>56</v>
      </c>
      <c r="BI66" s="17" t="s">
        <v>56</v>
      </c>
      <c r="BJ66" s="17" t="s">
        <v>56</v>
      </c>
      <c r="BK66" s="17" t="s">
        <v>56</v>
      </c>
      <c r="BL66" s="17" t="s">
        <v>56</v>
      </c>
      <c r="BM66" s="17" t="s">
        <v>56</v>
      </c>
      <c r="BN66" s="17" t="s">
        <v>56</v>
      </c>
      <c r="BO66" s="17" t="s">
        <v>56</v>
      </c>
      <c r="BP66" s="17" t="s">
        <v>56</v>
      </c>
      <c r="BQ66" s="17" t="s">
        <v>56</v>
      </c>
      <c r="BR66" s="17" t="s">
        <v>56</v>
      </c>
      <c r="BS66" s="17" t="s">
        <v>56</v>
      </c>
      <c r="BT66" s="17" t="s">
        <v>56</v>
      </c>
      <c r="BU66" s="17" t="s">
        <v>56</v>
      </c>
      <c r="BV66" s="17" t="s">
        <v>56</v>
      </c>
      <c r="BW66" s="17" t="s">
        <v>56</v>
      </c>
      <c r="BX66" s="17" t="s">
        <v>2818</v>
      </c>
      <c r="BY66" s="17" t="s">
        <v>1111</v>
      </c>
      <c r="BZ66" s="17" t="s">
        <v>56</v>
      </c>
      <c r="CA66" s="17" t="s">
        <v>56</v>
      </c>
      <c r="CB66" s="17" t="s">
        <v>1325</v>
      </c>
      <c r="CC66" s="17" t="s">
        <v>1325</v>
      </c>
      <c r="CD66" s="17" t="s">
        <v>1325</v>
      </c>
      <c r="CE66" s="17" t="s">
        <v>1325</v>
      </c>
      <c r="CF66" s="17" t="s">
        <v>1325</v>
      </c>
      <c r="CG66" s="17" t="s">
        <v>1325</v>
      </c>
      <c r="CH66" s="17" t="s">
        <v>1325</v>
      </c>
      <c r="CI66" s="17" t="s">
        <v>1325</v>
      </c>
      <c r="CJ66" s="17" t="s">
        <v>1325</v>
      </c>
      <c r="CK66" s="17" t="s">
        <v>1325</v>
      </c>
      <c r="CL66" s="17" t="s">
        <v>1325</v>
      </c>
      <c r="CM66" s="17" t="s">
        <v>1325</v>
      </c>
      <c r="CN66" s="17" t="s">
        <v>1325</v>
      </c>
      <c r="CO66" s="17" t="s">
        <v>1325</v>
      </c>
      <c r="CP66" s="17" t="s">
        <v>1325</v>
      </c>
      <c r="CQ66" s="17" t="s">
        <v>1325</v>
      </c>
      <c r="CR66" s="17" t="s">
        <v>1325</v>
      </c>
      <c r="CS66" s="17" t="s">
        <v>1325</v>
      </c>
      <c r="CT66" s="17" t="s">
        <v>1325</v>
      </c>
      <c r="CU66" s="17" t="s">
        <v>1325</v>
      </c>
      <c r="CV66" s="17" t="s">
        <v>1325</v>
      </c>
      <c r="CW66" s="17" t="s">
        <v>56</v>
      </c>
      <c r="CX66" s="17" t="s">
        <v>56</v>
      </c>
      <c r="CY66" s="17" t="s">
        <v>56</v>
      </c>
      <c r="CZ66" s="17">
        <v>319397</v>
      </c>
      <c r="DA66" s="17">
        <v>319397</v>
      </c>
      <c r="DB66" s="17">
        <v>319397</v>
      </c>
      <c r="DC66" s="17"/>
      <c r="DD66" s="17"/>
      <c r="DE66" s="17"/>
      <c r="DF66" s="17" t="s">
        <v>3415</v>
      </c>
      <c r="DG66" s="17" t="s">
        <v>3532</v>
      </c>
      <c r="DH66" s="17" t="s">
        <v>3237</v>
      </c>
      <c r="DI66" s="17" t="s">
        <v>3533</v>
      </c>
      <c r="DJ66" s="17" t="s">
        <v>3405</v>
      </c>
      <c r="DK66" s="17" t="s">
        <v>3320</v>
      </c>
      <c r="DL66" s="17" t="s">
        <v>3418</v>
      </c>
      <c r="DM66" s="17">
        <v>7.5000000000000002E-4</v>
      </c>
      <c r="DN66" s="17">
        <v>239.5</v>
      </c>
      <c r="DO66" s="17">
        <v>0.42855763837209299</v>
      </c>
      <c r="DP66" s="17" t="s">
        <v>3308</v>
      </c>
      <c r="DQ66" s="17" t="s">
        <v>2839</v>
      </c>
      <c r="DR66" s="17" t="s">
        <v>56</v>
      </c>
      <c r="DS66" s="17" t="s">
        <v>56</v>
      </c>
      <c r="DT66" s="17" t="s">
        <v>56</v>
      </c>
      <c r="DU66" s="17" t="s">
        <v>56</v>
      </c>
      <c r="DV66" s="17" t="s">
        <v>2862</v>
      </c>
      <c r="DW66" s="17" t="s">
        <v>3309</v>
      </c>
      <c r="DX66" s="17" t="s">
        <v>3310</v>
      </c>
      <c r="DY66" s="17">
        <v>9.7795896448127796E-3</v>
      </c>
      <c r="DZ66" s="17">
        <v>2.7520410355187201E-2</v>
      </c>
      <c r="EA66" s="17" t="s">
        <v>3311</v>
      </c>
      <c r="EB66" s="17">
        <v>4.0201671797007003E-3</v>
      </c>
      <c r="EC66" s="17">
        <v>7.1798328202993004E-3</v>
      </c>
      <c r="ED66" s="17" t="s">
        <v>56</v>
      </c>
      <c r="EE66" s="17" t="s">
        <v>56</v>
      </c>
      <c r="EF66" s="17" t="s">
        <v>56</v>
      </c>
      <c r="EG66" s="17" t="s">
        <v>2862</v>
      </c>
      <c r="EH66" s="17" t="s">
        <v>3309</v>
      </c>
      <c r="EI66" s="17" t="s">
        <v>3312</v>
      </c>
      <c r="EJ66" s="17">
        <v>1.08477E-2</v>
      </c>
      <c r="EK66" s="17">
        <v>5.8252699999999998E-2</v>
      </c>
      <c r="EL66" s="17" t="s">
        <v>3311</v>
      </c>
      <c r="EM66" s="17">
        <v>4.8999999999999998E-3</v>
      </c>
      <c r="EN66" s="17">
        <v>1.01E-2</v>
      </c>
      <c r="EO66" s="17" t="s">
        <v>3312</v>
      </c>
      <c r="EP66" s="17">
        <v>4.3641500000000004</v>
      </c>
      <c r="EQ66" s="17">
        <v>23.435700000000001</v>
      </c>
      <c r="ER66" s="17" t="s">
        <v>3313</v>
      </c>
      <c r="ES66" s="17">
        <v>0.59340000000000004</v>
      </c>
      <c r="ET66" s="17">
        <v>1.2263999999999999</v>
      </c>
      <c r="EU66" s="17" t="s">
        <v>2862</v>
      </c>
      <c r="EV66" s="17" t="s">
        <v>3309</v>
      </c>
      <c r="EW66" s="17" t="s">
        <v>3312</v>
      </c>
      <c r="EX66" s="17">
        <v>4.3641500000000004</v>
      </c>
      <c r="EY66" s="17">
        <v>23.435700000000001</v>
      </c>
      <c r="EZ66" s="17" t="s">
        <v>3311</v>
      </c>
      <c r="FA66" s="17">
        <v>0.59340000000000004</v>
      </c>
      <c r="FB66" s="17">
        <v>1.2263999999999999</v>
      </c>
      <c r="FC66" s="17" t="s">
        <v>56</v>
      </c>
      <c r="FD66" s="17" t="s">
        <v>56</v>
      </c>
      <c r="FE66" s="17" t="s">
        <v>56</v>
      </c>
      <c r="FF66" s="17" t="s">
        <v>56</v>
      </c>
      <c r="FG66" s="17" t="s">
        <v>56</v>
      </c>
      <c r="FH66" s="17" t="s">
        <v>56</v>
      </c>
      <c r="FI66" s="17" t="s">
        <v>56</v>
      </c>
      <c r="FJ66" s="17" t="s">
        <v>56</v>
      </c>
      <c r="FK66" s="17" t="s">
        <v>56</v>
      </c>
      <c r="FL66" s="17" t="s">
        <v>56</v>
      </c>
      <c r="FM66" s="17" t="s">
        <v>56</v>
      </c>
      <c r="FN66" s="17" t="s">
        <v>56</v>
      </c>
      <c r="FO66" s="17" t="s">
        <v>56</v>
      </c>
      <c r="FP66" s="17" t="s">
        <v>56</v>
      </c>
      <c r="FQ66" s="17" t="s">
        <v>56</v>
      </c>
      <c r="FR66" s="17" t="s">
        <v>56</v>
      </c>
      <c r="FS66" s="17" t="s">
        <v>56</v>
      </c>
      <c r="FT66" s="17" t="s">
        <v>56</v>
      </c>
      <c r="FU66" s="17">
        <v>194.51014098744201</v>
      </c>
      <c r="FV66" s="17">
        <v>1044.52901736636</v>
      </c>
      <c r="FW66" s="17" t="s">
        <v>56</v>
      </c>
      <c r="FX66" s="17" t="s">
        <v>56</v>
      </c>
      <c r="FY66" s="17" t="s">
        <v>56</v>
      </c>
      <c r="FZ66" s="17" t="s">
        <v>56</v>
      </c>
      <c r="GA66" s="17" t="s">
        <v>56</v>
      </c>
      <c r="GB66" s="17" t="s">
        <v>56</v>
      </c>
      <c r="GC66" s="17" t="s">
        <v>56</v>
      </c>
      <c r="GD66" s="17" t="s">
        <v>2969</v>
      </c>
      <c r="GE66" s="17" t="s">
        <v>2969</v>
      </c>
      <c r="GF66" s="17" t="s">
        <v>56</v>
      </c>
      <c r="GG66" s="17" t="s">
        <v>2818</v>
      </c>
      <c r="GH66" s="17" t="s">
        <v>2818</v>
      </c>
      <c r="GI66" s="17" t="s">
        <v>1111</v>
      </c>
      <c r="GJ66" s="17" t="s">
        <v>1111</v>
      </c>
      <c r="GK66" s="17" t="s">
        <v>1111</v>
      </c>
      <c r="GL66" s="17"/>
    </row>
    <row r="67" spans="2:194" x14ac:dyDescent="0.25">
      <c r="B67" s="17" t="s">
        <v>2840</v>
      </c>
      <c r="C67" s="17" t="s">
        <v>70</v>
      </c>
      <c r="D67" s="17" t="s">
        <v>3411</v>
      </c>
      <c r="E67" s="17" t="s">
        <v>3412</v>
      </c>
      <c r="F67" s="17" t="s">
        <v>3237</v>
      </c>
      <c r="G67" s="17" t="s">
        <v>3413</v>
      </c>
      <c r="H67" s="17"/>
      <c r="I67" s="17" t="s">
        <v>2797</v>
      </c>
      <c r="J67" s="17" t="s">
        <v>3403</v>
      </c>
      <c r="K67" s="17" t="s">
        <v>2653</v>
      </c>
      <c r="L67" s="17" t="s">
        <v>2800</v>
      </c>
      <c r="M67" s="17" t="s">
        <v>3414</v>
      </c>
      <c r="N67" s="17" t="s">
        <v>1325</v>
      </c>
      <c r="O67" s="17" t="s">
        <v>2813</v>
      </c>
      <c r="P67" s="17" t="s">
        <v>2814</v>
      </c>
      <c r="Q67" s="17" t="s">
        <v>3616</v>
      </c>
      <c r="R67" s="17">
        <v>17897433.710000001</v>
      </c>
      <c r="S67" s="17">
        <v>4974456.4000000004</v>
      </c>
      <c r="T67" s="17">
        <v>18587154.18</v>
      </c>
      <c r="U67" s="17" t="s">
        <v>2817</v>
      </c>
      <c r="V67" s="17" t="s">
        <v>939</v>
      </c>
      <c r="W67" s="17" t="s">
        <v>2816</v>
      </c>
      <c r="X67" s="17" t="s">
        <v>3403</v>
      </c>
      <c r="Y67" s="17" t="s">
        <v>56</v>
      </c>
      <c r="Z67" s="17" t="s">
        <v>3616</v>
      </c>
      <c r="AA67" s="17" t="s">
        <v>2801</v>
      </c>
      <c r="AB67" s="17">
        <v>2.1629</v>
      </c>
      <c r="AC67" s="17" t="s">
        <v>3616</v>
      </c>
      <c r="AD67" s="17" t="s">
        <v>2804</v>
      </c>
      <c r="AE67" s="17">
        <v>319397</v>
      </c>
      <c r="AF67" s="17" t="s">
        <v>2839</v>
      </c>
      <c r="AG67" s="17" t="s">
        <v>3617</v>
      </c>
      <c r="AH67" s="17" t="s">
        <v>2806</v>
      </c>
      <c r="AI67" s="17"/>
      <c r="AJ67" s="17" t="s">
        <v>56</v>
      </c>
      <c r="AK67" s="17" t="s">
        <v>56</v>
      </c>
      <c r="AL67" s="17" t="s">
        <v>56</v>
      </c>
      <c r="AM67" s="17" t="s">
        <v>56</v>
      </c>
      <c r="AN67" s="17" t="s">
        <v>56</v>
      </c>
      <c r="AO67" s="17" t="s">
        <v>56</v>
      </c>
      <c r="AP67" s="17" t="s">
        <v>56</v>
      </c>
      <c r="AQ67" s="17" t="s">
        <v>56</v>
      </c>
      <c r="AR67" s="17" t="s">
        <v>56</v>
      </c>
      <c r="AS67" s="17">
        <v>677.19899999999996</v>
      </c>
      <c r="AT67" s="17">
        <v>82.007599999999996</v>
      </c>
      <c r="AU67" s="17">
        <v>435.83600000000001</v>
      </c>
      <c r="AV67" s="17" t="s">
        <v>56</v>
      </c>
      <c r="AW67" s="17" t="s">
        <v>56</v>
      </c>
      <c r="AX67" s="17" t="s">
        <v>56</v>
      </c>
      <c r="AY67" s="17">
        <v>561.97</v>
      </c>
      <c r="AZ67" s="17">
        <v>68.053600000000003</v>
      </c>
      <c r="BA67" s="17">
        <v>361.67599999999999</v>
      </c>
      <c r="BB67" s="17" t="s">
        <v>56</v>
      </c>
      <c r="BC67" s="17" t="s">
        <v>56</v>
      </c>
      <c r="BD67" s="17" t="s">
        <v>56</v>
      </c>
      <c r="BE67" s="17" t="s">
        <v>56</v>
      </c>
      <c r="BF67" s="17" t="s">
        <v>56</v>
      </c>
      <c r="BG67" s="17" t="s">
        <v>56</v>
      </c>
      <c r="BH67" s="17" t="s">
        <v>56</v>
      </c>
      <c r="BI67" s="17" t="s">
        <v>56</v>
      </c>
      <c r="BJ67" s="17" t="s">
        <v>56</v>
      </c>
      <c r="BK67" s="17" t="s">
        <v>56</v>
      </c>
      <c r="BL67" s="17" t="s">
        <v>56</v>
      </c>
      <c r="BM67" s="17" t="s">
        <v>56</v>
      </c>
      <c r="BN67" s="17" t="s">
        <v>56</v>
      </c>
      <c r="BO67" s="17" t="s">
        <v>56</v>
      </c>
      <c r="BP67" s="17" t="s">
        <v>56</v>
      </c>
      <c r="BQ67" s="17" t="s">
        <v>56</v>
      </c>
      <c r="BR67" s="17" t="s">
        <v>56</v>
      </c>
      <c r="BS67" s="17" t="s">
        <v>56</v>
      </c>
      <c r="BT67" s="17" t="s">
        <v>56</v>
      </c>
      <c r="BU67" s="17" t="s">
        <v>56</v>
      </c>
      <c r="BV67" s="17" t="s">
        <v>56</v>
      </c>
      <c r="BW67" s="17" t="s">
        <v>56</v>
      </c>
      <c r="BX67" s="17" t="s">
        <v>2818</v>
      </c>
      <c r="BY67" s="17" t="s">
        <v>1111</v>
      </c>
      <c r="BZ67" s="17" t="s">
        <v>56</v>
      </c>
      <c r="CA67" s="17" t="s">
        <v>56</v>
      </c>
      <c r="CB67" s="17" t="s">
        <v>1325</v>
      </c>
      <c r="CC67" s="17" t="s">
        <v>1325</v>
      </c>
      <c r="CD67" s="17" t="s">
        <v>1325</v>
      </c>
      <c r="CE67" s="17" t="s">
        <v>1325</v>
      </c>
      <c r="CF67" s="17" t="s">
        <v>1325</v>
      </c>
      <c r="CG67" s="17" t="s">
        <v>1325</v>
      </c>
      <c r="CH67" s="17" t="s">
        <v>1325</v>
      </c>
      <c r="CI67" s="17" t="s">
        <v>1325</v>
      </c>
      <c r="CJ67" s="17" t="s">
        <v>1325</v>
      </c>
      <c r="CK67" s="17" t="s">
        <v>1325</v>
      </c>
      <c r="CL67" s="17" t="s">
        <v>1325</v>
      </c>
      <c r="CM67" s="17" t="s">
        <v>1325</v>
      </c>
      <c r="CN67" s="17" t="s">
        <v>1325</v>
      </c>
      <c r="CO67" s="17" t="s">
        <v>1325</v>
      </c>
      <c r="CP67" s="17" t="s">
        <v>1325</v>
      </c>
      <c r="CQ67" s="17" t="s">
        <v>1325</v>
      </c>
      <c r="CR67" s="17" t="s">
        <v>1325</v>
      </c>
      <c r="CS67" s="17" t="s">
        <v>1325</v>
      </c>
      <c r="CT67" s="17" t="s">
        <v>1325</v>
      </c>
      <c r="CU67" s="17" t="s">
        <v>1325</v>
      </c>
      <c r="CV67" s="17" t="s">
        <v>1325</v>
      </c>
      <c r="CW67" s="17" t="s">
        <v>56</v>
      </c>
      <c r="CX67" s="17" t="s">
        <v>56</v>
      </c>
      <c r="CY67" s="17" t="s">
        <v>56</v>
      </c>
      <c r="CZ67" s="17">
        <v>319397</v>
      </c>
      <c r="DA67" s="17">
        <v>319397</v>
      </c>
      <c r="DB67" s="17">
        <v>319397</v>
      </c>
      <c r="DC67" s="17"/>
      <c r="DD67" s="17"/>
      <c r="DE67" s="17"/>
      <c r="DF67" s="17" t="s">
        <v>3415</v>
      </c>
      <c r="DG67" s="17" t="s">
        <v>3534</v>
      </c>
      <c r="DH67" s="17" t="s">
        <v>3237</v>
      </c>
      <c r="DI67" s="17" t="s">
        <v>3535</v>
      </c>
      <c r="DJ67" s="17" t="s">
        <v>3405</v>
      </c>
      <c r="DK67" s="17" t="s">
        <v>3320</v>
      </c>
      <c r="DL67" s="17" t="s">
        <v>3418</v>
      </c>
      <c r="DM67" s="17">
        <v>1.4829999999999999E-2</v>
      </c>
      <c r="DN67" s="17">
        <v>4736.7</v>
      </c>
      <c r="DO67" s="17">
        <v>0.428558069498778</v>
      </c>
      <c r="DP67" s="17" t="s">
        <v>3308</v>
      </c>
      <c r="DQ67" s="17" t="s">
        <v>2839</v>
      </c>
      <c r="DR67" s="17" t="s">
        <v>56</v>
      </c>
      <c r="DS67" s="17" t="s">
        <v>56</v>
      </c>
      <c r="DT67" s="17" t="s">
        <v>56</v>
      </c>
      <c r="DU67" s="17" t="s">
        <v>56</v>
      </c>
      <c r="DV67" s="17" t="s">
        <v>2862</v>
      </c>
      <c r="DW67" s="17" t="s">
        <v>3309</v>
      </c>
      <c r="DX67" s="17" t="s">
        <v>3310</v>
      </c>
      <c r="DY67" s="17">
        <v>9.7795896448127796E-3</v>
      </c>
      <c r="DZ67" s="17">
        <v>2.7520410355187201E-2</v>
      </c>
      <c r="EA67" s="17" t="s">
        <v>3311</v>
      </c>
      <c r="EB67" s="17">
        <v>4.0201671797007003E-3</v>
      </c>
      <c r="EC67" s="17">
        <v>7.1798328202993004E-3</v>
      </c>
      <c r="ED67" s="17" t="s">
        <v>56</v>
      </c>
      <c r="EE67" s="17" t="s">
        <v>56</v>
      </c>
      <c r="EF67" s="17" t="s">
        <v>56</v>
      </c>
      <c r="EG67" s="17" t="s">
        <v>2862</v>
      </c>
      <c r="EH67" s="17" t="s">
        <v>3309</v>
      </c>
      <c r="EI67" s="17" t="s">
        <v>3312</v>
      </c>
      <c r="EJ67" s="17">
        <v>1.08477E-2</v>
      </c>
      <c r="EK67" s="17">
        <v>5.8252699999999998E-2</v>
      </c>
      <c r="EL67" s="17" t="s">
        <v>3311</v>
      </c>
      <c r="EM67" s="17">
        <v>4.8999999999999998E-3</v>
      </c>
      <c r="EN67" s="17">
        <v>1.01E-2</v>
      </c>
      <c r="EO67" s="17" t="s">
        <v>3312</v>
      </c>
      <c r="EP67" s="17">
        <v>4.3641500000000004</v>
      </c>
      <c r="EQ67" s="17">
        <v>23.435700000000001</v>
      </c>
      <c r="ER67" s="17" t="s">
        <v>3313</v>
      </c>
      <c r="ES67" s="17">
        <v>0.59340000000000004</v>
      </c>
      <c r="ET67" s="17">
        <v>1.2263999999999999</v>
      </c>
      <c r="EU67" s="17" t="s">
        <v>2862</v>
      </c>
      <c r="EV67" s="17" t="s">
        <v>3309</v>
      </c>
      <c r="EW67" s="17" t="s">
        <v>3312</v>
      </c>
      <c r="EX67" s="17">
        <v>4.3641500000000004</v>
      </c>
      <c r="EY67" s="17">
        <v>23.435700000000001</v>
      </c>
      <c r="EZ67" s="17" t="s">
        <v>3311</v>
      </c>
      <c r="FA67" s="17">
        <v>0.59340000000000004</v>
      </c>
      <c r="FB67" s="17">
        <v>1.2263999999999999</v>
      </c>
      <c r="FC67" s="17" t="s">
        <v>56</v>
      </c>
      <c r="FD67" s="17" t="s">
        <v>56</v>
      </c>
      <c r="FE67" s="17" t="s">
        <v>56</v>
      </c>
      <c r="FF67" s="17" t="s">
        <v>56</v>
      </c>
      <c r="FG67" s="17" t="s">
        <v>56</v>
      </c>
      <c r="FH67" s="17" t="s">
        <v>56</v>
      </c>
      <c r="FI67" s="17" t="s">
        <v>56</v>
      </c>
      <c r="FJ67" s="17" t="s">
        <v>56</v>
      </c>
      <c r="FK67" s="17" t="s">
        <v>56</v>
      </c>
      <c r="FL67" s="17" t="s">
        <v>56</v>
      </c>
      <c r="FM67" s="17" t="s">
        <v>56</v>
      </c>
      <c r="FN67" s="17" t="s">
        <v>56</v>
      </c>
      <c r="FO67" s="17" t="s">
        <v>56</v>
      </c>
      <c r="FP67" s="17" t="s">
        <v>56</v>
      </c>
      <c r="FQ67" s="17" t="s">
        <v>56</v>
      </c>
      <c r="FR67" s="17" t="s">
        <v>56</v>
      </c>
      <c r="FS67" s="17" t="s">
        <v>56</v>
      </c>
      <c r="FT67" s="17" t="s">
        <v>56</v>
      </c>
      <c r="FU67" s="17">
        <v>194.51033665148901</v>
      </c>
      <c r="FV67" s="17">
        <v>1044.5300680918999</v>
      </c>
      <c r="FW67" s="17" t="s">
        <v>56</v>
      </c>
      <c r="FX67" s="17" t="s">
        <v>56</v>
      </c>
      <c r="FY67" s="17" t="s">
        <v>56</v>
      </c>
      <c r="FZ67" s="17" t="s">
        <v>56</v>
      </c>
      <c r="GA67" s="17" t="s">
        <v>56</v>
      </c>
      <c r="GB67" s="17" t="s">
        <v>56</v>
      </c>
      <c r="GC67" s="17" t="s">
        <v>56</v>
      </c>
      <c r="GD67" s="17" t="s">
        <v>2969</v>
      </c>
      <c r="GE67" s="17" t="s">
        <v>2969</v>
      </c>
      <c r="GF67" s="17" t="s">
        <v>56</v>
      </c>
      <c r="GG67" s="17" t="s">
        <v>2818</v>
      </c>
      <c r="GH67" s="17" t="s">
        <v>2818</v>
      </c>
      <c r="GI67" s="17" t="s">
        <v>1111</v>
      </c>
      <c r="GJ67" s="17" t="s">
        <v>1111</v>
      </c>
      <c r="GK67" s="17" t="s">
        <v>1111</v>
      </c>
      <c r="GL67" s="17"/>
    </row>
    <row r="68" spans="2:194" x14ac:dyDescent="0.25">
      <c r="B68" s="17" t="s">
        <v>2840</v>
      </c>
      <c r="C68" s="17" t="s">
        <v>70</v>
      </c>
      <c r="D68" s="17" t="s">
        <v>3411</v>
      </c>
      <c r="E68" s="17" t="s">
        <v>3412</v>
      </c>
      <c r="F68" s="17" t="s">
        <v>3237</v>
      </c>
      <c r="G68" s="17" t="s">
        <v>3413</v>
      </c>
      <c r="H68" s="17"/>
      <c r="I68" s="17" t="s">
        <v>2797</v>
      </c>
      <c r="J68" s="17" t="s">
        <v>3403</v>
      </c>
      <c r="K68" s="17" t="s">
        <v>2653</v>
      </c>
      <c r="L68" s="17" t="s">
        <v>2800</v>
      </c>
      <c r="M68" s="17" t="s">
        <v>3414</v>
      </c>
      <c r="N68" s="17" t="s">
        <v>1325</v>
      </c>
      <c r="O68" s="17" t="s">
        <v>2813</v>
      </c>
      <c r="P68" s="17" t="s">
        <v>2814</v>
      </c>
      <c r="Q68" s="17" t="s">
        <v>3616</v>
      </c>
      <c r="R68" s="17">
        <v>17897433.710000001</v>
      </c>
      <c r="S68" s="17">
        <v>4974456.4000000004</v>
      </c>
      <c r="T68" s="17">
        <v>18587154.18</v>
      </c>
      <c r="U68" s="17" t="s">
        <v>2817</v>
      </c>
      <c r="V68" s="17" t="s">
        <v>939</v>
      </c>
      <c r="W68" s="17" t="s">
        <v>2816</v>
      </c>
      <c r="X68" s="17" t="s">
        <v>3403</v>
      </c>
      <c r="Y68" s="17" t="s">
        <v>56</v>
      </c>
      <c r="Z68" s="17" t="s">
        <v>3616</v>
      </c>
      <c r="AA68" s="17" t="s">
        <v>2801</v>
      </c>
      <c r="AB68" s="17">
        <v>2.1629</v>
      </c>
      <c r="AC68" s="17" t="s">
        <v>3616</v>
      </c>
      <c r="AD68" s="17" t="s">
        <v>2804</v>
      </c>
      <c r="AE68" s="17">
        <v>319397</v>
      </c>
      <c r="AF68" s="17" t="s">
        <v>2839</v>
      </c>
      <c r="AG68" s="17" t="s">
        <v>3617</v>
      </c>
      <c r="AH68" s="17" t="s">
        <v>2806</v>
      </c>
      <c r="AI68" s="17"/>
      <c r="AJ68" s="17" t="s">
        <v>56</v>
      </c>
      <c r="AK68" s="17" t="s">
        <v>56</v>
      </c>
      <c r="AL68" s="17" t="s">
        <v>56</v>
      </c>
      <c r="AM68" s="17" t="s">
        <v>56</v>
      </c>
      <c r="AN68" s="17" t="s">
        <v>56</v>
      </c>
      <c r="AO68" s="17" t="s">
        <v>56</v>
      </c>
      <c r="AP68" s="17" t="s">
        <v>56</v>
      </c>
      <c r="AQ68" s="17" t="s">
        <v>56</v>
      </c>
      <c r="AR68" s="17" t="s">
        <v>56</v>
      </c>
      <c r="AS68" s="17">
        <v>677.19899999999996</v>
      </c>
      <c r="AT68" s="17">
        <v>82.007599999999996</v>
      </c>
      <c r="AU68" s="17">
        <v>435.83600000000001</v>
      </c>
      <c r="AV68" s="17" t="s">
        <v>56</v>
      </c>
      <c r="AW68" s="17" t="s">
        <v>56</v>
      </c>
      <c r="AX68" s="17" t="s">
        <v>56</v>
      </c>
      <c r="AY68" s="17">
        <v>561.97</v>
      </c>
      <c r="AZ68" s="17">
        <v>68.053600000000003</v>
      </c>
      <c r="BA68" s="17">
        <v>361.67599999999999</v>
      </c>
      <c r="BB68" s="17" t="s">
        <v>56</v>
      </c>
      <c r="BC68" s="17" t="s">
        <v>56</v>
      </c>
      <c r="BD68" s="17" t="s">
        <v>56</v>
      </c>
      <c r="BE68" s="17" t="s">
        <v>56</v>
      </c>
      <c r="BF68" s="17" t="s">
        <v>56</v>
      </c>
      <c r="BG68" s="17" t="s">
        <v>56</v>
      </c>
      <c r="BH68" s="17" t="s">
        <v>56</v>
      </c>
      <c r="BI68" s="17" t="s">
        <v>56</v>
      </c>
      <c r="BJ68" s="17" t="s">
        <v>56</v>
      </c>
      <c r="BK68" s="17" t="s">
        <v>56</v>
      </c>
      <c r="BL68" s="17" t="s">
        <v>56</v>
      </c>
      <c r="BM68" s="17" t="s">
        <v>56</v>
      </c>
      <c r="BN68" s="17" t="s">
        <v>56</v>
      </c>
      <c r="BO68" s="17" t="s">
        <v>56</v>
      </c>
      <c r="BP68" s="17" t="s">
        <v>56</v>
      </c>
      <c r="BQ68" s="17" t="s">
        <v>56</v>
      </c>
      <c r="BR68" s="17" t="s">
        <v>56</v>
      </c>
      <c r="BS68" s="17" t="s">
        <v>56</v>
      </c>
      <c r="BT68" s="17" t="s">
        <v>56</v>
      </c>
      <c r="BU68" s="17" t="s">
        <v>56</v>
      </c>
      <c r="BV68" s="17" t="s">
        <v>56</v>
      </c>
      <c r="BW68" s="17" t="s">
        <v>56</v>
      </c>
      <c r="BX68" s="17" t="s">
        <v>2818</v>
      </c>
      <c r="BY68" s="17" t="s">
        <v>1111</v>
      </c>
      <c r="BZ68" s="17" t="s">
        <v>56</v>
      </c>
      <c r="CA68" s="17" t="s">
        <v>56</v>
      </c>
      <c r="CB68" s="17" t="s">
        <v>1325</v>
      </c>
      <c r="CC68" s="17" t="s">
        <v>1325</v>
      </c>
      <c r="CD68" s="17" t="s">
        <v>1325</v>
      </c>
      <c r="CE68" s="17" t="s">
        <v>1325</v>
      </c>
      <c r="CF68" s="17" t="s">
        <v>1325</v>
      </c>
      <c r="CG68" s="17" t="s">
        <v>1325</v>
      </c>
      <c r="CH68" s="17" t="s">
        <v>1325</v>
      </c>
      <c r="CI68" s="17" t="s">
        <v>1325</v>
      </c>
      <c r="CJ68" s="17" t="s">
        <v>1325</v>
      </c>
      <c r="CK68" s="17" t="s">
        <v>1325</v>
      </c>
      <c r="CL68" s="17" t="s">
        <v>1325</v>
      </c>
      <c r="CM68" s="17" t="s">
        <v>1325</v>
      </c>
      <c r="CN68" s="17" t="s">
        <v>1325</v>
      </c>
      <c r="CO68" s="17" t="s">
        <v>1325</v>
      </c>
      <c r="CP68" s="17" t="s">
        <v>1325</v>
      </c>
      <c r="CQ68" s="17" t="s">
        <v>1325</v>
      </c>
      <c r="CR68" s="17" t="s">
        <v>1325</v>
      </c>
      <c r="CS68" s="17" t="s">
        <v>1325</v>
      </c>
      <c r="CT68" s="17" t="s">
        <v>1325</v>
      </c>
      <c r="CU68" s="17" t="s">
        <v>1325</v>
      </c>
      <c r="CV68" s="17" t="s">
        <v>1325</v>
      </c>
      <c r="CW68" s="17" t="s">
        <v>56</v>
      </c>
      <c r="CX68" s="17" t="s">
        <v>56</v>
      </c>
      <c r="CY68" s="17" t="s">
        <v>56</v>
      </c>
      <c r="CZ68" s="17">
        <v>319397</v>
      </c>
      <c r="DA68" s="17">
        <v>319397</v>
      </c>
      <c r="DB68" s="17">
        <v>319397</v>
      </c>
      <c r="DC68" s="17"/>
      <c r="DD68" s="17"/>
      <c r="DE68" s="17"/>
      <c r="DF68" s="17" t="s">
        <v>3415</v>
      </c>
      <c r="DG68" s="17" t="s">
        <v>3536</v>
      </c>
      <c r="DH68" s="17" t="s">
        <v>3237</v>
      </c>
      <c r="DI68" s="17" t="s">
        <v>3537</v>
      </c>
      <c r="DJ68" s="17" t="s">
        <v>3404</v>
      </c>
      <c r="DK68" s="17" t="s">
        <v>3320</v>
      </c>
      <c r="DL68" s="17" t="s">
        <v>3418</v>
      </c>
      <c r="DM68" s="17">
        <v>1.2498E-2</v>
      </c>
      <c r="DN68" s="17">
        <v>3991.8</v>
      </c>
      <c r="DO68" s="17">
        <v>0.42855876823510403</v>
      </c>
      <c r="DP68" s="17" t="s">
        <v>3308</v>
      </c>
      <c r="DQ68" s="17" t="s">
        <v>2839</v>
      </c>
      <c r="DR68" s="17" t="s">
        <v>56</v>
      </c>
      <c r="DS68" s="17" t="s">
        <v>56</v>
      </c>
      <c r="DT68" s="17" t="s">
        <v>56</v>
      </c>
      <c r="DU68" s="17" t="s">
        <v>56</v>
      </c>
      <c r="DV68" s="17" t="s">
        <v>2862</v>
      </c>
      <c r="DW68" s="17" t="s">
        <v>3309</v>
      </c>
      <c r="DX68" s="17" t="s">
        <v>3310</v>
      </c>
      <c r="DY68" s="17">
        <v>1.2558775978191199E-2</v>
      </c>
      <c r="DZ68" s="17">
        <v>3.5341224021808802E-2</v>
      </c>
      <c r="EA68" s="17" t="s">
        <v>3311</v>
      </c>
      <c r="EB68" s="17">
        <v>5.1687863739009101E-3</v>
      </c>
      <c r="EC68" s="17">
        <v>9.2312136260990895E-3</v>
      </c>
      <c r="ED68" s="17" t="s">
        <v>56</v>
      </c>
      <c r="EE68" s="17" t="s">
        <v>56</v>
      </c>
      <c r="EF68" s="17" t="s">
        <v>56</v>
      </c>
      <c r="EG68" s="17" t="s">
        <v>2862</v>
      </c>
      <c r="EH68" s="17" t="s">
        <v>3309</v>
      </c>
      <c r="EI68" s="17" t="s">
        <v>3312</v>
      </c>
      <c r="EJ68" s="17">
        <v>1.08477E-2</v>
      </c>
      <c r="EK68" s="17">
        <v>5.8252699999999998E-2</v>
      </c>
      <c r="EL68" s="17" t="s">
        <v>3311</v>
      </c>
      <c r="EM68" s="17">
        <v>4.8999999999999998E-3</v>
      </c>
      <c r="EN68" s="17">
        <v>1.01E-2</v>
      </c>
      <c r="EO68" s="17" t="s">
        <v>3312</v>
      </c>
      <c r="EP68" s="17">
        <v>4.3641500000000004</v>
      </c>
      <c r="EQ68" s="17">
        <v>23.435700000000001</v>
      </c>
      <c r="ER68" s="17" t="s">
        <v>3313</v>
      </c>
      <c r="ES68" s="17">
        <v>0.59340000000000004</v>
      </c>
      <c r="ET68" s="17">
        <v>1.2263999999999999</v>
      </c>
      <c r="EU68" s="17" t="s">
        <v>2862</v>
      </c>
      <c r="EV68" s="17" t="s">
        <v>3309</v>
      </c>
      <c r="EW68" s="17" t="s">
        <v>3312</v>
      </c>
      <c r="EX68" s="17">
        <v>4.3641500000000004</v>
      </c>
      <c r="EY68" s="17">
        <v>23.435700000000001</v>
      </c>
      <c r="EZ68" s="17" t="s">
        <v>3311</v>
      </c>
      <c r="FA68" s="17">
        <v>0.59340000000000004</v>
      </c>
      <c r="FB68" s="17">
        <v>1.2263999999999999</v>
      </c>
      <c r="FC68" s="17" t="s">
        <v>56</v>
      </c>
      <c r="FD68" s="17" t="s">
        <v>56</v>
      </c>
      <c r="FE68" s="17" t="s">
        <v>56</v>
      </c>
      <c r="FF68" s="17" t="s">
        <v>56</v>
      </c>
      <c r="FG68" s="17" t="s">
        <v>56</v>
      </c>
      <c r="FH68" s="17" t="s">
        <v>56</v>
      </c>
      <c r="FI68" s="17" t="s">
        <v>56</v>
      </c>
      <c r="FJ68" s="17" t="s">
        <v>56</v>
      </c>
      <c r="FK68" s="17" t="s">
        <v>56</v>
      </c>
      <c r="FL68" s="17" t="s">
        <v>56</v>
      </c>
      <c r="FM68" s="17" t="s">
        <v>56</v>
      </c>
      <c r="FN68" s="17" t="s">
        <v>56</v>
      </c>
      <c r="FO68" s="17" t="s">
        <v>56</v>
      </c>
      <c r="FP68" s="17" t="s">
        <v>56</v>
      </c>
      <c r="FQ68" s="17" t="s">
        <v>56</v>
      </c>
      <c r="FR68" s="17" t="s">
        <v>56</v>
      </c>
      <c r="FS68" s="17" t="s">
        <v>56</v>
      </c>
      <c r="FT68" s="17" t="s">
        <v>56</v>
      </c>
      <c r="FU68" s="17">
        <v>194.51065381696301</v>
      </c>
      <c r="FV68" s="17">
        <v>1044.5317712860899</v>
      </c>
      <c r="FW68" s="17" t="s">
        <v>56</v>
      </c>
      <c r="FX68" s="17" t="s">
        <v>56</v>
      </c>
      <c r="FY68" s="17" t="s">
        <v>56</v>
      </c>
      <c r="FZ68" s="17" t="s">
        <v>56</v>
      </c>
      <c r="GA68" s="17" t="s">
        <v>56</v>
      </c>
      <c r="GB68" s="17" t="s">
        <v>56</v>
      </c>
      <c r="GC68" s="17" t="s">
        <v>56</v>
      </c>
      <c r="GD68" s="17" t="s">
        <v>2969</v>
      </c>
      <c r="GE68" s="17" t="s">
        <v>2969</v>
      </c>
      <c r="GF68" s="17" t="s">
        <v>56</v>
      </c>
      <c r="GG68" s="17" t="s">
        <v>2818</v>
      </c>
      <c r="GH68" s="17" t="s">
        <v>2818</v>
      </c>
      <c r="GI68" s="17" t="s">
        <v>1111</v>
      </c>
      <c r="GJ68" s="17" t="s">
        <v>1111</v>
      </c>
      <c r="GK68" s="17" t="s">
        <v>1111</v>
      </c>
      <c r="GL68" s="17"/>
    </row>
    <row r="69" spans="2:194" x14ac:dyDescent="0.25">
      <c r="B69" s="17" t="s">
        <v>2840</v>
      </c>
      <c r="C69" s="17" t="s">
        <v>70</v>
      </c>
      <c r="D69" s="17" t="s">
        <v>3411</v>
      </c>
      <c r="E69" s="17" t="s">
        <v>3412</v>
      </c>
      <c r="F69" s="17" t="s">
        <v>3237</v>
      </c>
      <c r="G69" s="17" t="s">
        <v>3413</v>
      </c>
      <c r="H69" s="17"/>
      <c r="I69" s="17" t="s">
        <v>2797</v>
      </c>
      <c r="J69" s="17" t="s">
        <v>3403</v>
      </c>
      <c r="K69" s="17" t="s">
        <v>2653</v>
      </c>
      <c r="L69" s="17" t="s">
        <v>2800</v>
      </c>
      <c r="M69" s="17" t="s">
        <v>3414</v>
      </c>
      <c r="N69" s="17" t="s">
        <v>1325</v>
      </c>
      <c r="O69" s="17" t="s">
        <v>2813</v>
      </c>
      <c r="P69" s="17" t="s">
        <v>2814</v>
      </c>
      <c r="Q69" s="17" t="s">
        <v>3616</v>
      </c>
      <c r="R69" s="17">
        <v>17897433.710000001</v>
      </c>
      <c r="S69" s="17">
        <v>4974456.4000000004</v>
      </c>
      <c r="T69" s="17">
        <v>18587154.18</v>
      </c>
      <c r="U69" s="17" t="s">
        <v>2817</v>
      </c>
      <c r="V69" s="17" t="s">
        <v>939</v>
      </c>
      <c r="W69" s="17" t="s">
        <v>2816</v>
      </c>
      <c r="X69" s="17" t="s">
        <v>3403</v>
      </c>
      <c r="Y69" s="17" t="s">
        <v>56</v>
      </c>
      <c r="Z69" s="17" t="s">
        <v>3616</v>
      </c>
      <c r="AA69" s="17" t="s">
        <v>2801</v>
      </c>
      <c r="AB69" s="17">
        <v>2.1629</v>
      </c>
      <c r="AC69" s="17" t="s">
        <v>3616</v>
      </c>
      <c r="AD69" s="17" t="s">
        <v>2804</v>
      </c>
      <c r="AE69" s="17">
        <v>319397</v>
      </c>
      <c r="AF69" s="17" t="s">
        <v>2839</v>
      </c>
      <c r="AG69" s="17" t="s">
        <v>3617</v>
      </c>
      <c r="AH69" s="17" t="s">
        <v>2806</v>
      </c>
      <c r="AI69" s="17"/>
      <c r="AJ69" s="17" t="s">
        <v>56</v>
      </c>
      <c r="AK69" s="17" t="s">
        <v>56</v>
      </c>
      <c r="AL69" s="17" t="s">
        <v>56</v>
      </c>
      <c r="AM69" s="17" t="s">
        <v>56</v>
      </c>
      <c r="AN69" s="17" t="s">
        <v>56</v>
      </c>
      <c r="AO69" s="17" t="s">
        <v>56</v>
      </c>
      <c r="AP69" s="17" t="s">
        <v>56</v>
      </c>
      <c r="AQ69" s="17" t="s">
        <v>56</v>
      </c>
      <c r="AR69" s="17" t="s">
        <v>56</v>
      </c>
      <c r="AS69" s="17">
        <v>677.19899999999996</v>
      </c>
      <c r="AT69" s="17">
        <v>82.007599999999996</v>
      </c>
      <c r="AU69" s="17">
        <v>435.83600000000001</v>
      </c>
      <c r="AV69" s="17" t="s">
        <v>56</v>
      </c>
      <c r="AW69" s="17" t="s">
        <v>56</v>
      </c>
      <c r="AX69" s="17" t="s">
        <v>56</v>
      </c>
      <c r="AY69" s="17">
        <v>561.97</v>
      </c>
      <c r="AZ69" s="17">
        <v>68.053600000000003</v>
      </c>
      <c r="BA69" s="17">
        <v>361.67599999999999</v>
      </c>
      <c r="BB69" s="17" t="s">
        <v>56</v>
      </c>
      <c r="BC69" s="17" t="s">
        <v>56</v>
      </c>
      <c r="BD69" s="17" t="s">
        <v>56</v>
      </c>
      <c r="BE69" s="17" t="s">
        <v>56</v>
      </c>
      <c r="BF69" s="17" t="s">
        <v>56</v>
      </c>
      <c r="BG69" s="17" t="s">
        <v>56</v>
      </c>
      <c r="BH69" s="17" t="s">
        <v>56</v>
      </c>
      <c r="BI69" s="17" t="s">
        <v>56</v>
      </c>
      <c r="BJ69" s="17" t="s">
        <v>56</v>
      </c>
      <c r="BK69" s="17" t="s">
        <v>56</v>
      </c>
      <c r="BL69" s="17" t="s">
        <v>56</v>
      </c>
      <c r="BM69" s="17" t="s">
        <v>56</v>
      </c>
      <c r="BN69" s="17" t="s">
        <v>56</v>
      </c>
      <c r="BO69" s="17" t="s">
        <v>56</v>
      </c>
      <c r="BP69" s="17" t="s">
        <v>56</v>
      </c>
      <c r="BQ69" s="17" t="s">
        <v>56</v>
      </c>
      <c r="BR69" s="17" t="s">
        <v>56</v>
      </c>
      <c r="BS69" s="17" t="s">
        <v>56</v>
      </c>
      <c r="BT69" s="17" t="s">
        <v>56</v>
      </c>
      <c r="BU69" s="17" t="s">
        <v>56</v>
      </c>
      <c r="BV69" s="17" t="s">
        <v>56</v>
      </c>
      <c r="BW69" s="17" t="s">
        <v>56</v>
      </c>
      <c r="BX69" s="17" t="s">
        <v>2818</v>
      </c>
      <c r="BY69" s="17" t="s">
        <v>1111</v>
      </c>
      <c r="BZ69" s="17" t="s">
        <v>56</v>
      </c>
      <c r="CA69" s="17" t="s">
        <v>56</v>
      </c>
      <c r="CB69" s="17" t="s">
        <v>1325</v>
      </c>
      <c r="CC69" s="17" t="s">
        <v>1325</v>
      </c>
      <c r="CD69" s="17" t="s">
        <v>1325</v>
      </c>
      <c r="CE69" s="17" t="s">
        <v>1325</v>
      </c>
      <c r="CF69" s="17" t="s">
        <v>1325</v>
      </c>
      <c r="CG69" s="17" t="s">
        <v>1325</v>
      </c>
      <c r="CH69" s="17" t="s">
        <v>1325</v>
      </c>
      <c r="CI69" s="17" t="s">
        <v>1325</v>
      </c>
      <c r="CJ69" s="17" t="s">
        <v>1325</v>
      </c>
      <c r="CK69" s="17" t="s">
        <v>1325</v>
      </c>
      <c r="CL69" s="17" t="s">
        <v>1325</v>
      </c>
      <c r="CM69" s="17" t="s">
        <v>1325</v>
      </c>
      <c r="CN69" s="17" t="s">
        <v>1325</v>
      </c>
      <c r="CO69" s="17" t="s">
        <v>1325</v>
      </c>
      <c r="CP69" s="17" t="s">
        <v>1325</v>
      </c>
      <c r="CQ69" s="17" t="s">
        <v>1325</v>
      </c>
      <c r="CR69" s="17" t="s">
        <v>1325</v>
      </c>
      <c r="CS69" s="17" t="s">
        <v>1325</v>
      </c>
      <c r="CT69" s="17" t="s">
        <v>1325</v>
      </c>
      <c r="CU69" s="17" t="s">
        <v>1325</v>
      </c>
      <c r="CV69" s="17" t="s">
        <v>1325</v>
      </c>
      <c r="CW69" s="17" t="s">
        <v>56</v>
      </c>
      <c r="CX69" s="17" t="s">
        <v>56</v>
      </c>
      <c r="CY69" s="17" t="s">
        <v>56</v>
      </c>
      <c r="CZ69" s="17">
        <v>319397</v>
      </c>
      <c r="DA69" s="17">
        <v>319397</v>
      </c>
      <c r="DB69" s="17">
        <v>319397</v>
      </c>
      <c r="DC69" s="17"/>
      <c r="DD69" s="17"/>
      <c r="DE69" s="17"/>
      <c r="DF69" s="17" t="s">
        <v>3415</v>
      </c>
      <c r="DG69" s="17" t="s">
        <v>3538</v>
      </c>
      <c r="DH69" s="17" t="s">
        <v>3237</v>
      </c>
      <c r="DI69" s="17" t="s">
        <v>3539</v>
      </c>
      <c r="DJ69" s="17" t="s">
        <v>3405</v>
      </c>
      <c r="DK69" s="17" t="s">
        <v>3320</v>
      </c>
      <c r="DL69" s="17" t="s">
        <v>3418</v>
      </c>
      <c r="DM69" s="17">
        <v>3.797E-3</v>
      </c>
      <c r="DN69" s="17">
        <v>1212.8</v>
      </c>
      <c r="DO69" s="17">
        <v>0.428558542876325</v>
      </c>
      <c r="DP69" s="17" t="s">
        <v>3308</v>
      </c>
      <c r="DQ69" s="17" t="s">
        <v>2839</v>
      </c>
      <c r="DR69" s="17" t="s">
        <v>56</v>
      </c>
      <c r="DS69" s="17" t="s">
        <v>56</v>
      </c>
      <c r="DT69" s="17" t="s">
        <v>56</v>
      </c>
      <c r="DU69" s="17" t="s">
        <v>56</v>
      </c>
      <c r="DV69" s="17" t="s">
        <v>2862</v>
      </c>
      <c r="DW69" s="17" t="s">
        <v>3309</v>
      </c>
      <c r="DX69" s="17" t="s">
        <v>3310</v>
      </c>
      <c r="DY69" s="17">
        <v>9.7795896448127796E-3</v>
      </c>
      <c r="DZ69" s="17">
        <v>2.7520410355187201E-2</v>
      </c>
      <c r="EA69" s="17" t="s">
        <v>3311</v>
      </c>
      <c r="EB69" s="17">
        <v>4.0201671797007003E-3</v>
      </c>
      <c r="EC69" s="17">
        <v>7.1798328202993004E-3</v>
      </c>
      <c r="ED69" s="17" t="s">
        <v>56</v>
      </c>
      <c r="EE69" s="17" t="s">
        <v>56</v>
      </c>
      <c r="EF69" s="17" t="s">
        <v>56</v>
      </c>
      <c r="EG69" s="17" t="s">
        <v>2862</v>
      </c>
      <c r="EH69" s="17" t="s">
        <v>3309</v>
      </c>
      <c r="EI69" s="17" t="s">
        <v>3312</v>
      </c>
      <c r="EJ69" s="17">
        <v>1.08477E-2</v>
      </c>
      <c r="EK69" s="17">
        <v>5.8252699999999998E-2</v>
      </c>
      <c r="EL69" s="17" t="s">
        <v>3311</v>
      </c>
      <c r="EM69" s="17">
        <v>4.8999999999999998E-3</v>
      </c>
      <c r="EN69" s="17">
        <v>1.01E-2</v>
      </c>
      <c r="EO69" s="17" t="s">
        <v>3312</v>
      </c>
      <c r="EP69" s="17">
        <v>4.3641500000000004</v>
      </c>
      <c r="EQ69" s="17">
        <v>23.435700000000001</v>
      </c>
      <c r="ER69" s="17" t="s">
        <v>3313</v>
      </c>
      <c r="ES69" s="17">
        <v>0.59340000000000004</v>
      </c>
      <c r="ET69" s="17">
        <v>1.2263999999999999</v>
      </c>
      <c r="EU69" s="17" t="s">
        <v>2862</v>
      </c>
      <c r="EV69" s="17" t="s">
        <v>3309</v>
      </c>
      <c r="EW69" s="17" t="s">
        <v>3312</v>
      </c>
      <c r="EX69" s="17">
        <v>4.3641500000000004</v>
      </c>
      <c r="EY69" s="17">
        <v>23.435700000000001</v>
      </c>
      <c r="EZ69" s="17" t="s">
        <v>3311</v>
      </c>
      <c r="FA69" s="17">
        <v>0.59340000000000004</v>
      </c>
      <c r="FB69" s="17">
        <v>1.2263999999999999</v>
      </c>
      <c r="FC69" s="17" t="s">
        <v>56</v>
      </c>
      <c r="FD69" s="17" t="s">
        <v>56</v>
      </c>
      <c r="FE69" s="17" t="s">
        <v>56</v>
      </c>
      <c r="FF69" s="17" t="s">
        <v>56</v>
      </c>
      <c r="FG69" s="17" t="s">
        <v>56</v>
      </c>
      <c r="FH69" s="17" t="s">
        <v>56</v>
      </c>
      <c r="FI69" s="17" t="s">
        <v>56</v>
      </c>
      <c r="FJ69" s="17" t="s">
        <v>56</v>
      </c>
      <c r="FK69" s="17" t="s">
        <v>56</v>
      </c>
      <c r="FL69" s="17" t="s">
        <v>56</v>
      </c>
      <c r="FM69" s="17" t="s">
        <v>56</v>
      </c>
      <c r="FN69" s="17" t="s">
        <v>56</v>
      </c>
      <c r="FO69" s="17" t="s">
        <v>56</v>
      </c>
      <c r="FP69" s="17" t="s">
        <v>56</v>
      </c>
      <c r="FQ69" s="17" t="s">
        <v>56</v>
      </c>
      <c r="FR69" s="17" t="s">
        <v>56</v>
      </c>
      <c r="FS69" s="17" t="s">
        <v>56</v>
      </c>
      <c r="FT69" s="17" t="s">
        <v>56</v>
      </c>
      <c r="FU69" s="17">
        <v>194.51055151430401</v>
      </c>
      <c r="FV69" s="17">
        <v>1044.53122191578</v>
      </c>
      <c r="FW69" s="17" t="s">
        <v>56</v>
      </c>
      <c r="FX69" s="17" t="s">
        <v>56</v>
      </c>
      <c r="FY69" s="17" t="s">
        <v>56</v>
      </c>
      <c r="FZ69" s="17" t="s">
        <v>56</v>
      </c>
      <c r="GA69" s="17" t="s">
        <v>56</v>
      </c>
      <c r="GB69" s="17" t="s">
        <v>56</v>
      </c>
      <c r="GC69" s="17" t="s">
        <v>56</v>
      </c>
      <c r="GD69" s="17" t="s">
        <v>2969</v>
      </c>
      <c r="GE69" s="17" t="s">
        <v>2969</v>
      </c>
      <c r="GF69" s="17" t="s">
        <v>56</v>
      </c>
      <c r="GG69" s="17" t="s">
        <v>2818</v>
      </c>
      <c r="GH69" s="17" t="s">
        <v>2818</v>
      </c>
      <c r="GI69" s="17" t="s">
        <v>1111</v>
      </c>
      <c r="GJ69" s="17" t="s">
        <v>1111</v>
      </c>
      <c r="GK69" s="17" t="s">
        <v>1111</v>
      </c>
      <c r="GL69" s="17"/>
    </row>
    <row r="70" spans="2:194" x14ac:dyDescent="0.25">
      <c r="B70" s="17" t="s">
        <v>2840</v>
      </c>
      <c r="C70" s="17" t="s">
        <v>70</v>
      </c>
      <c r="D70" s="17" t="s">
        <v>3411</v>
      </c>
      <c r="E70" s="17" t="s">
        <v>3412</v>
      </c>
      <c r="F70" s="17" t="s">
        <v>3237</v>
      </c>
      <c r="G70" s="17" t="s">
        <v>3413</v>
      </c>
      <c r="H70" s="17"/>
      <c r="I70" s="17" t="s">
        <v>2797</v>
      </c>
      <c r="J70" s="17" t="s">
        <v>3403</v>
      </c>
      <c r="K70" s="17" t="s">
        <v>2653</v>
      </c>
      <c r="L70" s="17" t="s">
        <v>2800</v>
      </c>
      <c r="M70" s="17" t="s">
        <v>3414</v>
      </c>
      <c r="N70" s="17" t="s">
        <v>1325</v>
      </c>
      <c r="O70" s="17" t="s">
        <v>2813</v>
      </c>
      <c r="P70" s="17" t="s">
        <v>2814</v>
      </c>
      <c r="Q70" s="17" t="s">
        <v>3616</v>
      </c>
      <c r="R70" s="17">
        <v>17897433.710000001</v>
      </c>
      <c r="S70" s="17">
        <v>4974456.4000000004</v>
      </c>
      <c r="T70" s="17">
        <v>18587154.18</v>
      </c>
      <c r="U70" s="17" t="s">
        <v>2817</v>
      </c>
      <c r="V70" s="17" t="s">
        <v>939</v>
      </c>
      <c r="W70" s="17" t="s">
        <v>2816</v>
      </c>
      <c r="X70" s="17" t="s">
        <v>3403</v>
      </c>
      <c r="Y70" s="17" t="s">
        <v>56</v>
      </c>
      <c r="Z70" s="17" t="s">
        <v>3616</v>
      </c>
      <c r="AA70" s="17" t="s">
        <v>2801</v>
      </c>
      <c r="AB70" s="17">
        <v>2.1629</v>
      </c>
      <c r="AC70" s="17" t="s">
        <v>3616</v>
      </c>
      <c r="AD70" s="17" t="s">
        <v>2804</v>
      </c>
      <c r="AE70" s="17">
        <v>319397</v>
      </c>
      <c r="AF70" s="17" t="s">
        <v>2839</v>
      </c>
      <c r="AG70" s="17" t="s">
        <v>3617</v>
      </c>
      <c r="AH70" s="17" t="s">
        <v>2806</v>
      </c>
      <c r="AI70" s="17"/>
      <c r="AJ70" s="17" t="s">
        <v>56</v>
      </c>
      <c r="AK70" s="17" t="s">
        <v>56</v>
      </c>
      <c r="AL70" s="17" t="s">
        <v>56</v>
      </c>
      <c r="AM70" s="17" t="s">
        <v>56</v>
      </c>
      <c r="AN70" s="17" t="s">
        <v>56</v>
      </c>
      <c r="AO70" s="17" t="s">
        <v>56</v>
      </c>
      <c r="AP70" s="17" t="s">
        <v>56</v>
      </c>
      <c r="AQ70" s="17" t="s">
        <v>56</v>
      </c>
      <c r="AR70" s="17" t="s">
        <v>56</v>
      </c>
      <c r="AS70" s="17">
        <v>677.19899999999996</v>
      </c>
      <c r="AT70" s="17">
        <v>82.007599999999996</v>
      </c>
      <c r="AU70" s="17">
        <v>435.83600000000001</v>
      </c>
      <c r="AV70" s="17" t="s">
        <v>56</v>
      </c>
      <c r="AW70" s="17" t="s">
        <v>56</v>
      </c>
      <c r="AX70" s="17" t="s">
        <v>56</v>
      </c>
      <c r="AY70" s="17">
        <v>561.97</v>
      </c>
      <c r="AZ70" s="17">
        <v>68.053600000000003</v>
      </c>
      <c r="BA70" s="17">
        <v>361.67599999999999</v>
      </c>
      <c r="BB70" s="17" t="s">
        <v>56</v>
      </c>
      <c r="BC70" s="17" t="s">
        <v>56</v>
      </c>
      <c r="BD70" s="17" t="s">
        <v>56</v>
      </c>
      <c r="BE70" s="17" t="s">
        <v>56</v>
      </c>
      <c r="BF70" s="17" t="s">
        <v>56</v>
      </c>
      <c r="BG70" s="17" t="s">
        <v>56</v>
      </c>
      <c r="BH70" s="17" t="s">
        <v>56</v>
      </c>
      <c r="BI70" s="17" t="s">
        <v>56</v>
      </c>
      <c r="BJ70" s="17" t="s">
        <v>56</v>
      </c>
      <c r="BK70" s="17" t="s">
        <v>56</v>
      </c>
      <c r="BL70" s="17" t="s">
        <v>56</v>
      </c>
      <c r="BM70" s="17" t="s">
        <v>56</v>
      </c>
      <c r="BN70" s="17" t="s">
        <v>56</v>
      </c>
      <c r="BO70" s="17" t="s">
        <v>56</v>
      </c>
      <c r="BP70" s="17" t="s">
        <v>56</v>
      </c>
      <c r="BQ70" s="17" t="s">
        <v>56</v>
      </c>
      <c r="BR70" s="17" t="s">
        <v>56</v>
      </c>
      <c r="BS70" s="17" t="s">
        <v>56</v>
      </c>
      <c r="BT70" s="17" t="s">
        <v>56</v>
      </c>
      <c r="BU70" s="17" t="s">
        <v>56</v>
      </c>
      <c r="BV70" s="17" t="s">
        <v>56</v>
      </c>
      <c r="BW70" s="17" t="s">
        <v>56</v>
      </c>
      <c r="BX70" s="17" t="s">
        <v>2818</v>
      </c>
      <c r="BY70" s="17" t="s">
        <v>1111</v>
      </c>
      <c r="BZ70" s="17" t="s">
        <v>56</v>
      </c>
      <c r="CA70" s="17" t="s">
        <v>56</v>
      </c>
      <c r="CB70" s="17" t="s">
        <v>1325</v>
      </c>
      <c r="CC70" s="17" t="s">
        <v>1325</v>
      </c>
      <c r="CD70" s="17" t="s">
        <v>1325</v>
      </c>
      <c r="CE70" s="17" t="s">
        <v>1325</v>
      </c>
      <c r="CF70" s="17" t="s">
        <v>1325</v>
      </c>
      <c r="CG70" s="17" t="s">
        <v>1325</v>
      </c>
      <c r="CH70" s="17" t="s">
        <v>1325</v>
      </c>
      <c r="CI70" s="17" t="s">
        <v>1325</v>
      </c>
      <c r="CJ70" s="17" t="s">
        <v>1325</v>
      </c>
      <c r="CK70" s="17" t="s">
        <v>1325</v>
      </c>
      <c r="CL70" s="17" t="s">
        <v>1325</v>
      </c>
      <c r="CM70" s="17" t="s">
        <v>1325</v>
      </c>
      <c r="CN70" s="17" t="s">
        <v>1325</v>
      </c>
      <c r="CO70" s="17" t="s">
        <v>1325</v>
      </c>
      <c r="CP70" s="17" t="s">
        <v>1325</v>
      </c>
      <c r="CQ70" s="17" t="s">
        <v>1325</v>
      </c>
      <c r="CR70" s="17" t="s">
        <v>1325</v>
      </c>
      <c r="CS70" s="17" t="s">
        <v>1325</v>
      </c>
      <c r="CT70" s="17" t="s">
        <v>1325</v>
      </c>
      <c r="CU70" s="17" t="s">
        <v>1325</v>
      </c>
      <c r="CV70" s="17" t="s">
        <v>1325</v>
      </c>
      <c r="CW70" s="17" t="s">
        <v>56</v>
      </c>
      <c r="CX70" s="17" t="s">
        <v>56</v>
      </c>
      <c r="CY70" s="17" t="s">
        <v>56</v>
      </c>
      <c r="CZ70" s="17">
        <v>319397</v>
      </c>
      <c r="DA70" s="17">
        <v>319397</v>
      </c>
      <c r="DB70" s="17">
        <v>319397</v>
      </c>
      <c r="DC70" s="17"/>
      <c r="DD70" s="17"/>
      <c r="DE70" s="17"/>
      <c r="DF70" s="17" t="s">
        <v>3415</v>
      </c>
      <c r="DG70" s="17" t="s">
        <v>3540</v>
      </c>
      <c r="DH70" s="17" t="s">
        <v>3237</v>
      </c>
      <c r="DI70" s="17" t="s">
        <v>3541</v>
      </c>
      <c r="DJ70" s="17" t="s">
        <v>3406</v>
      </c>
      <c r="DK70" s="17" t="s">
        <v>3320</v>
      </c>
      <c r="DL70" s="17" t="s">
        <v>3418</v>
      </c>
      <c r="DM70" s="17">
        <v>6.6299999999999996E-4</v>
      </c>
      <c r="DN70" s="17">
        <v>211.8</v>
      </c>
      <c r="DO70" s="17">
        <v>0.61460314895652102</v>
      </c>
      <c r="DP70" s="17" t="s">
        <v>3308</v>
      </c>
      <c r="DQ70" s="17" t="s">
        <v>2839</v>
      </c>
      <c r="DR70" s="17" t="s">
        <v>56</v>
      </c>
      <c r="DS70" s="17" t="s">
        <v>56</v>
      </c>
      <c r="DT70" s="17" t="s">
        <v>56</v>
      </c>
      <c r="DU70" s="17" t="s">
        <v>56</v>
      </c>
      <c r="DV70" s="17" t="s">
        <v>2862</v>
      </c>
      <c r="DW70" s="17" t="s">
        <v>3309</v>
      </c>
      <c r="DX70" s="17" t="s">
        <v>3310</v>
      </c>
      <c r="DY70" s="17">
        <v>3.4870922862201099E-3</v>
      </c>
      <c r="DZ70" s="17">
        <v>9.8129077137798903E-3</v>
      </c>
      <c r="EA70" s="17" t="s">
        <v>3311</v>
      </c>
      <c r="EB70" s="17">
        <v>1.4357739927502501E-3</v>
      </c>
      <c r="EC70" s="17">
        <v>2.56422600724975E-3</v>
      </c>
      <c r="ED70" s="17" t="s">
        <v>56</v>
      </c>
      <c r="EE70" s="17" t="s">
        <v>56</v>
      </c>
      <c r="EF70" s="17" t="s">
        <v>56</v>
      </c>
      <c r="EG70" s="17" t="s">
        <v>2862</v>
      </c>
      <c r="EH70" s="17" t="s">
        <v>3309</v>
      </c>
      <c r="EI70" s="17" t="s">
        <v>3312</v>
      </c>
      <c r="EJ70" s="17">
        <v>1.08477E-2</v>
      </c>
      <c r="EK70" s="17">
        <v>5.8252699999999998E-2</v>
      </c>
      <c r="EL70" s="17" t="s">
        <v>3311</v>
      </c>
      <c r="EM70" s="17">
        <v>4.8999999999999998E-3</v>
      </c>
      <c r="EN70" s="17">
        <v>1.01E-2</v>
      </c>
      <c r="EO70" s="17" t="s">
        <v>3312</v>
      </c>
      <c r="EP70" s="17">
        <v>4.3641500000000004</v>
      </c>
      <c r="EQ70" s="17">
        <v>23.435700000000001</v>
      </c>
      <c r="ER70" s="17" t="s">
        <v>3313</v>
      </c>
      <c r="ES70" s="17">
        <v>0.59340000000000004</v>
      </c>
      <c r="ET70" s="17">
        <v>1.2263999999999999</v>
      </c>
      <c r="EU70" s="17" t="s">
        <v>2862</v>
      </c>
      <c r="EV70" s="17" t="s">
        <v>3309</v>
      </c>
      <c r="EW70" s="17" t="s">
        <v>3312</v>
      </c>
      <c r="EX70" s="17">
        <v>4.3641500000000004</v>
      </c>
      <c r="EY70" s="17">
        <v>23.435700000000001</v>
      </c>
      <c r="EZ70" s="17" t="s">
        <v>3311</v>
      </c>
      <c r="FA70" s="17">
        <v>0.59340000000000004</v>
      </c>
      <c r="FB70" s="17">
        <v>1.2263999999999999</v>
      </c>
      <c r="FC70" s="17" t="s">
        <v>56</v>
      </c>
      <c r="FD70" s="17" t="s">
        <v>56</v>
      </c>
      <c r="FE70" s="17" t="s">
        <v>56</v>
      </c>
      <c r="FF70" s="17" t="s">
        <v>56</v>
      </c>
      <c r="FG70" s="17" t="s">
        <v>56</v>
      </c>
      <c r="FH70" s="17" t="s">
        <v>56</v>
      </c>
      <c r="FI70" s="17" t="s">
        <v>56</v>
      </c>
      <c r="FJ70" s="17" t="s">
        <v>56</v>
      </c>
      <c r="FK70" s="17" t="s">
        <v>56</v>
      </c>
      <c r="FL70" s="17" t="s">
        <v>56</v>
      </c>
      <c r="FM70" s="17" t="s">
        <v>56</v>
      </c>
      <c r="FN70" s="17" t="s">
        <v>56</v>
      </c>
      <c r="FO70" s="17" t="s">
        <v>56</v>
      </c>
      <c r="FP70" s="17" t="s">
        <v>56</v>
      </c>
      <c r="FQ70" s="17" t="s">
        <v>56</v>
      </c>
      <c r="FR70" s="17" t="s">
        <v>56</v>
      </c>
      <c r="FS70" s="17" t="s">
        <v>56</v>
      </c>
      <c r="FT70" s="17" t="s">
        <v>56</v>
      </c>
      <c r="FU70" s="17">
        <v>278.95091455628102</v>
      </c>
      <c r="FV70" s="17">
        <v>1497.9801217342699</v>
      </c>
      <c r="FW70" s="17" t="s">
        <v>56</v>
      </c>
      <c r="FX70" s="17" t="s">
        <v>56</v>
      </c>
      <c r="FY70" s="17" t="s">
        <v>56</v>
      </c>
      <c r="FZ70" s="17" t="s">
        <v>56</v>
      </c>
      <c r="GA70" s="17" t="s">
        <v>56</v>
      </c>
      <c r="GB70" s="17" t="s">
        <v>56</v>
      </c>
      <c r="GC70" s="17" t="s">
        <v>56</v>
      </c>
      <c r="GD70" s="17" t="s">
        <v>2969</v>
      </c>
      <c r="GE70" s="17" t="s">
        <v>2969</v>
      </c>
      <c r="GF70" s="17" t="s">
        <v>56</v>
      </c>
      <c r="GG70" s="17" t="s">
        <v>2818</v>
      </c>
      <c r="GH70" s="17" t="s">
        <v>2818</v>
      </c>
      <c r="GI70" s="17" t="s">
        <v>1111</v>
      </c>
      <c r="GJ70" s="17" t="s">
        <v>1111</v>
      </c>
      <c r="GK70" s="17" t="s">
        <v>1111</v>
      </c>
      <c r="GL70" s="17"/>
    </row>
    <row r="71" spans="2:194" x14ac:dyDescent="0.25">
      <c r="B71" s="17" t="s">
        <v>2840</v>
      </c>
      <c r="C71" s="17" t="s">
        <v>70</v>
      </c>
      <c r="D71" s="17" t="s">
        <v>3411</v>
      </c>
      <c r="E71" s="17" t="s">
        <v>3412</v>
      </c>
      <c r="F71" s="17" t="s">
        <v>3237</v>
      </c>
      <c r="G71" s="17" t="s">
        <v>3413</v>
      </c>
      <c r="H71" s="17"/>
      <c r="I71" s="17" t="s">
        <v>2797</v>
      </c>
      <c r="J71" s="17" t="s">
        <v>3403</v>
      </c>
      <c r="K71" s="17" t="s">
        <v>2653</v>
      </c>
      <c r="L71" s="17" t="s">
        <v>2800</v>
      </c>
      <c r="M71" s="17" t="s">
        <v>3414</v>
      </c>
      <c r="N71" s="17" t="s">
        <v>1325</v>
      </c>
      <c r="O71" s="17" t="s">
        <v>2813</v>
      </c>
      <c r="P71" s="17" t="s">
        <v>2814</v>
      </c>
      <c r="Q71" s="17" t="s">
        <v>3616</v>
      </c>
      <c r="R71" s="17">
        <v>17897433.710000001</v>
      </c>
      <c r="S71" s="17">
        <v>4974456.4000000004</v>
      </c>
      <c r="T71" s="17">
        <v>18587154.18</v>
      </c>
      <c r="U71" s="17" t="s">
        <v>2817</v>
      </c>
      <c r="V71" s="17" t="s">
        <v>939</v>
      </c>
      <c r="W71" s="17" t="s">
        <v>2816</v>
      </c>
      <c r="X71" s="17" t="s">
        <v>3403</v>
      </c>
      <c r="Y71" s="17" t="s">
        <v>56</v>
      </c>
      <c r="Z71" s="17" t="s">
        <v>3616</v>
      </c>
      <c r="AA71" s="17" t="s">
        <v>2801</v>
      </c>
      <c r="AB71" s="17">
        <v>2.1629</v>
      </c>
      <c r="AC71" s="17" t="s">
        <v>3616</v>
      </c>
      <c r="AD71" s="17" t="s">
        <v>2804</v>
      </c>
      <c r="AE71" s="17">
        <v>319397</v>
      </c>
      <c r="AF71" s="17" t="s">
        <v>2839</v>
      </c>
      <c r="AG71" s="17" t="s">
        <v>3617</v>
      </c>
      <c r="AH71" s="17" t="s">
        <v>2806</v>
      </c>
      <c r="AI71" s="17"/>
      <c r="AJ71" s="17" t="s">
        <v>56</v>
      </c>
      <c r="AK71" s="17" t="s">
        <v>56</v>
      </c>
      <c r="AL71" s="17" t="s">
        <v>56</v>
      </c>
      <c r="AM71" s="17" t="s">
        <v>56</v>
      </c>
      <c r="AN71" s="17" t="s">
        <v>56</v>
      </c>
      <c r="AO71" s="17" t="s">
        <v>56</v>
      </c>
      <c r="AP71" s="17" t="s">
        <v>56</v>
      </c>
      <c r="AQ71" s="17" t="s">
        <v>56</v>
      </c>
      <c r="AR71" s="17" t="s">
        <v>56</v>
      </c>
      <c r="AS71" s="17">
        <v>677.19899999999996</v>
      </c>
      <c r="AT71" s="17">
        <v>82.007599999999996</v>
      </c>
      <c r="AU71" s="17">
        <v>435.83600000000001</v>
      </c>
      <c r="AV71" s="17" t="s">
        <v>56</v>
      </c>
      <c r="AW71" s="17" t="s">
        <v>56</v>
      </c>
      <c r="AX71" s="17" t="s">
        <v>56</v>
      </c>
      <c r="AY71" s="17">
        <v>561.97</v>
      </c>
      <c r="AZ71" s="17">
        <v>68.053600000000003</v>
      </c>
      <c r="BA71" s="17">
        <v>361.67599999999999</v>
      </c>
      <c r="BB71" s="17" t="s">
        <v>56</v>
      </c>
      <c r="BC71" s="17" t="s">
        <v>56</v>
      </c>
      <c r="BD71" s="17" t="s">
        <v>56</v>
      </c>
      <c r="BE71" s="17" t="s">
        <v>56</v>
      </c>
      <c r="BF71" s="17" t="s">
        <v>56</v>
      </c>
      <c r="BG71" s="17" t="s">
        <v>56</v>
      </c>
      <c r="BH71" s="17" t="s">
        <v>56</v>
      </c>
      <c r="BI71" s="17" t="s">
        <v>56</v>
      </c>
      <c r="BJ71" s="17" t="s">
        <v>56</v>
      </c>
      <c r="BK71" s="17" t="s">
        <v>56</v>
      </c>
      <c r="BL71" s="17" t="s">
        <v>56</v>
      </c>
      <c r="BM71" s="17" t="s">
        <v>56</v>
      </c>
      <c r="BN71" s="17" t="s">
        <v>56</v>
      </c>
      <c r="BO71" s="17" t="s">
        <v>56</v>
      </c>
      <c r="BP71" s="17" t="s">
        <v>56</v>
      </c>
      <c r="BQ71" s="17" t="s">
        <v>56</v>
      </c>
      <c r="BR71" s="17" t="s">
        <v>56</v>
      </c>
      <c r="BS71" s="17" t="s">
        <v>56</v>
      </c>
      <c r="BT71" s="17" t="s">
        <v>56</v>
      </c>
      <c r="BU71" s="17" t="s">
        <v>56</v>
      </c>
      <c r="BV71" s="17" t="s">
        <v>56</v>
      </c>
      <c r="BW71" s="17" t="s">
        <v>56</v>
      </c>
      <c r="BX71" s="17" t="s">
        <v>2818</v>
      </c>
      <c r="BY71" s="17" t="s">
        <v>1111</v>
      </c>
      <c r="BZ71" s="17" t="s">
        <v>56</v>
      </c>
      <c r="CA71" s="17" t="s">
        <v>56</v>
      </c>
      <c r="CB71" s="17" t="s">
        <v>1325</v>
      </c>
      <c r="CC71" s="17" t="s">
        <v>1325</v>
      </c>
      <c r="CD71" s="17" t="s">
        <v>1325</v>
      </c>
      <c r="CE71" s="17" t="s">
        <v>1325</v>
      </c>
      <c r="CF71" s="17" t="s">
        <v>1325</v>
      </c>
      <c r="CG71" s="17" t="s">
        <v>1325</v>
      </c>
      <c r="CH71" s="17" t="s">
        <v>1325</v>
      </c>
      <c r="CI71" s="17" t="s">
        <v>1325</v>
      </c>
      <c r="CJ71" s="17" t="s">
        <v>1325</v>
      </c>
      <c r="CK71" s="17" t="s">
        <v>1325</v>
      </c>
      <c r="CL71" s="17" t="s">
        <v>1325</v>
      </c>
      <c r="CM71" s="17" t="s">
        <v>1325</v>
      </c>
      <c r="CN71" s="17" t="s">
        <v>1325</v>
      </c>
      <c r="CO71" s="17" t="s">
        <v>1325</v>
      </c>
      <c r="CP71" s="17" t="s">
        <v>1325</v>
      </c>
      <c r="CQ71" s="17" t="s">
        <v>1325</v>
      </c>
      <c r="CR71" s="17" t="s">
        <v>1325</v>
      </c>
      <c r="CS71" s="17" t="s">
        <v>1325</v>
      </c>
      <c r="CT71" s="17" t="s">
        <v>1325</v>
      </c>
      <c r="CU71" s="17" t="s">
        <v>1325</v>
      </c>
      <c r="CV71" s="17" t="s">
        <v>1325</v>
      </c>
      <c r="CW71" s="17" t="s">
        <v>56</v>
      </c>
      <c r="CX71" s="17" t="s">
        <v>56</v>
      </c>
      <c r="CY71" s="17" t="s">
        <v>56</v>
      </c>
      <c r="CZ71" s="17">
        <v>319397</v>
      </c>
      <c r="DA71" s="17">
        <v>319397</v>
      </c>
      <c r="DB71" s="17">
        <v>319397</v>
      </c>
      <c r="DC71" s="17"/>
      <c r="DD71" s="17"/>
      <c r="DE71" s="17"/>
      <c r="DF71" s="17" t="s">
        <v>3415</v>
      </c>
      <c r="DG71" s="17" t="s">
        <v>3542</v>
      </c>
      <c r="DH71" s="17" t="s">
        <v>3237</v>
      </c>
      <c r="DI71" s="17" t="s">
        <v>3543</v>
      </c>
      <c r="DJ71" s="17" t="s">
        <v>3405</v>
      </c>
      <c r="DK71" s="17" t="s">
        <v>3320</v>
      </c>
      <c r="DL71" s="17" t="s">
        <v>3418</v>
      </c>
      <c r="DM71" s="17">
        <v>3.284E-3</v>
      </c>
      <c r="DN71" s="17">
        <v>1048.9000000000001</v>
      </c>
      <c r="DO71" s="17">
        <v>0.42855692649101301</v>
      </c>
      <c r="DP71" s="17" t="s">
        <v>3308</v>
      </c>
      <c r="DQ71" s="17" t="s">
        <v>2839</v>
      </c>
      <c r="DR71" s="17" t="s">
        <v>56</v>
      </c>
      <c r="DS71" s="17" t="s">
        <v>56</v>
      </c>
      <c r="DT71" s="17" t="s">
        <v>56</v>
      </c>
      <c r="DU71" s="17" t="s">
        <v>56</v>
      </c>
      <c r="DV71" s="17" t="s">
        <v>2862</v>
      </c>
      <c r="DW71" s="17" t="s">
        <v>3309</v>
      </c>
      <c r="DX71" s="17" t="s">
        <v>3310</v>
      </c>
      <c r="DY71" s="17">
        <v>9.7795896448127796E-3</v>
      </c>
      <c r="DZ71" s="17">
        <v>2.7520410355187201E-2</v>
      </c>
      <c r="EA71" s="17" t="s">
        <v>3311</v>
      </c>
      <c r="EB71" s="17">
        <v>4.0201671797007003E-3</v>
      </c>
      <c r="EC71" s="17">
        <v>7.1798328202993004E-3</v>
      </c>
      <c r="ED71" s="17" t="s">
        <v>56</v>
      </c>
      <c r="EE71" s="17" t="s">
        <v>56</v>
      </c>
      <c r="EF71" s="17" t="s">
        <v>56</v>
      </c>
      <c r="EG71" s="17" t="s">
        <v>2862</v>
      </c>
      <c r="EH71" s="17" t="s">
        <v>3309</v>
      </c>
      <c r="EI71" s="17" t="s">
        <v>3312</v>
      </c>
      <c r="EJ71" s="17">
        <v>1.08477E-2</v>
      </c>
      <c r="EK71" s="17">
        <v>5.8252699999999998E-2</v>
      </c>
      <c r="EL71" s="17" t="s">
        <v>3311</v>
      </c>
      <c r="EM71" s="17">
        <v>4.8999999999999998E-3</v>
      </c>
      <c r="EN71" s="17">
        <v>1.01E-2</v>
      </c>
      <c r="EO71" s="17" t="s">
        <v>3312</v>
      </c>
      <c r="EP71" s="17">
        <v>4.3641500000000004</v>
      </c>
      <c r="EQ71" s="17">
        <v>23.435700000000001</v>
      </c>
      <c r="ER71" s="17" t="s">
        <v>3313</v>
      </c>
      <c r="ES71" s="17">
        <v>0.59340000000000004</v>
      </c>
      <c r="ET71" s="17">
        <v>1.2263999999999999</v>
      </c>
      <c r="EU71" s="17" t="s">
        <v>2862</v>
      </c>
      <c r="EV71" s="17" t="s">
        <v>3309</v>
      </c>
      <c r="EW71" s="17" t="s">
        <v>3312</v>
      </c>
      <c r="EX71" s="17">
        <v>4.3641500000000004</v>
      </c>
      <c r="EY71" s="17">
        <v>23.435700000000001</v>
      </c>
      <c r="EZ71" s="17" t="s">
        <v>3311</v>
      </c>
      <c r="FA71" s="17">
        <v>0.59340000000000004</v>
      </c>
      <c r="FB71" s="17">
        <v>1.2263999999999999</v>
      </c>
      <c r="FC71" s="17" t="s">
        <v>56</v>
      </c>
      <c r="FD71" s="17" t="s">
        <v>56</v>
      </c>
      <c r="FE71" s="17" t="s">
        <v>56</v>
      </c>
      <c r="FF71" s="17" t="s">
        <v>56</v>
      </c>
      <c r="FG71" s="17" t="s">
        <v>56</v>
      </c>
      <c r="FH71" s="17" t="s">
        <v>56</v>
      </c>
      <c r="FI71" s="17" t="s">
        <v>56</v>
      </c>
      <c r="FJ71" s="17" t="s">
        <v>56</v>
      </c>
      <c r="FK71" s="17" t="s">
        <v>56</v>
      </c>
      <c r="FL71" s="17" t="s">
        <v>56</v>
      </c>
      <c r="FM71" s="17" t="s">
        <v>56</v>
      </c>
      <c r="FN71" s="17" t="s">
        <v>56</v>
      </c>
      <c r="FO71" s="17" t="s">
        <v>56</v>
      </c>
      <c r="FP71" s="17" t="s">
        <v>56</v>
      </c>
      <c r="FQ71" s="17" t="s">
        <v>56</v>
      </c>
      <c r="FR71" s="17" t="s">
        <v>56</v>
      </c>
      <c r="FS71" s="17" t="s">
        <v>56</v>
      </c>
      <c r="FT71" s="17" t="s">
        <v>56</v>
      </c>
      <c r="FU71" s="17">
        <v>194.50981787625</v>
      </c>
      <c r="FV71" s="17">
        <v>1044.5272822433701</v>
      </c>
      <c r="FW71" s="17" t="s">
        <v>56</v>
      </c>
      <c r="FX71" s="17" t="s">
        <v>56</v>
      </c>
      <c r="FY71" s="17" t="s">
        <v>56</v>
      </c>
      <c r="FZ71" s="17" t="s">
        <v>56</v>
      </c>
      <c r="GA71" s="17" t="s">
        <v>56</v>
      </c>
      <c r="GB71" s="17" t="s">
        <v>56</v>
      </c>
      <c r="GC71" s="17" t="s">
        <v>56</v>
      </c>
      <c r="GD71" s="17" t="s">
        <v>2969</v>
      </c>
      <c r="GE71" s="17" t="s">
        <v>2969</v>
      </c>
      <c r="GF71" s="17" t="s">
        <v>56</v>
      </c>
      <c r="GG71" s="17" t="s">
        <v>2818</v>
      </c>
      <c r="GH71" s="17" t="s">
        <v>2818</v>
      </c>
      <c r="GI71" s="17" t="s">
        <v>1111</v>
      </c>
      <c r="GJ71" s="17" t="s">
        <v>1111</v>
      </c>
      <c r="GK71" s="17" t="s">
        <v>1111</v>
      </c>
      <c r="GL71" s="17"/>
    </row>
    <row r="72" spans="2:194" x14ac:dyDescent="0.25">
      <c r="B72" s="17" t="s">
        <v>2840</v>
      </c>
      <c r="C72" s="17" t="s">
        <v>70</v>
      </c>
      <c r="D72" s="17" t="s">
        <v>3411</v>
      </c>
      <c r="E72" s="17" t="s">
        <v>3412</v>
      </c>
      <c r="F72" s="17" t="s">
        <v>3237</v>
      </c>
      <c r="G72" s="17" t="s">
        <v>3413</v>
      </c>
      <c r="H72" s="17"/>
      <c r="I72" s="17" t="s">
        <v>2797</v>
      </c>
      <c r="J72" s="17" t="s">
        <v>3403</v>
      </c>
      <c r="K72" s="17" t="s">
        <v>2653</v>
      </c>
      <c r="L72" s="17" t="s">
        <v>2800</v>
      </c>
      <c r="M72" s="17" t="s">
        <v>3414</v>
      </c>
      <c r="N72" s="17" t="s">
        <v>1325</v>
      </c>
      <c r="O72" s="17" t="s">
        <v>2813</v>
      </c>
      <c r="P72" s="17" t="s">
        <v>2814</v>
      </c>
      <c r="Q72" s="17" t="s">
        <v>3616</v>
      </c>
      <c r="R72" s="17">
        <v>17897433.710000001</v>
      </c>
      <c r="S72" s="17">
        <v>4974456.4000000004</v>
      </c>
      <c r="T72" s="17">
        <v>18587154.18</v>
      </c>
      <c r="U72" s="17" t="s">
        <v>2817</v>
      </c>
      <c r="V72" s="17" t="s">
        <v>939</v>
      </c>
      <c r="W72" s="17" t="s">
        <v>2816</v>
      </c>
      <c r="X72" s="17" t="s">
        <v>3403</v>
      </c>
      <c r="Y72" s="17" t="s">
        <v>56</v>
      </c>
      <c r="Z72" s="17" t="s">
        <v>3616</v>
      </c>
      <c r="AA72" s="17" t="s">
        <v>2801</v>
      </c>
      <c r="AB72" s="17">
        <v>2.1629</v>
      </c>
      <c r="AC72" s="17" t="s">
        <v>3616</v>
      </c>
      <c r="AD72" s="17" t="s">
        <v>2804</v>
      </c>
      <c r="AE72" s="17">
        <v>319397</v>
      </c>
      <c r="AF72" s="17" t="s">
        <v>2839</v>
      </c>
      <c r="AG72" s="17" t="s">
        <v>3617</v>
      </c>
      <c r="AH72" s="17" t="s">
        <v>2806</v>
      </c>
      <c r="AI72" s="17"/>
      <c r="AJ72" s="17" t="s">
        <v>56</v>
      </c>
      <c r="AK72" s="17" t="s">
        <v>56</v>
      </c>
      <c r="AL72" s="17" t="s">
        <v>56</v>
      </c>
      <c r="AM72" s="17" t="s">
        <v>56</v>
      </c>
      <c r="AN72" s="17" t="s">
        <v>56</v>
      </c>
      <c r="AO72" s="17" t="s">
        <v>56</v>
      </c>
      <c r="AP72" s="17" t="s">
        <v>56</v>
      </c>
      <c r="AQ72" s="17" t="s">
        <v>56</v>
      </c>
      <c r="AR72" s="17" t="s">
        <v>56</v>
      </c>
      <c r="AS72" s="17">
        <v>677.19899999999996</v>
      </c>
      <c r="AT72" s="17">
        <v>82.007599999999996</v>
      </c>
      <c r="AU72" s="17">
        <v>435.83600000000001</v>
      </c>
      <c r="AV72" s="17" t="s">
        <v>56</v>
      </c>
      <c r="AW72" s="17" t="s">
        <v>56</v>
      </c>
      <c r="AX72" s="17" t="s">
        <v>56</v>
      </c>
      <c r="AY72" s="17">
        <v>561.97</v>
      </c>
      <c r="AZ72" s="17">
        <v>68.053600000000003</v>
      </c>
      <c r="BA72" s="17">
        <v>361.67599999999999</v>
      </c>
      <c r="BB72" s="17" t="s">
        <v>56</v>
      </c>
      <c r="BC72" s="17" t="s">
        <v>56</v>
      </c>
      <c r="BD72" s="17" t="s">
        <v>56</v>
      </c>
      <c r="BE72" s="17" t="s">
        <v>56</v>
      </c>
      <c r="BF72" s="17" t="s">
        <v>56</v>
      </c>
      <c r="BG72" s="17" t="s">
        <v>56</v>
      </c>
      <c r="BH72" s="17" t="s">
        <v>56</v>
      </c>
      <c r="BI72" s="17" t="s">
        <v>56</v>
      </c>
      <c r="BJ72" s="17" t="s">
        <v>56</v>
      </c>
      <c r="BK72" s="17" t="s">
        <v>56</v>
      </c>
      <c r="BL72" s="17" t="s">
        <v>56</v>
      </c>
      <c r="BM72" s="17" t="s">
        <v>56</v>
      </c>
      <c r="BN72" s="17" t="s">
        <v>56</v>
      </c>
      <c r="BO72" s="17" t="s">
        <v>56</v>
      </c>
      <c r="BP72" s="17" t="s">
        <v>56</v>
      </c>
      <c r="BQ72" s="17" t="s">
        <v>56</v>
      </c>
      <c r="BR72" s="17" t="s">
        <v>56</v>
      </c>
      <c r="BS72" s="17" t="s">
        <v>56</v>
      </c>
      <c r="BT72" s="17" t="s">
        <v>56</v>
      </c>
      <c r="BU72" s="17" t="s">
        <v>56</v>
      </c>
      <c r="BV72" s="17" t="s">
        <v>56</v>
      </c>
      <c r="BW72" s="17" t="s">
        <v>56</v>
      </c>
      <c r="BX72" s="17" t="s">
        <v>2818</v>
      </c>
      <c r="BY72" s="17" t="s">
        <v>1111</v>
      </c>
      <c r="BZ72" s="17" t="s">
        <v>56</v>
      </c>
      <c r="CA72" s="17" t="s">
        <v>56</v>
      </c>
      <c r="CB72" s="17" t="s">
        <v>1325</v>
      </c>
      <c r="CC72" s="17" t="s">
        <v>1325</v>
      </c>
      <c r="CD72" s="17" t="s">
        <v>1325</v>
      </c>
      <c r="CE72" s="17" t="s">
        <v>1325</v>
      </c>
      <c r="CF72" s="17" t="s">
        <v>1325</v>
      </c>
      <c r="CG72" s="17" t="s">
        <v>1325</v>
      </c>
      <c r="CH72" s="17" t="s">
        <v>1325</v>
      </c>
      <c r="CI72" s="17" t="s">
        <v>1325</v>
      </c>
      <c r="CJ72" s="17" t="s">
        <v>1325</v>
      </c>
      <c r="CK72" s="17" t="s">
        <v>1325</v>
      </c>
      <c r="CL72" s="17" t="s">
        <v>1325</v>
      </c>
      <c r="CM72" s="17" t="s">
        <v>1325</v>
      </c>
      <c r="CN72" s="17" t="s">
        <v>1325</v>
      </c>
      <c r="CO72" s="17" t="s">
        <v>1325</v>
      </c>
      <c r="CP72" s="17" t="s">
        <v>1325</v>
      </c>
      <c r="CQ72" s="17" t="s">
        <v>1325</v>
      </c>
      <c r="CR72" s="17" t="s">
        <v>1325</v>
      </c>
      <c r="CS72" s="17" t="s">
        <v>1325</v>
      </c>
      <c r="CT72" s="17" t="s">
        <v>1325</v>
      </c>
      <c r="CU72" s="17" t="s">
        <v>1325</v>
      </c>
      <c r="CV72" s="17" t="s">
        <v>1325</v>
      </c>
      <c r="CW72" s="17" t="s">
        <v>56</v>
      </c>
      <c r="CX72" s="17" t="s">
        <v>56</v>
      </c>
      <c r="CY72" s="17" t="s">
        <v>56</v>
      </c>
      <c r="CZ72" s="17">
        <v>319397</v>
      </c>
      <c r="DA72" s="17">
        <v>319397</v>
      </c>
      <c r="DB72" s="17">
        <v>319397</v>
      </c>
      <c r="DC72" s="17"/>
      <c r="DD72" s="17"/>
      <c r="DE72" s="17"/>
      <c r="DF72" s="17" t="s">
        <v>3415</v>
      </c>
      <c r="DG72" s="17" t="s">
        <v>3544</v>
      </c>
      <c r="DH72" s="17" t="s">
        <v>3237</v>
      </c>
      <c r="DI72" s="17" t="s">
        <v>3533</v>
      </c>
      <c r="DJ72" s="17" t="s">
        <v>3405</v>
      </c>
      <c r="DK72" s="17" t="s">
        <v>3320</v>
      </c>
      <c r="DL72" s="17" t="s">
        <v>3418</v>
      </c>
      <c r="DM72" s="17">
        <v>7.5000000000000002E-4</v>
      </c>
      <c r="DN72" s="17">
        <v>239.5</v>
      </c>
      <c r="DO72" s="17">
        <v>0.42855763837209299</v>
      </c>
      <c r="DP72" s="17" t="s">
        <v>3308</v>
      </c>
      <c r="DQ72" s="17" t="s">
        <v>2839</v>
      </c>
      <c r="DR72" s="17" t="s">
        <v>56</v>
      </c>
      <c r="DS72" s="17" t="s">
        <v>56</v>
      </c>
      <c r="DT72" s="17" t="s">
        <v>56</v>
      </c>
      <c r="DU72" s="17" t="s">
        <v>56</v>
      </c>
      <c r="DV72" s="17" t="s">
        <v>2862</v>
      </c>
      <c r="DW72" s="17" t="s">
        <v>3309</v>
      </c>
      <c r="DX72" s="17" t="s">
        <v>3310</v>
      </c>
      <c r="DY72" s="17">
        <v>9.7795896448127796E-3</v>
      </c>
      <c r="DZ72" s="17">
        <v>2.7520410355187201E-2</v>
      </c>
      <c r="EA72" s="17" t="s">
        <v>3311</v>
      </c>
      <c r="EB72" s="17">
        <v>4.0201671797007003E-3</v>
      </c>
      <c r="EC72" s="17">
        <v>7.1798328202993004E-3</v>
      </c>
      <c r="ED72" s="17" t="s">
        <v>56</v>
      </c>
      <c r="EE72" s="17" t="s">
        <v>56</v>
      </c>
      <c r="EF72" s="17" t="s">
        <v>56</v>
      </c>
      <c r="EG72" s="17" t="s">
        <v>2862</v>
      </c>
      <c r="EH72" s="17" t="s">
        <v>3309</v>
      </c>
      <c r="EI72" s="17" t="s">
        <v>3312</v>
      </c>
      <c r="EJ72" s="17">
        <v>1.08477E-2</v>
      </c>
      <c r="EK72" s="17">
        <v>5.8252699999999998E-2</v>
      </c>
      <c r="EL72" s="17" t="s">
        <v>3311</v>
      </c>
      <c r="EM72" s="17">
        <v>4.8999999999999998E-3</v>
      </c>
      <c r="EN72" s="17">
        <v>1.01E-2</v>
      </c>
      <c r="EO72" s="17" t="s">
        <v>3312</v>
      </c>
      <c r="EP72" s="17">
        <v>4.3641500000000004</v>
      </c>
      <c r="EQ72" s="17">
        <v>23.435700000000001</v>
      </c>
      <c r="ER72" s="17" t="s">
        <v>3313</v>
      </c>
      <c r="ES72" s="17">
        <v>0.59340000000000004</v>
      </c>
      <c r="ET72" s="17">
        <v>1.2263999999999999</v>
      </c>
      <c r="EU72" s="17" t="s">
        <v>2862</v>
      </c>
      <c r="EV72" s="17" t="s">
        <v>3309</v>
      </c>
      <c r="EW72" s="17" t="s">
        <v>3312</v>
      </c>
      <c r="EX72" s="17">
        <v>4.3641500000000004</v>
      </c>
      <c r="EY72" s="17">
        <v>23.435700000000001</v>
      </c>
      <c r="EZ72" s="17" t="s">
        <v>3311</v>
      </c>
      <c r="FA72" s="17">
        <v>0.59340000000000004</v>
      </c>
      <c r="FB72" s="17">
        <v>1.2263999999999999</v>
      </c>
      <c r="FC72" s="17" t="s">
        <v>56</v>
      </c>
      <c r="FD72" s="17" t="s">
        <v>56</v>
      </c>
      <c r="FE72" s="17" t="s">
        <v>56</v>
      </c>
      <c r="FF72" s="17" t="s">
        <v>56</v>
      </c>
      <c r="FG72" s="17" t="s">
        <v>56</v>
      </c>
      <c r="FH72" s="17" t="s">
        <v>56</v>
      </c>
      <c r="FI72" s="17" t="s">
        <v>56</v>
      </c>
      <c r="FJ72" s="17" t="s">
        <v>56</v>
      </c>
      <c r="FK72" s="17" t="s">
        <v>56</v>
      </c>
      <c r="FL72" s="17" t="s">
        <v>56</v>
      </c>
      <c r="FM72" s="17" t="s">
        <v>56</v>
      </c>
      <c r="FN72" s="17" t="s">
        <v>56</v>
      </c>
      <c r="FO72" s="17" t="s">
        <v>56</v>
      </c>
      <c r="FP72" s="17" t="s">
        <v>56</v>
      </c>
      <c r="FQ72" s="17" t="s">
        <v>56</v>
      </c>
      <c r="FR72" s="17" t="s">
        <v>56</v>
      </c>
      <c r="FS72" s="17" t="s">
        <v>56</v>
      </c>
      <c r="FT72" s="17" t="s">
        <v>56</v>
      </c>
      <c r="FU72" s="17">
        <v>194.51014098744201</v>
      </c>
      <c r="FV72" s="17">
        <v>1044.52901736636</v>
      </c>
      <c r="FW72" s="17" t="s">
        <v>56</v>
      </c>
      <c r="FX72" s="17" t="s">
        <v>56</v>
      </c>
      <c r="FY72" s="17" t="s">
        <v>56</v>
      </c>
      <c r="FZ72" s="17" t="s">
        <v>56</v>
      </c>
      <c r="GA72" s="17" t="s">
        <v>56</v>
      </c>
      <c r="GB72" s="17" t="s">
        <v>56</v>
      </c>
      <c r="GC72" s="17" t="s">
        <v>56</v>
      </c>
      <c r="GD72" s="17" t="s">
        <v>2969</v>
      </c>
      <c r="GE72" s="17" t="s">
        <v>2969</v>
      </c>
      <c r="GF72" s="17" t="s">
        <v>56</v>
      </c>
      <c r="GG72" s="17" t="s">
        <v>2818</v>
      </c>
      <c r="GH72" s="17" t="s">
        <v>2818</v>
      </c>
      <c r="GI72" s="17" t="s">
        <v>1111</v>
      </c>
      <c r="GJ72" s="17" t="s">
        <v>1111</v>
      </c>
      <c r="GK72" s="17" t="s">
        <v>1111</v>
      </c>
      <c r="GL72" s="17"/>
    </row>
    <row r="73" spans="2:194" x14ac:dyDescent="0.25">
      <c r="B73" s="17" t="s">
        <v>2840</v>
      </c>
      <c r="C73" s="17" t="s">
        <v>70</v>
      </c>
      <c r="D73" s="17" t="s">
        <v>3411</v>
      </c>
      <c r="E73" s="17" t="s">
        <v>3412</v>
      </c>
      <c r="F73" s="17" t="s">
        <v>3237</v>
      </c>
      <c r="G73" s="17" t="s">
        <v>3413</v>
      </c>
      <c r="H73" s="17"/>
      <c r="I73" s="17" t="s">
        <v>2797</v>
      </c>
      <c r="J73" s="17" t="s">
        <v>3403</v>
      </c>
      <c r="K73" s="17" t="s">
        <v>2653</v>
      </c>
      <c r="L73" s="17" t="s">
        <v>2800</v>
      </c>
      <c r="M73" s="17" t="s">
        <v>3414</v>
      </c>
      <c r="N73" s="17" t="s">
        <v>1325</v>
      </c>
      <c r="O73" s="17" t="s">
        <v>2813</v>
      </c>
      <c r="P73" s="17" t="s">
        <v>2814</v>
      </c>
      <c r="Q73" s="17" t="s">
        <v>3616</v>
      </c>
      <c r="R73" s="17">
        <v>17897433.710000001</v>
      </c>
      <c r="S73" s="17">
        <v>4974456.4000000004</v>
      </c>
      <c r="T73" s="17">
        <v>18587154.18</v>
      </c>
      <c r="U73" s="17" t="s">
        <v>2817</v>
      </c>
      <c r="V73" s="17" t="s">
        <v>939</v>
      </c>
      <c r="W73" s="17" t="s">
        <v>2816</v>
      </c>
      <c r="X73" s="17" t="s">
        <v>3403</v>
      </c>
      <c r="Y73" s="17" t="s">
        <v>56</v>
      </c>
      <c r="Z73" s="17" t="s">
        <v>3616</v>
      </c>
      <c r="AA73" s="17" t="s">
        <v>2801</v>
      </c>
      <c r="AB73" s="17">
        <v>2.1629</v>
      </c>
      <c r="AC73" s="17" t="s">
        <v>3616</v>
      </c>
      <c r="AD73" s="17" t="s">
        <v>2804</v>
      </c>
      <c r="AE73" s="17">
        <v>319397</v>
      </c>
      <c r="AF73" s="17" t="s">
        <v>2839</v>
      </c>
      <c r="AG73" s="17" t="s">
        <v>3617</v>
      </c>
      <c r="AH73" s="17" t="s">
        <v>2806</v>
      </c>
      <c r="AI73" s="17"/>
      <c r="AJ73" s="17" t="s">
        <v>56</v>
      </c>
      <c r="AK73" s="17" t="s">
        <v>56</v>
      </c>
      <c r="AL73" s="17" t="s">
        <v>56</v>
      </c>
      <c r="AM73" s="17" t="s">
        <v>56</v>
      </c>
      <c r="AN73" s="17" t="s">
        <v>56</v>
      </c>
      <c r="AO73" s="17" t="s">
        <v>56</v>
      </c>
      <c r="AP73" s="17" t="s">
        <v>56</v>
      </c>
      <c r="AQ73" s="17" t="s">
        <v>56</v>
      </c>
      <c r="AR73" s="17" t="s">
        <v>56</v>
      </c>
      <c r="AS73" s="17">
        <v>677.19899999999996</v>
      </c>
      <c r="AT73" s="17">
        <v>82.007599999999996</v>
      </c>
      <c r="AU73" s="17">
        <v>435.83600000000001</v>
      </c>
      <c r="AV73" s="17" t="s">
        <v>56</v>
      </c>
      <c r="AW73" s="17" t="s">
        <v>56</v>
      </c>
      <c r="AX73" s="17" t="s">
        <v>56</v>
      </c>
      <c r="AY73" s="17">
        <v>561.97</v>
      </c>
      <c r="AZ73" s="17">
        <v>68.053600000000003</v>
      </c>
      <c r="BA73" s="17">
        <v>361.67599999999999</v>
      </c>
      <c r="BB73" s="17" t="s">
        <v>56</v>
      </c>
      <c r="BC73" s="17" t="s">
        <v>56</v>
      </c>
      <c r="BD73" s="17" t="s">
        <v>56</v>
      </c>
      <c r="BE73" s="17" t="s">
        <v>56</v>
      </c>
      <c r="BF73" s="17" t="s">
        <v>56</v>
      </c>
      <c r="BG73" s="17" t="s">
        <v>56</v>
      </c>
      <c r="BH73" s="17" t="s">
        <v>56</v>
      </c>
      <c r="BI73" s="17" t="s">
        <v>56</v>
      </c>
      <c r="BJ73" s="17" t="s">
        <v>56</v>
      </c>
      <c r="BK73" s="17" t="s">
        <v>56</v>
      </c>
      <c r="BL73" s="17" t="s">
        <v>56</v>
      </c>
      <c r="BM73" s="17" t="s">
        <v>56</v>
      </c>
      <c r="BN73" s="17" t="s">
        <v>56</v>
      </c>
      <c r="BO73" s="17" t="s">
        <v>56</v>
      </c>
      <c r="BP73" s="17" t="s">
        <v>56</v>
      </c>
      <c r="BQ73" s="17" t="s">
        <v>56</v>
      </c>
      <c r="BR73" s="17" t="s">
        <v>56</v>
      </c>
      <c r="BS73" s="17" t="s">
        <v>56</v>
      </c>
      <c r="BT73" s="17" t="s">
        <v>56</v>
      </c>
      <c r="BU73" s="17" t="s">
        <v>56</v>
      </c>
      <c r="BV73" s="17" t="s">
        <v>56</v>
      </c>
      <c r="BW73" s="17" t="s">
        <v>56</v>
      </c>
      <c r="BX73" s="17" t="s">
        <v>2818</v>
      </c>
      <c r="BY73" s="17" t="s">
        <v>1111</v>
      </c>
      <c r="BZ73" s="17" t="s">
        <v>56</v>
      </c>
      <c r="CA73" s="17" t="s">
        <v>56</v>
      </c>
      <c r="CB73" s="17" t="s">
        <v>1325</v>
      </c>
      <c r="CC73" s="17" t="s">
        <v>1325</v>
      </c>
      <c r="CD73" s="17" t="s">
        <v>1325</v>
      </c>
      <c r="CE73" s="17" t="s">
        <v>1325</v>
      </c>
      <c r="CF73" s="17" t="s">
        <v>1325</v>
      </c>
      <c r="CG73" s="17" t="s">
        <v>1325</v>
      </c>
      <c r="CH73" s="17" t="s">
        <v>1325</v>
      </c>
      <c r="CI73" s="17" t="s">
        <v>1325</v>
      </c>
      <c r="CJ73" s="17" t="s">
        <v>1325</v>
      </c>
      <c r="CK73" s="17" t="s">
        <v>1325</v>
      </c>
      <c r="CL73" s="17" t="s">
        <v>1325</v>
      </c>
      <c r="CM73" s="17" t="s">
        <v>1325</v>
      </c>
      <c r="CN73" s="17" t="s">
        <v>1325</v>
      </c>
      <c r="CO73" s="17" t="s">
        <v>1325</v>
      </c>
      <c r="CP73" s="17" t="s">
        <v>1325</v>
      </c>
      <c r="CQ73" s="17" t="s">
        <v>1325</v>
      </c>
      <c r="CR73" s="17" t="s">
        <v>1325</v>
      </c>
      <c r="CS73" s="17" t="s">
        <v>1325</v>
      </c>
      <c r="CT73" s="17" t="s">
        <v>1325</v>
      </c>
      <c r="CU73" s="17" t="s">
        <v>1325</v>
      </c>
      <c r="CV73" s="17" t="s">
        <v>1325</v>
      </c>
      <c r="CW73" s="17" t="s">
        <v>56</v>
      </c>
      <c r="CX73" s="17" t="s">
        <v>56</v>
      </c>
      <c r="CY73" s="17" t="s">
        <v>56</v>
      </c>
      <c r="CZ73" s="17">
        <v>319397</v>
      </c>
      <c r="DA73" s="17">
        <v>319397</v>
      </c>
      <c r="DB73" s="17">
        <v>319397</v>
      </c>
      <c r="DC73" s="17"/>
      <c r="DD73" s="17"/>
      <c r="DE73" s="17"/>
      <c r="DF73" s="17" t="s">
        <v>3415</v>
      </c>
      <c r="DG73" s="17" t="s">
        <v>3545</v>
      </c>
      <c r="DH73" s="17" t="s">
        <v>3237</v>
      </c>
      <c r="DI73" s="17" t="s">
        <v>3546</v>
      </c>
      <c r="DJ73" s="17" t="s">
        <v>3406</v>
      </c>
      <c r="DK73" s="17" t="s">
        <v>3320</v>
      </c>
      <c r="DL73" s="17" t="s">
        <v>3418</v>
      </c>
      <c r="DM73" s="17">
        <v>2.9650000000000002E-3</v>
      </c>
      <c r="DN73" s="17">
        <v>947</v>
      </c>
      <c r="DO73" s="17">
        <v>0.61461019600259503</v>
      </c>
      <c r="DP73" s="17" t="s">
        <v>3308</v>
      </c>
      <c r="DQ73" s="17" t="s">
        <v>2839</v>
      </c>
      <c r="DR73" s="17" t="s">
        <v>56</v>
      </c>
      <c r="DS73" s="17" t="s">
        <v>56</v>
      </c>
      <c r="DT73" s="17" t="s">
        <v>56</v>
      </c>
      <c r="DU73" s="17" t="s">
        <v>56</v>
      </c>
      <c r="DV73" s="17" t="s">
        <v>2862</v>
      </c>
      <c r="DW73" s="17" t="s">
        <v>3309</v>
      </c>
      <c r="DX73" s="17" t="s">
        <v>3310</v>
      </c>
      <c r="DY73" s="17">
        <v>3.4870922862201099E-3</v>
      </c>
      <c r="DZ73" s="17">
        <v>9.8129077137798903E-3</v>
      </c>
      <c r="EA73" s="17" t="s">
        <v>3311</v>
      </c>
      <c r="EB73" s="17">
        <v>1.4357739927502501E-3</v>
      </c>
      <c r="EC73" s="17">
        <v>2.56422600724975E-3</v>
      </c>
      <c r="ED73" s="17" t="s">
        <v>56</v>
      </c>
      <c r="EE73" s="17" t="s">
        <v>56</v>
      </c>
      <c r="EF73" s="17" t="s">
        <v>56</v>
      </c>
      <c r="EG73" s="17" t="s">
        <v>2862</v>
      </c>
      <c r="EH73" s="17" t="s">
        <v>3309</v>
      </c>
      <c r="EI73" s="17" t="s">
        <v>3312</v>
      </c>
      <c r="EJ73" s="17">
        <v>1.08477E-2</v>
      </c>
      <c r="EK73" s="17">
        <v>5.8252699999999998E-2</v>
      </c>
      <c r="EL73" s="17" t="s">
        <v>3311</v>
      </c>
      <c r="EM73" s="17">
        <v>4.8999999999999998E-3</v>
      </c>
      <c r="EN73" s="17">
        <v>1.01E-2</v>
      </c>
      <c r="EO73" s="17" t="s">
        <v>3312</v>
      </c>
      <c r="EP73" s="17">
        <v>4.3641500000000004</v>
      </c>
      <c r="EQ73" s="17">
        <v>23.435700000000001</v>
      </c>
      <c r="ER73" s="17" t="s">
        <v>3313</v>
      </c>
      <c r="ES73" s="17">
        <v>0.59340000000000004</v>
      </c>
      <c r="ET73" s="17">
        <v>1.2263999999999999</v>
      </c>
      <c r="EU73" s="17" t="s">
        <v>2862</v>
      </c>
      <c r="EV73" s="17" t="s">
        <v>3309</v>
      </c>
      <c r="EW73" s="17" t="s">
        <v>3312</v>
      </c>
      <c r="EX73" s="17">
        <v>4.3641500000000004</v>
      </c>
      <c r="EY73" s="17">
        <v>23.435700000000001</v>
      </c>
      <c r="EZ73" s="17" t="s">
        <v>3311</v>
      </c>
      <c r="FA73" s="17">
        <v>0.59340000000000004</v>
      </c>
      <c r="FB73" s="17">
        <v>1.2263999999999999</v>
      </c>
      <c r="FC73" s="17" t="s">
        <v>56</v>
      </c>
      <c r="FD73" s="17" t="s">
        <v>56</v>
      </c>
      <c r="FE73" s="17" t="s">
        <v>56</v>
      </c>
      <c r="FF73" s="17" t="s">
        <v>56</v>
      </c>
      <c r="FG73" s="17" t="s">
        <v>56</v>
      </c>
      <c r="FH73" s="17" t="s">
        <v>56</v>
      </c>
      <c r="FI73" s="17" t="s">
        <v>56</v>
      </c>
      <c r="FJ73" s="17" t="s">
        <v>56</v>
      </c>
      <c r="FK73" s="17" t="s">
        <v>56</v>
      </c>
      <c r="FL73" s="17" t="s">
        <v>56</v>
      </c>
      <c r="FM73" s="17" t="s">
        <v>56</v>
      </c>
      <c r="FN73" s="17" t="s">
        <v>56</v>
      </c>
      <c r="FO73" s="17" t="s">
        <v>56</v>
      </c>
      <c r="FP73" s="17" t="s">
        <v>56</v>
      </c>
      <c r="FQ73" s="17" t="s">
        <v>56</v>
      </c>
      <c r="FR73" s="17" t="s">
        <v>56</v>
      </c>
      <c r="FS73" s="17" t="s">
        <v>56</v>
      </c>
      <c r="FT73" s="17" t="s">
        <v>56</v>
      </c>
      <c r="FU73" s="17">
        <v>278.95411303483297</v>
      </c>
      <c r="FV73" s="17">
        <v>1497.9972977212999</v>
      </c>
      <c r="FW73" s="17" t="s">
        <v>56</v>
      </c>
      <c r="FX73" s="17" t="s">
        <v>56</v>
      </c>
      <c r="FY73" s="17" t="s">
        <v>56</v>
      </c>
      <c r="FZ73" s="17" t="s">
        <v>56</v>
      </c>
      <c r="GA73" s="17" t="s">
        <v>56</v>
      </c>
      <c r="GB73" s="17" t="s">
        <v>56</v>
      </c>
      <c r="GC73" s="17" t="s">
        <v>56</v>
      </c>
      <c r="GD73" s="17" t="s">
        <v>2969</v>
      </c>
      <c r="GE73" s="17" t="s">
        <v>2969</v>
      </c>
      <c r="GF73" s="17" t="s">
        <v>56</v>
      </c>
      <c r="GG73" s="17" t="s">
        <v>2818</v>
      </c>
      <c r="GH73" s="17" t="s">
        <v>2818</v>
      </c>
      <c r="GI73" s="17" t="s">
        <v>1111</v>
      </c>
      <c r="GJ73" s="17" t="s">
        <v>1111</v>
      </c>
      <c r="GK73" s="17" t="s">
        <v>1111</v>
      </c>
      <c r="GL73" s="17"/>
    </row>
    <row r="74" spans="2:194" x14ac:dyDescent="0.25">
      <c r="B74" s="17" t="s">
        <v>2840</v>
      </c>
      <c r="C74" s="17" t="s">
        <v>70</v>
      </c>
      <c r="D74" s="17" t="s">
        <v>3411</v>
      </c>
      <c r="E74" s="17" t="s">
        <v>3412</v>
      </c>
      <c r="F74" s="17" t="s">
        <v>3237</v>
      </c>
      <c r="G74" s="17" t="s">
        <v>3413</v>
      </c>
      <c r="H74" s="17"/>
      <c r="I74" s="17" t="s">
        <v>2797</v>
      </c>
      <c r="J74" s="17" t="s">
        <v>3403</v>
      </c>
      <c r="K74" s="17" t="s">
        <v>2653</v>
      </c>
      <c r="L74" s="17" t="s">
        <v>2800</v>
      </c>
      <c r="M74" s="17" t="s">
        <v>3414</v>
      </c>
      <c r="N74" s="17" t="s">
        <v>1325</v>
      </c>
      <c r="O74" s="17" t="s">
        <v>2813</v>
      </c>
      <c r="P74" s="17" t="s">
        <v>2814</v>
      </c>
      <c r="Q74" s="17" t="s">
        <v>3616</v>
      </c>
      <c r="R74" s="17">
        <v>17897433.710000001</v>
      </c>
      <c r="S74" s="17">
        <v>4974456.4000000004</v>
      </c>
      <c r="T74" s="17">
        <v>18587154.18</v>
      </c>
      <c r="U74" s="17" t="s">
        <v>2817</v>
      </c>
      <c r="V74" s="17" t="s">
        <v>939</v>
      </c>
      <c r="W74" s="17" t="s">
        <v>2816</v>
      </c>
      <c r="X74" s="17" t="s">
        <v>3403</v>
      </c>
      <c r="Y74" s="17" t="s">
        <v>56</v>
      </c>
      <c r="Z74" s="17" t="s">
        <v>3616</v>
      </c>
      <c r="AA74" s="17" t="s">
        <v>2801</v>
      </c>
      <c r="AB74" s="17">
        <v>2.1629</v>
      </c>
      <c r="AC74" s="17" t="s">
        <v>3616</v>
      </c>
      <c r="AD74" s="17" t="s">
        <v>2804</v>
      </c>
      <c r="AE74" s="17">
        <v>319397</v>
      </c>
      <c r="AF74" s="17" t="s">
        <v>2839</v>
      </c>
      <c r="AG74" s="17" t="s">
        <v>3617</v>
      </c>
      <c r="AH74" s="17" t="s">
        <v>2806</v>
      </c>
      <c r="AI74" s="17"/>
      <c r="AJ74" s="17" t="s">
        <v>56</v>
      </c>
      <c r="AK74" s="17" t="s">
        <v>56</v>
      </c>
      <c r="AL74" s="17" t="s">
        <v>56</v>
      </c>
      <c r="AM74" s="17" t="s">
        <v>56</v>
      </c>
      <c r="AN74" s="17" t="s">
        <v>56</v>
      </c>
      <c r="AO74" s="17" t="s">
        <v>56</v>
      </c>
      <c r="AP74" s="17" t="s">
        <v>56</v>
      </c>
      <c r="AQ74" s="17" t="s">
        <v>56</v>
      </c>
      <c r="AR74" s="17" t="s">
        <v>56</v>
      </c>
      <c r="AS74" s="17">
        <v>677.19899999999996</v>
      </c>
      <c r="AT74" s="17">
        <v>82.007599999999996</v>
      </c>
      <c r="AU74" s="17">
        <v>435.83600000000001</v>
      </c>
      <c r="AV74" s="17" t="s">
        <v>56</v>
      </c>
      <c r="AW74" s="17" t="s">
        <v>56</v>
      </c>
      <c r="AX74" s="17" t="s">
        <v>56</v>
      </c>
      <c r="AY74" s="17">
        <v>561.97</v>
      </c>
      <c r="AZ74" s="17">
        <v>68.053600000000003</v>
      </c>
      <c r="BA74" s="17">
        <v>361.67599999999999</v>
      </c>
      <c r="BB74" s="17" t="s">
        <v>56</v>
      </c>
      <c r="BC74" s="17" t="s">
        <v>56</v>
      </c>
      <c r="BD74" s="17" t="s">
        <v>56</v>
      </c>
      <c r="BE74" s="17" t="s">
        <v>56</v>
      </c>
      <c r="BF74" s="17" t="s">
        <v>56</v>
      </c>
      <c r="BG74" s="17" t="s">
        <v>56</v>
      </c>
      <c r="BH74" s="17" t="s">
        <v>56</v>
      </c>
      <c r="BI74" s="17" t="s">
        <v>56</v>
      </c>
      <c r="BJ74" s="17" t="s">
        <v>56</v>
      </c>
      <c r="BK74" s="17" t="s">
        <v>56</v>
      </c>
      <c r="BL74" s="17" t="s">
        <v>56</v>
      </c>
      <c r="BM74" s="17" t="s">
        <v>56</v>
      </c>
      <c r="BN74" s="17" t="s">
        <v>56</v>
      </c>
      <c r="BO74" s="17" t="s">
        <v>56</v>
      </c>
      <c r="BP74" s="17" t="s">
        <v>56</v>
      </c>
      <c r="BQ74" s="17" t="s">
        <v>56</v>
      </c>
      <c r="BR74" s="17" t="s">
        <v>56</v>
      </c>
      <c r="BS74" s="17" t="s">
        <v>56</v>
      </c>
      <c r="BT74" s="17" t="s">
        <v>56</v>
      </c>
      <c r="BU74" s="17" t="s">
        <v>56</v>
      </c>
      <c r="BV74" s="17" t="s">
        <v>56</v>
      </c>
      <c r="BW74" s="17" t="s">
        <v>56</v>
      </c>
      <c r="BX74" s="17" t="s">
        <v>2818</v>
      </c>
      <c r="BY74" s="17" t="s">
        <v>1111</v>
      </c>
      <c r="BZ74" s="17" t="s">
        <v>56</v>
      </c>
      <c r="CA74" s="17" t="s">
        <v>56</v>
      </c>
      <c r="CB74" s="17" t="s">
        <v>1325</v>
      </c>
      <c r="CC74" s="17" t="s">
        <v>1325</v>
      </c>
      <c r="CD74" s="17" t="s">
        <v>1325</v>
      </c>
      <c r="CE74" s="17" t="s">
        <v>1325</v>
      </c>
      <c r="CF74" s="17" t="s">
        <v>1325</v>
      </c>
      <c r="CG74" s="17" t="s">
        <v>1325</v>
      </c>
      <c r="CH74" s="17" t="s">
        <v>1325</v>
      </c>
      <c r="CI74" s="17" t="s">
        <v>1325</v>
      </c>
      <c r="CJ74" s="17" t="s">
        <v>1325</v>
      </c>
      <c r="CK74" s="17" t="s">
        <v>1325</v>
      </c>
      <c r="CL74" s="17" t="s">
        <v>1325</v>
      </c>
      <c r="CM74" s="17" t="s">
        <v>1325</v>
      </c>
      <c r="CN74" s="17" t="s">
        <v>1325</v>
      </c>
      <c r="CO74" s="17" t="s">
        <v>1325</v>
      </c>
      <c r="CP74" s="17" t="s">
        <v>1325</v>
      </c>
      <c r="CQ74" s="17" t="s">
        <v>1325</v>
      </c>
      <c r="CR74" s="17" t="s">
        <v>1325</v>
      </c>
      <c r="CS74" s="17" t="s">
        <v>1325</v>
      </c>
      <c r="CT74" s="17" t="s">
        <v>1325</v>
      </c>
      <c r="CU74" s="17" t="s">
        <v>1325</v>
      </c>
      <c r="CV74" s="17" t="s">
        <v>1325</v>
      </c>
      <c r="CW74" s="17" t="s">
        <v>56</v>
      </c>
      <c r="CX74" s="17" t="s">
        <v>56</v>
      </c>
      <c r="CY74" s="17" t="s">
        <v>56</v>
      </c>
      <c r="CZ74" s="17">
        <v>319397</v>
      </c>
      <c r="DA74" s="17">
        <v>319397</v>
      </c>
      <c r="DB74" s="17">
        <v>319397</v>
      </c>
      <c r="DC74" s="17"/>
      <c r="DD74" s="17"/>
      <c r="DE74" s="17"/>
      <c r="DF74" s="17" t="s">
        <v>3415</v>
      </c>
      <c r="DG74" s="17" t="s">
        <v>3547</v>
      </c>
      <c r="DH74" s="17" t="s">
        <v>3237</v>
      </c>
      <c r="DI74" s="17" t="s">
        <v>3548</v>
      </c>
      <c r="DJ74" s="17" t="s">
        <v>3405</v>
      </c>
      <c r="DK74" s="17" t="s">
        <v>3320</v>
      </c>
      <c r="DL74" s="17" t="s">
        <v>3418</v>
      </c>
      <c r="DM74" s="17">
        <v>1.619E-3</v>
      </c>
      <c r="DN74" s="17">
        <v>517.1</v>
      </c>
      <c r="DO74" s="17">
        <v>0.42855826797017299</v>
      </c>
      <c r="DP74" s="17" t="s">
        <v>3308</v>
      </c>
      <c r="DQ74" s="17" t="s">
        <v>2839</v>
      </c>
      <c r="DR74" s="17" t="s">
        <v>56</v>
      </c>
      <c r="DS74" s="17" t="s">
        <v>56</v>
      </c>
      <c r="DT74" s="17" t="s">
        <v>56</v>
      </c>
      <c r="DU74" s="17" t="s">
        <v>56</v>
      </c>
      <c r="DV74" s="17" t="s">
        <v>2862</v>
      </c>
      <c r="DW74" s="17" t="s">
        <v>3309</v>
      </c>
      <c r="DX74" s="17" t="s">
        <v>3310</v>
      </c>
      <c r="DY74" s="17">
        <v>9.7795896448127796E-3</v>
      </c>
      <c r="DZ74" s="17">
        <v>2.7520410355187201E-2</v>
      </c>
      <c r="EA74" s="17" t="s">
        <v>3311</v>
      </c>
      <c r="EB74" s="17">
        <v>4.0201671797007003E-3</v>
      </c>
      <c r="EC74" s="17">
        <v>7.1798328202993004E-3</v>
      </c>
      <c r="ED74" s="17" t="s">
        <v>56</v>
      </c>
      <c r="EE74" s="17" t="s">
        <v>56</v>
      </c>
      <c r="EF74" s="17" t="s">
        <v>56</v>
      </c>
      <c r="EG74" s="17" t="s">
        <v>2862</v>
      </c>
      <c r="EH74" s="17" t="s">
        <v>3309</v>
      </c>
      <c r="EI74" s="17" t="s">
        <v>3312</v>
      </c>
      <c r="EJ74" s="17">
        <v>1.08477E-2</v>
      </c>
      <c r="EK74" s="17">
        <v>5.8252699999999998E-2</v>
      </c>
      <c r="EL74" s="17" t="s">
        <v>3311</v>
      </c>
      <c r="EM74" s="17">
        <v>4.8999999999999998E-3</v>
      </c>
      <c r="EN74" s="17">
        <v>1.01E-2</v>
      </c>
      <c r="EO74" s="17" t="s">
        <v>3312</v>
      </c>
      <c r="EP74" s="17">
        <v>4.3641500000000004</v>
      </c>
      <c r="EQ74" s="17">
        <v>23.435700000000001</v>
      </c>
      <c r="ER74" s="17" t="s">
        <v>3313</v>
      </c>
      <c r="ES74" s="17">
        <v>0.59340000000000004</v>
      </c>
      <c r="ET74" s="17">
        <v>1.2263999999999999</v>
      </c>
      <c r="EU74" s="17" t="s">
        <v>2862</v>
      </c>
      <c r="EV74" s="17" t="s">
        <v>3309</v>
      </c>
      <c r="EW74" s="17" t="s">
        <v>3312</v>
      </c>
      <c r="EX74" s="17">
        <v>4.3641500000000004</v>
      </c>
      <c r="EY74" s="17">
        <v>23.435700000000001</v>
      </c>
      <c r="EZ74" s="17" t="s">
        <v>3311</v>
      </c>
      <c r="FA74" s="17">
        <v>0.59340000000000004</v>
      </c>
      <c r="FB74" s="17">
        <v>1.2263999999999999</v>
      </c>
      <c r="FC74" s="17" t="s">
        <v>56</v>
      </c>
      <c r="FD74" s="17" t="s">
        <v>56</v>
      </c>
      <c r="FE74" s="17" t="s">
        <v>56</v>
      </c>
      <c r="FF74" s="17" t="s">
        <v>56</v>
      </c>
      <c r="FG74" s="17" t="s">
        <v>56</v>
      </c>
      <c r="FH74" s="17" t="s">
        <v>56</v>
      </c>
      <c r="FI74" s="17" t="s">
        <v>56</v>
      </c>
      <c r="FJ74" s="17" t="s">
        <v>56</v>
      </c>
      <c r="FK74" s="17" t="s">
        <v>56</v>
      </c>
      <c r="FL74" s="17" t="s">
        <v>56</v>
      </c>
      <c r="FM74" s="17" t="s">
        <v>56</v>
      </c>
      <c r="FN74" s="17" t="s">
        <v>56</v>
      </c>
      <c r="FO74" s="17" t="s">
        <v>56</v>
      </c>
      <c r="FP74" s="17" t="s">
        <v>56</v>
      </c>
      <c r="FQ74" s="17" t="s">
        <v>56</v>
      </c>
      <c r="FR74" s="17" t="s">
        <v>56</v>
      </c>
      <c r="FS74" s="17" t="s">
        <v>56</v>
      </c>
      <c r="FT74" s="17" t="s">
        <v>56</v>
      </c>
      <c r="FU74" s="17">
        <v>194.51042674500101</v>
      </c>
      <c r="FV74" s="17">
        <v>1044.5305518984901</v>
      </c>
      <c r="FW74" s="17" t="s">
        <v>56</v>
      </c>
      <c r="FX74" s="17" t="s">
        <v>56</v>
      </c>
      <c r="FY74" s="17" t="s">
        <v>56</v>
      </c>
      <c r="FZ74" s="17" t="s">
        <v>56</v>
      </c>
      <c r="GA74" s="17" t="s">
        <v>56</v>
      </c>
      <c r="GB74" s="17" t="s">
        <v>56</v>
      </c>
      <c r="GC74" s="17" t="s">
        <v>56</v>
      </c>
      <c r="GD74" s="17" t="s">
        <v>2969</v>
      </c>
      <c r="GE74" s="17" t="s">
        <v>2969</v>
      </c>
      <c r="GF74" s="17" t="s">
        <v>56</v>
      </c>
      <c r="GG74" s="17" t="s">
        <v>2818</v>
      </c>
      <c r="GH74" s="17" t="s">
        <v>2818</v>
      </c>
      <c r="GI74" s="17" t="s">
        <v>1111</v>
      </c>
      <c r="GJ74" s="17" t="s">
        <v>1111</v>
      </c>
      <c r="GK74" s="17" t="s">
        <v>1111</v>
      </c>
      <c r="GL74" s="17"/>
    </row>
    <row r="75" spans="2:194" x14ac:dyDescent="0.25">
      <c r="B75" s="17" t="s">
        <v>2840</v>
      </c>
      <c r="C75" s="17" t="s">
        <v>70</v>
      </c>
      <c r="D75" s="17" t="s">
        <v>3411</v>
      </c>
      <c r="E75" s="17" t="s">
        <v>3412</v>
      </c>
      <c r="F75" s="17" t="s">
        <v>3237</v>
      </c>
      <c r="G75" s="17" t="s">
        <v>3413</v>
      </c>
      <c r="H75" s="17"/>
      <c r="I75" s="17" t="s">
        <v>2797</v>
      </c>
      <c r="J75" s="17" t="s">
        <v>3403</v>
      </c>
      <c r="K75" s="17" t="s">
        <v>2653</v>
      </c>
      <c r="L75" s="17" t="s">
        <v>2800</v>
      </c>
      <c r="M75" s="17" t="s">
        <v>3414</v>
      </c>
      <c r="N75" s="17" t="s">
        <v>1325</v>
      </c>
      <c r="O75" s="17" t="s">
        <v>2813</v>
      </c>
      <c r="P75" s="17" t="s">
        <v>2814</v>
      </c>
      <c r="Q75" s="17" t="s">
        <v>3616</v>
      </c>
      <c r="R75" s="17">
        <v>17897433.710000001</v>
      </c>
      <c r="S75" s="17">
        <v>4974456.4000000004</v>
      </c>
      <c r="T75" s="17">
        <v>18587154.18</v>
      </c>
      <c r="U75" s="17" t="s">
        <v>2817</v>
      </c>
      <c r="V75" s="17" t="s">
        <v>939</v>
      </c>
      <c r="W75" s="17" t="s">
        <v>2816</v>
      </c>
      <c r="X75" s="17" t="s">
        <v>3403</v>
      </c>
      <c r="Y75" s="17" t="s">
        <v>56</v>
      </c>
      <c r="Z75" s="17" t="s">
        <v>3616</v>
      </c>
      <c r="AA75" s="17" t="s">
        <v>2801</v>
      </c>
      <c r="AB75" s="17">
        <v>2.1629</v>
      </c>
      <c r="AC75" s="17" t="s">
        <v>3616</v>
      </c>
      <c r="AD75" s="17" t="s">
        <v>2804</v>
      </c>
      <c r="AE75" s="17">
        <v>319397</v>
      </c>
      <c r="AF75" s="17" t="s">
        <v>2839</v>
      </c>
      <c r="AG75" s="17" t="s">
        <v>3617</v>
      </c>
      <c r="AH75" s="17" t="s">
        <v>2806</v>
      </c>
      <c r="AI75" s="17"/>
      <c r="AJ75" s="17" t="s">
        <v>56</v>
      </c>
      <c r="AK75" s="17" t="s">
        <v>56</v>
      </c>
      <c r="AL75" s="17" t="s">
        <v>56</v>
      </c>
      <c r="AM75" s="17" t="s">
        <v>56</v>
      </c>
      <c r="AN75" s="17" t="s">
        <v>56</v>
      </c>
      <c r="AO75" s="17" t="s">
        <v>56</v>
      </c>
      <c r="AP75" s="17" t="s">
        <v>56</v>
      </c>
      <c r="AQ75" s="17" t="s">
        <v>56</v>
      </c>
      <c r="AR75" s="17" t="s">
        <v>56</v>
      </c>
      <c r="AS75" s="17">
        <v>677.19899999999996</v>
      </c>
      <c r="AT75" s="17">
        <v>82.007599999999996</v>
      </c>
      <c r="AU75" s="17">
        <v>435.83600000000001</v>
      </c>
      <c r="AV75" s="17" t="s">
        <v>56</v>
      </c>
      <c r="AW75" s="17" t="s">
        <v>56</v>
      </c>
      <c r="AX75" s="17" t="s">
        <v>56</v>
      </c>
      <c r="AY75" s="17">
        <v>561.97</v>
      </c>
      <c r="AZ75" s="17">
        <v>68.053600000000003</v>
      </c>
      <c r="BA75" s="17">
        <v>361.67599999999999</v>
      </c>
      <c r="BB75" s="17" t="s">
        <v>56</v>
      </c>
      <c r="BC75" s="17" t="s">
        <v>56</v>
      </c>
      <c r="BD75" s="17" t="s">
        <v>56</v>
      </c>
      <c r="BE75" s="17" t="s">
        <v>56</v>
      </c>
      <c r="BF75" s="17" t="s">
        <v>56</v>
      </c>
      <c r="BG75" s="17" t="s">
        <v>56</v>
      </c>
      <c r="BH75" s="17" t="s">
        <v>56</v>
      </c>
      <c r="BI75" s="17" t="s">
        <v>56</v>
      </c>
      <c r="BJ75" s="17" t="s">
        <v>56</v>
      </c>
      <c r="BK75" s="17" t="s">
        <v>56</v>
      </c>
      <c r="BL75" s="17" t="s">
        <v>56</v>
      </c>
      <c r="BM75" s="17" t="s">
        <v>56</v>
      </c>
      <c r="BN75" s="17" t="s">
        <v>56</v>
      </c>
      <c r="BO75" s="17" t="s">
        <v>56</v>
      </c>
      <c r="BP75" s="17" t="s">
        <v>56</v>
      </c>
      <c r="BQ75" s="17" t="s">
        <v>56</v>
      </c>
      <c r="BR75" s="17" t="s">
        <v>56</v>
      </c>
      <c r="BS75" s="17" t="s">
        <v>56</v>
      </c>
      <c r="BT75" s="17" t="s">
        <v>56</v>
      </c>
      <c r="BU75" s="17" t="s">
        <v>56</v>
      </c>
      <c r="BV75" s="17" t="s">
        <v>56</v>
      </c>
      <c r="BW75" s="17" t="s">
        <v>56</v>
      </c>
      <c r="BX75" s="17" t="s">
        <v>2818</v>
      </c>
      <c r="BY75" s="17" t="s">
        <v>1111</v>
      </c>
      <c r="BZ75" s="17" t="s">
        <v>56</v>
      </c>
      <c r="CA75" s="17" t="s">
        <v>56</v>
      </c>
      <c r="CB75" s="17" t="s">
        <v>1325</v>
      </c>
      <c r="CC75" s="17" t="s">
        <v>1325</v>
      </c>
      <c r="CD75" s="17" t="s">
        <v>1325</v>
      </c>
      <c r="CE75" s="17" t="s">
        <v>1325</v>
      </c>
      <c r="CF75" s="17" t="s">
        <v>1325</v>
      </c>
      <c r="CG75" s="17" t="s">
        <v>1325</v>
      </c>
      <c r="CH75" s="17" t="s">
        <v>1325</v>
      </c>
      <c r="CI75" s="17" t="s">
        <v>1325</v>
      </c>
      <c r="CJ75" s="17" t="s">
        <v>1325</v>
      </c>
      <c r="CK75" s="17" t="s">
        <v>1325</v>
      </c>
      <c r="CL75" s="17" t="s">
        <v>1325</v>
      </c>
      <c r="CM75" s="17" t="s">
        <v>1325</v>
      </c>
      <c r="CN75" s="17" t="s">
        <v>1325</v>
      </c>
      <c r="CO75" s="17" t="s">
        <v>1325</v>
      </c>
      <c r="CP75" s="17" t="s">
        <v>1325</v>
      </c>
      <c r="CQ75" s="17" t="s">
        <v>1325</v>
      </c>
      <c r="CR75" s="17" t="s">
        <v>1325</v>
      </c>
      <c r="CS75" s="17" t="s">
        <v>1325</v>
      </c>
      <c r="CT75" s="17" t="s">
        <v>1325</v>
      </c>
      <c r="CU75" s="17" t="s">
        <v>1325</v>
      </c>
      <c r="CV75" s="17" t="s">
        <v>1325</v>
      </c>
      <c r="CW75" s="17" t="s">
        <v>56</v>
      </c>
      <c r="CX75" s="17" t="s">
        <v>56</v>
      </c>
      <c r="CY75" s="17" t="s">
        <v>56</v>
      </c>
      <c r="CZ75" s="17">
        <v>319397</v>
      </c>
      <c r="DA75" s="17">
        <v>319397</v>
      </c>
      <c r="DB75" s="17">
        <v>319397</v>
      </c>
      <c r="DC75" s="17"/>
      <c r="DD75" s="17"/>
      <c r="DE75" s="17"/>
      <c r="DF75" s="17" t="s">
        <v>3415</v>
      </c>
      <c r="DG75" s="17" t="s">
        <v>3549</v>
      </c>
      <c r="DH75" s="17" t="s">
        <v>3237</v>
      </c>
      <c r="DI75" s="17" t="s">
        <v>3475</v>
      </c>
      <c r="DJ75" s="17" t="s">
        <v>3405</v>
      </c>
      <c r="DK75" s="17" t="s">
        <v>3320</v>
      </c>
      <c r="DL75" s="17" t="s">
        <v>3418</v>
      </c>
      <c r="DM75" s="17">
        <v>2.2200000000000002E-3</v>
      </c>
      <c r="DN75" s="17">
        <v>709.1</v>
      </c>
      <c r="DO75" s="17">
        <v>0.428559368024169</v>
      </c>
      <c r="DP75" s="17" t="s">
        <v>3308</v>
      </c>
      <c r="DQ75" s="17" t="s">
        <v>2839</v>
      </c>
      <c r="DR75" s="17" t="s">
        <v>56</v>
      </c>
      <c r="DS75" s="17" t="s">
        <v>56</v>
      </c>
      <c r="DT75" s="17" t="s">
        <v>56</v>
      </c>
      <c r="DU75" s="17" t="s">
        <v>56</v>
      </c>
      <c r="DV75" s="17" t="s">
        <v>2862</v>
      </c>
      <c r="DW75" s="17" t="s">
        <v>3309</v>
      </c>
      <c r="DX75" s="17" t="s">
        <v>3310</v>
      </c>
      <c r="DY75" s="17">
        <v>9.7795896448127796E-3</v>
      </c>
      <c r="DZ75" s="17">
        <v>2.7520410355187201E-2</v>
      </c>
      <c r="EA75" s="17" t="s">
        <v>3311</v>
      </c>
      <c r="EB75" s="17">
        <v>4.0201671797007003E-3</v>
      </c>
      <c r="EC75" s="17">
        <v>7.1798328202993004E-3</v>
      </c>
      <c r="ED75" s="17" t="s">
        <v>56</v>
      </c>
      <c r="EE75" s="17" t="s">
        <v>56</v>
      </c>
      <c r="EF75" s="17" t="s">
        <v>56</v>
      </c>
      <c r="EG75" s="17" t="s">
        <v>2862</v>
      </c>
      <c r="EH75" s="17" t="s">
        <v>3309</v>
      </c>
      <c r="EI75" s="17" t="s">
        <v>3312</v>
      </c>
      <c r="EJ75" s="17">
        <v>1.08477E-2</v>
      </c>
      <c r="EK75" s="17">
        <v>5.8252699999999998E-2</v>
      </c>
      <c r="EL75" s="17" t="s">
        <v>3311</v>
      </c>
      <c r="EM75" s="17">
        <v>4.8999999999999998E-3</v>
      </c>
      <c r="EN75" s="17">
        <v>1.01E-2</v>
      </c>
      <c r="EO75" s="17" t="s">
        <v>3312</v>
      </c>
      <c r="EP75" s="17">
        <v>4.3641500000000004</v>
      </c>
      <c r="EQ75" s="17">
        <v>23.435700000000001</v>
      </c>
      <c r="ER75" s="17" t="s">
        <v>3313</v>
      </c>
      <c r="ES75" s="17">
        <v>0.59340000000000004</v>
      </c>
      <c r="ET75" s="17">
        <v>1.2263999999999999</v>
      </c>
      <c r="EU75" s="17" t="s">
        <v>2862</v>
      </c>
      <c r="EV75" s="17" t="s">
        <v>3309</v>
      </c>
      <c r="EW75" s="17" t="s">
        <v>3312</v>
      </c>
      <c r="EX75" s="17">
        <v>4.3641500000000004</v>
      </c>
      <c r="EY75" s="17">
        <v>23.435700000000001</v>
      </c>
      <c r="EZ75" s="17" t="s">
        <v>3311</v>
      </c>
      <c r="FA75" s="17">
        <v>0.59340000000000004</v>
      </c>
      <c r="FB75" s="17">
        <v>1.2263999999999999</v>
      </c>
      <c r="FC75" s="17" t="s">
        <v>56</v>
      </c>
      <c r="FD75" s="17" t="s">
        <v>56</v>
      </c>
      <c r="FE75" s="17" t="s">
        <v>56</v>
      </c>
      <c r="FF75" s="17" t="s">
        <v>56</v>
      </c>
      <c r="FG75" s="17" t="s">
        <v>56</v>
      </c>
      <c r="FH75" s="17" t="s">
        <v>56</v>
      </c>
      <c r="FI75" s="17" t="s">
        <v>56</v>
      </c>
      <c r="FJ75" s="17" t="s">
        <v>56</v>
      </c>
      <c r="FK75" s="17" t="s">
        <v>56</v>
      </c>
      <c r="FL75" s="17" t="s">
        <v>56</v>
      </c>
      <c r="FM75" s="17" t="s">
        <v>56</v>
      </c>
      <c r="FN75" s="17" t="s">
        <v>56</v>
      </c>
      <c r="FO75" s="17" t="s">
        <v>56</v>
      </c>
      <c r="FP75" s="17" t="s">
        <v>56</v>
      </c>
      <c r="FQ75" s="17" t="s">
        <v>56</v>
      </c>
      <c r="FR75" s="17" t="s">
        <v>56</v>
      </c>
      <c r="FS75" s="17" t="s">
        <v>56</v>
      </c>
      <c r="FT75" s="17" t="s">
        <v>56</v>
      </c>
      <c r="FU75" s="17">
        <v>194.510926049148</v>
      </c>
      <c r="FV75" s="17">
        <v>1044.5332331863101</v>
      </c>
      <c r="FW75" s="17" t="s">
        <v>56</v>
      </c>
      <c r="FX75" s="17" t="s">
        <v>56</v>
      </c>
      <c r="FY75" s="17" t="s">
        <v>56</v>
      </c>
      <c r="FZ75" s="17" t="s">
        <v>56</v>
      </c>
      <c r="GA75" s="17" t="s">
        <v>56</v>
      </c>
      <c r="GB75" s="17" t="s">
        <v>56</v>
      </c>
      <c r="GC75" s="17" t="s">
        <v>56</v>
      </c>
      <c r="GD75" s="17" t="s">
        <v>2969</v>
      </c>
      <c r="GE75" s="17" t="s">
        <v>2969</v>
      </c>
      <c r="GF75" s="17" t="s">
        <v>56</v>
      </c>
      <c r="GG75" s="17" t="s">
        <v>2818</v>
      </c>
      <c r="GH75" s="17" t="s">
        <v>2818</v>
      </c>
      <c r="GI75" s="17" t="s">
        <v>1111</v>
      </c>
      <c r="GJ75" s="17" t="s">
        <v>1111</v>
      </c>
      <c r="GK75" s="17" t="s">
        <v>1111</v>
      </c>
      <c r="GL75" s="17"/>
    </row>
    <row r="76" spans="2:194" x14ac:dyDescent="0.25">
      <c r="B76" s="17" t="s">
        <v>2840</v>
      </c>
      <c r="C76" s="17" t="s">
        <v>70</v>
      </c>
      <c r="D76" s="17" t="s">
        <v>3411</v>
      </c>
      <c r="E76" s="17" t="s">
        <v>3412</v>
      </c>
      <c r="F76" s="17" t="s">
        <v>3237</v>
      </c>
      <c r="G76" s="17" t="s">
        <v>3413</v>
      </c>
      <c r="H76" s="17"/>
      <c r="I76" s="17" t="s">
        <v>2797</v>
      </c>
      <c r="J76" s="17" t="s">
        <v>3403</v>
      </c>
      <c r="K76" s="17" t="s">
        <v>2653</v>
      </c>
      <c r="L76" s="17" t="s">
        <v>2800</v>
      </c>
      <c r="M76" s="17" t="s">
        <v>3414</v>
      </c>
      <c r="N76" s="17" t="s">
        <v>1325</v>
      </c>
      <c r="O76" s="17" t="s">
        <v>2813</v>
      </c>
      <c r="P76" s="17" t="s">
        <v>2814</v>
      </c>
      <c r="Q76" s="17" t="s">
        <v>3616</v>
      </c>
      <c r="R76" s="17">
        <v>17897433.710000001</v>
      </c>
      <c r="S76" s="17">
        <v>4974456.4000000004</v>
      </c>
      <c r="T76" s="17">
        <v>18587154.18</v>
      </c>
      <c r="U76" s="17" t="s">
        <v>2817</v>
      </c>
      <c r="V76" s="17" t="s">
        <v>939</v>
      </c>
      <c r="W76" s="17" t="s">
        <v>2816</v>
      </c>
      <c r="X76" s="17" t="s">
        <v>3403</v>
      </c>
      <c r="Y76" s="17" t="s">
        <v>56</v>
      </c>
      <c r="Z76" s="17" t="s">
        <v>3616</v>
      </c>
      <c r="AA76" s="17" t="s">
        <v>2801</v>
      </c>
      <c r="AB76" s="17">
        <v>2.1629</v>
      </c>
      <c r="AC76" s="17" t="s">
        <v>3616</v>
      </c>
      <c r="AD76" s="17" t="s">
        <v>2804</v>
      </c>
      <c r="AE76" s="17">
        <v>319397</v>
      </c>
      <c r="AF76" s="17" t="s">
        <v>2839</v>
      </c>
      <c r="AG76" s="17" t="s">
        <v>3617</v>
      </c>
      <c r="AH76" s="17" t="s">
        <v>2806</v>
      </c>
      <c r="AI76" s="17"/>
      <c r="AJ76" s="17" t="s">
        <v>56</v>
      </c>
      <c r="AK76" s="17" t="s">
        <v>56</v>
      </c>
      <c r="AL76" s="17" t="s">
        <v>56</v>
      </c>
      <c r="AM76" s="17" t="s">
        <v>56</v>
      </c>
      <c r="AN76" s="17" t="s">
        <v>56</v>
      </c>
      <c r="AO76" s="17" t="s">
        <v>56</v>
      </c>
      <c r="AP76" s="17" t="s">
        <v>56</v>
      </c>
      <c r="AQ76" s="17" t="s">
        <v>56</v>
      </c>
      <c r="AR76" s="17" t="s">
        <v>56</v>
      </c>
      <c r="AS76" s="17">
        <v>677.19899999999996</v>
      </c>
      <c r="AT76" s="17">
        <v>82.007599999999996</v>
      </c>
      <c r="AU76" s="17">
        <v>435.83600000000001</v>
      </c>
      <c r="AV76" s="17" t="s">
        <v>56</v>
      </c>
      <c r="AW76" s="17" t="s">
        <v>56</v>
      </c>
      <c r="AX76" s="17" t="s">
        <v>56</v>
      </c>
      <c r="AY76" s="17">
        <v>561.97</v>
      </c>
      <c r="AZ76" s="17">
        <v>68.053600000000003</v>
      </c>
      <c r="BA76" s="17">
        <v>361.67599999999999</v>
      </c>
      <c r="BB76" s="17" t="s">
        <v>56</v>
      </c>
      <c r="BC76" s="17" t="s">
        <v>56</v>
      </c>
      <c r="BD76" s="17" t="s">
        <v>56</v>
      </c>
      <c r="BE76" s="17" t="s">
        <v>56</v>
      </c>
      <c r="BF76" s="17" t="s">
        <v>56</v>
      </c>
      <c r="BG76" s="17" t="s">
        <v>56</v>
      </c>
      <c r="BH76" s="17" t="s">
        <v>56</v>
      </c>
      <c r="BI76" s="17" t="s">
        <v>56</v>
      </c>
      <c r="BJ76" s="17" t="s">
        <v>56</v>
      </c>
      <c r="BK76" s="17" t="s">
        <v>56</v>
      </c>
      <c r="BL76" s="17" t="s">
        <v>56</v>
      </c>
      <c r="BM76" s="17" t="s">
        <v>56</v>
      </c>
      <c r="BN76" s="17" t="s">
        <v>56</v>
      </c>
      <c r="BO76" s="17" t="s">
        <v>56</v>
      </c>
      <c r="BP76" s="17" t="s">
        <v>56</v>
      </c>
      <c r="BQ76" s="17" t="s">
        <v>56</v>
      </c>
      <c r="BR76" s="17" t="s">
        <v>56</v>
      </c>
      <c r="BS76" s="17" t="s">
        <v>56</v>
      </c>
      <c r="BT76" s="17" t="s">
        <v>56</v>
      </c>
      <c r="BU76" s="17" t="s">
        <v>56</v>
      </c>
      <c r="BV76" s="17" t="s">
        <v>56</v>
      </c>
      <c r="BW76" s="17" t="s">
        <v>56</v>
      </c>
      <c r="BX76" s="17" t="s">
        <v>2818</v>
      </c>
      <c r="BY76" s="17" t="s">
        <v>1111</v>
      </c>
      <c r="BZ76" s="17" t="s">
        <v>56</v>
      </c>
      <c r="CA76" s="17" t="s">
        <v>56</v>
      </c>
      <c r="CB76" s="17" t="s">
        <v>1325</v>
      </c>
      <c r="CC76" s="17" t="s">
        <v>1325</v>
      </c>
      <c r="CD76" s="17" t="s">
        <v>1325</v>
      </c>
      <c r="CE76" s="17" t="s">
        <v>1325</v>
      </c>
      <c r="CF76" s="17" t="s">
        <v>1325</v>
      </c>
      <c r="CG76" s="17" t="s">
        <v>1325</v>
      </c>
      <c r="CH76" s="17" t="s">
        <v>1325</v>
      </c>
      <c r="CI76" s="17" t="s">
        <v>1325</v>
      </c>
      <c r="CJ76" s="17" t="s">
        <v>1325</v>
      </c>
      <c r="CK76" s="17" t="s">
        <v>1325</v>
      </c>
      <c r="CL76" s="17" t="s">
        <v>1325</v>
      </c>
      <c r="CM76" s="17" t="s">
        <v>1325</v>
      </c>
      <c r="CN76" s="17" t="s">
        <v>1325</v>
      </c>
      <c r="CO76" s="17" t="s">
        <v>1325</v>
      </c>
      <c r="CP76" s="17" t="s">
        <v>1325</v>
      </c>
      <c r="CQ76" s="17" t="s">
        <v>1325</v>
      </c>
      <c r="CR76" s="17" t="s">
        <v>1325</v>
      </c>
      <c r="CS76" s="17" t="s">
        <v>1325</v>
      </c>
      <c r="CT76" s="17" t="s">
        <v>1325</v>
      </c>
      <c r="CU76" s="17" t="s">
        <v>1325</v>
      </c>
      <c r="CV76" s="17" t="s">
        <v>1325</v>
      </c>
      <c r="CW76" s="17" t="s">
        <v>56</v>
      </c>
      <c r="CX76" s="17" t="s">
        <v>56</v>
      </c>
      <c r="CY76" s="17" t="s">
        <v>56</v>
      </c>
      <c r="CZ76" s="17">
        <v>319397</v>
      </c>
      <c r="DA76" s="17">
        <v>319397</v>
      </c>
      <c r="DB76" s="17">
        <v>319397</v>
      </c>
      <c r="DC76" s="17"/>
      <c r="DD76" s="17"/>
      <c r="DE76" s="17"/>
      <c r="DF76" s="17" t="s">
        <v>3415</v>
      </c>
      <c r="DG76" s="17" t="s">
        <v>3550</v>
      </c>
      <c r="DH76" s="17" t="s">
        <v>3237</v>
      </c>
      <c r="DI76" s="17" t="s">
        <v>3451</v>
      </c>
      <c r="DJ76" s="17" t="s">
        <v>3405</v>
      </c>
      <c r="DK76" s="17" t="s">
        <v>3320</v>
      </c>
      <c r="DL76" s="17" t="s">
        <v>3418</v>
      </c>
      <c r="DM76" s="17">
        <v>1.186E-3</v>
      </c>
      <c r="DN76" s="17">
        <v>378.8</v>
      </c>
      <c r="DO76" s="17">
        <v>0.42855923485294101</v>
      </c>
      <c r="DP76" s="17" t="s">
        <v>3308</v>
      </c>
      <c r="DQ76" s="17" t="s">
        <v>2839</v>
      </c>
      <c r="DR76" s="17" t="s">
        <v>56</v>
      </c>
      <c r="DS76" s="17" t="s">
        <v>56</v>
      </c>
      <c r="DT76" s="17" t="s">
        <v>56</v>
      </c>
      <c r="DU76" s="17" t="s">
        <v>56</v>
      </c>
      <c r="DV76" s="17" t="s">
        <v>2862</v>
      </c>
      <c r="DW76" s="17" t="s">
        <v>3309</v>
      </c>
      <c r="DX76" s="17" t="s">
        <v>3310</v>
      </c>
      <c r="DY76" s="17">
        <v>9.7795896448127796E-3</v>
      </c>
      <c r="DZ76" s="17">
        <v>2.7520410355187201E-2</v>
      </c>
      <c r="EA76" s="17" t="s">
        <v>3311</v>
      </c>
      <c r="EB76" s="17">
        <v>4.0201671797007003E-3</v>
      </c>
      <c r="EC76" s="17">
        <v>7.1798328202993004E-3</v>
      </c>
      <c r="ED76" s="17" t="s">
        <v>56</v>
      </c>
      <c r="EE76" s="17" t="s">
        <v>56</v>
      </c>
      <c r="EF76" s="17" t="s">
        <v>56</v>
      </c>
      <c r="EG76" s="17" t="s">
        <v>2862</v>
      </c>
      <c r="EH76" s="17" t="s">
        <v>3309</v>
      </c>
      <c r="EI76" s="17" t="s">
        <v>3312</v>
      </c>
      <c r="EJ76" s="17">
        <v>1.08477E-2</v>
      </c>
      <c r="EK76" s="17">
        <v>5.8252699999999998E-2</v>
      </c>
      <c r="EL76" s="17" t="s">
        <v>3311</v>
      </c>
      <c r="EM76" s="17">
        <v>4.8999999999999998E-3</v>
      </c>
      <c r="EN76" s="17">
        <v>1.01E-2</v>
      </c>
      <c r="EO76" s="17" t="s">
        <v>3312</v>
      </c>
      <c r="EP76" s="17">
        <v>4.3641500000000004</v>
      </c>
      <c r="EQ76" s="17">
        <v>23.435700000000001</v>
      </c>
      <c r="ER76" s="17" t="s">
        <v>3313</v>
      </c>
      <c r="ES76" s="17">
        <v>0.59340000000000004</v>
      </c>
      <c r="ET76" s="17">
        <v>1.2263999999999999</v>
      </c>
      <c r="EU76" s="17" t="s">
        <v>2862</v>
      </c>
      <c r="EV76" s="17" t="s">
        <v>3309</v>
      </c>
      <c r="EW76" s="17" t="s">
        <v>3312</v>
      </c>
      <c r="EX76" s="17">
        <v>4.3641500000000004</v>
      </c>
      <c r="EY76" s="17">
        <v>23.435700000000001</v>
      </c>
      <c r="EZ76" s="17" t="s">
        <v>3311</v>
      </c>
      <c r="FA76" s="17">
        <v>0.59340000000000004</v>
      </c>
      <c r="FB76" s="17">
        <v>1.2263999999999999</v>
      </c>
      <c r="FC76" s="17" t="s">
        <v>56</v>
      </c>
      <c r="FD76" s="17" t="s">
        <v>56</v>
      </c>
      <c r="FE76" s="17" t="s">
        <v>56</v>
      </c>
      <c r="FF76" s="17" t="s">
        <v>56</v>
      </c>
      <c r="FG76" s="17" t="s">
        <v>56</v>
      </c>
      <c r="FH76" s="17" t="s">
        <v>56</v>
      </c>
      <c r="FI76" s="17" t="s">
        <v>56</v>
      </c>
      <c r="FJ76" s="17" t="s">
        <v>56</v>
      </c>
      <c r="FK76" s="17" t="s">
        <v>56</v>
      </c>
      <c r="FL76" s="17" t="s">
        <v>56</v>
      </c>
      <c r="FM76" s="17" t="s">
        <v>56</v>
      </c>
      <c r="FN76" s="17" t="s">
        <v>56</v>
      </c>
      <c r="FO76" s="17" t="s">
        <v>56</v>
      </c>
      <c r="FP76" s="17" t="s">
        <v>56</v>
      </c>
      <c r="FQ76" s="17" t="s">
        <v>56</v>
      </c>
      <c r="FR76" s="17" t="s">
        <v>56</v>
      </c>
      <c r="FS76" s="17" t="s">
        <v>56</v>
      </c>
      <c r="FT76" s="17" t="s">
        <v>56</v>
      </c>
      <c r="FU76" s="17">
        <v>194.510865593451</v>
      </c>
      <c r="FV76" s="17">
        <v>1044.53290853624</v>
      </c>
      <c r="FW76" s="17" t="s">
        <v>56</v>
      </c>
      <c r="FX76" s="17" t="s">
        <v>56</v>
      </c>
      <c r="FY76" s="17" t="s">
        <v>56</v>
      </c>
      <c r="FZ76" s="17" t="s">
        <v>56</v>
      </c>
      <c r="GA76" s="17" t="s">
        <v>56</v>
      </c>
      <c r="GB76" s="17" t="s">
        <v>56</v>
      </c>
      <c r="GC76" s="17" t="s">
        <v>56</v>
      </c>
      <c r="GD76" s="17" t="s">
        <v>2969</v>
      </c>
      <c r="GE76" s="17" t="s">
        <v>2969</v>
      </c>
      <c r="GF76" s="17" t="s">
        <v>56</v>
      </c>
      <c r="GG76" s="17" t="s">
        <v>2818</v>
      </c>
      <c r="GH76" s="17" t="s">
        <v>2818</v>
      </c>
      <c r="GI76" s="17" t="s">
        <v>1111</v>
      </c>
      <c r="GJ76" s="17" t="s">
        <v>1111</v>
      </c>
      <c r="GK76" s="17" t="s">
        <v>1111</v>
      </c>
      <c r="GL76" s="17"/>
    </row>
    <row r="77" spans="2:194" x14ac:dyDescent="0.25">
      <c r="B77" s="17" t="s">
        <v>2840</v>
      </c>
      <c r="C77" s="17" t="s">
        <v>70</v>
      </c>
      <c r="D77" s="17" t="s">
        <v>3411</v>
      </c>
      <c r="E77" s="17" t="s">
        <v>3412</v>
      </c>
      <c r="F77" s="17" t="s">
        <v>3237</v>
      </c>
      <c r="G77" s="17" t="s">
        <v>3413</v>
      </c>
      <c r="H77" s="17"/>
      <c r="I77" s="17" t="s">
        <v>2797</v>
      </c>
      <c r="J77" s="17" t="s">
        <v>3403</v>
      </c>
      <c r="K77" s="17" t="s">
        <v>2653</v>
      </c>
      <c r="L77" s="17" t="s">
        <v>2800</v>
      </c>
      <c r="M77" s="17" t="s">
        <v>3414</v>
      </c>
      <c r="N77" s="17" t="s">
        <v>1325</v>
      </c>
      <c r="O77" s="17" t="s">
        <v>2813</v>
      </c>
      <c r="P77" s="17" t="s">
        <v>2814</v>
      </c>
      <c r="Q77" s="17" t="s">
        <v>3616</v>
      </c>
      <c r="R77" s="17">
        <v>17897433.710000001</v>
      </c>
      <c r="S77" s="17">
        <v>4974456.4000000004</v>
      </c>
      <c r="T77" s="17">
        <v>18587154.18</v>
      </c>
      <c r="U77" s="17" t="s">
        <v>2817</v>
      </c>
      <c r="V77" s="17" t="s">
        <v>939</v>
      </c>
      <c r="W77" s="17" t="s">
        <v>2816</v>
      </c>
      <c r="X77" s="17" t="s">
        <v>3403</v>
      </c>
      <c r="Y77" s="17" t="s">
        <v>56</v>
      </c>
      <c r="Z77" s="17" t="s">
        <v>3616</v>
      </c>
      <c r="AA77" s="17" t="s">
        <v>2801</v>
      </c>
      <c r="AB77" s="17">
        <v>2.1629</v>
      </c>
      <c r="AC77" s="17" t="s">
        <v>3616</v>
      </c>
      <c r="AD77" s="17" t="s">
        <v>2804</v>
      </c>
      <c r="AE77" s="17">
        <v>319397</v>
      </c>
      <c r="AF77" s="17" t="s">
        <v>2839</v>
      </c>
      <c r="AG77" s="17" t="s">
        <v>3617</v>
      </c>
      <c r="AH77" s="17" t="s">
        <v>2806</v>
      </c>
      <c r="AI77" s="17"/>
      <c r="AJ77" s="17" t="s">
        <v>56</v>
      </c>
      <c r="AK77" s="17" t="s">
        <v>56</v>
      </c>
      <c r="AL77" s="17" t="s">
        <v>56</v>
      </c>
      <c r="AM77" s="17" t="s">
        <v>56</v>
      </c>
      <c r="AN77" s="17" t="s">
        <v>56</v>
      </c>
      <c r="AO77" s="17" t="s">
        <v>56</v>
      </c>
      <c r="AP77" s="17" t="s">
        <v>56</v>
      </c>
      <c r="AQ77" s="17" t="s">
        <v>56</v>
      </c>
      <c r="AR77" s="17" t="s">
        <v>56</v>
      </c>
      <c r="AS77" s="17">
        <v>677.19899999999996</v>
      </c>
      <c r="AT77" s="17">
        <v>82.007599999999996</v>
      </c>
      <c r="AU77" s="17">
        <v>435.83600000000001</v>
      </c>
      <c r="AV77" s="17" t="s">
        <v>56</v>
      </c>
      <c r="AW77" s="17" t="s">
        <v>56</v>
      </c>
      <c r="AX77" s="17" t="s">
        <v>56</v>
      </c>
      <c r="AY77" s="17">
        <v>561.97</v>
      </c>
      <c r="AZ77" s="17">
        <v>68.053600000000003</v>
      </c>
      <c r="BA77" s="17">
        <v>361.67599999999999</v>
      </c>
      <c r="BB77" s="17" t="s">
        <v>56</v>
      </c>
      <c r="BC77" s="17" t="s">
        <v>56</v>
      </c>
      <c r="BD77" s="17" t="s">
        <v>56</v>
      </c>
      <c r="BE77" s="17" t="s">
        <v>56</v>
      </c>
      <c r="BF77" s="17" t="s">
        <v>56</v>
      </c>
      <c r="BG77" s="17" t="s">
        <v>56</v>
      </c>
      <c r="BH77" s="17" t="s">
        <v>56</v>
      </c>
      <c r="BI77" s="17" t="s">
        <v>56</v>
      </c>
      <c r="BJ77" s="17" t="s">
        <v>56</v>
      </c>
      <c r="BK77" s="17" t="s">
        <v>56</v>
      </c>
      <c r="BL77" s="17" t="s">
        <v>56</v>
      </c>
      <c r="BM77" s="17" t="s">
        <v>56</v>
      </c>
      <c r="BN77" s="17" t="s">
        <v>56</v>
      </c>
      <c r="BO77" s="17" t="s">
        <v>56</v>
      </c>
      <c r="BP77" s="17" t="s">
        <v>56</v>
      </c>
      <c r="BQ77" s="17" t="s">
        <v>56</v>
      </c>
      <c r="BR77" s="17" t="s">
        <v>56</v>
      </c>
      <c r="BS77" s="17" t="s">
        <v>56</v>
      </c>
      <c r="BT77" s="17" t="s">
        <v>56</v>
      </c>
      <c r="BU77" s="17" t="s">
        <v>56</v>
      </c>
      <c r="BV77" s="17" t="s">
        <v>56</v>
      </c>
      <c r="BW77" s="17" t="s">
        <v>56</v>
      </c>
      <c r="BX77" s="17" t="s">
        <v>2818</v>
      </c>
      <c r="BY77" s="17" t="s">
        <v>1111</v>
      </c>
      <c r="BZ77" s="17" t="s">
        <v>56</v>
      </c>
      <c r="CA77" s="17" t="s">
        <v>56</v>
      </c>
      <c r="CB77" s="17" t="s">
        <v>1325</v>
      </c>
      <c r="CC77" s="17" t="s">
        <v>1325</v>
      </c>
      <c r="CD77" s="17" t="s">
        <v>1325</v>
      </c>
      <c r="CE77" s="17" t="s">
        <v>1325</v>
      </c>
      <c r="CF77" s="17" t="s">
        <v>1325</v>
      </c>
      <c r="CG77" s="17" t="s">
        <v>1325</v>
      </c>
      <c r="CH77" s="17" t="s">
        <v>1325</v>
      </c>
      <c r="CI77" s="17" t="s">
        <v>1325</v>
      </c>
      <c r="CJ77" s="17" t="s">
        <v>1325</v>
      </c>
      <c r="CK77" s="17" t="s">
        <v>1325</v>
      </c>
      <c r="CL77" s="17" t="s">
        <v>1325</v>
      </c>
      <c r="CM77" s="17" t="s">
        <v>1325</v>
      </c>
      <c r="CN77" s="17" t="s">
        <v>1325</v>
      </c>
      <c r="CO77" s="17" t="s">
        <v>1325</v>
      </c>
      <c r="CP77" s="17" t="s">
        <v>1325</v>
      </c>
      <c r="CQ77" s="17" t="s">
        <v>1325</v>
      </c>
      <c r="CR77" s="17" t="s">
        <v>1325</v>
      </c>
      <c r="CS77" s="17" t="s">
        <v>1325</v>
      </c>
      <c r="CT77" s="17" t="s">
        <v>1325</v>
      </c>
      <c r="CU77" s="17" t="s">
        <v>1325</v>
      </c>
      <c r="CV77" s="17" t="s">
        <v>1325</v>
      </c>
      <c r="CW77" s="17" t="s">
        <v>56</v>
      </c>
      <c r="CX77" s="17" t="s">
        <v>56</v>
      </c>
      <c r="CY77" s="17" t="s">
        <v>56</v>
      </c>
      <c r="CZ77" s="17">
        <v>319397</v>
      </c>
      <c r="DA77" s="17">
        <v>319397</v>
      </c>
      <c r="DB77" s="17">
        <v>319397</v>
      </c>
      <c r="DC77" s="17"/>
      <c r="DD77" s="17"/>
      <c r="DE77" s="17"/>
      <c r="DF77" s="17" t="s">
        <v>3415</v>
      </c>
      <c r="DG77" s="17" t="s">
        <v>3551</v>
      </c>
      <c r="DH77" s="17" t="s">
        <v>3237</v>
      </c>
      <c r="DI77" s="17" t="s">
        <v>3552</v>
      </c>
      <c r="DJ77" s="17" t="s">
        <v>3405</v>
      </c>
      <c r="DK77" s="17" t="s">
        <v>3320</v>
      </c>
      <c r="DL77" s="17" t="s">
        <v>3418</v>
      </c>
      <c r="DM77" s="17">
        <v>8.6999999999999994E-3</v>
      </c>
      <c r="DN77" s="17">
        <v>2778.8</v>
      </c>
      <c r="DO77" s="17">
        <v>0.42855747623072099</v>
      </c>
      <c r="DP77" s="17" t="s">
        <v>3308</v>
      </c>
      <c r="DQ77" s="17" t="s">
        <v>2839</v>
      </c>
      <c r="DR77" s="17" t="s">
        <v>56</v>
      </c>
      <c r="DS77" s="17" t="s">
        <v>56</v>
      </c>
      <c r="DT77" s="17" t="s">
        <v>56</v>
      </c>
      <c r="DU77" s="17" t="s">
        <v>56</v>
      </c>
      <c r="DV77" s="17" t="s">
        <v>2862</v>
      </c>
      <c r="DW77" s="17" t="s">
        <v>3309</v>
      </c>
      <c r="DX77" s="17" t="s">
        <v>3310</v>
      </c>
      <c r="DY77" s="17">
        <v>9.7795896448127796E-3</v>
      </c>
      <c r="DZ77" s="17">
        <v>2.7520410355187201E-2</v>
      </c>
      <c r="EA77" s="17" t="s">
        <v>3311</v>
      </c>
      <c r="EB77" s="17">
        <v>4.0201671797007003E-3</v>
      </c>
      <c r="EC77" s="17">
        <v>7.1798328202993004E-3</v>
      </c>
      <c r="ED77" s="17" t="s">
        <v>56</v>
      </c>
      <c r="EE77" s="17" t="s">
        <v>56</v>
      </c>
      <c r="EF77" s="17" t="s">
        <v>56</v>
      </c>
      <c r="EG77" s="17" t="s">
        <v>2862</v>
      </c>
      <c r="EH77" s="17" t="s">
        <v>3309</v>
      </c>
      <c r="EI77" s="17" t="s">
        <v>3312</v>
      </c>
      <c r="EJ77" s="17">
        <v>1.08477E-2</v>
      </c>
      <c r="EK77" s="17">
        <v>5.8252699999999998E-2</v>
      </c>
      <c r="EL77" s="17" t="s">
        <v>3311</v>
      </c>
      <c r="EM77" s="17">
        <v>4.8999999999999998E-3</v>
      </c>
      <c r="EN77" s="17">
        <v>1.01E-2</v>
      </c>
      <c r="EO77" s="17" t="s">
        <v>3312</v>
      </c>
      <c r="EP77" s="17">
        <v>4.3641500000000004</v>
      </c>
      <c r="EQ77" s="17">
        <v>23.435700000000001</v>
      </c>
      <c r="ER77" s="17" t="s">
        <v>3313</v>
      </c>
      <c r="ES77" s="17">
        <v>0.59340000000000004</v>
      </c>
      <c r="ET77" s="17">
        <v>1.2263999999999999</v>
      </c>
      <c r="EU77" s="17" t="s">
        <v>2862</v>
      </c>
      <c r="EV77" s="17" t="s">
        <v>3309</v>
      </c>
      <c r="EW77" s="17" t="s">
        <v>3312</v>
      </c>
      <c r="EX77" s="17">
        <v>4.3641500000000004</v>
      </c>
      <c r="EY77" s="17">
        <v>23.435700000000001</v>
      </c>
      <c r="EZ77" s="17" t="s">
        <v>3311</v>
      </c>
      <c r="FA77" s="17">
        <v>0.59340000000000004</v>
      </c>
      <c r="FB77" s="17">
        <v>1.2263999999999999</v>
      </c>
      <c r="FC77" s="17" t="s">
        <v>56</v>
      </c>
      <c r="FD77" s="17" t="s">
        <v>56</v>
      </c>
      <c r="FE77" s="17" t="s">
        <v>56</v>
      </c>
      <c r="FF77" s="17" t="s">
        <v>56</v>
      </c>
      <c r="FG77" s="17" t="s">
        <v>56</v>
      </c>
      <c r="FH77" s="17" t="s">
        <v>56</v>
      </c>
      <c r="FI77" s="17" t="s">
        <v>56</v>
      </c>
      <c r="FJ77" s="17" t="s">
        <v>56</v>
      </c>
      <c r="FK77" s="17" t="s">
        <v>56</v>
      </c>
      <c r="FL77" s="17" t="s">
        <v>56</v>
      </c>
      <c r="FM77" s="17" t="s">
        <v>56</v>
      </c>
      <c r="FN77" s="17" t="s">
        <v>56</v>
      </c>
      <c r="FO77" s="17" t="s">
        <v>56</v>
      </c>
      <c r="FP77" s="17" t="s">
        <v>56</v>
      </c>
      <c r="FQ77" s="17" t="s">
        <v>56</v>
      </c>
      <c r="FR77" s="17" t="s">
        <v>56</v>
      </c>
      <c r="FS77" s="17" t="s">
        <v>56</v>
      </c>
      <c r="FT77" s="17" t="s">
        <v>56</v>
      </c>
      <c r="FU77" s="17">
        <v>194.510067414855</v>
      </c>
      <c r="FV77" s="17">
        <v>1044.52862227795</v>
      </c>
      <c r="FW77" s="17" t="s">
        <v>56</v>
      </c>
      <c r="FX77" s="17" t="s">
        <v>56</v>
      </c>
      <c r="FY77" s="17" t="s">
        <v>56</v>
      </c>
      <c r="FZ77" s="17" t="s">
        <v>56</v>
      </c>
      <c r="GA77" s="17" t="s">
        <v>56</v>
      </c>
      <c r="GB77" s="17" t="s">
        <v>56</v>
      </c>
      <c r="GC77" s="17" t="s">
        <v>56</v>
      </c>
      <c r="GD77" s="17" t="s">
        <v>2969</v>
      </c>
      <c r="GE77" s="17" t="s">
        <v>2969</v>
      </c>
      <c r="GF77" s="17" t="s">
        <v>56</v>
      </c>
      <c r="GG77" s="17" t="s">
        <v>2818</v>
      </c>
      <c r="GH77" s="17" t="s">
        <v>2818</v>
      </c>
      <c r="GI77" s="17" t="s">
        <v>1111</v>
      </c>
      <c r="GJ77" s="17" t="s">
        <v>1111</v>
      </c>
      <c r="GK77" s="17" t="s">
        <v>1111</v>
      </c>
      <c r="GL77" s="17"/>
    </row>
    <row r="78" spans="2:194" x14ac:dyDescent="0.25">
      <c r="B78" s="17" t="s">
        <v>2840</v>
      </c>
      <c r="C78" s="17" t="s">
        <v>70</v>
      </c>
      <c r="D78" s="17" t="s">
        <v>3411</v>
      </c>
      <c r="E78" s="17" t="s">
        <v>3412</v>
      </c>
      <c r="F78" s="17" t="s">
        <v>3237</v>
      </c>
      <c r="G78" s="17" t="s">
        <v>3413</v>
      </c>
      <c r="H78" s="17"/>
      <c r="I78" s="17" t="s">
        <v>2797</v>
      </c>
      <c r="J78" s="17" t="s">
        <v>3403</v>
      </c>
      <c r="K78" s="17" t="s">
        <v>2653</v>
      </c>
      <c r="L78" s="17" t="s">
        <v>2800</v>
      </c>
      <c r="M78" s="17" t="s">
        <v>3414</v>
      </c>
      <c r="N78" s="17" t="s">
        <v>1325</v>
      </c>
      <c r="O78" s="17" t="s">
        <v>2813</v>
      </c>
      <c r="P78" s="17" t="s">
        <v>2814</v>
      </c>
      <c r="Q78" s="17" t="s">
        <v>3616</v>
      </c>
      <c r="R78" s="17">
        <v>17897433.710000001</v>
      </c>
      <c r="S78" s="17">
        <v>4974456.4000000004</v>
      </c>
      <c r="T78" s="17">
        <v>18587154.18</v>
      </c>
      <c r="U78" s="17" t="s">
        <v>2817</v>
      </c>
      <c r="V78" s="17" t="s">
        <v>939</v>
      </c>
      <c r="W78" s="17" t="s">
        <v>2816</v>
      </c>
      <c r="X78" s="17" t="s">
        <v>3403</v>
      </c>
      <c r="Y78" s="17" t="s">
        <v>56</v>
      </c>
      <c r="Z78" s="17" t="s">
        <v>3616</v>
      </c>
      <c r="AA78" s="17" t="s">
        <v>2801</v>
      </c>
      <c r="AB78" s="17">
        <v>2.1629</v>
      </c>
      <c r="AC78" s="17" t="s">
        <v>3616</v>
      </c>
      <c r="AD78" s="17" t="s">
        <v>2804</v>
      </c>
      <c r="AE78" s="17">
        <v>319397</v>
      </c>
      <c r="AF78" s="17" t="s">
        <v>2839</v>
      </c>
      <c r="AG78" s="17" t="s">
        <v>3617</v>
      </c>
      <c r="AH78" s="17" t="s">
        <v>2806</v>
      </c>
      <c r="AI78" s="17"/>
      <c r="AJ78" s="17" t="s">
        <v>56</v>
      </c>
      <c r="AK78" s="17" t="s">
        <v>56</v>
      </c>
      <c r="AL78" s="17" t="s">
        <v>56</v>
      </c>
      <c r="AM78" s="17" t="s">
        <v>56</v>
      </c>
      <c r="AN78" s="17" t="s">
        <v>56</v>
      </c>
      <c r="AO78" s="17" t="s">
        <v>56</v>
      </c>
      <c r="AP78" s="17" t="s">
        <v>56</v>
      </c>
      <c r="AQ78" s="17" t="s">
        <v>56</v>
      </c>
      <c r="AR78" s="17" t="s">
        <v>56</v>
      </c>
      <c r="AS78" s="17">
        <v>677.19899999999996</v>
      </c>
      <c r="AT78" s="17">
        <v>82.007599999999996</v>
      </c>
      <c r="AU78" s="17">
        <v>435.83600000000001</v>
      </c>
      <c r="AV78" s="17" t="s">
        <v>56</v>
      </c>
      <c r="AW78" s="17" t="s">
        <v>56</v>
      </c>
      <c r="AX78" s="17" t="s">
        <v>56</v>
      </c>
      <c r="AY78" s="17">
        <v>561.97</v>
      </c>
      <c r="AZ78" s="17">
        <v>68.053600000000003</v>
      </c>
      <c r="BA78" s="17">
        <v>361.67599999999999</v>
      </c>
      <c r="BB78" s="17" t="s">
        <v>56</v>
      </c>
      <c r="BC78" s="17" t="s">
        <v>56</v>
      </c>
      <c r="BD78" s="17" t="s">
        <v>56</v>
      </c>
      <c r="BE78" s="17" t="s">
        <v>56</v>
      </c>
      <c r="BF78" s="17" t="s">
        <v>56</v>
      </c>
      <c r="BG78" s="17" t="s">
        <v>56</v>
      </c>
      <c r="BH78" s="17" t="s">
        <v>56</v>
      </c>
      <c r="BI78" s="17" t="s">
        <v>56</v>
      </c>
      <c r="BJ78" s="17" t="s">
        <v>56</v>
      </c>
      <c r="BK78" s="17" t="s">
        <v>56</v>
      </c>
      <c r="BL78" s="17" t="s">
        <v>56</v>
      </c>
      <c r="BM78" s="17" t="s">
        <v>56</v>
      </c>
      <c r="BN78" s="17" t="s">
        <v>56</v>
      </c>
      <c r="BO78" s="17" t="s">
        <v>56</v>
      </c>
      <c r="BP78" s="17" t="s">
        <v>56</v>
      </c>
      <c r="BQ78" s="17" t="s">
        <v>56</v>
      </c>
      <c r="BR78" s="17" t="s">
        <v>56</v>
      </c>
      <c r="BS78" s="17" t="s">
        <v>56</v>
      </c>
      <c r="BT78" s="17" t="s">
        <v>56</v>
      </c>
      <c r="BU78" s="17" t="s">
        <v>56</v>
      </c>
      <c r="BV78" s="17" t="s">
        <v>56</v>
      </c>
      <c r="BW78" s="17" t="s">
        <v>56</v>
      </c>
      <c r="BX78" s="17" t="s">
        <v>2818</v>
      </c>
      <c r="BY78" s="17" t="s">
        <v>1111</v>
      </c>
      <c r="BZ78" s="17" t="s">
        <v>56</v>
      </c>
      <c r="CA78" s="17" t="s">
        <v>56</v>
      </c>
      <c r="CB78" s="17" t="s">
        <v>1325</v>
      </c>
      <c r="CC78" s="17" t="s">
        <v>1325</v>
      </c>
      <c r="CD78" s="17" t="s">
        <v>1325</v>
      </c>
      <c r="CE78" s="17" t="s">
        <v>1325</v>
      </c>
      <c r="CF78" s="17" t="s">
        <v>1325</v>
      </c>
      <c r="CG78" s="17" t="s">
        <v>1325</v>
      </c>
      <c r="CH78" s="17" t="s">
        <v>1325</v>
      </c>
      <c r="CI78" s="17" t="s">
        <v>1325</v>
      </c>
      <c r="CJ78" s="17" t="s">
        <v>1325</v>
      </c>
      <c r="CK78" s="17" t="s">
        <v>1325</v>
      </c>
      <c r="CL78" s="17" t="s">
        <v>1325</v>
      </c>
      <c r="CM78" s="17" t="s">
        <v>1325</v>
      </c>
      <c r="CN78" s="17" t="s">
        <v>1325</v>
      </c>
      <c r="CO78" s="17" t="s">
        <v>1325</v>
      </c>
      <c r="CP78" s="17" t="s">
        <v>1325</v>
      </c>
      <c r="CQ78" s="17" t="s">
        <v>1325</v>
      </c>
      <c r="CR78" s="17" t="s">
        <v>1325</v>
      </c>
      <c r="CS78" s="17" t="s">
        <v>1325</v>
      </c>
      <c r="CT78" s="17" t="s">
        <v>1325</v>
      </c>
      <c r="CU78" s="17" t="s">
        <v>1325</v>
      </c>
      <c r="CV78" s="17" t="s">
        <v>1325</v>
      </c>
      <c r="CW78" s="17" t="s">
        <v>56</v>
      </c>
      <c r="CX78" s="17" t="s">
        <v>56</v>
      </c>
      <c r="CY78" s="17" t="s">
        <v>56</v>
      </c>
      <c r="CZ78" s="17">
        <v>319397</v>
      </c>
      <c r="DA78" s="17">
        <v>319397</v>
      </c>
      <c r="DB78" s="17">
        <v>319397</v>
      </c>
      <c r="DC78" s="17"/>
      <c r="DD78" s="17"/>
      <c r="DE78" s="17"/>
      <c r="DF78" s="17" t="s">
        <v>3415</v>
      </c>
      <c r="DG78" s="17" t="s">
        <v>3553</v>
      </c>
      <c r="DH78" s="17" t="s">
        <v>3237</v>
      </c>
      <c r="DI78" s="17" t="s">
        <v>3453</v>
      </c>
      <c r="DJ78" s="17" t="s">
        <v>3405</v>
      </c>
      <c r="DK78" s="17" t="s">
        <v>3320</v>
      </c>
      <c r="DL78" s="17" t="s">
        <v>3418</v>
      </c>
      <c r="DM78" s="17">
        <v>2.0799999999999998E-3</v>
      </c>
      <c r="DN78" s="17">
        <v>664.3</v>
      </c>
      <c r="DO78" s="17">
        <v>0.61461319474560505</v>
      </c>
      <c r="DP78" s="17" t="s">
        <v>3308</v>
      </c>
      <c r="DQ78" s="17" t="s">
        <v>2839</v>
      </c>
      <c r="DR78" s="17" t="s">
        <v>56</v>
      </c>
      <c r="DS78" s="17" t="s">
        <v>56</v>
      </c>
      <c r="DT78" s="17" t="s">
        <v>56</v>
      </c>
      <c r="DU78" s="17" t="s">
        <v>56</v>
      </c>
      <c r="DV78" s="17" t="s">
        <v>2862</v>
      </c>
      <c r="DW78" s="17" t="s">
        <v>3309</v>
      </c>
      <c r="DX78" s="17" t="s">
        <v>3310</v>
      </c>
      <c r="DY78" s="17">
        <v>9.7795896448127796E-3</v>
      </c>
      <c r="DZ78" s="17">
        <v>2.7520410355187201E-2</v>
      </c>
      <c r="EA78" s="17" t="s">
        <v>3311</v>
      </c>
      <c r="EB78" s="17">
        <v>4.0201671797007003E-3</v>
      </c>
      <c r="EC78" s="17">
        <v>7.1798328202993004E-3</v>
      </c>
      <c r="ED78" s="17" t="s">
        <v>56</v>
      </c>
      <c r="EE78" s="17" t="s">
        <v>56</v>
      </c>
      <c r="EF78" s="17" t="s">
        <v>56</v>
      </c>
      <c r="EG78" s="17" t="s">
        <v>2862</v>
      </c>
      <c r="EH78" s="17" t="s">
        <v>3309</v>
      </c>
      <c r="EI78" s="17" t="s">
        <v>3312</v>
      </c>
      <c r="EJ78" s="17">
        <v>1.08477E-2</v>
      </c>
      <c r="EK78" s="17">
        <v>5.8252699999999998E-2</v>
      </c>
      <c r="EL78" s="17" t="s">
        <v>3311</v>
      </c>
      <c r="EM78" s="17">
        <v>4.8999999999999998E-3</v>
      </c>
      <c r="EN78" s="17">
        <v>1.01E-2</v>
      </c>
      <c r="EO78" s="17" t="s">
        <v>3312</v>
      </c>
      <c r="EP78" s="17">
        <v>4.3641500000000004</v>
      </c>
      <c r="EQ78" s="17">
        <v>23.435700000000001</v>
      </c>
      <c r="ER78" s="17" t="s">
        <v>3313</v>
      </c>
      <c r="ES78" s="17">
        <v>0.59340000000000004</v>
      </c>
      <c r="ET78" s="17">
        <v>1.2263999999999999</v>
      </c>
      <c r="EU78" s="17" t="s">
        <v>2862</v>
      </c>
      <c r="EV78" s="17" t="s">
        <v>3309</v>
      </c>
      <c r="EW78" s="17" t="s">
        <v>3312</v>
      </c>
      <c r="EX78" s="17">
        <v>4.3641500000000004</v>
      </c>
      <c r="EY78" s="17">
        <v>23.435700000000001</v>
      </c>
      <c r="EZ78" s="17" t="s">
        <v>3311</v>
      </c>
      <c r="FA78" s="17">
        <v>0.59340000000000004</v>
      </c>
      <c r="FB78" s="17">
        <v>1.2263999999999999</v>
      </c>
      <c r="FC78" s="17" t="s">
        <v>56</v>
      </c>
      <c r="FD78" s="17" t="s">
        <v>56</v>
      </c>
      <c r="FE78" s="17" t="s">
        <v>56</v>
      </c>
      <c r="FF78" s="17" t="s">
        <v>56</v>
      </c>
      <c r="FG78" s="17" t="s">
        <v>56</v>
      </c>
      <c r="FH78" s="17" t="s">
        <v>56</v>
      </c>
      <c r="FI78" s="17" t="s">
        <v>56</v>
      </c>
      <c r="FJ78" s="17" t="s">
        <v>56</v>
      </c>
      <c r="FK78" s="17" t="s">
        <v>56</v>
      </c>
      <c r="FL78" s="17" t="s">
        <v>56</v>
      </c>
      <c r="FM78" s="17" t="s">
        <v>56</v>
      </c>
      <c r="FN78" s="17" t="s">
        <v>56</v>
      </c>
      <c r="FO78" s="17" t="s">
        <v>56</v>
      </c>
      <c r="FP78" s="17" t="s">
        <v>56</v>
      </c>
      <c r="FQ78" s="17" t="s">
        <v>56</v>
      </c>
      <c r="FR78" s="17" t="s">
        <v>56</v>
      </c>
      <c r="FS78" s="17" t="s">
        <v>56</v>
      </c>
      <c r="FT78" s="17" t="s">
        <v>56</v>
      </c>
      <c r="FU78" s="17">
        <v>278.95547405960002</v>
      </c>
      <c r="FV78" s="17">
        <v>1498.0046064912001</v>
      </c>
      <c r="FW78" s="17" t="s">
        <v>56</v>
      </c>
      <c r="FX78" s="17" t="s">
        <v>56</v>
      </c>
      <c r="FY78" s="17" t="s">
        <v>56</v>
      </c>
      <c r="FZ78" s="17" t="s">
        <v>56</v>
      </c>
      <c r="GA78" s="17" t="s">
        <v>56</v>
      </c>
      <c r="GB78" s="17" t="s">
        <v>56</v>
      </c>
      <c r="GC78" s="17" t="s">
        <v>56</v>
      </c>
      <c r="GD78" s="17" t="s">
        <v>2969</v>
      </c>
      <c r="GE78" s="17" t="s">
        <v>2969</v>
      </c>
      <c r="GF78" s="17" t="s">
        <v>56</v>
      </c>
      <c r="GG78" s="17" t="s">
        <v>2818</v>
      </c>
      <c r="GH78" s="17" t="s">
        <v>2818</v>
      </c>
      <c r="GI78" s="17" t="s">
        <v>1111</v>
      </c>
      <c r="GJ78" s="17" t="s">
        <v>1111</v>
      </c>
      <c r="GK78" s="17" t="s">
        <v>1111</v>
      </c>
      <c r="GL78" s="17"/>
    </row>
    <row r="79" spans="2:194" x14ac:dyDescent="0.25">
      <c r="B79" s="17" t="s">
        <v>2840</v>
      </c>
      <c r="C79" s="17" t="s">
        <v>70</v>
      </c>
      <c r="D79" s="17" t="s">
        <v>3411</v>
      </c>
      <c r="E79" s="17" t="s">
        <v>3412</v>
      </c>
      <c r="F79" s="17" t="s">
        <v>3237</v>
      </c>
      <c r="G79" s="17" t="s">
        <v>3413</v>
      </c>
      <c r="H79" s="17"/>
      <c r="I79" s="17" t="s">
        <v>2797</v>
      </c>
      <c r="J79" s="17" t="s">
        <v>3403</v>
      </c>
      <c r="K79" s="17" t="s">
        <v>2653</v>
      </c>
      <c r="L79" s="17" t="s">
        <v>2800</v>
      </c>
      <c r="M79" s="17" t="s">
        <v>3414</v>
      </c>
      <c r="N79" s="17" t="s">
        <v>1325</v>
      </c>
      <c r="O79" s="17" t="s">
        <v>2813</v>
      </c>
      <c r="P79" s="17" t="s">
        <v>2814</v>
      </c>
      <c r="Q79" s="17" t="s">
        <v>3616</v>
      </c>
      <c r="R79" s="17">
        <v>17897433.710000001</v>
      </c>
      <c r="S79" s="17">
        <v>4974456.4000000004</v>
      </c>
      <c r="T79" s="17">
        <v>18587154.18</v>
      </c>
      <c r="U79" s="17" t="s">
        <v>2817</v>
      </c>
      <c r="V79" s="17" t="s">
        <v>939</v>
      </c>
      <c r="W79" s="17" t="s">
        <v>2816</v>
      </c>
      <c r="X79" s="17" t="s">
        <v>3403</v>
      </c>
      <c r="Y79" s="17" t="s">
        <v>56</v>
      </c>
      <c r="Z79" s="17" t="s">
        <v>3616</v>
      </c>
      <c r="AA79" s="17" t="s">
        <v>2801</v>
      </c>
      <c r="AB79" s="17">
        <v>2.1629</v>
      </c>
      <c r="AC79" s="17" t="s">
        <v>3616</v>
      </c>
      <c r="AD79" s="17" t="s">
        <v>2804</v>
      </c>
      <c r="AE79" s="17">
        <v>319397</v>
      </c>
      <c r="AF79" s="17" t="s">
        <v>2839</v>
      </c>
      <c r="AG79" s="17" t="s">
        <v>3617</v>
      </c>
      <c r="AH79" s="17" t="s">
        <v>2806</v>
      </c>
      <c r="AI79" s="17"/>
      <c r="AJ79" s="17" t="s">
        <v>56</v>
      </c>
      <c r="AK79" s="17" t="s">
        <v>56</v>
      </c>
      <c r="AL79" s="17" t="s">
        <v>56</v>
      </c>
      <c r="AM79" s="17" t="s">
        <v>56</v>
      </c>
      <c r="AN79" s="17" t="s">
        <v>56</v>
      </c>
      <c r="AO79" s="17" t="s">
        <v>56</v>
      </c>
      <c r="AP79" s="17" t="s">
        <v>56</v>
      </c>
      <c r="AQ79" s="17" t="s">
        <v>56</v>
      </c>
      <c r="AR79" s="17" t="s">
        <v>56</v>
      </c>
      <c r="AS79" s="17">
        <v>677.19899999999996</v>
      </c>
      <c r="AT79" s="17">
        <v>82.007599999999996</v>
      </c>
      <c r="AU79" s="17">
        <v>435.83600000000001</v>
      </c>
      <c r="AV79" s="17" t="s">
        <v>56</v>
      </c>
      <c r="AW79" s="17" t="s">
        <v>56</v>
      </c>
      <c r="AX79" s="17" t="s">
        <v>56</v>
      </c>
      <c r="AY79" s="17">
        <v>561.97</v>
      </c>
      <c r="AZ79" s="17">
        <v>68.053600000000003</v>
      </c>
      <c r="BA79" s="17">
        <v>361.67599999999999</v>
      </c>
      <c r="BB79" s="17" t="s">
        <v>56</v>
      </c>
      <c r="BC79" s="17" t="s">
        <v>56</v>
      </c>
      <c r="BD79" s="17" t="s">
        <v>56</v>
      </c>
      <c r="BE79" s="17" t="s">
        <v>56</v>
      </c>
      <c r="BF79" s="17" t="s">
        <v>56</v>
      </c>
      <c r="BG79" s="17" t="s">
        <v>56</v>
      </c>
      <c r="BH79" s="17" t="s">
        <v>56</v>
      </c>
      <c r="BI79" s="17" t="s">
        <v>56</v>
      </c>
      <c r="BJ79" s="17" t="s">
        <v>56</v>
      </c>
      <c r="BK79" s="17" t="s">
        <v>56</v>
      </c>
      <c r="BL79" s="17" t="s">
        <v>56</v>
      </c>
      <c r="BM79" s="17" t="s">
        <v>56</v>
      </c>
      <c r="BN79" s="17" t="s">
        <v>56</v>
      </c>
      <c r="BO79" s="17" t="s">
        <v>56</v>
      </c>
      <c r="BP79" s="17" t="s">
        <v>56</v>
      </c>
      <c r="BQ79" s="17" t="s">
        <v>56</v>
      </c>
      <c r="BR79" s="17" t="s">
        <v>56</v>
      </c>
      <c r="BS79" s="17" t="s">
        <v>56</v>
      </c>
      <c r="BT79" s="17" t="s">
        <v>56</v>
      </c>
      <c r="BU79" s="17" t="s">
        <v>56</v>
      </c>
      <c r="BV79" s="17" t="s">
        <v>56</v>
      </c>
      <c r="BW79" s="17" t="s">
        <v>56</v>
      </c>
      <c r="BX79" s="17" t="s">
        <v>2818</v>
      </c>
      <c r="BY79" s="17" t="s">
        <v>1111</v>
      </c>
      <c r="BZ79" s="17" t="s">
        <v>56</v>
      </c>
      <c r="CA79" s="17" t="s">
        <v>56</v>
      </c>
      <c r="CB79" s="17" t="s">
        <v>1325</v>
      </c>
      <c r="CC79" s="17" t="s">
        <v>1325</v>
      </c>
      <c r="CD79" s="17" t="s">
        <v>1325</v>
      </c>
      <c r="CE79" s="17" t="s">
        <v>1325</v>
      </c>
      <c r="CF79" s="17" t="s">
        <v>1325</v>
      </c>
      <c r="CG79" s="17" t="s">
        <v>1325</v>
      </c>
      <c r="CH79" s="17" t="s">
        <v>1325</v>
      </c>
      <c r="CI79" s="17" t="s">
        <v>1325</v>
      </c>
      <c r="CJ79" s="17" t="s">
        <v>1325</v>
      </c>
      <c r="CK79" s="17" t="s">
        <v>1325</v>
      </c>
      <c r="CL79" s="17" t="s">
        <v>1325</v>
      </c>
      <c r="CM79" s="17" t="s">
        <v>1325</v>
      </c>
      <c r="CN79" s="17" t="s">
        <v>1325</v>
      </c>
      <c r="CO79" s="17" t="s">
        <v>1325</v>
      </c>
      <c r="CP79" s="17" t="s">
        <v>1325</v>
      </c>
      <c r="CQ79" s="17" t="s">
        <v>1325</v>
      </c>
      <c r="CR79" s="17" t="s">
        <v>1325</v>
      </c>
      <c r="CS79" s="17" t="s">
        <v>1325</v>
      </c>
      <c r="CT79" s="17" t="s">
        <v>1325</v>
      </c>
      <c r="CU79" s="17" t="s">
        <v>1325</v>
      </c>
      <c r="CV79" s="17" t="s">
        <v>1325</v>
      </c>
      <c r="CW79" s="17" t="s">
        <v>56</v>
      </c>
      <c r="CX79" s="17" t="s">
        <v>56</v>
      </c>
      <c r="CY79" s="17" t="s">
        <v>56</v>
      </c>
      <c r="CZ79" s="17">
        <v>319397</v>
      </c>
      <c r="DA79" s="17">
        <v>319397</v>
      </c>
      <c r="DB79" s="17">
        <v>319397</v>
      </c>
      <c r="DC79" s="17"/>
      <c r="DD79" s="17"/>
      <c r="DE79" s="17"/>
      <c r="DF79" s="17" t="s">
        <v>3415</v>
      </c>
      <c r="DG79" s="17" t="s">
        <v>3554</v>
      </c>
      <c r="DH79" s="17" t="s">
        <v>3237</v>
      </c>
      <c r="DI79" s="17" t="s">
        <v>3555</v>
      </c>
      <c r="DJ79" s="17" t="s">
        <v>3408</v>
      </c>
      <c r="DK79" s="17" t="s">
        <v>3320</v>
      </c>
      <c r="DL79" s="17" t="s">
        <v>3418</v>
      </c>
      <c r="DM79" s="17">
        <v>1.4987E-2</v>
      </c>
      <c r="DN79" s="17">
        <v>4786.8</v>
      </c>
      <c r="DO79" s="17">
        <v>0.42855814478066201</v>
      </c>
      <c r="DP79" s="17" t="s">
        <v>3308</v>
      </c>
      <c r="DQ79" s="17" t="s">
        <v>2839</v>
      </c>
      <c r="DR79" s="17" t="s">
        <v>56</v>
      </c>
      <c r="DS79" s="17" t="s">
        <v>56</v>
      </c>
      <c r="DT79" s="17" t="s">
        <v>56</v>
      </c>
      <c r="DU79" s="17" t="s">
        <v>56</v>
      </c>
      <c r="DV79" s="17" t="s">
        <v>2862</v>
      </c>
      <c r="DW79" s="17" t="s">
        <v>3309</v>
      </c>
      <c r="DX79" s="17" t="s">
        <v>3310</v>
      </c>
      <c r="DY79" s="17">
        <v>1.40008066228687E-2</v>
      </c>
      <c r="DZ79" s="17">
        <v>3.9399193377131297E-2</v>
      </c>
      <c r="EA79" s="17" t="s">
        <v>3311</v>
      </c>
      <c r="EB79" s="17">
        <v>5.77899032081976E-3</v>
      </c>
      <c r="EC79" s="17">
        <v>1.0321009679180201E-2</v>
      </c>
      <c r="ED79" s="17" t="s">
        <v>56</v>
      </c>
      <c r="EE79" s="17" t="s">
        <v>56</v>
      </c>
      <c r="EF79" s="17" t="s">
        <v>56</v>
      </c>
      <c r="EG79" s="17" t="s">
        <v>2862</v>
      </c>
      <c r="EH79" s="17" t="s">
        <v>3309</v>
      </c>
      <c r="EI79" s="17" t="s">
        <v>3312</v>
      </c>
      <c r="EJ79" s="17">
        <v>1.08477E-2</v>
      </c>
      <c r="EK79" s="17">
        <v>5.8252699999999998E-2</v>
      </c>
      <c r="EL79" s="17" t="s">
        <v>3311</v>
      </c>
      <c r="EM79" s="17">
        <v>4.8999999999999998E-3</v>
      </c>
      <c r="EN79" s="17">
        <v>1.01E-2</v>
      </c>
      <c r="EO79" s="17" t="s">
        <v>3312</v>
      </c>
      <c r="EP79" s="17">
        <v>4.3641500000000004</v>
      </c>
      <c r="EQ79" s="17">
        <v>23.435700000000001</v>
      </c>
      <c r="ER79" s="17" t="s">
        <v>3313</v>
      </c>
      <c r="ES79" s="17">
        <v>0.59340000000000004</v>
      </c>
      <c r="ET79" s="17">
        <v>1.2263999999999999</v>
      </c>
      <c r="EU79" s="17" t="s">
        <v>2862</v>
      </c>
      <c r="EV79" s="17" t="s">
        <v>3309</v>
      </c>
      <c r="EW79" s="17" t="s">
        <v>3312</v>
      </c>
      <c r="EX79" s="17">
        <v>4.3641500000000004</v>
      </c>
      <c r="EY79" s="17">
        <v>23.435700000000001</v>
      </c>
      <c r="EZ79" s="17" t="s">
        <v>3311</v>
      </c>
      <c r="FA79" s="17">
        <v>0.59340000000000004</v>
      </c>
      <c r="FB79" s="17">
        <v>1.2263999999999999</v>
      </c>
      <c r="FC79" s="17" t="s">
        <v>56</v>
      </c>
      <c r="FD79" s="17" t="s">
        <v>56</v>
      </c>
      <c r="FE79" s="17" t="s">
        <v>56</v>
      </c>
      <c r="FF79" s="17" t="s">
        <v>56</v>
      </c>
      <c r="FG79" s="17" t="s">
        <v>56</v>
      </c>
      <c r="FH79" s="17" t="s">
        <v>56</v>
      </c>
      <c r="FI79" s="17" t="s">
        <v>56</v>
      </c>
      <c r="FJ79" s="17" t="s">
        <v>56</v>
      </c>
      <c r="FK79" s="17" t="s">
        <v>56</v>
      </c>
      <c r="FL79" s="17" t="s">
        <v>56</v>
      </c>
      <c r="FM79" s="17" t="s">
        <v>56</v>
      </c>
      <c r="FN79" s="17" t="s">
        <v>56</v>
      </c>
      <c r="FO79" s="17" t="s">
        <v>56</v>
      </c>
      <c r="FP79" s="17" t="s">
        <v>56</v>
      </c>
      <c r="FQ79" s="17" t="s">
        <v>56</v>
      </c>
      <c r="FR79" s="17" t="s">
        <v>56</v>
      </c>
      <c r="FS79" s="17" t="s">
        <v>56</v>
      </c>
      <c r="FT79" s="17" t="s">
        <v>56</v>
      </c>
      <c r="FU79" s="17">
        <v>194.51037082802</v>
      </c>
      <c r="FV79" s="17">
        <v>1044.53025162156</v>
      </c>
      <c r="FW79" s="17" t="s">
        <v>56</v>
      </c>
      <c r="FX79" s="17" t="s">
        <v>56</v>
      </c>
      <c r="FY79" s="17" t="s">
        <v>56</v>
      </c>
      <c r="FZ79" s="17" t="s">
        <v>56</v>
      </c>
      <c r="GA79" s="17" t="s">
        <v>56</v>
      </c>
      <c r="GB79" s="17" t="s">
        <v>56</v>
      </c>
      <c r="GC79" s="17" t="s">
        <v>56</v>
      </c>
      <c r="GD79" s="17" t="s">
        <v>2969</v>
      </c>
      <c r="GE79" s="17" t="s">
        <v>2969</v>
      </c>
      <c r="GF79" s="17" t="s">
        <v>56</v>
      </c>
      <c r="GG79" s="17" t="s">
        <v>2818</v>
      </c>
      <c r="GH79" s="17" t="s">
        <v>2818</v>
      </c>
      <c r="GI79" s="17" t="s">
        <v>1111</v>
      </c>
      <c r="GJ79" s="17" t="s">
        <v>1111</v>
      </c>
      <c r="GK79" s="17" t="s">
        <v>1111</v>
      </c>
      <c r="GL79" s="17"/>
    </row>
    <row r="80" spans="2:194" x14ac:dyDescent="0.25">
      <c r="B80" s="17" t="s">
        <v>2840</v>
      </c>
      <c r="C80" s="17" t="s">
        <v>70</v>
      </c>
      <c r="D80" s="17" t="s">
        <v>3411</v>
      </c>
      <c r="E80" s="17" t="s">
        <v>3412</v>
      </c>
      <c r="F80" s="17" t="s">
        <v>3237</v>
      </c>
      <c r="G80" s="17" t="s">
        <v>3413</v>
      </c>
      <c r="H80" s="17"/>
      <c r="I80" s="17" t="s">
        <v>2797</v>
      </c>
      <c r="J80" s="17" t="s">
        <v>3403</v>
      </c>
      <c r="K80" s="17" t="s">
        <v>2653</v>
      </c>
      <c r="L80" s="17" t="s">
        <v>2800</v>
      </c>
      <c r="M80" s="17" t="s">
        <v>3414</v>
      </c>
      <c r="N80" s="17" t="s">
        <v>1325</v>
      </c>
      <c r="O80" s="17" t="s">
        <v>2813</v>
      </c>
      <c r="P80" s="17" t="s">
        <v>2814</v>
      </c>
      <c r="Q80" s="17" t="s">
        <v>3616</v>
      </c>
      <c r="R80" s="17">
        <v>17897433.710000001</v>
      </c>
      <c r="S80" s="17">
        <v>4974456.4000000004</v>
      </c>
      <c r="T80" s="17">
        <v>18587154.18</v>
      </c>
      <c r="U80" s="17" t="s">
        <v>2817</v>
      </c>
      <c r="V80" s="17" t="s">
        <v>939</v>
      </c>
      <c r="W80" s="17" t="s">
        <v>2816</v>
      </c>
      <c r="X80" s="17" t="s">
        <v>3403</v>
      </c>
      <c r="Y80" s="17" t="s">
        <v>56</v>
      </c>
      <c r="Z80" s="17" t="s">
        <v>3616</v>
      </c>
      <c r="AA80" s="17" t="s">
        <v>2801</v>
      </c>
      <c r="AB80" s="17">
        <v>2.1629</v>
      </c>
      <c r="AC80" s="17" t="s">
        <v>3616</v>
      </c>
      <c r="AD80" s="17" t="s">
        <v>2804</v>
      </c>
      <c r="AE80" s="17">
        <v>319397</v>
      </c>
      <c r="AF80" s="17" t="s">
        <v>2839</v>
      </c>
      <c r="AG80" s="17" t="s">
        <v>3617</v>
      </c>
      <c r="AH80" s="17" t="s">
        <v>2806</v>
      </c>
      <c r="AI80" s="17"/>
      <c r="AJ80" s="17" t="s">
        <v>56</v>
      </c>
      <c r="AK80" s="17" t="s">
        <v>56</v>
      </c>
      <c r="AL80" s="17" t="s">
        <v>56</v>
      </c>
      <c r="AM80" s="17" t="s">
        <v>56</v>
      </c>
      <c r="AN80" s="17" t="s">
        <v>56</v>
      </c>
      <c r="AO80" s="17" t="s">
        <v>56</v>
      </c>
      <c r="AP80" s="17" t="s">
        <v>56</v>
      </c>
      <c r="AQ80" s="17" t="s">
        <v>56</v>
      </c>
      <c r="AR80" s="17" t="s">
        <v>56</v>
      </c>
      <c r="AS80" s="17">
        <v>677.19899999999996</v>
      </c>
      <c r="AT80" s="17">
        <v>82.007599999999996</v>
      </c>
      <c r="AU80" s="17">
        <v>435.83600000000001</v>
      </c>
      <c r="AV80" s="17" t="s">
        <v>56</v>
      </c>
      <c r="AW80" s="17" t="s">
        <v>56</v>
      </c>
      <c r="AX80" s="17" t="s">
        <v>56</v>
      </c>
      <c r="AY80" s="17">
        <v>561.97</v>
      </c>
      <c r="AZ80" s="17">
        <v>68.053600000000003</v>
      </c>
      <c r="BA80" s="17">
        <v>361.67599999999999</v>
      </c>
      <c r="BB80" s="17" t="s">
        <v>56</v>
      </c>
      <c r="BC80" s="17" t="s">
        <v>56</v>
      </c>
      <c r="BD80" s="17" t="s">
        <v>56</v>
      </c>
      <c r="BE80" s="17" t="s">
        <v>56</v>
      </c>
      <c r="BF80" s="17" t="s">
        <v>56</v>
      </c>
      <c r="BG80" s="17" t="s">
        <v>56</v>
      </c>
      <c r="BH80" s="17" t="s">
        <v>56</v>
      </c>
      <c r="BI80" s="17" t="s">
        <v>56</v>
      </c>
      <c r="BJ80" s="17" t="s">
        <v>56</v>
      </c>
      <c r="BK80" s="17" t="s">
        <v>56</v>
      </c>
      <c r="BL80" s="17" t="s">
        <v>56</v>
      </c>
      <c r="BM80" s="17" t="s">
        <v>56</v>
      </c>
      <c r="BN80" s="17" t="s">
        <v>56</v>
      </c>
      <c r="BO80" s="17" t="s">
        <v>56</v>
      </c>
      <c r="BP80" s="17" t="s">
        <v>56</v>
      </c>
      <c r="BQ80" s="17" t="s">
        <v>56</v>
      </c>
      <c r="BR80" s="17" t="s">
        <v>56</v>
      </c>
      <c r="BS80" s="17" t="s">
        <v>56</v>
      </c>
      <c r="BT80" s="17" t="s">
        <v>56</v>
      </c>
      <c r="BU80" s="17" t="s">
        <v>56</v>
      </c>
      <c r="BV80" s="17" t="s">
        <v>56</v>
      </c>
      <c r="BW80" s="17" t="s">
        <v>56</v>
      </c>
      <c r="BX80" s="17" t="s">
        <v>2818</v>
      </c>
      <c r="BY80" s="17" t="s">
        <v>1111</v>
      </c>
      <c r="BZ80" s="17" t="s">
        <v>56</v>
      </c>
      <c r="CA80" s="17" t="s">
        <v>56</v>
      </c>
      <c r="CB80" s="17" t="s">
        <v>1325</v>
      </c>
      <c r="CC80" s="17" t="s">
        <v>1325</v>
      </c>
      <c r="CD80" s="17" t="s">
        <v>1325</v>
      </c>
      <c r="CE80" s="17" t="s">
        <v>1325</v>
      </c>
      <c r="CF80" s="17" t="s">
        <v>1325</v>
      </c>
      <c r="CG80" s="17" t="s">
        <v>1325</v>
      </c>
      <c r="CH80" s="17" t="s">
        <v>1325</v>
      </c>
      <c r="CI80" s="17" t="s">
        <v>1325</v>
      </c>
      <c r="CJ80" s="17" t="s">
        <v>1325</v>
      </c>
      <c r="CK80" s="17" t="s">
        <v>1325</v>
      </c>
      <c r="CL80" s="17" t="s">
        <v>1325</v>
      </c>
      <c r="CM80" s="17" t="s">
        <v>1325</v>
      </c>
      <c r="CN80" s="17" t="s">
        <v>1325</v>
      </c>
      <c r="CO80" s="17" t="s">
        <v>1325</v>
      </c>
      <c r="CP80" s="17" t="s">
        <v>1325</v>
      </c>
      <c r="CQ80" s="17" t="s">
        <v>1325</v>
      </c>
      <c r="CR80" s="17" t="s">
        <v>1325</v>
      </c>
      <c r="CS80" s="17" t="s">
        <v>1325</v>
      </c>
      <c r="CT80" s="17" t="s">
        <v>1325</v>
      </c>
      <c r="CU80" s="17" t="s">
        <v>1325</v>
      </c>
      <c r="CV80" s="17" t="s">
        <v>1325</v>
      </c>
      <c r="CW80" s="17" t="s">
        <v>56</v>
      </c>
      <c r="CX80" s="17" t="s">
        <v>56</v>
      </c>
      <c r="CY80" s="17" t="s">
        <v>56</v>
      </c>
      <c r="CZ80" s="17">
        <v>319397</v>
      </c>
      <c r="DA80" s="17">
        <v>319397</v>
      </c>
      <c r="DB80" s="17">
        <v>319397</v>
      </c>
      <c r="DC80" s="17"/>
      <c r="DD80" s="17"/>
      <c r="DE80" s="17"/>
      <c r="DF80" s="17" t="s">
        <v>3415</v>
      </c>
      <c r="DG80" s="17" t="s">
        <v>3556</v>
      </c>
      <c r="DH80" s="17" t="s">
        <v>3237</v>
      </c>
      <c r="DI80" s="17" t="s">
        <v>3557</v>
      </c>
      <c r="DJ80" s="17" t="s">
        <v>3405</v>
      </c>
      <c r="DK80" s="17" t="s">
        <v>3320</v>
      </c>
      <c r="DL80" s="17" t="s">
        <v>3418</v>
      </c>
      <c r="DM80" s="17">
        <v>7.0299999999999996E-4</v>
      </c>
      <c r="DN80" s="17">
        <v>224.5</v>
      </c>
      <c r="DO80" s="17">
        <v>0.42855884872137401</v>
      </c>
      <c r="DP80" s="17" t="s">
        <v>3308</v>
      </c>
      <c r="DQ80" s="17" t="s">
        <v>2839</v>
      </c>
      <c r="DR80" s="17" t="s">
        <v>56</v>
      </c>
      <c r="DS80" s="17" t="s">
        <v>56</v>
      </c>
      <c r="DT80" s="17" t="s">
        <v>56</v>
      </c>
      <c r="DU80" s="17" t="s">
        <v>56</v>
      </c>
      <c r="DV80" s="17" t="s">
        <v>2862</v>
      </c>
      <c r="DW80" s="17" t="s">
        <v>3309</v>
      </c>
      <c r="DX80" s="17" t="s">
        <v>3310</v>
      </c>
      <c r="DY80" s="17">
        <v>9.7795896448127796E-3</v>
      </c>
      <c r="DZ80" s="17">
        <v>2.7520410355187201E-2</v>
      </c>
      <c r="EA80" s="17" t="s">
        <v>3311</v>
      </c>
      <c r="EB80" s="17">
        <v>4.0201671797007003E-3</v>
      </c>
      <c r="EC80" s="17">
        <v>7.1798328202993004E-3</v>
      </c>
      <c r="ED80" s="17" t="s">
        <v>56</v>
      </c>
      <c r="EE80" s="17" t="s">
        <v>56</v>
      </c>
      <c r="EF80" s="17" t="s">
        <v>56</v>
      </c>
      <c r="EG80" s="17" t="s">
        <v>2862</v>
      </c>
      <c r="EH80" s="17" t="s">
        <v>3309</v>
      </c>
      <c r="EI80" s="17" t="s">
        <v>3312</v>
      </c>
      <c r="EJ80" s="17">
        <v>1.08477E-2</v>
      </c>
      <c r="EK80" s="17">
        <v>5.8252699999999998E-2</v>
      </c>
      <c r="EL80" s="17" t="s">
        <v>3311</v>
      </c>
      <c r="EM80" s="17">
        <v>4.8999999999999998E-3</v>
      </c>
      <c r="EN80" s="17">
        <v>1.01E-2</v>
      </c>
      <c r="EO80" s="17" t="s">
        <v>3312</v>
      </c>
      <c r="EP80" s="17">
        <v>4.3641500000000004</v>
      </c>
      <c r="EQ80" s="17">
        <v>23.435700000000001</v>
      </c>
      <c r="ER80" s="17" t="s">
        <v>3313</v>
      </c>
      <c r="ES80" s="17">
        <v>0.59340000000000004</v>
      </c>
      <c r="ET80" s="17">
        <v>1.2263999999999999</v>
      </c>
      <c r="EU80" s="17" t="s">
        <v>2862</v>
      </c>
      <c r="EV80" s="17" t="s">
        <v>3309</v>
      </c>
      <c r="EW80" s="17" t="s">
        <v>3312</v>
      </c>
      <c r="EX80" s="17">
        <v>4.3641500000000004</v>
      </c>
      <c r="EY80" s="17">
        <v>23.435700000000001</v>
      </c>
      <c r="EZ80" s="17" t="s">
        <v>3311</v>
      </c>
      <c r="FA80" s="17">
        <v>0.59340000000000004</v>
      </c>
      <c r="FB80" s="17">
        <v>1.2263999999999999</v>
      </c>
      <c r="FC80" s="17" t="s">
        <v>56</v>
      </c>
      <c r="FD80" s="17" t="s">
        <v>56</v>
      </c>
      <c r="FE80" s="17" t="s">
        <v>56</v>
      </c>
      <c r="FF80" s="17" t="s">
        <v>56</v>
      </c>
      <c r="FG80" s="17" t="s">
        <v>56</v>
      </c>
      <c r="FH80" s="17" t="s">
        <v>56</v>
      </c>
      <c r="FI80" s="17" t="s">
        <v>56</v>
      </c>
      <c r="FJ80" s="17" t="s">
        <v>56</v>
      </c>
      <c r="FK80" s="17" t="s">
        <v>56</v>
      </c>
      <c r="FL80" s="17" t="s">
        <v>56</v>
      </c>
      <c r="FM80" s="17" t="s">
        <v>56</v>
      </c>
      <c r="FN80" s="17" t="s">
        <v>56</v>
      </c>
      <c r="FO80" s="17" t="s">
        <v>56</v>
      </c>
      <c r="FP80" s="17" t="s">
        <v>56</v>
      </c>
      <c r="FQ80" s="17" t="s">
        <v>56</v>
      </c>
      <c r="FR80" s="17" t="s">
        <v>56</v>
      </c>
      <c r="FS80" s="17" t="s">
        <v>56</v>
      </c>
      <c r="FT80" s="17" t="s">
        <v>56</v>
      </c>
      <c r="FU80" s="17">
        <v>194.51069035362701</v>
      </c>
      <c r="FV80" s="17">
        <v>1044.5319674897701</v>
      </c>
      <c r="FW80" s="17" t="s">
        <v>56</v>
      </c>
      <c r="FX80" s="17" t="s">
        <v>56</v>
      </c>
      <c r="FY80" s="17" t="s">
        <v>56</v>
      </c>
      <c r="FZ80" s="17" t="s">
        <v>56</v>
      </c>
      <c r="GA80" s="17" t="s">
        <v>56</v>
      </c>
      <c r="GB80" s="17" t="s">
        <v>56</v>
      </c>
      <c r="GC80" s="17" t="s">
        <v>56</v>
      </c>
      <c r="GD80" s="17" t="s">
        <v>2969</v>
      </c>
      <c r="GE80" s="17" t="s">
        <v>2969</v>
      </c>
      <c r="GF80" s="17" t="s">
        <v>56</v>
      </c>
      <c r="GG80" s="17" t="s">
        <v>2818</v>
      </c>
      <c r="GH80" s="17" t="s">
        <v>2818</v>
      </c>
      <c r="GI80" s="17" t="s">
        <v>1111</v>
      </c>
      <c r="GJ80" s="17" t="s">
        <v>1111</v>
      </c>
      <c r="GK80" s="17" t="s">
        <v>1111</v>
      </c>
      <c r="GL80" s="17"/>
    </row>
    <row r="81" spans="2:194" x14ac:dyDescent="0.25">
      <c r="B81" s="17" t="s">
        <v>2840</v>
      </c>
      <c r="C81" s="17" t="s">
        <v>70</v>
      </c>
      <c r="D81" s="17" t="s">
        <v>3411</v>
      </c>
      <c r="E81" s="17" t="s">
        <v>3412</v>
      </c>
      <c r="F81" s="17" t="s">
        <v>3237</v>
      </c>
      <c r="G81" s="17" t="s">
        <v>3413</v>
      </c>
      <c r="H81" s="17"/>
      <c r="I81" s="17" t="s">
        <v>2797</v>
      </c>
      <c r="J81" s="17" t="s">
        <v>3403</v>
      </c>
      <c r="K81" s="17" t="s">
        <v>2653</v>
      </c>
      <c r="L81" s="17" t="s">
        <v>2800</v>
      </c>
      <c r="M81" s="17" t="s">
        <v>3414</v>
      </c>
      <c r="N81" s="17" t="s">
        <v>1325</v>
      </c>
      <c r="O81" s="17" t="s">
        <v>2813</v>
      </c>
      <c r="P81" s="17" t="s">
        <v>2814</v>
      </c>
      <c r="Q81" s="17" t="s">
        <v>3616</v>
      </c>
      <c r="R81" s="17">
        <v>17897433.710000001</v>
      </c>
      <c r="S81" s="17">
        <v>4974456.4000000004</v>
      </c>
      <c r="T81" s="17">
        <v>18587154.18</v>
      </c>
      <c r="U81" s="17" t="s">
        <v>2817</v>
      </c>
      <c r="V81" s="17" t="s">
        <v>939</v>
      </c>
      <c r="W81" s="17" t="s">
        <v>2816</v>
      </c>
      <c r="X81" s="17" t="s">
        <v>3403</v>
      </c>
      <c r="Y81" s="17" t="s">
        <v>56</v>
      </c>
      <c r="Z81" s="17" t="s">
        <v>3616</v>
      </c>
      <c r="AA81" s="17" t="s">
        <v>2801</v>
      </c>
      <c r="AB81" s="17">
        <v>2.1629</v>
      </c>
      <c r="AC81" s="17" t="s">
        <v>3616</v>
      </c>
      <c r="AD81" s="17" t="s">
        <v>2804</v>
      </c>
      <c r="AE81" s="17">
        <v>319397</v>
      </c>
      <c r="AF81" s="17" t="s">
        <v>2839</v>
      </c>
      <c r="AG81" s="17" t="s">
        <v>3617</v>
      </c>
      <c r="AH81" s="17" t="s">
        <v>2806</v>
      </c>
      <c r="AI81" s="17"/>
      <c r="AJ81" s="17" t="s">
        <v>56</v>
      </c>
      <c r="AK81" s="17" t="s">
        <v>56</v>
      </c>
      <c r="AL81" s="17" t="s">
        <v>56</v>
      </c>
      <c r="AM81" s="17" t="s">
        <v>56</v>
      </c>
      <c r="AN81" s="17" t="s">
        <v>56</v>
      </c>
      <c r="AO81" s="17" t="s">
        <v>56</v>
      </c>
      <c r="AP81" s="17" t="s">
        <v>56</v>
      </c>
      <c r="AQ81" s="17" t="s">
        <v>56</v>
      </c>
      <c r="AR81" s="17" t="s">
        <v>56</v>
      </c>
      <c r="AS81" s="17">
        <v>677.19899999999996</v>
      </c>
      <c r="AT81" s="17">
        <v>82.007599999999996</v>
      </c>
      <c r="AU81" s="17">
        <v>435.83600000000001</v>
      </c>
      <c r="AV81" s="17" t="s">
        <v>56</v>
      </c>
      <c r="AW81" s="17" t="s">
        <v>56</v>
      </c>
      <c r="AX81" s="17" t="s">
        <v>56</v>
      </c>
      <c r="AY81" s="17">
        <v>561.97</v>
      </c>
      <c r="AZ81" s="17">
        <v>68.053600000000003</v>
      </c>
      <c r="BA81" s="17">
        <v>361.67599999999999</v>
      </c>
      <c r="BB81" s="17" t="s">
        <v>56</v>
      </c>
      <c r="BC81" s="17" t="s">
        <v>56</v>
      </c>
      <c r="BD81" s="17" t="s">
        <v>56</v>
      </c>
      <c r="BE81" s="17" t="s">
        <v>56</v>
      </c>
      <c r="BF81" s="17" t="s">
        <v>56</v>
      </c>
      <c r="BG81" s="17" t="s">
        <v>56</v>
      </c>
      <c r="BH81" s="17" t="s">
        <v>56</v>
      </c>
      <c r="BI81" s="17" t="s">
        <v>56</v>
      </c>
      <c r="BJ81" s="17" t="s">
        <v>56</v>
      </c>
      <c r="BK81" s="17" t="s">
        <v>56</v>
      </c>
      <c r="BL81" s="17" t="s">
        <v>56</v>
      </c>
      <c r="BM81" s="17" t="s">
        <v>56</v>
      </c>
      <c r="BN81" s="17" t="s">
        <v>56</v>
      </c>
      <c r="BO81" s="17" t="s">
        <v>56</v>
      </c>
      <c r="BP81" s="17" t="s">
        <v>56</v>
      </c>
      <c r="BQ81" s="17" t="s">
        <v>56</v>
      </c>
      <c r="BR81" s="17" t="s">
        <v>56</v>
      </c>
      <c r="BS81" s="17" t="s">
        <v>56</v>
      </c>
      <c r="BT81" s="17" t="s">
        <v>56</v>
      </c>
      <c r="BU81" s="17" t="s">
        <v>56</v>
      </c>
      <c r="BV81" s="17" t="s">
        <v>56</v>
      </c>
      <c r="BW81" s="17" t="s">
        <v>56</v>
      </c>
      <c r="BX81" s="17" t="s">
        <v>2818</v>
      </c>
      <c r="BY81" s="17" t="s">
        <v>1111</v>
      </c>
      <c r="BZ81" s="17" t="s">
        <v>56</v>
      </c>
      <c r="CA81" s="17" t="s">
        <v>56</v>
      </c>
      <c r="CB81" s="17" t="s">
        <v>1325</v>
      </c>
      <c r="CC81" s="17" t="s">
        <v>1325</v>
      </c>
      <c r="CD81" s="17" t="s">
        <v>1325</v>
      </c>
      <c r="CE81" s="17" t="s">
        <v>1325</v>
      </c>
      <c r="CF81" s="17" t="s">
        <v>1325</v>
      </c>
      <c r="CG81" s="17" t="s">
        <v>1325</v>
      </c>
      <c r="CH81" s="17" t="s">
        <v>1325</v>
      </c>
      <c r="CI81" s="17" t="s">
        <v>1325</v>
      </c>
      <c r="CJ81" s="17" t="s">
        <v>1325</v>
      </c>
      <c r="CK81" s="17" t="s">
        <v>1325</v>
      </c>
      <c r="CL81" s="17" t="s">
        <v>1325</v>
      </c>
      <c r="CM81" s="17" t="s">
        <v>1325</v>
      </c>
      <c r="CN81" s="17" t="s">
        <v>1325</v>
      </c>
      <c r="CO81" s="17" t="s">
        <v>1325</v>
      </c>
      <c r="CP81" s="17" t="s">
        <v>1325</v>
      </c>
      <c r="CQ81" s="17" t="s">
        <v>1325</v>
      </c>
      <c r="CR81" s="17" t="s">
        <v>1325</v>
      </c>
      <c r="CS81" s="17" t="s">
        <v>1325</v>
      </c>
      <c r="CT81" s="17" t="s">
        <v>1325</v>
      </c>
      <c r="CU81" s="17" t="s">
        <v>1325</v>
      </c>
      <c r="CV81" s="17" t="s">
        <v>1325</v>
      </c>
      <c r="CW81" s="17" t="s">
        <v>56</v>
      </c>
      <c r="CX81" s="17" t="s">
        <v>56</v>
      </c>
      <c r="CY81" s="17" t="s">
        <v>56</v>
      </c>
      <c r="CZ81" s="17">
        <v>319397</v>
      </c>
      <c r="DA81" s="17">
        <v>319397</v>
      </c>
      <c r="DB81" s="17">
        <v>319397</v>
      </c>
      <c r="DC81" s="17"/>
      <c r="DD81" s="17"/>
      <c r="DE81" s="17"/>
      <c r="DF81" s="17" t="s">
        <v>3415</v>
      </c>
      <c r="DG81" s="17" t="s">
        <v>3558</v>
      </c>
      <c r="DH81" s="17" t="s">
        <v>3237</v>
      </c>
      <c r="DI81" s="17" t="s">
        <v>3559</v>
      </c>
      <c r="DJ81" s="17" t="s">
        <v>3405</v>
      </c>
      <c r="DK81" s="17" t="s">
        <v>3320</v>
      </c>
      <c r="DL81" s="17" t="s">
        <v>3418</v>
      </c>
      <c r="DM81" s="17">
        <v>1.635E-3</v>
      </c>
      <c r="DN81" s="17">
        <v>522.20000000000005</v>
      </c>
      <c r="DO81" s="17">
        <v>0.42855793366694001</v>
      </c>
      <c r="DP81" s="17" t="s">
        <v>3308</v>
      </c>
      <c r="DQ81" s="17" t="s">
        <v>2839</v>
      </c>
      <c r="DR81" s="17" t="s">
        <v>56</v>
      </c>
      <c r="DS81" s="17" t="s">
        <v>56</v>
      </c>
      <c r="DT81" s="17" t="s">
        <v>56</v>
      </c>
      <c r="DU81" s="17" t="s">
        <v>56</v>
      </c>
      <c r="DV81" s="17" t="s">
        <v>2862</v>
      </c>
      <c r="DW81" s="17" t="s">
        <v>3309</v>
      </c>
      <c r="DX81" s="17" t="s">
        <v>3310</v>
      </c>
      <c r="DY81" s="17">
        <v>9.7795896448127796E-3</v>
      </c>
      <c r="DZ81" s="17">
        <v>2.7520410355187201E-2</v>
      </c>
      <c r="EA81" s="17" t="s">
        <v>3311</v>
      </c>
      <c r="EB81" s="17">
        <v>4.0201671797007003E-3</v>
      </c>
      <c r="EC81" s="17">
        <v>7.1798328202993004E-3</v>
      </c>
      <c r="ED81" s="17" t="s">
        <v>56</v>
      </c>
      <c r="EE81" s="17" t="s">
        <v>56</v>
      </c>
      <c r="EF81" s="17" t="s">
        <v>56</v>
      </c>
      <c r="EG81" s="17" t="s">
        <v>2862</v>
      </c>
      <c r="EH81" s="17" t="s">
        <v>3309</v>
      </c>
      <c r="EI81" s="17" t="s">
        <v>3312</v>
      </c>
      <c r="EJ81" s="17">
        <v>1.08477E-2</v>
      </c>
      <c r="EK81" s="17">
        <v>5.8252699999999998E-2</v>
      </c>
      <c r="EL81" s="17" t="s">
        <v>3311</v>
      </c>
      <c r="EM81" s="17">
        <v>4.8999999999999998E-3</v>
      </c>
      <c r="EN81" s="17">
        <v>1.01E-2</v>
      </c>
      <c r="EO81" s="17" t="s">
        <v>3312</v>
      </c>
      <c r="EP81" s="17">
        <v>4.3641500000000004</v>
      </c>
      <c r="EQ81" s="17">
        <v>23.435700000000001</v>
      </c>
      <c r="ER81" s="17" t="s">
        <v>3313</v>
      </c>
      <c r="ES81" s="17">
        <v>0.59340000000000004</v>
      </c>
      <c r="ET81" s="17">
        <v>1.2263999999999999</v>
      </c>
      <c r="EU81" s="17" t="s">
        <v>2862</v>
      </c>
      <c r="EV81" s="17" t="s">
        <v>3309</v>
      </c>
      <c r="EW81" s="17" t="s">
        <v>3312</v>
      </c>
      <c r="EX81" s="17">
        <v>4.3641500000000004</v>
      </c>
      <c r="EY81" s="17">
        <v>23.435700000000001</v>
      </c>
      <c r="EZ81" s="17" t="s">
        <v>3311</v>
      </c>
      <c r="FA81" s="17">
        <v>0.59340000000000004</v>
      </c>
      <c r="FB81" s="17">
        <v>1.2263999999999999</v>
      </c>
      <c r="FC81" s="17" t="s">
        <v>56</v>
      </c>
      <c r="FD81" s="17" t="s">
        <v>56</v>
      </c>
      <c r="FE81" s="17" t="s">
        <v>56</v>
      </c>
      <c r="FF81" s="17" t="s">
        <v>56</v>
      </c>
      <c r="FG81" s="17" t="s">
        <v>56</v>
      </c>
      <c r="FH81" s="17" t="s">
        <v>56</v>
      </c>
      <c r="FI81" s="17" t="s">
        <v>56</v>
      </c>
      <c r="FJ81" s="17" t="s">
        <v>56</v>
      </c>
      <c r="FK81" s="17" t="s">
        <v>56</v>
      </c>
      <c r="FL81" s="17" t="s">
        <v>56</v>
      </c>
      <c r="FM81" s="17" t="s">
        <v>56</v>
      </c>
      <c r="FN81" s="17" t="s">
        <v>56</v>
      </c>
      <c r="FO81" s="17" t="s">
        <v>56</v>
      </c>
      <c r="FP81" s="17" t="s">
        <v>56</v>
      </c>
      <c r="FQ81" s="17" t="s">
        <v>56</v>
      </c>
      <c r="FR81" s="17" t="s">
        <v>56</v>
      </c>
      <c r="FS81" s="17" t="s">
        <v>56</v>
      </c>
      <c r="FT81" s="17" t="s">
        <v>56</v>
      </c>
      <c r="FU81" s="17">
        <v>194.510275015725</v>
      </c>
      <c r="FV81" s="17">
        <v>1044.52973710483</v>
      </c>
      <c r="FW81" s="17" t="s">
        <v>56</v>
      </c>
      <c r="FX81" s="17" t="s">
        <v>56</v>
      </c>
      <c r="FY81" s="17" t="s">
        <v>56</v>
      </c>
      <c r="FZ81" s="17" t="s">
        <v>56</v>
      </c>
      <c r="GA81" s="17" t="s">
        <v>56</v>
      </c>
      <c r="GB81" s="17" t="s">
        <v>56</v>
      </c>
      <c r="GC81" s="17" t="s">
        <v>56</v>
      </c>
      <c r="GD81" s="17" t="s">
        <v>2969</v>
      </c>
      <c r="GE81" s="17" t="s">
        <v>2969</v>
      </c>
      <c r="GF81" s="17" t="s">
        <v>56</v>
      </c>
      <c r="GG81" s="17" t="s">
        <v>2818</v>
      </c>
      <c r="GH81" s="17" t="s">
        <v>2818</v>
      </c>
      <c r="GI81" s="17" t="s">
        <v>1111</v>
      </c>
      <c r="GJ81" s="17" t="s">
        <v>1111</v>
      </c>
      <c r="GK81" s="17" t="s">
        <v>1111</v>
      </c>
      <c r="GL81" s="17"/>
    </row>
    <row r="82" spans="2:194" x14ac:dyDescent="0.25">
      <c r="B82" s="17" t="s">
        <v>2840</v>
      </c>
      <c r="C82" s="17" t="s">
        <v>70</v>
      </c>
      <c r="D82" s="17" t="s">
        <v>3411</v>
      </c>
      <c r="E82" s="17" t="s">
        <v>3412</v>
      </c>
      <c r="F82" s="17" t="s">
        <v>3237</v>
      </c>
      <c r="G82" s="17" t="s">
        <v>3413</v>
      </c>
      <c r="H82" s="17"/>
      <c r="I82" s="17" t="s">
        <v>2797</v>
      </c>
      <c r="J82" s="17" t="s">
        <v>3403</v>
      </c>
      <c r="K82" s="17" t="s">
        <v>2653</v>
      </c>
      <c r="L82" s="17" t="s">
        <v>2800</v>
      </c>
      <c r="M82" s="17" t="s">
        <v>3414</v>
      </c>
      <c r="N82" s="17" t="s">
        <v>1325</v>
      </c>
      <c r="O82" s="17" t="s">
        <v>2813</v>
      </c>
      <c r="P82" s="17" t="s">
        <v>2814</v>
      </c>
      <c r="Q82" s="17" t="s">
        <v>3616</v>
      </c>
      <c r="R82" s="17">
        <v>17897433.710000001</v>
      </c>
      <c r="S82" s="17">
        <v>4974456.4000000004</v>
      </c>
      <c r="T82" s="17">
        <v>18587154.18</v>
      </c>
      <c r="U82" s="17" t="s">
        <v>2817</v>
      </c>
      <c r="V82" s="17" t="s">
        <v>939</v>
      </c>
      <c r="W82" s="17" t="s">
        <v>2816</v>
      </c>
      <c r="X82" s="17" t="s">
        <v>3403</v>
      </c>
      <c r="Y82" s="17" t="s">
        <v>56</v>
      </c>
      <c r="Z82" s="17" t="s">
        <v>3616</v>
      </c>
      <c r="AA82" s="17" t="s">
        <v>2801</v>
      </c>
      <c r="AB82" s="17">
        <v>2.1629</v>
      </c>
      <c r="AC82" s="17" t="s">
        <v>3616</v>
      </c>
      <c r="AD82" s="17" t="s">
        <v>2804</v>
      </c>
      <c r="AE82" s="17">
        <v>319397</v>
      </c>
      <c r="AF82" s="17" t="s">
        <v>2839</v>
      </c>
      <c r="AG82" s="17" t="s">
        <v>3617</v>
      </c>
      <c r="AH82" s="17" t="s">
        <v>2806</v>
      </c>
      <c r="AI82" s="17"/>
      <c r="AJ82" s="17" t="s">
        <v>56</v>
      </c>
      <c r="AK82" s="17" t="s">
        <v>56</v>
      </c>
      <c r="AL82" s="17" t="s">
        <v>56</v>
      </c>
      <c r="AM82" s="17" t="s">
        <v>56</v>
      </c>
      <c r="AN82" s="17" t="s">
        <v>56</v>
      </c>
      <c r="AO82" s="17" t="s">
        <v>56</v>
      </c>
      <c r="AP82" s="17" t="s">
        <v>56</v>
      </c>
      <c r="AQ82" s="17" t="s">
        <v>56</v>
      </c>
      <c r="AR82" s="17" t="s">
        <v>56</v>
      </c>
      <c r="AS82" s="17">
        <v>677.19899999999996</v>
      </c>
      <c r="AT82" s="17">
        <v>82.007599999999996</v>
      </c>
      <c r="AU82" s="17">
        <v>435.83600000000001</v>
      </c>
      <c r="AV82" s="17" t="s">
        <v>56</v>
      </c>
      <c r="AW82" s="17" t="s">
        <v>56</v>
      </c>
      <c r="AX82" s="17" t="s">
        <v>56</v>
      </c>
      <c r="AY82" s="17">
        <v>561.97</v>
      </c>
      <c r="AZ82" s="17">
        <v>68.053600000000003</v>
      </c>
      <c r="BA82" s="17">
        <v>361.67599999999999</v>
      </c>
      <c r="BB82" s="17" t="s">
        <v>56</v>
      </c>
      <c r="BC82" s="17" t="s">
        <v>56</v>
      </c>
      <c r="BD82" s="17" t="s">
        <v>56</v>
      </c>
      <c r="BE82" s="17" t="s">
        <v>56</v>
      </c>
      <c r="BF82" s="17" t="s">
        <v>56</v>
      </c>
      <c r="BG82" s="17" t="s">
        <v>56</v>
      </c>
      <c r="BH82" s="17" t="s">
        <v>56</v>
      </c>
      <c r="BI82" s="17" t="s">
        <v>56</v>
      </c>
      <c r="BJ82" s="17" t="s">
        <v>56</v>
      </c>
      <c r="BK82" s="17" t="s">
        <v>56</v>
      </c>
      <c r="BL82" s="17" t="s">
        <v>56</v>
      </c>
      <c r="BM82" s="17" t="s">
        <v>56</v>
      </c>
      <c r="BN82" s="17" t="s">
        <v>56</v>
      </c>
      <c r="BO82" s="17" t="s">
        <v>56</v>
      </c>
      <c r="BP82" s="17" t="s">
        <v>56</v>
      </c>
      <c r="BQ82" s="17" t="s">
        <v>56</v>
      </c>
      <c r="BR82" s="17" t="s">
        <v>56</v>
      </c>
      <c r="BS82" s="17" t="s">
        <v>56</v>
      </c>
      <c r="BT82" s="17" t="s">
        <v>56</v>
      </c>
      <c r="BU82" s="17" t="s">
        <v>56</v>
      </c>
      <c r="BV82" s="17" t="s">
        <v>56</v>
      </c>
      <c r="BW82" s="17" t="s">
        <v>56</v>
      </c>
      <c r="BX82" s="17" t="s">
        <v>2818</v>
      </c>
      <c r="BY82" s="17" t="s">
        <v>1111</v>
      </c>
      <c r="BZ82" s="17" t="s">
        <v>56</v>
      </c>
      <c r="CA82" s="17" t="s">
        <v>56</v>
      </c>
      <c r="CB82" s="17" t="s">
        <v>1325</v>
      </c>
      <c r="CC82" s="17" t="s">
        <v>1325</v>
      </c>
      <c r="CD82" s="17" t="s">
        <v>1325</v>
      </c>
      <c r="CE82" s="17" t="s">
        <v>1325</v>
      </c>
      <c r="CF82" s="17" t="s">
        <v>1325</v>
      </c>
      <c r="CG82" s="17" t="s">
        <v>1325</v>
      </c>
      <c r="CH82" s="17" t="s">
        <v>1325</v>
      </c>
      <c r="CI82" s="17" t="s">
        <v>1325</v>
      </c>
      <c r="CJ82" s="17" t="s">
        <v>1325</v>
      </c>
      <c r="CK82" s="17" t="s">
        <v>1325</v>
      </c>
      <c r="CL82" s="17" t="s">
        <v>1325</v>
      </c>
      <c r="CM82" s="17" t="s">
        <v>1325</v>
      </c>
      <c r="CN82" s="17" t="s">
        <v>1325</v>
      </c>
      <c r="CO82" s="17" t="s">
        <v>1325</v>
      </c>
      <c r="CP82" s="17" t="s">
        <v>1325</v>
      </c>
      <c r="CQ82" s="17" t="s">
        <v>1325</v>
      </c>
      <c r="CR82" s="17" t="s">
        <v>1325</v>
      </c>
      <c r="CS82" s="17" t="s">
        <v>1325</v>
      </c>
      <c r="CT82" s="17" t="s">
        <v>1325</v>
      </c>
      <c r="CU82" s="17" t="s">
        <v>1325</v>
      </c>
      <c r="CV82" s="17" t="s">
        <v>1325</v>
      </c>
      <c r="CW82" s="17" t="s">
        <v>56</v>
      </c>
      <c r="CX82" s="17" t="s">
        <v>56</v>
      </c>
      <c r="CY82" s="17" t="s">
        <v>56</v>
      </c>
      <c r="CZ82" s="17">
        <v>319397</v>
      </c>
      <c r="DA82" s="17">
        <v>319397</v>
      </c>
      <c r="DB82" s="17">
        <v>319397</v>
      </c>
      <c r="DC82" s="17"/>
      <c r="DD82" s="17"/>
      <c r="DE82" s="17"/>
      <c r="DF82" s="17" t="s">
        <v>3415</v>
      </c>
      <c r="DG82" s="17" t="s">
        <v>3560</v>
      </c>
      <c r="DH82" s="17" t="s">
        <v>3237</v>
      </c>
      <c r="DI82" s="17" t="s">
        <v>3561</v>
      </c>
      <c r="DJ82" s="17" t="s">
        <v>3405</v>
      </c>
      <c r="DK82" s="17" t="s">
        <v>3320</v>
      </c>
      <c r="DL82" s="17" t="s">
        <v>3418</v>
      </c>
      <c r="DM82" s="17">
        <v>3.6229999999999999E-3</v>
      </c>
      <c r="DN82" s="17">
        <v>1157.2</v>
      </c>
      <c r="DO82" s="17">
        <v>0.61460938807222498</v>
      </c>
      <c r="DP82" s="17" t="s">
        <v>3308</v>
      </c>
      <c r="DQ82" s="17" t="s">
        <v>2839</v>
      </c>
      <c r="DR82" s="17" t="s">
        <v>56</v>
      </c>
      <c r="DS82" s="17" t="s">
        <v>56</v>
      </c>
      <c r="DT82" s="17" t="s">
        <v>56</v>
      </c>
      <c r="DU82" s="17" t="s">
        <v>56</v>
      </c>
      <c r="DV82" s="17" t="s">
        <v>2862</v>
      </c>
      <c r="DW82" s="17" t="s">
        <v>3309</v>
      </c>
      <c r="DX82" s="17" t="s">
        <v>3310</v>
      </c>
      <c r="DY82" s="17">
        <v>9.7795896448127796E-3</v>
      </c>
      <c r="DZ82" s="17">
        <v>2.7520410355187201E-2</v>
      </c>
      <c r="EA82" s="17" t="s">
        <v>3311</v>
      </c>
      <c r="EB82" s="17">
        <v>4.0201671797007003E-3</v>
      </c>
      <c r="EC82" s="17">
        <v>7.1798328202993004E-3</v>
      </c>
      <c r="ED82" s="17" t="s">
        <v>56</v>
      </c>
      <c r="EE82" s="17" t="s">
        <v>56</v>
      </c>
      <c r="EF82" s="17" t="s">
        <v>56</v>
      </c>
      <c r="EG82" s="17" t="s">
        <v>2862</v>
      </c>
      <c r="EH82" s="17" t="s">
        <v>3309</v>
      </c>
      <c r="EI82" s="17" t="s">
        <v>3312</v>
      </c>
      <c r="EJ82" s="17">
        <v>1.08477E-2</v>
      </c>
      <c r="EK82" s="17">
        <v>5.8252699999999998E-2</v>
      </c>
      <c r="EL82" s="17" t="s">
        <v>3311</v>
      </c>
      <c r="EM82" s="17">
        <v>4.8999999999999998E-3</v>
      </c>
      <c r="EN82" s="17">
        <v>1.01E-2</v>
      </c>
      <c r="EO82" s="17" t="s">
        <v>3312</v>
      </c>
      <c r="EP82" s="17">
        <v>4.3641500000000004</v>
      </c>
      <c r="EQ82" s="17">
        <v>23.435700000000001</v>
      </c>
      <c r="ER82" s="17" t="s">
        <v>3313</v>
      </c>
      <c r="ES82" s="17">
        <v>0.59340000000000004</v>
      </c>
      <c r="ET82" s="17">
        <v>1.2263999999999999</v>
      </c>
      <c r="EU82" s="17" t="s">
        <v>2862</v>
      </c>
      <c r="EV82" s="17" t="s">
        <v>3309</v>
      </c>
      <c r="EW82" s="17" t="s">
        <v>3312</v>
      </c>
      <c r="EX82" s="17">
        <v>4.3641500000000004</v>
      </c>
      <c r="EY82" s="17">
        <v>23.435700000000001</v>
      </c>
      <c r="EZ82" s="17" t="s">
        <v>3311</v>
      </c>
      <c r="FA82" s="17">
        <v>0.59340000000000004</v>
      </c>
      <c r="FB82" s="17">
        <v>1.2263999999999999</v>
      </c>
      <c r="FC82" s="17" t="s">
        <v>56</v>
      </c>
      <c r="FD82" s="17" t="s">
        <v>56</v>
      </c>
      <c r="FE82" s="17" t="s">
        <v>56</v>
      </c>
      <c r="FF82" s="17" t="s">
        <v>56</v>
      </c>
      <c r="FG82" s="17" t="s">
        <v>56</v>
      </c>
      <c r="FH82" s="17" t="s">
        <v>56</v>
      </c>
      <c r="FI82" s="17" t="s">
        <v>56</v>
      </c>
      <c r="FJ82" s="17" t="s">
        <v>56</v>
      </c>
      <c r="FK82" s="17" t="s">
        <v>56</v>
      </c>
      <c r="FL82" s="17" t="s">
        <v>56</v>
      </c>
      <c r="FM82" s="17" t="s">
        <v>56</v>
      </c>
      <c r="FN82" s="17" t="s">
        <v>56</v>
      </c>
      <c r="FO82" s="17" t="s">
        <v>56</v>
      </c>
      <c r="FP82" s="17" t="s">
        <v>56</v>
      </c>
      <c r="FQ82" s="17" t="s">
        <v>56</v>
      </c>
      <c r="FR82" s="17" t="s">
        <v>56</v>
      </c>
      <c r="FS82" s="17" t="s">
        <v>56</v>
      </c>
      <c r="FT82" s="17" t="s">
        <v>56</v>
      </c>
      <c r="FU82" s="17">
        <v>278.95374630658</v>
      </c>
      <c r="FV82" s="17">
        <v>1497.9953283725599</v>
      </c>
      <c r="FW82" s="17" t="s">
        <v>56</v>
      </c>
      <c r="FX82" s="17" t="s">
        <v>56</v>
      </c>
      <c r="FY82" s="17" t="s">
        <v>56</v>
      </c>
      <c r="FZ82" s="17" t="s">
        <v>56</v>
      </c>
      <c r="GA82" s="17" t="s">
        <v>56</v>
      </c>
      <c r="GB82" s="17" t="s">
        <v>56</v>
      </c>
      <c r="GC82" s="17" t="s">
        <v>56</v>
      </c>
      <c r="GD82" s="17" t="s">
        <v>2969</v>
      </c>
      <c r="GE82" s="17" t="s">
        <v>2969</v>
      </c>
      <c r="GF82" s="17" t="s">
        <v>56</v>
      </c>
      <c r="GG82" s="17" t="s">
        <v>2818</v>
      </c>
      <c r="GH82" s="17" t="s">
        <v>2818</v>
      </c>
      <c r="GI82" s="17" t="s">
        <v>1111</v>
      </c>
      <c r="GJ82" s="17" t="s">
        <v>1111</v>
      </c>
      <c r="GK82" s="17" t="s">
        <v>1111</v>
      </c>
      <c r="GL82" s="17"/>
    </row>
    <row r="83" spans="2:194" x14ac:dyDescent="0.25">
      <c r="B83" s="17" t="s">
        <v>2840</v>
      </c>
      <c r="C83" s="17" t="s">
        <v>70</v>
      </c>
      <c r="D83" s="17" t="s">
        <v>3411</v>
      </c>
      <c r="E83" s="17" t="s">
        <v>3412</v>
      </c>
      <c r="F83" s="17" t="s">
        <v>3237</v>
      </c>
      <c r="G83" s="17" t="s">
        <v>3413</v>
      </c>
      <c r="H83" s="17"/>
      <c r="I83" s="17" t="s">
        <v>2797</v>
      </c>
      <c r="J83" s="17" t="s">
        <v>3403</v>
      </c>
      <c r="K83" s="17" t="s">
        <v>2653</v>
      </c>
      <c r="L83" s="17" t="s">
        <v>2800</v>
      </c>
      <c r="M83" s="17" t="s">
        <v>3414</v>
      </c>
      <c r="N83" s="17" t="s">
        <v>1325</v>
      </c>
      <c r="O83" s="17" t="s">
        <v>2813</v>
      </c>
      <c r="P83" s="17" t="s">
        <v>2814</v>
      </c>
      <c r="Q83" s="17" t="s">
        <v>3616</v>
      </c>
      <c r="R83" s="17">
        <v>17897433.710000001</v>
      </c>
      <c r="S83" s="17">
        <v>4974456.4000000004</v>
      </c>
      <c r="T83" s="17">
        <v>18587154.18</v>
      </c>
      <c r="U83" s="17" t="s">
        <v>2817</v>
      </c>
      <c r="V83" s="17" t="s">
        <v>939</v>
      </c>
      <c r="W83" s="17" t="s">
        <v>2816</v>
      </c>
      <c r="X83" s="17" t="s">
        <v>3403</v>
      </c>
      <c r="Y83" s="17" t="s">
        <v>56</v>
      </c>
      <c r="Z83" s="17" t="s">
        <v>3616</v>
      </c>
      <c r="AA83" s="17" t="s">
        <v>2801</v>
      </c>
      <c r="AB83" s="17">
        <v>2.1629</v>
      </c>
      <c r="AC83" s="17" t="s">
        <v>3616</v>
      </c>
      <c r="AD83" s="17" t="s">
        <v>2804</v>
      </c>
      <c r="AE83" s="17">
        <v>319397</v>
      </c>
      <c r="AF83" s="17" t="s">
        <v>2839</v>
      </c>
      <c r="AG83" s="17" t="s">
        <v>3617</v>
      </c>
      <c r="AH83" s="17" t="s">
        <v>2806</v>
      </c>
      <c r="AI83" s="17"/>
      <c r="AJ83" s="17" t="s">
        <v>56</v>
      </c>
      <c r="AK83" s="17" t="s">
        <v>56</v>
      </c>
      <c r="AL83" s="17" t="s">
        <v>56</v>
      </c>
      <c r="AM83" s="17" t="s">
        <v>56</v>
      </c>
      <c r="AN83" s="17" t="s">
        <v>56</v>
      </c>
      <c r="AO83" s="17" t="s">
        <v>56</v>
      </c>
      <c r="AP83" s="17" t="s">
        <v>56</v>
      </c>
      <c r="AQ83" s="17" t="s">
        <v>56</v>
      </c>
      <c r="AR83" s="17" t="s">
        <v>56</v>
      </c>
      <c r="AS83" s="17">
        <v>677.19899999999996</v>
      </c>
      <c r="AT83" s="17">
        <v>82.007599999999996</v>
      </c>
      <c r="AU83" s="17">
        <v>435.83600000000001</v>
      </c>
      <c r="AV83" s="17" t="s">
        <v>56</v>
      </c>
      <c r="AW83" s="17" t="s">
        <v>56</v>
      </c>
      <c r="AX83" s="17" t="s">
        <v>56</v>
      </c>
      <c r="AY83" s="17">
        <v>561.97</v>
      </c>
      <c r="AZ83" s="17">
        <v>68.053600000000003</v>
      </c>
      <c r="BA83" s="17">
        <v>361.67599999999999</v>
      </c>
      <c r="BB83" s="17" t="s">
        <v>56</v>
      </c>
      <c r="BC83" s="17" t="s">
        <v>56</v>
      </c>
      <c r="BD83" s="17" t="s">
        <v>56</v>
      </c>
      <c r="BE83" s="17" t="s">
        <v>56</v>
      </c>
      <c r="BF83" s="17" t="s">
        <v>56</v>
      </c>
      <c r="BG83" s="17" t="s">
        <v>56</v>
      </c>
      <c r="BH83" s="17" t="s">
        <v>56</v>
      </c>
      <c r="BI83" s="17" t="s">
        <v>56</v>
      </c>
      <c r="BJ83" s="17" t="s">
        <v>56</v>
      </c>
      <c r="BK83" s="17" t="s">
        <v>56</v>
      </c>
      <c r="BL83" s="17" t="s">
        <v>56</v>
      </c>
      <c r="BM83" s="17" t="s">
        <v>56</v>
      </c>
      <c r="BN83" s="17" t="s">
        <v>56</v>
      </c>
      <c r="BO83" s="17" t="s">
        <v>56</v>
      </c>
      <c r="BP83" s="17" t="s">
        <v>56</v>
      </c>
      <c r="BQ83" s="17" t="s">
        <v>56</v>
      </c>
      <c r="BR83" s="17" t="s">
        <v>56</v>
      </c>
      <c r="BS83" s="17" t="s">
        <v>56</v>
      </c>
      <c r="BT83" s="17" t="s">
        <v>56</v>
      </c>
      <c r="BU83" s="17" t="s">
        <v>56</v>
      </c>
      <c r="BV83" s="17" t="s">
        <v>56</v>
      </c>
      <c r="BW83" s="17" t="s">
        <v>56</v>
      </c>
      <c r="BX83" s="17" t="s">
        <v>2818</v>
      </c>
      <c r="BY83" s="17" t="s">
        <v>1111</v>
      </c>
      <c r="BZ83" s="17" t="s">
        <v>56</v>
      </c>
      <c r="CA83" s="17" t="s">
        <v>56</v>
      </c>
      <c r="CB83" s="17" t="s">
        <v>1325</v>
      </c>
      <c r="CC83" s="17" t="s">
        <v>1325</v>
      </c>
      <c r="CD83" s="17" t="s">
        <v>1325</v>
      </c>
      <c r="CE83" s="17" t="s">
        <v>1325</v>
      </c>
      <c r="CF83" s="17" t="s">
        <v>1325</v>
      </c>
      <c r="CG83" s="17" t="s">
        <v>1325</v>
      </c>
      <c r="CH83" s="17" t="s">
        <v>1325</v>
      </c>
      <c r="CI83" s="17" t="s">
        <v>1325</v>
      </c>
      <c r="CJ83" s="17" t="s">
        <v>1325</v>
      </c>
      <c r="CK83" s="17" t="s">
        <v>1325</v>
      </c>
      <c r="CL83" s="17" t="s">
        <v>1325</v>
      </c>
      <c r="CM83" s="17" t="s">
        <v>1325</v>
      </c>
      <c r="CN83" s="17" t="s">
        <v>1325</v>
      </c>
      <c r="CO83" s="17" t="s">
        <v>1325</v>
      </c>
      <c r="CP83" s="17" t="s">
        <v>1325</v>
      </c>
      <c r="CQ83" s="17" t="s">
        <v>1325</v>
      </c>
      <c r="CR83" s="17" t="s">
        <v>1325</v>
      </c>
      <c r="CS83" s="17" t="s">
        <v>1325</v>
      </c>
      <c r="CT83" s="17" t="s">
        <v>1325</v>
      </c>
      <c r="CU83" s="17" t="s">
        <v>1325</v>
      </c>
      <c r="CV83" s="17" t="s">
        <v>1325</v>
      </c>
      <c r="CW83" s="17" t="s">
        <v>56</v>
      </c>
      <c r="CX83" s="17" t="s">
        <v>56</v>
      </c>
      <c r="CY83" s="17" t="s">
        <v>56</v>
      </c>
      <c r="CZ83" s="17">
        <v>319397</v>
      </c>
      <c r="DA83" s="17">
        <v>319397</v>
      </c>
      <c r="DB83" s="17">
        <v>319397</v>
      </c>
      <c r="DC83" s="17"/>
      <c r="DD83" s="17"/>
      <c r="DE83" s="17"/>
      <c r="DF83" s="17" t="s">
        <v>3415</v>
      </c>
      <c r="DG83" s="17" t="s">
        <v>3562</v>
      </c>
      <c r="DH83" s="17" t="s">
        <v>3237</v>
      </c>
      <c r="DI83" s="17" t="s">
        <v>3563</v>
      </c>
      <c r="DJ83" s="17" t="s">
        <v>3405</v>
      </c>
      <c r="DK83" s="17" t="s">
        <v>3320</v>
      </c>
      <c r="DL83" s="17" t="s">
        <v>3418</v>
      </c>
      <c r="DM83" s="17">
        <v>1.395E-3</v>
      </c>
      <c r="DN83" s="17">
        <v>445.6</v>
      </c>
      <c r="DO83" s="17">
        <v>0.42855399587499998</v>
      </c>
      <c r="DP83" s="17" t="s">
        <v>3308</v>
      </c>
      <c r="DQ83" s="17" t="s">
        <v>2839</v>
      </c>
      <c r="DR83" s="17" t="s">
        <v>56</v>
      </c>
      <c r="DS83" s="17" t="s">
        <v>56</v>
      </c>
      <c r="DT83" s="17" t="s">
        <v>56</v>
      </c>
      <c r="DU83" s="17" t="s">
        <v>56</v>
      </c>
      <c r="DV83" s="17" t="s">
        <v>2862</v>
      </c>
      <c r="DW83" s="17" t="s">
        <v>3309</v>
      </c>
      <c r="DX83" s="17" t="s">
        <v>3310</v>
      </c>
      <c r="DY83" s="17">
        <v>9.7795896448127796E-3</v>
      </c>
      <c r="DZ83" s="17">
        <v>2.7520410355187201E-2</v>
      </c>
      <c r="EA83" s="17" t="s">
        <v>3311</v>
      </c>
      <c r="EB83" s="17">
        <v>4.0201671797007003E-3</v>
      </c>
      <c r="EC83" s="17">
        <v>7.1798328202993004E-3</v>
      </c>
      <c r="ED83" s="17" t="s">
        <v>56</v>
      </c>
      <c r="EE83" s="17" t="s">
        <v>56</v>
      </c>
      <c r="EF83" s="17" t="s">
        <v>56</v>
      </c>
      <c r="EG83" s="17" t="s">
        <v>2862</v>
      </c>
      <c r="EH83" s="17" t="s">
        <v>3309</v>
      </c>
      <c r="EI83" s="17" t="s">
        <v>3312</v>
      </c>
      <c r="EJ83" s="17">
        <v>1.08477E-2</v>
      </c>
      <c r="EK83" s="17">
        <v>5.8252699999999998E-2</v>
      </c>
      <c r="EL83" s="17" t="s">
        <v>3311</v>
      </c>
      <c r="EM83" s="17">
        <v>4.8999999999999998E-3</v>
      </c>
      <c r="EN83" s="17">
        <v>1.01E-2</v>
      </c>
      <c r="EO83" s="17" t="s">
        <v>3312</v>
      </c>
      <c r="EP83" s="17">
        <v>4.3641500000000004</v>
      </c>
      <c r="EQ83" s="17">
        <v>23.435700000000001</v>
      </c>
      <c r="ER83" s="17" t="s">
        <v>3313</v>
      </c>
      <c r="ES83" s="17">
        <v>0.59340000000000004</v>
      </c>
      <c r="ET83" s="17">
        <v>1.2263999999999999</v>
      </c>
      <c r="EU83" s="17" t="s">
        <v>2862</v>
      </c>
      <c r="EV83" s="17" t="s">
        <v>3309</v>
      </c>
      <c r="EW83" s="17" t="s">
        <v>3312</v>
      </c>
      <c r="EX83" s="17">
        <v>4.3641500000000004</v>
      </c>
      <c r="EY83" s="17">
        <v>23.435700000000001</v>
      </c>
      <c r="EZ83" s="17" t="s">
        <v>3311</v>
      </c>
      <c r="FA83" s="17">
        <v>0.59340000000000004</v>
      </c>
      <c r="FB83" s="17">
        <v>1.2263999999999999</v>
      </c>
      <c r="FC83" s="17" t="s">
        <v>56</v>
      </c>
      <c r="FD83" s="17" t="s">
        <v>56</v>
      </c>
      <c r="FE83" s="17" t="s">
        <v>56</v>
      </c>
      <c r="FF83" s="17" t="s">
        <v>56</v>
      </c>
      <c r="FG83" s="17" t="s">
        <v>56</v>
      </c>
      <c r="FH83" s="17" t="s">
        <v>56</v>
      </c>
      <c r="FI83" s="17" t="s">
        <v>56</v>
      </c>
      <c r="FJ83" s="17" t="s">
        <v>56</v>
      </c>
      <c r="FK83" s="17" t="s">
        <v>56</v>
      </c>
      <c r="FL83" s="17" t="s">
        <v>56</v>
      </c>
      <c r="FM83" s="17" t="s">
        <v>56</v>
      </c>
      <c r="FN83" s="17" t="s">
        <v>56</v>
      </c>
      <c r="FO83" s="17" t="s">
        <v>56</v>
      </c>
      <c r="FP83" s="17" t="s">
        <v>56</v>
      </c>
      <c r="FQ83" s="17" t="s">
        <v>56</v>
      </c>
      <c r="FR83" s="17" t="s">
        <v>56</v>
      </c>
      <c r="FS83" s="17" t="s">
        <v>56</v>
      </c>
      <c r="FT83" s="17" t="s">
        <v>56</v>
      </c>
      <c r="FU83" s="17">
        <v>194.50848776013899</v>
      </c>
      <c r="FV83" s="17">
        <v>1044.5201394544799</v>
      </c>
      <c r="FW83" s="17" t="s">
        <v>56</v>
      </c>
      <c r="FX83" s="17" t="s">
        <v>56</v>
      </c>
      <c r="FY83" s="17" t="s">
        <v>56</v>
      </c>
      <c r="FZ83" s="17" t="s">
        <v>56</v>
      </c>
      <c r="GA83" s="17" t="s">
        <v>56</v>
      </c>
      <c r="GB83" s="17" t="s">
        <v>56</v>
      </c>
      <c r="GC83" s="17" t="s">
        <v>56</v>
      </c>
      <c r="GD83" s="17" t="s">
        <v>2969</v>
      </c>
      <c r="GE83" s="17" t="s">
        <v>2969</v>
      </c>
      <c r="GF83" s="17" t="s">
        <v>56</v>
      </c>
      <c r="GG83" s="17" t="s">
        <v>2818</v>
      </c>
      <c r="GH83" s="17" t="s">
        <v>2818</v>
      </c>
      <c r="GI83" s="17" t="s">
        <v>1111</v>
      </c>
      <c r="GJ83" s="17" t="s">
        <v>1111</v>
      </c>
      <c r="GK83" s="17" t="s">
        <v>1111</v>
      </c>
      <c r="GL83" s="17"/>
    </row>
    <row r="84" spans="2:194" x14ac:dyDescent="0.25">
      <c r="B84" s="17" t="s">
        <v>2840</v>
      </c>
      <c r="C84" s="17" t="s">
        <v>70</v>
      </c>
      <c r="D84" s="17" t="s">
        <v>3411</v>
      </c>
      <c r="E84" s="17" t="s">
        <v>3412</v>
      </c>
      <c r="F84" s="17" t="s">
        <v>3237</v>
      </c>
      <c r="G84" s="17" t="s">
        <v>3413</v>
      </c>
      <c r="H84" s="17"/>
      <c r="I84" s="17" t="s">
        <v>2797</v>
      </c>
      <c r="J84" s="17" t="s">
        <v>3403</v>
      </c>
      <c r="K84" s="17" t="s">
        <v>2653</v>
      </c>
      <c r="L84" s="17" t="s">
        <v>2800</v>
      </c>
      <c r="M84" s="17" t="s">
        <v>3414</v>
      </c>
      <c r="N84" s="17" t="s">
        <v>1325</v>
      </c>
      <c r="O84" s="17" t="s">
        <v>2813</v>
      </c>
      <c r="P84" s="17" t="s">
        <v>2814</v>
      </c>
      <c r="Q84" s="17" t="s">
        <v>3616</v>
      </c>
      <c r="R84" s="17">
        <v>17897433.710000001</v>
      </c>
      <c r="S84" s="17">
        <v>4974456.4000000004</v>
      </c>
      <c r="T84" s="17">
        <v>18587154.18</v>
      </c>
      <c r="U84" s="17" t="s">
        <v>2817</v>
      </c>
      <c r="V84" s="17" t="s">
        <v>939</v>
      </c>
      <c r="W84" s="17" t="s">
        <v>2816</v>
      </c>
      <c r="X84" s="17" t="s">
        <v>3403</v>
      </c>
      <c r="Y84" s="17" t="s">
        <v>56</v>
      </c>
      <c r="Z84" s="17" t="s">
        <v>3616</v>
      </c>
      <c r="AA84" s="17" t="s">
        <v>2801</v>
      </c>
      <c r="AB84" s="17">
        <v>2.1629</v>
      </c>
      <c r="AC84" s="17" t="s">
        <v>3616</v>
      </c>
      <c r="AD84" s="17" t="s">
        <v>2804</v>
      </c>
      <c r="AE84" s="17">
        <v>319397</v>
      </c>
      <c r="AF84" s="17" t="s">
        <v>2839</v>
      </c>
      <c r="AG84" s="17" t="s">
        <v>3617</v>
      </c>
      <c r="AH84" s="17" t="s">
        <v>2806</v>
      </c>
      <c r="AI84" s="17"/>
      <c r="AJ84" s="17" t="s">
        <v>56</v>
      </c>
      <c r="AK84" s="17" t="s">
        <v>56</v>
      </c>
      <c r="AL84" s="17" t="s">
        <v>56</v>
      </c>
      <c r="AM84" s="17" t="s">
        <v>56</v>
      </c>
      <c r="AN84" s="17" t="s">
        <v>56</v>
      </c>
      <c r="AO84" s="17" t="s">
        <v>56</v>
      </c>
      <c r="AP84" s="17" t="s">
        <v>56</v>
      </c>
      <c r="AQ84" s="17" t="s">
        <v>56</v>
      </c>
      <c r="AR84" s="17" t="s">
        <v>56</v>
      </c>
      <c r="AS84" s="17">
        <v>677.19899999999996</v>
      </c>
      <c r="AT84" s="17">
        <v>82.007599999999996</v>
      </c>
      <c r="AU84" s="17">
        <v>435.83600000000001</v>
      </c>
      <c r="AV84" s="17" t="s">
        <v>56</v>
      </c>
      <c r="AW84" s="17" t="s">
        <v>56</v>
      </c>
      <c r="AX84" s="17" t="s">
        <v>56</v>
      </c>
      <c r="AY84" s="17">
        <v>561.97</v>
      </c>
      <c r="AZ84" s="17">
        <v>68.053600000000003</v>
      </c>
      <c r="BA84" s="17">
        <v>361.67599999999999</v>
      </c>
      <c r="BB84" s="17" t="s">
        <v>56</v>
      </c>
      <c r="BC84" s="17" t="s">
        <v>56</v>
      </c>
      <c r="BD84" s="17" t="s">
        <v>56</v>
      </c>
      <c r="BE84" s="17" t="s">
        <v>56</v>
      </c>
      <c r="BF84" s="17" t="s">
        <v>56</v>
      </c>
      <c r="BG84" s="17" t="s">
        <v>56</v>
      </c>
      <c r="BH84" s="17" t="s">
        <v>56</v>
      </c>
      <c r="BI84" s="17" t="s">
        <v>56</v>
      </c>
      <c r="BJ84" s="17" t="s">
        <v>56</v>
      </c>
      <c r="BK84" s="17" t="s">
        <v>56</v>
      </c>
      <c r="BL84" s="17" t="s">
        <v>56</v>
      </c>
      <c r="BM84" s="17" t="s">
        <v>56</v>
      </c>
      <c r="BN84" s="17" t="s">
        <v>56</v>
      </c>
      <c r="BO84" s="17" t="s">
        <v>56</v>
      </c>
      <c r="BP84" s="17" t="s">
        <v>56</v>
      </c>
      <c r="BQ84" s="17" t="s">
        <v>56</v>
      </c>
      <c r="BR84" s="17" t="s">
        <v>56</v>
      </c>
      <c r="BS84" s="17" t="s">
        <v>56</v>
      </c>
      <c r="BT84" s="17" t="s">
        <v>56</v>
      </c>
      <c r="BU84" s="17" t="s">
        <v>56</v>
      </c>
      <c r="BV84" s="17" t="s">
        <v>56</v>
      </c>
      <c r="BW84" s="17" t="s">
        <v>56</v>
      </c>
      <c r="BX84" s="17" t="s">
        <v>2818</v>
      </c>
      <c r="BY84" s="17" t="s">
        <v>1111</v>
      </c>
      <c r="BZ84" s="17" t="s">
        <v>56</v>
      </c>
      <c r="CA84" s="17" t="s">
        <v>56</v>
      </c>
      <c r="CB84" s="17" t="s">
        <v>1325</v>
      </c>
      <c r="CC84" s="17" t="s">
        <v>1325</v>
      </c>
      <c r="CD84" s="17" t="s">
        <v>1325</v>
      </c>
      <c r="CE84" s="17" t="s">
        <v>1325</v>
      </c>
      <c r="CF84" s="17" t="s">
        <v>1325</v>
      </c>
      <c r="CG84" s="17" t="s">
        <v>1325</v>
      </c>
      <c r="CH84" s="17" t="s">
        <v>1325</v>
      </c>
      <c r="CI84" s="17" t="s">
        <v>1325</v>
      </c>
      <c r="CJ84" s="17" t="s">
        <v>1325</v>
      </c>
      <c r="CK84" s="17" t="s">
        <v>1325</v>
      </c>
      <c r="CL84" s="17" t="s">
        <v>1325</v>
      </c>
      <c r="CM84" s="17" t="s">
        <v>1325</v>
      </c>
      <c r="CN84" s="17" t="s">
        <v>1325</v>
      </c>
      <c r="CO84" s="17" t="s">
        <v>1325</v>
      </c>
      <c r="CP84" s="17" t="s">
        <v>1325</v>
      </c>
      <c r="CQ84" s="17" t="s">
        <v>1325</v>
      </c>
      <c r="CR84" s="17" t="s">
        <v>1325</v>
      </c>
      <c r="CS84" s="17" t="s">
        <v>1325</v>
      </c>
      <c r="CT84" s="17" t="s">
        <v>1325</v>
      </c>
      <c r="CU84" s="17" t="s">
        <v>1325</v>
      </c>
      <c r="CV84" s="17" t="s">
        <v>1325</v>
      </c>
      <c r="CW84" s="17" t="s">
        <v>56</v>
      </c>
      <c r="CX84" s="17" t="s">
        <v>56</v>
      </c>
      <c r="CY84" s="17" t="s">
        <v>56</v>
      </c>
      <c r="CZ84" s="17">
        <v>319397</v>
      </c>
      <c r="DA84" s="17">
        <v>319397</v>
      </c>
      <c r="DB84" s="17">
        <v>319397</v>
      </c>
      <c r="DC84" s="17"/>
      <c r="DD84" s="17"/>
      <c r="DE84" s="17"/>
      <c r="DF84" s="17" t="s">
        <v>3415</v>
      </c>
      <c r="DG84" s="17" t="s">
        <v>3564</v>
      </c>
      <c r="DH84" s="17" t="s">
        <v>3237</v>
      </c>
      <c r="DI84" s="17" t="s">
        <v>3565</v>
      </c>
      <c r="DJ84" s="17" t="s">
        <v>3405</v>
      </c>
      <c r="DK84" s="17" t="s">
        <v>3320</v>
      </c>
      <c r="DL84" s="17" t="s">
        <v>3418</v>
      </c>
      <c r="DM84" s="17">
        <v>2.6840000000000002E-3</v>
      </c>
      <c r="DN84" s="17">
        <v>857.3</v>
      </c>
      <c r="DO84" s="17">
        <v>0.42855703016491697</v>
      </c>
      <c r="DP84" s="17" t="s">
        <v>3308</v>
      </c>
      <c r="DQ84" s="17" t="s">
        <v>2839</v>
      </c>
      <c r="DR84" s="17" t="s">
        <v>56</v>
      </c>
      <c r="DS84" s="17" t="s">
        <v>56</v>
      </c>
      <c r="DT84" s="17" t="s">
        <v>56</v>
      </c>
      <c r="DU84" s="17" t="s">
        <v>56</v>
      </c>
      <c r="DV84" s="17" t="s">
        <v>2862</v>
      </c>
      <c r="DW84" s="17" t="s">
        <v>3309</v>
      </c>
      <c r="DX84" s="17" t="s">
        <v>3310</v>
      </c>
      <c r="DY84" s="17">
        <v>9.7795896448127796E-3</v>
      </c>
      <c r="DZ84" s="17">
        <v>2.7520410355187201E-2</v>
      </c>
      <c r="EA84" s="17" t="s">
        <v>3311</v>
      </c>
      <c r="EB84" s="17">
        <v>4.0201671797007003E-3</v>
      </c>
      <c r="EC84" s="17">
        <v>7.1798328202993004E-3</v>
      </c>
      <c r="ED84" s="17" t="s">
        <v>56</v>
      </c>
      <c r="EE84" s="17" t="s">
        <v>56</v>
      </c>
      <c r="EF84" s="17" t="s">
        <v>56</v>
      </c>
      <c r="EG84" s="17" t="s">
        <v>2862</v>
      </c>
      <c r="EH84" s="17" t="s">
        <v>3309</v>
      </c>
      <c r="EI84" s="17" t="s">
        <v>3312</v>
      </c>
      <c r="EJ84" s="17">
        <v>1.08477E-2</v>
      </c>
      <c r="EK84" s="17">
        <v>5.8252699999999998E-2</v>
      </c>
      <c r="EL84" s="17" t="s">
        <v>3311</v>
      </c>
      <c r="EM84" s="17">
        <v>4.8999999999999998E-3</v>
      </c>
      <c r="EN84" s="17">
        <v>1.01E-2</v>
      </c>
      <c r="EO84" s="17" t="s">
        <v>3312</v>
      </c>
      <c r="EP84" s="17">
        <v>4.3641500000000004</v>
      </c>
      <c r="EQ84" s="17">
        <v>23.435700000000001</v>
      </c>
      <c r="ER84" s="17" t="s">
        <v>3313</v>
      </c>
      <c r="ES84" s="17">
        <v>0.59340000000000004</v>
      </c>
      <c r="ET84" s="17">
        <v>1.2263999999999999</v>
      </c>
      <c r="EU84" s="17" t="s">
        <v>2862</v>
      </c>
      <c r="EV84" s="17" t="s">
        <v>3309</v>
      </c>
      <c r="EW84" s="17" t="s">
        <v>3312</v>
      </c>
      <c r="EX84" s="17">
        <v>4.3641500000000004</v>
      </c>
      <c r="EY84" s="17">
        <v>23.435700000000001</v>
      </c>
      <c r="EZ84" s="17" t="s">
        <v>3311</v>
      </c>
      <c r="FA84" s="17">
        <v>0.59340000000000004</v>
      </c>
      <c r="FB84" s="17">
        <v>1.2263999999999999</v>
      </c>
      <c r="FC84" s="17" t="s">
        <v>56</v>
      </c>
      <c r="FD84" s="17" t="s">
        <v>56</v>
      </c>
      <c r="FE84" s="17" t="s">
        <v>56</v>
      </c>
      <c r="FF84" s="17" t="s">
        <v>56</v>
      </c>
      <c r="FG84" s="17" t="s">
        <v>56</v>
      </c>
      <c r="FH84" s="17" t="s">
        <v>56</v>
      </c>
      <c r="FI84" s="17" t="s">
        <v>56</v>
      </c>
      <c r="FJ84" s="17" t="s">
        <v>56</v>
      </c>
      <c r="FK84" s="17" t="s">
        <v>56</v>
      </c>
      <c r="FL84" s="17" t="s">
        <v>56</v>
      </c>
      <c r="FM84" s="17" t="s">
        <v>56</v>
      </c>
      <c r="FN84" s="17" t="s">
        <v>56</v>
      </c>
      <c r="FO84" s="17" t="s">
        <v>56</v>
      </c>
      <c r="FP84" s="17" t="s">
        <v>56</v>
      </c>
      <c r="FQ84" s="17" t="s">
        <v>56</v>
      </c>
      <c r="FR84" s="17" t="s">
        <v>56</v>
      </c>
      <c r="FS84" s="17" t="s">
        <v>56</v>
      </c>
      <c r="FT84" s="17" t="s">
        <v>56</v>
      </c>
      <c r="FU84" s="17">
        <v>194.50986494273499</v>
      </c>
      <c r="FV84" s="17">
        <v>1044.5275349927099</v>
      </c>
      <c r="FW84" s="17" t="s">
        <v>56</v>
      </c>
      <c r="FX84" s="17" t="s">
        <v>56</v>
      </c>
      <c r="FY84" s="17" t="s">
        <v>56</v>
      </c>
      <c r="FZ84" s="17" t="s">
        <v>56</v>
      </c>
      <c r="GA84" s="17" t="s">
        <v>56</v>
      </c>
      <c r="GB84" s="17" t="s">
        <v>56</v>
      </c>
      <c r="GC84" s="17" t="s">
        <v>56</v>
      </c>
      <c r="GD84" s="17" t="s">
        <v>2969</v>
      </c>
      <c r="GE84" s="17" t="s">
        <v>2969</v>
      </c>
      <c r="GF84" s="17" t="s">
        <v>56</v>
      </c>
      <c r="GG84" s="17" t="s">
        <v>2818</v>
      </c>
      <c r="GH84" s="17" t="s">
        <v>2818</v>
      </c>
      <c r="GI84" s="17" t="s">
        <v>1111</v>
      </c>
      <c r="GJ84" s="17" t="s">
        <v>1111</v>
      </c>
      <c r="GK84" s="17" t="s">
        <v>1111</v>
      </c>
      <c r="GL84" s="17"/>
    </row>
    <row r="85" spans="2:194" x14ac:dyDescent="0.25">
      <c r="B85" s="17" t="s">
        <v>2840</v>
      </c>
      <c r="C85" s="17" t="s">
        <v>70</v>
      </c>
      <c r="D85" s="17" t="s">
        <v>3411</v>
      </c>
      <c r="E85" s="17" t="s">
        <v>3412</v>
      </c>
      <c r="F85" s="17" t="s">
        <v>3237</v>
      </c>
      <c r="G85" s="17" t="s">
        <v>3413</v>
      </c>
      <c r="H85" s="17"/>
      <c r="I85" s="17" t="s">
        <v>2797</v>
      </c>
      <c r="J85" s="17" t="s">
        <v>3403</v>
      </c>
      <c r="K85" s="17" t="s">
        <v>2653</v>
      </c>
      <c r="L85" s="17" t="s">
        <v>2800</v>
      </c>
      <c r="M85" s="17" t="s">
        <v>3414</v>
      </c>
      <c r="N85" s="17" t="s">
        <v>1325</v>
      </c>
      <c r="O85" s="17" t="s">
        <v>2813</v>
      </c>
      <c r="P85" s="17" t="s">
        <v>2814</v>
      </c>
      <c r="Q85" s="17" t="s">
        <v>3616</v>
      </c>
      <c r="R85" s="17">
        <v>17897433.710000001</v>
      </c>
      <c r="S85" s="17">
        <v>4974456.4000000004</v>
      </c>
      <c r="T85" s="17">
        <v>18587154.18</v>
      </c>
      <c r="U85" s="17" t="s">
        <v>2817</v>
      </c>
      <c r="V85" s="17" t="s">
        <v>939</v>
      </c>
      <c r="W85" s="17" t="s">
        <v>2816</v>
      </c>
      <c r="X85" s="17" t="s">
        <v>3403</v>
      </c>
      <c r="Y85" s="17" t="s">
        <v>56</v>
      </c>
      <c r="Z85" s="17" t="s">
        <v>3616</v>
      </c>
      <c r="AA85" s="17" t="s">
        <v>2801</v>
      </c>
      <c r="AB85" s="17">
        <v>2.1629</v>
      </c>
      <c r="AC85" s="17" t="s">
        <v>3616</v>
      </c>
      <c r="AD85" s="17" t="s">
        <v>2804</v>
      </c>
      <c r="AE85" s="17">
        <v>319397</v>
      </c>
      <c r="AF85" s="17" t="s">
        <v>2839</v>
      </c>
      <c r="AG85" s="17" t="s">
        <v>3617</v>
      </c>
      <c r="AH85" s="17" t="s">
        <v>2806</v>
      </c>
      <c r="AI85" s="17"/>
      <c r="AJ85" s="17" t="s">
        <v>56</v>
      </c>
      <c r="AK85" s="17" t="s">
        <v>56</v>
      </c>
      <c r="AL85" s="17" t="s">
        <v>56</v>
      </c>
      <c r="AM85" s="17" t="s">
        <v>56</v>
      </c>
      <c r="AN85" s="17" t="s">
        <v>56</v>
      </c>
      <c r="AO85" s="17" t="s">
        <v>56</v>
      </c>
      <c r="AP85" s="17" t="s">
        <v>56</v>
      </c>
      <c r="AQ85" s="17" t="s">
        <v>56</v>
      </c>
      <c r="AR85" s="17" t="s">
        <v>56</v>
      </c>
      <c r="AS85" s="17">
        <v>677.19899999999996</v>
      </c>
      <c r="AT85" s="17">
        <v>82.007599999999996</v>
      </c>
      <c r="AU85" s="17">
        <v>435.83600000000001</v>
      </c>
      <c r="AV85" s="17" t="s">
        <v>56</v>
      </c>
      <c r="AW85" s="17" t="s">
        <v>56</v>
      </c>
      <c r="AX85" s="17" t="s">
        <v>56</v>
      </c>
      <c r="AY85" s="17">
        <v>561.97</v>
      </c>
      <c r="AZ85" s="17">
        <v>68.053600000000003</v>
      </c>
      <c r="BA85" s="17">
        <v>361.67599999999999</v>
      </c>
      <c r="BB85" s="17" t="s">
        <v>56</v>
      </c>
      <c r="BC85" s="17" t="s">
        <v>56</v>
      </c>
      <c r="BD85" s="17" t="s">
        <v>56</v>
      </c>
      <c r="BE85" s="17" t="s">
        <v>56</v>
      </c>
      <c r="BF85" s="17" t="s">
        <v>56</v>
      </c>
      <c r="BG85" s="17" t="s">
        <v>56</v>
      </c>
      <c r="BH85" s="17" t="s">
        <v>56</v>
      </c>
      <c r="BI85" s="17" t="s">
        <v>56</v>
      </c>
      <c r="BJ85" s="17" t="s">
        <v>56</v>
      </c>
      <c r="BK85" s="17" t="s">
        <v>56</v>
      </c>
      <c r="BL85" s="17" t="s">
        <v>56</v>
      </c>
      <c r="BM85" s="17" t="s">
        <v>56</v>
      </c>
      <c r="BN85" s="17" t="s">
        <v>56</v>
      </c>
      <c r="BO85" s="17" t="s">
        <v>56</v>
      </c>
      <c r="BP85" s="17" t="s">
        <v>56</v>
      </c>
      <c r="BQ85" s="17" t="s">
        <v>56</v>
      </c>
      <c r="BR85" s="17" t="s">
        <v>56</v>
      </c>
      <c r="BS85" s="17" t="s">
        <v>56</v>
      </c>
      <c r="BT85" s="17" t="s">
        <v>56</v>
      </c>
      <c r="BU85" s="17" t="s">
        <v>56</v>
      </c>
      <c r="BV85" s="17" t="s">
        <v>56</v>
      </c>
      <c r="BW85" s="17" t="s">
        <v>56</v>
      </c>
      <c r="BX85" s="17" t="s">
        <v>2818</v>
      </c>
      <c r="BY85" s="17" t="s">
        <v>1111</v>
      </c>
      <c r="BZ85" s="17" t="s">
        <v>56</v>
      </c>
      <c r="CA85" s="17" t="s">
        <v>56</v>
      </c>
      <c r="CB85" s="17" t="s">
        <v>1325</v>
      </c>
      <c r="CC85" s="17" t="s">
        <v>1325</v>
      </c>
      <c r="CD85" s="17" t="s">
        <v>1325</v>
      </c>
      <c r="CE85" s="17" t="s">
        <v>1325</v>
      </c>
      <c r="CF85" s="17" t="s">
        <v>1325</v>
      </c>
      <c r="CG85" s="17" t="s">
        <v>1325</v>
      </c>
      <c r="CH85" s="17" t="s">
        <v>1325</v>
      </c>
      <c r="CI85" s="17" t="s">
        <v>1325</v>
      </c>
      <c r="CJ85" s="17" t="s">
        <v>1325</v>
      </c>
      <c r="CK85" s="17" t="s">
        <v>1325</v>
      </c>
      <c r="CL85" s="17" t="s">
        <v>1325</v>
      </c>
      <c r="CM85" s="17" t="s">
        <v>1325</v>
      </c>
      <c r="CN85" s="17" t="s">
        <v>1325</v>
      </c>
      <c r="CO85" s="17" t="s">
        <v>1325</v>
      </c>
      <c r="CP85" s="17" t="s">
        <v>1325</v>
      </c>
      <c r="CQ85" s="17" t="s">
        <v>1325</v>
      </c>
      <c r="CR85" s="17" t="s">
        <v>1325</v>
      </c>
      <c r="CS85" s="17" t="s">
        <v>1325</v>
      </c>
      <c r="CT85" s="17" t="s">
        <v>1325</v>
      </c>
      <c r="CU85" s="17" t="s">
        <v>1325</v>
      </c>
      <c r="CV85" s="17" t="s">
        <v>1325</v>
      </c>
      <c r="CW85" s="17" t="s">
        <v>56</v>
      </c>
      <c r="CX85" s="17" t="s">
        <v>56</v>
      </c>
      <c r="CY85" s="17" t="s">
        <v>56</v>
      </c>
      <c r="CZ85" s="17">
        <v>319397</v>
      </c>
      <c r="DA85" s="17">
        <v>319397</v>
      </c>
      <c r="DB85" s="17">
        <v>319397</v>
      </c>
      <c r="DC85" s="17"/>
      <c r="DD85" s="17"/>
      <c r="DE85" s="17"/>
      <c r="DF85" s="17" t="s">
        <v>3415</v>
      </c>
      <c r="DG85" s="17" t="s">
        <v>3566</v>
      </c>
      <c r="DH85" s="17" t="s">
        <v>3237</v>
      </c>
      <c r="DI85" s="17" t="s">
        <v>3567</v>
      </c>
      <c r="DJ85" s="17" t="s">
        <v>3405</v>
      </c>
      <c r="DK85" s="17" t="s">
        <v>3320</v>
      </c>
      <c r="DL85" s="17" t="s">
        <v>3418</v>
      </c>
      <c r="DM85" s="17">
        <v>1.8894000000000001E-2</v>
      </c>
      <c r="DN85" s="17">
        <v>6034.7</v>
      </c>
      <c r="DO85" s="17">
        <v>0.42855833016972</v>
      </c>
      <c r="DP85" s="17" t="s">
        <v>3308</v>
      </c>
      <c r="DQ85" s="17" t="s">
        <v>2839</v>
      </c>
      <c r="DR85" s="17" t="s">
        <v>56</v>
      </c>
      <c r="DS85" s="17" t="s">
        <v>56</v>
      </c>
      <c r="DT85" s="17" t="s">
        <v>56</v>
      </c>
      <c r="DU85" s="17" t="s">
        <v>56</v>
      </c>
      <c r="DV85" s="17" t="s">
        <v>2862</v>
      </c>
      <c r="DW85" s="17" t="s">
        <v>3309</v>
      </c>
      <c r="DX85" s="17" t="s">
        <v>3310</v>
      </c>
      <c r="DY85" s="17">
        <v>9.7795896448127796E-3</v>
      </c>
      <c r="DZ85" s="17">
        <v>2.7520410355187201E-2</v>
      </c>
      <c r="EA85" s="17" t="s">
        <v>3311</v>
      </c>
      <c r="EB85" s="17">
        <v>4.0201671797007003E-3</v>
      </c>
      <c r="EC85" s="17">
        <v>7.1798328202993004E-3</v>
      </c>
      <c r="ED85" s="17" t="s">
        <v>56</v>
      </c>
      <c r="EE85" s="17" t="s">
        <v>56</v>
      </c>
      <c r="EF85" s="17" t="s">
        <v>56</v>
      </c>
      <c r="EG85" s="17" t="s">
        <v>2862</v>
      </c>
      <c r="EH85" s="17" t="s">
        <v>3309</v>
      </c>
      <c r="EI85" s="17" t="s">
        <v>3312</v>
      </c>
      <c r="EJ85" s="17">
        <v>1.08477E-2</v>
      </c>
      <c r="EK85" s="17">
        <v>5.8252699999999998E-2</v>
      </c>
      <c r="EL85" s="17" t="s">
        <v>3311</v>
      </c>
      <c r="EM85" s="17">
        <v>4.8999999999999998E-3</v>
      </c>
      <c r="EN85" s="17">
        <v>1.01E-2</v>
      </c>
      <c r="EO85" s="17" t="s">
        <v>3312</v>
      </c>
      <c r="EP85" s="17">
        <v>4.3641500000000004</v>
      </c>
      <c r="EQ85" s="17">
        <v>23.435700000000001</v>
      </c>
      <c r="ER85" s="17" t="s">
        <v>3313</v>
      </c>
      <c r="ES85" s="17">
        <v>0.59340000000000004</v>
      </c>
      <c r="ET85" s="17">
        <v>1.2263999999999999</v>
      </c>
      <c r="EU85" s="17" t="s">
        <v>2862</v>
      </c>
      <c r="EV85" s="17" t="s">
        <v>3309</v>
      </c>
      <c r="EW85" s="17" t="s">
        <v>3312</v>
      </c>
      <c r="EX85" s="17">
        <v>4.3641500000000004</v>
      </c>
      <c r="EY85" s="17">
        <v>23.435700000000001</v>
      </c>
      <c r="EZ85" s="17" t="s">
        <v>3311</v>
      </c>
      <c r="FA85" s="17">
        <v>0.59340000000000004</v>
      </c>
      <c r="FB85" s="17">
        <v>1.2263999999999999</v>
      </c>
      <c r="FC85" s="17" t="s">
        <v>56</v>
      </c>
      <c r="FD85" s="17" t="s">
        <v>56</v>
      </c>
      <c r="FE85" s="17" t="s">
        <v>56</v>
      </c>
      <c r="FF85" s="17" t="s">
        <v>56</v>
      </c>
      <c r="FG85" s="17" t="s">
        <v>56</v>
      </c>
      <c r="FH85" s="17" t="s">
        <v>56</v>
      </c>
      <c r="FI85" s="17" t="s">
        <v>56</v>
      </c>
      <c r="FJ85" s="17" t="s">
        <v>56</v>
      </c>
      <c r="FK85" s="17" t="s">
        <v>56</v>
      </c>
      <c r="FL85" s="17" t="s">
        <v>56</v>
      </c>
      <c r="FM85" s="17" t="s">
        <v>56</v>
      </c>
      <c r="FN85" s="17" t="s">
        <v>56</v>
      </c>
      <c r="FO85" s="17" t="s">
        <v>56</v>
      </c>
      <c r="FP85" s="17" t="s">
        <v>56</v>
      </c>
      <c r="FQ85" s="17" t="s">
        <v>56</v>
      </c>
      <c r="FR85" s="17" t="s">
        <v>56</v>
      </c>
      <c r="FS85" s="17" t="s">
        <v>56</v>
      </c>
      <c r="FT85" s="17" t="s">
        <v>56</v>
      </c>
      <c r="FU85" s="17">
        <v>194.51045497581501</v>
      </c>
      <c r="FV85" s="17">
        <v>1044.53070349935</v>
      </c>
      <c r="FW85" s="17" t="s">
        <v>56</v>
      </c>
      <c r="FX85" s="17" t="s">
        <v>56</v>
      </c>
      <c r="FY85" s="17" t="s">
        <v>56</v>
      </c>
      <c r="FZ85" s="17" t="s">
        <v>56</v>
      </c>
      <c r="GA85" s="17" t="s">
        <v>56</v>
      </c>
      <c r="GB85" s="17" t="s">
        <v>56</v>
      </c>
      <c r="GC85" s="17" t="s">
        <v>56</v>
      </c>
      <c r="GD85" s="17" t="s">
        <v>2969</v>
      </c>
      <c r="GE85" s="17" t="s">
        <v>2969</v>
      </c>
      <c r="GF85" s="17" t="s">
        <v>56</v>
      </c>
      <c r="GG85" s="17" t="s">
        <v>2818</v>
      </c>
      <c r="GH85" s="17" t="s">
        <v>2818</v>
      </c>
      <c r="GI85" s="17" t="s">
        <v>1111</v>
      </c>
      <c r="GJ85" s="17" t="s">
        <v>1111</v>
      </c>
      <c r="GK85" s="17" t="s">
        <v>1111</v>
      </c>
      <c r="GL85" s="17"/>
    </row>
    <row r="86" spans="2:194" x14ac:dyDescent="0.25">
      <c r="B86" s="17" t="s">
        <v>2840</v>
      </c>
      <c r="C86" s="17" t="s">
        <v>70</v>
      </c>
      <c r="D86" s="17" t="s">
        <v>3411</v>
      </c>
      <c r="E86" s="17" t="s">
        <v>3412</v>
      </c>
      <c r="F86" s="17" t="s">
        <v>3237</v>
      </c>
      <c r="G86" s="17" t="s">
        <v>3413</v>
      </c>
      <c r="H86" s="17"/>
      <c r="I86" s="17" t="s">
        <v>2797</v>
      </c>
      <c r="J86" s="17" t="s">
        <v>3403</v>
      </c>
      <c r="K86" s="17" t="s">
        <v>2653</v>
      </c>
      <c r="L86" s="17" t="s">
        <v>2800</v>
      </c>
      <c r="M86" s="17" t="s">
        <v>3414</v>
      </c>
      <c r="N86" s="17" t="s">
        <v>1325</v>
      </c>
      <c r="O86" s="17" t="s">
        <v>2813</v>
      </c>
      <c r="P86" s="17" t="s">
        <v>2814</v>
      </c>
      <c r="Q86" s="17" t="s">
        <v>3616</v>
      </c>
      <c r="R86" s="17">
        <v>17897433.710000001</v>
      </c>
      <c r="S86" s="17">
        <v>4974456.4000000004</v>
      </c>
      <c r="T86" s="17">
        <v>18587154.18</v>
      </c>
      <c r="U86" s="17" t="s">
        <v>2817</v>
      </c>
      <c r="V86" s="17" t="s">
        <v>939</v>
      </c>
      <c r="W86" s="17" t="s">
        <v>2816</v>
      </c>
      <c r="X86" s="17" t="s">
        <v>3403</v>
      </c>
      <c r="Y86" s="17" t="s">
        <v>56</v>
      </c>
      <c r="Z86" s="17" t="s">
        <v>3616</v>
      </c>
      <c r="AA86" s="17" t="s">
        <v>2801</v>
      </c>
      <c r="AB86" s="17">
        <v>2.1629</v>
      </c>
      <c r="AC86" s="17" t="s">
        <v>3616</v>
      </c>
      <c r="AD86" s="17" t="s">
        <v>2804</v>
      </c>
      <c r="AE86" s="17">
        <v>319397</v>
      </c>
      <c r="AF86" s="17" t="s">
        <v>2839</v>
      </c>
      <c r="AG86" s="17" t="s">
        <v>3617</v>
      </c>
      <c r="AH86" s="17" t="s">
        <v>2806</v>
      </c>
      <c r="AI86" s="17"/>
      <c r="AJ86" s="17" t="s">
        <v>56</v>
      </c>
      <c r="AK86" s="17" t="s">
        <v>56</v>
      </c>
      <c r="AL86" s="17" t="s">
        <v>56</v>
      </c>
      <c r="AM86" s="17" t="s">
        <v>56</v>
      </c>
      <c r="AN86" s="17" t="s">
        <v>56</v>
      </c>
      <c r="AO86" s="17" t="s">
        <v>56</v>
      </c>
      <c r="AP86" s="17" t="s">
        <v>56</v>
      </c>
      <c r="AQ86" s="17" t="s">
        <v>56</v>
      </c>
      <c r="AR86" s="17" t="s">
        <v>56</v>
      </c>
      <c r="AS86" s="17">
        <v>677.19899999999996</v>
      </c>
      <c r="AT86" s="17">
        <v>82.007599999999996</v>
      </c>
      <c r="AU86" s="17">
        <v>435.83600000000001</v>
      </c>
      <c r="AV86" s="17" t="s">
        <v>56</v>
      </c>
      <c r="AW86" s="17" t="s">
        <v>56</v>
      </c>
      <c r="AX86" s="17" t="s">
        <v>56</v>
      </c>
      <c r="AY86" s="17">
        <v>561.97</v>
      </c>
      <c r="AZ86" s="17">
        <v>68.053600000000003</v>
      </c>
      <c r="BA86" s="17">
        <v>361.67599999999999</v>
      </c>
      <c r="BB86" s="17" t="s">
        <v>56</v>
      </c>
      <c r="BC86" s="17" t="s">
        <v>56</v>
      </c>
      <c r="BD86" s="17" t="s">
        <v>56</v>
      </c>
      <c r="BE86" s="17" t="s">
        <v>56</v>
      </c>
      <c r="BF86" s="17" t="s">
        <v>56</v>
      </c>
      <c r="BG86" s="17" t="s">
        <v>56</v>
      </c>
      <c r="BH86" s="17" t="s">
        <v>56</v>
      </c>
      <c r="BI86" s="17" t="s">
        <v>56</v>
      </c>
      <c r="BJ86" s="17" t="s">
        <v>56</v>
      </c>
      <c r="BK86" s="17" t="s">
        <v>56</v>
      </c>
      <c r="BL86" s="17" t="s">
        <v>56</v>
      </c>
      <c r="BM86" s="17" t="s">
        <v>56</v>
      </c>
      <c r="BN86" s="17" t="s">
        <v>56</v>
      </c>
      <c r="BO86" s="17" t="s">
        <v>56</v>
      </c>
      <c r="BP86" s="17" t="s">
        <v>56</v>
      </c>
      <c r="BQ86" s="17" t="s">
        <v>56</v>
      </c>
      <c r="BR86" s="17" t="s">
        <v>56</v>
      </c>
      <c r="BS86" s="17" t="s">
        <v>56</v>
      </c>
      <c r="BT86" s="17" t="s">
        <v>56</v>
      </c>
      <c r="BU86" s="17" t="s">
        <v>56</v>
      </c>
      <c r="BV86" s="17" t="s">
        <v>56</v>
      </c>
      <c r="BW86" s="17" t="s">
        <v>56</v>
      </c>
      <c r="BX86" s="17" t="s">
        <v>2818</v>
      </c>
      <c r="BY86" s="17" t="s">
        <v>1111</v>
      </c>
      <c r="BZ86" s="17" t="s">
        <v>56</v>
      </c>
      <c r="CA86" s="17" t="s">
        <v>56</v>
      </c>
      <c r="CB86" s="17" t="s">
        <v>1325</v>
      </c>
      <c r="CC86" s="17" t="s">
        <v>1325</v>
      </c>
      <c r="CD86" s="17" t="s">
        <v>1325</v>
      </c>
      <c r="CE86" s="17" t="s">
        <v>1325</v>
      </c>
      <c r="CF86" s="17" t="s">
        <v>1325</v>
      </c>
      <c r="CG86" s="17" t="s">
        <v>1325</v>
      </c>
      <c r="CH86" s="17" t="s">
        <v>1325</v>
      </c>
      <c r="CI86" s="17" t="s">
        <v>1325</v>
      </c>
      <c r="CJ86" s="17" t="s">
        <v>1325</v>
      </c>
      <c r="CK86" s="17" t="s">
        <v>1325</v>
      </c>
      <c r="CL86" s="17" t="s">
        <v>1325</v>
      </c>
      <c r="CM86" s="17" t="s">
        <v>1325</v>
      </c>
      <c r="CN86" s="17" t="s">
        <v>1325</v>
      </c>
      <c r="CO86" s="17" t="s">
        <v>1325</v>
      </c>
      <c r="CP86" s="17" t="s">
        <v>1325</v>
      </c>
      <c r="CQ86" s="17" t="s">
        <v>1325</v>
      </c>
      <c r="CR86" s="17" t="s">
        <v>1325</v>
      </c>
      <c r="CS86" s="17" t="s">
        <v>1325</v>
      </c>
      <c r="CT86" s="17" t="s">
        <v>1325</v>
      </c>
      <c r="CU86" s="17" t="s">
        <v>1325</v>
      </c>
      <c r="CV86" s="17" t="s">
        <v>1325</v>
      </c>
      <c r="CW86" s="17" t="s">
        <v>56</v>
      </c>
      <c r="CX86" s="17" t="s">
        <v>56</v>
      </c>
      <c r="CY86" s="17" t="s">
        <v>56</v>
      </c>
      <c r="CZ86" s="17">
        <v>319397</v>
      </c>
      <c r="DA86" s="17">
        <v>319397</v>
      </c>
      <c r="DB86" s="17">
        <v>319397</v>
      </c>
      <c r="DC86" s="17"/>
      <c r="DD86" s="17"/>
      <c r="DE86" s="17"/>
      <c r="DF86" s="17" t="s">
        <v>3415</v>
      </c>
      <c r="DG86" s="17" t="s">
        <v>3568</v>
      </c>
      <c r="DH86" s="17" t="s">
        <v>3237</v>
      </c>
      <c r="DI86" s="17" t="s">
        <v>3569</v>
      </c>
      <c r="DJ86" s="17" t="s">
        <v>3407</v>
      </c>
      <c r="DK86" s="17" t="s">
        <v>3320</v>
      </c>
      <c r="DL86" s="17" t="s">
        <v>3418</v>
      </c>
      <c r="DM86" s="17">
        <v>1.0985999999999999E-2</v>
      </c>
      <c r="DN86" s="17">
        <v>3508.9</v>
      </c>
      <c r="DO86" s="17">
        <v>0.42855759510747399</v>
      </c>
      <c r="DP86" s="17" t="s">
        <v>3308</v>
      </c>
      <c r="DQ86" s="17" t="s">
        <v>2839</v>
      </c>
      <c r="DR86" s="17" t="s">
        <v>56</v>
      </c>
      <c r="DS86" s="17" t="s">
        <v>56</v>
      </c>
      <c r="DT86" s="17" t="s">
        <v>56</v>
      </c>
      <c r="DU86" s="17" t="s">
        <v>56</v>
      </c>
      <c r="DV86" s="17" t="s">
        <v>2862</v>
      </c>
      <c r="DW86" s="17" t="s">
        <v>3309</v>
      </c>
      <c r="DX86" s="17" t="s">
        <v>3310</v>
      </c>
      <c r="DY86" s="17">
        <v>7.07905952841676E-4</v>
      </c>
      <c r="DZ86" s="17">
        <v>1.99209404715832E-3</v>
      </c>
      <c r="EA86" s="17" t="s">
        <v>3311</v>
      </c>
      <c r="EB86" s="17">
        <v>2.8715479855005E-4</v>
      </c>
      <c r="EC86" s="17">
        <v>5.1284520144994998E-4</v>
      </c>
      <c r="ED86" s="17" t="s">
        <v>56</v>
      </c>
      <c r="EE86" s="17" t="s">
        <v>56</v>
      </c>
      <c r="EF86" s="17" t="s">
        <v>56</v>
      </c>
      <c r="EG86" s="17" t="s">
        <v>2862</v>
      </c>
      <c r="EH86" s="17" t="s">
        <v>3309</v>
      </c>
      <c r="EI86" s="17" t="s">
        <v>3312</v>
      </c>
      <c r="EJ86" s="17">
        <v>1.08477E-2</v>
      </c>
      <c r="EK86" s="17">
        <v>5.8252699999999998E-2</v>
      </c>
      <c r="EL86" s="17" t="s">
        <v>3311</v>
      </c>
      <c r="EM86" s="17">
        <v>4.8999999999999998E-3</v>
      </c>
      <c r="EN86" s="17">
        <v>1.01E-2</v>
      </c>
      <c r="EO86" s="17" t="s">
        <v>3312</v>
      </c>
      <c r="EP86" s="17">
        <v>4.3641500000000004</v>
      </c>
      <c r="EQ86" s="17">
        <v>23.435700000000001</v>
      </c>
      <c r="ER86" s="17" t="s">
        <v>3313</v>
      </c>
      <c r="ES86" s="17">
        <v>0.59340000000000004</v>
      </c>
      <c r="ET86" s="17">
        <v>1.2263999999999999</v>
      </c>
      <c r="EU86" s="17" t="s">
        <v>2862</v>
      </c>
      <c r="EV86" s="17" t="s">
        <v>3309</v>
      </c>
      <c r="EW86" s="17" t="s">
        <v>3312</v>
      </c>
      <c r="EX86" s="17">
        <v>4.3641500000000004</v>
      </c>
      <c r="EY86" s="17">
        <v>23.435700000000001</v>
      </c>
      <c r="EZ86" s="17" t="s">
        <v>3311</v>
      </c>
      <c r="FA86" s="17">
        <v>0.59340000000000004</v>
      </c>
      <c r="FB86" s="17">
        <v>1.2263999999999999</v>
      </c>
      <c r="FC86" s="17" t="s">
        <v>56</v>
      </c>
      <c r="FD86" s="17" t="s">
        <v>56</v>
      </c>
      <c r="FE86" s="17" t="s">
        <v>56</v>
      </c>
      <c r="FF86" s="17" t="s">
        <v>56</v>
      </c>
      <c r="FG86" s="17" t="s">
        <v>56</v>
      </c>
      <c r="FH86" s="17" t="s">
        <v>56</v>
      </c>
      <c r="FI86" s="17" t="s">
        <v>56</v>
      </c>
      <c r="FJ86" s="17" t="s">
        <v>56</v>
      </c>
      <c r="FK86" s="17" t="s">
        <v>56</v>
      </c>
      <c r="FL86" s="17" t="s">
        <v>56</v>
      </c>
      <c r="FM86" s="17" t="s">
        <v>56</v>
      </c>
      <c r="FN86" s="17" t="s">
        <v>56</v>
      </c>
      <c r="FO86" s="17" t="s">
        <v>56</v>
      </c>
      <c r="FP86" s="17" t="s">
        <v>56</v>
      </c>
      <c r="FQ86" s="17" t="s">
        <v>56</v>
      </c>
      <c r="FR86" s="17" t="s">
        <v>56</v>
      </c>
      <c r="FS86" s="17" t="s">
        <v>56</v>
      </c>
      <c r="FT86" s="17" t="s">
        <v>56</v>
      </c>
      <c r="FU86" s="17">
        <v>194.51012138018899</v>
      </c>
      <c r="FV86" s="17">
        <v>1044.5289120744401</v>
      </c>
      <c r="FW86" s="17" t="s">
        <v>56</v>
      </c>
      <c r="FX86" s="17" t="s">
        <v>56</v>
      </c>
      <c r="FY86" s="17" t="s">
        <v>56</v>
      </c>
      <c r="FZ86" s="17" t="s">
        <v>56</v>
      </c>
      <c r="GA86" s="17" t="s">
        <v>56</v>
      </c>
      <c r="GB86" s="17" t="s">
        <v>56</v>
      </c>
      <c r="GC86" s="17" t="s">
        <v>56</v>
      </c>
      <c r="GD86" s="17" t="s">
        <v>2969</v>
      </c>
      <c r="GE86" s="17" t="s">
        <v>2969</v>
      </c>
      <c r="GF86" s="17" t="s">
        <v>56</v>
      </c>
      <c r="GG86" s="17" t="s">
        <v>2818</v>
      </c>
      <c r="GH86" s="17" t="s">
        <v>2818</v>
      </c>
      <c r="GI86" s="17" t="s">
        <v>1111</v>
      </c>
      <c r="GJ86" s="17" t="s">
        <v>1111</v>
      </c>
      <c r="GK86" s="17" t="s">
        <v>1111</v>
      </c>
      <c r="GL86" s="17"/>
    </row>
    <row r="87" spans="2:194" x14ac:dyDescent="0.25">
      <c r="B87" s="17" t="s">
        <v>2840</v>
      </c>
      <c r="C87" s="17" t="s">
        <v>70</v>
      </c>
      <c r="D87" s="17" t="s">
        <v>3411</v>
      </c>
      <c r="E87" s="17" t="s">
        <v>3412</v>
      </c>
      <c r="F87" s="17" t="s">
        <v>3237</v>
      </c>
      <c r="G87" s="17" t="s">
        <v>3413</v>
      </c>
      <c r="H87" s="17"/>
      <c r="I87" s="17" t="s">
        <v>2797</v>
      </c>
      <c r="J87" s="17" t="s">
        <v>3403</v>
      </c>
      <c r="K87" s="17" t="s">
        <v>2653</v>
      </c>
      <c r="L87" s="17" t="s">
        <v>2800</v>
      </c>
      <c r="M87" s="17" t="s">
        <v>3414</v>
      </c>
      <c r="N87" s="17" t="s">
        <v>1325</v>
      </c>
      <c r="O87" s="17" t="s">
        <v>2813</v>
      </c>
      <c r="P87" s="17" t="s">
        <v>2814</v>
      </c>
      <c r="Q87" s="17" t="s">
        <v>3616</v>
      </c>
      <c r="R87" s="17">
        <v>17897433.710000001</v>
      </c>
      <c r="S87" s="17">
        <v>4974456.4000000004</v>
      </c>
      <c r="T87" s="17">
        <v>18587154.18</v>
      </c>
      <c r="U87" s="17" t="s">
        <v>2817</v>
      </c>
      <c r="V87" s="17" t="s">
        <v>939</v>
      </c>
      <c r="W87" s="17" t="s">
        <v>2816</v>
      </c>
      <c r="X87" s="17" t="s">
        <v>3403</v>
      </c>
      <c r="Y87" s="17" t="s">
        <v>56</v>
      </c>
      <c r="Z87" s="17" t="s">
        <v>3616</v>
      </c>
      <c r="AA87" s="17" t="s">
        <v>2801</v>
      </c>
      <c r="AB87" s="17">
        <v>2.1629</v>
      </c>
      <c r="AC87" s="17" t="s">
        <v>3616</v>
      </c>
      <c r="AD87" s="17" t="s">
        <v>2804</v>
      </c>
      <c r="AE87" s="17">
        <v>319397</v>
      </c>
      <c r="AF87" s="17" t="s">
        <v>2839</v>
      </c>
      <c r="AG87" s="17" t="s">
        <v>3617</v>
      </c>
      <c r="AH87" s="17" t="s">
        <v>2806</v>
      </c>
      <c r="AI87" s="17"/>
      <c r="AJ87" s="17" t="s">
        <v>56</v>
      </c>
      <c r="AK87" s="17" t="s">
        <v>56</v>
      </c>
      <c r="AL87" s="17" t="s">
        <v>56</v>
      </c>
      <c r="AM87" s="17" t="s">
        <v>56</v>
      </c>
      <c r="AN87" s="17" t="s">
        <v>56</v>
      </c>
      <c r="AO87" s="17" t="s">
        <v>56</v>
      </c>
      <c r="AP87" s="17" t="s">
        <v>56</v>
      </c>
      <c r="AQ87" s="17" t="s">
        <v>56</v>
      </c>
      <c r="AR87" s="17" t="s">
        <v>56</v>
      </c>
      <c r="AS87" s="17">
        <v>677.19899999999996</v>
      </c>
      <c r="AT87" s="17">
        <v>82.007599999999996</v>
      </c>
      <c r="AU87" s="17">
        <v>435.83600000000001</v>
      </c>
      <c r="AV87" s="17" t="s">
        <v>56</v>
      </c>
      <c r="AW87" s="17" t="s">
        <v>56</v>
      </c>
      <c r="AX87" s="17" t="s">
        <v>56</v>
      </c>
      <c r="AY87" s="17">
        <v>561.97</v>
      </c>
      <c r="AZ87" s="17">
        <v>68.053600000000003</v>
      </c>
      <c r="BA87" s="17">
        <v>361.67599999999999</v>
      </c>
      <c r="BB87" s="17" t="s">
        <v>56</v>
      </c>
      <c r="BC87" s="17" t="s">
        <v>56</v>
      </c>
      <c r="BD87" s="17" t="s">
        <v>56</v>
      </c>
      <c r="BE87" s="17" t="s">
        <v>56</v>
      </c>
      <c r="BF87" s="17" t="s">
        <v>56</v>
      </c>
      <c r="BG87" s="17" t="s">
        <v>56</v>
      </c>
      <c r="BH87" s="17" t="s">
        <v>56</v>
      </c>
      <c r="BI87" s="17" t="s">
        <v>56</v>
      </c>
      <c r="BJ87" s="17" t="s">
        <v>56</v>
      </c>
      <c r="BK87" s="17" t="s">
        <v>56</v>
      </c>
      <c r="BL87" s="17" t="s">
        <v>56</v>
      </c>
      <c r="BM87" s="17" t="s">
        <v>56</v>
      </c>
      <c r="BN87" s="17" t="s">
        <v>56</v>
      </c>
      <c r="BO87" s="17" t="s">
        <v>56</v>
      </c>
      <c r="BP87" s="17" t="s">
        <v>56</v>
      </c>
      <c r="BQ87" s="17" t="s">
        <v>56</v>
      </c>
      <c r="BR87" s="17" t="s">
        <v>56</v>
      </c>
      <c r="BS87" s="17" t="s">
        <v>56</v>
      </c>
      <c r="BT87" s="17" t="s">
        <v>56</v>
      </c>
      <c r="BU87" s="17" t="s">
        <v>56</v>
      </c>
      <c r="BV87" s="17" t="s">
        <v>56</v>
      </c>
      <c r="BW87" s="17" t="s">
        <v>56</v>
      </c>
      <c r="BX87" s="17" t="s">
        <v>2818</v>
      </c>
      <c r="BY87" s="17" t="s">
        <v>1111</v>
      </c>
      <c r="BZ87" s="17" t="s">
        <v>56</v>
      </c>
      <c r="CA87" s="17" t="s">
        <v>56</v>
      </c>
      <c r="CB87" s="17" t="s">
        <v>1325</v>
      </c>
      <c r="CC87" s="17" t="s">
        <v>1325</v>
      </c>
      <c r="CD87" s="17" t="s">
        <v>1325</v>
      </c>
      <c r="CE87" s="17" t="s">
        <v>1325</v>
      </c>
      <c r="CF87" s="17" t="s">
        <v>1325</v>
      </c>
      <c r="CG87" s="17" t="s">
        <v>1325</v>
      </c>
      <c r="CH87" s="17" t="s">
        <v>1325</v>
      </c>
      <c r="CI87" s="17" t="s">
        <v>1325</v>
      </c>
      <c r="CJ87" s="17" t="s">
        <v>1325</v>
      </c>
      <c r="CK87" s="17" t="s">
        <v>1325</v>
      </c>
      <c r="CL87" s="17" t="s">
        <v>1325</v>
      </c>
      <c r="CM87" s="17" t="s">
        <v>1325</v>
      </c>
      <c r="CN87" s="17" t="s">
        <v>1325</v>
      </c>
      <c r="CO87" s="17" t="s">
        <v>1325</v>
      </c>
      <c r="CP87" s="17" t="s">
        <v>1325</v>
      </c>
      <c r="CQ87" s="17" t="s">
        <v>1325</v>
      </c>
      <c r="CR87" s="17" t="s">
        <v>1325</v>
      </c>
      <c r="CS87" s="17" t="s">
        <v>1325</v>
      </c>
      <c r="CT87" s="17" t="s">
        <v>1325</v>
      </c>
      <c r="CU87" s="17" t="s">
        <v>1325</v>
      </c>
      <c r="CV87" s="17" t="s">
        <v>1325</v>
      </c>
      <c r="CW87" s="17" t="s">
        <v>56</v>
      </c>
      <c r="CX87" s="17" t="s">
        <v>56</v>
      </c>
      <c r="CY87" s="17" t="s">
        <v>56</v>
      </c>
      <c r="CZ87" s="17">
        <v>319397</v>
      </c>
      <c r="DA87" s="17">
        <v>319397</v>
      </c>
      <c r="DB87" s="17">
        <v>319397</v>
      </c>
      <c r="DC87" s="17"/>
      <c r="DD87" s="17"/>
      <c r="DE87" s="17"/>
      <c r="DF87" s="17" t="s">
        <v>3415</v>
      </c>
      <c r="DG87" s="17" t="s">
        <v>3570</v>
      </c>
      <c r="DH87" s="17" t="s">
        <v>3237</v>
      </c>
      <c r="DI87" s="17" t="s">
        <v>3571</v>
      </c>
      <c r="DJ87" s="17" t="s">
        <v>3405</v>
      </c>
      <c r="DK87" s="17" t="s">
        <v>3320</v>
      </c>
      <c r="DL87" s="17" t="s">
        <v>3418</v>
      </c>
      <c r="DM87" s="17">
        <v>1.159E-2</v>
      </c>
      <c r="DN87" s="17">
        <v>3701.8</v>
      </c>
      <c r="DO87" s="17">
        <v>0.42855844932623199</v>
      </c>
      <c r="DP87" s="17" t="s">
        <v>3308</v>
      </c>
      <c r="DQ87" s="17" t="s">
        <v>2839</v>
      </c>
      <c r="DR87" s="17" t="s">
        <v>56</v>
      </c>
      <c r="DS87" s="17" t="s">
        <v>56</v>
      </c>
      <c r="DT87" s="17" t="s">
        <v>56</v>
      </c>
      <c r="DU87" s="17" t="s">
        <v>56</v>
      </c>
      <c r="DV87" s="17" t="s">
        <v>2862</v>
      </c>
      <c r="DW87" s="17" t="s">
        <v>3309</v>
      </c>
      <c r="DX87" s="17" t="s">
        <v>3310</v>
      </c>
      <c r="DY87" s="17">
        <v>9.7795896448127796E-3</v>
      </c>
      <c r="DZ87" s="17">
        <v>2.7520410355187201E-2</v>
      </c>
      <c r="EA87" s="17" t="s">
        <v>3311</v>
      </c>
      <c r="EB87" s="17">
        <v>4.0201671797007003E-3</v>
      </c>
      <c r="EC87" s="17">
        <v>7.1798328202993004E-3</v>
      </c>
      <c r="ED87" s="17" t="s">
        <v>56</v>
      </c>
      <c r="EE87" s="17" t="s">
        <v>56</v>
      </c>
      <c r="EF87" s="17" t="s">
        <v>56</v>
      </c>
      <c r="EG87" s="17" t="s">
        <v>2862</v>
      </c>
      <c r="EH87" s="17" t="s">
        <v>3309</v>
      </c>
      <c r="EI87" s="17" t="s">
        <v>3312</v>
      </c>
      <c r="EJ87" s="17">
        <v>1.08477E-2</v>
      </c>
      <c r="EK87" s="17">
        <v>5.8252699999999998E-2</v>
      </c>
      <c r="EL87" s="17" t="s">
        <v>3311</v>
      </c>
      <c r="EM87" s="17">
        <v>4.8999999999999998E-3</v>
      </c>
      <c r="EN87" s="17">
        <v>1.01E-2</v>
      </c>
      <c r="EO87" s="17" t="s">
        <v>3312</v>
      </c>
      <c r="EP87" s="17">
        <v>4.3641500000000004</v>
      </c>
      <c r="EQ87" s="17">
        <v>23.435700000000001</v>
      </c>
      <c r="ER87" s="17" t="s">
        <v>3313</v>
      </c>
      <c r="ES87" s="17">
        <v>0.59340000000000004</v>
      </c>
      <c r="ET87" s="17">
        <v>1.2263999999999999</v>
      </c>
      <c r="EU87" s="17" t="s">
        <v>2862</v>
      </c>
      <c r="EV87" s="17" t="s">
        <v>3309</v>
      </c>
      <c r="EW87" s="17" t="s">
        <v>3312</v>
      </c>
      <c r="EX87" s="17">
        <v>4.3641500000000004</v>
      </c>
      <c r="EY87" s="17">
        <v>23.435700000000001</v>
      </c>
      <c r="EZ87" s="17" t="s">
        <v>3311</v>
      </c>
      <c r="FA87" s="17">
        <v>0.59340000000000004</v>
      </c>
      <c r="FB87" s="17">
        <v>1.2263999999999999</v>
      </c>
      <c r="FC87" s="17" t="s">
        <v>56</v>
      </c>
      <c r="FD87" s="17" t="s">
        <v>56</v>
      </c>
      <c r="FE87" s="17" t="s">
        <v>56</v>
      </c>
      <c r="FF87" s="17" t="s">
        <v>56</v>
      </c>
      <c r="FG87" s="17" t="s">
        <v>56</v>
      </c>
      <c r="FH87" s="17" t="s">
        <v>56</v>
      </c>
      <c r="FI87" s="17" t="s">
        <v>56</v>
      </c>
      <c r="FJ87" s="17" t="s">
        <v>56</v>
      </c>
      <c r="FK87" s="17" t="s">
        <v>56</v>
      </c>
      <c r="FL87" s="17" t="s">
        <v>56</v>
      </c>
      <c r="FM87" s="17" t="s">
        <v>56</v>
      </c>
      <c r="FN87" s="17" t="s">
        <v>56</v>
      </c>
      <c r="FO87" s="17" t="s">
        <v>56</v>
      </c>
      <c r="FP87" s="17" t="s">
        <v>56</v>
      </c>
      <c r="FQ87" s="17" t="s">
        <v>56</v>
      </c>
      <c r="FR87" s="17" t="s">
        <v>56</v>
      </c>
      <c r="FS87" s="17" t="s">
        <v>56</v>
      </c>
      <c r="FT87" s="17" t="s">
        <v>56</v>
      </c>
      <c r="FU87" s="17">
        <v>194.510509077309</v>
      </c>
      <c r="FV87" s="17">
        <v>1044.5309940270399</v>
      </c>
      <c r="FW87" s="17" t="s">
        <v>56</v>
      </c>
      <c r="FX87" s="17" t="s">
        <v>56</v>
      </c>
      <c r="FY87" s="17" t="s">
        <v>56</v>
      </c>
      <c r="FZ87" s="17" t="s">
        <v>56</v>
      </c>
      <c r="GA87" s="17" t="s">
        <v>56</v>
      </c>
      <c r="GB87" s="17" t="s">
        <v>56</v>
      </c>
      <c r="GC87" s="17" t="s">
        <v>56</v>
      </c>
      <c r="GD87" s="17" t="s">
        <v>2969</v>
      </c>
      <c r="GE87" s="17" t="s">
        <v>2969</v>
      </c>
      <c r="GF87" s="17" t="s">
        <v>56</v>
      </c>
      <c r="GG87" s="17" t="s">
        <v>2818</v>
      </c>
      <c r="GH87" s="17" t="s">
        <v>2818</v>
      </c>
      <c r="GI87" s="17" t="s">
        <v>1111</v>
      </c>
      <c r="GJ87" s="17" t="s">
        <v>1111</v>
      </c>
      <c r="GK87" s="17" t="s">
        <v>1111</v>
      </c>
      <c r="GL87" s="17"/>
    </row>
    <row r="88" spans="2:194" x14ac:dyDescent="0.25">
      <c r="B88" s="17" t="s">
        <v>2840</v>
      </c>
      <c r="C88" s="17" t="s">
        <v>70</v>
      </c>
      <c r="D88" s="17" t="s">
        <v>3411</v>
      </c>
      <c r="E88" s="17" t="s">
        <v>3412</v>
      </c>
      <c r="F88" s="17" t="s">
        <v>3237</v>
      </c>
      <c r="G88" s="17" t="s">
        <v>3413</v>
      </c>
      <c r="H88" s="17"/>
      <c r="I88" s="17" t="s">
        <v>2797</v>
      </c>
      <c r="J88" s="17" t="s">
        <v>3403</v>
      </c>
      <c r="K88" s="17" t="s">
        <v>2653</v>
      </c>
      <c r="L88" s="17" t="s">
        <v>2800</v>
      </c>
      <c r="M88" s="17" t="s">
        <v>3414</v>
      </c>
      <c r="N88" s="17" t="s">
        <v>1325</v>
      </c>
      <c r="O88" s="17" t="s">
        <v>2813</v>
      </c>
      <c r="P88" s="17" t="s">
        <v>2814</v>
      </c>
      <c r="Q88" s="17" t="s">
        <v>3616</v>
      </c>
      <c r="R88" s="17">
        <v>17897433.710000001</v>
      </c>
      <c r="S88" s="17">
        <v>4974456.4000000004</v>
      </c>
      <c r="T88" s="17">
        <v>18587154.18</v>
      </c>
      <c r="U88" s="17" t="s">
        <v>2817</v>
      </c>
      <c r="V88" s="17" t="s">
        <v>939</v>
      </c>
      <c r="W88" s="17" t="s">
        <v>2816</v>
      </c>
      <c r="X88" s="17" t="s">
        <v>3403</v>
      </c>
      <c r="Y88" s="17" t="s">
        <v>56</v>
      </c>
      <c r="Z88" s="17" t="s">
        <v>3616</v>
      </c>
      <c r="AA88" s="17" t="s">
        <v>2801</v>
      </c>
      <c r="AB88" s="17">
        <v>2.1629</v>
      </c>
      <c r="AC88" s="17" t="s">
        <v>3616</v>
      </c>
      <c r="AD88" s="17" t="s">
        <v>2804</v>
      </c>
      <c r="AE88" s="17">
        <v>319397</v>
      </c>
      <c r="AF88" s="17" t="s">
        <v>2839</v>
      </c>
      <c r="AG88" s="17" t="s">
        <v>3617</v>
      </c>
      <c r="AH88" s="17" t="s">
        <v>2806</v>
      </c>
      <c r="AI88" s="17"/>
      <c r="AJ88" s="17" t="s">
        <v>56</v>
      </c>
      <c r="AK88" s="17" t="s">
        <v>56</v>
      </c>
      <c r="AL88" s="17" t="s">
        <v>56</v>
      </c>
      <c r="AM88" s="17" t="s">
        <v>56</v>
      </c>
      <c r="AN88" s="17" t="s">
        <v>56</v>
      </c>
      <c r="AO88" s="17" t="s">
        <v>56</v>
      </c>
      <c r="AP88" s="17" t="s">
        <v>56</v>
      </c>
      <c r="AQ88" s="17" t="s">
        <v>56</v>
      </c>
      <c r="AR88" s="17" t="s">
        <v>56</v>
      </c>
      <c r="AS88" s="17">
        <v>677.19899999999996</v>
      </c>
      <c r="AT88" s="17">
        <v>82.007599999999996</v>
      </c>
      <c r="AU88" s="17">
        <v>435.83600000000001</v>
      </c>
      <c r="AV88" s="17" t="s">
        <v>56</v>
      </c>
      <c r="AW88" s="17" t="s">
        <v>56</v>
      </c>
      <c r="AX88" s="17" t="s">
        <v>56</v>
      </c>
      <c r="AY88" s="17">
        <v>561.97</v>
      </c>
      <c r="AZ88" s="17">
        <v>68.053600000000003</v>
      </c>
      <c r="BA88" s="17">
        <v>361.67599999999999</v>
      </c>
      <c r="BB88" s="17" t="s">
        <v>56</v>
      </c>
      <c r="BC88" s="17" t="s">
        <v>56</v>
      </c>
      <c r="BD88" s="17" t="s">
        <v>56</v>
      </c>
      <c r="BE88" s="17" t="s">
        <v>56</v>
      </c>
      <c r="BF88" s="17" t="s">
        <v>56</v>
      </c>
      <c r="BG88" s="17" t="s">
        <v>56</v>
      </c>
      <c r="BH88" s="17" t="s">
        <v>56</v>
      </c>
      <c r="BI88" s="17" t="s">
        <v>56</v>
      </c>
      <c r="BJ88" s="17" t="s">
        <v>56</v>
      </c>
      <c r="BK88" s="17" t="s">
        <v>56</v>
      </c>
      <c r="BL88" s="17" t="s">
        <v>56</v>
      </c>
      <c r="BM88" s="17" t="s">
        <v>56</v>
      </c>
      <c r="BN88" s="17" t="s">
        <v>56</v>
      </c>
      <c r="BO88" s="17" t="s">
        <v>56</v>
      </c>
      <c r="BP88" s="17" t="s">
        <v>56</v>
      </c>
      <c r="BQ88" s="17" t="s">
        <v>56</v>
      </c>
      <c r="BR88" s="17" t="s">
        <v>56</v>
      </c>
      <c r="BS88" s="17" t="s">
        <v>56</v>
      </c>
      <c r="BT88" s="17" t="s">
        <v>56</v>
      </c>
      <c r="BU88" s="17" t="s">
        <v>56</v>
      </c>
      <c r="BV88" s="17" t="s">
        <v>56</v>
      </c>
      <c r="BW88" s="17" t="s">
        <v>56</v>
      </c>
      <c r="BX88" s="17" t="s">
        <v>2818</v>
      </c>
      <c r="BY88" s="17" t="s">
        <v>1111</v>
      </c>
      <c r="BZ88" s="17" t="s">
        <v>56</v>
      </c>
      <c r="CA88" s="17" t="s">
        <v>56</v>
      </c>
      <c r="CB88" s="17" t="s">
        <v>1325</v>
      </c>
      <c r="CC88" s="17" t="s">
        <v>1325</v>
      </c>
      <c r="CD88" s="17" t="s">
        <v>1325</v>
      </c>
      <c r="CE88" s="17" t="s">
        <v>1325</v>
      </c>
      <c r="CF88" s="17" t="s">
        <v>1325</v>
      </c>
      <c r="CG88" s="17" t="s">
        <v>1325</v>
      </c>
      <c r="CH88" s="17" t="s">
        <v>1325</v>
      </c>
      <c r="CI88" s="17" t="s">
        <v>1325</v>
      </c>
      <c r="CJ88" s="17" t="s">
        <v>1325</v>
      </c>
      <c r="CK88" s="17" t="s">
        <v>1325</v>
      </c>
      <c r="CL88" s="17" t="s">
        <v>1325</v>
      </c>
      <c r="CM88" s="17" t="s">
        <v>1325</v>
      </c>
      <c r="CN88" s="17" t="s">
        <v>1325</v>
      </c>
      <c r="CO88" s="17" t="s">
        <v>1325</v>
      </c>
      <c r="CP88" s="17" t="s">
        <v>1325</v>
      </c>
      <c r="CQ88" s="17" t="s">
        <v>1325</v>
      </c>
      <c r="CR88" s="17" t="s">
        <v>1325</v>
      </c>
      <c r="CS88" s="17" t="s">
        <v>1325</v>
      </c>
      <c r="CT88" s="17" t="s">
        <v>1325</v>
      </c>
      <c r="CU88" s="17" t="s">
        <v>1325</v>
      </c>
      <c r="CV88" s="17" t="s">
        <v>1325</v>
      </c>
      <c r="CW88" s="17" t="s">
        <v>56</v>
      </c>
      <c r="CX88" s="17" t="s">
        <v>56</v>
      </c>
      <c r="CY88" s="17" t="s">
        <v>56</v>
      </c>
      <c r="CZ88" s="17">
        <v>319397</v>
      </c>
      <c r="DA88" s="17">
        <v>319397</v>
      </c>
      <c r="DB88" s="17">
        <v>319397</v>
      </c>
      <c r="DC88" s="17"/>
      <c r="DD88" s="17"/>
      <c r="DE88" s="17"/>
      <c r="DF88" s="17" t="s">
        <v>3415</v>
      </c>
      <c r="DG88" s="17" t="s">
        <v>3572</v>
      </c>
      <c r="DH88" s="17" t="s">
        <v>3237</v>
      </c>
      <c r="DI88" s="17" t="s">
        <v>3573</v>
      </c>
      <c r="DJ88" s="17" t="s">
        <v>3407</v>
      </c>
      <c r="DK88" s="17" t="s">
        <v>3320</v>
      </c>
      <c r="DL88" s="17" t="s">
        <v>3418</v>
      </c>
      <c r="DM88" s="17">
        <v>6.2950000000000002E-3</v>
      </c>
      <c r="DN88" s="17">
        <v>2010.6</v>
      </c>
      <c r="DO88" s="17">
        <v>0.42855902539855001</v>
      </c>
      <c r="DP88" s="17" t="s">
        <v>3308</v>
      </c>
      <c r="DQ88" s="17" t="s">
        <v>2839</v>
      </c>
      <c r="DR88" s="17" t="s">
        <v>56</v>
      </c>
      <c r="DS88" s="17" t="s">
        <v>56</v>
      </c>
      <c r="DT88" s="17" t="s">
        <v>56</v>
      </c>
      <c r="DU88" s="17" t="s">
        <v>56</v>
      </c>
      <c r="DV88" s="17" t="s">
        <v>2862</v>
      </c>
      <c r="DW88" s="17" t="s">
        <v>3309</v>
      </c>
      <c r="DX88" s="17" t="s">
        <v>3310</v>
      </c>
      <c r="DY88" s="17">
        <v>7.07905952841676E-4</v>
      </c>
      <c r="DZ88" s="17">
        <v>1.99209404715832E-3</v>
      </c>
      <c r="EA88" s="17" t="s">
        <v>3311</v>
      </c>
      <c r="EB88" s="17">
        <v>2.8715479855005E-4</v>
      </c>
      <c r="EC88" s="17">
        <v>5.1284520144994998E-4</v>
      </c>
      <c r="ED88" s="17" t="s">
        <v>56</v>
      </c>
      <c r="EE88" s="17" t="s">
        <v>56</v>
      </c>
      <c r="EF88" s="17" t="s">
        <v>56</v>
      </c>
      <c r="EG88" s="17" t="s">
        <v>2862</v>
      </c>
      <c r="EH88" s="17" t="s">
        <v>3309</v>
      </c>
      <c r="EI88" s="17" t="s">
        <v>3312</v>
      </c>
      <c r="EJ88" s="17">
        <v>1.08477E-2</v>
      </c>
      <c r="EK88" s="17">
        <v>5.8252699999999998E-2</v>
      </c>
      <c r="EL88" s="17" t="s">
        <v>3311</v>
      </c>
      <c r="EM88" s="17">
        <v>4.8999999999999998E-3</v>
      </c>
      <c r="EN88" s="17">
        <v>1.01E-2</v>
      </c>
      <c r="EO88" s="17" t="s">
        <v>3312</v>
      </c>
      <c r="EP88" s="17">
        <v>4.3641500000000004</v>
      </c>
      <c r="EQ88" s="17">
        <v>23.435700000000001</v>
      </c>
      <c r="ER88" s="17" t="s">
        <v>3313</v>
      </c>
      <c r="ES88" s="17">
        <v>0.59340000000000004</v>
      </c>
      <c r="ET88" s="17">
        <v>1.2263999999999999</v>
      </c>
      <c r="EU88" s="17" t="s">
        <v>2862</v>
      </c>
      <c r="EV88" s="17" t="s">
        <v>3309</v>
      </c>
      <c r="EW88" s="17" t="s">
        <v>3312</v>
      </c>
      <c r="EX88" s="17">
        <v>4.3641500000000004</v>
      </c>
      <c r="EY88" s="17">
        <v>23.435700000000001</v>
      </c>
      <c r="EZ88" s="17" t="s">
        <v>3311</v>
      </c>
      <c r="FA88" s="17">
        <v>0.59340000000000004</v>
      </c>
      <c r="FB88" s="17">
        <v>1.2263999999999999</v>
      </c>
      <c r="FC88" s="17" t="s">
        <v>56</v>
      </c>
      <c r="FD88" s="17" t="s">
        <v>56</v>
      </c>
      <c r="FE88" s="17" t="s">
        <v>56</v>
      </c>
      <c r="FF88" s="17" t="s">
        <v>56</v>
      </c>
      <c r="FG88" s="17" t="s">
        <v>56</v>
      </c>
      <c r="FH88" s="17" t="s">
        <v>56</v>
      </c>
      <c r="FI88" s="17" t="s">
        <v>56</v>
      </c>
      <c r="FJ88" s="17" t="s">
        <v>56</v>
      </c>
      <c r="FK88" s="17" t="s">
        <v>56</v>
      </c>
      <c r="FL88" s="17" t="s">
        <v>56</v>
      </c>
      <c r="FM88" s="17" t="s">
        <v>56</v>
      </c>
      <c r="FN88" s="17" t="s">
        <v>56</v>
      </c>
      <c r="FO88" s="17" t="s">
        <v>56</v>
      </c>
      <c r="FP88" s="17" t="s">
        <v>56</v>
      </c>
      <c r="FQ88" s="17" t="s">
        <v>56</v>
      </c>
      <c r="FR88" s="17" t="s">
        <v>56</v>
      </c>
      <c r="FS88" s="17" t="s">
        <v>56</v>
      </c>
      <c r="FT88" s="17" t="s">
        <v>56</v>
      </c>
      <c r="FU88" s="17">
        <v>194.510770507351</v>
      </c>
      <c r="FV88" s="17">
        <v>1044.5323979192101</v>
      </c>
      <c r="FW88" s="17" t="s">
        <v>56</v>
      </c>
      <c r="FX88" s="17" t="s">
        <v>56</v>
      </c>
      <c r="FY88" s="17" t="s">
        <v>56</v>
      </c>
      <c r="FZ88" s="17" t="s">
        <v>56</v>
      </c>
      <c r="GA88" s="17" t="s">
        <v>56</v>
      </c>
      <c r="GB88" s="17" t="s">
        <v>56</v>
      </c>
      <c r="GC88" s="17" t="s">
        <v>56</v>
      </c>
      <c r="GD88" s="17" t="s">
        <v>2969</v>
      </c>
      <c r="GE88" s="17" t="s">
        <v>2969</v>
      </c>
      <c r="GF88" s="17" t="s">
        <v>56</v>
      </c>
      <c r="GG88" s="17" t="s">
        <v>2818</v>
      </c>
      <c r="GH88" s="17" t="s">
        <v>2818</v>
      </c>
      <c r="GI88" s="17" t="s">
        <v>1111</v>
      </c>
      <c r="GJ88" s="17" t="s">
        <v>1111</v>
      </c>
      <c r="GK88" s="17" t="s">
        <v>1111</v>
      </c>
      <c r="GL88" s="17"/>
    </row>
    <row r="89" spans="2:194" x14ac:dyDescent="0.25">
      <c r="B89" s="17" t="s">
        <v>2840</v>
      </c>
      <c r="C89" s="17" t="s">
        <v>70</v>
      </c>
      <c r="D89" s="17" t="s">
        <v>3411</v>
      </c>
      <c r="E89" s="17" t="s">
        <v>3412</v>
      </c>
      <c r="F89" s="17" t="s">
        <v>3237</v>
      </c>
      <c r="G89" s="17" t="s">
        <v>3413</v>
      </c>
      <c r="H89" s="17"/>
      <c r="I89" s="17" t="s">
        <v>2797</v>
      </c>
      <c r="J89" s="17" t="s">
        <v>3403</v>
      </c>
      <c r="K89" s="17" t="s">
        <v>2653</v>
      </c>
      <c r="L89" s="17" t="s">
        <v>2800</v>
      </c>
      <c r="M89" s="17" t="s">
        <v>3414</v>
      </c>
      <c r="N89" s="17" t="s">
        <v>1325</v>
      </c>
      <c r="O89" s="17" t="s">
        <v>2813</v>
      </c>
      <c r="P89" s="17" t="s">
        <v>2814</v>
      </c>
      <c r="Q89" s="17" t="s">
        <v>3616</v>
      </c>
      <c r="R89" s="17">
        <v>17897433.710000001</v>
      </c>
      <c r="S89" s="17">
        <v>4974456.4000000004</v>
      </c>
      <c r="T89" s="17">
        <v>18587154.18</v>
      </c>
      <c r="U89" s="17" t="s">
        <v>2817</v>
      </c>
      <c r="V89" s="17" t="s">
        <v>939</v>
      </c>
      <c r="W89" s="17" t="s">
        <v>2816</v>
      </c>
      <c r="X89" s="17" t="s">
        <v>3403</v>
      </c>
      <c r="Y89" s="17" t="s">
        <v>56</v>
      </c>
      <c r="Z89" s="17" t="s">
        <v>3616</v>
      </c>
      <c r="AA89" s="17" t="s">
        <v>2801</v>
      </c>
      <c r="AB89" s="17">
        <v>2.1629</v>
      </c>
      <c r="AC89" s="17" t="s">
        <v>3616</v>
      </c>
      <c r="AD89" s="17" t="s">
        <v>2804</v>
      </c>
      <c r="AE89" s="17">
        <v>319397</v>
      </c>
      <c r="AF89" s="17" t="s">
        <v>2839</v>
      </c>
      <c r="AG89" s="17" t="s">
        <v>3617</v>
      </c>
      <c r="AH89" s="17" t="s">
        <v>2806</v>
      </c>
      <c r="AI89" s="17"/>
      <c r="AJ89" s="17" t="s">
        <v>56</v>
      </c>
      <c r="AK89" s="17" t="s">
        <v>56</v>
      </c>
      <c r="AL89" s="17" t="s">
        <v>56</v>
      </c>
      <c r="AM89" s="17" t="s">
        <v>56</v>
      </c>
      <c r="AN89" s="17" t="s">
        <v>56</v>
      </c>
      <c r="AO89" s="17" t="s">
        <v>56</v>
      </c>
      <c r="AP89" s="17" t="s">
        <v>56</v>
      </c>
      <c r="AQ89" s="17" t="s">
        <v>56</v>
      </c>
      <c r="AR89" s="17" t="s">
        <v>56</v>
      </c>
      <c r="AS89" s="17">
        <v>677.19899999999996</v>
      </c>
      <c r="AT89" s="17">
        <v>82.007599999999996</v>
      </c>
      <c r="AU89" s="17">
        <v>435.83600000000001</v>
      </c>
      <c r="AV89" s="17" t="s">
        <v>56</v>
      </c>
      <c r="AW89" s="17" t="s">
        <v>56</v>
      </c>
      <c r="AX89" s="17" t="s">
        <v>56</v>
      </c>
      <c r="AY89" s="17">
        <v>561.97</v>
      </c>
      <c r="AZ89" s="17">
        <v>68.053600000000003</v>
      </c>
      <c r="BA89" s="17">
        <v>361.67599999999999</v>
      </c>
      <c r="BB89" s="17" t="s">
        <v>56</v>
      </c>
      <c r="BC89" s="17" t="s">
        <v>56</v>
      </c>
      <c r="BD89" s="17" t="s">
        <v>56</v>
      </c>
      <c r="BE89" s="17" t="s">
        <v>56</v>
      </c>
      <c r="BF89" s="17" t="s">
        <v>56</v>
      </c>
      <c r="BG89" s="17" t="s">
        <v>56</v>
      </c>
      <c r="BH89" s="17" t="s">
        <v>56</v>
      </c>
      <c r="BI89" s="17" t="s">
        <v>56</v>
      </c>
      <c r="BJ89" s="17" t="s">
        <v>56</v>
      </c>
      <c r="BK89" s="17" t="s">
        <v>56</v>
      </c>
      <c r="BL89" s="17" t="s">
        <v>56</v>
      </c>
      <c r="BM89" s="17" t="s">
        <v>56</v>
      </c>
      <c r="BN89" s="17" t="s">
        <v>56</v>
      </c>
      <c r="BO89" s="17" t="s">
        <v>56</v>
      </c>
      <c r="BP89" s="17" t="s">
        <v>56</v>
      </c>
      <c r="BQ89" s="17" t="s">
        <v>56</v>
      </c>
      <c r="BR89" s="17" t="s">
        <v>56</v>
      </c>
      <c r="BS89" s="17" t="s">
        <v>56</v>
      </c>
      <c r="BT89" s="17" t="s">
        <v>56</v>
      </c>
      <c r="BU89" s="17" t="s">
        <v>56</v>
      </c>
      <c r="BV89" s="17" t="s">
        <v>56</v>
      </c>
      <c r="BW89" s="17" t="s">
        <v>56</v>
      </c>
      <c r="BX89" s="17" t="s">
        <v>2818</v>
      </c>
      <c r="BY89" s="17" t="s">
        <v>1111</v>
      </c>
      <c r="BZ89" s="17" t="s">
        <v>56</v>
      </c>
      <c r="CA89" s="17" t="s">
        <v>56</v>
      </c>
      <c r="CB89" s="17" t="s">
        <v>1325</v>
      </c>
      <c r="CC89" s="17" t="s">
        <v>1325</v>
      </c>
      <c r="CD89" s="17" t="s">
        <v>1325</v>
      </c>
      <c r="CE89" s="17" t="s">
        <v>1325</v>
      </c>
      <c r="CF89" s="17" t="s">
        <v>1325</v>
      </c>
      <c r="CG89" s="17" t="s">
        <v>1325</v>
      </c>
      <c r="CH89" s="17" t="s">
        <v>1325</v>
      </c>
      <c r="CI89" s="17" t="s">
        <v>1325</v>
      </c>
      <c r="CJ89" s="17" t="s">
        <v>1325</v>
      </c>
      <c r="CK89" s="17" t="s">
        <v>1325</v>
      </c>
      <c r="CL89" s="17" t="s">
        <v>1325</v>
      </c>
      <c r="CM89" s="17" t="s">
        <v>1325</v>
      </c>
      <c r="CN89" s="17" t="s">
        <v>1325</v>
      </c>
      <c r="CO89" s="17" t="s">
        <v>1325</v>
      </c>
      <c r="CP89" s="17" t="s">
        <v>1325</v>
      </c>
      <c r="CQ89" s="17" t="s">
        <v>1325</v>
      </c>
      <c r="CR89" s="17" t="s">
        <v>1325</v>
      </c>
      <c r="CS89" s="17" t="s">
        <v>1325</v>
      </c>
      <c r="CT89" s="17" t="s">
        <v>1325</v>
      </c>
      <c r="CU89" s="17" t="s">
        <v>1325</v>
      </c>
      <c r="CV89" s="17" t="s">
        <v>1325</v>
      </c>
      <c r="CW89" s="17" t="s">
        <v>56</v>
      </c>
      <c r="CX89" s="17" t="s">
        <v>56</v>
      </c>
      <c r="CY89" s="17" t="s">
        <v>56</v>
      </c>
      <c r="CZ89" s="17">
        <v>319397</v>
      </c>
      <c r="DA89" s="17">
        <v>319397</v>
      </c>
      <c r="DB89" s="17">
        <v>319397</v>
      </c>
      <c r="DC89" s="17"/>
      <c r="DD89" s="17"/>
      <c r="DE89" s="17"/>
      <c r="DF89" s="17" t="s">
        <v>3415</v>
      </c>
      <c r="DG89" s="17" t="s">
        <v>3574</v>
      </c>
      <c r="DH89" s="17" t="s">
        <v>3237</v>
      </c>
      <c r="DI89" s="17" t="s">
        <v>3575</v>
      </c>
      <c r="DJ89" s="17" t="s">
        <v>3405</v>
      </c>
      <c r="DK89" s="17" t="s">
        <v>3320</v>
      </c>
      <c r="DL89" s="17" t="s">
        <v>3418</v>
      </c>
      <c r="DM89" s="17">
        <v>5.5799999999999999E-3</v>
      </c>
      <c r="DN89" s="17">
        <v>1782.2</v>
      </c>
      <c r="DO89" s="17">
        <v>0.428557202870882</v>
      </c>
      <c r="DP89" s="17" t="s">
        <v>3308</v>
      </c>
      <c r="DQ89" s="17" t="s">
        <v>2839</v>
      </c>
      <c r="DR89" s="17" t="s">
        <v>56</v>
      </c>
      <c r="DS89" s="17" t="s">
        <v>56</v>
      </c>
      <c r="DT89" s="17" t="s">
        <v>56</v>
      </c>
      <c r="DU89" s="17" t="s">
        <v>56</v>
      </c>
      <c r="DV89" s="17" t="s">
        <v>2862</v>
      </c>
      <c r="DW89" s="17" t="s">
        <v>3309</v>
      </c>
      <c r="DX89" s="17" t="s">
        <v>3310</v>
      </c>
      <c r="DY89" s="17">
        <v>9.7795896448127796E-3</v>
      </c>
      <c r="DZ89" s="17">
        <v>2.7520410355187201E-2</v>
      </c>
      <c r="EA89" s="17" t="s">
        <v>3311</v>
      </c>
      <c r="EB89" s="17">
        <v>4.0201671797007003E-3</v>
      </c>
      <c r="EC89" s="17">
        <v>7.1798328202993004E-3</v>
      </c>
      <c r="ED89" s="17" t="s">
        <v>56</v>
      </c>
      <c r="EE89" s="17" t="s">
        <v>56</v>
      </c>
      <c r="EF89" s="17" t="s">
        <v>56</v>
      </c>
      <c r="EG89" s="17" t="s">
        <v>2862</v>
      </c>
      <c r="EH89" s="17" t="s">
        <v>3309</v>
      </c>
      <c r="EI89" s="17" t="s">
        <v>3312</v>
      </c>
      <c r="EJ89" s="17">
        <v>1.08477E-2</v>
      </c>
      <c r="EK89" s="17">
        <v>5.8252699999999998E-2</v>
      </c>
      <c r="EL89" s="17" t="s">
        <v>3311</v>
      </c>
      <c r="EM89" s="17">
        <v>4.8999999999999998E-3</v>
      </c>
      <c r="EN89" s="17">
        <v>1.01E-2</v>
      </c>
      <c r="EO89" s="17" t="s">
        <v>3312</v>
      </c>
      <c r="EP89" s="17">
        <v>4.3641500000000004</v>
      </c>
      <c r="EQ89" s="17">
        <v>23.435700000000001</v>
      </c>
      <c r="ER89" s="17" t="s">
        <v>3313</v>
      </c>
      <c r="ES89" s="17">
        <v>0.59340000000000004</v>
      </c>
      <c r="ET89" s="17">
        <v>1.2263999999999999</v>
      </c>
      <c r="EU89" s="17" t="s">
        <v>2862</v>
      </c>
      <c r="EV89" s="17" t="s">
        <v>3309</v>
      </c>
      <c r="EW89" s="17" t="s">
        <v>3312</v>
      </c>
      <c r="EX89" s="17">
        <v>4.3641500000000004</v>
      </c>
      <c r="EY89" s="17">
        <v>23.435700000000001</v>
      </c>
      <c r="EZ89" s="17" t="s">
        <v>3311</v>
      </c>
      <c r="FA89" s="17">
        <v>0.59340000000000004</v>
      </c>
      <c r="FB89" s="17">
        <v>1.2263999999999999</v>
      </c>
      <c r="FC89" s="17" t="s">
        <v>56</v>
      </c>
      <c r="FD89" s="17" t="s">
        <v>56</v>
      </c>
      <c r="FE89" s="17" t="s">
        <v>56</v>
      </c>
      <c r="FF89" s="17" t="s">
        <v>56</v>
      </c>
      <c r="FG89" s="17" t="s">
        <v>56</v>
      </c>
      <c r="FH89" s="17" t="s">
        <v>56</v>
      </c>
      <c r="FI89" s="17" t="s">
        <v>56</v>
      </c>
      <c r="FJ89" s="17" t="s">
        <v>56</v>
      </c>
      <c r="FK89" s="17" t="s">
        <v>56</v>
      </c>
      <c r="FL89" s="17" t="s">
        <v>56</v>
      </c>
      <c r="FM89" s="17" t="s">
        <v>56</v>
      </c>
      <c r="FN89" s="17" t="s">
        <v>56</v>
      </c>
      <c r="FO89" s="17" t="s">
        <v>56</v>
      </c>
      <c r="FP89" s="17" t="s">
        <v>56</v>
      </c>
      <c r="FQ89" s="17" t="s">
        <v>56</v>
      </c>
      <c r="FR89" s="17" t="s">
        <v>56</v>
      </c>
      <c r="FS89" s="17" t="s">
        <v>56</v>
      </c>
      <c r="FT89" s="17" t="s">
        <v>56</v>
      </c>
      <c r="FU89" s="17">
        <v>194.50994332636</v>
      </c>
      <c r="FV89" s="17">
        <v>1044.5279559166299</v>
      </c>
      <c r="FW89" s="17" t="s">
        <v>56</v>
      </c>
      <c r="FX89" s="17" t="s">
        <v>56</v>
      </c>
      <c r="FY89" s="17" t="s">
        <v>56</v>
      </c>
      <c r="FZ89" s="17" t="s">
        <v>56</v>
      </c>
      <c r="GA89" s="17" t="s">
        <v>56</v>
      </c>
      <c r="GB89" s="17" t="s">
        <v>56</v>
      </c>
      <c r="GC89" s="17" t="s">
        <v>56</v>
      </c>
      <c r="GD89" s="17" t="s">
        <v>2969</v>
      </c>
      <c r="GE89" s="17" t="s">
        <v>2969</v>
      </c>
      <c r="GF89" s="17" t="s">
        <v>56</v>
      </c>
      <c r="GG89" s="17" t="s">
        <v>2818</v>
      </c>
      <c r="GH89" s="17" t="s">
        <v>2818</v>
      </c>
      <c r="GI89" s="17" t="s">
        <v>1111</v>
      </c>
      <c r="GJ89" s="17" t="s">
        <v>1111</v>
      </c>
      <c r="GK89" s="17" t="s">
        <v>1111</v>
      </c>
      <c r="GL89" s="17"/>
    </row>
    <row r="90" spans="2:194" x14ac:dyDescent="0.25">
      <c r="B90" s="17" t="s">
        <v>2840</v>
      </c>
      <c r="C90" s="17" t="s">
        <v>70</v>
      </c>
      <c r="D90" s="17" t="s">
        <v>3411</v>
      </c>
      <c r="E90" s="17" t="s">
        <v>3412</v>
      </c>
      <c r="F90" s="17" t="s">
        <v>3237</v>
      </c>
      <c r="G90" s="17" t="s">
        <v>3413</v>
      </c>
      <c r="H90" s="17"/>
      <c r="I90" s="17" t="s">
        <v>2797</v>
      </c>
      <c r="J90" s="17" t="s">
        <v>3403</v>
      </c>
      <c r="K90" s="17" t="s">
        <v>2653</v>
      </c>
      <c r="L90" s="17" t="s">
        <v>2800</v>
      </c>
      <c r="M90" s="17" t="s">
        <v>3414</v>
      </c>
      <c r="N90" s="17" t="s">
        <v>1325</v>
      </c>
      <c r="O90" s="17" t="s">
        <v>2813</v>
      </c>
      <c r="P90" s="17" t="s">
        <v>2814</v>
      </c>
      <c r="Q90" s="17" t="s">
        <v>3616</v>
      </c>
      <c r="R90" s="17">
        <v>17897433.710000001</v>
      </c>
      <c r="S90" s="17">
        <v>4974456.4000000004</v>
      </c>
      <c r="T90" s="17">
        <v>18587154.18</v>
      </c>
      <c r="U90" s="17" t="s">
        <v>2817</v>
      </c>
      <c r="V90" s="17" t="s">
        <v>939</v>
      </c>
      <c r="W90" s="17" t="s">
        <v>2816</v>
      </c>
      <c r="X90" s="17" t="s">
        <v>3403</v>
      </c>
      <c r="Y90" s="17" t="s">
        <v>56</v>
      </c>
      <c r="Z90" s="17" t="s">
        <v>3616</v>
      </c>
      <c r="AA90" s="17" t="s">
        <v>2801</v>
      </c>
      <c r="AB90" s="17">
        <v>2.1629</v>
      </c>
      <c r="AC90" s="17" t="s">
        <v>3616</v>
      </c>
      <c r="AD90" s="17" t="s">
        <v>2804</v>
      </c>
      <c r="AE90" s="17">
        <v>319397</v>
      </c>
      <c r="AF90" s="17" t="s">
        <v>2839</v>
      </c>
      <c r="AG90" s="17" t="s">
        <v>3617</v>
      </c>
      <c r="AH90" s="17" t="s">
        <v>2806</v>
      </c>
      <c r="AI90" s="17"/>
      <c r="AJ90" s="17" t="s">
        <v>56</v>
      </c>
      <c r="AK90" s="17" t="s">
        <v>56</v>
      </c>
      <c r="AL90" s="17" t="s">
        <v>56</v>
      </c>
      <c r="AM90" s="17" t="s">
        <v>56</v>
      </c>
      <c r="AN90" s="17" t="s">
        <v>56</v>
      </c>
      <c r="AO90" s="17" t="s">
        <v>56</v>
      </c>
      <c r="AP90" s="17" t="s">
        <v>56</v>
      </c>
      <c r="AQ90" s="17" t="s">
        <v>56</v>
      </c>
      <c r="AR90" s="17" t="s">
        <v>56</v>
      </c>
      <c r="AS90" s="17">
        <v>677.19899999999996</v>
      </c>
      <c r="AT90" s="17">
        <v>82.007599999999996</v>
      </c>
      <c r="AU90" s="17">
        <v>435.83600000000001</v>
      </c>
      <c r="AV90" s="17" t="s">
        <v>56</v>
      </c>
      <c r="AW90" s="17" t="s">
        <v>56</v>
      </c>
      <c r="AX90" s="17" t="s">
        <v>56</v>
      </c>
      <c r="AY90" s="17">
        <v>561.97</v>
      </c>
      <c r="AZ90" s="17">
        <v>68.053600000000003</v>
      </c>
      <c r="BA90" s="17">
        <v>361.67599999999999</v>
      </c>
      <c r="BB90" s="17" t="s">
        <v>56</v>
      </c>
      <c r="BC90" s="17" t="s">
        <v>56</v>
      </c>
      <c r="BD90" s="17" t="s">
        <v>56</v>
      </c>
      <c r="BE90" s="17" t="s">
        <v>56</v>
      </c>
      <c r="BF90" s="17" t="s">
        <v>56</v>
      </c>
      <c r="BG90" s="17" t="s">
        <v>56</v>
      </c>
      <c r="BH90" s="17" t="s">
        <v>56</v>
      </c>
      <c r="BI90" s="17" t="s">
        <v>56</v>
      </c>
      <c r="BJ90" s="17" t="s">
        <v>56</v>
      </c>
      <c r="BK90" s="17" t="s">
        <v>56</v>
      </c>
      <c r="BL90" s="17" t="s">
        <v>56</v>
      </c>
      <c r="BM90" s="17" t="s">
        <v>56</v>
      </c>
      <c r="BN90" s="17" t="s">
        <v>56</v>
      </c>
      <c r="BO90" s="17" t="s">
        <v>56</v>
      </c>
      <c r="BP90" s="17" t="s">
        <v>56</v>
      </c>
      <c r="BQ90" s="17" t="s">
        <v>56</v>
      </c>
      <c r="BR90" s="17" t="s">
        <v>56</v>
      </c>
      <c r="BS90" s="17" t="s">
        <v>56</v>
      </c>
      <c r="BT90" s="17" t="s">
        <v>56</v>
      </c>
      <c r="BU90" s="17" t="s">
        <v>56</v>
      </c>
      <c r="BV90" s="17" t="s">
        <v>56</v>
      </c>
      <c r="BW90" s="17" t="s">
        <v>56</v>
      </c>
      <c r="BX90" s="17" t="s">
        <v>2818</v>
      </c>
      <c r="BY90" s="17" t="s">
        <v>1111</v>
      </c>
      <c r="BZ90" s="17" t="s">
        <v>56</v>
      </c>
      <c r="CA90" s="17" t="s">
        <v>56</v>
      </c>
      <c r="CB90" s="17" t="s">
        <v>1325</v>
      </c>
      <c r="CC90" s="17" t="s">
        <v>1325</v>
      </c>
      <c r="CD90" s="17" t="s">
        <v>1325</v>
      </c>
      <c r="CE90" s="17" t="s">
        <v>1325</v>
      </c>
      <c r="CF90" s="17" t="s">
        <v>1325</v>
      </c>
      <c r="CG90" s="17" t="s">
        <v>1325</v>
      </c>
      <c r="CH90" s="17" t="s">
        <v>1325</v>
      </c>
      <c r="CI90" s="17" t="s">
        <v>1325</v>
      </c>
      <c r="CJ90" s="17" t="s">
        <v>1325</v>
      </c>
      <c r="CK90" s="17" t="s">
        <v>1325</v>
      </c>
      <c r="CL90" s="17" t="s">
        <v>1325</v>
      </c>
      <c r="CM90" s="17" t="s">
        <v>1325</v>
      </c>
      <c r="CN90" s="17" t="s">
        <v>1325</v>
      </c>
      <c r="CO90" s="17" t="s">
        <v>1325</v>
      </c>
      <c r="CP90" s="17" t="s">
        <v>1325</v>
      </c>
      <c r="CQ90" s="17" t="s">
        <v>1325</v>
      </c>
      <c r="CR90" s="17" t="s">
        <v>1325</v>
      </c>
      <c r="CS90" s="17" t="s">
        <v>1325</v>
      </c>
      <c r="CT90" s="17" t="s">
        <v>1325</v>
      </c>
      <c r="CU90" s="17" t="s">
        <v>1325</v>
      </c>
      <c r="CV90" s="17" t="s">
        <v>1325</v>
      </c>
      <c r="CW90" s="17" t="s">
        <v>56</v>
      </c>
      <c r="CX90" s="17" t="s">
        <v>56</v>
      </c>
      <c r="CY90" s="17" t="s">
        <v>56</v>
      </c>
      <c r="CZ90" s="17">
        <v>319397</v>
      </c>
      <c r="DA90" s="17">
        <v>319397</v>
      </c>
      <c r="DB90" s="17">
        <v>319397</v>
      </c>
      <c r="DC90" s="17"/>
      <c r="DD90" s="17"/>
      <c r="DE90" s="17"/>
      <c r="DF90" s="17" t="s">
        <v>3415</v>
      </c>
      <c r="DG90" s="17" t="s">
        <v>3576</v>
      </c>
      <c r="DH90" s="17" t="s">
        <v>3237</v>
      </c>
      <c r="DI90" s="17" t="s">
        <v>3577</v>
      </c>
      <c r="DJ90" s="17" t="s">
        <v>3405</v>
      </c>
      <c r="DK90" s="17" t="s">
        <v>3320</v>
      </c>
      <c r="DL90" s="17" t="s">
        <v>3418</v>
      </c>
      <c r="DM90" s="17">
        <v>1.575E-3</v>
      </c>
      <c r="DN90" s="17">
        <v>503.1</v>
      </c>
      <c r="DO90" s="17">
        <v>0.42855514166098801</v>
      </c>
      <c r="DP90" s="17" t="s">
        <v>3308</v>
      </c>
      <c r="DQ90" s="17" t="s">
        <v>2839</v>
      </c>
      <c r="DR90" s="17" t="s">
        <v>56</v>
      </c>
      <c r="DS90" s="17" t="s">
        <v>56</v>
      </c>
      <c r="DT90" s="17" t="s">
        <v>56</v>
      </c>
      <c r="DU90" s="17" t="s">
        <v>56</v>
      </c>
      <c r="DV90" s="17" t="s">
        <v>2862</v>
      </c>
      <c r="DW90" s="17" t="s">
        <v>3309</v>
      </c>
      <c r="DX90" s="17" t="s">
        <v>3310</v>
      </c>
      <c r="DY90" s="17">
        <v>9.7795896448127796E-3</v>
      </c>
      <c r="DZ90" s="17">
        <v>2.7520410355187201E-2</v>
      </c>
      <c r="EA90" s="17" t="s">
        <v>3311</v>
      </c>
      <c r="EB90" s="17">
        <v>4.0201671797007003E-3</v>
      </c>
      <c r="EC90" s="17">
        <v>7.1798328202993004E-3</v>
      </c>
      <c r="ED90" s="17" t="s">
        <v>56</v>
      </c>
      <c r="EE90" s="17" t="s">
        <v>56</v>
      </c>
      <c r="EF90" s="17" t="s">
        <v>56</v>
      </c>
      <c r="EG90" s="17" t="s">
        <v>2862</v>
      </c>
      <c r="EH90" s="17" t="s">
        <v>3309</v>
      </c>
      <c r="EI90" s="17" t="s">
        <v>3312</v>
      </c>
      <c r="EJ90" s="17">
        <v>1.08477E-2</v>
      </c>
      <c r="EK90" s="17">
        <v>5.8252699999999998E-2</v>
      </c>
      <c r="EL90" s="17" t="s">
        <v>3311</v>
      </c>
      <c r="EM90" s="17">
        <v>4.8999999999999998E-3</v>
      </c>
      <c r="EN90" s="17">
        <v>1.01E-2</v>
      </c>
      <c r="EO90" s="17" t="s">
        <v>3312</v>
      </c>
      <c r="EP90" s="17">
        <v>4.3641500000000004</v>
      </c>
      <c r="EQ90" s="17">
        <v>23.435700000000001</v>
      </c>
      <c r="ER90" s="17" t="s">
        <v>3313</v>
      </c>
      <c r="ES90" s="17">
        <v>0.59340000000000004</v>
      </c>
      <c r="ET90" s="17">
        <v>1.2263999999999999</v>
      </c>
      <c r="EU90" s="17" t="s">
        <v>2862</v>
      </c>
      <c r="EV90" s="17" t="s">
        <v>3309</v>
      </c>
      <c r="EW90" s="17" t="s">
        <v>3312</v>
      </c>
      <c r="EX90" s="17">
        <v>4.3641500000000004</v>
      </c>
      <c r="EY90" s="17">
        <v>23.435700000000001</v>
      </c>
      <c r="EZ90" s="17" t="s">
        <v>3311</v>
      </c>
      <c r="FA90" s="17">
        <v>0.59340000000000004</v>
      </c>
      <c r="FB90" s="17">
        <v>1.2263999999999999</v>
      </c>
      <c r="FC90" s="17" t="s">
        <v>56</v>
      </c>
      <c r="FD90" s="17" t="s">
        <v>56</v>
      </c>
      <c r="FE90" s="17" t="s">
        <v>56</v>
      </c>
      <c r="FF90" s="17" t="s">
        <v>56</v>
      </c>
      <c r="FG90" s="17" t="s">
        <v>56</v>
      </c>
      <c r="FH90" s="17" t="s">
        <v>56</v>
      </c>
      <c r="FI90" s="17" t="s">
        <v>56</v>
      </c>
      <c r="FJ90" s="17" t="s">
        <v>56</v>
      </c>
      <c r="FK90" s="17" t="s">
        <v>56</v>
      </c>
      <c r="FL90" s="17" t="s">
        <v>56</v>
      </c>
      <c r="FM90" s="17" t="s">
        <v>56</v>
      </c>
      <c r="FN90" s="17" t="s">
        <v>56</v>
      </c>
      <c r="FO90" s="17" t="s">
        <v>56</v>
      </c>
      <c r="FP90" s="17" t="s">
        <v>56</v>
      </c>
      <c r="FQ90" s="17" t="s">
        <v>56</v>
      </c>
      <c r="FR90" s="17" t="s">
        <v>56</v>
      </c>
      <c r="FS90" s="17" t="s">
        <v>56</v>
      </c>
      <c r="FT90" s="17" t="s">
        <v>56</v>
      </c>
      <c r="FU90" s="17">
        <v>194.50900780621799</v>
      </c>
      <c r="FV90" s="17">
        <v>1044.5229321274901</v>
      </c>
      <c r="FW90" s="17" t="s">
        <v>56</v>
      </c>
      <c r="FX90" s="17" t="s">
        <v>56</v>
      </c>
      <c r="FY90" s="17" t="s">
        <v>56</v>
      </c>
      <c r="FZ90" s="17" t="s">
        <v>56</v>
      </c>
      <c r="GA90" s="17" t="s">
        <v>56</v>
      </c>
      <c r="GB90" s="17" t="s">
        <v>56</v>
      </c>
      <c r="GC90" s="17" t="s">
        <v>56</v>
      </c>
      <c r="GD90" s="17" t="s">
        <v>2969</v>
      </c>
      <c r="GE90" s="17" t="s">
        <v>2969</v>
      </c>
      <c r="GF90" s="17" t="s">
        <v>56</v>
      </c>
      <c r="GG90" s="17" t="s">
        <v>2818</v>
      </c>
      <c r="GH90" s="17" t="s">
        <v>2818</v>
      </c>
      <c r="GI90" s="17" t="s">
        <v>1111</v>
      </c>
      <c r="GJ90" s="17" t="s">
        <v>1111</v>
      </c>
      <c r="GK90" s="17" t="s">
        <v>1111</v>
      </c>
      <c r="GL90" s="17"/>
    </row>
    <row r="91" spans="2:194" x14ac:dyDescent="0.25">
      <c r="B91" s="17" t="s">
        <v>2840</v>
      </c>
      <c r="C91" s="17" t="s">
        <v>70</v>
      </c>
      <c r="D91" s="17" t="s">
        <v>3411</v>
      </c>
      <c r="E91" s="17" t="s">
        <v>3412</v>
      </c>
      <c r="F91" s="17" t="s">
        <v>3237</v>
      </c>
      <c r="G91" s="17" t="s">
        <v>3413</v>
      </c>
      <c r="H91" s="17"/>
      <c r="I91" s="17" t="s">
        <v>2797</v>
      </c>
      <c r="J91" s="17" t="s">
        <v>3403</v>
      </c>
      <c r="K91" s="17" t="s">
        <v>2653</v>
      </c>
      <c r="L91" s="17" t="s">
        <v>2800</v>
      </c>
      <c r="M91" s="17" t="s">
        <v>3414</v>
      </c>
      <c r="N91" s="17" t="s">
        <v>1325</v>
      </c>
      <c r="O91" s="17" t="s">
        <v>2813</v>
      </c>
      <c r="P91" s="17" t="s">
        <v>2814</v>
      </c>
      <c r="Q91" s="17" t="s">
        <v>3616</v>
      </c>
      <c r="R91" s="17">
        <v>17897433.710000001</v>
      </c>
      <c r="S91" s="17">
        <v>4974456.4000000004</v>
      </c>
      <c r="T91" s="17">
        <v>18587154.18</v>
      </c>
      <c r="U91" s="17" t="s">
        <v>2817</v>
      </c>
      <c r="V91" s="17" t="s">
        <v>939</v>
      </c>
      <c r="W91" s="17" t="s">
        <v>2816</v>
      </c>
      <c r="X91" s="17" t="s">
        <v>3403</v>
      </c>
      <c r="Y91" s="17" t="s">
        <v>56</v>
      </c>
      <c r="Z91" s="17" t="s">
        <v>3616</v>
      </c>
      <c r="AA91" s="17" t="s">
        <v>2801</v>
      </c>
      <c r="AB91" s="17">
        <v>2.1629</v>
      </c>
      <c r="AC91" s="17" t="s">
        <v>3616</v>
      </c>
      <c r="AD91" s="17" t="s">
        <v>2804</v>
      </c>
      <c r="AE91" s="17">
        <v>319397</v>
      </c>
      <c r="AF91" s="17" t="s">
        <v>2839</v>
      </c>
      <c r="AG91" s="17" t="s">
        <v>3617</v>
      </c>
      <c r="AH91" s="17" t="s">
        <v>2806</v>
      </c>
      <c r="AI91" s="17"/>
      <c r="AJ91" s="17" t="s">
        <v>56</v>
      </c>
      <c r="AK91" s="17" t="s">
        <v>56</v>
      </c>
      <c r="AL91" s="17" t="s">
        <v>56</v>
      </c>
      <c r="AM91" s="17" t="s">
        <v>56</v>
      </c>
      <c r="AN91" s="17" t="s">
        <v>56</v>
      </c>
      <c r="AO91" s="17" t="s">
        <v>56</v>
      </c>
      <c r="AP91" s="17" t="s">
        <v>56</v>
      </c>
      <c r="AQ91" s="17" t="s">
        <v>56</v>
      </c>
      <c r="AR91" s="17" t="s">
        <v>56</v>
      </c>
      <c r="AS91" s="17">
        <v>677.19899999999996</v>
      </c>
      <c r="AT91" s="17">
        <v>82.007599999999996</v>
      </c>
      <c r="AU91" s="17">
        <v>435.83600000000001</v>
      </c>
      <c r="AV91" s="17" t="s">
        <v>56</v>
      </c>
      <c r="AW91" s="17" t="s">
        <v>56</v>
      </c>
      <c r="AX91" s="17" t="s">
        <v>56</v>
      </c>
      <c r="AY91" s="17">
        <v>561.97</v>
      </c>
      <c r="AZ91" s="17">
        <v>68.053600000000003</v>
      </c>
      <c r="BA91" s="17">
        <v>361.67599999999999</v>
      </c>
      <c r="BB91" s="17" t="s">
        <v>56</v>
      </c>
      <c r="BC91" s="17" t="s">
        <v>56</v>
      </c>
      <c r="BD91" s="17" t="s">
        <v>56</v>
      </c>
      <c r="BE91" s="17" t="s">
        <v>56</v>
      </c>
      <c r="BF91" s="17" t="s">
        <v>56</v>
      </c>
      <c r="BG91" s="17" t="s">
        <v>56</v>
      </c>
      <c r="BH91" s="17" t="s">
        <v>56</v>
      </c>
      <c r="BI91" s="17" t="s">
        <v>56</v>
      </c>
      <c r="BJ91" s="17" t="s">
        <v>56</v>
      </c>
      <c r="BK91" s="17" t="s">
        <v>56</v>
      </c>
      <c r="BL91" s="17" t="s">
        <v>56</v>
      </c>
      <c r="BM91" s="17" t="s">
        <v>56</v>
      </c>
      <c r="BN91" s="17" t="s">
        <v>56</v>
      </c>
      <c r="BO91" s="17" t="s">
        <v>56</v>
      </c>
      <c r="BP91" s="17" t="s">
        <v>56</v>
      </c>
      <c r="BQ91" s="17" t="s">
        <v>56</v>
      </c>
      <c r="BR91" s="17" t="s">
        <v>56</v>
      </c>
      <c r="BS91" s="17" t="s">
        <v>56</v>
      </c>
      <c r="BT91" s="17" t="s">
        <v>56</v>
      </c>
      <c r="BU91" s="17" t="s">
        <v>56</v>
      </c>
      <c r="BV91" s="17" t="s">
        <v>56</v>
      </c>
      <c r="BW91" s="17" t="s">
        <v>56</v>
      </c>
      <c r="BX91" s="17" t="s">
        <v>2818</v>
      </c>
      <c r="BY91" s="17" t="s">
        <v>1111</v>
      </c>
      <c r="BZ91" s="17" t="s">
        <v>56</v>
      </c>
      <c r="CA91" s="17" t="s">
        <v>56</v>
      </c>
      <c r="CB91" s="17" t="s">
        <v>1325</v>
      </c>
      <c r="CC91" s="17" t="s">
        <v>1325</v>
      </c>
      <c r="CD91" s="17" t="s">
        <v>1325</v>
      </c>
      <c r="CE91" s="17" t="s">
        <v>1325</v>
      </c>
      <c r="CF91" s="17" t="s">
        <v>1325</v>
      </c>
      <c r="CG91" s="17" t="s">
        <v>1325</v>
      </c>
      <c r="CH91" s="17" t="s">
        <v>1325</v>
      </c>
      <c r="CI91" s="17" t="s">
        <v>1325</v>
      </c>
      <c r="CJ91" s="17" t="s">
        <v>1325</v>
      </c>
      <c r="CK91" s="17" t="s">
        <v>1325</v>
      </c>
      <c r="CL91" s="17" t="s">
        <v>1325</v>
      </c>
      <c r="CM91" s="17" t="s">
        <v>1325</v>
      </c>
      <c r="CN91" s="17" t="s">
        <v>1325</v>
      </c>
      <c r="CO91" s="17" t="s">
        <v>1325</v>
      </c>
      <c r="CP91" s="17" t="s">
        <v>1325</v>
      </c>
      <c r="CQ91" s="17" t="s">
        <v>1325</v>
      </c>
      <c r="CR91" s="17" t="s">
        <v>1325</v>
      </c>
      <c r="CS91" s="17" t="s">
        <v>1325</v>
      </c>
      <c r="CT91" s="17" t="s">
        <v>1325</v>
      </c>
      <c r="CU91" s="17" t="s">
        <v>1325</v>
      </c>
      <c r="CV91" s="17" t="s">
        <v>1325</v>
      </c>
      <c r="CW91" s="17" t="s">
        <v>56</v>
      </c>
      <c r="CX91" s="17" t="s">
        <v>56</v>
      </c>
      <c r="CY91" s="17" t="s">
        <v>56</v>
      </c>
      <c r="CZ91" s="17">
        <v>319397</v>
      </c>
      <c r="DA91" s="17">
        <v>319397</v>
      </c>
      <c r="DB91" s="17">
        <v>319397</v>
      </c>
      <c r="DC91" s="17"/>
      <c r="DD91" s="17"/>
      <c r="DE91" s="17"/>
      <c r="DF91" s="17" t="s">
        <v>3415</v>
      </c>
      <c r="DG91" s="17" t="s">
        <v>3578</v>
      </c>
      <c r="DH91" s="17" t="s">
        <v>3237</v>
      </c>
      <c r="DI91" s="17" t="s">
        <v>3579</v>
      </c>
      <c r="DJ91" s="17" t="s">
        <v>3405</v>
      </c>
      <c r="DK91" s="17" t="s">
        <v>3320</v>
      </c>
      <c r="DL91" s="17" t="s">
        <v>3418</v>
      </c>
      <c r="DM91" s="17">
        <v>7.3159999999999996E-3</v>
      </c>
      <c r="DN91" s="17">
        <v>2336.6999999999998</v>
      </c>
      <c r="DO91" s="17">
        <v>0.42855837812763597</v>
      </c>
      <c r="DP91" s="17" t="s">
        <v>3308</v>
      </c>
      <c r="DQ91" s="17" t="s">
        <v>2839</v>
      </c>
      <c r="DR91" s="17" t="s">
        <v>56</v>
      </c>
      <c r="DS91" s="17" t="s">
        <v>56</v>
      </c>
      <c r="DT91" s="17" t="s">
        <v>56</v>
      </c>
      <c r="DU91" s="17" t="s">
        <v>56</v>
      </c>
      <c r="DV91" s="17" t="s">
        <v>2862</v>
      </c>
      <c r="DW91" s="17" t="s">
        <v>3309</v>
      </c>
      <c r="DX91" s="17" t="s">
        <v>3310</v>
      </c>
      <c r="DY91" s="17">
        <v>9.7795896448127796E-3</v>
      </c>
      <c r="DZ91" s="17">
        <v>2.7520410355187201E-2</v>
      </c>
      <c r="EA91" s="17" t="s">
        <v>3311</v>
      </c>
      <c r="EB91" s="17">
        <v>4.0201671797007003E-3</v>
      </c>
      <c r="EC91" s="17">
        <v>7.1798328202993004E-3</v>
      </c>
      <c r="ED91" s="17" t="s">
        <v>56</v>
      </c>
      <c r="EE91" s="17" t="s">
        <v>56</v>
      </c>
      <c r="EF91" s="17" t="s">
        <v>56</v>
      </c>
      <c r="EG91" s="17" t="s">
        <v>2862</v>
      </c>
      <c r="EH91" s="17" t="s">
        <v>3309</v>
      </c>
      <c r="EI91" s="17" t="s">
        <v>3312</v>
      </c>
      <c r="EJ91" s="17">
        <v>1.08477E-2</v>
      </c>
      <c r="EK91" s="17">
        <v>5.8252699999999998E-2</v>
      </c>
      <c r="EL91" s="17" t="s">
        <v>3311</v>
      </c>
      <c r="EM91" s="17">
        <v>4.8999999999999998E-3</v>
      </c>
      <c r="EN91" s="17">
        <v>1.01E-2</v>
      </c>
      <c r="EO91" s="17" t="s">
        <v>3312</v>
      </c>
      <c r="EP91" s="17">
        <v>4.3641500000000004</v>
      </c>
      <c r="EQ91" s="17">
        <v>23.435700000000001</v>
      </c>
      <c r="ER91" s="17" t="s">
        <v>3313</v>
      </c>
      <c r="ES91" s="17">
        <v>0.59340000000000004</v>
      </c>
      <c r="ET91" s="17">
        <v>1.2263999999999999</v>
      </c>
      <c r="EU91" s="17" t="s">
        <v>2862</v>
      </c>
      <c r="EV91" s="17" t="s">
        <v>3309</v>
      </c>
      <c r="EW91" s="17" t="s">
        <v>3312</v>
      </c>
      <c r="EX91" s="17">
        <v>4.3641500000000004</v>
      </c>
      <c r="EY91" s="17">
        <v>23.435700000000001</v>
      </c>
      <c r="EZ91" s="17" t="s">
        <v>3311</v>
      </c>
      <c r="FA91" s="17">
        <v>0.59340000000000004</v>
      </c>
      <c r="FB91" s="17">
        <v>1.2263999999999999</v>
      </c>
      <c r="FC91" s="17" t="s">
        <v>56</v>
      </c>
      <c r="FD91" s="17" t="s">
        <v>56</v>
      </c>
      <c r="FE91" s="17" t="s">
        <v>56</v>
      </c>
      <c r="FF91" s="17" t="s">
        <v>56</v>
      </c>
      <c r="FG91" s="17" t="s">
        <v>56</v>
      </c>
      <c r="FH91" s="17" t="s">
        <v>56</v>
      </c>
      <c r="FI91" s="17" t="s">
        <v>56</v>
      </c>
      <c r="FJ91" s="17" t="s">
        <v>56</v>
      </c>
      <c r="FK91" s="17" t="s">
        <v>56</v>
      </c>
      <c r="FL91" s="17" t="s">
        <v>56</v>
      </c>
      <c r="FM91" s="17" t="s">
        <v>56</v>
      </c>
      <c r="FN91" s="17" t="s">
        <v>56</v>
      </c>
      <c r="FO91" s="17" t="s">
        <v>56</v>
      </c>
      <c r="FP91" s="17" t="s">
        <v>56</v>
      </c>
      <c r="FQ91" s="17" t="s">
        <v>56</v>
      </c>
      <c r="FR91" s="17" t="s">
        <v>56</v>
      </c>
      <c r="FS91" s="17" t="s">
        <v>56</v>
      </c>
      <c r="FT91" s="17" t="s">
        <v>56</v>
      </c>
      <c r="FU91" s="17">
        <v>194.510476761652</v>
      </c>
      <c r="FV91" s="17">
        <v>1044.5308204903699</v>
      </c>
      <c r="FW91" s="17" t="s">
        <v>56</v>
      </c>
      <c r="FX91" s="17" t="s">
        <v>56</v>
      </c>
      <c r="FY91" s="17" t="s">
        <v>56</v>
      </c>
      <c r="FZ91" s="17" t="s">
        <v>56</v>
      </c>
      <c r="GA91" s="17" t="s">
        <v>56</v>
      </c>
      <c r="GB91" s="17" t="s">
        <v>56</v>
      </c>
      <c r="GC91" s="17" t="s">
        <v>56</v>
      </c>
      <c r="GD91" s="17" t="s">
        <v>2969</v>
      </c>
      <c r="GE91" s="17" t="s">
        <v>2969</v>
      </c>
      <c r="GF91" s="17" t="s">
        <v>56</v>
      </c>
      <c r="GG91" s="17" t="s">
        <v>2818</v>
      </c>
      <c r="GH91" s="17" t="s">
        <v>2818</v>
      </c>
      <c r="GI91" s="17" t="s">
        <v>1111</v>
      </c>
      <c r="GJ91" s="17" t="s">
        <v>1111</v>
      </c>
      <c r="GK91" s="17" t="s">
        <v>1111</v>
      </c>
      <c r="GL91" s="17"/>
    </row>
    <row r="92" spans="2:194" x14ac:dyDescent="0.25">
      <c r="B92" s="17" t="s">
        <v>2840</v>
      </c>
      <c r="C92" s="17" t="s">
        <v>70</v>
      </c>
      <c r="D92" s="17" t="s">
        <v>3411</v>
      </c>
      <c r="E92" s="17" t="s">
        <v>3412</v>
      </c>
      <c r="F92" s="17" t="s">
        <v>3237</v>
      </c>
      <c r="G92" s="17" t="s">
        <v>3413</v>
      </c>
      <c r="H92" s="17"/>
      <c r="I92" s="17" t="s">
        <v>2797</v>
      </c>
      <c r="J92" s="17" t="s">
        <v>3403</v>
      </c>
      <c r="K92" s="17" t="s">
        <v>2653</v>
      </c>
      <c r="L92" s="17" t="s">
        <v>2800</v>
      </c>
      <c r="M92" s="17" t="s">
        <v>3414</v>
      </c>
      <c r="N92" s="17" t="s">
        <v>1325</v>
      </c>
      <c r="O92" s="17" t="s">
        <v>2813</v>
      </c>
      <c r="P92" s="17" t="s">
        <v>2814</v>
      </c>
      <c r="Q92" s="17" t="s">
        <v>3616</v>
      </c>
      <c r="R92" s="17">
        <v>17897433.710000001</v>
      </c>
      <c r="S92" s="17">
        <v>4974456.4000000004</v>
      </c>
      <c r="T92" s="17">
        <v>18587154.18</v>
      </c>
      <c r="U92" s="17" t="s">
        <v>2817</v>
      </c>
      <c r="V92" s="17" t="s">
        <v>939</v>
      </c>
      <c r="W92" s="17" t="s">
        <v>2816</v>
      </c>
      <c r="X92" s="17" t="s">
        <v>3403</v>
      </c>
      <c r="Y92" s="17" t="s">
        <v>56</v>
      </c>
      <c r="Z92" s="17" t="s">
        <v>3616</v>
      </c>
      <c r="AA92" s="17" t="s">
        <v>2801</v>
      </c>
      <c r="AB92" s="17">
        <v>2.1629</v>
      </c>
      <c r="AC92" s="17" t="s">
        <v>3616</v>
      </c>
      <c r="AD92" s="17" t="s">
        <v>2804</v>
      </c>
      <c r="AE92" s="17">
        <v>319397</v>
      </c>
      <c r="AF92" s="17" t="s">
        <v>2839</v>
      </c>
      <c r="AG92" s="17" t="s">
        <v>3617</v>
      </c>
      <c r="AH92" s="17" t="s">
        <v>2806</v>
      </c>
      <c r="AI92" s="17"/>
      <c r="AJ92" s="17" t="s">
        <v>56</v>
      </c>
      <c r="AK92" s="17" t="s">
        <v>56</v>
      </c>
      <c r="AL92" s="17" t="s">
        <v>56</v>
      </c>
      <c r="AM92" s="17" t="s">
        <v>56</v>
      </c>
      <c r="AN92" s="17" t="s">
        <v>56</v>
      </c>
      <c r="AO92" s="17" t="s">
        <v>56</v>
      </c>
      <c r="AP92" s="17" t="s">
        <v>56</v>
      </c>
      <c r="AQ92" s="17" t="s">
        <v>56</v>
      </c>
      <c r="AR92" s="17" t="s">
        <v>56</v>
      </c>
      <c r="AS92" s="17">
        <v>677.19899999999996</v>
      </c>
      <c r="AT92" s="17">
        <v>82.007599999999996</v>
      </c>
      <c r="AU92" s="17">
        <v>435.83600000000001</v>
      </c>
      <c r="AV92" s="17" t="s">
        <v>56</v>
      </c>
      <c r="AW92" s="17" t="s">
        <v>56</v>
      </c>
      <c r="AX92" s="17" t="s">
        <v>56</v>
      </c>
      <c r="AY92" s="17">
        <v>561.97</v>
      </c>
      <c r="AZ92" s="17">
        <v>68.053600000000003</v>
      </c>
      <c r="BA92" s="17">
        <v>361.67599999999999</v>
      </c>
      <c r="BB92" s="17" t="s">
        <v>56</v>
      </c>
      <c r="BC92" s="17" t="s">
        <v>56</v>
      </c>
      <c r="BD92" s="17" t="s">
        <v>56</v>
      </c>
      <c r="BE92" s="17" t="s">
        <v>56</v>
      </c>
      <c r="BF92" s="17" t="s">
        <v>56</v>
      </c>
      <c r="BG92" s="17" t="s">
        <v>56</v>
      </c>
      <c r="BH92" s="17" t="s">
        <v>56</v>
      </c>
      <c r="BI92" s="17" t="s">
        <v>56</v>
      </c>
      <c r="BJ92" s="17" t="s">
        <v>56</v>
      </c>
      <c r="BK92" s="17" t="s">
        <v>56</v>
      </c>
      <c r="BL92" s="17" t="s">
        <v>56</v>
      </c>
      <c r="BM92" s="17" t="s">
        <v>56</v>
      </c>
      <c r="BN92" s="17" t="s">
        <v>56</v>
      </c>
      <c r="BO92" s="17" t="s">
        <v>56</v>
      </c>
      <c r="BP92" s="17" t="s">
        <v>56</v>
      </c>
      <c r="BQ92" s="17" t="s">
        <v>56</v>
      </c>
      <c r="BR92" s="17" t="s">
        <v>56</v>
      </c>
      <c r="BS92" s="17" t="s">
        <v>56</v>
      </c>
      <c r="BT92" s="17" t="s">
        <v>56</v>
      </c>
      <c r="BU92" s="17" t="s">
        <v>56</v>
      </c>
      <c r="BV92" s="17" t="s">
        <v>56</v>
      </c>
      <c r="BW92" s="17" t="s">
        <v>56</v>
      </c>
      <c r="BX92" s="17" t="s">
        <v>2818</v>
      </c>
      <c r="BY92" s="17" t="s">
        <v>1111</v>
      </c>
      <c r="BZ92" s="17" t="s">
        <v>56</v>
      </c>
      <c r="CA92" s="17" t="s">
        <v>56</v>
      </c>
      <c r="CB92" s="17" t="s">
        <v>1325</v>
      </c>
      <c r="CC92" s="17" t="s">
        <v>1325</v>
      </c>
      <c r="CD92" s="17" t="s">
        <v>1325</v>
      </c>
      <c r="CE92" s="17" t="s">
        <v>1325</v>
      </c>
      <c r="CF92" s="17" t="s">
        <v>1325</v>
      </c>
      <c r="CG92" s="17" t="s">
        <v>1325</v>
      </c>
      <c r="CH92" s="17" t="s">
        <v>1325</v>
      </c>
      <c r="CI92" s="17" t="s">
        <v>1325</v>
      </c>
      <c r="CJ92" s="17" t="s">
        <v>1325</v>
      </c>
      <c r="CK92" s="17" t="s">
        <v>1325</v>
      </c>
      <c r="CL92" s="17" t="s">
        <v>1325</v>
      </c>
      <c r="CM92" s="17" t="s">
        <v>1325</v>
      </c>
      <c r="CN92" s="17" t="s">
        <v>1325</v>
      </c>
      <c r="CO92" s="17" t="s">
        <v>1325</v>
      </c>
      <c r="CP92" s="17" t="s">
        <v>1325</v>
      </c>
      <c r="CQ92" s="17" t="s">
        <v>1325</v>
      </c>
      <c r="CR92" s="17" t="s">
        <v>1325</v>
      </c>
      <c r="CS92" s="17" t="s">
        <v>1325</v>
      </c>
      <c r="CT92" s="17" t="s">
        <v>1325</v>
      </c>
      <c r="CU92" s="17" t="s">
        <v>1325</v>
      </c>
      <c r="CV92" s="17" t="s">
        <v>1325</v>
      </c>
      <c r="CW92" s="17" t="s">
        <v>56</v>
      </c>
      <c r="CX92" s="17" t="s">
        <v>56</v>
      </c>
      <c r="CY92" s="17" t="s">
        <v>56</v>
      </c>
      <c r="CZ92" s="17">
        <v>319397</v>
      </c>
      <c r="DA92" s="17">
        <v>319397</v>
      </c>
      <c r="DB92" s="17">
        <v>319397</v>
      </c>
      <c r="DC92" s="17"/>
      <c r="DD92" s="17"/>
      <c r="DE92" s="17"/>
      <c r="DF92" s="17" t="s">
        <v>3415</v>
      </c>
      <c r="DG92" s="17" t="s">
        <v>3580</v>
      </c>
      <c r="DH92" s="17" t="s">
        <v>3237</v>
      </c>
      <c r="DI92" s="17" t="s">
        <v>3581</v>
      </c>
      <c r="DJ92" s="17" t="s">
        <v>3405</v>
      </c>
      <c r="DK92" s="17" t="s">
        <v>3320</v>
      </c>
      <c r="DL92" s="17" t="s">
        <v>3418</v>
      </c>
      <c r="DM92" s="17">
        <v>1.0385E-2</v>
      </c>
      <c r="DN92" s="17">
        <v>3316.9</v>
      </c>
      <c r="DO92" s="17">
        <v>0.61461049248100696</v>
      </c>
      <c r="DP92" s="17" t="s">
        <v>3308</v>
      </c>
      <c r="DQ92" s="17" t="s">
        <v>2839</v>
      </c>
      <c r="DR92" s="17" t="s">
        <v>56</v>
      </c>
      <c r="DS92" s="17" t="s">
        <v>56</v>
      </c>
      <c r="DT92" s="17" t="s">
        <v>56</v>
      </c>
      <c r="DU92" s="17" t="s">
        <v>56</v>
      </c>
      <c r="DV92" s="17" t="s">
        <v>2862</v>
      </c>
      <c r="DW92" s="17" t="s">
        <v>3309</v>
      </c>
      <c r="DX92" s="17" t="s">
        <v>3310</v>
      </c>
      <c r="DY92" s="17">
        <v>9.7795896448127796E-3</v>
      </c>
      <c r="DZ92" s="17">
        <v>2.7520410355187201E-2</v>
      </c>
      <c r="EA92" s="17" t="s">
        <v>3311</v>
      </c>
      <c r="EB92" s="17">
        <v>4.0201671797007003E-3</v>
      </c>
      <c r="EC92" s="17">
        <v>7.1798328202993004E-3</v>
      </c>
      <c r="ED92" s="17" t="s">
        <v>56</v>
      </c>
      <c r="EE92" s="17" t="s">
        <v>56</v>
      </c>
      <c r="EF92" s="17" t="s">
        <v>56</v>
      </c>
      <c r="EG92" s="17" t="s">
        <v>2862</v>
      </c>
      <c r="EH92" s="17" t="s">
        <v>3309</v>
      </c>
      <c r="EI92" s="17" t="s">
        <v>3312</v>
      </c>
      <c r="EJ92" s="17">
        <v>1.08477E-2</v>
      </c>
      <c r="EK92" s="17">
        <v>5.8252699999999998E-2</v>
      </c>
      <c r="EL92" s="17" t="s">
        <v>3311</v>
      </c>
      <c r="EM92" s="17">
        <v>4.8999999999999998E-3</v>
      </c>
      <c r="EN92" s="17">
        <v>1.01E-2</v>
      </c>
      <c r="EO92" s="17" t="s">
        <v>3312</v>
      </c>
      <c r="EP92" s="17">
        <v>4.3641500000000004</v>
      </c>
      <c r="EQ92" s="17">
        <v>23.435700000000001</v>
      </c>
      <c r="ER92" s="17" t="s">
        <v>3313</v>
      </c>
      <c r="ES92" s="17">
        <v>0.59340000000000004</v>
      </c>
      <c r="ET92" s="17">
        <v>1.2263999999999999</v>
      </c>
      <c r="EU92" s="17" t="s">
        <v>2862</v>
      </c>
      <c r="EV92" s="17" t="s">
        <v>3309</v>
      </c>
      <c r="EW92" s="17" t="s">
        <v>3312</v>
      </c>
      <c r="EX92" s="17">
        <v>4.3641500000000004</v>
      </c>
      <c r="EY92" s="17">
        <v>23.435700000000001</v>
      </c>
      <c r="EZ92" s="17" t="s">
        <v>3311</v>
      </c>
      <c r="FA92" s="17">
        <v>0.59340000000000004</v>
      </c>
      <c r="FB92" s="17">
        <v>1.2263999999999999</v>
      </c>
      <c r="FC92" s="17" t="s">
        <v>56</v>
      </c>
      <c r="FD92" s="17" t="s">
        <v>56</v>
      </c>
      <c r="FE92" s="17" t="s">
        <v>56</v>
      </c>
      <c r="FF92" s="17" t="s">
        <v>56</v>
      </c>
      <c r="FG92" s="17" t="s">
        <v>56</v>
      </c>
      <c r="FH92" s="17" t="s">
        <v>56</v>
      </c>
      <c r="FI92" s="17" t="s">
        <v>56</v>
      </c>
      <c r="FJ92" s="17" t="s">
        <v>56</v>
      </c>
      <c r="FK92" s="17" t="s">
        <v>56</v>
      </c>
      <c r="FL92" s="17" t="s">
        <v>56</v>
      </c>
      <c r="FM92" s="17" t="s">
        <v>56</v>
      </c>
      <c r="FN92" s="17" t="s">
        <v>56</v>
      </c>
      <c r="FO92" s="17" t="s">
        <v>56</v>
      </c>
      <c r="FP92" s="17" t="s">
        <v>56</v>
      </c>
      <c r="FQ92" s="17" t="s">
        <v>56</v>
      </c>
      <c r="FR92" s="17" t="s">
        <v>56</v>
      </c>
      <c r="FS92" s="17" t="s">
        <v>56</v>
      </c>
      <c r="FT92" s="17" t="s">
        <v>56</v>
      </c>
      <c r="FU92" s="17">
        <v>278.95424756237497</v>
      </c>
      <c r="FV92" s="17">
        <v>1497.99802014082</v>
      </c>
      <c r="FW92" s="17" t="s">
        <v>56</v>
      </c>
      <c r="FX92" s="17" t="s">
        <v>56</v>
      </c>
      <c r="FY92" s="17" t="s">
        <v>56</v>
      </c>
      <c r="FZ92" s="17" t="s">
        <v>56</v>
      </c>
      <c r="GA92" s="17" t="s">
        <v>56</v>
      </c>
      <c r="GB92" s="17" t="s">
        <v>56</v>
      </c>
      <c r="GC92" s="17" t="s">
        <v>56</v>
      </c>
      <c r="GD92" s="17" t="s">
        <v>2969</v>
      </c>
      <c r="GE92" s="17" t="s">
        <v>2969</v>
      </c>
      <c r="GF92" s="17" t="s">
        <v>56</v>
      </c>
      <c r="GG92" s="17" t="s">
        <v>2818</v>
      </c>
      <c r="GH92" s="17" t="s">
        <v>2818</v>
      </c>
      <c r="GI92" s="17" t="s">
        <v>1111</v>
      </c>
      <c r="GJ92" s="17" t="s">
        <v>1111</v>
      </c>
      <c r="GK92" s="17" t="s">
        <v>1111</v>
      </c>
      <c r="GL92" s="17"/>
    </row>
    <row r="93" spans="2:194" x14ac:dyDescent="0.25">
      <c r="B93" s="17" t="s">
        <v>2840</v>
      </c>
      <c r="C93" s="17" t="s">
        <v>70</v>
      </c>
      <c r="D93" s="17" t="s">
        <v>3411</v>
      </c>
      <c r="E93" s="17" t="s">
        <v>3412</v>
      </c>
      <c r="F93" s="17" t="s">
        <v>3237</v>
      </c>
      <c r="G93" s="17" t="s">
        <v>3413</v>
      </c>
      <c r="H93" s="17"/>
      <c r="I93" s="17" t="s">
        <v>2797</v>
      </c>
      <c r="J93" s="17" t="s">
        <v>3403</v>
      </c>
      <c r="K93" s="17" t="s">
        <v>2653</v>
      </c>
      <c r="L93" s="17" t="s">
        <v>2800</v>
      </c>
      <c r="M93" s="17" t="s">
        <v>3414</v>
      </c>
      <c r="N93" s="17" t="s">
        <v>1325</v>
      </c>
      <c r="O93" s="17" t="s">
        <v>2813</v>
      </c>
      <c r="P93" s="17" t="s">
        <v>2814</v>
      </c>
      <c r="Q93" s="17" t="s">
        <v>3616</v>
      </c>
      <c r="R93" s="17">
        <v>17897433.710000001</v>
      </c>
      <c r="S93" s="17">
        <v>4974456.4000000004</v>
      </c>
      <c r="T93" s="17">
        <v>18587154.18</v>
      </c>
      <c r="U93" s="17" t="s">
        <v>2817</v>
      </c>
      <c r="V93" s="17" t="s">
        <v>939</v>
      </c>
      <c r="W93" s="17" t="s">
        <v>2816</v>
      </c>
      <c r="X93" s="17" t="s">
        <v>3403</v>
      </c>
      <c r="Y93" s="17" t="s">
        <v>56</v>
      </c>
      <c r="Z93" s="17" t="s">
        <v>3616</v>
      </c>
      <c r="AA93" s="17" t="s">
        <v>2801</v>
      </c>
      <c r="AB93" s="17">
        <v>2.1629</v>
      </c>
      <c r="AC93" s="17" t="s">
        <v>3616</v>
      </c>
      <c r="AD93" s="17" t="s">
        <v>2804</v>
      </c>
      <c r="AE93" s="17">
        <v>319397</v>
      </c>
      <c r="AF93" s="17" t="s">
        <v>2839</v>
      </c>
      <c r="AG93" s="17" t="s">
        <v>3617</v>
      </c>
      <c r="AH93" s="17" t="s">
        <v>2806</v>
      </c>
      <c r="AI93" s="17"/>
      <c r="AJ93" s="17" t="s">
        <v>56</v>
      </c>
      <c r="AK93" s="17" t="s">
        <v>56</v>
      </c>
      <c r="AL93" s="17" t="s">
        <v>56</v>
      </c>
      <c r="AM93" s="17" t="s">
        <v>56</v>
      </c>
      <c r="AN93" s="17" t="s">
        <v>56</v>
      </c>
      <c r="AO93" s="17" t="s">
        <v>56</v>
      </c>
      <c r="AP93" s="17" t="s">
        <v>56</v>
      </c>
      <c r="AQ93" s="17" t="s">
        <v>56</v>
      </c>
      <c r="AR93" s="17" t="s">
        <v>56</v>
      </c>
      <c r="AS93" s="17">
        <v>677.19899999999996</v>
      </c>
      <c r="AT93" s="17">
        <v>82.007599999999996</v>
      </c>
      <c r="AU93" s="17">
        <v>435.83600000000001</v>
      </c>
      <c r="AV93" s="17" t="s">
        <v>56</v>
      </c>
      <c r="AW93" s="17" t="s">
        <v>56</v>
      </c>
      <c r="AX93" s="17" t="s">
        <v>56</v>
      </c>
      <c r="AY93" s="17">
        <v>561.97</v>
      </c>
      <c r="AZ93" s="17">
        <v>68.053600000000003</v>
      </c>
      <c r="BA93" s="17">
        <v>361.67599999999999</v>
      </c>
      <c r="BB93" s="17" t="s">
        <v>56</v>
      </c>
      <c r="BC93" s="17" t="s">
        <v>56</v>
      </c>
      <c r="BD93" s="17" t="s">
        <v>56</v>
      </c>
      <c r="BE93" s="17" t="s">
        <v>56</v>
      </c>
      <c r="BF93" s="17" t="s">
        <v>56</v>
      </c>
      <c r="BG93" s="17" t="s">
        <v>56</v>
      </c>
      <c r="BH93" s="17" t="s">
        <v>56</v>
      </c>
      <c r="BI93" s="17" t="s">
        <v>56</v>
      </c>
      <c r="BJ93" s="17" t="s">
        <v>56</v>
      </c>
      <c r="BK93" s="17" t="s">
        <v>56</v>
      </c>
      <c r="BL93" s="17" t="s">
        <v>56</v>
      </c>
      <c r="BM93" s="17" t="s">
        <v>56</v>
      </c>
      <c r="BN93" s="17" t="s">
        <v>56</v>
      </c>
      <c r="BO93" s="17" t="s">
        <v>56</v>
      </c>
      <c r="BP93" s="17" t="s">
        <v>56</v>
      </c>
      <c r="BQ93" s="17" t="s">
        <v>56</v>
      </c>
      <c r="BR93" s="17" t="s">
        <v>56</v>
      </c>
      <c r="BS93" s="17" t="s">
        <v>56</v>
      </c>
      <c r="BT93" s="17" t="s">
        <v>56</v>
      </c>
      <c r="BU93" s="17" t="s">
        <v>56</v>
      </c>
      <c r="BV93" s="17" t="s">
        <v>56</v>
      </c>
      <c r="BW93" s="17" t="s">
        <v>56</v>
      </c>
      <c r="BX93" s="17" t="s">
        <v>2818</v>
      </c>
      <c r="BY93" s="17" t="s">
        <v>1111</v>
      </c>
      <c r="BZ93" s="17" t="s">
        <v>56</v>
      </c>
      <c r="CA93" s="17" t="s">
        <v>56</v>
      </c>
      <c r="CB93" s="17" t="s">
        <v>1325</v>
      </c>
      <c r="CC93" s="17" t="s">
        <v>1325</v>
      </c>
      <c r="CD93" s="17" t="s">
        <v>1325</v>
      </c>
      <c r="CE93" s="17" t="s">
        <v>1325</v>
      </c>
      <c r="CF93" s="17" t="s">
        <v>1325</v>
      </c>
      <c r="CG93" s="17" t="s">
        <v>1325</v>
      </c>
      <c r="CH93" s="17" t="s">
        <v>1325</v>
      </c>
      <c r="CI93" s="17" t="s">
        <v>1325</v>
      </c>
      <c r="CJ93" s="17" t="s">
        <v>1325</v>
      </c>
      <c r="CK93" s="17" t="s">
        <v>1325</v>
      </c>
      <c r="CL93" s="17" t="s">
        <v>1325</v>
      </c>
      <c r="CM93" s="17" t="s">
        <v>1325</v>
      </c>
      <c r="CN93" s="17" t="s">
        <v>1325</v>
      </c>
      <c r="CO93" s="17" t="s">
        <v>1325</v>
      </c>
      <c r="CP93" s="17" t="s">
        <v>1325</v>
      </c>
      <c r="CQ93" s="17" t="s">
        <v>1325</v>
      </c>
      <c r="CR93" s="17" t="s">
        <v>1325</v>
      </c>
      <c r="CS93" s="17" t="s">
        <v>1325</v>
      </c>
      <c r="CT93" s="17" t="s">
        <v>1325</v>
      </c>
      <c r="CU93" s="17" t="s">
        <v>1325</v>
      </c>
      <c r="CV93" s="17" t="s">
        <v>1325</v>
      </c>
      <c r="CW93" s="17" t="s">
        <v>56</v>
      </c>
      <c r="CX93" s="17" t="s">
        <v>56</v>
      </c>
      <c r="CY93" s="17" t="s">
        <v>56</v>
      </c>
      <c r="CZ93" s="17">
        <v>319397</v>
      </c>
      <c r="DA93" s="17">
        <v>319397</v>
      </c>
      <c r="DB93" s="17">
        <v>319397</v>
      </c>
      <c r="DC93" s="17"/>
      <c r="DD93" s="17"/>
      <c r="DE93" s="17"/>
      <c r="DF93" s="17" t="s">
        <v>3415</v>
      </c>
      <c r="DG93" s="17" t="s">
        <v>3582</v>
      </c>
      <c r="DH93" s="17" t="s">
        <v>3237</v>
      </c>
      <c r="DI93" s="17" t="s">
        <v>3583</v>
      </c>
      <c r="DJ93" s="17" t="s">
        <v>3405</v>
      </c>
      <c r="DK93" s="17" t="s">
        <v>3320</v>
      </c>
      <c r="DL93" s="17" t="s">
        <v>3418</v>
      </c>
      <c r="DM93" s="17">
        <v>4.1520000000000003E-3</v>
      </c>
      <c r="DN93" s="17">
        <v>1326.1</v>
      </c>
      <c r="DO93" s="17">
        <v>0.42855853558319801</v>
      </c>
      <c r="DP93" s="17" t="s">
        <v>3308</v>
      </c>
      <c r="DQ93" s="17" t="s">
        <v>2839</v>
      </c>
      <c r="DR93" s="17" t="s">
        <v>56</v>
      </c>
      <c r="DS93" s="17" t="s">
        <v>56</v>
      </c>
      <c r="DT93" s="17" t="s">
        <v>56</v>
      </c>
      <c r="DU93" s="17" t="s">
        <v>56</v>
      </c>
      <c r="DV93" s="17" t="s">
        <v>2862</v>
      </c>
      <c r="DW93" s="17" t="s">
        <v>3309</v>
      </c>
      <c r="DX93" s="17" t="s">
        <v>3310</v>
      </c>
      <c r="DY93" s="17">
        <v>9.7795896448127796E-3</v>
      </c>
      <c r="DZ93" s="17">
        <v>2.7520410355187201E-2</v>
      </c>
      <c r="EA93" s="17" t="s">
        <v>3311</v>
      </c>
      <c r="EB93" s="17">
        <v>4.0201671797007003E-3</v>
      </c>
      <c r="EC93" s="17">
        <v>7.1798328202993004E-3</v>
      </c>
      <c r="ED93" s="17" t="s">
        <v>56</v>
      </c>
      <c r="EE93" s="17" t="s">
        <v>56</v>
      </c>
      <c r="EF93" s="17" t="s">
        <v>56</v>
      </c>
      <c r="EG93" s="17" t="s">
        <v>2862</v>
      </c>
      <c r="EH93" s="17" t="s">
        <v>3309</v>
      </c>
      <c r="EI93" s="17" t="s">
        <v>3312</v>
      </c>
      <c r="EJ93" s="17">
        <v>1.08477E-2</v>
      </c>
      <c r="EK93" s="17">
        <v>5.8252699999999998E-2</v>
      </c>
      <c r="EL93" s="17" t="s">
        <v>3311</v>
      </c>
      <c r="EM93" s="17">
        <v>4.8999999999999998E-3</v>
      </c>
      <c r="EN93" s="17">
        <v>1.01E-2</v>
      </c>
      <c r="EO93" s="17" t="s">
        <v>3312</v>
      </c>
      <c r="EP93" s="17">
        <v>4.3641500000000004</v>
      </c>
      <c r="EQ93" s="17">
        <v>23.435700000000001</v>
      </c>
      <c r="ER93" s="17" t="s">
        <v>3313</v>
      </c>
      <c r="ES93" s="17">
        <v>0.59340000000000004</v>
      </c>
      <c r="ET93" s="17">
        <v>1.2263999999999999</v>
      </c>
      <c r="EU93" s="17" t="s">
        <v>2862</v>
      </c>
      <c r="EV93" s="17" t="s">
        <v>3309</v>
      </c>
      <c r="EW93" s="17" t="s">
        <v>3312</v>
      </c>
      <c r="EX93" s="17">
        <v>4.3641500000000004</v>
      </c>
      <c r="EY93" s="17">
        <v>23.435700000000001</v>
      </c>
      <c r="EZ93" s="17" t="s">
        <v>3311</v>
      </c>
      <c r="FA93" s="17">
        <v>0.59340000000000004</v>
      </c>
      <c r="FB93" s="17">
        <v>1.2263999999999999</v>
      </c>
      <c r="FC93" s="17" t="s">
        <v>56</v>
      </c>
      <c r="FD93" s="17" t="s">
        <v>56</v>
      </c>
      <c r="FE93" s="17" t="s">
        <v>56</v>
      </c>
      <c r="FF93" s="17" t="s">
        <v>56</v>
      </c>
      <c r="FG93" s="17" t="s">
        <v>56</v>
      </c>
      <c r="FH93" s="17" t="s">
        <v>56</v>
      </c>
      <c r="FI93" s="17" t="s">
        <v>56</v>
      </c>
      <c r="FJ93" s="17" t="s">
        <v>56</v>
      </c>
      <c r="FK93" s="17" t="s">
        <v>56</v>
      </c>
      <c r="FL93" s="17" t="s">
        <v>56</v>
      </c>
      <c r="FM93" s="17" t="s">
        <v>56</v>
      </c>
      <c r="FN93" s="17" t="s">
        <v>56</v>
      </c>
      <c r="FO93" s="17" t="s">
        <v>56</v>
      </c>
      <c r="FP93" s="17" t="s">
        <v>56</v>
      </c>
      <c r="FQ93" s="17" t="s">
        <v>56</v>
      </c>
      <c r="FR93" s="17" t="s">
        <v>56</v>
      </c>
      <c r="FS93" s="17" t="s">
        <v>56</v>
      </c>
      <c r="FT93" s="17" t="s">
        <v>56</v>
      </c>
      <c r="FU93" s="17">
        <v>194.51054820104099</v>
      </c>
      <c r="FV93" s="17">
        <v>1044.5312041233999</v>
      </c>
      <c r="FW93" s="17" t="s">
        <v>56</v>
      </c>
      <c r="FX93" s="17" t="s">
        <v>56</v>
      </c>
      <c r="FY93" s="17" t="s">
        <v>56</v>
      </c>
      <c r="FZ93" s="17" t="s">
        <v>56</v>
      </c>
      <c r="GA93" s="17" t="s">
        <v>56</v>
      </c>
      <c r="GB93" s="17" t="s">
        <v>56</v>
      </c>
      <c r="GC93" s="17" t="s">
        <v>56</v>
      </c>
      <c r="GD93" s="17" t="s">
        <v>2969</v>
      </c>
      <c r="GE93" s="17" t="s">
        <v>2969</v>
      </c>
      <c r="GF93" s="17" t="s">
        <v>56</v>
      </c>
      <c r="GG93" s="17" t="s">
        <v>2818</v>
      </c>
      <c r="GH93" s="17" t="s">
        <v>2818</v>
      </c>
      <c r="GI93" s="17" t="s">
        <v>1111</v>
      </c>
      <c r="GJ93" s="17" t="s">
        <v>1111</v>
      </c>
      <c r="GK93" s="17" t="s">
        <v>1111</v>
      </c>
      <c r="GL93" s="17"/>
    </row>
    <row r="94" spans="2:194" x14ac:dyDescent="0.25">
      <c r="B94" s="17" t="s">
        <v>2840</v>
      </c>
      <c r="C94" s="17" t="s">
        <v>70</v>
      </c>
      <c r="D94" s="17" t="s">
        <v>3411</v>
      </c>
      <c r="E94" s="17" t="s">
        <v>3412</v>
      </c>
      <c r="F94" s="17" t="s">
        <v>3237</v>
      </c>
      <c r="G94" s="17" t="s">
        <v>3413</v>
      </c>
      <c r="H94" s="17"/>
      <c r="I94" s="17" t="s">
        <v>2797</v>
      </c>
      <c r="J94" s="17" t="s">
        <v>3403</v>
      </c>
      <c r="K94" s="17" t="s">
        <v>2653</v>
      </c>
      <c r="L94" s="17" t="s">
        <v>2800</v>
      </c>
      <c r="M94" s="17" t="s">
        <v>3414</v>
      </c>
      <c r="N94" s="17" t="s">
        <v>1325</v>
      </c>
      <c r="O94" s="17" t="s">
        <v>2813</v>
      </c>
      <c r="P94" s="17" t="s">
        <v>2814</v>
      </c>
      <c r="Q94" s="17" t="s">
        <v>3616</v>
      </c>
      <c r="R94" s="17">
        <v>17897433.710000001</v>
      </c>
      <c r="S94" s="17">
        <v>4974456.4000000004</v>
      </c>
      <c r="T94" s="17">
        <v>18587154.18</v>
      </c>
      <c r="U94" s="17" t="s">
        <v>2817</v>
      </c>
      <c r="V94" s="17" t="s">
        <v>939</v>
      </c>
      <c r="W94" s="17" t="s">
        <v>2816</v>
      </c>
      <c r="X94" s="17" t="s">
        <v>3403</v>
      </c>
      <c r="Y94" s="17" t="s">
        <v>56</v>
      </c>
      <c r="Z94" s="17" t="s">
        <v>3616</v>
      </c>
      <c r="AA94" s="17" t="s">
        <v>2801</v>
      </c>
      <c r="AB94" s="17">
        <v>2.1629</v>
      </c>
      <c r="AC94" s="17" t="s">
        <v>3616</v>
      </c>
      <c r="AD94" s="17" t="s">
        <v>2804</v>
      </c>
      <c r="AE94" s="17">
        <v>319397</v>
      </c>
      <c r="AF94" s="17" t="s">
        <v>2839</v>
      </c>
      <c r="AG94" s="17" t="s">
        <v>3617</v>
      </c>
      <c r="AH94" s="17" t="s">
        <v>2806</v>
      </c>
      <c r="AI94" s="17"/>
      <c r="AJ94" s="17" t="s">
        <v>56</v>
      </c>
      <c r="AK94" s="17" t="s">
        <v>56</v>
      </c>
      <c r="AL94" s="17" t="s">
        <v>56</v>
      </c>
      <c r="AM94" s="17" t="s">
        <v>56</v>
      </c>
      <c r="AN94" s="17" t="s">
        <v>56</v>
      </c>
      <c r="AO94" s="17" t="s">
        <v>56</v>
      </c>
      <c r="AP94" s="17" t="s">
        <v>56</v>
      </c>
      <c r="AQ94" s="17" t="s">
        <v>56</v>
      </c>
      <c r="AR94" s="17" t="s">
        <v>56</v>
      </c>
      <c r="AS94" s="17">
        <v>677.19899999999996</v>
      </c>
      <c r="AT94" s="17">
        <v>82.007599999999996</v>
      </c>
      <c r="AU94" s="17">
        <v>435.83600000000001</v>
      </c>
      <c r="AV94" s="17" t="s">
        <v>56</v>
      </c>
      <c r="AW94" s="17" t="s">
        <v>56</v>
      </c>
      <c r="AX94" s="17" t="s">
        <v>56</v>
      </c>
      <c r="AY94" s="17">
        <v>561.97</v>
      </c>
      <c r="AZ94" s="17">
        <v>68.053600000000003</v>
      </c>
      <c r="BA94" s="17">
        <v>361.67599999999999</v>
      </c>
      <c r="BB94" s="17" t="s">
        <v>56</v>
      </c>
      <c r="BC94" s="17" t="s">
        <v>56</v>
      </c>
      <c r="BD94" s="17" t="s">
        <v>56</v>
      </c>
      <c r="BE94" s="17" t="s">
        <v>56</v>
      </c>
      <c r="BF94" s="17" t="s">
        <v>56</v>
      </c>
      <c r="BG94" s="17" t="s">
        <v>56</v>
      </c>
      <c r="BH94" s="17" t="s">
        <v>56</v>
      </c>
      <c r="BI94" s="17" t="s">
        <v>56</v>
      </c>
      <c r="BJ94" s="17" t="s">
        <v>56</v>
      </c>
      <c r="BK94" s="17" t="s">
        <v>56</v>
      </c>
      <c r="BL94" s="17" t="s">
        <v>56</v>
      </c>
      <c r="BM94" s="17" t="s">
        <v>56</v>
      </c>
      <c r="BN94" s="17" t="s">
        <v>56</v>
      </c>
      <c r="BO94" s="17" t="s">
        <v>56</v>
      </c>
      <c r="BP94" s="17" t="s">
        <v>56</v>
      </c>
      <c r="BQ94" s="17" t="s">
        <v>56</v>
      </c>
      <c r="BR94" s="17" t="s">
        <v>56</v>
      </c>
      <c r="BS94" s="17" t="s">
        <v>56</v>
      </c>
      <c r="BT94" s="17" t="s">
        <v>56</v>
      </c>
      <c r="BU94" s="17" t="s">
        <v>56</v>
      </c>
      <c r="BV94" s="17" t="s">
        <v>56</v>
      </c>
      <c r="BW94" s="17" t="s">
        <v>56</v>
      </c>
      <c r="BX94" s="17" t="s">
        <v>2818</v>
      </c>
      <c r="BY94" s="17" t="s">
        <v>1111</v>
      </c>
      <c r="BZ94" s="17" t="s">
        <v>56</v>
      </c>
      <c r="CA94" s="17" t="s">
        <v>56</v>
      </c>
      <c r="CB94" s="17" t="s">
        <v>1325</v>
      </c>
      <c r="CC94" s="17" t="s">
        <v>1325</v>
      </c>
      <c r="CD94" s="17" t="s">
        <v>1325</v>
      </c>
      <c r="CE94" s="17" t="s">
        <v>1325</v>
      </c>
      <c r="CF94" s="17" t="s">
        <v>1325</v>
      </c>
      <c r="CG94" s="17" t="s">
        <v>1325</v>
      </c>
      <c r="CH94" s="17" t="s">
        <v>1325</v>
      </c>
      <c r="CI94" s="17" t="s">
        <v>1325</v>
      </c>
      <c r="CJ94" s="17" t="s">
        <v>1325</v>
      </c>
      <c r="CK94" s="17" t="s">
        <v>1325</v>
      </c>
      <c r="CL94" s="17" t="s">
        <v>1325</v>
      </c>
      <c r="CM94" s="17" t="s">
        <v>1325</v>
      </c>
      <c r="CN94" s="17" t="s">
        <v>1325</v>
      </c>
      <c r="CO94" s="17" t="s">
        <v>1325</v>
      </c>
      <c r="CP94" s="17" t="s">
        <v>1325</v>
      </c>
      <c r="CQ94" s="17" t="s">
        <v>1325</v>
      </c>
      <c r="CR94" s="17" t="s">
        <v>1325</v>
      </c>
      <c r="CS94" s="17" t="s">
        <v>1325</v>
      </c>
      <c r="CT94" s="17" t="s">
        <v>1325</v>
      </c>
      <c r="CU94" s="17" t="s">
        <v>1325</v>
      </c>
      <c r="CV94" s="17" t="s">
        <v>1325</v>
      </c>
      <c r="CW94" s="17" t="s">
        <v>56</v>
      </c>
      <c r="CX94" s="17" t="s">
        <v>56</v>
      </c>
      <c r="CY94" s="17" t="s">
        <v>56</v>
      </c>
      <c r="CZ94" s="17">
        <v>319397</v>
      </c>
      <c r="DA94" s="17">
        <v>319397</v>
      </c>
      <c r="DB94" s="17">
        <v>319397</v>
      </c>
      <c r="DC94" s="17"/>
      <c r="DD94" s="17"/>
      <c r="DE94" s="17"/>
      <c r="DF94" s="17" t="s">
        <v>3415</v>
      </c>
      <c r="DG94" s="17" t="s">
        <v>3584</v>
      </c>
      <c r="DH94" s="17" t="s">
        <v>3237</v>
      </c>
      <c r="DI94" s="17" t="s">
        <v>3585</v>
      </c>
      <c r="DJ94" s="17" t="s">
        <v>3406</v>
      </c>
      <c r="DK94" s="17" t="s">
        <v>3320</v>
      </c>
      <c r="DL94" s="17" t="s">
        <v>3418</v>
      </c>
      <c r="DM94" s="17">
        <v>2.5609999999999999E-3</v>
      </c>
      <c r="DN94" s="17">
        <v>818</v>
      </c>
      <c r="DO94" s="17">
        <v>0.428559164824515</v>
      </c>
      <c r="DP94" s="17" t="s">
        <v>3308</v>
      </c>
      <c r="DQ94" s="17" t="s">
        <v>2839</v>
      </c>
      <c r="DR94" s="17" t="s">
        <v>56</v>
      </c>
      <c r="DS94" s="17" t="s">
        <v>56</v>
      </c>
      <c r="DT94" s="17" t="s">
        <v>56</v>
      </c>
      <c r="DU94" s="17" t="s">
        <v>56</v>
      </c>
      <c r="DV94" s="17" t="s">
        <v>2862</v>
      </c>
      <c r="DW94" s="17" t="s">
        <v>3309</v>
      </c>
      <c r="DX94" s="17" t="s">
        <v>3310</v>
      </c>
      <c r="DY94" s="17">
        <v>3.4870922862201099E-3</v>
      </c>
      <c r="DZ94" s="17">
        <v>9.8129077137798903E-3</v>
      </c>
      <c r="EA94" s="17" t="s">
        <v>3311</v>
      </c>
      <c r="EB94" s="17">
        <v>1.4357739927502501E-3</v>
      </c>
      <c r="EC94" s="17">
        <v>2.56422600724975E-3</v>
      </c>
      <c r="ED94" s="17" t="s">
        <v>56</v>
      </c>
      <c r="EE94" s="17" t="s">
        <v>56</v>
      </c>
      <c r="EF94" s="17" t="s">
        <v>56</v>
      </c>
      <c r="EG94" s="17" t="s">
        <v>2862</v>
      </c>
      <c r="EH94" s="17" t="s">
        <v>3309</v>
      </c>
      <c r="EI94" s="17" t="s">
        <v>3312</v>
      </c>
      <c r="EJ94" s="17">
        <v>1.08477E-2</v>
      </c>
      <c r="EK94" s="17">
        <v>5.8252699999999998E-2</v>
      </c>
      <c r="EL94" s="17" t="s">
        <v>3311</v>
      </c>
      <c r="EM94" s="17">
        <v>4.8999999999999998E-3</v>
      </c>
      <c r="EN94" s="17">
        <v>1.01E-2</v>
      </c>
      <c r="EO94" s="17" t="s">
        <v>3312</v>
      </c>
      <c r="EP94" s="17">
        <v>4.3641500000000004</v>
      </c>
      <c r="EQ94" s="17">
        <v>23.435700000000001</v>
      </c>
      <c r="ER94" s="17" t="s">
        <v>3313</v>
      </c>
      <c r="ES94" s="17">
        <v>0.59340000000000004</v>
      </c>
      <c r="ET94" s="17">
        <v>1.2263999999999999</v>
      </c>
      <c r="EU94" s="17" t="s">
        <v>2862</v>
      </c>
      <c r="EV94" s="17" t="s">
        <v>3309</v>
      </c>
      <c r="EW94" s="17" t="s">
        <v>3312</v>
      </c>
      <c r="EX94" s="17">
        <v>4.3641500000000004</v>
      </c>
      <c r="EY94" s="17">
        <v>23.435700000000001</v>
      </c>
      <c r="EZ94" s="17" t="s">
        <v>3311</v>
      </c>
      <c r="FA94" s="17">
        <v>0.59340000000000004</v>
      </c>
      <c r="FB94" s="17">
        <v>1.2263999999999999</v>
      </c>
      <c r="FC94" s="17" t="s">
        <v>56</v>
      </c>
      <c r="FD94" s="17" t="s">
        <v>56</v>
      </c>
      <c r="FE94" s="17" t="s">
        <v>56</v>
      </c>
      <c r="FF94" s="17" t="s">
        <v>56</v>
      </c>
      <c r="FG94" s="17" t="s">
        <v>56</v>
      </c>
      <c r="FH94" s="17" t="s">
        <v>56</v>
      </c>
      <c r="FI94" s="17" t="s">
        <v>56</v>
      </c>
      <c r="FJ94" s="17" t="s">
        <v>56</v>
      </c>
      <c r="FK94" s="17" t="s">
        <v>56</v>
      </c>
      <c r="FL94" s="17" t="s">
        <v>56</v>
      </c>
      <c r="FM94" s="17" t="s">
        <v>56</v>
      </c>
      <c r="FN94" s="17" t="s">
        <v>56</v>
      </c>
      <c r="FO94" s="17" t="s">
        <v>56</v>
      </c>
      <c r="FP94" s="17" t="s">
        <v>56</v>
      </c>
      <c r="FQ94" s="17" t="s">
        <v>56</v>
      </c>
      <c r="FR94" s="17" t="s">
        <v>56</v>
      </c>
      <c r="FS94" s="17" t="s">
        <v>56</v>
      </c>
      <c r="FT94" s="17" t="s">
        <v>56</v>
      </c>
      <c r="FU94" s="17">
        <v>194.510833822439</v>
      </c>
      <c r="FV94" s="17">
        <v>1044.5327379243399</v>
      </c>
      <c r="FW94" s="17" t="s">
        <v>56</v>
      </c>
      <c r="FX94" s="17" t="s">
        <v>56</v>
      </c>
      <c r="FY94" s="17" t="s">
        <v>56</v>
      </c>
      <c r="FZ94" s="17" t="s">
        <v>56</v>
      </c>
      <c r="GA94" s="17" t="s">
        <v>56</v>
      </c>
      <c r="GB94" s="17" t="s">
        <v>56</v>
      </c>
      <c r="GC94" s="17" t="s">
        <v>56</v>
      </c>
      <c r="GD94" s="17" t="s">
        <v>2969</v>
      </c>
      <c r="GE94" s="17" t="s">
        <v>2969</v>
      </c>
      <c r="GF94" s="17" t="s">
        <v>56</v>
      </c>
      <c r="GG94" s="17" t="s">
        <v>2818</v>
      </c>
      <c r="GH94" s="17" t="s">
        <v>2818</v>
      </c>
      <c r="GI94" s="17" t="s">
        <v>1111</v>
      </c>
      <c r="GJ94" s="17" t="s">
        <v>1111</v>
      </c>
      <c r="GK94" s="17" t="s">
        <v>1111</v>
      </c>
      <c r="GL94" s="17"/>
    </row>
    <row r="95" spans="2:194" x14ac:dyDescent="0.25">
      <c r="B95" s="17" t="s">
        <v>2840</v>
      </c>
      <c r="C95" s="17" t="s">
        <v>70</v>
      </c>
      <c r="D95" s="17" t="s">
        <v>3411</v>
      </c>
      <c r="E95" s="17" t="s">
        <v>3412</v>
      </c>
      <c r="F95" s="17" t="s">
        <v>3237</v>
      </c>
      <c r="G95" s="17" t="s">
        <v>3413</v>
      </c>
      <c r="H95" s="17"/>
      <c r="I95" s="17" t="s">
        <v>2797</v>
      </c>
      <c r="J95" s="17" t="s">
        <v>3403</v>
      </c>
      <c r="K95" s="17" t="s">
        <v>2653</v>
      </c>
      <c r="L95" s="17" t="s">
        <v>2800</v>
      </c>
      <c r="M95" s="17" t="s">
        <v>3414</v>
      </c>
      <c r="N95" s="17" t="s">
        <v>1325</v>
      </c>
      <c r="O95" s="17" t="s">
        <v>2813</v>
      </c>
      <c r="P95" s="17" t="s">
        <v>2814</v>
      </c>
      <c r="Q95" s="17" t="s">
        <v>3616</v>
      </c>
      <c r="R95" s="17">
        <v>17897433.710000001</v>
      </c>
      <c r="S95" s="17">
        <v>4974456.4000000004</v>
      </c>
      <c r="T95" s="17">
        <v>18587154.18</v>
      </c>
      <c r="U95" s="17" t="s">
        <v>2817</v>
      </c>
      <c r="V95" s="17" t="s">
        <v>939</v>
      </c>
      <c r="W95" s="17" t="s">
        <v>2816</v>
      </c>
      <c r="X95" s="17" t="s">
        <v>3403</v>
      </c>
      <c r="Y95" s="17" t="s">
        <v>56</v>
      </c>
      <c r="Z95" s="17" t="s">
        <v>3616</v>
      </c>
      <c r="AA95" s="17" t="s">
        <v>2801</v>
      </c>
      <c r="AB95" s="17">
        <v>2.1629</v>
      </c>
      <c r="AC95" s="17" t="s">
        <v>3616</v>
      </c>
      <c r="AD95" s="17" t="s">
        <v>2804</v>
      </c>
      <c r="AE95" s="17">
        <v>319397</v>
      </c>
      <c r="AF95" s="17" t="s">
        <v>2839</v>
      </c>
      <c r="AG95" s="17" t="s">
        <v>3617</v>
      </c>
      <c r="AH95" s="17" t="s">
        <v>2806</v>
      </c>
      <c r="AI95" s="17"/>
      <c r="AJ95" s="17" t="s">
        <v>56</v>
      </c>
      <c r="AK95" s="17" t="s">
        <v>56</v>
      </c>
      <c r="AL95" s="17" t="s">
        <v>56</v>
      </c>
      <c r="AM95" s="17" t="s">
        <v>56</v>
      </c>
      <c r="AN95" s="17" t="s">
        <v>56</v>
      </c>
      <c r="AO95" s="17" t="s">
        <v>56</v>
      </c>
      <c r="AP95" s="17" t="s">
        <v>56</v>
      </c>
      <c r="AQ95" s="17" t="s">
        <v>56</v>
      </c>
      <c r="AR95" s="17" t="s">
        <v>56</v>
      </c>
      <c r="AS95" s="17">
        <v>677.19899999999996</v>
      </c>
      <c r="AT95" s="17">
        <v>82.007599999999996</v>
      </c>
      <c r="AU95" s="17">
        <v>435.83600000000001</v>
      </c>
      <c r="AV95" s="17" t="s">
        <v>56</v>
      </c>
      <c r="AW95" s="17" t="s">
        <v>56</v>
      </c>
      <c r="AX95" s="17" t="s">
        <v>56</v>
      </c>
      <c r="AY95" s="17">
        <v>561.97</v>
      </c>
      <c r="AZ95" s="17">
        <v>68.053600000000003</v>
      </c>
      <c r="BA95" s="17">
        <v>361.67599999999999</v>
      </c>
      <c r="BB95" s="17" t="s">
        <v>56</v>
      </c>
      <c r="BC95" s="17" t="s">
        <v>56</v>
      </c>
      <c r="BD95" s="17" t="s">
        <v>56</v>
      </c>
      <c r="BE95" s="17" t="s">
        <v>56</v>
      </c>
      <c r="BF95" s="17" t="s">
        <v>56</v>
      </c>
      <c r="BG95" s="17" t="s">
        <v>56</v>
      </c>
      <c r="BH95" s="17" t="s">
        <v>56</v>
      </c>
      <c r="BI95" s="17" t="s">
        <v>56</v>
      </c>
      <c r="BJ95" s="17" t="s">
        <v>56</v>
      </c>
      <c r="BK95" s="17" t="s">
        <v>56</v>
      </c>
      <c r="BL95" s="17" t="s">
        <v>56</v>
      </c>
      <c r="BM95" s="17" t="s">
        <v>56</v>
      </c>
      <c r="BN95" s="17" t="s">
        <v>56</v>
      </c>
      <c r="BO95" s="17" t="s">
        <v>56</v>
      </c>
      <c r="BP95" s="17" t="s">
        <v>56</v>
      </c>
      <c r="BQ95" s="17" t="s">
        <v>56</v>
      </c>
      <c r="BR95" s="17" t="s">
        <v>56</v>
      </c>
      <c r="BS95" s="17" t="s">
        <v>56</v>
      </c>
      <c r="BT95" s="17" t="s">
        <v>56</v>
      </c>
      <c r="BU95" s="17" t="s">
        <v>56</v>
      </c>
      <c r="BV95" s="17" t="s">
        <v>56</v>
      </c>
      <c r="BW95" s="17" t="s">
        <v>56</v>
      </c>
      <c r="BX95" s="17" t="s">
        <v>2818</v>
      </c>
      <c r="BY95" s="17" t="s">
        <v>1111</v>
      </c>
      <c r="BZ95" s="17" t="s">
        <v>56</v>
      </c>
      <c r="CA95" s="17" t="s">
        <v>56</v>
      </c>
      <c r="CB95" s="17" t="s">
        <v>1325</v>
      </c>
      <c r="CC95" s="17" t="s">
        <v>1325</v>
      </c>
      <c r="CD95" s="17" t="s">
        <v>1325</v>
      </c>
      <c r="CE95" s="17" t="s">
        <v>1325</v>
      </c>
      <c r="CF95" s="17" t="s">
        <v>1325</v>
      </c>
      <c r="CG95" s="17" t="s">
        <v>1325</v>
      </c>
      <c r="CH95" s="17" t="s">
        <v>1325</v>
      </c>
      <c r="CI95" s="17" t="s">
        <v>1325</v>
      </c>
      <c r="CJ95" s="17" t="s">
        <v>1325</v>
      </c>
      <c r="CK95" s="17" t="s">
        <v>1325</v>
      </c>
      <c r="CL95" s="17" t="s">
        <v>1325</v>
      </c>
      <c r="CM95" s="17" t="s">
        <v>1325</v>
      </c>
      <c r="CN95" s="17" t="s">
        <v>1325</v>
      </c>
      <c r="CO95" s="17" t="s">
        <v>1325</v>
      </c>
      <c r="CP95" s="17" t="s">
        <v>1325</v>
      </c>
      <c r="CQ95" s="17" t="s">
        <v>1325</v>
      </c>
      <c r="CR95" s="17" t="s">
        <v>1325</v>
      </c>
      <c r="CS95" s="17" t="s">
        <v>1325</v>
      </c>
      <c r="CT95" s="17" t="s">
        <v>1325</v>
      </c>
      <c r="CU95" s="17" t="s">
        <v>1325</v>
      </c>
      <c r="CV95" s="17" t="s">
        <v>1325</v>
      </c>
      <c r="CW95" s="17" t="s">
        <v>56</v>
      </c>
      <c r="CX95" s="17" t="s">
        <v>56</v>
      </c>
      <c r="CY95" s="17" t="s">
        <v>56</v>
      </c>
      <c r="CZ95" s="17">
        <v>319397</v>
      </c>
      <c r="DA95" s="17">
        <v>319397</v>
      </c>
      <c r="DB95" s="17">
        <v>319397</v>
      </c>
      <c r="DC95" s="17"/>
      <c r="DD95" s="17"/>
      <c r="DE95" s="17"/>
      <c r="DF95" s="17" t="s">
        <v>3415</v>
      </c>
      <c r="DG95" s="17" t="s">
        <v>3586</v>
      </c>
      <c r="DH95" s="17" t="s">
        <v>3237</v>
      </c>
      <c r="DI95" s="17" t="s">
        <v>501</v>
      </c>
      <c r="DJ95" s="17" t="s">
        <v>3407</v>
      </c>
      <c r="DK95" s="17" t="s">
        <v>3587</v>
      </c>
      <c r="DL95" s="17" t="s">
        <v>3418</v>
      </c>
      <c r="DM95" s="17">
        <v>2.4235E-2</v>
      </c>
      <c r="DN95" s="17">
        <v>7740.6</v>
      </c>
      <c r="DO95" s="17">
        <v>0.428558378289779</v>
      </c>
      <c r="DP95" s="17" t="s">
        <v>3409</v>
      </c>
      <c r="DQ95" s="17" t="s">
        <v>2839</v>
      </c>
      <c r="DR95" s="17" t="s">
        <v>3407</v>
      </c>
      <c r="DS95" s="17" t="s">
        <v>3410</v>
      </c>
      <c r="DT95" s="17">
        <v>2.8715479855005E-4</v>
      </c>
      <c r="DU95" s="17">
        <v>5.1284520144994998E-4</v>
      </c>
      <c r="DV95" s="17" t="s">
        <v>2862</v>
      </c>
      <c r="DW95" s="17" t="s">
        <v>3309</v>
      </c>
      <c r="DX95" s="17" t="s">
        <v>3310</v>
      </c>
      <c r="DY95" s="17">
        <v>7.07905952841676E-4</v>
      </c>
      <c r="DZ95" s="17">
        <v>1.99209404715832E-3</v>
      </c>
      <c r="EA95" s="17" t="s">
        <v>3311</v>
      </c>
      <c r="EB95" s="17">
        <v>2.8715479855005E-4</v>
      </c>
      <c r="EC95" s="17">
        <v>5.1284520144994998E-4</v>
      </c>
      <c r="ED95" s="17" t="s">
        <v>56</v>
      </c>
      <c r="EE95" s="17" t="s">
        <v>56</v>
      </c>
      <c r="EF95" s="17" t="s">
        <v>56</v>
      </c>
      <c r="EG95" s="17" t="s">
        <v>2862</v>
      </c>
      <c r="EH95" s="17" t="s">
        <v>3309</v>
      </c>
      <c r="EI95" s="17" t="s">
        <v>3312</v>
      </c>
      <c r="EJ95" s="17">
        <v>1.08477E-2</v>
      </c>
      <c r="EK95" s="17">
        <v>5.8252699999999998E-2</v>
      </c>
      <c r="EL95" s="17" t="s">
        <v>3311</v>
      </c>
      <c r="EM95" s="17">
        <v>4.8999999999999998E-3</v>
      </c>
      <c r="EN95" s="17">
        <v>1.01E-2</v>
      </c>
      <c r="EO95" s="17" t="s">
        <v>3312</v>
      </c>
      <c r="EP95" s="17">
        <v>4.3641500000000004</v>
      </c>
      <c r="EQ95" s="17">
        <v>23.435700000000001</v>
      </c>
      <c r="ER95" s="17" t="s">
        <v>3313</v>
      </c>
      <c r="ES95" s="17">
        <v>0.59340000000000004</v>
      </c>
      <c r="ET95" s="17">
        <v>1.2263999999999999</v>
      </c>
      <c r="EU95" s="17" t="s">
        <v>2862</v>
      </c>
      <c r="EV95" s="17" t="s">
        <v>3309</v>
      </c>
      <c r="EW95" s="17" t="s">
        <v>3312</v>
      </c>
      <c r="EX95" s="17">
        <v>4.3641500000000004</v>
      </c>
      <c r="EY95" s="17">
        <v>23.435700000000001</v>
      </c>
      <c r="EZ95" s="17" t="s">
        <v>3311</v>
      </c>
      <c r="FA95" s="17">
        <v>0.59340000000000004</v>
      </c>
      <c r="FB95" s="17">
        <v>1.2263999999999999</v>
      </c>
      <c r="FC95" s="17" t="s">
        <v>56</v>
      </c>
      <c r="FD95" s="17" t="s">
        <v>56</v>
      </c>
      <c r="FE95" s="17" t="s">
        <v>56</v>
      </c>
      <c r="FF95" s="17" t="s">
        <v>56</v>
      </c>
      <c r="FG95" s="17" t="s">
        <v>56</v>
      </c>
      <c r="FH95" s="17" t="s">
        <v>56</v>
      </c>
      <c r="FI95" s="17" t="s">
        <v>56</v>
      </c>
      <c r="FJ95" s="17" t="s">
        <v>56</v>
      </c>
      <c r="FK95" s="17" t="s">
        <v>56</v>
      </c>
      <c r="FL95" s="17" t="s">
        <v>56</v>
      </c>
      <c r="FM95" s="17" t="s">
        <v>56</v>
      </c>
      <c r="FN95" s="17" t="s">
        <v>56</v>
      </c>
      <c r="FO95" s="17" t="s">
        <v>56</v>
      </c>
      <c r="FP95" s="17" t="s">
        <v>56</v>
      </c>
      <c r="FQ95" s="17" t="s">
        <v>56</v>
      </c>
      <c r="FR95" s="17" t="s">
        <v>56</v>
      </c>
      <c r="FS95" s="17">
        <v>26.447880334424099</v>
      </c>
      <c r="FT95" s="17">
        <v>54.660735493996903</v>
      </c>
      <c r="FU95" s="17" t="s">
        <v>56</v>
      </c>
      <c r="FV95" s="17" t="s">
        <v>56</v>
      </c>
      <c r="FW95" s="17" t="s">
        <v>56</v>
      </c>
      <c r="FX95" s="17" t="s">
        <v>56</v>
      </c>
      <c r="FY95" s="17" t="s">
        <v>56</v>
      </c>
      <c r="FZ95" s="17" t="s">
        <v>56</v>
      </c>
      <c r="GA95" s="17">
        <v>26.447880334424099</v>
      </c>
      <c r="GB95" s="17">
        <v>54.660735493996903</v>
      </c>
      <c r="GC95" s="17" t="s">
        <v>2969</v>
      </c>
      <c r="GD95" s="17" t="s">
        <v>2969</v>
      </c>
      <c r="GE95" s="17" t="s">
        <v>2969</v>
      </c>
      <c r="GF95" s="17" t="s">
        <v>56</v>
      </c>
      <c r="GG95" s="17" t="s">
        <v>2818</v>
      </c>
      <c r="GH95" s="17" t="s">
        <v>2818</v>
      </c>
      <c r="GI95" s="17" t="s">
        <v>1111</v>
      </c>
      <c r="GJ95" s="17" t="s">
        <v>1111</v>
      </c>
      <c r="GK95" s="17" t="s">
        <v>1111</v>
      </c>
      <c r="GL95" s="17"/>
    </row>
    <row r="96" spans="2:194" x14ac:dyDescent="0.25">
      <c r="B96" s="17" t="s">
        <v>2840</v>
      </c>
      <c r="C96" s="17" t="s">
        <v>70</v>
      </c>
      <c r="D96" s="17" t="s">
        <v>3411</v>
      </c>
      <c r="E96" s="17" t="s">
        <v>3412</v>
      </c>
      <c r="F96" s="17" t="s">
        <v>3237</v>
      </c>
      <c r="G96" s="17" t="s">
        <v>3413</v>
      </c>
      <c r="H96" s="17"/>
      <c r="I96" s="17" t="s">
        <v>2797</v>
      </c>
      <c r="J96" s="17" t="s">
        <v>3403</v>
      </c>
      <c r="K96" s="17" t="s">
        <v>2653</v>
      </c>
      <c r="L96" s="17" t="s">
        <v>2800</v>
      </c>
      <c r="M96" s="17" t="s">
        <v>3414</v>
      </c>
      <c r="N96" s="17" t="s">
        <v>1325</v>
      </c>
      <c r="O96" s="17" t="s">
        <v>2813</v>
      </c>
      <c r="P96" s="17" t="s">
        <v>2814</v>
      </c>
      <c r="Q96" s="17" t="s">
        <v>3616</v>
      </c>
      <c r="R96" s="17">
        <v>17897433.710000001</v>
      </c>
      <c r="S96" s="17">
        <v>4974456.4000000004</v>
      </c>
      <c r="T96" s="17">
        <v>18587154.18</v>
      </c>
      <c r="U96" s="17" t="s">
        <v>2817</v>
      </c>
      <c r="V96" s="17" t="s">
        <v>939</v>
      </c>
      <c r="W96" s="17" t="s">
        <v>2816</v>
      </c>
      <c r="X96" s="17" t="s">
        <v>3403</v>
      </c>
      <c r="Y96" s="17" t="s">
        <v>56</v>
      </c>
      <c r="Z96" s="17" t="s">
        <v>3616</v>
      </c>
      <c r="AA96" s="17" t="s">
        <v>2801</v>
      </c>
      <c r="AB96" s="17">
        <v>2.1629</v>
      </c>
      <c r="AC96" s="17" t="s">
        <v>3616</v>
      </c>
      <c r="AD96" s="17" t="s">
        <v>2804</v>
      </c>
      <c r="AE96" s="17">
        <v>319397</v>
      </c>
      <c r="AF96" s="17" t="s">
        <v>2839</v>
      </c>
      <c r="AG96" s="17" t="s">
        <v>3617</v>
      </c>
      <c r="AH96" s="17" t="s">
        <v>2806</v>
      </c>
      <c r="AI96" s="17"/>
      <c r="AJ96" s="17" t="s">
        <v>56</v>
      </c>
      <c r="AK96" s="17" t="s">
        <v>56</v>
      </c>
      <c r="AL96" s="17" t="s">
        <v>56</v>
      </c>
      <c r="AM96" s="17" t="s">
        <v>56</v>
      </c>
      <c r="AN96" s="17" t="s">
        <v>56</v>
      </c>
      <c r="AO96" s="17" t="s">
        <v>56</v>
      </c>
      <c r="AP96" s="17" t="s">
        <v>56</v>
      </c>
      <c r="AQ96" s="17" t="s">
        <v>56</v>
      </c>
      <c r="AR96" s="17" t="s">
        <v>56</v>
      </c>
      <c r="AS96" s="17">
        <v>677.19899999999996</v>
      </c>
      <c r="AT96" s="17">
        <v>82.007599999999996</v>
      </c>
      <c r="AU96" s="17">
        <v>435.83600000000001</v>
      </c>
      <c r="AV96" s="17" t="s">
        <v>56</v>
      </c>
      <c r="AW96" s="17" t="s">
        <v>56</v>
      </c>
      <c r="AX96" s="17" t="s">
        <v>56</v>
      </c>
      <c r="AY96" s="17">
        <v>561.97</v>
      </c>
      <c r="AZ96" s="17">
        <v>68.053600000000003</v>
      </c>
      <c r="BA96" s="17">
        <v>361.67599999999999</v>
      </c>
      <c r="BB96" s="17" t="s">
        <v>56</v>
      </c>
      <c r="BC96" s="17" t="s">
        <v>56</v>
      </c>
      <c r="BD96" s="17" t="s">
        <v>56</v>
      </c>
      <c r="BE96" s="17" t="s">
        <v>56</v>
      </c>
      <c r="BF96" s="17" t="s">
        <v>56</v>
      </c>
      <c r="BG96" s="17" t="s">
        <v>56</v>
      </c>
      <c r="BH96" s="17" t="s">
        <v>56</v>
      </c>
      <c r="BI96" s="17" t="s">
        <v>56</v>
      </c>
      <c r="BJ96" s="17" t="s">
        <v>56</v>
      </c>
      <c r="BK96" s="17" t="s">
        <v>56</v>
      </c>
      <c r="BL96" s="17" t="s">
        <v>56</v>
      </c>
      <c r="BM96" s="17" t="s">
        <v>56</v>
      </c>
      <c r="BN96" s="17" t="s">
        <v>56</v>
      </c>
      <c r="BO96" s="17" t="s">
        <v>56</v>
      </c>
      <c r="BP96" s="17" t="s">
        <v>56</v>
      </c>
      <c r="BQ96" s="17" t="s">
        <v>56</v>
      </c>
      <c r="BR96" s="17" t="s">
        <v>56</v>
      </c>
      <c r="BS96" s="17" t="s">
        <v>56</v>
      </c>
      <c r="BT96" s="17" t="s">
        <v>56</v>
      </c>
      <c r="BU96" s="17" t="s">
        <v>56</v>
      </c>
      <c r="BV96" s="17" t="s">
        <v>56</v>
      </c>
      <c r="BW96" s="17" t="s">
        <v>56</v>
      </c>
      <c r="BX96" s="17" t="s">
        <v>2818</v>
      </c>
      <c r="BY96" s="17" t="s">
        <v>1111</v>
      </c>
      <c r="BZ96" s="17" t="s">
        <v>56</v>
      </c>
      <c r="CA96" s="17" t="s">
        <v>56</v>
      </c>
      <c r="CB96" s="17" t="s">
        <v>1325</v>
      </c>
      <c r="CC96" s="17" t="s">
        <v>1325</v>
      </c>
      <c r="CD96" s="17" t="s">
        <v>1325</v>
      </c>
      <c r="CE96" s="17" t="s">
        <v>1325</v>
      </c>
      <c r="CF96" s="17" t="s">
        <v>1325</v>
      </c>
      <c r="CG96" s="17" t="s">
        <v>1325</v>
      </c>
      <c r="CH96" s="17" t="s">
        <v>1325</v>
      </c>
      <c r="CI96" s="17" t="s">
        <v>1325</v>
      </c>
      <c r="CJ96" s="17" t="s">
        <v>1325</v>
      </c>
      <c r="CK96" s="17" t="s">
        <v>1325</v>
      </c>
      <c r="CL96" s="17" t="s">
        <v>1325</v>
      </c>
      <c r="CM96" s="17" t="s">
        <v>1325</v>
      </c>
      <c r="CN96" s="17" t="s">
        <v>1325</v>
      </c>
      <c r="CO96" s="17" t="s">
        <v>1325</v>
      </c>
      <c r="CP96" s="17" t="s">
        <v>1325</v>
      </c>
      <c r="CQ96" s="17" t="s">
        <v>1325</v>
      </c>
      <c r="CR96" s="17" t="s">
        <v>1325</v>
      </c>
      <c r="CS96" s="17" t="s">
        <v>1325</v>
      </c>
      <c r="CT96" s="17" t="s">
        <v>1325</v>
      </c>
      <c r="CU96" s="17" t="s">
        <v>1325</v>
      </c>
      <c r="CV96" s="17" t="s">
        <v>1325</v>
      </c>
      <c r="CW96" s="17" t="s">
        <v>56</v>
      </c>
      <c r="CX96" s="17" t="s">
        <v>56</v>
      </c>
      <c r="CY96" s="17" t="s">
        <v>56</v>
      </c>
      <c r="CZ96" s="17">
        <v>319397</v>
      </c>
      <c r="DA96" s="17">
        <v>319397</v>
      </c>
      <c r="DB96" s="17">
        <v>319397</v>
      </c>
      <c r="DC96" s="17"/>
      <c r="DD96" s="17"/>
      <c r="DE96" s="17"/>
      <c r="DF96" s="17" t="s">
        <v>3415</v>
      </c>
      <c r="DG96" s="17" t="s">
        <v>3588</v>
      </c>
      <c r="DH96" s="17" t="s">
        <v>3237</v>
      </c>
      <c r="DI96" s="17" t="s">
        <v>3589</v>
      </c>
      <c r="DJ96" s="17" t="s">
        <v>3405</v>
      </c>
      <c r="DK96" s="17" t="s">
        <v>3320</v>
      </c>
      <c r="DL96" s="17" t="s">
        <v>3418</v>
      </c>
      <c r="DM96" s="17">
        <v>3.6240000000000001E-3</v>
      </c>
      <c r="DN96" s="17">
        <v>1157.5</v>
      </c>
      <c r="DO96" s="17">
        <v>0.42855722163643001</v>
      </c>
      <c r="DP96" s="17" t="s">
        <v>3308</v>
      </c>
      <c r="DQ96" s="17" t="s">
        <v>2839</v>
      </c>
      <c r="DR96" s="17" t="s">
        <v>56</v>
      </c>
      <c r="DS96" s="17" t="s">
        <v>56</v>
      </c>
      <c r="DT96" s="17" t="s">
        <v>56</v>
      </c>
      <c r="DU96" s="17" t="s">
        <v>56</v>
      </c>
      <c r="DV96" s="17" t="s">
        <v>2862</v>
      </c>
      <c r="DW96" s="17" t="s">
        <v>3309</v>
      </c>
      <c r="DX96" s="17" t="s">
        <v>3310</v>
      </c>
      <c r="DY96" s="17">
        <v>9.7795896448127796E-3</v>
      </c>
      <c r="DZ96" s="17">
        <v>2.7520410355187201E-2</v>
      </c>
      <c r="EA96" s="17" t="s">
        <v>3311</v>
      </c>
      <c r="EB96" s="17">
        <v>4.0201671797007003E-3</v>
      </c>
      <c r="EC96" s="17">
        <v>7.1798328202993004E-3</v>
      </c>
      <c r="ED96" s="17" t="s">
        <v>56</v>
      </c>
      <c r="EE96" s="17" t="s">
        <v>56</v>
      </c>
      <c r="EF96" s="17" t="s">
        <v>56</v>
      </c>
      <c r="EG96" s="17" t="s">
        <v>2862</v>
      </c>
      <c r="EH96" s="17" t="s">
        <v>3309</v>
      </c>
      <c r="EI96" s="17" t="s">
        <v>3312</v>
      </c>
      <c r="EJ96" s="17">
        <v>1.08477E-2</v>
      </c>
      <c r="EK96" s="17">
        <v>5.8252699999999998E-2</v>
      </c>
      <c r="EL96" s="17" t="s">
        <v>3311</v>
      </c>
      <c r="EM96" s="17">
        <v>4.8999999999999998E-3</v>
      </c>
      <c r="EN96" s="17">
        <v>1.01E-2</v>
      </c>
      <c r="EO96" s="17" t="s">
        <v>3312</v>
      </c>
      <c r="EP96" s="17">
        <v>4.3641500000000004</v>
      </c>
      <c r="EQ96" s="17">
        <v>23.435700000000001</v>
      </c>
      <c r="ER96" s="17" t="s">
        <v>3313</v>
      </c>
      <c r="ES96" s="17">
        <v>0.59340000000000004</v>
      </c>
      <c r="ET96" s="17">
        <v>1.2263999999999999</v>
      </c>
      <c r="EU96" s="17" t="s">
        <v>2862</v>
      </c>
      <c r="EV96" s="17" t="s">
        <v>3309</v>
      </c>
      <c r="EW96" s="17" t="s">
        <v>3312</v>
      </c>
      <c r="EX96" s="17">
        <v>4.3641500000000004</v>
      </c>
      <c r="EY96" s="17">
        <v>23.435700000000001</v>
      </c>
      <c r="EZ96" s="17" t="s">
        <v>3311</v>
      </c>
      <c r="FA96" s="17">
        <v>0.59340000000000004</v>
      </c>
      <c r="FB96" s="17">
        <v>1.2263999999999999</v>
      </c>
      <c r="FC96" s="17" t="s">
        <v>56</v>
      </c>
      <c r="FD96" s="17" t="s">
        <v>56</v>
      </c>
      <c r="FE96" s="17" t="s">
        <v>56</v>
      </c>
      <c r="FF96" s="17" t="s">
        <v>56</v>
      </c>
      <c r="FG96" s="17" t="s">
        <v>56</v>
      </c>
      <c r="FH96" s="17" t="s">
        <v>56</v>
      </c>
      <c r="FI96" s="17" t="s">
        <v>56</v>
      </c>
      <c r="FJ96" s="17" t="s">
        <v>56</v>
      </c>
      <c r="FK96" s="17" t="s">
        <v>56</v>
      </c>
      <c r="FL96" s="17" t="s">
        <v>56</v>
      </c>
      <c r="FM96" s="17" t="s">
        <v>56</v>
      </c>
      <c r="FN96" s="17" t="s">
        <v>56</v>
      </c>
      <c r="FO96" s="17" t="s">
        <v>56</v>
      </c>
      <c r="FP96" s="17" t="s">
        <v>56</v>
      </c>
      <c r="FQ96" s="17" t="s">
        <v>56</v>
      </c>
      <c r="FR96" s="17" t="s">
        <v>56</v>
      </c>
      <c r="FS96" s="17" t="s">
        <v>56</v>
      </c>
      <c r="FT96" s="17" t="s">
        <v>56</v>
      </c>
      <c r="FU96" s="17">
        <v>194.50995185914601</v>
      </c>
      <c r="FV96" s="17">
        <v>1044.5280017381101</v>
      </c>
      <c r="FW96" s="17" t="s">
        <v>56</v>
      </c>
      <c r="FX96" s="17" t="s">
        <v>56</v>
      </c>
      <c r="FY96" s="17" t="s">
        <v>56</v>
      </c>
      <c r="FZ96" s="17" t="s">
        <v>56</v>
      </c>
      <c r="GA96" s="17" t="s">
        <v>56</v>
      </c>
      <c r="GB96" s="17" t="s">
        <v>56</v>
      </c>
      <c r="GC96" s="17" t="s">
        <v>56</v>
      </c>
      <c r="GD96" s="17" t="s">
        <v>2969</v>
      </c>
      <c r="GE96" s="17" t="s">
        <v>2969</v>
      </c>
      <c r="GF96" s="17" t="s">
        <v>56</v>
      </c>
      <c r="GG96" s="17" t="s">
        <v>2818</v>
      </c>
      <c r="GH96" s="17" t="s">
        <v>2818</v>
      </c>
      <c r="GI96" s="17" t="s">
        <v>1111</v>
      </c>
      <c r="GJ96" s="17" t="s">
        <v>1111</v>
      </c>
      <c r="GK96" s="17" t="s">
        <v>1111</v>
      </c>
      <c r="GL96" s="17"/>
    </row>
    <row r="97" spans="2:194" x14ac:dyDescent="0.25">
      <c r="B97" s="17" t="s">
        <v>2840</v>
      </c>
      <c r="C97" s="17" t="s">
        <v>70</v>
      </c>
      <c r="D97" s="17" t="s">
        <v>3411</v>
      </c>
      <c r="E97" s="17" t="s">
        <v>3412</v>
      </c>
      <c r="F97" s="17" t="s">
        <v>3237</v>
      </c>
      <c r="G97" s="17" t="s">
        <v>3413</v>
      </c>
      <c r="H97" s="17"/>
      <c r="I97" s="17" t="s">
        <v>2797</v>
      </c>
      <c r="J97" s="17" t="s">
        <v>3403</v>
      </c>
      <c r="K97" s="17" t="s">
        <v>2653</v>
      </c>
      <c r="L97" s="17" t="s">
        <v>2800</v>
      </c>
      <c r="M97" s="17" t="s">
        <v>3414</v>
      </c>
      <c r="N97" s="17" t="s">
        <v>1325</v>
      </c>
      <c r="O97" s="17" t="s">
        <v>2813</v>
      </c>
      <c r="P97" s="17" t="s">
        <v>2814</v>
      </c>
      <c r="Q97" s="17" t="s">
        <v>3616</v>
      </c>
      <c r="R97" s="17">
        <v>17897433.710000001</v>
      </c>
      <c r="S97" s="17">
        <v>4974456.4000000004</v>
      </c>
      <c r="T97" s="17">
        <v>18587154.18</v>
      </c>
      <c r="U97" s="17" t="s">
        <v>2817</v>
      </c>
      <c r="V97" s="17" t="s">
        <v>939</v>
      </c>
      <c r="W97" s="17" t="s">
        <v>2816</v>
      </c>
      <c r="X97" s="17" t="s">
        <v>3403</v>
      </c>
      <c r="Y97" s="17" t="s">
        <v>56</v>
      </c>
      <c r="Z97" s="17" t="s">
        <v>3616</v>
      </c>
      <c r="AA97" s="17" t="s">
        <v>2801</v>
      </c>
      <c r="AB97" s="17">
        <v>2.1629</v>
      </c>
      <c r="AC97" s="17" t="s">
        <v>3616</v>
      </c>
      <c r="AD97" s="17" t="s">
        <v>2804</v>
      </c>
      <c r="AE97" s="17">
        <v>319397</v>
      </c>
      <c r="AF97" s="17" t="s">
        <v>2839</v>
      </c>
      <c r="AG97" s="17" t="s">
        <v>3617</v>
      </c>
      <c r="AH97" s="17" t="s">
        <v>2806</v>
      </c>
      <c r="AI97" s="17"/>
      <c r="AJ97" s="17" t="s">
        <v>56</v>
      </c>
      <c r="AK97" s="17" t="s">
        <v>56</v>
      </c>
      <c r="AL97" s="17" t="s">
        <v>56</v>
      </c>
      <c r="AM97" s="17" t="s">
        <v>56</v>
      </c>
      <c r="AN97" s="17" t="s">
        <v>56</v>
      </c>
      <c r="AO97" s="17" t="s">
        <v>56</v>
      </c>
      <c r="AP97" s="17" t="s">
        <v>56</v>
      </c>
      <c r="AQ97" s="17" t="s">
        <v>56</v>
      </c>
      <c r="AR97" s="17" t="s">
        <v>56</v>
      </c>
      <c r="AS97" s="17">
        <v>677.19899999999996</v>
      </c>
      <c r="AT97" s="17">
        <v>82.007599999999996</v>
      </c>
      <c r="AU97" s="17">
        <v>435.83600000000001</v>
      </c>
      <c r="AV97" s="17" t="s">
        <v>56</v>
      </c>
      <c r="AW97" s="17" t="s">
        <v>56</v>
      </c>
      <c r="AX97" s="17" t="s">
        <v>56</v>
      </c>
      <c r="AY97" s="17">
        <v>561.97</v>
      </c>
      <c r="AZ97" s="17">
        <v>68.053600000000003</v>
      </c>
      <c r="BA97" s="17">
        <v>361.67599999999999</v>
      </c>
      <c r="BB97" s="17" t="s">
        <v>56</v>
      </c>
      <c r="BC97" s="17" t="s">
        <v>56</v>
      </c>
      <c r="BD97" s="17" t="s">
        <v>56</v>
      </c>
      <c r="BE97" s="17" t="s">
        <v>56</v>
      </c>
      <c r="BF97" s="17" t="s">
        <v>56</v>
      </c>
      <c r="BG97" s="17" t="s">
        <v>56</v>
      </c>
      <c r="BH97" s="17" t="s">
        <v>56</v>
      </c>
      <c r="BI97" s="17" t="s">
        <v>56</v>
      </c>
      <c r="BJ97" s="17" t="s">
        <v>56</v>
      </c>
      <c r="BK97" s="17" t="s">
        <v>56</v>
      </c>
      <c r="BL97" s="17" t="s">
        <v>56</v>
      </c>
      <c r="BM97" s="17" t="s">
        <v>56</v>
      </c>
      <c r="BN97" s="17" t="s">
        <v>56</v>
      </c>
      <c r="BO97" s="17" t="s">
        <v>56</v>
      </c>
      <c r="BP97" s="17" t="s">
        <v>56</v>
      </c>
      <c r="BQ97" s="17" t="s">
        <v>56</v>
      </c>
      <c r="BR97" s="17" t="s">
        <v>56</v>
      </c>
      <c r="BS97" s="17" t="s">
        <v>56</v>
      </c>
      <c r="BT97" s="17" t="s">
        <v>56</v>
      </c>
      <c r="BU97" s="17" t="s">
        <v>56</v>
      </c>
      <c r="BV97" s="17" t="s">
        <v>56</v>
      </c>
      <c r="BW97" s="17" t="s">
        <v>56</v>
      </c>
      <c r="BX97" s="17" t="s">
        <v>2818</v>
      </c>
      <c r="BY97" s="17" t="s">
        <v>1111</v>
      </c>
      <c r="BZ97" s="17" t="s">
        <v>56</v>
      </c>
      <c r="CA97" s="17" t="s">
        <v>56</v>
      </c>
      <c r="CB97" s="17" t="s">
        <v>1325</v>
      </c>
      <c r="CC97" s="17" t="s">
        <v>1325</v>
      </c>
      <c r="CD97" s="17" t="s">
        <v>1325</v>
      </c>
      <c r="CE97" s="17" t="s">
        <v>1325</v>
      </c>
      <c r="CF97" s="17" t="s">
        <v>1325</v>
      </c>
      <c r="CG97" s="17" t="s">
        <v>1325</v>
      </c>
      <c r="CH97" s="17" t="s">
        <v>1325</v>
      </c>
      <c r="CI97" s="17" t="s">
        <v>1325</v>
      </c>
      <c r="CJ97" s="17" t="s">
        <v>1325</v>
      </c>
      <c r="CK97" s="17" t="s">
        <v>1325</v>
      </c>
      <c r="CL97" s="17" t="s">
        <v>1325</v>
      </c>
      <c r="CM97" s="17" t="s">
        <v>1325</v>
      </c>
      <c r="CN97" s="17" t="s">
        <v>1325</v>
      </c>
      <c r="CO97" s="17" t="s">
        <v>1325</v>
      </c>
      <c r="CP97" s="17" t="s">
        <v>1325</v>
      </c>
      <c r="CQ97" s="17" t="s">
        <v>1325</v>
      </c>
      <c r="CR97" s="17" t="s">
        <v>1325</v>
      </c>
      <c r="CS97" s="17" t="s">
        <v>1325</v>
      </c>
      <c r="CT97" s="17" t="s">
        <v>1325</v>
      </c>
      <c r="CU97" s="17" t="s">
        <v>1325</v>
      </c>
      <c r="CV97" s="17" t="s">
        <v>1325</v>
      </c>
      <c r="CW97" s="17" t="s">
        <v>56</v>
      </c>
      <c r="CX97" s="17" t="s">
        <v>56</v>
      </c>
      <c r="CY97" s="17" t="s">
        <v>56</v>
      </c>
      <c r="CZ97" s="17">
        <v>319397</v>
      </c>
      <c r="DA97" s="17">
        <v>319397</v>
      </c>
      <c r="DB97" s="17">
        <v>319397</v>
      </c>
      <c r="DC97" s="17"/>
      <c r="DD97" s="17"/>
      <c r="DE97" s="17"/>
      <c r="DF97" s="17" t="s">
        <v>3415</v>
      </c>
      <c r="DG97" s="17" t="s">
        <v>3590</v>
      </c>
      <c r="DH97" s="17" t="s">
        <v>3237</v>
      </c>
      <c r="DI97" s="17" t="s">
        <v>3591</v>
      </c>
      <c r="DJ97" s="17" t="s">
        <v>3405</v>
      </c>
      <c r="DK97" s="17" t="s">
        <v>3320</v>
      </c>
      <c r="DL97" s="17" t="s">
        <v>3418</v>
      </c>
      <c r="DM97" s="17">
        <v>2.1250999999999999E-2</v>
      </c>
      <c r="DN97" s="17">
        <v>6787.5</v>
      </c>
      <c r="DO97" s="17">
        <v>0.61461017535856499</v>
      </c>
      <c r="DP97" s="17" t="s">
        <v>3308</v>
      </c>
      <c r="DQ97" s="17" t="s">
        <v>2839</v>
      </c>
      <c r="DR97" s="17" t="s">
        <v>56</v>
      </c>
      <c r="DS97" s="17" t="s">
        <v>56</v>
      </c>
      <c r="DT97" s="17" t="s">
        <v>56</v>
      </c>
      <c r="DU97" s="17" t="s">
        <v>56</v>
      </c>
      <c r="DV97" s="17" t="s">
        <v>2862</v>
      </c>
      <c r="DW97" s="17" t="s">
        <v>3309</v>
      </c>
      <c r="DX97" s="17" t="s">
        <v>3310</v>
      </c>
      <c r="DY97" s="17">
        <v>9.7795896448127796E-3</v>
      </c>
      <c r="DZ97" s="17">
        <v>2.7520410355187201E-2</v>
      </c>
      <c r="EA97" s="17" t="s">
        <v>3311</v>
      </c>
      <c r="EB97" s="17">
        <v>4.0201671797007003E-3</v>
      </c>
      <c r="EC97" s="17">
        <v>7.1798328202993004E-3</v>
      </c>
      <c r="ED97" s="17" t="s">
        <v>56</v>
      </c>
      <c r="EE97" s="17" t="s">
        <v>56</v>
      </c>
      <c r="EF97" s="17" t="s">
        <v>56</v>
      </c>
      <c r="EG97" s="17" t="s">
        <v>2862</v>
      </c>
      <c r="EH97" s="17" t="s">
        <v>3309</v>
      </c>
      <c r="EI97" s="17" t="s">
        <v>3312</v>
      </c>
      <c r="EJ97" s="17">
        <v>1.08477E-2</v>
      </c>
      <c r="EK97" s="17">
        <v>5.8252699999999998E-2</v>
      </c>
      <c r="EL97" s="17" t="s">
        <v>3311</v>
      </c>
      <c r="EM97" s="17">
        <v>4.8999999999999998E-3</v>
      </c>
      <c r="EN97" s="17">
        <v>1.01E-2</v>
      </c>
      <c r="EO97" s="17" t="s">
        <v>3312</v>
      </c>
      <c r="EP97" s="17">
        <v>4.3641500000000004</v>
      </c>
      <c r="EQ97" s="17">
        <v>23.435700000000001</v>
      </c>
      <c r="ER97" s="17" t="s">
        <v>3313</v>
      </c>
      <c r="ES97" s="17">
        <v>0.59340000000000004</v>
      </c>
      <c r="ET97" s="17">
        <v>1.2263999999999999</v>
      </c>
      <c r="EU97" s="17" t="s">
        <v>2862</v>
      </c>
      <c r="EV97" s="17" t="s">
        <v>3309</v>
      </c>
      <c r="EW97" s="17" t="s">
        <v>3312</v>
      </c>
      <c r="EX97" s="17">
        <v>4.3641500000000004</v>
      </c>
      <c r="EY97" s="17">
        <v>23.435700000000001</v>
      </c>
      <c r="EZ97" s="17" t="s">
        <v>3311</v>
      </c>
      <c r="FA97" s="17">
        <v>0.59340000000000004</v>
      </c>
      <c r="FB97" s="17">
        <v>1.2263999999999999</v>
      </c>
      <c r="FC97" s="17" t="s">
        <v>56</v>
      </c>
      <c r="FD97" s="17" t="s">
        <v>56</v>
      </c>
      <c r="FE97" s="17" t="s">
        <v>56</v>
      </c>
      <c r="FF97" s="17" t="s">
        <v>56</v>
      </c>
      <c r="FG97" s="17" t="s">
        <v>56</v>
      </c>
      <c r="FH97" s="17" t="s">
        <v>56</v>
      </c>
      <c r="FI97" s="17" t="s">
        <v>56</v>
      </c>
      <c r="FJ97" s="17" t="s">
        <v>56</v>
      </c>
      <c r="FK97" s="17" t="s">
        <v>56</v>
      </c>
      <c r="FL97" s="17" t="s">
        <v>56</v>
      </c>
      <c r="FM97" s="17" t="s">
        <v>56</v>
      </c>
      <c r="FN97" s="17" t="s">
        <v>56</v>
      </c>
      <c r="FO97" s="17" t="s">
        <v>56</v>
      </c>
      <c r="FP97" s="17" t="s">
        <v>56</v>
      </c>
      <c r="FQ97" s="17" t="s">
        <v>56</v>
      </c>
      <c r="FR97" s="17" t="s">
        <v>56</v>
      </c>
      <c r="FS97" s="17" t="s">
        <v>56</v>
      </c>
      <c r="FT97" s="17" t="s">
        <v>56</v>
      </c>
      <c r="FU97" s="17">
        <v>278.95410363969103</v>
      </c>
      <c r="FV97" s="17">
        <v>1497.9972472689301</v>
      </c>
      <c r="FW97" s="17" t="s">
        <v>56</v>
      </c>
      <c r="FX97" s="17" t="s">
        <v>56</v>
      </c>
      <c r="FY97" s="17" t="s">
        <v>56</v>
      </c>
      <c r="FZ97" s="17" t="s">
        <v>56</v>
      </c>
      <c r="GA97" s="17" t="s">
        <v>56</v>
      </c>
      <c r="GB97" s="17" t="s">
        <v>56</v>
      </c>
      <c r="GC97" s="17" t="s">
        <v>56</v>
      </c>
      <c r="GD97" s="17" t="s">
        <v>2969</v>
      </c>
      <c r="GE97" s="17" t="s">
        <v>2969</v>
      </c>
      <c r="GF97" s="17" t="s">
        <v>56</v>
      </c>
      <c r="GG97" s="17" t="s">
        <v>2818</v>
      </c>
      <c r="GH97" s="17" t="s">
        <v>2818</v>
      </c>
      <c r="GI97" s="17" t="s">
        <v>1111</v>
      </c>
      <c r="GJ97" s="17" t="s">
        <v>1111</v>
      </c>
      <c r="GK97" s="17" t="s">
        <v>1111</v>
      </c>
      <c r="GL97" s="17"/>
    </row>
    <row r="98" spans="2:194" x14ac:dyDescent="0.25">
      <c r="B98" s="17" t="s">
        <v>2840</v>
      </c>
      <c r="C98" s="17" t="s">
        <v>70</v>
      </c>
      <c r="D98" s="17" t="s">
        <v>3411</v>
      </c>
      <c r="E98" s="17" t="s">
        <v>3412</v>
      </c>
      <c r="F98" s="17" t="s">
        <v>3237</v>
      </c>
      <c r="G98" s="17" t="s">
        <v>3413</v>
      </c>
      <c r="H98" s="17"/>
      <c r="I98" s="17" t="s">
        <v>2797</v>
      </c>
      <c r="J98" s="17" t="s">
        <v>3403</v>
      </c>
      <c r="K98" s="17" t="s">
        <v>2653</v>
      </c>
      <c r="L98" s="17" t="s">
        <v>2800</v>
      </c>
      <c r="M98" s="17" t="s">
        <v>3414</v>
      </c>
      <c r="N98" s="17" t="s">
        <v>1325</v>
      </c>
      <c r="O98" s="17" t="s">
        <v>2813</v>
      </c>
      <c r="P98" s="17" t="s">
        <v>2814</v>
      </c>
      <c r="Q98" s="17" t="s">
        <v>3616</v>
      </c>
      <c r="R98" s="17">
        <v>17897433.710000001</v>
      </c>
      <c r="S98" s="17">
        <v>4974456.4000000004</v>
      </c>
      <c r="T98" s="17">
        <v>18587154.18</v>
      </c>
      <c r="U98" s="17" t="s">
        <v>2817</v>
      </c>
      <c r="V98" s="17" t="s">
        <v>939</v>
      </c>
      <c r="W98" s="17" t="s">
        <v>2816</v>
      </c>
      <c r="X98" s="17" t="s">
        <v>3403</v>
      </c>
      <c r="Y98" s="17" t="s">
        <v>56</v>
      </c>
      <c r="Z98" s="17" t="s">
        <v>3616</v>
      </c>
      <c r="AA98" s="17" t="s">
        <v>2801</v>
      </c>
      <c r="AB98" s="17">
        <v>2.1629</v>
      </c>
      <c r="AC98" s="17" t="s">
        <v>3616</v>
      </c>
      <c r="AD98" s="17" t="s">
        <v>2804</v>
      </c>
      <c r="AE98" s="17">
        <v>319397</v>
      </c>
      <c r="AF98" s="17" t="s">
        <v>2839</v>
      </c>
      <c r="AG98" s="17" t="s">
        <v>3617</v>
      </c>
      <c r="AH98" s="17" t="s">
        <v>2806</v>
      </c>
      <c r="AI98" s="17"/>
      <c r="AJ98" s="17" t="s">
        <v>56</v>
      </c>
      <c r="AK98" s="17" t="s">
        <v>56</v>
      </c>
      <c r="AL98" s="17" t="s">
        <v>56</v>
      </c>
      <c r="AM98" s="17" t="s">
        <v>56</v>
      </c>
      <c r="AN98" s="17" t="s">
        <v>56</v>
      </c>
      <c r="AO98" s="17" t="s">
        <v>56</v>
      </c>
      <c r="AP98" s="17" t="s">
        <v>56</v>
      </c>
      <c r="AQ98" s="17" t="s">
        <v>56</v>
      </c>
      <c r="AR98" s="17" t="s">
        <v>56</v>
      </c>
      <c r="AS98" s="17">
        <v>677.19899999999996</v>
      </c>
      <c r="AT98" s="17">
        <v>82.007599999999996</v>
      </c>
      <c r="AU98" s="17">
        <v>435.83600000000001</v>
      </c>
      <c r="AV98" s="17" t="s">
        <v>56</v>
      </c>
      <c r="AW98" s="17" t="s">
        <v>56</v>
      </c>
      <c r="AX98" s="17" t="s">
        <v>56</v>
      </c>
      <c r="AY98" s="17">
        <v>561.97</v>
      </c>
      <c r="AZ98" s="17">
        <v>68.053600000000003</v>
      </c>
      <c r="BA98" s="17">
        <v>361.67599999999999</v>
      </c>
      <c r="BB98" s="17" t="s">
        <v>56</v>
      </c>
      <c r="BC98" s="17" t="s">
        <v>56</v>
      </c>
      <c r="BD98" s="17" t="s">
        <v>56</v>
      </c>
      <c r="BE98" s="17" t="s">
        <v>56</v>
      </c>
      <c r="BF98" s="17" t="s">
        <v>56</v>
      </c>
      <c r="BG98" s="17" t="s">
        <v>56</v>
      </c>
      <c r="BH98" s="17" t="s">
        <v>56</v>
      </c>
      <c r="BI98" s="17" t="s">
        <v>56</v>
      </c>
      <c r="BJ98" s="17" t="s">
        <v>56</v>
      </c>
      <c r="BK98" s="17" t="s">
        <v>56</v>
      </c>
      <c r="BL98" s="17" t="s">
        <v>56</v>
      </c>
      <c r="BM98" s="17" t="s">
        <v>56</v>
      </c>
      <c r="BN98" s="17" t="s">
        <v>56</v>
      </c>
      <c r="BO98" s="17" t="s">
        <v>56</v>
      </c>
      <c r="BP98" s="17" t="s">
        <v>56</v>
      </c>
      <c r="BQ98" s="17" t="s">
        <v>56</v>
      </c>
      <c r="BR98" s="17" t="s">
        <v>56</v>
      </c>
      <c r="BS98" s="17" t="s">
        <v>56</v>
      </c>
      <c r="BT98" s="17" t="s">
        <v>56</v>
      </c>
      <c r="BU98" s="17" t="s">
        <v>56</v>
      </c>
      <c r="BV98" s="17" t="s">
        <v>56</v>
      </c>
      <c r="BW98" s="17" t="s">
        <v>56</v>
      </c>
      <c r="BX98" s="17" t="s">
        <v>2818</v>
      </c>
      <c r="BY98" s="17" t="s">
        <v>1111</v>
      </c>
      <c r="BZ98" s="17" t="s">
        <v>56</v>
      </c>
      <c r="CA98" s="17" t="s">
        <v>56</v>
      </c>
      <c r="CB98" s="17" t="s">
        <v>1325</v>
      </c>
      <c r="CC98" s="17" t="s">
        <v>1325</v>
      </c>
      <c r="CD98" s="17" t="s">
        <v>1325</v>
      </c>
      <c r="CE98" s="17" t="s">
        <v>1325</v>
      </c>
      <c r="CF98" s="17" t="s">
        <v>1325</v>
      </c>
      <c r="CG98" s="17" t="s">
        <v>1325</v>
      </c>
      <c r="CH98" s="17" t="s">
        <v>1325</v>
      </c>
      <c r="CI98" s="17" t="s">
        <v>1325</v>
      </c>
      <c r="CJ98" s="17" t="s">
        <v>1325</v>
      </c>
      <c r="CK98" s="17" t="s">
        <v>1325</v>
      </c>
      <c r="CL98" s="17" t="s">
        <v>1325</v>
      </c>
      <c r="CM98" s="17" t="s">
        <v>1325</v>
      </c>
      <c r="CN98" s="17" t="s">
        <v>1325</v>
      </c>
      <c r="CO98" s="17" t="s">
        <v>1325</v>
      </c>
      <c r="CP98" s="17" t="s">
        <v>1325</v>
      </c>
      <c r="CQ98" s="17" t="s">
        <v>1325</v>
      </c>
      <c r="CR98" s="17" t="s">
        <v>1325</v>
      </c>
      <c r="CS98" s="17" t="s">
        <v>1325</v>
      </c>
      <c r="CT98" s="17" t="s">
        <v>1325</v>
      </c>
      <c r="CU98" s="17" t="s">
        <v>1325</v>
      </c>
      <c r="CV98" s="17" t="s">
        <v>1325</v>
      </c>
      <c r="CW98" s="17" t="s">
        <v>56</v>
      </c>
      <c r="CX98" s="17" t="s">
        <v>56</v>
      </c>
      <c r="CY98" s="17" t="s">
        <v>56</v>
      </c>
      <c r="CZ98" s="17">
        <v>319397</v>
      </c>
      <c r="DA98" s="17">
        <v>319397</v>
      </c>
      <c r="DB98" s="17">
        <v>319397</v>
      </c>
      <c r="DC98" s="17"/>
      <c r="DD98" s="17"/>
      <c r="DE98" s="17"/>
      <c r="DF98" s="17" t="s">
        <v>3415</v>
      </c>
      <c r="DG98" s="17" t="s">
        <v>3592</v>
      </c>
      <c r="DH98" s="17" t="s">
        <v>3237</v>
      </c>
      <c r="DI98" s="17" t="s">
        <v>3593</v>
      </c>
      <c r="DJ98" s="17" t="s">
        <v>3405</v>
      </c>
      <c r="DK98" s="17" t="s">
        <v>3320</v>
      </c>
      <c r="DL98" s="17" t="s">
        <v>3418</v>
      </c>
      <c r="DM98" s="17">
        <v>1.7099999999999999E-3</v>
      </c>
      <c r="DN98" s="17">
        <v>546.20000000000005</v>
      </c>
      <c r="DO98" s="17">
        <v>0.42855562176470502</v>
      </c>
      <c r="DP98" s="17" t="s">
        <v>3308</v>
      </c>
      <c r="DQ98" s="17" t="s">
        <v>2839</v>
      </c>
      <c r="DR98" s="17" t="s">
        <v>56</v>
      </c>
      <c r="DS98" s="17" t="s">
        <v>56</v>
      </c>
      <c r="DT98" s="17" t="s">
        <v>56</v>
      </c>
      <c r="DU98" s="17" t="s">
        <v>56</v>
      </c>
      <c r="DV98" s="17" t="s">
        <v>2862</v>
      </c>
      <c r="DW98" s="17" t="s">
        <v>3309</v>
      </c>
      <c r="DX98" s="17" t="s">
        <v>3310</v>
      </c>
      <c r="DY98" s="17">
        <v>9.7795896448127796E-3</v>
      </c>
      <c r="DZ98" s="17">
        <v>2.7520410355187201E-2</v>
      </c>
      <c r="EA98" s="17" t="s">
        <v>3311</v>
      </c>
      <c r="EB98" s="17">
        <v>4.0201671797007003E-3</v>
      </c>
      <c r="EC98" s="17">
        <v>7.1798328202993004E-3</v>
      </c>
      <c r="ED98" s="17" t="s">
        <v>56</v>
      </c>
      <c r="EE98" s="17" t="s">
        <v>56</v>
      </c>
      <c r="EF98" s="17" t="s">
        <v>56</v>
      </c>
      <c r="EG98" s="17" t="s">
        <v>2862</v>
      </c>
      <c r="EH98" s="17" t="s">
        <v>3309</v>
      </c>
      <c r="EI98" s="17" t="s">
        <v>3312</v>
      </c>
      <c r="EJ98" s="17">
        <v>1.08477E-2</v>
      </c>
      <c r="EK98" s="17">
        <v>5.8252699999999998E-2</v>
      </c>
      <c r="EL98" s="17" t="s">
        <v>3311</v>
      </c>
      <c r="EM98" s="17">
        <v>4.8999999999999998E-3</v>
      </c>
      <c r="EN98" s="17">
        <v>1.01E-2</v>
      </c>
      <c r="EO98" s="17" t="s">
        <v>3312</v>
      </c>
      <c r="EP98" s="17">
        <v>4.3641500000000004</v>
      </c>
      <c r="EQ98" s="17">
        <v>23.435700000000001</v>
      </c>
      <c r="ER98" s="17" t="s">
        <v>3313</v>
      </c>
      <c r="ES98" s="17">
        <v>0.59340000000000004</v>
      </c>
      <c r="ET98" s="17">
        <v>1.2263999999999999</v>
      </c>
      <c r="EU98" s="17" t="s">
        <v>2862</v>
      </c>
      <c r="EV98" s="17" t="s">
        <v>3309</v>
      </c>
      <c r="EW98" s="17" t="s">
        <v>3312</v>
      </c>
      <c r="EX98" s="17">
        <v>4.3641500000000004</v>
      </c>
      <c r="EY98" s="17">
        <v>23.435700000000001</v>
      </c>
      <c r="EZ98" s="17" t="s">
        <v>3311</v>
      </c>
      <c r="FA98" s="17">
        <v>0.59340000000000004</v>
      </c>
      <c r="FB98" s="17">
        <v>1.2263999999999999</v>
      </c>
      <c r="FC98" s="17" t="s">
        <v>56</v>
      </c>
      <c r="FD98" s="17" t="s">
        <v>56</v>
      </c>
      <c r="FE98" s="17" t="s">
        <v>56</v>
      </c>
      <c r="FF98" s="17" t="s">
        <v>56</v>
      </c>
      <c r="FG98" s="17" t="s">
        <v>56</v>
      </c>
      <c r="FH98" s="17" t="s">
        <v>56</v>
      </c>
      <c r="FI98" s="17" t="s">
        <v>56</v>
      </c>
      <c r="FJ98" s="17" t="s">
        <v>56</v>
      </c>
      <c r="FK98" s="17" t="s">
        <v>56</v>
      </c>
      <c r="FL98" s="17" t="s">
        <v>56</v>
      </c>
      <c r="FM98" s="17" t="s">
        <v>56</v>
      </c>
      <c r="FN98" s="17" t="s">
        <v>56</v>
      </c>
      <c r="FO98" s="17" t="s">
        <v>56</v>
      </c>
      <c r="FP98" s="17" t="s">
        <v>56</v>
      </c>
      <c r="FQ98" s="17" t="s">
        <v>56</v>
      </c>
      <c r="FR98" s="17" t="s">
        <v>56</v>
      </c>
      <c r="FS98" s="17" t="s">
        <v>56</v>
      </c>
      <c r="FT98" s="17" t="s">
        <v>56</v>
      </c>
      <c r="FU98" s="17">
        <v>194.50922570997301</v>
      </c>
      <c r="FV98" s="17">
        <v>1044.52410228136</v>
      </c>
      <c r="FW98" s="17" t="s">
        <v>56</v>
      </c>
      <c r="FX98" s="17" t="s">
        <v>56</v>
      </c>
      <c r="FY98" s="17" t="s">
        <v>56</v>
      </c>
      <c r="FZ98" s="17" t="s">
        <v>56</v>
      </c>
      <c r="GA98" s="17" t="s">
        <v>56</v>
      </c>
      <c r="GB98" s="17" t="s">
        <v>56</v>
      </c>
      <c r="GC98" s="17" t="s">
        <v>56</v>
      </c>
      <c r="GD98" s="17" t="s">
        <v>2969</v>
      </c>
      <c r="GE98" s="17" t="s">
        <v>2969</v>
      </c>
      <c r="GF98" s="17" t="s">
        <v>56</v>
      </c>
      <c r="GG98" s="17" t="s">
        <v>2818</v>
      </c>
      <c r="GH98" s="17" t="s">
        <v>2818</v>
      </c>
      <c r="GI98" s="17" t="s">
        <v>1111</v>
      </c>
      <c r="GJ98" s="17" t="s">
        <v>1111</v>
      </c>
      <c r="GK98" s="17" t="s">
        <v>1111</v>
      </c>
      <c r="GL98" s="17"/>
    </row>
    <row r="99" spans="2:194" x14ac:dyDescent="0.25">
      <c r="B99" s="17" t="s">
        <v>2840</v>
      </c>
      <c r="C99" s="17" t="s">
        <v>70</v>
      </c>
      <c r="D99" s="17" t="s">
        <v>3411</v>
      </c>
      <c r="E99" s="17" t="s">
        <v>3412</v>
      </c>
      <c r="F99" s="17" t="s">
        <v>3237</v>
      </c>
      <c r="G99" s="17" t="s">
        <v>3413</v>
      </c>
      <c r="H99" s="17"/>
      <c r="I99" s="17" t="s">
        <v>2797</v>
      </c>
      <c r="J99" s="17" t="s">
        <v>3403</v>
      </c>
      <c r="K99" s="17" t="s">
        <v>2653</v>
      </c>
      <c r="L99" s="17" t="s">
        <v>2800</v>
      </c>
      <c r="M99" s="17" t="s">
        <v>3414</v>
      </c>
      <c r="N99" s="17" t="s">
        <v>1325</v>
      </c>
      <c r="O99" s="17" t="s">
        <v>2813</v>
      </c>
      <c r="P99" s="17" t="s">
        <v>2814</v>
      </c>
      <c r="Q99" s="17" t="s">
        <v>3616</v>
      </c>
      <c r="R99" s="17">
        <v>17897433.710000001</v>
      </c>
      <c r="S99" s="17">
        <v>4974456.4000000004</v>
      </c>
      <c r="T99" s="17">
        <v>18587154.18</v>
      </c>
      <c r="U99" s="17" t="s">
        <v>2817</v>
      </c>
      <c r="V99" s="17" t="s">
        <v>939</v>
      </c>
      <c r="W99" s="17" t="s">
        <v>2816</v>
      </c>
      <c r="X99" s="17" t="s">
        <v>3403</v>
      </c>
      <c r="Y99" s="17" t="s">
        <v>56</v>
      </c>
      <c r="Z99" s="17" t="s">
        <v>3616</v>
      </c>
      <c r="AA99" s="17" t="s">
        <v>2801</v>
      </c>
      <c r="AB99" s="17">
        <v>2.1629</v>
      </c>
      <c r="AC99" s="17" t="s">
        <v>3616</v>
      </c>
      <c r="AD99" s="17" t="s">
        <v>2804</v>
      </c>
      <c r="AE99" s="17">
        <v>319397</v>
      </c>
      <c r="AF99" s="17" t="s">
        <v>2839</v>
      </c>
      <c r="AG99" s="17" t="s">
        <v>3617</v>
      </c>
      <c r="AH99" s="17" t="s">
        <v>2806</v>
      </c>
      <c r="AI99" s="17"/>
      <c r="AJ99" s="17" t="s">
        <v>56</v>
      </c>
      <c r="AK99" s="17" t="s">
        <v>56</v>
      </c>
      <c r="AL99" s="17" t="s">
        <v>56</v>
      </c>
      <c r="AM99" s="17" t="s">
        <v>56</v>
      </c>
      <c r="AN99" s="17" t="s">
        <v>56</v>
      </c>
      <c r="AO99" s="17" t="s">
        <v>56</v>
      </c>
      <c r="AP99" s="17" t="s">
        <v>56</v>
      </c>
      <c r="AQ99" s="17" t="s">
        <v>56</v>
      </c>
      <c r="AR99" s="17" t="s">
        <v>56</v>
      </c>
      <c r="AS99" s="17">
        <v>677.19899999999996</v>
      </c>
      <c r="AT99" s="17">
        <v>82.007599999999996</v>
      </c>
      <c r="AU99" s="17">
        <v>435.83600000000001</v>
      </c>
      <c r="AV99" s="17" t="s">
        <v>56</v>
      </c>
      <c r="AW99" s="17" t="s">
        <v>56</v>
      </c>
      <c r="AX99" s="17" t="s">
        <v>56</v>
      </c>
      <c r="AY99" s="17">
        <v>561.97</v>
      </c>
      <c r="AZ99" s="17">
        <v>68.053600000000003</v>
      </c>
      <c r="BA99" s="17">
        <v>361.67599999999999</v>
      </c>
      <c r="BB99" s="17" t="s">
        <v>56</v>
      </c>
      <c r="BC99" s="17" t="s">
        <v>56</v>
      </c>
      <c r="BD99" s="17" t="s">
        <v>56</v>
      </c>
      <c r="BE99" s="17" t="s">
        <v>56</v>
      </c>
      <c r="BF99" s="17" t="s">
        <v>56</v>
      </c>
      <c r="BG99" s="17" t="s">
        <v>56</v>
      </c>
      <c r="BH99" s="17" t="s">
        <v>56</v>
      </c>
      <c r="BI99" s="17" t="s">
        <v>56</v>
      </c>
      <c r="BJ99" s="17" t="s">
        <v>56</v>
      </c>
      <c r="BK99" s="17" t="s">
        <v>56</v>
      </c>
      <c r="BL99" s="17" t="s">
        <v>56</v>
      </c>
      <c r="BM99" s="17" t="s">
        <v>56</v>
      </c>
      <c r="BN99" s="17" t="s">
        <v>56</v>
      </c>
      <c r="BO99" s="17" t="s">
        <v>56</v>
      </c>
      <c r="BP99" s="17" t="s">
        <v>56</v>
      </c>
      <c r="BQ99" s="17" t="s">
        <v>56</v>
      </c>
      <c r="BR99" s="17" t="s">
        <v>56</v>
      </c>
      <c r="BS99" s="17" t="s">
        <v>56</v>
      </c>
      <c r="BT99" s="17" t="s">
        <v>56</v>
      </c>
      <c r="BU99" s="17" t="s">
        <v>56</v>
      </c>
      <c r="BV99" s="17" t="s">
        <v>56</v>
      </c>
      <c r="BW99" s="17" t="s">
        <v>56</v>
      </c>
      <c r="BX99" s="17" t="s">
        <v>2818</v>
      </c>
      <c r="BY99" s="17" t="s">
        <v>1111</v>
      </c>
      <c r="BZ99" s="17" t="s">
        <v>56</v>
      </c>
      <c r="CA99" s="17" t="s">
        <v>56</v>
      </c>
      <c r="CB99" s="17" t="s">
        <v>1325</v>
      </c>
      <c r="CC99" s="17" t="s">
        <v>1325</v>
      </c>
      <c r="CD99" s="17" t="s">
        <v>1325</v>
      </c>
      <c r="CE99" s="17" t="s">
        <v>1325</v>
      </c>
      <c r="CF99" s="17" t="s">
        <v>1325</v>
      </c>
      <c r="CG99" s="17" t="s">
        <v>1325</v>
      </c>
      <c r="CH99" s="17" t="s">
        <v>1325</v>
      </c>
      <c r="CI99" s="17" t="s">
        <v>1325</v>
      </c>
      <c r="CJ99" s="17" t="s">
        <v>1325</v>
      </c>
      <c r="CK99" s="17" t="s">
        <v>1325</v>
      </c>
      <c r="CL99" s="17" t="s">
        <v>1325</v>
      </c>
      <c r="CM99" s="17" t="s">
        <v>1325</v>
      </c>
      <c r="CN99" s="17" t="s">
        <v>1325</v>
      </c>
      <c r="CO99" s="17" t="s">
        <v>1325</v>
      </c>
      <c r="CP99" s="17" t="s">
        <v>1325</v>
      </c>
      <c r="CQ99" s="17" t="s">
        <v>1325</v>
      </c>
      <c r="CR99" s="17" t="s">
        <v>1325</v>
      </c>
      <c r="CS99" s="17" t="s">
        <v>1325</v>
      </c>
      <c r="CT99" s="17" t="s">
        <v>1325</v>
      </c>
      <c r="CU99" s="17" t="s">
        <v>1325</v>
      </c>
      <c r="CV99" s="17" t="s">
        <v>1325</v>
      </c>
      <c r="CW99" s="17" t="s">
        <v>56</v>
      </c>
      <c r="CX99" s="17" t="s">
        <v>56</v>
      </c>
      <c r="CY99" s="17" t="s">
        <v>56</v>
      </c>
      <c r="CZ99" s="17">
        <v>319397</v>
      </c>
      <c r="DA99" s="17">
        <v>319397</v>
      </c>
      <c r="DB99" s="17">
        <v>319397</v>
      </c>
      <c r="DC99" s="17"/>
      <c r="DD99" s="17"/>
      <c r="DE99" s="17"/>
      <c r="DF99" s="17" t="s">
        <v>3415</v>
      </c>
      <c r="DG99" s="17" t="s">
        <v>3594</v>
      </c>
      <c r="DH99" s="17" t="s">
        <v>3237</v>
      </c>
      <c r="DI99" s="17" t="s">
        <v>3595</v>
      </c>
      <c r="DJ99" s="17" t="s">
        <v>3405</v>
      </c>
      <c r="DK99" s="17" t="s">
        <v>3320</v>
      </c>
      <c r="DL99" s="17" t="s">
        <v>3418</v>
      </c>
      <c r="DM99" s="17">
        <v>1.98E-3</v>
      </c>
      <c r="DN99" s="17">
        <v>632.4</v>
      </c>
      <c r="DO99" s="17">
        <v>0.42855460344173402</v>
      </c>
      <c r="DP99" s="17" t="s">
        <v>3308</v>
      </c>
      <c r="DQ99" s="17" t="s">
        <v>2839</v>
      </c>
      <c r="DR99" s="17" t="s">
        <v>56</v>
      </c>
      <c r="DS99" s="17" t="s">
        <v>56</v>
      </c>
      <c r="DT99" s="17" t="s">
        <v>56</v>
      </c>
      <c r="DU99" s="17" t="s">
        <v>56</v>
      </c>
      <c r="DV99" s="17" t="s">
        <v>2862</v>
      </c>
      <c r="DW99" s="17" t="s">
        <v>3309</v>
      </c>
      <c r="DX99" s="17" t="s">
        <v>3310</v>
      </c>
      <c r="DY99" s="17">
        <v>9.7795896448127796E-3</v>
      </c>
      <c r="DZ99" s="17">
        <v>2.7520410355187201E-2</v>
      </c>
      <c r="EA99" s="17" t="s">
        <v>3311</v>
      </c>
      <c r="EB99" s="17">
        <v>4.0201671797007003E-3</v>
      </c>
      <c r="EC99" s="17">
        <v>7.1798328202993004E-3</v>
      </c>
      <c r="ED99" s="17" t="s">
        <v>56</v>
      </c>
      <c r="EE99" s="17" t="s">
        <v>56</v>
      </c>
      <c r="EF99" s="17" t="s">
        <v>56</v>
      </c>
      <c r="EG99" s="17" t="s">
        <v>2862</v>
      </c>
      <c r="EH99" s="17" t="s">
        <v>3309</v>
      </c>
      <c r="EI99" s="17" t="s">
        <v>3312</v>
      </c>
      <c r="EJ99" s="17">
        <v>1.08477E-2</v>
      </c>
      <c r="EK99" s="17">
        <v>5.8252699999999998E-2</v>
      </c>
      <c r="EL99" s="17" t="s">
        <v>3311</v>
      </c>
      <c r="EM99" s="17">
        <v>4.8999999999999998E-3</v>
      </c>
      <c r="EN99" s="17">
        <v>1.01E-2</v>
      </c>
      <c r="EO99" s="17" t="s">
        <v>3312</v>
      </c>
      <c r="EP99" s="17">
        <v>4.3641500000000004</v>
      </c>
      <c r="EQ99" s="17">
        <v>23.435700000000001</v>
      </c>
      <c r="ER99" s="17" t="s">
        <v>3313</v>
      </c>
      <c r="ES99" s="17">
        <v>0.59340000000000004</v>
      </c>
      <c r="ET99" s="17">
        <v>1.2263999999999999</v>
      </c>
      <c r="EU99" s="17" t="s">
        <v>2862</v>
      </c>
      <c r="EV99" s="17" t="s">
        <v>3309</v>
      </c>
      <c r="EW99" s="17" t="s">
        <v>3312</v>
      </c>
      <c r="EX99" s="17">
        <v>4.3641500000000004</v>
      </c>
      <c r="EY99" s="17">
        <v>23.435700000000001</v>
      </c>
      <c r="EZ99" s="17" t="s">
        <v>3311</v>
      </c>
      <c r="FA99" s="17">
        <v>0.59340000000000004</v>
      </c>
      <c r="FB99" s="17">
        <v>1.2263999999999999</v>
      </c>
      <c r="FC99" s="17" t="s">
        <v>56</v>
      </c>
      <c r="FD99" s="17" t="s">
        <v>56</v>
      </c>
      <c r="FE99" s="17" t="s">
        <v>56</v>
      </c>
      <c r="FF99" s="17" t="s">
        <v>56</v>
      </c>
      <c r="FG99" s="17" t="s">
        <v>56</v>
      </c>
      <c r="FH99" s="17" t="s">
        <v>56</v>
      </c>
      <c r="FI99" s="17" t="s">
        <v>56</v>
      </c>
      <c r="FJ99" s="17" t="s">
        <v>56</v>
      </c>
      <c r="FK99" s="17" t="s">
        <v>56</v>
      </c>
      <c r="FL99" s="17" t="s">
        <v>56</v>
      </c>
      <c r="FM99" s="17" t="s">
        <v>56</v>
      </c>
      <c r="FN99" s="17" t="s">
        <v>56</v>
      </c>
      <c r="FO99" s="17" t="s">
        <v>56</v>
      </c>
      <c r="FP99" s="17" t="s">
        <v>56</v>
      </c>
      <c r="FQ99" s="17" t="s">
        <v>56</v>
      </c>
      <c r="FR99" s="17" t="s">
        <v>56</v>
      </c>
      <c r="FS99" s="17" t="s">
        <v>56</v>
      </c>
      <c r="FT99" s="17" t="s">
        <v>56</v>
      </c>
      <c r="FU99" s="17">
        <v>194.50876353252301</v>
      </c>
      <c r="FV99" s="17">
        <v>1044.5216203657401</v>
      </c>
      <c r="FW99" s="17" t="s">
        <v>56</v>
      </c>
      <c r="FX99" s="17" t="s">
        <v>56</v>
      </c>
      <c r="FY99" s="17" t="s">
        <v>56</v>
      </c>
      <c r="FZ99" s="17" t="s">
        <v>56</v>
      </c>
      <c r="GA99" s="17" t="s">
        <v>56</v>
      </c>
      <c r="GB99" s="17" t="s">
        <v>56</v>
      </c>
      <c r="GC99" s="17" t="s">
        <v>56</v>
      </c>
      <c r="GD99" s="17" t="s">
        <v>2969</v>
      </c>
      <c r="GE99" s="17" t="s">
        <v>2969</v>
      </c>
      <c r="GF99" s="17" t="s">
        <v>56</v>
      </c>
      <c r="GG99" s="17" t="s">
        <v>2818</v>
      </c>
      <c r="GH99" s="17" t="s">
        <v>2818</v>
      </c>
      <c r="GI99" s="17" t="s">
        <v>1111</v>
      </c>
      <c r="GJ99" s="17" t="s">
        <v>1111</v>
      </c>
      <c r="GK99" s="17" t="s">
        <v>1111</v>
      </c>
      <c r="GL99" s="17"/>
    </row>
    <row r="100" spans="2:194" x14ac:dyDescent="0.25">
      <c r="B100" s="17" t="s">
        <v>2840</v>
      </c>
      <c r="C100" s="17" t="s">
        <v>70</v>
      </c>
      <c r="D100" s="17" t="s">
        <v>3411</v>
      </c>
      <c r="E100" s="17" t="s">
        <v>3412</v>
      </c>
      <c r="F100" s="17" t="s">
        <v>3237</v>
      </c>
      <c r="G100" s="17" t="s">
        <v>3413</v>
      </c>
      <c r="H100" s="17"/>
      <c r="I100" s="17" t="s">
        <v>2797</v>
      </c>
      <c r="J100" s="17" t="s">
        <v>3403</v>
      </c>
      <c r="K100" s="17" t="s">
        <v>2653</v>
      </c>
      <c r="L100" s="17" t="s">
        <v>2800</v>
      </c>
      <c r="M100" s="17" t="s">
        <v>3414</v>
      </c>
      <c r="N100" s="17" t="s">
        <v>1325</v>
      </c>
      <c r="O100" s="17" t="s">
        <v>2813</v>
      </c>
      <c r="P100" s="17" t="s">
        <v>2814</v>
      </c>
      <c r="Q100" s="17" t="s">
        <v>3616</v>
      </c>
      <c r="R100" s="17">
        <v>17897433.710000001</v>
      </c>
      <c r="S100" s="17">
        <v>4974456.4000000004</v>
      </c>
      <c r="T100" s="17">
        <v>18587154.18</v>
      </c>
      <c r="U100" s="17" t="s">
        <v>2817</v>
      </c>
      <c r="V100" s="17" t="s">
        <v>939</v>
      </c>
      <c r="W100" s="17" t="s">
        <v>2816</v>
      </c>
      <c r="X100" s="17" t="s">
        <v>3403</v>
      </c>
      <c r="Y100" s="17" t="s">
        <v>56</v>
      </c>
      <c r="Z100" s="17" t="s">
        <v>3616</v>
      </c>
      <c r="AA100" s="17" t="s">
        <v>2801</v>
      </c>
      <c r="AB100" s="17">
        <v>2.1629</v>
      </c>
      <c r="AC100" s="17" t="s">
        <v>3616</v>
      </c>
      <c r="AD100" s="17" t="s">
        <v>2804</v>
      </c>
      <c r="AE100" s="17">
        <v>319397</v>
      </c>
      <c r="AF100" s="17" t="s">
        <v>2839</v>
      </c>
      <c r="AG100" s="17" t="s">
        <v>3617</v>
      </c>
      <c r="AH100" s="17" t="s">
        <v>2806</v>
      </c>
      <c r="AI100" s="17"/>
      <c r="AJ100" s="17" t="s">
        <v>56</v>
      </c>
      <c r="AK100" s="17" t="s">
        <v>56</v>
      </c>
      <c r="AL100" s="17" t="s">
        <v>56</v>
      </c>
      <c r="AM100" s="17" t="s">
        <v>56</v>
      </c>
      <c r="AN100" s="17" t="s">
        <v>56</v>
      </c>
      <c r="AO100" s="17" t="s">
        <v>56</v>
      </c>
      <c r="AP100" s="17" t="s">
        <v>56</v>
      </c>
      <c r="AQ100" s="17" t="s">
        <v>56</v>
      </c>
      <c r="AR100" s="17" t="s">
        <v>56</v>
      </c>
      <c r="AS100" s="17">
        <v>677.19899999999996</v>
      </c>
      <c r="AT100" s="17">
        <v>82.007599999999996</v>
      </c>
      <c r="AU100" s="17">
        <v>435.83600000000001</v>
      </c>
      <c r="AV100" s="17" t="s">
        <v>56</v>
      </c>
      <c r="AW100" s="17" t="s">
        <v>56</v>
      </c>
      <c r="AX100" s="17" t="s">
        <v>56</v>
      </c>
      <c r="AY100" s="17">
        <v>561.97</v>
      </c>
      <c r="AZ100" s="17">
        <v>68.053600000000003</v>
      </c>
      <c r="BA100" s="17">
        <v>361.67599999999999</v>
      </c>
      <c r="BB100" s="17" t="s">
        <v>56</v>
      </c>
      <c r="BC100" s="17" t="s">
        <v>56</v>
      </c>
      <c r="BD100" s="17" t="s">
        <v>56</v>
      </c>
      <c r="BE100" s="17" t="s">
        <v>56</v>
      </c>
      <c r="BF100" s="17" t="s">
        <v>56</v>
      </c>
      <c r="BG100" s="17" t="s">
        <v>56</v>
      </c>
      <c r="BH100" s="17" t="s">
        <v>56</v>
      </c>
      <c r="BI100" s="17" t="s">
        <v>56</v>
      </c>
      <c r="BJ100" s="17" t="s">
        <v>56</v>
      </c>
      <c r="BK100" s="17" t="s">
        <v>56</v>
      </c>
      <c r="BL100" s="17" t="s">
        <v>56</v>
      </c>
      <c r="BM100" s="17" t="s">
        <v>56</v>
      </c>
      <c r="BN100" s="17" t="s">
        <v>56</v>
      </c>
      <c r="BO100" s="17" t="s">
        <v>56</v>
      </c>
      <c r="BP100" s="17" t="s">
        <v>56</v>
      </c>
      <c r="BQ100" s="17" t="s">
        <v>56</v>
      </c>
      <c r="BR100" s="17" t="s">
        <v>56</v>
      </c>
      <c r="BS100" s="17" t="s">
        <v>56</v>
      </c>
      <c r="BT100" s="17" t="s">
        <v>56</v>
      </c>
      <c r="BU100" s="17" t="s">
        <v>56</v>
      </c>
      <c r="BV100" s="17" t="s">
        <v>56</v>
      </c>
      <c r="BW100" s="17" t="s">
        <v>56</v>
      </c>
      <c r="BX100" s="17" t="s">
        <v>2818</v>
      </c>
      <c r="BY100" s="17" t="s">
        <v>1111</v>
      </c>
      <c r="BZ100" s="17" t="s">
        <v>56</v>
      </c>
      <c r="CA100" s="17" t="s">
        <v>56</v>
      </c>
      <c r="CB100" s="17" t="s">
        <v>1325</v>
      </c>
      <c r="CC100" s="17" t="s">
        <v>1325</v>
      </c>
      <c r="CD100" s="17" t="s">
        <v>1325</v>
      </c>
      <c r="CE100" s="17" t="s">
        <v>1325</v>
      </c>
      <c r="CF100" s="17" t="s">
        <v>1325</v>
      </c>
      <c r="CG100" s="17" t="s">
        <v>1325</v>
      </c>
      <c r="CH100" s="17" t="s">
        <v>1325</v>
      </c>
      <c r="CI100" s="17" t="s">
        <v>1325</v>
      </c>
      <c r="CJ100" s="17" t="s">
        <v>1325</v>
      </c>
      <c r="CK100" s="17" t="s">
        <v>1325</v>
      </c>
      <c r="CL100" s="17" t="s">
        <v>1325</v>
      </c>
      <c r="CM100" s="17" t="s">
        <v>1325</v>
      </c>
      <c r="CN100" s="17" t="s">
        <v>1325</v>
      </c>
      <c r="CO100" s="17" t="s">
        <v>1325</v>
      </c>
      <c r="CP100" s="17" t="s">
        <v>1325</v>
      </c>
      <c r="CQ100" s="17" t="s">
        <v>1325</v>
      </c>
      <c r="CR100" s="17" t="s">
        <v>1325</v>
      </c>
      <c r="CS100" s="17" t="s">
        <v>1325</v>
      </c>
      <c r="CT100" s="17" t="s">
        <v>1325</v>
      </c>
      <c r="CU100" s="17" t="s">
        <v>1325</v>
      </c>
      <c r="CV100" s="17" t="s">
        <v>1325</v>
      </c>
      <c r="CW100" s="17" t="s">
        <v>56</v>
      </c>
      <c r="CX100" s="17" t="s">
        <v>56</v>
      </c>
      <c r="CY100" s="17" t="s">
        <v>56</v>
      </c>
      <c r="CZ100" s="17">
        <v>319397</v>
      </c>
      <c r="DA100" s="17">
        <v>319397</v>
      </c>
      <c r="DB100" s="17">
        <v>319397</v>
      </c>
      <c r="DC100" s="17"/>
      <c r="DD100" s="17"/>
      <c r="DE100" s="17"/>
      <c r="DF100" s="17" t="s">
        <v>3415</v>
      </c>
      <c r="DG100" s="17" t="s">
        <v>3596</v>
      </c>
      <c r="DH100" s="17" t="s">
        <v>3237</v>
      </c>
      <c r="DI100" s="17" t="s">
        <v>3597</v>
      </c>
      <c r="DJ100" s="17" t="s">
        <v>3405</v>
      </c>
      <c r="DK100" s="17" t="s">
        <v>3320</v>
      </c>
      <c r="DL100" s="17" t="s">
        <v>3418</v>
      </c>
      <c r="DM100" s="17">
        <v>8.4370000000000001E-3</v>
      </c>
      <c r="DN100" s="17">
        <v>2694.8</v>
      </c>
      <c r="DO100" s="17">
        <v>0.42855783282760801</v>
      </c>
      <c r="DP100" s="17" t="s">
        <v>3308</v>
      </c>
      <c r="DQ100" s="17" t="s">
        <v>2839</v>
      </c>
      <c r="DR100" s="17" t="s">
        <v>56</v>
      </c>
      <c r="DS100" s="17" t="s">
        <v>56</v>
      </c>
      <c r="DT100" s="17" t="s">
        <v>56</v>
      </c>
      <c r="DU100" s="17" t="s">
        <v>56</v>
      </c>
      <c r="DV100" s="17" t="s">
        <v>2862</v>
      </c>
      <c r="DW100" s="17" t="s">
        <v>3309</v>
      </c>
      <c r="DX100" s="17" t="s">
        <v>3310</v>
      </c>
      <c r="DY100" s="17">
        <v>9.7795896448127796E-3</v>
      </c>
      <c r="DZ100" s="17">
        <v>2.7520410355187201E-2</v>
      </c>
      <c r="EA100" s="17" t="s">
        <v>3311</v>
      </c>
      <c r="EB100" s="17">
        <v>4.0201671797007003E-3</v>
      </c>
      <c r="EC100" s="17">
        <v>7.1798328202993004E-3</v>
      </c>
      <c r="ED100" s="17" t="s">
        <v>56</v>
      </c>
      <c r="EE100" s="17" t="s">
        <v>56</v>
      </c>
      <c r="EF100" s="17" t="s">
        <v>56</v>
      </c>
      <c r="EG100" s="17" t="s">
        <v>2862</v>
      </c>
      <c r="EH100" s="17" t="s">
        <v>3309</v>
      </c>
      <c r="EI100" s="17" t="s">
        <v>3312</v>
      </c>
      <c r="EJ100" s="17">
        <v>1.08477E-2</v>
      </c>
      <c r="EK100" s="17">
        <v>5.8252699999999998E-2</v>
      </c>
      <c r="EL100" s="17" t="s">
        <v>3311</v>
      </c>
      <c r="EM100" s="17">
        <v>4.8999999999999998E-3</v>
      </c>
      <c r="EN100" s="17">
        <v>1.01E-2</v>
      </c>
      <c r="EO100" s="17" t="s">
        <v>3312</v>
      </c>
      <c r="EP100" s="17">
        <v>4.3641500000000004</v>
      </c>
      <c r="EQ100" s="17">
        <v>23.435700000000001</v>
      </c>
      <c r="ER100" s="17" t="s">
        <v>3313</v>
      </c>
      <c r="ES100" s="17">
        <v>0.59340000000000004</v>
      </c>
      <c r="ET100" s="17">
        <v>1.2263999999999999</v>
      </c>
      <c r="EU100" s="17" t="s">
        <v>2862</v>
      </c>
      <c r="EV100" s="17" t="s">
        <v>3309</v>
      </c>
      <c r="EW100" s="17" t="s">
        <v>3312</v>
      </c>
      <c r="EX100" s="17">
        <v>4.3641500000000004</v>
      </c>
      <c r="EY100" s="17">
        <v>23.435700000000001</v>
      </c>
      <c r="EZ100" s="17" t="s">
        <v>3311</v>
      </c>
      <c r="FA100" s="17">
        <v>0.59340000000000004</v>
      </c>
      <c r="FB100" s="17">
        <v>1.2263999999999999</v>
      </c>
      <c r="FC100" s="17" t="s">
        <v>56</v>
      </c>
      <c r="FD100" s="17" t="s">
        <v>56</v>
      </c>
      <c r="FE100" s="17" t="s">
        <v>56</v>
      </c>
      <c r="FF100" s="17" t="s">
        <v>56</v>
      </c>
      <c r="FG100" s="17" t="s">
        <v>56</v>
      </c>
      <c r="FH100" s="17" t="s">
        <v>56</v>
      </c>
      <c r="FI100" s="17" t="s">
        <v>56</v>
      </c>
      <c r="FJ100" s="17" t="s">
        <v>56</v>
      </c>
      <c r="FK100" s="17" t="s">
        <v>56</v>
      </c>
      <c r="FL100" s="17" t="s">
        <v>56</v>
      </c>
      <c r="FM100" s="17" t="s">
        <v>56</v>
      </c>
      <c r="FN100" s="17" t="s">
        <v>56</v>
      </c>
      <c r="FO100" s="17" t="s">
        <v>56</v>
      </c>
      <c r="FP100" s="17" t="s">
        <v>56</v>
      </c>
      <c r="FQ100" s="17" t="s">
        <v>56</v>
      </c>
      <c r="FR100" s="17" t="s">
        <v>56</v>
      </c>
      <c r="FS100" s="17" t="s">
        <v>56</v>
      </c>
      <c r="FT100" s="17" t="s">
        <v>56</v>
      </c>
      <c r="FU100" s="17">
        <v>194.51022926546801</v>
      </c>
      <c r="FV100" s="17">
        <v>1044.5294914236999</v>
      </c>
      <c r="FW100" s="17" t="s">
        <v>56</v>
      </c>
      <c r="FX100" s="17" t="s">
        <v>56</v>
      </c>
      <c r="FY100" s="17" t="s">
        <v>56</v>
      </c>
      <c r="FZ100" s="17" t="s">
        <v>56</v>
      </c>
      <c r="GA100" s="17" t="s">
        <v>56</v>
      </c>
      <c r="GB100" s="17" t="s">
        <v>56</v>
      </c>
      <c r="GC100" s="17" t="s">
        <v>56</v>
      </c>
      <c r="GD100" s="17" t="s">
        <v>2969</v>
      </c>
      <c r="GE100" s="17" t="s">
        <v>2969</v>
      </c>
      <c r="GF100" s="17" t="s">
        <v>56</v>
      </c>
      <c r="GG100" s="17" t="s">
        <v>2818</v>
      </c>
      <c r="GH100" s="17" t="s">
        <v>2818</v>
      </c>
      <c r="GI100" s="17" t="s">
        <v>1111</v>
      </c>
      <c r="GJ100" s="17" t="s">
        <v>1111</v>
      </c>
      <c r="GK100" s="17" t="s">
        <v>1111</v>
      </c>
      <c r="GL100" s="17"/>
    </row>
    <row r="101" spans="2:194" x14ac:dyDescent="0.25">
      <c r="B101" s="17" t="s">
        <v>2840</v>
      </c>
      <c r="C101" s="17" t="s">
        <v>70</v>
      </c>
      <c r="D101" s="17" t="s">
        <v>3411</v>
      </c>
      <c r="E101" s="17" t="s">
        <v>3412</v>
      </c>
      <c r="F101" s="17" t="s">
        <v>3237</v>
      </c>
      <c r="G101" s="17" t="s">
        <v>3413</v>
      </c>
      <c r="H101" s="17"/>
      <c r="I101" s="17" t="s">
        <v>2797</v>
      </c>
      <c r="J101" s="17" t="s">
        <v>3403</v>
      </c>
      <c r="K101" s="17" t="s">
        <v>2653</v>
      </c>
      <c r="L101" s="17" t="s">
        <v>2800</v>
      </c>
      <c r="M101" s="17" t="s">
        <v>3414</v>
      </c>
      <c r="N101" s="17" t="s">
        <v>1325</v>
      </c>
      <c r="O101" s="17" t="s">
        <v>2813</v>
      </c>
      <c r="P101" s="17" t="s">
        <v>2814</v>
      </c>
      <c r="Q101" s="17" t="s">
        <v>3616</v>
      </c>
      <c r="R101" s="17">
        <v>17897433.710000001</v>
      </c>
      <c r="S101" s="17">
        <v>4974456.4000000004</v>
      </c>
      <c r="T101" s="17">
        <v>18587154.18</v>
      </c>
      <c r="U101" s="17" t="s">
        <v>2817</v>
      </c>
      <c r="V101" s="17" t="s">
        <v>939</v>
      </c>
      <c r="W101" s="17" t="s">
        <v>2816</v>
      </c>
      <c r="X101" s="17" t="s">
        <v>3403</v>
      </c>
      <c r="Y101" s="17" t="s">
        <v>56</v>
      </c>
      <c r="Z101" s="17" t="s">
        <v>3616</v>
      </c>
      <c r="AA101" s="17" t="s">
        <v>2801</v>
      </c>
      <c r="AB101" s="17">
        <v>2.1629</v>
      </c>
      <c r="AC101" s="17" t="s">
        <v>3616</v>
      </c>
      <c r="AD101" s="17" t="s">
        <v>2804</v>
      </c>
      <c r="AE101" s="17">
        <v>319397</v>
      </c>
      <c r="AF101" s="17" t="s">
        <v>2839</v>
      </c>
      <c r="AG101" s="17" t="s">
        <v>3617</v>
      </c>
      <c r="AH101" s="17" t="s">
        <v>2806</v>
      </c>
      <c r="AI101" s="17"/>
      <c r="AJ101" s="17" t="s">
        <v>56</v>
      </c>
      <c r="AK101" s="17" t="s">
        <v>56</v>
      </c>
      <c r="AL101" s="17" t="s">
        <v>56</v>
      </c>
      <c r="AM101" s="17" t="s">
        <v>56</v>
      </c>
      <c r="AN101" s="17" t="s">
        <v>56</v>
      </c>
      <c r="AO101" s="17" t="s">
        <v>56</v>
      </c>
      <c r="AP101" s="17" t="s">
        <v>56</v>
      </c>
      <c r="AQ101" s="17" t="s">
        <v>56</v>
      </c>
      <c r="AR101" s="17" t="s">
        <v>56</v>
      </c>
      <c r="AS101" s="17">
        <v>677.19899999999996</v>
      </c>
      <c r="AT101" s="17">
        <v>82.007599999999996</v>
      </c>
      <c r="AU101" s="17">
        <v>435.83600000000001</v>
      </c>
      <c r="AV101" s="17" t="s">
        <v>56</v>
      </c>
      <c r="AW101" s="17" t="s">
        <v>56</v>
      </c>
      <c r="AX101" s="17" t="s">
        <v>56</v>
      </c>
      <c r="AY101" s="17">
        <v>561.97</v>
      </c>
      <c r="AZ101" s="17">
        <v>68.053600000000003</v>
      </c>
      <c r="BA101" s="17">
        <v>361.67599999999999</v>
      </c>
      <c r="BB101" s="17" t="s">
        <v>56</v>
      </c>
      <c r="BC101" s="17" t="s">
        <v>56</v>
      </c>
      <c r="BD101" s="17" t="s">
        <v>56</v>
      </c>
      <c r="BE101" s="17" t="s">
        <v>56</v>
      </c>
      <c r="BF101" s="17" t="s">
        <v>56</v>
      </c>
      <c r="BG101" s="17" t="s">
        <v>56</v>
      </c>
      <c r="BH101" s="17" t="s">
        <v>56</v>
      </c>
      <c r="BI101" s="17" t="s">
        <v>56</v>
      </c>
      <c r="BJ101" s="17" t="s">
        <v>56</v>
      </c>
      <c r="BK101" s="17" t="s">
        <v>56</v>
      </c>
      <c r="BL101" s="17" t="s">
        <v>56</v>
      </c>
      <c r="BM101" s="17" t="s">
        <v>56</v>
      </c>
      <c r="BN101" s="17" t="s">
        <v>56</v>
      </c>
      <c r="BO101" s="17" t="s">
        <v>56</v>
      </c>
      <c r="BP101" s="17" t="s">
        <v>56</v>
      </c>
      <c r="BQ101" s="17" t="s">
        <v>56</v>
      </c>
      <c r="BR101" s="17" t="s">
        <v>56</v>
      </c>
      <c r="BS101" s="17" t="s">
        <v>56</v>
      </c>
      <c r="BT101" s="17" t="s">
        <v>56</v>
      </c>
      <c r="BU101" s="17" t="s">
        <v>56</v>
      </c>
      <c r="BV101" s="17" t="s">
        <v>56</v>
      </c>
      <c r="BW101" s="17" t="s">
        <v>56</v>
      </c>
      <c r="BX101" s="17" t="s">
        <v>2818</v>
      </c>
      <c r="BY101" s="17" t="s">
        <v>1111</v>
      </c>
      <c r="BZ101" s="17" t="s">
        <v>56</v>
      </c>
      <c r="CA101" s="17" t="s">
        <v>56</v>
      </c>
      <c r="CB101" s="17" t="s">
        <v>1325</v>
      </c>
      <c r="CC101" s="17" t="s">
        <v>1325</v>
      </c>
      <c r="CD101" s="17" t="s">
        <v>1325</v>
      </c>
      <c r="CE101" s="17" t="s">
        <v>1325</v>
      </c>
      <c r="CF101" s="17" t="s">
        <v>1325</v>
      </c>
      <c r="CG101" s="17" t="s">
        <v>1325</v>
      </c>
      <c r="CH101" s="17" t="s">
        <v>1325</v>
      </c>
      <c r="CI101" s="17" t="s">
        <v>1325</v>
      </c>
      <c r="CJ101" s="17" t="s">
        <v>1325</v>
      </c>
      <c r="CK101" s="17" t="s">
        <v>1325</v>
      </c>
      <c r="CL101" s="17" t="s">
        <v>1325</v>
      </c>
      <c r="CM101" s="17" t="s">
        <v>1325</v>
      </c>
      <c r="CN101" s="17" t="s">
        <v>1325</v>
      </c>
      <c r="CO101" s="17" t="s">
        <v>1325</v>
      </c>
      <c r="CP101" s="17" t="s">
        <v>1325</v>
      </c>
      <c r="CQ101" s="17" t="s">
        <v>1325</v>
      </c>
      <c r="CR101" s="17" t="s">
        <v>1325</v>
      </c>
      <c r="CS101" s="17" t="s">
        <v>1325</v>
      </c>
      <c r="CT101" s="17" t="s">
        <v>1325</v>
      </c>
      <c r="CU101" s="17" t="s">
        <v>1325</v>
      </c>
      <c r="CV101" s="17" t="s">
        <v>1325</v>
      </c>
      <c r="CW101" s="17" t="s">
        <v>56</v>
      </c>
      <c r="CX101" s="17" t="s">
        <v>56</v>
      </c>
      <c r="CY101" s="17" t="s">
        <v>56</v>
      </c>
      <c r="CZ101" s="17">
        <v>319397</v>
      </c>
      <c r="DA101" s="17">
        <v>319397</v>
      </c>
      <c r="DB101" s="17">
        <v>319397</v>
      </c>
      <c r="DC101" s="17"/>
      <c r="DD101" s="17"/>
      <c r="DE101" s="17"/>
      <c r="DF101" s="17" t="s">
        <v>3415</v>
      </c>
      <c r="DG101" s="17" t="s">
        <v>3598</v>
      </c>
      <c r="DH101" s="17" t="s">
        <v>3237</v>
      </c>
      <c r="DI101" s="17" t="s">
        <v>3599</v>
      </c>
      <c r="DJ101" s="17" t="s">
        <v>3405</v>
      </c>
      <c r="DK101" s="17" t="s">
        <v>3320</v>
      </c>
      <c r="DL101" s="17" t="s">
        <v>3418</v>
      </c>
      <c r="DM101" s="17">
        <v>7.5290000000000001E-3</v>
      </c>
      <c r="DN101" s="17">
        <v>2404.6999999999998</v>
      </c>
      <c r="DO101" s="17">
        <v>0.61460945179401905</v>
      </c>
      <c r="DP101" s="17" t="s">
        <v>3308</v>
      </c>
      <c r="DQ101" s="17" t="s">
        <v>2839</v>
      </c>
      <c r="DR101" s="17" t="s">
        <v>56</v>
      </c>
      <c r="DS101" s="17" t="s">
        <v>56</v>
      </c>
      <c r="DT101" s="17" t="s">
        <v>56</v>
      </c>
      <c r="DU101" s="17" t="s">
        <v>56</v>
      </c>
      <c r="DV101" s="17" t="s">
        <v>2862</v>
      </c>
      <c r="DW101" s="17" t="s">
        <v>3309</v>
      </c>
      <c r="DX101" s="17" t="s">
        <v>3310</v>
      </c>
      <c r="DY101" s="17">
        <v>9.7795896448127796E-3</v>
      </c>
      <c r="DZ101" s="17">
        <v>2.7520410355187201E-2</v>
      </c>
      <c r="EA101" s="17" t="s">
        <v>3311</v>
      </c>
      <c r="EB101" s="17">
        <v>4.0201671797007003E-3</v>
      </c>
      <c r="EC101" s="17">
        <v>7.1798328202993004E-3</v>
      </c>
      <c r="ED101" s="17" t="s">
        <v>56</v>
      </c>
      <c r="EE101" s="17" t="s">
        <v>56</v>
      </c>
      <c r="EF101" s="17" t="s">
        <v>56</v>
      </c>
      <c r="EG101" s="17" t="s">
        <v>2862</v>
      </c>
      <c r="EH101" s="17" t="s">
        <v>3309</v>
      </c>
      <c r="EI101" s="17" t="s">
        <v>3312</v>
      </c>
      <c r="EJ101" s="17">
        <v>1.08477E-2</v>
      </c>
      <c r="EK101" s="17">
        <v>5.8252699999999998E-2</v>
      </c>
      <c r="EL101" s="17" t="s">
        <v>3311</v>
      </c>
      <c r="EM101" s="17">
        <v>4.8999999999999998E-3</v>
      </c>
      <c r="EN101" s="17">
        <v>1.01E-2</v>
      </c>
      <c r="EO101" s="17" t="s">
        <v>3312</v>
      </c>
      <c r="EP101" s="17">
        <v>4.3641500000000004</v>
      </c>
      <c r="EQ101" s="17">
        <v>23.435700000000001</v>
      </c>
      <c r="ER101" s="17" t="s">
        <v>3313</v>
      </c>
      <c r="ES101" s="17">
        <v>0.59340000000000004</v>
      </c>
      <c r="ET101" s="17">
        <v>1.2263999999999999</v>
      </c>
      <c r="EU101" s="17" t="s">
        <v>2862</v>
      </c>
      <c r="EV101" s="17" t="s">
        <v>3309</v>
      </c>
      <c r="EW101" s="17" t="s">
        <v>3312</v>
      </c>
      <c r="EX101" s="17">
        <v>4.3641500000000004</v>
      </c>
      <c r="EY101" s="17">
        <v>23.435700000000001</v>
      </c>
      <c r="EZ101" s="17" t="s">
        <v>3311</v>
      </c>
      <c r="FA101" s="17">
        <v>0.59340000000000004</v>
      </c>
      <c r="FB101" s="17">
        <v>1.2263999999999999</v>
      </c>
      <c r="FC101" s="17" t="s">
        <v>56</v>
      </c>
      <c r="FD101" s="17" t="s">
        <v>56</v>
      </c>
      <c r="FE101" s="17" t="s">
        <v>56</v>
      </c>
      <c r="FF101" s="17" t="s">
        <v>56</v>
      </c>
      <c r="FG101" s="17" t="s">
        <v>56</v>
      </c>
      <c r="FH101" s="17" t="s">
        <v>56</v>
      </c>
      <c r="FI101" s="17" t="s">
        <v>56</v>
      </c>
      <c r="FJ101" s="17" t="s">
        <v>56</v>
      </c>
      <c r="FK101" s="17" t="s">
        <v>56</v>
      </c>
      <c r="FL101" s="17" t="s">
        <v>56</v>
      </c>
      <c r="FM101" s="17" t="s">
        <v>56</v>
      </c>
      <c r="FN101" s="17" t="s">
        <v>56</v>
      </c>
      <c r="FO101" s="17" t="s">
        <v>56</v>
      </c>
      <c r="FP101" s="17" t="s">
        <v>56</v>
      </c>
      <c r="FQ101" s="17" t="s">
        <v>56</v>
      </c>
      <c r="FR101" s="17" t="s">
        <v>56</v>
      </c>
      <c r="FS101" s="17" t="s">
        <v>56</v>
      </c>
      <c r="FT101" s="17" t="s">
        <v>56</v>
      </c>
      <c r="FU101" s="17">
        <v>278.95377521820097</v>
      </c>
      <c r="FV101" s="17">
        <v>1497.99548362939</v>
      </c>
      <c r="FW101" s="17" t="s">
        <v>56</v>
      </c>
      <c r="FX101" s="17" t="s">
        <v>56</v>
      </c>
      <c r="FY101" s="17" t="s">
        <v>56</v>
      </c>
      <c r="FZ101" s="17" t="s">
        <v>56</v>
      </c>
      <c r="GA101" s="17" t="s">
        <v>56</v>
      </c>
      <c r="GB101" s="17" t="s">
        <v>56</v>
      </c>
      <c r="GC101" s="17" t="s">
        <v>56</v>
      </c>
      <c r="GD101" s="17" t="s">
        <v>2969</v>
      </c>
      <c r="GE101" s="17" t="s">
        <v>2969</v>
      </c>
      <c r="GF101" s="17" t="s">
        <v>56</v>
      </c>
      <c r="GG101" s="17" t="s">
        <v>2818</v>
      </c>
      <c r="GH101" s="17" t="s">
        <v>2818</v>
      </c>
      <c r="GI101" s="17" t="s">
        <v>1111</v>
      </c>
      <c r="GJ101" s="17" t="s">
        <v>1111</v>
      </c>
      <c r="GK101" s="17" t="s">
        <v>1111</v>
      </c>
      <c r="GL101" s="17"/>
    </row>
    <row r="102" spans="2:194" x14ac:dyDescent="0.25">
      <c r="B102" s="17" t="s">
        <v>2840</v>
      </c>
      <c r="C102" s="17" t="s">
        <v>70</v>
      </c>
      <c r="D102" s="17" t="s">
        <v>3411</v>
      </c>
      <c r="E102" s="17" t="s">
        <v>3412</v>
      </c>
      <c r="F102" s="17" t="s">
        <v>3237</v>
      </c>
      <c r="G102" s="17" t="s">
        <v>3413</v>
      </c>
      <c r="H102" s="17"/>
      <c r="I102" s="17" t="s">
        <v>2797</v>
      </c>
      <c r="J102" s="17" t="s">
        <v>3403</v>
      </c>
      <c r="K102" s="17" t="s">
        <v>2653</v>
      </c>
      <c r="L102" s="17" t="s">
        <v>2800</v>
      </c>
      <c r="M102" s="17" t="s">
        <v>3414</v>
      </c>
      <c r="N102" s="17" t="s">
        <v>1325</v>
      </c>
      <c r="O102" s="17" t="s">
        <v>2813</v>
      </c>
      <c r="P102" s="17" t="s">
        <v>2814</v>
      </c>
      <c r="Q102" s="17" t="s">
        <v>3616</v>
      </c>
      <c r="R102" s="17">
        <v>17897433.710000001</v>
      </c>
      <c r="S102" s="17">
        <v>4974456.4000000004</v>
      </c>
      <c r="T102" s="17">
        <v>18587154.18</v>
      </c>
      <c r="U102" s="17" t="s">
        <v>2817</v>
      </c>
      <c r="V102" s="17" t="s">
        <v>939</v>
      </c>
      <c r="W102" s="17" t="s">
        <v>2816</v>
      </c>
      <c r="X102" s="17" t="s">
        <v>3403</v>
      </c>
      <c r="Y102" s="17" t="s">
        <v>56</v>
      </c>
      <c r="Z102" s="17" t="s">
        <v>3616</v>
      </c>
      <c r="AA102" s="17" t="s">
        <v>2801</v>
      </c>
      <c r="AB102" s="17">
        <v>2.1629</v>
      </c>
      <c r="AC102" s="17" t="s">
        <v>3616</v>
      </c>
      <c r="AD102" s="17" t="s">
        <v>2804</v>
      </c>
      <c r="AE102" s="17">
        <v>319397</v>
      </c>
      <c r="AF102" s="17" t="s">
        <v>2839</v>
      </c>
      <c r="AG102" s="17" t="s">
        <v>3617</v>
      </c>
      <c r="AH102" s="17" t="s">
        <v>2806</v>
      </c>
      <c r="AI102" s="17"/>
      <c r="AJ102" s="17" t="s">
        <v>56</v>
      </c>
      <c r="AK102" s="17" t="s">
        <v>56</v>
      </c>
      <c r="AL102" s="17" t="s">
        <v>56</v>
      </c>
      <c r="AM102" s="17" t="s">
        <v>56</v>
      </c>
      <c r="AN102" s="17" t="s">
        <v>56</v>
      </c>
      <c r="AO102" s="17" t="s">
        <v>56</v>
      </c>
      <c r="AP102" s="17" t="s">
        <v>56</v>
      </c>
      <c r="AQ102" s="17" t="s">
        <v>56</v>
      </c>
      <c r="AR102" s="17" t="s">
        <v>56</v>
      </c>
      <c r="AS102" s="17">
        <v>677.19899999999996</v>
      </c>
      <c r="AT102" s="17">
        <v>82.007599999999996</v>
      </c>
      <c r="AU102" s="17">
        <v>435.83600000000001</v>
      </c>
      <c r="AV102" s="17" t="s">
        <v>56</v>
      </c>
      <c r="AW102" s="17" t="s">
        <v>56</v>
      </c>
      <c r="AX102" s="17" t="s">
        <v>56</v>
      </c>
      <c r="AY102" s="17">
        <v>561.97</v>
      </c>
      <c r="AZ102" s="17">
        <v>68.053600000000003</v>
      </c>
      <c r="BA102" s="17">
        <v>361.67599999999999</v>
      </c>
      <c r="BB102" s="17" t="s">
        <v>56</v>
      </c>
      <c r="BC102" s="17" t="s">
        <v>56</v>
      </c>
      <c r="BD102" s="17" t="s">
        <v>56</v>
      </c>
      <c r="BE102" s="17" t="s">
        <v>56</v>
      </c>
      <c r="BF102" s="17" t="s">
        <v>56</v>
      </c>
      <c r="BG102" s="17" t="s">
        <v>56</v>
      </c>
      <c r="BH102" s="17" t="s">
        <v>56</v>
      </c>
      <c r="BI102" s="17" t="s">
        <v>56</v>
      </c>
      <c r="BJ102" s="17" t="s">
        <v>56</v>
      </c>
      <c r="BK102" s="17" t="s">
        <v>56</v>
      </c>
      <c r="BL102" s="17" t="s">
        <v>56</v>
      </c>
      <c r="BM102" s="17" t="s">
        <v>56</v>
      </c>
      <c r="BN102" s="17" t="s">
        <v>56</v>
      </c>
      <c r="BO102" s="17" t="s">
        <v>56</v>
      </c>
      <c r="BP102" s="17" t="s">
        <v>56</v>
      </c>
      <c r="BQ102" s="17" t="s">
        <v>56</v>
      </c>
      <c r="BR102" s="17" t="s">
        <v>56</v>
      </c>
      <c r="BS102" s="17" t="s">
        <v>56</v>
      </c>
      <c r="BT102" s="17" t="s">
        <v>56</v>
      </c>
      <c r="BU102" s="17" t="s">
        <v>56</v>
      </c>
      <c r="BV102" s="17" t="s">
        <v>56</v>
      </c>
      <c r="BW102" s="17" t="s">
        <v>56</v>
      </c>
      <c r="BX102" s="17" t="s">
        <v>2818</v>
      </c>
      <c r="BY102" s="17" t="s">
        <v>1111</v>
      </c>
      <c r="BZ102" s="17" t="s">
        <v>56</v>
      </c>
      <c r="CA102" s="17" t="s">
        <v>56</v>
      </c>
      <c r="CB102" s="17" t="s">
        <v>1325</v>
      </c>
      <c r="CC102" s="17" t="s">
        <v>1325</v>
      </c>
      <c r="CD102" s="17" t="s">
        <v>1325</v>
      </c>
      <c r="CE102" s="17" t="s">
        <v>1325</v>
      </c>
      <c r="CF102" s="17" t="s">
        <v>1325</v>
      </c>
      <c r="CG102" s="17" t="s">
        <v>1325</v>
      </c>
      <c r="CH102" s="17" t="s">
        <v>1325</v>
      </c>
      <c r="CI102" s="17" t="s">
        <v>1325</v>
      </c>
      <c r="CJ102" s="17" t="s">
        <v>1325</v>
      </c>
      <c r="CK102" s="17" t="s">
        <v>1325</v>
      </c>
      <c r="CL102" s="17" t="s">
        <v>1325</v>
      </c>
      <c r="CM102" s="17" t="s">
        <v>1325</v>
      </c>
      <c r="CN102" s="17" t="s">
        <v>1325</v>
      </c>
      <c r="CO102" s="17" t="s">
        <v>1325</v>
      </c>
      <c r="CP102" s="17" t="s">
        <v>1325</v>
      </c>
      <c r="CQ102" s="17" t="s">
        <v>1325</v>
      </c>
      <c r="CR102" s="17" t="s">
        <v>1325</v>
      </c>
      <c r="CS102" s="17" t="s">
        <v>1325</v>
      </c>
      <c r="CT102" s="17" t="s">
        <v>1325</v>
      </c>
      <c r="CU102" s="17" t="s">
        <v>1325</v>
      </c>
      <c r="CV102" s="17" t="s">
        <v>1325</v>
      </c>
      <c r="CW102" s="17" t="s">
        <v>56</v>
      </c>
      <c r="CX102" s="17" t="s">
        <v>56</v>
      </c>
      <c r="CY102" s="17" t="s">
        <v>56</v>
      </c>
      <c r="CZ102" s="17">
        <v>319397</v>
      </c>
      <c r="DA102" s="17">
        <v>319397</v>
      </c>
      <c r="DB102" s="17">
        <v>319397</v>
      </c>
      <c r="DC102" s="17"/>
      <c r="DD102" s="17"/>
      <c r="DE102" s="17"/>
      <c r="DF102" s="17" t="s">
        <v>3415</v>
      </c>
      <c r="DG102" s="17" t="s">
        <v>3600</v>
      </c>
      <c r="DH102" s="17" t="s">
        <v>3237</v>
      </c>
      <c r="DI102" s="17" t="s">
        <v>3601</v>
      </c>
      <c r="DJ102" s="17" t="s">
        <v>3405</v>
      </c>
      <c r="DK102" s="17" t="s">
        <v>3320</v>
      </c>
      <c r="DL102" s="17" t="s">
        <v>3418</v>
      </c>
      <c r="DM102" s="17">
        <v>2.7000000000000001E-3</v>
      </c>
      <c r="DN102" s="17">
        <v>862.4</v>
      </c>
      <c r="DO102" s="17">
        <v>0.42855683510183801</v>
      </c>
      <c r="DP102" s="17" t="s">
        <v>3308</v>
      </c>
      <c r="DQ102" s="17" t="s">
        <v>2839</v>
      </c>
      <c r="DR102" s="17" t="s">
        <v>56</v>
      </c>
      <c r="DS102" s="17" t="s">
        <v>56</v>
      </c>
      <c r="DT102" s="17" t="s">
        <v>56</v>
      </c>
      <c r="DU102" s="17" t="s">
        <v>56</v>
      </c>
      <c r="DV102" s="17" t="s">
        <v>2862</v>
      </c>
      <c r="DW102" s="17" t="s">
        <v>3309</v>
      </c>
      <c r="DX102" s="17" t="s">
        <v>3310</v>
      </c>
      <c r="DY102" s="17">
        <v>9.7795896448127796E-3</v>
      </c>
      <c r="DZ102" s="17">
        <v>2.7520410355187201E-2</v>
      </c>
      <c r="EA102" s="17" t="s">
        <v>3311</v>
      </c>
      <c r="EB102" s="17">
        <v>4.0201671797007003E-3</v>
      </c>
      <c r="EC102" s="17">
        <v>7.1798328202993004E-3</v>
      </c>
      <c r="ED102" s="17" t="s">
        <v>56</v>
      </c>
      <c r="EE102" s="17" t="s">
        <v>56</v>
      </c>
      <c r="EF102" s="17" t="s">
        <v>56</v>
      </c>
      <c r="EG102" s="17" t="s">
        <v>2862</v>
      </c>
      <c r="EH102" s="17" t="s">
        <v>3309</v>
      </c>
      <c r="EI102" s="17" t="s">
        <v>3312</v>
      </c>
      <c r="EJ102" s="17">
        <v>1.08477E-2</v>
      </c>
      <c r="EK102" s="17">
        <v>5.8252699999999998E-2</v>
      </c>
      <c r="EL102" s="17" t="s">
        <v>3311</v>
      </c>
      <c r="EM102" s="17">
        <v>4.8999999999999998E-3</v>
      </c>
      <c r="EN102" s="17">
        <v>1.01E-2</v>
      </c>
      <c r="EO102" s="17" t="s">
        <v>3312</v>
      </c>
      <c r="EP102" s="17">
        <v>4.3641500000000004</v>
      </c>
      <c r="EQ102" s="17">
        <v>23.435700000000001</v>
      </c>
      <c r="ER102" s="17" t="s">
        <v>3313</v>
      </c>
      <c r="ES102" s="17">
        <v>0.59340000000000004</v>
      </c>
      <c r="ET102" s="17">
        <v>1.2263999999999999</v>
      </c>
      <c r="EU102" s="17" t="s">
        <v>2862</v>
      </c>
      <c r="EV102" s="17" t="s">
        <v>3309</v>
      </c>
      <c r="EW102" s="17" t="s">
        <v>3312</v>
      </c>
      <c r="EX102" s="17">
        <v>4.3641500000000004</v>
      </c>
      <c r="EY102" s="17">
        <v>23.435700000000001</v>
      </c>
      <c r="EZ102" s="17" t="s">
        <v>3311</v>
      </c>
      <c r="FA102" s="17">
        <v>0.59340000000000004</v>
      </c>
      <c r="FB102" s="17">
        <v>1.2263999999999999</v>
      </c>
      <c r="FC102" s="17" t="s">
        <v>56</v>
      </c>
      <c r="FD102" s="17" t="s">
        <v>56</v>
      </c>
      <c r="FE102" s="17" t="s">
        <v>56</v>
      </c>
      <c r="FF102" s="17" t="s">
        <v>56</v>
      </c>
      <c r="FG102" s="17" t="s">
        <v>56</v>
      </c>
      <c r="FH102" s="17" t="s">
        <v>56</v>
      </c>
      <c r="FI102" s="17" t="s">
        <v>56</v>
      </c>
      <c r="FJ102" s="17" t="s">
        <v>56</v>
      </c>
      <c r="FK102" s="17" t="s">
        <v>56</v>
      </c>
      <c r="FL102" s="17" t="s">
        <v>56</v>
      </c>
      <c r="FM102" s="17" t="s">
        <v>56</v>
      </c>
      <c r="FN102" s="17" t="s">
        <v>56</v>
      </c>
      <c r="FO102" s="17" t="s">
        <v>56</v>
      </c>
      <c r="FP102" s="17" t="s">
        <v>56</v>
      </c>
      <c r="FQ102" s="17" t="s">
        <v>56</v>
      </c>
      <c r="FR102" s="17" t="s">
        <v>56</v>
      </c>
      <c r="FS102" s="17" t="s">
        <v>56</v>
      </c>
      <c r="FT102" s="17" t="s">
        <v>56</v>
      </c>
      <c r="FU102" s="17">
        <v>194.50977643777301</v>
      </c>
      <c r="FV102" s="17">
        <v>1044.52705971671</v>
      </c>
      <c r="FW102" s="17" t="s">
        <v>56</v>
      </c>
      <c r="FX102" s="17" t="s">
        <v>56</v>
      </c>
      <c r="FY102" s="17" t="s">
        <v>56</v>
      </c>
      <c r="FZ102" s="17" t="s">
        <v>56</v>
      </c>
      <c r="GA102" s="17" t="s">
        <v>56</v>
      </c>
      <c r="GB102" s="17" t="s">
        <v>56</v>
      </c>
      <c r="GC102" s="17" t="s">
        <v>56</v>
      </c>
      <c r="GD102" s="17" t="s">
        <v>2969</v>
      </c>
      <c r="GE102" s="17" t="s">
        <v>2969</v>
      </c>
      <c r="GF102" s="17" t="s">
        <v>56</v>
      </c>
      <c r="GG102" s="17" t="s">
        <v>2818</v>
      </c>
      <c r="GH102" s="17" t="s">
        <v>2818</v>
      </c>
      <c r="GI102" s="17" t="s">
        <v>1111</v>
      </c>
      <c r="GJ102" s="17" t="s">
        <v>1111</v>
      </c>
      <c r="GK102" s="17" t="s">
        <v>1111</v>
      </c>
      <c r="GL102" s="17"/>
    </row>
    <row r="103" spans="2:194" x14ac:dyDescent="0.25">
      <c r="B103" s="17" t="s">
        <v>2840</v>
      </c>
      <c r="C103" s="17" t="s">
        <v>70</v>
      </c>
      <c r="D103" s="17" t="s">
        <v>3411</v>
      </c>
      <c r="E103" s="17" t="s">
        <v>3412</v>
      </c>
      <c r="F103" s="17" t="s">
        <v>3237</v>
      </c>
      <c r="G103" s="17" t="s">
        <v>3413</v>
      </c>
      <c r="H103" s="17"/>
      <c r="I103" s="17" t="s">
        <v>2797</v>
      </c>
      <c r="J103" s="17" t="s">
        <v>3403</v>
      </c>
      <c r="K103" s="17" t="s">
        <v>2653</v>
      </c>
      <c r="L103" s="17" t="s">
        <v>2800</v>
      </c>
      <c r="M103" s="17" t="s">
        <v>3414</v>
      </c>
      <c r="N103" s="17" t="s">
        <v>1325</v>
      </c>
      <c r="O103" s="17" t="s">
        <v>2813</v>
      </c>
      <c r="P103" s="17" t="s">
        <v>2814</v>
      </c>
      <c r="Q103" s="17" t="s">
        <v>3616</v>
      </c>
      <c r="R103" s="17">
        <v>17897433.710000001</v>
      </c>
      <c r="S103" s="17">
        <v>4974456.4000000004</v>
      </c>
      <c r="T103" s="17">
        <v>18587154.18</v>
      </c>
      <c r="U103" s="17" t="s">
        <v>2817</v>
      </c>
      <c r="V103" s="17" t="s">
        <v>939</v>
      </c>
      <c r="W103" s="17" t="s">
        <v>2816</v>
      </c>
      <c r="X103" s="17" t="s">
        <v>3403</v>
      </c>
      <c r="Y103" s="17" t="s">
        <v>56</v>
      </c>
      <c r="Z103" s="17" t="s">
        <v>3616</v>
      </c>
      <c r="AA103" s="17" t="s">
        <v>2801</v>
      </c>
      <c r="AB103" s="17">
        <v>2.1629</v>
      </c>
      <c r="AC103" s="17" t="s">
        <v>3616</v>
      </c>
      <c r="AD103" s="17" t="s">
        <v>2804</v>
      </c>
      <c r="AE103" s="17">
        <v>319397</v>
      </c>
      <c r="AF103" s="17" t="s">
        <v>2839</v>
      </c>
      <c r="AG103" s="17" t="s">
        <v>3617</v>
      </c>
      <c r="AH103" s="17" t="s">
        <v>2806</v>
      </c>
      <c r="AI103" s="17"/>
      <c r="AJ103" s="17" t="s">
        <v>56</v>
      </c>
      <c r="AK103" s="17" t="s">
        <v>56</v>
      </c>
      <c r="AL103" s="17" t="s">
        <v>56</v>
      </c>
      <c r="AM103" s="17" t="s">
        <v>56</v>
      </c>
      <c r="AN103" s="17" t="s">
        <v>56</v>
      </c>
      <c r="AO103" s="17" t="s">
        <v>56</v>
      </c>
      <c r="AP103" s="17" t="s">
        <v>56</v>
      </c>
      <c r="AQ103" s="17" t="s">
        <v>56</v>
      </c>
      <c r="AR103" s="17" t="s">
        <v>56</v>
      </c>
      <c r="AS103" s="17">
        <v>677.19899999999996</v>
      </c>
      <c r="AT103" s="17">
        <v>82.007599999999996</v>
      </c>
      <c r="AU103" s="17">
        <v>435.83600000000001</v>
      </c>
      <c r="AV103" s="17" t="s">
        <v>56</v>
      </c>
      <c r="AW103" s="17" t="s">
        <v>56</v>
      </c>
      <c r="AX103" s="17" t="s">
        <v>56</v>
      </c>
      <c r="AY103" s="17">
        <v>561.97</v>
      </c>
      <c r="AZ103" s="17">
        <v>68.053600000000003</v>
      </c>
      <c r="BA103" s="17">
        <v>361.67599999999999</v>
      </c>
      <c r="BB103" s="17" t="s">
        <v>56</v>
      </c>
      <c r="BC103" s="17" t="s">
        <v>56</v>
      </c>
      <c r="BD103" s="17" t="s">
        <v>56</v>
      </c>
      <c r="BE103" s="17" t="s">
        <v>56</v>
      </c>
      <c r="BF103" s="17" t="s">
        <v>56</v>
      </c>
      <c r="BG103" s="17" t="s">
        <v>56</v>
      </c>
      <c r="BH103" s="17" t="s">
        <v>56</v>
      </c>
      <c r="BI103" s="17" t="s">
        <v>56</v>
      </c>
      <c r="BJ103" s="17" t="s">
        <v>56</v>
      </c>
      <c r="BK103" s="17" t="s">
        <v>56</v>
      </c>
      <c r="BL103" s="17" t="s">
        <v>56</v>
      </c>
      <c r="BM103" s="17" t="s">
        <v>56</v>
      </c>
      <c r="BN103" s="17" t="s">
        <v>56</v>
      </c>
      <c r="BO103" s="17" t="s">
        <v>56</v>
      </c>
      <c r="BP103" s="17" t="s">
        <v>56</v>
      </c>
      <c r="BQ103" s="17" t="s">
        <v>56</v>
      </c>
      <c r="BR103" s="17" t="s">
        <v>56</v>
      </c>
      <c r="BS103" s="17" t="s">
        <v>56</v>
      </c>
      <c r="BT103" s="17" t="s">
        <v>56</v>
      </c>
      <c r="BU103" s="17" t="s">
        <v>56</v>
      </c>
      <c r="BV103" s="17" t="s">
        <v>56</v>
      </c>
      <c r="BW103" s="17" t="s">
        <v>56</v>
      </c>
      <c r="BX103" s="17" t="s">
        <v>2818</v>
      </c>
      <c r="BY103" s="17" t="s">
        <v>1111</v>
      </c>
      <c r="BZ103" s="17" t="s">
        <v>56</v>
      </c>
      <c r="CA103" s="17" t="s">
        <v>56</v>
      </c>
      <c r="CB103" s="17" t="s">
        <v>1325</v>
      </c>
      <c r="CC103" s="17" t="s">
        <v>1325</v>
      </c>
      <c r="CD103" s="17" t="s">
        <v>1325</v>
      </c>
      <c r="CE103" s="17" t="s">
        <v>1325</v>
      </c>
      <c r="CF103" s="17" t="s">
        <v>1325</v>
      </c>
      <c r="CG103" s="17" t="s">
        <v>1325</v>
      </c>
      <c r="CH103" s="17" t="s">
        <v>1325</v>
      </c>
      <c r="CI103" s="17" t="s">
        <v>1325</v>
      </c>
      <c r="CJ103" s="17" t="s">
        <v>1325</v>
      </c>
      <c r="CK103" s="17" t="s">
        <v>1325</v>
      </c>
      <c r="CL103" s="17" t="s">
        <v>1325</v>
      </c>
      <c r="CM103" s="17" t="s">
        <v>1325</v>
      </c>
      <c r="CN103" s="17" t="s">
        <v>1325</v>
      </c>
      <c r="CO103" s="17" t="s">
        <v>1325</v>
      </c>
      <c r="CP103" s="17" t="s">
        <v>1325</v>
      </c>
      <c r="CQ103" s="17" t="s">
        <v>1325</v>
      </c>
      <c r="CR103" s="17" t="s">
        <v>1325</v>
      </c>
      <c r="CS103" s="17" t="s">
        <v>1325</v>
      </c>
      <c r="CT103" s="17" t="s">
        <v>1325</v>
      </c>
      <c r="CU103" s="17" t="s">
        <v>1325</v>
      </c>
      <c r="CV103" s="17" t="s">
        <v>1325</v>
      </c>
      <c r="CW103" s="17" t="s">
        <v>56</v>
      </c>
      <c r="CX103" s="17" t="s">
        <v>56</v>
      </c>
      <c r="CY103" s="17" t="s">
        <v>56</v>
      </c>
      <c r="CZ103" s="17">
        <v>319397</v>
      </c>
      <c r="DA103" s="17">
        <v>319397</v>
      </c>
      <c r="DB103" s="17">
        <v>319397</v>
      </c>
      <c r="DC103" s="17"/>
      <c r="DD103" s="17"/>
      <c r="DE103" s="17"/>
      <c r="DF103" s="17" t="s">
        <v>3415</v>
      </c>
      <c r="DG103" s="17" t="s">
        <v>3602</v>
      </c>
      <c r="DH103" s="17" t="s">
        <v>3237</v>
      </c>
      <c r="DI103" s="17" t="s">
        <v>3603</v>
      </c>
      <c r="DJ103" s="17" t="s">
        <v>3405</v>
      </c>
      <c r="DK103" s="17" t="s">
        <v>3320</v>
      </c>
      <c r="DL103" s="17" t="s">
        <v>3418</v>
      </c>
      <c r="DM103" s="17">
        <v>1.5696000000000002E-2</v>
      </c>
      <c r="DN103" s="17">
        <v>5013.3</v>
      </c>
      <c r="DO103" s="17">
        <v>0.87159232278337895</v>
      </c>
      <c r="DP103" s="17" t="s">
        <v>3308</v>
      </c>
      <c r="DQ103" s="17" t="s">
        <v>2839</v>
      </c>
      <c r="DR103" s="17" t="s">
        <v>56</v>
      </c>
      <c r="DS103" s="17" t="s">
        <v>56</v>
      </c>
      <c r="DT103" s="17" t="s">
        <v>56</v>
      </c>
      <c r="DU103" s="17" t="s">
        <v>56</v>
      </c>
      <c r="DV103" s="17" t="s">
        <v>2862</v>
      </c>
      <c r="DW103" s="17" t="s">
        <v>3309</v>
      </c>
      <c r="DX103" s="17" t="s">
        <v>3310</v>
      </c>
      <c r="DY103" s="17">
        <v>9.7795896448127796E-3</v>
      </c>
      <c r="DZ103" s="17">
        <v>2.7520410355187201E-2</v>
      </c>
      <c r="EA103" s="17" t="s">
        <v>3311</v>
      </c>
      <c r="EB103" s="17">
        <v>4.0201671797007003E-3</v>
      </c>
      <c r="EC103" s="17">
        <v>7.1798328202993004E-3</v>
      </c>
      <c r="ED103" s="17" t="s">
        <v>56</v>
      </c>
      <c r="EE103" s="17" t="s">
        <v>56</v>
      </c>
      <c r="EF103" s="17" t="s">
        <v>56</v>
      </c>
      <c r="EG103" s="17" t="s">
        <v>2862</v>
      </c>
      <c r="EH103" s="17" t="s">
        <v>3309</v>
      </c>
      <c r="EI103" s="17" t="s">
        <v>3312</v>
      </c>
      <c r="EJ103" s="17">
        <v>1.08477E-2</v>
      </c>
      <c r="EK103" s="17">
        <v>5.8252699999999998E-2</v>
      </c>
      <c r="EL103" s="17" t="s">
        <v>3311</v>
      </c>
      <c r="EM103" s="17">
        <v>4.8999999999999998E-3</v>
      </c>
      <c r="EN103" s="17">
        <v>1.01E-2</v>
      </c>
      <c r="EO103" s="17" t="s">
        <v>3312</v>
      </c>
      <c r="EP103" s="17">
        <v>4.3641500000000004</v>
      </c>
      <c r="EQ103" s="17">
        <v>23.435700000000001</v>
      </c>
      <c r="ER103" s="17" t="s">
        <v>3313</v>
      </c>
      <c r="ES103" s="17">
        <v>0.59340000000000004</v>
      </c>
      <c r="ET103" s="17">
        <v>1.2263999999999999</v>
      </c>
      <c r="EU103" s="17" t="s">
        <v>2862</v>
      </c>
      <c r="EV103" s="17" t="s">
        <v>3309</v>
      </c>
      <c r="EW103" s="17" t="s">
        <v>3312</v>
      </c>
      <c r="EX103" s="17">
        <v>4.3641500000000004</v>
      </c>
      <c r="EY103" s="17">
        <v>23.435700000000001</v>
      </c>
      <c r="EZ103" s="17" t="s">
        <v>3311</v>
      </c>
      <c r="FA103" s="17">
        <v>0.59340000000000004</v>
      </c>
      <c r="FB103" s="17">
        <v>1.2263999999999999</v>
      </c>
      <c r="FC103" s="17" t="s">
        <v>56</v>
      </c>
      <c r="FD103" s="17" t="s">
        <v>56</v>
      </c>
      <c r="FE103" s="17" t="s">
        <v>56</v>
      </c>
      <c r="FF103" s="17" t="s">
        <v>56</v>
      </c>
      <c r="FG103" s="17" t="s">
        <v>56</v>
      </c>
      <c r="FH103" s="17" t="s">
        <v>56</v>
      </c>
      <c r="FI103" s="17" t="s">
        <v>56</v>
      </c>
      <c r="FJ103" s="17" t="s">
        <v>56</v>
      </c>
      <c r="FK103" s="17" t="s">
        <v>56</v>
      </c>
      <c r="FL103" s="17" t="s">
        <v>56</v>
      </c>
      <c r="FM103" s="17" t="s">
        <v>56</v>
      </c>
      <c r="FN103" s="17" t="s">
        <v>56</v>
      </c>
      <c r="FO103" s="17" t="s">
        <v>56</v>
      </c>
      <c r="FP103" s="17" t="s">
        <v>56</v>
      </c>
      <c r="FQ103" s="17" t="s">
        <v>56</v>
      </c>
      <c r="FR103" s="17" t="s">
        <v>56</v>
      </c>
      <c r="FS103" s="17" t="s">
        <v>56</v>
      </c>
      <c r="FT103" s="17" t="s">
        <v>56</v>
      </c>
      <c r="FU103" s="17">
        <v>395.591002051565</v>
      </c>
      <c r="FV103" s="17">
        <v>2124.3431244984399</v>
      </c>
      <c r="FW103" s="17" t="s">
        <v>56</v>
      </c>
      <c r="FX103" s="17" t="s">
        <v>56</v>
      </c>
      <c r="FY103" s="17" t="s">
        <v>56</v>
      </c>
      <c r="FZ103" s="17" t="s">
        <v>56</v>
      </c>
      <c r="GA103" s="17" t="s">
        <v>56</v>
      </c>
      <c r="GB103" s="17" t="s">
        <v>56</v>
      </c>
      <c r="GC103" s="17" t="s">
        <v>56</v>
      </c>
      <c r="GD103" s="17" t="s">
        <v>2969</v>
      </c>
      <c r="GE103" s="17" t="s">
        <v>2969</v>
      </c>
      <c r="GF103" s="17" t="s">
        <v>56</v>
      </c>
      <c r="GG103" s="17" t="s">
        <v>2818</v>
      </c>
      <c r="GH103" s="17" t="s">
        <v>2818</v>
      </c>
      <c r="GI103" s="17" t="s">
        <v>1111</v>
      </c>
      <c r="GJ103" s="17" t="s">
        <v>1111</v>
      </c>
      <c r="GK103" s="17" t="s">
        <v>1111</v>
      </c>
      <c r="GL103" s="17"/>
    </row>
    <row r="104" spans="2:194" x14ac:dyDescent="0.25">
      <c r="B104" s="17" t="s">
        <v>2840</v>
      </c>
      <c r="C104" s="17" t="s">
        <v>70</v>
      </c>
      <c r="D104" s="17" t="s">
        <v>3411</v>
      </c>
      <c r="E104" s="17" t="s">
        <v>3412</v>
      </c>
      <c r="F104" s="17" t="s">
        <v>3237</v>
      </c>
      <c r="G104" s="17" t="s">
        <v>3413</v>
      </c>
      <c r="H104" s="17"/>
      <c r="I104" s="17" t="s">
        <v>2797</v>
      </c>
      <c r="J104" s="17" t="s">
        <v>3403</v>
      </c>
      <c r="K104" s="17" t="s">
        <v>2653</v>
      </c>
      <c r="L104" s="17" t="s">
        <v>2800</v>
      </c>
      <c r="M104" s="17" t="s">
        <v>3414</v>
      </c>
      <c r="N104" s="17" t="s">
        <v>1325</v>
      </c>
      <c r="O104" s="17" t="s">
        <v>2813</v>
      </c>
      <c r="P104" s="17" t="s">
        <v>2814</v>
      </c>
      <c r="Q104" s="17" t="s">
        <v>3616</v>
      </c>
      <c r="R104" s="17">
        <v>17897433.710000001</v>
      </c>
      <c r="S104" s="17">
        <v>4974456.4000000004</v>
      </c>
      <c r="T104" s="17">
        <v>18587154.18</v>
      </c>
      <c r="U104" s="17" t="s">
        <v>2817</v>
      </c>
      <c r="V104" s="17" t="s">
        <v>939</v>
      </c>
      <c r="W104" s="17" t="s">
        <v>2816</v>
      </c>
      <c r="X104" s="17" t="s">
        <v>3403</v>
      </c>
      <c r="Y104" s="17" t="s">
        <v>56</v>
      </c>
      <c r="Z104" s="17" t="s">
        <v>3616</v>
      </c>
      <c r="AA104" s="17" t="s">
        <v>2801</v>
      </c>
      <c r="AB104" s="17">
        <v>2.1629</v>
      </c>
      <c r="AC104" s="17" t="s">
        <v>3616</v>
      </c>
      <c r="AD104" s="17" t="s">
        <v>2804</v>
      </c>
      <c r="AE104" s="17">
        <v>319397</v>
      </c>
      <c r="AF104" s="17" t="s">
        <v>2839</v>
      </c>
      <c r="AG104" s="17" t="s">
        <v>3617</v>
      </c>
      <c r="AH104" s="17" t="s">
        <v>2806</v>
      </c>
      <c r="AI104" s="17"/>
      <c r="AJ104" s="17" t="s">
        <v>56</v>
      </c>
      <c r="AK104" s="17" t="s">
        <v>56</v>
      </c>
      <c r="AL104" s="17" t="s">
        <v>56</v>
      </c>
      <c r="AM104" s="17" t="s">
        <v>56</v>
      </c>
      <c r="AN104" s="17" t="s">
        <v>56</v>
      </c>
      <c r="AO104" s="17" t="s">
        <v>56</v>
      </c>
      <c r="AP104" s="17" t="s">
        <v>56</v>
      </c>
      <c r="AQ104" s="17" t="s">
        <v>56</v>
      </c>
      <c r="AR104" s="17" t="s">
        <v>56</v>
      </c>
      <c r="AS104" s="17">
        <v>677.19899999999996</v>
      </c>
      <c r="AT104" s="17">
        <v>82.007599999999996</v>
      </c>
      <c r="AU104" s="17">
        <v>435.83600000000001</v>
      </c>
      <c r="AV104" s="17" t="s">
        <v>56</v>
      </c>
      <c r="AW104" s="17" t="s">
        <v>56</v>
      </c>
      <c r="AX104" s="17" t="s">
        <v>56</v>
      </c>
      <c r="AY104" s="17">
        <v>561.97</v>
      </c>
      <c r="AZ104" s="17">
        <v>68.053600000000003</v>
      </c>
      <c r="BA104" s="17">
        <v>361.67599999999999</v>
      </c>
      <c r="BB104" s="17" t="s">
        <v>56</v>
      </c>
      <c r="BC104" s="17" t="s">
        <v>56</v>
      </c>
      <c r="BD104" s="17" t="s">
        <v>56</v>
      </c>
      <c r="BE104" s="17" t="s">
        <v>56</v>
      </c>
      <c r="BF104" s="17" t="s">
        <v>56</v>
      </c>
      <c r="BG104" s="17" t="s">
        <v>56</v>
      </c>
      <c r="BH104" s="17" t="s">
        <v>56</v>
      </c>
      <c r="BI104" s="17" t="s">
        <v>56</v>
      </c>
      <c r="BJ104" s="17" t="s">
        <v>56</v>
      </c>
      <c r="BK104" s="17" t="s">
        <v>56</v>
      </c>
      <c r="BL104" s="17" t="s">
        <v>56</v>
      </c>
      <c r="BM104" s="17" t="s">
        <v>56</v>
      </c>
      <c r="BN104" s="17" t="s">
        <v>56</v>
      </c>
      <c r="BO104" s="17" t="s">
        <v>56</v>
      </c>
      <c r="BP104" s="17" t="s">
        <v>56</v>
      </c>
      <c r="BQ104" s="17" t="s">
        <v>56</v>
      </c>
      <c r="BR104" s="17" t="s">
        <v>56</v>
      </c>
      <c r="BS104" s="17" t="s">
        <v>56</v>
      </c>
      <c r="BT104" s="17" t="s">
        <v>56</v>
      </c>
      <c r="BU104" s="17" t="s">
        <v>56</v>
      </c>
      <c r="BV104" s="17" t="s">
        <v>56</v>
      </c>
      <c r="BW104" s="17" t="s">
        <v>56</v>
      </c>
      <c r="BX104" s="17" t="s">
        <v>2818</v>
      </c>
      <c r="BY104" s="17" t="s">
        <v>1111</v>
      </c>
      <c r="BZ104" s="17" t="s">
        <v>56</v>
      </c>
      <c r="CA104" s="17" t="s">
        <v>56</v>
      </c>
      <c r="CB104" s="17" t="s">
        <v>1325</v>
      </c>
      <c r="CC104" s="17" t="s">
        <v>1325</v>
      </c>
      <c r="CD104" s="17" t="s">
        <v>1325</v>
      </c>
      <c r="CE104" s="17" t="s">
        <v>1325</v>
      </c>
      <c r="CF104" s="17" t="s">
        <v>1325</v>
      </c>
      <c r="CG104" s="17" t="s">
        <v>1325</v>
      </c>
      <c r="CH104" s="17" t="s">
        <v>1325</v>
      </c>
      <c r="CI104" s="17" t="s">
        <v>1325</v>
      </c>
      <c r="CJ104" s="17" t="s">
        <v>1325</v>
      </c>
      <c r="CK104" s="17" t="s">
        <v>1325</v>
      </c>
      <c r="CL104" s="17" t="s">
        <v>1325</v>
      </c>
      <c r="CM104" s="17" t="s">
        <v>1325</v>
      </c>
      <c r="CN104" s="17" t="s">
        <v>1325</v>
      </c>
      <c r="CO104" s="17" t="s">
        <v>1325</v>
      </c>
      <c r="CP104" s="17" t="s">
        <v>1325</v>
      </c>
      <c r="CQ104" s="17" t="s">
        <v>1325</v>
      </c>
      <c r="CR104" s="17" t="s">
        <v>1325</v>
      </c>
      <c r="CS104" s="17" t="s">
        <v>1325</v>
      </c>
      <c r="CT104" s="17" t="s">
        <v>1325</v>
      </c>
      <c r="CU104" s="17" t="s">
        <v>1325</v>
      </c>
      <c r="CV104" s="17" t="s">
        <v>1325</v>
      </c>
      <c r="CW104" s="17" t="s">
        <v>56</v>
      </c>
      <c r="CX104" s="17" t="s">
        <v>56</v>
      </c>
      <c r="CY104" s="17" t="s">
        <v>56</v>
      </c>
      <c r="CZ104" s="17">
        <v>319397</v>
      </c>
      <c r="DA104" s="17">
        <v>319397</v>
      </c>
      <c r="DB104" s="17">
        <v>319397</v>
      </c>
      <c r="DC104" s="17"/>
      <c r="DD104" s="17"/>
      <c r="DE104" s="17"/>
      <c r="DF104" s="17" t="s">
        <v>3415</v>
      </c>
      <c r="DG104" s="17" t="s">
        <v>3604</v>
      </c>
      <c r="DH104" s="17" t="s">
        <v>3237</v>
      </c>
      <c r="DI104" s="17" t="s">
        <v>3605</v>
      </c>
      <c r="DJ104" s="17" t="s">
        <v>3405</v>
      </c>
      <c r="DK104" s="17" t="s">
        <v>3320</v>
      </c>
      <c r="DL104" s="17" t="s">
        <v>3418</v>
      </c>
      <c r="DM104" s="17">
        <v>1.8894000000000001E-2</v>
      </c>
      <c r="DN104" s="17">
        <v>6034.7</v>
      </c>
      <c r="DO104" s="17">
        <v>0.42855833016972</v>
      </c>
      <c r="DP104" s="17" t="s">
        <v>3308</v>
      </c>
      <c r="DQ104" s="17" t="s">
        <v>2839</v>
      </c>
      <c r="DR104" s="17" t="s">
        <v>56</v>
      </c>
      <c r="DS104" s="17" t="s">
        <v>56</v>
      </c>
      <c r="DT104" s="17" t="s">
        <v>56</v>
      </c>
      <c r="DU104" s="17" t="s">
        <v>56</v>
      </c>
      <c r="DV104" s="17" t="s">
        <v>2862</v>
      </c>
      <c r="DW104" s="17" t="s">
        <v>3309</v>
      </c>
      <c r="DX104" s="17" t="s">
        <v>3310</v>
      </c>
      <c r="DY104" s="17">
        <v>9.7795896448127796E-3</v>
      </c>
      <c r="DZ104" s="17">
        <v>2.7520410355187201E-2</v>
      </c>
      <c r="EA104" s="17" t="s">
        <v>3311</v>
      </c>
      <c r="EB104" s="17">
        <v>4.0201671797007003E-3</v>
      </c>
      <c r="EC104" s="17">
        <v>7.1798328202993004E-3</v>
      </c>
      <c r="ED104" s="17" t="s">
        <v>56</v>
      </c>
      <c r="EE104" s="17" t="s">
        <v>56</v>
      </c>
      <c r="EF104" s="17" t="s">
        <v>56</v>
      </c>
      <c r="EG104" s="17" t="s">
        <v>2862</v>
      </c>
      <c r="EH104" s="17" t="s">
        <v>3309</v>
      </c>
      <c r="EI104" s="17" t="s">
        <v>3312</v>
      </c>
      <c r="EJ104" s="17">
        <v>1.08477E-2</v>
      </c>
      <c r="EK104" s="17">
        <v>5.8252699999999998E-2</v>
      </c>
      <c r="EL104" s="17" t="s">
        <v>3311</v>
      </c>
      <c r="EM104" s="17">
        <v>4.8999999999999998E-3</v>
      </c>
      <c r="EN104" s="17">
        <v>1.01E-2</v>
      </c>
      <c r="EO104" s="17" t="s">
        <v>3312</v>
      </c>
      <c r="EP104" s="17">
        <v>4.3641500000000004</v>
      </c>
      <c r="EQ104" s="17">
        <v>23.435700000000001</v>
      </c>
      <c r="ER104" s="17" t="s">
        <v>3313</v>
      </c>
      <c r="ES104" s="17">
        <v>0.59340000000000004</v>
      </c>
      <c r="ET104" s="17">
        <v>1.2263999999999999</v>
      </c>
      <c r="EU104" s="17" t="s">
        <v>2862</v>
      </c>
      <c r="EV104" s="17" t="s">
        <v>3309</v>
      </c>
      <c r="EW104" s="17" t="s">
        <v>3312</v>
      </c>
      <c r="EX104" s="17">
        <v>4.3641500000000004</v>
      </c>
      <c r="EY104" s="17">
        <v>23.435700000000001</v>
      </c>
      <c r="EZ104" s="17" t="s">
        <v>3311</v>
      </c>
      <c r="FA104" s="17">
        <v>0.59340000000000004</v>
      </c>
      <c r="FB104" s="17">
        <v>1.2263999999999999</v>
      </c>
      <c r="FC104" s="17" t="s">
        <v>56</v>
      </c>
      <c r="FD104" s="17" t="s">
        <v>56</v>
      </c>
      <c r="FE104" s="17" t="s">
        <v>56</v>
      </c>
      <c r="FF104" s="17" t="s">
        <v>56</v>
      </c>
      <c r="FG104" s="17" t="s">
        <v>56</v>
      </c>
      <c r="FH104" s="17" t="s">
        <v>56</v>
      </c>
      <c r="FI104" s="17" t="s">
        <v>56</v>
      </c>
      <c r="FJ104" s="17" t="s">
        <v>56</v>
      </c>
      <c r="FK104" s="17" t="s">
        <v>56</v>
      </c>
      <c r="FL104" s="17" t="s">
        <v>56</v>
      </c>
      <c r="FM104" s="17" t="s">
        <v>56</v>
      </c>
      <c r="FN104" s="17" t="s">
        <v>56</v>
      </c>
      <c r="FO104" s="17" t="s">
        <v>56</v>
      </c>
      <c r="FP104" s="17" t="s">
        <v>56</v>
      </c>
      <c r="FQ104" s="17" t="s">
        <v>56</v>
      </c>
      <c r="FR104" s="17" t="s">
        <v>56</v>
      </c>
      <c r="FS104" s="17" t="s">
        <v>56</v>
      </c>
      <c r="FT104" s="17" t="s">
        <v>56</v>
      </c>
      <c r="FU104" s="17">
        <v>194.51045497581501</v>
      </c>
      <c r="FV104" s="17">
        <v>1044.53070349935</v>
      </c>
      <c r="FW104" s="17" t="s">
        <v>56</v>
      </c>
      <c r="FX104" s="17" t="s">
        <v>56</v>
      </c>
      <c r="FY104" s="17" t="s">
        <v>56</v>
      </c>
      <c r="FZ104" s="17" t="s">
        <v>56</v>
      </c>
      <c r="GA104" s="17" t="s">
        <v>56</v>
      </c>
      <c r="GB104" s="17" t="s">
        <v>56</v>
      </c>
      <c r="GC104" s="17" t="s">
        <v>56</v>
      </c>
      <c r="GD104" s="17" t="s">
        <v>2969</v>
      </c>
      <c r="GE104" s="17" t="s">
        <v>2969</v>
      </c>
      <c r="GF104" s="17" t="s">
        <v>56</v>
      </c>
      <c r="GG104" s="17" t="s">
        <v>2818</v>
      </c>
      <c r="GH104" s="17" t="s">
        <v>2818</v>
      </c>
      <c r="GI104" s="17" t="s">
        <v>1111</v>
      </c>
      <c r="GJ104" s="17" t="s">
        <v>1111</v>
      </c>
      <c r="GK104" s="17" t="s">
        <v>1111</v>
      </c>
      <c r="GL104" s="17"/>
    </row>
    <row r="105" spans="2:194" x14ac:dyDescent="0.25">
      <c r="B105" s="17" t="s">
        <v>2840</v>
      </c>
      <c r="C105" s="17" t="s">
        <v>70</v>
      </c>
      <c r="D105" s="17" t="s">
        <v>3411</v>
      </c>
      <c r="E105" s="17" t="s">
        <v>3412</v>
      </c>
      <c r="F105" s="17" t="s">
        <v>3237</v>
      </c>
      <c r="G105" s="17" t="s">
        <v>3413</v>
      </c>
      <c r="H105" s="17"/>
      <c r="I105" s="17" t="s">
        <v>2797</v>
      </c>
      <c r="J105" s="17" t="s">
        <v>3403</v>
      </c>
      <c r="K105" s="17" t="s">
        <v>2653</v>
      </c>
      <c r="L105" s="17" t="s">
        <v>2800</v>
      </c>
      <c r="M105" s="17" t="s">
        <v>3414</v>
      </c>
      <c r="N105" s="17" t="s">
        <v>1325</v>
      </c>
      <c r="O105" s="17" t="s">
        <v>2813</v>
      </c>
      <c r="P105" s="17" t="s">
        <v>2814</v>
      </c>
      <c r="Q105" s="17" t="s">
        <v>3616</v>
      </c>
      <c r="R105" s="17">
        <v>17897433.710000001</v>
      </c>
      <c r="S105" s="17">
        <v>4974456.4000000004</v>
      </c>
      <c r="T105" s="17">
        <v>18587154.18</v>
      </c>
      <c r="U105" s="17" t="s">
        <v>2817</v>
      </c>
      <c r="V105" s="17" t="s">
        <v>939</v>
      </c>
      <c r="W105" s="17" t="s">
        <v>2816</v>
      </c>
      <c r="X105" s="17" t="s">
        <v>3403</v>
      </c>
      <c r="Y105" s="17" t="s">
        <v>56</v>
      </c>
      <c r="Z105" s="17" t="s">
        <v>3616</v>
      </c>
      <c r="AA105" s="17" t="s">
        <v>2801</v>
      </c>
      <c r="AB105" s="17">
        <v>2.1629</v>
      </c>
      <c r="AC105" s="17" t="s">
        <v>3616</v>
      </c>
      <c r="AD105" s="17" t="s">
        <v>2804</v>
      </c>
      <c r="AE105" s="17">
        <v>319397</v>
      </c>
      <c r="AF105" s="17" t="s">
        <v>2839</v>
      </c>
      <c r="AG105" s="17" t="s">
        <v>3617</v>
      </c>
      <c r="AH105" s="17" t="s">
        <v>2806</v>
      </c>
      <c r="AI105" s="17"/>
      <c r="AJ105" s="17" t="s">
        <v>56</v>
      </c>
      <c r="AK105" s="17" t="s">
        <v>56</v>
      </c>
      <c r="AL105" s="17" t="s">
        <v>56</v>
      </c>
      <c r="AM105" s="17" t="s">
        <v>56</v>
      </c>
      <c r="AN105" s="17" t="s">
        <v>56</v>
      </c>
      <c r="AO105" s="17" t="s">
        <v>56</v>
      </c>
      <c r="AP105" s="17" t="s">
        <v>56</v>
      </c>
      <c r="AQ105" s="17" t="s">
        <v>56</v>
      </c>
      <c r="AR105" s="17" t="s">
        <v>56</v>
      </c>
      <c r="AS105" s="17">
        <v>677.19899999999996</v>
      </c>
      <c r="AT105" s="17">
        <v>82.007599999999996</v>
      </c>
      <c r="AU105" s="17">
        <v>435.83600000000001</v>
      </c>
      <c r="AV105" s="17" t="s">
        <v>56</v>
      </c>
      <c r="AW105" s="17" t="s">
        <v>56</v>
      </c>
      <c r="AX105" s="17" t="s">
        <v>56</v>
      </c>
      <c r="AY105" s="17">
        <v>561.97</v>
      </c>
      <c r="AZ105" s="17">
        <v>68.053600000000003</v>
      </c>
      <c r="BA105" s="17">
        <v>361.67599999999999</v>
      </c>
      <c r="BB105" s="17" t="s">
        <v>56</v>
      </c>
      <c r="BC105" s="17" t="s">
        <v>56</v>
      </c>
      <c r="BD105" s="17" t="s">
        <v>56</v>
      </c>
      <c r="BE105" s="17" t="s">
        <v>56</v>
      </c>
      <c r="BF105" s="17" t="s">
        <v>56</v>
      </c>
      <c r="BG105" s="17" t="s">
        <v>56</v>
      </c>
      <c r="BH105" s="17" t="s">
        <v>56</v>
      </c>
      <c r="BI105" s="17" t="s">
        <v>56</v>
      </c>
      <c r="BJ105" s="17" t="s">
        <v>56</v>
      </c>
      <c r="BK105" s="17" t="s">
        <v>56</v>
      </c>
      <c r="BL105" s="17" t="s">
        <v>56</v>
      </c>
      <c r="BM105" s="17" t="s">
        <v>56</v>
      </c>
      <c r="BN105" s="17" t="s">
        <v>56</v>
      </c>
      <c r="BO105" s="17" t="s">
        <v>56</v>
      </c>
      <c r="BP105" s="17" t="s">
        <v>56</v>
      </c>
      <c r="BQ105" s="17" t="s">
        <v>56</v>
      </c>
      <c r="BR105" s="17" t="s">
        <v>56</v>
      </c>
      <c r="BS105" s="17" t="s">
        <v>56</v>
      </c>
      <c r="BT105" s="17" t="s">
        <v>56</v>
      </c>
      <c r="BU105" s="17" t="s">
        <v>56</v>
      </c>
      <c r="BV105" s="17" t="s">
        <v>56</v>
      </c>
      <c r="BW105" s="17" t="s">
        <v>56</v>
      </c>
      <c r="BX105" s="17" t="s">
        <v>2818</v>
      </c>
      <c r="BY105" s="17" t="s">
        <v>1111</v>
      </c>
      <c r="BZ105" s="17" t="s">
        <v>56</v>
      </c>
      <c r="CA105" s="17" t="s">
        <v>56</v>
      </c>
      <c r="CB105" s="17" t="s">
        <v>1325</v>
      </c>
      <c r="CC105" s="17" t="s">
        <v>1325</v>
      </c>
      <c r="CD105" s="17" t="s">
        <v>1325</v>
      </c>
      <c r="CE105" s="17" t="s">
        <v>1325</v>
      </c>
      <c r="CF105" s="17" t="s">
        <v>1325</v>
      </c>
      <c r="CG105" s="17" t="s">
        <v>1325</v>
      </c>
      <c r="CH105" s="17" t="s">
        <v>1325</v>
      </c>
      <c r="CI105" s="17" t="s">
        <v>1325</v>
      </c>
      <c r="CJ105" s="17" t="s">
        <v>1325</v>
      </c>
      <c r="CK105" s="17" t="s">
        <v>1325</v>
      </c>
      <c r="CL105" s="17" t="s">
        <v>1325</v>
      </c>
      <c r="CM105" s="17" t="s">
        <v>1325</v>
      </c>
      <c r="CN105" s="17" t="s">
        <v>1325</v>
      </c>
      <c r="CO105" s="17" t="s">
        <v>1325</v>
      </c>
      <c r="CP105" s="17" t="s">
        <v>1325</v>
      </c>
      <c r="CQ105" s="17" t="s">
        <v>1325</v>
      </c>
      <c r="CR105" s="17" t="s">
        <v>1325</v>
      </c>
      <c r="CS105" s="17" t="s">
        <v>1325</v>
      </c>
      <c r="CT105" s="17" t="s">
        <v>1325</v>
      </c>
      <c r="CU105" s="17" t="s">
        <v>1325</v>
      </c>
      <c r="CV105" s="17" t="s">
        <v>1325</v>
      </c>
      <c r="CW105" s="17" t="s">
        <v>56</v>
      </c>
      <c r="CX105" s="17" t="s">
        <v>56</v>
      </c>
      <c r="CY105" s="17" t="s">
        <v>56</v>
      </c>
      <c r="CZ105" s="17">
        <v>319397</v>
      </c>
      <c r="DA105" s="17">
        <v>319397</v>
      </c>
      <c r="DB105" s="17">
        <v>319397</v>
      </c>
      <c r="DC105" s="17"/>
      <c r="DD105" s="17"/>
      <c r="DE105" s="17"/>
      <c r="DF105" s="17" t="s">
        <v>3415</v>
      </c>
      <c r="DG105" s="17" t="s">
        <v>3606</v>
      </c>
      <c r="DH105" s="17" t="s">
        <v>3237</v>
      </c>
      <c r="DI105" s="17" t="s">
        <v>3463</v>
      </c>
      <c r="DJ105" s="17" t="s">
        <v>3405</v>
      </c>
      <c r="DK105" s="17" t="s">
        <v>3320</v>
      </c>
      <c r="DL105" s="17" t="s">
        <v>3418</v>
      </c>
      <c r="DM105" s="17">
        <v>3.2720000000000002E-3</v>
      </c>
      <c r="DN105" s="17">
        <v>1045.0999999999999</v>
      </c>
      <c r="DO105" s="17">
        <v>0.42855901116441097</v>
      </c>
      <c r="DP105" s="17" t="s">
        <v>3308</v>
      </c>
      <c r="DQ105" s="17" t="s">
        <v>2839</v>
      </c>
      <c r="DR105" s="17" t="s">
        <v>56</v>
      </c>
      <c r="DS105" s="17" t="s">
        <v>56</v>
      </c>
      <c r="DT105" s="17" t="s">
        <v>56</v>
      </c>
      <c r="DU105" s="17" t="s">
        <v>56</v>
      </c>
      <c r="DV105" s="17" t="s">
        <v>2862</v>
      </c>
      <c r="DW105" s="17" t="s">
        <v>3309</v>
      </c>
      <c r="DX105" s="17" t="s">
        <v>3310</v>
      </c>
      <c r="DY105" s="17">
        <v>9.7795896448127796E-3</v>
      </c>
      <c r="DZ105" s="17">
        <v>2.7520410355187201E-2</v>
      </c>
      <c r="EA105" s="17" t="s">
        <v>3311</v>
      </c>
      <c r="EB105" s="17">
        <v>4.0201671797007003E-3</v>
      </c>
      <c r="EC105" s="17">
        <v>7.1798328202993004E-3</v>
      </c>
      <c r="ED105" s="17" t="s">
        <v>56</v>
      </c>
      <c r="EE105" s="17" t="s">
        <v>56</v>
      </c>
      <c r="EF105" s="17" t="s">
        <v>56</v>
      </c>
      <c r="EG105" s="17" t="s">
        <v>2862</v>
      </c>
      <c r="EH105" s="17" t="s">
        <v>3309</v>
      </c>
      <c r="EI105" s="17" t="s">
        <v>3312</v>
      </c>
      <c r="EJ105" s="17">
        <v>1.08477E-2</v>
      </c>
      <c r="EK105" s="17">
        <v>5.8252699999999998E-2</v>
      </c>
      <c r="EL105" s="17" t="s">
        <v>3311</v>
      </c>
      <c r="EM105" s="17">
        <v>4.8999999999999998E-3</v>
      </c>
      <c r="EN105" s="17">
        <v>1.01E-2</v>
      </c>
      <c r="EO105" s="17" t="s">
        <v>3312</v>
      </c>
      <c r="EP105" s="17">
        <v>4.3641500000000004</v>
      </c>
      <c r="EQ105" s="17">
        <v>23.435700000000001</v>
      </c>
      <c r="ER105" s="17" t="s">
        <v>3313</v>
      </c>
      <c r="ES105" s="17">
        <v>0.59340000000000004</v>
      </c>
      <c r="ET105" s="17">
        <v>1.2263999999999999</v>
      </c>
      <c r="EU105" s="17" t="s">
        <v>2862</v>
      </c>
      <c r="EV105" s="17" t="s">
        <v>3309</v>
      </c>
      <c r="EW105" s="17" t="s">
        <v>3312</v>
      </c>
      <c r="EX105" s="17">
        <v>4.3641500000000004</v>
      </c>
      <c r="EY105" s="17">
        <v>23.435700000000001</v>
      </c>
      <c r="EZ105" s="17" t="s">
        <v>3311</v>
      </c>
      <c r="FA105" s="17">
        <v>0.59340000000000004</v>
      </c>
      <c r="FB105" s="17">
        <v>1.2263999999999999</v>
      </c>
      <c r="FC105" s="17" t="s">
        <v>56</v>
      </c>
      <c r="FD105" s="17" t="s">
        <v>56</v>
      </c>
      <c r="FE105" s="17" t="s">
        <v>56</v>
      </c>
      <c r="FF105" s="17" t="s">
        <v>56</v>
      </c>
      <c r="FG105" s="17" t="s">
        <v>56</v>
      </c>
      <c r="FH105" s="17" t="s">
        <v>56</v>
      </c>
      <c r="FI105" s="17" t="s">
        <v>56</v>
      </c>
      <c r="FJ105" s="17" t="s">
        <v>56</v>
      </c>
      <c r="FK105" s="17" t="s">
        <v>56</v>
      </c>
      <c r="FL105" s="17" t="s">
        <v>56</v>
      </c>
      <c r="FM105" s="17" t="s">
        <v>56</v>
      </c>
      <c r="FN105" s="17" t="s">
        <v>56</v>
      </c>
      <c r="FO105" s="17" t="s">
        <v>56</v>
      </c>
      <c r="FP105" s="17" t="s">
        <v>56</v>
      </c>
      <c r="FQ105" s="17" t="s">
        <v>56</v>
      </c>
      <c r="FR105" s="17" t="s">
        <v>56</v>
      </c>
      <c r="FS105" s="17" t="s">
        <v>56</v>
      </c>
      <c r="FT105" s="17" t="s">
        <v>56</v>
      </c>
      <c r="FU105" s="17">
        <v>194.51076406237399</v>
      </c>
      <c r="FV105" s="17">
        <v>1044.5323633093701</v>
      </c>
      <c r="FW105" s="17" t="s">
        <v>56</v>
      </c>
      <c r="FX105" s="17" t="s">
        <v>56</v>
      </c>
      <c r="FY105" s="17" t="s">
        <v>56</v>
      </c>
      <c r="FZ105" s="17" t="s">
        <v>56</v>
      </c>
      <c r="GA105" s="17" t="s">
        <v>56</v>
      </c>
      <c r="GB105" s="17" t="s">
        <v>56</v>
      </c>
      <c r="GC105" s="17" t="s">
        <v>56</v>
      </c>
      <c r="GD105" s="17" t="s">
        <v>2969</v>
      </c>
      <c r="GE105" s="17" t="s">
        <v>2969</v>
      </c>
      <c r="GF105" s="17" t="s">
        <v>56</v>
      </c>
      <c r="GG105" s="17" t="s">
        <v>2818</v>
      </c>
      <c r="GH105" s="17" t="s">
        <v>2818</v>
      </c>
      <c r="GI105" s="17" t="s">
        <v>1111</v>
      </c>
      <c r="GJ105" s="17" t="s">
        <v>1111</v>
      </c>
      <c r="GK105" s="17" t="s">
        <v>1111</v>
      </c>
      <c r="GL105" s="17"/>
    </row>
    <row r="106" spans="2:194" x14ac:dyDescent="0.25">
      <c r="B106" s="17" t="s">
        <v>2840</v>
      </c>
      <c r="C106" s="17" t="s">
        <v>70</v>
      </c>
      <c r="D106" s="17" t="s">
        <v>3411</v>
      </c>
      <c r="E106" s="17" t="s">
        <v>3412</v>
      </c>
      <c r="F106" s="17" t="s">
        <v>3237</v>
      </c>
      <c r="G106" s="17" t="s">
        <v>3413</v>
      </c>
      <c r="H106" s="17"/>
      <c r="I106" s="17" t="s">
        <v>2797</v>
      </c>
      <c r="J106" s="17" t="s">
        <v>3403</v>
      </c>
      <c r="K106" s="17" t="s">
        <v>2653</v>
      </c>
      <c r="L106" s="17" t="s">
        <v>2800</v>
      </c>
      <c r="M106" s="17" t="s">
        <v>3414</v>
      </c>
      <c r="N106" s="17" t="s">
        <v>1325</v>
      </c>
      <c r="O106" s="17" t="s">
        <v>2813</v>
      </c>
      <c r="P106" s="17" t="s">
        <v>2814</v>
      </c>
      <c r="Q106" s="17" t="s">
        <v>3616</v>
      </c>
      <c r="R106" s="17">
        <v>17897433.710000001</v>
      </c>
      <c r="S106" s="17">
        <v>4974456.4000000004</v>
      </c>
      <c r="T106" s="17">
        <v>18587154.18</v>
      </c>
      <c r="U106" s="17" t="s">
        <v>2817</v>
      </c>
      <c r="V106" s="17" t="s">
        <v>939</v>
      </c>
      <c r="W106" s="17" t="s">
        <v>2816</v>
      </c>
      <c r="X106" s="17" t="s">
        <v>3403</v>
      </c>
      <c r="Y106" s="17" t="s">
        <v>56</v>
      </c>
      <c r="Z106" s="17" t="s">
        <v>3616</v>
      </c>
      <c r="AA106" s="17" t="s">
        <v>2801</v>
      </c>
      <c r="AB106" s="17">
        <v>2.1629</v>
      </c>
      <c r="AC106" s="17" t="s">
        <v>3616</v>
      </c>
      <c r="AD106" s="17" t="s">
        <v>2804</v>
      </c>
      <c r="AE106" s="17">
        <v>319397</v>
      </c>
      <c r="AF106" s="17" t="s">
        <v>2839</v>
      </c>
      <c r="AG106" s="17" t="s">
        <v>3617</v>
      </c>
      <c r="AH106" s="17" t="s">
        <v>2806</v>
      </c>
      <c r="AI106" s="17"/>
      <c r="AJ106" s="17" t="s">
        <v>56</v>
      </c>
      <c r="AK106" s="17" t="s">
        <v>56</v>
      </c>
      <c r="AL106" s="17" t="s">
        <v>56</v>
      </c>
      <c r="AM106" s="17" t="s">
        <v>56</v>
      </c>
      <c r="AN106" s="17" t="s">
        <v>56</v>
      </c>
      <c r="AO106" s="17" t="s">
        <v>56</v>
      </c>
      <c r="AP106" s="17" t="s">
        <v>56</v>
      </c>
      <c r="AQ106" s="17" t="s">
        <v>56</v>
      </c>
      <c r="AR106" s="17" t="s">
        <v>56</v>
      </c>
      <c r="AS106" s="17">
        <v>677.19899999999996</v>
      </c>
      <c r="AT106" s="17">
        <v>82.007599999999996</v>
      </c>
      <c r="AU106" s="17">
        <v>435.83600000000001</v>
      </c>
      <c r="AV106" s="17" t="s">
        <v>56</v>
      </c>
      <c r="AW106" s="17" t="s">
        <v>56</v>
      </c>
      <c r="AX106" s="17" t="s">
        <v>56</v>
      </c>
      <c r="AY106" s="17">
        <v>561.97</v>
      </c>
      <c r="AZ106" s="17">
        <v>68.053600000000003</v>
      </c>
      <c r="BA106" s="17">
        <v>361.67599999999999</v>
      </c>
      <c r="BB106" s="17" t="s">
        <v>56</v>
      </c>
      <c r="BC106" s="17" t="s">
        <v>56</v>
      </c>
      <c r="BD106" s="17" t="s">
        <v>56</v>
      </c>
      <c r="BE106" s="17" t="s">
        <v>56</v>
      </c>
      <c r="BF106" s="17" t="s">
        <v>56</v>
      </c>
      <c r="BG106" s="17" t="s">
        <v>56</v>
      </c>
      <c r="BH106" s="17" t="s">
        <v>56</v>
      </c>
      <c r="BI106" s="17" t="s">
        <v>56</v>
      </c>
      <c r="BJ106" s="17" t="s">
        <v>56</v>
      </c>
      <c r="BK106" s="17" t="s">
        <v>56</v>
      </c>
      <c r="BL106" s="17" t="s">
        <v>56</v>
      </c>
      <c r="BM106" s="17" t="s">
        <v>56</v>
      </c>
      <c r="BN106" s="17" t="s">
        <v>56</v>
      </c>
      <c r="BO106" s="17" t="s">
        <v>56</v>
      </c>
      <c r="BP106" s="17" t="s">
        <v>56</v>
      </c>
      <c r="BQ106" s="17" t="s">
        <v>56</v>
      </c>
      <c r="BR106" s="17" t="s">
        <v>56</v>
      </c>
      <c r="BS106" s="17" t="s">
        <v>56</v>
      </c>
      <c r="BT106" s="17" t="s">
        <v>56</v>
      </c>
      <c r="BU106" s="17" t="s">
        <v>56</v>
      </c>
      <c r="BV106" s="17" t="s">
        <v>56</v>
      </c>
      <c r="BW106" s="17" t="s">
        <v>56</v>
      </c>
      <c r="BX106" s="17" t="s">
        <v>2818</v>
      </c>
      <c r="BY106" s="17" t="s">
        <v>1111</v>
      </c>
      <c r="BZ106" s="17" t="s">
        <v>56</v>
      </c>
      <c r="CA106" s="17" t="s">
        <v>56</v>
      </c>
      <c r="CB106" s="17" t="s">
        <v>1325</v>
      </c>
      <c r="CC106" s="17" t="s">
        <v>1325</v>
      </c>
      <c r="CD106" s="17" t="s">
        <v>1325</v>
      </c>
      <c r="CE106" s="17" t="s">
        <v>1325</v>
      </c>
      <c r="CF106" s="17" t="s">
        <v>1325</v>
      </c>
      <c r="CG106" s="17" t="s">
        <v>1325</v>
      </c>
      <c r="CH106" s="17" t="s">
        <v>1325</v>
      </c>
      <c r="CI106" s="17" t="s">
        <v>1325</v>
      </c>
      <c r="CJ106" s="17" t="s">
        <v>1325</v>
      </c>
      <c r="CK106" s="17" t="s">
        <v>1325</v>
      </c>
      <c r="CL106" s="17" t="s">
        <v>1325</v>
      </c>
      <c r="CM106" s="17" t="s">
        <v>1325</v>
      </c>
      <c r="CN106" s="17" t="s">
        <v>1325</v>
      </c>
      <c r="CO106" s="17" t="s">
        <v>1325</v>
      </c>
      <c r="CP106" s="17" t="s">
        <v>1325</v>
      </c>
      <c r="CQ106" s="17" t="s">
        <v>1325</v>
      </c>
      <c r="CR106" s="17" t="s">
        <v>1325</v>
      </c>
      <c r="CS106" s="17" t="s">
        <v>1325</v>
      </c>
      <c r="CT106" s="17" t="s">
        <v>1325</v>
      </c>
      <c r="CU106" s="17" t="s">
        <v>1325</v>
      </c>
      <c r="CV106" s="17" t="s">
        <v>1325</v>
      </c>
      <c r="CW106" s="17" t="s">
        <v>56</v>
      </c>
      <c r="CX106" s="17" t="s">
        <v>56</v>
      </c>
      <c r="CY106" s="17" t="s">
        <v>56</v>
      </c>
      <c r="CZ106" s="17">
        <v>319397</v>
      </c>
      <c r="DA106" s="17">
        <v>319397</v>
      </c>
      <c r="DB106" s="17">
        <v>319397</v>
      </c>
      <c r="DC106" s="17"/>
      <c r="DD106" s="17"/>
      <c r="DE106" s="17"/>
      <c r="DF106" s="17" t="s">
        <v>3415</v>
      </c>
      <c r="DG106" s="17" t="s">
        <v>3607</v>
      </c>
      <c r="DH106" s="17" t="s">
        <v>3237</v>
      </c>
      <c r="DI106" s="17" t="s">
        <v>3608</v>
      </c>
      <c r="DJ106" s="17" t="s">
        <v>3405</v>
      </c>
      <c r="DK106" s="17" t="s">
        <v>3320</v>
      </c>
      <c r="DL106" s="17" t="s">
        <v>3418</v>
      </c>
      <c r="DM106" s="17">
        <v>9.5379999999999996E-3</v>
      </c>
      <c r="DN106" s="17">
        <v>3046.4</v>
      </c>
      <c r="DO106" s="17">
        <v>0.428557630334786</v>
      </c>
      <c r="DP106" s="17" t="s">
        <v>3308</v>
      </c>
      <c r="DQ106" s="17" t="s">
        <v>2839</v>
      </c>
      <c r="DR106" s="17" t="s">
        <v>56</v>
      </c>
      <c r="DS106" s="17" t="s">
        <v>56</v>
      </c>
      <c r="DT106" s="17" t="s">
        <v>56</v>
      </c>
      <c r="DU106" s="17" t="s">
        <v>56</v>
      </c>
      <c r="DV106" s="17" t="s">
        <v>2862</v>
      </c>
      <c r="DW106" s="17" t="s">
        <v>3309</v>
      </c>
      <c r="DX106" s="17" t="s">
        <v>3310</v>
      </c>
      <c r="DY106" s="17">
        <v>9.7795896448127796E-3</v>
      </c>
      <c r="DZ106" s="17">
        <v>2.7520410355187201E-2</v>
      </c>
      <c r="EA106" s="17" t="s">
        <v>3311</v>
      </c>
      <c r="EB106" s="17">
        <v>4.0201671797007003E-3</v>
      </c>
      <c r="EC106" s="17">
        <v>7.1798328202993004E-3</v>
      </c>
      <c r="ED106" s="17" t="s">
        <v>56</v>
      </c>
      <c r="EE106" s="17" t="s">
        <v>56</v>
      </c>
      <c r="EF106" s="17" t="s">
        <v>56</v>
      </c>
      <c r="EG106" s="17" t="s">
        <v>2862</v>
      </c>
      <c r="EH106" s="17" t="s">
        <v>3309</v>
      </c>
      <c r="EI106" s="17" t="s">
        <v>3312</v>
      </c>
      <c r="EJ106" s="17">
        <v>1.08477E-2</v>
      </c>
      <c r="EK106" s="17">
        <v>5.8252699999999998E-2</v>
      </c>
      <c r="EL106" s="17" t="s">
        <v>3311</v>
      </c>
      <c r="EM106" s="17">
        <v>4.8999999999999998E-3</v>
      </c>
      <c r="EN106" s="17">
        <v>1.01E-2</v>
      </c>
      <c r="EO106" s="17" t="s">
        <v>3312</v>
      </c>
      <c r="EP106" s="17">
        <v>4.3641500000000004</v>
      </c>
      <c r="EQ106" s="17">
        <v>23.435700000000001</v>
      </c>
      <c r="ER106" s="17" t="s">
        <v>3313</v>
      </c>
      <c r="ES106" s="17">
        <v>0.59340000000000004</v>
      </c>
      <c r="ET106" s="17">
        <v>1.2263999999999999</v>
      </c>
      <c r="EU106" s="17" t="s">
        <v>2862</v>
      </c>
      <c r="EV106" s="17" t="s">
        <v>3309</v>
      </c>
      <c r="EW106" s="17" t="s">
        <v>3312</v>
      </c>
      <c r="EX106" s="17">
        <v>4.3641500000000004</v>
      </c>
      <c r="EY106" s="17">
        <v>23.435700000000001</v>
      </c>
      <c r="EZ106" s="17" t="s">
        <v>3311</v>
      </c>
      <c r="FA106" s="17">
        <v>0.59340000000000004</v>
      </c>
      <c r="FB106" s="17">
        <v>1.2263999999999999</v>
      </c>
      <c r="FC106" s="17" t="s">
        <v>56</v>
      </c>
      <c r="FD106" s="17" t="s">
        <v>56</v>
      </c>
      <c r="FE106" s="17" t="s">
        <v>56</v>
      </c>
      <c r="FF106" s="17" t="s">
        <v>56</v>
      </c>
      <c r="FG106" s="17" t="s">
        <v>56</v>
      </c>
      <c r="FH106" s="17" t="s">
        <v>56</v>
      </c>
      <c r="FI106" s="17" t="s">
        <v>56</v>
      </c>
      <c r="FJ106" s="17" t="s">
        <v>56</v>
      </c>
      <c r="FK106" s="17" t="s">
        <v>56</v>
      </c>
      <c r="FL106" s="17" t="s">
        <v>56</v>
      </c>
      <c r="FM106" s="17" t="s">
        <v>56</v>
      </c>
      <c r="FN106" s="17" t="s">
        <v>56</v>
      </c>
      <c r="FO106" s="17" t="s">
        <v>56</v>
      </c>
      <c r="FP106" s="17" t="s">
        <v>56</v>
      </c>
      <c r="FQ106" s="17" t="s">
        <v>56</v>
      </c>
      <c r="FR106" s="17" t="s">
        <v>56</v>
      </c>
      <c r="FS106" s="17" t="s">
        <v>56</v>
      </c>
      <c r="FT106" s="17" t="s">
        <v>56</v>
      </c>
      <c r="FU106" s="17">
        <v>194.51013735646899</v>
      </c>
      <c r="FV106" s="17">
        <v>1044.52899786785</v>
      </c>
      <c r="FW106" s="17" t="s">
        <v>56</v>
      </c>
      <c r="FX106" s="17" t="s">
        <v>56</v>
      </c>
      <c r="FY106" s="17" t="s">
        <v>56</v>
      </c>
      <c r="FZ106" s="17" t="s">
        <v>56</v>
      </c>
      <c r="GA106" s="17" t="s">
        <v>56</v>
      </c>
      <c r="GB106" s="17" t="s">
        <v>56</v>
      </c>
      <c r="GC106" s="17" t="s">
        <v>56</v>
      </c>
      <c r="GD106" s="17" t="s">
        <v>2969</v>
      </c>
      <c r="GE106" s="17" t="s">
        <v>2969</v>
      </c>
      <c r="GF106" s="17" t="s">
        <v>56</v>
      </c>
      <c r="GG106" s="17" t="s">
        <v>2818</v>
      </c>
      <c r="GH106" s="17" t="s">
        <v>2818</v>
      </c>
      <c r="GI106" s="17" t="s">
        <v>1111</v>
      </c>
      <c r="GJ106" s="17" t="s">
        <v>1111</v>
      </c>
      <c r="GK106" s="17" t="s">
        <v>1111</v>
      </c>
      <c r="GL106" s="17"/>
    </row>
    <row r="107" spans="2:194" x14ac:dyDescent="0.25">
      <c r="B107" s="17" t="s">
        <v>2840</v>
      </c>
      <c r="C107" s="17" t="s">
        <v>70</v>
      </c>
      <c r="D107" s="17" t="s">
        <v>3411</v>
      </c>
      <c r="E107" s="17" t="s">
        <v>3412</v>
      </c>
      <c r="F107" s="17" t="s">
        <v>3237</v>
      </c>
      <c r="G107" s="17" t="s">
        <v>3413</v>
      </c>
      <c r="H107" s="17"/>
      <c r="I107" s="17" t="s">
        <v>2797</v>
      </c>
      <c r="J107" s="17" t="s">
        <v>3403</v>
      </c>
      <c r="K107" s="17" t="s">
        <v>2653</v>
      </c>
      <c r="L107" s="17" t="s">
        <v>2800</v>
      </c>
      <c r="M107" s="17" t="s">
        <v>3414</v>
      </c>
      <c r="N107" s="17" t="s">
        <v>1325</v>
      </c>
      <c r="O107" s="17" t="s">
        <v>2813</v>
      </c>
      <c r="P107" s="17" t="s">
        <v>2814</v>
      </c>
      <c r="Q107" s="17" t="s">
        <v>3616</v>
      </c>
      <c r="R107" s="17">
        <v>17897433.710000001</v>
      </c>
      <c r="S107" s="17">
        <v>4974456.4000000004</v>
      </c>
      <c r="T107" s="17">
        <v>18587154.18</v>
      </c>
      <c r="U107" s="17" t="s">
        <v>2817</v>
      </c>
      <c r="V107" s="17" t="s">
        <v>939</v>
      </c>
      <c r="W107" s="17" t="s">
        <v>2816</v>
      </c>
      <c r="X107" s="17" t="s">
        <v>3403</v>
      </c>
      <c r="Y107" s="17" t="s">
        <v>56</v>
      </c>
      <c r="Z107" s="17" t="s">
        <v>3616</v>
      </c>
      <c r="AA107" s="17" t="s">
        <v>2801</v>
      </c>
      <c r="AB107" s="17">
        <v>2.1629</v>
      </c>
      <c r="AC107" s="17" t="s">
        <v>3616</v>
      </c>
      <c r="AD107" s="17" t="s">
        <v>2804</v>
      </c>
      <c r="AE107" s="17">
        <v>319397</v>
      </c>
      <c r="AF107" s="17" t="s">
        <v>2839</v>
      </c>
      <c r="AG107" s="17" t="s">
        <v>3617</v>
      </c>
      <c r="AH107" s="17" t="s">
        <v>2806</v>
      </c>
      <c r="AI107" s="17"/>
      <c r="AJ107" s="17" t="s">
        <v>56</v>
      </c>
      <c r="AK107" s="17" t="s">
        <v>56</v>
      </c>
      <c r="AL107" s="17" t="s">
        <v>56</v>
      </c>
      <c r="AM107" s="17" t="s">
        <v>56</v>
      </c>
      <c r="AN107" s="17" t="s">
        <v>56</v>
      </c>
      <c r="AO107" s="17" t="s">
        <v>56</v>
      </c>
      <c r="AP107" s="17" t="s">
        <v>56</v>
      </c>
      <c r="AQ107" s="17" t="s">
        <v>56</v>
      </c>
      <c r="AR107" s="17" t="s">
        <v>56</v>
      </c>
      <c r="AS107" s="17">
        <v>677.19899999999996</v>
      </c>
      <c r="AT107" s="17">
        <v>82.007599999999996</v>
      </c>
      <c r="AU107" s="17">
        <v>435.83600000000001</v>
      </c>
      <c r="AV107" s="17" t="s">
        <v>56</v>
      </c>
      <c r="AW107" s="17" t="s">
        <v>56</v>
      </c>
      <c r="AX107" s="17" t="s">
        <v>56</v>
      </c>
      <c r="AY107" s="17">
        <v>561.97</v>
      </c>
      <c r="AZ107" s="17">
        <v>68.053600000000003</v>
      </c>
      <c r="BA107" s="17">
        <v>361.67599999999999</v>
      </c>
      <c r="BB107" s="17" t="s">
        <v>56</v>
      </c>
      <c r="BC107" s="17" t="s">
        <v>56</v>
      </c>
      <c r="BD107" s="17" t="s">
        <v>56</v>
      </c>
      <c r="BE107" s="17" t="s">
        <v>56</v>
      </c>
      <c r="BF107" s="17" t="s">
        <v>56</v>
      </c>
      <c r="BG107" s="17" t="s">
        <v>56</v>
      </c>
      <c r="BH107" s="17" t="s">
        <v>56</v>
      </c>
      <c r="BI107" s="17" t="s">
        <v>56</v>
      </c>
      <c r="BJ107" s="17" t="s">
        <v>56</v>
      </c>
      <c r="BK107" s="17" t="s">
        <v>56</v>
      </c>
      <c r="BL107" s="17" t="s">
        <v>56</v>
      </c>
      <c r="BM107" s="17" t="s">
        <v>56</v>
      </c>
      <c r="BN107" s="17" t="s">
        <v>56</v>
      </c>
      <c r="BO107" s="17" t="s">
        <v>56</v>
      </c>
      <c r="BP107" s="17" t="s">
        <v>56</v>
      </c>
      <c r="BQ107" s="17" t="s">
        <v>56</v>
      </c>
      <c r="BR107" s="17" t="s">
        <v>56</v>
      </c>
      <c r="BS107" s="17" t="s">
        <v>56</v>
      </c>
      <c r="BT107" s="17" t="s">
        <v>56</v>
      </c>
      <c r="BU107" s="17" t="s">
        <v>56</v>
      </c>
      <c r="BV107" s="17" t="s">
        <v>56</v>
      </c>
      <c r="BW107" s="17" t="s">
        <v>56</v>
      </c>
      <c r="BX107" s="17" t="s">
        <v>2818</v>
      </c>
      <c r="BY107" s="17" t="s">
        <v>1111</v>
      </c>
      <c r="BZ107" s="17" t="s">
        <v>56</v>
      </c>
      <c r="CA107" s="17" t="s">
        <v>56</v>
      </c>
      <c r="CB107" s="17" t="s">
        <v>1325</v>
      </c>
      <c r="CC107" s="17" t="s">
        <v>1325</v>
      </c>
      <c r="CD107" s="17" t="s">
        <v>1325</v>
      </c>
      <c r="CE107" s="17" t="s">
        <v>1325</v>
      </c>
      <c r="CF107" s="17" t="s">
        <v>1325</v>
      </c>
      <c r="CG107" s="17" t="s">
        <v>1325</v>
      </c>
      <c r="CH107" s="17" t="s">
        <v>1325</v>
      </c>
      <c r="CI107" s="17" t="s">
        <v>1325</v>
      </c>
      <c r="CJ107" s="17" t="s">
        <v>1325</v>
      </c>
      <c r="CK107" s="17" t="s">
        <v>1325</v>
      </c>
      <c r="CL107" s="17" t="s">
        <v>1325</v>
      </c>
      <c r="CM107" s="17" t="s">
        <v>1325</v>
      </c>
      <c r="CN107" s="17" t="s">
        <v>1325</v>
      </c>
      <c r="CO107" s="17" t="s">
        <v>1325</v>
      </c>
      <c r="CP107" s="17" t="s">
        <v>1325</v>
      </c>
      <c r="CQ107" s="17" t="s">
        <v>1325</v>
      </c>
      <c r="CR107" s="17" t="s">
        <v>1325</v>
      </c>
      <c r="CS107" s="17" t="s">
        <v>1325</v>
      </c>
      <c r="CT107" s="17" t="s">
        <v>1325</v>
      </c>
      <c r="CU107" s="17" t="s">
        <v>1325</v>
      </c>
      <c r="CV107" s="17" t="s">
        <v>1325</v>
      </c>
      <c r="CW107" s="17" t="s">
        <v>56</v>
      </c>
      <c r="CX107" s="17" t="s">
        <v>56</v>
      </c>
      <c r="CY107" s="17" t="s">
        <v>56</v>
      </c>
      <c r="CZ107" s="17">
        <v>319397</v>
      </c>
      <c r="DA107" s="17">
        <v>319397</v>
      </c>
      <c r="DB107" s="17">
        <v>319397</v>
      </c>
      <c r="DC107" s="17"/>
      <c r="DD107" s="17"/>
      <c r="DE107" s="17"/>
      <c r="DF107" s="17" t="s">
        <v>3415</v>
      </c>
      <c r="DG107" s="17" t="s">
        <v>3609</v>
      </c>
      <c r="DH107" s="17" t="s">
        <v>3237</v>
      </c>
      <c r="DI107" s="17" t="s">
        <v>3548</v>
      </c>
      <c r="DJ107" s="17" t="s">
        <v>3405</v>
      </c>
      <c r="DK107" s="17" t="s">
        <v>3320</v>
      </c>
      <c r="DL107" s="17" t="s">
        <v>3418</v>
      </c>
      <c r="DM107" s="17">
        <v>2.3219999999999998E-3</v>
      </c>
      <c r="DN107" s="17">
        <v>741.6</v>
      </c>
      <c r="DO107" s="17">
        <v>0.61461297443247698</v>
      </c>
      <c r="DP107" s="17" t="s">
        <v>3308</v>
      </c>
      <c r="DQ107" s="17" t="s">
        <v>2839</v>
      </c>
      <c r="DR107" s="17" t="s">
        <v>56</v>
      </c>
      <c r="DS107" s="17" t="s">
        <v>56</v>
      </c>
      <c r="DT107" s="17" t="s">
        <v>56</v>
      </c>
      <c r="DU107" s="17" t="s">
        <v>56</v>
      </c>
      <c r="DV107" s="17" t="s">
        <v>2862</v>
      </c>
      <c r="DW107" s="17" t="s">
        <v>3309</v>
      </c>
      <c r="DX107" s="17" t="s">
        <v>3310</v>
      </c>
      <c r="DY107" s="17">
        <v>9.7795896448127796E-3</v>
      </c>
      <c r="DZ107" s="17">
        <v>2.7520410355187201E-2</v>
      </c>
      <c r="EA107" s="17" t="s">
        <v>3311</v>
      </c>
      <c r="EB107" s="17">
        <v>4.0201671797007003E-3</v>
      </c>
      <c r="EC107" s="17">
        <v>7.1798328202993004E-3</v>
      </c>
      <c r="ED107" s="17" t="s">
        <v>56</v>
      </c>
      <c r="EE107" s="17" t="s">
        <v>56</v>
      </c>
      <c r="EF107" s="17" t="s">
        <v>56</v>
      </c>
      <c r="EG107" s="17" t="s">
        <v>2862</v>
      </c>
      <c r="EH107" s="17" t="s">
        <v>3309</v>
      </c>
      <c r="EI107" s="17" t="s">
        <v>3312</v>
      </c>
      <c r="EJ107" s="17">
        <v>1.08477E-2</v>
      </c>
      <c r="EK107" s="17">
        <v>5.8252699999999998E-2</v>
      </c>
      <c r="EL107" s="17" t="s">
        <v>3311</v>
      </c>
      <c r="EM107" s="17">
        <v>4.8999999999999998E-3</v>
      </c>
      <c r="EN107" s="17">
        <v>1.01E-2</v>
      </c>
      <c r="EO107" s="17" t="s">
        <v>3312</v>
      </c>
      <c r="EP107" s="17">
        <v>4.3641500000000004</v>
      </c>
      <c r="EQ107" s="17">
        <v>23.435700000000001</v>
      </c>
      <c r="ER107" s="17" t="s">
        <v>3313</v>
      </c>
      <c r="ES107" s="17">
        <v>0.59340000000000004</v>
      </c>
      <c r="ET107" s="17">
        <v>1.2263999999999999</v>
      </c>
      <c r="EU107" s="17" t="s">
        <v>2862</v>
      </c>
      <c r="EV107" s="17" t="s">
        <v>3309</v>
      </c>
      <c r="EW107" s="17" t="s">
        <v>3312</v>
      </c>
      <c r="EX107" s="17">
        <v>4.3641500000000004</v>
      </c>
      <c r="EY107" s="17">
        <v>23.435700000000001</v>
      </c>
      <c r="EZ107" s="17" t="s">
        <v>3311</v>
      </c>
      <c r="FA107" s="17">
        <v>0.59340000000000004</v>
      </c>
      <c r="FB107" s="17">
        <v>1.2263999999999999</v>
      </c>
      <c r="FC107" s="17" t="s">
        <v>56</v>
      </c>
      <c r="FD107" s="17" t="s">
        <v>56</v>
      </c>
      <c r="FE107" s="17" t="s">
        <v>56</v>
      </c>
      <c r="FF107" s="17" t="s">
        <v>56</v>
      </c>
      <c r="FG107" s="17" t="s">
        <v>56</v>
      </c>
      <c r="FH107" s="17" t="s">
        <v>56</v>
      </c>
      <c r="FI107" s="17" t="s">
        <v>56</v>
      </c>
      <c r="FJ107" s="17" t="s">
        <v>56</v>
      </c>
      <c r="FK107" s="17" t="s">
        <v>56</v>
      </c>
      <c r="FL107" s="17" t="s">
        <v>56</v>
      </c>
      <c r="FM107" s="17" t="s">
        <v>56</v>
      </c>
      <c r="FN107" s="17" t="s">
        <v>56</v>
      </c>
      <c r="FO107" s="17" t="s">
        <v>56</v>
      </c>
      <c r="FP107" s="17" t="s">
        <v>56</v>
      </c>
      <c r="FQ107" s="17" t="s">
        <v>56</v>
      </c>
      <c r="FR107" s="17" t="s">
        <v>56</v>
      </c>
      <c r="FS107" s="17" t="s">
        <v>56</v>
      </c>
      <c r="FT107" s="17" t="s">
        <v>56</v>
      </c>
      <c r="FU107" s="17">
        <v>278.955374071687</v>
      </c>
      <c r="FV107" s="17">
        <v>1498.00406955119</v>
      </c>
      <c r="FW107" s="17" t="s">
        <v>56</v>
      </c>
      <c r="FX107" s="17" t="s">
        <v>56</v>
      </c>
      <c r="FY107" s="17" t="s">
        <v>56</v>
      </c>
      <c r="FZ107" s="17" t="s">
        <v>56</v>
      </c>
      <c r="GA107" s="17" t="s">
        <v>56</v>
      </c>
      <c r="GB107" s="17" t="s">
        <v>56</v>
      </c>
      <c r="GC107" s="17" t="s">
        <v>56</v>
      </c>
      <c r="GD107" s="17" t="s">
        <v>2969</v>
      </c>
      <c r="GE107" s="17" t="s">
        <v>2969</v>
      </c>
      <c r="GF107" s="17" t="s">
        <v>56</v>
      </c>
      <c r="GG107" s="17" t="s">
        <v>2818</v>
      </c>
      <c r="GH107" s="17" t="s">
        <v>2818</v>
      </c>
      <c r="GI107" s="17" t="s">
        <v>1111</v>
      </c>
      <c r="GJ107" s="17" t="s">
        <v>1111</v>
      </c>
      <c r="GK107" s="17" t="s">
        <v>1111</v>
      </c>
      <c r="GL107" s="17"/>
    </row>
    <row r="108" spans="2:194" x14ac:dyDescent="0.25">
      <c r="B108" s="17" t="s">
        <v>2840</v>
      </c>
      <c r="C108" s="17" t="s">
        <v>70</v>
      </c>
      <c r="D108" s="17" t="s">
        <v>3411</v>
      </c>
      <c r="E108" s="17" t="s">
        <v>3412</v>
      </c>
      <c r="F108" s="17" t="s">
        <v>3237</v>
      </c>
      <c r="G108" s="17" t="s">
        <v>3413</v>
      </c>
      <c r="H108" s="17"/>
      <c r="I108" s="17" t="s">
        <v>2797</v>
      </c>
      <c r="J108" s="17" t="s">
        <v>3403</v>
      </c>
      <c r="K108" s="17" t="s">
        <v>2653</v>
      </c>
      <c r="L108" s="17" t="s">
        <v>2800</v>
      </c>
      <c r="M108" s="17" t="s">
        <v>3414</v>
      </c>
      <c r="N108" s="17" t="s">
        <v>1325</v>
      </c>
      <c r="O108" s="17" t="s">
        <v>2813</v>
      </c>
      <c r="P108" s="17" t="s">
        <v>2814</v>
      </c>
      <c r="Q108" s="17" t="s">
        <v>3616</v>
      </c>
      <c r="R108" s="17">
        <v>17897433.710000001</v>
      </c>
      <c r="S108" s="17">
        <v>4974456.4000000004</v>
      </c>
      <c r="T108" s="17">
        <v>18587154.18</v>
      </c>
      <c r="U108" s="17" t="s">
        <v>2817</v>
      </c>
      <c r="V108" s="17" t="s">
        <v>939</v>
      </c>
      <c r="W108" s="17" t="s">
        <v>2816</v>
      </c>
      <c r="X108" s="17" t="s">
        <v>3403</v>
      </c>
      <c r="Y108" s="17" t="s">
        <v>56</v>
      </c>
      <c r="Z108" s="17" t="s">
        <v>3616</v>
      </c>
      <c r="AA108" s="17" t="s">
        <v>2801</v>
      </c>
      <c r="AB108" s="17">
        <v>2.1629</v>
      </c>
      <c r="AC108" s="17" t="s">
        <v>3616</v>
      </c>
      <c r="AD108" s="17" t="s">
        <v>2804</v>
      </c>
      <c r="AE108" s="17">
        <v>319397</v>
      </c>
      <c r="AF108" s="17" t="s">
        <v>2839</v>
      </c>
      <c r="AG108" s="17" t="s">
        <v>3617</v>
      </c>
      <c r="AH108" s="17" t="s">
        <v>2806</v>
      </c>
      <c r="AI108" s="17"/>
      <c r="AJ108" s="17" t="s">
        <v>56</v>
      </c>
      <c r="AK108" s="17" t="s">
        <v>56</v>
      </c>
      <c r="AL108" s="17" t="s">
        <v>56</v>
      </c>
      <c r="AM108" s="17" t="s">
        <v>56</v>
      </c>
      <c r="AN108" s="17" t="s">
        <v>56</v>
      </c>
      <c r="AO108" s="17" t="s">
        <v>56</v>
      </c>
      <c r="AP108" s="17" t="s">
        <v>56</v>
      </c>
      <c r="AQ108" s="17" t="s">
        <v>56</v>
      </c>
      <c r="AR108" s="17" t="s">
        <v>56</v>
      </c>
      <c r="AS108" s="17">
        <v>677.19899999999996</v>
      </c>
      <c r="AT108" s="17">
        <v>82.007599999999996</v>
      </c>
      <c r="AU108" s="17">
        <v>435.83600000000001</v>
      </c>
      <c r="AV108" s="17" t="s">
        <v>56</v>
      </c>
      <c r="AW108" s="17" t="s">
        <v>56</v>
      </c>
      <c r="AX108" s="17" t="s">
        <v>56</v>
      </c>
      <c r="AY108" s="17">
        <v>561.97</v>
      </c>
      <c r="AZ108" s="17">
        <v>68.053600000000003</v>
      </c>
      <c r="BA108" s="17">
        <v>361.67599999999999</v>
      </c>
      <c r="BB108" s="17" t="s">
        <v>56</v>
      </c>
      <c r="BC108" s="17" t="s">
        <v>56</v>
      </c>
      <c r="BD108" s="17" t="s">
        <v>56</v>
      </c>
      <c r="BE108" s="17" t="s">
        <v>56</v>
      </c>
      <c r="BF108" s="17" t="s">
        <v>56</v>
      </c>
      <c r="BG108" s="17" t="s">
        <v>56</v>
      </c>
      <c r="BH108" s="17" t="s">
        <v>56</v>
      </c>
      <c r="BI108" s="17" t="s">
        <v>56</v>
      </c>
      <c r="BJ108" s="17" t="s">
        <v>56</v>
      </c>
      <c r="BK108" s="17" t="s">
        <v>56</v>
      </c>
      <c r="BL108" s="17" t="s">
        <v>56</v>
      </c>
      <c r="BM108" s="17" t="s">
        <v>56</v>
      </c>
      <c r="BN108" s="17" t="s">
        <v>56</v>
      </c>
      <c r="BO108" s="17" t="s">
        <v>56</v>
      </c>
      <c r="BP108" s="17" t="s">
        <v>56</v>
      </c>
      <c r="BQ108" s="17" t="s">
        <v>56</v>
      </c>
      <c r="BR108" s="17" t="s">
        <v>56</v>
      </c>
      <c r="BS108" s="17" t="s">
        <v>56</v>
      </c>
      <c r="BT108" s="17" t="s">
        <v>56</v>
      </c>
      <c r="BU108" s="17" t="s">
        <v>56</v>
      </c>
      <c r="BV108" s="17" t="s">
        <v>56</v>
      </c>
      <c r="BW108" s="17" t="s">
        <v>56</v>
      </c>
      <c r="BX108" s="17" t="s">
        <v>2818</v>
      </c>
      <c r="BY108" s="17" t="s">
        <v>1111</v>
      </c>
      <c r="BZ108" s="17" t="s">
        <v>56</v>
      </c>
      <c r="CA108" s="17" t="s">
        <v>56</v>
      </c>
      <c r="CB108" s="17" t="s">
        <v>1325</v>
      </c>
      <c r="CC108" s="17" t="s">
        <v>1325</v>
      </c>
      <c r="CD108" s="17" t="s">
        <v>1325</v>
      </c>
      <c r="CE108" s="17" t="s">
        <v>1325</v>
      </c>
      <c r="CF108" s="17" t="s">
        <v>1325</v>
      </c>
      <c r="CG108" s="17" t="s">
        <v>1325</v>
      </c>
      <c r="CH108" s="17" t="s">
        <v>1325</v>
      </c>
      <c r="CI108" s="17" t="s">
        <v>1325</v>
      </c>
      <c r="CJ108" s="17" t="s">
        <v>1325</v>
      </c>
      <c r="CK108" s="17" t="s">
        <v>1325</v>
      </c>
      <c r="CL108" s="17" t="s">
        <v>1325</v>
      </c>
      <c r="CM108" s="17" t="s">
        <v>1325</v>
      </c>
      <c r="CN108" s="17" t="s">
        <v>1325</v>
      </c>
      <c r="CO108" s="17" t="s">
        <v>1325</v>
      </c>
      <c r="CP108" s="17" t="s">
        <v>1325</v>
      </c>
      <c r="CQ108" s="17" t="s">
        <v>1325</v>
      </c>
      <c r="CR108" s="17" t="s">
        <v>1325</v>
      </c>
      <c r="CS108" s="17" t="s">
        <v>1325</v>
      </c>
      <c r="CT108" s="17" t="s">
        <v>1325</v>
      </c>
      <c r="CU108" s="17" t="s">
        <v>1325</v>
      </c>
      <c r="CV108" s="17" t="s">
        <v>1325</v>
      </c>
      <c r="CW108" s="17" t="s">
        <v>56</v>
      </c>
      <c r="CX108" s="17" t="s">
        <v>56</v>
      </c>
      <c r="CY108" s="17" t="s">
        <v>56</v>
      </c>
      <c r="CZ108" s="17">
        <v>319397</v>
      </c>
      <c r="DA108" s="17">
        <v>319397</v>
      </c>
      <c r="DB108" s="17">
        <v>319397</v>
      </c>
      <c r="DC108" s="17"/>
      <c r="DD108" s="17"/>
      <c r="DE108" s="17"/>
      <c r="DF108" s="17" t="s">
        <v>3415</v>
      </c>
      <c r="DG108" s="17" t="s">
        <v>3610</v>
      </c>
      <c r="DH108" s="17" t="s">
        <v>3237</v>
      </c>
      <c r="DI108" s="17" t="s">
        <v>3611</v>
      </c>
      <c r="DJ108" s="17" t="s">
        <v>3405</v>
      </c>
      <c r="DK108" s="17" t="s">
        <v>3320</v>
      </c>
      <c r="DL108" s="17" t="s">
        <v>3418</v>
      </c>
      <c r="DM108" s="17">
        <v>3.0869999999999999E-3</v>
      </c>
      <c r="DN108" s="17">
        <v>986</v>
      </c>
      <c r="DO108" s="17">
        <v>0.42855692819209001</v>
      </c>
      <c r="DP108" s="17" t="s">
        <v>3308</v>
      </c>
      <c r="DQ108" s="17" t="s">
        <v>2839</v>
      </c>
      <c r="DR108" s="17" t="s">
        <v>56</v>
      </c>
      <c r="DS108" s="17" t="s">
        <v>56</v>
      </c>
      <c r="DT108" s="17" t="s">
        <v>56</v>
      </c>
      <c r="DU108" s="17" t="s">
        <v>56</v>
      </c>
      <c r="DV108" s="17" t="s">
        <v>2862</v>
      </c>
      <c r="DW108" s="17" t="s">
        <v>3309</v>
      </c>
      <c r="DX108" s="17" t="s">
        <v>3310</v>
      </c>
      <c r="DY108" s="17">
        <v>9.7795896448127796E-3</v>
      </c>
      <c r="DZ108" s="17">
        <v>2.7520410355187201E-2</v>
      </c>
      <c r="EA108" s="17" t="s">
        <v>3311</v>
      </c>
      <c r="EB108" s="17">
        <v>4.0201671797007003E-3</v>
      </c>
      <c r="EC108" s="17">
        <v>7.1798328202993004E-3</v>
      </c>
      <c r="ED108" s="17" t="s">
        <v>56</v>
      </c>
      <c r="EE108" s="17" t="s">
        <v>56</v>
      </c>
      <c r="EF108" s="17" t="s">
        <v>56</v>
      </c>
      <c r="EG108" s="17" t="s">
        <v>2862</v>
      </c>
      <c r="EH108" s="17" t="s">
        <v>3309</v>
      </c>
      <c r="EI108" s="17" t="s">
        <v>3312</v>
      </c>
      <c r="EJ108" s="17">
        <v>1.08477E-2</v>
      </c>
      <c r="EK108" s="17">
        <v>5.8252699999999998E-2</v>
      </c>
      <c r="EL108" s="17" t="s">
        <v>3311</v>
      </c>
      <c r="EM108" s="17">
        <v>4.8999999999999998E-3</v>
      </c>
      <c r="EN108" s="17">
        <v>1.01E-2</v>
      </c>
      <c r="EO108" s="17" t="s">
        <v>3312</v>
      </c>
      <c r="EP108" s="17">
        <v>4.3641500000000004</v>
      </c>
      <c r="EQ108" s="17">
        <v>23.435700000000001</v>
      </c>
      <c r="ER108" s="17" t="s">
        <v>3313</v>
      </c>
      <c r="ES108" s="17">
        <v>0.59340000000000004</v>
      </c>
      <c r="ET108" s="17">
        <v>1.2263999999999999</v>
      </c>
      <c r="EU108" s="17" t="s">
        <v>2862</v>
      </c>
      <c r="EV108" s="17" t="s">
        <v>3309</v>
      </c>
      <c r="EW108" s="17" t="s">
        <v>3312</v>
      </c>
      <c r="EX108" s="17">
        <v>4.3641500000000004</v>
      </c>
      <c r="EY108" s="17">
        <v>23.435700000000001</v>
      </c>
      <c r="EZ108" s="17" t="s">
        <v>3311</v>
      </c>
      <c r="FA108" s="17">
        <v>0.59340000000000004</v>
      </c>
      <c r="FB108" s="17">
        <v>1.2263999999999999</v>
      </c>
      <c r="FC108" s="17" t="s">
        <v>56</v>
      </c>
      <c r="FD108" s="17" t="s">
        <v>56</v>
      </c>
      <c r="FE108" s="17" t="s">
        <v>56</v>
      </c>
      <c r="FF108" s="17" t="s">
        <v>56</v>
      </c>
      <c r="FG108" s="17" t="s">
        <v>56</v>
      </c>
      <c r="FH108" s="17" t="s">
        <v>56</v>
      </c>
      <c r="FI108" s="17" t="s">
        <v>56</v>
      </c>
      <c r="FJ108" s="17" t="s">
        <v>56</v>
      </c>
      <c r="FK108" s="17" t="s">
        <v>56</v>
      </c>
      <c r="FL108" s="17" t="s">
        <v>56</v>
      </c>
      <c r="FM108" s="17" t="s">
        <v>56</v>
      </c>
      <c r="FN108" s="17" t="s">
        <v>56</v>
      </c>
      <c r="FO108" s="17" t="s">
        <v>56</v>
      </c>
      <c r="FP108" s="17" t="s">
        <v>56</v>
      </c>
      <c r="FQ108" s="17" t="s">
        <v>56</v>
      </c>
      <c r="FR108" s="17" t="s">
        <v>56</v>
      </c>
      <c r="FS108" s="17" t="s">
        <v>56</v>
      </c>
      <c r="FT108" s="17" t="s">
        <v>56</v>
      </c>
      <c r="FU108" s="17">
        <v>194.50981864783199</v>
      </c>
      <c r="FV108" s="17">
        <v>1044.5272863868099</v>
      </c>
      <c r="FW108" s="17" t="s">
        <v>56</v>
      </c>
      <c r="FX108" s="17" t="s">
        <v>56</v>
      </c>
      <c r="FY108" s="17" t="s">
        <v>56</v>
      </c>
      <c r="FZ108" s="17" t="s">
        <v>56</v>
      </c>
      <c r="GA108" s="17" t="s">
        <v>56</v>
      </c>
      <c r="GB108" s="17" t="s">
        <v>56</v>
      </c>
      <c r="GC108" s="17" t="s">
        <v>56</v>
      </c>
      <c r="GD108" s="17" t="s">
        <v>2969</v>
      </c>
      <c r="GE108" s="17" t="s">
        <v>2969</v>
      </c>
      <c r="GF108" s="17" t="s">
        <v>56</v>
      </c>
      <c r="GG108" s="17" t="s">
        <v>2818</v>
      </c>
      <c r="GH108" s="17" t="s">
        <v>2818</v>
      </c>
      <c r="GI108" s="17" t="s">
        <v>1111</v>
      </c>
      <c r="GJ108" s="17" t="s">
        <v>1111</v>
      </c>
      <c r="GK108" s="17" t="s">
        <v>1111</v>
      </c>
      <c r="GL108" s="17"/>
    </row>
    <row r="109" spans="2:194" x14ac:dyDescent="0.25">
      <c r="B109" s="17" t="s">
        <v>2840</v>
      </c>
      <c r="C109" s="17" t="s">
        <v>70</v>
      </c>
      <c r="D109" s="17" t="s">
        <v>3411</v>
      </c>
      <c r="E109" s="17" t="s">
        <v>3412</v>
      </c>
      <c r="F109" s="17" t="s">
        <v>3237</v>
      </c>
      <c r="G109" s="17" t="s">
        <v>3413</v>
      </c>
      <c r="H109" s="17"/>
      <c r="I109" s="17" t="s">
        <v>2797</v>
      </c>
      <c r="J109" s="17" t="s">
        <v>3403</v>
      </c>
      <c r="K109" s="17" t="s">
        <v>2653</v>
      </c>
      <c r="L109" s="17" t="s">
        <v>2800</v>
      </c>
      <c r="M109" s="17" t="s">
        <v>3414</v>
      </c>
      <c r="N109" s="17" t="s">
        <v>1325</v>
      </c>
      <c r="O109" s="17" t="s">
        <v>2813</v>
      </c>
      <c r="P109" s="17" t="s">
        <v>2814</v>
      </c>
      <c r="Q109" s="17" t="s">
        <v>3616</v>
      </c>
      <c r="R109" s="17">
        <v>17897433.710000001</v>
      </c>
      <c r="S109" s="17">
        <v>4974456.4000000004</v>
      </c>
      <c r="T109" s="17">
        <v>18587154.18</v>
      </c>
      <c r="U109" s="17" t="s">
        <v>2817</v>
      </c>
      <c r="V109" s="17" t="s">
        <v>939</v>
      </c>
      <c r="W109" s="17" t="s">
        <v>2816</v>
      </c>
      <c r="X109" s="17" t="s">
        <v>3403</v>
      </c>
      <c r="Y109" s="17" t="s">
        <v>56</v>
      </c>
      <c r="Z109" s="17" t="s">
        <v>3616</v>
      </c>
      <c r="AA109" s="17" t="s">
        <v>2801</v>
      </c>
      <c r="AB109" s="17">
        <v>2.1629</v>
      </c>
      <c r="AC109" s="17" t="s">
        <v>3616</v>
      </c>
      <c r="AD109" s="17" t="s">
        <v>2804</v>
      </c>
      <c r="AE109" s="17">
        <v>319397</v>
      </c>
      <c r="AF109" s="17" t="s">
        <v>2839</v>
      </c>
      <c r="AG109" s="17" t="s">
        <v>3617</v>
      </c>
      <c r="AH109" s="17" t="s">
        <v>2806</v>
      </c>
      <c r="AI109" s="17"/>
      <c r="AJ109" s="17" t="s">
        <v>56</v>
      </c>
      <c r="AK109" s="17" t="s">
        <v>56</v>
      </c>
      <c r="AL109" s="17" t="s">
        <v>56</v>
      </c>
      <c r="AM109" s="17" t="s">
        <v>56</v>
      </c>
      <c r="AN109" s="17" t="s">
        <v>56</v>
      </c>
      <c r="AO109" s="17" t="s">
        <v>56</v>
      </c>
      <c r="AP109" s="17" t="s">
        <v>56</v>
      </c>
      <c r="AQ109" s="17" t="s">
        <v>56</v>
      </c>
      <c r="AR109" s="17" t="s">
        <v>56</v>
      </c>
      <c r="AS109" s="17">
        <v>677.19899999999996</v>
      </c>
      <c r="AT109" s="17">
        <v>82.007599999999996</v>
      </c>
      <c r="AU109" s="17">
        <v>435.83600000000001</v>
      </c>
      <c r="AV109" s="17" t="s">
        <v>56</v>
      </c>
      <c r="AW109" s="17" t="s">
        <v>56</v>
      </c>
      <c r="AX109" s="17" t="s">
        <v>56</v>
      </c>
      <c r="AY109" s="17">
        <v>561.97</v>
      </c>
      <c r="AZ109" s="17">
        <v>68.053600000000003</v>
      </c>
      <c r="BA109" s="17">
        <v>361.67599999999999</v>
      </c>
      <c r="BB109" s="17" t="s">
        <v>56</v>
      </c>
      <c r="BC109" s="17" t="s">
        <v>56</v>
      </c>
      <c r="BD109" s="17" t="s">
        <v>56</v>
      </c>
      <c r="BE109" s="17" t="s">
        <v>56</v>
      </c>
      <c r="BF109" s="17" t="s">
        <v>56</v>
      </c>
      <c r="BG109" s="17" t="s">
        <v>56</v>
      </c>
      <c r="BH109" s="17" t="s">
        <v>56</v>
      </c>
      <c r="BI109" s="17" t="s">
        <v>56</v>
      </c>
      <c r="BJ109" s="17" t="s">
        <v>56</v>
      </c>
      <c r="BK109" s="17" t="s">
        <v>56</v>
      </c>
      <c r="BL109" s="17" t="s">
        <v>56</v>
      </c>
      <c r="BM109" s="17" t="s">
        <v>56</v>
      </c>
      <c r="BN109" s="17" t="s">
        <v>56</v>
      </c>
      <c r="BO109" s="17" t="s">
        <v>56</v>
      </c>
      <c r="BP109" s="17" t="s">
        <v>56</v>
      </c>
      <c r="BQ109" s="17" t="s">
        <v>56</v>
      </c>
      <c r="BR109" s="17" t="s">
        <v>56</v>
      </c>
      <c r="BS109" s="17" t="s">
        <v>56</v>
      </c>
      <c r="BT109" s="17" t="s">
        <v>56</v>
      </c>
      <c r="BU109" s="17" t="s">
        <v>56</v>
      </c>
      <c r="BV109" s="17" t="s">
        <v>56</v>
      </c>
      <c r="BW109" s="17" t="s">
        <v>56</v>
      </c>
      <c r="BX109" s="17" t="s">
        <v>2818</v>
      </c>
      <c r="BY109" s="17" t="s">
        <v>1111</v>
      </c>
      <c r="BZ109" s="17" t="s">
        <v>56</v>
      </c>
      <c r="CA109" s="17" t="s">
        <v>56</v>
      </c>
      <c r="CB109" s="17" t="s">
        <v>1325</v>
      </c>
      <c r="CC109" s="17" t="s">
        <v>1325</v>
      </c>
      <c r="CD109" s="17" t="s">
        <v>1325</v>
      </c>
      <c r="CE109" s="17" t="s">
        <v>1325</v>
      </c>
      <c r="CF109" s="17" t="s">
        <v>1325</v>
      </c>
      <c r="CG109" s="17" t="s">
        <v>1325</v>
      </c>
      <c r="CH109" s="17" t="s">
        <v>1325</v>
      </c>
      <c r="CI109" s="17" t="s">
        <v>1325</v>
      </c>
      <c r="CJ109" s="17" t="s">
        <v>1325</v>
      </c>
      <c r="CK109" s="17" t="s">
        <v>1325</v>
      </c>
      <c r="CL109" s="17" t="s">
        <v>1325</v>
      </c>
      <c r="CM109" s="17" t="s">
        <v>1325</v>
      </c>
      <c r="CN109" s="17" t="s">
        <v>1325</v>
      </c>
      <c r="CO109" s="17" t="s">
        <v>1325</v>
      </c>
      <c r="CP109" s="17" t="s">
        <v>1325</v>
      </c>
      <c r="CQ109" s="17" t="s">
        <v>1325</v>
      </c>
      <c r="CR109" s="17" t="s">
        <v>1325</v>
      </c>
      <c r="CS109" s="17" t="s">
        <v>1325</v>
      </c>
      <c r="CT109" s="17" t="s">
        <v>1325</v>
      </c>
      <c r="CU109" s="17" t="s">
        <v>1325</v>
      </c>
      <c r="CV109" s="17" t="s">
        <v>1325</v>
      </c>
      <c r="CW109" s="17" t="s">
        <v>56</v>
      </c>
      <c r="CX109" s="17" t="s">
        <v>56</v>
      </c>
      <c r="CY109" s="17" t="s">
        <v>56</v>
      </c>
      <c r="CZ109" s="17">
        <v>319397</v>
      </c>
      <c r="DA109" s="17">
        <v>319397</v>
      </c>
      <c r="DB109" s="17">
        <v>319397</v>
      </c>
      <c r="DC109" s="17"/>
      <c r="DD109" s="17"/>
      <c r="DE109" s="17"/>
      <c r="DF109" s="17" t="s">
        <v>3415</v>
      </c>
      <c r="DG109" s="17" t="s">
        <v>3612</v>
      </c>
      <c r="DH109" s="17" t="s">
        <v>3237</v>
      </c>
      <c r="DI109" s="17" t="s">
        <v>3613</v>
      </c>
      <c r="DJ109" s="17" t="s">
        <v>3404</v>
      </c>
      <c r="DK109" s="17" t="s">
        <v>3320</v>
      </c>
      <c r="DL109" s="17" t="s">
        <v>3418</v>
      </c>
      <c r="DM109" s="17">
        <v>1.8516000000000001E-2</v>
      </c>
      <c r="DN109" s="17">
        <v>5914</v>
      </c>
      <c r="DO109" s="17">
        <v>0.428558331057246</v>
      </c>
      <c r="DP109" s="17" t="s">
        <v>3308</v>
      </c>
      <c r="DQ109" s="17" t="s">
        <v>2839</v>
      </c>
      <c r="DR109" s="17" t="s">
        <v>56</v>
      </c>
      <c r="DS109" s="17" t="s">
        <v>56</v>
      </c>
      <c r="DT109" s="17" t="s">
        <v>56</v>
      </c>
      <c r="DU109" s="17" t="s">
        <v>56</v>
      </c>
      <c r="DV109" s="17" t="s">
        <v>2862</v>
      </c>
      <c r="DW109" s="17" t="s">
        <v>3309</v>
      </c>
      <c r="DX109" s="17" t="s">
        <v>3310</v>
      </c>
      <c r="DY109" s="17">
        <v>1.2558775978191199E-2</v>
      </c>
      <c r="DZ109" s="17">
        <v>3.5341224021808802E-2</v>
      </c>
      <c r="EA109" s="17" t="s">
        <v>3311</v>
      </c>
      <c r="EB109" s="17">
        <v>5.1687863739009101E-3</v>
      </c>
      <c r="EC109" s="17">
        <v>9.2312136260990895E-3</v>
      </c>
      <c r="ED109" s="17" t="s">
        <v>56</v>
      </c>
      <c r="EE109" s="17" t="s">
        <v>56</v>
      </c>
      <c r="EF109" s="17" t="s">
        <v>56</v>
      </c>
      <c r="EG109" s="17" t="s">
        <v>2862</v>
      </c>
      <c r="EH109" s="17" t="s">
        <v>3309</v>
      </c>
      <c r="EI109" s="17" t="s">
        <v>3312</v>
      </c>
      <c r="EJ109" s="17">
        <v>1.08477E-2</v>
      </c>
      <c r="EK109" s="17">
        <v>5.8252699999999998E-2</v>
      </c>
      <c r="EL109" s="17" t="s">
        <v>3311</v>
      </c>
      <c r="EM109" s="17">
        <v>4.8999999999999998E-3</v>
      </c>
      <c r="EN109" s="17">
        <v>1.01E-2</v>
      </c>
      <c r="EO109" s="17" t="s">
        <v>3312</v>
      </c>
      <c r="EP109" s="17">
        <v>4.3641500000000004</v>
      </c>
      <c r="EQ109" s="17">
        <v>23.435700000000001</v>
      </c>
      <c r="ER109" s="17" t="s">
        <v>3313</v>
      </c>
      <c r="ES109" s="17">
        <v>0.59340000000000004</v>
      </c>
      <c r="ET109" s="17">
        <v>1.2263999999999999</v>
      </c>
      <c r="EU109" s="17" t="s">
        <v>2862</v>
      </c>
      <c r="EV109" s="17" t="s">
        <v>3309</v>
      </c>
      <c r="EW109" s="17" t="s">
        <v>3312</v>
      </c>
      <c r="EX109" s="17">
        <v>4.3641500000000004</v>
      </c>
      <c r="EY109" s="17">
        <v>23.435700000000001</v>
      </c>
      <c r="EZ109" s="17" t="s">
        <v>3311</v>
      </c>
      <c r="FA109" s="17">
        <v>0.59340000000000004</v>
      </c>
      <c r="FB109" s="17">
        <v>1.2263999999999999</v>
      </c>
      <c r="FC109" s="17" t="s">
        <v>56</v>
      </c>
      <c r="FD109" s="17" t="s">
        <v>56</v>
      </c>
      <c r="FE109" s="17" t="s">
        <v>56</v>
      </c>
      <c r="FF109" s="17" t="s">
        <v>56</v>
      </c>
      <c r="FG109" s="17" t="s">
        <v>56</v>
      </c>
      <c r="FH109" s="17" t="s">
        <v>56</v>
      </c>
      <c r="FI109" s="17" t="s">
        <v>56</v>
      </c>
      <c r="FJ109" s="17" t="s">
        <v>56</v>
      </c>
      <c r="FK109" s="17" t="s">
        <v>56</v>
      </c>
      <c r="FL109" s="17" t="s">
        <v>56</v>
      </c>
      <c r="FM109" s="17" t="s">
        <v>56</v>
      </c>
      <c r="FN109" s="17" t="s">
        <v>56</v>
      </c>
      <c r="FO109" s="17" t="s">
        <v>56</v>
      </c>
      <c r="FP109" s="17" t="s">
        <v>56</v>
      </c>
      <c r="FQ109" s="17" t="s">
        <v>56</v>
      </c>
      <c r="FR109" s="17" t="s">
        <v>56</v>
      </c>
      <c r="FS109" s="17" t="s">
        <v>56</v>
      </c>
      <c r="FT109" s="17" t="s">
        <v>56</v>
      </c>
      <c r="FU109" s="17">
        <v>194.51045538429901</v>
      </c>
      <c r="FV109" s="17">
        <v>1044.53070569293</v>
      </c>
      <c r="FW109" s="17" t="s">
        <v>56</v>
      </c>
      <c r="FX109" s="17" t="s">
        <v>56</v>
      </c>
      <c r="FY109" s="17" t="s">
        <v>56</v>
      </c>
      <c r="FZ109" s="17" t="s">
        <v>56</v>
      </c>
      <c r="GA109" s="17" t="s">
        <v>56</v>
      </c>
      <c r="GB109" s="17" t="s">
        <v>56</v>
      </c>
      <c r="GC109" s="17" t="s">
        <v>56</v>
      </c>
      <c r="GD109" s="17" t="s">
        <v>2969</v>
      </c>
      <c r="GE109" s="17" t="s">
        <v>2969</v>
      </c>
      <c r="GF109" s="17" t="s">
        <v>56</v>
      </c>
      <c r="GG109" s="17" t="s">
        <v>2818</v>
      </c>
      <c r="GH109" s="17" t="s">
        <v>2818</v>
      </c>
      <c r="GI109" s="17" t="s">
        <v>1111</v>
      </c>
      <c r="GJ109" s="17" t="s">
        <v>1111</v>
      </c>
      <c r="GK109" s="17" t="s">
        <v>1111</v>
      </c>
      <c r="GL109" s="17"/>
    </row>
    <row r="110" spans="2:194" x14ac:dyDescent="0.25">
      <c r="B110" s="17" t="s">
        <v>2840</v>
      </c>
      <c r="C110" s="17" t="s">
        <v>70</v>
      </c>
      <c r="D110" s="17" t="s">
        <v>3411</v>
      </c>
      <c r="E110" s="17" t="s">
        <v>3412</v>
      </c>
      <c r="F110" s="17" t="s">
        <v>3237</v>
      </c>
      <c r="G110" s="17" t="s">
        <v>3413</v>
      </c>
      <c r="H110" s="17"/>
      <c r="I110" s="17" t="s">
        <v>2797</v>
      </c>
      <c r="J110" s="17" t="s">
        <v>3403</v>
      </c>
      <c r="K110" s="17" t="s">
        <v>2653</v>
      </c>
      <c r="L110" s="17" t="s">
        <v>2800</v>
      </c>
      <c r="M110" s="17" t="s">
        <v>3414</v>
      </c>
      <c r="N110" s="17" t="s">
        <v>1325</v>
      </c>
      <c r="O110" s="17" t="s">
        <v>2813</v>
      </c>
      <c r="P110" s="17" t="s">
        <v>2814</v>
      </c>
      <c r="Q110" s="17" t="s">
        <v>3616</v>
      </c>
      <c r="R110" s="17">
        <v>17897433.710000001</v>
      </c>
      <c r="S110" s="17">
        <v>4974456.4000000004</v>
      </c>
      <c r="T110" s="17">
        <v>18587154.18</v>
      </c>
      <c r="U110" s="17" t="s">
        <v>2817</v>
      </c>
      <c r="V110" s="17" t="s">
        <v>939</v>
      </c>
      <c r="W110" s="17" t="s">
        <v>2816</v>
      </c>
      <c r="X110" s="17" t="s">
        <v>3403</v>
      </c>
      <c r="Y110" s="17" t="s">
        <v>56</v>
      </c>
      <c r="Z110" s="17" t="s">
        <v>3616</v>
      </c>
      <c r="AA110" s="17" t="s">
        <v>2801</v>
      </c>
      <c r="AB110" s="17">
        <v>2.1629</v>
      </c>
      <c r="AC110" s="17" t="s">
        <v>3616</v>
      </c>
      <c r="AD110" s="17" t="s">
        <v>2804</v>
      </c>
      <c r="AE110" s="17">
        <v>319397</v>
      </c>
      <c r="AF110" s="17" t="s">
        <v>2839</v>
      </c>
      <c r="AG110" s="17" t="s">
        <v>3617</v>
      </c>
      <c r="AH110" s="17" t="s">
        <v>2806</v>
      </c>
      <c r="AI110" s="17"/>
      <c r="AJ110" s="17" t="s">
        <v>56</v>
      </c>
      <c r="AK110" s="17" t="s">
        <v>56</v>
      </c>
      <c r="AL110" s="17" t="s">
        <v>56</v>
      </c>
      <c r="AM110" s="17" t="s">
        <v>56</v>
      </c>
      <c r="AN110" s="17" t="s">
        <v>56</v>
      </c>
      <c r="AO110" s="17" t="s">
        <v>56</v>
      </c>
      <c r="AP110" s="17" t="s">
        <v>56</v>
      </c>
      <c r="AQ110" s="17" t="s">
        <v>56</v>
      </c>
      <c r="AR110" s="17" t="s">
        <v>56</v>
      </c>
      <c r="AS110" s="17">
        <v>677.19899999999996</v>
      </c>
      <c r="AT110" s="17">
        <v>82.007599999999996</v>
      </c>
      <c r="AU110" s="17">
        <v>435.83600000000001</v>
      </c>
      <c r="AV110" s="17" t="s">
        <v>56</v>
      </c>
      <c r="AW110" s="17" t="s">
        <v>56</v>
      </c>
      <c r="AX110" s="17" t="s">
        <v>56</v>
      </c>
      <c r="AY110" s="17">
        <v>561.97</v>
      </c>
      <c r="AZ110" s="17">
        <v>68.053600000000003</v>
      </c>
      <c r="BA110" s="17">
        <v>361.67599999999999</v>
      </c>
      <c r="BB110" s="17" t="s">
        <v>56</v>
      </c>
      <c r="BC110" s="17" t="s">
        <v>56</v>
      </c>
      <c r="BD110" s="17" t="s">
        <v>56</v>
      </c>
      <c r="BE110" s="17" t="s">
        <v>56</v>
      </c>
      <c r="BF110" s="17" t="s">
        <v>56</v>
      </c>
      <c r="BG110" s="17" t="s">
        <v>56</v>
      </c>
      <c r="BH110" s="17" t="s">
        <v>56</v>
      </c>
      <c r="BI110" s="17" t="s">
        <v>56</v>
      </c>
      <c r="BJ110" s="17" t="s">
        <v>56</v>
      </c>
      <c r="BK110" s="17" t="s">
        <v>56</v>
      </c>
      <c r="BL110" s="17" t="s">
        <v>56</v>
      </c>
      <c r="BM110" s="17" t="s">
        <v>56</v>
      </c>
      <c r="BN110" s="17" t="s">
        <v>56</v>
      </c>
      <c r="BO110" s="17" t="s">
        <v>56</v>
      </c>
      <c r="BP110" s="17" t="s">
        <v>56</v>
      </c>
      <c r="BQ110" s="17" t="s">
        <v>56</v>
      </c>
      <c r="BR110" s="17" t="s">
        <v>56</v>
      </c>
      <c r="BS110" s="17" t="s">
        <v>56</v>
      </c>
      <c r="BT110" s="17" t="s">
        <v>56</v>
      </c>
      <c r="BU110" s="17" t="s">
        <v>56</v>
      </c>
      <c r="BV110" s="17" t="s">
        <v>56</v>
      </c>
      <c r="BW110" s="17" t="s">
        <v>56</v>
      </c>
      <c r="BX110" s="17" t="s">
        <v>2818</v>
      </c>
      <c r="BY110" s="17" t="s">
        <v>1111</v>
      </c>
      <c r="BZ110" s="17" t="s">
        <v>56</v>
      </c>
      <c r="CA110" s="17" t="s">
        <v>56</v>
      </c>
      <c r="CB110" s="17" t="s">
        <v>1325</v>
      </c>
      <c r="CC110" s="17" t="s">
        <v>1325</v>
      </c>
      <c r="CD110" s="17" t="s">
        <v>1325</v>
      </c>
      <c r="CE110" s="17" t="s">
        <v>1325</v>
      </c>
      <c r="CF110" s="17" t="s">
        <v>1325</v>
      </c>
      <c r="CG110" s="17" t="s">
        <v>1325</v>
      </c>
      <c r="CH110" s="17" t="s">
        <v>1325</v>
      </c>
      <c r="CI110" s="17" t="s">
        <v>1325</v>
      </c>
      <c r="CJ110" s="17" t="s">
        <v>1325</v>
      </c>
      <c r="CK110" s="17" t="s">
        <v>1325</v>
      </c>
      <c r="CL110" s="17" t="s">
        <v>1325</v>
      </c>
      <c r="CM110" s="17" t="s">
        <v>1325</v>
      </c>
      <c r="CN110" s="17" t="s">
        <v>1325</v>
      </c>
      <c r="CO110" s="17" t="s">
        <v>1325</v>
      </c>
      <c r="CP110" s="17" t="s">
        <v>1325</v>
      </c>
      <c r="CQ110" s="17" t="s">
        <v>1325</v>
      </c>
      <c r="CR110" s="17" t="s">
        <v>1325</v>
      </c>
      <c r="CS110" s="17" t="s">
        <v>1325</v>
      </c>
      <c r="CT110" s="17" t="s">
        <v>1325</v>
      </c>
      <c r="CU110" s="17" t="s">
        <v>1325</v>
      </c>
      <c r="CV110" s="17" t="s">
        <v>1325</v>
      </c>
      <c r="CW110" s="17" t="s">
        <v>56</v>
      </c>
      <c r="CX110" s="17" t="s">
        <v>56</v>
      </c>
      <c r="CY110" s="17" t="s">
        <v>56</v>
      </c>
      <c r="CZ110" s="17">
        <v>319397</v>
      </c>
      <c r="DA110" s="17">
        <v>319397</v>
      </c>
      <c r="DB110" s="17">
        <v>319397</v>
      </c>
      <c r="DC110" s="17"/>
      <c r="DD110" s="17"/>
      <c r="DE110" s="17"/>
      <c r="DF110" s="17" t="s">
        <v>3415</v>
      </c>
      <c r="DG110" s="17" t="s">
        <v>3614</v>
      </c>
      <c r="DH110" s="17" t="s">
        <v>3237</v>
      </c>
      <c r="DI110" s="17" t="s">
        <v>3615</v>
      </c>
      <c r="DJ110" s="17" t="s">
        <v>3405</v>
      </c>
      <c r="DK110" s="17" t="s">
        <v>3320</v>
      </c>
      <c r="DL110" s="17" t="s">
        <v>3418</v>
      </c>
      <c r="DM110" s="17">
        <v>1.2650000000000001E-3</v>
      </c>
      <c r="DN110" s="17">
        <v>404</v>
      </c>
      <c r="DO110" s="17">
        <v>0.42855761413573701</v>
      </c>
      <c r="DP110" s="17" t="s">
        <v>3308</v>
      </c>
      <c r="DQ110" s="17" t="s">
        <v>2839</v>
      </c>
      <c r="DR110" s="17" t="s">
        <v>56</v>
      </c>
      <c r="DS110" s="17" t="s">
        <v>56</v>
      </c>
      <c r="DT110" s="17" t="s">
        <v>56</v>
      </c>
      <c r="DU110" s="17" t="s">
        <v>56</v>
      </c>
      <c r="DV110" s="17" t="s">
        <v>2862</v>
      </c>
      <c r="DW110" s="17" t="s">
        <v>3309</v>
      </c>
      <c r="DX110" s="17" t="s">
        <v>3310</v>
      </c>
      <c r="DY110" s="17">
        <v>9.7795896448127796E-3</v>
      </c>
      <c r="DZ110" s="17">
        <v>2.7520410355187201E-2</v>
      </c>
      <c r="EA110" s="17" t="s">
        <v>3311</v>
      </c>
      <c r="EB110" s="17">
        <v>4.0201671797007003E-3</v>
      </c>
      <c r="EC110" s="17">
        <v>7.1798328202993004E-3</v>
      </c>
      <c r="ED110" s="17" t="s">
        <v>56</v>
      </c>
      <c r="EE110" s="17" t="s">
        <v>56</v>
      </c>
      <c r="EF110" s="17" t="s">
        <v>56</v>
      </c>
      <c r="EG110" s="17" t="s">
        <v>2862</v>
      </c>
      <c r="EH110" s="17" t="s">
        <v>3309</v>
      </c>
      <c r="EI110" s="17" t="s">
        <v>3312</v>
      </c>
      <c r="EJ110" s="17">
        <v>1.08477E-2</v>
      </c>
      <c r="EK110" s="17">
        <v>5.8252699999999998E-2</v>
      </c>
      <c r="EL110" s="17" t="s">
        <v>3311</v>
      </c>
      <c r="EM110" s="17">
        <v>4.8999999999999998E-3</v>
      </c>
      <c r="EN110" s="17">
        <v>1.01E-2</v>
      </c>
      <c r="EO110" s="17" t="s">
        <v>3312</v>
      </c>
      <c r="EP110" s="17">
        <v>4.3641500000000004</v>
      </c>
      <c r="EQ110" s="17">
        <v>23.435700000000001</v>
      </c>
      <c r="ER110" s="17" t="s">
        <v>3313</v>
      </c>
      <c r="ES110" s="17">
        <v>0.59340000000000004</v>
      </c>
      <c r="ET110" s="17">
        <v>1.2263999999999999</v>
      </c>
      <c r="EU110" s="17" t="s">
        <v>2862</v>
      </c>
      <c r="EV110" s="17" t="s">
        <v>3309</v>
      </c>
      <c r="EW110" s="17" t="s">
        <v>3312</v>
      </c>
      <c r="EX110" s="17">
        <v>4.3641500000000004</v>
      </c>
      <c r="EY110" s="17">
        <v>23.435700000000001</v>
      </c>
      <c r="EZ110" s="17" t="s">
        <v>3311</v>
      </c>
      <c r="FA110" s="17">
        <v>0.59340000000000004</v>
      </c>
      <c r="FB110" s="17">
        <v>1.2263999999999999</v>
      </c>
      <c r="FC110" s="17" t="s">
        <v>56</v>
      </c>
      <c r="FD110" s="17" t="s">
        <v>56</v>
      </c>
      <c r="FE110" s="17" t="s">
        <v>56</v>
      </c>
      <c r="FF110" s="17" t="s">
        <v>56</v>
      </c>
      <c r="FG110" s="17" t="s">
        <v>56</v>
      </c>
      <c r="FH110" s="17" t="s">
        <v>56</v>
      </c>
      <c r="FI110" s="17" t="s">
        <v>56</v>
      </c>
      <c r="FJ110" s="17" t="s">
        <v>56</v>
      </c>
      <c r="FK110" s="17" t="s">
        <v>56</v>
      </c>
      <c r="FL110" s="17" t="s">
        <v>56</v>
      </c>
      <c r="FM110" s="17" t="s">
        <v>56</v>
      </c>
      <c r="FN110" s="17" t="s">
        <v>56</v>
      </c>
      <c r="FO110" s="17" t="s">
        <v>56</v>
      </c>
      <c r="FP110" s="17" t="s">
        <v>56</v>
      </c>
      <c r="FQ110" s="17" t="s">
        <v>56</v>
      </c>
      <c r="FR110" s="17" t="s">
        <v>56</v>
      </c>
      <c r="FS110" s="17" t="s">
        <v>56</v>
      </c>
      <c r="FT110" s="17" t="s">
        <v>56</v>
      </c>
      <c r="FU110" s="17">
        <v>194.510130003749</v>
      </c>
      <c r="FV110" s="17">
        <v>1044.5289583833901</v>
      </c>
      <c r="FW110" s="17" t="s">
        <v>56</v>
      </c>
      <c r="FX110" s="17" t="s">
        <v>56</v>
      </c>
      <c r="FY110" s="17" t="s">
        <v>56</v>
      </c>
      <c r="FZ110" s="17" t="s">
        <v>56</v>
      </c>
      <c r="GA110" s="17" t="s">
        <v>56</v>
      </c>
      <c r="GB110" s="17" t="s">
        <v>56</v>
      </c>
      <c r="GC110" s="17" t="s">
        <v>56</v>
      </c>
      <c r="GD110" s="17" t="s">
        <v>2969</v>
      </c>
      <c r="GE110" s="17" t="s">
        <v>2969</v>
      </c>
      <c r="GF110" s="17" t="s">
        <v>56</v>
      </c>
      <c r="GG110" s="17" t="s">
        <v>2818</v>
      </c>
      <c r="GH110" s="17" t="s">
        <v>2818</v>
      </c>
      <c r="GI110" s="17" t="s">
        <v>1111</v>
      </c>
      <c r="GJ110" s="17" t="s">
        <v>1111</v>
      </c>
      <c r="GK110" s="17" t="s">
        <v>1111</v>
      </c>
      <c r="GL110" s="17"/>
    </row>
  </sheetData>
  <autoFilter ref="B6:GK110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d7fb83ae97701826d3cc25dcd65d4be4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c694ad472a46246c70e409efdc3b1ee9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D850DB0-137B-4236-AD84-33B3CD436790}"/>
</file>

<file path=customXml/itemProps2.xml><?xml version="1.0" encoding="utf-8"?>
<ds:datastoreItem xmlns:ds="http://schemas.openxmlformats.org/officeDocument/2006/customXml" ds:itemID="{F90BC35C-B20C-4B4D-9CBB-E7E668840777}"/>
</file>

<file path=customXml/itemProps3.xml><?xml version="1.0" encoding="utf-8"?>
<ds:datastoreItem xmlns:ds="http://schemas.openxmlformats.org/officeDocument/2006/customXml" ds:itemID="{7CBF114C-B3F2-4AC7-BF5B-EB6D1AB7FA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Resumo</vt:lpstr>
      <vt:lpstr>ID1</vt:lpstr>
      <vt:lpstr>ID1_Exemplo 1</vt:lpstr>
      <vt:lpstr>ID1_Exemplo 2</vt:lpstr>
      <vt:lpstr>ID1_Exemplo 3</vt:lpstr>
      <vt:lpstr>ID2</vt:lpstr>
      <vt:lpstr>ID3</vt:lpstr>
      <vt:lpstr>ID4</vt:lpstr>
      <vt:lpstr>ID4_Exemplo 1</vt:lpstr>
      <vt:lpstr>ID4_Exemplo 2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2025-08-16T15:09:12Z</dcterms:created>
  <dcterms:modified xsi:type="dcterms:W3CDTF">2025-08-18T08:15:29Z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2025-08-16T15:23:07Z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54db13fc-e295-43b0-9fcd-ce450d446e42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