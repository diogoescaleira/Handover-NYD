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808873\Desktop\05. Análises\23. Fecho de Projeto\Template 2\"/>
    </mc:Choice>
  </mc:AlternateContent>
  <xr:revisionPtr revIDLastSave="0" documentId="13_ncr:1_{0AD60608-82C7-44E6-9D78-7DBDAA1F74AC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Instruções" sheetId="30" r:id="rId1"/>
    <sheet name="Menu" sheetId="29" r:id="rId2"/>
    <sheet name="Input" sheetId="27" r:id="rId3"/>
    <sheet name="Versão estrutural" sheetId="6" r:id="rId4"/>
    <sheet name="Versão reportada" sheetId="31" r:id="rId5"/>
    <sheet name="Sheet2" sheetId="32" r:id="rId6"/>
  </sheets>
  <externalReferences>
    <externalReference r:id="rId7"/>
  </externalReferences>
  <definedNames>
    <definedName name="_xlnm._FilterDatabase" localSheetId="2" hidden="1">Input!$C$6:$I$451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7" i="32" l="1"/>
  <c r="P17" i="32"/>
  <c r="O17" i="32"/>
  <c r="N17" i="32"/>
  <c r="M17" i="32"/>
  <c r="L17" i="32"/>
  <c r="K17" i="32"/>
  <c r="Q12" i="32"/>
  <c r="P12" i="32"/>
  <c r="O12" i="32"/>
  <c r="N12" i="32"/>
  <c r="M12" i="32"/>
  <c r="L12" i="32"/>
  <c r="K12" i="32"/>
  <c r="R17" i="6"/>
  <c r="S17" i="6" s="1"/>
  <c r="S17" i="32" s="1"/>
  <c r="R12" i="6"/>
  <c r="S12" i="6" s="1"/>
  <c r="S12" i="32" s="1"/>
  <c r="R16" i="6"/>
  <c r="R16" i="32" s="1"/>
  <c r="R15" i="6"/>
  <c r="R15" i="32" s="1"/>
  <c r="R14" i="6"/>
  <c r="R14" i="32" s="1"/>
  <c r="R11" i="6"/>
  <c r="R11" i="32" s="1"/>
  <c r="R10" i="6"/>
  <c r="R10" i="32" s="1"/>
  <c r="R9" i="6"/>
  <c r="R9" i="32" s="1"/>
  <c r="Q16" i="6"/>
  <c r="Q16" i="32" s="1"/>
  <c r="Q15" i="6"/>
  <c r="Q15" i="32" s="1"/>
  <c r="Q14" i="6"/>
  <c r="Q14" i="32" s="1"/>
  <c r="Q11" i="6"/>
  <c r="Q11" i="32" s="1"/>
  <c r="Q10" i="6"/>
  <c r="Q10" i="32" s="1"/>
  <c r="Q9" i="6"/>
  <c r="Q9" i="32" s="1"/>
  <c r="P16" i="6"/>
  <c r="P16" i="32" s="1"/>
  <c r="P15" i="6"/>
  <c r="P15" i="32" s="1"/>
  <c r="P14" i="6"/>
  <c r="P14" i="32" s="1"/>
  <c r="P11" i="6"/>
  <c r="P11" i="32" s="1"/>
  <c r="P10" i="6"/>
  <c r="P10" i="32" s="1"/>
  <c r="P9" i="6"/>
  <c r="P9" i="32" s="1"/>
  <c r="O16" i="6"/>
  <c r="O16" i="32" s="1"/>
  <c r="O15" i="6"/>
  <c r="O15" i="32" s="1"/>
  <c r="O14" i="6"/>
  <c r="O14" i="32" s="1"/>
  <c r="O11" i="6"/>
  <c r="O11" i="32" s="1"/>
  <c r="O10" i="6"/>
  <c r="O10" i="32" s="1"/>
  <c r="O9" i="6"/>
  <c r="O9" i="32" s="1"/>
  <c r="N16" i="6"/>
  <c r="N16" i="32" s="1"/>
  <c r="N15" i="6"/>
  <c r="N15" i="32" s="1"/>
  <c r="N14" i="6"/>
  <c r="N14" i="32" s="1"/>
  <c r="N11" i="6"/>
  <c r="N11" i="32" s="1"/>
  <c r="N10" i="6"/>
  <c r="N10" i="32" s="1"/>
  <c r="N9" i="6"/>
  <c r="N9" i="32" s="1"/>
  <c r="M16" i="6"/>
  <c r="M16" i="32" s="1"/>
  <c r="M15" i="6"/>
  <c r="M15" i="32" s="1"/>
  <c r="M14" i="6"/>
  <c r="M14" i="32" s="1"/>
  <c r="M11" i="6"/>
  <c r="M11" i="32" s="1"/>
  <c r="M10" i="6"/>
  <c r="M10" i="32" s="1"/>
  <c r="M9" i="6"/>
  <c r="M9" i="32" s="1"/>
  <c r="L16" i="6"/>
  <c r="L16" i="32" s="1"/>
  <c r="L15" i="6"/>
  <c r="L15" i="32" s="1"/>
  <c r="L14" i="6"/>
  <c r="L14" i="32" s="1"/>
  <c r="L11" i="6"/>
  <c r="L11" i="32" s="1"/>
  <c r="L10" i="6"/>
  <c r="L10" i="32" s="1"/>
  <c r="L9" i="6"/>
  <c r="L9" i="32" s="1"/>
  <c r="K16" i="6"/>
  <c r="K16" i="32" s="1"/>
  <c r="K15" i="6"/>
  <c r="K15" i="32" s="1"/>
  <c r="K14" i="6"/>
  <c r="K14" i="32" s="1"/>
  <c r="K11" i="6"/>
  <c r="K11" i="32" s="1"/>
  <c r="K10" i="6"/>
  <c r="K10" i="32" s="1"/>
  <c r="K9" i="6"/>
  <c r="K9" i="32" s="1"/>
  <c r="J17" i="6"/>
  <c r="J17" i="32" s="1"/>
  <c r="I17" i="6"/>
  <c r="I17" i="32" s="1"/>
  <c r="H17" i="6"/>
  <c r="H17" i="32" s="1"/>
  <c r="G17" i="6"/>
  <c r="G17" i="32" s="1"/>
  <c r="F17" i="6"/>
  <c r="F17" i="32" s="1"/>
  <c r="E17" i="6"/>
  <c r="E17" i="32" s="1"/>
  <c r="D17" i="6"/>
  <c r="D17" i="32" s="1"/>
  <c r="J12" i="6"/>
  <c r="J12" i="32" s="1"/>
  <c r="I12" i="6"/>
  <c r="I12" i="32" s="1"/>
  <c r="H12" i="6"/>
  <c r="H12" i="32" s="1"/>
  <c r="G12" i="6"/>
  <c r="G12" i="32" s="1"/>
  <c r="F12" i="6"/>
  <c r="F12" i="32" s="1"/>
  <c r="E12" i="6"/>
  <c r="E12" i="32" s="1"/>
  <c r="D12" i="6"/>
  <c r="D12" i="32" s="1"/>
  <c r="R12" i="32" l="1"/>
  <c r="R17" i="32"/>
  <c r="D9" i="6"/>
  <c r="D9" i="32" s="1"/>
  <c r="E9" i="6"/>
  <c r="E9" i="32" s="1"/>
  <c r="F9" i="6"/>
  <c r="F9" i="32" s="1"/>
  <c r="F10" i="29" l="1"/>
  <c r="S15" i="6" l="1"/>
  <c r="S15" i="32" s="1"/>
  <c r="S16" i="6"/>
  <c r="S16" i="32" s="1"/>
  <c r="S14" i="6"/>
  <c r="S14" i="32" s="1"/>
  <c r="S10" i="6"/>
  <c r="S10" i="32" s="1"/>
  <c r="S11" i="6"/>
  <c r="S11" i="32" s="1"/>
  <c r="S9" i="6"/>
  <c r="S9" i="32" s="1"/>
  <c r="F11" i="6"/>
  <c r="F11" i="32" s="1"/>
  <c r="G11" i="6"/>
  <c r="G11" i="32" s="1"/>
  <c r="H11" i="6"/>
  <c r="H11" i="32" s="1"/>
  <c r="I11" i="6"/>
  <c r="I11" i="32" s="1"/>
  <c r="J11" i="6"/>
  <c r="J11" i="32" s="1"/>
  <c r="F10" i="6"/>
  <c r="F10" i="32" s="1"/>
  <c r="G10" i="6"/>
  <c r="G10" i="32" s="1"/>
  <c r="H10" i="6"/>
  <c r="H10" i="32" s="1"/>
  <c r="I10" i="6"/>
  <c r="I10" i="32" s="1"/>
  <c r="J10" i="6"/>
  <c r="J10" i="32" s="1"/>
  <c r="G9" i="6"/>
  <c r="G9" i="32" s="1"/>
  <c r="H9" i="6"/>
  <c r="H9" i="32" s="1"/>
  <c r="I9" i="6"/>
  <c r="I9" i="32" s="1"/>
  <c r="J9" i="6"/>
  <c r="J9" i="32" s="1"/>
  <c r="E10" i="6"/>
  <c r="E10" i="32" s="1"/>
  <c r="E11" i="6"/>
  <c r="E11" i="32" s="1"/>
  <c r="F15" i="6"/>
  <c r="F15" i="32" s="1"/>
  <c r="G15" i="6"/>
  <c r="G15" i="32" s="1"/>
  <c r="H15" i="6"/>
  <c r="H15" i="32" s="1"/>
  <c r="I15" i="6"/>
  <c r="I15" i="32" s="1"/>
  <c r="J15" i="6"/>
  <c r="J15" i="32" s="1"/>
  <c r="F16" i="6"/>
  <c r="F16" i="32" s="1"/>
  <c r="G16" i="6"/>
  <c r="G16" i="32" s="1"/>
  <c r="H16" i="6"/>
  <c r="H16" i="32" s="1"/>
  <c r="I16" i="6"/>
  <c r="I16" i="32" s="1"/>
  <c r="J16" i="6"/>
  <c r="J16" i="32" s="1"/>
  <c r="E16" i="6"/>
  <c r="E16" i="32" s="1"/>
  <c r="E15" i="6"/>
  <c r="E15" i="32" s="1"/>
  <c r="F14" i="6"/>
  <c r="F14" i="32" s="1"/>
  <c r="G14" i="6"/>
  <c r="G14" i="32" s="1"/>
  <c r="H14" i="6"/>
  <c r="H14" i="32" s="1"/>
  <c r="I14" i="6"/>
  <c r="I14" i="32" s="1"/>
  <c r="J14" i="6"/>
  <c r="J14" i="32" s="1"/>
  <c r="E14" i="6"/>
  <c r="E14" i="32" s="1"/>
  <c r="D15" i="6"/>
  <c r="D15" i="32" s="1"/>
  <c r="D16" i="6"/>
  <c r="D16" i="32" s="1"/>
  <c r="D14" i="6"/>
  <c r="D14" i="32" s="1"/>
  <c r="D11" i="6"/>
  <c r="D11" i="32" s="1"/>
  <c r="D10" i="6"/>
  <c r="D10" i="32" s="1"/>
  <c r="O8" i="6" l="1"/>
  <c r="O8" i="32" s="1"/>
  <c r="L8" i="6"/>
  <c r="L8" i="32" s="1"/>
  <c r="N8" i="6"/>
  <c r="N8" i="32" s="1"/>
  <c r="Q8" i="6"/>
  <c r="Q8" i="32" s="1"/>
  <c r="P8" i="6"/>
  <c r="P8" i="32" s="1"/>
  <c r="M8" i="6"/>
  <c r="M8" i="32" s="1"/>
  <c r="R8" i="6"/>
  <c r="K8" i="6"/>
  <c r="K8" i="32" s="1"/>
  <c r="I8" i="6"/>
  <c r="I8" i="32" s="1"/>
  <c r="J8" i="6"/>
  <c r="J8" i="32" s="1"/>
  <c r="H8" i="6"/>
  <c r="H8" i="32" s="1"/>
  <c r="G8" i="6"/>
  <c r="G8" i="32" s="1"/>
  <c r="F8" i="6"/>
  <c r="F8" i="32" s="1"/>
  <c r="E8" i="6"/>
  <c r="E8" i="32" s="1"/>
  <c r="D8" i="6"/>
  <c r="D8" i="32" s="1"/>
  <c r="S8" i="6" l="1"/>
  <c r="S8" i="32" s="1"/>
  <c r="R8" i="32"/>
  <c r="R13" i="6"/>
  <c r="Q13" i="6"/>
  <c r="Q13" i="32" s="1"/>
  <c r="P13" i="6"/>
  <c r="P13" i="32" s="1"/>
  <c r="O13" i="6"/>
  <c r="O13" i="32" s="1"/>
  <c r="N13" i="6"/>
  <c r="N13" i="32" s="1"/>
  <c r="L13" i="6"/>
  <c r="L13" i="32" s="1"/>
  <c r="K13" i="6"/>
  <c r="K13" i="32" s="1"/>
  <c r="H13" i="6"/>
  <c r="H13" i="32" s="1"/>
  <c r="I13" i="6"/>
  <c r="I13" i="32" s="1"/>
  <c r="G13" i="6"/>
  <c r="G13" i="32" s="1"/>
  <c r="F13" i="6"/>
  <c r="F13" i="32" s="1"/>
  <c r="E13" i="6"/>
  <c r="E13" i="32" s="1"/>
  <c r="D13" i="6"/>
  <c r="D13" i="32" s="1"/>
  <c r="M13" i="6"/>
  <c r="M13" i="32" s="1"/>
  <c r="J13" i="6"/>
  <c r="J13" i="32" s="1"/>
  <c r="S13" i="6" l="1"/>
  <c r="S13" i="32" s="1"/>
  <c r="R13" i="32"/>
</calcChain>
</file>

<file path=xl/sharedStrings.xml><?xml version="1.0" encoding="utf-8"?>
<sst xmlns="http://schemas.openxmlformats.org/spreadsheetml/2006/main" count="2963" uniqueCount="103">
  <si>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</si>
  <si>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</si>
  <si>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Template 2 Granular_v1.0.sql" e </t>
    </r>
    <r>
      <rPr>
        <i/>
        <sz val="9"/>
        <color theme="1"/>
        <rFont val="Calibri"/>
        <family val="2"/>
        <scheme val="minor"/>
      </rPr>
      <t>"BS_Geracao Template Template 2 Agregado_v1.0.sql".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</si>
  <si>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</si>
  <si>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</si>
  <si>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</si>
  <si>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</si>
  <si>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</si>
  <si>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</si>
  <si>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</si>
  <si>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</si>
  <si>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</si>
  <si>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</si>
  <si>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</si>
  <si>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</si>
  <si>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</si>
  <si>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</si>
  <si>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</si>
  <si>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</si>
  <si>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</si>
  <si>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</si>
  <si>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</si>
  <si>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</si>
  <si>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</si>
  <si>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</si>
  <si>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</si>
  <si>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</si>
  <si>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</si>
  <si>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</si>
  <si>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</si>
  <si>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tipo_colateral</t>
  </si>
  <si>
    <t>epc_label</t>
  </si>
  <si>
    <t>ep_score</t>
  </si>
  <si>
    <t>european_union</t>
  </si>
  <si>
    <t>amount</t>
  </si>
  <si>
    <t>quality_score</t>
  </si>
  <si>
    <t>source_code</t>
  </si>
  <si>
    <t>Garantia Comercial</t>
  </si>
  <si>
    <t>D</t>
  </si>
  <si>
    <t>menor_200</t>
  </si>
  <si>
    <t>EU-area</t>
  </si>
  <si>
    <t>1-REAL</t>
  </si>
  <si>
    <t>E</t>
  </si>
  <si>
    <t>menor_300</t>
  </si>
  <si>
    <t>4-MEDIA</t>
  </si>
  <si>
    <t>ESTIMADO</t>
  </si>
  <si>
    <t>Garantia Residencial</t>
  </si>
  <si>
    <t>B</t>
  </si>
  <si>
    <t>menor_100</t>
  </si>
  <si>
    <t>Non EU-area</t>
  </si>
  <si>
    <t>C</t>
  </si>
  <si>
    <t>A</t>
  </si>
  <si>
    <t>3-ALTA</t>
  </si>
  <si>
    <t>Stock</t>
  </si>
  <si>
    <t>2-MUY ALTA</t>
  </si>
  <si>
    <t>F</t>
  </si>
  <si>
    <t>5-MEDIA BAJA</t>
  </si>
  <si>
    <t>A+</t>
  </si>
  <si>
    <t>menor_400</t>
  </si>
  <si>
    <t>G</t>
  </si>
  <si>
    <t>B-</t>
  </si>
  <si>
    <t>maior_500</t>
  </si>
  <si>
    <t>6-BAJA</t>
  </si>
  <si>
    <t>Sem dados</t>
  </si>
  <si>
    <t>7-SIN DATO</t>
  </si>
  <si>
    <t>NULO</t>
  </si>
  <si>
    <t>menor_500</t>
  </si>
  <si>
    <t>Template 2: Banking book - Climate change transition risk: Loans collateralised by immovable property - Energy efficiency of the collateral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</si>
  <si>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</si>
  <si>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</si>
  <si>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</si>
  <si>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</si>
  <si>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</si>
  <si>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</si>
  <si>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</si>
  <si>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</si>
  <si>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</si>
  <si>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</si>
  <si>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</si>
  <si>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</si>
  <si>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</si>
  <si>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</si>
  <si>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</si>
  <si>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</si>
  <si>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Counterparty sector</t>
  </si>
  <si>
    <t>Total gross carrying amount amount (in MEUR)</t>
  </si>
  <si>
    <t>Level of energy efficiency (EP score in kWh/m² of collateral)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</si>
  <si>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</si>
  <si>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</si>
  <si>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</si>
  <si>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</si>
  <si>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</si>
  <si>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</si>
  <si>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</si>
  <si>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</si>
  <si>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Of which level of energy efficiency (EP score in kWh/m² of collateral) estimated</t>
  </si>
  <si>
    <t>Total EU area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</si>
  <si>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</si>
  <si>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</si>
  <si>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</si>
  <si>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Of which Level of energy efficiency (EP score in kWh/m² of collateral) estimated</t>
  </si>
  <si>
    <t>Total non-EU area</t>
  </si>
  <si>
    <t>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</si>
</sst>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9" fillId="4" borderId="0" xfId="0" applyFont="1" applyFill="1"/>
    <xf numFmtId="0" fontId="9" fillId="4" borderId="11" xfId="0" applyFont="1" applyFill="1" applyBorder="1"/>
    <xf numFmtId="0" fontId="9" fillId="0" borderId="0" xfId="0" applyFont="1"/>
    <xf numFmtId="0" fontId="17" fillId="3" borderId="0" xfId="0" applyFont="1" applyFill="1"/>
    <xf numFmtId="0" fontId="8" fillId="3" borderId="0" xfId="0" applyFont="1" applyFill="1"/>
    <xf numFmtId="0" fontId="8" fillId="0" borderId="0" xfId="0" applyFont="1"/>
    <xf numFmtId="0" fontId="8" fillId="2" borderId="0" xfId="0" applyFont="1" applyFill="1"/>
    <xf numFmtId="3" fontId="18" fillId="0" borderId="8" xfId="0" applyNumberFormat="1" applyFont="1" applyBorder="1" applyAlignment="1">
      <alignment horizontal="center" vertical="center" wrapText="1"/>
    </xf>
    <xf numFmtId="9" fontId="18" fillId="0" borderId="8" xfId="1" applyFont="1" applyFill="1" applyBorder="1" applyAlignment="1">
      <alignment horizontal="center" vertical="center" wrapText="1"/>
    </xf>
    <xf numFmtId="3" fontId="18" fillId="0" borderId="2" xfId="0" applyNumberFormat="1" applyFont="1" applyBorder="1" applyAlignment="1">
      <alignment horizontal="center" vertical="center" wrapText="1"/>
    </xf>
    <xf numFmtId="0" fontId="20" fillId="0" borderId="0" xfId="0" applyFont="1"/>
    <xf numFmtId="0" fontId="19" fillId="0" borderId="0" xfId="0" applyFont="1"/>
    <xf numFmtId="0" fontId="7" fillId="0" borderId="0" xfId="0" applyFont="1" applyAlignment="1">
      <alignment vertical="center"/>
    </xf>
    <xf numFmtId="0" fontId="22" fillId="7" borderId="0" xfId="0" applyFont="1" applyFill="1" applyAlignment="1">
      <alignment horizontal="center" vertical="center" wrapText="1"/>
    </xf>
    <xf numFmtId="0" fontId="10" fillId="4" borderId="0" xfId="0" applyFont="1" applyFill="1"/>
    <xf numFmtId="0" fontId="10" fillId="0" borderId="0" xfId="0" applyFont="1"/>
    <xf numFmtId="0" fontId="10" fillId="0" borderId="0" xfId="0" applyFont="1" applyAlignment="1">
      <alignment horizontal="left" indent="1"/>
    </xf>
    <xf numFmtId="0" fontId="10" fillId="4" borderId="0" xfId="0" quotePrefix="1" applyFont="1" applyFill="1" applyAlignment="1">
      <alignment horizontal="left" indent="1"/>
    </xf>
    <xf numFmtId="0" fontId="25" fillId="6" borderId="24" xfId="0" applyFont="1" applyFill="1" applyBorder="1" applyAlignment="1">
      <alignment vertical="center"/>
    </xf>
    <xf numFmtId="0" fontId="8" fillId="6" borderId="24" xfId="0" applyFont="1" applyFill="1" applyBorder="1"/>
    <xf numFmtId="0" fontId="26" fillId="6" borderId="24" xfId="0" applyFont="1" applyFill="1" applyBorder="1"/>
    <xf numFmtId="0" fontId="14" fillId="4" borderId="0" xfId="0" applyFont="1" applyFill="1"/>
    <xf numFmtId="0" fontId="0" fillId="4" borderId="0" xfId="0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11" xfId="0" applyFont="1" applyFill="1" applyBorder="1" applyProtection="1">
      <protection locked="0"/>
    </xf>
    <xf numFmtId="0" fontId="9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12" xfId="0" applyFont="1" applyBorder="1" applyProtection="1">
      <protection locked="0"/>
    </xf>
    <xf numFmtId="0" fontId="10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2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0" fillId="4" borderId="13" xfId="0" applyFont="1" applyFill="1" applyBorder="1" applyProtection="1">
      <protection locked="0"/>
    </xf>
    <xf numFmtId="0" fontId="10" fillId="4" borderId="14" xfId="0" applyFont="1" applyFill="1" applyBorder="1" applyProtection="1">
      <protection locked="0"/>
    </xf>
    <xf numFmtId="0" fontId="10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3" fillId="4" borderId="0" xfId="0" applyFont="1" applyFill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Continuous"/>
      <protection locked="0"/>
    </xf>
    <xf numFmtId="14" fontId="13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6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4" fontId="8" fillId="6" borderId="22" xfId="0" applyNumberFormat="1" applyFont="1" applyFill="1" applyBorder="1" applyAlignment="1">
      <alignment horizontal="center" vertical="center"/>
    </xf>
    <xf numFmtId="10" fontId="3" fillId="9" borderId="2" xfId="0" applyNumberFormat="1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indent="1"/>
    </xf>
    <xf numFmtId="0" fontId="17" fillId="6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09050" y="1803400"/>
          <a:ext cx="153781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62942" y="2578982"/>
          <a:ext cx="1544870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51924" y="1802816"/>
          <a:ext cx="155122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43719" y="1794504"/>
          <a:ext cx="588458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804781/Santander%20Office%20365/BS%20Implementa&#231;&#227;o%20Templates%20Locais%20-%20Implementa&#231;&#227;o%20Templates%20Locais/03.%20Templates/08.%20STE/02.%20STE2/04.%20Entreg&#225;veis/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65" customHeight="1" zeroHeight="1" x14ac:dyDescent="0.25"/>
  <cols>
    <col min="1" max="2" width="3.7109375" customWidth="1"/>
    <col min="3" max="4" width="7.7109375" customWidth="1"/>
    <col min="5" max="5" width="0.42578125" customWidth="1"/>
    <col min="6" max="6" width="7.7109375" customWidth="1"/>
    <col min="7" max="7" width="0.42578125" customWidth="1"/>
    <col min="8" max="20" width="10.7109375" customWidth="1"/>
    <col min="21" max="21" width="8.7109375" customWidth="1"/>
    <col min="22" max="22" width="3.7109375" customWidth="1"/>
  </cols>
  <sheetData>
    <row r="1" spans="1:22" ht="15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ht="1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2" ht="1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</row>
    <row r="4" spans="1:22" ht="15.75" thickBot="1" x14ac:dyDescent="0.3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19"/>
    </row>
    <row r="5" spans="1:22" s="31" customFormat="1" ht="15.75" thickTop="1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2" ht="15" customHeight="1" x14ac:dyDescent="0.25">
      <c r="A6" s="22"/>
      <c r="B6" s="38" t="s">
        <v>0</v>
      </c>
      <c r="C6" s="39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22"/>
    </row>
    <row r="7" spans="1:22" ht="7.9" customHeight="1" x14ac:dyDescent="0.25">
      <c r="A7" s="22"/>
      <c r="B7" s="3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2" s="31" customFormat="1" ht="1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15" customHeight="1" x14ac:dyDescent="0.25">
      <c r="B24" s="72" t="s">
        <v>1</v>
      </c>
      <c r="C24" s="72"/>
      <c r="D24" s="72"/>
      <c r="E24" s="33"/>
      <c r="F24" s="73" t="s">
        <v>2</v>
      </c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34"/>
      <c r="R24" s="34"/>
      <c r="S24" s="34"/>
      <c r="T24" s="34"/>
    </row>
    <row r="25" spans="2:20" ht="13.15" customHeight="1" x14ac:dyDescent="0.25">
      <c r="B25" s="72"/>
      <c r="C25" s="72"/>
      <c r="D25" s="72"/>
      <c r="E25" s="3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34"/>
      <c r="R25" s="34"/>
      <c r="S25" s="34"/>
      <c r="T25" s="34"/>
    </row>
    <row r="26" spans="2:20" ht="7.9" customHeight="1" x14ac:dyDescent="0.25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2:20" ht="12" customHeight="1" x14ac:dyDescent="0.25">
      <c r="B27" s="35"/>
      <c r="C27" s="70" t="s">
        <v>3</v>
      </c>
      <c r="D27" s="70"/>
      <c r="E27" s="70"/>
      <c r="F27" s="70"/>
      <c r="G27" s="33"/>
      <c r="H27" s="71" t="s">
        <v>4</v>
      </c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</row>
    <row r="28" spans="2:20" ht="12" customHeight="1" x14ac:dyDescent="0.25">
      <c r="B28" s="35"/>
      <c r="C28" s="70"/>
      <c r="D28" s="70"/>
      <c r="E28" s="70"/>
      <c r="F28" s="70"/>
      <c r="G28" s="33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</row>
    <row r="29" spans="2:20" ht="3" customHeight="1" x14ac:dyDescent="0.25">
      <c r="B29" s="35"/>
      <c r="C29" s="36"/>
      <c r="D29" s="36"/>
      <c r="E29" s="36"/>
      <c r="F29" s="36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</row>
    <row r="30" spans="2:20" ht="12" customHeight="1" x14ac:dyDescent="0.25">
      <c r="B30" s="35"/>
      <c r="C30" s="70" t="s">
        <v>5</v>
      </c>
      <c r="D30" s="70"/>
      <c r="E30" s="70"/>
      <c r="F30" s="70"/>
      <c r="G30" s="33"/>
      <c r="H30" s="37" t="s">
        <v>6</v>
      </c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" customHeight="1" x14ac:dyDescent="0.25">
      <c r="B31" s="35"/>
      <c r="C31" s="70"/>
      <c r="D31" s="70"/>
      <c r="E31" s="70"/>
      <c r="F31" s="70"/>
      <c r="G31" s="33"/>
      <c r="H31" s="37" t="s">
        <v>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" customHeight="1" x14ac:dyDescent="0.25">
      <c r="B32" s="35"/>
      <c r="C32" s="70"/>
      <c r="D32" s="70"/>
      <c r="E32" s="70"/>
      <c r="F32" s="70"/>
      <c r="G32" s="33"/>
      <c r="H32" s="37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" customHeight="1" x14ac:dyDescent="0.25">
      <c r="B33" s="35"/>
      <c r="C33" s="70"/>
      <c r="D33" s="70"/>
      <c r="E33" s="70"/>
      <c r="F33" s="70"/>
      <c r="G33" s="33"/>
      <c r="H33" s="37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" customHeight="1" x14ac:dyDescent="0.25">
      <c r="B34" s="35"/>
      <c r="C34" s="70"/>
      <c r="D34" s="70"/>
      <c r="E34" s="70"/>
      <c r="F34" s="70"/>
      <c r="G34" s="33"/>
      <c r="H34" s="37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" customHeight="1" x14ac:dyDescent="0.25">
      <c r="B35" s="35"/>
      <c r="C35" s="70"/>
      <c r="D35" s="70"/>
      <c r="E35" s="70"/>
      <c r="F35" s="70"/>
      <c r="G35" s="33"/>
      <c r="H35" s="37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" customHeight="1" x14ac:dyDescent="0.25">
      <c r="B36" s="35"/>
      <c r="C36" s="70"/>
      <c r="D36" s="70"/>
      <c r="E36" s="70"/>
      <c r="F36" s="70"/>
      <c r="G36" s="33"/>
      <c r="H36" s="37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3" customHeight="1" x14ac:dyDescent="0.25"/>
    <row r="38" spans="2:20" ht="12" customHeight="1" x14ac:dyDescent="0.25">
      <c r="B38" s="35"/>
      <c r="C38" s="70" t="s">
        <v>8</v>
      </c>
      <c r="D38" s="70"/>
      <c r="E38" s="70"/>
      <c r="F38" s="70"/>
      <c r="G38" s="33"/>
      <c r="H38" s="37" t="s">
        <v>9</v>
      </c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" customHeight="1" x14ac:dyDescent="0.25">
      <c r="B39" s="35"/>
      <c r="C39" s="70"/>
      <c r="D39" s="70"/>
      <c r="E39" s="70"/>
      <c r="F39" s="70"/>
      <c r="G39" s="33"/>
      <c r="H39" s="37" t="s">
        <v>10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3" customHeight="1" x14ac:dyDescent="0.25"/>
    <row r="41" spans="2:20" ht="12" customHeight="1" x14ac:dyDescent="0.25">
      <c r="B41" s="35"/>
      <c r="C41" s="70" t="s">
        <v>11</v>
      </c>
      <c r="D41" s="70"/>
      <c r="E41" s="70"/>
      <c r="F41" s="70"/>
      <c r="G41" s="33"/>
      <c r="H41" s="37" t="s">
        <v>12</v>
      </c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" customHeight="1" x14ac:dyDescent="0.25">
      <c r="B42" s="35"/>
      <c r="C42" s="70"/>
      <c r="D42" s="70"/>
      <c r="E42" s="70"/>
      <c r="F42" s="70"/>
      <c r="G42" s="33"/>
      <c r="H42" s="37" t="s">
        <v>13</v>
      </c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0.15" customHeight="1" x14ac:dyDescent="0.25"/>
    <row r="44" spans="2:20" ht="13.15" customHeight="1" x14ac:dyDescent="0.25">
      <c r="B44" s="72" t="s">
        <v>14</v>
      </c>
      <c r="C44" s="72"/>
      <c r="D44" s="72"/>
      <c r="E44" s="33"/>
      <c r="F44" s="73" t="s">
        <v>15</v>
      </c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34"/>
      <c r="R44" s="34"/>
      <c r="S44" s="34"/>
      <c r="T44" s="34"/>
    </row>
    <row r="45" spans="2:20" ht="13.15" customHeight="1" x14ac:dyDescent="0.25">
      <c r="B45" s="72"/>
      <c r="C45" s="72"/>
      <c r="D45" s="72"/>
      <c r="E45" s="3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34"/>
      <c r="R45" s="34"/>
      <c r="S45" s="34"/>
      <c r="T45" s="34"/>
    </row>
    <row r="46" spans="2:20" ht="7.9" customHeight="1" x14ac:dyDescent="0.25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2:20" ht="12" customHeight="1" x14ac:dyDescent="0.25">
      <c r="B47" s="35"/>
      <c r="C47" s="70" t="s">
        <v>16</v>
      </c>
      <c r="D47" s="70"/>
      <c r="E47" s="70"/>
      <c r="F47" s="70"/>
      <c r="G47" s="33"/>
      <c r="H47" s="71" t="s">
        <v>17</v>
      </c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</row>
    <row r="48" spans="2:20" ht="12" customHeight="1" x14ac:dyDescent="0.25">
      <c r="B48" s="35"/>
      <c r="C48" s="70"/>
      <c r="D48" s="70"/>
      <c r="E48" s="70"/>
      <c r="F48" s="70"/>
      <c r="G48" s="33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</row>
    <row r="49" spans="2:20" ht="3" customHeight="1" x14ac:dyDescent="0.25"/>
    <row r="50" spans="2:20" ht="12" customHeight="1" x14ac:dyDescent="0.25">
      <c r="B50" s="35"/>
      <c r="C50" s="70" t="s">
        <v>18</v>
      </c>
      <c r="D50" s="70"/>
      <c r="E50" s="70"/>
      <c r="F50" s="70"/>
      <c r="G50" s="33"/>
      <c r="H50" s="71" t="s">
        <v>19</v>
      </c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</row>
    <row r="51" spans="2:20" ht="12" customHeight="1" x14ac:dyDescent="0.25">
      <c r="B51" s="35"/>
      <c r="C51" s="70"/>
      <c r="D51" s="70"/>
      <c r="E51" s="70"/>
      <c r="F51" s="70"/>
      <c r="G51" s="33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</row>
    <row r="52" spans="2:20" ht="3" customHeight="1" x14ac:dyDescent="0.25"/>
    <row r="53" spans="2:20" ht="12" customHeight="1" x14ac:dyDescent="0.25">
      <c r="B53" s="35"/>
      <c r="C53" s="70" t="s">
        <v>20</v>
      </c>
      <c r="D53" s="70"/>
      <c r="E53" s="70"/>
      <c r="F53" s="70"/>
      <c r="G53" s="33"/>
      <c r="H53" s="71" t="s">
        <v>21</v>
      </c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</row>
    <row r="54" spans="2:20" ht="12" customHeight="1" x14ac:dyDescent="0.25">
      <c r="B54" s="35"/>
      <c r="C54" s="70"/>
      <c r="D54" s="70"/>
      <c r="E54" s="70"/>
      <c r="F54" s="70"/>
      <c r="G54" s="33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</row>
    <row r="55" spans="2:20" ht="3" customHeight="1" x14ac:dyDescent="0.25"/>
    <row r="56" spans="2:20" ht="12" customHeight="1" x14ac:dyDescent="0.25">
      <c r="B56" s="35"/>
      <c r="C56" s="70" t="s">
        <v>22</v>
      </c>
      <c r="D56" s="70"/>
      <c r="E56" s="70"/>
      <c r="F56" s="70"/>
      <c r="G56" s="33"/>
      <c r="H56" s="71" t="s">
        <v>23</v>
      </c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</row>
    <row r="57" spans="2:20" ht="12" customHeight="1" x14ac:dyDescent="0.25">
      <c r="B57" s="35"/>
      <c r="C57" s="70"/>
      <c r="D57" s="70"/>
      <c r="E57" s="70"/>
      <c r="F57" s="70"/>
      <c r="G57" s="33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</row>
    <row r="58" spans="2:20" ht="10.15" customHeight="1" x14ac:dyDescent="0.25"/>
    <row r="59" spans="2:20" ht="13.15" customHeight="1" x14ac:dyDescent="0.25">
      <c r="B59" s="72" t="s">
        <v>24</v>
      </c>
      <c r="C59" s="72"/>
      <c r="D59" s="72"/>
      <c r="E59" s="33"/>
      <c r="F59" s="73" t="s">
        <v>25</v>
      </c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34"/>
      <c r="R59" s="34"/>
      <c r="S59" s="34"/>
      <c r="T59" s="34"/>
    </row>
    <row r="60" spans="2:20" ht="13.15" customHeight="1" x14ac:dyDescent="0.25">
      <c r="B60" s="72"/>
      <c r="C60" s="72"/>
      <c r="D60" s="72"/>
      <c r="E60" s="3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34"/>
      <c r="R60" s="34"/>
      <c r="S60" s="34"/>
      <c r="T60" s="34"/>
    </row>
    <row r="61" spans="2:20" ht="15" x14ac:dyDescent="0.25"/>
    <row r="62" spans="2:20" ht="15" hidden="1" x14ac:dyDescent="0.25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25"/>
  <cols>
    <col min="1" max="2" width="3.7109375" style="49" customWidth="1"/>
    <col min="3" max="4" width="10.7109375" style="49" customWidth="1"/>
    <col min="5" max="5" width="5.7109375" style="49" customWidth="1"/>
    <col min="6" max="6" width="10.7109375" style="49" customWidth="1"/>
    <col min="7" max="7" width="8.7109375" style="49" customWidth="1"/>
    <col min="8" max="8" width="3.7109375" style="49" customWidth="1"/>
    <col min="9" max="13" width="10.7109375" style="49" hidden="1" customWidth="1"/>
    <col min="14" max="16384" width="8.7109375" style="49" hidden="1"/>
  </cols>
  <sheetData>
    <row r="1" spans="1:8" s="42" customFormat="1" ht="15" x14ac:dyDescent="0.25"/>
    <row r="2" spans="1:8" s="42" customFormat="1" ht="4.9000000000000004" customHeight="1" x14ac:dyDescent="0.25"/>
    <row r="3" spans="1:8" s="42" customFormat="1" ht="15" x14ac:dyDescent="0.25"/>
    <row r="4" spans="1:8" s="42" customFormat="1" ht="4.9000000000000004" customHeight="1" thickBot="1" x14ac:dyDescent="0.3">
      <c r="A4" s="43"/>
      <c r="B4" s="44"/>
      <c r="C4" s="44"/>
      <c r="D4" s="44"/>
      <c r="E4" s="44"/>
      <c r="F4" s="44"/>
      <c r="G4" s="44"/>
    </row>
    <row r="5" spans="1:8" s="42" customFormat="1" ht="7.9" customHeight="1" thickTop="1" x14ac:dyDescent="0.25">
      <c r="A5" s="45"/>
      <c r="B5" s="45"/>
      <c r="C5" s="45"/>
      <c r="D5" s="45"/>
      <c r="E5" s="45"/>
      <c r="F5" s="45"/>
      <c r="G5" s="45"/>
      <c r="H5" s="45"/>
    </row>
    <row r="6" spans="1:8" s="50" customFormat="1" ht="15" x14ac:dyDescent="0.25">
      <c r="A6" s="46"/>
      <c r="B6" s="47" t="s">
        <v>26</v>
      </c>
      <c r="C6" s="48"/>
      <c r="D6" s="48"/>
      <c r="E6" s="48"/>
      <c r="F6" s="48"/>
      <c r="G6" s="48"/>
      <c r="H6" s="49"/>
    </row>
    <row r="7" spans="1:8" s="50" customFormat="1" ht="4.1500000000000004" customHeight="1" x14ac:dyDescent="0.25">
      <c r="A7" s="46"/>
      <c r="B7" s="51"/>
      <c r="C7" s="46"/>
      <c r="D7" s="46"/>
      <c r="E7" s="46"/>
      <c r="F7" s="46"/>
      <c r="G7" s="46"/>
      <c r="H7" s="49"/>
    </row>
    <row r="8" spans="1:8" s="50" customFormat="1" ht="7.9" customHeight="1" x14ac:dyDescent="0.25">
      <c r="A8" s="46"/>
      <c r="B8" s="52"/>
      <c r="C8" s="53"/>
      <c r="D8" s="53"/>
      <c r="E8" s="53"/>
      <c r="F8" s="53"/>
      <c r="G8" s="54"/>
      <c r="H8" s="49"/>
    </row>
    <row r="9" spans="1:8" s="50" customFormat="1" ht="15" x14ac:dyDescent="0.25">
      <c r="A9" s="49"/>
      <c r="B9" s="55"/>
      <c r="C9" s="56" t="s">
        <v>27</v>
      </c>
      <c r="D9" s="56"/>
      <c r="E9" s="57"/>
      <c r="F9" s="58">
        <v>45838</v>
      </c>
      <c r="G9" s="59"/>
      <c r="H9" s="49"/>
    </row>
    <row r="10" spans="1:8" s="50" customFormat="1" ht="7.9" customHeight="1" x14ac:dyDescent="0.25">
      <c r="A10" s="49"/>
      <c r="B10" s="55"/>
      <c r="C10" s="60"/>
      <c r="D10" s="60"/>
      <c r="E10" s="19"/>
      <c r="F10" s="41" t="str">
        <f>YEAR(F9)&amp;"-"&amp;TEXT(MONTH(F9),"00")&amp;"-"&amp;TEXT(DAY(F9),"00")</f>
        <v>2025-06-30</v>
      </c>
      <c r="G10" s="65"/>
      <c r="H10" s="49"/>
    </row>
    <row r="11" spans="1:8" s="50" customFormat="1" ht="7.9" customHeight="1" x14ac:dyDescent="0.25">
      <c r="A11" s="49"/>
      <c r="B11" s="55"/>
      <c r="C11" s="42"/>
      <c r="D11" s="42"/>
      <c r="E11" s="42"/>
      <c r="F11" s="42"/>
      <c r="G11" s="59"/>
      <c r="H11" s="49"/>
    </row>
    <row r="12" spans="1:8" s="50" customFormat="1" ht="15" x14ac:dyDescent="0.25">
      <c r="A12" s="49"/>
      <c r="B12" s="55"/>
      <c r="C12" s="56" t="s">
        <v>28</v>
      </c>
      <c r="D12" s="56"/>
      <c r="E12" s="57"/>
      <c r="F12" s="57"/>
      <c r="G12" s="59"/>
      <c r="H12" s="49"/>
    </row>
    <row r="13" spans="1:8" s="50" customFormat="1" ht="7.9" customHeight="1" x14ac:dyDescent="0.25">
      <c r="A13" s="49"/>
      <c r="B13" s="55"/>
      <c r="C13" s="42"/>
      <c r="D13" s="42"/>
      <c r="E13" s="42"/>
      <c r="F13" s="42"/>
      <c r="G13" s="59"/>
      <c r="H13" s="49"/>
    </row>
    <row r="14" spans="1:8" s="50" customFormat="1" ht="7.9" customHeight="1" x14ac:dyDescent="0.25">
      <c r="A14" s="49"/>
      <c r="B14" s="55"/>
      <c r="C14" s="42"/>
      <c r="D14" s="42"/>
      <c r="E14" s="42"/>
      <c r="F14" s="42"/>
      <c r="G14" s="59"/>
      <c r="H14" s="49"/>
    </row>
    <row r="15" spans="1:8" s="50" customFormat="1" ht="15" x14ac:dyDescent="0.25">
      <c r="A15" s="49"/>
      <c r="B15" s="55"/>
      <c r="C15" s="56" t="s">
        <v>29</v>
      </c>
      <c r="D15" s="56"/>
      <c r="E15" s="57"/>
      <c r="F15" s="57"/>
      <c r="G15" s="59"/>
      <c r="H15" s="49"/>
    </row>
    <row r="16" spans="1:8" s="50" customFormat="1" ht="7.9" customHeight="1" x14ac:dyDescent="0.25">
      <c r="A16" s="49"/>
      <c r="B16" s="55"/>
      <c r="C16" s="42"/>
      <c r="D16" s="42"/>
      <c r="E16" s="42"/>
      <c r="F16" s="42"/>
      <c r="G16" s="59"/>
      <c r="H16" s="49"/>
    </row>
    <row r="17" spans="1:8" s="50" customFormat="1" ht="7.9" customHeight="1" x14ac:dyDescent="0.25">
      <c r="A17" s="49"/>
      <c r="B17" s="61"/>
      <c r="C17" s="62"/>
      <c r="D17" s="62"/>
      <c r="E17" s="62"/>
      <c r="F17" s="62"/>
      <c r="G17" s="63"/>
      <c r="H17" s="49"/>
    </row>
    <row r="18" spans="1:8" s="50" customFormat="1" ht="15" x14ac:dyDescent="0.25">
      <c r="A18" s="49"/>
      <c r="B18" s="49"/>
      <c r="C18" s="49"/>
      <c r="D18" s="49"/>
      <c r="E18" s="49"/>
      <c r="F18" s="49"/>
      <c r="G18" s="49"/>
      <c r="H18" s="49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64"/>
      <c r="G22" s="64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452"/>
  <sheetViews>
    <sheetView showGridLines="0" workbookViewId="0">
      <pane ySplit="4" topLeftCell="A422" activePane="bottomLeft" state="frozen"/>
      <selection pane="bottomLeft" activeCell="G429" sqref="G429"/>
    </sheetView>
  </sheetViews>
  <sheetFormatPr defaultColWidth="0" defaultRowHeight="15" x14ac:dyDescent="0.25"/>
  <cols>
    <col min="1" max="2" width="3.7109375" customWidth="1"/>
    <col min="3" max="3" width="17.85546875" customWidth="1"/>
    <col min="4" max="4" width="9.85546875" customWidth="1"/>
    <col min="5" max="5" width="10.28515625" customWidth="1"/>
    <col min="6" max="6" width="14.7109375" customWidth="1"/>
    <col min="7" max="7" width="15.5703125" bestFit="1" customWidth="1"/>
    <col min="8" max="8" width="12.7109375" customWidth="1"/>
    <col min="9" max="9" width="11.42578125" bestFit="1" customWidth="1"/>
    <col min="10" max="10" width="3.7109375" customWidth="1"/>
    <col min="11" max="18" width="0" hidden="1" customWidth="1"/>
    <col min="19" max="16384" width="8.7109375" hidden="1"/>
  </cols>
  <sheetData>
    <row r="1" spans="1:10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</row>
    <row r="2" spans="1:10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</row>
    <row r="4" spans="1:10" ht="15.75" thickBot="1" x14ac:dyDescent="0.3">
      <c r="A4" s="20"/>
      <c r="B4" s="21"/>
      <c r="C4" s="21"/>
      <c r="D4" s="21"/>
      <c r="E4" s="21"/>
      <c r="F4" s="21"/>
      <c r="G4" s="21"/>
      <c r="H4" s="21"/>
      <c r="I4" s="21"/>
      <c r="J4" s="19"/>
    </row>
    <row r="5" spans="1:10" ht="15.75" thickTop="1" x14ac:dyDescent="0.25">
      <c r="A5" s="22"/>
      <c r="B5" s="22"/>
      <c r="C5" s="22"/>
      <c r="D5" s="22"/>
      <c r="E5" s="22"/>
      <c r="F5" s="22"/>
      <c r="G5" s="22"/>
      <c r="H5" s="22"/>
      <c r="I5" s="22"/>
    </row>
    <row r="6" spans="1:10" x14ac:dyDescent="0.25">
      <c r="C6" s="66" t="s">
        <v>30</v>
      </c>
      <c r="D6" s="67" t="s">
        <v>31</v>
      </c>
      <c r="E6" s="66" t="s">
        <v>32</v>
      </c>
      <c r="F6" s="67" t="s">
        <v>33</v>
      </c>
      <c r="G6" s="68" t="s">
        <v>34</v>
      </c>
      <c r="H6" s="67" t="s">
        <v>35</v>
      </c>
      <c r="I6" s="67" t="s">
        <v>36</v>
      </c>
    </row>
    <row r="7" spans="1:10" x14ac:dyDescent="0.25">
      <c r="C7" t="s">
        <v>46</v>
      </c>
      <c r="D7" t="s">
        <v>51</v>
      </c>
      <c r="E7" t="s">
        <v>48</v>
      </c>
      <c r="F7" t="s">
        <v>49</v>
      </c>
      <c r="G7" s="80">
        <v>4743</v>
      </c>
      <c r="H7" t="s">
        <v>52</v>
      </c>
      <c r="I7" t="s">
        <v>45</v>
      </c>
    </row>
    <row r="8" spans="1:10" x14ac:dyDescent="0.25">
      <c r="C8" t="s">
        <v>46</v>
      </c>
      <c r="D8" t="s">
        <v>47</v>
      </c>
      <c r="E8" t="s">
        <v>43</v>
      </c>
      <c r="F8" t="s">
        <v>40</v>
      </c>
      <c r="G8" s="80">
        <v>526161</v>
      </c>
      <c r="H8" t="s">
        <v>41</v>
      </c>
      <c r="I8" t="s">
        <v>41</v>
      </c>
    </row>
    <row r="9" spans="1:10" x14ac:dyDescent="0.25">
      <c r="C9" t="s">
        <v>37</v>
      </c>
      <c r="D9" t="s">
        <v>57</v>
      </c>
      <c r="E9" t="s">
        <v>39</v>
      </c>
      <c r="F9" t="s">
        <v>40</v>
      </c>
      <c r="G9" s="80">
        <v>284158</v>
      </c>
      <c r="H9" t="s">
        <v>44</v>
      </c>
      <c r="I9" t="s">
        <v>45</v>
      </c>
    </row>
    <row r="10" spans="1:10" x14ac:dyDescent="0.25">
      <c r="C10" t="s">
        <v>46</v>
      </c>
      <c r="D10" t="s">
        <v>47</v>
      </c>
      <c r="E10" t="s">
        <v>58</v>
      </c>
      <c r="F10" t="s">
        <v>40</v>
      </c>
      <c r="G10" s="80">
        <v>651054</v>
      </c>
      <c r="H10" t="s">
        <v>41</v>
      </c>
      <c r="I10" t="s">
        <v>45</v>
      </c>
    </row>
    <row r="11" spans="1:10" x14ac:dyDescent="0.25">
      <c r="C11" t="s">
        <v>37</v>
      </c>
      <c r="D11" t="s">
        <v>38</v>
      </c>
      <c r="E11" t="s">
        <v>58</v>
      </c>
      <c r="F11" t="s">
        <v>40</v>
      </c>
      <c r="G11" s="80">
        <v>801374</v>
      </c>
      <c r="H11" t="s">
        <v>41</v>
      </c>
      <c r="I11" t="s">
        <v>45</v>
      </c>
    </row>
    <row r="12" spans="1:10" x14ac:dyDescent="0.25">
      <c r="C12" t="s">
        <v>46</v>
      </c>
      <c r="D12" t="s">
        <v>55</v>
      </c>
      <c r="E12" t="s">
        <v>43</v>
      </c>
      <c r="F12" t="s">
        <v>49</v>
      </c>
      <c r="G12" s="80">
        <v>401347</v>
      </c>
      <c r="H12" t="s">
        <v>41</v>
      </c>
      <c r="I12" t="s">
        <v>45</v>
      </c>
    </row>
    <row r="13" spans="1:10" x14ac:dyDescent="0.25">
      <c r="C13" t="s">
        <v>46</v>
      </c>
      <c r="D13" t="s">
        <v>38</v>
      </c>
      <c r="E13" t="s">
        <v>48</v>
      </c>
      <c r="F13" t="s">
        <v>40</v>
      </c>
      <c r="G13" s="80">
        <v>44075342</v>
      </c>
      <c r="H13" t="s">
        <v>41</v>
      </c>
      <c r="I13" t="s">
        <v>41</v>
      </c>
    </row>
    <row r="14" spans="1:10" x14ac:dyDescent="0.25">
      <c r="C14" t="s">
        <v>53</v>
      </c>
      <c r="D14" t="s">
        <v>50</v>
      </c>
      <c r="E14" t="s">
        <v>39</v>
      </c>
      <c r="F14" t="s">
        <v>40</v>
      </c>
      <c r="G14" s="80">
        <v>161707</v>
      </c>
      <c r="H14" t="s">
        <v>41</v>
      </c>
      <c r="I14" t="s">
        <v>45</v>
      </c>
    </row>
    <row r="15" spans="1:10" x14ac:dyDescent="0.25">
      <c r="C15" t="s">
        <v>46</v>
      </c>
      <c r="D15" t="s">
        <v>60</v>
      </c>
      <c r="E15" t="s">
        <v>48</v>
      </c>
      <c r="F15" t="s">
        <v>49</v>
      </c>
      <c r="G15" s="80">
        <v>2875199</v>
      </c>
      <c r="H15" t="s">
        <v>41</v>
      </c>
      <c r="I15" t="s">
        <v>41</v>
      </c>
    </row>
    <row r="16" spans="1:10" x14ac:dyDescent="0.25">
      <c r="C16" t="s">
        <v>46</v>
      </c>
      <c r="D16" t="s">
        <v>50</v>
      </c>
      <c r="E16" t="s">
        <v>39</v>
      </c>
      <c r="F16" t="s">
        <v>49</v>
      </c>
      <c r="G16" s="80">
        <v>8915452</v>
      </c>
      <c r="H16" t="s">
        <v>41</v>
      </c>
      <c r="I16" t="s">
        <v>41</v>
      </c>
    </row>
    <row r="17" spans="3:9" x14ac:dyDescent="0.25">
      <c r="C17" t="s">
        <v>46</v>
      </c>
      <c r="D17" t="s">
        <v>50</v>
      </c>
      <c r="E17" t="s">
        <v>58</v>
      </c>
      <c r="F17" t="s">
        <v>49</v>
      </c>
      <c r="G17" s="80">
        <v>190334</v>
      </c>
      <c r="H17" t="s">
        <v>41</v>
      </c>
      <c r="I17" t="s">
        <v>41</v>
      </c>
    </row>
    <row r="18" spans="3:9" x14ac:dyDescent="0.25">
      <c r="C18" t="s">
        <v>53</v>
      </c>
      <c r="D18" t="s">
        <v>50</v>
      </c>
      <c r="E18" t="s">
        <v>48</v>
      </c>
      <c r="F18" t="s">
        <v>40</v>
      </c>
      <c r="G18" s="80">
        <v>8157046</v>
      </c>
      <c r="H18" t="s">
        <v>44</v>
      </c>
      <c r="I18" t="s">
        <v>45</v>
      </c>
    </row>
    <row r="19" spans="3:9" x14ac:dyDescent="0.25">
      <c r="C19" t="s">
        <v>46</v>
      </c>
      <c r="D19" t="s">
        <v>55</v>
      </c>
      <c r="E19" t="s">
        <v>43</v>
      </c>
      <c r="F19" t="s">
        <v>49</v>
      </c>
      <c r="G19" s="80">
        <v>16785</v>
      </c>
      <c r="H19" t="s">
        <v>56</v>
      </c>
      <c r="I19" t="s">
        <v>45</v>
      </c>
    </row>
    <row r="20" spans="3:9" x14ac:dyDescent="0.25">
      <c r="C20" t="s">
        <v>46</v>
      </c>
      <c r="D20" t="s">
        <v>50</v>
      </c>
      <c r="E20" t="s">
        <v>61</v>
      </c>
      <c r="F20" t="s">
        <v>40</v>
      </c>
      <c r="G20" s="80">
        <v>1693605</v>
      </c>
      <c r="H20" t="s">
        <v>41</v>
      </c>
      <c r="I20" t="s">
        <v>41</v>
      </c>
    </row>
    <row r="21" spans="3:9" x14ac:dyDescent="0.25">
      <c r="C21" t="s">
        <v>46</v>
      </c>
      <c r="D21" t="s">
        <v>38</v>
      </c>
      <c r="E21" t="s">
        <v>58</v>
      </c>
      <c r="F21" t="s">
        <v>40</v>
      </c>
      <c r="G21" s="80">
        <v>1808576</v>
      </c>
      <c r="H21" t="s">
        <v>41</v>
      </c>
      <c r="I21" t="s">
        <v>45</v>
      </c>
    </row>
    <row r="22" spans="3:9" x14ac:dyDescent="0.25">
      <c r="C22" t="s">
        <v>46</v>
      </c>
      <c r="D22" t="s">
        <v>55</v>
      </c>
      <c r="E22" t="s">
        <v>48</v>
      </c>
      <c r="F22" t="s">
        <v>40</v>
      </c>
      <c r="G22" s="80">
        <v>64998174</v>
      </c>
      <c r="H22" t="s">
        <v>41</v>
      </c>
      <c r="I22" t="s">
        <v>45</v>
      </c>
    </row>
    <row r="23" spans="3:9" x14ac:dyDescent="0.25">
      <c r="C23" t="s">
        <v>46</v>
      </c>
      <c r="D23" t="s">
        <v>38</v>
      </c>
      <c r="E23" t="s">
        <v>48</v>
      </c>
      <c r="F23" t="s">
        <v>40</v>
      </c>
      <c r="G23" s="80">
        <v>4072324</v>
      </c>
      <c r="H23" t="s">
        <v>62</v>
      </c>
      <c r="I23" t="s">
        <v>45</v>
      </c>
    </row>
    <row r="24" spans="3:9" x14ac:dyDescent="0.25">
      <c r="C24" t="s">
        <v>37</v>
      </c>
      <c r="D24" t="s">
        <v>57</v>
      </c>
      <c r="E24" t="s">
        <v>39</v>
      </c>
      <c r="F24" t="s">
        <v>40</v>
      </c>
      <c r="G24" s="80">
        <v>4299</v>
      </c>
      <c r="H24" t="s">
        <v>52</v>
      </c>
      <c r="I24" t="s">
        <v>45</v>
      </c>
    </row>
    <row r="25" spans="3:9" x14ac:dyDescent="0.25">
      <c r="C25" t="s">
        <v>37</v>
      </c>
      <c r="D25" t="s">
        <v>60</v>
      </c>
      <c r="E25" t="s">
        <v>48</v>
      </c>
      <c r="F25" t="s">
        <v>40</v>
      </c>
      <c r="G25" s="80">
        <v>7410194</v>
      </c>
      <c r="H25" t="s">
        <v>52</v>
      </c>
      <c r="I25" t="s">
        <v>45</v>
      </c>
    </row>
    <row r="26" spans="3:9" x14ac:dyDescent="0.25">
      <c r="C26" t="s">
        <v>37</v>
      </c>
      <c r="D26" t="s">
        <v>55</v>
      </c>
      <c r="E26" t="s">
        <v>58</v>
      </c>
      <c r="F26" t="s">
        <v>40</v>
      </c>
      <c r="G26" s="80">
        <v>710982</v>
      </c>
      <c r="H26" t="s">
        <v>56</v>
      </c>
      <c r="I26" t="s">
        <v>45</v>
      </c>
    </row>
    <row r="27" spans="3:9" x14ac:dyDescent="0.25">
      <c r="C27" t="s">
        <v>46</v>
      </c>
      <c r="D27" t="s">
        <v>51</v>
      </c>
      <c r="E27" t="s">
        <v>66</v>
      </c>
      <c r="F27" t="s">
        <v>40</v>
      </c>
      <c r="G27" s="80">
        <v>252988</v>
      </c>
      <c r="H27" t="s">
        <v>41</v>
      </c>
      <c r="I27" t="s">
        <v>41</v>
      </c>
    </row>
    <row r="28" spans="3:9" x14ac:dyDescent="0.25">
      <c r="C28" t="s">
        <v>46</v>
      </c>
      <c r="D28" t="s">
        <v>50</v>
      </c>
      <c r="E28" t="s">
        <v>39</v>
      </c>
      <c r="F28" t="s">
        <v>40</v>
      </c>
      <c r="G28" s="80">
        <v>444599704</v>
      </c>
      <c r="H28" t="s">
        <v>41</v>
      </c>
      <c r="I28" t="s">
        <v>41</v>
      </c>
    </row>
    <row r="29" spans="3:9" x14ac:dyDescent="0.25">
      <c r="C29" t="s">
        <v>53</v>
      </c>
      <c r="D29" t="s">
        <v>38</v>
      </c>
      <c r="E29" t="s">
        <v>39</v>
      </c>
      <c r="F29" t="s">
        <v>40</v>
      </c>
      <c r="G29" s="80">
        <v>537473</v>
      </c>
      <c r="H29" t="s">
        <v>52</v>
      </c>
      <c r="I29" t="s">
        <v>45</v>
      </c>
    </row>
    <row r="30" spans="3:9" x14ac:dyDescent="0.25">
      <c r="C30" t="s">
        <v>37</v>
      </c>
      <c r="D30" t="s">
        <v>51</v>
      </c>
      <c r="E30" t="s">
        <v>48</v>
      </c>
      <c r="F30" t="s">
        <v>40</v>
      </c>
      <c r="G30" s="80">
        <v>5777485</v>
      </c>
      <c r="H30" t="s">
        <v>52</v>
      </c>
      <c r="I30" t="s">
        <v>45</v>
      </c>
    </row>
    <row r="31" spans="3:9" x14ac:dyDescent="0.25">
      <c r="C31" t="s">
        <v>37</v>
      </c>
      <c r="D31" t="s">
        <v>38</v>
      </c>
      <c r="E31" t="s">
        <v>39</v>
      </c>
      <c r="F31" t="s">
        <v>40</v>
      </c>
      <c r="G31" s="80">
        <v>201105914</v>
      </c>
      <c r="H31" t="s">
        <v>44</v>
      </c>
      <c r="I31" t="s">
        <v>45</v>
      </c>
    </row>
    <row r="32" spans="3:9" x14ac:dyDescent="0.25">
      <c r="C32" t="s">
        <v>46</v>
      </c>
      <c r="D32" t="s">
        <v>55</v>
      </c>
      <c r="E32" t="s">
        <v>43</v>
      </c>
      <c r="F32" t="s">
        <v>40</v>
      </c>
      <c r="G32" s="80">
        <v>87562480</v>
      </c>
      <c r="H32" t="s">
        <v>56</v>
      </c>
      <c r="I32" t="s">
        <v>45</v>
      </c>
    </row>
    <row r="33" spans="3:9" x14ac:dyDescent="0.25">
      <c r="C33" t="s">
        <v>46</v>
      </c>
      <c r="D33" t="s">
        <v>38</v>
      </c>
      <c r="E33" t="s">
        <v>48</v>
      </c>
      <c r="F33" t="s">
        <v>40</v>
      </c>
      <c r="G33" s="80">
        <v>518445522</v>
      </c>
      <c r="H33" t="s">
        <v>41</v>
      </c>
      <c r="I33" t="s">
        <v>45</v>
      </c>
    </row>
    <row r="34" spans="3:9" x14ac:dyDescent="0.25">
      <c r="C34" t="s">
        <v>53</v>
      </c>
      <c r="D34" t="s">
        <v>60</v>
      </c>
      <c r="E34" t="s">
        <v>39</v>
      </c>
      <c r="F34" t="s">
        <v>40</v>
      </c>
      <c r="G34" s="80">
        <v>77249</v>
      </c>
      <c r="H34" t="s">
        <v>41</v>
      </c>
      <c r="I34" t="s">
        <v>45</v>
      </c>
    </row>
    <row r="35" spans="3:9" x14ac:dyDescent="0.25">
      <c r="C35" t="s">
        <v>37</v>
      </c>
      <c r="D35" t="s">
        <v>38</v>
      </c>
      <c r="E35" t="s">
        <v>39</v>
      </c>
      <c r="F35" t="s">
        <v>40</v>
      </c>
      <c r="G35" s="80">
        <v>84610054</v>
      </c>
      <c r="H35" t="s">
        <v>56</v>
      </c>
      <c r="I35" t="s">
        <v>45</v>
      </c>
    </row>
    <row r="36" spans="3:9" x14ac:dyDescent="0.25">
      <c r="C36" t="s">
        <v>46</v>
      </c>
      <c r="D36" t="s">
        <v>42</v>
      </c>
      <c r="E36" t="s">
        <v>43</v>
      </c>
      <c r="F36" t="s">
        <v>40</v>
      </c>
      <c r="G36" s="80">
        <v>291383300</v>
      </c>
      <c r="H36" t="s">
        <v>44</v>
      </c>
      <c r="I36" t="s">
        <v>45</v>
      </c>
    </row>
    <row r="37" spans="3:9" x14ac:dyDescent="0.25">
      <c r="C37" t="s">
        <v>37</v>
      </c>
      <c r="D37" t="s">
        <v>51</v>
      </c>
      <c r="E37" t="s">
        <v>39</v>
      </c>
      <c r="F37" t="s">
        <v>40</v>
      </c>
      <c r="G37" s="80">
        <v>4119435</v>
      </c>
      <c r="H37" t="s">
        <v>56</v>
      </c>
      <c r="I37" t="s">
        <v>45</v>
      </c>
    </row>
    <row r="38" spans="3:9" x14ac:dyDescent="0.25">
      <c r="C38" t="s">
        <v>46</v>
      </c>
      <c r="D38" t="s">
        <v>42</v>
      </c>
      <c r="E38" t="s">
        <v>48</v>
      </c>
      <c r="F38" t="s">
        <v>40</v>
      </c>
      <c r="G38" s="80">
        <v>32745323</v>
      </c>
      <c r="H38" t="s">
        <v>44</v>
      </c>
      <c r="I38" t="s">
        <v>45</v>
      </c>
    </row>
    <row r="39" spans="3:9" x14ac:dyDescent="0.25">
      <c r="C39" t="s">
        <v>46</v>
      </c>
      <c r="D39" t="s">
        <v>38</v>
      </c>
      <c r="E39" t="s">
        <v>43</v>
      </c>
      <c r="F39" t="s">
        <v>40</v>
      </c>
      <c r="G39" s="80">
        <v>342548</v>
      </c>
      <c r="H39" t="s">
        <v>52</v>
      </c>
      <c r="I39" t="s">
        <v>45</v>
      </c>
    </row>
    <row r="40" spans="3:9" x14ac:dyDescent="0.25">
      <c r="C40" t="s">
        <v>37</v>
      </c>
      <c r="D40" t="s">
        <v>60</v>
      </c>
      <c r="E40" t="s">
        <v>48</v>
      </c>
      <c r="F40" t="s">
        <v>40</v>
      </c>
      <c r="G40" s="80">
        <v>8248351</v>
      </c>
      <c r="H40" t="s">
        <v>41</v>
      </c>
      <c r="I40" t="s">
        <v>41</v>
      </c>
    </row>
    <row r="41" spans="3:9" x14ac:dyDescent="0.25">
      <c r="C41" t="s">
        <v>37</v>
      </c>
      <c r="D41" t="s">
        <v>55</v>
      </c>
      <c r="E41" t="s">
        <v>43</v>
      </c>
      <c r="F41" t="s">
        <v>40</v>
      </c>
      <c r="G41" s="80">
        <v>13221889</v>
      </c>
      <c r="H41" t="s">
        <v>54</v>
      </c>
      <c r="I41" t="s">
        <v>45</v>
      </c>
    </row>
    <row r="42" spans="3:9" x14ac:dyDescent="0.25">
      <c r="C42" t="s">
        <v>53</v>
      </c>
      <c r="D42" t="s">
        <v>47</v>
      </c>
      <c r="E42" t="s">
        <v>48</v>
      </c>
      <c r="F42" t="s">
        <v>40</v>
      </c>
      <c r="G42" s="80">
        <v>360475</v>
      </c>
      <c r="H42" t="s">
        <v>44</v>
      </c>
      <c r="I42" t="s">
        <v>45</v>
      </c>
    </row>
    <row r="43" spans="3:9" x14ac:dyDescent="0.25">
      <c r="C43" t="s">
        <v>37</v>
      </c>
      <c r="D43" t="s">
        <v>59</v>
      </c>
      <c r="E43" t="s">
        <v>66</v>
      </c>
      <c r="F43" t="s">
        <v>40</v>
      </c>
      <c r="G43" s="80">
        <v>10</v>
      </c>
      <c r="H43" t="s">
        <v>52</v>
      </c>
      <c r="I43" t="s">
        <v>45</v>
      </c>
    </row>
    <row r="44" spans="3:9" x14ac:dyDescent="0.25">
      <c r="C44" t="s">
        <v>37</v>
      </c>
      <c r="D44" t="s">
        <v>50</v>
      </c>
      <c r="E44" t="s">
        <v>48</v>
      </c>
      <c r="F44" t="s">
        <v>40</v>
      </c>
      <c r="G44" s="80">
        <v>51085277</v>
      </c>
      <c r="H44" t="s">
        <v>54</v>
      </c>
      <c r="I44" t="s">
        <v>45</v>
      </c>
    </row>
    <row r="45" spans="3:9" x14ac:dyDescent="0.25">
      <c r="C45" t="s">
        <v>37</v>
      </c>
      <c r="D45" t="s">
        <v>50</v>
      </c>
      <c r="E45" t="s">
        <v>43</v>
      </c>
      <c r="F45" t="s">
        <v>40</v>
      </c>
      <c r="G45" s="80">
        <v>521179</v>
      </c>
      <c r="H45" t="s">
        <v>56</v>
      </c>
      <c r="I45" t="s">
        <v>45</v>
      </c>
    </row>
    <row r="46" spans="3:9" x14ac:dyDescent="0.25">
      <c r="C46" t="s">
        <v>46</v>
      </c>
      <c r="D46" t="s">
        <v>63</v>
      </c>
      <c r="E46" t="s">
        <v>63</v>
      </c>
      <c r="F46" t="s">
        <v>40</v>
      </c>
      <c r="G46" s="80">
        <v>36546420</v>
      </c>
      <c r="H46" t="s">
        <v>65</v>
      </c>
      <c r="I46" t="s">
        <v>65</v>
      </c>
    </row>
    <row r="47" spans="3:9" x14ac:dyDescent="0.25">
      <c r="C47" t="s">
        <v>46</v>
      </c>
      <c r="D47" t="s">
        <v>51</v>
      </c>
      <c r="E47" t="s">
        <v>48</v>
      </c>
      <c r="F47" t="s">
        <v>40</v>
      </c>
      <c r="G47" s="80">
        <v>53638764</v>
      </c>
      <c r="H47" t="s">
        <v>56</v>
      </c>
      <c r="I47" t="s">
        <v>45</v>
      </c>
    </row>
    <row r="48" spans="3:9" x14ac:dyDescent="0.25">
      <c r="C48" t="s">
        <v>37</v>
      </c>
      <c r="D48" t="s">
        <v>38</v>
      </c>
      <c r="E48" t="s">
        <v>48</v>
      </c>
      <c r="F48" t="s">
        <v>40</v>
      </c>
      <c r="G48" s="80">
        <v>1779665</v>
      </c>
      <c r="H48" t="s">
        <v>41</v>
      </c>
      <c r="I48" t="s">
        <v>41</v>
      </c>
    </row>
    <row r="49" spans="3:9" x14ac:dyDescent="0.25">
      <c r="C49" t="s">
        <v>46</v>
      </c>
      <c r="D49" t="s">
        <v>55</v>
      </c>
      <c r="E49" t="s">
        <v>48</v>
      </c>
      <c r="F49" t="s">
        <v>40</v>
      </c>
      <c r="G49" s="80">
        <v>211429</v>
      </c>
      <c r="H49" t="s">
        <v>54</v>
      </c>
      <c r="I49" t="s">
        <v>45</v>
      </c>
    </row>
    <row r="50" spans="3:9" x14ac:dyDescent="0.25">
      <c r="C50" t="s">
        <v>46</v>
      </c>
      <c r="D50" t="s">
        <v>55</v>
      </c>
      <c r="E50" t="s">
        <v>61</v>
      </c>
      <c r="F50" t="s">
        <v>40</v>
      </c>
      <c r="G50" s="80">
        <v>95690926</v>
      </c>
      <c r="H50" t="s">
        <v>41</v>
      </c>
      <c r="I50" t="s">
        <v>41</v>
      </c>
    </row>
    <row r="51" spans="3:9" x14ac:dyDescent="0.25">
      <c r="C51" t="s">
        <v>46</v>
      </c>
      <c r="D51" t="s">
        <v>47</v>
      </c>
      <c r="E51" t="s">
        <v>48</v>
      </c>
      <c r="F51" t="s">
        <v>49</v>
      </c>
      <c r="G51" s="80">
        <v>380883</v>
      </c>
      <c r="H51" t="s">
        <v>44</v>
      </c>
      <c r="I51" t="s">
        <v>45</v>
      </c>
    </row>
    <row r="52" spans="3:9" x14ac:dyDescent="0.25">
      <c r="C52" t="s">
        <v>46</v>
      </c>
      <c r="D52" t="s">
        <v>47</v>
      </c>
      <c r="E52" t="s">
        <v>39</v>
      </c>
      <c r="F52" t="s">
        <v>40</v>
      </c>
      <c r="G52" s="80">
        <v>48479449</v>
      </c>
      <c r="H52" t="s">
        <v>41</v>
      </c>
      <c r="I52" t="s">
        <v>45</v>
      </c>
    </row>
    <row r="53" spans="3:9" x14ac:dyDescent="0.25">
      <c r="C53" t="s">
        <v>53</v>
      </c>
      <c r="D53" t="s">
        <v>57</v>
      </c>
      <c r="E53" t="s">
        <v>48</v>
      </c>
      <c r="F53" t="s">
        <v>40</v>
      </c>
      <c r="G53" s="80">
        <v>21900</v>
      </c>
      <c r="H53" t="s">
        <v>44</v>
      </c>
      <c r="I53" t="s">
        <v>45</v>
      </c>
    </row>
    <row r="54" spans="3:9" x14ac:dyDescent="0.25">
      <c r="C54" t="s">
        <v>46</v>
      </c>
      <c r="D54" t="s">
        <v>55</v>
      </c>
      <c r="E54" t="s">
        <v>66</v>
      </c>
      <c r="F54" t="s">
        <v>40</v>
      </c>
      <c r="G54" s="80">
        <v>149737</v>
      </c>
      <c r="H54" t="s">
        <v>56</v>
      </c>
      <c r="I54" t="s">
        <v>45</v>
      </c>
    </row>
    <row r="55" spans="3:9" x14ac:dyDescent="0.25">
      <c r="C55" t="s">
        <v>46</v>
      </c>
      <c r="D55" t="s">
        <v>60</v>
      </c>
      <c r="E55" t="s">
        <v>48</v>
      </c>
      <c r="F55" t="s">
        <v>40</v>
      </c>
      <c r="G55" s="80">
        <v>157656662</v>
      </c>
      <c r="H55" t="s">
        <v>41</v>
      </c>
      <c r="I55" t="s">
        <v>41</v>
      </c>
    </row>
    <row r="56" spans="3:9" x14ac:dyDescent="0.25">
      <c r="C56" t="s">
        <v>46</v>
      </c>
      <c r="D56" t="s">
        <v>60</v>
      </c>
      <c r="E56" t="s">
        <v>48</v>
      </c>
      <c r="F56" t="s">
        <v>40</v>
      </c>
      <c r="G56" s="80">
        <v>150261883</v>
      </c>
      <c r="H56" t="s">
        <v>52</v>
      </c>
      <c r="I56" t="s">
        <v>45</v>
      </c>
    </row>
    <row r="57" spans="3:9" x14ac:dyDescent="0.25">
      <c r="C57" t="s">
        <v>37</v>
      </c>
      <c r="D57" t="s">
        <v>38</v>
      </c>
      <c r="E57" t="s">
        <v>48</v>
      </c>
      <c r="F57" t="s">
        <v>40</v>
      </c>
      <c r="G57" s="80">
        <v>7501266</v>
      </c>
      <c r="H57" t="s">
        <v>52</v>
      </c>
      <c r="I57" t="s">
        <v>45</v>
      </c>
    </row>
    <row r="58" spans="3:9" x14ac:dyDescent="0.25">
      <c r="C58" t="s">
        <v>46</v>
      </c>
      <c r="D58" t="s">
        <v>42</v>
      </c>
      <c r="E58" t="s">
        <v>39</v>
      </c>
      <c r="F58" t="s">
        <v>49</v>
      </c>
      <c r="G58" s="80">
        <v>354479</v>
      </c>
      <c r="H58" t="s">
        <v>44</v>
      </c>
      <c r="I58" t="s">
        <v>45</v>
      </c>
    </row>
    <row r="59" spans="3:9" x14ac:dyDescent="0.25">
      <c r="C59" t="s">
        <v>46</v>
      </c>
      <c r="D59" t="s">
        <v>38</v>
      </c>
      <c r="E59" t="s">
        <v>39</v>
      </c>
      <c r="F59" t="s">
        <v>49</v>
      </c>
      <c r="G59" s="80">
        <v>5875770</v>
      </c>
      <c r="H59" t="s">
        <v>41</v>
      </c>
      <c r="I59" t="s">
        <v>41</v>
      </c>
    </row>
    <row r="60" spans="3:9" x14ac:dyDescent="0.25">
      <c r="C60" t="s">
        <v>37</v>
      </c>
      <c r="D60" t="s">
        <v>51</v>
      </c>
      <c r="E60" t="s">
        <v>48</v>
      </c>
      <c r="F60" t="s">
        <v>40</v>
      </c>
      <c r="G60" s="80">
        <v>2868154</v>
      </c>
      <c r="H60" t="s">
        <v>56</v>
      </c>
      <c r="I60" t="s">
        <v>45</v>
      </c>
    </row>
    <row r="61" spans="3:9" x14ac:dyDescent="0.25">
      <c r="C61" t="s">
        <v>46</v>
      </c>
      <c r="D61" t="s">
        <v>55</v>
      </c>
      <c r="E61" t="s">
        <v>48</v>
      </c>
      <c r="F61" t="s">
        <v>49</v>
      </c>
      <c r="G61" s="80">
        <v>262628</v>
      </c>
      <c r="H61" t="s">
        <v>41</v>
      </c>
      <c r="I61" t="s">
        <v>41</v>
      </c>
    </row>
    <row r="62" spans="3:9" x14ac:dyDescent="0.25">
      <c r="C62" t="s">
        <v>37</v>
      </c>
      <c r="D62" t="s">
        <v>47</v>
      </c>
      <c r="E62" t="s">
        <v>48</v>
      </c>
      <c r="F62" t="s">
        <v>40</v>
      </c>
      <c r="G62" s="80">
        <v>41581850</v>
      </c>
      <c r="H62" t="s">
        <v>44</v>
      </c>
      <c r="I62" t="s">
        <v>45</v>
      </c>
    </row>
    <row r="63" spans="3:9" x14ac:dyDescent="0.25">
      <c r="C63" t="s">
        <v>46</v>
      </c>
      <c r="D63" t="s">
        <v>50</v>
      </c>
      <c r="E63" t="s">
        <v>48</v>
      </c>
      <c r="F63" t="s">
        <v>40</v>
      </c>
      <c r="G63" s="80">
        <v>699429113</v>
      </c>
      <c r="H63" t="s">
        <v>52</v>
      </c>
      <c r="I63" t="s">
        <v>45</v>
      </c>
    </row>
    <row r="64" spans="3:9" x14ac:dyDescent="0.25">
      <c r="C64" t="s">
        <v>37</v>
      </c>
      <c r="D64" t="s">
        <v>57</v>
      </c>
      <c r="E64" t="s">
        <v>61</v>
      </c>
      <c r="F64" t="s">
        <v>40</v>
      </c>
      <c r="G64" s="80">
        <v>215266</v>
      </c>
      <c r="H64" t="s">
        <v>41</v>
      </c>
      <c r="I64" t="s">
        <v>45</v>
      </c>
    </row>
    <row r="65" spans="3:9" x14ac:dyDescent="0.25">
      <c r="C65" t="s">
        <v>46</v>
      </c>
      <c r="D65" t="s">
        <v>38</v>
      </c>
      <c r="E65" t="s">
        <v>39</v>
      </c>
      <c r="F65" t="s">
        <v>49</v>
      </c>
      <c r="G65" s="80">
        <v>497846</v>
      </c>
      <c r="H65" t="s">
        <v>54</v>
      </c>
      <c r="I65" t="s">
        <v>45</v>
      </c>
    </row>
    <row r="66" spans="3:9" x14ac:dyDescent="0.25">
      <c r="C66" t="s">
        <v>46</v>
      </c>
      <c r="D66" t="s">
        <v>42</v>
      </c>
      <c r="E66" t="s">
        <v>48</v>
      </c>
      <c r="F66" t="s">
        <v>40</v>
      </c>
      <c r="G66" s="80">
        <v>11447900</v>
      </c>
      <c r="H66" t="s">
        <v>56</v>
      </c>
      <c r="I66" t="s">
        <v>45</v>
      </c>
    </row>
    <row r="67" spans="3:9" x14ac:dyDescent="0.25">
      <c r="C67" t="s">
        <v>46</v>
      </c>
      <c r="D67" t="s">
        <v>55</v>
      </c>
      <c r="E67" t="s">
        <v>43</v>
      </c>
      <c r="F67" t="s">
        <v>40</v>
      </c>
      <c r="G67" s="80">
        <v>25246979</v>
      </c>
      <c r="H67" t="s">
        <v>41</v>
      </c>
      <c r="I67" t="s">
        <v>41</v>
      </c>
    </row>
    <row r="68" spans="3:9" x14ac:dyDescent="0.25">
      <c r="C68" t="s">
        <v>53</v>
      </c>
      <c r="D68" t="s">
        <v>42</v>
      </c>
      <c r="E68" t="s">
        <v>43</v>
      </c>
      <c r="F68" t="s">
        <v>40</v>
      </c>
      <c r="G68" s="80">
        <v>101679</v>
      </c>
      <c r="H68" t="s">
        <v>41</v>
      </c>
      <c r="I68" t="s">
        <v>45</v>
      </c>
    </row>
    <row r="69" spans="3:9" x14ac:dyDescent="0.25">
      <c r="C69" t="s">
        <v>46</v>
      </c>
      <c r="D69" t="s">
        <v>55</v>
      </c>
      <c r="E69" t="s">
        <v>66</v>
      </c>
      <c r="F69" t="s">
        <v>40</v>
      </c>
      <c r="G69" s="80">
        <v>243223</v>
      </c>
      <c r="H69" t="s">
        <v>41</v>
      </c>
      <c r="I69" t="s">
        <v>45</v>
      </c>
    </row>
    <row r="70" spans="3:9" x14ac:dyDescent="0.25">
      <c r="C70" t="s">
        <v>37</v>
      </c>
      <c r="D70" t="s">
        <v>59</v>
      </c>
      <c r="E70" t="s">
        <v>43</v>
      </c>
      <c r="F70" t="s">
        <v>40</v>
      </c>
      <c r="G70" s="80">
        <v>531186</v>
      </c>
      <c r="H70" t="s">
        <v>52</v>
      </c>
      <c r="I70" t="s">
        <v>45</v>
      </c>
    </row>
    <row r="71" spans="3:9" x14ac:dyDescent="0.25">
      <c r="C71" t="s">
        <v>46</v>
      </c>
      <c r="D71" t="s">
        <v>38</v>
      </c>
      <c r="E71" t="s">
        <v>48</v>
      </c>
      <c r="F71" t="s">
        <v>40</v>
      </c>
      <c r="G71" s="80">
        <v>41616917</v>
      </c>
      <c r="H71" t="s">
        <v>52</v>
      </c>
      <c r="I71" t="s">
        <v>45</v>
      </c>
    </row>
    <row r="72" spans="3:9" x14ac:dyDescent="0.25">
      <c r="C72" t="s">
        <v>37</v>
      </c>
      <c r="D72" t="s">
        <v>42</v>
      </c>
      <c r="E72" t="s">
        <v>48</v>
      </c>
      <c r="F72" t="s">
        <v>40</v>
      </c>
      <c r="G72" s="80">
        <v>4442764</v>
      </c>
      <c r="H72" t="s">
        <v>56</v>
      </c>
      <c r="I72" t="s">
        <v>45</v>
      </c>
    </row>
    <row r="73" spans="3:9" x14ac:dyDescent="0.25">
      <c r="C73" t="s">
        <v>37</v>
      </c>
      <c r="D73" t="s">
        <v>60</v>
      </c>
      <c r="E73" t="s">
        <v>48</v>
      </c>
      <c r="F73" t="s">
        <v>40</v>
      </c>
      <c r="G73" s="80">
        <v>7872995</v>
      </c>
      <c r="H73" t="s">
        <v>41</v>
      </c>
      <c r="I73" t="s">
        <v>45</v>
      </c>
    </row>
    <row r="74" spans="3:9" x14ac:dyDescent="0.25">
      <c r="C74" t="s">
        <v>53</v>
      </c>
      <c r="D74" t="s">
        <v>50</v>
      </c>
      <c r="E74" t="s">
        <v>48</v>
      </c>
      <c r="F74" t="s">
        <v>40</v>
      </c>
      <c r="G74" s="80">
        <v>148621</v>
      </c>
      <c r="H74" t="s">
        <v>41</v>
      </c>
      <c r="I74" t="s">
        <v>45</v>
      </c>
    </row>
    <row r="75" spans="3:9" x14ac:dyDescent="0.25">
      <c r="C75" t="s">
        <v>37</v>
      </c>
      <c r="D75" t="s">
        <v>38</v>
      </c>
      <c r="E75" t="s">
        <v>39</v>
      </c>
      <c r="F75" t="s">
        <v>40</v>
      </c>
      <c r="G75" s="80">
        <v>2455908</v>
      </c>
      <c r="H75" t="s">
        <v>62</v>
      </c>
      <c r="I75" t="s">
        <v>45</v>
      </c>
    </row>
    <row r="76" spans="3:9" x14ac:dyDescent="0.25">
      <c r="C76" t="s">
        <v>46</v>
      </c>
      <c r="D76" t="s">
        <v>55</v>
      </c>
      <c r="E76" t="s">
        <v>58</v>
      </c>
      <c r="F76" t="s">
        <v>40</v>
      </c>
      <c r="G76" s="80">
        <v>2187338</v>
      </c>
      <c r="H76" t="s">
        <v>54</v>
      </c>
      <c r="I76" t="s">
        <v>45</v>
      </c>
    </row>
    <row r="77" spans="3:9" x14ac:dyDescent="0.25">
      <c r="C77" t="s">
        <v>46</v>
      </c>
      <c r="D77" t="s">
        <v>42</v>
      </c>
      <c r="E77" t="s">
        <v>39</v>
      </c>
      <c r="F77" t="s">
        <v>49</v>
      </c>
      <c r="G77" s="80">
        <v>1163224</v>
      </c>
      <c r="H77" t="s">
        <v>41</v>
      </c>
      <c r="I77" t="s">
        <v>41</v>
      </c>
    </row>
    <row r="78" spans="3:9" x14ac:dyDescent="0.25">
      <c r="C78" t="s">
        <v>37</v>
      </c>
      <c r="D78" t="s">
        <v>50</v>
      </c>
      <c r="E78" t="s">
        <v>39</v>
      </c>
      <c r="F78" t="s">
        <v>40</v>
      </c>
      <c r="G78" s="80">
        <v>364405514</v>
      </c>
      <c r="H78" t="s">
        <v>44</v>
      </c>
      <c r="I78" t="s">
        <v>45</v>
      </c>
    </row>
    <row r="79" spans="3:9" x14ac:dyDescent="0.25">
      <c r="C79" t="s">
        <v>46</v>
      </c>
      <c r="D79" t="s">
        <v>50</v>
      </c>
      <c r="E79" t="s">
        <v>39</v>
      </c>
      <c r="F79" t="s">
        <v>49</v>
      </c>
      <c r="G79" s="80">
        <v>38831</v>
      </c>
      <c r="H79" t="s">
        <v>52</v>
      </c>
      <c r="I79" t="s">
        <v>45</v>
      </c>
    </row>
    <row r="80" spans="3:9" x14ac:dyDescent="0.25">
      <c r="C80" t="s">
        <v>37</v>
      </c>
      <c r="D80" t="s">
        <v>50</v>
      </c>
      <c r="E80" t="s">
        <v>39</v>
      </c>
      <c r="F80" t="s">
        <v>40</v>
      </c>
      <c r="G80" s="80">
        <v>42901054</v>
      </c>
      <c r="H80" t="s">
        <v>52</v>
      </c>
      <c r="I80" t="s">
        <v>45</v>
      </c>
    </row>
    <row r="81" spans="3:9" x14ac:dyDescent="0.25">
      <c r="C81" t="s">
        <v>46</v>
      </c>
      <c r="D81" t="s">
        <v>55</v>
      </c>
      <c r="E81" t="s">
        <v>39</v>
      </c>
      <c r="F81" t="s">
        <v>40</v>
      </c>
      <c r="G81" s="80">
        <v>16025382</v>
      </c>
      <c r="H81" t="s">
        <v>44</v>
      </c>
      <c r="I81" t="s">
        <v>45</v>
      </c>
    </row>
    <row r="82" spans="3:9" x14ac:dyDescent="0.25">
      <c r="C82" t="s">
        <v>37</v>
      </c>
      <c r="D82" t="s">
        <v>60</v>
      </c>
      <c r="E82" t="s">
        <v>48</v>
      </c>
      <c r="F82" t="s">
        <v>40</v>
      </c>
      <c r="G82" s="80">
        <v>2956428</v>
      </c>
      <c r="H82" t="s">
        <v>44</v>
      </c>
      <c r="I82" t="s">
        <v>45</v>
      </c>
    </row>
    <row r="83" spans="3:9" x14ac:dyDescent="0.25">
      <c r="C83" t="s">
        <v>46</v>
      </c>
      <c r="D83" t="s">
        <v>47</v>
      </c>
      <c r="E83" t="s">
        <v>48</v>
      </c>
      <c r="F83" t="s">
        <v>40</v>
      </c>
      <c r="G83" s="80">
        <v>121440234</v>
      </c>
      <c r="H83" t="s">
        <v>52</v>
      </c>
      <c r="I83" t="s">
        <v>45</v>
      </c>
    </row>
    <row r="84" spans="3:9" x14ac:dyDescent="0.25">
      <c r="C84" t="s">
        <v>46</v>
      </c>
      <c r="D84" t="s">
        <v>38</v>
      </c>
      <c r="E84" t="s">
        <v>58</v>
      </c>
      <c r="F84" t="s">
        <v>49</v>
      </c>
      <c r="G84" s="80">
        <v>1532670</v>
      </c>
      <c r="H84" t="s">
        <v>41</v>
      </c>
      <c r="I84" t="s">
        <v>41</v>
      </c>
    </row>
    <row r="85" spans="3:9" x14ac:dyDescent="0.25">
      <c r="C85" t="s">
        <v>46</v>
      </c>
      <c r="D85" t="s">
        <v>38</v>
      </c>
      <c r="E85" t="s">
        <v>48</v>
      </c>
      <c r="F85" t="s">
        <v>40</v>
      </c>
      <c r="G85" s="80">
        <v>58474199</v>
      </c>
      <c r="H85" t="s">
        <v>54</v>
      </c>
      <c r="I85" t="s">
        <v>45</v>
      </c>
    </row>
    <row r="86" spans="3:9" x14ac:dyDescent="0.25">
      <c r="C86" t="s">
        <v>37</v>
      </c>
      <c r="D86" t="s">
        <v>50</v>
      </c>
      <c r="E86" t="s">
        <v>48</v>
      </c>
      <c r="F86" t="s">
        <v>40</v>
      </c>
      <c r="G86" s="80">
        <v>1087797</v>
      </c>
      <c r="H86" t="s">
        <v>62</v>
      </c>
      <c r="I86" t="s">
        <v>45</v>
      </c>
    </row>
    <row r="87" spans="3:9" x14ac:dyDescent="0.25">
      <c r="C87" t="s">
        <v>46</v>
      </c>
      <c r="D87" t="s">
        <v>47</v>
      </c>
      <c r="E87" t="s">
        <v>48</v>
      </c>
      <c r="F87" t="s">
        <v>40</v>
      </c>
      <c r="G87" s="80">
        <v>242750531</v>
      </c>
      <c r="H87" t="s">
        <v>44</v>
      </c>
      <c r="I87" t="s">
        <v>45</v>
      </c>
    </row>
    <row r="88" spans="3:9" x14ac:dyDescent="0.25">
      <c r="C88" t="s">
        <v>46</v>
      </c>
      <c r="D88" t="s">
        <v>50</v>
      </c>
      <c r="E88" t="s">
        <v>43</v>
      </c>
      <c r="F88" t="s">
        <v>40</v>
      </c>
      <c r="G88" s="80">
        <v>90723802</v>
      </c>
      <c r="H88" t="s">
        <v>41</v>
      </c>
      <c r="I88" t="s">
        <v>41</v>
      </c>
    </row>
    <row r="89" spans="3:9" x14ac:dyDescent="0.25">
      <c r="C89" t="s">
        <v>46</v>
      </c>
      <c r="D89" t="s">
        <v>42</v>
      </c>
      <c r="E89" t="s">
        <v>58</v>
      </c>
      <c r="F89" t="s">
        <v>40</v>
      </c>
      <c r="G89" s="80">
        <v>3608040</v>
      </c>
      <c r="H89" t="s">
        <v>41</v>
      </c>
      <c r="I89" t="s">
        <v>45</v>
      </c>
    </row>
    <row r="90" spans="3:9" x14ac:dyDescent="0.25">
      <c r="C90" t="s">
        <v>37</v>
      </c>
      <c r="D90" t="s">
        <v>51</v>
      </c>
      <c r="E90" t="s">
        <v>58</v>
      </c>
      <c r="F90" t="s">
        <v>40</v>
      </c>
      <c r="G90" s="80">
        <v>650278</v>
      </c>
      <c r="H90" t="s">
        <v>41</v>
      </c>
      <c r="I90" t="s">
        <v>45</v>
      </c>
    </row>
    <row r="91" spans="3:9" x14ac:dyDescent="0.25">
      <c r="C91" t="s">
        <v>46</v>
      </c>
      <c r="D91" t="s">
        <v>42</v>
      </c>
      <c r="E91" t="s">
        <v>48</v>
      </c>
      <c r="F91" t="s">
        <v>40</v>
      </c>
      <c r="G91" s="80">
        <v>148382653</v>
      </c>
      <c r="H91" t="s">
        <v>41</v>
      </c>
      <c r="I91" t="s">
        <v>45</v>
      </c>
    </row>
    <row r="92" spans="3:9" x14ac:dyDescent="0.25">
      <c r="C92" t="s">
        <v>37</v>
      </c>
      <c r="D92" t="s">
        <v>38</v>
      </c>
      <c r="E92" t="s">
        <v>43</v>
      </c>
      <c r="F92" t="s">
        <v>40</v>
      </c>
      <c r="G92" s="80">
        <v>259979</v>
      </c>
      <c r="H92" t="s">
        <v>44</v>
      </c>
      <c r="I92" t="s">
        <v>45</v>
      </c>
    </row>
    <row r="93" spans="3:9" x14ac:dyDescent="0.25">
      <c r="C93" t="s">
        <v>37</v>
      </c>
      <c r="D93" t="s">
        <v>51</v>
      </c>
      <c r="E93" t="s">
        <v>39</v>
      </c>
      <c r="F93" t="s">
        <v>40</v>
      </c>
      <c r="G93" s="80">
        <v>2911225</v>
      </c>
      <c r="H93" t="s">
        <v>44</v>
      </c>
      <c r="I93" t="s">
        <v>45</v>
      </c>
    </row>
    <row r="94" spans="3:9" x14ac:dyDescent="0.25">
      <c r="C94" t="s">
        <v>37</v>
      </c>
      <c r="D94" t="s">
        <v>59</v>
      </c>
      <c r="E94" t="s">
        <v>58</v>
      </c>
      <c r="F94" t="s">
        <v>40</v>
      </c>
      <c r="G94" s="80">
        <v>1665735</v>
      </c>
      <c r="H94" t="s">
        <v>56</v>
      </c>
      <c r="I94" t="s">
        <v>45</v>
      </c>
    </row>
    <row r="95" spans="3:9" x14ac:dyDescent="0.25">
      <c r="C95" t="s">
        <v>46</v>
      </c>
      <c r="D95" t="s">
        <v>55</v>
      </c>
      <c r="E95" t="s">
        <v>39</v>
      </c>
      <c r="F95" t="s">
        <v>40</v>
      </c>
      <c r="G95" s="80">
        <v>7467071</v>
      </c>
      <c r="H95" t="s">
        <v>41</v>
      </c>
      <c r="I95" t="s">
        <v>41</v>
      </c>
    </row>
    <row r="96" spans="3:9" x14ac:dyDescent="0.25">
      <c r="C96" t="s">
        <v>46</v>
      </c>
      <c r="D96" t="s">
        <v>55</v>
      </c>
      <c r="E96" t="s">
        <v>48</v>
      </c>
      <c r="F96" t="s">
        <v>40</v>
      </c>
      <c r="G96" s="80">
        <v>387721</v>
      </c>
      <c r="H96" t="s">
        <v>52</v>
      </c>
      <c r="I96" t="s">
        <v>45</v>
      </c>
    </row>
    <row r="97" spans="3:9" x14ac:dyDescent="0.25">
      <c r="C97" t="s">
        <v>37</v>
      </c>
      <c r="D97" t="s">
        <v>42</v>
      </c>
      <c r="E97" t="s">
        <v>66</v>
      </c>
      <c r="F97" t="s">
        <v>40</v>
      </c>
      <c r="G97" s="80">
        <v>80256</v>
      </c>
      <c r="H97" t="s">
        <v>41</v>
      </c>
      <c r="I97" t="s">
        <v>41</v>
      </c>
    </row>
    <row r="98" spans="3:9" x14ac:dyDescent="0.25">
      <c r="C98" t="s">
        <v>46</v>
      </c>
      <c r="D98" t="s">
        <v>50</v>
      </c>
      <c r="E98" t="s">
        <v>48</v>
      </c>
      <c r="F98" t="s">
        <v>49</v>
      </c>
      <c r="G98" s="80">
        <v>51906</v>
      </c>
      <c r="H98" t="s">
        <v>52</v>
      </c>
      <c r="I98" t="s">
        <v>45</v>
      </c>
    </row>
    <row r="99" spans="3:9" x14ac:dyDescent="0.25">
      <c r="C99" t="s">
        <v>46</v>
      </c>
      <c r="D99" t="s">
        <v>55</v>
      </c>
      <c r="E99" t="s">
        <v>58</v>
      </c>
      <c r="F99" t="s">
        <v>49</v>
      </c>
      <c r="G99" s="80">
        <v>718288</v>
      </c>
      <c r="H99" t="s">
        <v>41</v>
      </c>
      <c r="I99" t="s">
        <v>41</v>
      </c>
    </row>
    <row r="100" spans="3:9" x14ac:dyDescent="0.25">
      <c r="C100" t="s">
        <v>46</v>
      </c>
      <c r="D100" t="s">
        <v>42</v>
      </c>
      <c r="E100" t="s">
        <v>66</v>
      </c>
      <c r="F100" t="s">
        <v>49</v>
      </c>
      <c r="G100" s="80">
        <v>964418</v>
      </c>
      <c r="H100" t="s">
        <v>41</v>
      </c>
      <c r="I100" t="s">
        <v>41</v>
      </c>
    </row>
    <row r="101" spans="3:9" x14ac:dyDescent="0.25">
      <c r="C101" t="s">
        <v>37</v>
      </c>
      <c r="D101" t="s">
        <v>59</v>
      </c>
      <c r="E101" t="s">
        <v>66</v>
      </c>
      <c r="F101" t="s">
        <v>40</v>
      </c>
      <c r="G101" s="80">
        <v>20603</v>
      </c>
      <c r="H101" t="s">
        <v>44</v>
      </c>
      <c r="I101" t="s">
        <v>45</v>
      </c>
    </row>
    <row r="102" spans="3:9" x14ac:dyDescent="0.25">
      <c r="C102" t="s">
        <v>53</v>
      </c>
      <c r="D102" t="s">
        <v>50</v>
      </c>
      <c r="E102" t="s">
        <v>39</v>
      </c>
      <c r="F102" t="s">
        <v>40</v>
      </c>
      <c r="G102" s="80">
        <v>6788727</v>
      </c>
      <c r="H102" t="s">
        <v>44</v>
      </c>
      <c r="I102" t="s">
        <v>45</v>
      </c>
    </row>
    <row r="103" spans="3:9" x14ac:dyDescent="0.25">
      <c r="C103" t="s">
        <v>46</v>
      </c>
      <c r="D103" t="s">
        <v>57</v>
      </c>
      <c r="E103" t="s">
        <v>48</v>
      </c>
      <c r="F103" t="s">
        <v>40</v>
      </c>
      <c r="G103" s="80">
        <v>128366417</v>
      </c>
      <c r="H103" t="s">
        <v>44</v>
      </c>
      <c r="I103" t="s">
        <v>45</v>
      </c>
    </row>
    <row r="104" spans="3:9" x14ac:dyDescent="0.25">
      <c r="C104" t="s">
        <v>46</v>
      </c>
      <c r="D104" t="s">
        <v>42</v>
      </c>
      <c r="E104" t="s">
        <v>39</v>
      </c>
      <c r="F104" t="s">
        <v>40</v>
      </c>
      <c r="G104" s="80">
        <v>209195795</v>
      </c>
      <c r="H104" t="s">
        <v>52</v>
      </c>
      <c r="I104" t="s">
        <v>45</v>
      </c>
    </row>
    <row r="105" spans="3:9" x14ac:dyDescent="0.25">
      <c r="C105" t="s">
        <v>46</v>
      </c>
      <c r="D105" t="s">
        <v>50</v>
      </c>
      <c r="E105" t="s">
        <v>39</v>
      </c>
      <c r="F105" t="s">
        <v>49</v>
      </c>
      <c r="G105" s="80">
        <v>170194</v>
      </c>
      <c r="H105" t="s">
        <v>44</v>
      </c>
      <c r="I105" t="s">
        <v>45</v>
      </c>
    </row>
    <row r="106" spans="3:9" x14ac:dyDescent="0.25">
      <c r="C106" t="s">
        <v>46</v>
      </c>
      <c r="D106" t="s">
        <v>59</v>
      </c>
      <c r="E106" t="s">
        <v>39</v>
      </c>
      <c r="F106" t="s">
        <v>40</v>
      </c>
      <c r="G106" s="80">
        <v>6002998</v>
      </c>
      <c r="H106" t="s">
        <v>44</v>
      </c>
      <c r="I106" t="s">
        <v>45</v>
      </c>
    </row>
    <row r="107" spans="3:9" x14ac:dyDescent="0.25">
      <c r="C107" t="s">
        <v>53</v>
      </c>
      <c r="D107" t="s">
        <v>38</v>
      </c>
      <c r="E107" t="s">
        <v>39</v>
      </c>
      <c r="F107" t="s">
        <v>40</v>
      </c>
      <c r="G107" s="80">
        <v>20703</v>
      </c>
      <c r="H107" t="s">
        <v>62</v>
      </c>
      <c r="I107" t="s">
        <v>45</v>
      </c>
    </row>
    <row r="108" spans="3:9" x14ac:dyDescent="0.25">
      <c r="C108" t="s">
        <v>37</v>
      </c>
      <c r="D108" t="s">
        <v>50</v>
      </c>
      <c r="E108" t="s">
        <v>48</v>
      </c>
      <c r="F108" t="s">
        <v>40</v>
      </c>
      <c r="G108" s="80">
        <v>41835190</v>
      </c>
      <c r="H108" t="s">
        <v>41</v>
      </c>
      <c r="I108" t="s">
        <v>45</v>
      </c>
    </row>
    <row r="109" spans="3:9" x14ac:dyDescent="0.25">
      <c r="C109" t="s">
        <v>46</v>
      </c>
      <c r="D109" t="s">
        <v>59</v>
      </c>
      <c r="E109" t="s">
        <v>39</v>
      </c>
      <c r="F109" t="s">
        <v>40</v>
      </c>
      <c r="G109" s="80">
        <v>198259</v>
      </c>
      <c r="H109" t="s">
        <v>54</v>
      </c>
      <c r="I109" t="s">
        <v>45</v>
      </c>
    </row>
    <row r="110" spans="3:9" x14ac:dyDescent="0.25">
      <c r="C110" t="s">
        <v>46</v>
      </c>
      <c r="D110" t="s">
        <v>59</v>
      </c>
      <c r="E110" t="s">
        <v>48</v>
      </c>
      <c r="F110" t="s">
        <v>40</v>
      </c>
      <c r="G110" s="80">
        <v>543723</v>
      </c>
      <c r="H110" t="s">
        <v>41</v>
      </c>
      <c r="I110" t="s">
        <v>45</v>
      </c>
    </row>
    <row r="111" spans="3:9" x14ac:dyDescent="0.25">
      <c r="C111" t="s">
        <v>37</v>
      </c>
      <c r="D111" t="s">
        <v>60</v>
      </c>
      <c r="E111" t="s">
        <v>48</v>
      </c>
      <c r="F111" t="s">
        <v>40</v>
      </c>
      <c r="G111" s="80">
        <v>667337</v>
      </c>
      <c r="H111" t="s">
        <v>54</v>
      </c>
      <c r="I111" t="s">
        <v>45</v>
      </c>
    </row>
    <row r="112" spans="3:9" x14ac:dyDescent="0.25">
      <c r="C112" t="s">
        <v>37</v>
      </c>
      <c r="D112" t="s">
        <v>38</v>
      </c>
      <c r="E112" t="s">
        <v>43</v>
      </c>
      <c r="F112" t="s">
        <v>40</v>
      </c>
      <c r="G112" s="80">
        <v>6449426</v>
      </c>
      <c r="H112" t="s">
        <v>41</v>
      </c>
      <c r="I112" t="s">
        <v>45</v>
      </c>
    </row>
    <row r="113" spans="3:9" x14ac:dyDescent="0.25">
      <c r="C113" t="s">
        <v>37</v>
      </c>
      <c r="D113" t="s">
        <v>42</v>
      </c>
      <c r="E113" t="s">
        <v>39</v>
      </c>
      <c r="F113" t="s">
        <v>40</v>
      </c>
      <c r="G113" s="80">
        <v>5222334</v>
      </c>
      <c r="H113" t="s">
        <v>52</v>
      </c>
      <c r="I113" t="s">
        <v>45</v>
      </c>
    </row>
    <row r="114" spans="3:9" x14ac:dyDescent="0.25">
      <c r="C114" t="s">
        <v>46</v>
      </c>
      <c r="D114" t="s">
        <v>59</v>
      </c>
      <c r="E114" t="s">
        <v>43</v>
      </c>
      <c r="F114" t="s">
        <v>40</v>
      </c>
      <c r="G114" s="80">
        <v>21739951</v>
      </c>
      <c r="H114" t="s">
        <v>56</v>
      </c>
      <c r="I114" t="s">
        <v>45</v>
      </c>
    </row>
    <row r="115" spans="3:9" x14ac:dyDescent="0.25">
      <c r="C115" t="s">
        <v>46</v>
      </c>
      <c r="D115" t="s">
        <v>50</v>
      </c>
      <c r="E115" t="s">
        <v>48</v>
      </c>
      <c r="F115" t="s">
        <v>40</v>
      </c>
      <c r="G115" s="80">
        <v>1481882</v>
      </c>
      <c r="H115" t="s">
        <v>62</v>
      </c>
      <c r="I115" t="s">
        <v>45</v>
      </c>
    </row>
    <row r="116" spans="3:9" x14ac:dyDescent="0.25">
      <c r="C116" t="s">
        <v>46</v>
      </c>
      <c r="D116" t="s">
        <v>59</v>
      </c>
      <c r="E116" t="s">
        <v>58</v>
      </c>
      <c r="F116" t="s">
        <v>40</v>
      </c>
      <c r="G116" s="80">
        <v>1652680</v>
      </c>
      <c r="H116" t="s">
        <v>56</v>
      </c>
      <c r="I116" t="s">
        <v>45</v>
      </c>
    </row>
    <row r="117" spans="3:9" x14ac:dyDescent="0.25">
      <c r="C117" t="s">
        <v>46</v>
      </c>
      <c r="D117" t="s">
        <v>60</v>
      </c>
      <c r="E117" t="s">
        <v>48</v>
      </c>
      <c r="F117" t="s">
        <v>49</v>
      </c>
      <c r="G117" s="80">
        <v>182730</v>
      </c>
      <c r="H117" t="s">
        <v>52</v>
      </c>
      <c r="I117" t="s">
        <v>45</v>
      </c>
    </row>
    <row r="118" spans="3:9" x14ac:dyDescent="0.25">
      <c r="C118" t="s">
        <v>46</v>
      </c>
      <c r="D118" t="s">
        <v>57</v>
      </c>
      <c r="E118" t="s">
        <v>39</v>
      </c>
      <c r="F118" t="s">
        <v>40</v>
      </c>
      <c r="G118" s="80">
        <v>23792782</v>
      </c>
      <c r="H118" t="s">
        <v>41</v>
      </c>
      <c r="I118" t="s">
        <v>45</v>
      </c>
    </row>
    <row r="119" spans="3:9" x14ac:dyDescent="0.25">
      <c r="C119" t="s">
        <v>46</v>
      </c>
      <c r="D119" t="s">
        <v>55</v>
      </c>
      <c r="E119" t="s">
        <v>39</v>
      </c>
      <c r="F119" t="s">
        <v>49</v>
      </c>
      <c r="G119" s="80">
        <v>179167</v>
      </c>
      <c r="H119" t="s">
        <v>41</v>
      </c>
      <c r="I119" t="s">
        <v>45</v>
      </c>
    </row>
    <row r="120" spans="3:9" x14ac:dyDescent="0.25">
      <c r="C120" t="s">
        <v>37</v>
      </c>
      <c r="D120" t="s">
        <v>55</v>
      </c>
      <c r="E120" t="s">
        <v>48</v>
      </c>
      <c r="F120" t="s">
        <v>40</v>
      </c>
      <c r="G120" s="80">
        <v>761020</v>
      </c>
      <c r="H120" t="s">
        <v>41</v>
      </c>
      <c r="I120" t="s">
        <v>45</v>
      </c>
    </row>
    <row r="121" spans="3:9" x14ac:dyDescent="0.25">
      <c r="C121" t="s">
        <v>46</v>
      </c>
      <c r="D121" t="s">
        <v>57</v>
      </c>
      <c r="E121" t="s">
        <v>48</v>
      </c>
      <c r="F121" t="s">
        <v>40</v>
      </c>
      <c r="G121" s="80">
        <v>13609436</v>
      </c>
      <c r="H121" t="s">
        <v>54</v>
      </c>
      <c r="I121" t="s">
        <v>45</v>
      </c>
    </row>
    <row r="122" spans="3:9" x14ac:dyDescent="0.25">
      <c r="C122" t="s">
        <v>46</v>
      </c>
      <c r="D122" t="s">
        <v>47</v>
      </c>
      <c r="E122" t="s">
        <v>48</v>
      </c>
      <c r="F122" t="s">
        <v>40</v>
      </c>
      <c r="G122" s="80">
        <v>4727</v>
      </c>
      <c r="H122" t="s">
        <v>62</v>
      </c>
      <c r="I122" t="s">
        <v>45</v>
      </c>
    </row>
    <row r="123" spans="3:9" x14ac:dyDescent="0.25">
      <c r="C123" t="s">
        <v>37</v>
      </c>
      <c r="D123" t="s">
        <v>50</v>
      </c>
      <c r="E123" t="s">
        <v>43</v>
      </c>
      <c r="F123" t="s">
        <v>40</v>
      </c>
      <c r="G123" s="80">
        <v>92628</v>
      </c>
      <c r="H123" t="s">
        <v>54</v>
      </c>
      <c r="I123" t="s">
        <v>45</v>
      </c>
    </row>
    <row r="124" spans="3:9" x14ac:dyDescent="0.25">
      <c r="C124" t="s">
        <v>46</v>
      </c>
      <c r="D124" t="s">
        <v>42</v>
      </c>
      <c r="E124" t="s">
        <v>61</v>
      </c>
      <c r="F124" t="s">
        <v>40</v>
      </c>
      <c r="G124" s="80">
        <v>47671486</v>
      </c>
      <c r="H124" t="s">
        <v>41</v>
      </c>
      <c r="I124" t="s">
        <v>41</v>
      </c>
    </row>
    <row r="125" spans="3:9" x14ac:dyDescent="0.25">
      <c r="C125" t="s">
        <v>46</v>
      </c>
      <c r="D125" t="s">
        <v>55</v>
      </c>
      <c r="E125" t="s">
        <v>66</v>
      </c>
      <c r="F125" t="s">
        <v>40</v>
      </c>
      <c r="G125" s="80">
        <v>265692</v>
      </c>
      <c r="H125" t="s">
        <v>44</v>
      </c>
      <c r="I125" t="s">
        <v>45</v>
      </c>
    </row>
    <row r="126" spans="3:9" x14ac:dyDescent="0.25">
      <c r="C126" t="s">
        <v>37</v>
      </c>
      <c r="D126" t="s">
        <v>42</v>
      </c>
      <c r="E126" t="s">
        <v>39</v>
      </c>
      <c r="F126" t="s">
        <v>40</v>
      </c>
      <c r="G126" s="80">
        <v>3167152</v>
      </c>
      <c r="H126" t="s">
        <v>54</v>
      </c>
      <c r="I126" t="s">
        <v>45</v>
      </c>
    </row>
    <row r="127" spans="3:9" x14ac:dyDescent="0.25">
      <c r="C127" t="s">
        <v>37</v>
      </c>
      <c r="D127" t="s">
        <v>59</v>
      </c>
      <c r="E127" t="s">
        <v>58</v>
      </c>
      <c r="F127" t="s">
        <v>40</v>
      </c>
      <c r="G127" s="80">
        <v>267144</v>
      </c>
      <c r="H127" t="s">
        <v>44</v>
      </c>
      <c r="I127" t="s">
        <v>45</v>
      </c>
    </row>
    <row r="128" spans="3:9" x14ac:dyDescent="0.25">
      <c r="C128" t="s">
        <v>46</v>
      </c>
      <c r="D128" t="s">
        <v>38</v>
      </c>
      <c r="E128" t="s">
        <v>43</v>
      </c>
      <c r="F128" t="s">
        <v>40</v>
      </c>
      <c r="G128" s="80">
        <v>3007937</v>
      </c>
      <c r="H128" t="s">
        <v>44</v>
      </c>
      <c r="I128" t="s">
        <v>45</v>
      </c>
    </row>
    <row r="129" spans="3:9" x14ac:dyDescent="0.25">
      <c r="C129" t="s">
        <v>46</v>
      </c>
      <c r="D129" t="s">
        <v>55</v>
      </c>
      <c r="E129" t="s">
        <v>58</v>
      </c>
      <c r="F129" t="s">
        <v>40</v>
      </c>
      <c r="G129" s="80">
        <v>10582765</v>
      </c>
      <c r="H129" t="s">
        <v>56</v>
      </c>
      <c r="I129" t="s">
        <v>45</v>
      </c>
    </row>
    <row r="130" spans="3:9" x14ac:dyDescent="0.25">
      <c r="C130" t="s">
        <v>46</v>
      </c>
      <c r="D130" t="s">
        <v>42</v>
      </c>
      <c r="E130" t="s">
        <v>39</v>
      </c>
      <c r="F130" t="s">
        <v>49</v>
      </c>
      <c r="G130" s="80">
        <v>173421</v>
      </c>
      <c r="H130" t="s">
        <v>56</v>
      </c>
      <c r="I130" t="s">
        <v>45</v>
      </c>
    </row>
    <row r="131" spans="3:9" x14ac:dyDescent="0.25">
      <c r="C131" t="s">
        <v>46</v>
      </c>
      <c r="D131" t="s">
        <v>60</v>
      </c>
      <c r="E131" t="s">
        <v>39</v>
      </c>
      <c r="F131" t="s">
        <v>40</v>
      </c>
      <c r="G131" s="80">
        <v>2980406</v>
      </c>
      <c r="H131" t="s">
        <v>56</v>
      </c>
      <c r="I131" t="s">
        <v>45</v>
      </c>
    </row>
    <row r="132" spans="3:9" x14ac:dyDescent="0.25">
      <c r="C132" t="s">
        <v>46</v>
      </c>
      <c r="D132" t="s">
        <v>50</v>
      </c>
      <c r="E132" t="s">
        <v>43</v>
      </c>
      <c r="F132" t="s">
        <v>40</v>
      </c>
      <c r="G132" s="80">
        <v>24711125</v>
      </c>
      <c r="H132" t="s">
        <v>41</v>
      </c>
      <c r="I132" t="s">
        <v>45</v>
      </c>
    </row>
    <row r="133" spans="3:9" x14ac:dyDescent="0.25">
      <c r="C133" t="s">
        <v>46</v>
      </c>
      <c r="D133" t="s">
        <v>55</v>
      </c>
      <c r="E133" t="s">
        <v>58</v>
      </c>
      <c r="F133" t="s">
        <v>40</v>
      </c>
      <c r="G133" s="80">
        <v>39538999</v>
      </c>
      <c r="H133" t="s">
        <v>41</v>
      </c>
      <c r="I133" t="s">
        <v>41</v>
      </c>
    </row>
    <row r="134" spans="3:9" x14ac:dyDescent="0.25">
      <c r="C134" t="s">
        <v>37</v>
      </c>
      <c r="D134" t="s">
        <v>59</v>
      </c>
      <c r="E134" t="s">
        <v>43</v>
      </c>
      <c r="F134" t="s">
        <v>40</v>
      </c>
      <c r="G134" s="80">
        <v>104974</v>
      </c>
      <c r="H134" t="s">
        <v>41</v>
      </c>
      <c r="I134" t="s">
        <v>45</v>
      </c>
    </row>
    <row r="135" spans="3:9" x14ac:dyDescent="0.25">
      <c r="C135" t="s">
        <v>53</v>
      </c>
      <c r="D135" t="s">
        <v>42</v>
      </c>
      <c r="E135" t="s">
        <v>39</v>
      </c>
      <c r="F135" t="s">
        <v>40</v>
      </c>
      <c r="G135" s="80">
        <v>76227</v>
      </c>
      <c r="H135" t="s">
        <v>56</v>
      </c>
      <c r="I135" t="s">
        <v>45</v>
      </c>
    </row>
    <row r="136" spans="3:9" x14ac:dyDescent="0.25">
      <c r="C136" t="s">
        <v>46</v>
      </c>
      <c r="D136" t="s">
        <v>42</v>
      </c>
      <c r="E136" t="s">
        <v>66</v>
      </c>
      <c r="F136" t="s">
        <v>40</v>
      </c>
      <c r="G136" s="80">
        <v>74207115</v>
      </c>
      <c r="H136" t="s">
        <v>41</v>
      </c>
      <c r="I136" t="s">
        <v>41</v>
      </c>
    </row>
    <row r="137" spans="3:9" x14ac:dyDescent="0.25">
      <c r="C137" t="s">
        <v>37</v>
      </c>
      <c r="D137" t="s">
        <v>38</v>
      </c>
      <c r="E137" t="s">
        <v>39</v>
      </c>
      <c r="F137" t="s">
        <v>40</v>
      </c>
      <c r="G137" s="80">
        <v>167013</v>
      </c>
      <c r="H137" t="s">
        <v>41</v>
      </c>
      <c r="I137" t="s">
        <v>41</v>
      </c>
    </row>
    <row r="138" spans="3:9" x14ac:dyDescent="0.25">
      <c r="C138" t="s">
        <v>37</v>
      </c>
      <c r="D138" t="s">
        <v>55</v>
      </c>
      <c r="E138" t="s">
        <v>43</v>
      </c>
      <c r="F138" t="s">
        <v>40</v>
      </c>
      <c r="G138" s="80">
        <v>43467333</v>
      </c>
      <c r="H138" t="s">
        <v>56</v>
      </c>
      <c r="I138" t="s">
        <v>45</v>
      </c>
    </row>
    <row r="139" spans="3:9" x14ac:dyDescent="0.25">
      <c r="C139" t="s">
        <v>37</v>
      </c>
      <c r="D139" t="s">
        <v>47</v>
      </c>
      <c r="E139" t="s">
        <v>39</v>
      </c>
      <c r="F139" t="s">
        <v>40</v>
      </c>
      <c r="G139" s="80">
        <v>17635192</v>
      </c>
      <c r="H139" t="s">
        <v>52</v>
      </c>
      <c r="I139" t="s">
        <v>45</v>
      </c>
    </row>
    <row r="140" spans="3:9" x14ac:dyDescent="0.25">
      <c r="C140" t="s">
        <v>46</v>
      </c>
      <c r="D140" t="s">
        <v>38</v>
      </c>
      <c r="E140" t="s">
        <v>39</v>
      </c>
      <c r="F140" t="s">
        <v>40</v>
      </c>
      <c r="G140" s="80">
        <v>422806963</v>
      </c>
      <c r="H140" t="s">
        <v>52</v>
      </c>
      <c r="I140" t="s">
        <v>45</v>
      </c>
    </row>
    <row r="141" spans="3:9" x14ac:dyDescent="0.25">
      <c r="C141" t="s">
        <v>46</v>
      </c>
      <c r="D141" t="s">
        <v>59</v>
      </c>
      <c r="E141" t="s">
        <v>43</v>
      </c>
      <c r="F141" t="s">
        <v>40</v>
      </c>
      <c r="G141" s="80">
        <v>11868236</v>
      </c>
      <c r="H141" t="s">
        <v>44</v>
      </c>
      <c r="I141" t="s">
        <v>45</v>
      </c>
    </row>
    <row r="142" spans="3:9" x14ac:dyDescent="0.25">
      <c r="C142" t="s">
        <v>46</v>
      </c>
      <c r="D142" t="s">
        <v>57</v>
      </c>
      <c r="E142" t="s">
        <v>39</v>
      </c>
      <c r="F142" t="s">
        <v>40</v>
      </c>
      <c r="G142" s="80">
        <v>2296047</v>
      </c>
      <c r="H142" t="s">
        <v>41</v>
      </c>
      <c r="I142" t="s">
        <v>41</v>
      </c>
    </row>
    <row r="143" spans="3:9" x14ac:dyDescent="0.25">
      <c r="C143" t="s">
        <v>46</v>
      </c>
      <c r="D143" t="s">
        <v>42</v>
      </c>
      <c r="E143" t="s">
        <v>48</v>
      </c>
      <c r="F143" t="s">
        <v>40</v>
      </c>
      <c r="G143" s="80">
        <v>6640730</v>
      </c>
      <c r="H143" t="s">
        <v>52</v>
      </c>
      <c r="I143" t="s">
        <v>45</v>
      </c>
    </row>
    <row r="144" spans="3:9" x14ac:dyDescent="0.25">
      <c r="C144" t="s">
        <v>46</v>
      </c>
      <c r="D144" t="s">
        <v>47</v>
      </c>
      <c r="E144" t="s">
        <v>58</v>
      </c>
      <c r="F144" t="s">
        <v>40</v>
      </c>
      <c r="G144" s="80">
        <v>114466</v>
      </c>
      <c r="H144" t="s">
        <v>41</v>
      </c>
      <c r="I144" t="s">
        <v>41</v>
      </c>
    </row>
    <row r="145" spans="3:9" x14ac:dyDescent="0.25">
      <c r="C145" t="s">
        <v>37</v>
      </c>
      <c r="D145" t="s">
        <v>38</v>
      </c>
      <c r="E145" t="s">
        <v>61</v>
      </c>
      <c r="F145" t="s">
        <v>40</v>
      </c>
      <c r="G145" s="80">
        <v>705910</v>
      </c>
      <c r="H145" t="s">
        <v>41</v>
      </c>
      <c r="I145" t="s">
        <v>41</v>
      </c>
    </row>
    <row r="146" spans="3:9" x14ac:dyDescent="0.25">
      <c r="C146" t="s">
        <v>46</v>
      </c>
      <c r="D146" t="s">
        <v>50</v>
      </c>
      <c r="E146" t="s">
        <v>39</v>
      </c>
      <c r="F146" t="s">
        <v>49</v>
      </c>
      <c r="G146" s="80">
        <v>136795</v>
      </c>
      <c r="H146" t="s">
        <v>41</v>
      </c>
      <c r="I146" t="s">
        <v>45</v>
      </c>
    </row>
    <row r="147" spans="3:9" x14ac:dyDescent="0.25">
      <c r="C147" t="s">
        <v>37</v>
      </c>
      <c r="D147" t="s">
        <v>60</v>
      </c>
      <c r="E147" t="s">
        <v>48</v>
      </c>
      <c r="F147" t="s">
        <v>40</v>
      </c>
      <c r="G147" s="80">
        <v>23261068</v>
      </c>
      <c r="H147" t="s">
        <v>56</v>
      </c>
      <c r="I147" t="s">
        <v>45</v>
      </c>
    </row>
    <row r="148" spans="3:9" x14ac:dyDescent="0.25">
      <c r="C148" t="s">
        <v>46</v>
      </c>
      <c r="D148" t="s">
        <v>59</v>
      </c>
      <c r="E148" t="s">
        <v>58</v>
      </c>
      <c r="F148" t="s">
        <v>40</v>
      </c>
      <c r="G148" s="80">
        <v>866</v>
      </c>
      <c r="H148" t="s">
        <v>52</v>
      </c>
      <c r="I148" t="s">
        <v>45</v>
      </c>
    </row>
    <row r="149" spans="3:9" x14ac:dyDescent="0.25">
      <c r="C149" t="s">
        <v>37</v>
      </c>
      <c r="D149" t="s">
        <v>38</v>
      </c>
      <c r="E149" t="s">
        <v>48</v>
      </c>
      <c r="F149" t="s">
        <v>40</v>
      </c>
      <c r="G149" s="80">
        <v>1668202</v>
      </c>
      <c r="H149" t="s">
        <v>54</v>
      </c>
      <c r="I149" t="s">
        <v>45</v>
      </c>
    </row>
    <row r="150" spans="3:9" x14ac:dyDescent="0.25">
      <c r="C150" t="s">
        <v>37</v>
      </c>
      <c r="D150" t="s">
        <v>51</v>
      </c>
      <c r="E150" t="s">
        <v>48</v>
      </c>
      <c r="F150" t="s">
        <v>40</v>
      </c>
      <c r="G150" s="80">
        <v>81964733</v>
      </c>
      <c r="H150" t="s">
        <v>44</v>
      </c>
      <c r="I150" t="s">
        <v>45</v>
      </c>
    </row>
    <row r="151" spans="3:9" x14ac:dyDescent="0.25">
      <c r="C151" t="s">
        <v>46</v>
      </c>
      <c r="D151" t="s">
        <v>38</v>
      </c>
      <c r="E151" t="s">
        <v>39</v>
      </c>
      <c r="F151" t="s">
        <v>49</v>
      </c>
      <c r="G151" s="80">
        <v>89916</v>
      </c>
      <c r="H151" t="s">
        <v>56</v>
      </c>
      <c r="I151" t="s">
        <v>45</v>
      </c>
    </row>
    <row r="152" spans="3:9" x14ac:dyDescent="0.25">
      <c r="C152" t="s">
        <v>46</v>
      </c>
      <c r="D152" t="s">
        <v>51</v>
      </c>
      <c r="E152" t="s">
        <v>48</v>
      </c>
      <c r="F152" t="s">
        <v>40</v>
      </c>
      <c r="G152" s="80">
        <v>89774952</v>
      </c>
      <c r="H152" t="s">
        <v>52</v>
      </c>
      <c r="I152" t="s">
        <v>45</v>
      </c>
    </row>
    <row r="153" spans="3:9" x14ac:dyDescent="0.25">
      <c r="C153" t="s">
        <v>46</v>
      </c>
      <c r="D153" t="s">
        <v>38</v>
      </c>
      <c r="E153" t="s">
        <v>39</v>
      </c>
      <c r="F153" t="s">
        <v>49</v>
      </c>
      <c r="G153" s="80">
        <v>1517024</v>
      </c>
      <c r="H153" t="s">
        <v>44</v>
      </c>
      <c r="I153" t="s">
        <v>45</v>
      </c>
    </row>
    <row r="154" spans="3:9" x14ac:dyDescent="0.25">
      <c r="C154" t="s">
        <v>37</v>
      </c>
      <c r="D154" t="s">
        <v>38</v>
      </c>
      <c r="E154" t="s">
        <v>48</v>
      </c>
      <c r="F154" t="s">
        <v>40</v>
      </c>
      <c r="G154" s="80">
        <v>19391648</v>
      </c>
      <c r="H154" t="s">
        <v>56</v>
      </c>
      <c r="I154" t="s">
        <v>45</v>
      </c>
    </row>
    <row r="155" spans="3:9" x14ac:dyDescent="0.25">
      <c r="C155" t="s">
        <v>46</v>
      </c>
      <c r="D155" t="s">
        <v>50</v>
      </c>
      <c r="E155" t="s">
        <v>48</v>
      </c>
      <c r="F155" t="s">
        <v>40</v>
      </c>
      <c r="G155" s="80">
        <v>512388251</v>
      </c>
      <c r="H155" t="s">
        <v>56</v>
      </c>
      <c r="I155" t="s">
        <v>45</v>
      </c>
    </row>
    <row r="156" spans="3:9" x14ac:dyDescent="0.25">
      <c r="C156" t="s">
        <v>37</v>
      </c>
      <c r="D156" t="s">
        <v>59</v>
      </c>
      <c r="E156" t="s">
        <v>39</v>
      </c>
      <c r="F156" t="s">
        <v>40</v>
      </c>
      <c r="G156" s="80">
        <v>1204224</v>
      </c>
      <c r="H156" t="s">
        <v>44</v>
      </c>
      <c r="I156" t="s">
        <v>45</v>
      </c>
    </row>
    <row r="157" spans="3:9" x14ac:dyDescent="0.25">
      <c r="C157" t="s">
        <v>53</v>
      </c>
      <c r="D157" t="s">
        <v>50</v>
      </c>
      <c r="E157" t="s">
        <v>43</v>
      </c>
      <c r="F157" t="s">
        <v>40</v>
      </c>
      <c r="G157" s="80">
        <v>79622</v>
      </c>
      <c r="H157" t="s">
        <v>41</v>
      </c>
      <c r="I157" t="s">
        <v>45</v>
      </c>
    </row>
    <row r="158" spans="3:9" x14ac:dyDescent="0.25">
      <c r="C158" t="s">
        <v>37</v>
      </c>
      <c r="D158" t="s">
        <v>42</v>
      </c>
      <c r="E158" t="s">
        <v>61</v>
      </c>
      <c r="F158" t="s">
        <v>40</v>
      </c>
      <c r="G158" s="80">
        <v>1281958</v>
      </c>
      <c r="H158" t="s">
        <v>41</v>
      </c>
      <c r="I158" t="s">
        <v>45</v>
      </c>
    </row>
    <row r="159" spans="3:9" x14ac:dyDescent="0.25">
      <c r="C159" t="s">
        <v>37</v>
      </c>
      <c r="D159" t="s">
        <v>51</v>
      </c>
      <c r="E159" t="s">
        <v>39</v>
      </c>
      <c r="F159" t="s">
        <v>40</v>
      </c>
      <c r="G159" s="80">
        <v>368147</v>
      </c>
      <c r="H159" t="s">
        <v>41</v>
      </c>
      <c r="I159" t="s">
        <v>45</v>
      </c>
    </row>
    <row r="160" spans="3:9" x14ac:dyDescent="0.25">
      <c r="C160" t="s">
        <v>37</v>
      </c>
      <c r="D160" t="s">
        <v>50</v>
      </c>
      <c r="E160" t="s">
        <v>39</v>
      </c>
      <c r="F160" t="s">
        <v>40</v>
      </c>
      <c r="G160" s="80">
        <v>43048195</v>
      </c>
      <c r="H160" t="s">
        <v>41</v>
      </c>
      <c r="I160" t="s">
        <v>45</v>
      </c>
    </row>
    <row r="161" spans="3:9" x14ac:dyDescent="0.25">
      <c r="C161" t="s">
        <v>46</v>
      </c>
      <c r="D161" t="s">
        <v>55</v>
      </c>
      <c r="E161" t="s">
        <v>58</v>
      </c>
      <c r="F161" t="s">
        <v>49</v>
      </c>
      <c r="G161" s="80">
        <v>20046</v>
      </c>
      <c r="H161" t="s">
        <v>52</v>
      </c>
      <c r="I161" t="s">
        <v>45</v>
      </c>
    </row>
    <row r="162" spans="3:9" x14ac:dyDescent="0.25">
      <c r="C162" t="s">
        <v>46</v>
      </c>
      <c r="D162" t="s">
        <v>57</v>
      </c>
      <c r="E162" t="s">
        <v>48</v>
      </c>
      <c r="F162" t="s">
        <v>49</v>
      </c>
      <c r="G162" s="80">
        <v>618806</v>
      </c>
      <c r="H162" t="s">
        <v>44</v>
      </c>
      <c r="I162" t="s">
        <v>45</v>
      </c>
    </row>
    <row r="163" spans="3:9" x14ac:dyDescent="0.25">
      <c r="C163" t="s">
        <v>46</v>
      </c>
      <c r="D163" t="s">
        <v>60</v>
      </c>
      <c r="E163" t="s">
        <v>43</v>
      </c>
      <c r="F163" t="s">
        <v>40</v>
      </c>
      <c r="G163" s="80">
        <v>2422113</v>
      </c>
      <c r="H163" t="s">
        <v>41</v>
      </c>
      <c r="I163" t="s">
        <v>41</v>
      </c>
    </row>
    <row r="164" spans="3:9" x14ac:dyDescent="0.25">
      <c r="C164" t="s">
        <v>46</v>
      </c>
      <c r="D164" t="s">
        <v>55</v>
      </c>
      <c r="E164" t="s">
        <v>48</v>
      </c>
      <c r="F164" t="s">
        <v>40</v>
      </c>
      <c r="G164" s="80">
        <v>319566</v>
      </c>
      <c r="H164" t="s">
        <v>44</v>
      </c>
      <c r="I164" t="s">
        <v>45</v>
      </c>
    </row>
    <row r="165" spans="3:9" x14ac:dyDescent="0.25">
      <c r="C165" t="s">
        <v>37</v>
      </c>
      <c r="D165" t="s">
        <v>60</v>
      </c>
      <c r="E165" t="s">
        <v>39</v>
      </c>
      <c r="F165" t="s">
        <v>40</v>
      </c>
      <c r="G165" s="80">
        <v>16717637</v>
      </c>
      <c r="H165" t="s">
        <v>56</v>
      </c>
      <c r="I165" t="s">
        <v>45</v>
      </c>
    </row>
    <row r="166" spans="3:9" x14ac:dyDescent="0.25">
      <c r="C166" t="s">
        <v>37</v>
      </c>
      <c r="D166" t="s">
        <v>38</v>
      </c>
      <c r="E166" t="s">
        <v>39</v>
      </c>
      <c r="F166" t="s">
        <v>40</v>
      </c>
      <c r="G166" s="80">
        <v>3193591</v>
      </c>
      <c r="H166" t="s">
        <v>41</v>
      </c>
      <c r="I166" t="s">
        <v>45</v>
      </c>
    </row>
    <row r="167" spans="3:9" x14ac:dyDescent="0.25">
      <c r="C167" t="s">
        <v>46</v>
      </c>
      <c r="D167" t="s">
        <v>59</v>
      </c>
      <c r="E167" t="s">
        <v>48</v>
      </c>
      <c r="F167" t="s">
        <v>40</v>
      </c>
      <c r="G167" s="80">
        <v>533810</v>
      </c>
      <c r="H167" t="s">
        <v>41</v>
      </c>
      <c r="I167" t="s">
        <v>41</v>
      </c>
    </row>
    <row r="168" spans="3:9" x14ac:dyDescent="0.25">
      <c r="C168" t="s">
        <v>46</v>
      </c>
      <c r="D168" t="s">
        <v>57</v>
      </c>
      <c r="E168" t="s">
        <v>58</v>
      </c>
      <c r="F168" t="s">
        <v>40</v>
      </c>
      <c r="G168" s="80">
        <v>1001647</v>
      </c>
      <c r="H168" t="s">
        <v>41</v>
      </c>
      <c r="I168" t="s">
        <v>45</v>
      </c>
    </row>
    <row r="169" spans="3:9" x14ac:dyDescent="0.25">
      <c r="C169" t="s">
        <v>46</v>
      </c>
      <c r="D169" t="s">
        <v>50</v>
      </c>
      <c r="E169" t="s">
        <v>48</v>
      </c>
      <c r="F169" t="s">
        <v>49</v>
      </c>
      <c r="G169" s="80">
        <v>3374922</v>
      </c>
      <c r="H169" t="s">
        <v>41</v>
      </c>
      <c r="I169" t="s">
        <v>41</v>
      </c>
    </row>
    <row r="170" spans="3:9" x14ac:dyDescent="0.25">
      <c r="C170" t="s">
        <v>53</v>
      </c>
      <c r="D170" t="s">
        <v>55</v>
      </c>
      <c r="E170" t="s">
        <v>43</v>
      </c>
      <c r="F170" t="s">
        <v>40</v>
      </c>
      <c r="G170" s="80">
        <v>309551</v>
      </c>
      <c r="H170" t="s">
        <v>41</v>
      </c>
      <c r="I170" t="s">
        <v>45</v>
      </c>
    </row>
    <row r="171" spans="3:9" x14ac:dyDescent="0.25">
      <c r="C171" t="s">
        <v>46</v>
      </c>
      <c r="D171" t="s">
        <v>57</v>
      </c>
      <c r="E171" t="s">
        <v>48</v>
      </c>
      <c r="F171" t="s">
        <v>40</v>
      </c>
      <c r="G171" s="80">
        <v>426158624</v>
      </c>
      <c r="H171" t="s">
        <v>41</v>
      </c>
      <c r="I171" t="s">
        <v>45</v>
      </c>
    </row>
    <row r="172" spans="3:9" x14ac:dyDescent="0.25">
      <c r="C172" t="s">
        <v>46</v>
      </c>
      <c r="D172" t="s">
        <v>59</v>
      </c>
      <c r="E172" t="s">
        <v>39</v>
      </c>
      <c r="F172" t="s">
        <v>40</v>
      </c>
      <c r="G172" s="80">
        <v>1290644</v>
      </c>
      <c r="H172" t="s">
        <v>56</v>
      </c>
      <c r="I172" t="s">
        <v>45</v>
      </c>
    </row>
    <row r="173" spans="3:9" x14ac:dyDescent="0.25">
      <c r="C173" t="s">
        <v>37</v>
      </c>
      <c r="D173" t="s">
        <v>60</v>
      </c>
      <c r="E173" t="s">
        <v>58</v>
      </c>
      <c r="F173" t="s">
        <v>40</v>
      </c>
      <c r="G173" s="80">
        <v>137701</v>
      </c>
      <c r="H173" t="s">
        <v>41</v>
      </c>
      <c r="I173" t="s">
        <v>45</v>
      </c>
    </row>
    <row r="174" spans="3:9" x14ac:dyDescent="0.25">
      <c r="C174" t="s">
        <v>46</v>
      </c>
      <c r="D174" t="s">
        <v>51</v>
      </c>
      <c r="E174" t="s">
        <v>48</v>
      </c>
      <c r="F174" t="s">
        <v>49</v>
      </c>
      <c r="G174" s="80">
        <v>234821</v>
      </c>
      <c r="H174" t="s">
        <v>54</v>
      </c>
      <c r="I174" t="s">
        <v>45</v>
      </c>
    </row>
    <row r="175" spans="3:9" x14ac:dyDescent="0.25">
      <c r="C175" t="s">
        <v>46</v>
      </c>
      <c r="D175" t="s">
        <v>60</v>
      </c>
      <c r="E175" t="s">
        <v>48</v>
      </c>
      <c r="F175" t="s">
        <v>49</v>
      </c>
      <c r="G175" s="80">
        <v>232319</v>
      </c>
      <c r="H175" t="s">
        <v>41</v>
      </c>
      <c r="I175" t="s">
        <v>45</v>
      </c>
    </row>
    <row r="176" spans="3:9" x14ac:dyDescent="0.25">
      <c r="C176" t="s">
        <v>37</v>
      </c>
      <c r="D176" t="s">
        <v>47</v>
      </c>
      <c r="E176" t="s">
        <v>39</v>
      </c>
      <c r="F176" t="s">
        <v>40</v>
      </c>
      <c r="G176" s="80">
        <v>4628094</v>
      </c>
      <c r="H176" t="s">
        <v>54</v>
      </c>
      <c r="I176" t="s">
        <v>45</v>
      </c>
    </row>
    <row r="177" spans="3:9" x14ac:dyDescent="0.25">
      <c r="C177" t="s">
        <v>37</v>
      </c>
      <c r="D177" t="s">
        <v>60</v>
      </c>
      <c r="E177" t="s">
        <v>39</v>
      </c>
      <c r="F177" t="s">
        <v>40</v>
      </c>
      <c r="G177" s="80">
        <v>30638391</v>
      </c>
      <c r="H177" t="s">
        <v>52</v>
      </c>
      <c r="I177" t="s">
        <v>45</v>
      </c>
    </row>
    <row r="178" spans="3:9" x14ac:dyDescent="0.25">
      <c r="C178" t="s">
        <v>46</v>
      </c>
      <c r="D178" t="s">
        <v>59</v>
      </c>
      <c r="E178" t="s">
        <v>43</v>
      </c>
      <c r="F178" t="s">
        <v>40</v>
      </c>
      <c r="G178" s="80">
        <v>3600345</v>
      </c>
      <c r="H178" t="s">
        <v>52</v>
      </c>
      <c r="I178" t="s">
        <v>45</v>
      </c>
    </row>
    <row r="179" spans="3:9" x14ac:dyDescent="0.25">
      <c r="C179" t="s">
        <v>46</v>
      </c>
      <c r="D179" t="s">
        <v>47</v>
      </c>
      <c r="E179" t="s">
        <v>39</v>
      </c>
      <c r="F179" t="s">
        <v>40</v>
      </c>
      <c r="G179" s="80">
        <v>20055214</v>
      </c>
      <c r="H179" t="s">
        <v>41</v>
      </c>
      <c r="I179" t="s">
        <v>41</v>
      </c>
    </row>
    <row r="180" spans="3:9" x14ac:dyDescent="0.25">
      <c r="C180" t="s">
        <v>37</v>
      </c>
      <c r="D180" t="s">
        <v>38</v>
      </c>
      <c r="E180" t="s">
        <v>43</v>
      </c>
      <c r="F180" t="s">
        <v>40</v>
      </c>
      <c r="G180" s="80">
        <v>1189787</v>
      </c>
      <c r="H180" t="s">
        <v>54</v>
      </c>
      <c r="I180" t="s">
        <v>45</v>
      </c>
    </row>
    <row r="181" spans="3:9" x14ac:dyDescent="0.25">
      <c r="C181" t="s">
        <v>37</v>
      </c>
      <c r="D181" t="s">
        <v>63</v>
      </c>
      <c r="E181" t="s">
        <v>63</v>
      </c>
      <c r="F181" t="s">
        <v>40</v>
      </c>
      <c r="G181" s="80">
        <v>153334638</v>
      </c>
      <c r="H181" t="s">
        <v>65</v>
      </c>
      <c r="I181" t="s">
        <v>65</v>
      </c>
    </row>
    <row r="182" spans="3:9" x14ac:dyDescent="0.25">
      <c r="C182" t="s">
        <v>46</v>
      </c>
      <c r="D182" t="s">
        <v>42</v>
      </c>
      <c r="E182" t="s">
        <v>39</v>
      </c>
      <c r="F182" t="s">
        <v>49</v>
      </c>
      <c r="G182" s="80">
        <v>537401</v>
      </c>
      <c r="H182" t="s">
        <v>52</v>
      </c>
      <c r="I182" t="s">
        <v>45</v>
      </c>
    </row>
    <row r="183" spans="3:9" x14ac:dyDescent="0.25">
      <c r="C183" t="s">
        <v>37</v>
      </c>
      <c r="D183" t="s">
        <v>50</v>
      </c>
      <c r="E183" t="s">
        <v>48</v>
      </c>
      <c r="F183" t="s">
        <v>40</v>
      </c>
      <c r="G183" s="80">
        <v>8109285</v>
      </c>
      <c r="H183" t="s">
        <v>41</v>
      </c>
      <c r="I183" t="s">
        <v>41</v>
      </c>
    </row>
    <row r="184" spans="3:9" x14ac:dyDescent="0.25">
      <c r="C184" t="s">
        <v>46</v>
      </c>
      <c r="D184" t="s">
        <v>50</v>
      </c>
      <c r="E184" t="s">
        <v>39</v>
      </c>
      <c r="F184" t="s">
        <v>40</v>
      </c>
      <c r="G184" s="80">
        <v>311692427</v>
      </c>
      <c r="H184" t="s">
        <v>41</v>
      </c>
      <c r="I184" t="s">
        <v>45</v>
      </c>
    </row>
    <row r="185" spans="3:9" x14ac:dyDescent="0.25">
      <c r="C185" t="s">
        <v>46</v>
      </c>
      <c r="D185" t="s">
        <v>38</v>
      </c>
      <c r="E185" t="s">
        <v>43</v>
      </c>
      <c r="F185" t="s">
        <v>40</v>
      </c>
      <c r="G185" s="80">
        <v>8176</v>
      </c>
      <c r="H185" t="s">
        <v>54</v>
      </c>
      <c r="I185" t="s">
        <v>45</v>
      </c>
    </row>
    <row r="186" spans="3:9" x14ac:dyDescent="0.25">
      <c r="C186" t="s">
        <v>46</v>
      </c>
      <c r="D186" t="s">
        <v>50</v>
      </c>
      <c r="E186" t="s">
        <v>48</v>
      </c>
      <c r="F186" t="s">
        <v>49</v>
      </c>
      <c r="G186" s="80">
        <v>754127</v>
      </c>
      <c r="H186" t="s">
        <v>56</v>
      </c>
      <c r="I186" t="s">
        <v>45</v>
      </c>
    </row>
    <row r="187" spans="3:9" x14ac:dyDescent="0.25">
      <c r="C187" t="s">
        <v>46</v>
      </c>
      <c r="D187" t="s">
        <v>60</v>
      </c>
      <c r="E187" t="s">
        <v>39</v>
      </c>
      <c r="F187" t="s">
        <v>40</v>
      </c>
      <c r="G187" s="80">
        <v>59410018</v>
      </c>
      <c r="H187" t="s">
        <v>41</v>
      </c>
      <c r="I187" t="s">
        <v>45</v>
      </c>
    </row>
    <row r="188" spans="3:9" x14ac:dyDescent="0.25">
      <c r="C188" t="s">
        <v>53</v>
      </c>
      <c r="D188" t="s">
        <v>50</v>
      </c>
      <c r="E188" t="s">
        <v>48</v>
      </c>
      <c r="F188" t="s">
        <v>40</v>
      </c>
      <c r="G188" s="80">
        <v>55000</v>
      </c>
      <c r="H188" t="s">
        <v>62</v>
      </c>
      <c r="I188" t="s">
        <v>45</v>
      </c>
    </row>
    <row r="189" spans="3:9" x14ac:dyDescent="0.25">
      <c r="C189" t="s">
        <v>46</v>
      </c>
      <c r="D189" t="s">
        <v>60</v>
      </c>
      <c r="E189" t="s">
        <v>61</v>
      </c>
      <c r="F189" t="s">
        <v>40</v>
      </c>
      <c r="G189" s="80">
        <v>624650</v>
      </c>
      <c r="H189" t="s">
        <v>41</v>
      </c>
      <c r="I189" t="s">
        <v>41</v>
      </c>
    </row>
    <row r="190" spans="3:9" x14ac:dyDescent="0.25">
      <c r="C190" t="s">
        <v>37</v>
      </c>
      <c r="D190" t="s">
        <v>42</v>
      </c>
      <c r="E190" t="s">
        <v>43</v>
      </c>
      <c r="F190" t="s">
        <v>40</v>
      </c>
      <c r="G190" s="80">
        <v>1764131</v>
      </c>
      <c r="H190" t="s">
        <v>52</v>
      </c>
      <c r="I190" t="s">
        <v>45</v>
      </c>
    </row>
    <row r="191" spans="3:9" x14ac:dyDescent="0.25">
      <c r="C191" t="s">
        <v>46</v>
      </c>
      <c r="D191" t="s">
        <v>60</v>
      </c>
      <c r="E191" t="s">
        <v>48</v>
      </c>
      <c r="F191" t="s">
        <v>40</v>
      </c>
      <c r="G191" s="80">
        <v>177829123</v>
      </c>
      <c r="H191" t="s">
        <v>44</v>
      </c>
      <c r="I191" t="s">
        <v>45</v>
      </c>
    </row>
    <row r="192" spans="3:9" x14ac:dyDescent="0.25">
      <c r="C192" t="s">
        <v>46</v>
      </c>
      <c r="D192" t="s">
        <v>55</v>
      </c>
      <c r="E192" t="s">
        <v>66</v>
      </c>
      <c r="F192" t="s">
        <v>40</v>
      </c>
      <c r="G192" s="80">
        <v>38420209</v>
      </c>
      <c r="H192" t="s">
        <v>41</v>
      </c>
      <c r="I192" t="s">
        <v>41</v>
      </c>
    </row>
    <row r="193" spans="3:9" x14ac:dyDescent="0.25">
      <c r="C193" t="s">
        <v>46</v>
      </c>
      <c r="D193" t="s">
        <v>55</v>
      </c>
      <c r="E193" t="s">
        <v>43</v>
      </c>
      <c r="F193" t="s">
        <v>40</v>
      </c>
      <c r="G193" s="80">
        <v>33362252</v>
      </c>
      <c r="H193" t="s">
        <v>54</v>
      </c>
      <c r="I193" t="s">
        <v>45</v>
      </c>
    </row>
    <row r="194" spans="3:9" x14ac:dyDescent="0.25">
      <c r="C194" t="s">
        <v>46</v>
      </c>
      <c r="D194" t="s">
        <v>47</v>
      </c>
      <c r="E194" t="s">
        <v>48</v>
      </c>
      <c r="F194" t="s">
        <v>40</v>
      </c>
      <c r="G194" s="80">
        <v>132853181</v>
      </c>
      <c r="H194" t="s">
        <v>56</v>
      </c>
      <c r="I194" t="s">
        <v>45</v>
      </c>
    </row>
    <row r="195" spans="3:9" x14ac:dyDescent="0.25">
      <c r="C195" t="s">
        <v>46</v>
      </c>
      <c r="D195" t="s">
        <v>50</v>
      </c>
      <c r="E195" t="s">
        <v>43</v>
      </c>
      <c r="F195" t="s">
        <v>40</v>
      </c>
      <c r="G195" s="80">
        <v>1078933</v>
      </c>
      <c r="H195" t="s">
        <v>44</v>
      </c>
      <c r="I195" t="s">
        <v>45</v>
      </c>
    </row>
    <row r="196" spans="3:9" x14ac:dyDescent="0.25">
      <c r="C196" t="s">
        <v>46</v>
      </c>
      <c r="D196" t="s">
        <v>55</v>
      </c>
      <c r="E196" t="s">
        <v>43</v>
      </c>
      <c r="F196" t="s">
        <v>49</v>
      </c>
      <c r="G196" s="80">
        <v>252392</v>
      </c>
      <c r="H196" t="s">
        <v>52</v>
      </c>
      <c r="I196" t="s">
        <v>45</v>
      </c>
    </row>
    <row r="197" spans="3:9" x14ac:dyDescent="0.25">
      <c r="C197" t="s">
        <v>46</v>
      </c>
      <c r="D197" t="s">
        <v>42</v>
      </c>
      <c r="E197" t="s">
        <v>43</v>
      </c>
      <c r="F197" t="s">
        <v>40</v>
      </c>
      <c r="G197" s="80">
        <v>42112781</v>
      </c>
      <c r="H197" t="s">
        <v>52</v>
      </c>
      <c r="I197" t="s">
        <v>45</v>
      </c>
    </row>
    <row r="198" spans="3:9" x14ac:dyDescent="0.25">
      <c r="C198" t="s">
        <v>46</v>
      </c>
      <c r="D198" t="s">
        <v>60</v>
      </c>
      <c r="E198" t="s">
        <v>39</v>
      </c>
      <c r="F198" t="s">
        <v>49</v>
      </c>
      <c r="G198" s="80">
        <v>333050</v>
      </c>
      <c r="H198" t="s">
        <v>41</v>
      </c>
      <c r="I198" t="s">
        <v>41</v>
      </c>
    </row>
    <row r="199" spans="3:9" x14ac:dyDescent="0.25">
      <c r="C199" t="s">
        <v>37</v>
      </c>
      <c r="D199" t="s">
        <v>59</v>
      </c>
      <c r="E199" t="s">
        <v>39</v>
      </c>
      <c r="F199" t="s">
        <v>40</v>
      </c>
      <c r="G199" s="80">
        <v>458889</v>
      </c>
      <c r="H199" t="s">
        <v>56</v>
      </c>
      <c r="I199" t="s">
        <v>45</v>
      </c>
    </row>
    <row r="200" spans="3:9" x14ac:dyDescent="0.25">
      <c r="C200" t="s">
        <v>37</v>
      </c>
      <c r="D200" t="s">
        <v>50</v>
      </c>
      <c r="E200" t="s">
        <v>43</v>
      </c>
      <c r="F200" t="s">
        <v>40</v>
      </c>
      <c r="G200" s="80">
        <v>631484</v>
      </c>
      <c r="H200" t="s">
        <v>52</v>
      </c>
      <c r="I200" t="s">
        <v>45</v>
      </c>
    </row>
    <row r="201" spans="3:9" x14ac:dyDescent="0.25">
      <c r="C201" t="s">
        <v>46</v>
      </c>
      <c r="D201" t="s">
        <v>51</v>
      </c>
      <c r="E201" t="s">
        <v>48</v>
      </c>
      <c r="F201" t="s">
        <v>49</v>
      </c>
      <c r="G201" s="80">
        <v>718240</v>
      </c>
      <c r="H201" t="s">
        <v>41</v>
      </c>
      <c r="I201" t="s">
        <v>45</v>
      </c>
    </row>
    <row r="202" spans="3:9" x14ac:dyDescent="0.25">
      <c r="C202" t="s">
        <v>37</v>
      </c>
      <c r="D202" t="s">
        <v>55</v>
      </c>
      <c r="E202" t="s">
        <v>48</v>
      </c>
      <c r="F202" t="s">
        <v>40</v>
      </c>
      <c r="G202" s="80">
        <v>1372263</v>
      </c>
      <c r="H202" t="s">
        <v>41</v>
      </c>
      <c r="I202" t="s">
        <v>41</v>
      </c>
    </row>
    <row r="203" spans="3:9" x14ac:dyDescent="0.25">
      <c r="C203" t="s">
        <v>37</v>
      </c>
      <c r="D203" t="s">
        <v>55</v>
      </c>
      <c r="E203" t="s">
        <v>43</v>
      </c>
      <c r="F203" t="s">
        <v>40</v>
      </c>
      <c r="G203" s="80">
        <v>1616088</v>
      </c>
      <c r="H203" t="s">
        <v>41</v>
      </c>
      <c r="I203" t="s">
        <v>45</v>
      </c>
    </row>
    <row r="204" spans="3:9" x14ac:dyDescent="0.25">
      <c r="C204" t="s">
        <v>46</v>
      </c>
      <c r="D204" t="s">
        <v>42</v>
      </c>
      <c r="E204" t="s">
        <v>39</v>
      </c>
      <c r="F204" t="s">
        <v>49</v>
      </c>
      <c r="G204" s="80">
        <v>115418</v>
      </c>
      <c r="H204" t="s">
        <v>54</v>
      </c>
      <c r="I204" t="s">
        <v>45</v>
      </c>
    </row>
    <row r="205" spans="3:9" x14ac:dyDescent="0.25">
      <c r="C205" t="s">
        <v>46</v>
      </c>
      <c r="D205" t="s">
        <v>55</v>
      </c>
      <c r="E205" t="s">
        <v>39</v>
      </c>
      <c r="F205" t="s">
        <v>40</v>
      </c>
      <c r="G205" s="80">
        <v>138640444</v>
      </c>
      <c r="H205" t="s">
        <v>41</v>
      </c>
      <c r="I205" t="s">
        <v>45</v>
      </c>
    </row>
    <row r="206" spans="3:9" x14ac:dyDescent="0.25">
      <c r="C206" t="s">
        <v>37</v>
      </c>
      <c r="D206" t="s">
        <v>55</v>
      </c>
      <c r="E206" t="s">
        <v>58</v>
      </c>
      <c r="F206" t="s">
        <v>40</v>
      </c>
      <c r="G206" s="80">
        <v>86090</v>
      </c>
      <c r="H206" t="s">
        <v>41</v>
      </c>
      <c r="I206" t="s">
        <v>41</v>
      </c>
    </row>
    <row r="207" spans="3:9" x14ac:dyDescent="0.25">
      <c r="C207" t="s">
        <v>46</v>
      </c>
      <c r="D207" t="s">
        <v>51</v>
      </c>
      <c r="E207" t="s">
        <v>48</v>
      </c>
      <c r="F207" t="s">
        <v>40</v>
      </c>
      <c r="G207" s="80">
        <v>308457797</v>
      </c>
      <c r="H207" t="s">
        <v>41</v>
      </c>
      <c r="I207" t="s">
        <v>41</v>
      </c>
    </row>
    <row r="208" spans="3:9" x14ac:dyDescent="0.25">
      <c r="C208" t="s">
        <v>53</v>
      </c>
      <c r="D208" t="s">
        <v>50</v>
      </c>
      <c r="E208" t="s">
        <v>39</v>
      </c>
      <c r="F208" t="s">
        <v>40</v>
      </c>
      <c r="G208" s="80">
        <v>67568</v>
      </c>
      <c r="H208" t="s">
        <v>56</v>
      </c>
      <c r="I208" t="s">
        <v>45</v>
      </c>
    </row>
    <row r="209" spans="3:9" x14ac:dyDescent="0.25">
      <c r="C209" t="s">
        <v>53</v>
      </c>
      <c r="D209" t="s">
        <v>42</v>
      </c>
      <c r="E209" t="s">
        <v>43</v>
      </c>
      <c r="F209" t="s">
        <v>40</v>
      </c>
      <c r="G209" s="80">
        <v>63814</v>
      </c>
      <c r="H209" t="s">
        <v>54</v>
      </c>
      <c r="I209" t="s">
        <v>45</v>
      </c>
    </row>
    <row r="210" spans="3:9" x14ac:dyDescent="0.25">
      <c r="C210" t="s">
        <v>37</v>
      </c>
      <c r="D210" t="s">
        <v>47</v>
      </c>
      <c r="E210" t="s">
        <v>48</v>
      </c>
      <c r="F210" t="s">
        <v>40</v>
      </c>
      <c r="G210" s="80">
        <v>732554</v>
      </c>
      <c r="H210" t="s">
        <v>52</v>
      </c>
      <c r="I210" t="s">
        <v>45</v>
      </c>
    </row>
    <row r="211" spans="3:9" x14ac:dyDescent="0.25">
      <c r="C211" t="s">
        <v>53</v>
      </c>
      <c r="D211" t="s">
        <v>63</v>
      </c>
      <c r="E211" t="s">
        <v>63</v>
      </c>
      <c r="F211" t="s">
        <v>40</v>
      </c>
      <c r="G211" s="80">
        <v>110339</v>
      </c>
      <c r="H211" t="s">
        <v>65</v>
      </c>
    </row>
    <row r="212" spans="3:9" x14ac:dyDescent="0.25">
      <c r="C212" t="s">
        <v>46</v>
      </c>
      <c r="D212" t="s">
        <v>55</v>
      </c>
      <c r="E212" t="s">
        <v>43</v>
      </c>
      <c r="F212" t="s">
        <v>40</v>
      </c>
      <c r="G212" s="80">
        <v>401166283</v>
      </c>
      <c r="H212" t="s">
        <v>41</v>
      </c>
      <c r="I212" t="s">
        <v>45</v>
      </c>
    </row>
    <row r="213" spans="3:9" x14ac:dyDescent="0.25">
      <c r="C213" t="s">
        <v>37</v>
      </c>
      <c r="D213" t="s">
        <v>55</v>
      </c>
      <c r="E213" t="s">
        <v>43</v>
      </c>
      <c r="F213" t="s">
        <v>40</v>
      </c>
      <c r="G213" s="80">
        <v>231551</v>
      </c>
      <c r="H213" t="s">
        <v>41</v>
      </c>
      <c r="I213" t="s">
        <v>41</v>
      </c>
    </row>
    <row r="214" spans="3:9" x14ac:dyDescent="0.25">
      <c r="C214" t="s">
        <v>37</v>
      </c>
      <c r="D214" t="s">
        <v>42</v>
      </c>
      <c r="E214" t="s">
        <v>48</v>
      </c>
      <c r="F214" t="s">
        <v>40</v>
      </c>
      <c r="G214" s="80">
        <v>500629</v>
      </c>
      <c r="H214" t="s">
        <v>41</v>
      </c>
      <c r="I214" t="s">
        <v>45</v>
      </c>
    </row>
    <row r="215" spans="3:9" x14ac:dyDescent="0.25">
      <c r="C215" t="s">
        <v>37</v>
      </c>
      <c r="D215" t="s">
        <v>51</v>
      </c>
      <c r="E215" t="s">
        <v>39</v>
      </c>
      <c r="F215" t="s">
        <v>40</v>
      </c>
      <c r="G215" s="80">
        <v>932801</v>
      </c>
      <c r="H215" t="s">
        <v>52</v>
      </c>
      <c r="I215" t="s">
        <v>45</v>
      </c>
    </row>
    <row r="216" spans="3:9" x14ac:dyDescent="0.25">
      <c r="C216" t="s">
        <v>53</v>
      </c>
      <c r="D216" t="s">
        <v>51</v>
      </c>
      <c r="E216" t="s">
        <v>48</v>
      </c>
      <c r="F216" t="s">
        <v>40</v>
      </c>
      <c r="G216" s="80">
        <v>139586</v>
      </c>
      <c r="H216" t="s">
        <v>56</v>
      </c>
      <c r="I216" t="s">
        <v>45</v>
      </c>
    </row>
    <row r="217" spans="3:9" x14ac:dyDescent="0.25">
      <c r="C217" t="s">
        <v>53</v>
      </c>
      <c r="D217" t="s">
        <v>60</v>
      </c>
      <c r="E217" t="s">
        <v>39</v>
      </c>
      <c r="F217" t="s">
        <v>40</v>
      </c>
      <c r="G217" s="80">
        <v>518591</v>
      </c>
      <c r="H217" t="s">
        <v>44</v>
      </c>
      <c r="I217" t="s">
        <v>45</v>
      </c>
    </row>
    <row r="218" spans="3:9" x14ac:dyDescent="0.25">
      <c r="C218" t="s">
        <v>37</v>
      </c>
      <c r="D218" t="s">
        <v>57</v>
      </c>
      <c r="E218" t="s">
        <v>43</v>
      </c>
      <c r="F218" t="s">
        <v>40</v>
      </c>
      <c r="G218" s="80">
        <v>4934636</v>
      </c>
      <c r="H218" t="s">
        <v>41</v>
      </c>
      <c r="I218" t="s">
        <v>45</v>
      </c>
    </row>
    <row r="219" spans="3:9" x14ac:dyDescent="0.25">
      <c r="C219" t="s">
        <v>37</v>
      </c>
      <c r="D219" t="s">
        <v>51</v>
      </c>
      <c r="E219" t="s">
        <v>48</v>
      </c>
      <c r="F219" t="s">
        <v>40</v>
      </c>
      <c r="G219" s="80">
        <v>1996104</v>
      </c>
      <c r="H219" t="s">
        <v>41</v>
      </c>
      <c r="I219" t="s">
        <v>45</v>
      </c>
    </row>
    <row r="220" spans="3:9" x14ac:dyDescent="0.25">
      <c r="C220" t="s">
        <v>53</v>
      </c>
      <c r="D220" t="s">
        <v>60</v>
      </c>
      <c r="E220" t="s">
        <v>48</v>
      </c>
      <c r="F220" t="s">
        <v>40</v>
      </c>
      <c r="G220" s="80">
        <v>106313</v>
      </c>
      <c r="H220" t="s">
        <v>41</v>
      </c>
      <c r="I220" t="s">
        <v>45</v>
      </c>
    </row>
    <row r="221" spans="3:9" x14ac:dyDescent="0.25">
      <c r="C221" t="s">
        <v>46</v>
      </c>
      <c r="D221" t="s">
        <v>51</v>
      </c>
      <c r="E221" t="s">
        <v>48</v>
      </c>
      <c r="F221" t="s">
        <v>49</v>
      </c>
      <c r="G221" s="80">
        <v>12114234</v>
      </c>
      <c r="H221" t="s">
        <v>41</v>
      </c>
      <c r="I221" t="s">
        <v>41</v>
      </c>
    </row>
    <row r="222" spans="3:9" x14ac:dyDescent="0.25">
      <c r="C222" t="s">
        <v>37</v>
      </c>
      <c r="D222" t="s">
        <v>60</v>
      </c>
      <c r="E222" t="s">
        <v>43</v>
      </c>
      <c r="F222" t="s">
        <v>40</v>
      </c>
      <c r="G222" s="80">
        <v>196534</v>
      </c>
      <c r="H222" t="s">
        <v>54</v>
      </c>
      <c r="I222" t="s">
        <v>45</v>
      </c>
    </row>
    <row r="223" spans="3:9" x14ac:dyDescent="0.25">
      <c r="C223" t="s">
        <v>37</v>
      </c>
      <c r="D223" t="s">
        <v>57</v>
      </c>
      <c r="E223" t="s">
        <v>48</v>
      </c>
      <c r="F223" t="s">
        <v>40</v>
      </c>
      <c r="G223" s="80">
        <v>3035281</v>
      </c>
      <c r="H223" t="s">
        <v>44</v>
      </c>
      <c r="I223" t="s">
        <v>45</v>
      </c>
    </row>
    <row r="224" spans="3:9" x14ac:dyDescent="0.25">
      <c r="C224" t="s">
        <v>46</v>
      </c>
      <c r="D224" t="s">
        <v>55</v>
      </c>
      <c r="E224" t="s">
        <v>58</v>
      </c>
      <c r="F224" t="s">
        <v>40</v>
      </c>
      <c r="G224" s="80">
        <v>78590698</v>
      </c>
      <c r="H224" t="s">
        <v>44</v>
      </c>
      <c r="I224" t="s">
        <v>45</v>
      </c>
    </row>
    <row r="225" spans="3:9" x14ac:dyDescent="0.25">
      <c r="C225" t="s">
        <v>37</v>
      </c>
      <c r="D225" t="s">
        <v>59</v>
      </c>
      <c r="E225" t="s">
        <v>39</v>
      </c>
      <c r="F225" t="s">
        <v>40</v>
      </c>
      <c r="G225" s="80">
        <v>205305</v>
      </c>
      <c r="H225" t="s">
        <v>52</v>
      </c>
      <c r="I225" t="s">
        <v>45</v>
      </c>
    </row>
    <row r="226" spans="3:9" x14ac:dyDescent="0.25">
      <c r="C226" t="s">
        <v>37</v>
      </c>
      <c r="D226" t="s">
        <v>57</v>
      </c>
      <c r="E226" t="s">
        <v>48</v>
      </c>
      <c r="F226" t="s">
        <v>40</v>
      </c>
      <c r="G226" s="80">
        <v>1252391</v>
      </c>
      <c r="H226" t="s">
        <v>56</v>
      </c>
      <c r="I226" t="s">
        <v>45</v>
      </c>
    </row>
    <row r="227" spans="3:9" x14ac:dyDescent="0.25">
      <c r="C227" t="s">
        <v>37</v>
      </c>
      <c r="D227" t="s">
        <v>42</v>
      </c>
      <c r="E227" t="s">
        <v>58</v>
      </c>
      <c r="F227" t="s">
        <v>40</v>
      </c>
      <c r="G227" s="80">
        <v>430109</v>
      </c>
      <c r="H227" t="s">
        <v>41</v>
      </c>
      <c r="I227" t="s">
        <v>45</v>
      </c>
    </row>
    <row r="228" spans="3:9" x14ac:dyDescent="0.25">
      <c r="C228" t="s">
        <v>46</v>
      </c>
      <c r="D228" t="s">
        <v>51</v>
      </c>
      <c r="E228" t="s">
        <v>48</v>
      </c>
      <c r="F228" t="s">
        <v>40</v>
      </c>
      <c r="G228" s="80">
        <v>67311807</v>
      </c>
      <c r="H228" t="s">
        <v>54</v>
      </c>
      <c r="I228" t="s">
        <v>45</v>
      </c>
    </row>
    <row r="229" spans="3:9" x14ac:dyDescent="0.25">
      <c r="C229" t="s">
        <v>46</v>
      </c>
      <c r="D229" t="s">
        <v>51</v>
      </c>
      <c r="E229" t="s">
        <v>58</v>
      </c>
      <c r="F229" t="s">
        <v>40</v>
      </c>
      <c r="G229" s="80">
        <v>449482</v>
      </c>
      <c r="H229" t="s">
        <v>41</v>
      </c>
      <c r="I229" t="s">
        <v>45</v>
      </c>
    </row>
    <row r="230" spans="3:9" x14ac:dyDescent="0.25">
      <c r="C230" t="s">
        <v>37</v>
      </c>
      <c r="D230" t="s">
        <v>50</v>
      </c>
      <c r="E230" t="s">
        <v>43</v>
      </c>
      <c r="F230" t="s">
        <v>40</v>
      </c>
      <c r="G230" s="80">
        <v>1158701</v>
      </c>
      <c r="H230" t="s">
        <v>41</v>
      </c>
      <c r="I230" t="s">
        <v>45</v>
      </c>
    </row>
    <row r="231" spans="3:9" x14ac:dyDescent="0.25">
      <c r="C231" t="s">
        <v>46</v>
      </c>
      <c r="D231" t="s">
        <v>38</v>
      </c>
      <c r="E231" t="s">
        <v>48</v>
      </c>
      <c r="F231" t="s">
        <v>49</v>
      </c>
      <c r="G231" s="80">
        <v>518428</v>
      </c>
      <c r="H231" t="s">
        <v>41</v>
      </c>
      <c r="I231" t="s">
        <v>41</v>
      </c>
    </row>
    <row r="232" spans="3:9" x14ac:dyDescent="0.25">
      <c r="C232" t="s">
        <v>37</v>
      </c>
      <c r="D232" t="s">
        <v>38</v>
      </c>
      <c r="E232" t="s">
        <v>48</v>
      </c>
      <c r="F232" t="s">
        <v>40</v>
      </c>
      <c r="G232" s="80">
        <v>1182404</v>
      </c>
      <c r="H232" t="s">
        <v>62</v>
      </c>
      <c r="I232" t="s">
        <v>45</v>
      </c>
    </row>
    <row r="233" spans="3:9" x14ac:dyDescent="0.25">
      <c r="C233" t="s">
        <v>46</v>
      </c>
      <c r="D233" t="s">
        <v>60</v>
      </c>
      <c r="E233" t="s">
        <v>48</v>
      </c>
      <c r="F233" t="s">
        <v>40</v>
      </c>
      <c r="G233" s="80">
        <v>672604720</v>
      </c>
      <c r="H233" t="s">
        <v>41</v>
      </c>
      <c r="I233" t="s">
        <v>45</v>
      </c>
    </row>
    <row r="234" spans="3:9" x14ac:dyDescent="0.25">
      <c r="C234" t="s">
        <v>46</v>
      </c>
      <c r="D234" t="s">
        <v>47</v>
      </c>
      <c r="E234" t="s">
        <v>39</v>
      </c>
      <c r="F234" t="s">
        <v>49</v>
      </c>
      <c r="G234" s="80">
        <v>389162</v>
      </c>
      <c r="H234" t="s">
        <v>41</v>
      </c>
      <c r="I234" t="s">
        <v>41</v>
      </c>
    </row>
    <row r="235" spans="3:9" x14ac:dyDescent="0.25">
      <c r="C235" t="s">
        <v>46</v>
      </c>
      <c r="D235" t="s">
        <v>60</v>
      </c>
      <c r="E235" t="s">
        <v>58</v>
      </c>
      <c r="F235" t="s">
        <v>40</v>
      </c>
      <c r="G235" s="80">
        <v>154491</v>
      </c>
      <c r="H235" t="s">
        <v>41</v>
      </c>
      <c r="I235" t="s">
        <v>45</v>
      </c>
    </row>
    <row r="236" spans="3:9" x14ac:dyDescent="0.25">
      <c r="C236" t="s">
        <v>37</v>
      </c>
      <c r="D236" t="s">
        <v>42</v>
      </c>
      <c r="E236" t="s">
        <v>39</v>
      </c>
      <c r="F236" t="s">
        <v>40</v>
      </c>
      <c r="G236" s="80">
        <v>66530662</v>
      </c>
      <c r="H236" t="s">
        <v>44</v>
      </c>
      <c r="I236" t="s">
        <v>45</v>
      </c>
    </row>
    <row r="237" spans="3:9" x14ac:dyDescent="0.25">
      <c r="C237" t="s">
        <v>37</v>
      </c>
      <c r="D237" t="s">
        <v>50</v>
      </c>
      <c r="E237" t="s">
        <v>66</v>
      </c>
      <c r="F237" t="s">
        <v>40</v>
      </c>
      <c r="G237" s="80">
        <v>796783</v>
      </c>
      <c r="H237" t="s">
        <v>54</v>
      </c>
      <c r="I237" t="s">
        <v>45</v>
      </c>
    </row>
    <row r="238" spans="3:9" x14ac:dyDescent="0.25">
      <c r="C238" t="s">
        <v>37</v>
      </c>
      <c r="D238" t="s">
        <v>51</v>
      </c>
      <c r="E238" t="s">
        <v>43</v>
      </c>
      <c r="F238" t="s">
        <v>40</v>
      </c>
      <c r="G238" s="80">
        <v>74987</v>
      </c>
      <c r="H238" t="s">
        <v>41</v>
      </c>
      <c r="I238" t="s">
        <v>45</v>
      </c>
    </row>
    <row r="239" spans="3:9" x14ac:dyDescent="0.25">
      <c r="C239" t="s">
        <v>37</v>
      </c>
      <c r="D239" t="s">
        <v>60</v>
      </c>
      <c r="E239" t="s">
        <v>39</v>
      </c>
      <c r="F239" t="s">
        <v>40</v>
      </c>
      <c r="G239" s="80">
        <v>64291217</v>
      </c>
      <c r="H239" t="s">
        <v>41</v>
      </c>
      <c r="I239" t="s">
        <v>45</v>
      </c>
    </row>
    <row r="240" spans="3:9" x14ac:dyDescent="0.25">
      <c r="C240" t="s">
        <v>46</v>
      </c>
      <c r="D240" t="s">
        <v>38</v>
      </c>
      <c r="E240" t="s">
        <v>48</v>
      </c>
      <c r="F240" t="s">
        <v>49</v>
      </c>
      <c r="G240" s="80">
        <v>79657</v>
      </c>
      <c r="H240" t="s">
        <v>56</v>
      </c>
      <c r="I240" t="s">
        <v>45</v>
      </c>
    </row>
    <row r="241" spans="3:9" x14ac:dyDescent="0.25">
      <c r="C241" t="s">
        <v>46</v>
      </c>
      <c r="D241" t="s">
        <v>42</v>
      </c>
      <c r="E241" t="s">
        <v>43</v>
      </c>
      <c r="F241" t="s">
        <v>40</v>
      </c>
      <c r="G241" s="80">
        <v>157018</v>
      </c>
      <c r="H241" t="s">
        <v>62</v>
      </c>
      <c r="I241" t="s">
        <v>45</v>
      </c>
    </row>
    <row r="242" spans="3:9" x14ac:dyDescent="0.25">
      <c r="C242" t="s">
        <v>53</v>
      </c>
      <c r="D242" t="s">
        <v>63</v>
      </c>
      <c r="E242" t="s">
        <v>63</v>
      </c>
      <c r="F242" t="s">
        <v>40</v>
      </c>
      <c r="G242" s="80">
        <v>2810065</v>
      </c>
      <c r="H242" t="s">
        <v>64</v>
      </c>
    </row>
    <row r="243" spans="3:9" x14ac:dyDescent="0.25">
      <c r="C243" t="s">
        <v>46</v>
      </c>
      <c r="D243" t="s">
        <v>47</v>
      </c>
      <c r="E243" t="s">
        <v>39</v>
      </c>
      <c r="F243" t="s">
        <v>40</v>
      </c>
      <c r="G243" s="80">
        <v>207676</v>
      </c>
      <c r="H243" t="s">
        <v>52</v>
      </c>
      <c r="I243" t="s">
        <v>45</v>
      </c>
    </row>
    <row r="244" spans="3:9" x14ac:dyDescent="0.25">
      <c r="C244" t="s">
        <v>46</v>
      </c>
      <c r="D244" t="s">
        <v>57</v>
      </c>
      <c r="E244" t="s">
        <v>66</v>
      </c>
      <c r="F244" t="s">
        <v>40</v>
      </c>
      <c r="G244" s="80">
        <v>466461</v>
      </c>
      <c r="H244" t="s">
        <v>41</v>
      </c>
      <c r="I244" t="s">
        <v>41</v>
      </c>
    </row>
    <row r="245" spans="3:9" x14ac:dyDescent="0.25">
      <c r="C245" t="s">
        <v>46</v>
      </c>
      <c r="D245" t="s">
        <v>60</v>
      </c>
      <c r="E245" t="s">
        <v>48</v>
      </c>
      <c r="F245" t="s">
        <v>40</v>
      </c>
      <c r="G245" s="80">
        <v>138049214</v>
      </c>
      <c r="H245" t="s">
        <v>56</v>
      </c>
      <c r="I245" t="s">
        <v>45</v>
      </c>
    </row>
    <row r="246" spans="3:9" x14ac:dyDescent="0.25">
      <c r="C246" t="s">
        <v>46</v>
      </c>
      <c r="D246" t="s">
        <v>60</v>
      </c>
      <c r="E246" t="s">
        <v>39</v>
      </c>
      <c r="F246" t="s">
        <v>40</v>
      </c>
      <c r="G246" s="80">
        <v>874132</v>
      </c>
      <c r="H246" t="s">
        <v>54</v>
      </c>
      <c r="I246" t="s">
        <v>45</v>
      </c>
    </row>
    <row r="247" spans="3:9" x14ac:dyDescent="0.25">
      <c r="C247" t="s">
        <v>46</v>
      </c>
      <c r="D247" t="s">
        <v>42</v>
      </c>
      <c r="E247" t="s">
        <v>43</v>
      </c>
      <c r="F247" t="s">
        <v>49</v>
      </c>
      <c r="G247" s="80">
        <v>2388</v>
      </c>
      <c r="H247" t="s">
        <v>56</v>
      </c>
      <c r="I247" t="s">
        <v>45</v>
      </c>
    </row>
    <row r="248" spans="3:9" x14ac:dyDescent="0.25">
      <c r="C248" t="s">
        <v>46</v>
      </c>
      <c r="D248" t="s">
        <v>38</v>
      </c>
      <c r="E248" t="s">
        <v>48</v>
      </c>
      <c r="F248" t="s">
        <v>40</v>
      </c>
      <c r="G248" s="80">
        <v>160747065</v>
      </c>
      <c r="H248" t="s">
        <v>44</v>
      </c>
      <c r="I248" t="s">
        <v>45</v>
      </c>
    </row>
    <row r="249" spans="3:9" x14ac:dyDescent="0.25">
      <c r="C249" t="s">
        <v>46</v>
      </c>
      <c r="D249" t="s">
        <v>60</v>
      </c>
      <c r="E249" t="s">
        <v>39</v>
      </c>
      <c r="F249" t="s">
        <v>40</v>
      </c>
      <c r="G249" s="80">
        <v>732209</v>
      </c>
      <c r="H249" t="s">
        <v>52</v>
      </c>
      <c r="I249" t="s">
        <v>45</v>
      </c>
    </row>
    <row r="250" spans="3:9" x14ac:dyDescent="0.25">
      <c r="C250" t="s">
        <v>37</v>
      </c>
      <c r="D250" t="s">
        <v>51</v>
      </c>
      <c r="E250" t="s">
        <v>48</v>
      </c>
      <c r="F250" t="s">
        <v>40</v>
      </c>
      <c r="G250" s="80">
        <v>253853</v>
      </c>
      <c r="H250" t="s">
        <v>41</v>
      </c>
      <c r="I250" t="s">
        <v>41</v>
      </c>
    </row>
    <row r="251" spans="3:9" x14ac:dyDescent="0.25">
      <c r="C251" t="s">
        <v>37</v>
      </c>
      <c r="D251" t="s">
        <v>51</v>
      </c>
      <c r="E251" t="s">
        <v>48</v>
      </c>
      <c r="F251" t="s">
        <v>40</v>
      </c>
      <c r="G251" s="80">
        <v>12283903</v>
      </c>
      <c r="H251" t="s">
        <v>54</v>
      </c>
      <c r="I251" t="s">
        <v>45</v>
      </c>
    </row>
    <row r="252" spans="3:9" x14ac:dyDescent="0.25">
      <c r="C252" t="s">
        <v>46</v>
      </c>
      <c r="D252" t="s">
        <v>55</v>
      </c>
      <c r="E252" t="s">
        <v>58</v>
      </c>
      <c r="F252" t="s">
        <v>40</v>
      </c>
      <c r="G252" s="80">
        <v>6679</v>
      </c>
      <c r="H252" t="s">
        <v>62</v>
      </c>
      <c r="I252" t="s">
        <v>45</v>
      </c>
    </row>
    <row r="253" spans="3:9" x14ac:dyDescent="0.25">
      <c r="C253" t="s">
        <v>46</v>
      </c>
      <c r="D253" t="s">
        <v>42</v>
      </c>
      <c r="E253" t="s">
        <v>43</v>
      </c>
      <c r="F253" t="s">
        <v>49</v>
      </c>
      <c r="G253" s="80">
        <v>1177509</v>
      </c>
      <c r="H253" t="s">
        <v>44</v>
      </c>
      <c r="I253" t="s">
        <v>45</v>
      </c>
    </row>
    <row r="254" spans="3:9" x14ac:dyDescent="0.25">
      <c r="C254" t="s">
        <v>37</v>
      </c>
      <c r="D254" t="s">
        <v>50</v>
      </c>
      <c r="E254" t="s">
        <v>48</v>
      </c>
      <c r="F254" t="s">
        <v>40</v>
      </c>
      <c r="G254" s="80">
        <v>248593846</v>
      </c>
      <c r="H254" t="s">
        <v>44</v>
      </c>
      <c r="I254" t="s">
        <v>45</v>
      </c>
    </row>
    <row r="255" spans="3:9" x14ac:dyDescent="0.25">
      <c r="C255" t="s">
        <v>46</v>
      </c>
      <c r="D255" t="s">
        <v>55</v>
      </c>
      <c r="E255" t="s">
        <v>58</v>
      </c>
      <c r="F255" t="s">
        <v>40</v>
      </c>
      <c r="G255" s="80">
        <v>61550617</v>
      </c>
      <c r="H255" t="s">
        <v>41</v>
      </c>
      <c r="I255" t="s">
        <v>45</v>
      </c>
    </row>
    <row r="256" spans="3:9" x14ac:dyDescent="0.25">
      <c r="C256" t="s">
        <v>53</v>
      </c>
      <c r="D256" t="s">
        <v>42</v>
      </c>
      <c r="E256" t="s">
        <v>39</v>
      </c>
      <c r="F256" t="s">
        <v>40</v>
      </c>
      <c r="G256" s="80">
        <v>102071</v>
      </c>
      <c r="H256" t="s">
        <v>41</v>
      </c>
      <c r="I256" t="s">
        <v>45</v>
      </c>
    </row>
    <row r="257" spans="3:9" x14ac:dyDescent="0.25">
      <c r="C257" t="s">
        <v>37</v>
      </c>
      <c r="D257" t="s">
        <v>55</v>
      </c>
      <c r="E257" t="s">
        <v>39</v>
      </c>
      <c r="F257" t="s">
        <v>40</v>
      </c>
      <c r="G257" s="80">
        <v>459960</v>
      </c>
      <c r="H257" t="s">
        <v>44</v>
      </c>
      <c r="I257" t="s">
        <v>45</v>
      </c>
    </row>
    <row r="258" spans="3:9" x14ac:dyDescent="0.25">
      <c r="C258" t="s">
        <v>37</v>
      </c>
      <c r="D258" t="s">
        <v>42</v>
      </c>
      <c r="E258" t="s">
        <v>43</v>
      </c>
      <c r="F258" t="s">
        <v>40</v>
      </c>
      <c r="G258" s="80">
        <v>983153</v>
      </c>
      <c r="H258" t="s">
        <v>54</v>
      </c>
      <c r="I258" t="s">
        <v>45</v>
      </c>
    </row>
    <row r="259" spans="3:9" x14ac:dyDescent="0.25">
      <c r="C259" t="s">
        <v>37</v>
      </c>
      <c r="D259" t="s">
        <v>51</v>
      </c>
      <c r="E259" t="s">
        <v>39</v>
      </c>
      <c r="F259" t="s">
        <v>40</v>
      </c>
      <c r="G259" s="80">
        <v>111695</v>
      </c>
      <c r="H259" t="s">
        <v>54</v>
      </c>
      <c r="I259" t="s">
        <v>45</v>
      </c>
    </row>
    <row r="260" spans="3:9" x14ac:dyDescent="0.25">
      <c r="C260" t="s">
        <v>37</v>
      </c>
      <c r="D260" t="s">
        <v>38</v>
      </c>
      <c r="E260" t="s">
        <v>43</v>
      </c>
      <c r="F260" t="s">
        <v>40</v>
      </c>
      <c r="G260" s="80">
        <v>6943711</v>
      </c>
      <c r="H260" t="s">
        <v>56</v>
      </c>
      <c r="I260" t="s">
        <v>45</v>
      </c>
    </row>
    <row r="261" spans="3:9" x14ac:dyDescent="0.25">
      <c r="C261" t="s">
        <v>46</v>
      </c>
      <c r="D261" t="s">
        <v>38</v>
      </c>
      <c r="E261" t="s">
        <v>43</v>
      </c>
      <c r="F261" t="s">
        <v>40</v>
      </c>
      <c r="G261" s="80">
        <v>554932</v>
      </c>
      <c r="H261" t="s">
        <v>56</v>
      </c>
      <c r="I261" t="s">
        <v>45</v>
      </c>
    </row>
    <row r="262" spans="3:9" x14ac:dyDescent="0.25">
      <c r="C262" t="s">
        <v>37</v>
      </c>
      <c r="D262" t="s">
        <v>55</v>
      </c>
      <c r="E262" t="s">
        <v>66</v>
      </c>
      <c r="F262" t="s">
        <v>40</v>
      </c>
      <c r="G262" s="80">
        <v>4490889</v>
      </c>
      <c r="H262" t="s">
        <v>41</v>
      </c>
      <c r="I262" t="s">
        <v>41</v>
      </c>
    </row>
    <row r="263" spans="3:9" x14ac:dyDescent="0.25">
      <c r="C263" t="s">
        <v>53</v>
      </c>
      <c r="D263" t="s">
        <v>47</v>
      </c>
      <c r="E263" t="s">
        <v>39</v>
      </c>
      <c r="F263" t="s">
        <v>40</v>
      </c>
      <c r="G263" s="80">
        <v>320234</v>
      </c>
      <c r="H263" t="s">
        <v>56</v>
      </c>
      <c r="I263" t="s">
        <v>45</v>
      </c>
    </row>
    <row r="264" spans="3:9" x14ac:dyDescent="0.25">
      <c r="C264" t="s">
        <v>46</v>
      </c>
      <c r="D264" t="s">
        <v>55</v>
      </c>
      <c r="E264" t="s">
        <v>39</v>
      </c>
      <c r="F264" t="s">
        <v>40</v>
      </c>
      <c r="G264" s="80">
        <v>21416477</v>
      </c>
      <c r="H264" t="s">
        <v>52</v>
      </c>
      <c r="I264" t="s">
        <v>45</v>
      </c>
    </row>
    <row r="265" spans="3:9" x14ac:dyDescent="0.25">
      <c r="C265" t="s">
        <v>37</v>
      </c>
      <c r="D265" t="s">
        <v>59</v>
      </c>
      <c r="E265" t="s">
        <v>43</v>
      </c>
      <c r="F265" t="s">
        <v>40</v>
      </c>
      <c r="G265" s="80">
        <v>76444</v>
      </c>
      <c r="H265" t="s">
        <v>54</v>
      </c>
      <c r="I265" t="s">
        <v>45</v>
      </c>
    </row>
    <row r="266" spans="3:9" x14ac:dyDescent="0.25">
      <c r="C266" t="s">
        <v>53</v>
      </c>
      <c r="D266" t="s">
        <v>51</v>
      </c>
      <c r="E266" t="s">
        <v>48</v>
      </c>
      <c r="F266" t="s">
        <v>40</v>
      </c>
      <c r="G266" s="80">
        <v>1163883</v>
      </c>
      <c r="H266" t="s">
        <v>44</v>
      </c>
      <c r="I266" t="s">
        <v>45</v>
      </c>
    </row>
    <row r="267" spans="3:9" x14ac:dyDescent="0.25">
      <c r="C267" t="s">
        <v>46</v>
      </c>
      <c r="D267" t="s">
        <v>38</v>
      </c>
      <c r="E267" t="s">
        <v>39</v>
      </c>
      <c r="F267" t="s">
        <v>40</v>
      </c>
      <c r="G267" s="80">
        <v>271307165</v>
      </c>
      <c r="H267" t="s">
        <v>56</v>
      </c>
      <c r="I267" t="s">
        <v>45</v>
      </c>
    </row>
    <row r="268" spans="3:9" x14ac:dyDescent="0.25">
      <c r="C268" t="s">
        <v>37</v>
      </c>
      <c r="D268" t="s">
        <v>50</v>
      </c>
      <c r="E268" t="s">
        <v>39</v>
      </c>
      <c r="F268" t="s">
        <v>40</v>
      </c>
      <c r="G268" s="80">
        <v>103274348</v>
      </c>
      <c r="H268" t="s">
        <v>56</v>
      </c>
      <c r="I268" t="s">
        <v>45</v>
      </c>
    </row>
    <row r="269" spans="3:9" x14ac:dyDescent="0.25">
      <c r="C269" t="s">
        <v>46</v>
      </c>
      <c r="D269" t="s">
        <v>63</v>
      </c>
      <c r="E269" t="s">
        <v>63</v>
      </c>
      <c r="F269" t="s">
        <v>49</v>
      </c>
      <c r="G269" s="80">
        <v>1697981</v>
      </c>
      <c r="H269" t="s">
        <v>65</v>
      </c>
      <c r="I269" t="s">
        <v>65</v>
      </c>
    </row>
    <row r="270" spans="3:9" x14ac:dyDescent="0.25">
      <c r="C270" t="s">
        <v>37</v>
      </c>
      <c r="D270" t="s">
        <v>38</v>
      </c>
      <c r="E270" t="s">
        <v>39</v>
      </c>
      <c r="F270" t="s">
        <v>40</v>
      </c>
      <c r="G270" s="80">
        <v>5645999</v>
      </c>
      <c r="H270" t="s">
        <v>54</v>
      </c>
      <c r="I270" t="s">
        <v>45</v>
      </c>
    </row>
    <row r="271" spans="3:9" x14ac:dyDescent="0.25">
      <c r="C271" t="s">
        <v>37</v>
      </c>
      <c r="D271" t="s">
        <v>60</v>
      </c>
      <c r="E271" t="s">
        <v>43</v>
      </c>
      <c r="F271" t="s">
        <v>40</v>
      </c>
      <c r="G271" s="80">
        <v>8212525</v>
      </c>
      <c r="H271" t="s">
        <v>41</v>
      </c>
      <c r="I271" t="s">
        <v>45</v>
      </c>
    </row>
    <row r="272" spans="3:9" x14ac:dyDescent="0.25">
      <c r="C272" t="s">
        <v>46</v>
      </c>
      <c r="D272" t="s">
        <v>50</v>
      </c>
      <c r="E272" t="s">
        <v>39</v>
      </c>
      <c r="F272" t="s">
        <v>40</v>
      </c>
      <c r="G272" s="80">
        <v>30010231</v>
      </c>
      <c r="H272" t="s">
        <v>56</v>
      </c>
      <c r="I272" t="s">
        <v>45</v>
      </c>
    </row>
    <row r="273" spans="3:9" x14ac:dyDescent="0.25">
      <c r="C273" t="s">
        <v>46</v>
      </c>
      <c r="D273" t="s">
        <v>57</v>
      </c>
      <c r="E273" t="s">
        <v>48</v>
      </c>
      <c r="F273" t="s">
        <v>49</v>
      </c>
      <c r="G273" s="80">
        <v>4297701</v>
      </c>
      <c r="H273" t="s">
        <v>41</v>
      </c>
      <c r="I273" t="s">
        <v>41</v>
      </c>
    </row>
    <row r="274" spans="3:9" x14ac:dyDescent="0.25">
      <c r="C274" t="s">
        <v>46</v>
      </c>
      <c r="D274" t="s">
        <v>55</v>
      </c>
      <c r="E274" t="s">
        <v>39</v>
      </c>
      <c r="F274" t="s">
        <v>40</v>
      </c>
      <c r="G274" s="80">
        <v>11135666</v>
      </c>
      <c r="H274" t="s">
        <v>56</v>
      </c>
      <c r="I274" t="s">
        <v>45</v>
      </c>
    </row>
    <row r="275" spans="3:9" x14ac:dyDescent="0.25">
      <c r="C275" t="s">
        <v>37</v>
      </c>
      <c r="D275" t="s">
        <v>50</v>
      </c>
      <c r="E275" t="s">
        <v>39</v>
      </c>
      <c r="F275" t="s">
        <v>40</v>
      </c>
      <c r="G275" s="80">
        <v>34801163</v>
      </c>
      <c r="H275" t="s">
        <v>62</v>
      </c>
      <c r="I275" t="s">
        <v>45</v>
      </c>
    </row>
    <row r="276" spans="3:9" x14ac:dyDescent="0.25">
      <c r="C276" t="s">
        <v>53</v>
      </c>
      <c r="D276" t="s">
        <v>55</v>
      </c>
      <c r="E276" t="s">
        <v>58</v>
      </c>
      <c r="F276" t="s">
        <v>40</v>
      </c>
      <c r="G276" s="80">
        <v>31058</v>
      </c>
      <c r="H276" t="s">
        <v>41</v>
      </c>
      <c r="I276" t="s">
        <v>45</v>
      </c>
    </row>
    <row r="277" spans="3:9" x14ac:dyDescent="0.25">
      <c r="C277" t="s">
        <v>46</v>
      </c>
      <c r="D277" t="s">
        <v>42</v>
      </c>
      <c r="E277" t="s">
        <v>39</v>
      </c>
      <c r="F277" t="s">
        <v>40</v>
      </c>
      <c r="G277" s="80">
        <v>1056872359</v>
      </c>
      <c r="H277" t="s">
        <v>41</v>
      </c>
      <c r="I277" t="s">
        <v>45</v>
      </c>
    </row>
    <row r="278" spans="3:9" x14ac:dyDescent="0.25">
      <c r="C278" t="s">
        <v>46</v>
      </c>
      <c r="D278" t="s">
        <v>57</v>
      </c>
      <c r="E278" t="s">
        <v>43</v>
      </c>
      <c r="F278" t="s">
        <v>40</v>
      </c>
      <c r="G278" s="80">
        <v>5140506</v>
      </c>
      <c r="H278" t="s">
        <v>41</v>
      </c>
      <c r="I278" t="s">
        <v>45</v>
      </c>
    </row>
    <row r="279" spans="3:9" x14ac:dyDescent="0.25">
      <c r="C279" t="s">
        <v>37</v>
      </c>
      <c r="D279" t="s">
        <v>47</v>
      </c>
      <c r="E279" t="s">
        <v>48</v>
      </c>
      <c r="F279" t="s">
        <v>40</v>
      </c>
      <c r="G279" s="80">
        <v>3126103</v>
      </c>
      <c r="H279" t="s">
        <v>54</v>
      </c>
      <c r="I279" t="s">
        <v>45</v>
      </c>
    </row>
    <row r="280" spans="3:9" x14ac:dyDescent="0.25">
      <c r="C280" t="s">
        <v>37</v>
      </c>
      <c r="D280" t="s">
        <v>47</v>
      </c>
      <c r="E280" t="s">
        <v>43</v>
      </c>
      <c r="F280" t="s">
        <v>40</v>
      </c>
      <c r="G280" s="80">
        <v>350060</v>
      </c>
      <c r="H280" t="s">
        <v>44</v>
      </c>
      <c r="I280" t="s">
        <v>45</v>
      </c>
    </row>
    <row r="281" spans="3:9" x14ac:dyDescent="0.25">
      <c r="C281" t="s">
        <v>46</v>
      </c>
      <c r="D281" t="s">
        <v>55</v>
      </c>
      <c r="E281" t="s">
        <v>58</v>
      </c>
      <c r="F281" t="s">
        <v>49</v>
      </c>
      <c r="G281" s="80">
        <v>127624</v>
      </c>
      <c r="H281" t="s">
        <v>44</v>
      </c>
      <c r="I281" t="s">
        <v>45</v>
      </c>
    </row>
    <row r="282" spans="3:9" x14ac:dyDescent="0.25">
      <c r="C282" t="s">
        <v>46</v>
      </c>
      <c r="D282" t="s">
        <v>50</v>
      </c>
      <c r="E282" t="s">
        <v>48</v>
      </c>
      <c r="F282" t="s">
        <v>49</v>
      </c>
      <c r="G282" s="80">
        <v>1719017</v>
      </c>
      <c r="H282" t="s">
        <v>41</v>
      </c>
      <c r="I282" t="s">
        <v>45</v>
      </c>
    </row>
    <row r="283" spans="3:9" x14ac:dyDescent="0.25">
      <c r="C283" t="s">
        <v>46</v>
      </c>
      <c r="D283" t="s">
        <v>50</v>
      </c>
      <c r="E283" t="s">
        <v>48</v>
      </c>
      <c r="F283" t="s">
        <v>49</v>
      </c>
      <c r="G283" s="80">
        <v>445358</v>
      </c>
      <c r="H283" t="s">
        <v>54</v>
      </c>
      <c r="I283" t="s">
        <v>45</v>
      </c>
    </row>
    <row r="284" spans="3:9" x14ac:dyDescent="0.25">
      <c r="C284" t="s">
        <v>37</v>
      </c>
      <c r="D284" t="s">
        <v>42</v>
      </c>
      <c r="E284" t="s">
        <v>39</v>
      </c>
      <c r="F284" t="s">
        <v>40</v>
      </c>
      <c r="G284" s="80">
        <v>17525003</v>
      </c>
      <c r="H284" t="s">
        <v>41</v>
      </c>
      <c r="I284" t="s">
        <v>45</v>
      </c>
    </row>
    <row r="285" spans="3:9" x14ac:dyDescent="0.25">
      <c r="C285" t="s">
        <v>46</v>
      </c>
      <c r="D285" t="s">
        <v>50</v>
      </c>
      <c r="E285" t="s">
        <v>48</v>
      </c>
      <c r="F285" t="s">
        <v>49</v>
      </c>
      <c r="G285" s="80">
        <v>1534727</v>
      </c>
      <c r="H285" t="s">
        <v>44</v>
      </c>
      <c r="I285" t="s">
        <v>45</v>
      </c>
    </row>
    <row r="286" spans="3:9" x14ac:dyDescent="0.25">
      <c r="C286" t="s">
        <v>37</v>
      </c>
      <c r="D286" t="s">
        <v>50</v>
      </c>
      <c r="E286" t="s">
        <v>48</v>
      </c>
      <c r="F286" t="s">
        <v>40</v>
      </c>
      <c r="G286" s="80">
        <v>144766919</v>
      </c>
      <c r="H286" t="s">
        <v>56</v>
      </c>
      <c r="I286" t="s">
        <v>45</v>
      </c>
    </row>
    <row r="287" spans="3:9" x14ac:dyDescent="0.25">
      <c r="C287" t="s">
        <v>46</v>
      </c>
      <c r="D287" t="s">
        <v>63</v>
      </c>
      <c r="E287" t="s">
        <v>63</v>
      </c>
      <c r="F287" t="s">
        <v>40</v>
      </c>
      <c r="G287" s="80">
        <v>1191430</v>
      </c>
      <c r="H287" t="s">
        <v>64</v>
      </c>
    </row>
    <row r="288" spans="3:9" x14ac:dyDescent="0.25">
      <c r="C288" t="s">
        <v>46</v>
      </c>
      <c r="D288" t="s">
        <v>51</v>
      </c>
      <c r="E288" t="s">
        <v>39</v>
      </c>
      <c r="F288" t="s">
        <v>40</v>
      </c>
      <c r="G288" s="80">
        <v>66656326</v>
      </c>
      <c r="H288" t="s">
        <v>41</v>
      </c>
      <c r="I288" t="s">
        <v>45</v>
      </c>
    </row>
    <row r="289" spans="3:9" x14ac:dyDescent="0.25">
      <c r="C289" t="s">
        <v>37</v>
      </c>
      <c r="D289" t="s">
        <v>42</v>
      </c>
      <c r="E289" t="s">
        <v>48</v>
      </c>
      <c r="F289" t="s">
        <v>40</v>
      </c>
      <c r="G289" s="80">
        <v>33708</v>
      </c>
      <c r="H289" t="s">
        <v>52</v>
      </c>
      <c r="I289" t="s">
        <v>45</v>
      </c>
    </row>
    <row r="290" spans="3:9" x14ac:dyDescent="0.25">
      <c r="C290" t="s">
        <v>53</v>
      </c>
      <c r="D290" t="s">
        <v>57</v>
      </c>
      <c r="E290" t="s">
        <v>48</v>
      </c>
      <c r="F290" t="s">
        <v>40</v>
      </c>
      <c r="G290" s="80">
        <v>129819</v>
      </c>
      <c r="H290" t="s">
        <v>56</v>
      </c>
      <c r="I290" t="s">
        <v>45</v>
      </c>
    </row>
    <row r="291" spans="3:9" x14ac:dyDescent="0.25">
      <c r="C291" t="s">
        <v>37</v>
      </c>
      <c r="D291" t="s">
        <v>59</v>
      </c>
      <c r="E291" t="s">
        <v>58</v>
      </c>
      <c r="F291" t="s">
        <v>40</v>
      </c>
      <c r="G291" s="80">
        <v>226725</v>
      </c>
      <c r="H291" t="s">
        <v>52</v>
      </c>
      <c r="I291" t="s">
        <v>45</v>
      </c>
    </row>
    <row r="292" spans="3:9" x14ac:dyDescent="0.25">
      <c r="C292" t="s">
        <v>46</v>
      </c>
      <c r="D292" t="s">
        <v>55</v>
      </c>
      <c r="E292" t="s">
        <v>66</v>
      </c>
      <c r="F292" t="s">
        <v>49</v>
      </c>
      <c r="G292" s="80">
        <v>729759</v>
      </c>
      <c r="H292" t="s">
        <v>41</v>
      </c>
      <c r="I292" t="s">
        <v>41</v>
      </c>
    </row>
    <row r="293" spans="3:9" x14ac:dyDescent="0.25">
      <c r="C293" t="s">
        <v>37</v>
      </c>
      <c r="D293" t="s">
        <v>47</v>
      </c>
      <c r="E293" t="s">
        <v>39</v>
      </c>
      <c r="F293" t="s">
        <v>40</v>
      </c>
      <c r="G293" s="80">
        <v>19497511</v>
      </c>
      <c r="H293" t="s">
        <v>44</v>
      </c>
      <c r="I293" t="s">
        <v>45</v>
      </c>
    </row>
    <row r="294" spans="3:9" x14ac:dyDescent="0.25">
      <c r="C294" t="s">
        <v>46</v>
      </c>
      <c r="D294" t="s">
        <v>51</v>
      </c>
      <c r="E294" t="s">
        <v>43</v>
      </c>
      <c r="F294" t="s">
        <v>40</v>
      </c>
      <c r="G294" s="80">
        <v>19422</v>
      </c>
      <c r="H294" t="s">
        <v>41</v>
      </c>
      <c r="I294" t="s">
        <v>41</v>
      </c>
    </row>
    <row r="295" spans="3:9" x14ac:dyDescent="0.25">
      <c r="C295" t="s">
        <v>46</v>
      </c>
      <c r="D295" t="s">
        <v>42</v>
      </c>
      <c r="E295" t="s">
        <v>58</v>
      </c>
      <c r="F295" t="s">
        <v>49</v>
      </c>
      <c r="G295" s="80">
        <v>2146320</v>
      </c>
      <c r="H295" t="s">
        <v>41</v>
      </c>
      <c r="I295" t="s">
        <v>41</v>
      </c>
    </row>
    <row r="296" spans="3:9" x14ac:dyDescent="0.25">
      <c r="C296" t="s">
        <v>37</v>
      </c>
      <c r="D296" t="s">
        <v>42</v>
      </c>
      <c r="E296" t="s">
        <v>43</v>
      </c>
      <c r="F296" t="s">
        <v>40</v>
      </c>
      <c r="G296" s="80">
        <v>2869027</v>
      </c>
      <c r="H296" t="s">
        <v>41</v>
      </c>
      <c r="I296" t="s">
        <v>41</v>
      </c>
    </row>
    <row r="297" spans="3:9" x14ac:dyDescent="0.25">
      <c r="C297" t="s">
        <v>46</v>
      </c>
      <c r="D297" t="s">
        <v>38</v>
      </c>
      <c r="E297" t="s">
        <v>66</v>
      </c>
      <c r="F297" t="s">
        <v>40</v>
      </c>
      <c r="G297" s="80">
        <v>53627</v>
      </c>
      <c r="H297" t="s">
        <v>41</v>
      </c>
      <c r="I297" t="s">
        <v>45</v>
      </c>
    </row>
    <row r="298" spans="3:9" x14ac:dyDescent="0.25">
      <c r="C298" t="s">
        <v>46</v>
      </c>
      <c r="D298" t="s">
        <v>50</v>
      </c>
      <c r="E298" t="s">
        <v>48</v>
      </c>
      <c r="F298" t="s">
        <v>40</v>
      </c>
      <c r="G298" s="80">
        <v>1351028402</v>
      </c>
      <c r="H298" t="s">
        <v>44</v>
      </c>
      <c r="I298" t="s">
        <v>45</v>
      </c>
    </row>
    <row r="299" spans="3:9" x14ac:dyDescent="0.25">
      <c r="C299" t="s">
        <v>37</v>
      </c>
      <c r="D299" t="s">
        <v>55</v>
      </c>
      <c r="E299" t="s">
        <v>39</v>
      </c>
      <c r="F299" t="s">
        <v>40</v>
      </c>
      <c r="G299" s="80">
        <v>1647820</v>
      </c>
      <c r="H299" t="s">
        <v>41</v>
      </c>
      <c r="I299" t="s">
        <v>45</v>
      </c>
    </row>
    <row r="300" spans="3:9" x14ac:dyDescent="0.25">
      <c r="C300" t="s">
        <v>37</v>
      </c>
      <c r="D300" t="s">
        <v>57</v>
      </c>
      <c r="E300" t="s">
        <v>39</v>
      </c>
      <c r="F300" t="s">
        <v>40</v>
      </c>
      <c r="G300" s="80">
        <v>955389</v>
      </c>
      <c r="H300" t="s">
        <v>41</v>
      </c>
      <c r="I300" t="s">
        <v>45</v>
      </c>
    </row>
    <row r="301" spans="3:9" x14ac:dyDescent="0.25">
      <c r="C301" t="s">
        <v>46</v>
      </c>
      <c r="D301" t="s">
        <v>57</v>
      </c>
      <c r="E301" t="s">
        <v>58</v>
      </c>
      <c r="F301" t="s">
        <v>40</v>
      </c>
      <c r="G301" s="80">
        <v>1052428</v>
      </c>
      <c r="H301" t="s">
        <v>41</v>
      </c>
      <c r="I301" t="s">
        <v>41</v>
      </c>
    </row>
    <row r="302" spans="3:9" x14ac:dyDescent="0.25">
      <c r="C302" t="s">
        <v>46</v>
      </c>
      <c r="D302" t="s">
        <v>38</v>
      </c>
      <c r="E302" t="s">
        <v>39</v>
      </c>
      <c r="F302" t="s">
        <v>40</v>
      </c>
      <c r="G302" s="80">
        <v>2159831428</v>
      </c>
      <c r="H302" t="s">
        <v>41</v>
      </c>
      <c r="I302" t="s">
        <v>45</v>
      </c>
    </row>
    <row r="303" spans="3:9" x14ac:dyDescent="0.25">
      <c r="C303" t="s">
        <v>37</v>
      </c>
      <c r="D303" t="s">
        <v>47</v>
      </c>
      <c r="E303" t="s">
        <v>48</v>
      </c>
      <c r="F303" t="s">
        <v>40</v>
      </c>
      <c r="G303" s="80">
        <v>3657194</v>
      </c>
      <c r="H303" t="s">
        <v>56</v>
      </c>
      <c r="I303" t="s">
        <v>45</v>
      </c>
    </row>
    <row r="304" spans="3:9" x14ac:dyDescent="0.25">
      <c r="C304" t="s">
        <v>53</v>
      </c>
      <c r="D304" t="s">
        <v>50</v>
      </c>
      <c r="E304" t="s">
        <v>48</v>
      </c>
      <c r="F304" t="s">
        <v>40</v>
      </c>
      <c r="G304" s="80">
        <v>132469</v>
      </c>
      <c r="H304" t="s">
        <v>54</v>
      </c>
      <c r="I304" t="s">
        <v>45</v>
      </c>
    </row>
    <row r="305" spans="3:9" x14ac:dyDescent="0.25">
      <c r="C305" t="s">
        <v>37</v>
      </c>
      <c r="D305" t="s">
        <v>38</v>
      </c>
      <c r="E305" t="s">
        <v>48</v>
      </c>
      <c r="F305" t="s">
        <v>40</v>
      </c>
      <c r="G305" s="80">
        <v>8595082</v>
      </c>
      <c r="H305" t="s">
        <v>44</v>
      </c>
      <c r="I305" t="s">
        <v>45</v>
      </c>
    </row>
    <row r="306" spans="3:9" x14ac:dyDescent="0.25">
      <c r="C306" t="s">
        <v>37</v>
      </c>
      <c r="D306" t="s">
        <v>47</v>
      </c>
      <c r="E306" t="s">
        <v>39</v>
      </c>
      <c r="F306" t="s">
        <v>40</v>
      </c>
      <c r="G306" s="80">
        <v>21476876</v>
      </c>
      <c r="H306" t="s">
        <v>41</v>
      </c>
      <c r="I306" t="s">
        <v>45</v>
      </c>
    </row>
    <row r="307" spans="3:9" x14ac:dyDescent="0.25">
      <c r="C307" t="s">
        <v>53</v>
      </c>
      <c r="D307" t="s">
        <v>51</v>
      </c>
      <c r="E307" t="s">
        <v>39</v>
      </c>
      <c r="F307" t="s">
        <v>40</v>
      </c>
      <c r="G307" s="80">
        <v>95875</v>
      </c>
      <c r="H307" t="s">
        <v>52</v>
      </c>
      <c r="I307" t="s">
        <v>45</v>
      </c>
    </row>
    <row r="308" spans="3:9" x14ac:dyDescent="0.25">
      <c r="C308" t="s">
        <v>37</v>
      </c>
      <c r="D308" t="s">
        <v>60</v>
      </c>
      <c r="E308" t="s">
        <v>43</v>
      </c>
      <c r="F308" t="s">
        <v>40</v>
      </c>
      <c r="G308" s="80">
        <v>547413</v>
      </c>
      <c r="H308" t="s">
        <v>44</v>
      </c>
      <c r="I308" t="s">
        <v>45</v>
      </c>
    </row>
    <row r="309" spans="3:9" x14ac:dyDescent="0.25">
      <c r="C309" t="s">
        <v>46</v>
      </c>
      <c r="D309" t="s">
        <v>38</v>
      </c>
      <c r="E309" t="s">
        <v>39</v>
      </c>
      <c r="F309" t="s">
        <v>40</v>
      </c>
      <c r="G309" s="80">
        <v>576490012</v>
      </c>
      <c r="H309" t="s">
        <v>54</v>
      </c>
      <c r="I309" t="s">
        <v>45</v>
      </c>
    </row>
    <row r="310" spans="3:9" x14ac:dyDescent="0.25">
      <c r="C310" t="s">
        <v>37</v>
      </c>
      <c r="D310" t="s">
        <v>47</v>
      </c>
      <c r="E310" t="s">
        <v>39</v>
      </c>
      <c r="F310" t="s">
        <v>40</v>
      </c>
      <c r="G310" s="80">
        <v>14561498</v>
      </c>
      <c r="H310" t="s">
        <v>56</v>
      </c>
      <c r="I310" t="s">
        <v>45</v>
      </c>
    </row>
    <row r="311" spans="3:9" x14ac:dyDescent="0.25">
      <c r="C311" t="s">
        <v>46</v>
      </c>
      <c r="D311" t="s">
        <v>47</v>
      </c>
      <c r="E311" t="s">
        <v>48</v>
      </c>
      <c r="F311" t="s">
        <v>49</v>
      </c>
      <c r="G311" s="80">
        <v>10501848</v>
      </c>
      <c r="H311" t="s">
        <v>41</v>
      </c>
      <c r="I311" t="s">
        <v>41</v>
      </c>
    </row>
    <row r="312" spans="3:9" x14ac:dyDescent="0.25">
      <c r="C312" t="s">
        <v>46</v>
      </c>
      <c r="D312" t="s">
        <v>55</v>
      </c>
      <c r="E312" t="s">
        <v>58</v>
      </c>
      <c r="F312" t="s">
        <v>40</v>
      </c>
      <c r="G312" s="80">
        <v>7184275</v>
      </c>
      <c r="H312" t="s">
        <v>52</v>
      </c>
      <c r="I312" t="s">
        <v>45</v>
      </c>
    </row>
    <row r="313" spans="3:9" x14ac:dyDescent="0.25">
      <c r="C313" t="s">
        <v>53</v>
      </c>
      <c r="D313" t="s">
        <v>50</v>
      </c>
      <c r="E313" t="s">
        <v>39</v>
      </c>
      <c r="F313" t="s">
        <v>40</v>
      </c>
      <c r="G313" s="80">
        <v>19453</v>
      </c>
      <c r="H313" t="s">
        <v>54</v>
      </c>
      <c r="I313" t="s">
        <v>45</v>
      </c>
    </row>
    <row r="314" spans="3:9" x14ac:dyDescent="0.25">
      <c r="C314" t="s">
        <v>46</v>
      </c>
      <c r="D314" t="s">
        <v>38</v>
      </c>
      <c r="E314" t="s">
        <v>61</v>
      </c>
      <c r="F314" t="s">
        <v>49</v>
      </c>
      <c r="G314" s="80">
        <v>47994</v>
      </c>
      <c r="H314" t="s">
        <v>41</v>
      </c>
      <c r="I314" t="s">
        <v>41</v>
      </c>
    </row>
    <row r="315" spans="3:9" x14ac:dyDescent="0.25">
      <c r="C315" t="s">
        <v>46</v>
      </c>
      <c r="D315" t="s">
        <v>57</v>
      </c>
      <c r="E315" t="s">
        <v>48</v>
      </c>
      <c r="F315" t="s">
        <v>40</v>
      </c>
      <c r="G315" s="80">
        <v>26963110</v>
      </c>
      <c r="H315" t="s">
        <v>56</v>
      </c>
      <c r="I315" t="s">
        <v>45</v>
      </c>
    </row>
    <row r="316" spans="3:9" x14ac:dyDescent="0.25">
      <c r="C316" t="s">
        <v>46</v>
      </c>
      <c r="D316" t="s">
        <v>42</v>
      </c>
      <c r="E316" t="s">
        <v>61</v>
      </c>
      <c r="F316" t="s">
        <v>49</v>
      </c>
      <c r="G316" s="80">
        <v>1314458</v>
      </c>
      <c r="H316" t="s">
        <v>41</v>
      </c>
      <c r="I316" t="s">
        <v>41</v>
      </c>
    </row>
    <row r="317" spans="3:9" x14ac:dyDescent="0.25">
      <c r="C317" t="s">
        <v>46</v>
      </c>
      <c r="D317" t="s">
        <v>55</v>
      </c>
      <c r="E317" t="s">
        <v>61</v>
      </c>
      <c r="F317" t="s">
        <v>49</v>
      </c>
      <c r="G317" s="80">
        <v>1275536</v>
      </c>
      <c r="H317" t="s">
        <v>41</v>
      </c>
      <c r="I317" t="s">
        <v>41</v>
      </c>
    </row>
    <row r="318" spans="3:9" x14ac:dyDescent="0.25">
      <c r="C318" t="s">
        <v>53</v>
      </c>
      <c r="D318" t="s">
        <v>55</v>
      </c>
      <c r="E318" t="s">
        <v>43</v>
      </c>
      <c r="F318" t="s">
        <v>40</v>
      </c>
      <c r="G318" s="80">
        <v>459341</v>
      </c>
      <c r="H318" t="s">
        <v>44</v>
      </c>
      <c r="I318" t="s">
        <v>45</v>
      </c>
    </row>
    <row r="319" spans="3:9" x14ac:dyDescent="0.25">
      <c r="C319" t="s">
        <v>37</v>
      </c>
      <c r="D319" t="s">
        <v>51</v>
      </c>
      <c r="E319" t="s">
        <v>48</v>
      </c>
      <c r="F319" t="s">
        <v>40</v>
      </c>
      <c r="G319" s="80">
        <v>31264</v>
      </c>
      <c r="H319" t="s">
        <v>62</v>
      </c>
      <c r="I319" t="s">
        <v>45</v>
      </c>
    </row>
    <row r="320" spans="3:9" x14ac:dyDescent="0.25">
      <c r="C320" t="s">
        <v>53</v>
      </c>
      <c r="D320" t="s">
        <v>38</v>
      </c>
      <c r="E320" t="s">
        <v>39</v>
      </c>
      <c r="F320" t="s">
        <v>40</v>
      </c>
      <c r="G320" s="80">
        <v>257150</v>
      </c>
      <c r="H320" t="s">
        <v>41</v>
      </c>
      <c r="I320" t="s">
        <v>45</v>
      </c>
    </row>
    <row r="321" spans="3:9" x14ac:dyDescent="0.25">
      <c r="C321" t="s">
        <v>46</v>
      </c>
      <c r="D321" t="s">
        <v>42</v>
      </c>
      <c r="E321" t="s">
        <v>48</v>
      </c>
      <c r="F321" t="s">
        <v>40</v>
      </c>
      <c r="G321" s="80">
        <v>3926970</v>
      </c>
      <c r="H321" t="s">
        <v>41</v>
      </c>
      <c r="I321" t="s">
        <v>41</v>
      </c>
    </row>
    <row r="322" spans="3:9" x14ac:dyDescent="0.25">
      <c r="C322" t="s">
        <v>37</v>
      </c>
      <c r="D322" t="s">
        <v>60</v>
      </c>
      <c r="E322" t="s">
        <v>39</v>
      </c>
      <c r="F322" t="s">
        <v>40</v>
      </c>
      <c r="G322" s="80">
        <v>18277730</v>
      </c>
      <c r="H322" t="s">
        <v>54</v>
      </c>
      <c r="I322" t="s">
        <v>45</v>
      </c>
    </row>
    <row r="323" spans="3:9" x14ac:dyDescent="0.25">
      <c r="C323" t="s">
        <v>46</v>
      </c>
      <c r="D323" t="s">
        <v>60</v>
      </c>
      <c r="E323" t="s">
        <v>43</v>
      </c>
      <c r="F323" t="s">
        <v>40</v>
      </c>
      <c r="G323" s="80">
        <v>8493122</v>
      </c>
      <c r="H323" t="s">
        <v>41</v>
      </c>
      <c r="I323" t="s">
        <v>45</v>
      </c>
    </row>
    <row r="324" spans="3:9" x14ac:dyDescent="0.25">
      <c r="C324" t="s">
        <v>46</v>
      </c>
      <c r="D324" t="s">
        <v>51</v>
      </c>
      <c r="E324" t="s">
        <v>63</v>
      </c>
      <c r="F324" t="s">
        <v>40</v>
      </c>
      <c r="G324" s="80">
        <v>496668</v>
      </c>
      <c r="H324" t="s">
        <v>41</v>
      </c>
    </row>
    <row r="325" spans="3:9" x14ac:dyDescent="0.25">
      <c r="C325" t="s">
        <v>46</v>
      </c>
      <c r="D325" t="s">
        <v>50</v>
      </c>
      <c r="E325" t="s">
        <v>39</v>
      </c>
      <c r="F325" t="s">
        <v>40</v>
      </c>
      <c r="G325" s="80">
        <v>20149916</v>
      </c>
      <c r="H325" t="s">
        <v>52</v>
      </c>
      <c r="I325" t="s">
        <v>45</v>
      </c>
    </row>
    <row r="326" spans="3:9" x14ac:dyDescent="0.25">
      <c r="C326" t="s">
        <v>46</v>
      </c>
      <c r="D326" t="s">
        <v>50</v>
      </c>
      <c r="E326" t="s">
        <v>39</v>
      </c>
      <c r="F326" t="s">
        <v>40</v>
      </c>
      <c r="G326" s="80">
        <v>14863561</v>
      </c>
      <c r="H326" t="s">
        <v>54</v>
      </c>
      <c r="I326" t="s">
        <v>45</v>
      </c>
    </row>
    <row r="327" spans="3:9" x14ac:dyDescent="0.25">
      <c r="C327" t="s">
        <v>46</v>
      </c>
      <c r="D327" t="s">
        <v>42</v>
      </c>
      <c r="E327" t="s">
        <v>39</v>
      </c>
      <c r="F327" t="s">
        <v>49</v>
      </c>
      <c r="G327" s="80">
        <v>1238330</v>
      </c>
      <c r="H327" t="s">
        <v>41</v>
      </c>
      <c r="I327" t="s">
        <v>45</v>
      </c>
    </row>
    <row r="328" spans="3:9" x14ac:dyDescent="0.25">
      <c r="C328" t="s">
        <v>46</v>
      </c>
      <c r="D328" t="s">
        <v>50</v>
      </c>
      <c r="E328" t="s">
        <v>48</v>
      </c>
      <c r="F328" t="s">
        <v>40</v>
      </c>
      <c r="G328" s="80">
        <v>280085923</v>
      </c>
      <c r="H328" t="s">
        <v>41</v>
      </c>
      <c r="I328" t="s">
        <v>41</v>
      </c>
    </row>
    <row r="329" spans="3:9" x14ac:dyDescent="0.25">
      <c r="C329" t="s">
        <v>46</v>
      </c>
      <c r="D329" t="s">
        <v>38</v>
      </c>
      <c r="E329" t="s">
        <v>39</v>
      </c>
      <c r="F329" t="s">
        <v>40</v>
      </c>
      <c r="G329" s="80">
        <v>1402617148</v>
      </c>
      <c r="H329" t="s">
        <v>44</v>
      </c>
      <c r="I329" t="s">
        <v>45</v>
      </c>
    </row>
    <row r="330" spans="3:9" x14ac:dyDescent="0.25">
      <c r="C330" t="s">
        <v>46</v>
      </c>
      <c r="D330" t="s">
        <v>50</v>
      </c>
      <c r="E330" t="s">
        <v>48</v>
      </c>
      <c r="F330" t="s">
        <v>40</v>
      </c>
      <c r="G330" s="80">
        <v>2344390144</v>
      </c>
      <c r="H330" t="s">
        <v>41</v>
      </c>
      <c r="I330" t="s">
        <v>45</v>
      </c>
    </row>
    <row r="331" spans="3:9" x14ac:dyDescent="0.25">
      <c r="C331" t="s">
        <v>37</v>
      </c>
      <c r="D331" t="s">
        <v>47</v>
      </c>
      <c r="E331" t="s">
        <v>43</v>
      </c>
      <c r="F331" t="s">
        <v>40</v>
      </c>
      <c r="G331" s="80">
        <v>767236</v>
      </c>
      <c r="H331" t="s">
        <v>41</v>
      </c>
      <c r="I331" t="s">
        <v>45</v>
      </c>
    </row>
    <row r="332" spans="3:9" x14ac:dyDescent="0.25">
      <c r="C332" t="s">
        <v>46</v>
      </c>
      <c r="D332" t="s">
        <v>42</v>
      </c>
      <c r="E332" t="s">
        <v>43</v>
      </c>
      <c r="F332" t="s">
        <v>40</v>
      </c>
      <c r="G332" s="80">
        <v>30602892</v>
      </c>
      <c r="H332" t="s">
        <v>54</v>
      </c>
      <c r="I332" t="s">
        <v>45</v>
      </c>
    </row>
    <row r="333" spans="3:9" x14ac:dyDescent="0.25">
      <c r="C333" t="s">
        <v>53</v>
      </c>
      <c r="D333" t="s">
        <v>38</v>
      </c>
      <c r="E333" t="s">
        <v>39</v>
      </c>
      <c r="F333" t="s">
        <v>40</v>
      </c>
      <c r="G333" s="80">
        <v>487993</v>
      </c>
      <c r="H333" t="s">
        <v>56</v>
      </c>
      <c r="I333" t="s">
        <v>45</v>
      </c>
    </row>
    <row r="334" spans="3:9" x14ac:dyDescent="0.25">
      <c r="C334" t="s">
        <v>37</v>
      </c>
      <c r="D334" t="s">
        <v>50</v>
      </c>
      <c r="E334" t="s">
        <v>39</v>
      </c>
      <c r="F334" t="s">
        <v>40</v>
      </c>
      <c r="G334" s="80">
        <v>55986</v>
      </c>
      <c r="H334" t="s">
        <v>41</v>
      </c>
      <c r="I334" t="s">
        <v>41</v>
      </c>
    </row>
    <row r="335" spans="3:9" x14ac:dyDescent="0.25">
      <c r="C335" t="s">
        <v>53</v>
      </c>
      <c r="D335" t="s">
        <v>38</v>
      </c>
      <c r="E335" t="s">
        <v>48</v>
      </c>
      <c r="F335" t="s">
        <v>40</v>
      </c>
      <c r="G335" s="80">
        <v>505914</v>
      </c>
      <c r="H335" t="s">
        <v>56</v>
      </c>
      <c r="I335" t="s">
        <v>45</v>
      </c>
    </row>
    <row r="336" spans="3:9" x14ac:dyDescent="0.25">
      <c r="C336" t="s">
        <v>37</v>
      </c>
      <c r="D336" t="s">
        <v>55</v>
      </c>
      <c r="E336" t="s">
        <v>43</v>
      </c>
      <c r="F336" t="s">
        <v>40</v>
      </c>
      <c r="G336" s="80">
        <v>19238291</v>
      </c>
      <c r="H336" t="s">
        <v>44</v>
      </c>
      <c r="I336" t="s">
        <v>45</v>
      </c>
    </row>
    <row r="337" spans="3:9" x14ac:dyDescent="0.25">
      <c r="C337" t="s">
        <v>46</v>
      </c>
      <c r="D337" t="s">
        <v>38</v>
      </c>
      <c r="E337" t="s">
        <v>48</v>
      </c>
      <c r="F337" t="s">
        <v>49</v>
      </c>
      <c r="G337" s="80">
        <v>186133</v>
      </c>
      <c r="H337" t="s">
        <v>44</v>
      </c>
      <c r="I337" t="s">
        <v>45</v>
      </c>
    </row>
    <row r="338" spans="3:9" x14ac:dyDescent="0.25">
      <c r="C338" t="s">
        <v>46</v>
      </c>
      <c r="D338" t="s">
        <v>60</v>
      </c>
      <c r="E338" t="s">
        <v>48</v>
      </c>
      <c r="F338" t="s">
        <v>49</v>
      </c>
      <c r="G338" s="80">
        <v>124229</v>
      </c>
      <c r="H338" t="s">
        <v>44</v>
      </c>
      <c r="I338" t="s">
        <v>45</v>
      </c>
    </row>
    <row r="339" spans="3:9" x14ac:dyDescent="0.25">
      <c r="C339" t="s">
        <v>46</v>
      </c>
      <c r="D339" t="s">
        <v>59</v>
      </c>
      <c r="E339" t="s">
        <v>58</v>
      </c>
      <c r="F339" t="s">
        <v>40</v>
      </c>
      <c r="G339" s="80">
        <v>155774</v>
      </c>
      <c r="H339" t="s">
        <v>41</v>
      </c>
      <c r="I339" t="s">
        <v>45</v>
      </c>
    </row>
    <row r="340" spans="3:9" x14ac:dyDescent="0.25">
      <c r="C340" t="s">
        <v>53</v>
      </c>
      <c r="D340" t="s">
        <v>55</v>
      </c>
      <c r="E340" t="s">
        <v>39</v>
      </c>
      <c r="F340" t="s">
        <v>40</v>
      </c>
      <c r="G340" s="80">
        <v>238812</v>
      </c>
      <c r="H340" t="s">
        <v>41</v>
      </c>
      <c r="I340" t="s">
        <v>45</v>
      </c>
    </row>
    <row r="341" spans="3:9" x14ac:dyDescent="0.25">
      <c r="C341" t="s">
        <v>46</v>
      </c>
      <c r="D341" t="s">
        <v>38</v>
      </c>
      <c r="E341" t="s">
        <v>61</v>
      </c>
      <c r="F341" t="s">
        <v>40</v>
      </c>
      <c r="G341" s="80">
        <v>6055475</v>
      </c>
      <c r="H341" t="s">
        <v>41</v>
      </c>
      <c r="I341" t="s">
        <v>41</v>
      </c>
    </row>
    <row r="342" spans="3:9" x14ac:dyDescent="0.25">
      <c r="C342" t="s">
        <v>53</v>
      </c>
      <c r="D342" t="s">
        <v>50</v>
      </c>
      <c r="E342" t="s">
        <v>48</v>
      </c>
      <c r="F342" t="s">
        <v>40</v>
      </c>
      <c r="G342" s="80">
        <v>865907</v>
      </c>
      <c r="H342" t="s">
        <v>56</v>
      </c>
      <c r="I342" t="s">
        <v>45</v>
      </c>
    </row>
    <row r="343" spans="3:9" x14ac:dyDescent="0.25">
      <c r="C343" t="s">
        <v>37</v>
      </c>
      <c r="D343" t="s">
        <v>42</v>
      </c>
      <c r="E343" t="s">
        <v>48</v>
      </c>
      <c r="F343" t="s">
        <v>40</v>
      </c>
      <c r="G343" s="80">
        <v>307137</v>
      </c>
      <c r="H343" t="s">
        <v>44</v>
      </c>
      <c r="I343" t="s">
        <v>45</v>
      </c>
    </row>
    <row r="344" spans="3:9" x14ac:dyDescent="0.25">
      <c r="C344" t="s">
        <v>46</v>
      </c>
      <c r="D344" t="s">
        <v>42</v>
      </c>
      <c r="E344" t="s">
        <v>43</v>
      </c>
      <c r="F344" t="s">
        <v>40</v>
      </c>
      <c r="G344" s="80">
        <v>61972579</v>
      </c>
      <c r="H344" t="s">
        <v>56</v>
      </c>
      <c r="I344" t="s">
        <v>45</v>
      </c>
    </row>
    <row r="345" spans="3:9" x14ac:dyDescent="0.25">
      <c r="C345" t="s">
        <v>46</v>
      </c>
      <c r="D345" t="s">
        <v>55</v>
      </c>
      <c r="E345" t="s">
        <v>43</v>
      </c>
      <c r="F345" t="s">
        <v>49</v>
      </c>
      <c r="G345" s="80">
        <v>236586</v>
      </c>
      <c r="H345" t="s">
        <v>44</v>
      </c>
      <c r="I345" t="s">
        <v>45</v>
      </c>
    </row>
    <row r="346" spans="3:9" x14ac:dyDescent="0.25">
      <c r="C346" t="s">
        <v>46</v>
      </c>
      <c r="D346" t="s">
        <v>50</v>
      </c>
      <c r="E346" t="s">
        <v>39</v>
      </c>
      <c r="F346" t="s">
        <v>49</v>
      </c>
      <c r="G346" s="80">
        <v>159214</v>
      </c>
      <c r="H346" t="s">
        <v>56</v>
      </c>
      <c r="I346" t="s">
        <v>45</v>
      </c>
    </row>
    <row r="347" spans="3:9" x14ac:dyDescent="0.25">
      <c r="C347" t="s">
        <v>46</v>
      </c>
      <c r="D347" t="s">
        <v>38</v>
      </c>
      <c r="E347" t="s">
        <v>43</v>
      </c>
      <c r="F347" t="s">
        <v>49</v>
      </c>
      <c r="G347" s="80">
        <v>3947321</v>
      </c>
      <c r="H347" t="s">
        <v>41</v>
      </c>
      <c r="I347" t="s">
        <v>41</v>
      </c>
    </row>
    <row r="348" spans="3:9" x14ac:dyDescent="0.25">
      <c r="C348" t="s">
        <v>46</v>
      </c>
      <c r="D348" t="s">
        <v>38</v>
      </c>
      <c r="E348" t="s">
        <v>66</v>
      </c>
      <c r="F348" t="s">
        <v>49</v>
      </c>
      <c r="G348" s="80">
        <v>558434</v>
      </c>
      <c r="H348" t="s">
        <v>41</v>
      </c>
      <c r="I348" t="s">
        <v>41</v>
      </c>
    </row>
    <row r="349" spans="3:9" x14ac:dyDescent="0.25">
      <c r="C349" t="s">
        <v>46</v>
      </c>
      <c r="D349" t="s">
        <v>47</v>
      </c>
      <c r="E349" t="s">
        <v>48</v>
      </c>
      <c r="F349" t="s">
        <v>49</v>
      </c>
      <c r="G349" s="80">
        <v>134323</v>
      </c>
      <c r="H349" t="s">
        <v>52</v>
      </c>
      <c r="I349" t="s">
        <v>45</v>
      </c>
    </row>
    <row r="350" spans="3:9" x14ac:dyDescent="0.25">
      <c r="C350" t="s">
        <v>46</v>
      </c>
      <c r="D350" t="s">
        <v>57</v>
      </c>
      <c r="E350" t="s">
        <v>48</v>
      </c>
      <c r="F350" t="s">
        <v>40</v>
      </c>
      <c r="G350" s="80">
        <v>154068550</v>
      </c>
      <c r="H350" t="s">
        <v>41</v>
      </c>
      <c r="I350" t="s">
        <v>41</v>
      </c>
    </row>
    <row r="351" spans="3:9" x14ac:dyDescent="0.25">
      <c r="C351" t="s">
        <v>37</v>
      </c>
      <c r="D351" t="s">
        <v>42</v>
      </c>
      <c r="E351" t="s">
        <v>43</v>
      </c>
      <c r="F351" t="s">
        <v>40</v>
      </c>
      <c r="G351" s="80">
        <v>16840141</v>
      </c>
      <c r="H351" t="s">
        <v>56</v>
      </c>
      <c r="I351" t="s">
        <v>45</v>
      </c>
    </row>
    <row r="352" spans="3:9" x14ac:dyDescent="0.25">
      <c r="C352" t="s">
        <v>46</v>
      </c>
      <c r="D352" t="s">
        <v>42</v>
      </c>
      <c r="E352" t="s">
        <v>43</v>
      </c>
      <c r="F352" t="s">
        <v>40</v>
      </c>
      <c r="G352" s="80">
        <v>147494762</v>
      </c>
      <c r="H352" t="s">
        <v>41</v>
      </c>
      <c r="I352" t="s">
        <v>41</v>
      </c>
    </row>
    <row r="353" spans="3:9" x14ac:dyDescent="0.25">
      <c r="C353" t="s">
        <v>46</v>
      </c>
      <c r="D353" t="s">
        <v>47</v>
      </c>
      <c r="E353" t="s">
        <v>48</v>
      </c>
      <c r="F353" t="s">
        <v>40</v>
      </c>
      <c r="G353" s="80">
        <v>7766798</v>
      </c>
      <c r="I353" t="s">
        <v>45</v>
      </c>
    </row>
    <row r="354" spans="3:9" x14ac:dyDescent="0.25">
      <c r="C354" t="s">
        <v>37</v>
      </c>
      <c r="D354" t="s">
        <v>55</v>
      </c>
      <c r="E354" t="s">
        <v>58</v>
      </c>
      <c r="F354" t="s">
        <v>40</v>
      </c>
      <c r="G354" s="80">
        <v>67644</v>
      </c>
      <c r="H354" t="s">
        <v>41</v>
      </c>
      <c r="I354" t="s">
        <v>45</v>
      </c>
    </row>
    <row r="355" spans="3:9" x14ac:dyDescent="0.25">
      <c r="C355" t="s">
        <v>37</v>
      </c>
      <c r="D355" t="s">
        <v>55</v>
      </c>
      <c r="E355" t="s">
        <v>61</v>
      </c>
      <c r="F355" t="s">
        <v>40</v>
      </c>
      <c r="G355" s="80">
        <v>863361</v>
      </c>
      <c r="H355" t="s">
        <v>41</v>
      </c>
      <c r="I355" t="s">
        <v>41</v>
      </c>
    </row>
    <row r="356" spans="3:9" x14ac:dyDescent="0.25">
      <c r="C356" t="s">
        <v>46</v>
      </c>
      <c r="D356" t="s">
        <v>57</v>
      </c>
      <c r="E356" t="s">
        <v>48</v>
      </c>
      <c r="F356" t="s">
        <v>40</v>
      </c>
      <c r="G356" s="80">
        <v>35269134</v>
      </c>
      <c r="H356" t="s">
        <v>52</v>
      </c>
      <c r="I356" t="s">
        <v>45</v>
      </c>
    </row>
    <row r="357" spans="3:9" x14ac:dyDescent="0.25">
      <c r="C357" t="s">
        <v>53</v>
      </c>
      <c r="D357" t="s">
        <v>55</v>
      </c>
      <c r="E357" t="s">
        <v>43</v>
      </c>
      <c r="F357" t="s">
        <v>40</v>
      </c>
      <c r="G357" s="80">
        <v>339678</v>
      </c>
      <c r="H357" t="s">
        <v>52</v>
      </c>
      <c r="I357" t="s">
        <v>45</v>
      </c>
    </row>
    <row r="358" spans="3:9" x14ac:dyDescent="0.25">
      <c r="C358" t="s">
        <v>46</v>
      </c>
      <c r="D358" t="s">
        <v>51</v>
      </c>
      <c r="E358" t="s">
        <v>48</v>
      </c>
      <c r="F358" t="s">
        <v>40</v>
      </c>
      <c r="G358" s="80">
        <v>4629820</v>
      </c>
      <c r="I358" t="s">
        <v>45</v>
      </c>
    </row>
    <row r="359" spans="3:9" x14ac:dyDescent="0.25">
      <c r="C359" t="s">
        <v>46</v>
      </c>
      <c r="D359" t="s">
        <v>50</v>
      </c>
      <c r="E359" t="s">
        <v>66</v>
      </c>
      <c r="F359" t="s">
        <v>40</v>
      </c>
      <c r="G359" s="80">
        <v>1295468</v>
      </c>
      <c r="H359" t="s">
        <v>41</v>
      </c>
      <c r="I359" t="s">
        <v>41</v>
      </c>
    </row>
    <row r="360" spans="3:9" x14ac:dyDescent="0.25">
      <c r="C360" t="s">
        <v>37</v>
      </c>
      <c r="D360" t="s">
        <v>55</v>
      </c>
      <c r="E360" t="s">
        <v>39</v>
      </c>
      <c r="F360" t="s">
        <v>40</v>
      </c>
      <c r="G360" s="80">
        <v>110803</v>
      </c>
      <c r="H360" t="s">
        <v>52</v>
      </c>
      <c r="I360" t="s">
        <v>45</v>
      </c>
    </row>
    <row r="361" spans="3:9" x14ac:dyDescent="0.25">
      <c r="C361" t="s">
        <v>53</v>
      </c>
      <c r="D361" t="s">
        <v>50</v>
      </c>
      <c r="E361" t="s">
        <v>48</v>
      </c>
      <c r="F361" t="s">
        <v>40</v>
      </c>
      <c r="G361" s="80">
        <v>174958</v>
      </c>
      <c r="H361" t="s">
        <v>52</v>
      </c>
      <c r="I361" t="s">
        <v>45</v>
      </c>
    </row>
    <row r="362" spans="3:9" x14ac:dyDescent="0.25">
      <c r="C362" t="s">
        <v>46</v>
      </c>
      <c r="D362" t="s">
        <v>47</v>
      </c>
      <c r="E362" t="s">
        <v>48</v>
      </c>
      <c r="F362" t="s">
        <v>40</v>
      </c>
      <c r="G362" s="80">
        <v>152147495</v>
      </c>
      <c r="H362" t="s">
        <v>41</v>
      </c>
      <c r="I362" t="s">
        <v>41</v>
      </c>
    </row>
    <row r="363" spans="3:9" x14ac:dyDescent="0.25">
      <c r="C363" t="s">
        <v>46</v>
      </c>
      <c r="D363" t="s">
        <v>51</v>
      </c>
      <c r="E363" t="s">
        <v>43</v>
      </c>
      <c r="F363" t="s">
        <v>40</v>
      </c>
      <c r="G363" s="80">
        <v>11989203</v>
      </c>
      <c r="H363" t="s">
        <v>41</v>
      </c>
      <c r="I363" t="s">
        <v>45</v>
      </c>
    </row>
    <row r="364" spans="3:9" x14ac:dyDescent="0.25">
      <c r="C364" t="s">
        <v>37</v>
      </c>
      <c r="D364" t="s">
        <v>51</v>
      </c>
      <c r="E364" t="s">
        <v>43</v>
      </c>
      <c r="F364" t="s">
        <v>40</v>
      </c>
      <c r="G364" s="80">
        <v>55600</v>
      </c>
      <c r="H364" t="s">
        <v>56</v>
      </c>
      <c r="I364" t="s">
        <v>45</v>
      </c>
    </row>
    <row r="365" spans="3:9" x14ac:dyDescent="0.25">
      <c r="C365" t="s">
        <v>46</v>
      </c>
      <c r="D365" t="s">
        <v>57</v>
      </c>
      <c r="E365" t="s">
        <v>61</v>
      </c>
      <c r="F365" t="s">
        <v>40</v>
      </c>
      <c r="G365" s="80">
        <v>288496</v>
      </c>
      <c r="H365" t="s">
        <v>41</v>
      </c>
      <c r="I365" t="s">
        <v>41</v>
      </c>
    </row>
    <row r="366" spans="3:9" x14ac:dyDescent="0.25">
      <c r="C366" t="s">
        <v>46</v>
      </c>
      <c r="D366" t="s">
        <v>60</v>
      </c>
      <c r="E366" t="s">
        <v>58</v>
      </c>
      <c r="F366" t="s">
        <v>40</v>
      </c>
      <c r="G366" s="80">
        <v>66221</v>
      </c>
      <c r="H366" t="s">
        <v>41</v>
      </c>
      <c r="I366" t="s">
        <v>41</v>
      </c>
    </row>
    <row r="367" spans="3:9" x14ac:dyDescent="0.25">
      <c r="C367" t="s">
        <v>37</v>
      </c>
      <c r="D367" t="s">
        <v>50</v>
      </c>
      <c r="E367" t="s">
        <v>43</v>
      </c>
      <c r="F367" t="s">
        <v>40</v>
      </c>
      <c r="G367" s="80">
        <v>2108715</v>
      </c>
      <c r="H367" t="s">
        <v>44</v>
      </c>
      <c r="I367" t="s">
        <v>45</v>
      </c>
    </row>
    <row r="368" spans="3:9" x14ac:dyDescent="0.25">
      <c r="C368" t="s">
        <v>37</v>
      </c>
      <c r="D368" t="s">
        <v>50</v>
      </c>
      <c r="E368" t="s">
        <v>39</v>
      </c>
      <c r="F368" t="s">
        <v>40</v>
      </c>
      <c r="G368" s="80">
        <v>117196508</v>
      </c>
      <c r="H368" t="s">
        <v>54</v>
      </c>
      <c r="I368" t="s">
        <v>45</v>
      </c>
    </row>
    <row r="369" spans="3:9" x14ac:dyDescent="0.25">
      <c r="C369" t="s">
        <v>37</v>
      </c>
      <c r="D369" t="s">
        <v>55</v>
      </c>
      <c r="E369" t="s">
        <v>43</v>
      </c>
      <c r="F369" t="s">
        <v>40</v>
      </c>
      <c r="G369" s="80">
        <v>4957097</v>
      </c>
      <c r="H369" t="s">
        <v>52</v>
      </c>
      <c r="I369" t="s">
        <v>45</v>
      </c>
    </row>
    <row r="370" spans="3:9" x14ac:dyDescent="0.25">
      <c r="C370" t="s">
        <v>53</v>
      </c>
      <c r="D370" t="s">
        <v>60</v>
      </c>
      <c r="E370" t="s">
        <v>48</v>
      </c>
      <c r="F370" t="s">
        <v>40</v>
      </c>
      <c r="G370" s="80">
        <v>79884</v>
      </c>
      <c r="H370" t="s">
        <v>52</v>
      </c>
      <c r="I370" t="s">
        <v>45</v>
      </c>
    </row>
    <row r="371" spans="3:9" x14ac:dyDescent="0.25">
      <c r="C371" t="s">
        <v>37</v>
      </c>
      <c r="D371" t="s">
        <v>51</v>
      </c>
      <c r="E371" t="s">
        <v>43</v>
      </c>
      <c r="F371" t="s">
        <v>40</v>
      </c>
      <c r="G371" s="80">
        <v>27285</v>
      </c>
      <c r="H371" t="s">
        <v>44</v>
      </c>
      <c r="I371" t="s">
        <v>45</v>
      </c>
    </row>
    <row r="372" spans="3:9" x14ac:dyDescent="0.25">
      <c r="C372" t="s">
        <v>53</v>
      </c>
      <c r="D372" t="s">
        <v>38</v>
      </c>
      <c r="E372" t="s">
        <v>39</v>
      </c>
      <c r="F372" t="s">
        <v>40</v>
      </c>
      <c r="G372" s="80">
        <v>11780118</v>
      </c>
      <c r="H372" t="s">
        <v>44</v>
      </c>
      <c r="I372" t="s">
        <v>45</v>
      </c>
    </row>
    <row r="373" spans="3:9" x14ac:dyDescent="0.25">
      <c r="C373" t="s">
        <v>37</v>
      </c>
      <c r="D373" t="s">
        <v>50</v>
      </c>
      <c r="E373" t="s">
        <v>48</v>
      </c>
      <c r="F373" t="s">
        <v>40</v>
      </c>
      <c r="G373" s="80">
        <v>39811660</v>
      </c>
      <c r="H373" t="s">
        <v>52</v>
      </c>
      <c r="I373" t="s">
        <v>45</v>
      </c>
    </row>
    <row r="374" spans="3:9" x14ac:dyDescent="0.25">
      <c r="C374" t="s">
        <v>46</v>
      </c>
      <c r="D374" t="s">
        <v>51</v>
      </c>
      <c r="E374" t="s">
        <v>48</v>
      </c>
      <c r="F374" t="s">
        <v>49</v>
      </c>
      <c r="G374" s="80">
        <v>572260</v>
      </c>
      <c r="H374" t="s">
        <v>44</v>
      </c>
      <c r="I374" t="s">
        <v>45</v>
      </c>
    </row>
    <row r="375" spans="3:9" x14ac:dyDescent="0.25">
      <c r="C375" t="s">
        <v>53</v>
      </c>
      <c r="D375" t="s">
        <v>42</v>
      </c>
      <c r="E375" t="s">
        <v>39</v>
      </c>
      <c r="F375" t="s">
        <v>40</v>
      </c>
      <c r="G375" s="80">
        <v>1391706</v>
      </c>
      <c r="H375" t="s">
        <v>44</v>
      </c>
      <c r="I375" t="s">
        <v>45</v>
      </c>
    </row>
    <row r="376" spans="3:9" x14ac:dyDescent="0.25">
      <c r="C376" t="s">
        <v>46</v>
      </c>
      <c r="D376" t="s">
        <v>47</v>
      </c>
      <c r="E376" t="s">
        <v>48</v>
      </c>
      <c r="F376" t="s">
        <v>40</v>
      </c>
      <c r="G376" s="80">
        <v>625572097</v>
      </c>
      <c r="H376" t="s">
        <v>41</v>
      </c>
      <c r="I376" t="s">
        <v>45</v>
      </c>
    </row>
    <row r="377" spans="3:9" x14ac:dyDescent="0.25">
      <c r="C377" t="s">
        <v>46</v>
      </c>
      <c r="D377" t="s">
        <v>42</v>
      </c>
      <c r="E377" t="s">
        <v>43</v>
      </c>
      <c r="F377" t="s">
        <v>40</v>
      </c>
      <c r="G377" s="80">
        <v>278835225</v>
      </c>
      <c r="H377" t="s">
        <v>41</v>
      </c>
      <c r="I377" t="s">
        <v>45</v>
      </c>
    </row>
    <row r="378" spans="3:9" x14ac:dyDescent="0.25">
      <c r="C378" t="s">
        <v>46</v>
      </c>
      <c r="D378" t="s">
        <v>59</v>
      </c>
      <c r="E378" t="s">
        <v>43</v>
      </c>
      <c r="F378" t="s">
        <v>40</v>
      </c>
      <c r="G378" s="80">
        <v>968781</v>
      </c>
      <c r="H378" t="s">
        <v>41</v>
      </c>
      <c r="I378" t="s">
        <v>45</v>
      </c>
    </row>
    <row r="379" spans="3:9" x14ac:dyDescent="0.25">
      <c r="C379" t="s">
        <v>37</v>
      </c>
      <c r="D379" t="s">
        <v>38</v>
      </c>
      <c r="E379" t="s">
        <v>48</v>
      </c>
      <c r="F379" t="s">
        <v>40</v>
      </c>
      <c r="G379" s="80">
        <v>3293208</v>
      </c>
      <c r="H379" t="s">
        <v>41</v>
      </c>
      <c r="I379" t="s">
        <v>45</v>
      </c>
    </row>
    <row r="380" spans="3:9" x14ac:dyDescent="0.25">
      <c r="C380" t="s">
        <v>46</v>
      </c>
      <c r="D380" t="s">
        <v>59</v>
      </c>
      <c r="E380" t="s">
        <v>39</v>
      </c>
      <c r="F380" t="s">
        <v>40</v>
      </c>
      <c r="G380" s="80">
        <v>180022</v>
      </c>
      <c r="H380" t="s">
        <v>41</v>
      </c>
      <c r="I380" t="s">
        <v>45</v>
      </c>
    </row>
    <row r="381" spans="3:9" x14ac:dyDescent="0.25">
      <c r="C381" t="s">
        <v>53</v>
      </c>
      <c r="D381" t="s">
        <v>55</v>
      </c>
      <c r="E381" t="s">
        <v>58</v>
      </c>
      <c r="F381" t="s">
        <v>40</v>
      </c>
      <c r="G381" s="80">
        <v>180424</v>
      </c>
      <c r="H381" t="s">
        <v>44</v>
      </c>
      <c r="I381" t="s">
        <v>45</v>
      </c>
    </row>
    <row r="382" spans="3:9" x14ac:dyDescent="0.25">
      <c r="C382" t="s">
        <v>37</v>
      </c>
      <c r="D382" t="s">
        <v>59</v>
      </c>
      <c r="E382" t="s">
        <v>48</v>
      </c>
      <c r="F382" t="s">
        <v>40</v>
      </c>
      <c r="G382" s="80">
        <v>27534</v>
      </c>
      <c r="H382" t="s">
        <v>52</v>
      </c>
      <c r="I382" t="s">
        <v>45</v>
      </c>
    </row>
    <row r="383" spans="3:9" x14ac:dyDescent="0.25">
      <c r="C383" t="s">
        <v>46</v>
      </c>
      <c r="D383" t="s">
        <v>38</v>
      </c>
      <c r="E383" t="s">
        <v>39</v>
      </c>
      <c r="F383" t="s">
        <v>49</v>
      </c>
      <c r="G383" s="80">
        <v>431334</v>
      </c>
      <c r="H383" t="s">
        <v>52</v>
      </c>
      <c r="I383" t="s">
        <v>45</v>
      </c>
    </row>
    <row r="384" spans="3:9" x14ac:dyDescent="0.25">
      <c r="C384" t="s">
        <v>46</v>
      </c>
      <c r="D384" t="s">
        <v>42</v>
      </c>
      <c r="E384" t="s">
        <v>39</v>
      </c>
      <c r="F384" t="s">
        <v>40</v>
      </c>
      <c r="G384" s="80">
        <v>62017198</v>
      </c>
      <c r="H384" t="s">
        <v>41</v>
      </c>
      <c r="I384" t="s">
        <v>41</v>
      </c>
    </row>
    <row r="385" spans="3:9" x14ac:dyDescent="0.25">
      <c r="C385" t="s">
        <v>46</v>
      </c>
      <c r="D385" t="s">
        <v>50</v>
      </c>
      <c r="E385" t="s">
        <v>43</v>
      </c>
      <c r="F385" t="s">
        <v>49</v>
      </c>
      <c r="G385" s="80">
        <v>1116731</v>
      </c>
      <c r="H385" t="s">
        <v>41</v>
      </c>
      <c r="I385" t="s">
        <v>41</v>
      </c>
    </row>
    <row r="386" spans="3:9" x14ac:dyDescent="0.25">
      <c r="C386" t="s">
        <v>46</v>
      </c>
      <c r="D386" t="s">
        <v>55</v>
      </c>
      <c r="E386" t="s">
        <v>43</v>
      </c>
      <c r="F386" t="s">
        <v>40</v>
      </c>
      <c r="G386" s="80">
        <v>91879064</v>
      </c>
      <c r="H386" t="s">
        <v>52</v>
      </c>
      <c r="I386" t="s">
        <v>45</v>
      </c>
    </row>
    <row r="387" spans="3:9" x14ac:dyDescent="0.25">
      <c r="C387" t="s">
        <v>37</v>
      </c>
      <c r="D387" t="s">
        <v>60</v>
      </c>
      <c r="E387" t="s">
        <v>39</v>
      </c>
      <c r="F387" t="s">
        <v>40</v>
      </c>
      <c r="G387" s="80">
        <v>54377773</v>
      </c>
      <c r="H387" t="s">
        <v>44</v>
      </c>
      <c r="I387" t="s">
        <v>45</v>
      </c>
    </row>
    <row r="388" spans="3:9" x14ac:dyDescent="0.25">
      <c r="C388" t="s">
        <v>46</v>
      </c>
      <c r="D388" t="s">
        <v>38</v>
      </c>
      <c r="E388" t="s">
        <v>58</v>
      </c>
      <c r="F388" t="s">
        <v>40</v>
      </c>
      <c r="G388" s="80">
        <v>114302991</v>
      </c>
      <c r="H388" t="s">
        <v>41</v>
      </c>
      <c r="I388" t="s">
        <v>41</v>
      </c>
    </row>
    <row r="389" spans="3:9" x14ac:dyDescent="0.25">
      <c r="C389" t="s">
        <v>46</v>
      </c>
      <c r="D389" t="s">
        <v>50</v>
      </c>
      <c r="E389" t="s">
        <v>39</v>
      </c>
      <c r="F389" t="s">
        <v>40</v>
      </c>
      <c r="G389" s="80">
        <v>81152219</v>
      </c>
      <c r="H389" t="s">
        <v>44</v>
      </c>
      <c r="I389" t="s">
        <v>45</v>
      </c>
    </row>
    <row r="390" spans="3:9" x14ac:dyDescent="0.25">
      <c r="C390" t="s">
        <v>46</v>
      </c>
      <c r="D390" t="s">
        <v>55</v>
      </c>
      <c r="E390" t="s">
        <v>43</v>
      </c>
      <c r="F390" t="s">
        <v>49</v>
      </c>
      <c r="G390" s="80">
        <v>707297</v>
      </c>
      <c r="H390" t="s">
        <v>41</v>
      </c>
      <c r="I390" t="s">
        <v>41</v>
      </c>
    </row>
    <row r="391" spans="3:9" x14ac:dyDescent="0.25">
      <c r="C391" t="s">
        <v>46</v>
      </c>
      <c r="D391" t="s">
        <v>55</v>
      </c>
      <c r="E391" t="s">
        <v>39</v>
      </c>
      <c r="F391" t="s">
        <v>40</v>
      </c>
      <c r="G391" s="80">
        <v>8115735</v>
      </c>
      <c r="H391" t="s">
        <v>54</v>
      </c>
      <c r="I391" t="s">
        <v>45</v>
      </c>
    </row>
    <row r="392" spans="3:9" x14ac:dyDescent="0.25">
      <c r="C392" t="s">
        <v>37</v>
      </c>
      <c r="D392" t="s">
        <v>42</v>
      </c>
      <c r="E392" t="s">
        <v>39</v>
      </c>
      <c r="F392" t="s">
        <v>40</v>
      </c>
      <c r="G392" s="80">
        <v>27636352</v>
      </c>
      <c r="H392" t="s">
        <v>56</v>
      </c>
      <c r="I392" t="s">
        <v>45</v>
      </c>
    </row>
    <row r="393" spans="3:9" x14ac:dyDescent="0.25">
      <c r="C393" t="s">
        <v>46</v>
      </c>
      <c r="D393" t="s">
        <v>38</v>
      </c>
      <c r="E393" t="s">
        <v>39</v>
      </c>
      <c r="F393" t="s">
        <v>40</v>
      </c>
      <c r="G393" s="80">
        <v>378360</v>
      </c>
      <c r="H393" t="s">
        <v>62</v>
      </c>
      <c r="I393" t="s">
        <v>45</v>
      </c>
    </row>
    <row r="394" spans="3:9" x14ac:dyDescent="0.25">
      <c r="C394" t="s">
        <v>46</v>
      </c>
      <c r="D394" t="s">
        <v>42</v>
      </c>
      <c r="E394" t="s">
        <v>58</v>
      </c>
      <c r="F394" t="s">
        <v>40</v>
      </c>
      <c r="G394" s="80">
        <v>140902071</v>
      </c>
      <c r="H394" t="s">
        <v>41</v>
      </c>
      <c r="I394" t="s">
        <v>41</v>
      </c>
    </row>
    <row r="395" spans="3:9" x14ac:dyDescent="0.25">
      <c r="C395" t="s">
        <v>46</v>
      </c>
      <c r="D395" t="s">
        <v>38</v>
      </c>
      <c r="E395" t="s">
        <v>39</v>
      </c>
      <c r="F395" t="s">
        <v>40</v>
      </c>
      <c r="G395" s="80">
        <v>316857201</v>
      </c>
      <c r="H395" t="s">
        <v>41</v>
      </c>
      <c r="I395" t="s">
        <v>41</v>
      </c>
    </row>
    <row r="396" spans="3:9" x14ac:dyDescent="0.25">
      <c r="C396" t="s">
        <v>46</v>
      </c>
      <c r="D396" t="s">
        <v>42</v>
      </c>
      <c r="E396" t="s">
        <v>58</v>
      </c>
      <c r="F396" t="s">
        <v>40</v>
      </c>
      <c r="G396" s="80">
        <v>477400</v>
      </c>
      <c r="H396" t="s">
        <v>44</v>
      </c>
      <c r="I396" t="s">
        <v>45</v>
      </c>
    </row>
    <row r="397" spans="3:9" x14ac:dyDescent="0.25">
      <c r="C397" t="s">
        <v>46</v>
      </c>
      <c r="D397" t="s">
        <v>59</v>
      </c>
      <c r="E397" t="s">
        <v>39</v>
      </c>
      <c r="F397" t="s">
        <v>40</v>
      </c>
      <c r="G397" s="80">
        <v>1992615</v>
      </c>
      <c r="H397" t="s">
        <v>52</v>
      </c>
      <c r="I397" t="s">
        <v>45</v>
      </c>
    </row>
    <row r="398" spans="3:9" x14ac:dyDescent="0.25">
      <c r="C398" t="s">
        <v>46</v>
      </c>
      <c r="D398" t="s">
        <v>42</v>
      </c>
      <c r="E398" t="s">
        <v>39</v>
      </c>
      <c r="F398" t="s">
        <v>40</v>
      </c>
      <c r="G398" s="80">
        <v>216414334</v>
      </c>
      <c r="H398" t="s">
        <v>54</v>
      </c>
      <c r="I398" t="s">
        <v>45</v>
      </c>
    </row>
    <row r="399" spans="3:9" x14ac:dyDescent="0.25">
      <c r="C399" t="s">
        <v>53</v>
      </c>
      <c r="D399" t="s">
        <v>60</v>
      </c>
      <c r="E399" t="s">
        <v>48</v>
      </c>
      <c r="F399" t="s">
        <v>40</v>
      </c>
      <c r="G399" s="80">
        <v>3361416</v>
      </c>
      <c r="H399" t="s">
        <v>56</v>
      </c>
      <c r="I399" t="s">
        <v>45</v>
      </c>
    </row>
    <row r="400" spans="3:9" x14ac:dyDescent="0.25">
      <c r="C400" t="s">
        <v>37</v>
      </c>
      <c r="D400" t="s">
        <v>57</v>
      </c>
      <c r="E400" t="s">
        <v>39</v>
      </c>
      <c r="F400" t="s">
        <v>40</v>
      </c>
      <c r="G400" s="80">
        <v>2677680</v>
      </c>
      <c r="H400" t="s">
        <v>56</v>
      </c>
      <c r="I400" t="s">
        <v>45</v>
      </c>
    </row>
    <row r="401" spans="3:9" x14ac:dyDescent="0.25">
      <c r="C401" t="s">
        <v>46</v>
      </c>
      <c r="D401" t="s">
        <v>47</v>
      </c>
      <c r="E401" t="s">
        <v>43</v>
      </c>
      <c r="F401" t="s">
        <v>40</v>
      </c>
      <c r="G401" s="80">
        <v>9135939</v>
      </c>
      <c r="H401" t="s">
        <v>41</v>
      </c>
      <c r="I401" t="s">
        <v>45</v>
      </c>
    </row>
    <row r="402" spans="3:9" x14ac:dyDescent="0.25">
      <c r="C402" t="s">
        <v>46</v>
      </c>
      <c r="D402" t="s">
        <v>60</v>
      </c>
      <c r="E402" t="s">
        <v>39</v>
      </c>
      <c r="F402" t="s">
        <v>40</v>
      </c>
      <c r="G402" s="80">
        <v>42160616</v>
      </c>
      <c r="H402" t="s">
        <v>41</v>
      </c>
      <c r="I402" t="s">
        <v>41</v>
      </c>
    </row>
    <row r="403" spans="3:9" x14ac:dyDescent="0.25">
      <c r="C403" t="s">
        <v>46</v>
      </c>
      <c r="D403" t="s">
        <v>38</v>
      </c>
      <c r="E403" t="s">
        <v>66</v>
      </c>
      <c r="F403" t="s">
        <v>40</v>
      </c>
      <c r="G403" s="80">
        <v>29728001</v>
      </c>
      <c r="H403" t="s">
        <v>41</v>
      </c>
      <c r="I403" t="s">
        <v>41</v>
      </c>
    </row>
    <row r="404" spans="3:9" x14ac:dyDescent="0.25">
      <c r="C404" t="s">
        <v>37</v>
      </c>
      <c r="D404" t="s">
        <v>42</v>
      </c>
      <c r="E404" t="s">
        <v>43</v>
      </c>
      <c r="F404" t="s">
        <v>40</v>
      </c>
      <c r="G404" s="80">
        <v>16194680</v>
      </c>
      <c r="H404" t="s">
        <v>44</v>
      </c>
      <c r="I404" t="s">
        <v>45</v>
      </c>
    </row>
    <row r="405" spans="3:9" x14ac:dyDescent="0.25">
      <c r="C405" t="s">
        <v>46</v>
      </c>
      <c r="D405" t="s">
        <v>50</v>
      </c>
      <c r="E405" t="s">
        <v>63</v>
      </c>
      <c r="F405" t="s">
        <v>40</v>
      </c>
      <c r="G405" s="80">
        <v>147021</v>
      </c>
      <c r="H405" t="s">
        <v>41</v>
      </c>
    </row>
    <row r="406" spans="3:9" x14ac:dyDescent="0.25">
      <c r="C406" t="s">
        <v>46</v>
      </c>
      <c r="D406" t="s">
        <v>59</v>
      </c>
      <c r="E406" t="s">
        <v>43</v>
      </c>
      <c r="F406" t="s">
        <v>40</v>
      </c>
      <c r="G406" s="80">
        <v>66527</v>
      </c>
      <c r="H406" t="s">
        <v>54</v>
      </c>
      <c r="I406" t="s">
        <v>45</v>
      </c>
    </row>
    <row r="407" spans="3:9" x14ac:dyDescent="0.25">
      <c r="C407" t="s">
        <v>53</v>
      </c>
      <c r="D407" t="s">
        <v>42</v>
      </c>
      <c r="E407" t="s">
        <v>43</v>
      </c>
      <c r="F407" t="s">
        <v>40</v>
      </c>
      <c r="G407" s="80">
        <v>700920</v>
      </c>
      <c r="H407" t="s">
        <v>44</v>
      </c>
      <c r="I407" t="s">
        <v>45</v>
      </c>
    </row>
    <row r="408" spans="3:9" x14ac:dyDescent="0.25">
      <c r="C408" t="s">
        <v>37</v>
      </c>
      <c r="D408" t="s">
        <v>38</v>
      </c>
      <c r="E408" t="s">
        <v>58</v>
      </c>
      <c r="F408" t="s">
        <v>40</v>
      </c>
      <c r="G408" s="80">
        <v>151044</v>
      </c>
      <c r="H408" t="s">
        <v>41</v>
      </c>
      <c r="I408" t="s">
        <v>41</v>
      </c>
    </row>
    <row r="409" spans="3:9" x14ac:dyDescent="0.25">
      <c r="C409" t="s">
        <v>46</v>
      </c>
      <c r="D409" t="s">
        <v>51</v>
      </c>
      <c r="E409" t="s">
        <v>48</v>
      </c>
      <c r="F409" t="s">
        <v>49</v>
      </c>
      <c r="G409" s="80">
        <v>13685</v>
      </c>
      <c r="H409" t="s">
        <v>56</v>
      </c>
      <c r="I409" t="s">
        <v>45</v>
      </c>
    </row>
    <row r="410" spans="3:9" x14ac:dyDescent="0.25">
      <c r="C410" t="s">
        <v>46</v>
      </c>
      <c r="D410" t="s">
        <v>51</v>
      </c>
      <c r="E410" t="s">
        <v>48</v>
      </c>
      <c r="F410" t="s">
        <v>40</v>
      </c>
      <c r="G410" s="80">
        <v>742064</v>
      </c>
      <c r="H410" t="s">
        <v>62</v>
      </c>
      <c r="I410" t="s">
        <v>45</v>
      </c>
    </row>
    <row r="411" spans="3:9" x14ac:dyDescent="0.25">
      <c r="C411" t="s">
        <v>46</v>
      </c>
      <c r="D411" t="s">
        <v>42</v>
      </c>
      <c r="E411" t="s">
        <v>43</v>
      </c>
      <c r="F411" t="s">
        <v>49</v>
      </c>
      <c r="G411" s="80">
        <v>2898377</v>
      </c>
      <c r="H411" t="s">
        <v>41</v>
      </c>
      <c r="I411" t="s">
        <v>41</v>
      </c>
    </row>
    <row r="412" spans="3:9" x14ac:dyDescent="0.25">
      <c r="C412" t="s">
        <v>46</v>
      </c>
      <c r="D412" t="s">
        <v>50</v>
      </c>
      <c r="E412" t="s">
        <v>58</v>
      </c>
      <c r="F412" t="s">
        <v>40</v>
      </c>
      <c r="G412" s="80">
        <v>1029044</v>
      </c>
      <c r="H412" t="s">
        <v>41</v>
      </c>
      <c r="I412" t="s">
        <v>45</v>
      </c>
    </row>
    <row r="413" spans="3:9" x14ac:dyDescent="0.25">
      <c r="C413" t="s">
        <v>37</v>
      </c>
      <c r="D413" t="s">
        <v>63</v>
      </c>
      <c r="E413" t="s">
        <v>63</v>
      </c>
      <c r="F413" t="s">
        <v>40</v>
      </c>
      <c r="G413" s="80">
        <v>4229707</v>
      </c>
      <c r="H413" t="s">
        <v>64</v>
      </c>
    </row>
    <row r="414" spans="3:9" x14ac:dyDescent="0.25">
      <c r="C414" t="s">
        <v>46</v>
      </c>
      <c r="D414" t="s">
        <v>38</v>
      </c>
      <c r="E414" t="s">
        <v>39</v>
      </c>
      <c r="F414" t="s">
        <v>49</v>
      </c>
      <c r="G414" s="80">
        <v>862138</v>
      </c>
      <c r="H414" t="s">
        <v>41</v>
      </c>
      <c r="I414" t="s">
        <v>45</v>
      </c>
    </row>
    <row r="415" spans="3:9" x14ac:dyDescent="0.25">
      <c r="C415" t="s">
        <v>46</v>
      </c>
      <c r="D415" t="s">
        <v>55</v>
      </c>
      <c r="E415" t="s">
        <v>43</v>
      </c>
      <c r="F415" t="s">
        <v>49</v>
      </c>
      <c r="G415" s="80">
        <v>25377</v>
      </c>
      <c r="H415" t="s">
        <v>54</v>
      </c>
      <c r="I415" t="s">
        <v>45</v>
      </c>
    </row>
    <row r="416" spans="3:9" x14ac:dyDescent="0.25">
      <c r="C416" t="s">
        <v>46</v>
      </c>
      <c r="D416" t="s">
        <v>60</v>
      </c>
      <c r="E416" t="s">
        <v>48</v>
      </c>
      <c r="F416" t="s">
        <v>40</v>
      </c>
      <c r="G416" s="80">
        <v>132740785</v>
      </c>
      <c r="H416" t="s">
        <v>54</v>
      </c>
      <c r="I416" t="s">
        <v>45</v>
      </c>
    </row>
    <row r="417" spans="3:9" x14ac:dyDescent="0.25">
      <c r="C417" t="s">
        <v>46</v>
      </c>
      <c r="D417" t="s">
        <v>51</v>
      </c>
      <c r="E417" t="s">
        <v>39</v>
      </c>
      <c r="F417" t="s">
        <v>40</v>
      </c>
      <c r="G417" s="80">
        <v>1679065</v>
      </c>
      <c r="H417" t="s">
        <v>41</v>
      </c>
      <c r="I417" t="s">
        <v>41</v>
      </c>
    </row>
    <row r="418" spans="3:9" x14ac:dyDescent="0.25">
      <c r="C418" t="s">
        <v>37</v>
      </c>
      <c r="D418" t="s">
        <v>38</v>
      </c>
      <c r="E418" t="s">
        <v>39</v>
      </c>
      <c r="F418" t="s">
        <v>40</v>
      </c>
      <c r="G418" s="80">
        <v>18671277</v>
      </c>
      <c r="H418" t="s">
        <v>52</v>
      </c>
      <c r="I418" t="s">
        <v>45</v>
      </c>
    </row>
    <row r="419" spans="3:9" x14ac:dyDescent="0.25">
      <c r="C419" t="s">
        <v>37</v>
      </c>
      <c r="D419" t="s">
        <v>47</v>
      </c>
      <c r="E419" t="s">
        <v>48</v>
      </c>
      <c r="F419" t="s">
        <v>40</v>
      </c>
      <c r="G419" s="80">
        <v>2002779</v>
      </c>
      <c r="H419" t="s">
        <v>41</v>
      </c>
      <c r="I419" t="s">
        <v>45</v>
      </c>
    </row>
    <row r="420" spans="3:9" x14ac:dyDescent="0.25">
      <c r="C420" t="s">
        <v>46</v>
      </c>
      <c r="D420" t="s">
        <v>38</v>
      </c>
      <c r="E420" t="s">
        <v>43</v>
      </c>
      <c r="F420" t="s">
        <v>40</v>
      </c>
      <c r="G420" s="80">
        <v>299934463</v>
      </c>
      <c r="H420" t="s">
        <v>41</v>
      </c>
      <c r="I420" t="s">
        <v>41</v>
      </c>
    </row>
    <row r="421" spans="3:9" x14ac:dyDescent="0.25">
      <c r="C421" t="s">
        <v>37</v>
      </c>
      <c r="D421" t="s">
        <v>42</v>
      </c>
      <c r="E421" t="s">
        <v>43</v>
      </c>
      <c r="F421" t="s">
        <v>40</v>
      </c>
      <c r="G421" s="80">
        <v>1478741</v>
      </c>
      <c r="H421" t="s">
        <v>41</v>
      </c>
      <c r="I421" t="s">
        <v>45</v>
      </c>
    </row>
    <row r="422" spans="3:9" x14ac:dyDescent="0.25">
      <c r="C422" t="s">
        <v>46</v>
      </c>
      <c r="D422" t="s">
        <v>47</v>
      </c>
      <c r="E422" t="s">
        <v>39</v>
      </c>
      <c r="F422" t="s">
        <v>40</v>
      </c>
      <c r="G422" s="80">
        <v>303279</v>
      </c>
      <c r="H422" t="s">
        <v>44</v>
      </c>
      <c r="I422" t="s">
        <v>45</v>
      </c>
    </row>
    <row r="423" spans="3:9" x14ac:dyDescent="0.25">
      <c r="C423" t="s">
        <v>37</v>
      </c>
      <c r="D423" t="s">
        <v>55</v>
      </c>
      <c r="E423" t="s">
        <v>39</v>
      </c>
      <c r="F423" t="s">
        <v>40</v>
      </c>
      <c r="G423" s="80">
        <v>4756223</v>
      </c>
      <c r="H423" t="s">
        <v>56</v>
      </c>
      <c r="I423" t="s">
        <v>45</v>
      </c>
    </row>
    <row r="424" spans="3:9" x14ac:dyDescent="0.25">
      <c r="C424" t="s">
        <v>46</v>
      </c>
      <c r="D424" t="s">
        <v>60</v>
      </c>
      <c r="E424" t="s">
        <v>39</v>
      </c>
      <c r="F424" t="s">
        <v>40</v>
      </c>
      <c r="G424" s="80">
        <v>3771647</v>
      </c>
      <c r="H424" t="s">
        <v>44</v>
      </c>
      <c r="I424" t="s">
        <v>45</v>
      </c>
    </row>
    <row r="425" spans="3:9" x14ac:dyDescent="0.25">
      <c r="C425" t="s">
        <v>46</v>
      </c>
      <c r="D425" t="s">
        <v>55</v>
      </c>
      <c r="E425" t="s">
        <v>48</v>
      </c>
      <c r="F425" t="s">
        <v>40</v>
      </c>
      <c r="G425" s="80">
        <v>10814465</v>
      </c>
      <c r="H425" t="s">
        <v>41</v>
      </c>
      <c r="I425" t="s">
        <v>41</v>
      </c>
    </row>
    <row r="426" spans="3:9" x14ac:dyDescent="0.25">
      <c r="C426" t="s">
        <v>37</v>
      </c>
      <c r="D426" t="s">
        <v>55</v>
      </c>
      <c r="E426" t="s">
        <v>58</v>
      </c>
      <c r="F426" t="s">
        <v>40</v>
      </c>
      <c r="G426" s="80">
        <v>2327027</v>
      </c>
      <c r="H426" t="s">
        <v>44</v>
      </c>
      <c r="I426" t="s">
        <v>45</v>
      </c>
    </row>
    <row r="427" spans="3:9" x14ac:dyDescent="0.25">
      <c r="C427" t="s">
        <v>46</v>
      </c>
      <c r="D427" t="s">
        <v>38</v>
      </c>
      <c r="E427" t="s">
        <v>48</v>
      </c>
      <c r="F427" t="s">
        <v>40</v>
      </c>
      <c r="G427" s="80">
        <v>370179551</v>
      </c>
      <c r="H427" t="s">
        <v>56</v>
      </c>
      <c r="I427" t="s">
        <v>45</v>
      </c>
    </row>
    <row r="428" spans="3:9" x14ac:dyDescent="0.25">
      <c r="C428" t="s">
        <v>46</v>
      </c>
      <c r="D428" t="s">
        <v>55</v>
      </c>
      <c r="E428" t="s">
        <v>43</v>
      </c>
      <c r="F428" t="s">
        <v>40</v>
      </c>
      <c r="G428" s="80">
        <v>568450955</v>
      </c>
      <c r="H428" t="s">
        <v>44</v>
      </c>
      <c r="I428" t="s">
        <v>45</v>
      </c>
    </row>
    <row r="429" spans="3:9" x14ac:dyDescent="0.25">
      <c r="C429" t="s">
        <v>46</v>
      </c>
      <c r="D429" t="s">
        <v>50</v>
      </c>
      <c r="E429" t="s">
        <v>58</v>
      </c>
      <c r="F429" t="s">
        <v>40</v>
      </c>
      <c r="G429" s="80">
        <v>8756497</v>
      </c>
      <c r="H429" t="s">
        <v>41</v>
      </c>
      <c r="I429" t="s">
        <v>41</v>
      </c>
    </row>
    <row r="430" spans="3:9" x14ac:dyDescent="0.25">
      <c r="C430" t="s">
        <v>37</v>
      </c>
      <c r="D430" t="s">
        <v>59</v>
      </c>
      <c r="E430" t="s">
        <v>43</v>
      </c>
      <c r="F430" t="s">
        <v>40</v>
      </c>
      <c r="G430" s="80">
        <v>1816600</v>
      </c>
      <c r="H430" t="s">
        <v>44</v>
      </c>
      <c r="I430" t="s">
        <v>45</v>
      </c>
    </row>
    <row r="431" spans="3:9" x14ac:dyDescent="0.25">
      <c r="C431" t="s">
        <v>53</v>
      </c>
      <c r="D431" t="s">
        <v>42</v>
      </c>
      <c r="E431" t="s">
        <v>39</v>
      </c>
      <c r="F431" t="s">
        <v>40</v>
      </c>
      <c r="G431" s="80">
        <v>107161</v>
      </c>
      <c r="H431" t="s">
        <v>54</v>
      </c>
      <c r="I431" t="s">
        <v>45</v>
      </c>
    </row>
    <row r="432" spans="3:9" x14ac:dyDescent="0.25">
      <c r="C432" t="s">
        <v>53</v>
      </c>
      <c r="D432" t="s">
        <v>47</v>
      </c>
      <c r="E432" t="s">
        <v>39</v>
      </c>
      <c r="F432" t="s">
        <v>40</v>
      </c>
      <c r="G432" s="80">
        <v>71091</v>
      </c>
      <c r="H432" t="s">
        <v>44</v>
      </c>
      <c r="I432" t="s">
        <v>45</v>
      </c>
    </row>
    <row r="433" spans="3:9" x14ac:dyDescent="0.25">
      <c r="C433" t="s">
        <v>53</v>
      </c>
      <c r="D433" t="s">
        <v>50</v>
      </c>
      <c r="E433" t="s">
        <v>39</v>
      </c>
      <c r="F433" t="s">
        <v>40</v>
      </c>
      <c r="G433" s="80">
        <v>16930</v>
      </c>
      <c r="H433" t="s">
        <v>52</v>
      </c>
      <c r="I433" t="s">
        <v>45</v>
      </c>
    </row>
    <row r="434" spans="3:9" x14ac:dyDescent="0.25">
      <c r="C434" t="s">
        <v>46</v>
      </c>
      <c r="D434" t="s">
        <v>42</v>
      </c>
      <c r="E434" t="s">
        <v>39</v>
      </c>
      <c r="F434" t="s">
        <v>40</v>
      </c>
      <c r="G434" s="80">
        <v>100281368</v>
      </c>
      <c r="H434" t="s">
        <v>56</v>
      </c>
      <c r="I434" t="s">
        <v>45</v>
      </c>
    </row>
    <row r="435" spans="3:9" x14ac:dyDescent="0.25">
      <c r="C435" t="s">
        <v>37</v>
      </c>
      <c r="D435" t="s">
        <v>47</v>
      </c>
      <c r="E435" t="s">
        <v>48</v>
      </c>
      <c r="F435" t="s">
        <v>40</v>
      </c>
      <c r="G435" s="80">
        <v>1575225</v>
      </c>
      <c r="H435" t="s">
        <v>41</v>
      </c>
      <c r="I435" t="s">
        <v>41</v>
      </c>
    </row>
    <row r="436" spans="3:9" x14ac:dyDescent="0.25">
      <c r="C436" t="s">
        <v>46</v>
      </c>
      <c r="D436" t="s">
        <v>59</v>
      </c>
      <c r="E436" t="s">
        <v>58</v>
      </c>
      <c r="F436" t="s">
        <v>40</v>
      </c>
      <c r="G436" s="80">
        <v>192019</v>
      </c>
      <c r="H436" t="s">
        <v>44</v>
      </c>
      <c r="I436" t="s">
        <v>45</v>
      </c>
    </row>
    <row r="437" spans="3:9" x14ac:dyDescent="0.25">
      <c r="C437" t="s">
        <v>46</v>
      </c>
      <c r="D437" t="s">
        <v>57</v>
      </c>
      <c r="E437" t="s">
        <v>48</v>
      </c>
      <c r="F437" t="s">
        <v>49</v>
      </c>
      <c r="G437" s="80">
        <v>108585</v>
      </c>
      <c r="H437" t="s">
        <v>54</v>
      </c>
      <c r="I437" t="s">
        <v>45</v>
      </c>
    </row>
    <row r="438" spans="3:9" x14ac:dyDescent="0.25">
      <c r="C438" t="s">
        <v>46</v>
      </c>
      <c r="D438" t="s">
        <v>47</v>
      </c>
      <c r="E438" t="s">
        <v>48</v>
      </c>
      <c r="F438" t="s">
        <v>40</v>
      </c>
      <c r="G438" s="80">
        <v>77244927</v>
      </c>
      <c r="H438" t="s">
        <v>54</v>
      </c>
      <c r="I438" t="s">
        <v>45</v>
      </c>
    </row>
    <row r="439" spans="3:9" x14ac:dyDescent="0.25">
      <c r="C439" t="s">
        <v>46</v>
      </c>
      <c r="D439" t="s">
        <v>42</v>
      </c>
      <c r="E439" t="s">
        <v>39</v>
      </c>
      <c r="F439" t="s">
        <v>40</v>
      </c>
      <c r="G439" s="80">
        <v>452929070</v>
      </c>
      <c r="H439" t="s">
        <v>44</v>
      </c>
      <c r="I439" t="s">
        <v>45</v>
      </c>
    </row>
    <row r="440" spans="3:9" x14ac:dyDescent="0.25">
      <c r="C440" t="s">
        <v>46</v>
      </c>
      <c r="D440" t="s">
        <v>38</v>
      </c>
      <c r="E440" t="s">
        <v>48</v>
      </c>
      <c r="F440" t="s">
        <v>49</v>
      </c>
      <c r="G440" s="80">
        <v>363595</v>
      </c>
      <c r="H440" t="s">
        <v>41</v>
      </c>
      <c r="I440" t="s">
        <v>45</v>
      </c>
    </row>
    <row r="441" spans="3:9" x14ac:dyDescent="0.25">
      <c r="C441" t="s">
        <v>46</v>
      </c>
      <c r="D441" t="s">
        <v>42</v>
      </c>
      <c r="E441" t="s">
        <v>48</v>
      </c>
      <c r="F441" t="s">
        <v>40</v>
      </c>
      <c r="G441" s="80">
        <v>7239372</v>
      </c>
      <c r="H441" t="s">
        <v>54</v>
      </c>
      <c r="I441" t="s">
        <v>45</v>
      </c>
    </row>
    <row r="442" spans="3:9" x14ac:dyDescent="0.25">
      <c r="C442" t="s">
        <v>37</v>
      </c>
      <c r="D442" t="s">
        <v>60</v>
      </c>
      <c r="E442" t="s">
        <v>43</v>
      </c>
      <c r="F442" t="s">
        <v>40</v>
      </c>
      <c r="G442" s="80">
        <v>189521</v>
      </c>
      <c r="H442" t="s">
        <v>52</v>
      </c>
      <c r="I442" t="s">
        <v>45</v>
      </c>
    </row>
    <row r="443" spans="3:9" x14ac:dyDescent="0.25">
      <c r="C443" t="s">
        <v>53</v>
      </c>
      <c r="D443" t="s">
        <v>38</v>
      </c>
      <c r="E443" t="s">
        <v>39</v>
      </c>
      <c r="F443" t="s">
        <v>40</v>
      </c>
      <c r="G443" s="80">
        <v>15623</v>
      </c>
      <c r="H443" t="s">
        <v>54</v>
      </c>
      <c r="I443" t="s">
        <v>45</v>
      </c>
    </row>
    <row r="444" spans="3:9" x14ac:dyDescent="0.25">
      <c r="C444" t="s">
        <v>46</v>
      </c>
      <c r="D444" t="s">
        <v>51</v>
      </c>
      <c r="E444" t="s">
        <v>58</v>
      </c>
      <c r="F444" t="s">
        <v>40</v>
      </c>
      <c r="G444" s="80">
        <v>193052</v>
      </c>
      <c r="H444" t="s">
        <v>41</v>
      </c>
      <c r="I444" t="s">
        <v>41</v>
      </c>
    </row>
    <row r="445" spans="3:9" x14ac:dyDescent="0.25">
      <c r="C445" t="s">
        <v>46</v>
      </c>
      <c r="D445" t="s">
        <v>57</v>
      </c>
      <c r="E445" t="s">
        <v>43</v>
      </c>
      <c r="F445" t="s">
        <v>40</v>
      </c>
      <c r="G445" s="80">
        <v>2516194</v>
      </c>
      <c r="H445" t="s">
        <v>41</v>
      </c>
      <c r="I445" t="s">
        <v>41</v>
      </c>
    </row>
    <row r="446" spans="3:9" x14ac:dyDescent="0.25">
      <c r="C446" t="s">
        <v>46</v>
      </c>
      <c r="D446" t="s">
        <v>50</v>
      </c>
      <c r="E446" t="s">
        <v>48</v>
      </c>
      <c r="F446" t="s">
        <v>40</v>
      </c>
      <c r="G446" s="80">
        <v>866395394</v>
      </c>
      <c r="H446" t="s">
        <v>54</v>
      </c>
      <c r="I446" t="s">
        <v>45</v>
      </c>
    </row>
    <row r="447" spans="3:9" x14ac:dyDescent="0.25">
      <c r="C447" t="s">
        <v>46</v>
      </c>
      <c r="D447" t="s">
        <v>55</v>
      </c>
      <c r="E447" t="s">
        <v>58</v>
      </c>
      <c r="F447" t="s">
        <v>49</v>
      </c>
      <c r="G447" s="80">
        <v>111199</v>
      </c>
      <c r="H447" t="s">
        <v>41</v>
      </c>
      <c r="I447" t="s">
        <v>45</v>
      </c>
    </row>
    <row r="448" spans="3:9" x14ac:dyDescent="0.25">
      <c r="C448" t="s">
        <v>37</v>
      </c>
      <c r="D448" t="s">
        <v>59</v>
      </c>
      <c r="E448" t="s">
        <v>43</v>
      </c>
      <c r="F448" t="s">
        <v>40</v>
      </c>
      <c r="G448" s="80">
        <v>6564229</v>
      </c>
      <c r="H448" t="s">
        <v>56</v>
      </c>
      <c r="I448" t="s">
        <v>45</v>
      </c>
    </row>
    <row r="449" spans="3:9" x14ac:dyDescent="0.25">
      <c r="C449" t="s">
        <v>46</v>
      </c>
      <c r="D449" t="s">
        <v>51</v>
      </c>
      <c r="E449" t="s">
        <v>48</v>
      </c>
      <c r="F449" t="s">
        <v>40</v>
      </c>
      <c r="G449" s="80">
        <v>376699281</v>
      </c>
      <c r="H449" t="s">
        <v>44</v>
      </c>
      <c r="I449" t="s">
        <v>45</v>
      </c>
    </row>
    <row r="450" spans="3:9" x14ac:dyDescent="0.25">
      <c r="C450" t="s">
        <v>46</v>
      </c>
      <c r="D450" t="s">
        <v>51</v>
      </c>
      <c r="E450" t="s">
        <v>48</v>
      </c>
      <c r="F450" t="s">
        <v>40</v>
      </c>
      <c r="G450" s="80">
        <v>962822449</v>
      </c>
      <c r="H450" t="s">
        <v>41</v>
      </c>
      <c r="I450" t="s">
        <v>45</v>
      </c>
    </row>
    <row r="451" spans="3:9" x14ac:dyDescent="0.25">
      <c r="C451" t="s">
        <v>46</v>
      </c>
      <c r="D451" t="s">
        <v>38</v>
      </c>
      <c r="E451" t="s">
        <v>43</v>
      </c>
      <c r="F451" t="s">
        <v>40</v>
      </c>
      <c r="G451" s="80">
        <v>40812760</v>
      </c>
      <c r="H451" t="s">
        <v>41</v>
      </c>
      <c r="I451" t="s">
        <v>45</v>
      </c>
    </row>
    <row r="452" spans="3:9" x14ac:dyDescent="0.25">
      <c r="C452" t="s">
        <v>46</v>
      </c>
      <c r="D452" t="s">
        <v>57</v>
      </c>
      <c r="E452" t="s">
        <v>48</v>
      </c>
      <c r="F452" t="s">
        <v>49</v>
      </c>
      <c r="G452" s="80">
        <v>777329</v>
      </c>
      <c r="H452" t="s">
        <v>41</v>
      </c>
      <c r="I452" t="s">
        <v>45</v>
      </c>
    </row>
  </sheetData>
  <autoFilter ref="C6:I451" xr:uid="{00000000-0009-0000-0000-000002000000}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X20"/>
  <sheetViews>
    <sheetView topLeftCell="C1" zoomScale="90" zoomScaleNormal="90" workbookViewId="0">
      <selection activeCell="S8" sqref="S8"/>
    </sheetView>
  </sheetViews>
  <sheetFormatPr defaultColWidth="8.85546875" defaultRowHeight="15" x14ac:dyDescent="0.25"/>
  <cols>
    <col min="1" max="1" width="3.7109375" style="8" customWidth="1"/>
    <col min="2" max="2" width="3" style="8" bestFit="1" customWidth="1"/>
    <col min="3" max="3" width="84.28515625" style="8" bestFit="1" customWidth="1"/>
    <col min="4" max="6" width="13.42578125" style="8" bestFit="1" customWidth="1"/>
    <col min="7" max="7" width="12.28515625" style="8" bestFit="1" customWidth="1"/>
    <col min="8" max="8" width="11.5703125" style="8" bestFit="1" customWidth="1"/>
    <col min="9" max="9" width="11.140625" style="8" bestFit="1" customWidth="1"/>
    <col min="10" max="10" width="10.42578125" style="8" bestFit="1" customWidth="1"/>
    <col min="11" max="11" width="13.42578125" style="8" bestFit="1" customWidth="1"/>
    <col min="12" max="15" width="12.28515625" style="8" bestFit="1" customWidth="1"/>
    <col min="16" max="16" width="11.28515625" style="8" customWidth="1"/>
    <col min="17" max="17" width="11.5703125" style="8" customWidth="1"/>
    <col min="18" max="18" width="13.42578125" style="8" bestFit="1" customWidth="1"/>
    <col min="19" max="19" width="27.42578125" style="8" bestFit="1" customWidth="1"/>
    <col min="20" max="16384" width="8.85546875" style="8"/>
  </cols>
  <sheetData>
    <row r="1" spans="1:24" s="1" customFormat="1" ht="12.75" x14ac:dyDescent="0.2">
      <c r="D1" s="6"/>
      <c r="E1" s="6"/>
    </row>
    <row r="2" spans="1:24" s="1" customFormat="1" x14ac:dyDescent="0.25">
      <c r="C2" s="2" t="s">
        <v>67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2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2.75" x14ac:dyDescent="0.2"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  <c r="L4" s="3" t="s">
        <v>76</v>
      </c>
      <c r="M4" s="3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</row>
    <row r="5" spans="1:24" s="1" customFormat="1" ht="24" customHeight="1" x14ac:dyDescent="0.2">
      <c r="C5" s="4" t="s">
        <v>84</v>
      </c>
      <c r="D5" s="77" t="s">
        <v>85</v>
      </c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9"/>
      <c r="T5" s="9"/>
    </row>
    <row r="6" spans="1:24" s="1" customFormat="1" ht="24" customHeight="1" x14ac:dyDescent="0.2">
      <c r="C6" s="10"/>
      <c r="D6" s="11"/>
      <c r="E6" s="74" t="s">
        <v>86</v>
      </c>
      <c r="F6" s="75"/>
      <c r="G6" s="75"/>
      <c r="H6" s="75"/>
      <c r="I6" s="75"/>
      <c r="J6" s="75"/>
      <c r="K6" s="74" t="s">
        <v>87</v>
      </c>
      <c r="L6" s="75"/>
      <c r="M6" s="75"/>
      <c r="N6" s="75"/>
      <c r="O6" s="75"/>
      <c r="P6" s="75"/>
      <c r="Q6" s="76"/>
      <c r="R6" s="77" t="s">
        <v>88</v>
      </c>
      <c r="S6" s="79"/>
      <c r="T6" s="9"/>
    </row>
    <row r="7" spans="1:24" s="1" customFormat="1" ht="43.7" customHeight="1" x14ac:dyDescent="0.2">
      <c r="C7" s="5"/>
      <c r="D7" s="12"/>
      <c r="E7" s="13" t="s">
        <v>89</v>
      </c>
      <c r="F7" s="13" t="s">
        <v>90</v>
      </c>
      <c r="G7" s="13" t="s">
        <v>91</v>
      </c>
      <c r="H7" s="13" t="s">
        <v>92</v>
      </c>
      <c r="I7" s="13" t="s">
        <v>93</v>
      </c>
      <c r="J7" s="13" t="s">
        <v>94</v>
      </c>
      <c r="K7" s="12" t="s">
        <v>51</v>
      </c>
      <c r="L7" s="12" t="s">
        <v>47</v>
      </c>
      <c r="M7" s="12" t="s">
        <v>50</v>
      </c>
      <c r="N7" s="12" t="s">
        <v>38</v>
      </c>
      <c r="O7" s="12" t="s">
        <v>42</v>
      </c>
      <c r="P7" s="12" t="s">
        <v>55</v>
      </c>
      <c r="Q7" s="12" t="s">
        <v>59</v>
      </c>
      <c r="R7" s="14"/>
      <c r="S7" s="18" t="s">
        <v>95</v>
      </c>
      <c r="T7" s="9"/>
    </row>
    <row r="8" spans="1:24" s="1" customFormat="1" ht="12.75" x14ac:dyDescent="0.2">
      <c r="B8" s="3">
        <v>1</v>
      </c>
      <c r="C8" s="15" t="s">
        <v>96</v>
      </c>
      <c r="D8" s="27">
        <f>SUM(D9:D11)</f>
        <v>27633.929787999998</v>
      </c>
      <c r="E8" s="29">
        <f>+SUM(E9:E11)</f>
        <v>13792.541388</v>
      </c>
      <c r="F8" s="29">
        <f>+SUM(F9:F11)</f>
        <v>10084.407099</v>
      </c>
      <c r="G8" s="29">
        <f>+SUM(G9:G11)</f>
        <v>2768.6093129999995</v>
      </c>
      <c r="H8" s="29">
        <f>+SUM(H9:H11)</f>
        <v>483.94350500000002</v>
      </c>
      <c r="I8" s="29">
        <f t="shared" ref="I8:J8" si="0">+SUM(I9:I11)</f>
        <v>150.47106200000002</v>
      </c>
      <c r="J8" s="29">
        <f t="shared" si="0"/>
        <v>155.09113300000001</v>
      </c>
      <c r="K8" s="27">
        <f>+SUM(K9:K11)</f>
        <v>1979.2468470000001</v>
      </c>
      <c r="L8" s="27">
        <f t="shared" ref="L8:Q8" si="1">+SUM(L9:L11)</f>
        <v>1915.0429549999999</v>
      </c>
      <c r="M8" s="27">
        <f t="shared" si="1"/>
        <v>3603.7220670000002</v>
      </c>
      <c r="N8" s="27">
        <f t="shared" si="1"/>
        <v>3548.703767</v>
      </c>
      <c r="O8" s="27">
        <f t="shared" si="1"/>
        <v>1988.2873520000001</v>
      </c>
      <c r="P8" s="27">
        <f t="shared" si="1"/>
        <v>895.49353699999995</v>
      </c>
      <c r="Q8" s="27">
        <f t="shared" si="1"/>
        <v>2.4870839999999999</v>
      </c>
      <c r="R8" s="27">
        <f>SUM(R9:R11)</f>
        <v>13700.946179</v>
      </c>
      <c r="S8" s="28">
        <f>(SUM(SUMIFS(Input!$G:$G,Input!$C:$C,{"Garantia Comercial";"Garantia Residencial";"Stock"},Input!$H:$H,"&lt;&gt;"&amp;M$18,Input!$H:$H,"&lt;&gt;",Input!$H:$H,"&lt;&gt;"&amp;S$18,Input!$H:$H,"&lt;&gt;"&amp;$M$19,Input!$H:$H,"&lt;&gt;"&amp;$M$20,Input!$F:$F,'Versão estrutural'!$D$18))/1000000)/R8</f>
        <v>0.98462739622152329</v>
      </c>
      <c r="T8" s="9"/>
    </row>
    <row r="9" spans="1:24" s="1" customFormat="1" x14ac:dyDescent="0.25">
      <c r="A9" s="26" t="s">
        <v>37</v>
      </c>
      <c r="B9" s="3">
        <v>2</v>
      </c>
      <c r="C9" s="16" t="s">
        <v>97</v>
      </c>
      <c r="D9" s="27">
        <f>IFERROR(SUMIFS(Input!$G:$G,Input!$C:$C,'Versão estrutural'!$A9,Input!$F:$F,'Versão estrutural'!$D$18)/1000000,0)</f>
        <v>2563.8339449999999</v>
      </c>
      <c r="E9" s="29">
        <f>IFERROR(SUMIFS(Input!$G:$G,Input!$C:$C,'Versão estrutural'!$A9,Input!$E:$E,'Versão estrutural'!E$18,Input!$F:$F,'Versão estrutural'!$D$18)/1000000,0)</f>
        <v>798.70174999999995</v>
      </c>
      <c r="F9" s="29">
        <f>IFERROR(SUMIFS(Input!$G:$G,Input!$C:$C,'Versão estrutural'!$A9,Input!$E:$E,'Versão estrutural'!F$18,Input!$F:$F,'Versão estrutural'!$D$18)/1000000,0)</f>
        <v>1424.9239990000001</v>
      </c>
      <c r="G9" s="29">
        <f>IFERROR(SUMIFS(Input!$G:$G,Input!$C:$C,'Versão estrutural'!$A9,Input!$E:$E,'Versão estrutural'!G$18,Input!$F:$F,'Versão estrutural'!$D$18)/1000000,0)</f>
        <v>166.66696200000001</v>
      </c>
      <c r="H9" s="29">
        <f>IFERROR(SUMIFS(Input!$G:$G,Input!$C:$C,'Versão estrutural'!$A9,Input!$E:$E,'Versão estrutural'!H$18,Input!$F:$F,'Versão estrutural'!$D$18)/1000000,0)</f>
        <v>7.5218530000000001</v>
      </c>
      <c r="I9" s="29">
        <f>IFERROR(SUMIFS(Input!$G:$G,Input!$C:$C,'Versão estrutural'!$A9,Input!$E:$E,'Versão estrutural'!I$18,Input!$F:$F,'Versão estrutural'!$D$18)/1000000,0)</f>
        <v>5.388541</v>
      </c>
      <c r="J9" s="29">
        <f>IFERROR(SUMIFS(Input!$G:$G,Input!$C:$C,'Versão estrutural'!$A9,Input!$E:$E,'Versão estrutural'!J$18,Input!$F:$F,'Versão estrutural'!$D$18)/1000000,0)</f>
        <v>3.0664950000000002</v>
      </c>
      <c r="K9" s="27">
        <f>IFERROR(SUM(SUMIFS(Input!$G:$G,Input!$C:$C,'Versão estrutural'!$A9,Input!$D:$D,'Versão estrutural'!K$7&amp;"*",Input!$H:$H,{"1-REAL";"SANTANDER"},Input!$F:$F,'Versão estrutural'!$D$18))/1000000,0)</f>
        <v>9.4486600000000003</v>
      </c>
      <c r="L9" s="27">
        <f>IFERROR(SUM(SUMIFS(Input!$G:$G,Input!$C:$C,'Versão estrutural'!$A9,Input!$D:$D,'Versão estrutural'!L$7&amp;"*",Input!$H:$H,{"1-REAL";"SANTANDER"},Input!$F:$F,'Versão estrutural'!$D$18))/1000000,0)</f>
        <v>114.58490500000001</v>
      </c>
      <c r="M9" s="27">
        <f>IFERROR(SUM(SUMIFS(Input!$G:$G,Input!$C:$C,'Versão estrutural'!$A9,Input!$D:$D,'Versão estrutural'!M$7,Input!$H:$H,{"1-REAL";"SANTANDER"},Input!$F:$F,'Versão estrutural'!$D$18))/1000000,0)</f>
        <v>94.207357000000002</v>
      </c>
      <c r="N9" s="27">
        <f>IFERROR(SUM(SUMIFS(Input!$G:$G,Input!$C:$C,'Versão estrutural'!$A9,Input!$D:$D,'Versão estrutural'!N$7,Input!$H:$H,{"1-REAL";"SANTANDER"},Input!$F:$F,'Versão estrutural'!$D$18))/1000000,0)</f>
        <v>16.541231</v>
      </c>
      <c r="O9" s="27">
        <f>IFERROR(SUM(SUMIFS(Input!$G:$G,Input!$C:$C,'Versão estrutural'!$A9,Input!$D:$D,'Versão estrutural'!O$7,Input!$H:$H,{"1-REAL";"SANTANDER"},Input!$F:$F,'Versão estrutural'!$D$18))/1000000,0)</f>
        <v>24.165723</v>
      </c>
      <c r="P9" s="27">
        <f>IFERROR(SUM(SUMIFS(Input!$G:$G,Input!$C:$C,'Versão estrutural'!$A9,Input!$D:$D,'Versão estrutural'!P$7,Input!$H:$H,{"1-REAL";"SANTANDER"},Input!$F:$F,'Versão estrutural'!$D$18))/1000000,0)</f>
        <v>11.136725999999999</v>
      </c>
      <c r="Q9" s="27">
        <f>IFERROR(SUM(SUMIFS(Input!$G:$G,Input!$C:$C,'Versão estrutural'!$A9,Input!$D:$D,'Versão estrutural'!Q$7,Input!$H:$H,{"1-REAL";"SANTANDER"},Input!$F:$F,'Versão estrutural'!$D$18))/1000000,0)</f>
        <v>0.104974</v>
      </c>
      <c r="R9" s="27">
        <f>IFERROR(SUMIFS(Input!$G:$G,Input!$C:$C,'Versão estrutural'!A9,Input!$H:$H,"&lt;&gt;"&amp;K$18,Input!$H:$H,"&lt;&gt;"&amp;K$19,Input!$F:$F,'Versão estrutural'!$D$18)/1000000,0)</f>
        <v>2293.6443690000001</v>
      </c>
      <c r="S9" s="28">
        <f>((SUMIFS(Input!$G:$G,Input!$C:$C,$A9,Input!$H:$H,"&lt;&gt;"&amp;M$18,Input!$H:$H,"&lt;&gt;",Input!$H:$H,"&lt;&gt;"&amp;S$18,Input!$H:$H,"&lt;&gt;"&amp;$M$19,Input!$H:$H,"&lt;&gt;"&amp;$M$20,Input!$F:$F,'Versão estrutural'!$D$18))/1000000)/R9</f>
        <v>0.93130393397966216</v>
      </c>
      <c r="T9" s="9"/>
    </row>
    <row r="10" spans="1:24" s="1" customFormat="1" x14ac:dyDescent="0.25">
      <c r="A10" s="26" t="s">
        <v>46</v>
      </c>
      <c r="B10" s="3">
        <v>3</v>
      </c>
      <c r="C10" s="16" t="s">
        <v>98</v>
      </c>
      <c r="D10" s="27">
        <f>IFERROR(SUMIFS(Input!$G:$G,Input!$C:$C,'Versão estrutural'!$A10,Input!$F:$F,'Versão estrutural'!$D$18)/1000000,0)</f>
        <v>25026.353698999999</v>
      </c>
      <c r="E10" s="29">
        <f>IFERROR(SUMIFS(Input!$G:$G,Input!$C:$C,'Versão estrutural'!$A10,Input!$E:$E,'Versão estrutural'!E$18,Input!$F:$F,'Versão estrutural'!$D$18)/1000000,0)</f>
        <v>12978.436447</v>
      </c>
      <c r="F10" s="29">
        <f>IFERROR(SUMIFS(Input!$G:$G,Input!$C:$C,'Versão estrutural'!$A10,Input!$E:$E,'Versão estrutural'!F$18,Input!$F:$F,'Versão estrutural'!$D$18)/1000000,0)</f>
        <v>8636.3306379999995</v>
      </c>
      <c r="G10" s="29">
        <f>IFERROR(SUMIFS(Input!$G:$G,Input!$C:$C,'Versão estrutural'!$A10,Input!$E:$E,'Versão estrutural'!G$18,Input!$F:$F,'Versão estrutural'!$D$18)/1000000,0)</f>
        <v>2599.8877459999999</v>
      </c>
      <c r="H10" s="29">
        <f>IFERROR(SUMIFS(Input!$G:$G,Input!$C:$C,'Versão estrutural'!$A10,Input!$E:$E,'Versão estrutural'!H$18,Input!$F:$F,'Versão estrutural'!$D$18)/1000000,0)</f>
        <v>476.21017000000001</v>
      </c>
      <c r="I10" s="29">
        <f>IFERROR(SUMIFS(Input!$G:$G,Input!$C:$C,'Versão estrutural'!$A10,Input!$E:$E,'Versão estrutural'!I$18,Input!$F:$F,'Versão estrutural'!$D$18)/1000000,0)</f>
        <v>145.08252100000001</v>
      </c>
      <c r="J10" s="29">
        <f>IFERROR(SUMIFS(Input!$G:$G,Input!$C:$C,'Versão estrutural'!$A10,Input!$E:$E,'Versão estrutural'!J$18,Input!$F:$F,'Versão estrutural'!$D$18)/1000000,0)</f>
        <v>152.02463800000001</v>
      </c>
      <c r="K10" s="27">
        <f>IFERROR(SUM(SUMIFS(Input!$G:$G,Input!$C:$C,'Versão estrutural'!$A10,Input!$D:$D,'Versão estrutural'!K$7&amp;"*",Input!$H:$H,{"1-REAL";"SANTANDER"},Input!$F:$F,'Versão estrutural'!$D$18))/1000000,0)</f>
        <v>1969.7981870000001</v>
      </c>
      <c r="L10" s="27">
        <f>IFERROR(SUM(SUMIFS(Input!$G:$G,Input!$C:$C,'Versão estrutural'!$A10,Input!$D:$D,'Versão estrutural'!L$7&amp;"*",Input!$H:$H,{"1-REAL";"SANTANDER"},Input!$F:$F,'Versão estrutural'!$D$18))/1000000,0)</f>
        <v>1800.274488</v>
      </c>
      <c r="M10" s="27">
        <f>IFERROR(SUM(SUMIFS(Input!$G:$G,Input!$C:$C,'Versão estrutural'!$A10,Input!$D:$D,'Versão estrutural'!M$7,Input!$H:$H,{"1-REAL";"SANTANDER"},Input!$F:$F,'Versão estrutural'!$D$18))/1000000,0)</f>
        <v>3509.1247600000002</v>
      </c>
      <c r="N10" s="27">
        <f>IFERROR(SUM(SUMIFS(Input!$G:$G,Input!$C:$C,'Versão estrutural'!$A10,Input!$D:$D,'Versão estrutural'!N$7,Input!$H:$H,{"1-REAL";"SANTANDER"},Input!$F:$F,'Versão estrutural'!$D$18))/1000000,0)</f>
        <v>3531.9053859999999</v>
      </c>
      <c r="O10" s="27">
        <f>IFERROR(SUM(SUMIFS(Input!$G:$G,Input!$C:$C,'Versão estrutural'!$A10,Input!$D:$D,'Versão estrutural'!O$7,Input!$H:$H,{"1-REAL";"SANTANDER"},Input!$F:$F,'Versão estrutural'!$D$18))/1000000,0)</f>
        <v>1963.9178790000001</v>
      </c>
      <c r="P10" s="27">
        <f>IFERROR(SUM(SUMIFS(Input!$G:$G,Input!$C:$C,'Versão estrutural'!$A10,Input!$D:$D,'Versão estrutural'!P$7,Input!$H:$H,{"1-REAL";"SANTANDER"},Input!$F:$F,'Versão estrutural'!$D$18))/1000000,0)</f>
        <v>883.77738999999997</v>
      </c>
      <c r="Q10" s="27">
        <f>IFERROR(SUM(SUMIFS(Input!$G:$G,Input!$C:$C,'Versão estrutural'!$A10,Input!$D:$D,'Versão estrutural'!Q$7,Input!$H:$H,{"1-REAL";"SANTANDER"},Input!$F:$F,'Versão estrutural'!$D$18))/1000000,0)</f>
        <v>2.3821099999999999</v>
      </c>
      <c r="R10" s="27">
        <f>IFERROR(SUMIFS(Input!$G:$G,Input!$C:$C,'Versão estrutural'!A10,Input!$H:$H,"&lt;&gt;"&amp;K$18,Input!$H:$H,"&lt;&gt;"&amp;K$19,Input!$F:$F,'Versão estrutural'!$D$18)/1000000,0)</f>
        <v>11365.173499</v>
      </c>
      <c r="S10" s="28">
        <f>((SUMIFS(Input!$G:$G,Input!$C:$C,$A10,Input!$H:$H,"&lt;&gt;"&amp;M$18,Input!$H:$H,"&lt;&gt;",Input!$H:$H,"&lt;&gt;"&amp;S$18,Input!$H:$H,"&lt;&gt;"&amp;$M$19,Input!$H:$H,"&lt;&gt;"&amp;$M$20,Input!$F:$F,'Versão estrutural'!$D$18))/1000000)/R10</f>
        <v>0.99558876351474868</v>
      </c>
      <c r="T10" s="9"/>
    </row>
    <row r="11" spans="1:24" s="1" customFormat="1" x14ac:dyDescent="0.25">
      <c r="A11" s="26" t="s">
        <v>53</v>
      </c>
      <c r="B11" s="3">
        <v>4</v>
      </c>
      <c r="C11" s="16" t="s">
        <v>99</v>
      </c>
      <c r="D11" s="27">
        <f>IFERROR(SUMIFS(Input!$G:$G,Input!$C:$C,'Versão estrutural'!$A11,Input!$F:$F,'Versão estrutural'!$D$18)/1000000,0)</f>
        <v>43.742144000000003</v>
      </c>
      <c r="E11" s="29">
        <f>IFERROR(SUMIFS(Input!$G:$G,Input!$C:$C,'Versão estrutural'!$A11,Input!$E:$E,'Versão estrutural'!E$18,Input!$F:$F,'Versão estrutural'!$D$18)/1000000,0)</f>
        <v>15.403191</v>
      </c>
      <c r="F11" s="29">
        <f>IFERROR(SUMIFS(Input!$G:$G,Input!$C:$C,'Versão estrutural'!$A11,Input!$E:$E,'Versão estrutural'!F$18,Input!$F:$F,'Versão estrutural'!$D$18)/1000000,0)</f>
        <v>23.152462</v>
      </c>
      <c r="G11" s="29">
        <f>IFERROR(SUMIFS(Input!$G:$G,Input!$C:$C,'Versão estrutural'!$A11,Input!$E:$E,'Versão estrutural'!G$18,Input!$F:$F,'Versão estrutural'!$D$18)/1000000,0)</f>
        <v>2.054605</v>
      </c>
      <c r="H11" s="29">
        <f>IFERROR(SUMIFS(Input!$G:$G,Input!$C:$C,'Versão estrutural'!$A11,Input!$E:$E,'Versão estrutural'!H$18,Input!$F:$F,'Versão estrutural'!$D$18)/1000000,0)</f>
        <v>0.211482</v>
      </c>
      <c r="I11" s="29">
        <f>IFERROR(SUMIFS(Input!$G:$G,Input!$C:$C,'Versão estrutural'!$A11,Input!$E:$E,'Versão estrutural'!I$18,Input!$F:$F,'Versão estrutural'!$D$18)/1000000,0)</f>
        <v>0</v>
      </c>
      <c r="J11" s="29">
        <f>IFERROR(SUMIFS(Input!$G:$G,Input!$C:$C,'Versão estrutural'!$A11,Input!$E:$E,'Versão estrutural'!J$18,Input!$F:$F,'Versão estrutural'!$D$18)/1000000,0)</f>
        <v>0</v>
      </c>
      <c r="K11" s="27">
        <f>IFERROR(SUM(SUMIFS(Input!$G:$G,Input!$C:$C,'Versão estrutural'!$A11,Input!$D:$D,'Versão estrutural'!K$7&amp;"*",Input!$H:$H,{"1-REAL";"SANTANDER"},Input!$F:$F,'Versão estrutural'!$D$18))/1000000,0)</f>
        <v>0</v>
      </c>
      <c r="L11" s="27">
        <f>IFERROR(SUM(SUMIFS(Input!$G:$G,Input!$C:$C,'Versão estrutural'!$A11,Input!$D:$D,'Versão estrutural'!L$7&amp;"*",Input!$H:$H,{"1-REAL";"SANTANDER"},Input!$F:$F,'Versão estrutural'!$D$18))/1000000,0)</f>
        <v>0.183562</v>
      </c>
      <c r="M11" s="27">
        <f>IFERROR(SUM(SUMIFS(Input!$G:$G,Input!$C:$C,'Versão estrutural'!$A11,Input!$D:$D,'Versão estrutural'!M$7,Input!$H:$H,{"1-REAL";"SANTANDER"},Input!$F:$F,'Versão estrutural'!$D$18))/1000000,0)</f>
        <v>0.38995000000000002</v>
      </c>
      <c r="N11" s="27">
        <f>IFERROR(SUM(SUMIFS(Input!$G:$G,Input!$C:$C,'Versão estrutural'!$A11,Input!$D:$D,'Versão estrutural'!N$7,Input!$H:$H,{"1-REAL";"SANTANDER"},Input!$F:$F,'Versão estrutural'!$D$18))/1000000,0)</f>
        <v>0.25714999999999999</v>
      </c>
      <c r="O11" s="27">
        <f>IFERROR(SUM(SUMIFS(Input!$G:$G,Input!$C:$C,'Versão estrutural'!$A11,Input!$D:$D,'Versão estrutural'!O$7,Input!$H:$H,{"1-REAL";"SANTANDER"},Input!$F:$F,'Versão estrutural'!$D$18))/1000000,0)</f>
        <v>0.20374999999999999</v>
      </c>
      <c r="P11" s="27">
        <f>IFERROR(SUM(SUMIFS(Input!$G:$G,Input!$C:$C,'Versão estrutural'!$A11,Input!$D:$D,'Versão estrutural'!P$7,Input!$H:$H,{"1-REAL";"SANTANDER"},Input!$F:$F,'Versão estrutural'!$D$18))/1000000,0)</f>
        <v>0.57942099999999996</v>
      </c>
      <c r="Q11" s="27">
        <f>IFERROR(SUM(SUMIFS(Input!$G:$G,Input!$C:$C,'Versão estrutural'!$A11,Input!$D:$D,'Versão estrutural'!Q$7,Input!$H:$H,{"1-REAL";"SANTANDER"},Input!$F:$F,'Versão estrutural'!$D$18))/1000000,0)</f>
        <v>0</v>
      </c>
      <c r="R11" s="27">
        <f>IFERROR(SUMIFS(Input!$G:$G,Input!$C:$C,'Versão estrutural'!A11,Input!$H:$H,"&lt;&gt;"&amp;K$18,Input!$H:$H,"&lt;&gt;"&amp;K$19,Input!$F:$F,'Versão estrutural'!$D$18)/1000000,0)</f>
        <v>42.128310999999997</v>
      </c>
      <c r="S11" s="28">
        <f>IFERROR(((SUMIFS(Input!$G:$G,Input!$C:$C,$A11,Input!$H:$H,"&lt;&gt;"&amp;M$18,Input!$H:$H,"&lt;&gt;",Input!$H:$H,"&lt;&gt;"&amp;S$18,Input!$H:$H,"&lt;&gt;"&amp;$M$19,Input!$H:$H,"&lt;&gt;"&amp;$M$20,Input!$F:$F,'Versão estrutural'!$D$18))/1000000)/R11,0)</f>
        <v>0.93067835071764449</v>
      </c>
      <c r="T11" s="9"/>
    </row>
    <row r="12" spans="1:24" s="1" customFormat="1" x14ac:dyDescent="0.25">
      <c r="A12" s="26" t="s">
        <v>63</v>
      </c>
      <c r="B12" s="3">
        <v>5</v>
      </c>
      <c r="C12" s="17" t="s">
        <v>100</v>
      </c>
      <c r="D12" s="27">
        <f>IFERROR(SUM(SUMIFS(Input!G:G,Input!C:C,{"Garantia Comercial";"Garantia Residencial";"Stock"},Input!$I:$I,$E$19,Input!E:E,"&lt;&gt;"&amp;'Versão estrutural'!$A12,Input!$F:$F,'Versão estrutural'!$D$18))/1000000,0)</f>
        <v>24224.919099999999</v>
      </c>
      <c r="E12" s="29">
        <f>IFERROR(SUM(SUMIFS(Input!$G:$G,Input!$C:$C,{"Garantia Comercial";"Garantia Residencial";"Stock"},Input!$I:$I,$E$19,Input!$E:$E,"&lt;&gt;"&amp;$A$12,Input!$E:$E,E$18,Input!$F:$F,'Versão estrutural'!$D$18))/1000000,0)</f>
        <v>12659.435732</v>
      </c>
      <c r="F12" s="29">
        <f>IFERROR(SUM(SUMIFS(Input!$G:$G,Input!$C:$C,{"Garantia Comercial";"Garantia Residencial";"Stock"},Input!$I:$I,$E$19,Input!$E:$E,"&lt;&gt;"&amp;$A$12,Input!$E:$E,F$18,Input!$F:$F,'Versão estrutural'!$D$18))/1000000,0)</f>
        <v>9187.0519839999997</v>
      </c>
      <c r="G12" s="29">
        <f>IFERROR(SUM(SUMIFS(Input!$G:$G,Input!$C:$C,{"Garantia Comercial";"Garantia Residencial";"Stock"},Input!$I:$I,$E$19,Input!$E:$E,"&lt;&gt;"&amp;$A$12,Input!$E:$E,G$18,Input!$F:$F,'Versão estrutural'!$D$18))/1000000,0)</f>
        <v>2196.6248390000001</v>
      </c>
      <c r="H12" s="29">
        <f>IFERROR(SUM(SUMIFS(Input!$G:$G,Input!$C:$C,{"Garantia Comercial";"Garantia Residencial";"Stock"},Input!$I:$I,$E$19,Input!$E:$E,"&lt;&gt;"&amp;$A$12,Input!$E:$E,H$18,Input!$F:$F,'Versão estrutural'!$D$18))/1000000,0)</f>
        <v>178.77964600000001</v>
      </c>
      <c r="I12" s="29">
        <f>IFERROR(SUM(SUMIFS(Input!$G:$G,Input!$C:$C,{"Garantia Comercial";"Garantia Residencial";"Stock"},Input!$I:$I,$E$19,Input!$E:$E,"&lt;&gt;"&amp;$A$12,Input!$E:$E,I$18,Input!$F:$F,'Versão estrutural'!$D$18))/1000000,0)</f>
        <v>1.5296749999999999</v>
      </c>
      <c r="J12" s="29">
        <f>IFERROR(SUM(SUMIFS(Input!$G:$G,Input!$C:$C,{"Garantia Comercial";"Garantia Residencial";"Stock"},Input!$I:$I,$E$19,Input!$E:$E,"&lt;&gt;"&amp;$A$12,Input!$E:$E,J$18,Input!$F:$F,'Versão estrutural'!$D$18))/1000000,0)</f>
        <v>1.4972240000000001</v>
      </c>
      <c r="K12" s="69"/>
      <c r="L12" s="69"/>
      <c r="M12" s="69"/>
      <c r="N12" s="69"/>
      <c r="O12" s="69"/>
      <c r="P12" s="69"/>
      <c r="Q12" s="69"/>
      <c r="R12" s="27">
        <f>IFERROR(SUM(SUMIFS(Input!$G:$G,Input!$C:$C,{"Garantia Comercial";"Garantia Residencial";"Stock"},Input!$I:$I,$E$19,Input!$H:$H,"&lt;&gt;"&amp;M$18,Input!$H:$H,"&lt;&gt;"&amp;$M$19,Input!$E:$E,"&lt;&gt;"&amp;$A$12,Input!$F:$F,'Versão estrutural'!$D$18))/1000000,0)</f>
        <v>13502.72358</v>
      </c>
      <c r="S12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Residencial";"Stock"},Input!$I:$I,$E$19,Input!$H:$H,"&lt;&gt;"&amp;M$18,Input!$H:$H,"&lt;&gt;",Input!$H:$H,"&lt;&gt;"&amp;S$18,Input!$H:$H,"&lt;&gt;"&amp;$M$19,Input!$H:$H,"&lt;&gt;"&amp;$M$20,Input!$F:$F,'Versão estrutural'!$D$18))/1000000)/R12</f>
        <v>0.9990819172201405</v>
      </c>
      <c r="T12" s="9"/>
    </row>
    <row r="13" spans="1:24" s="1" customFormat="1" x14ac:dyDescent="0.25">
      <c r="A13" s="26"/>
      <c r="B13" s="3">
        <v>6</v>
      </c>
      <c r="C13" s="15" t="s">
        <v>101</v>
      </c>
      <c r="D13" s="27">
        <f>SUM(D14:D16)</f>
        <v>88.577770000000001</v>
      </c>
      <c r="E13" s="27">
        <f>+SUM(E14:E16)</f>
        <v>43.182433000000003</v>
      </c>
      <c r="F13" s="27">
        <f>+SUM(F14:F16)</f>
        <v>23.178166000000001</v>
      </c>
      <c r="G13" s="27">
        <f>+SUM(G14:G16)</f>
        <v>10.782109999999999</v>
      </c>
      <c r="H13" s="27">
        <f>+SUM(H14:H16)</f>
        <v>4.8464809999999998</v>
      </c>
      <c r="I13" s="27">
        <f t="shared" ref="I13:J13" si="2">+SUM(I14:I16)</f>
        <v>2.2526109999999999</v>
      </c>
      <c r="J13" s="27">
        <f t="shared" si="2"/>
        <v>2.637988</v>
      </c>
      <c r="K13" s="27">
        <f>+SUM(K14:K16)</f>
        <v>17.907503999999999</v>
      </c>
      <c r="L13" s="27">
        <f t="shared" ref="L13:Q13" si="3">+SUM(L14:L16)</f>
        <v>14.331578</v>
      </c>
      <c r="M13" s="27">
        <f t="shared" si="3"/>
        <v>15.453251</v>
      </c>
      <c r="N13" s="27">
        <f t="shared" si="3"/>
        <v>13.70635</v>
      </c>
      <c r="O13" s="27">
        <f t="shared" si="3"/>
        <v>9.7251270000000005</v>
      </c>
      <c r="P13" s="27">
        <f t="shared" si="3"/>
        <v>4.3852209999999996</v>
      </c>
      <c r="Q13" s="27">
        <f t="shared" si="3"/>
        <v>0</v>
      </c>
      <c r="R13" s="27">
        <f>SUM(R14:R16)</f>
        <v>13.068739000000001</v>
      </c>
      <c r="S13" s="28">
        <f>(SUM(SUMIFS(Input!$G:$G,Input!$C:$C,{"Garantia Comercial";"Garantia Residencial";"Stock"},Input!$H:$H,"&lt;&gt;"&amp;M$18,Input!$H:$H,"&lt;&gt;",Input!$H:$H,"&lt;&gt;"&amp;S$18,Input!$H:$H,"&lt;&gt;"&amp;$M$19,Input!$H:$H,"&lt;&gt;"&amp;$M$20,Input!$F:$F,'Versão estrutural'!$D$19))/1000000)/R13</f>
        <v>0.8700730805014929</v>
      </c>
    </row>
    <row r="14" spans="1:24" x14ac:dyDescent="0.25">
      <c r="A14" s="26" t="s">
        <v>37</v>
      </c>
      <c r="B14" s="3">
        <v>7</v>
      </c>
      <c r="C14" s="16" t="s">
        <v>97</v>
      </c>
      <c r="D14" s="27">
        <f>IFERROR(SUMIFS(Input!$G:$G,Input!$C:$C,'Versão estrutural'!$A14,Input!$F:$F,'Versão estrutural'!$D$19)/1000000,0)</f>
        <v>0</v>
      </c>
      <c r="E14" s="29">
        <f>IFERROR(SUMIFS(Input!$G:$G,Input!$C:$C,'Versão estrutural'!$A14,Input!$E:$E,'Versão estrutural'!E$18,Input!$F:$F,'Versão estrutural'!$D$19)/1000000,0)</f>
        <v>0</v>
      </c>
      <c r="F14" s="29">
        <f>IFERROR(SUMIFS(Input!$G:$G,Input!$C:$C,'Versão estrutural'!$A14,Input!$E:$E,'Versão estrutural'!F$18,Input!$F:$F,'Versão estrutural'!$D$19)/1000000,0)</f>
        <v>0</v>
      </c>
      <c r="G14" s="29">
        <f>IFERROR(SUMIFS(Input!$G:$G,Input!$C:$C,'Versão estrutural'!$A14,Input!$E:$E,'Versão estrutural'!G$18,Input!$F:$F,'Versão estrutural'!$D$19)/1000000,0)</f>
        <v>0</v>
      </c>
      <c r="H14" s="29">
        <f>IFERROR(SUMIFS(Input!$G:$G,Input!$C:$C,'Versão estrutural'!$A14,Input!$E:$E,'Versão estrutural'!H$18,Input!$F:$F,'Versão estrutural'!$D$19)/1000000,0)</f>
        <v>0</v>
      </c>
      <c r="I14" s="29">
        <f>IFERROR(SUMIFS(Input!$G:$G,Input!$C:$C,'Versão estrutural'!$A14,Input!$E:$E,'Versão estrutural'!I$18,Input!$F:$F,'Versão estrutural'!$D$19)/1000000,0)</f>
        <v>0</v>
      </c>
      <c r="J14" s="29">
        <f>IFERROR(SUMIFS(Input!$G:$G,Input!$C:$C,'Versão estrutural'!$A14,Input!$E:$E,'Versão estrutural'!J$18,Input!$F:$F,'Versão estrutural'!$D$19)/1000000,0)</f>
        <v>0</v>
      </c>
      <c r="K14" s="27">
        <f>IFERROR(SUM(SUMIFS(Input!$G:$G,Input!$C:$C,'Versão estrutural'!$A14,Input!$D:$D,'Versão estrutural'!K$7&amp;"*",Input!$H:$H,{"1-REAL";"SANTANDER"},Input!$F:$F,'Versão estrutural'!$D$19))/1000000,0)</f>
        <v>0</v>
      </c>
      <c r="L14" s="27">
        <f>IFERROR(SUM(SUMIFS(Input!$G:$G,Input!$C:$C,'Versão estrutural'!$A14,Input!$D:$D,'Versão estrutural'!L$7&amp;"*",Input!$H:$H,{"1-REAL";"SANTANDER"},Input!$F:$F,'Versão estrutural'!$D$19))/1000000,0)</f>
        <v>0</v>
      </c>
      <c r="M14" s="27">
        <f>IFERROR(SUM(SUMIFS(Input!$G:$G,Input!$C:$C,'Versão estrutural'!$A14,Input!$D:$D,'Versão estrutural'!M$7,Input!$H:$H,{"1-REAL";"SANTANDER"},Input!$F:$F,'Versão estrutural'!$D$19))/1000000,0)</f>
        <v>0</v>
      </c>
      <c r="N14" s="27">
        <f>IFERROR(SUM(SUMIFS(Input!$G:$G,Input!$C:$C,'Versão estrutural'!$A14,Input!$D:$D,'Versão estrutural'!N$7,Input!$H:$H,{"1-REAL";"SANTANDER"},Input!$F:$F,'Versão estrutural'!$D$19))/1000000,0)</f>
        <v>0</v>
      </c>
      <c r="O14" s="27">
        <f>IFERROR(SUM(SUMIFS(Input!$G:$G,Input!$C:$C,'Versão estrutural'!$A14,Input!$D:$D,'Versão estrutural'!O$7,Input!$H:$H,{"1-REAL";"SANTANDER"},Input!$F:$F,'Versão estrutural'!$D$19))/1000000,0)</f>
        <v>0</v>
      </c>
      <c r="P14" s="27">
        <f>IFERROR(SUM(SUMIFS(Input!$G:$G,Input!$C:$C,'Versão estrutural'!$A14,Input!$D:$D,'Versão estrutural'!P$7,Input!$H:$H,{"1-REAL";"SANTANDER"},Input!$F:$F,'Versão estrutural'!$D$19))/1000000,0)</f>
        <v>0</v>
      </c>
      <c r="Q14" s="27">
        <f>IFERROR(SUM(SUMIFS(Input!$G:$G,Input!$C:$C,'Versão estrutural'!$A14,Input!$D:$D,'Versão estrutural'!Q$7,Input!$H:$H,{"1-REAL";"SANTANDER"},Input!$F:$F,'Versão estrutural'!$D$19))/1000000,0)</f>
        <v>0</v>
      </c>
      <c r="R14" s="27">
        <f>IFERROR(SUMIFS(Input!$G:$G,Input!$C:$C,'Versão estrutural'!A14,Input!$H:$H,"&lt;&gt;"&amp;K$18,Input!$H:$H,"&lt;&gt;"&amp;K$19,Input!$F:$F,'Versão estrutural'!$D$19)/1000000,0)</f>
        <v>0</v>
      </c>
      <c r="S14" s="28">
        <f>IFERROR(((SUMIFS(Input!$G:$G,Input!$C:$C,$A14,Input!$H:$H,"&lt;&gt;"&amp;M$18,Input!$H:$H,"&lt;&gt;",Input!$H:$H,"&lt;&gt;"&amp;S$18,Input!$H:$H,"&lt;&gt;"&amp;$M$19,Input!$H:$H,"&lt;&gt;"&amp;$M$20,Input!$F:$F,'Versão estrutural'!$D$19))/1000000)/R14,0)</f>
        <v>0</v>
      </c>
    </row>
    <row r="15" spans="1:24" x14ac:dyDescent="0.25">
      <c r="A15" s="26" t="s">
        <v>46</v>
      </c>
      <c r="B15" s="3">
        <v>8</v>
      </c>
      <c r="C15" s="16" t="s">
        <v>98</v>
      </c>
      <c r="D15" s="27">
        <f>IFERROR(SUMIFS(Input!$G:$G,Input!$C:$C,'Versão estrutural'!$A15,Input!$F:$F,'Versão estrutural'!$D$19)/1000000,0)</f>
        <v>88.577770000000001</v>
      </c>
      <c r="E15" s="29">
        <f>IFERROR(SUMIFS(Input!$G:$G,Input!$C:$C,'Versão estrutural'!$A15,Input!$E:$E,'Versão estrutural'!E$18,Input!$F:$F,'Versão estrutural'!$D$19)/1000000,0)</f>
        <v>43.182433000000003</v>
      </c>
      <c r="F15" s="29">
        <f>IFERROR(SUMIFS(Input!$G:$G,Input!$C:$C,'Versão estrutural'!$A15,Input!$E:$E,'Versão estrutural'!F$18,Input!$F:$F,'Versão estrutural'!$D$19)/1000000,0)</f>
        <v>23.178166000000001</v>
      </c>
      <c r="G15" s="29">
        <f>IFERROR(SUMIFS(Input!$G:$G,Input!$C:$C,'Versão estrutural'!$A15,Input!$E:$E,'Versão estrutural'!G$18,Input!$F:$F,'Versão estrutural'!$D$19)/1000000,0)</f>
        <v>10.782109999999999</v>
      </c>
      <c r="H15" s="29">
        <f>IFERROR(SUMIFS(Input!$G:$G,Input!$C:$C,'Versão estrutural'!$A15,Input!$E:$E,'Versão estrutural'!H$18,Input!$F:$F,'Versão estrutural'!$D$19)/1000000,0)</f>
        <v>4.8464809999999998</v>
      </c>
      <c r="I15" s="29">
        <f>IFERROR(SUMIFS(Input!$G:$G,Input!$C:$C,'Versão estrutural'!$A15,Input!$E:$E,'Versão estrutural'!I$18,Input!$F:$F,'Versão estrutural'!$D$19)/1000000,0)</f>
        <v>2.2526109999999999</v>
      </c>
      <c r="J15" s="29">
        <f>IFERROR(SUMIFS(Input!$G:$G,Input!$C:$C,'Versão estrutural'!$A15,Input!$E:$E,'Versão estrutural'!J$18,Input!$F:$F,'Versão estrutural'!$D$19)/1000000,0)</f>
        <v>2.637988</v>
      </c>
      <c r="K15" s="27">
        <f>IFERROR(SUM(SUMIFS(Input!$G:$G,Input!$C:$C,'Versão estrutural'!$A15,Input!$D:$D,'Versão estrutural'!K$7&amp;"*",Input!$H:$H,{"1-REAL";"SANTANDER"},Input!$F:$F,'Versão estrutural'!$D$19))/1000000,0)</f>
        <v>17.907503999999999</v>
      </c>
      <c r="L15" s="27">
        <f>IFERROR(SUM(SUMIFS(Input!$G:$G,Input!$C:$C,'Versão estrutural'!$A15,Input!$D:$D,'Versão estrutural'!L$7&amp;"*",Input!$H:$H,{"1-REAL";"SANTANDER"},Input!$F:$F,'Versão estrutural'!$D$19))/1000000,0)</f>
        <v>14.331578</v>
      </c>
      <c r="M15" s="27">
        <f>IFERROR(SUM(SUMIFS(Input!$G:$G,Input!$C:$C,'Versão estrutural'!$A15,Input!$D:$D,'Versão estrutural'!M$7,Input!$H:$H,{"1-REAL";"SANTANDER"},Input!$F:$F,'Versão estrutural'!$D$19))/1000000,0)</f>
        <v>15.453251</v>
      </c>
      <c r="N15" s="27">
        <f>IFERROR(SUM(SUMIFS(Input!$G:$G,Input!$C:$C,'Versão estrutural'!$A15,Input!$D:$D,'Versão estrutural'!N$7,Input!$H:$H,{"1-REAL";"SANTANDER"},Input!$F:$F,'Versão estrutural'!$D$19))/1000000,0)</f>
        <v>13.70635</v>
      </c>
      <c r="O15" s="27">
        <f>IFERROR(SUM(SUMIFS(Input!$G:$G,Input!$C:$C,'Versão estrutural'!$A15,Input!$D:$D,'Versão estrutural'!O$7,Input!$H:$H,{"1-REAL";"SANTANDER"},Input!$F:$F,'Versão estrutural'!$D$19))/1000000,0)</f>
        <v>9.7251270000000005</v>
      </c>
      <c r="P15" s="27">
        <f>IFERROR(SUM(SUMIFS(Input!$G:$G,Input!$C:$C,'Versão estrutural'!$A15,Input!$D:$D,'Versão estrutural'!P$7,Input!$H:$H,{"1-REAL";"SANTANDER"},Input!$F:$F,'Versão estrutural'!$D$19))/1000000,0)</f>
        <v>4.3852209999999996</v>
      </c>
      <c r="Q15" s="27">
        <f>IFERROR(SUM(SUMIFS(Input!$G:$G,Input!$C:$C,'Versão estrutural'!$A15,Input!$D:$D,'Versão estrutural'!Q$7,Input!$H:$H,{"1-REAL";"SANTANDER"},Input!$F:$F,'Versão estrutural'!$D$19))/1000000,0)</f>
        <v>0</v>
      </c>
      <c r="R15" s="27">
        <f>IFERROR(SUMIFS(Input!$G:$G,Input!$C:$C,'Versão estrutural'!A15,Input!$H:$H,"&lt;&gt;"&amp;K$18,Input!$H:$H,"&lt;&gt;"&amp;K$19,Input!$F:$F,'Versão estrutural'!$D$19)/1000000,0)</f>
        <v>13.068739000000001</v>
      </c>
      <c r="S15" s="28">
        <f>IFERROR(((SUMIFS(Input!$G:$G,Input!$C:$C,$A15,Input!$H:$H,"&lt;&gt;"&amp;M$18,Input!$H:$H,"&lt;&gt;",Input!$H:$H,"&lt;&gt;"&amp;S$18,Input!$H:$H,"&lt;&gt;"&amp;$M$19,Input!$H:$H,"&lt;&gt;"&amp;$M$20,Input!$F:$F,'Versão estrutural'!$D$19))/1000000)/R15,0)</f>
        <v>0.8700730805014929</v>
      </c>
    </row>
    <row r="16" spans="1:24" s="1" customFormat="1" ht="12.75" x14ac:dyDescent="0.2">
      <c r="A16" s="23" t="s">
        <v>53</v>
      </c>
      <c r="B16" s="3">
        <v>9</v>
      </c>
      <c r="C16" s="16" t="s">
        <v>99</v>
      </c>
      <c r="D16" s="27">
        <f>IFERROR(SUMIFS(Input!$G:$G,Input!$C:$C,'Versão estrutural'!$A16,Input!$F:$F,'Versão estrutural'!$D$19)/1000000,0)</f>
        <v>0</v>
      </c>
      <c r="E16" s="29">
        <f>IFERROR(SUMIFS(Input!$G:$G,Input!$C:$C,'Versão estrutural'!$A16,Input!$E:$E,'Versão estrutural'!E$18,Input!$F:$F,'Versão estrutural'!$D$19)/1000000,0)</f>
        <v>0</v>
      </c>
      <c r="F16" s="29">
        <f>IFERROR(SUMIFS(Input!$G:$G,Input!$C:$C,'Versão estrutural'!$A16,Input!$E:$E,'Versão estrutural'!F$18,Input!$F:$F,'Versão estrutural'!$D$19)/1000000,0)</f>
        <v>0</v>
      </c>
      <c r="G16" s="29">
        <f>IFERROR(SUMIFS(Input!$G:$G,Input!$C:$C,'Versão estrutural'!$A16,Input!$E:$E,'Versão estrutural'!G$18,Input!$F:$F,'Versão estrutural'!$D$19)/1000000,0)</f>
        <v>0</v>
      </c>
      <c r="H16" s="29">
        <f>IFERROR(SUMIFS(Input!$G:$G,Input!$C:$C,'Versão estrutural'!$A16,Input!$E:$E,'Versão estrutural'!H$18,Input!$F:$F,'Versão estrutural'!$D$19)/1000000,0)</f>
        <v>0</v>
      </c>
      <c r="I16" s="29">
        <f>IFERROR(SUMIFS(Input!$G:$G,Input!$C:$C,'Versão estrutural'!$A16,Input!$E:$E,'Versão estrutural'!I$18,Input!$F:$F,'Versão estrutural'!$D$19)/1000000,0)</f>
        <v>0</v>
      </c>
      <c r="J16" s="29">
        <f>IFERROR(SUMIFS(Input!$G:$G,Input!$C:$C,'Versão estrutural'!$A16,Input!$E:$E,'Versão estrutural'!J$18,Input!$F:$F,'Versão estrutural'!$D$19)/1000000,0)</f>
        <v>0</v>
      </c>
      <c r="K16" s="27">
        <f>IFERROR(SUM(SUMIFS(Input!$G:$G,Input!$C:$C,'Versão estrutural'!$A16,Input!$D:$D,'Versão estrutural'!K$7&amp;"*",Input!$H:$H,{"1-REAL";"SANTANDER"},Input!$F:$F,'Versão estrutural'!$D$19))/1000000,0)</f>
        <v>0</v>
      </c>
      <c r="L16" s="27">
        <f>IFERROR(SUM(SUMIFS(Input!$G:$G,Input!$C:$C,'Versão estrutural'!$A16,Input!$D:$D,'Versão estrutural'!L$7&amp;"*",Input!$H:$H,{"1-REAL";"SANTANDER"},Input!$F:$F,'Versão estrutural'!$D$19))/1000000,0)</f>
        <v>0</v>
      </c>
      <c r="M16" s="27">
        <f>IFERROR(SUM(SUMIFS(Input!$G:$G,Input!$C:$C,'Versão estrutural'!$A16,Input!$D:$D,'Versão estrutural'!M$7,Input!$H:$H,{"1-REAL";"SANTANDER"},Input!$F:$F,'Versão estrutural'!$D$19))/1000000,0)</f>
        <v>0</v>
      </c>
      <c r="N16" s="27">
        <f>IFERROR(SUM(SUMIFS(Input!$G:$G,Input!$C:$C,'Versão estrutural'!$A16,Input!$D:$D,'Versão estrutural'!N$7,Input!$H:$H,{"1-REAL";"SANTANDER"},Input!$F:$F,'Versão estrutural'!$D$19))/1000000,0)</f>
        <v>0</v>
      </c>
      <c r="O16" s="27">
        <f>IFERROR(SUM(SUMIFS(Input!$G:$G,Input!$C:$C,'Versão estrutural'!$A16,Input!$D:$D,'Versão estrutural'!O$7,Input!$H:$H,{"1-REAL";"SANTANDER"},Input!$F:$F,'Versão estrutural'!$D$19))/1000000,0)</f>
        <v>0</v>
      </c>
      <c r="P16" s="27">
        <f>IFERROR(SUM(SUMIFS(Input!$G:$G,Input!$C:$C,'Versão estrutural'!$A16,Input!$D:$D,'Versão estrutural'!P$7,Input!$H:$H,{"1-REAL";"SANTANDER"},Input!$F:$F,'Versão estrutural'!$D$19))/1000000,0)</f>
        <v>0</v>
      </c>
      <c r="Q16" s="27">
        <f>IFERROR(SUM(SUMIFS(Input!$G:$G,Input!$C:$C,'Versão estrutural'!$A16,Input!$D:$D,'Versão estrutural'!Q$7,Input!$H:$H,{"1-REAL";"SANTANDER"},Input!$F:$F,'Versão estrutural'!$D$19))/1000000,0)</f>
        <v>0</v>
      </c>
      <c r="R16" s="27">
        <f>IFERROR(SUMIFS(Input!$G:$G,Input!$C:$C,'Versão estrutural'!A16,Input!$H:$H,"&lt;&gt;"&amp;K$18,Input!$H:$H,"&lt;&gt;"&amp;K$19,Input!$F:$F,'Versão estrutural'!$D$19)/1000000,0)</f>
        <v>0</v>
      </c>
      <c r="S16" s="28">
        <f>IFERROR(((SUMIFS(Input!$G:$G,Input!$C:$C,$A16,Input!$H:$H,"&lt;&gt;"&amp;M$18,Input!$H:$H,"&lt;&gt;",Input!$H:$H,"&lt;&gt;"&amp;S$18,Input!$H:$H,"&lt;&gt;"&amp;$M$19,Input!$H:$H,"&lt;&gt;"&amp;$M$20,Input!$F:$F,'Versão estrutural'!$D$19))/1000000)/R16,0)</f>
        <v>0</v>
      </c>
      <c r="T16" s="9"/>
    </row>
    <row r="17" spans="1:20" s="1" customFormat="1" ht="12.75" x14ac:dyDescent="0.2">
      <c r="A17" s="23" t="s">
        <v>63</v>
      </c>
      <c r="B17" s="3">
        <v>10</v>
      </c>
      <c r="C17" s="17" t="s">
        <v>100</v>
      </c>
      <c r="D17" s="27">
        <f>IFERROR(SUM(SUMIFS(Input!G:G,Input!C:C,{"Garantia Comercial";"Garantia Residencial";"Stock"},Input!$I:$I,$E$19,Input!E:E,"&lt;&gt;"&amp;'Versão estrutural'!$A17,Input!$F:$F,'Versão estrutural'!$D$19))/1000000,0)</f>
        <v>18.110233999999998</v>
      </c>
      <c r="E17" s="29">
        <f>IFERROR(SUM(SUMIFS(Input!$G:$G,Input!$C:$C,{"Garantia Comercial";"Garantia Residencial";"Stock"},Input!$I:$I,$E$19,Input!$E:$E,"&lt;&gt;"&amp;$A$12,Input!$E:$E,E$18,Input!$F:$F,'Versão estrutural'!$D$19))/1000000,0)</f>
        <v>9.2374729999999996</v>
      </c>
      <c r="F17" s="29">
        <f>IFERROR(SUM(SUMIFS(Input!$G:$G,Input!$C:$C,{"Garantia Comercial";"Garantia Residencial";"Stock"},Input!$I:$I,$E$19,Input!$E:$E,"&lt;&gt;"&amp;$A$12,Input!$E:$E,F$18,Input!$F:$F,'Versão estrutural'!$D$19))/1000000,0)</f>
        <v>6.5015080000000003</v>
      </c>
      <c r="G17" s="29">
        <f>IFERROR(SUM(SUMIFS(Input!$G:$G,Input!$C:$C,{"Garantia Comercial";"Garantia Residencial";"Stock"},Input!$I:$I,$E$19,Input!$E:$E,"&lt;&gt;"&amp;$A$12,Input!$E:$E,G$18,Input!$F:$F,'Versão estrutural'!$D$19))/1000000,0)</f>
        <v>2.112384</v>
      </c>
      <c r="H17" s="29">
        <f>IFERROR(SUM(SUMIFS(Input!$G:$G,Input!$C:$C,{"Garantia Comercial";"Garantia Residencial";"Stock"},Input!$I:$I,$E$19,Input!$E:$E,"&lt;&gt;"&amp;$A$12,Input!$E:$E,H$18,Input!$F:$F,'Versão estrutural'!$D$19))/1000000,0)</f>
        <v>0.25886900000000002</v>
      </c>
      <c r="I17" s="29">
        <f>IFERROR(SUM(SUMIFS(Input!$G:$G,Input!$C:$C,{"Garantia Comercial";"Garantia Residencial";"Stock"},Input!$I:$I,$E$19,Input!$E:$E,"&lt;&gt;"&amp;$A$12,Input!$E:$E,I$18,Input!$F:$F,'Versão estrutural'!$D$19))/1000000,0)</f>
        <v>0</v>
      </c>
      <c r="J17" s="29">
        <f>IFERROR(SUM(SUMIFS(Input!$G:$G,Input!$C:$C,{"Garantia Comercial";"Garantia Residencial";"Stock"},Input!$I:$I,$E$19,Input!$E:$E,"&lt;&gt;"&amp;$A$12,Input!$E:$E,J$18,Input!$F:$F,'Versão estrutural'!$D$19))/1000000,0)</f>
        <v>0</v>
      </c>
      <c r="K17" s="69"/>
      <c r="L17" s="69"/>
      <c r="M17" s="69"/>
      <c r="N17" s="69"/>
      <c r="O17" s="69"/>
      <c r="P17" s="69"/>
      <c r="Q17" s="69"/>
      <c r="R17" s="27">
        <f>IFERROR(SUM(SUMIFS(Input!$G:$G,Input!$C:$C,{"Garantia Comercial";"Garantia Residencial";"Stock"},Input!$I:$I,$E$19,Input!$H:$H,"&lt;&gt;"&amp;M$18,Input!$H:$H,"&lt;&gt;"&amp;$M$19,Input!$E:$E,"&lt;&gt;"&amp;$A$12,Input!$F:$F,'Versão estrutural'!$D$19))/1000000,0)</f>
        <v>11.370758</v>
      </c>
      <c r="S17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Residencial";"Stock"},Input!$I:$I,$E$19,Input!$H:$H,"&lt;&gt;"&amp;M$18,Input!$H:$H,"&lt;&gt;",Input!$H:$H,"&lt;&gt;"&amp;S$18,Input!$H:$H,"&lt;&gt;"&amp;$M$19,Input!$H:$H,"&lt;&gt;"&amp;$M$20,Input!$F:$F,'Versão estrutural'!$D$19))/1000000)/R17</f>
        <v>1</v>
      </c>
      <c r="T17" s="9"/>
    </row>
    <row r="18" spans="1:20" x14ac:dyDescent="0.25">
      <c r="D18" s="24" t="s">
        <v>40</v>
      </c>
      <c r="E18" s="24" t="s">
        <v>48</v>
      </c>
      <c r="F18" s="24" t="s">
        <v>39</v>
      </c>
      <c r="G18" s="24" t="s">
        <v>43</v>
      </c>
      <c r="H18" s="24" t="s">
        <v>58</v>
      </c>
      <c r="I18" s="24" t="s">
        <v>66</v>
      </c>
      <c r="J18" s="24" t="s">
        <v>61</v>
      </c>
      <c r="K18" s="25" t="s">
        <v>41</v>
      </c>
      <c r="L18" s="26" t="s">
        <v>41</v>
      </c>
      <c r="M18" s="26" t="s">
        <v>41</v>
      </c>
      <c r="N18" s="26" t="s">
        <v>41</v>
      </c>
      <c r="O18" s="26" t="s">
        <v>41</v>
      </c>
      <c r="P18" s="26" t="s">
        <v>41</v>
      </c>
      <c r="Q18" s="26" t="s">
        <v>41</v>
      </c>
      <c r="R18" s="24" t="s">
        <v>63</v>
      </c>
      <c r="S18" s="25" t="s">
        <v>64</v>
      </c>
    </row>
    <row r="19" spans="1:20" x14ac:dyDescent="0.25">
      <c r="D19" s="24" t="s">
        <v>49</v>
      </c>
      <c r="E19" s="26" t="s">
        <v>45</v>
      </c>
      <c r="F19" s="26"/>
      <c r="G19" s="26"/>
      <c r="H19" s="26"/>
      <c r="I19" s="26"/>
      <c r="J19" s="26"/>
      <c r="K19" s="24" t="s">
        <v>102</v>
      </c>
      <c r="L19" s="26" t="s">
        <v>102</v>
      </c>
      <c r="M19" s="26" t="s">
        <v>102</v>
      </c>
      <c r="N19" s="26" t="s">
        <v>102</v>
      </c>
      <c r="O19" s="26" t="s">
        <v>102</v>
      </c>
      <c r="P19" s="26" t="s">
        <v>102</v>
      </c>
      <c r="Q19" s="26" t="s">
        <v>102</v>
      </c>
      <c r="R19" s="26"/>
      <c r="S19" s="26"/>
    </row>
    <row r="20" spans="1:20" x14ac:dyDescent="0.25">
      <c r="D20" s="26"/>
      <c r="E20" s="26"/>
      <c r="F20" s="26"/>
      <c r="G20" s="26"/>
      <c r="H20" s="26"/>
      <c r="I20" s="26"/>
      <c r="J20" s="26"/>
      <c r="K20" s="24" t="s">
        <v>65</v>
      </c>
      <c r="L20" s="24" t="s">
        <v>65</v>
      </c>
      <c r="M20" s="24" t="s">
        <v>65</v>
      </c>
      <c r="N20" s="24" t="s">
        <v>65</v>
      </c>
      <c r="O20" s="24" t="s">
        <v>65</v>
      </c>
      <c r="P20" s="24" t="s">
        <v>65</v>
      </c>
      <c r="Q20" s="24" t="s">
        <v>65</v>
      </c>
      <c r="R20" s="24"/>
      <c r="S20" s="26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F33E-D3B7-44ED-9749-B376C698130D}">
  <dimension ref="A1:X20"/>
  <sheetViews>
    <sheetView topLeftCell="C1" workbookViewId="0">
      <selection activeCell="D1" sqref="A1:XFD1048576"/>
    </sheetView>
  </sheetViews>
  <sheetFormatPr defaultColWidth="8.85546875" defaultRowHeight="15" x14ac:dyDescent="0.25"/>
  <cols>
    <col min="1" max="1" width="3.7109375" style="8" customWidth="1"/>
    <col min="2" max="2" width="3" style="8" bestFit="1" customWidth="1"/>
    <col min="3" max="3" width="84.28515625" style="8" bestFit="1" customWidth="1"/>
    <col min="4" max="6" width="13.42578125" style="8" bestFit="1" customWidth="1"/>
    <col min="7" max="7" width="12.28515625" style="8" bestFit="1" customWidth="1"/>
    <col min="8" max="8" width="11.5703125" style="8" bestFit="1" customWidth="1"/>
    <col min="9" max="9" width="11.140625" style="8" bestFit="1" customWidth="1"/>
    <col min="10" max="10" width="10.42578125" style="8" bestFit="1" customWidth="1"/>
    <col min="11" max="11" width="13.42578125" style="8" bestFit="1" customWidth="1"/>
    <col min="12" max="15" width="12.28515625" style="8" bestFit="1" customWidth="1"/>
    <col min="16" max="16" width="11.28515625" style="8" customWidth="1"/>
    <col min="17" max="17" width="11.5703125" style="8" customWidth="1"/>
    <col min="18" max="18" width="13.42578125" style="8" bestFit="1" customWidth="1"/>
    <col min="19" max="19" width="27.42578125" style="8" bestFit="1" customWidth="1"/>
    <col min="20" max="16384" width="8.85546875" style="8"/>
  </cols>
  <sheetData>
    <row r="1" spans="1:24" s="1" customFormat="1" ht="12.75" x14ac:dyDescent="0.2">
      <c r="D1" s="6"/>
      <c r="E1" s="6"/>
    </row>
    <row r="2" spans="1:24" s="1" customFormat="1" x14ac:dyDescent="0.25">
      <c r="C2" s="2" t="s">
        <v>67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2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2.75" x14ac:dyDescent="0.2"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  <c r="L4" s="3" t="s">
        <v>76</v>
      </c>
      <c r="M4" s="3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</row>
    <row r="5" spans="1:24" s="1" customFormat="1" ht="24" customHeight="1" x14ac:dyDescent="0.2">
      <c r="C5" s="4" t="s">
        <v>84</v>
      </c>
      <c r="D5" s="77" t="s">
        <v>85</v>
      </c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9"/>
      <c r="T5" s="9"/>
    </row>
    <row r="6" spans="1:24" s="1" customFormat="1" ht="24" customHeight="1" x14ac:dyDescent="0.2">
      <c r="C6" s="10"/>
      <c r="D6" s="11"/>
      <c r="E6" s="74" t="s">
        <v>86</v>
      </c>
      <c r="F6" s="75"/>
      <c r="G6" s="75"/>
      <c r="H6" s="75"/>
      <c r="I6" s="75"/>
      <c r="J6" s="75"/>
      <c r="K6" s="74" t="s">
        <v>87</v>
      </c>
      <c r="L6" s="75"/>
      <c r="M6" s="75"/>
      <c r="N6" s="75"/>
      <c r="O6" s="75"/>
      <c r="P6" s="75"/>
      <c r="Q6" s="76"/>
      <c r="R6" s="77" t="s">
        <v>88</v>
      </c>
      <c r="S6" s="79"/>
      <c r="T6" s="9"/>
    </row>
    <row r="7" spans="1:24" s="1" customFormat="1" ht="43.7" customHeight="1" x14ac:dyDescent="0.2">
      <c r="C7" s="5"/>
      <c r="D7" s="12"/>
      <c r="E7" s="13" t="s">
        <v>89</v>
      </c>
      <c r="F7" s="13" t="s">
        <v>90</v>
      </c>
      <c r="G7" s="13" t="s">
        <v>91</v>
      </c>
      <c r="H7" s="13" t="s">
        <v>92</v>
      </c>
      <c r="I7" s="13" t="s">
        <v>93</v>
      </c>
      <c r="J7" s="13" t="s">
        <v>94</v>
      </c>
      <c r="K7" s="12" t="s">
        <v>51</v>
      </c>
      <c r="L7" s="12" t="s">
        <v>47</v>
      </c>
      <c r="M7" s="12" t="s">
        <v>50</v>
      </c>
      <c r="N7" s="12" t="s">
        <v>38</v>
      </c>
      <c r="O7" s="12" t="s">
        <v>42</v>
      </c>
      <c r="P7" s="12" t="s">
        <v>55</v>
      </c>
      <c r="Q7" s="12" t="s">
        <v>59</v>
      </c>
      <c r="R7" s="14"/>
      <c r="S7" s="18" t="s">
        <v>95</v>
      </c>
      <c r="T7" s="9"/>
    </row>
    <row r="8" spans="1:24" s="1" customFormat="1" ht="12.75" x14ac:dyDescent="0.2">
      <c r="B8" s="3">
        <v>1</v>
      </c>
      <c r="C8" s="15" t="s">
        <v>96</v>
      </c>
      <c r="D8" s="27">
        <v>27633.702193000001</v>
      </c>
      <c r="E8" s="29">
        <v>13792.541388</v>
      </c>
      <c r="F8" s="29">
        <v>10084.407099</v>
      </c>
      <c r="G8" s="29">
        <v>2768.3817179999996</v>
      </c>
      <c r="H8" s="29">
        <v>483.94350500000002</v>
      </c>
      <c r="I8" s="29">
        <v>150.47106200000002</v>
      </c>
      <c r="J8" s="29">
        <v>155.09113300000001</v>
      </c>
      <c r="K8" s="27">
        <v>1979.2468470000001</v>
      </c>
      <c r="L8" s="27">
        <v>1915.0429549999999</v>
      </c>
      <c r="M8" s="27">
        <v>3603.7220670000002</v>
      </c>
      <c r="N8" s="27">
        <v>3548.703767</v>
      </c>
      <c r="O8" s="27">
        <v>1988.059757</v>
      </c>
      <c r="P8" s="27">
        <v>895.49353699999995</v>
      </c>
      <c r="Q8" s="27">
        <v>2.4870839999999999</v>
      </c>
      <c r="R8" s="27">
        <v>13700.946179</v>
      </c>
      <c r="S8" s="28">
        <v>0.98462739622152329</v>
      </c>
      <c r="T8" s="9"/>
    </row>
    <row r="9" spans="1:24" s="1" customFormat="1" x14ac:dyDescent="0.25">
      <c r="A9" s="26" t="s">
        <v>37</v>
      </c>
      <c r="B9" s="3">
        <v>2</v>
      </c>
      <c r="C9" s="16" t="s">
        <v>97</v>
      </c>
      <c r="D9" s="27">
        <v>2563.60635</v>
      </c>
      <c r="E9" s="29">
        <v>798.70174999999995</v>
      </c>
      <c r="F9" s="29">
        <v>1424.9239990000001</v>
      </c>
      <c r="G9" s="29">
        <v>166.439367</v>
      </c>
      <c r="H9" s="29">
        <v>7.5218530000000001</v>
      </c>
      <c r="I9" s="29">
        <v>5.388541</v>
      </c>
      <c r="J9" s="29">
        <v>3.0664950000000002</v>
      </c>
      <c r="K9" s="27">
        <v>9.4486600000000003</v>
      </c>
      <c r="L9" s="27">
        <v>114.58490500000001</v>
      </c>
      <c r="M9" s="27">
        <v>94.207357000000002</v>
      </c>
      <c r="N9" s="27">
        <v>16.541231</v>
      </c>
      <c r="O9" s="27">
        <v>23.938127999999999</v>
      </c>
      <c r="P9" s="27">
        <v>11.136725999999999</v>
      </c>
      <c r="Q9" s="27">
        <v>0.104974</v>
      </c>
      <c r="R9" s="27">
        <v>2293.6443690000001</v>
      </c>
      <c r="S9" s="28">
        <v>0.93130393397966216</v>
      </c>
      <c r="T9" s="9"/>
    </row>
    <row r="10" spans="1:24" s="1" customFormat="1" x14ac:dyDescent="0.25">
      <c r="A10" s="26" t="s">
        <v>46</v>
      </c>
      <c r="B10" s="3">
        <v>3</v>
      </c>
      <c r="C10" s="16" t="s">
        <v>98</v>
      </c>
      <c r="D10" s="27">
        <v>25026.353698999999</v>
      </c>
      <c r="E10" s="29">
        <v>12978.436447</v>
      </c>
      <c r="F10" s="29">
        <v>8636.3306379999995</v>
      </c>
      <c r="G10" s="29">
        <v>2599.8877459999999</v>
      </c>
      <c r="H10" s="29">
        <v>476.21017000000001</v>
      </c>
      <c r="I10" s="29">
        <v>145.08252100000001</v>
      </c>
      <c r="J10" s="29">
        <v>152.02463800000001</v>
      </c>
      <c r="K10" s="27">
        <v>1969.7981870000001</v>
      </c>
      <c r="L10" s="27">
        <v>1800.274488</v>
      </c>
      <c r="M10" s="27">
        <v>3509.1247600000002</v>
      </c>
      <c r="N10" s="27">
        <v>3531.9053859999999</v>
      </c>
      <c r="O10" s="27">
        <v>1963.9178790000001</v>
      </c>
      <c r="P10" s="27">
        <v>883.77738999999997</v>
      </c>
      <c r="Q10" s="27">
        <v>2.3821099999999999</v>
      </c>
      <c r="R10" s="27">
        <v>11365.173499</v>
      </c>
      <c r="S10" s="28">
        <v>0.99558876351474868</v>
      </c>
      <c r="T10" s="9"/>
    </row>
    <row r="11" spans="1:24" s="1" customFormat="1" x14ac:dyDescent="0.25">
      <c r="A11" s="26" t="s">
        <v>53</v>
      </c>
      <c r="B11" s="3">
        <v>4</v>
      </c>
      <c r="C11" s="16" t="s">
        <v>99</v>
      </c>
      <c r="D11" s="27">
        <v>43.742144000000003</v>
      </c>
      <c r="E11" s="29">
        <v>15.403191</v>
      </c>
      <c r="F11" s="29">
        <v>23.152462</v>
      </c>
      <c r="G11" s="29">
        <v>2.054605</v>
      </c>
      <c r="H11" s="29">
        <v>0.211482</v>
      </c>
      <c r="I11" s="29">
        <v>0</v>
      </c>
      <c r="J11" s="29">
        <v>0</v>
      </c>
      <c r="K11" s="27">
        <v>0</v>
      </c>
      <c r="L11" s="27">
        <v>0.183562</v>
      </c>
      <c r="M11" s="27">
        <v>0.38995000000000002</v>
      </c>
      <c r="N11" s="27">
        <v>0.25714999999999999</v>
      </c>
      <c r="O11" s="27">
        <v>0.20374999999999999</v>
      </c>
      <c r="P11" s="27">
        <v>0.57942099999999996</v>
      </c>
      <c r="Q11" s="27">
        <v>0</v>
      </c>
      <c r="R11" s="27">
        <v>42.128310999999997</v>
      </c>
      <c r="S11" s="28">
        <v>0.93067835071764449</v>
      </c>
      <c r="T11" s="9"/>
    </row>
    <row r="12" spans="1:24" s="1" customFormat="1" x14ac:dyDescent="0.25">
      <c r="A12" s="26" t="s">
        <v>63</v>
      </c>
      <c r="B12" s="3">
        <v>5</v>
      </c>
      <c r="C12" s="17" t="s">
        <v>100</v>
      </c>
      <c r="D12" s="27">
        <v>24224.919099999999</v>
      </c>
      <c r="E12" s="29">
        <v>12659.435732</v>
      </c>
      <c r="F12" s="29">
        <v>9187.0519839999997</v>
      </c>
      <c r="G12" s="29">
        <v>2196.6248390000001</v>
      </c>
      <c r="H12" s="29">
        <v>178.77964600000001</v>
      </c>
      <c r="I12" s="29">
        <v>1.5296749999999999</v>
      </c>
      <c r="J12" s="29">
        <v>1.4972240000000001</v>
      </c>
      <c r="K12" s="69"/>
      <c r="L12" s="69"/>
      <c r="M12" s="69"/>
      <c r="N12" s="69"/>
      <c r="O12" s="69"/>
      <c r="P12" s="69"/>
      <c r="Q12" s="69"/>
      <c r="R12" s="27">
        <v>13502.72358</v>
      </c>
      <c r="S12" s="28">
        <v>0.9990819172201405</v>
      </c>
      <c r="T12" s="9"/>
    </row>
    <row r="13" spans="1:24" s="1" customFormat="1" x14ac:dyDescent="0.25">
      <c r="A13" s="26"/>
      <c r="B13" s="3">
        <v>6</v>
      </c>
      <c r="C13" s="15" t="s">
        <v>101</v>
      </c>
      <c r="D13" s="27">
        <v>88.577770000000001</v>
      </c>
      <c r="E13" s="27">
        <v>43.182433000000003</v>
      </c>
      <c r="F13" s="27">
        <v>23.178166000000001</v>
      </c>
      <c r="G13" s="27">
        <v>10.782109999999999</v>
      </c>
      <c r="H13" s="27">
        <v>4.8464809999999998</v>
      </c>
      <c r="I13" s="27">
        <v>2.2526109999999999</v>
      </c>
      <c r="J13" s="27">
        <v>2.637988</v>
      </c>
      <c r="K13" s="27">
        <v>17.907503999999999</v>
      </c>
      <c r="L13" s="27">
        <v>14.331578</v>
      </c>
      <c r="M13" s="27">
        <v>15.453251</v>
      </c>
      <c r="N13" s="27">
        <v>13.70635</v>
      </c>
      <c r="O13" s="27">
        <v>9.7251270000000005</v>
      </c>
      <c r="P13" s="27">
        <v>4.3852209999999996</v>
      </c>
      <c r="Q13" s="27">
        <v>0</v>
      </c>
      <c r="R13" s="27">
        <v>13.068739000000001</v>
      </c>
      <c r="S13" s="28">
        <v>0.8700730805014929</v>
      </c>
    </row>
    <row r="14" spans="1:24" x14ac:dyDescent="0.25">
      <c r="A14" s="26" t="s">
        <v>37</v>
      </c>
      <c r="B14" s="3">
        <v>7</v>
      </c>
      <c r="C14" s="16" t="s">
        <v>97</v>
      </c>
      <c r="D14" s="27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8">
        <v>0</v>
      </c>
    </row>
    <row r="15" spans="1:24" x14ac:dyDescent="0.25">
      <c r="A15" s="26" t="s">
        <v>46</v>
      </c>
      <c r="B15" s="3">
        <v>8</v>
      </c>
      <c r="C15" s="16" t="s">
        <v>98</v>
      </c>
      <c r="D15" s="27">
        <v>88.577770000000001</v>
      </c>
      <c r="E15" s="29">
        <v>43.182433000000003</v>
      </c>
      <c r="F15" s="29">
        <v>23.178166000000001</v>
      </c>
      <c r="G15" s="29">
        <v>10.782109999999999</v>
      </c>
      <c r="H15" s="29">
        <v>4.8464809999999998</v>
      </c>
      <c r="I15" s="29">
        <v>2.2526109999999999</v>
      </c>
      <c r="J15" s="29">
        <v>2.637988</v>
      </c>
      <c r="K15" s="27">
        <v>17.907503999999999</v>
      </c>
      <c r="L15" s="27">
        <v>14.331578</v>
      </c>
      <c r="M15" s="27">
        <v>15.453251</v>
      </c>
      <c r="N15" s="27">
        <v>13.70635</v>
      </c>
      <c r="O15" s="27">
        <v>9.7251270000000005</v>
      </c>
      <c r="P15" s="27">
        <v>4.3852209999999996</v>
      </c>
      <c r="Q15" s="27">
        <v>0</v>
      </c>
      <c r="R15" s="27">
        <v>13.068739000000001</v>
      </c>
      <c r="S15" s="28">
        <v>0.8700730805014929</v>
      </c>
    </row>
    <row r="16" spans="1:24" s="1" customFormat="1" ht="12.75" x14ac:dyDescent="0.2">
      <c r="A16" s="23" t="s">
        <v>53</v>
      </c>
      <c r="B16" s="3">
        <v>9</v>
      </c>
      <c r="C16" s="16" t="s">
        <v>99</v>
      </c>
      <c r="D16" s="27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7">
        <v>0</v>
      </c>
      <c r="L16" s="27">
        <v>0</v>
      </c>
      <c r="M16" s="27">
        <v>0</v>
      </c>
      <c r="N16" s="27">
        <v>0</v>
      </c>
      <c r="O16" s="27">
        <v>0</v>
      </c>
      <c r="P16" s="27">
        <v>0</v>
      </c>
      <c r="Q16" s="27">
        <v>0</v>
      </c>
      <c r="R16" s="27">
        <v>0</v>
      </c>
      <c r="S16" s="28">
        <v>0</v>
      </c>
      <c r="T16" s="9"/>
    </row>
    <row r="17" spans="1:20" s="1" customFormat="1" ht="12.75" x14ac:dyDescent="0.2">
      <c r="A17" s="23" t="s">
        <v>63</v>
      </c>
      <c r="B17" s="3">
        <v>10</v>
      </c>
      <c r="C17" s="17" t="s">
        <v>100</v>
      </c>
      <c r="D17" s="27">
        <v>18.110233999999998</v>
      </c>
      <c r="E17" s="29">
        <v>9.2374729999999996</v>
      </c>
      <c r="F17" s="29">
        <v>6.5015080000000003</v>
      </c>
      <c r="G17" s="29">
        <v>2.112384</v>
      </c>
      <c r="H17" s="29">
        <v>0.25886900000000002</v>
      </c>
      <c r="I17" s="29">
        <v>0</v>
      </c>
      <c r="J17" s="29">
        <v>0</v>
      </c>
      <c r="K17" s="69"/>
      <c r="L17" s="69"/>
      <c r="M17" s="69"/>
      <c r="N17" s="69"/>
      <c r="O17" s="69"/>
      <c r="P17" s="69"/>
      <c r="Q17" s="69"/>
      <c r="R17" s="27">
        <v>11.370758</v>
      </c>
      <c r="S17" s="28">
        <v>1</v>
      </c>
      <c r="T17" s="9"/>
    </row>
    <row r="18" spans="1:20" x14ac:dyDescent="0.25">
      <c r="D18" s="24" t="s">
        <v>40</v>
      </c>
      <c r="E18" s="24" t="s">
        <v>48</v>
      </c>
      <c r="F18" s="24" t="s">
        <v>39</v>
      </c>
      <c r="G18" s="24" t="s">
        <v>43</v>
      </c>
      <c r="H18" s="24" t="s">
        <v>58</v>
      </c>
      <c r="I18" s="24" t="s">
        <v>66</v>
      </c>
      <c r="J18" s="24" t="s">
        <v>61</v>
      </c>
      <c r="K18" s="25" t="s">
        <v>41</v>
      </c>
      <c r="L18" s="26" t="s">
        <v>41</v>
      </c>
      <c r="M18" s="26" t="s">
        <v>41</v>
      </c>
      <c r="N18" s="26" t="s">
        <v>41</v>
      </c>
      <c r="O18" s="26" t="s">
        <v>41</v>
      </c>
      <c r="P18" s="26" t="s">
        <v>41</v>
      </c>
      <c r="Q18" s="26" t="s">
        <v>41</v>
      </c>
      <c r="R18" s="24" t="s">
        <v>63</v>
      </c>
      <c r="S18" s="25" t="s">
        <v>64</v>
      </c>
    </row>
    <row r="19" spans="1:20" x14ac:dyDescent="0.25">
      <c r="D19" s="24" t="s">
        <v>49</v>
      </c>
      <c r="E19" s="26" t="s">
        <v>45</v>
      </c>
      <c r="F19" s="26"/>
      <c r="G19" s="26"/>
      <c r="H19" s="26"/>
      <c r="I19" s="26"/>
      <c r="J19" s="26"/>
      <c r="K19" s="24" t="s">
        <v>102</v>
      </c>
      <c r="L19" s="26" t="s">
        <v>102</v>
      </c>
      <c r="M19" s="26" t="s">
        <v>102</v>
      </c>
      <c r="N19" s="26" t="s">
        <v>102</v>
      </c>
      <c r="O19" s="26" t="s">
        <v>102</v>
      </c>
      <c r="P19" s="26" t="s">
        <v>102</v>
      </c>
      <c r="Q19" s="26" t="s">
        <v>102</v>
      </c>
      <c r="R19" s="26"/>
      <c r="S19" s="26"/>
    </row>
    <row r="20" spans="1:20" x14ac:dyDescent="0.25">
      <c r="D20" s="26"/>
      <c r="E20" s="26"/>
      <c r="F20" s="26"/>
      <c r="G20" s="26"/>
      <c r="H20" s="26"/>
      <c r="I20" s="26"/>
      <c r="J20" s="26"/>
      <c r="K20" s="24" t="s">
        <v>65</v>
      </c>
      <c r="L20" s="24" t="s">
        <v>65</v>
      </c>
      <c r="M20" s="24" t="s">
        <v>65</v>
      </c>
      <c r="N20" s="24" t="s">
        <v>65</v>
      </c>
      <c r="O20" s="24" t="s">
        <v>65</v>
      </c>
      <c r="P20" s="24" t="s">
        <v>65</v>
      </c>
      <c r="Q20" s="24" t="s">
        <v>65</v>
      </c>
      <c r="R20" s="24"/>
      <c r="S20" s="26"/>
    </row>
  </sheetData>
  <mergeCells count="4">
    <mergeCell ref="D5:S5"/>
    <mergeCell ref="E6:J6"/>
    <mergeCell ref="K6:Q6"/>
    <mergeCell ref="R6:S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0F71-9539-484E-A9C0-43825BB667D7}">
  <dimension ref="A1:X20"/>
  <sheetViews>
    <sheetView tabSelected="1" workbookViewId="0">
      <selection activeCell="A11" sqref="A11"/>
    </sheetView>
  </sheetViews>
  <sheetFormatPr defaultColWidth="8.85546875" defaultRowHeight="15" x14ac:dyDescent="0.25"/>
  <cols>
    <col min="1" max="1" width="3.7109375" style="8" customWidth="1"/>
    <col min="2" max="2" width="3" style="8" bestFit="1" customWidth="1"/>
    <col min="3" max="3" width="84.28515625" style="8" bestFit="1" customWidth="1"/>
    <col min="4" max="6" width="13.42578125" style="8" bestFit="1" customWidth="1"/>
    <col min="7" max="7" width="12.28515625" style="8" bestFit="1" customWidth="1"/>
    <col min="8" max="8" width="11.5703125" style="8" bestFit="1" customWidth="1"/>
    <col min="9" max="9" width="11.140625" style="8" bestFit="1" customWidth="1"/>
    <col min="10" max="10" width="10.42578125" style="8" bestFit="1" customWidth="1"/>
    <col min="11" max="11" width="13.42578125" style="8" bestFit="1" customWidth="1"/>
    <col min="12" max="15" width="12.28515625" style="8" bestFit="1" customWidth="1"/>
    <col min="16" max="16" width="11.28515625" style="8" customWidth="1"/>
    <col min="17" max="17" width="11.5703125" style="8" customWidth="1"/>
    <col min="18" max="18" width="13.42578125" style="8" bestFit="1" customWidth="1"/>
    <col min="19" max="19" width="27.42578125" style="8" bestFit="1" customWidth="1"/>
    <col min="20" max="16384" width="8.85546875" style="8"/>
  </cols>
  <sheetData>
    <row r="1" spans="1:24" s="1" customFormat="1" ht="12.75" x14ac:dyDescent="0.2">
      <c r="D1" s="6"/>
      <c r="E1" s="6"/>
    </row>
    <row r="2" spans="1:24" s="1" customFormat="1" x14ac:dyDescent="0.25">
      <c r="C2" s="2" t="s">
        <v>67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25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2.75" x14ac:dyDescent="0.2"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  <c r="L4" s="3" t="s">
        <v>76</v>
      </c>
      <c r="M4" s="3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</row>
    <row r="5" spans="1:24" s="1" customFormat="1" ht="24" customHeight="1" x14ac:dyDescent="0.2">
      <c r="C5" s="4" t="s">
        <v>84</v>
      </c>
      <c r="D5" s="77" t="s">
        <v>85</v>
      </c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9"/>
      <c r="T5" s="9"/>
    </row>
    <row r="6" spans="1:24" s="1" customFormat="1" ht="24" customHeight="1" x14ac:dyDescent="0.2">
      <c r="C6" s="10"/>
      <c r="D6" s="11"/>
      <c r="E6" s="74" t="s">
        <v>86</v>
      </c>
      <c r="F6" s="75"/>
      <c r="G6" s="75"/>
      <c r="H6" s="75"/>
      <c r="I6" s="75"/>
      <c r="J6" s="75"/>
      <c r="K6" s="74" t="s">
        <v>87</v>
      </c>
      <c r="L6" s="75"/>
      <c r="M6" s="75"/>
      <c r="N6" s="75"/>
      <c r="O6" s="75"/>
      <c r="P6" s="75"/>
      <c r="Q6" s="76"/>
      <c r="R6" s="77" t="s">
        <v>88</v>
      </c>
      <c r="S6" s="79"/>
      <c r="T6" s="9"/>
    </row>
    <row r="7" spans="1:24" s="1" customFormat="1" ht="43.7" customHeight="1" x14ac:dyDescent="0.2">
      <c r="C7" s="5"/>
      <c r="D7" s="12"/>
      <c r="E7" s="13" t="s">
        <v>89</v>
      </c>
      <c r="F7" s="13" t="s">
        <v>90</v>
      </c>
      <c r="G7" s="13" t="s">
        <v>91</v>
      </c>
      <c r="H7" s="13" t="s">
        <v>92</v>
      </c>
      <c r="I7" s="13" t="s">
        <v>93</v>
      </c>
      <c r="J7" s="13" t="s">
        <v>94</v>
      </c>
      <c r="K7" s="12" t="s">
        <v>51</v>
      </c>
      <c r="L7" s="12" t="s">
        <v>47</v>
      </c>
      <c r="M7" s="12" t="s">
        <v>50</v>
      </c>
      <c r="N7" s="12" t="s">
        <v>38</v>
      </c>
      <c r="O7" s="12" t="s">
        <v>42</v>
      </c>
      <c r="P7" s="12" t="s">
        <v>55</v>
      </c>
      <c r="Q7" s="12" t="s">
        <v>59</v>
      </c>
      <c r="R7" s="14"/>
      <c r="S7" s="18" t="s">
        <v>95</v>
      </c>
      <c r="T7" s="9"/>
    </row>
    <row r="8" spans="1:24" s="1" customFormat="1" ht="12.75" x14ac:dyDescent="0.2">
      <c r="B8" s="3">
        <v>1</v>
      </c>
      <c r="C8" s="15" t="s">
        <v>96</v>
      </c>
      <c r="D8" s="27">
        <f>+'Versão reportada'!D8-'Versão estrutural'!D8</f>
        <v>-0.22759499999665422</v>
      </c>
      <c r="E8" s="29">
        <f>+'Versão reportada'!E8-'Versão estrutural'!E8</f>
        <v>0</v>
      </c>
      <c r="F8" s="29">
        <f>+'Versão reportada'!F8-'Versão estrutural'!F8</f>
        <v>0</v>
      </c>
      <c r="G8" s="29">
        <f>+'Versão reportada'!G8-'Versão estrutural'!G8</f>
        <v>-0.22759499999983746</v>
      </c>
      <c r="H8" s="29">
        <f>+'Versão reportada'!H8-'Versão estrutural'!H8</f>
        <v>0</v>
      </c>
      <c r="I8" s="29">
        <f>+'Versão reportada'!I8-'Versão estrutural'!I8</f>
        <v>0</v>
      </c>
      <c r="J8" s="29">
        <f>+'Versão reportada'!J8-'Versão estrutural'!J8</f>
        <v>0</v>
      </c>
      <c r="K8" s="27">
        <f>+'Versão reportada'!K8-'Versão estrutural'!K8</f>
        <v>0</v>
      </c>
      <c r="L8" s="27">
        <f>+'Versão reportada'!L8-'Versão estrutural'!L8</f>
        <v>0</v>
      </c>
      <c r="M8" s="27">
        <f>+'Versão reportada'!M8-'Versão estrutural'!M8</f>
        <v>0</v>
      </c>
      <c r="N8" s="27">
        <f>+'Versão reportada'!N8-'Versão estrutural'!N8</f>
        <v>0</v>
      </c>
      <c r="O8" s="27">
        <f>+'Versão reportada'!O8-'Versão estrutural'!O8</f>
        <v>-0.22759500000006483</v>
      </c>
      <c r="P8" s="27">
        <f>+'Versão reportada'!P8-'Versão estrutural'!P8</f>
        <v>0</v>
      </c>
      <c r="Q8" s="27">
        <f>+'Versão reportada'!Q8-'Versão estrutural'!Q8</f>
        <v>0</v>
      </c>
      <c r="R8" s="27">
        <f>+'Versão reportada'!R8-'Versão estrutural'!R8</f>
        <v>0</v>
      </c>
      <c r="S8" s="28">
        <f>+'Versão reportada'!S8-'Versão estrutural'!S8</f>
        <v>0</v>
      </c>
      <c r="T8" s="9"/>
    </row>
    <row r="9" spans="1:24" s="1" customFormat="1" x14ac:dyDescent="0.25">
      <c r="A9" s="26" t="s">
        <v>37</v>
      </c>
      <c r="B9" s="3">
        <v>2</v>
      </c>
      <c r="C9" s="16" t="s">
        <v>97</v>
      </c>
      <c r="D9" s="27">
        <f>+'Versão reportada'!D9-'Versão estrutural'!D9</f>
        <v>-0.22759499999983746</v>
      </c>
      <c r="E9" s="29">
        <f>+'Versão reportada'!E9-'Versão estrutural'!E9</f>
        <v>0</v>
      </c>
      <c r="F9" s="29">
        <f>+'Versão reportada'!F9-'Versão estrutural'!F9</f>
        <v>0</v>
      </c>
      <c r="G9" s="29">
        <f>+'Versão reportada'!G9-'Versão estrutural'!G9</f>
        <v>-0.22759500000000799</v>
      </c>
      <c r="H9" s="29">
        <f>+'Versão reportada'!H9-'Versão estrutural'!H9</f>
        <v>0</v>
      </c>
      <c r="I9" s="29">
        <f>+'Versão reportada'!I9-'Versão estrutural'!I9</f>
        <v>0</v>
      </c>
      <c r="J9" s="29">
        <f>+'Versão reportada'!J9-'Versão estrutural'!J9</f>
        <v>0</v>
      </c>
      <c r="K9" s="27">
        <f>+'Versão reportada'!K9-'Versão estrutural'!K9</f>
        <v>0</v>
      </c>
      <c r="L9" s="27">
        <f>+'Versão reportada'!L9-'Versão estrutural'!L9</f>
        <v>0</v>
      </c>
      <c r="M9" s="27">
        <f>+'Versão reportada'!M9-'Versão estrutural'!M9</f>
        <v>0</v>
      </c>
      <c r="N9" s="27">
        <f>+'Versão reportada'!N9-'Versão estrutural'!N9</f>
        <v>0</v>
      </c>
      <c r="O9" s="27">
        <f>+'Versão reportada'!O9-'Versão estrutural'!O9</f>
        <v>-0.22759500000000088</v>
      </c>
      <c r="P9" s="27">
        <f>+'Versão reportada'!P9-'Versão estrutural'!P9</f>
        <v>0</v>
      </c>
      <c r="Q9" s="27">
        <f>+'Versão reportada'!Q9-'Versão estrutural'!Q9</f>
        <v>0</v>
      </c>
      <c r="R9" s="27">
        <f>+'Versão reportada'!R9-'Versão estrutural'!R9</f>
        <v>0</v>
      </c>
      <c r="S9" s="28">
        <f>+'Versão reportada'!S9-'Versão estrutural'!S9</f>
        <v>0</v>
      </c>
      <c r="T9" s="9"/>
    </row>
    <row r="10" spans="1:24" s="1" customFormat="1" x14ac:dyDescent="0.25">
      <c r="A10" s="26" t="s">
        <v>46</v>
      </c>
      <c r="B10" s="3">
        <v>3</v>
      </c>
      <c r="C10" s="16" t="s">
        <v>98</v>
      </c>
      <c r="D10" s="27">
        <f>+'Versão reportada'!D10-'Versão estrutural'!D10</f>
        <v>0</v>
      </c>
      <c r="E10" s="29">
        <f>+'Versão reportada'!E10-'Versão estrutural'!E10</f>
        <v>0</v>
      </c>
      <c r="F10" s="29">
        <f>+'Versão reportada'!F10-'Versão estrutural'!F10</f>
        <v>0</v>
      </c>
      <c r="G10" s="29">
        <f>+'Versão reportada'!G10-'Versão estrutural'!G10</f>
        <v>0</v>
      </c>
      <c r="H10" s="29">
        <f>+'Versão reportada'!H10-'Versão estrutural'!H10</f>
        <v>0</v>
      </c>
      <c r="I10" s="29">
        <f>+'Versão reportada'!I10-'Versão estrutural'!I10</f>
        <v>0</v>
      </c>
      <c r="J10" s="29">
        <f>+'Versão reportada'!J10-'Versão estrutural'!J10</f>
        <v>0</v>
      </c>
      <c r="K10" s="27">
        <f>+'Versão reportada'!K10-'Versão estrutural'!K10</f>
        <v>0</v>
      </c>
      <c r="L10" s="27">
        <f>+'Versão reportada'!L10-'Versão estrutural'!L10</f>
        <v>0</v>
      </c>
      <c r="M10" s="27">
        <f>+'Versão reportada'!M10-'Versão estrutural'!M10</f>
        <v>0</v>
      </c>
      <c r="N10" s="27">
        <f>+'Versão reportada'!N10-'Versão estrutural'!N10</f>
        <v>0</v>
      </c>
      <c r="O10" s="27">
        <f>+'Versão reportada'!O10-'Versão estrutural'!O10</f>
        <v>0</v>
      </c>
      <c r="P10" s="27">
        <f>+'Versão reportada'!P10-'Versão estrutural'!P10</f>
        <v>0</v>
      </c>
      <c r="Q10" s="27">
        <f>+'Versão reportada'!Q10-'Versão estrutural'!Q10</f>
        <v>0</v>
      </c>
      <c r="R10" s="27">
        <f>+'Versão reportada'!R10-'Versão estrutural'!R10</f>
        <v>0</v>
      </c>
      <c r="S10" s="28">
        <f>+'Versão reportada'!S10-'Versão estrutural'!S10</f>
        <v>0</v>
      </c>
      <c r="T10" s="9"/>
    </row>
    <row r="11" spans="1:24" s="1" customFormat="1" x14ac:dyDescent="0.25">
      <c r="A11" s="26" t="s">
        <v>53</v>
      </c>
      <c r="B11" s="3">
        <v>4</v>
      </c>
      <c r="C11" s="16" t="s">
        <v>99</v>
      </c>
      <c r="D11" s="27">
        <f>+'Versão reportada'!D11-'Versão estrutural'!D11</f>
        <v>0</v>
      </c>
      <c r="E11" s="29">
        <f>+'Versão reportada'!E11-'Versão estrutural'!E11</f>
        <v>0</v>
      </c>
      <c r="F11" s="29">
        <f>+'Versão reportada'!F11-'Versão estrutural'!F11</f>
        <v>0</v>
      </c>
      <c r="G11" s="29">
        <f>+'Versão reportada'!G11-'Versão estrutural'!G11</f>
        <v>0</v>
      </c>
      <c r="H11" s="29">
        <f>+'Versão reportada'!H11-'Versão estrutural'!H11</f>
        <v>0</v>
      </c>
      <c r="I11" s="29">
        <f>+'Versão reportada'!I11-'Versão estrutural'!I11</f>
        <v>0</v>
      </c>
      <c r="J11" s="29">
        <f>+'Versão reportada'!J11-'Versão estrutural'!J11</f>
        <v>0</v>
      </c>
      <c r="K11" s="27">
        <f>+'Versão reportada'!K11-'Versão estrutural'!K11</f>
        <v>0</v>
      </c>
      <c r="L11" s="27">
        <f>+'Versão reportada'!L11-'Versão estrutural'!L11</f>
        <v>0</v>
      </c>
      <c r="M11" s="27">
        <f>+'Versão reportada'!M11-'Versão estrutural'!M11</f>
        <v>0</v>
      </c>
      <c r="N11" s="27">
        <f>+'Versão reportada'!N11-'Versão estrutural'!N11</f>
        <v>0</v>
      </c>
      <c r="O11" s="27">
        <f>+'Versão reportada'!O11-'Versão estrutural'!O11</f>
        <v>0</v>
      </c>
      <c r="P11" s="27">
        <f>+'Versão reportada'!P11-'Versão estrutural'!P11</f>
        <v>0</v>
      </c>
      <c r="Q11" s="27">
        <f>+'Versão reportada'!Q11-'Versão estrutural'!Q11</f>
        <v>0</v>
      </c>
      <c r="R11" s="27">
        <f>+'Versão reportada'!R11-'Versão estrutural'!R11</f>
        <v>0</v>
      </c>
      <c r="S11" s="28">
        <f>+'Versão reportada'!S11-'Versão estrutural'!S11</f>
        <v>0</v>
      </c>
      <c r="T11" s="9"/>
    </row>
    <row r="12" spans="1:24" s="1" customFormat="1" x14ac:dyDescent="0.25">
      <c r="A12" s="26" t="s">
        <v>63</v>
      </c>
      <c r="B12" s="3">
        <v>5</v>
      </c>
      <c r="C12" s="17" t="s">
        <v>100</v>
      </c>
      <c r="D12" s="27">
        <f>+'Versão reportada'!D12-'Versão estrutural'!D12</f>
        <v>0</v>
      </c>
      <c r="E12" s="29">
        <f>+'Versão reportada'!E12-'Versão estrutural'!E12</f>
        <v>0</v>
      </c>
      <c r="F12" s="29">
        <f>+'Versão reportada'!F12-'Versão estrutural'!F12</f>
        <v>0</v>
      </c>
      <c r="G12" s="29">
        <f>+'Versão reportada'!G12-'Versão estrutural'!G12</f>
        <v>0</v>
      </c>
      <c r="H12" s="29">
        <f>+'Versão reportada'!H12-'Versão estrutural'!H12</f>
        <v>0</v>
      </c>
      <c r="I12" s="29">
        <f>+'Versão reportada'!I12-'Versão estrutural'!I12</f>
        <v>0</v>
      </c>
      <c r="J12" s="29">
        <f>+'Versão reportada'!J12-'Versão estrutural'!J12</f>
        <v>0</v>
      </c>
      <c r="K12" s="69">
        <f>+'Versão reportada'!K12-'Versão estrutural'!K12</f>
        <v>0</v>
      </c>
      <c r="L12" s="69">
        <f>+'Versão reportada'!L12-'Versão estrutural'!L12</f>
        <v>0</v>
      </c>
      <c r="M12" s="69">
        <f>+'Versão reportada'!M12-'Versão estrutural'!M12</f>
        <v>0</v>
      </c>
      <c r="N12" s="69">
        <f>+'Versão reportada'!N12-'Versão estrutural'!N12</f>
        <v>0</v>
      </c>
      <c r="O12" s="69">
        <f>+'Versão reportada'!O12-'Versão estrutural'!O12</f>
        <v>0</v>
      </c>
      <c r="P12" s="69">
        <f>+'Versão reportada'!P12-'Versão estrutural'!P12</f>
        <v>0</v>
      </c>
      <c r="Q12" s="69">
        <f>+'Versão reportada'!Q12-'Versão estrutural'!Q12</f>
        <v>0</v>
      </c>
      <c r="R12" s="27">
        <f>+'Versão reportada'!R12-'Versão estrutural'!R12</f>
        <v>0</v>
      </c>
      <c r="S12" s="28">
        <f>+'Versão reportada'!S12-'Versão estrutural'!S12</f>
        <v>0</v>
      </c>
      <c r="T12" s="9"/>
    </row>
    <row r="13" spans="1:24" s="1" customFormat="1" x14ac:dyDescent="0.25">
      <c r="A13" s="26"/>
      <c r="B13" s="3">
        <v>6</v>
      </c>
      <c r="C13" s="15" t="s">
        <v>101</v>
      </c>
      <c r="D13" s="27">
        <f>+'Versão reportada'!D13-'Versão estrutural'!D13</f>
        <v>0</v>
      </c>
      <c r="E13" s="27">
        <f>+'Versão reportada'!E13-'Versão estrutural'!E13</f>
        <v>0</v>
      </c>
      <c r="F13" s="27">
        <f>+'Versão reportada'!F13-'Versão estrutural'!F13</f>
        <v>0</v>
      </c>
      <c r="G13" s="27">
        <f>+'Versão reportada'!G13-'Versão estrutural'!G13</f>
        <v>0</v>
      </c>
      <c r="H13" s="27">
        <f>+'Versão reportada'!H13-'Versão estrutural'!H13</f>
        <v>0</v>
      </c>
      <c r="I13" s="27">
        <f>+'Versão reportada'!I13-'Versão estrutural'!I13</f>
        <v>0</v>
      </c>
      <c r="J13" s="27">
        <f>+'Versão reportada'!J13-'Versão estrutural'!J13</f>
        <v>0</v>
      </c>
      <c r="K13" s="27">
        <f>+'Versão reportada'!K13-'Versão estrutural'!K13</f>
        <v>0</v>
      </c>
      <c r="L13" s="27">
        <f>+'Versão reportada'!L13-'Versão estrutural'!L13</f>
        <v>0</v>
      </c>
      <c r="M13" s="27">
        <f>+'Versão reportada'!M13-'Versão estrutural'!M13</f>
        <v>0</v>
      </c>
      <c r="N13" s="27">
        <f>+'Versão reportada'!N13-'Versão estrutural'!N13</f>
        <v>0</v>
      </c>
      <c r="O13" s="27">
        <f>+'Versão reportada'!O13-'Versão estrutural'!O13</f>
        <v>0</v>
      </c>
      <c r="P13" s="27">
        <f>+'Versão reportada'!P13-'Versão estrutural'!P13</f>
        <v>0</v>
      </c>
      <c r="Q13" s="27">
        <f>+'Versão reportada'!Q13-'Versão estrutural'!Q13</f>
        <v>0</v>
      </c>
      <c r="R13" s="27">
        <f>+'Versão reportada'!R13-'Versão estrutural'!R13</f>
        <v>0</v>
      </c>
      <c r="S13" s="28">
        <f>+'Versão reportada'!S13-'Versão estrutural'!S13</f>
        <v>0</v>
      </c>
    </row>
    <row r="14" spans="1:24" x14ac:dyDescent="0.25">
      <c r="A14" s="26" t="s">
        <v>37</v>
      </c>
      <c r="B14" s="3">
        <v>7</v>
      </c>
      <c r="C14" s="16" t="s">
        <v>97</v>
      </c>
      <c r="D14" s="27">
        <f>+'Versão reportada'!D14-'Versão estrutural'!D14</f>
        <v>0</v>
      </c>
      <c r="E14" s="29">
        <f>+'Versão reportada'!E14-'Versão estrutural'!E14</f>
        <v>0</v>
      </c>
      <c r="F14" s="29">
        <f>+'Versão reportada'!F14-'Versão estrutural'!F14</f>
        <v>0</v>
      </c>
      <c r="G14" s="29">
        <f>+'Versão reportada'!G14-'Versão estrutural'!G14</f>
        <v>0</v>
      </c>
      <c r="H14" s="29">
        <f>+'Versão reportada'!H14-'Versão estrutural'!H14</f>
        <v>0</v>
      </c>
      <c r="I14" s="29">
        <f>+'Versão reportada'!I14-'Versão estrutural'!I14</f>
        <v>0</v>
      </c>
      <c r="J14" s="29">
        <f>+'Versão reportada'!J14-'Versão estrutural'!J14</f>
        <v>0</v>
      </c>
      <c r="K14" s="27">
        <f>+'Versão reportada'!K14-'Versão estrutural'!K14</f>
        <v>0</v>
      </c>
      <c r="L14" s="27">
        <f>+'Versão reportada'!L14-'Versão estrutural'!L14</f>
        <v>0</v>
      </c>
      <c r="M14" s="27">
        <f>+'Versão reportada'!M14-'Versão estrutural'!M14</f>
        <v>0</v>
      </c>
      <c r="N14" s="27">
        <f>+'Versão reportada'!N14-'Versão estrutural'!N14</f>
        <v>0</v>
      </c>
      <c r="O14" s="27">
        <f>+'Versão reportada'!O14-'Versão estrutural'!O14</f>
        <v>0</v>
      </c>
      <c r="P14" s="27">
        <f>+'Versão reportada'!P14-'Versão estrutural'!P14</f>
        <v>0</v>
      </c>
      <c r="Q14" s="27">
        <f>+'Versão reportada'!Q14-'Versão estrutural'!Q14</f>
        <v>0</v>
      </c>
      <c r="R14" s="27">
        <f>+'Versão reportada'!R14-'Versão estrutural'!R14</f>
        <v>0</v>
      </c>
      <c r="S14" s="28">
        <f>+'Versão reportada'!S14-'Versão estrutural'!S14</f>
        <v>0</v>
      </c>
    </row>
    <row r="15" spans="1:24" x14ac:dyDescent="0.25">
      <c r="A15" s="26" t="s">
        <v>46</v>
      </c>
      <c r="B15" s="3">
        <v>8</v>
      </c>
      <c r="C15" s="16" t="s">
        <v>98</v>
      </c>
      <c r="D15" s="27">
        <f>+'Versão reportada'!D15-'Versão estrutural'!D15</f>
        <v>0</v>
      </c>
      <c r="E15" s="29">
        <f>+'Versão reportada'!E15-'Versão estrutural'!E15</f>
        <v>0</v>
      </c>
      <c r="F15" s="29">
        <f>+'Versão reportada'!F15-'Versão estrutural'!F15</f>
        <v>0</v>
      </c>
      <c r="G15" s="29">
        <f>+'Versão reportada'!G15-'Versão estrutural'!G15</f>
        <v>0</v>
      </c>
      <c r="H15" s="29">
        <f>+'Versão reportada'!H15-'Versão estrutural'!H15</f>
        <v>0</v>
      </c>
      <c r="I15" s="29">
        <f>+'Versão reportada'!I15-'Versão estrutural'!I15</f>
        <v>0</v>
      </c>
      <c r="J15" s="29">
        <f>+'Versão reportada'!J15-'Versão estrutural'!J15</f>
        <v>0</v>
      </c>
      <c r="K15" s="27">
        <f>+'Versão reportada'!K15-'Versão estrutural'!K15</f>
        <v>0</v>
      </c>
      <c r="L15" s="27">
        <f>+'Versão reportada'!L15-'Versão estrutural'!L15</f>
        <v>0</v>
      </c>
      <c r="M15" s="27">
        <f>+'Versão reportada'!M15-'Versão estrutural'!M15</f>
        <v>0</v>
      </c>
      <c r="N15" s="27">
        <f>+'Versão reportada'!N15-'Versão estrutural'!N15</f>
        <v>0</v>
      </c>
      <c r="O15" s="27">
        <f>+'Versão reportada'!O15-'Versão estrutural'!O15</f>
        <v>0</v>
      </c>
      <c r="P15" s="27">
        <f>+'Versão reportada'!P15-'Versão estrutural'!P15</f>
        <v>0</v>
      </c>
      <c r="Q15" s="27">
        <f>+'Versão reportada'!Q15-'Versão estrutural'!Q15</f>
        <v>0</v>
      </c>
      <c r="R15" s="27">
        <f>+'Versão reportada'!R15-'Versão estrutural'!R15</f>
        <v>0</v>
      </c>
      <c r="S15" s="28">
        <f>+'Versão reportada'!S15-'Versão estrutural'!S15</f>
        <v>0</v>
      </c>
    </row>
    <row r="16" spans="1:24" s="1" customFormat="1" ht="12.75" x14ac:dyDescent="0.2">
      <c r="A16" s="23" t="s">
        <v>53</v>
      </c>
      <c r="B16" s="3">
        <v>9</v>
      </c>
      <c r="C16" s="16" t="s">
        <v>99</v>
      </c>
      <c r="D16" s="27">
        <f>+'Versão reportada'!D16-'Versão estrutural'!D16</f>
        <v>0</v>
      </c>
      <c r="E16" s="29">
        <f>+'Versão reportada'!E16-'Versão estrutural'!E16</f>
        <v>0</v>
      </c>
      <c r="F16" s="29">
        <f>+'Versão reportada'!F16-'Versão estrutural'!F16</f>
        <v>0</v>
      </c>
      <c r="G16" s="29">
        <f>+'Versão reportada'!G16-'Versão estrutural'!G16</f>
        <v>0</v>
      </c>
      <c r="H16" s="29">
        <f>+'Versão reportada'!H16-'Versão estrutural'!H16</f>
        <v>0</v>
      </c>
      <c r="I16" s="29">
        <f>+'Versão reportada'!I16-'Versão estrutural'!I16</f>
        <v>0</v>
      </c>
      <c r="J16" s="29">
        <f>+'Versão reportada'!J16-'Versão estrutural'!J16</f>
        <v>0</v>
      </c>
      <c r="K16" s="27">
        <f>+'Versão reportada'!K16-'Versão estrutural'!K16</f>
        <v>0</v>
      </c>
      <c r="L16" s="27">
        <f>+'Versão reportada'!L16-'Versão estrutural'!L16</f>
        <v>0</v>
      </c>
      <c r="M16" s="27">
        <f>+'Versão reportada'!M16-'Versão estrutural'!M16</f>
        <v>0</v>
      </c>
      <c r="N16" s="27">
        <f>+'Versão reportada'!N16-'Versão estrutural'!N16</f>
        <v>0</v>
      </c>
      <c r="O16" s="27">
        <f>+'Versão reportada'!O16-'Versão estrutural'!O16</f>
        <v>0</v>
      </c>
      <c r="P16" s="27">
        <f>+'Versão reportada'!P16-'Versão estrutural'!P16</f>
        <v>0</v>
      </c>
      <c r="Q16" s="27">
        <f>+'Versão reportada'!Q16-'Versão estrutural'!Q16</f>
        <v>0</v>
      </c>
      <c r="R16" s="27">
        <f>+'Versão reportada'!R16-'Versão estrutural'!R16</f>
        <v>0</v>
      </c>
      <c r="S16" s="28">
        <f>+'Versão reportada'!S16-'Versão estrutural'!S16</f>
        <v>0</v>
      </c>
      <c r="T16" s="9"/>
    </row>
    <row r="17" spans="1:20" s="1" customFormat="1" ht="12.75" x14ac:dyDescent="0.2">
      <c r="A17" s="23" t="s">
        <v>63</v>
      </c>
      <c r="B17" s="3">
        <v>10</v>
      </c>
      <c r="C17" s="17" t="s">
        <v>100</v>
      </c>
      <c r="D17" s="27">
        <f>+'Versão reportada'!D17-'Versão estrutural'!D17</f>
        <v>0</v>
      </c>
      <c r="E17" s="29">
        <f>+'Versão reportada'!E17-'Versão estrutural'!E17</f>
        <v>0</v>
      </c>
      <c r="F17" s="29">
        <f>+'Versão reportada'!F17-'Versão estrutural'!F17</f>
        <v>0</v>
      </c>
      <c r="G17" s="29">
        <f>+'Versão reportada'!G17-'Versão estrutural'!G17</f>
        <v>0</v>
      </c>
      <c r="H17" s="29">
        <f>+'Versão reportada'!H17-'Versão estrutural'!H17</f>
        <v>0</v>
      </c>
      <c r="I17" s="29">
        <f>+'Versão reportada'!I17-'Versão estrutural'!I17</f>
        <v>0</v>
      </c>
      <c r="J17" s="29">
        <f>+'Versão reportada'!J17-'Versão estrutural'!J17</f>
        <v>0</v>
      </c>
      <c r="K17" s="69">
        <f>+'Versão reportada'!K17-'Versão estrutural'!K17</f>
        <v>0</v>
      </c>
      <c r="L17" s="69">
        <f>+'Versão reportada'!L17-'Versão estrutural'!L17</f>
        <v>0</v>
      </c>
      <c r="M17" s="69">
        <f>+'Versão reportada'!M17-'Versão estrutural'!M17</f>
        <v>0</v>
      </c>
      <c r="N17" s="69">
        <f>+'Versão reportada'!N17-'Versão estrutural'!N17</f>
        <v>0</v>
      </c>
      <c r="O17" s="69">
        <f>+'Versão reportada'!O17-'Versão estrutural'!O17</f>
        <v>0</v>
      </c>
      <c r="P17" s="69">
        <f>+'Versão reportada'!P17-'Versão estrutural'!P17</f>
        <v>0</v>
      </c>
      <c r="Q17" s="69">
        <f>+'Versão reportada'!Q17-'Versão estrutural'!Q17</f>
        <v>0</v>
      </c>
      <c r="R17" s="27">
        <f>+'Versão reportada'!R17-'Versão estrutural'!R17</f>
        <v>0</v>
      </c>
      <c r="S17" s="28">
        <f>+'Versão reportada'!S17-'Versão estrutural'!S17</f>
        <v>0</v>
      </c>
      <c r="T17" s="9"/>
    </row>
    <row r="18" spans="1:20" x14ac:dyDescent="0.25">
      <c r="D18" s="24" t="s">
        <v>40</v>
      </c>
      <c r="E18" s="24" t="s">
        <v>48</v>
      </c>
      <c r="F18" s="24" t="s">
        <v>39</v>
      </c>
      <c r="G18" s="24" t="s">
        <v>43</v>
      </c>
      <c r="H18" s="24" t="s">
        <v>58</v>
      </c>
      <c r="I18" s="24" t="s">
        <v>66</v>
      </c>
      <c r="J18" s="24" t="s">
        <v>61</v>
      </c>
      <c r="K18" s="25" t="s">
        <v>41</v>
      </c>
      <c r="L18" s="26" t="s">
        <v>41</v>
      </c>
      <c r="M18" s="26" t="s">
        <v>41</v>
      </c>
      <c r="N18" s="26" t="s">
        <v>41</v>
      </c>
      <c r="O18" s="26" t="s">
        <v>41</v>
      </c>
      <c r="P18" s="26" t="s">
        <v>41</v>
      </c>
      <c r="Q18" s="26" t="s">
        <v>41</v>
      </c>
      <c r="R18" s="24" t="s">
        <v>63</v>
      </c>
      <c r="S18" s="25" t="s">
        <v>64</v>
      </c>
    </row>
    <row r="19" spans="1:20" x14ac:dyDescent="0.25">
      <c r="D19" s="24" t="s">
        <v>49</v>
      </c>
      <c r="E19" s="26" t="s">
        <v>45</v>
      </c>
      <c r="F19" s="26"/>
      <c r="G19" s="26"/>
      <c r="H19" s="26"/>
      <c r="I19" s="26"/>
      <c r="J19" s="26"/>
      <c r="K19" s="24" t="s">
        <v>102</v>
      </c>
      <c r="L19" s="26" t="s">
        <v>102</v>
      </c>
      <c r="M19" s="26" t="s">
        <v>102</v>
      </c>
      <c r="N19" s="26" t="s">
        <v>102</v>
      </c>
      <c r="O19" s="26" t="s">
        <v>102</v>
      </c>
      <c r="P19" s="26" t="s">
        <v>102</v>
      </c>
      <c r="Q19" s="26" t="s">
        <v>102</v>
      </c>
      <c r="R19" s="26"/>
      <c r="S19" s="26"/>
    </row>
    <row r="20" spans="1:20" x14ac:dyDescent="0.25">
      <c r="D20" s="26"/>
      <c r="E20" s="26"/>
      <c r="F20" s="26"/>
      <c r="G20" s="26"/>
      <c r="H20" s="26"/>
      <c r="I20" s="26"/>
      <c r="J20" s="26"/>
      <c r="K20" s="24" t="s">
        <v>65</v>
      </c>
      <c r="L20" s="24" t="s">
        <v>65</v>
      </c>
      <c r="M20" s="24" t="s">
        <v>65</v>
      </c>
      <c r="N20" s="24" t="s">
        <v>65</v>
      </c>
      <c r="O20" s="24" t="s">
        <v>65</v>
      </c>
      <c r="P20" s="24" t="s">
        <v>65</v>
      </c>
      <c r="Q20" s="24" t="s">
        <v>65</v>
      </c>
      <c r="R20" s="24"/>
      <c r="S20" s="26"/>
    </row>
  </sheetData>
  <mergeCells count="4">
    <mergeCell ref="D5:S5"/>
    <mergeCell ref="E6:J6"/>
    <mergeCell ref="K6:Q6"/>
    <mergeCell ref="R6:S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D6E80A2-EF4A-4D55-B2DD-89BEED3D2647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Versão estrutural</vt:lpstr>
      <vt:lpstr>Versão reportada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Hélder Filipe Felicidade Fernandes</cp:lastModifiedBy>
  <cp:revision/>
  <dcterms:created xsi:type="dcterms:W3CDTF">2021-09-06T12:20:44Z</dcterms:created>
  <dcterms:modified xsi:type="dcterms:W3CDTF">2025-10-16T22:35:52Z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0x010100AE0148DB1B66DA499B9393429ED53FDC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