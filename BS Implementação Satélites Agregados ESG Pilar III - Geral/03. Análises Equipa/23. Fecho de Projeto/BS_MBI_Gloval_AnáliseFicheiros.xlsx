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TestesGDPilar3ESG/Shared Documents/General/03. Bens Imoveis/5. Gloval/"/>
    </mc:Choice>
  </mc:AlternateContent>
  <xr:revisionPtr revIDLastSave="9" documentId="11_ADF1BFBE722A800270BB4A0B0F12CD16C7D3B16E" xr6:coauthVersionLast="47" xr6:coauthVersionMax="47" xr10:uidLastSave="{F4D3B113-850C-40B0-A72C-7BBDBF4B2136}"/>
  <bookViews>
    <workbookView xWindow="-120" yWindow="-120" windowWidth="29040" windowHeight="15720" xr2:uid="{00000000-000D-0000-FFFF-FFFF00000000}"/>
  </bookViews>
  <sheets>
    <sheet name="1. Análise" sheetId="1" r:id="rId1"/>
    <sheet name="2. Pressupostos " sheetId="17" r:id="rId2"/>
    <sheet name="3. Incidências &gt;&gt;" sheetId="4" r:id="rId3"/>
    <sheet name="1A_Aux1" sheetId="5" r:id="rId4"/>
    <sheet name="1A_Aux2" sheetId="14" r:id="rId5"/>
    <sheet name="1A_Aux3" sheetId="9" r:id="rId6"/>
    <sheet name="2A_Aux1" sheetId="10" r:id="rId7"/>
    <sheet name="2B_Aux1" sheetId="11" r:id="rId8"/>
    <sheet name="2C_Aux1" sheetId="12" r:id="rId9"/>
    <sheet name="3_Aux1" sheetId="16" r:id="rId10"/>
    <sheet name="3_Aux2" sheetId="18" r:id="rId11"/>
  </sheets>
  <definedNames>
    <definedName name="_xlnm._FilterDatabase" localSheetId="3" hidden="1">'1A_Aux1'!$B$3:$F$155</definedName>
    <definedName name="_xlnm._FilterDatabase" localSheetId="4" hidden="1">'1A_Aux2'!$A$4:$EC$157</definedName>
    <definedName name="_xlnm._FilterDatabase" localSheetId="5" hidden="1">'1A_Aux3'!$B$2:$D$110</definedName>
    <definedName name="_xlnm._FilterDatabase" localSheetId="7" hidden="1">'2B_Aux1'!$B$2:$F$109</definedName>
    <definedName name="_xlnm._FilterDatabase" localSheetId="10" hidden="1">'3_Aux2'!$B$2:$H$1223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16" l="1"/>
  <c r="H16" i="16"/>
  <c r="I15" i="16"/>
  <c r="H15" i="16"/>
  <c r="I14" i="16"/>
  <c r="H14" i="16"/>
  <c r="I13" i="16"/>
  <c r="H13" i="16"/>
  <c r="I12" i="16"/>
  <c r="H12" i="16"/>
  <c r="I11" i="16"/>
  <c r="H11" i="16"/>
  <c r="I10" i="16"/>
  <c r="H10" i="16"/>
  <c r="I9" i="16"/>
  <c r="H9" i="16"/>
  <c r="I8" i="16"/>
  <c r="H8" i="16"/>
  <c r="I7" i="16"/>
  <c r="H7" i="16"/>
  <c r="I6" i="16"/>
  <c r="H6" i="16"/>
  <c r="I5" i="16"/>
  <c r="H5" i="16"/>
  <c r="I4" i="16"/>
  <c r="H4" i="16"/>
  <c r="I3" i="16"/>
  <c r="H3" i="16"/>
  <c r="EA156" i="14" l="1"/>
  <c r="DZ156" i="14"/>
  <c r="DX156" i="14"/>
  <c r="DW156" i="14"/>
  <c r="DV156" i="14"/>
  <c r="DU156" i="14"/>
  <c r="DT156" i="14"/>
  <c r="DS156" i="14"/>
  <c r="DR156" i="14"/>
  <c r="DQ156" i="14"/>
  <c r="DP156" i="14"/>
  <c r="DO156" i="14"/>
  <c r="DN156" i="14"/>
  <c r="DM156" i="14"/>
  <c r="DL156" i="14"/>
  <c r="DK156" i="14"/>
  <c r="DJ156" i="14"/>
  <c r="DI156" i="14"/>
  <c r="DH156" i="14"/>
  <c r="DG156" i="14"/>
  <c r="DF156" i="14"/>
  <c r="DE156" i="14"/>
  <c r="DD156" i="14"/>
  <c r="DC156" i="14"/>
  <c r="DB156" i="14"/>
  <c r="DA156" i="14"/>
  <c r="CZ156" i="14"/>
  <c r="CY156" i="14"/>
  <c r="CX156" i="14"/>
  <c r="CW156" i="14"/>
  <c r="CV156" i="14"/>
  <c r="CU156" i="14"/>
  <c r="CT156" i="14"/>
  <c r="CS156" i="14"/>
  <c r="CR156" i="14"/>
  <c r="CQ156" i="14"/>
  <c r="CP156" i="14"/>
  <c r="CO156" i="14"/>
  <c r="CN156" i="14"/>
  <c r="CM156" i="14"/>
  <c r="CL156" i="14"/>
  <c r="CK156" i="14"/>
  <c r="CJ156" i="14"/>
  <c r="CI156" i="14"/>
  <c r="CH156" i="14"/>
  <c r="EA155" i="14"/>
  <c r="DZ155" i="14"/>
  <c r="DX155" i="14"/>
  <c r="DW155" i="14"/>
  <c r="DV155" i="14"/>
  <c r="DU155" i="14"/>
  <c r="DT155" i="14"/>
  <c r="DS155" i="14"/>
  <c r="DR155" i="14"/>
  <c r="DQ155" i="14"/>
  <c r="DP155" i="14"/>
  <c r="DO155" i="14"/>
  <c r="DN155" i="14"/>
  <c r="DM155" i="14"/>
  <c r="DL155" i="14"/>
  <c r="DK155" i="14"/>
  <c r="DJ155" i="14"/>
  <c r="DI155" i="14"/>
  <c r="DH155" i="14"/>
  <c r="DG155" i="14"/>
  <c r="DF155" i="14"/>
  <c r="DE155" i="14"/>
  <c r="DD155" i="14"/>
  <c r="DC155" i="14"/>
  <c r="DB155" i="14"/>
  <c r="DA155" i="14"/>
  <c r="CZ155" i="14"/>
  <c r="CY155" i="14"/>
  <c r="CX155" i="14"/>
  <c r="CW155" i="14"/>
  <c r="CV155" i="14"/>
  <c r="CU155" i="14"/>
  <c r="CT155" i="14"/>
  <c r="CS155" i="14"/>
  <c r="CR155" i="14"/>
  <c r="CQ155" i="14"/>
  <c r="CP155" i="14"/>
  <c r="CO155" i="14"/>
  <c r="CN155" i="14"/>
  <c r="CM155" i="14"/>
  <c r="CL155" i="14"/>
  <c r="CK155" i="14"/>
  <c r="CJ155" i="14"/>
  <c r="CI155" i="14"/>
  <c r="CH155" i="14"/>
  <c r="EA154" i="14"/>
  <c r="DZ154" i="14"/>
  <c r="DX154" i="14"/>
  <c r="DW154" i="14"/>
  <c r="DV154" i="14"/>
  <c r="DU154" i="14"/>
  <c r="DT154" i="14"/>
  <c r="DS154" i="14"/>
  <c r="DR154" i="14"/>
  <c r="DQ154" i="14"/>
  <c r="DP154" i="14"/>
  <c r="DO154" i="14"/>
  <c r="DN154" i="14"/>
  <c r="DM154" i="14"/>
  <c r="DL154" i="14"/>
  <c r="DK154" i="14"/>
  <c r="DJ154" i="14"/>
  <c r="DI154" i="14"/>
  <c r="DH154" i="14"/>
  <c r="DG154" i="14"/>
  <c r="DF154" i="14"/>
  <c r="DE154" i="14"/>
  <c r="DD154" i="14"/>
  <c r="DC154" i="14"/>
  <c r="DB154" i="14"/>
  <c r="DA154" i="14"/>
  <c r="CZ154" i="14"/>
  <c r="CY154" i="14"/>
  <c r="CX154" i="14"/>
  <c r="CW154" i="14"/>
  <c r="CV154" i="14"/>
  <c r="CU154" i="14"/>
  <c r="CT154" i="14"/>
  <c r="CS154" i="14"/>
  <c r="CR154" i="14"/>
  <c r="CQ154" i="14"/>
  <c r="CP154" i="14"/>
  <c r="CO154" i="14"/>
  <c r="CN154" i="14"/>
  <c r="CM154" i="14"/>
  <c r="CL154" i="14"/>
  <c r="CK154" i="14"/>
  <c r="CJ154" i="14"/>
  <c r="CI154" i="14"/>
  <c r="CH154" i="14"/>
  <c r="EA153" i="14"/>
  <c r="DZ153" i="14"/>
  <c r="DX153" i="14"/>
  <c r="DW153" i="14"/>
  <c r="DV153" i="14"/>
  <c r="DU153" i="14"/>
  <c r="DT153" i="14"/>
  <c r="DS153" i="14"/>
  <c r="DR153" i="14"/>
  <c r="DQ153" i="14"/>
  <c r="DP153" i="14"/>
  <c r="DO153" i="14"/>
  <c r="DN153" i="14"/>
  <c r="DM153" i="14"/>
  <c r="DL153" i="14"/>
  <c r="DK153" i="14"/>
  <c r="DJ153" i="14"/>
  <c r="DI153" i="14"/>
  <c r="DH153" i="14"/>
  <c r="DG153" i="14"/>
  <c r="DF153" i="14"/>
  <c r="DE153" i="14"/>
  <c r="DD153" i="14"/>
  <c r="DC153" i="14"/>
  <c r="DB153" i="14"/>
  <c r="DA153" i="14"/>
  <c r="CZ153" i="14"/>
  <c r="CY153" i="14"/>
  <c r="CX153" i="14"/>
  <c r="CW153" i="14"/>
  <c r="CV153" i="14"/>
  <c r="CU153" i="14"/>
  <c r="CT153" i="14"/>
  <c r="CS153" i="14"/>
  <c r="CR153" i="14"/>
  <c r="CQ153" i="14"/>
  <c r="CP153" i="14"/>
  <c r="CO153" i="14"/>
  <c r="CN153" i="14"/>
  <c r="CM153" i="14"/>
  <c r="CL153" i="14"/>
  <c r="CK153" i="14"/>
  <c r="CJ153" i="14"/>
  <c r="CI153" i="14"/>
  <c r="CH153" i="14"/>
  <c r="EA152" i="14"/>
  <c r="DZ152" i="14"/>
  <c r="DX152" i="14"/>
  <c r="DW152" i="14"/>
  <c r="DV152" i="14"/>
  <c r="DU152" i="14"/>
  <c r="DT152" i="14"/>
  <c r="DS152" i="14"/>
  <c r="DR152" i="14"/>
  <c r="DQ152" i="14"/>
  <c r="DP152" i="14"/>
  <c r="DO152" i="14"/>
  <c r="DN152" i="14"/>
  <c r="DM152" i="14"/>
  <c r="DL152" i="14"/>
  <c r="DK152" i="14"/>
  <c r="DJ152" i="14"/>
  <c r="DI152" i="14"/>
  <c r="DH152" i="14"/>
  <c r="DG152" i="14"/>
  <c r="DF152" i="14"/>
  <c r="DE152" i="14"/>
  <c r="DD152" i="14"/>
  <c r="DC152" i="14"/>
  <c r="DB152" i="14"/>
  <c r="DA152" i="14"/>
  <c r="CZ152" i="14"/>
  <c r="CY152" i="14"/>
  <c r="CX152" i="14"/>
  <c r="CW152" i="14"/>
  <c r="CV152" i="14"/>
  <c r="CU152" i="14"/>
  <c r="CT152" i="14"/>
  <c r="CS152" i="14"/>
  <c r="CR152" i="14"/>
  <c r="CQ152" i="14"/>
  <c r="CP152" i="14"/>
  <c r="CO152" i="14"/>
  <c r="CN152" i="14"/>
  <c r="CM152" i="14"/>
  <c r="CL152" i="14"/>
  <c r="CK152" i="14"/>
  <c r="CJ152" i="14"/>
  <c r="CI152" i="14"/>
  <c r="CH152" i="14"/>
  <c r="EA151" i="14"/>
  <c r="DZ151" i="14"/>
  <c r="DX151" i="14"/>
  <c r="DW151" i="14"/>
  <c r="DV151" i="14"/>
  <c r="DU151" i="14"/>
  <c r="DT151" i="14"/>
  <c r="DS151" i="14"/>
  <c r="DR151" i="14"/>
  <c r="DQ151" i="14"/>
  <c r="DP151" i="14"/>
  <c r="DO151" i="14"/>
  <c r="DN151" i="14"/>
  <c r="DM151" i="14"/>
  <c r="DL151" i="14"/>
  <c r="DK151" i="14"/>
  <c r="DJ151" i="14"/>
  <c r="DI151" i="14"/>
  <c r="DH151" i="14"/>
  <c r="DG151" i="14"/>
  <c r="DF151" i="14"/>
  <c r="DE151" i="14"/>
  <c r="DD151" i="14"/>
  <c r="DC151" i="14"/>
  <c r="DB151" i="14"/>
  <c r="DA151" i="14"/>
  <c r="CZ151" i="14"/>
  <c r="CY151" i="14"/>
  <c r="CX151" i="14"/>
  <c r="CW151" i="14"/>
  <c r="CV151" i="14"/>
  <c r="CU151" i="14"/>
  <c r="CT151" i="14"/>
  <c r="CS151" i="14"/>
  <c r="CR151" i="14"/>
  <c r="CQ151" i="14"/>
  <c r="CP151" i="14"/>
  <c r="CO151" i="14"/>
  <c r="CN151" i="14"/>
  <c r="CM151" i="14"/>
  <c r="CL151" i="14"/>
  <c r="CK151" i="14"/>
  <c r="CJ151" i="14"/>
  <c r="CI151" i="14"/>
  <c r="CH151" i="14"/>
  <c r="EA150" i="14"/>
  <c r="DZ150" i="14"/>
  <c r="DX150" i="14"/>
  <c r="DW150" i="14"/>
  <c r="DV150" i="14"/>
  <c r="DU150" i="14"/>
  <c r="DT150" i="14"/>
  <c r="DS150" i="14"/>
  <c r="DR150" i="14"/>
  <c r="DQ150" i="14"/>
  <c r="DP150" i="14"/>
  <c r="DO150" i="14"/>
  <c r="DN150" i="14"/>
  <c r="DM150" i="14"/>
  <c r="DL150" i="14"/>
  <c r="DK150" i="14"/>
  <c r="DJ150" i="14"/>
  <c r="DI150" i="14"/>
  <c r="DH150" i="14"/>
  <c r="DG150" i="14"/>
  <c r="DF150" i="14"/>
  <c r="DE150" i="14"/>
  <c r="DD150" i="14"/>
  <c r="DC150" i="14"/>
  <c r="DB150" i="14"/>
  <c r="DA150" i="14"/>
  <c r="CZ150" i="14"/>
  <c r="CY150" i="14"/>
  <c r="CX150" i="14"/>
  <c r="CW150" i="14"/>
  <c r="CV150" i="14"/>
  <c r="CU150" i="14"/>
  <c r="CT150" i="14"/>
  <c r="CS150" i="14"/>
  <c r="CR150" i="14"/>
  <c r="CQ150" i="14"/>
  <c r="CP150" i="14"/>
  <c r="CO150" i="14"/>
  <c r="CN150" i="14"/>
  <c r="CM150" i="14"/>
  <c r="CL150" i="14"/>
  <c r="CK150" i="14"/>
  <c r="CJ150" i="14"/>
  <c r="CI150" i="14"/>
  <c r="CH150" i="14"/>
  <c r="EA149" i="14"/>
  <c r="DZ149" i="14"/>
  <c r="DX149" i="14"/>
  <c r="DW149" i="14"/>
  <c r="DV149" i="14"/>
  <c r="DU149" i="14"/>
  <c r="DT149" i="14"/>
  <c r="DS149" i="14"/>
  <c r="DR149" i="14"/>
  <c r="DQ149" i="14"/>
  <c r="DP149" i="14"/>
  <c r="DO149" i="14"/>
  <c r="DN149" i="14"/>
  <c r="DM149" i="14"/>
  <c r="DL149" i="14"/>
  <c r="DK149" i="14"/>
  <c r="DJ149" i="14"/>
  <c r="DI149" i="14"/>
  <c r="DH149" i="14"/>
  <c r="DG149" i="14"/>
  <c r="DF149" i="14"/>
  <c r="DE149" i="14"/>
  <c r="DD149" i="14"/>
  <c r="DC149" i="14"/>
  <c r="DB149" i="14"/>
  <c r="DA149" i="14"/>
  <c r="CZ149" i="14"/>
  <c r="CY149" i="14"/>
  <c r="CX149" i="14"/>
  <c r="CW149" i="14"/>
  <c r="CV149" i="14"/>
  <c r="CU149" i="14"/>
  <c r="CT149" i="14"/>
  <c r="CS149" i="14"/>
  <c r="CR149" i="14"/>
  <c r="CQ149" i="14"/>
  <c r="CP149" i="14"/>
  <c r="CO149" i="14"/>
  <c r="CN149" i="14"/>
  <c r="CM149" i="14"/>
  <c r="CL149" i="14"/>
  <c r="CK149" i="14"/>
  <c r="CJ149" i="14"/>
  <c r="CI149" i="14"/>
  <c r="CH149" i="14"/>
  <c r="EA148" i="14"/>
  <c r="DZ148" i="14"/>
  <c r="DX148" i="14"/>
  <c r="DW148" i="14"/>
  <c r="DV148" i="14"/>
  <c r="DU148" i="14"/>
  <c r="DT148" i="14"/>
  <c r="DS148" i="14"/>
  <c r="DR148" i="14"/>
  <c r="DQ148" i="14"/>
  <c r="DP148" i="14"/>
  <c r="DO148" i="14"/>
  <c r="DN148" i="14"/>
  <c r="DM148" i="14"/>
  <c r="DL148" i="14"/>
  <c r="DK148" i="14"/>
  <c r="DJ148" i="14"/>
  <c r="DI148" i="14"/>
  <c r="DH148" i="14"/>
  <c r="DG148" i="14"/>
  <c r="DF148" i="14"/>
  <c r="DE148" i="14"/>
  <c r="DD148" i="14"/>
  <c r="DC148" i="14"/>
  <c r="DB148" i="14"/>
  <c r="DA148" i="14"/>
  <c r="CZ148" i="14"/>
  <c r="CY148" i="14"/>
  <c r="CX148" i="14"/>
  <c r="CW148" i="14"/>
  <c r="CV148" i="14"/>
  <c r="CU148" i="14"/>
  <c r="CT148" i="14"/>
  <c r="CS148" i="14"/>
  <c r="CR148" i="14"/>
  <c r="CQ148" i="14"/>
  <c r="CP148" i="14"/>
  <c r="CO148" i="14"/>
  <c r="CN148" i="14"/>
  <c r="CM148" i="14"/>
  <c r="CL148" i="14"/>
  <c r="CK148" i="14"/>
  <c r="CJ148" i="14"/>
  <c r="CI148" i="14"/>
  <c r="CH148" i="14"/>
  <c r="EA147" i="14"/>
  <c r="DZ147" i="14"/>
  <c r="DX147" i="14"/>
  <c r="DW147" i="14"/>
  <c r="DV147" i="14"/>
  <c r="DU147" i="14"/>
  <c r="DT147" i="14"/>
  <c r="DS147" i="14"/>
  <c r="DR147" i="14"/>
  <c r="DQ147" i="14"/>
  <c r="DP147" i="14"/>
  <c r="DO147" i="14"/>
  <c r="DN147" i="14"/>
  <c r="DM147" i="14"/>
  <c r="DL147" i="14"/>
  <c r="DK147" i="14"/>
  <c r="DJ147" i="14"/>
  <c r="DI147" i="14"/>
  <c r="DH147" i="14"/>
  <c r="DG147" i="14"/>
  <c r="DF147" i="14"/>
  <c r="DE147" i="14"/>
  <c r="DD147" i="14"/>
  <c r="DC147" i="14"/>
  <c r="DB147" i="14"/>
  <c r="DA147" i="14"/>
  <c r="CZ147" i="14"/>
  <c r="CY147" i="14"/>
  <c r="CX147" i="14"/>
  <c r="CW147" i="14"/>
  <c r="CV147" i="14"/>
  <c r="CU147" i="14"/>
  <c r="CT147" i="14"/>
  <c r="CS147" i="14"/>
  <c r="CR147" i="14"/>
  <c r="CQ147" i="14"/>
  <c r="CP147" i="14"/>
  <c r="CO147" i="14"/>
  <c r="CN147" i="14"/>
  <c r="CM147" i="14"/>
  <c r="CL147" i="14"/>
  <c r="CK147" i="14"/>
  <c r="CJ147" i="14"/>
  <c r="CI147" i="14"/>
  <c r="CH147" i="14"/>
  <c r="EA146" i="14"/>
  <c r="DZ146" i="14"/>
  <c r="DX146" i="14"/>
  <c r="DW146" i="14"/>
  <c r="DV146" i="14"/>
  <c r="DU146" i="14"/>
  <c r="DT146" i="14"/>
  <c r="DS146" i="14"/>
  <c r="DR146" i="14"/>
  <c r="DQ146" i="14"/>
  <c r="DP146" i="14"/>
  <c r="DO146" i="14"/>
  <c r="DN146" i="14"/>
  <c r="DM146" i="14"/>
  <c r="DL146" i="14"/>
  <c r="DK146" i="14"/>
  <c r="DJ146" i="14"/>
  <c r="DI146" i="14"/>
  <c r="DH146" i="14"/>
  <c r="DG146" i="14"/>
  <c r="DF146" i="14"/>
  <c r="DE146" i="14"/>
  <c r="DD146" i="14"/>
  <c r="DC146" i="14"/>
  <c r="DB146" i="14"/>
  <c r="DA146" i="14"/>
  <c r="CZ146" i="14"/>
  <c r="CY146" i="14"/>
  <c r="CX146" i="14"/>
  <c r="CW146" i="14"/>
  <c r="CV146" i="14"/>
  <c r="CU146" i="14"/>
  <c r="CT146" i="14"/>
  <c r="CS146" i="14"/>
  <c r="CR146" i="14"/>
  <c r="CQ146" i="14"/>
  <c r="CP146" i="14"/>
  <c r="CO146" i="14"/>
  <c r="CN146" i="14"/>
  <c r="CM146" i="14"/>
  <c r="CL146" i="14"/>
  <c r="CK146" i="14"/>
  <c r="CJ146" i="14"/>
  <c r="CI146" i="14"/>
  <c r="CH146" i="14"/>
  <c r="EA145" i="14"/>
  <c r="DZ145" i="14"/>
  <c r="DX145" i="14"/>
  <c r="DW145" i="14"/>
  <c r="DV145" i="14"/>
  <c r="DU145" i="14"/>
  <c r="DT145" i="14"/>
  <c r="DS145" i="14"/>
  <c r="DR145" i="14"/>
  <c r="DQ145" i="14"/>
  <c r="DP145" i="14"/>
  <c r="DO145" i="14"/>
  <c r="DN145" i="14"/>
  <c r="DM145" i="14"/>
  <c r="DL145" i="14"/>
  <c r="DK145" i="14"/>
  <c r="DJ145" i="14"/>
  <c r="DI145" i="14"/>
  <c r="DH145" i="14"/>
  <c r="DG145" i="14"/>
  <c r="DF145" i="14"/>
  <c r="DE145" i="14"/>
  <c r="DD145" i="14"/>
  <c r="DC145" i="14"/>
  <c r="DB145" i="14"/>
  <c r="DA145" i="14"/>
  <c r="CZ145" i="14"/>
  <c r="CY145" i="14"/>
  <c r="CX145" i="14"/>
  <c r="CW145" i="14"/>
  <c r="CV145" i="14"/>
  <c r="CU145" i="14"/>
  <c r="CT145" i="14"/>
  <c r="CS145" i="14"/>
  <c r="CR145" i="14"/>
  <c r="CQ145" i="14"/>
  <c r="CP145" i="14"/>
  <c r="CO145" i="14"/>
  <c r="CN145" i="14"/>
  <c r="CM145" i="14"/>
  <c r="CL145" i="14"/>
  <c r="CK145" i="14"/>
  <c r="CJ145" i="14"/>
  <c r="CI145" i="14"/>
  <c r="CH145" i="14"/>
  <c r="EA144" i="14"/>
  <c r="DZ144" i="14"/>
  <c r="DX144" i="14"/>
  <c r="DW144" i="14"/>
  <c r="DV144" i="14"/>
  <c r="DU144" i="14"/>
  <c r="DT144" i="14"/>
  <c r="DS144" i="14"/>
  <c r="DR144" i="14"/>
  <c r="DQ144" i="14"/>
  <c r="DP144" i="14"/>
  <c r="DO144" i="14"/>
  <c r="DN144" i="14"/>
  <c r="DM144" i="14"/>
  <c r="DL144" i="14"/>
  <c r="DK144" i="14"/>
  <c r="DJ144" i="14"/>
  <c r="DI144" i="14"/>
  <c r="DH144" i="14"/>
  <c r="DG144" i="14"/>
  <c r="DF144" i="14"/>
  <c r="DE144" i="14"/>
  <c r="DD144" i="14"/>
  <c r="DC144" i="14"/>
  <c r="DB144" i="14"/>
  <c r="DA144" i="14"/>
  <c r="CZ144" i="14"/>
  <c r="CY144" i="14"/>
  <c r="CX144" i="14"/>
  <c r="CW144" i="14"/>
  <c r="CV144" i="14"/>
  <c r="CU144" i="14"/>
  <c r="CT144" i="14"/>
  <c r="CS144" i="14"/>
  <c r="CR144" i="14"/>
  <c r="CQ144" i="14"/>
  <c r="CP144" i="14"/>
  <c r="CO144" i="14"/>
  <c r="CN144" i="14"/>
  <c r="CM144" i="14"/>
  <c r="CL144" i="14"/>
  <c r="CK144" i="14"/>
  <c r="CJ144" i="14"/>
  <c r="CI144" i="14"/>
  <c r="CH144" i="14"/>
  <c r="EA143" i="14"/>
  <c r="DZ143" i="14"/>
  <c r="DX143" i="14"/>
  <c r="DW143" i="14"/>
  <c r="DV143" i="14"/>
  <c r="DU143" i="14"/>
  <c r="DT143" i="14"/>
  <c r="DS143" i="14"/>
  <c r="DR143" i="14"/>
  <c r="DQ143" i="14"/>
  <c r="DP143" i="14"/>
  <c r="DO143" i="14"/>
  <c r="DN143" i="14"/>
  <c r="DM143" i="14"/>
  <c r="DL143" i="14"/>
  <c r="DK143" i="14"/>
  <c r="DJ143" i="14"/>
  <c r="DI143" i="14"/>
  <c r="DH143" i="14"/>
  <c r="DG143" i="14"/>
  <c r="DF143" i="14"/>
  <c r="DE143" i="14"/>
  <c r="DD143" i="14"/>
  <c r="DC143" i="14"/>
  <c r="DB143" i="14"/>
  <c r="DA143" i="14"/>
  <c r="CZ143" i="14"/>
  <c r="CY143" i="14"/>
  <c r="CX143" i="14"/>
  <c r="CW143" i="14"/>
  <c r="CV143" i="14"/>
  <c r="CU143" i="14"/>
  <c r="CT143" i="14"/>
  <c r="CS143" i="14"/>
  <c r="CR143" i="14"/>
  <c r="CQ143" i="14"/>
  <c r="CP143" i="14"/>
  <c r="CO143" i="14"/>
  <c r="CN143" i="14"/>
  <c r="CM143" i="14"/>
  <c r="CL143" i="14"/>
  <c r="CK143" i="14"/>
  <c r="CJ143" i="14"/>
  <c r="CI143" i="14"/>
  <c r="CH143" i="14"/>
  <c r="EA142" i="14"/>
  <c r="DZ142" i="14"/>
  <c r="DX142" i="14"/>
  <c r="DW142" i="14"/>
  <c r="DV142" i="14"/>
  <c r="DU142" i="14"/>
  <c r="DT142" i="14"/>
  <c r="DS142" i="14"/>
  <c r="DR142" i="14"/>
  <c r="DQ142" i="14"/>
  <c r="DP142" i="14"/>
  <c r="DO142" i="14"/>
  <c r="DN142" i="14"/>
  <c r="DM142" i="14"/>
  <c r="DL142" i="14"/>
  <c r="DK142" i="14"/>
  <c r="DJ142" i="14"/>
  <c r="DI142" i="14"/>
  <c r="DH142" i="14"/>
  <c r="DG142" i="14"/>
  <c r="DF142" i="14"/>
  <c r="DE142" i="14"/>
  <c r="DD142" i="14"/>
  <c r="DC142" i="14"/>
  <c r="DB142" i="14"/>
  <c r="DA142" i="14"/>
  <c r="CZ142" i="14"/>
  <c r="CY142" i="14"/>
  <c r="CX142" i="14"/>
  <c r="CW142" i="14"/>
  <c r="CV142" i="14"/>
  <c r="CU142" i="14"/>
  <c r="CT142" i="14"/>
  <c r="CS142" i="14"/>
  <c r="CR142" i="14"/>
  <c r="CQ142" i="14"/>
  <c r="CP142" i="14"/>
  <c r="CO142" i="14"/>
  <c r="CN142" i="14"/>
  <c r="CM142" i="14"/>
  <c r="CL142" i="14"/>
  <c r="CK142" i="14"/>
  <c r="CJ142" i="14"/>
  <c r="CI142" i="14"/>
  <c r="CH142" i="14"/>
  <c r="EA141" i="14"/>
  <c r="DZ141" i="14"/>
  <c r="DX141" i="14"/>
  <c r="DW141" i="14"/>
  <c r="DV141" i="14"/>
  <c r="DU141" i="14"/>
  <c r="DT141" i="14"/>
  <c r="DS141" i="14"/>
  <c r="DR141" i="14"/>
  <c r="DQ141" i="14"/>
  <c r="DP141" i="14"/>
  <c r="DO141" i="14"/>
  <c r="DN141" i="14"/>
  <c r="DM141" i="14"/>
  <c r="DL141" i="14"/>
  <c r="DK141" i="14"/>
  <c r="DJ141" i="14"/>
  <c r="DI141" i="14"/>
  <c r="DH141" i="14"/>
  <c r="DG141" i="14"/>
  <c r="DF141" i="14"/>
  <c r="DE141" i="14"/>
  <c r="DD141" i="14"/>
  <c r="DC141" i="14"/>
  <c r="DB141" i="14"/>
  <c r="DA141" i="14"/>
  <c r="CZ141" i="14"/>
  <c r="CY141" i="14"/>
  <c r="CX141" i="14"/>
  <c r="CW141" i="14"/>
  <c r="CV141" i="14"/>
  <c r="CU141" i="14"/>
  <c r="CT141" i="14"/>
  <c r="CS141" i="14"/>
  <c r="CR141" i="14"/>
  <c r="CQ141" i="14"/>
  <c r="CP141" i="14"/>
  <c r="CO141" i="14"/>
  <c r="CN141" i="14"/>
  <c r="CM141" i="14"/>
  <c r="CL141" i="14"/>
  <c r="CK141" i="14"/>
  <c r="CJ141" i="14"/>
  <c r="CI141" i="14"/>
  <c r="CH141" i="14"/>
  <c r="EA140" i="14"/>
  <c r="DZ140" i="14"/>
  <c r="DX140" i="14"/>
  <c r="DW140" i="14"/>
  <c r="DV140" i="14"/>
  <c r="DU140" i="14"/>
  <c r="DT140" i="14"/>
  <c r="DS140" i="14"/>
  <c r="DR140" i="14"/>
  <c r="DQ140" i="14"/>
  <c r="DP140" i="14"/>
  <c r="DO140" i="14"/>
  <c r="DN140" i="14"/>
  <c r="DM140" i="14"/>
  <c r="DL140" i="14"/>
  <c r="DK140" i="14"/>
  <c r="DJ140" i="14"/>
  <c r="DI140" i="14"/>
  <c r="DH140" i="14"/>
  <c r="DG140" i="14"/>
  <c r="DF140" i="14"/>
  <c r="DE140" i="14"/>
  <c r="DD140" i="14"/>
  <c r="DC140" i="14"/>
  <c r="DB140" i="14"/>
  <c r="DA140" i="14"/>
  <c r="CZ140" i="14"/>
  <c r="CY140" i="14"/>
  <c r="CX140" i="14"/>
  <c r="CW140" i="14"/>
  <c r="CV140" i="14"/>
  <c r="CU140" i="14"/>
  <c r="CT140" i="14"/>
  <c r="CS140" i="14"/>
  <c r="CR140" i="14"/>
  <c r="CQ140" i="14"/>
  <c r="CP140" i="14"/>
  <c r="CO140" i="14"/>
  <c r="CN140" i="14"/>
  <c r="CM140" i="14"/>
  <c r="CL140" i="14"/>
  <c r="CK140" i="14"/>
  <c r="CJ140" i="14"/>
  <c r="CI140" i="14"/>
  <c r="CH140" i="14"/>
  <c r="EA139" i="14"/>
  <c r="DZ139" i="14"/>
  <c r="DX139" i="14"/>
  <c r="DW139" i="14"/>
  <c r="DV139" i="14"/>
  <c r="DU139" i="14"/>
  <c r="DT139" i="14"/>
  <c r="DS139" i="14"/>
  <c r="DR139" i="14"/>
  <c r="DQ139" i="14"/>
  <c r="DP139" i="14"/>
  <c r="DO139" i="14"/>
  <c r="DN139" i="14"/>
  <c r="DM139" i="14"/>
  <c r="DL139" i="14"/>
  <c r="DK139" i="14"/>
  <c r="DJ139" i="14"/>
  <c r="DI139" i="14"/>
  <c r="DH139" i="14"/>
  <c r="DG139" i="14"/>
  <c r="DF139" i="14"/>
  <c r="DE139" i="14"/>
  <c r="DD139" i="14"/>
  <c r="DC139" i="14"/>
  <c r="DB139" i="14"/>
  <c r="DA139" i="14"/>
  <c r="CZ139" i="14"/>
  <c r="CY139" i="14"/>
  <c r="CX139" i="14"/>
  <c r="CW139" i="14"/>
  <c r="CV139" i="14"/>
  <c r="CU139" i="14"/>
  <c r="CT139" i="14"/>
  <c r="CS139" i="14"/>
  <c r="CR139" i="14"/>
  <c r="CQ139" i="14"/>
  <c r="CP139" i="14"/>
  <c r="CO139" i="14"/>
  <c r="CN139" i="14"/>
  <c r="CM139" i="14"/>
  <c r="CL139" i="14"/>
  <c r="CK139" i="14"/>
  <c r="CJ139" i="14"/>
  <c r="CI139" i="14"/>
  <c r="CH139" i="14"/>
  <c r="EA138" i="14"/>
  <c r="DZ138" i="14"/>
  <c r="DX138" i="14"/>
  <c r="DW138" i="14"/>
  <c r="DV138" i="14"/>
  <c r="DU138" i="14"/>
  <c r="DT138" i="14"/>
  <c r="DS138" i="14"/>
  <c r="DR138" i="14"/>
  <c r="DQ138" i="14"/>
  <c r="DP138" i="14"/>
  <c r="DO138" i="14"/>
  <c r="DN138" i="14"/>
  <c r="DM138" i="14"/>
  <c r="DL138" i="14"/>
  <c r="DK138" i="14"/>
  <c r="DJ138" i="14"/>
  <c r="DI138" i="14"/>
  <c r="DH138" i="14"/>
  <c r="DG138" i="14"/>
  <c r="DF138" i="14"/>
  <c r="DE138" i="14"/>
  <c r="DD138" i="14"/>
  <c r="DC138" i="14"/>
  <c r="DB138" i="14"/>
  <c r="DA138" i="14"/>
  <c r="CZ138" i="14"/>
  <c r="CY138" i="14"/>
  <c r="CX138" i="14"/>
  <c r="CW138" i="14"/>
  <c r="CV138" i="14"/>
  <c r="CU138" i="14"/>
  <c r="CT138" i="14"/>
  <c r="CS138" i="14"/>
  <c r="CR138" i="14"/>
  <c r="CQ138" i="14"/>
  <c r="CP138" i="14"/>
  <c r="CO138" i="14"/>
  <c r="CN138" i="14"/>
  <c r="CM138" i="14"/>
  <c r="CL138" i="14"/>
  <c r="CK138" i="14"/>
  <c r="CJ138" i="14"/>
  <c r="CI138" i="14"/>
  <c r="CH138" i="14"/>
  <c r="EA137" i="14"/>
  <c r="DZ137" i="14"/>
  <c r="DX137" i="14"/>
  <c r="DW137" i="14"/>
  <c r="DV137" i="14"/>
  <c r="DU137" i="14"/>
  <c r="DT137" i="14"/>
  <c r="DS137" i="14"/>
  <c r="DR137" i="14"/>
  <c r="DQ137" i="14"/>
  <c r="DP137" i="14"/>
  <c r="DO137" i="14"/>
  <c r="DN137" i="14"/>
  <c r="DM137" i="14"/>
  <c r="DL137" i="14"/>
  <c r="DK137" i="14"/>
  <c r="DJ137" i="14"/>
  <c r="DI137" i="14"/>
  <c r="DH137" i="14"/>
  <c r="DG137" i="14"/>
  <c r="DF137" i="14"/>
  <c r="DE137" i="14"/>
  <c r="DD137" i="14"/>
  <c r="DC137" i="14"/>
  <c r="DB137" i="14"/>
  <c r="DA137" i="14"/>
  <c r="CZ137" i="14"/>
  <c r="CY137" i="14"/>
  <c r="CX137" i="14"/>
  <c r="CW137" i="14"/>
  <c r="CV137" i="14"/>
  <c r="CU137" i="14"/>
  <c r="CT137" i="14"/>
  <c r="CS137" i="14"/>
  <c r="CR137" i="14"/>
  <c r="CQ137" i="14"/>
  <c r="CP137" i="14"/>
  <c r="CO137" i="14"/>
  <c r="CN137" i="14"/>
  <c r="CM137" i="14"/>
  <c r="CL137" i="14"/>
  <c r="CK137" i="14"/>
  <c r="CJ137" i="14"/>
  <c r="CI137" i="14"/>
  <c r="CH137" i="14"/>
  <c r="EA136" i="14"/>
  <c r="DZ136" i="14"/>
  <c r="DX136" i="14"/>
  <c r="DW136" i="14"/>
  <c r="DV136" i="14"/>
  <c r="DU136" i="14"/>
  <c r="DT136" i="14"/>
  <c r="DS136" i="14"/>
  <c r="DR136" i="14"/>
  <c r="DQ136" i="14"/>
  <c r="DP136" i="14"/>
  <c r="DO136" i="14"/>
  <c r="DN136" i="14"/>
  <c r="DM136" i="14"/>
  <c r="DL136" i="14"/>
  <c r="DK136" i="14"/>
  <c r="DJ136" i="14"/>
  <c r="DI136" i="14"/>
  <c r="DH136" i="14"/>
  <c r="DG136" i="14"/>
  <c r="DF136" i="14"/>
  <c r="DE136" i="14"/>
  <c r="DD136" i="14"/>
  <c r="DC136" i="14"/>
  <c r="DB136" i="14"/>
  <c r="DA136" i="14"/>
  <c r="CZ136" i="14"/>
  <c r="CY136" i="14"/>
  <c r="CX136" i="14"/>
  <c r="CW136" i="14"/>
  <c r="CV136" i="14"/>
  <c r="CU136" i="14"/>
  <c r="CT136" i="14"/>
  <c r="CS136" i="14"/>
  <c r="CR136" i="14"/>
  <c r="CQ136" i="14"/>
  <c r="CP136" i="14"/>
  <c r="CO136" i="14"/>
  <c r="CN136" i="14"/>
  <c r="CM136" i="14"/>
  <c r="CL136" i="14"/>
  <c r="CK136" i="14"/>
  <c r="CJ136" i="14"/>
  <c r="CI136" i="14"/>
  <c r="CH136" i="14"/>
  <c r="EA135" i="14"/>
  <c r="DZ135" i="14"/>
  <c r="DX135" i="14"/>
  <c r="DW135" i="14"/>
  <c r="DV135" i="14"/>
  <c r="DU135" i="14"/>
  <c r="DT135" i="14"/>
  <c r="DS135" i="14"/>
  <c r="DR135" i="14"/>
  <c r="DQ135" i="14"/>
  <c r="DP135" i="14"/>
  <c r="DO135" i="14"/>
  <c r="DN135" i="14"/>
  <c r="DM135" i="14"/>
  <c r="DL135" i="14"/>
  <c r="DK135" i="14"/>
  <c r="DJ135" i="14"/>
  <c r="DI135" i="14"/>
  <c r="DH135" i="14"/>
  <c r="DG135" i="14"/>
  <c r="DF135" i="14"/>
  <c r="DE135" i="14"/>
  <c r="DD135" i="14"/>
  <c r="DC135" i="14"/>
  <c r="DB135" i="14"/>
  <c r="DA135" i="14"/>
  <c r="CZ135" i="14"/>
  <c r="CY135" i="14"/>
  <c r="CX135" i="14"/>
  <c r="CW135" i="14"/>
  <c r="CV135" i="14"/>
  <c r="CU135" i="14"/>
  <c r="CT135" i="14"/>
  <c r="CS135" i="14"/>
  <c r="CR135" i="14"/>
  <c r="CQ135" i="14"/>
  <c r="CP135" i="14"/>
  <c r="CO135" i="14"/>
  <c r="CN135" i="14"/>
  <c r="CM135" i="14"/>
  <c r="CL135" i="14"/>
  <c r="CK135" i="14"/>
  <c r="CJ135" i="14"/>
  <c r="CI135" i="14"/>
  <c r="CH135" i="14"/>
  <c r="EA134" i="14"/>
  <c r="DZ134" i="14"/>
  <c r="DX134" i="14"/>
  <c r="DW134" i="14"/>
  <c r="DV134" i="14"/>
  <c r="DU134" i="14"/>
  <c r="DT134" i="14"/>
  <c r="DS134" i="14"/>
  <c r="DR134" i="14"/>
  <c r="DQ134" i="14"/>
  <c r="DP134" i="14"/>
  <c r="DO134" i="14"/>
  <c r="DN134" i="14"/>
  <c r="DM134" i="14"/>
  <c r="DL134" i="14"/>
  <c r="DK134" i="14"/>
  <c r="DJ134" i="14"/>
  <c r="DI134" i="14"/>
  <c r="DH134" i="14"/>
  <c r="DG134" i="14"/>
  <c r="DF134" i="14"/>
  <c r="DE134" i="14"/>
  <c r="DD134" i="14"/>
  <c r="DC134" i="14"/>
  <c r="DB134" i="14"/>
  <c r="DA134" i="14"/>
  <c r="CZ134" i="14"/>
  <c r="CY134" i="14"/>
  <c r="CX134" i="14"/>
  <c r="CW134" i="14"/>
  <c r="CV134" i="14"/>
  <c r="CU134" i="14"/>
  <c r="CT134" i="14"/>
  <c r="CS134" i="14"/>
  <c r="CR134" i="14"/>
  <c r="CQ134" i="14"/>
  <c r="CP134" i="14"/>
  <c r="CO134" i="14"/>
  <c r="CN134" i="14"/>
  <c r="CM134" i="14"/>
  <c r="CL134" i="14"/>
  <c r="CK134" i="14"/>
  <c r="CJ134" i="14"/>
  <c r="CI134" i="14"/>
  <c r="CH134" i="14"/>
  <c r="EA133" i="14"/>
  <c r="DZ133" i="14"/>
  <c r="DX133" i="14"/>
  <c r="DW133" i="14"/>
  <c r="DV133" i="14"/>
  <c r="DU133" i="14"/>
  <c r="DT133" i="14"/>
  <c r="DS133" i="14"/>
  <c r="DR133" i="14"/>
  <c r="DQ133" i="14"/>
  <c r="DP133" i="14"/>
  <c r="DO133" i="14"/>
  <c r="DN133" i="14"/>
  <c r="DM133" i="14"/>
  <c r="DL133" i="14"/>
  <c r="DK133" i="14"/>
  <c r="DJ133" i="14"/>
  <c r="DI133" i="14"/>
  <c r="DH133" i="14"/>
  <c r="DG133" i="14"/>
  <c r="DF133" i="14"/>
  <c r="DE133" i="14"/>
  <c r="DD133" i="14"/>
  <c r="DC133" i="14"/>
  <c r="DB133" i="14"/>
  <c r="DA133" i="14"/>
  <c r="CZ133" i="14"/>
  <c r="CY133" i="14"/>
  <c r="CX133" i="14"/>
  <c r="CW133" i="14"/>
  <c r="CV133" i="14"/>
  <c r="CU133" i="14"/>
  <c r="CT133" i="14"/>
  <c r="CS133" i="14"/>
  <c r="CR133" i="14"/>
  <c r="CQ133" i="14"/>
  <c r="CP133" i="14"/>
  <c r="CO133" i="14"/>
  <c r="CN133" i="14"/>
  <c r="CM133" i="14"/>
  <c r="CL133" i="14"/>
  <c r="CK133" i="14"/>
  <c r="CJ133" i="14"/>
  <c r="CI133" i="14"/>
  <c r="CH133" i="14"/>
  <c r="EA132" i="14"/>
  <c r="DZ132" i="14"/>
  <c r="DX132" i="14"/>
  <c r="DW132" i="14"/>
  <c r="DV132" i="14"/>
  <c r="DU132" i="14"/>
  <c r="DT132" i="14"/>
  <c r="DS132" i="14"/>
  <c r="DR132" i="14"/>
  <c r="DQ132" i="14"/>
  <c r="DP132" i="14"/>
  <c r="DO132" i="14"/>
  <c r="DN132" i="14"/>
  <c r="DM132" i="14"/>
  <c r="DL132" i="14"/>
  <c r="DK132" i="14"/>
  <c r="DJ132" i="14"/>
  <c r="DI132" i="14"/>
  <c r="DH132" i="14"/>
  <c r="DG132" i="14"/>
  <c r="DF132" i="14"/>
  <c r="DE132" i="14"/>
  <c r="DD132" i="14"/>
  <c r="DC132" i="14"/>
  <c r="DB132" i="14"/>
  <c r="DA132" i="14"/>
  <c r="CZ132" i="14"/>
  <c r="CY132" i="14"/>
  <c r="CX132" i="14"/>
  <c r="CW132" i="14"/>
  <c r="CV132" i="14"/>
  <c r="CU132" i="14"/>
  <c r="CT132" i="14"/>
  <c r="CS132" i="14"/>
  <c r="CR132" i="14"/>
  <c r="CQ132" i="14"/>
  <c r="CP132" i="14"/>
  <c r="CO132" i="14"/>
  <c r="CN132" i="14"/>
  <c r="CM132" i="14"/>
  <c r="CL132" i="14"/>
  <c r="CK132" i="14"/>
  <c r="CJ132" i="14"/>
  <c r="CI132" i="14"/>
  <c r="CH132" i="14"/>
  <c r="EA131" i="14"/>
  <c r="DZ131" i="14"/>
  <c r="DX131" i="14"/>
  <c r="DW131" i="14"/>
  <c r="DV131" i="14"/>
  <c r="DU131" i="14"/>
  <c r="DT131" i="14"/>
  <c r="DS131" i="14"/>
  <c r="DR131" i="14"/>
  <c r="DQ131" i="14"/>
  <c r="DP131" i="14"/>
  <c r="DO131" i="14"/>
  <c r="DN131" i="14"/>
  <c r="DM131" i="14"/>
  <c r="DL131" i="14"/>
  <c r="DK131" i="14"/>
  <c r="DJ131" i="14"/>
  <c r="DI131" i="14"/>
  <c r="DH131" i="14"/>
  <c r="DG131" i="14"/>
  <c r="DF131" i="14"/>
  <c r="DE131" i="14"/>
  <c r="DD131" i="14"/>
  <c r="DC131" i="14"/>
  <c r="DB131" i="14"/>
  <c r="DA131" i="14"/>
  <c r="CZ131" i="14"/>
  <c r="CY131" i="14"/>
  <c r="CX131" i="14"/>
  <c r="CW131" i="14"/>
  <c r="CV131" i="14"/>
  <c r="CU131" i="14"/>
  <c r="CT131" i="14"/>
  <c r="CS131" i="14"/>
  <c r="CR131" i="14"/>
  <c r="CQ131" i="14"/>
  <c r="CP131" i="14"/>
  <c r="CO131" i="14"/>
  <c r="CN131" i="14"/>
  <c r="CM131" i="14"/>
  <c r="CL131" i="14"/>
  <c r="CK131" i="14"/>
  <c r="CJ131" i="14"/>
  <c r="CI131" i="14"/>
  <c r="CH131" i="14"/>
  <c r="EA130" i="14"/>
  <c r="DZ130" i="14"/>
  <c r="DX130" i="14"/>
  <c r="DW130" i="14"/>
  <c r="DV130" i="14"/>
  <c r="DU130" i="14"/>
  <c r="DT130" i="14"/>
  <c r="DS130" i="14"/>
  <c r="DR130" i="14"/>
  <c r="DQ130" i="14"/>
  <c r="DP130" i="14"/>
  <c r="DO130" i="14"/>
  <c r="DN130" i="14"/>
  <c r="DM130" i="14"/>
  <c r="DL130" i="14"/>
  <c r="DK130" i="14"/>
  <c r="DJ130" i="14"/>
  <c r="DI130" i="14"/>
  <c r="DH130" i="14"/>
  <c r="DG130" i="14"/>
  <c r="DF130" i="14"/>
  <c r="DE130" i="14"/>
  <c r="DD130" i="14"/>
  <c r="DC130" i="14"/>
  <c r="DB130" i="14"/>
  <c r="DA130" i="14"/>
  <c r="CZ130" i="14"/>
  <c r="CY130" i="14"/>
  <c r="CX130" i="14"/>
  <c r="CW130" i="14"/>
  <c r="CV130" i="14"/>
  <c r="CU130" i="14"/>
  <c r="CT130" i="14"/>
  <c r="CS130" i="14"/>
  <c r="CR130" i="14"/>
  <c r="CQ130" i="14"/>
  <c r="CP130" i="14"/>
  <c r="CO130" i="14"/>
  <c r="CN130" i="14"/>
  <c r="CM130" i="14"/>
  <c r="CL130" i="14"/>
  <c r="CK130" i="14"/>
  <c r="CJ130" i="14"/>
  <c r="CI130" i="14"/>
  <c r="CH130" i="14"/>
  <c r="EA129" i="14"/>
  <c r="DZ129" i="14"/>
  <c r="DX129" i="14"/>
  <c r="DW129" i="14"/>
  <c r="DV129" i="14"/>
  <c r="DU129" i="14"/>
  <c r="DT129" i="14"/>
  <c r="DS129" i="14"/>
  <c r="DR129" i="14"/>
  <c r="DQ129" i="14"/>
  <c r="DP129" i="14"/>
  <c r="DO129" i="14"/>
  <c r="DN129" i="14"/>
  <c r="DM129" i="14"/>
  <c r="DL129" i="14"/>
  <c r="DK129" i="14"/>
  <c r="DJ129" i="14"/>
  <c r="DI129" i="14"/>
  <c r="DH129" i="14"/>
  <c r="DG129" i="14"/>
  <c r="DF129" i="14"/>
  <c r="DE129" i="14"/>
  <c r="DD129" i="14"/>
  <c r="DC129" i="14"/>
  <c r="DB129" i="14"/>
  <c r="DA129" i="14"/>
  <c r="CZ129" i="14"/>
  <c r="CY129" i="14"/>
  <c r="CX129" i="14"/>
  <c r="CW129" i="14"/>
  <c r="CV129" i="14"/>
  <c r="CU129" i="14"/>
  <c r="CT129" i="14"/>
  <c r="CS129" i="14"/>
  <c r="CR129" i="14"/>
  <c r="CQ129" i="14"/>
  <c r="CP129" i="14"/>
  <c r="CO129" i="14"/>
  <c r="CN129" i="14"/>
  <c r="CM129" i="14"/>
  <c r="CL129" i="14"/>
  <c r="CK129" i="14"/>
  <c r="CJ129" i="14"/>
  <c r="CI129" i="14"/>
  <c r="CH129" i="14"/>
  <c r="EA128" i="14"/>
  <c r="DZ128" i="14"/>
  <c r="DX128" i="14"/>
  <c r="DW128" i="14"/>
  <c r="DV128" i="14"/>
  <c r="DU128" i="14"/>
  <c r="DT128" i="14"/>
  <c r="DS128" i="14"/>
  <c r="DR128" i="14"/>
  <c r="DQ128" i="14"/>
  <c r="DP128" i="14"/>
  <c r="DO128" i="14"/>
  <c r="DN128" i="14"/>
  <c r="DM128" i="14"/>
  <c r="DL128" i="14"/>
  <c r="DK128" i="14"/>
  <c r="DJ128" i="14"/>
  <c r="DI128" i="14"/>
  <c r="DH128" i="14"/>
  <c r="DG128" i="14"/>
  <c r="DF128" i="14"/>
  <c r="DE128" i="14"/>
  <c r="DD128" i="14"/>
  <c r="DC128" i="14"/>
  <c r="DB128" i="14"/>
  <c r="DA128" i="14"/>
  <c r="CZ128" i="14"/>
  <c r="CY128" i="14"/>
  <c r="CX128" i="14"/>
  <c r="CW128" i="14"/>
  <c r="CV128" i="14"/>
  <c r="CU128" i="14"/>
  <c r="CT128" i="14"/>
  <c r="CS128" i="14"/>
  <c r="CR128" i="14"/>
  <c r="CQ128" i="14"/>
  <c r="CP128" i="14"/>
  <c r="CO128" i="14"/>
  <c r="CN128" i="14"/>
  <c r="CM128" i="14"/>
  <c r="CL128" i="14"/>
  <c r="CK128" i="14"/>
  <c r="CJ128" i="14"/>
  <c r="CI128" i="14"/>
  <c r="CH128" i="14"/>
  <c r="EA127" i="14"/>
  <c r="DZ127" i="14"/>
  <c r="DX127" i="14"/>
  <c r="DW127" i="14"/>
  <c r="DV127" i="14"/>
  <c r="DU127" i="14"/>
  <c r="DT127" i="14"/>
  <c r="DS127" i="14"/>
  <c r="DR127" i="14"/>
  <c r="DQ127" i="14"/>
  <c r="DP127" i="14"/>
  <c r="DO127" i="14"/>
  <c r="DN127" i="14"/>
  <c r="DM127" i="14"/>
  <c r="DL127" i="14"/>
  <c r="DK127" i="14"/>
  <c r="DJ127" i="14"/>
  <c r="DI127" i="14"/>
  <c r="DH127" i="14"/>
  <c r="DG127" i="14"/>
  <c r="DF127" i="14"/>
  <c r="DE127" i="14"/>
  <c r="DD127" i="14"/>
  <c r="DC127" i="14"/>
  <c r="DB127" i="14"/>
  <c r="DA127" i="14"/>
  <c r="CZ127" i="14"/>
  <c r="CY127" i="14"/>
  <c r="CX127" i="14"/>
  <c r="CW127" i="14"/>
  <c r="CV127" i="14"/>
  <c r="CU127" i="14"/>
  <c r="CT127" i="14"/>
  <c r="CS127" i="14"/>
  <c r="CR127" i="14"/>
  <c r="CQ127" i="14"/>
  <c r="CP127" i="14"/>
  <c r="CO127" i="14"/>
  <c r="CN127" i="14"/>
  <c r="CM127" i="14"/>
  <c r="CL127" i="14"/>
  <c r="CK127" i="14"/>
  <c r="CJ127" i="14"/>
  <c r="CI127" i="14"/>
  <c r="CH127" i="14"/>
  <c r="EA126" i="14"/>
  <c r="DZ126" i="14"/>
  <c r="DX126" i="14"/>
  <c r="DW126" i="14"/>
  <c r="DV126" i="14"/>
  <c r="DU126" i="14"/>
  <c r="DT126" i="14"/>
  <c r="DS126" i="14"/>
  <c r="DR126" i="14"/>
  <c r="DQ126" i="14"/>
  <c r="DP126" i="14"/>
  <c r="DO126" i="14"/>
  <c r="DN126" i="14"/>
  <c r="DM126" i="14"/>
  <c r="DL126" i="14"/>
  <c r="DK126" i="14"/>
  <c r="DJ126" i="14"/>
  <c r="DI126" i="14"/>
  <c r="DH126" i="14"/>
  <c r="DG126" i="14"/>
  <c r="DF126" i="14"/>
  <c r="DE126" i="14"/>
  <c r="DD126" i="14"/>
  <c r="DC126" i="14"/>
  <c r="DB126" i="14"/>
  <c r="DA126" i="14"/>
  <c r="CZ126" i="14"/>
  <c r="CY126" i="14"/>
  <c r="CX126" i="14"/>
  <c r="CW126" i="14"/>
  <c r="CV126" i="14"/>
  <c r="CU126" i="14"/>
  <c r="CT126" i="14"/>
  <c r="CS126" i="14"/>
  <c r="CR126" i="14"/>
  <c r="CQ126" i="14"/>
  <c r="CP126" i="14"/>
  <c r="CO126" i="14"/>
  <c r="CN126" i="14"/>
  <c r="CM126" i="14"/>
  <c r="CL126" i="14"/>
  <c r="CK126" i="14"/>
  <c r="CJ126" i="14"/>
  <c r="CI126" i="14"/>
  <c r="CH126" i="14"/>
  <c r="EA125" i="14"/>
  <c r="DZ125" i="14"/>
  <c r="DX125" i="14"/>
  <c r="DW125" i="14"/>
  <c r="DV125" i="14"/>
  <c r="DU125" i="14"/>
  <c r="DT125" i="14"/>
  <c r="DS125" i="14"/>
  <c r="DR125" i="14"/>
  <c r="DQ125" i="14"/>
  <c r="DP125" i="14"/>
  <c r="DO125" i="14"/>
  <c r="DN125" i="14"/>
  <c r="DM125" i="14"/>
  <c r="DL125" i="14"/>
  <c r="DK125" i="14"/>
  <c r="DJ125" i="14"/>
  <c r="DI125" i="14"/>
  <c r="DH125" i="14"/>
  <c r="DG125" i="14"/>
  <c r="DF125" i="14"/>
  <c r="DE125" i="14"/>
  <c r="DD125" i="14"/>
  <c r="DC125" i="14"/>
  <c r="DB125" i="14"/>
  <c r="DA125" i="14"/>
  <c r="CZ125" i="14"/>
  <c r="CY125" i="14"/>
  <c r="CX125" i="14"/>
  <c r="CW125" i="14"/>
  <c r="CV125" i="14"/>
  <c r="CU125" i="14"/>
  <c r="CT125" i="14"/>
  <c r="CS125" i="14"/>
  <c r="CR125" i="14"/>
  <c r="CQ125" i="14"/>
  <c r="CP125" i="14"/>
  <c r="CO125" i="14"/>
  <c r="CN125" i="14"/>
  <c r="CM125" i="14"/>
  <c r="CL125" i="14"/>
  <c r="CK125" i="14"/>
  <c r="CJ125" i="14"/>
  <c r="CI125" i="14"/>
  <c r="CH125" i="14"/>
  <c r="EA124" i="14"/>
  <c r="DZ124" i="14"/>
  <c r="DX124" i="14"/>
  <c r="DW124" i="14"/>
  <c r="DV124" i="14"/>
  <c r="DU124" i="14"/>
  <c r="DT124" i="14"/>
  <c r="DS124" i="14"/>
  <c r="DR124" i="14"/>
  <c r="DQ124" i="14"/>
  <c r="DP124" i="14"/>
  <c r="DO124" i="14"/>
  <c r="DN124" i="14"/>
  <c r="DM124" i="14"/>
  <c r="DL124" i="14"/>
  <c r="DK124" i="14"/>
  <c r="DJ124" i="14"/>
  <c r="DI124" i="14"/>
  <c r="DH124" i="14"/>
  <c r="DG124" i="14"/>
  <c r="DF124" i="14"/>
  <c r="DE124" i="14"/>
  <c r="DD124" i="14"/>
  <c r="DC124" i="14"/>
  <c r="DB124" i="14"/>
  <c r="DA124" i="14"/>
  <c r="CZ124" i="14"/>
  <c r="CY124" i="14"/>
  <c r="CX124" i="14"/>
  <c r="CW124" i="14"/>
  <c r="CV124" i="14"/>
  <c r="CU124" i="14"/>
  <c r="CT124" i="14"/>
  <c r="CS124" i="14"/>
  <c r="CR124" i="14"/>
  <c r="CQ124" i="14"/>
  <c r="CP124" i="14"/>
  <c r="CO124" i="14"/>
  <c r="CN124" i="14"/>
  <c r="CM124" i="14"/>
  <c r="CL124" i="14"/>
  <c r="CK124" i="14"/>
  <c r="CJ124" i="14"/>
  <c r="CI124" i="14"/>
  <c r="CH124" i="14"/>
  <c r="EA123" i="14"/>
  <c r="DZ123" i="14"/>
  <c r="DX123" i="14"/>
  <c r="DW123" i="14"/>
  <c r="DV123" i="14"/>
  <c r="DU123" i="14"/>
  <c r="DT123" i="14"/>
  <c r="DS123" i="14"/>
  <c r="DR123" i="14"/>
  <c r="DQ123" i="14"/>
  <c r="DP123" i="14"/>
  <c r="DO123" i="14"/>
  <c r="DN123" i="14"/>
  <c r="DM123" i="14"/>
  <c r="DL123" i="14"/>
  <c r="DK123" i="14"/>
  <c r="DJ123" i="14"/>
  <c r="DI123" i="14"/>
  <c r="DH123" i="14"/>
  <c r="DG123" i="14"/>
  <c r="DF123" i="14"/>
  <c r="DE123" i="14"/>
  <c r="DD123" i="14"/>
  <c r="DC123" i="14"/>
  <c r="DB123" i="14"/>
  <c r="DA123" i="14"/>
  <c r="CZ123" i="14"/>
  <c r="CY123" i="14"/>
  <c r="CX123" i="14"/>
  <c r="CW123" i="14"/>
  <c r="CV123" i="14"/>
  <c r="CU123" i="14"/>
  <c r="CT123" i="14"/>
  <c r="CS123" i="14"/>
  <c r="CR123" i="14"/>
  <c r="CQ123" i="14"/>
  <c r="CP123" i="14"/>
  <c r="CO123" i="14"/>
  <c r="CN123" i="14"/>
  <c r="CM123" i="14"/>
  <c r="CL123" i="14"/>
  <c r="CK123" i="14"/>
  <c r="CJ123" i="14"/>
  <c r="CI123" i="14"/>
  <c r="CH123" i="14"/>
  <c r="EA122" i="14"/>
  <c r="DZ122" i="14"/>
  <c r="DX122" i="14"/>
  <c r="DW122" i="14"/>
  <c r="DV122" i="14"/>
  <c r="DU122" i="14"/>
  <c r="DT122" i="14"/>
  <c r="DS122" i="14"/>
  <c r="DR122" i="14"/>
  <c r="DQ122" i="14"/>
  <c r="DP122" i="14"/>
  <c r="DO122" i="14"/>
  <c r="DN122" i="14"/>
  <c r="DM122" i="14"/>
  <c r="DL122" i="14"/>
  <c r="DK122" i="14"/>
  <c r="DJ122" i="14"/>
  <c r="DI122" i="14"/>
  <c r="DH122" i="14"/>
  <c r="DG122" i="14"/>
  <c r="DF122" i="14"/>
  <c r="DE122" i="14"/>
  <c r="DD122" i="14"/>
  <c r="DC122" i="14"/>
  <c r="DB122" i="14"/>
  <c r="DA122" i="14"/>
  <c r="CZ122" i="14"/>
  <c r="CY122" i="14"/>
  <c r="CX122" i="14"/>
  <c r="CW122" i="14"/>
  <c r="CV122" i="14"/>
  <c r="CU122" i="14"/>
  <c r="CT122" i="14"/>
  <c r="CS122" i="14"/>
  <c r="CR122" i="14"/>
  <c r="CQ122" i="14"/>
  <c r="CP122" i="14"/>
  <c r="CO122" i="14"/>
  <c r="CN122" i="14"/>
  <c r="CM122" i="14"/>
  <c r="CL122" i="14"/>
  <c r="CK122" i="14"/>
  <c r="CJ122" i="14"/>
  <c r="CI122" i="14"/>
  <c r="CH122" i="14"/>
  <c r="EA121" i="14"/>
  <c r="DZ121" i="14"/>
  <c r="DX121" i="14"/>
  <c r="DW121" i="14"/>
  <c r="DV121" i="14"/>
  <c r="DU121" i="14"/>
  <c r="DT121" i="14"/>
  <c r="DS121" i="14"/>
  <c r="DR121" i="14"/>
  <c r="DQ121" i="14"/>
  <c r="DP121" i="14"/>
  <c r="DO121" i="14"/>
  <c r="DN121" i="14"/>
  <c r="DM121" i="14"/>
  <c r="DL121" i="14"/>
  <c r="DK121" i="14"/>
  <c r="DJ121" i="14"/>
  <c r="DI121" i="14"/>
  <c r="DH121" i="14"/>
  <c r="DG121" i="14"/>
  <c r="DF121" i="14"/>
  <c r="DE121" i="14"/>
  <c r="DD121" i="14"/>
  <c r="DC121" i="14"/>
  <c r="DB121" i="14"/>
  <c r="DA121" i="14"/>
  <c r="CZ121" i="14"/>
  <c r="CY121" i="14"/>
  <c r="CX121" i="14"/>
  <c r="CW121" i="14"/>
  <c r="CV121" i="14"/>
  <c r="CU121" i="14"/>
  <c r="CT121" i="14"/>
  <c r="CS121" i="14"/>
  <c r="CR121" i="14"/>
  <c r="CQ121" i="14"/>
  <c r="CP121" i="14"/>
  <c r="CO121" i="14"/>
  <c r="CN121" i="14"/>
  <c r="CM121" i="14"/>
  <c r="CL121" i="14"/>
  <c r="CK121" i="14"/>
  <c r="CJ121" i="14"/>
  <c r="CI121" i="14"/>
  <c r="CH121" i="14"/>
  <c r="EA120" i="14"/>
  <c r="DZ120" i="14"/>
  <c r="DX120" i="14"/>
  <c r="DW120" i="14"/>
  <c r="DV120" i="14"/>
  <c r="DU120" i="14"/>
  <c r="DT120" i="14"/>
  <c r="DS120" i="14"/>
  <c r="DR120" i="14"/>
  <c r="DQ120" i="14"/>
  <c r="DP120" i="14"/>
  <c r="DO120" i="14"/>
  <c r="DN120" i="14"/>
  <c r="DM120" i="14"/>
  <c r="DL120" i="14"/>
  <c r="DK120" i="14"/>
  <c r="DJ120" i="14"/>
  <c r="DI120" i="14"/>
  <c r="DH120" i="14"/>
  <c r="DG120" i="14"/>
  <c r="DF120" i="14"/>
  <c r="DE120" i="14"/>
  <c r="DD120" i="14"/>
  <c r="DC120" i="14"/>
  <c r="DB120" i="14"/>
  <c r="DA120" i="14"/>
  <c r="CZ120" i="14"/>
  <c r="CY120" i="14"/>
  <c r="CX120" i="14"/>
  <c r="CW120" i="14"/>
  <c r="CV120" i="14"/>
  <c r="CU120" i="14"/>
  <c r="CT120" i="14"/>
  <c r="CS120" i="14"/>
  <c r="CR120" i="14"/>
  <c r="CQ120" i="14"/>
  <c r="CP120" i="14"/>
  <c r="CO120" i="14"/>
  <c r="CN120" i="14"/>
  <c r="CM120" i="14"/>
  <c r="CL120" i="14"/>
  <c r="CK120" i="14"/>
  <c r="CJ120" i="14"/>
  <c r="CI120" i="14"/>
  <c r="CH120" i="14"/>
  <c r="EA119" i="14"/>
  <c r="DZ119" i="14"/>
  <c r="DX119" i="14"/>
  <c r="DW119" i="14"/>
  <c r="DV119" i="14"/>
  <c r="DU119" i="14"/>
  <c r="DT119" i="14"/>
  <c r="DS119" i="14"/>
  <c r="DR119" i="14"/>
  <c r="DQ119" i="14"/>
  <c r="DP119" i="14"/>
  <c r="DO119" i="14"/>
  <c r="DN119" i="14"/>
  <c r="DM119" i="14"/>
  <c r="DL119" i="14"/>
  <c r="DK119" i="14"/>
  <c r="DJ119" i="14"/>
  <c r="DI119" i="14"/>
  <c r="DH119" i="14"/>
  <c r="DG119" i="14"/>
  <c r="DF119" i="14"/>
  <c r="DE119" i="14"/>
  <c r="DD119" i="14"/>
  <c r="DC119" i="14"/>
  <c r="DB119" i="14"/>
  <c r="DA119" i="14"/>
  <c r="CZ119" i="14"/>
  <c r="CY119" i="14"/>
  <c r="CX119" i="14"/>
  <c r="CW119" i="14"/>
  <c r="CV119" i="14"/>
  <c r="CU119" i="14"/>
  <c r="CT119" i="14"/>
  <c r="CS119" i="14"/>
  <c r="CR119" i="14"/>
  <c r="CQ119" i="14"/>
  <c r="CP119" i="14"/>
  <c r="CO119" i="14"/>
  <c r="CN119" i="14"/>
  <c r="CM119" i="14"/>
  <c r="CL119" i="14"/>
  <c r="CK119" i="14"/>
  <c r="CJ119" i="14"/>
  <c r="CI119" i="14"/>
  <c r="CH119" i="14"/>
  <c r="EA118" i="14"/>
  <c r="DZ118" i="14"/>
  <c r="DX118" i="14"/>
  <c r="DW118" i="14"/>
  <c r="DV118" i="14"/>
  <c r="DU118" i="14"/>
  <c r="DT118" i="14"/>
  <c r="DS118" i="14"/>
  <c r="DR118" i="14"/>
  <c r="DQ118" i="14"/>
  <c r="DP118" i="14"/>
  <c r="DO118" i="14"/>
  <c r="DN118" i="14"/>
  <c r="DM118" i="14"/>
  <c r="DL118" i="14"/>
  <c r="DK118" i="14"/>
  <c r="DJ118" i="14"/>
  <c r="DI118" i="14"/>
  <c r="DH118" i="14"/>
  <c r="DG118" i="14"/>
  <c r="DF118" i="14"/>
  <c r="DE118" i="14"/>
  <c r="DD118" i="14"/>
  <c r="DC118" i="14"/>
  <c r="DB118" i="14"/>
  <c r="DA118" i="14"/>
  <c r="CZ118" i="14"/>
  <c r="CY118" i="14"/>
  <c r="CX118" i="14"/>
  <c r="CW118" i="14"/>
  <c r="CV118" i="14"/>
  <c r="CU118" i="14"/>
  <c r="CT118" i="14"/>
  <c r="CS118" i="14"/>
  <c r="CR118" i="14"/>
  <c r="CQ118" i="14"/>
  <c r="CP118" i="14"/>
  <c r="CO118" i="14"/>
  <c r="CN118" i="14"/>
  <c r="CM118" i="14"/>
  <c r="CL118" i="14"/>
  <c r="CK118" i="14"/>
  <c r="CJ118" i="14"/>
  <c r="CI118" i="14"/>
  <c r="CH118" i="14"/>
  <c r="EA117" i="14"/>
  <c r="DZ117" i="14"/>
  <c r="DX117" i="14"/>
  <c r="DW117" i="14"/>
  <c r="DV117" i="14"/>
  <c r="DU117" i="14"/>
  <c r="DT117" i="14"/>
  <c r="DS117" i="14"/>
  <c r="DR117" i="14"/>
  <c r="DQ117" i="14"/>
  <c r="DP117" i="14"/>
  <c r="DO117" i="14"/>
  <c r="DN117" i="14"/>
  <c r="DM117" i="14"/>
  <c r="DL117" i="14"/>
  <c r="DK117" i="14"/>
  <c r="DJ117" i="14"/>
  <c r="DI117" i="14"/>
  <c r="DH117" i="14"/>
  <c r="DG117" i="14"/>
  <c r="DF117" i="14"/>
  <c r="DE117" i="14"/>
  <c r="DD117" i="14"/>
  <c r="DC117" i="14"/>
  <c r="DB117" i="14"/>
  <c r="DA117" i="14"/>
  <c r="CZ117" i="14"/>
  <c r="CY117" i="14"/>
  <c r="CX117" i="14"/>
  <c r="CW117" i="14"/>
  <c r="CV117" i="14"/>
  <c r="CU117" i="14"/>
  <c r="CT117" i="14"/>
  <c r="CS117" i="14"/>
  <c r="CR117" i="14"/>
  <c r="CQ117" i="14"/>
  <c r="CP117" i="14"/>
  <c r="CO117" i="14"/>
  <c r="CN117" i="14"/>
  <c r="CM117" i="14"/>
  <c r="CL117" i="14"/>
  <c r="CK117" i="14"/>
  <c r="CJ117" i="14"/>
  <c r="CI117" i="14"/>
  <c r="CH117" i="14"/>
  <c r="EA116" i="14"/>
  <c r="DZ116" i="14"/>
  <c r="DX116" i="14"/>
  <c r="DW116" i="14"/>
  <c r="DV116" i="14"/>
  <c r="DU116" i="14"/>
  <c r="DT116" i="14"/>
  <c r="DS116" i="14"/>
  <c r="DR116" i="14"/>
  <c r="DQ116" i="14"/>
  <c r="DP116" i="14"/>
  <c r="DO116" i="14"/>
  <c r="DN116" i="14"/>
  <c r="DM116" i="14"/>
  <c r="DL116" i="14"/>
  <c r="DK116" i="14"/>
  <c r="DJ116" i="14"/>
  <c r="DI116" i="14"/>
  <c r="DH116" i="14"/>
  <c r="DG116" i="14"/>
  <c r="DF116" i="14"/>
  <c r="DE116" i="14"/>
  <c r="DD116" i="14"/>
  <c r="DC116" i="14"/>
  <c r="DB116" i="14"/>
  <c r="DA116" i="14"/>
  <c r="CZ116" i="14"/>
  <c r="CY116" i="14"/>
  <c r="CX116" i="14"/>
  <c r="CW116" i="14"/>
  <c r="CV116" i="14"/>
  <c r="CU116" i="14"/>
  <c r="CT116" i="14"/>
  <c r="CS116" i="14"/>
  <c r="CR116" i="14"/>
  <c r="CQ116" i="14"/>
  <c r="CP116" i="14"/>
  <c r="CO116" i="14"/>
  <c r="CN116" i="14"/>
  <c r="CM116" i="14"/>
  <c r="CL116" i="14"/>
  <c r="CK116" i="14"/>
  <c r="CJ116" i="14"/>
  <c r="CI116" i="14"/>
  <c r="CH116" i="14"/>
  <c r="EA115" i="14"/>
  <c r="DZ115" i="14"/>
  <c r="DX115" i="14"/>
  <c r="DW115" i="14"/>
  <c r="DV115" i="14"/>
  <c r="DU115" i="14"/>
  <c r="DT115" i="14"/>
  <c r="DS115" i="14"/>
  <c r="DR115" i="14"/>
  <c r="DQ115" i="14"/>
  <c r="DP115" i="14"/>
  <c r="DO115" i="14"/>
  <c r="DN115" i="14"/>
  <c r="DM115" i="14"/>
  <c r="DL115" i="14"/>
  <c r="DK115" i="14"/>
  <c r="DJ115" i="14"/>
  <c r="DI115" i="14"/>
  <c r="DH115" i="14"/>
  <c r="DG115" i="14"/>
  <c r="DF115" i="14"/>
  <c r="DE115" i="14"/>
  <c r="DD115" i="14"/>
  <c r="DC115" i="14"/>
  <c r="DB115" i="14"/>
  <c r="DA115" i="14"/>
  <c r="CZ115" i="14"/>
  <c r="CY115" i="14"/>
  <c r="CX115" i="14"/>
  <c r="CW115" i="14"/>
  <c r="CV115" i="14"/>
  <c r="CU115" i="14"/>
  <c r="CT115" i="14"/>
  <c r="CS115" i="14"/>
  <c r="CR115" i="14"/>
  <c r="CQ115" i="14"/>
  <c r="CP115" i="14"/>
  <c r="CO115" i="14"/>
  <c r="CN115" i="14"/>
  <c r="CM115" i="14"/>
  <c r="CL115" i="14"/>
  <c r="CK115" i="14"/>
  <c r="CJ115" i="14"/>
  <c r="CI115" i="14"/>
  <c r="CH115" i="14"/>
  <c r="EA114" i="14"/>
  <c r="DZ114" i="14"/>
  <c r="DX114" i="14"/>
  <c r="DW114" i="14"/>
  <c r="DV114" i="14"/>
  <c r="DU114" i="14"/>
  <c r="DT114" i="14"/>
  <c r="DS114" i="14"/>
  <c r="DR114" i="14"/>
  <c r="DQ114" i="14"/>
  <c r="DP114" i="14"/>
  <c r="DO114" i="14"/>
  <c r="DN114" i="14"/>
  <c r="DM114" i="14"/>
  <c r="DL114" i="14"/>
  <c r="DK114" i="14"/>
  <c r="DJ114" i="14"/>
  <c r="DI114" i="14"/>
  <c r="DH114" i="14"/>
  <c r="DG114" i="14"/>
  <c r="DF114" i="14"/>
  <c r="DE114" i="14"/>
  <c r="DD114" i="14"/>
  <c r="DC114" i="14"/>
  <c r="DB114" i="14"/>
  <c r="DA114" i="14"/>
  <c r="CZ114" i="14"/>
  <c r="CY114" i="14"/>
  <c r="CX114" i="14"/>
  <c r="CW114" i="14"/>
  <c r="CV114" i="14"/>
  <c r="CU114" i="14"/>
  <c r="CT114" i="14"/>
  <c r="CS114" i="14"/>
  <c r="CR114" i="14"/>
  <c r="CQ114" i="14"/>
  <c r="CP114" i="14"/>
  <c r="CO114" i="14"/>
  <c r="CN114" i="14"/>
  <c r="CM114" i="14"/>
  <c r="CL114" i="14"/>
  <c r="CK114" i="14"/>
  <c r="CJ114" i="14"/>
  <c r="CI114" i="14"/>
  <c r="CH114" i="14"/>
  <c r="EA113" i="14"/>
  <c r="DZ113" i="14"/>
  <c r="DX113" i="14"/>
  <c r="DW113" i="14"/>
  <c r="DV113" i="14"/>
  <c r="DU113" i="14"/>
  <c r="DT113" i="14"/>
  <c r="DS113" i="14"/>
  <c r="DR113" i="14"/>
  <c r="DQ113" i="14"/>
  <c r="DP113" i="14"/>
  <c r="DO113" i="14"/>
  <c r="DN113" i="14"/>
  <c r="DM113" i="14"/>
  <c r="DL113" i="14"/>
  <c r="DK113" i="14"/>
  <c r="DJ113" i="14"/>
  <c r="DI113" i="14"/>
  <c r="DH113" i="14"/>
  <c r="DG113" i="14"/>
  <c r="DF113" i="14"/>
  <c r="DE113" i="14"/>
  <c r="DD113" i="14"/>
  <c r="DC113" i="14"/>
  <c r="DB113" i="14"/>
  <c r="DA113" i="14"/>
  <c r="CZ113" i="14"/>
  <c r="CY113" i="14"/>
  <c r="CX113" i="14"/>
  <c r="CW113" i="14"/>
  <c r="CV113" i="14"/>
  <c r="CU113" i="14"/>
  <c r="CT113" i="14"/>
  <c r="CS113" i="14"/>
  <c r="CR113" i="14"/>
  <c r="CQ113" i="14"/>
  <c r="CP113" i="14"/>
  <c r="CO113" i="14"/>
  <c r="CN113" i="14"/>
  <c r="CM113" i="14"/>
  <c r="CL113" i="14"/>
  <c r="CK113" i="14"/>
  <c r="CJ113" i="14"/>
  <c r="CI113" i="14"/>
  <c r="CH113" i="14"/>
  <c r="EA112" i="14"/>
  <c r="DZ112" i="14"/>
  <c r="DX112" i="14"/>
  <c r="DW112" i="14"/>
  <c r="DV112" i="14"/>
  <c r="DU112" i="14"/>
  <c r="DT112" i="14"/>
  <c r="DS112" i="14"/>
  <c r="DR112" i="14"/>
  <c r="DQ112" i="14"/>
  <c r="DP112" i="14"/>
  <c r="DO112" i="14"/>
  <c r="DN112" i="14"/>
  <c r="DM112" i="14"/>
  <c r="DL112" i="14"/>
  <c r="DK112" i="14"/>
  <c r="DJ112" i="14"/>
  <c r="DI112" i="14"/>
  <c r="DH112" i="14"/>
  <c r="DG112" i="14"/>
  <c r="DF112" i="14"/>
  <c r="DE112" i="14"/>
  <c r="DD112" i="14"/>
  <c r="DC112" i="14"/>
  <c r="DB112" i="14"/>
  <c r="DA112" i="14"/>
  <c r="CZ112" i="14"/>
  <c r="CY112" i="14"/>
  <c r="CX112" i="14"/>
  <c r="CW112" i="14"/>
  <c r="CV112" i="14"/>
  <c r="CU112" i="14"/>
  <c r="CT112" i="14"/>
  <c r="CS112" i="14"/>
  <c r="CR112" i="14"/>
  <c r="CQ112" i="14"/>
  <c r="CP112" i="14"/>
  <c r="CO112" i="14"/>
  <c r="CN112" i="14"/>
  <c r="CM112" i="14"/>
  <c r="CL112" i="14"/>
  <c r="CK112" i="14"/>
  <c r="CJ112" i="14"/>
  <c r="CI112" i="14"/>
  <c r="CH112" i="14"/>
  <c r="EA111" i="14"/>
  <c r="DZ111" i="14"/>
  <c r="DX111" i="14"/>
  <c r="DW111" i="14"/>
  <c r="DV111" i="14"/>
  <c r="DU111" i="14"/>
  <c r="DT111" i="14"/>
  <c r="DS111" i="14"/>
  <c r="DR111" i="14"/>
  <c r="DQ111" i="14"/>
  <c r="DP111" i="14"/>
  <c r="DO111" i="14"/>
  <c r="DN111" i="14"/>
  <c r="DM111" i="14"/>
  <c r="DL111" i="14"/>
  <c r="DK111" i="14"/>
  <c r="DJ111" i="14"/>
  <c r="DI111" i="14"/>
  <c r="DH111" i="14"/>
  <c r="DG111" i="14"/>
  <c r="DF111" i="14"/>
  <c r="DE111" i="14"/>
  <c r="DD111" i="14"/>
  <c r="DC111" i="14"/>
  <c r="DB111" i="14"/>
  <c r="DA111" i="14"/>
  <c r="CZ111" i="14"/>
  <c r="CY111" i="14"/>
  <c r="CX111" i="14"/>
  <c r="CW111" i="14"/>
  <c r="CV111" i="14"/>
  <c r="CU111" i="14"/>
  <c r="CT111" i="14"/>
  <c r="CS111" i="14"/>
  <c r="CR111" i="14"/>
  <c r="CQ111" i="14"/>
  <c r="CP111" i="14"/>
  <c r="CO111" i="14"/>
  <c r="CN111" i="14"/>
  <c r="CM111" i="14"/>
  <c r="CL111" i="14"/>
  <c r="CK111" i="14"/>
  <c r="CJ111" i="14"/>
  <c r="CI111" i="14"/>
  <c r="CH111" i="14"/>
  <c r="EA110" i="14"/>
  <c r="DZ110" i="14"/>
  <c r="DX110" i="14"/>
  <c r="DW110" i="14"/>
  <c r="DV110" i="14"/>
  <c r="DU110" i="14"/>
  <c r="DT110" i="14"/>
  <c r="DS110" i="14"/>
  <c r="DR110" i="14"/>
  <c r="DQ110" i="14"/>
  <c r="DP110" i="14"/>
  <c r="DO110" i="14"/>
  <c r="DN110" i="14"/>
  <c r="DM110" i="14"/>
  <c r="DL110" i="14"/>
  <c r="DK110" i="14"/>
  <c r="DJ110" i="14"/>
  <c r="DI110" i="14"/>
  <c r="DH110" i="14"/>
  <c r="DG110" i="14"/>
  <c r="DF110" i="14"/>
  <c r="DE110" i="14"/>
  <c r="DD110" i="14"/>
  <c r="DC110" i="14"/>
  <c r="DB110" i="14"/>
  <c r="DA110" i="14"/>
  <c r="CZ110" i="14"/>
  <c r="CY110" i="14"/>
  <c r="CX110" i="14"/>
  <c r="CW110" i="14"/>
  <c r="CV110" i="14"/>
  <c r="CU110" i="14"/>
  <c r="CT110" i="14"/>
  <c r="CS110" i="14"/>
  <c r="CR110" i="14"/>
  <c r="CQ110" i="14"/>
  <c r="CP110" i="14"/>
  <c r="CO110" i="14"/>
  <c r="CN110" i="14"/>
  <c r="CM110" i="14"/>
  <c r="CL110" i="14"/>
  <c r="CK110" i="14"/>
  <c r="CJ110" i="14"/>
  <c r="CI110" i="14"/>
  <c r="CH110" i="14"/>
  <c r="EA109" i="14"/>
  <c r="DZ109" i="14"/>
  <c r="DX109" i="14"/>
  <c r="DW109" i="14"/>
  <c r="DV109" i="14"/>
  <c r="DU109" i="14"/>
  <c r="DT109" i="14"/>
  <c r="DS109" i="14"/>
  <c r="DR109" i="14"/>
  <c r="DQ109" i="14"/>
  <c r="DP109" i="14"/>
  <c r="DO109" i="14"/>
  <c r="DN109" i="14"/>
  <c r="DM109" i="14"/>
  <c r="DL109" i="14"/>
  <c r="DK109" i="14"/>
  <c r="DJ109" i="14"/>
  <c r="DI109" i="14"/>
  <c r="DH109" i="14"/>
  <c r="DG109" i="14"/>
  <c r="DF109" i="14"/>
  <c r="DE109" i="14"/>
  <c r="DD109" i="14"/>
  <c r="DC109" i="14"/>
  <c r="DB109" i="14"/>
  <c r="DA109" i="14"/>
  <c r="CZ109" i="14"/>
  <c r="CY109" i="14"/>
  <c r="CX109" i="14"/>
  <c r="CW109" i="14"/>
  <c r="CV109" i="14"/>
  <c r="CU109" i="14"/>
  <c r="CT109" i="14"/>
  <c r="CS109" i="14"/>
  <c r="CR109" i="14"/>
  <c r="CQ109" i="14"/>
  <c r="CP109" i="14"/>
  <c r="CO109" i="14"/>
  <c r="CN109" i="14"/>
  <c r="CM109" i="14"/>
  <c r="CL109" i="14"/>
  <c r="CK109" i="14"/>
  <c r="CJ109" i="14"/>
  <c r="CI109" i="14"/>
  <c r="CH109" i="14"/>
  <c r="EA108" i="14"/>
  <c r="DZ108" i="14"/>
  <c r="DX108" i="14"/>
  <c r="DW108" i="14"/>
  <c r="DV108" i="14"/>
  <c r="DU108" i="14"/>
  <c r="DT108" i="14"/>
  <c r="DS108" i="14"/>
  <c r="DR108" i="14"/>
  <c r="DQ108" i="14"/>
  <c r="DP108" i="14"/>
  <c r="DO108" i="14"/>
  <c r="DN108" i="14"/>
  <c r="DM108" i="14"/>
  <c r="DL108" i="14"/>
  <c r="DK108" i="14"/>
  <c r="DJ108" i="14"/>
  <c r="DI108" i="14"/>
  <c r="DH108" i="14"/>
  <c r="DG108" i="14"/>
  <c r="DF108" i="14"/>
  <c r="DE108" i="14"/>
  <c r="DD108" i="14"/>
  <c r="DC108" i="14"/>
  <c r="DB108" i="14"/>
  <c r="DA108" i="14"/>
  <c r="CZ108" i="14"/>
  <c r="CY108" i="14"/>
  <c r="CX108" i="14"/>
  <c r="CW108" i="14"/>
  <c r="CV108" i="14"/>
  <c r="CU108" i="14"/>
  <c r="CT108" i="14"/>
  <c r="CS108" i="14"/>
  <c r="CR108" i="14"/>
  <c r="CQ108" i="14"/>
  <c r="CP108" i="14"/>
  <c r="CO108" i="14"/>
  <c r="CN108" i="14"/>
  <c r="CM108" i="14"/>
  <c r="CL108" i="14"/>
  <c r="CK108" i="14"/>
  <c r="CJ108" i="14"/>
  <c r="CI108" i="14"/>
  <c r="CH108" i="14"/>
  <c r="EA107" i="14"/>
  <c r="DZ107" i="14"/>
  <c r="DX107" i="14"/>
  <c r="DW107" i="14"/>
  <c r="DV107" i="14"/>
  <c r="DU107" i="14"/>
  <c r="DT107" i="14"/>
  <c r="DS107" i="14"/>
  <c r="DR107" i="14"/>
  <c r="DQ107" i="14"/>
  <c r="DP107" i="14"/>
  <c r="DO107" i="14"/>
  <c r="DN107" i="14"/>
  <c r="DM107" i="14"/>
  <c r="DL107" i="14"/>
  <c r="DK107" i="14"/>
  <c r="DJ107" i="14"/>
  <c r="DI107" i="14"/>
  <c r="DH107" i="14"/>
  <c r="DG107" i="14"/>
  <c r="DF107" i="14"/>
  <c r="DE107" i="14"/>
  <c r="DD107" i="14"/>
  <c r="DC107" i="14"/>
  <c r="DB107" i="14"/>
  <c r="DA107" i="14"/>
  <c r="CZ107" i="14"/>
  <c r="CY107" i="14"/>
  <c r="CX107" i="14"/>
  <c r="CW107" i="14"/>
  <c r="CV107" i="14"/>
  <c r="CU107" i="14"/>
  <c r="CT107" i="14"/>
  <c r="CS107" i="14"/>
  <c r="CR107" i="14"/>
  <c r="CQ107" i="14"/>
  <c r="CP107" i="14"/>
  <c r="CO107" i="14"/>
  <c r="CN107" i="14"/>
  <c r="CM107" i="14"/>
  <c r="CL107" i="14"/>
  <c r="CK107" i="14"/>
  <c r="CJ107" i="14"/>
  <c r="CI107" i="14"/>
  <c r="CH107" i="14"/>
  <c r="EA106" i="14"/>
  <c r="DZ106" i="14"/>
  <c r="DX106" i="14"/>
  <c r="DW106" i="14"/>
  <c r="DV106" i="14"/>
  <c r="DU106" i="14"/>
  <c r="DT106" i="14"/>
  <c r="DS106" i="14"/>
  <c r="DR106" i="14"/>
  <c r="DQ106" i="14"/>
  <c r="DP106" i="14"/>
  <c r="DO106" i="14"/>
  <c r="DN106" i="14"/>
  <c r="DM106" i="14"/>
  <c r="DL106" i="14"/>
  <c r="DK106" i="14"/>
  <c r="DJ106" i="14"/>
  <c r="DI106" i="14"/>
  <c r="DH106" i="14"/>
  <c r="DG106" i="14"/>
  <c r="DF106" i="14"/>
  <c r="DE106" i="14"/>
  <c r="DD106" i="14"/>
  <c r="DC106" i="14"/>
  <c r="DB106" i="14"/>
  <c r="DA106" i="14"/>
  <c r="CZ106" i="14"/>
  <c r="CY106" i="14"/>
  <c r="CX106" i="14"/>
  <c r="CW106" i="14"/>
  <c r="CV106" i="14"/>
  <c r="CU106" i="14"/>
  <c r="CT106" i="14"/>
  <c r="CS106" i="14"/>
  <c r="CR106" i="14"/>
  <c r="CQ106" i="14"/>
  <c r="CP106" i="14"/>
  <c r="CO106" i="14"/>
  <c r="CN106" i="14"/>
  <c r="CM106" i="14"/>
  <c r="CL106" i="14"/>
  <c r="CK106" i="14"/>
  <c r="CJ106" i="14"/>
  <c r="CI106" i="14"/>
  <c r="CH106" i="14"/>
  <c r="EA105" i="14"/>
  <c r="DZ105" i="14"/>
  <c r="DX105" i="14"/>
  <c r="DW105" i="14"/>
  <c r="DV105" i="14"/>
  <c r="DU105" i="14"/>
  <c r="DT105" i="14"/>
  <c r="DS105" i="14"/>
  <c r="DR105" i="14"/>
  <c r="DQ105" i="14"/>
  <c r="DP105" i="14"/>
  <c r="DO105" i="14"/>
  <c r="DN105" i="14"/>
  <c r="DM105" i="14"/>
  <c r="DL105" i="14"/>
  <c r="DK105" i="14"/>
  <c r="DJ105" i="14"/>
  <c r="DI105" i="14"/>
  <c r="DH105" i="14"/>
  <c r="DG105" i="14"/>
  <c r="DF105" i="14"/>
  <c r="DE105" i="14"/>
  <c r="DD105" i="14"/>
  <c r="DC105" i="14"/>
  <c r="DB105" i="14"/>
  <c r="DA105" i="14"/>
  <c r="CZ105" i="14"/>
  <c r="CY105" i="14"/>
  <c r="CX105" i="14"/>
  <c r="CW105" i="14"/>
  <c r="CV105" i="14"/>
  <c r="CU105" i="14"/>
  <c r="CT105" i="14"/>
  <c r="CS105" i="14"/>
  <c r="CR105" i="14"/>
  <c r="CQ105" i="14"/>
  <c r="CP105" i="14"/>
  <c r="CO105" i="14"/>
  <c r="CN105" i="14"/>
  <c r="CM105" i="14"/>
  <c r="CL105" i="14"/>
  <c r="CK105" i="14"/>
  <c r="CJ105" i="14"/>
  <c r="CI105" i="14"/>
  <c r="CH105" i="14"/>
  <c r="EA104" i="14"/>
  <c r="DZ104" i="14"/>
  <c r="DX104" i="14"/>
  <c r="DW104" i="14"/>
  <c r="DV104" i="14"/>
  <c r="DU104" i="14"/>
  <c r="DT104" i="14"/>
  <c r="DS104" i="14"/>
  <c r="DR104" i="14"/>
  <c r="DQ104" i="14"/>
  <c r="DP104" i="14"/>
  <c r="DO104" i="14"/>
  <c r="DN104" i="14"/>
  <c r="DM104" i="14"/>
  <c r="DL104" i="14"/>
  <c r="DK104" i="14"/>
  <c r="DJ104" i="14"/>
  <c r="DI104" i="14"/>
  <c r="DH104" i="14"/>
  <c r="DG104" i="14"/>
  <c r="DF104" i="14"/>
  <c r="DE104" i="14"/>
  <c r="DD104" i="14"/>
  <c r="DC104" i="14"/>
  <c r="DB104" i="14"/>
  <c r="DA104" i="14"/>
  <c r="CZ104" i="14"/>
  <c r="CY104" i="14"/>
  <c r="CX104" i="14"/>
  <c r="CW104" i="14"/>
  <c r="CV104" i="14"/>
  <c r="CU104" i="14"/>
  <c r="CT104" i="14"/>
  <c r="CS104" i="14"/>
  <c r="CR104" i="14"/>
  <c r="CQ104" i="14"/>
  <c r="CP104" i="14"/>
  <c r="CO104" i="14"/>
  <c r="CN104" i="14"/>
  <c r="CM104" i="14"/>
  <c r="CL104" i="14"/>
  <c r="CK104" i="14"/>
  <c r="CJ104" i="14"/>
  <c r="CI104" i="14"/>
  <c r="CH104" i="14"/>
  <c r="EA103" i="14"/>
  <c r="DZ103" i="14"/>
  <c r="DX103" i="14"/>
  <c r="DW103" i="14"/>
  <c r="DV103" i="14"/>
  <c r="DU103" i="14"/>
  <c r="DT103" i="14"/>
  <c r="DS103" i="14"/>
  <c r="DR103" i="14"/>
  <c r="DQ103" i="14"/>
  <c r="DP103" i="14"/>
  <c r="DO103" i="14"/>
  <c r="DN103" i="14"/>
  <c r="DM103" i="14"/>
  <c r="DL103" i="14"/>
  <c r="DK103" i="14"/>
  <c r="DJ103" i="14"/>
  <c r="DI103" i="14"/>
  <c r="DH103" i="14"/>
  <c r="DG103" i="14"/>
  <c r="DF103" i="14"/>
  <c r="DE103" i="14"/>
  <c r="DD103" i="14"/>
  <c r="DC103" i="14"/>
  <c r="DB103" i="14"/>
  <c r="DA103" i="14"/>
  <c r="CZ103" i="14"/>
  <c r="CY103" i="14"/>
  <c r="CX103" i="14"/>
  <c r="CW103" i="14"/>
  <c r="CV103" i="14"/>
  <c r="CU103" i="14"/>
  <c r="CT103" i="14"/>
  <c r="CS103" i="14"/>
  <c r="CR103" i="14"/>
  <c r="CQ103" i="14"/>
  <c r="CP103" i="14"/>
  <c r="CO103" i="14"/>
  <c r="CN103" i="14"/>
  <c r="CM103" i="14"/>
  <c r="CL103" i="14"/>
  <c r="CK103" i="14"/>
  <c r="CJ103" i="14"/>
  <c r="CI103" i="14"/>
  <c r="CH103" i="14"/>
  <c r="EA102" i="14"/>
  <c r="DZ102" i="14"/>
  <c r="DX102" i="14"/>
  <c r="DW102" i="14"/>
  <c r="DV102" i="14"/>
  <c r="DU102" i="14"/>
  <c r="DT102" i="14"/>
  <c r="DS102" i="14"/>
  <c r="DR102" i="14"/>
  <c r="DQ102" i="14"/>
  <c r="DP102" i="14"/>
  <c r="DO102" i="14"/>
  <c r="DN102" i="14"/>
  <c r="DM102" i="14"/>
  <c r="DL102" i="14"/>
  <c r="DK102" i="14"/>
  <c r="DJ102" i="14"/>
  <c r="DI102" i="14"/>
  <c r="DH102" i="14"/>
  <c r="DG102" i="14"/>
  <c r="DF102" i="14"/>
  <c r="DE102" i="14"/>
  <c r="DD102" i="14"/>
  <c r="DC102" i="14"/>
  <c r="DB102" i="14"/>
  <c r="DA102" i="14"/>
  <c r="CZ102" i="14"/>
  <c r="CY102" i="14"/>
  <c r="CX102" i="14"/>
  <c r="CW102" i="14"/>
  <c r="CV102" i="14"/>
  <c r="CU102" i="14"/>
  <c r="CT102" i="14"/>
  <c r="CS102" i="14"/>
  <c r="CR102" i="14"/>
  <c r="CQ102" i="14"/>
  <c r="CP102" i="14"/>
  <c r="CO102" i="14"/>
  <c r="CN102" i="14"/>
  <c r="CM102" i="14"/>
  <c r="CL102" i="14"/>
  <c r="CK102" i="14"/>
  <c r="CJ102" i="14"/>
  <c r="CI102" i="14"/>
  <c r="CH102" i="14"/>
  <c r="EA101" i="14"/>
  <c r="DZ101" i="14"/>
  <c r="DX101" i="14"/>
  <c r="DW101" i="14"/>
  <c r="DV101" i="14"/>
  <c r="DU101" i="14"/>
  <c r="DT101" i="14"/>
  <c r="DS101" i="14"/>
  <c r="DR101" i="14"/>
  <c r="DQ101" i="14"/>
  <c r="DP101" i="14"/>
  <c r="DO101" i="14"/>
  <c r="DN101" i="14"/>
  <c r="DM101" i="14"/>
  <c r="DL101" i="14"/>
  <c r="DK101" i="14"/>
  <c r="DJ101" i="14"/>
  <c r="DI101" i="14"/>
  <c r="DH101" i="14"/>
  <c r="DG101" i="14"/>
  <c r="DF101" i="14"/>
  <c r="DE101" i="14"/>
  <c r="DD101" i="14"/>
  <c r="DC101" i="14"/>
  <c r="DB101" i="14"/>
  <c r="DA101" i="14"/>
  <c r="CZ101" i="14"/>
  <c r="CY101" i="14"/>
  <c r="CX101" i="14"/>
  <c r="CW101" i="14"/>
  <c r="CV101" i="14"/>
  <c r="CU101" i="14"/>
  <c r="CT101" i="14"/>
  <c r="CS101" i="14"/>
  <c r="CR101" i="14"/>
  <c r="CQ101" i="14"/>
  <c r="CP101" i="14"/>
  <c r="CO101" i="14"/>
  <c r="CN101" i="14"/>
  <c r="CM101" i="14"/>
  <c r="CL101" i="14"/>
  <c r="CK101" i="14"/>
  <c r="CJ101" i="14"/>
  <c r="CI101" i="14"/>
  <c r="CH101" i="14"/>
  <c r="EA100" i="14"/>
  <c r="DZ100" i="14"/>
  <c r="DX100" i="14"/>
  <c r="DW100" i="14"/>
  <c r="DV100" i="14"/>
  <c r="DU100" i="14"/>
  <c r="DT100" i="14"/>
  <c r="DS100" i="14"/>
  <c r="DR100" i="14"/>
  <c r="DQ100" i="14"/>
  <c r="DP100" i="14"/>
  <c r="DO100" i="14"/>
  <c r="DN100" i="14"/>
  <c r="DM100" i="14"/>
  <c r="DL100" i="14"/>
  <c r="DK100" i="14"/>
  <c r="DJ100" i="14"/>
  <c r="DI100" i="14"/>
  <c r="DH100" i="14"/>
  <c r="DG100" i="14"/>
  <c r="DF100" i="14"/>
  <c r="DE100" i="14"/>
  <c r="DD100" i="14"/>
  <c r="DC100" i="14"/>
  <c r="DB100" i="14"/>
  <c r="DA100" i="14"/>
  <c r="CZ100" i="14"/>
  <c r="CY100" i="14"/>
  <c r="CX100" i="14"/>
  <c r="CW100" i="14"/>
  <c r="CV100" i="14"/>
  <c r="CU100" i="14"/>
  <c r="CT100" i="14"/>
  <c r="CS100" i="14"/>
  <c r="CR100" i="14"/>
  <c r="CQ100" i="14"/>
  <c r="CP100" i="14"/>
  <c r="CO100" i="14"/>
  <c r="CN100" i="14"/>
  <c r="CM100" i="14"/>
  <c r="CL100" i="14"/>
  <c r="CK100" i="14"/>
  <c r="CJ100" i="14"/>
  <c r="CI100" i="14"/>
  <c r="CH100" i="14"/>
  <c r="EA99" i="14"/>
  <c r="DZ99" i="14"/>
  <c r="DX99" i="14"/>
  <c r="DW99" i="14"/>
  <c r="DV99" i="14"/>
  <c r="DU99" i="14"/>
  <c r="DT99" i="14"/>
  <c r="DS99" i="14"/>
  <c r="DR99" i="14"/>
  <c r="DQ99" i="14"/>
  <c r="DP99" i="14"/>
  <c r="DO99" i="14"/>
  <c r="DN99" i="14"/>
  <c r="DM99" i="14"/>
  <c r="DL99" i="14"/>
  <c r="DK99" i="14"/>
  <c r="DJ99" i="14"/>
  <c r="DI99" i="14"/>
  <c r="DH99" i="14"/>
  <c r="DG99" i="14"/>
  <c r="DF99" i="14"/>
  <c r="DE99" i="14"/>
  <c r="DD99" i="14"/>
  <c r="DC99" i="14"/>
  <c r="DB99" i="14"/>
  <c r="DA99" i="14"/>
  <c r="CZ99" i="14"/>
  <c r="CY99" i="14"/>
  <c r="CX99" i="14"/>
  <c r="CW99" i="14"/>
  <c r="CV99" i="14"/>
  <c r="CU99" i="14"/>
  <c r="CT99" i="14"/>
  <c r="CS99" i="14"/>
  <c r="CR99" i="14"/>
  <c r="CQ99" i="14"/>
  <c r="CP99" i="14"/>
  <c r="CO99" i="14"/>
  <c r="CN99" i="14"/>
  <c r="CM99" i="14"/>
  <c r="CL99" i="14"/>
  <c r="CK99" i="14"/>
  <c r="CJ99" i="14"/>
  <c r="CI99" i="14"/>
  <c r="CH99" i="14"/>
  <c r="EA98" i="14"/>
  <c r="DZ98" i="14"/>
  <c r="DX98" i="14"/>
  <c r="DW98" i="14"/>
  <c r="DV98" i="14"/>
  <c r="DU98" i="14"/>
  <c r="DT98" i="14"/>
  <c r="DS98" i="14"/>
  <c r="DR98" i="14"/>
  <c r="DQ98" i="14"/>
  <c r="DP98" i="14"/>
  <c r="DO98" i="14"/>
  <c r="DN98" i="14"/>
  <c r="DM98" i="14"/>
  <c r="DL98" i="14"/>
  <c r="DK98" i="14"/>
  <c r="DJ98" i="14"/>
  <c r="DI98" i="14"/>
  <c r="DH98" i="14"/>
  <c r="DG98" i="14"/>
  <c r="DF98" i="14"/>
  <c r="DE98" i="14"/>
  <c r="DD98" i="14"/>
  <c r="DC98" i="14"/>
  <c r="DB98" i="14"/>
  <c r="DA98" i="14"/>
  <c r="CZ98" i="14"/>
  <c r="CY98" i="14"/>
  <c r="CX98" i="14"/>
  <c r="CW98" i="14"/>
  <c r="CV98" i="14"/>
  <c r="CU98" i="14"/>
  <c r="CT98" i="14"/>
  <c r="CS98" i="14"/>
  <c r="CR98" i="14"/>
  <c r="CQ98" i="14"/>
  <c r="CP98" i="14"/>
  <c r="CO98" i="14"/>
  <c r="CN98" i="14"/>
  <c r="CM98" i="14"/>
  <c r="CL98" i="14"/>
  <c r="CK98" i="14"/>
  <c r="CJ98" i="14"/>
  <c r="CI98" i="14"/>
  <c r="CH98" i="14"/>
  <c r="EA97" i="14"/>
  <c r="DZ97" i="14"/>
  <c r="DX97" i="14"/>
  <c r="DW97" i="14"/>
  <c r="DV97" i="14"/>
  <c r="DU97" i="14"/>
  <c r="DT97" i="14"/>
  <c r="DS97" i="14"/>
  <c r="DR97" i="14"/>
  <c r="DQ97" i="14"/>
  <c r="DP97" i="14"/>
  <c r="DO97" i="14"/>
  <c r="DN97" i="14"/>
  <c r="DM97" i="14"/>
  <c r="DL97" i="14"/>
  <c r="DK97" i="14"/>
  <c r="DJ97" i="14"/>
  <c r="DI97" i="14"/>
  <c r="DH97" i="14"/>
  <c r="DG97" i="14"/>
  <c r="DF97" i="14"/>
  <c r="DE97" i="14"/>
  <c r="DD97" i="14"/>
  <c r="DC97" i="14"/>
  <c r="DB97" i="14"/>
  <c r="DA97" i="14"/>
  <c r="CZ97" i="14"/>
  <c r="CY97" i="14"/>
  <c r="CX97" i="14"/>
  <c r="CW97" i="14"/>
  <c r="CV97" i="14"/>
  <c r="CU97" i="14"/>
  <c r="CT97" i="14"/>
  <c r="CS97" i="14"/>
  <c r="CR97" i="14"/>
  <c r="CQ97" i="14"/>
  <c r="CP97" i="14"/>
  <c r="CO97" i="14"/>
  <c r="CN97" i="14"/>
  <c r="CM97" i="14"/>
  <c r="CL97" i="14"/>
  <c r="CK97" i="14"/>
  <c r="CJ97" i="14"/>
  <c r="CI97" i="14"/>
  <c r="CH97" i="14"/>
  <c r="EA96" i="14"/>
  <c r="DZ96" i="14"/>
  <c r="DX96" i="14"/>
  <c r="DW96" i="14"/>
  <c r="DV96" i="14"/>
  <c r="DU96" i="14"/>
  <c r="DT96" i="14"/>
  <c r="DS96" i="14"/>
  <c r="DR96" i="14"/>
  <c r="DQ96" i="14"/>
  <c r="DP96" i="14"/>
  <c r="DO96" i="14"/>
  <c r="DN96" i="14"/>
  <c r="DM96" i="14"/>
  <c r="DL96" i="14"/>
  <c r="DK96" i="14"/>
  <c r="DJ96" i="14"/>
  <c r="DI96" i="14"/>
  <c r="DH96" i="14"/>
  <c r="DG96" i="14"/>
  <c r="DF96" i="14"/>
  <c r="DE96" i="14"/>
  <c r="DD96" i="14"/>
  <c r="DC96" i="14"/>
  <c r="DB96" i="14"/>
  <c r="DA96" i="14"/>
  <c r="CZ96" i="14"/>
  <c r="CY96" i="14"/>
  <c r="CX96" i="14"/>
  <c r="CW96" i="14"/>
  <c r="CV96" i="14"/>
  <c r="CU96" i="14"/>
  <c r="CT96" i="14"/>
  <c r="CS96" i="14"/>
  <c r="CR96" i="14"/>
  <c r="CQ96" i="14"/>
  <c r="CP96" i="14"/>
  <c r="CO96" i="14"/>
  <c r="CN96" i="14"/>
  <c r="CM96" i="14"/>
  <c r="CL96" i="14"/>
  <c r="CK96" i="14"/>
  <c r="CJ96" i="14"/>
  <c r="CI96" i="14"/>
  <c r="CH96" i="14"/>
  <c r="EA95" i="14"/>
  <c r="DZ95" i="14"/>
  <c r="DX95" i="14"/>
  <c r="DW95" i="14"/>
  <c r="DV95" i="14"/>
  <c r="DU95" i="14"/>
  <c r="DT95" i="14"/>
  <c r="DS95" i="14"/>
  <c r="DR95" i="14"/>
  <c r="DQ95" i="14"/>
  <c r="DP95" i="14"/>
  <c r="DO95" i="14"/>
  <c r="DN95" i="14"/>
  <c r="DM95" i="14"/>
  <c r="DL95" i="14"/>
  <c r="DK95" i="14"/>
  <c r="DJ95" i="14"/>
  <c r="DI95" i="14"/>
  <c r="DH95" i="14"/>
  <c r="DG95" i="14"/>
  <c r="DF95" i="14"/>
  <c r="DE95" i="14"/>
  <c r="DD95" i="14"/>
  <c r="DC95" i="14"/>
  <c r="DB95" i="14"/>
  <c r="DA95" i="14"/>
  <c r="CZ95" i="14"/>
  <c r="CY95" i="14"/>
  <c r="CX95" i="14"/>
  <c r="CW95" i="14"/>
  <c r="CV95" i="14"/>
  <c r="CU95" i="14"/>
  <c r="CT95" i="14"/>
  <c r="CS95" i="14"/>
  <c r="CR95" i="14"/>
  <c r="CQ95" i="14"/>
  <c r="CP95" i="14"/>
  <c r="CO95" i="14"/>
  <c r="CN95" i="14"/>
  <c r="CM95" i="14"/>
  <c r="CL95" i="14"/>
  <c r="CK95" i="14"/>
  <c r="CJ95" i="14"/>
  <c r="CI95" i="14"/>
  <c r="CH95" i="14"/>
  <c r="EA94" i="14"/>
  <c r="DZ94" i="14"/>
  <c r="DX94" i="14"/>
  <c r="DW94" i="14"/>
  <c r="DV94" i="14"/>
  <c r="DU94" i="14"/>
  <c r="DT94" i="14"/>
  <c r="DS94" i="14"/>
  <c r="DR94" i="14"/>
  <c r="DQ94" i="14"/>
  <c r="DP94" i="14"/>
  <c r="DO94" i="14"/>
  <c r="DN94" i="14"/>
  <c r="DM94" i="14"/>
  <c r="DL94" i="14"/>
  <c r="DK94" i="14"/>
  <c r="DJ94" i="14"/>
  <c r="DI94" i="14"/>
  <c r="DH94" i="14"/>
  <c r="DG94" i="14"/>
  <c r="DF94" i="14"/>
  <c r="DE94" i="14"/>
  <c r="DD94" i="14"/>
  <c r="DC94" i="14"/>
  <c r="DB94" i="14"/>
  <c r="DA94" i="14"/>
  <c r="CZ94" i="14"/>
  <c r="CY94" i="14"/>
  <c r="CX94" i="14"/>
  <c r="CW94" i="14"/>
  <c r="CV94" i="14"/>
  <c r="CU94" i="14"/>
  <c r="CT94" i="14"/>
  <c r="CS94" i="14"/>
  <c r="CR94" i="14"/>
  <c r="CQ94" i="14"/>
  <c r="CP94" i="14"/>
  <c r="CO94" i="14"/>
  <c r="CN94" i="14"/>
  <c r="CM94" i="14"/>
  <c r="CL94" i="14"/>
  <c r="CK94" i="14"/>
  <c r="CJ94" i="14"/>
  <c r="CI94" i="14"/>
  <c r="CH94" i="14"/>
  <c r="EA93" i="14"/>
  <c r="DZ93" i="14"/>
  <c r="DX93" i="14"/>
  <c r="DW93" i="14"/>
  <c r="DV93" i="14"/>
  <c r="DU93" i="14"/>
  <c r="DT93" i="14"/>
  <c r="DS93" i="14"/>
  <c r="DR93" i="14"/>
  <c r="DQ93" i="14"/>
  <c r="DP93" i="14"/>
  <c r="DO93" i="14"/>
  <c r="DN93" i="14"/>
  <c r="DM93" i="14"/>
  <c r="DL93" i="14"/>
  <c r="DK93" i="14"/>
  <c r="DJ93" i="14"/>
  <c r="DI93" i="14"/>
  <c r="DH93" i="14"/>
  <c r="DG93" i="14"/>
  <c r="DF93" i="14"/>
  <c r="DE93" i="14"/>
  <c r="DD93" i="14"/>
  <c r="DC93" i="14"/>
  <c r="DB93" i="14"/>
  <c r="DA93" i="14"/>
  <c r="CZ93" i="14"/>
  <c r="CY93" i="14"/>
  <c r="CX93" i="14"/>
  <c r="CW93" i="14"/>
  <c r="CV93" i="14"/>
  <c r="CU93" i="14"/>
  <c r="CT93" i="14"/>
  <c r="CS93" i="14"/>
  <c r="CR93" i="14"/>
  <c r="CQ93" i="14"/>
  <c r="CP93" i="14"/>
  <c r="CO93" i="14"/>
  <c r="CN93" i="14"/>
  <c r="CM93" i="14"/>
  <c r="CL93" i="14"/>
  <c r="CK93" i="14"/>
  <c r="CJ93" i="14"/>
  <c r="CI93" i="14"/>
  <c r="CH93" i="14"/>
  <c r="EA92" i="14"/>
  <c r="DZ92" i="14"/>
  <c r="DX92" i="14"/>
  <c r="DW92" i="14"/>
  <c r="DV92" i="14"/>
  <c r="DU92" i="14"/>
  <c r="DT92" i="14"/>
  <c r="DS92" i="14"/>
  <c r="DR92" i="14"/>
  <c r="DQ92" i="14"/>
  <c r="DP92" i="14"/>
  <c r="DO92" i="14"/>
  <c r="DN92" i="14"/>
  <c r="DM92" i="14"/>
  <c r="DL92" i="14"/>
  <c r="DK92" i="14"/>
  <c r="DJ92" i="14"/>
  <c r="DI92" i="14"/>
  <c r="DH92" i="14"/>
  <c r="DG92" i="14"/>
  <c r="DF92" i="14"/>
  <c r="DE92" i="14"/>
  <c r="DD92" i="14"/>
  <c r="DC92" i="14"/>
  <c r="DB92" i="14"/>
  <c r="DA92" i="14"/>
  <c r="CZ92" i="14"/>
  <c r="CY92" i="14"/>
  <c r="CX92" i="14"/>
  <c r="CW92" i="14"/>
  <c r="CV92" i="14"/>
  <c r="CU92" i="14"/>
  <c r="CT92" i="14"/>
  <c r="CS92" i="14"/>
  <c r="CR92" i="14"/>
  <c r="CQ92" i="14"/>
  <c r="CP92" i="14"/>
  <c r="CO92" i="14"/>
  <c r="CN92" i="14"/>
  <c r="CM92" i="14"/>
  <c r="CL92" i="14"/>
  <c r="CK92" i="14"/>
  <c r="CJ92" i="14"/>
  <c r="CI92" i="14"/>
  <c r="CH92" i="14"/>
  <c r="EA91" i="14"/>
  <c r="DZ91" i="14"/>
  <c r="DX91" i="14"/>
  <c r="DW91" i="14"/>
  <c r="DV91" i="14"/>
  <c r="DU91" i="14"/>
  <c r="DT91" i="14"/>
  <c r="DS91" i="14"/>
  <c r="DR91" i="14"/>
  <c r="DQ91" i="14"/>
  <c r="DP91" i="14"/>
  <c r="DO91" i="14"/>
  <c r="DN91" i="14"/>
  <c r="DM91" i="14"/>
  <c r="DL91" i="14"/>
  <c r="DK91" i="14"/>
  <c r="DJ91" i="14"/>
  <c r="DI91" i="14"/>
  <c r="DH91" i="14"/>
  <c r="DG91" i="14"/>
  <c r="DF91" i="14"/>
  <c r="DE91" i="14"/>
  <c r="DD91" i="14"/>
  <c r="DC91" i="14"/>
  <c r="DB91" i="14"/>
  <c r="DA91" i="14"/>
  <c r="CZ91" i="14"/>
  <c r="CY91" i="14"/>
  <c r="CX91" i="14"/>
  <c r="CW91" i="14"/>
  <c r="CV91" i="14"/>
  <c r="CU91" i="14"/>
  <c r="CT91" i="14"/>
  <c r="CS91" i="14"/>
  <c r="CR91" i="14"/>
  <c r="CQ91" i="14"/>
  <c r="CP91" i="14"/>
  <c r="CO91" i="14"/>
  <c r="CN91" i="14"/>
  <c r="CM91" i="14"/>
  <c r="CL91" i="14"/>
  <c r="CK91" i="14"/>
  <c r="CJ91" i="14"/>
  <c r="CI91" i="14"/>
  <c r="CH91" i="14"/>
  <c r="EA90" i="14"/>
  <c r="DZ90" i="14"/>
  <c r="DX90" i="14"/>
  <c r="DW90" i="14"/>
  <c r="DV90" i="14"/>
  <c r="DU90" i="14"/>
  <c r="DT90" i="14"/>
  <c r="DS90" i="14"/>
  <c r="DR90" i="14"/>
  <c r="DQ90" i="14"/>
  <c r="DP90" i="14"/>
  <c r="DO90" i="14"/>
  <c r="DN90" i="14"/>
  <c r="DM90" i="14"/>
  <c r="DL90" i="14"/>
  <c r="DK90" i="14"/>
  <c r="DJ90" i="14"/>
  <c r="DI90" i="14"/>
  <c r="DH90" i="14"/>
  <c r="DG90" i="14"/>
  <c r="DF90" i="14"/>
  <c r="DE90" i="14"/>
  <c r="DD90" i="14"/>
  <c r="DC90" i="14"/>
  <c r="DB90" i="14"/>
  <c r="DA90" i="14"/>
  <c r="CZ90" i="14"/>
  <c r="CY90" i="14"/>
  <c r="CX90" i="14"/>
  <c r="CW90" i="14"/>
  <c r="CV90" i="14"/>
  <c r="CU90" i="14"/>
  <c r="CT90" i="14"/>
  <c r="CS90" i="14"/>
  <c r="CR90" i="14"/>
  <c r="CQ90" i="14"/>
  <c r="CP90" i="14"/>
  <c r="CO90" i="14"/>
  <c r="CN90" i="14"/>
  <c r="CM90" i="14"/>
  <c r="CL90" i="14"/>
  <c r="CK90" i="14"/>
  <c r="CJ90" i="14"/>
  <c r="CI90" i="14"/>
  <c r="CH90" i="14"/>
  <c r="EA89" i="14"/>
  <c r="DZ89" i="14"/>
  <c r="DX89" i="14"/>
  <c r="DW89" i="14"/>
  <c r="DV89" i="14"/>
  <c r="DU89" i="14"/>
  <c r="DT89" i="14"/>
  <c r="DS89" i="14"/>
  <c r="DR89" i="14"/>
  <c r="DQ89" i="14"/>
  <c r="DP89" i="14"/>
  <c r="DO89" i="14"/>
  <c r="DN89" i="14"/>
  <c r="DM89" i="14"/>
  <c r="DL89" i="14"/>
  <c r="DK89" i="14"/>
  <c r="DJ89" i="14"/>
  <c r="DI89" i="14"/>
  <c r="DH89" i="14"/>
  <c r="DG89" i="14"/>
  <c r="DF89" i="14"/>
  <c r="DE89" i="14"/>
  <c r="DD89" i="14"/>
  <c r="DC89" i="14"/>
  <c r="DB89" i="14"/>
  <c r="DA89" i="14"/>
  <c r="CZ89" i="14"/>
  <c r="CY89" i="14"/>
  <c r="CX89" i="14"/>
  <c r="CW89" i="14"/>
  <c r="CV89" i="14"/>
  <c r="CU89" i="14"/>
  <c r="CT89" i="14"/>
  <c r="CS89" i="14"/>
  <c r="CR89" i="14"/>
  <c r="CQ89" i="14"/>
  <c r="CP89" i="14"/>
  <c r="CO89" i="14"/>
  <c r="CN89" i="14"/>
  <c r="CM89" i="14"/>
  <c r="CL89" i="14"/>
  <c r="CK89" i="14"/>
  <c r="CJ89" i="14"/>
  <c r="CI89" i="14"/>
  <c r="CH89" i="14"/>
  <c r="EA88" i="14"/>
  <c r="DZ88" i="14"/>
  <c r="DX88" i="14"/>
  <c r="DW88" i="14"/>
  <c r="DV88" i="14"/>
  <c r="DU88" i="14"/>
  <c r="DT88" i="14"/>
  <c r="DS88" i="14"/>
  <c r="DR88" i="14"/>
  <c r="DQ88" i="14"/>
  <c r="DP88" i="14"/>
  <c r="DO88" i="14"/>
  <c r="DN88" i="14"/>
  <c r="DM88" i="14"/>
  <c r="DL88" i="14"/>
  <c r="DK88" i="14"/>
  <c r="DJ88" i="14"/>
  <c r="DI88" i="14"/>
  <c r="DH88" i="14"/>
  <c r="DG88" i="14"/>
  <c r="DF88" i="14"/>
  <c r="DE88" i="14"/>
  <c r="DD88" i="14"/>
  <c r="DC88" i="14"/>
  <c r="DB88" i="14"/>
  <c r="DA88" i="14"/>
  <c r="CZ88" i="14"/>
  <c r="CY88" i="14"/>
  <c r="CX88" i="14"/>
  <c r="CW88" i="14"/>
  <c r="CV88" i="14"/>
  <c r="CU88" i="14"/>
  <c r="CT88" i="14"/>
  <c r="CS88" i="14"/>
  <c r="CR88" i="14"/>
  <c r="CQ88" i="14"/>
  <c r="CP88" i="14"/>
  <c r="CO88" i="14"/>
  <c r="CN88" i="14"/>
  <c r="CM88" i="14"/>
  <c r="CL88" i="14"/>
  <c r="CK88" i="14"/>
  <c r="CJ88" i="14"/>
  <c r="CI88" i="14"/>
  <c r="CH88" i="14"/>
  <c r="EA87" i="14"/>
  <c r="DZ87" i="14"/>
  <c r="DX87" i="14"/>
  <c r="DW87" i="14"/>
  <c r="DV87" i="14"/>
  <c r="DU87" i="14"/>
  <c r="DT87" i="14"/>
  <c r="DS87" i="14"/>
  <c r="DR87" i="14"/>
  <c r="DQ87" i="14"/>
  <c r="DP87" i="14"/>
  <c r="DO87" i="14"/>
  <c r="DN87" i="14"/>
  <c r="DM87" i="14"/>
  <c r="DL87" i="14"/>
  <c r="DK87" i="14"/>
  <c r="DJ87" i="14"/>
  <c r="DI87" i="14"/>
  <c r="DH87" i="14"/>
  <c r="DG87" i="14"/>
  <c r="DF87" i="14"/>
  <c r="DE87" i="14"/>
  <c r="DD87" i="14"/>
  <c r="DC87" i="14"/>
  <c r="DB87" i="14"/>
  <c r="DA87" i="14"/>
  <c r="CZ87" i="14"/>
  <c r="CY87" i="14"/>
  <c r="CX87" i="14"/>
  <c r="CW87" i="14"/>
  <c r="CV87" i="14"/>
  <c r="CU87" i="14"/>
  <c r="CT87" i="14"/>
  <c r="CS87" i="14"/>
  <c r="CR87" i="14"/>
  <c r="CQ87" i="14"/>
  <c r="CP87" i="14"/>
  <c r="CO87" i="14"/>
  <c r="CN87" i="14"/>
  <c r="CM87" i="14"/>
  <c r="CL87" i="14"/>
  <c r="CK87" i="14"/>
  <c r="CJ87" i="14"/>
  <c r="CI87" i="14"/>
  <c r="CH87" i="14"/>
  <c r="EA86" i="14"/>
  <c r="DZ86" i="14"/>
  <c r="DX86" i="14"/>
  <c r="DW86" i="14"/>
  <c r="DV86" i="14"/>
  <c r="DU86" i="14"/>
  <c r="DT86" i="14"/>
  <c r="DS86" i="14"/>
  <c r="DR86" i="14"/>
  <c r="DQ86" i="14"/>
  <c r="DP86" i="14"/>
  <c r="DO86" i="14"/>
  <c r="DN86" i="14"/>
  <c r="DM86" i="14"/>
  <c r="DL86" i="14"/>
  <c r="DK86" i="14"/>
  <c r="DJ86" i="14"/>
  <c r="DI86" i="14"/>
  <c r="DH86" i="14"/>
  <c r="DG86" i="14"/>
  <c r="DF86" i="14"/>
  <c r="DE86" i="14"/>
  <c r="DD86" i="14"/>
  <c r="DC86" i="14"/>
  <c r="DB86" i="14"/>
  <c r="DA86" i="14"/>
  <c r="CZ86" i="14"/>
  <c r="CY86" i="14"/>
  <c r="CX86" i="14"/>
  <c r="CW86" i="14"/>
  <c r="CV86" i="14"/>
  <c r="CU86" i="14"/>
  <c r="CT86" i="14"/>
  <c r="CS86" i="14"/>
  <c r="CR86" i="14"/>
  <c r="CQ86" i="14"/>
  <c r="CP86" i="14"/>
  <c r="CO86" i="14"/>
  <c r="CN86" i="14"/>
  <c r="CM86" i="14"/>
  <c r="CL86" i="14"/>
  <c r="CK86" i="14"/>
  <c r="CJ86" i="14"/>
  <c r="CI86" i="14"/>
  <c r="CH86" i="14"/>
  <c r="EA85" i="14"/>
  <c r="DZ85" i="14"/>
  <c r="DX85" i="14"/>
  <c r="DW85" i="14"/>
  <c r="DV85" i="14"/>
  <c r="DU85" i="14"/>
  <c r="DT85" i="14"/>
  <c r="DS85" i="14"/>
  <c r="DR85" i="14"/>
  <c r="DQ85" i="14"/>
  <c r="DP85" i="14"/>
  <c r="DO85" i="14"/>
  <c r="DN85" i="14"/>
  <c r="DM85" i="14"/>
  <c r="DL85" i="14"/>
  <c r="DK85" i="14"/>
  <c r="DJ85" i="14"/>
  <c r="DI85" i="14"/>
  <c r="DH85" i="14"/>
  <c r="DG85" i="14"/>
  <c r="DF85" i="14"/>
  <c r="DE85" i="14"/>
  <c r="DD85" i="14"/>
  <c r="DC85" i="14"/>
  <c r="DB85" i="14"/>
  <c r="DA85" i="14"/>
  <c r="CZ85" i="14"/>
  <c r="CY85" i="14"/>
  <c r="CX85" i="14"/>
  <c r="CW85" i="14"/>
  <c r="CV85" i="14"/>
  <c r="CU85" i="14"/>
  <c r="CT85" i="14"/>
  <c r="CS85" i="14"/>
  <c r="CR85" i="14"/>
  <c r="CQ85" i="14"/>
  <c r="CP85" i="14"/>
  <c r="CO85" i="14"/>
  <c r="CN85" i="14"/>
  <c r="CM85" i="14"/>
  <c r="CL85" i="14"/>
  <c r="CK85" i="14"/>
  <c r="CJ85" i="14"/>
  <c r="CI85" i="14"/>
  <c r="CH85" i="14"/>
  <c r="EA84" i="14"/>
  <c r="DZ84" i="14"/>
  <c r="DX84" i="14"/>
  <c r="DW84" i="14"/>
  <c r="DV84" i="14"/>
  <c r="DU84" i="14"/>
  <c r="DT84" i="14"/>
  <c r="DS84" i="14"/>
  <c r="DR84" i="14"/>
  <c r="DQ84" i="14"/>
  <c r="DP84" i="14"/>
  <c r="DO84" i="14"/>
  <c r="DN84" i="14"/>
  <c r="DM84" i="14"/>
  <c r="DL84" i="14"/>
  <c r="DK84" i="14"/>
  <c r="DJ84" i="14"/>
  <c r="DI84" i="14"/>
  <c r="DH84" i="14"/>
  <c r="DG84" i="14"/>
  <c r="DF84" i="14"/>
  <c r="DE84" i="14"/>
  <c r="DD84" i="14"/>
  <c r="DC84" i="14"/>
  <c r="DB84" i="14"/>
  <c r="DA84" i="14"/>
  <c r="CZ84" i="14"/>
  <c r="CY84" i="14"/>
  <c r="CX84" i="14"/>
  <c r="CW84" i="14"/>
  <c r="CV84" i="14"/>
  <c r="CU84" i="14"/>
  <c r="CT84" i="14"/>
  <c r="CS84" i="14"/>
  <c r="CR84" i="14"/>
  <c r="CQ84" i="14"/>
  <c r="CP84" i="14"/>
  <c r="CO84" i="14"/>
  <c r="CN84" i="14"/>
  <c r="CM84" i="14"/>
  <c r="CL84" i="14"/>
  <c r="CK84" i="14"/>
  <c r="CJ84" i="14"/>
  <c r="CI84" i="14"/>
  <c r="CH84" i="14"/>
  <c r="EA83" i="14"/>
  <c r="DZ83" i="14"/>
  <c r="DX83" i="14"/>
  <c r="DW83" i="14"/>
  <c r="DV83" i="14"/>
  <c r="DU83" i="14"/>
  <c r="DT83" i="14"/>
  <c r="DS83" i="14"/>
  <c r="DR83" i="14"/>
  <c r="DQ83" i="14"/>
  <c r="DP83" i="14"/>
  <c r="DO83" i="14"/>
  <c r="DN83" i="14"/>
  <c r="DM83" i="14"/>
  <c r="DL83" i="14"/>
  <c r="DK83" i="14"/>
  <c r="DJ83" i="14"/>
  <c r="DI83" i="14"/>
  <c r="DH83" i="14"/>
  <c r="DG83" i="14"/>
  <c r="DF83" i="14"/>
  <c r="DE83" i="14"/>
  <c r="DD83" i="14"/>
  <c r="DC83" i="14"/>
  <c r="DB83" i="14"/>
  <c r="DA83" i="14"/>
  <c r="CZ83" i="14"/>
  <c r="CY83" i="14"/>
  <c r="CX83" i="14"/>
  <c r="CW83" i="14"/>
  <c r="CV83" i="14"/>
  <c r="CU83" i="14"/>
  <c r="CT83" i="14"/>
  <c r="CS83" i="14"/>
  <c r="CR83" i="14"/>
  <c r="CQ83" i="14"/>
  <c r="CP83" i="14"/>
  <c r="CO83" i="14"/>
  <c r="CN83" i="14"/>
  <c r="CM83" i="14"/>
  <c r="CL83" i="14"/>
  <c r="CK83" i="14"/>
  <c r="CJ83" i="14"/>
  <c r="CI83" i="14"/>
  <c r="CH83" i="14"/>
  <c r="EA82" i="14"/>
  <c r="DZ82" i="14"/>
  <c r="DX82" i="14"/>
  <c r="DW82" i="14"/>
  <c r="DV82" i="14"/>
  <c r="DU82" i="14"/>
  <c r="DT82" i="14"/>
  <c r="DS82" i="14"/>
  <c r="DR82" i="14"/>
  <c r="DQ82" i="14"/>
  <c r="DP82" i="14"/>
  <c r="DO82" i="14"/>
  <c r="DN82" i="14"/>
  <c r="DM82" i="14"/>
  <c r="DL82" i="14"/>
  <c r="DK82" i="14"/>
  <c r="DJ82" i="14"/>
  <c r="DI82" i="14"/>
  <c r="DH82" i="14"/>
  <c r="DG82" i="14"/>
  <c r="DF82" i="14"/>
  <c r="DE82" i="14"/>
  <c r="DD82" i="14"/>
  <c r="DC82" i="14"/>
  <c r="DB82" i="14"/>
  <c r="DA82" i="14"/>
  <c r="CZ82" i="14"/>
  <c r="CY82" i="14"/>
  <c r="CX82" i="14"/>
  <c r="CW82" i="14"/>
  <c r="CV82" i="14"/>
  <c r="CU82" i="14"/>
  <c r="CT82" i="14"/>
  <c r="CS82" i="14"/>
  <c r="CR82" i="14"/>
  <c r="CQ82" i="14"/>
  <c r="CP82" i="14"/>
  <c r="CO82" i="14"/>
  <c r="CN82" i="14"/>
  <c r="CM82" i="14"/>
  <c r="CL82" i="14"/>
  <c r="CK82" i="14"/>
  <c r="CJ82" i="14"/>
  <c r="CI82" i="14"/>
  <c r="CH82" i="14"/>
  <c r="EA81" i="14"/>
  <c r="DZ81" i="14"/>
  <c r="DX81" i="14"/>
  <c r="DW81" i="14"/>
  <c r="DV81" i="14"/>
  <c r="DU81" i="14"/>
  <c r="DT81" i="14"/>
  <c r="DS81" i="14"/>
  <c r="DR81" i="14"/>
  <c r="DQ81" i="14"/>
  <c r="DP81" i="14"/>
  <c r="DO81" i="14"/>
  <c r="DN81" i="14"/>
  <c r="DM81" i="14"/>
  <c r="DL81" i="14"/>
  <c r="DK81" i="14"/>
  <c r="DJ81" i="14"/>
  <c r="DI81" i="14"/>
  <c r="DH81" i="14"/>
  <c r="DG81" i="14"/>
  <c r="DF81" i="14"/>
  <c r="DE81" i="14"/>
  <c r="DD81" i="14"/>
  <c r="DC81" i="14"/>
  <c r="DB81" i="14"/>
  <c r="DA81" i="14"/>
  <c r="CZ81" i="14"/>
  <c r="CY81" i="14"/>
  <c r="CX81" i="14"/>
  <c r="CW81" i="14"/>
  <c r="CV81" i="14"/>
  <c r="CU81" i="14"/>
  <c r="CT81" i="14"/>
  <c r="CS81" i="14"/>
  <c r="CR81" i="14"/>
  <c r="CQ81" i="14"/>
  <c r="CP81" i="14"/>
  <c r="CO81" i="14"/>
  <c r="CN81" i="14"/>
  <c r="CM81" i="14"/>
  <c r="CL81" i="14"/>
  <c r="CK81" i="14"/>
  <c r="CJ81" i="14"/>
  <c r="CI81" i="14"/>
  <c r="CH81" i="14"/>
  <c r="EA80" i="14"/>
  <c r="DZ80" i="14"/>
  <c r="DX80" i="14"/>
  <c r="DW80" i="14"/>
  <c r="DV80" i="14"/>
  <c r="DU80" i="14"/>
  <c r="DT80" i="14"/>
  <c r="DS80" i="14"/>
  <c r="DR80" i="14"/>
  <c r="DQ80" i="14"/>
  <c r="DP80" i="14"/>
  <c r="DO80" i="14"/>
  <c r="DN80" i="14"/>
  <c r="DM80" i="14"/>
  <c r="DL80" i="14"/>
  <c r="DK80" i="14"/>
  <c r="DJ80" i="14"/>
  <c r="DI80" i="14"/>
  <c r="DH80" i="14"/>
  <c r="DG80" i="14"/>
  <c r="DF80" i="14"/>
  <c r="DE80" i="14"/>
  <c r="DD80" i="14"/>
  <c r="DC80" i="14"/>
  <c r="DB80" i="14"/>
  <c r="DA80" i="14"/>
  <c r="CZ80" i="14"/>
  <c r="CY80" i="14"/>
  <c r="CX80" i="14"/>
  <c r="CW80" i="14"/>
  <c r="CV80" i="14"/>
  <c r="CU80" i="14"/>
  <c r="CT80" i="14"/>
  <c r="CS80" i="14"/>
  <c r="CR80" i="14"/>
  <c r="CQ80" i="14"/>
  <c r="CP80" i="14"/>
  <c r="CO80" i="14"/>
  <c r="CN80" i="14"/>
  <c r="CM80" i="14"/>
  <c r="CL80" i="14"/>
  <c r="CK80" i="14"/>
  <c r="CJ80" i="14"/>
  <c r="CI80" i="14"/>
  <c r="CH80" i="14"/>
  <c r="EA79" i="14"/>
  <c r="DZ79" i="14"/>
  <c r="DX79" i="14"/>
  <c r="DW79" i="14"/>
  <c r="DV79" i="14"/>
  <c r="DU79" i="14"/>
  <c r="DT79" i="14"/>
  <c r="DS79" i="14"/>
  <c r="DR79" i="14"/>
  <c r="DQ79" i="14"/>
  <c r="DP79" i="14"/>
  <c r="DO79" i="14"/>
  <c r="DN79" i="14"/>
  <c r="DM79" i="14"/>
  <c r="DL79" i="14"/>
  <c r="DK79" i="14"/>
  <c r="DJ79" i="14"/>
  <c r="DI79" i="14"/>
  <c r="DH79" i="14"/>
  <c r="DG79" i="14"/>
  <c r="DF79" i="14"/>
  <c r="DE79" i="14"/>
  <c r="DD79" i="14"/>
  <c r="DC79" i="14"/>
  <c r="DB79" i="14"/>
  <c r="DA79" i="14"/>
  <c r="CZ79" i="14"/>
  <c r="CY79" i="14"/>
  <c r="CX79" i="14"/>
  <c r="CW79" i="14"/>
  <c r="CV79" i="14"/>
  <c r="CU79" i="14"/>
  <c r="CT79" i="14"/>
  <c r="CS79" i="14"/>
  <c r="CR79" i="14"/>
  <c r="CQ79" i="14"/>
  <c r="CP79" i="14"/>
  <c r="CO79" i="14"/>
  <c r="CN79" i="14"/>
  <c r="CM79" i="14"/>
  <c r="CL79" i="14"/>
  <c r="CK79" i="14"/>
  <c r="CJ79" i="14"/>
  <c r="CI79" i="14"/>
  <c r="CH79" i="14"/>
  <c r="EA78" i="14"/>
  <c r="DZ78" i="14"/>
  <c r="DX78" i="14"/>
  <c r="DW78" i="14"/>
  <c r="DV78" i="14"/>
  <c r="DU78" i="14"/>
  <c r="DT78" i="14"/>
  <c r="DS78" i="14"/>
  <c r="DR78" i="14"/>
  <c r="DQ78" i="14"/>
  <c r="DP78" i="14"/>
  <c r="DO78" i="14"/>
  <c r="DN78" i="14"/>
  <c r="DM78" i="14"/>
  <c r="DL78" i="14"/>
  <c r="DK78" i="14"/>
  <c r="DJ78" i="14"/>
  <c r="DI78" i="14"/>
  <c r="DH78" i="14"/>
  <c r="DG78" i="14"/>
  <c r="DF78" i="14"/>
  <c r="DE78" i="14"/>
  <c r="DD78" i="14"/>
  <c r="DC78" i="14"/>
  <c r="DB78" i="14"/>
  <c r="DA78" i="14"/>
  <c r="CZ78" i="14"/>
  <c r="CY78" i="14"/>
  <c r="CX78" i="14"/>
  <c r="CW78" i="14"/>
  <c r="CV78" i="14"/>
  <c r="CU78" i="14"/>
  <c r="CT78" i="14"/>
  <c r="CS78" i="14"/>
  <c r="CR78" i="14"/>
  <c r="CQ78" i="14"/>
  <c r="CP78" i="14"/>
  <c r="CO78" i="14"/>
  <c r="CN78" i="14"/>
  <c r="CM78" i="14"/>
  <c r="CL78" i="14"/>
  <c r="CK78" i="14"/>
  <c r="CJ78" i="14"/>
  <c r="CI78" i="14"/>
  <c r="CH78" i="14"/>
  <c r="EA77" i="14"/>
  <c r="DZ77" i="14"/>
  <c r="DX77" i="14"/>
  <c r="DW77" i="14"/>
  <c r="DV77" i="14"/>
  <c r="DU77" i="14"/>
  <c r="DT77" i="14"/>
  <c r="DS77" i="14"/>
  <c r="DR77" i="14"/>
  <c r="DQ77" i="14"/>
  <c r="DP77" i="14"/>
  <c r="DO77" i="14"/>
  <c r="DN77" i="14"/>
  <c r="DM77" i="14"/>
  <c r="DL77" i="14"/>
  <c r="DK77" i="14"/>
  <c r="DJ77" i="14"/>
  <c r="DI77" i="14"/>
  <c r="DH77" i="14"/>
  <c r="DG77" i="14"/>
  <c r="DF77" i="14"/>
  <c r="DE77" i="14"/>
  <c r="DD77" i="14"/>
  <c r="DC77" i="14"/>
  <c r="DB77" i="14"/>
  <c r="DA77" i="14"/>
  <c r="CZ77" i="14"/>
  <c r="CY77" i="14"/>
  <c r="CX77" i="14"/>
  <c r="CW77" i="14"/>
  <c r="CV77" i="14"/>
  <c r="CU77" i="14"/>
  <c r="CT77" i="14"/>
  <c r="CS77" i="14"/>
  <c r="CR77" i="14"/>
  <c r="CQ77" i="14"/>
  <c r="CP77" i="14"/>
  <c r="CO77" i="14"/>
  <c r="CN77" i="14"/>
  <c r="CM77" i="14"/>
  <c r="CL77" i="14"/>
  <c r="CK77" i="14"/>
  <c r="CJ77" i="14"/>
  <c r="CI77" i="14"/>
  <c r="CH77" i="14"/>
  <c r="EA76" i="14"/>
  <c r="DZ76" i="14"/>
  <c r="DX76" i="14"/>
  <c r="DW76" i="14"/>
  <c r="DV76" i="14"/>
  <c r="DU76" i="14"/>
  <c r="DT76" i="14"/>
  <c r="DS76" i="14"/>
  <c r="DR76" i="14"/>
  <c r="DQ76" i="14"/>
  <c r="DP76" i="14"/>
  <c r="DO76" i="14"/>
  <c r="DN76" i="14"/>
  <c r="DM76" i="14"/>
  <c r="DL76" i="14"/>
  <c r="DK76" i="14"/>
  <c r="DJ76" i="14"/>
  <c r="DI76" i="14"/>
  <c r="DH76" i="14"/>
  <c r="DG76" i="14"/>
  <c r="DF76" i="14"/>
  <c r="DE76" i="14"/>
  <c r="DD76" i="14"/>
  <c r="DC76" i="14"/>
  <c r="DB76" i="14"/>
  <c r="DA76" i="14"/>
  <c r="CZ76" i="14"/>
  <c r="CY76" i="14"/>
  <c r="CX76" i="14"/>
  <c r="CW76" i="14"/>
  <c r="CV76" i="14"/>
  <c r="CU76" i="14"/>
  <c r="CT76" i="14"/>
  <c r="CS76" i="14"/>
  <c r="CR76" i="14"/>
  <c r="CQ76" i="14"/>
  <c r="CP76" i="14"/>
  <c r="CO76" i="14"/>
  <c r="CN76" i="14"/>
  <c r="CM76" i="14"/>
  <c r="CL76" i="14"/>
  <c r="CK76" i="14"/>
  <c r="CJ76" i="14"/>
  <c r="CI76" i="14"/>
  <c r="CH76" i="14"/>
  <c r="EA75" i="14"/>
  <c r="DZ75" i="14"/>
  <c r="DX75" i="14"/>
  <c r="DW75" i="14"/>
  <c r="DV75" i="14"/>
  <c r="DU75" i="14"/>
  <c r="DT75" i="14"/>
  <c r="DS75" i="14"/>
  <c r="DR75" i="14"/>
  <c r="DQ75" i="14"/>
  <c r="DP75" i="14"/>
  <c r="DO75" i="14"/>
  <c r="DN75" i="14"/>
  <c r="DM75" i="14"/>
  <c r="DL75" i="14"/>
  <c r="DK75" i="14"/>
  <c r="DJ75" i="14"/>
  <c r="DI75" i="14"/>
  <c r="DH75" i="14"/>
  <c r="DG75" i="14"/>
  <c r="DF75" i="14"/>
  <c r="DE75" i="14"/>
  <c r="DD75" i="14"/>
  <c r="DC75" i="14"/>
  <c r="DB75" i="14"/>
  <c r="DA75" i="14"/>
  <c r="CZ75" i="14"/>
  <c r="CY75" i="14"/>
  <c r="CX75" i="14"/>
  <c r="CW75" i="14"/>
  <c r="CV75" i="14"/>
  <c r="CU75" i="14"/>
  <c r="CT75" i="14"/>
  <c r="CS75" i="14"/>
  <c r="CR75" i="14"/>
  <c r="CQ75" i="14"/>
  <c r="CP75" i="14"/>
  <c r="CO75" i="14"/>
  <c r="CN75" i="14"/>
  <c r="CM75" i="14"/>
  <c r="CL75" i="14"/>
  <c r="CK75" i="14"/>
  <c r="CJ75" i="14"/>
  <c r="CI75" i="14"/>
  <c r="CH75" i="14"/>
  <c r="EA74" i="14"/>
  <c r="DZ74" i="14"/>
  <c r="DX74" i="14"/>
  <c r="DW74" i="14"/>
  <c r="DV74" i="14"/>
  <c r="DU74" i="14"/>
  <c r="DT74" i="14"/>
  <c r="DS74" i="14"/>
  <c r="DR74" i="14"/>
  <c r="DQ74" i="14"/>
  <c r="DP74" i="14"/>
  <c r="DO74" i="14"/>
  <c r="DN74" i="14"/>
  <c r="DM74" i="14"/>
  <c r="DL74" i="14"/>
  <c r="DK74" i="14"/>
  <c r="DJ74" i="14"/>
  <c r="DI74" i="14"/>
  <c r="DH74" i="14"/>
  <c r="DG74" i="14"/>
  <c r="DF74" i="14"/>
  <c r="DE74" i="14"/>
  <c r="DD74" i="14"/>
  <c r="DC74" i="14"/>
  <c r="DB74" i="14"/>
  <c r="DA74" i="14"/>
  <c r="CZ74" i="14"/>
  <c r="CY74" i="14"/>
  <c r="CX74" i="14"/>
  <c r="CW74" i="14"/>
  <c r="CV74" i="14"/>
  <c r="CU74" i="14"/>
  <c r="CT74" i="14"/>
  <c r="CS74" i="14"/>
  <c r="CR74" i="14"/>
  <c r="CQ74" i="14"/>
  <c r="CP74" i="14"/>
  <c r="CO74" i="14"/>
  <c r="CN74" i="14"/>
  <c r="CM74" i="14"/>
  <c r="CL74" i="14"/>
  <c r="CK74" i="14"/>
  <c r="CJ74" i="14"/>
  <c r="CI74" i="14"/>
  <c r="CH74" i="14"/>
  <c r="EA73" i="14"/>
  <c r="DZ73" i="14"/>
  <c r="DX73" i="14"/>
  <c r="DW73" i="14"/>
  <c r="DV73" i="14"/>
  <c r="DU73" i="14"/>
  <c r="DT73" i="14"/>
  <c r="DS73" i="14"/>
  <c r="DR73" i="14"/>
  <c r="DQ73" i="14"/>
  <c r="DP73" i="14"/>
  <c r="DO73" i="14"/>
  <c r="DN73" i="14"/>
  <c r="DM73" i="14"/>
  <c r="DL73" i="14"/>
  <c r="DK73" i="14"/>
  <c r="DJ73" i="14"/>
  <c r="DI73" i="14"/>
  <c r="DH73" i="14"/>
  <c r="DG73" i="14"/>
  <c r="DF73" i="14"/>
  <c r="DE73" i="14"/>
  <c r="DD73" i="14"/>
  <c r="DC73" i="14"/>
  <c r="DB73" i="14"/>
  <c r="DA73" i="14"/>
  <c r="CZ73" i="14"/>
  <c r="CY73" i="14"/>
  <c r="CX73" i="14"/>
  <c r="CW73" i="14"/>
  <c r="CV73" i="14"/>
  <c r="CU73" i="14"/>
  <c r="CT73" i="14"/>
  <c r="CS73" i="14"/>
  <c r="CR73" i="14"/>
  <c r="CQ73" i="14"/>
  <c r="CP73" i="14"/>
  <c r="CO73" i="14"/>
  <c r="CN73" i="14"/>
  <c r="CM73" i="14"/>
  <c r="CL73" i="14"/>
  <c r="CK73" i="14"/>
  <c r="CJ73" i="14"/>
  <c r="CI73" i="14"/>
  <c r="CH73" i="14"/>
  <c r="EA72" i="14"/>
  <c r="DZ72" i="14"/>
  <c r="DX72" i="14"/>
  <c r="DW72" i="14"/>
  <c r="DV72" i="14"/>
  <c r="DU72" i="14"/>
  <c r="DT72" i="14"/>
  <c r="DS72" i="14"/>
  <c r="DR72" i="14"/>
  <c r="DQ72" i="14"/>
  <c r="DP72" i="14"/>
  <c r="DO72" i="14"/>
  <c r="DN72" i="14"/>
  <c r="DM72" i="14"/>
  <c r="DL72" i="14"/>
  <c r="DK72" i="14"/>
  <c r="DJ72" i="14"/>
  <c r="DI72" i="14"/>
  <c r="DH72" i="14"/>
  <c r="DG72" i="14"/>
  <c r="DF72" i="14"/>
  <c r="DE72" i="14"/>
  <c r="DD72" i="14"/>
  <c r="DC72" i="14"/>
  <c r="DB72" i="14"/>
  <c r="DA72" i="14"/>
  <c r="CZ72" i="14"/>
  <c r="CY72" i="14"/>
  <c r="CX72" i="14"/>
  <c r="CW72" i="14"/>
  <c r="CV72" i="14"/>
  <c r="CU72" i="14"/>
  <c r="CT72" i="14"/>
  <c r="CS72" i="14"/>
  <c r="CR72" i="14"/>
  <c r="CQ72" i="14"/>
  <c r="CP72" i="14"/>
  <c r="CO72" i="14"/>
  <c r="CN72" i="14"/>
  <c r="CM72" i="14"/>
  <c r="CL72" i="14"/>
  <c r="CK72" i="14"/>
  <c r="CJ72" i="14"/>
  <c r="CI72" i="14"/>
  <c r="CH72" i="14"/>
  <c r="EA71" i="14"/>
  <c r="DZ71" i="14"/>
  <c r="DX71" i="14"/>
  <c r="DW71" i="14"/>
  <c r="DV71" i="14"/>
  <c r="DU71" i="14"/>
  <c r="DT71" i="14"/>
  <c r="DS71" i="14"/>
  <c r="DR71" i="14"/>
  <c r="DQ71" i="14"/>
  <c r="DP71" i="14"/>
  <c r="DO71" i="14"/>
  <c r="DN71" i="14"/>
  <c r="DM71" i="14"/>
  <c r="DL71" i="14"/>
  <c r="DK71" i="14"/>
  <c r="DJ71" i="14"/>
  <c r="DI71" i="14"/>
  <c r="DH71" i="14"/>
  <c r="DG71" i="14"/>
  <c r="DF71" i="14"/>
  <c r="DE71" i="14"/>
  <c r="DD71" i="14"/>
  <c r="DC71" i="14"/>
  <c r="DB71" i="14"/>
  <c r="DA71" i="14"/>
  <c r="CZ71" i="14"/>
  <c r="CY71" i="14"/>
  <c r="CX71" i="14"/>
  <c r="CW71" i="14"/>
  <c r="CV71" i="14"/>
  <c r="CU71" i="14"/>
  <c r="CT71" i="14"/>
  <c r="CS71" i="14"/>
  <c r="CR71" i="14"/>
  <c r="CQ71" i="14"/>
  <c r="CP71" i="14"/>
  <c r="CO71" i="14"/>
  <c r="CN71" i="14"/>
  <c r="CM71" i="14"/>
  <c r="CL71" i="14"/>
  <c r="CK71" i="14"/>
  <c r="CJ71" i="14"/>
  <c r="CI71" i="14"/>
  <c r="CH71" i="14"/>
  <c r="EA70" i="14"/>
  <c r="DZ70" i="14"/>
  <c r="DX70" i="14"/>
  <c r="DW70" i="14"/>
  <c r="DV70" i="14"/>
  <c r="DU70" i="14"/>
  <c r="DT70" i="14"/>
  <c r="DS70" i="14"/>
  <c r="DR70" i="14"/>
  <c r="DQ70" i="14"/>
  <c r="DP70" i="14"/>
  <c r="DO70" i="14"/>
  <c r="DN70" i="14"/>
  <c r="DM70" i="14"/>
  <c r="DL70" i="14"/>
  <c r="DK70" i="14"/>
  <c r="DJ70" i="14"/>
  <c r="DI70" i="14"/>
  <c r="DH70" i="14"/>
  <c r="DG70" i="14"/>
  <c r="DF70" i="14"/>
  <c r="DE70" i="14"/>
  <c r="DD70" i="14"/>
  <c r="DC70" i="14"/>
  <c r="DB70" i="14"/>
  <c r="DA70" i="14"/>
  <c r="CZ70" i="14"/>
  <c r="CY70" i="14"/>
  <c r="CX70" i="14"/>
  <c r="CW70" i="14"/>
  <c r="CV70" i="14"/>
  <c r="CU70" i="14"/>
  <c r="CT70" i="14"/>
  <c r="CS70" i="14"/>
  <c r="CR70" i="14"/>
  <c r="CQ70" i="14"/>
  <c r="CP70" i="14"/>
  <c r="CO70" i="14"/>
  <c r="CN70" i="14"/>
  <c r="CM70" i="14"/>
  <c r="CL70" i="14"/>
  <c r="CK70" i="14"/>
  <c r="CJ70" i="14"/>
  <c r="CI70" i="14"/>
  <c r="CH70" i="14"/>
  <c r="EA69" i="14"/>
  <c r="DZ69" i="14"/>
  <c r="DX69" i="14"/>
  <c r="DW69" i="14"/>
  <c r="DV69" i="14"/>
  <c r="DU69" i="14"/>
  <c r="DT69" i="14"/>
  <c r="DS69" i="14"/>
  <c r="DR69" i="14"/>
  <c r="DQ69" i="14"/>
  <c r="DP69" i="14"/>
  <c r="DO69" i="14"/>
  <c r="DN69" i="14"/>
  <c r="DM69" i="14"/>
  <c r="DL69" i="14"/>
  <c r="DK69" i="14"/>
  <c r="DJ69" i="14"/>
  <c r="DI69" i="14"/>
  <c r="DH69" i="14"/>
  <c r="DG69" i="14"/>
  <c r="DF69" i="14"/>
  <c r="DE69" i="14"/>
  <c r="DD69" i="14"/>
  <c r="DC69" i="14"/>
  <c r="DB69" i="14"/>
  <c r="DA69" i="14"/>
  <c r="CZ69" i="14"/>
  <c r="CY69" i="14"/>
  <c r="CX69" i="14"/>
  <c r="CW69" i="14"/>
  <c r="CV69" i="14"/>
  <c r="CU69" i="14"/>
  <c r="CT69" i="14"/>
  <c r="CS69" i="14"/>
  <c r="CR69" i="14"/>
  <c r="CQ69" i="14"/>
  <c r="CP69" i="14"/>
  <c r="CO69" i="14"/>
  <c r="CN69" i="14"/>
  <c r="CM69" i="14"/>
  <c r="CL69" i="14"/>
  <c r="CK69" i="14"/>
  <c r="CJ69" i="14"/>
  <c r="CI69" i="14"/>
  <c r="CH69" i="14"/>
  <c r="EA68" i="14"/>
  <c r="DZ68" i="14"/>
  <c r="DX68" i="14"/>
  <c r="DW68" i="14"/>
  <c r="DV68" i="14"/>
  <c r="DU68" i="14"/>
  <c r="DT68" i="14"/>
  <c r="DS68" i="14"/>
  <c r="DR68" i="14"/>
  <c r="DQ68" i="14"/>
  <c r="DP68" i="14"/>
  <c r="DO68" i="14"/>
  <c r="DN68" i="14"/>
  <c r="DM68" i="14"/>
  <c r="DL68" i="14"/>
  <c r="DK68" i="14"/>
  <c r="DJ68" i="14"/>
  <c r="DI68" i="14"/>
  <c r="DH68" i="14"/>
  <c r="DG68" i="14"/>
  <c r="DF68" i="14"/>
  <c r="DE68" i="14"/>
  <c r="DD68" i="14"/>
  <c r="DC68" i="14"/>
  <c r="DB68" i="14"/>
  <c r="DA68" i="14"/>
  <c r="CZ68" i="14"/>
  <c r="CY68" i="14"/>
  <c r="CX68" i="14"/>
  <c r="CW68" i="14"/>
  <c r="CV68" i="14"/>
  <c r="CU68" i="14"/>
  <c r="CT68" i="14"/>
  <c r="CS68" i="14"/>
  <c r="CR68" i="14"/>
  <c r="CQ68" i="14"/>
  <c r="CP68" i="14"/>
  <c r="CO68" i="14"/>
  <c r="CN68" i="14"/>
  <c r="CM68" i="14"/>
  <c r="CL68" i="14"/>
  <c r="CK68" i="14"/>
  <c r="CJ68" i="14"/>
  <c r="CI68" i="14"/>
  <c r="CH68" i="14"/>
  <c r="EA67" i="14"/>
  <c r="DZ67" i="14"/>
  <c r="DX67" i="14"/>
  <c r="DW67" i="14"/>
  <c r="DV67" i="14"/>
  <c r="DU67" i="14"/>
  <c r="DT67" i="14"/>
  <c r="DS67" i="14"/>
  <c r="DR67" i="14"/>
  <c r="DQ67" i="14"/>
  <c r="DP67" i="14"/>
  <c r="DO67" i="14"/>
  <c r="DN67" i="14"/>
  <c r="DM67" i="14"/>
  <c r="DL67" i="14"/>
  <c r="DK67" i="14"/>
  <c r="DJ67" i="14"/>
  <c r="DI67" i="14"/>
  <c r="DH67" i="14"/>
  <c r="DG67" i="14"/>
  <c r="DF67" i="14"/>
  <c r="DE67" i="14"/>
  <c r="DD67" i="14"/>
  <c r="DC67" i="14"/>
  <c r="DB67" i="14"/>
  <c r="DA67" i="14"/>
  <c r="CZ67" i="14"/>
  <c r="CY67" i="14"/>
  <c r="CX67" i="14"/>
  <c r="CW67" i="14"/>
  <c r="CV67" i="14"/>
  <c r="CU67" i="14"/>
  <c r="CT67" i="14"/>
  <c r="CS67" i="14"/>
  <c r="CR67" i="14"/>
  <c r="CQ67" i="14"/>
  <c r="CP67" i="14"/>
  <c r="CO67" i="14"/>
  <c r="CN67" i="14"/>
  <c r="CM67" i="14"/>
  <c r="CL67" i="14"/>
  <c r="CK67" i="14"/>
  <c r="CJ67" i="14"/>
  <c r="CI67" i="14"/>
  <c r="CH67" i="14"/>
  <c r="EA66" i="14"/>
  <c r="DZ66" i="14"/>
  <c r="DX66" i="14"/>
  <c r="DW66" i="14"/>
  <c r="DV66" i="14"/>
  <c r="DU66" i="14"/>
  <c r="DT66" i="14"/>
  <c r="DS66" i="14"/>
  <c r="DR66" i="14"/>
  <c r="DQ66" i="14"/>
  <c r="DP66" i="14"/>
  <c r="DO66" i="14"/>
  <c r="DN66" i="14"/>
  <c r="DM66" i="14"/>
  <c r="DL66" i="14"/>
  <c r="DK66" i="14"/>
  <c r="DJ66" i="14"/>
  <c r="DI66" i="14"/>
  <c r="DH66" i="14"/>
  <c r="DG66" i="14"/>
  <c r="DF66" i="14"/>
  <c r="DE66" i="14"/>
  <c r="DD66" i="14"/>
  <c r="DC66" i="14"/>
  <c r="DB66" i="14"/>
  <c r="DA66" i="14"/>
  <c r="CZ66" i="14"/>
  <c r="CY66" i="14"/>
  <c r="CX66" i="14"/>
  <c r="CW66" i="14"/>
  <c r="CV66" i="14"/>
  <c r="CU66" i="14"/>
  <c r="CT66" i="14"/>
  <c r="CS66" i="14"/>
  <c r="CR66" i="14"/>
  <c r="CQ66" i="14"/>
  <c r="CP66" i="14"/>
  <c r="CO66" i="14"/>
  <c r="CN66" i="14"/>
  <c r="CM66" i="14"/>
  <c r="CL66" i="14"/>
  <c r="CK66" i="14"/>
  <c r="CJ66" i="14"/>
  <c r="CI66" i="14"/>
  <c r="CH66" i="14"/>
  <c r="EA65" i="14"/>
  <c r="DZ65" i="14"/>
  <c r="DX65" i="14"/>
  <c r="DW65" i="14"/>
  <c r="DV65" i="14"/>
  <c r="DU65" i="14"/>
  <c r="DT65" i="14"/>
  <c r="DS65" i="14"/>
  <c r="DR65" i="14"/>
  <c r="DQ65" i="14"/>
  <c r="DP65" i="14"/>
  <c r="DO65" i="14"/>
  <c r="DN65" i="14"/>
  <c r="DM65" i="14"/>
  <c r="DL65" i="14"/>
  <c r="DK65" i="14"/>
  <c r="DJ65" i="14"/>
  <c r="DI65" i="14"/>
  <c r="DH65" i="14"/>
  <c r="DG65" i="14"/>
  <c r="DF65" i="14"/>
  <c r="DE65" i="14"/>
  <c r="DD65" i="14"/>
  <c r="DC65" i="14"/>
  <c r="DB65" i="14"/>
  <c r="DA65" i="14"/>
  <c r="CZ65" i="14"/>
  <c r="CY65" i="14"/>
  <c r="CX65" i="14"/>
  <c r="CW65" i="14"/>
  <c r="CV65" i="14"/>
  <c r="CU65" i="14"/>
  <c r="CT65" i="14"/>
  <c r="CS65" i="14"/>
  <c r="CR65" i="14"/>
  <c r="CQ65" i="14"/>
  <c r="CP65" i="14"/>
  <c r="CO65" i="14"/>
  <c r="CN65" i="14"/>
  <c r="CM65" i="14"/>
  <c r="CL65" i="14"/>
  <c r="CK65" i="14"/>
  <c r="CJ65" i="14"/>
  <c r="CI65" i="14"/>
  <c r="CH65" i="14"/>
  <c r="EA64" i="14"/>
  <c r="DZ64" i="14"/>
  <c r="DX64" i="14"/>
  <c r="DW64" i="14"/>
  <c r="DV64" i="14"/>
  <c r="DU64" i="14"/>
  <c r="DT64" i="14"/>
  <c r="DS64" i="14"/>
  <c r="DR64" i="14"/>
  <c r="DQ64" i="14"/>
  <c r="DP64" i="14"/>
  <c r="DO64" i="14"/>
  <c r="DN64" i="14"/>
  <c r="DM64" i="14"/>
  <c r="DL64" i="14"/>
  <c r="DK64" i="14"/>
  <c r="DJ64" i="14"/>
  <c r="DI64" i="14"/>
  <c r="DH64" i="14"/>
  <c r="DG64" i="14"/>
  <c r="DF64" i="14"/>
  <c r="DE64" i="14"/>
  <c r="DD64" i="14"/>
  <c r="DC64" i="14"/>
  <c r="DB64" i="14"/>
  <c r="DA64" i="14"/>
  <c r="CZ64" i="14"/>
  <c r="CY64" i="14"/>
  <c r="CX64" i="14"/>
  <c r="CW64" i="14"/>
  <c r="CV64" i="14"/>
  <c r="CU64" i="14"/>
  <c r="CT64" i="14"/>
  <c r="CS64" i="14"/>
  <c r="CR64" i="14"/>
  <c r="CQ64" i="14"/>
  <c r="CP64" i="14"/>
  <c r="CO64" i="14"/>
  <c r="CN64" i="14"/>
  <c r="CM64" i="14"/>
  <c r="CL64" i="14"/>
  <c r="CK64" i="14"/>
  <c r="CJ64" i="14"/>
  <c r="CI64" i="14"/>
  <c r="CH64" i="14"/>
  <c r="EA63" i="14"/>
  <c r="DZ63" i="14"/>
  <c r="DX63" i="14"/>
  <c r="DW63" i="14"/>
  <c r="DV63" i="14"/>
  <c r="DU63" i="14"/>
  <c r="DT63" i="14"/>
  <c r="DS63" i="14"/>
  <c r="DR63" i="14"/>
  <c r="DQ63" i="14"/>
  <c r="DP63" i="14"/>
  <c r="DO63" i="14"/>
  <c r="DN63" i="14"/>
  <c r="DM63" i="14"/>
  <c r="DL63" i="14"/>
  <c r="DK63" i="14"/>
  <c r="DJ63" i="14"/>
  <c r="DI63" i="14"/>
  <c r="DH63" i="14"/>
  <c r="DG63" i="14"/>
  <c r="DF63" i="14"/>
  <c r="DE63" i="14"/>
  <c r="DD63" i="14"/>
  <c r="DC63" i="14"/>
  <c r="DB63" i="14"/>
  <c r="DA63" i="14"/>
  <c r="CZ63" i="14"/>
  <c r="CY63" i="14"/>
  <c r="CX63" i="14"/>
  <c r="CW63" i="14"/>
  <c r="CV63" i="14"/>
  <c r="CU63" i="14"/>
  <c r="CT63" i="14"/>
  <c r="CS63" i="14"/>
  <c r="CR63" i="14"/>
  <c r="CQ63" i="14"/>
  <c r="CP63" i="14"/>
  <c r="CO63" i="14"/>
  <c r="CN63" i="14"/>
  <c r="CM63" i="14"/>
  <c r="CL63" i="14"/>
  <c r="CK63" i="14"/>
  <c r="CJ63" i="14"/>
  <c r="CI63" i="14"/>
  <c r="CH63" i="14"/>
  <c r="EA62" i="14"/>
  <c r="DZ62" i="14"/>
  <c r="DX62" i="14"/>
  <c r="DW62" i="14"/>
  <c r="DV62" i="14"/>
  <c r="DU62" i="14"/>
  <c r="DT62" i="14"/>
  <c r="DS62" i="14"/>
  <c r="DR62" i="14"/>
  <c r="DQ62" i="14"/>
  <c r="DP62" i="14"/>
  <c r="DO62" i="14"/>
  <c r="DN62" i="14"/>
  <c r="DM62" i="14"/>
  <c r="DL62" i="14"/>
  <c r="DK62" i="14"/>
  <c r="DJ62" i="14"/>
  <c r="DI62" i="14"/>
  <c r="DH62" i="14"/>
  <c r="DG62" i="14"/>
  <c r="DF62" i="14"/>
  <c r="DE62" i="14"/>
  <c r="DD62" i="14"/>
  <c r="DC62" i="14"/>
  <c r="DB62" i="14"/>
  <c r="DA62" i="14"/>
  <c r="CZ62" i="14"/>
  <c r="CY62" i="14"/>
  <c r="CX62" i="14"/>
  <c r="CW62" i="14"/>
  <c r="CV62" i="14"/>
  <c r="CU62" i="14"/>
  <c r="CT62" i="14"/>
  <c r="CS62" i="14"/>
  <c r="CR62" i="14"/>
  <c r="CQ62" i="14"/>
  <c r="CP62" i="14"/>
  <c r="CO62" i="14"/>
  <c r="CN62" i="14"/>
  <c r="CM62" i="14"/>
  <c r="CL62" i="14"/>
  <c r="CK62" i="14"/>
  <c r="CJ62" i="14"/>
  <c r="CI62" i="14"/>
  <c r="CH62" i="14"/>
  <c r="EA61" i="14"/>
  <c r="DZ61" i="14"/>
  <c r="DX61" i="14"/>
  <c r="DW61" i="14"/>
  <c r="DV61" i="14"/>
  <c r="DU61" i="14"/>
  <c r="DT61" i="14"/>
  <c r="DS61" i="14"/>
  <c r="DR61" i="14"/>
  <c r="DQ61" i="14"/>
  <c r="DP61" i="14"/>
  <c r="DO61" i="14"/>
  <c r="DN61" i="14"/>
  <c r="DM61" i="14"/>
  <c r="DL61" i="14"/>
  <c r="DK61" i="14"/>
  <c r="DJ61" i="14"/>
  <c r="DI61" i="14"/>
  <c r="DH61" i="14"/>
  <c r="DG61" i="14"/>
  <c r="DF61" i="14"/>
  <c r="DE61" i="14"/>
  <c r="DD61" i="14"/>
  <c r="DC61" i="14"/>
  <c r="DB61" i="14"/>
  <c r="DA61" i="14"/>
  <c r="CZ61" i="14"/>
  <c r="CY61" i="14"/>
  <c r="CX61" i="14"/>
  <c r="CW61" i="14"/>
  <c r="CV61" i="14"/>
  <c r="CU61" i="14"/>
  <c r="CT61" i="14"/>
  <c r="CS61" i="14"/>
  <c r="CR61" i="14"/>
  <c r="CQ61" i="14"/>
  <c r="CP61" i="14"/>
  <c r="CO61" i="14"/>
  <c r="CN61" i="14"/>
  <c r="CM61" i="14"/>
  <c r="CL61" i="14"/>
  <c r="CK61" i="14"/>
  <c r="CJ61" i="14"/>
  <c r="CI61" i="14"/>
  <c r="CH61" i="14"/>
  <c r="EA60" i="14"/>
  <c r="DZ60" i="14"/>
  <c r="DX60" i="14"/>
  <c r="DW60" i="14"/>
  <c r="DV60" i="14"/>
  <c r="DU60" i="14"/>
  <c r="DT60" i="14"/>
  <c r="DS60" i="14"/>
  <c r="DR60" i="14"/>
  <c r="DQ60" i="14"/>
  <c r="DP60" i="14"/>
  <c r="DO60" i="14"/>
  <c r="DN60" i="14"/>
  <c r="DM60" i="14"/>
  <c r="DL60" i="14"/>
  <c r="DK60" i="14"/>
  <c r="DJ60" i="14"/>
  <c r="DI60" i="14"/>
  <c r="DH60" i="14"/>
  <c r="DG60" i="14"/>
  <c r="DF60" i="14"/>
  <c r="DE60" i="14"/>
  <c r="DD60" i="14"/>
  <c r="DC60" i="14"/>
  <c r="DB60" i="14"/>
  <c r="DA60" i="14"/>
  <c r="CZ60" i="14"/>
  <c r="CY60" i="14"/>
  <c r="CX60" i="14"/>
  <c r="CW60" i="14"/>
  <c r="CV60" i="14"/>
  <c r="CU60" i="14"/>
  <c r="CT60" i="14"/>
  <c r="CS60" i="14"/>
  <c r="CR60" i="14"/>
  <c r="CQ60" i="14"/>
  <c r="CP60" i="14"/>
  <c r="CO60" i="14"/>
  <c r="CN60" i="14"/>
  <c r="CM60" i="14"/>
  <c r="CL60" i="14"/>
  <c r="CK60" i="14"/>
  <c r="CJ60" i="14"/>
  <c r="CI60" i="14"/>
  <c r="CH60" i="14"/>
  <c r="EA59" i="14"/>
  <c r="DZ59" i="14"/>
  <c r="DX59" i="14"/>
  <c r="DW59" i="14"/>
  <c r="DV59" i="14"/>
  <c r="DU59" i="14"/>
  <c r="DT59" i="14"/>
  <c r="DS59" i="14"/>
  <c r="DR59" i="14"/>
  <c r="DQ59" i="14"/>
  <c r="DP59" i="14"/>
  <c r="DO59" i="14"/>
  <c r="DN59" i="14"/>
  <c r="DM59" i="14"/>
  <c r="DL59" i="14"/>
  <c r="DK59" i="14"/>
  <c r="DJ59" i="14"/>
  <c r="DI59" i="14"/>
  <c r="DH59" i="14"/>
  <c r="DG59" i="14"/>
  <c r="DF59" i="14"/>
  <c r="DE59" i="14"/>
  <c r="DD59" i="14"/>
  <c r="DC59" i="14"/>
  <c r="DB59" i="14"/>
  <c r="DA59" i="14"/>
  <c r="CZ59" i="14"/>
  <c r="CY59" i="14"/>
  <c r="CX59" i="14"/>
  <c r="CW59" i="14"/>
  <c r="CV59" i="14"/>
  <c r="CU59" i="14"/>
  <c r="CT59" i="14"/>
  <c r="CS59" i="14"/>
  <c r="CR59" i="14"/>
  <c r="CQ59" i="14"/>
  <c r="CP59" i="14"/>
  <c r="CO59" i="14"/>
  <c r="CN59" i="14"/>
  <c r="CM59" i="14"/>
  <c r="CL59" i="14"/>
  <c r="CK59" i="14"/>
  <c r="CJ59" i="14"/>
  <c r="CI59" i="14"/>
  <c r="CH59" i="14"/>
  <c r="EA58" i="14"/>
  <c r="DZ58" i="14"/>
  <c r="DX58" i="14"/>
  <c r="DW58" i="14"/>
  <c r="DV58" i="14"/>
  <c r="DU58" i="14"/>
  <c r="DT58" i="14"/>
  <c r="DS58" i="14"/>
  <c r="DR58" i="14"/>
  <c r="DQ58" i="14"/>
  <c r="DP58" i="14"/>
  <c r="DO58" i="14"/>
  <c r="DN58" i="14"/>
  <c r="DM58" i="14"/>
  <c r="DL58" i="14"/>
  <c r="DK58" i="14"/>
  <c r="DJ58" i="14"/>
  <c r="DI58" i="14"/>
  <c r="DH58" i="14"/>
  <c r="DG58" i="14"/>
  <c r="DF58" i="14"/>
  <c r="DE58" i="14"/>
  <c r="DD58" i="14"/>
  <c r="DC58" i="14"/>
  <c r="DB58" i="14"/>
  <c r="DA58" i="14"/>
  <c r="CZ58" i="14"/>
  <c r="CY58" i="14"/>
  <c r="CX58" i="14"/>
  <c r="CW58" i="14"/>
  <c r="CV58" i="14"/>
  <c r="CU58" i="14"/>
  <c r="CT58" i="14"/>
  <c r="CS58" i="14"/>
  <c r="CR58" i="14"/>
  <c r="CQ58" i="14"/>
  <c r="CP58" i="14"/>
  <c r="CO58" i="14"/>
  <c r="CN58" i="14"/>
  <c r="CM58" i="14"/>
  <c r="CL58" i="14"/>
  <c r="CK58" i="14"/>
  <c r="CJ58" i="14"/>
  <c r="CI58" i="14"/>
  <c r="CH58" i="14"/>
  <c r="EA57" i="14"/>
  <c r="DZ57" i="14"/>
  <c r="DX57" i="14"/>
  <c r="DW57" i="14"/>
  <c r="DV57" i="14"/>
  <c r="DU57" i="14"/>
  <c r="DT57" i="14"/>
  <c r="DS57" i="14"/>
  <c r="DR57" i="14"/>
  <c r="DQ57" i="14"/>
  <c r="DP57" i="14"/>
  <c r="DO57" i="14"/>
  <c r="DN57" i="14"/>
  <c r="DM57" i="14"/>
  <c r="DL57" i="14"/>
  <c r="DK57" i="14"/>
  <c r="DJ57" i="14"/>
  <c r="DI57" i="14"/>
  <c r="DH57" i="14"/>
  <c r="DG57" i="14"/>
  <c r="DF57" i="14"/>
  <c r="DE57" i="14"/>
  <c r="DD57" i="14"/>
  <c r="DC57" i="14"/>
  <c r="DB57" i="14"/>
  <c r="DA57" i="14"/>
  <c r="CZ57" i="14"/>
  <c r="CY57" i="14"/>
  <c r="CX57" i="14"/>
  <c r="CW57" i="14"/>
  <c r="CV57" i="14"/>
  <c r="CU57" i="14"/>
  <c r="CT57" i="14"/>
  <c r="CS57" i="14"/>
  <c r="CR57" i="14"/>
  <c r="CQ57" i="14"/>
  <c r="CP57" i="14"/>
  <c r="CO57" i="14"/>
  <c r="CN57" i="14"/>
  <c r="CM57" i="14"/>
  <c r="CL57" i="14"/>
  <c r="CK57" i="14"/>
  <c r="CJ57" i="14"/>
  <c r="CI57" i="14"/>
  <c r="CH57" i="14"/>
  <c r="EA56" i="14"/>
  <c r="DZ56" i="14"/>
  <c r="DX56" i="14"/>
  <c r="DW56" i="14"/>
  <c r="DV56" i="14"/>
  <c r="DU56" i="14"/>
  <c r="DT56" i="14"/>
  <c r="DS56" i="14"/>
  <c r="DR56" i="14"/>
  <c r="DQ56" i="14"/>
  <c r="DP56" i="14"/>
  <c r="DO56" i="14"/>
  <c r="DN56" i="14"/>
  <c r="DM56" i="14"/>
  <c r="DL56" i="14"/>
  <c r="DK56" i="14"/>
  <c r="DJ56" i="14"/>
  <c r="DI56" i="14"/>
  <c r="DH56" i="14"/>
  <c r="DG56" i="14"/>
  <c r="DF56" i="14"/>
  <c r="DE56" i="14"/>
  <c r="DD56" i="14"/>
  <c r="DC56" i="14"/>
  <c r="DB56" i="14"/>
  <c r="DA56" i="14"/>
  <c r="CZ56" i="14"/>
  <c r="CY56" i="14"/>
  <c r="CX56" i="14"/>
  <c r="CW56" i="14"/>
  <c r="CV56" i="14"/>
  <c r="CU56" i="14"/>
  <c r="CT56" i="14"/>
  <c r="CS56" i="14"/>
  <c r="CR56" i="14"/>
  <c r="CQ56" i="14"/>
  <c r="CP56" i="14"/>
  <c r="CO56" i="14"/>
  <c r="CN56" i="14"/>
  <c r="CM56" i="14"/>
  <c r="CL56" i="14"/>
  <c r="CK56" i="14"/>
  <c r="CJ56" i="14"/>
  <c r="CI56" i="14"/>
  <c r="CH56" i="14"/>
  <c r="EA55" i="14"/>
  <c r="DZ55" i="14"/>
  <c r="DX55" i="14"/>
  <c r="DW55" i="14"/>
  <c r="DV55" i="14"/>
  <c r="DU55" i="14"/>
  <c r="DT55" i="14"/>
  <c r="DS55" i="14"/>
  <c r="DR55" i="14"/>
  <c r="DQ55" i="14"/>
  <c r="DP55" i="14"/>
  <c r="DO55" i="14"/>
  <c r="DN55" i="14"/>
  <c r="DM55" i="14"/>
  <c r="DL55" i="14"/>
  <c r="DK55" i="14"/>
  <c r="DJ55" i="14"/>
  <c r="DI55" i="14"/>
  <c r="DH55" i="14"/>
  <c r="DG55" i="14"/>
  <c r="DF55" i="14"/>
  <c r="DE55" i="14"/>
  <c r="DD55" i="14"/>
  <c r="DC55" i="14"/>
  <c r="DB55" i="14"/>
  <c r="DA55" i="14"/>
  <c r="CZ55" i="14"/>
  <c r="CY55" i="14"/>
  <c r="CX55" i="14"/>
  <c r="CW55" i="14"/>
  <c r="CV55" i="14"/>
  <c r="CU55" i="14"/>
  <c r="CT55" i="14"/>
  <c r="CS55" i="14"/>
  <c r="CR55" i="14"/>
  <c r="CQ55" i="14"/>
  <c r="CP55" i="14"/>
  <c r="CO55" i="14"/>
  <c r="CN55" i="14"/>
  <c r="CM55" i="14"/>
  <c r="CL55" i="14"/>
  <c r="CK55" i="14"/>
  <c r="CJ55" i="14"/>
  <c r="CI55" i="14"/>
  <c r="CH55" i="14"/>
  <c r="EA54" i="14"/>
  <c r="DZ54" i="14"/>
  <c r="DX54" i="14"/>
  <c r="DW54" i="14"/>
  <c r="DV54" i="14"/>
  <c r="DU54" i="14"/>
  <c r="DT54" i="14"/>
  <c r="DS54" i="14"/>
  <c r="DR54" i="14"/>
  <c r="DQ54" i="14"/>
  <c r="DP54" i="14"/>
  <c r="DO54" i="14"/>
  <c r="DN54" i="14"/>
  <c r="DM54" i="14"/>
  <c r="DL54" i="14"/>
  <c r="DK54" i="14"/>
  <c r="DJ54" i="14"/>
  <c r="DI54" i="14"/>
  <c r="DH54" i="14"/>
  <c r="DG54" i="14"/>
  <c r="DF54" i="14"/>
  <c r="DE54" i="14"/>
  <c r="DD54" i="14"/>
  <c r="DC54" i="14"/>
  <c r="DB54" i="14"/>
  <c r="DA54" i="14"/>
  <c r="CZ54" i="14"/>
  <c r="CY54" i="14"/>
  <c r="CX54" i="14"/>
  <c r="CW54" i="14"/>
  <c r="CV54" i="14"/>
  <c r="CU54" i="14"/>
  <c r="CT54" i="14"/>
  <c r="CS54" i="14"/>
  <c r="CR54" i="14"/>
  <c r="CQ54" i="14"/>
  <c r="CP54" i="14"/>
  <c r="CO54" i="14"/>
  <c r="CN54" i="14"/>
  <c r="CM54" i="14"/>
  <c r="CL54" i="14"/>
  <c r="CK54" i="14"/>
  <c r="CJ54" i="14"/>
  <c r="CI54" i="14"/>
  <c r="CH54" i="14"/>
  <c r="EA53" i="14"/>
  <c r="DZ53" i="14"/>
  <c r="DX53" i="14"/>
  <c r="DW53" i="14"/>
  <c r="DV53" i="14"/>
  <c r="DU53" i="14"/>
  <c r="DT53" i="14"/>
  <c r="DS53" i="14"/>
  <c r="DR53" i="14"/>
  <c r="DQ53" i="14"/>
  <c r="DP53" i="14"/>
  <c r="DO53" i="14"/>
  <c r="DN53" i="14"/>
  <c r="DM53" i="14"/>
  <c r="DL53" i="14"/>
  <c r="DK53" i="14"/>
  <c r="DJ53" i="14"/>
  <c r="DI53" i="14"/>
  <c r="DH53" i="14"/>
  <c r="DG53" i="14"/>
  <c r="DF53" i="14"/>
  <c r="DE53" i="14"/>
  <c r="DD53" i="14"/>
  <c r="DC53" i="14"/>
  <c r="DB53" i="14"/>
  <c r="DA53" i="14"/>
  <c r="CZ53" i="14"/>
  <c r="CY53" i="14"/>
  <c r="CX53" i="14"/>
  <c r="CW53" i="14"/>
  <c r="CV53" i="14"/>
  <c r="CU53" i="14"/>
  <c r="CT53" i="14"/>
  <c r="CS53" i="14"/>
  <c r="CR53" i="14"/>
  <c r="CQ53" i="14"/>
  <c r="CP53" i="14"/>
  <c r="CO53" i="14"/>
  <c r="CN53" i="14"/>
  <c r="CM53" i="14"/>
  <c r="CL53" i="14"/>
  <c r="CK53" i="14"/>
  <c r="CJ53" i="14"/>
  <c r="CI53" i="14"/>
  <c r="CH53" i="14"/>
  <c r="EA52" i="14"/>
  <c r="DZ52" i="14"/>
  <c r="DX52" i="14"/>
  <c r="DW52" i="14"/>
  <c r="DV52" i="14"/>
  <c r="DU52" i="14"/>
  <c r="DT52" i="14"/>
  <c r="DS52" i="14"/>
  <c r="DR52" i="14"/>
  <c r="DQ52" i="14"/>
  <c r="DP52" i="14"/>
  <c r="DO52" i="14"/>
  <c r="DN52" i="14"/>
  <c r="DM52" i="14"/>
  <c r="DL52" i="14"/>
  <c r="DK52" i="14"/>
  <c r="DJ52" i="14"/>
  <c r="DI52" i="14"/>
  <c r="DH52" i="14"/>
  <c r="DG52" i="14"/>
  <c r="DF52" i="14"/>
  <c r="DE52" i="14"/>
  <c r="DD52" i="14"/>
  <c r="DC52" i="14"/>
  <c r="DB52" i="14"/>
  <c r="DA52" i="14"/>
  <c r="CZ52" i="14"/>
  <c r="CY52" i="14"/>
  <c r="CX52" i="14"/>
  <c r="CW52" i="14"/>
  <c r="CV52" i="14"/>
  <c r="CU52" i="14"/>
  <c r="CT52" i="14"/>
  <c r="CS52" i="14"/>
  <c r="CR52" i="14"/>
  <c r="CQ52" i="14"/>
  <c r="CP52" i="14"/>
  <c r="CO52" i="14"/>
  <c r="CN52" i="14"/>
  <c r="CM52" i="14"/>
  <c r="CL52" i="14"/>
  <c r="CK52" i="14"/>
  <c r="CJ52" i="14"/>
  <c r="CI52" i="14"/>
  <c r="CH52" i="14"/>
  <c r="EA51" i="14"/>
  <c r="DZ51" i="14"/>
  <c r="DX51" i="14"/>
  <c r="DW51" i="14"/>
  <c r="DV51" i="14"/>
  <c r="DU51" i="14"/>
  <c r="DT51" i="14"/>
  <c r="DS51" i="14"/>
  <c r="DR51" i="14"/>
  <c r="DQ51" i="14"/>
  <c r="DP51" i="14"/>
  <c r="DO51" i="14"/>
  <c r="DN51" i="14"/>
  <c r="DM51" i="14"/>
  <c r="DL51" i="14"/>
  <c r="DK51" i="14"/>
  <c r="DJ51" i="14"/>
  <c r="DI51" i="14"/>
  <c r="DH51" i="14"/>
  <c r="DG51" i="14"/>
  <c r="DF51" i="14"/>
  <c r="DE51" i="14"/>
  <c r="DD51" i="14"/>
  <c r="DC51" i="14"/>
  <c r="DB51" i="14"/>
  <c r="DA51" i="14"/>
  <c r="CZ51" i="14"/>
  <c r="CY51" i="14"/>
  <c r="CX51" i="14"/>
  <c r="CW51" i="14"/>
  <c r="CV51" i="14"/>
  <c r="CU51" i="14"/>
  <c r="CT51" i="14"/>
  <c r="CS51" i="14"/>
  <c r="CR51" i="14"/>
  <c r="CQ51" i="14"/>
  <c r="CP51" i="14"/>
  <c r="CO51" i="14"/>
  <c r="CN51" i="14"/>
  <c r="CM51" i="14"/>
  <c r="CL51" i="14"/>
  <c r="CK51" i="14"/>
  <c r="CJ51" i="14"/>
  <c r="CI51" i="14"/>
  <c r="CH51" i="14"/>
  <c r="EA50" i="14"/>
  <c r="DZ50" i="14"/>
  <c r="DX50" i="14"/>
  <c r="DW50" i="14"/>
  <c r="DV50" i="14"/>
  <c r="DU50" i="14"/>
  <c r="DT50" i="14"/>
  <c r="DS50" i="14"/>
  <c r="DR50" i="14"/>
  <c r="DQ50" i="14"/>
  <c r="DP50" i="14"/>
  <c r="DO50" i="14"/>
  <c r="DN50" i="14"/>
  <c r="DM50" i="14"/>
  <c r="DL50" i="14"/>
  <c r="DK50" i="14"/>
  <c r="DJ50" i="14"/>
  <c r="DI50" i="14"/>
  <c r="DH50" i="14"/>
  <c r="DG50" i="14"/>
  <c r="DF50" i="14"/>
  <c r="DE50" i="14"/>
  <c r="DD50" i="14"/>
  <c r="DC50" i="14"/>
  <c r="DB50" i="14"/>
  <c r="DA50" i="14"/>
  <c r="CZ50" i="14"/>
  <c r="CY50" i="14"/>
  <c r="CX50" i="14"/>
  <c r="CW50" i="14"/>
  <c r="CV50" i="14"/>
  <c r="CU50" i="14"/>
  <c r="CT50" i="14"/>
  <c r="CS50" i="14"/>
  <c r="CR50" i="14"/>
  <c r="CQ50" i="14"/>
  <c r="CP50" i="14"/>
  <c r="CO50" i="14"/>
  <c r="CN50" i="14"/>
  <c r="CM50" i="14"/>
  <c r="CL50" i="14"/>
  <c r="CK50" i="14"/>
  <c r="CJ50" i="14"/>
  <c r="CI50" i="14"/>
  <c r="CH50" i="14"/>
  <c r="EA49" i="14"/>
  <c r="DZ49" i="14"/>
  <c r="DX49" i="14"/>
  <c r="DW49" i="14"/>
  <c r="DV49" i="14"/>
  <c r="DU49" i="14"/>
  <c r="DT49" i="14"/>
  <c r="DS49" i="14"/>
  <c r="DR49" i="14"/>
  <c r="DQ49" i="14"/>
  <c r="DP49" i="14"/>
  <c r="DO49" i="14"/>
  <c r="DN49" i="14"/>
  <c r="DM49" i="14"/>
  <c r="DL49" i="14"/>
  <c r="DK49" i="14"/>
  <c r="DJ49" i="14"/>
  <c r="DI49" i="14"/>
  <c r="DH49" i="14"/>
  <c r="DG49" i="14"/>
  <c r="DF49" i="14"/>
  <c r="DE49" i="14"/>
  <c r="DD49" i="14"/>
  <c r="DC49" i="14"/>
  <c r="DB49" i="14"/>
  <c r="DA49" i="14"/>
  <c r="CZ49" i="14"/>
  <c r="CY49" i="14"/>
  <c r="CX49" i="14"/>
  <c r="CW49" i="14"/>
  <c r="CV49" i="14"/>
  <c r="CU49" i="14"/>
  <c r="CT49" i="14"/>
  <c r="CS49" i="14"/>
  <c r="CR49" i="14"/>
  <c r="CQ49" i="14"/>
  <c r="CP49" i="14"/>
  <c r="CO49" i="14"/>
  <c r="CN49" i="14"/>
  <c r="CM49" i="14"/>
  <c r="CL49" i="14"/>
  <c r="CK49" i="14"/>
  <c r="CJ49" i="14"/>
  <c r="CI49" i="14"/>
  <c r="CH49" i="14"/>
  <c r="EA48" i="14"/>
  <c r="DZ48" i="14"/>
  <c r="DX48" i="14"/>
  <c r="DW48" i="14"/>
  <c r="DV48" i="14"/>
  <c r="DU48" i="14"/>
  <c r="DT48" i="14"/>
  <c r="DS48" i="14"/>
  <c r="DR48" i="14"/>
  <c r="DQ48" i="14"/>
  <c r="DP48" i="14"/>
  <c r="DO48" i="14"/>
  <c r="DN48" i="14"/>
  <c r="DM48" i="14"/>
  <c r="DL48" i="14"/>
  <c r="DK48" i="14"/>
  <c r="DJ48" i="14"/>
  <c r="DI48" i="14"/>
  <c r="DH48" i="14"/>
  <c r="DG48" i="14"/>
  <c r="DF48" i="14"/>
  <c r="DE48" i="14"/>
  <c r="DD48" i="14"/>
  <c r="DC48" i="14"/>
  <c r="DB48" i="14"/>
  <c r="DA48" i="14"/>
  <c r="CZ48" i="14"/>
  <c r="CY48" i="14"/>
  <c r="CX48" i="14"/>
  <c r="CW48" i="14"/>
  <c r="CV48" i="14"/>
  <c r="CU48" i="14"/>
  <c r="CT48" i="14"/>
  <c r="CS48" i="14"/>
  <c r="CR48" i="14"/>
  <c r="CQ48" i="14"/>
  <c r="CP48" i="14"/>
  <c r="CO48" i="14"/>
  <c r="CN48" i="14"/>
  <c r="CM48" i="14"/>
  <c r="CL48" i="14"/>
  <c r="CK48" i="14"/>
  <c r="CJ48" i="14"/>
  <c r="CI48" i="14"/>
  <c r="CH48" i="14"/>
  <c r="EA47" i="14"/>
  <c r="DZ47" i="14"/>
  <c r="DX47" i="14"/>
  <c r="DW47" i="14"/>
  <c r="DV47" i="14"/>
  <c r="DU47" i="14"/>
  <c r="DT47" i="14"/>
  <c r="DS47" i="14"/>
  <c r="DR47" i="14"/>
  <c r="DQ47" i="14"/>
  <c r="DP47" i="14"/>
  <c r="DO47" i="14"/>
  <c r="DN47" i="14"/>
  <c r="DM47" i="14"/>
  <c r="DL47" i="14"/>
  <c r="DK47" i="14"/>
  <c r="DJ47" i="14"/>
  <c r="DI47" i="14"/>
  <c r="DH47" i="14"/>
  <c r="DG47" i="14"/>
  <c r="DF47" i="14"/>
  <c r="DE47" i="14"/>
  <c r="DD47" i="14"/>
  <c r="DC47" i="14"/>
  <c r="DB47" i="14"/>
  <c r="DA47" i="14"/>
  <c r="CZ47" i="14"/>
  <c r="CY47" i="14"/>
  <c r="CX47" i="14"/>
  <c r="CW47" i="14"/>
  <c r="CV47" i="14"/>
  <c r="CU47" i="14"/>
  <c r="CT47" i="14"/>
  <c r="CS47" i="14"/>
  <c r="CR47" i="14"/>
  <c r="CQ47" i="14"/>
  <c r="CP47" i="14"/>
  <c r="CO47" i="14"/>
  <c r="CN47" i="14"/>
  <c r="CM47" i="14"/>
  <c r="CL47" i="14"/>
  <c r="CK47" i="14"/>
  <c r="CJ47" i="14"/>
  <c r="CI47" i="14"/>
  <c r="CH47" i="14"/>
  <c r="EA46" i="14"/>
  <c r="DZ46" i="14"/>
  <c r="DX46" i="14"/>
  <c r="DW46" i="14"/>
  <c r="DV46" i="14"/>
  <c r="DU46" i="14"/>
  <c r="DT46" i="14"/>
  <c r="DS46" i="14"/>
  <c r="DR46" i="14"/>
  <c r="DQ46" i="14"/>
  <c r="DP46" i="14"/>
  <c r="DO46" i="14"/>
  <c r="DN46" i="14"/>
  <c r="DM46" i="14"/>
  <c r="DL46" i="14"/>
  <c r="DK46" i="14"/>
  <c r="DJ46" i="14"/>
  <c r="DI46" i="14"/>
  <c r="DH46" i="14"/>
  <c r="DG46" i="14"/>
  <c r="DF46" i="14"/>
  <c r="DE46" i="14"/>
  <c r="DD46" i="14"/>
  <c r="DC46" i="14"/>
  <c r="DB46" i="14"/>
  <c r="DA46" i="14"/>
  <c r="CZ46" i="14"/>
  <c r="CY46" i="14"/>
  <c r="CX46" i="14"/>
  <c r="CW46" i="14"/>
  <c r="CV46" i="14"/>
  <c r="CU46" i="14"/>
  <c r="CT46" i="14"/>
  <c r="CS46" i="14"/>
  <c r="CR46" i="14"/>
  <c r="CQ46" i="14"/>
  <c r="CP46" i="14"/>
  <c r="CO46" i="14"/>
  <c r="CN46" i="14"/>
  <c r="CM46" i="14"/>
  <c r="CL46" i="14"/>
  <c r="CK46" i="14"/>
  <c r="CJ46" i="14"/>
  <c r="CI46" i="14"/>
  <c r="CH46" i="14"/>
  <c r="EA45" i="14"/>
  <c r="DZ45" i="14"/>
  <c r="DX45" i="14"/>
  <c r="DW45" i="14"/>
  <c r="DV45" i="14"/>
  <c r="DU45" i="14"/>
  <c r="DT45" i="14"/>
  <c r="DS45" i="14"/>
  <c r="DR45" i="14"/>
  <c r="DQ45" i="14"/>
  <c r="DP45" i="14"/>
  <c r="DO45" i="14"/>
  <c r="DN45" i="14"/>
  <c r="DM45" i="14"/>
  <c r="DL45" i="14"/>
  <c r="DK45" i="14"/>
  <c r="DJ45" i="14"/>
  <c r="DI45" i="14"/>
  <c r="DH45" i="14"/>
  <c r="DG45" i="14"/>
  <c r="DF45" i="14"/>
  <c r="DE45" i="14"/>
  <c r="DD45" i="14"/>
  <c r="DC45" i="14"/>
  <c r="DB45" i="14"/>
  <c r="DA45" i="14"/>
  <c r="CZ45" i="14"/>
  <c r="CY45" i="14"/>
  <c r="CX45" i="14"/>
  <c r="CW45" i="14"/>
  <c r="CV45" i="14"/>
  <c r="CU45" i="14"/>
  <c r="CT45" i="14"/>
  <c r="CS45" i="14"/>
  <c r="CR45" i="14"/>
  <c r="CQ45" i="14"/>
  <c r="CP45" i="14"/>
  <c r="CO45" i="14"/>
  <c r="CN45" i="14"/>
  <c r="CM45" i="14"/>
  <c r="CL45" i="14"/>
  <c r="CK45" i="14"/>
  <c r="CJ45" i="14"/>
  <c r="CI45" i="14"/>
  <c r="CH45" i="14"/>
  <c r="EA44" i="14"/>
  <c r="DZ44" i="14"/>
  <c r="DX44" i="14"/>
  <c r="DW44" i="14"/>
  <c r="DV44" i="14"/>
  <c r="DU44" i="14"/>
  <c r="DT44" i="14"/>
  <c r="DS44" i="14"/>
  <c r="DR44" i="14"/>
  <c r="DQ44" i="14"/>
  <c r="DP44" i="14"/>
  <c r="DO44" i="14"/>
  <c r="DN44" i="14"/>
  <c r="DM44" i="14"/>
  <c r="DL44" i="14"/>
  <c r="DK44" i="14"/>
  <c r="DJ44" i="14"/>
  <c r="DI44" i="14"/>
  <c r="DH44" i="14"/>
  <c r="DG44" i="14"/>
  <c r="DF44" i="14"/>
  <c r="DE44" i="14"/>
  <c r="DD44" i="14"/>
  <c r="DC44" i="14"/>
  <c r="DB44" i="14"/>
  <c r="DA44" i="14"/>
  <c r="CZ44" i="14"/>
  <c r="CY44" i="14"/>
  <c r="CX44" i="14"/>
  <c r="CW44" i="14"/>
  <c r="CV44" i="14"/>
  <c r="CU44" i="14"/>
  <c r="CT44" i="14"/>
  <c r="CS44" i="14"/>
  <c r="CR44" i="14"/>
  <c r="CQ44" i="14"/>
  <c r="CP44" i="14"/>
  <c r="CO44" i="14"/>
  <c r="CN44" i="14"/>
  <c r="CM44" i="14"/>
  <c r="CL44" i="14"/>
  <c r="CK44" i="14"/>
  <c r="CJ44" i="14"/>
  <c r="CI44" i="14"/>
  <c r="CH44" i="14"/>
  <c r="EA43" i="14"/>
  <c r="DZ43" i="14"/>
  <c r="DX43" i="14"/>
  <c r="DW43" i="14"/>
  <c r="DV43" i="14"/>
  <c r="DU43" i="14"/>
  <c r="DT43" i="14"/>
  <c r="DS43" i="14"/>
  <c r="DR43" i="14"/>
  <c r="DQ43" i="14"/>
  <c r="DP43" i="14"/>
  <c r="DO43" i="14"/>
  <c r="DN43" i="14"/>
  <c r="DM43" i="14"/>
  <c r="DL43" i="14"/>
  <c r="DK43" i="14"/>
  <c r="DJ43" i="14"/>
  <c r="DI43" i="14"/>
  <c r="DH43" i="14"/>
  <c r="DG43" i="14"/>
  <c r="DF43" i="14"/>
  <c r="DE43" i="14"/>
  <c r="DD43" i="14"/>
  <c r="DC43" i="14"/>
  <c r="DB43" i="14"/>
  <c r="DA43" i="14"/>
  <c r="CZ43" i="14"/>
  <c r="CY43" i="14"/>
  <c r="CX43" i="14"/>
  <c r="CW43" i="14"/>
  <c r="CV43" i="14"/>
  <c r="CU43" i="14"/>
  <c r="CT43" i="14"/>
  <c r="CS43" i="14"/>
  <c r="CR43" i="14"/>
  <c r="CQ43" i="14"/>
  <c r="CP43" i="14"/>
  <c r="CO43" i="14"/>
  <c r="CN43" i="14"/>
  <c r="CM43" i="14"/>
  <c r="CL43" i="14"/>
  <c r="CK43" i="14"/>
  <c r="CJ43" i="14"/>
  <c r="CI43" i="14"/>
  <c r="CH43" i="14"/>
  <c r="EA42" i="14"/>
  <c r="DZ42" i="14"/>
  <c r="DX42" i="14"/>
  <c r="DW42" i="14"/>
  <c r="DV42" i="14"/>
  <c r="DU42" i="14"/>
  <c r="DT42" i="14"/>
  <c r="DS42" i="14"/>
  <c r="DR42" i="14"/>
  <c r="DQ42" i="14"/>
  <c r="DP42" i="14"/>
  <c r="DO42" i="14"/>
  <c r="DN42" i="14"/>
  <c r="DM42" i="14"/>
  <c r="DL42" i="14"/>
  <c r="DK42" i="14"/>
  <c r="DJ42" i="14"/>
  <c r="DI42" i="14"/>
  <c r="DH42" i="14"/>
  <c r="DG42" i="14"/>
  <c r="DF42" i="14"/>
  <c r="DE42" i="14"/>
  <c r="DD42" i="14"/>
  <c r="DC42" i="14"/>
  <c r="DB42" i="14"/>
  <c r="DA42" i="14"/>
  <c r="CZ42" i="14"/>
  <c r="CY42" i="14"/>
  <c r="CX42" i="14"/>
  <c r="CW42" i="14"/>
  <c r="CV42" i="14"/>
  <c r="CU42" i="14"/>
  <c r="CT42" i="14"/>
  <c r="CS42" i="14"/>
  <c r="CR42" i="14"/>
  <c r="CQ42" i="14"/>
  <c r="CP42" i="14"/>
  <c r="CO42" i="14"/>
  <c r="CN42" i="14"/>
  <c r="CM42" i="14"/>
  <c r="CL42" i="14"/>
  <c r="CK42" i="14"/>
  <c r="CJ42" i="14"/>
  <c r="CI42" i="14"/>
  <c r="CH42" i="14"/>
  <c r="EA41" i="14"/>
  <c r="DZ41" i="14"/>
  <c r="DX41" i="14"/>
  <c r="DW41" i="14"/>
  <c r="DV41" i="14"/>
  <c r="DU41" i="14"/>
  <c r="DT41" i="14"/>
  <c r="DS41" i="14"/>
  <c r="DR41" i="14"/>
  <c r="DQ41" i="14"/>
  <c r="DP41" i="14"/>
  <c r="DO41" i="14"/>
  <c r="DN41" i="14"/>
  <c r="DM41" i="14"/>
  <c r="DL41" i="14"/>
  <c r="DK41" i="14"/>
  <c r="DJ41" i="14"/>
  <c r="DI41" i="14"/>
  <c r="DH41" i="14"/>
  <c r="DG41" i="14"/>
  <c r="DF41" i="14"/>
  <c r="DE41" i="14"/>
  <c r="DD41" i="14"/>
  <c r="DC41" i="14"/>
  <c r="DB41" i="14"/>
  <c r="DA41" i="14"/>
  <c r="CZ41" i="14"/>
  <c r="CY41" i="14"/>
  <c r="CX41" i="14"/>
  <c r="CW41" i="14"/>
  <c r="CV41" i="14"/>
  <c r="CU41" i="14"/>
  <c r="CT41" i="14"/>
  <c r="CS41" i="14"/>
  <c r="CR41" i="14"/>
  <c r="CQ41" i="14"/>
  <c r="CP41" i="14"/>
  <c r="CO41" i="14"/>
  <c r="CN41" i="14"/>
  <c r="CM41" i="14"/>
  <c r="CL41" i="14"/>
  <c r="CK41" i="14"/>
  <c r="CJ41" i="14"/>
  <c r="CI41" i="14"/>
  <c r="CH41" i="14"/>
  <c r="EA40" i="14"/>
  <c r="DZ40" i="14"/>
  <c r="DX40" i="14"/>
  <c r="DW40" i="14"/>
  <c r="DV40" i="14"/>
  <c r="DU40" i="14"/>
  <c r="DT40" i="14"/>
  <c r="DS40" i="14"/>
  <c r="DR40" i="14"/>
  <c r="DQ40" i="14"/>
  <c r="DP40" i="14"/>
  <c r="DO40" i="14"/>
  <c r="DN40" i="14"/>
  <c r="DM40" i="14"/>
  <c r="DL40" i="14"/>
  <c r="DK40" i="14"/>
  <c r="DJ40" i="14"/>
  <c r="DI40" i="14"/>
  <c r="DH40" i="14"/>
  <c r="DG40" i="14"/>
  <c r="DF40" i="14"/>
  <c r="DE40" i="14"/>
  <c r="DD40" i="14"/>
  <c r="DC40" i="14"/>
  <c r="DB40" i="14"/>
  <c r="DA40" i="14"/>
  <c r="CZ40" i="14"/>
  <c r="CY40" i="14"/>
  <c r="CX40" i="14"/>
  <c r="CW40" i="14"/>
  <c r="CV40" i="14"/>
  <c r="CU40" i="14"/>
  <c r="CT40" i="14"/>
  <c r="CS40" i="14"/>
  <c r="CR40" i="14"/>
  <c r="CQ40" i="14"/>
  <c r="CP40" i="14"/>
  <c r="CO40" i="14"/>
  <c r="CN40" i="14"/>
  <c r="CM40" i="14"/>
  <c r="CL40" i="14"/>
  <c r="CK40" i="14"/>
  <c r="CJ40" i="14"/>
  <c r="CI40" i="14"/>
  <c r="CH40" i="14"/>
  <c r="EA39" i="14"/>
  <c r="DZ39" i="14"/>
  <c r="DX39" i="14"/>
  <c r="DW39" i="14"/>
  <c r="DV39" i="14"/>
  <c r="DU39" i="14"/>
  <c r="DT39" i="14"/>
  <c r="DS39" i="14"/>
  <c r="DR39" i="14"/>
  <c r="DQ39" i="14"/>
  <c r="DP39" i="14"/>
  <c r="DO39" i="14"/>
  <c r="DN39" i="14"/>
  <c r="DM39" i="14"/>
  <c r="DL39" i="14"/>
  <c r="DK39" i="14"/>
  <c r="DJ39" i="14"/>
  <c r="DI39" i="14"/>
  <c r="DH39" i="14"/>
  <c r="DG39" i="14"/>
  <c r="DF39" i="14"/>
  <c r="DE39" i="14"/>
  <c r="DD39" i="14"/>
  <c r="DC39" i="14"/>
  <c r="DB39" i="14"/>
  <c r="DA39" i="14"/>
  <c r="CZ39" i="14"/>
  <c r="CY39" i="14"/>
  <c r="CX39" i="14"/>
  <c r="CW39" i="14"/>
  <c r="CV39" i="14"/>
  <c r="CU39" i="14"/>
  <c r="CT39" i="14"/>
  <c r="CS39" i="14"/>
  <c r="CR39" i="14"/>
  <c r="CQ39" i="14"/>
  <c r="CP39" i="14"/>
  <c r="CO39" i="14"/>
  <c r="CN39" i="14"/>
  <c r="CM39" i="14"/>
  <c r="CL39" i="14"/>
  <c r="CK39" i="14"/>
  <c r="CJ39" i="14"/>
  <c r="CI39" i="14"/>
  <c r="CH39" i="14"/>
  <c r="EA38" i="14"/>
  <c r="DZ38" i="14"/>
  <c r="DX38" i="14"/>
  <c r="DW38" i="14"/>
  <c r="DV38" i="14"/>
  <c r="DU38" i="14"/>
  <c r="DT38" i="14"/>
  <c r="DS38" i="14"/>
  <c r="DR38" i="14"/>
  <c r="DQ38" i="14"/>
  <c r="DP38" i="14"/>
  <c r="DO38" i="14"/>
  <c r="DN38" i="14"/>
  <c r="DM38" i="14"/>
  <c r="DL38" i="14"/>
  <c r="DK38" i="14"/>
  <c r="DJ38" i="14"/>
  <c r="DI38" i="14"/>
  <c r="DH38" i="14"/>
  <c r="DG38" i="14"/>
  <c r="DF38" i="14"/>
  <c r="DE38" i="14"/>
  <c r="DD38" i="14"/>
  <c r="DC38" i="14"/>
  <c r="DB38" i="14"/>
  <c r="DA38" i="14"/>
  <c r="CZ38" i="14"/>
  <c r="CY38" i="14"/>
  <c r="CX38" i="14"/>
  <c r="CW38" i="14"/>
  <c r="CV38" i="14"/>
  <c r="CU38" i="14"/>
  <c r="CT38" i="14"/>
  <c r="CS38" i="14"/>
  <c r="CR38" i="14"/>
  <c r="CQ38" i="14"/>
  <c r="CP38" i="14"/>
  <c r="CO38" i="14"/>
  <c r="CN38" i="14"/>
  <c r="CM38" i="14"/>
  <c r="CL38" i="14"/>
  <c r="CK38" i="14"/>
  <c r="CJ38" i="14"/>
  <c r="CI38" i="14"/>
  <c r="CH38" i="14"/>
  <c r="EA37" i="14"/>
  <c r="DZ37" i="14"/>
  <c r="DX37" i="14"/>
  <c r="DW37" i="14"/>
  <c r="DV37" i="14"/>
  <c r="DU37" i="14"/>
  <c r="DT37" i="14"/>
  <c r="DS37" i="14"/>
  <c r="DR37" i="14"/>
  <c r="DQ37" i="14"/>
  <c r="DP37" i="14"/>
  <c r="DO37" i="14"/>
  <c r="DN37" i="14"/>
  <c r="DM37" i="14"/>
  <c r="DL37" i="14"/>
  <c r="DK37" i="14"/>
  <c r="DJ37" i="14"/>
  <c r="DI37" i="14"/>
  <c r="DH37" i="14"/>
  <c r="DG37" i="14"/>
  <c r="DF37" i="14"/>
  <c r="DE37" i="14"/>
  <c r="DD37" i="14"/>
  <c r="DC37" i="14"/>
  <c r="DB37" i="14"/>
  <c r="DA37" i="14"/>
  <c r="CZ37" i="14"/>
  <c r="CY37" i="14"/>
  <c r="CX37" i="14"/>
  <c r="CW37" i="14"/>
  <c r="CV37" i="14"/>
  <c r="CU37" i="14"/>
  <c r="CT37" i="14"/>
  <c r="CS37" i="14"/>
  <c r="CR37" i="14"/>
  <c r="CQ37" i="14"/>
  <c r="CP37" i="14"/>
  <c r="CO37" i="14"/>
  <c r="CN37" i="14"/>
  <c r="CM37" i="14"/>
  <c r="CL37" i="14"/>
  <c r="CK37" i="14"/>
  <c r="CJ37" i="14"/>
  <c r="CI37" i="14"/>
  <c r="CH37" i="14"/>
  <c r="EA36" i="14"/>
  <c r="DZ36" i="14"/>
  <c r="DX36" i="14"/>
  <c r="DW36" i="14"/>
  <c r="DV36" i="14"/>
  <c r="DU36" i="14"/>
  <c r="DT36" i="14"/>
  <c r="DS36" i="14"/>
  <c r="DR36" i="14"/>
  <c r="DQ36" i="14"/>
  <c r="DP36" i="14"/>
  <c r="DO36" i="14"/>
  <c r="DN36" i="14"/>
  <c r="DM36" i="14"/>
  <c r="DL36" i="14"/>
  <c r="DK36" i="14"/>
  <c r="DJ36" i="14"/>
  <c r="DI36" i="14"/>
  <c r="DH36" i="14"/>
  <c r="DG36" i="14"/>
  <c r="DF36" i="14"/>
  <c r="DE36" i="14"/>
  <c r="DD36" i="14"/>
  <c r="DC36" i="14"/>
  <c r="DB36" i="14"/>
  <c r="DA36" i="14"/>
  <c r="CZ36" i="14"/>
  <c r="CY36" i="14"/>
  <c r="CX36" i="14"/>
  <c r="CW36" i="14"/>
  <c r="CV36" i="14"/>
  <c r="CU36" i="14"/>
  <c r="CT36" i="14"/>
  <c r="CS36" i="14"/>
  <c r="CR36" i="14"/>
  <c r="CQ36" i="14"/>
  <c r="CP36" i="14"/>
  <c r="CO36" i="14"/>
  <c r="CN36" i="14"/>
  <c r="CM36" i="14"/>
  <c r="CL36" i="14"/>
  <c r="CK36" i="14"/>
  <c r="CJ36" i="14"/>
  <c r="CI36" i="14"/>
  <c r="CH36" i="14"/>
  <c r="EA35" i="14"/>
  <c r="DZ35" i="14"/>
  <c r="DX35" i="14"/>
  <c r="DW35" i="14"/>
  <c r="DV35" i="14"/>
  <c r="DU35" i="14"/>
  <c r="DT35" i="14"/>
  <c r="DS35" i="14"/>
  <c r="DR35" i="14"/>
  <c r="DQ35" i="14"/>
  <c r="DP35" i="14"/>
  <c r="DO35" i="14"/>
  <c r="DN35" i="14"/>
  <c r="DM35" i="14"/>
  <c r="DL35" i="14"/>
  <c r="DK35" i="14"/>
  <c r="DJ35" i="14"/>
  <c r="DI35" i="14"/>
  <c r="DH35" i="14"/>
  <c r="DG35" i="14"/>
  <c r="DF35" i="14"/>
  <c r="DE35" i="14"/>
  <c r="DD35" i="14"/>
  <c r="DC35" i="14"/>
  <c r="DB35" i="14"/>
  <c r="DA35" i="14"/>
  <c r="CZ35" i="14"/>
  <c r="CY35" i="14"/>
  <c r="CX35" i="14"/>
  <c r="CW35" i="14"/>
  <c r="CV35" i="14"/>
  <c r="CU35" i="14"/>
  <c r="CT35" i="14"/>
  <c r="CS35" i="14"/>
  <c r="CR35" i="14"/>
  <c r="CQ35" i="14"/>
  <c r="CP35" i="14"/>
  <c r="CO35" i="14"/>
  <c r="CN35" i="14"/>
  <c r="CM35" i="14"/>
  <c r="CL35" i="14"/>
  <c r="CK35" i="14"/>
  <c r="CJ35" i="14"/>
  <c r="CI35" i="14"/>
  <c r="CH35" i="14"/>
  <c r="EA34" i="14"/>
  <c r="DZ34" i="14"/>
  <c r="DX34" i="14"/>
  <c r="DW34" i="14"/>
  <c r="DV34" i="14"/>
  <c r="DU34" i="14"/>
  <c r="DT34" i="14"/>
  <c r="DS34" i="14"/>
  <c r="DR34" i="14"/>
  <c r="DQ34" i="14"/>
  <c r="DP34" i="14"/>
  <c r="DO34" i="14"/>
  <c r="DN34" i="14"/>
  <c r="DM34" i="14"/>
  <c r="DL34" i="14"/>
  <c r="DK34" i="14"/>
  <c r="DJ34" i="14"/>
  <c r="DI34" i="14"/>
  <c r="DH34" i="14"/>
  <c r="DG34" i="14"/>
  <c r="DF34" i="14"/>
  <c r="DE34" i="14"/>
  <c r="DD34" i="14"/>
  <c r="DC34" i="14"/>
  <c r="DB34" i="14"/>
  <c r="DA34" i="14"/>
  <c r="CZ34" i="14"/>
  <c r="CY34" i="14"/>
  <c r="CX34" i="14"/>
  <c r="CW34" i="14"/>
  <c r="CV34" i="14"/>
  <c r="CU34" i="14"/>
  <c r="CT34" i="14"/>
  <c r="CS34" i="14"/>
  <c r="CR34" i="14"/>
  <c r="CQ34" i="14"/>
  <c r="CP34" i="14"/>
  <c r="CO34" i="14"/>
  <c r="CN34" i="14"/>
  <c r="CM34" i="14"/>
  <c r="CL34" i="14"/>
  <c r="CK34" i="14"/>
  <c r="CJ34" i="14"/>
  <c r="CI34" i="14"/>
  <c r="CH34" i="14"/>
  <c r="EA33" i="14"/>
  <c r="DZ33" i="14"/>
  <c r="DX33" i="14"/>
  <c r="DW33" i="14"/>
  <c r="DV33" i="14"/>
  <c r="DU33" i="14"/>
  <c r="DT33" i="14"/>
  <c r="DS33" i="14"/>
  <c r="DR33" i="14"/>
  <c r="DQ33" i="14"/>
  <c r="DP33" i="14"/>
  <c r="DO33" i="14"/>
  <c r="DN33" i="14"/>
  <c r="DM33" i="14"/>
  <c r="DL33" i="14"/>
  <c r="DK33" i="14"/>
  <c r="DJ33" i="14"/>
  <c r="DI33" i="14"/>
  <c r="DH33" i="14"/>
  <c r="DG33" i="14"/>
  <c r="DF33" i="14"/>
  <c r="DE33" i="14"/>
  <c r="DD33" i="14"/>
  <c r="DC33" i="14"/>
  <c r="DB33" i="14"/>
  <c r="DA33" i="14"/>
  <c r="CZ33" i="14"/>
  <c r="CY33" i="14"/>
  <c r="CX33" i="14"/>
  <c r="CW33" i="14"/>
  <c r="CV33" i="14"/>
  <c r="CU33" i="14"/>
  <c r="CT33" i="14"/>
  <c r="CS33" i="14"/>
  <c r="CR33" i="14"/>
  <c r="CQ33" i="14"/>
  <c r="CP33" i="14"/>
  <c r="CO33" i="14"/>
  <c r="CN33" i="14"/>
  <c r="CM33" i="14"/>
  <c r="CL33" i="14"/>
  <c r="CK33" i="14"/>
  <c r="CJ33" i="14"/>
  <c r="CI33" i="14"/>
  <c r="CH33" i="14"/>
  <c r="EA32" i="14"/>
  <c r="DZ32" i="14"/>
  <c r="DX32" i="14"/>
  <c r="DW32" i="14"/>
  <c r="DV32" i="14"/>
  <c r="DU32" i="14"/>
  <c r="DT32" i="14"/>
  <c r="DS32" i="14"/>
  <c r="DR32" i="14"/>
  <c r="DQ32" i="14"/>
  <c r="DP32" i="14"/>
  <c r="DO32" i="14"/>
  <c r="DN32" i="14"/>
  <c r="DM32" i="14"/>
  <c r="DL32" i="14"/>
  <c r="DK32" i="14"/>
  <c r="DJ32" i="14"/>
  <c r="DI32" i="14"/>
  <c r="DH32" i="14"/>
  <c r="DG32" i="14"/>
  <c r="DF32" i="14"/>
  <c r="DE32" i="14"/>
  <c r="DD32" i="14"/>
  <c r="DC32" i="14"/>
  <c r="DB32" i="14"/>
  <c r="DA32" i="14"/>
  <c r="CZ32" i="14"/>
  <c r="CY32" i="14"/>
  <c r="CX32" i="14"/>
  <c r="CW32" i="14"/>
  <c r="CV32" i="14"/>
  <c r="CU32" i="14"/>
  <c r="CT32" i="14"/>
  <c r="CS32" i="14"/>
  <c r="CR32" i="14"/>
  <c r="CQ32" i="14"/>
  <c r="CP32" i="14"/>
  <c r="CO32" i="14"/>
  <c r="CN32" i="14"/>
  <c r="CM32" i="14"/>
  <c r="CL32" i="14"/>
  <c r="CK32" i="14"/>
  <c r="CJ32" i="14"/>
  <c r="CI32" i="14"/>
  <c r="CH32" i="14"/>
  <c r="EA31" i="14"/>
  <c r="DZ31" i="14"/>
  <c r="DX31" i="14"/>
  <c r="DW31" i="14"/>
  <c r="DV31" i="14"/>
  <c r="DU31" i="14"/>
  <c r="DT31" i="14"/>
  <c r="DS31" i="14"/>
  <c r="DR31" i="14"/>
  <c r="DQ31" i="14"/>
  <c r="DP31" i="14"/>
  <c r="DO31" i="14"/>
  <c r="DN31" i="14"/>
  <c r="DM31" i="14"/>
  <c r="DL31" i="14"/>
  <c r="DK31" i="14"/>
  <c r="DJ31" i="14"/>
  <c r="DI31" i="14"/>
  <c r="DH31" i="14"/>
  <c r="DG31" i="14"/>
  <c r="DF31" i="14"/>
  <c r="DE31" i="14"/>
  <c r="DD31" i="14"/>
  <c r="DC31" i="14"/>
  <c r="DB31" i="14"/>
  <c r="DA31" i="14"/>
  <c r="CZ31" i="14"/>
  <c r="CY31" i="14"/>
  <c r="CX31" i="14"/>
  <c r="CW31" i="14"/>
  <c r="CV31" i="14"/>
  <c r="CU31" i="14"/>
  <c r="CT31" i="14"/>
  <c r="CS31" i="14"/>
  <c r="CR31" i="14"/>
  <c r="CQ31" i="14"/>
  <c r="CP31" i="14"/>
  <c r="CO31" i="14"/>
  <c r="CN31" i="14"/>
  <c r="CM31" i="14"/>
  <c r="CL31" i="14"/>
  <c r="CK31" i="14"/>
  <c r="CJ31" i="14"/>
  <c r="CI31" i="14"/>
  <c r="CH31" i="14"/>
  <c r="EA30" i="14"/>
  <c r="DZ30" i="14"/>
  <c r="DX30" i="14"/>
  <c r="DW30" i="14"/>
  <c r="DV30" i="14"/>
  <c r="DU30" i="14"/>
  <c r="DT30" i="14"/>
  <c r="DS30" i="14"/>
  <c r="DR30" i="14"/>
  <c r="DQ30" i="14"/>
  <c r="DP30" i="14"/>
  <c r="DO30" i="14"/>
  <c r="DN30" i="14"/>
  <c r="DM30" i="14"/>
  <c r="DL30" i="14"/>
  <c r="DK30" i="14"/>
  <c r="DJ30" i="14"/>
  <c r="DI30" i="14"/>
  <c r="DH30" i="14"/>
  <c r="DG30" i="14"/>
  <c r="DF30" i="14"/>
  <c r="DE30" i="14"/>
  <c r="DD30" i="14"/>
  <c r="DC30" i="14"/>
  <c r="DB30" i="14"/>
  <c r="DA30" i="14"/>
  <c r="CZ30" i="14"/>
  <c r="CY30" i="14"/>
  <c r="CX30" i="14"/>
  <c r="CW30" i="14"/>
  <c r="CV30" i="14"/>
  <c r="CU30" i="14"/>
  <c r="CT30" i="14"/>
  <c r="CS30" i="14"/>
  <c r="CR30" i="14"/>
  <c r="CQ30" i="14"/>
  <c r="CP30" i="14"/>
  <c r="CO30" i="14"/>
  <c r="CN30" i="14"/>
  <c r="CM30" i="14"/>
  <c r="CL30" i="14"/>
  <c r="CK30" i="14"/>
  <c r="CJ30" i="14"/>
  <c r="CI30" i="14"/>
  <c r="CH30" i="14"/>
  <c r="EA29" i="14"/>
  <c r="DZ29" i="14"/>
  <c r="DX29" i="14"/>
  <c r="DW29" i="14"/>
  <c r="DV29" i="14"/>
  <c r="DU29" i="14"/>
  <c r="DT29" i="14"/>
  <c r="DS29" i="14"/>
  <c r="DR29" i="14"/>
  <c r="DQ29" i="14"/>
  <c r="DP29" i="14"/>
  <c r="DO29" i="14"/>
  <c r="DN29" i="14"/>
  <c r="DM29" i="14"/>
  <c r="DL29" i="14"/>
  <c r="DK29" i="14"/>
  <c r="DJ29" i="14"/>
  <c r="DI29" i="14"/>
  <c r="DH29" i="14"/>
  <c r="DG29" i="14"/>
  <c r="DF29" i="14"/>
  <c r="DE29" i="14"/>
  <c r="DD29" i="14"/>
  <c r="DC29" i="14"/>
  <c r="DB29" i="14"/>
  <c r="DA29" i="14"/>
  <c r="CZ29" i="14"/>
  <c r="CY29" i="14"/>
  <c r="CX29" i="14"/>
  <c r="CW29" i="14"/>
  <c r="CV29" i="14"/>
  <c r="CU29" i="14"/>
  <c r="CT29" i="14"/>
  <c r="CS29" i="14"/>
  <c r="CR29" i="14"/>
  <c r="CQ29" i="14"/>
  <c r="CP29" i="14"/>
  <c r="CO29" i="14"/>
  <c r="CN29" i="14"/>
  <c r="CM29" i="14"/>
  <c r="CL29" i="14"/>
  <c r="CK29" i="14"/>
  <c r="CJ29" i="14"/>
  <c r="CI29" i="14"/>
  <c r="CH29" i="14"/>
  <c r="EA28" i="14"/>
  <c r="DZ28" i="14"/>
  <c r="DX28" i="14"/>
  <c r="DW28" i="14"/>
  <c r="DV28" i="14"/>
  <c r="DU28" i="14"/>
  <c r="DT28" i="14"/>
  <c r="DS28" i="14"/>
  <c r="DR28" i="14"/>
  <c r="DQ28" i="14"/>
  <c r="DP28" i="14"/>
  <c r="DO28" i="14"/>
  <c r="DN28" i="14"/>
  <c r="DM28" i="14"/>
  <c r="DL28" i="14"/>
  <c r="DK28" i="14"/>
  <c r="DJ28" i="14"/>
  <c r="DI28" i="14"/>
  <c r="DH28" i="14"/>
  <c r="DG28" i="14"/>
  <c r="DF28" i="14"/>
  <c r="DE28" i="14"/>
  <c r="DD28" i="14"/>
  <c r="DC28" i="14"/>
  <c r="DB28" i="14"/>
  <c r="DA28" i="14"/>
  <c r="CZ28" i="14"/>
  <c r="CY28" i="14"/>
  <c r="CX28" i="14"/>
  <c r="CW28" i="14"/>
  <c r="CV28" i="14"/>
  <c r="CU28" i="14"/>
  <c r="CT28" i="14"/>
  <c r="CS28" i="14"/>
  <c r="CR28" i="14"/>
  <c r="CQ28" i="14"/>
  <c r="CP28" i="14"/>
  <c r="CO28" i="14"/>
  <c r="CN28" i="14"/>
  <c r="CM28" i="14"/>
  <c r="CL28" i="14"/>
  <c r="CK28" i="14"/>
  <c r="CJ28" i="14"/>
  <c r="CI28" i="14"/>
  <c r="CH28" i="14"/>
  <c r="EA27" i="14"/>
  <c r="DZ27" i="14"/>
  <c r="DX27" i="14"/>
  <c r="DW27" i="14"/>
  <c r="DV27" i="14"/>
  <c r="DU27" i="14"/>
  <c r="DT27" i="14"/>
  <c r="DS27" i="14"/>
  <c r="DR27" i="14"/>
  <c r="DQ27" i="14"/>
  <c r="DP27" i="14"/>
  <c r="DO27" i="14"/>
  <c r="DN27" i="14"/>
  <c r="DM27" i="14"/>
  <c r="DL27" i="14"/>
  <c r="DK27" i="14"/>
  <c r="DJ27" i="14"/>
  <c r="DI27" i="14"/>
  <c r="DH27" i="14"/>
  <c r="DG27" i="14"/>
  <c r="DF27" i="14"/>
  <c r="DE27" i="14"/>
  <c r="DD27" i="14"/>
  <c r="DC27" i="14"/>
  <c r="DB27" i="14"/>
  <c r="DA27" i="14"/>
  <c r="CZ27" i="14"/>
  <c r="CY27" i="14"/>
  <c r="CX27" i="14"/>
  <c r="CW27" i="14"/>
  <c r="CV27" i="14"/>
  <c r="CU27" i="14"/>
  <c r="CT27" i="14"/>
  <c r="CS27" i="14"/>
  <c r="CR27" i="14"/>
  <c r="CQ27" i="14"/>
  <c r="CP27" i="14"/>
  <c r="CO27" i="14"/>
  <c r="CN27" i="14"/>
  <c r="CM27" i="14"/>
  <c r="CL27" i="14"/>
  <c r="CK27" i="14"/>
  <c r="CJ27" i="14"/>
  <c r="CI27" i="14"/>
  <c r="CH27" i="14"/>
  <c r="EA26" i="14"/>
  <c r="DZ26" i="14"/>
  <c r="DX26" i="14"/>
  <c r="DW26" i="14"/>
  <c r="DV26" i="14"/>
  <c r="DU26" i="14"/>
  <c r="DT26" i="14"/>
  <c r="DS26" i="14"/>
  <c r="DR26" i="14"/>
  <c r="DQ26" i="14"/>
  <c r="DP26" i="14"/>
  <c r="DO26" i="14"/>
  <c r="DN26" i="14"/>
  <c r="DM26" i="14"/>
  <c r="DL26" i="14"/>
  <c r="DK26" i="14"/>
  <c r="DJ26" i="14"/>
  <c r="DI26" i="14"/>
  <c r="DH26" i="14"/>
  <c r="DG26" i="14"/>
  <c r="DF26" i="14"/>
  <c r="DE26" i="14"/>
  <c r="DD26" i="14"/>
  <c r="DC26" i="14"/>
  <c r="DB26" i="14"/>
  <c r="DA26" i="14"/>
  <c r="CZ26" i="14"/>
  <c r="CY26" i="14"/>
  <c r="CX26" i="14"/>
  <c r="CW26" i="14"/>
  <c r="CV26" i="14"/>
  <c r="CU26" i="14"/>
  <c r="CT26" i="14"/>
  <c r="CS26" i="14"/>
  <c r="CR26" i="14"/>
  <c r="CQ26" i="14"/>
  <c r="CP26" i="14"/>
  <c r="CO26" i="14"/>
  <c r="CN26" i="14"/>
  <c r="CM26" i="14"/>
  <c r="CL26" i="14"/>
  <c r="CK26" i="14"/>
  <c r="CJ26" i="14"/>
  <c r="CI26" i="14"/>
  <c r="CH26" i="14"/>
  <c r="EA25" i="14"/>
  <c r="DZ25" i="14"/>
  <c r="DX25" i="14"/>
  <c r="DW25" i="14"/>
  <c r="DV25" i="14"/>
  <c r="DU25" i="14"/>
  <c r="DT25" i="14"/>
  <c r="DS25" i="14"/>
  <c r="DR25" i="14"/>
  <c r="DQ25" i="14"/>
  <c r="DP25" i="14"/>
  <c r="DO25" i="14"/>
  <c r="DN25" i="14"/>
  <c r="DM25" i="14"/>
  <c r="DL25" i="14"/>
  <c r="DK25" i="14"/>
  <c r="DJ25" i="14"/>
  <c r="DI25" i="14"/>
  <c r="DH25" i="14"/>
  <c r="DG25" i="14"/>
  <c r="DF25" i="14"/>
  <c r="DE25" i="14"/>
  <c r="DD25" i="14"/>
  <c r="DC25" i="14"/>
  <c r="DB25" i="14"/>
  <c r="DA25" i="14"/>
  <c r="CZ25" i="14"/>
  <c r="CY25" i="14"/>
  <c r="CX25" i="14"/>
  <c r="CW25" i="14"/>
  <c r="CV25" i="14"/>
  <c r="CU25" i="14"/>
  <c r="CT25" i="14"/>
  <c r="CS25" i="14"/>
  <c r="CR25" i="14"/>
  <c r="CQ25" i="14"/>
  <c r="CP25" i="14"/>
  <c r="CO25" i="14"/>
  <c r="CN25" i="14"/>
  <c r="CM25" i="14"/>
  <c r="CL25" i="14"/>
  <c r="CK25" i="14"/>
  <c r="CJ25" i="14"/>
  <c r="CI25" i="14"/>
  <c r="CH25" i="14"/>
  <c r="EA24" i="14"/>
  <c r="DZ24" i="14"/>
  <c r="DX24" i="14"/>
  <c r="DW24" i="14"/>
  <c r="DV24" i="14"/>
  <c r="DU24" i="14"/>
  <c r="DT24" i="14"/>
  <c r="DS24" i="14"/>
  <c r="DR24" i="14"/>
  <c r="DQ24" i="14"/>
  <c r="DP24" i="14"/>
  <c r="DO24" i="14"/>
  <c r="DN24" i="14"/>
  <c r="DM24" i="14"/>
  <c r="DL24" i="14"/>
  <c r="DK24" i="14"/>
  <c r="DJ24" i="14"/>
  <c r="DI24" i="14"/>
  <c r="DH24" i="14"/>
  <c r="DG24" i="14"/>
  <c r="DF24" i="14"/>
  <c r="DE24" i="14"/>
  <c r="DD24" i="14"/>
  <c r="DC24" i="14"/>
  <c r="DB24" i="14"/>
  <c r="DA24" i="14"/>
  <c r="CZ24" i="14"/>
  <c r="CY24" i="14"/>
  <c r="CX24" i="14"/>
  <c r="CW24" i="14"/>
  <c r="CV24" i="14"/>
  <c r="CU24" i="14"/>
  <c r="CT24" i="14"/>
  <c r="CS24" i="14"/>
  <c r="CR24" i="14"/>
  <c r="CQ24" i="14"/>
  <c r="CP24" i="14"/>
  <c r="CO24" i="14"/>
  <c r="CN24" i="14"/>
  <c r="CM24" i="14"/>
  <c r="CL24" i="14"/>
  <c r="CK24" i="14"/>
  <c r="CJ24" i="14"/>
  <c r="CI24" i="14"/>
  <c r="CH24" i="14"/>
  <c r="EA23" i="14"/>
  <c r="DZ23" i="14"/>
  <c r="DX23" i="14"/>
  <c r="DW23" i="14"/>
  <c r="DV23" i="14"/>
  <c r="DU23" i="14"/>
  <c r="DT23" i="14"/>
  <c r="DS23" i="14"/>
  <c r="DR23" i="14"/>
  <c r="DQ23" i="14"/>
  <c r="DP23" i="14"/>
  <c r="DO23" i="14"/>
  <c r="DN23" i="14"/>
  <c r="DM23" i="14"/>
  <c r="DL23" i="14"/>
  <c r="DK23" i="14"/>
  <c r="DJ23" i="14"/>
  <c r="DI23" i="14"/>
  <c r="DH23" i="14"/>
  <c r="DG23" i="14"/>
  <c r="DF23" i="14"/>
  <c r="DE23" i="14"/>
  <c r="DD23" i="14"/>
  <c r="DC23" i="14"/>
  <c r="DB23" i="14"/>
  <c r="DA23" i="14"/>
  <c r="CZ23" i="14"/>
  <c r="CY23" i="14"/>
  <c r="CX23" i="14"/>
  <c r="CW23" i="14"/>
  <c r="CV23" i="14"/>
  <c r="CU23" i="14"/>
  <c r="CT23" i="14"/>
  <c r="CS23" i="14"/>
  <c r="CR23" i="14"/>
  <c r="CQ23" i="14"/>
  <c r="CP23" i="14"/>
  <c r="CO23" i="14"/>
  <c r="CN23" i="14"/>
  <c r="CM23" i="14"/>
  <c r="CL23" i="14"/>
  <c r="CK23" i="14"/>
  <c r="CJ23" i="14"/>
  <c r="CI23" i="14"/>
  <c r="CH23" i="14"/>
  <c r="EA22" i="14"/>
  <c r="DZ22" i="14"/>
  <c r="DX22" i="14"/>
  <c r="DW22" i="14"/>
  <c r="DV22" i="14"/>
  <c r="DU22" i="14"/>
  <c r="DT22" i="14"/>
  <c r="DS22" i="14"/>
  <c r="DR22" i="14"/>
  <c r="DQ22" i="14"/>
  <c r="DP22" i="14"/>
  <c r="DO22" i="14"/>
  <c r="DN22" i="14"/>
  <c r="DM22" i="14"/>
  <c r="DL22" i="14"/>
  <c r="DK22" i="14"/>
  <c r="DJ22" i="14"/>
  <c r="DI22" i="14"/>
  <c r="DH22" i="14"/>
  <c r="DG22" i="14"/>
  <c r="DF22" i="14"/>
  <c r="DE22" i="14"/>
  <c r="DD22" i="14"/>
  <c r="DC22" i="14"/>
  <c r="DB22" i="14"/>
  <c r="DA22" i="14"/>
  <c r="CZ22" i="14"/>
  <c r="CY22" i="14"/>
  <c r="CX22" i="14"/>
  <c r="CW22" i="14"/>
  <c r="CV22" i="14"/>
  <c r="CU22" i="14"/>
  <c r="CT22" i="14"/>
  <c r="CS22" i="14"/>
  <c r="CR22" i="14"/>
  <c r="CQ22" i="14"/>
  <c r="CP22" i="14"/>
  <c r="CO22" i="14"/>
  <c r="CN22" i="14"/>
  <c r="CM22" i="14"/>
  <c r="CL22" i="14"/>
  <c r="CK22" i="14"/>
  <c r="CJ22" i="14"/>
  <c r="CI22" i="14"/>
  <c r="CH22" i="14"/>
  <c r="EA21" i="14"/>
  <c r="DZ21" i="14"/>
  <c r="DX21" i="14"/>
  <c r="DW21" i="14"/>
  <c r="DV21" i="14"/>
  <c r="DU21" i="14"/>
  <c r="DT21" i="14"/>
  <c r="DS21" i="14"/>
  <c r="DR21" i="14"/>
  <c r="DQ21" i="14"/>
  <c r="DP21" i="14"/>
  <c r="DO21" i="14"/>
  <c r="DN21" i="14"/>
  <c r="DM21" i="14"/>
  <c r="DL21" i="14"/>
  <c r="DK21" i="14"/>
  <c r="DJ21" i="14"/>
  <c r="DI21" i="14"/>
  <c r="DH21" i="14"/>
  <c r="DG21" i="14"/>
  <c r="DF21" i="14"/>
  <c r="DE21" i="14"/>
  <c r="DD21" i="14"/>
  <c r="DC21" i="14"/>
  <c r="DB21" i="14"/>
  <c r="DA21" i="14"/>
  <c r="CZ21" i="14"/>
  <c r="CY21" i="14"/>
  <c r="CX21" i="14"/>
  <c r="CW21" i="14"/>
  <c r="CV21" i="14"/>
  <c r="CU21" i="14"/>
  <c r="CT21" i="14"/>
  <c r="CS21" i="14"/>
  <c r="CR21" i="14"/>
  <c r="CQ21" i="14"/>
  <c r="CP21" i="14"/>
  <c r="CO21" i="14"/>
  <c r="CN21" i="14"/>
  <c r="CM21" i="14"/>
  <c r="CL21" i="14"/>
  <c r="CK21" i="14"/>
  <c r="CJ21" i="14"/>
  <c r="CI21" i="14"/>
  <c r="CH21" i="14"/>
  <c r="EA20" i="14"/>
  <c r="DZ20" i="14"/>
  <c r="DX20" i="14"/>
  <c r="DW20" i="14"/>
  <c r="DV20" i="14"/>
  <c r="DU20" i="14"/>
  <c r="DT20" i="14"/>
  <c r="DS20" i="14"/>
  <c r="DR20" i="14"/>
  <c r="DQ20" i="14"/>
  <c r="DP20" i="14"/>
  <c r="DO20" i="14"/>
  <c r="DN20" i="14"/>
  <c r="DM20" i="14"/>
  <c r="DL20" i="14"/>
  <c r="DK20" i="14"/>
  <c r="DJ20" i="14"/>
  <c r="DI20" i="14"/>
  <c r="DH20" i="14"/>
  <c r="DG20" i="14"/>
  <c r="DF20" i="14"/>
  <c r="DE20" i="14"/>
  <c r="DD20" i="14"/>
  <c r="DC20" i="14"/>
  <c r="DB20" i="14"/>
  <c r="DA20" i="14"/>
  <c r="CZ20" i="14"/>
  <c r="CY20" i="14"/>
  <c r="CX20" i="14"/>
  <c r="CW20" i="14"/>
  <c r="CV20" i="14"/>
  <c r="CU20" i="14"/>
  <c r="CT20" i="14"/>
  <c r="CS20" i="14"/>
  <c r="CR20" i="14"/>
  <c r="CQ20" i="14"/>
  <c r="CP20" i="14"/>
  <c r="CO20" i="14"/>
  <c r="CN20" i="14"/>
  <c r="CM20" i="14"/>
  <c r="CL20" i="14"/>
  <c r="CK20" i="14"/>
  <c r="CJ20" i="14"/>
  <c r="CI20" i="14"/>
  <c r="CH20" i="14"/>
  <c r="EA19" i="14"/>
  <c r="DZ19" i="14"/>
  <c r="DX19" i="14"/>
  <c r="DW19" i="14"/>
  <c r="DV19" i="14"/>
  <c r="DU19" i="14"/>
  <c r="DT19" i="14"/>
  <c r="DS19" i="14"/>
  <c r="DR19" i="14"/>
  <c r="DQ19" i="14"/>
  <c r="DP19" i="14"/>
  <c r="DO19" i="14"/>
  <c r="DN19" i="14"/>
  <c r="DM19" i="14"/>
  <c r="DL19" i="14"/>
  <c r="DK19" i="14"/>
  <c r="DJ19" i="14"/>
  <c r="DI19" i="14"/>
  <c r="DH19" i="14"/>
  <c r="DG19" i="14"/>
  <c r="DF19" i="14"/>
  <c r="DE19" i="14"/>
  <c r="DD19" i="14"/>
  <c r="DC19" i="14"/>
  <c r="DB19" i="14"/>
  <c r="DA19" i="14"/>
  <c r="CZ19" i="14"/>
  <c r="CY19" i="14"/>
  <c r="CX19" i="14"/>
  <c r="CW19" i="14"/>
  <c r="CV19" i="14"/>
  <c r="CU19" i="14"/>
  <c r="CT19" i="14"/>
  <c r="CS19" i="14"/>
  <c r="CR19" i="14"/>
  <c r="CQ19" i="14"/>
  <c r="CP19" i="14"/>
  <c r="CO19" i="14"/>
  <c r="CN19" i="14"/>
  <c r="CM19" i="14"/>
  <c r="CL19" i="14"/>
  <c r="CK19" i="14"/>
  <c r="CJ19" i="14"/>
  <c r="CI19" i="14"/>
  <c r="CH19" i="14"/>
  <c r="EA18" i="14"/>
  <c r="DZ18" i="14"/>
  <c r="DX18" i="14"/>
  <c r="DW18" i="14"/>
  <c r="DV18" i="14"/>
  <c r="DU18" i="14"/>
  <c r="DT18" i="14"/>
  <c r="DS18" i="14"/>
  <c r="DR18" i="14"/>
  <c r="DQ18" i="14"/>
  <c r="DP18" i="14"/>
  <c r="DO18" i="14"/>
  <c r="DN18" i="14"/>
  <c r="DM18" i="14"/>
  <c r="DL18" i="14"/>
  <c r="DK18" i="14"/>
  <c r="DJ18" i="14"/>
  <c r="DI18" i="14"/>
  <c r="DH18" i="14"/>
  <c r="DG18" i="14"/>
  <c r="DF18" i="14"/>
  <c r="DE18" i="14"/>
  <c r="DD18" i="14"/>
  <c r="DC18" i="14"/>
  <c r="DB18" i="14"/>
  <c r="DA18" i="14"/>
  <c r="CZ18" i="14"/>
  <c r="CY18" i="14"/>
  <c r="CX18" i="14"/>
  <c r="CW18" i="14"/>
  <c r="CV18" i="14"/>
  <c r="CU18" i="14"/>
  <c r="CT18" i="14"/>
  <c r="CS18" i="14"/>
  <c r="CR18" i="14"/>
  <c r="CQ18" i="14"/>
  <c r="CP18" i="14"/>
  <c r="CO18" i="14"/>
  <c r="CN18" i="14"/>
  <c r="CM18" i="14"/>
  <c r="CL18" i="14"/>
  <c r="CK18" i="14"/>
  <c r="CJ18" i="14"/>
  <c r="CI18" i="14"/>
  <c r="CH18" i="14"/>
  <c r="EA17" i="14"/>
  <c r="DZ17" i="14"/>
  <c r="DX17" i="14"/>
  <c r="DW17" i="14"/>
  <c r="DV17" i="14"/>
  <c r="DU17" i="14"/>
  <c r="DT17" i="14"/>
  <c r="DS17" i="14"/>
  <c r="DR17" i="14"/>
  <c r="DQ17" i="14"/>
  <c r="DP17" i="14"/>
  <c r="DO17" i="14"/>
  <c r="DN17" i="14"/>
  <c r="DM17" i="14"/>
  <c r="DL17" i="14"/>
  <c r="DK17" i="14"/>
  <c r="DJ17" i="14"/>
  <c r="DI17" i="14"/>
  <c r="DH17" i="14"/>
  <c r="DG17" i="14"/>
  <c r="DF17" i="14"/>
  <c r="DE17" i="14"/>
  <c r="DD17" i="14"/>
  <c r="DC17" i="14"/>
  <c r="DB17" i="14"/>
  <c r="DA17" i="14"/>
  <c r="CZ17" i="14"/>
  <c r="CY17" i="14"/>
  <c r="CX17" i="14"/>
  <c r="CW17" i="14"/>
  <c r="CV17" i="14"/>
  <c r="CU17" i="14"/>
  <c r="CT17" i="14"/>
  <c r="CS17" i="14"/>
  <c r="CR17" i="14"/>
  <c r="CQ17" i="14"/>
  <c r="CP17" i="14"/>
  <c r="CO17" i="14"/>
  <c r="CN17" i="14"/>
  <c r="CM17" i="14"/>
  <c r="CL17" i="14"/>
  <c r="CK17" i="14"/>
  <c r="CJ17" i="14"/>
  <c r="CI17" i="14"/>
  <c r="CH17" i="14"/>
  <c r="EA16" i="14"/>
  <c r="DZ16" i="14"/>
  <c r="DX16" i="14"/>
  <c r="DW16" i="14"/>
  <c r="DV16" i="14"/>
  <c r="DU16" i="14"/>
  <c r="DT16" i="14"/>
  <c r="DS16" i="14"/>
  <c r="DR16" i="14"/>
  <c r="DQ16" i="14"/>
  <c r="DP16" i="14"/>
  <c r="DO16" i="14"/>
  <c r="DN16" i="14"/>
  <c r="DM16" i="14"/>
  <c r="DL16" i="14"/>
  <c r="DK16" i="14"/>
  <c r="DJ16" i="14"/>
  <c r="DI16" i="14"/>
  <c r="DH16" i="14"/>
  <c r="DG16" i="14"/>
  <c r="DF16" i="14"/>
  <c r="DE16" i="14"/>
  <c r="DD16" i="14"/>
  <c r="DC16" i="14"/>
  <c r="DB16" i="14"/>
  <c r="DA16" i="14"/>
  <c r="CZ16" i="14"/>
  <c r="CY16" i="14"/>
  <c r="CX16" i="14"/>
  <c r="CW16" i="14"/>
  <c r="CV16" i="14"/>
  <c r="CU16" i="14"/>
  <c r="CT16" i="14"/>
  <c r="CS16" i="14"/>
  <c r="CR16" i="14"/>
  <c r="CQ16" i="14"/>
  <c r="CP16" i="14"/>
  <c r="CO16" i="14"/>
  <c r="CN16" i="14"/>
  <c r="CM16" i="14"/>
  <c r="CL16" i="14"/>
  <c r="CK16" i="14"/>
  <c r="CJ16" i="14"/>
  <c r="CI16" i="14"/>
  <c r="CH16" i="14"/>
  <c r="EA15" i="14"/>
  <c r="DZ15" i="14"/>
  <c r="DX15" i="14"/>
  <c r="DW15" i="14"/>
  <c r="DV15" i="14"/>
  <c r="DU15" i="14"/>
  <c r="DT15" i="14"/>
  <c r="DS15" i="14"/>
  <c r="DR15" i="14"/>
  <c r="DQ15" i="14"/>
  <c r="DP15" i="14"/>
  <c r="DO15" i="14"/>
  <c r="DN15" i="14"/>
  <c r="DM15" i="14"/>
  <c r="DL15" i="14"/>
  <c r="DK15" i="14"/>
  <c r="DJ15" i="14"/>
  <c r="DI15" i="14"/>
  <c r="DH15" i="14"/>
  <c r="DG15" i="14"/>
  <c r="DF15" i="14"/>
  <c r="DE15" i="14"/>
  <c r="DD15" i="14"/>
  <c r="DC15" i="14"/>
  <c r="DB15" i="14"/>
  <c r="DA15" i="14"/>
  <c r="CZ15" i="14"/>
  <c r="CY15" i="14"/>
  <c r="CX15" i="14"/>
  <c r="CW15" i="14"/>
  <c r="CV15" i="14"/>
  <c r="CU15" i="14"/>
  <c r="CT15" i="14"/>
  <c r="CS15" i="14"/>
  <c r="CR15" i="14"/>
  <c r="CQ15" i="14"/>
  <c r="CP15" i="14"/>
  <c r="CO15" i="14"/>
  <c r="CN15" i="14"/>
  <c r="CM15" i="14"/>
  <c r="CL15" i="14"/>
  <c r="CK15" i="14"/>
  <c r="CJ15" i="14"/>
  <c r="CI15" i="14"/>
  <c r="CH15" i="14"/>
  <c r="EA14" i="14"/>
  <c r="DZ14" i="14"/>
  <c r="DX14" i="14"/>
  <c r="DW14" i="14"/>
  <c r="DV14" i="14"/>
  <c r="DU14" i="14"/>
  <c r="DT14" i="14"/>
  <c r="DS14" i="14"/>
  <c r="DR14" i="14"/>
  <c r="DQ14" i="14"/>
  <c r="DP14" i="14"/>
  <c r="DO14" i="14"/>
  <c r="DN14" i="14"/>
  <c r="DM14" i="14"/>
  <c r="DL14" i="14"/>
  <c r="DK14" i="14"/>
  <c r="DJ14" i="14"/>
  <c r="DI14" i="14"/>
  <c r="DH14" i="14"/>
  <c r="DG14" i="14"/>
  <c r="DF14" i="14"/>
  <c r="DE14" i="14"/>
  <c r="DD14" i="14"/>
  <c r="DC14" i="14"/>
  <c r="DB14" i="14"/>
  <c r="DA14" i="14"/>
  <c r="CZ14" i="14"/>
  <c r="CY14" i="14"/>
  <c r="CX14" i="14"/>
  <c r="CW14" i="14"/>
  <c r="CV14" i="14"/>
  <c r="CU14" i="14"/>
  <c r="CT14" i="14"/>
  <c r="CS14" i="14"/>
  <c r="CR14" i="14"/>
  <c r="CQ14" i="14"/>
  <c r="CP14" i="14"/>
  <c r="CO14" i="14"/>
  <c r="CN14" i="14"/>
  <c r="CM14" i="14"/>
  <c r="CL14" i="14"/>
  <c r="CK14" i="14"/>
  <c r="CJ14" i="14"/>
  <c r="CI14" i="14"/>
  <c r="CH14" i="14"/>
  <c r="EA13" i="14"/>
  <c r="DZ13" i="14"/>
  <c r="DX13" i="14"/>
  <c r="DW13" i="14"/>
  <c r="DV13" i="14"/>
  <c r="DU13" i="14"/>
  <c r="DT13" i="14"/>
  <c r="DS13" i="14"/>
  <c r="DR13" i="14"/>
  <c r="DQ13" i="14"/>
  <c r="DP13" i="14"/>
  <c r="DO13" i="14"/>
  <c r="DN13" i="14"/>
  <c r="DM13" i="14"/>
  <c r="DL13" i="14"/>
  <c r="DK13" i="14"/>
  <c r="DJ13" i="14"/>
  <c r="DI13" i="14"/>
  <c r="DH13" i="14"/>
  <c r="DG13" i="14"/>
  <c r="DF13" i="14"/>
  <c r="DE13" i="14"/>
  <c r="DD13" i="14"/>
  <c r="DC13" i="14"/>
  <c r="DB13" i="14"/>
  <c r="DA13" i="14"/>
  <c r="CZ13" i="14"/>
  <c r="CY13" i="14"/>
  <c r="CX13" i="14"/>
  <c r="CW13" i="14"/>
  <c r="CV13" i="14"/>
  <c r="CU13" i="14"/>
  <c r="CT13" i="14"/>
  <c r="CS13" i="14"/>
  <c r="CR13" i="14"/>
  <c r="CQ13" i="14"/>
  <c r="CP13" i="14"/>
  <c r="CO13" i="14"/>
  <c r="CN13" i="14"/>
  <c r="CM13" i="14"/>
  <c r="CL13" i="14"/>
  <c r="CK13" i="14"/>
  <c r="CJ13" i="14"/>
  <c r="CI13" i="14"/>
  <c r="CH13" i="14"/>
  <c r="EA12" i="14"/>
  <c r="DZ12" i="14"/>
  <c r="DX12" i="14"/>
  <c r="DW12" i="14"/>
  <c r="DV12" i="14"/>
  <c r="DU12" i="14"/>
  <c r="DT12" i="14"/>
  <c r="DS12" i="14"/>
  <c r="DR12" i="14"/>
  <c r="DQ12" i="14"/>
  <c r="DP12" i="14"/>
  <c r="DO12" i="14"/>
  <c r="DN12" i="14"/>
  <c r="DM12" i="14"/>
  <c r="DL12" i="14"/>
  <c r="DK12" i="14"/>
  <c r="DJ12" i="14"/>
  <c r="DI12" i="14"/>
  <c r="DH12" i="14"/>
  <c r="DG12" i="14"/>
  <c r="DF12" i="14"/>
  <c r="DE12" i="14"/>
  <c r="DD12" i="14"/>
  <c r="DC12" i="14"/>
  <c r="DB12" i="14"/>
  <c r="DA12" i="14"/>
  <c r="CZ12" i="14"/>
  <c r="CY12" i="14"/>
  <c r="CX12" i="14"/>
  <c r="CW12" i="14"/>
  <c r="CV12" i="14"/>
  <c r="CU12" i="14"/>
  <c r="CT12" i="14"/>
  <c r="CS12" i="14"/>
  <c r="CR12" i="14"/>
  <c r="CQ12" i="14"/>
  <c r="CP12" i="14"/>
  <c r="CO12" i="14"/>
  <c r="CN12" i="14"/>
  <c r="CM12" i="14"/>
  <c r="CL12" i="14"/>
  <c r="CK12" i="14"/>
  <c r="CJ12" i="14"/>
  <c r="CI12" i="14"/>
  <c r="CH12" i="14"/>
  <c r="EA11" i="14"/>
  <c r="DZ11" i="14"/>
  <c r="DX11" i="14"/>
  <c r="DW11" i="14"/>
  <c r="DV11" i="14"/>
  <c r="DU11" i="14"/>
  <c r="DT11" i="14"/>
  <c r="DS11" i="14"/>
  <c r="DR11" i="14"/>
  <c r="DQ11" i="14"/>
  <c r="DP11" i="14"/>
  <c r="DO11" i="14"/>
  <c r="DN11" i="14"/>
  <c r="DM11" i="14"/>
  <c r="DL11" i="14"/>
  <c r="DK11" i="14"/>
  <c r="DJ11" i="14"/>
  <c r="DI11" i="14"/>
  <c r="DH11" i="14"/>
  <c r="DG11" i="14"/>
  <c r="DF11" i="14"/>
  <c r="DE11" i="14"/>
  <c r="DD11" i="14"/>
  <c r="DC11" i="14"/>
  <c r="DB11" i="14"/>
  <c r="DA11" i="14"/>
  <c r="CZ11" i="14"/>
  <c r="CY11" i="14"/>
  <c r="CX11" i="14"/>
  <c r="CW11" i="14"/>
  <c r="CV11" i="14"/>
  <c r="CU11" i="14"/>
  <c r="CT11" i="14"/>
  <c r="CS11" i="14"/>
  <c r="CR11" i="14"/>
  <c r="CQ11" i="14"/>
  <c r="CP11" i="14"/>
  <c r="CO11" i="14"/>
  <c r="CN11" i="14"/>
  <c r="CM11" i="14"/>
  <c r="CL11" i="14"/>
  <c r="CK11" i="14"/>
  <c r="CJ11" i="14"/>
  <c r="CI11" i="14"/>
  <c r="CH11" i="14"/>
  <c r="EA10" i="14"/>
  <c r="DZ10" i="14"/>
  <c r="DX10" i="14"/>
  <c r="DW10" i="14"/>
  <c r="DV10" i="14"/>
  <c r="DU10" i="14"/>
  <c r="DT10" i="14"/>
  <c r="DS10" i="14"/>
  <c r="DR10" i="14"/>
  <c r="DQ10" i="14"/>
  <c r="DP10" i="14"/>
  <c r="DO10" i="14"/>
  <c r="DN10" i="14"/>
  <c r="DM10" i="14"/>
  <c r="DL10" i="14"/>
  <c r="DK10" i="14"/>
  <c r="DJ10" i="14"/>
  <c r="DI10" i="14"/>
  <c r="DH10" i="14"/>
  <c r="DG10" i="14"/>
  <c r="DF10" i="14"/>
  <c r="DE10" i="14"/>
  <c r="DD10" i="14"/>
  <c r="DC10" i="14"/>
  <c r="DB10" i="14"/>
  <c r="DA10" i="14"/>
  <c r="CZ10" i="14"/>
  <c r="CY10" i="14"/>
  <c r="CX10" i="14"/>
  <c r="CW10" i="14"/>
  <c r="CV10" i="14"/>
  <c r="CU10" i="14"/>
  <c r="CT10" i="14"/>
  <c r="CS10" i="14"/>
  <c r="CR10" i="14"/>
  <c r="CQ10" i="14"/>
  <c r="CP10" i="14"/>
  <c r="CO10" i="14"/>
  <c r="CN10" i="14"/>
  <c r="CM10" i="14"/>
  <c r="CL10" i="14"/>
  <c r="CK10" i="14"/>
  <c r="CJ10" i="14"/>
  <c r="CI10" i="14"/>
  <c r="CH10" i="14"/>
  <c r="EA9" i="14"/>
  <c r="DZ9" i="14"/>
  <c r="DX9" i="14"/>
  <c r="DW9" i="14"/>
  <c r="DV9" i="14"/>
  <c r="DU9" i="14"/>
  <c r="DT9" i="14"/>
  <c r="DS9" i="14"/>
  <c r="DR9" i="14"/>
  <c r="DQ9" i="14"/>
  <c r="DP9" i="14"/>
  <c r="DO9" i="14"/>
  <c r="DN9" i="14"/>
  <c r="DM9" i="14"/>
  <c r="DL9" i="14"/>
  <c r="DK9" i="14"/>
  <c r="DJ9" i="14"/>
  <c r="DI9" i="14"/>
  <c r="DH9" i="14"/>
  <c r="DG9" i="14"/>
  <c r="DF9" i="14"/>
  <c r="DE9" i="14"/>
  <c r="DD9" i="14"/>
  <c r="DC9" i="14"/>
  <c r="DB9" i="14"/>
  <c r="DA9" i="14"/>
  <c r="CZ9" i="14"/>
  <c r="CY9" i="14"/>
  <c r="CX9" i="14"/>
  <c r="CW9" i="14"/>
  <c r="CV9" i="14"/>
  <c r="CU9" i="14"/>
  <c r="CT9" i="14"/>
  <c r="CS9" i="14"/>
  <c r="CR9" i="14"/>
  <c r="CQ9" i="14"/>
  <c r="CP9" i="14"/>
  <c r="CO9" i="14"/>
  <c r="CN9" i="14"/>
  <c r="CM9" i="14"/>
  <c r="CL9" i="14"/>
  <c r="CK9" i="14"/>
  <c r="CJ9" i="14"/>
  <c r="CI9" i="14"/>
  <c r="CH9" i="14"/>
  <c r="EA8" i="14"/>
  <c r="DZ8" i="14"/>
  <c r="DX8" i="14"/>
  <c r="DW8" i="14"/>
  <c r="DV8" i="14"/>
  <c r="DU8" i="14"/>
  <c r="DT8" i="14"/>
  <c r="DS8" i="14"/>
  <c r="DR8" i="14"/>
  <c r="DQ8" i="14"/>
  <c r="DP8" i="14"/>
  <c r="DO8" i="14"/>
  <c r="DN8" i="14"/>
  <c r="DM8" i="14"/>
  <c r="DL8" i="14"/>
  <c r="DK8" i="14"/>
  <c r="DJ8" i="14"/>
  <c r="DI8" i="14"/>
  <c r="DH8" i="14"/>
  <c r="DG8" i="14"/>
  <c r="DF8" i="14"/>
  <c r="DE8" i="14"/>
  <c r="DD8" i="14"/>
  <c r="DC8" i="14"/>
  <c r="DB8" i="14"/>
  <c r="DA8" i="14"/>
  <c r="CZ8" i="14"/>
  <c r="CY8" i="14"/>
  <c r="CX8" i="14"/>
  <c r="CW8" i="14"/>
  <c r="CV8" i="14"/>
  <c r="CU8" i="14"/>
  <c r="CT8" i="14"/>
  <c r="CS8" i="14"/>
  <c r="CR8" i="14"/>
  <c r="CQ8" i="14"/>
  <c r="CP8" i="14"/>
  <c r="CO8" i="14"/>
  <c r="CN8" i="14"/>
  <c r="CM8" i="14"/>
  <c r="CL8" i="14"/>
  <c r="CK8" i="14"/>
  <c r="CJ8" i="14"/>
  <c r="CI8" i="14"/>
  <c r="CH8" i="14"/>
  <c r="EA7" i="14"/>
  <c r="DZ7" i="14"/>
  <c r="DX7" i="14"/>
  <c r="DW7" i="14"/>
  <c r="DV7" i="14"/>
  <c r="DU7" i="14"/>
  <c r="DT7" i="14"/>
  <c r="DS7" i="14"/>
  <c r="DR7" i="14"/>
  <c r="DQ7" i="14"/>
  <c r="DP7" i="14"/>
  <c r="DO7" i="14"/>
  <c r="DN7" i="14"/>
  <c r="DM7" i="14"/>
  <c r="DL7" i="14"/>
  <c r="DK7" i="14"/>
  <c r="DJ7" i="14"/>
  <c r="DI7" i="14"/>
  <c r="DH7" i="14"/>
  <c r="DG7" i="14"/>
  <c r="DF7" i="14"/>
  <c r="DE7" i="14"/>
  <c r="DD7" i="14"/>
  <c r="DC7" i="14"/>
  <c r="DB7" i="14"/>
  <c r="DA7" i="14"/>
  <c r="CZ7" i="14"/>
  <c r="CY7" i="14"/>
  <c r="CX7" i="14"/>
  <c r="CW7" i="14"/>
  <c r="CV7" i="14"/>
  <c r="CU7" i="14"/>
  <c r="CT7" i="14"/>
  <c r="CS7" i="14"/>
  <c r="CR7" i="14"/>
  <c r="CQ7" i="14"/>
  <c r="CP7" i="14"/>
  <c r="CO7" i="14"/>
  <c r="CN7" i="14"/>
  <c r="CM7" i="14"/>
  <c r="CL7" i="14"/>
  <c r="CK7" i="14"/>
  <c r="CJ7" i="14"/>
  <c r="CI7" i="14"/>
  <c r="CH7" i="14"/>
  <c r="EA6" i="14"/>
  <c r="DZ6" i="14"/>
  <c r="DX6" i="14"/>
  <c r="DW6" i="14"/>
  <c r="DV6" i="14"/>
  <c r="DU6" i="14"/>
  <c r="DT6" i="14"/>
  <c r="DS6" i="14"/>
  <c r="DR6" i="14"/>
  <c r="DQ6" i="14"/>
  <c r="DP6" i="14"/>
  <c r="DO6" i="14"/>
  <c r="DN6" i="14"/>
  <c r="DM6" i="14"/>
  <c r="DL6" i="14"/>
  <c r="DK6" i="14"/>
  <c r="DJ6" i="14"/>
  <c r="DI6" i="14"/>
  <c r="DH6" i="14"/>
  <c r="DG6" i="14"/>
  <c r="DF6" i="14"/>
  <c r="DE6" i="14"/>
  <c r="DD6" i="14"/>
  <c r="DC6" i="14"/>
  <c r="DB6" i="14"/>
  <c r="DA6" i="14"/>
  <c r="CZ6" i="14"/>
  <c r="CY6" i="14"/>
  <c r="CX6" i="14"/>
  <c r="CW6" i="14"/>
  <c r="CV6" i="14"/>
  <c r="CU6" i="14"/>
  <c r="CT6" i="14"/>
  <c r="CS6" i="14"/>
  <c r="CR6" i="14"/>
  <c r="CQ6" i="14"/>
  <c r="CP6" i="14"/>
  <c r="CO6" i="14"/>
  <c r="CN6" i="14"/>
  <c r="CM6" i="14"/>
  <c r="CL6" i="14"/>
  <c r="CK6" i="14"/>
  <c r="CJ6" i="14"/>
  <c r="CI6" i="14"/>
  <c r="CH6" i="14"/>
  <c r="EA5" i="14"/>
  <c r="DZ5" i="14"/>
  <c r="DX5" i="14"/>
  <c r="DW5" i="14"/>
  <c r="DV5" i="14"/>
  <c r="DU5" i="14"/>
  <c r="DT5" i="14"/>
  <c r="DS5" i="14"/>
  <c r="DR5" i="14"/>
  <c r="DQ5" i="14"/>
  <c r="DP5" i="14"/>
  <c r="DO5" i="14"/>
  <c r="DN5" i="14"/>
  <c r="DM5" i="14"/>
  <c r="DL5" i="14"/>
  <c r="DK5" i="14"/>
  <c r="DJ5" i="14"/>
  <c r="DI5" i="14"/>
  <c r="DH5" i="14"/>
  <c r="DG5" i="14"/>
  <c r="DF5" i="14"/>
  <c r="DE5" i="14"/>
  <c r="DD5" i="14"/>
  <c r="DC5" i="14"/>
  <c r="DB5" i="14"/>
  <c r="DA5" i="14"/>
  <c r="CZ5" i="14"/>
  <c r="CY5" i="14"/>
  <c r="CX5" i="14"/>
  <c r="CW5" i="14"/>
  <c r="CV5" i="14"/>
  <c r="CU5" i="14"/>
  <c r="CT5" i="14"/>
  <c r="CS5" i="14"/>
  <c r="CR5" i="14"/>
  <c r="CQ5" i="14"/>
  <c r="CP5" i="14"/>
  <c r="CO5" i="14"/>
  <c r="CN5" i="14"/>
  <c r="CM5" i="14"/>
  <c r="CL5" i="14"/>
  <c r="CK5" i="14"/>
  <c r="CJ5" i="14"/>
  <c r="CI5" i="14"/>
  <c r="CH5" i="14"/>
  <c r="DY147" i="14" l="1"/>
  <c r="EB147" i="14" s="1"/>
  <c r="DY30" i="14"/>
  <c r="EB30" i="14" s="1"/>
  <c r="CQ3" i="14"/>
  <c r="DB3" i="14"/>
  <c r="DY48" i="14"/>
  <c r="EB48" i="14" s="1"/>
  <c r="DY88" i="14"/>
  <c r="EB88" i="14" s="1"/>
  <c r="DY11" i="14"/>
  <c r="EB11" i="14" s="1"/>
  <c r="DY43" i="14"/>
  <c r="EB43" i="14" s="1"/>
  <c r="CH3" i="14"/>
  <c r="CP3" i="14"/>
  <c r="CX3" i="14"/>
  <c r="DF3" i="14"/>
  <c r="DN3" i="14"/>
  <c r="DV3" i="14"/>
  <c r="DY42" i="14"/>
  <c r="EB42" i="14" s="1"/>
  <c r="DY63" i="14"/>
  <c r="EB63" i="14" s="1"/>
  <c r="DY75" i="14"/>
  <c r="EB75" i="14" s="1"/>
  <c r="DY77" i="14"/>
  <c r="EB77" i="14" s="1"/>
  <c r="DY120" i="14"/>
  <c r="EB120" i="14" s="1"/>
  <c r="DY60" i="14"/>
  <c r="EB60" i="14" s="1"/>
  <c r="CI3" i="14"/>
  <c r="CY3" i="14"/>
  <c r="DG3" i="14"/>
  <c r="DO3" i="14"/>
  <c r="DW3" i="14"/>
  <c r="CL3" i="14"/>
  <c r="CT3" i="14"/>
  <c r="DJ3" i="14"/>
  <c r="DY57" i="14"/>
  <c r="EB57" i="14" s="1"/>
  <c r="CJ3" i="14"/>
  <c r="CR3" i="14"/>
  <c r="CZ3" i="14"/>
  <c r="DH3" i="14"/>
  <c r="DX3" i="14"/>
  <c r="DU3" i="14"/>
  <c r="DY12" i="14"/>
  <c r="EB12" i="14" s="1"/>
  <c r="DY17" i="14"/>
  <c r="EB17" i="14" s="1"/>
  <c r="DY23" i="14"/>
  <c r="EB23" i="14" s="1"/>
  <c r="DY29" i="14"/>
  <c r="EB29" i="14" s="1"/>
  <c r="DY54" i="14"/>
  <c r="EB54" i="14" s="1"/>
  <c r="DY66" i="14"/>
  <c r="EB66" i="14" s="1"/>
  <c r="DY68" i="14"/>
  <c r="EB68" i="14" s="1"/>
  <c r="DY71" i="14"/>
  <c r="EB71" i="14" s="1"/>
  <c r="DY83" i="14"/>
  <c r="EB83" i="14" s="1"/>
  <c r="DY97" i="14"/>
  <c r="EB97" i="14" s="1"/>
  <c r="DY102" i="14"/>
  <c r="EB102" i="14" s="1"/>
  <c r="DY108" i="14"/>
  <c r="EB108" i="14" s="1"/>
  <c r="DY109" i="14"/>
  <c r="EB109" i="14" s="1"/>
  <c r="DY111" i="14"/>
  <c r="EB111" i="14" s="1"/>
  <c r="DY114" i="14"/>
  <c r="EB114" i="14" s="1"/>
  <c r="DY115" i="14"/>
  <c r="EB115" i="14" s="1"/>
  <c r="DY129" i="14"/>
  <c r="EB129" i="14" s="1"/>
  <c r="DY134" i="14"/>
  <c r="EB134" i="14" s="1"/>
  <c r="DY138" i="14"/>
  <c r="EB138" i="14" s="1"/>
  <c r="DY140" i="14"/>
  <c r="EB140" i="14" s="1"/>
  <c r="DY143" i="14"/>
  <c r="EB143" i="14" s="1"/>
  <c r="DY155" i="14"/>
  <c r="EB155" i="14" s="1"/>
  <c r="DY26" i="14"/>
  <c r="EB26" i="14" s="1"/>
  <c r="DY27" i="14"/>
  <c r="EB27" i="14" s="1"/>
  <c r="DY32" i="14"/>
  <c r="EB32" i="14" s="1"/>
  <c r="DY36" i="14"/>
  <c r="EB36" i="14" s="1"/>
  <c r="DY41" i="14"/>
  <c r="EB41" i="14" s="1"/>
  <c r="DY47" i="14"/>
  <c r="EB47" i="14" s="1"/>
  <c r="DY53" i="14"/>
  <c r="EB53" i="14" s="1"/>
  <c r="DY62" i="14"/>
  <c r="EB62" i="14" s="1"/>
  <c r="DY65" i="14"/>
  <c r="EB65" i="14" s="1"/>
  <c r="DY74" i="14"/>
  <c r="EB74" i="14" s="1"/>
  <c r="DY76" i="14"/>
  <c r="EB76" i="14" s="1"/>
  <c r="DY79" i="14"/>
  <c r="EB79" i="14" s="1"/>
  <c r="DY96" i="14"/>
  <c r="EB96" i="14" s="1"/>
  <c r="DY128" i="14"/>
  <c r="EB128" i="14" s="1"/>
  <c r="DY146" i="14"/>
  <c r="EB146" i="14" s="1"/>
  <c r="DY148" i="14"/>
  <c r="EB148" i="14" s="1"/>
  <c r="DY151" i="14"/>
  <c r="EB151" i="14" s="1"/>
  <c r="CW3" i="14"/>
  <c r="DE3" i="14"/>
  <c r="DY10" i="14"/>
  <c r="EB10" i="14" s="1"/>
  <c r="CS3" i="14"/>
  <c r="DI3" i="14"/>
  <c r="DY38" i="14"/>
  <c r="EB38" i="14" s="1"/>
  <c r="DY50" i="14"/>
  <c r="EB50" i="14" s="1"/>
  <c r="DY51" i="14"/>
  <c r="EB51" i="14" s="1"/>
  <c r="DY56" i="14"/>
  <c r="EB56" i="14" s="1"/>
  <c r="DY70" i="14"/>
  <c r="EB70" i="14" s="1"/>
  <c r="DY82" i="14"/>
  <c r="EB82" i="14" s="1"/>
  <c r="DY84" i="14"/>
  <c r="EB84" i="14" s="1"/>
  <c r="DY85" i="14"/>
  <c r="EB85" i="14" s="1"/>
  <c r="DY87" i="14"/>
  <c r="EB87" i="14" s="1"/>
  <c r="DY90" i="14"/>
  <c r="EB90" i="14" s="1"/>
  <c r="DY91" i="14"/>
  <c r="EB91" i="14" s="1"/>
  <c r="DY105" i="14"/>
  <c r="EB105" i="14" s="1"/>
  <c r="DY110" i="14"/>
  <c r="EB110" i="14" s="1"/>
  <c r="DY116" i="14"/>
  <c r="EB116" i="14" s="1"/>
  <c r="DY117" i="14"/>
  <c r="EB117" i="14" s="1"/>
  <c r="DY119" i="14"/>
  <c r="EB119" i="14" s="1"/>
  <c r="DY123" i="14"/>
  <c r="EB123" i="14" s="1"/>
  <c r="DY137" i="14"/>
  <c r="EB137" i="14" s="1"/>
  <c r="DY142" i="14"/>
  <c r="EB142" i="14" s="1"/>
  <c r="DY154" i="14"/>
  <c r="EB154" i="14" s="1"/>
  <c r="DY156" i="14"/>
  <c r="EB156" i="14" s="1"/>
  <c r="DY14" i="14"/>
  <c r="EB14" i="14" s="1"/>
  <c r="DR3" i="14"/>
  <c r="CO3" i="14"/>
  <c r="DM3" i="14"/>
  <c r="CK3" i="14"/>
  <c r="DA3" i="14"/>
  <c r="DY13" i="14"/>
  <c r="EB13" i="14" s="1"/>
  <c r="CM3" i="14"/>
  <c r="CU3" i="14"/>
  <c r="DC3" i="14"/>
  <c r="DK3" i="14"/>
  <c r="DY16" i="14"/>
  <c r="EB16" i="14" s="1"/>
  <c r="DY20" i="14"/>
  <c r="EB20" i="14" s="1"/>
  <c r="DY25" i="14"/>
  <c r="EB25" i="14" s="1"/>
  <c r="DY31" i="14"/>
  <c r="EB31" i="14" s="1"/>
  <c r="DY37" i="14"/>
  <c r="EB37" i="14" s="1"/>
  <c r="DY73" i="14"/>
  <c r="EB73" i="14" s="1"/>
  <c r="DY78" i="14"/>
  <c r="EB78" i="14" s="1"/>
  <c r="DY104" i="14"/>
  <c r="EB104" i="14" s="1"/>
  <c r="DY136" i="14"/>
  <c r="EB136" i="14" s="1"/>
  <c r="DY145" i="14"/>
  <c r="EB145" i="14" s="1"/>
  <c r="DY150" i="14"/>
  <c r="EB150" i="14" s="1"/>
  <c r="CN3" i="14"/>
  <c r="CV3" i="14"/>
  <c r="DD3" i="14"/>
  <c r="DL3" i="14"/>
  <c r="DY7" i="14"/>
  <c r="EB7" i="14" s="1"/>
  <c r="DY9" i="14"/>
  <c r="EB9" i="14" s="1"/>
  <c r="DY22" i="14"/>
  <c r="EB22" i="14" s="1"/>
  <c r="DY34" i="14"/>
  <c r="EB34" i="14" s="1"/>
  <c r="DY35" i="14"/>
  <c r="EB35" i="14" s="1"/>
  <c r="DY40" i="14"/>
  <c r="EB40" i="14" s="1"/>
  <c r="DY44" i="14"/>
  <c r="EB44" i="14" s="1"/>
  <c r="DY49" i="14"/>
  <c r="EB49" i="14" s="1"/>
  <c r="DY52" i="14"/>
  <c r="EB52" i="14" s="1"/>
  <c r="DY55" i="14"/>
  <c r="EB55" i="14" s="1"/>
  <c r="DY61" i="14"/>
  <c r="EB61" i="14" s="1"/>
  <c r="DY64" i="14"/>
  <c r="EB64" i="14" s="1"/>
  <c r="DY81" i="14"/>
  <c r="EB81" i="14" s="1"/>
  <c r="DY86" i="14"/>
  <c r="EB86" i="14" s="1"/>
  <c r="DY92" i="14"/>
  <c r="EB92" i="14" s="1"/>
  <c r="DY93" i="14"/>
  <c r="EB93" i="14" s="1"/>
  <c r="DY95" i="14"/>
  <c r="EB95" i="14" s="1"/>
  <c r="DY98" i="14"/>
  <c r="EB98" i="14" s="1"/>
  <c r="DY99" i="14"/>
  <c r="EB99" i="14" s="1"/>
  <c r="DY113" i="14"/>
  <c r="EB113" i="14" s="1"/>
  <c r="DY118" i="14"/>
  <c r="EB118" i="14" s="1"/>
  <c r="DY122" i="14"/>
  <c r="EB122" i="14" s="1"/>
  <c r="DY124" i="14"/>
  <c r="EB124" i="14" s="1"/>
  <c r="DY125" i="14"/>
  <c r="EB125" i="14" s="1"/>
  <c r="DY127" i="14"/>
  <c r="EB127" i="14" s="1"/>
  <c r="DY130" i="14"/>
  <c r="EB130" i="14" s="1"/>
  <c r="DY131" i="14"/>
  <c r="EB131" i="14" s="1"/>
  <c r="DY153" i="14"/>
  <c r="EB153" i="14" s="1"/>
  <c r="DY46" i="14"/>
  <c r="EB46" i="14" s="1"/>
  <c r="DY58" i="14"/>
  <c r="EB58" i="14" s="1"/>
  <c r="DY59" i="14"/>
  <c r="EB59" i="14" s="1"/>
  <c r="DY69" i="14"/>
  <c r="EB69" i="14" s="1"/>
  <c r="DY72" i="14"/>
  <c r="EB72" i="14" s="1"/>
  <c r="DY112" i="14"/>
  <c r="EB112" i="14" s="1"/>
  <c r="DY144" i="14"/>
  <c r="EB144" i="14" s="1"/>
  <c r="DY6" i="14"/>
  <c r="EB6" i="14" s="1"/>
  <c r="DY15" i="14"/>
  <c r="EB15" i="14" s="1"/>
  <c r="DY21" i="14"/>
  <c r="EB21" i="14" s="1"/>
  <c r="DY5" i="14"/>
  <c r="EB5" i="14" s="1"/>
  <c r="DY18" i="14"/>
  <c r="EB18" i="14" s="1"/>
  <c r="DY19" i="14"/>
  <c r="EB19" i="14" s="1"/>
  <c r="DY24" i="14"/>
  <c r="EB24" i="14" s="1"/>
  <c r="DY28" i="14"/>
  <c r="EB28" i="14" s="1"/>
  <c r="DY33" i="14"/>
  <c r="EB33" i="14" s="1"/>
  <c r="DY39" i="14"/>
  <c r="EB39" i="14" s="1"/>
  <c r="DY45" i="14"/>
  <c r="EB45" i="14" s="1"/>
  <c r="DY67" i="14"/>
  <c r="EB67" i="14" s="1"/>
  <c r="DY80" i="14"/>
  <c r="EB80" i="14" s="1"/>
  <c r="DY89" i="14"/>
  <c r="EB89" i="14" s="1"/>
  <c r="DY94" i="14"/>
  <c r="EB94" i="14" s="1"/>
  <c r="DY100" i="14"/>
  <c r="EB100" i="14" s="1"/>
  <c r="DY101" i="14"/>
  <c r="EB101" i="14" s="1"/>
  <c r="DY103" i="14"/>
  <c r="EB103" i="14" s="1"/>
  <c r="DY106" i="14"/>
  <c r="EB106" i="14" s="1"/>
  <c r="DY107" i="14"/>
  <c r="EB107" i="14" s="1"/>
  <c r="DY121" i="14"/>
  <c r="EB121" i="14" s="1"/>
  <c r="DY126" i="14"/>
  <c r="EB126" i="14" s="1"/>
  <c r="DY132" i="14"/>
  <c r="EB132" i="14" s="1"/>
  <c r="DY133" i="14"/>
  <c r="EB133" i="14" s="1"/>
  <c r="DY135" i="14"/>
  <c r="EB135" i="14" s="1"/>
  <c r="DY139" i="14"/>
  <c r="EB139" i="14" s="1"/>
  <c r="DY141" i="14"/>
  <c r="EB141" i="14" s="1"/>
  <c r="DY149" i="14"/>
  <c r="EB149" i="14" s="1"/>
  <c r="DY152" i="14"/>
  <c r="EB152" i="14" s="1"/>
  <c r="DY8" i="14"/>
  <c r="EB8" i="14" s="1"/>
  <c r="F87" i="11" l="1"/>
  <c r="F16" i="11"/>
  <c r="F38" i="11"/>
  <c r="F33" i="11"/>
  <c r="F56" i="11"/>
  <c r="F86" i="11"/>
  <c r="F8" i="11"/>
  <c r="F107" i="11"/>
  <c r="F102" i="11"/>
  <c r="F34" i="11"/>
  <c r="F22" i="11"/>
  <c r="F94" i="11"/>
  <c r="F74" i="11"/>
  <c r="F15" i="11"/>
  <c r="F54" i="11"/>
  <c r="F75" i="11"/>
  <c r="F37" i="11"/>
  <c r="F100" i="11"/>
  <c r="F91" i="11"/>
  <c r="F48" i="11"/>
  <c r="F106" i="11"/>
  <c r="F96" i="11"/>
  <c r="F73" i="11"/>
  <c r="F20" i="11"/>
  <c r="F60" i="11"/>
  <c r="F89" i="11"/>
  <c r="F66" i="11"/>
  <c r="F51" i="11"/>
  <c r="F59" i="11"/>
  <c r="F79" i="11"/>
  <c r="F97" i="11"/>
  <c r="F7" i="11"/>
  <c r="F26" i="11"/>
  <c r="F104" i="11"/>
  <c r="F95" i="11"/>
  <c r="F76" i="11"/>
  <c r="F6" i="11"/>
  <c r="F92" i="11"/>
  <c r="F98" i="11"/>
  <c r="F40" i="11"/>
  <c r="F78" i="11"/>
  <c r="F32" i="11"/>
  <c r="F83" i="11"/>
  <c r="F50" i="11"/>
  <c r="F53" i="11"/>
  <c r="F25" i="11"/>
  <c r="F52" i="11"/>
  <c r="F64" i="11"/>
  <c r="F67" i="11"/>
  <c r="F30" i="11"/>
  <c r="F65" i="11"/>
  <c r="F9" i="11"/>
  <c r="F88" i="11"/>
  <c r="F71" i="11"/>
  <c r="F14" i="11"/>
  <c r="F101" i="11"/>
  <c r="F99" i="11"/>
  <c r="F77" i="11"/>
  <c r="F39" i="11"/>
  <c r="F70" i="11"/>
  <c r="F45" i="11"/>
  <c r="F5" i="11"/>
  <c r="F21" i="11"/>
  <c r="F35" i="11"/>
  <c r="F105" i="11"/>
  <c r="F18" i="11"/>
  <c r="F24" i="11"/>
  <c r="F3" i="11"/>
  <c r="F29" i="11"/>
  <c r="F12" i="11"/>
  <c r="F44" i="11"/>
  <c r="F55" i="11"/>
  <c r="F61" i="11"/>
  <c r="F72" i="11"/>
  <c r="F108" i="11"/>
  <c r="F43" i="11"/>
  <c r="F49" i="11"/>
  <c r="F58" i="11"/>
  <c r="F81" i="11"/>
  <c r="F103" i="11"/>
  <c r="F62" i="11"/>
  <c r="F10" i="11"/>
  <c r="F42" i="11"/>
  <c r="F84" i="11"/>
  <c r="F68" i="11"/>
  <c r="F47" i="11"/>
  <c r="F90" i="11"/>
  <c r="F63" i="11"/>
  <c r="F19" i="11"/>
  <c r="F69" i="11"/>
  <c r="F27" i="11"/>
  <c r="F36" i="11"/>
  <c r="F4" i="11"/>
  <c r="F13" i="11"/>
  <c r="F109" i="11"/>
  <c r="F46" i="11"/>
  <c r="F23" i="11"/>
  <c r="F28" i="11"/>
  <c r="F82" i="11"/>
  <c r="F80" i="11"/>
  <c r="F41" i="11"/>
  <c r="F57" i="11"/>
  <c r="F31" i="11"/>
  <c r="F93" i="11"/>
  <c r="F11" i="11"/>
  <c r="F17" i="11"/>
  <c r="F85" i="11"/>
  <c r="C2" i="5"/>
  <c r="D2" i="5"/>
  <c r="E2" i="5"/>
  <c r="F2" i="5"/>
  <c r="G29" i="1"/>
  <c r="H29" i="1"/>
</calcChain>
</file>

<file path=xl/sharedStrings.xml><?xml version="1.0" encoding="utf-8"?>
<sst xmlns="http://schemas.openxmlformats.org/spreadsheetml/2006/main" count="28183" uniqueCount="11434">
  <si>
    <t>OK</t>
  </si>
  <si>
    <t>Dez 24</t>
  </si>
  <si>
    <t>Jun 24</t>
  </si>
  <si>
    <t>Dez 23</t>
  </si>
  <si>
    <t>Jun 23</t>
  </si>
  <si>
    <t>Dez 22</t>
  </si>
  <si>
    <t>Jun 22</t>
  </si>
  <si>
    <t>Dados enviados</t>
  </si>
  <si>
    <t>Envio 1</t>
  </si>
  <si>
    <t>Envio 2</t>
  </si>
  <si>
    <t>Dados recebidos</t>
  </si>
  <si>
    <t xml:space="preserve">Entrega 1 </t>
  </si>
  <si>
    <t>Entrega 2</t>
  </si>
  <si>
    <t>Atualizações</t>
  </si>
  <si>
    <r>
      <rPr>
        <b/>
        <i/>
        <sz val="12"/>
        <color theme="0"/>
        <rFont val="Calibri"/>
        <family val="2"/>
        <scheme val="minor"/>
      </rPr>
      <t>Steps</t>
    </r>
    <r>
      <rPr>
        <b/>
        <sz val="12"/>
        <color theme="0"/>
        <rFont val="Calibri"/>
        <family val="2"/>
        <scheme val="minor"/>
      </rPr>
      <t xml:space="preserve"> do processo</t>
    </r>
  </si>
  <si>
    <t>Chave Gloval enviada</t>
  </si>
  <si>
    <t>1A. Análise Ficheiros (# de registos)</t>
  </si>
  <si>
    <t># de Registos</t>
  </si>
  <si>
    <t>NOK</t>
  </si>
  <si>
    <t xml:space="preserve">Chaves Gloval Duplicadas </t>
  </si>
  <si>
    <t xml:space="preserve">Conciliação das chaves </t>
  </si>
  <si>
    <t>Verificação (com 1A)</t>
  </si>
  <si>
    <t>chave_gloval</t>
  </si>
  <si>
    <t>38026D1FDF52EA1B39A13A4F0B2A015FCA67E873CD96D8D0FF49C00FEA193641</t>
  </si>
  <si>
    <t>147B723F2C37A7F36304C30DF4EBFB7F55C513E191C88AB1B1DA0DDA7DCF7952</t>
  </si>
  <si>
    <t>686BFDF1AAF0B98ADB7EC8B6D093BEA3936AD861FBCAF36643C9FD7E71C951AA</t>
  </si>
  <si>
    <t>1C5E30DF11D101C67E5B0F79960497F7547501981D9EEFA39090B05AC5DFF576</t>
  </si>
  <si>
    <t>3126FE706251B1DDFC0A98B7A28E96AD6B58FCD37C1F114846EE0C27FA3DD3D9</t>
  </si>
  <si>
    <t>9A1E45754A598E1B41BF858488766399EAFD154CA68CA6F6B7A88C13C8423E3D</t>
  </si>
  <si>
    <t>A357883D729C432D922CDB7572FA0622374430051614621355FC475CB018E905</t>
  </si>
  <si>
    <t>EACF9288096347477FEE5FEAAB586E63E5E1B44D4D228608B927445E63D40E40</t>
  </si>
  <si>
    <t>BF0EC9A069B55B0CBCAFD7A96377932A5DAC1FB9D5CC72AEDD85E0A5F3F2E2AE</t>
  </si>
  <si>
    <t>EDA34BBE02FF77E84F4CBA005F712B76D852AB49692992F78AE452CD1978043C</t>
  </si>
  <si>
    <t>E1F1D80B32E4E30B072DCB107649D56AD0A7A75F4A613339712E85FAF9FFD9B0</t>
  </si>
  <si>
    <t>FAEA57F604C41258C23706FAA1B2093E414D9B417DC413F2E211E2B2AC230263</t>
  </si>
  <si>
    <t>4FE3CFD7C0A6B891F5575507A59C0FC5E804427834886DD13AF194F096AEC0B5</t>
  </si>
  <si>
    <t>905180983822B9D8CC5D61BEB2722ECA57F8E450B0C9AD8454E5F82216381CFA</t>
  </si>
  <si>
    <t>B65C4E89348A196BB14684EF48DE2C195DE6B5404D7A84062D75A9013E5B34CF</t>
  </si>
  <si>
    <t>1A61B0B54F93318400F0FA0040016BD8DEB2664D126BA3E71F9B68784F191D22</t>
  </si>
  <si>
    <t>58F5A778DF22E13890568D736474264CDBC4C45BCF2FEE064F43CAF134CBB343</t>
  </si>
  <si>
    <t>E79BD0F23B3C65A9827B3884F2C11015C3C8FA3F226752FB0BF6BD654FC45FA8</t>
  </si>
  <si>
    <t>3635984877593C001ADDEA526DF33AF49AE495F906F9404385BBD1DD6DB6E238</t>
  </si>
  <si>
    <t>9018382DD339E546C96D6FB8FA52189EC4343F6895779F8781E6B6FF3CAB1AF1</t>
  </si>
  <si>
    <t>A3446FDDF81BE9B3247740C859D1EE4D7C07D26475327255549698322EF00A79</t>
  </si>
  <si>
    <t>6279766E771588C21A5E8C2BC1566825E5DE08D07B667A98B18ECDB6748CE74C</t>
  </si>
  <si>
    <t>522A78FADB4C45F00C01E60BA8DC3DDE5851942B1063DF124EBAFBD105248B04</t>
  </si>
  <si>
    <t>DC6A4621FB10F053BC7BF5DD8AB84791BBFB00C47FE292D0C2DCFDC6FA97BF06</t>
  </si>
  <si>
    <t>C4BE179BB6893B295BB4796EFA7CA4D935C8F5AA5B8334F3ECA1592666C50EF8</t>
  </si>
  <si>
    <t>F3C31AF17F3BA4E9EADBAD465473D11CDA26B0B3AA8F551F9C58A2A74B35792B</t>
  </si>
  <si>
    <t>85E7390DD842A843A7C22A7D23EDC7425E8059EF5ABF4F0355D00996ACFC7CC0</t>
  </si>
  <si>
    <t>41D37505DE236E0424DB73D798B857BF3179BD77A2DFCB7D6C0CB4CCDB660D5A</t>
  </si>
  <si>
    <t>684C22A222B7C5A274C18103992FCFE5417BBB84F03BD864904E06150FEB0853</t>
  </si>
  <si>
    <t>38D404367AF2BFC5DB3E19243ECD592326706191CBC14C6F5264F511B7E2CD1A</t>
  </si>
  <si>
    <t>E7E57038B4E1410199CB875C68551AFA973202C74BD249292222E0D542F53E4B</t>
  </si>
  <si>
    <t>DE5A1B49DDEDD30C15DBE248972AE174167E9643C3153184A4E7560ECC97AEBC</t>
  </si>
  <si>
    <t>6C8BD9548C655F6328E96A6A6246B3579B8EF110CA3AB766709966B09C60ADA2</t>
  </si>
  <si>
    <t>56699A60D26E747153993A93AAEB38F3E8AB0D27769683E61D3EFF0316404DED</t>
  </si>
  <si>
    <t>31C0DE044A14CF511E0D64890F972D9F0046C83181626BD9E2AD68DE0DB10348</t>
  </si>
  <si>
    <t>1B81C5E59089BB5BF26CC4C39E2AC8117FB29EB8FAF13EF3F10180FD346876C3</t>
  </si>
  <si>
    <t>A9623A4A179DA2490221638C6F2E4AC15F012926362C556C45F3294AB9FE01AC</t>
  </si>
  <si>
    <t>4947AE7DC1F17660F23BACF99C8856CD096D78C457042561DC8943F0FDB29E43</t>
  </si>
  <si>
    <t>059ECC5BF64D0E9A5A38BC5FA9DD53509B1800CEC6D194496622D1395BF482DD</t>
  </si>
  <si>
    <t>E940B1333FCCC69FDBFEA159798F29CB452B755C697F41B80F0F6E7928C0EA25</t>
  </si>
  <si>
    <t>153272274E7E370673A26E325BDE3F09886D81CD3CFFBA25A3BCC4914177CF0F</t>
  </si>
  <si>
    <t>EB6E3389419ABE77918A047D550FB6F9654E497DA8AE032FD85B6B3EB6094A6D</t>
  </si>
  <si>
    <t>AABDB0A912EA4EC6F65F524AFFCE5BEA5C9F89E8C4B8842277BC6C688A8CB28B</t>
  </si>
  <si>
    <t>B9BBC1ED5679EC97F6CE76528D6E2777917E959DCB1FF240EF18C9C888A44BFF</t>
  </si>
  <si>
    <t>5BE004931E22385F9EFAEEFAD5F0045B5A8013433D667AF9B19B3A3328D130FF</t>
  </si>
  <si>
    <t>38988C0D3800CDABBA575EAB41E8FE3F951C0FAC97C4874CFD72A0734012B618</t>
  </si>
  <si>
    <t>582072EB729064D99826E8AF42AAD0B22B8721DBF5C38620149EBB15E4E917C7</t>
  </si>
  <si>
    <t>B92A3F2EB6528B79284C3E549EAEE36B3DE52F414F3EA296AE84BAC58675AF9B</t>
  </si>
  <si>
    <t>E150EFE1020116C47C0F5F251B78B6C6210278119E97CBEB562F487CB08CE757</t>
  </si>
  <si>
    <t>ABD023DAE147379A0C099E829F2EA0585752578B6C8FA533064F1ECE3CD911B8</t>
  </si>
  <si>
    <t>5C65DF3C00DFFC2A8AA98305F64AE9DDDDEFF96E06EA6258FDDF7C8C93199833</t>
  </si>
  <si>
    <t>15AB245B1BD23A3472CE070AE294BC50A6A16A1CB397675B691FB3EB04D8338D</t>
  </si>
  <si>
    <t>BB54E31C303B190481BE3B084F0BA7674513E35B3B65CC246188EB6C0AF078F4</t>
  </si>
  <si>
    <t>D1C57373DD29F8D02FF85DF66A5D4B8E5F99686DB80CDE1785F778B380C64054</t>
  </si>
  <si>
    <t>7C28DA15DCED2682CADD9A46AC0FD0D7628443D6BC3B8AC02C426266025C8014</t>
  </si>
  <si>
    <t>C16EFBBEB32DF0D1D5CAE7FCE6792E3FBDA2C10B6B79AA5B63C61925AD96D216</t>
  </si>
  <si>
    <t>248030C59E972331FDC3901958C918B76C7EFD8766D8828934B28ABA1FFDE615</t>
  </si>
  <si>
    <t>9F7F5AA7D1D785CA5868C3837AD791C692D2CF1B4A8CECC1329086C95580BF7D</t>
  </si>
  <si>
    <t>520DC940176F64F800573AFA60D0FAFBCA2FCF8BCCBDD9D1BA2543408C23654E</t>
  </si>
  <si>
    <t>37D24722750B1B88059310D802A6FB24ED6884FB6C504BBC9D8E47321619068A</t>
  </si>
  <si>
    <t>DC297AA36E614D5E93F6D4F217B54A5F59846652BD40DD00567FAB011E7F0A32</t>
  </si>
  <si>
    <t>FDCFD4498C89A01F13D75FB8B40F6A58BB36667B61C4010962D7246C45CB73D0</t>
  </si>
  <si>
    <t>FB93D88C087CE7239EC401A7634E01BD8F842AB37D9BF981DBCE8B336BE8B46C</t>
  </si>
  <si>
    <t>2750D8EDE86EF3D5D7C01492140407BF8B6618C2A4AB79BC8D5DEDE254BFEAC1</t>
  </si>
  <si>
    <t>B1D50DFD569EF4279D476C45733C56AE4C6997D31B3A5887F6CC94EF2D4EF45B</t>
  </si>
  <si>
    <t>CA86E71AA06C1A3C573497EDFD12FAD0619AD62E85C5E7B1BBF27F0E7A7A2FC7</t>
  </si>
  <si>
    <t>A49681117544CF9B445143FF76D5F8B932931917FEF333CB93DB4F2820A46D67</t>
  </si>
  <si>
    <t>69BFAD1D3C3DB1EC99B319713A731D0CBE588BA9F5D6937EB63C361FBD1D5316</t>
  </si>
  <si>
    <t>E68766E75D08B6CD805B6E3B753AE0CD5293A81FA98AD10BDA44B1EA0BE2D37F</t>
  </si>
  <si>
    <t>7A821601FED1F47E745F8C25AEA2C0DB907B5F4E35E6934618B222F7828E3B5B</t>
  </si>
  <si>
    <t>B483B97773D9C13638F03DB87577B1C6F06E93E54B9274C72CC727309D4CA075</t>
  </si>
  <si>
    <t>986C34F25F19F7CE8F89A808B0AFCC0D7E88C16E173484C5BA7B314512303828</t>
  </si>
  <si>
    <t>6409E83B8C8F9BF8C464EC702245845D5EDF8C82CD5B081B8A007EC0DEE27D0F</t>
  </si>
  <si>
    <t>7FC9C29BD67641E04211D54304F024EEF66B41F76D1E76EC40F36B56BF45F2F9</t>
  </si>
  <si>
    <t>9BB9EBCB99ED13EEC819423F719CCB759FE045BDB9554A52BC90EAEF380A2540</t>
  </si>
  <si>
    <t>45E7822D36C17ECD04CCEEBA2270A01D46442AA35AFD5EE28775D3AB58FB00F7</t>
  </si>
  <si>
    <t>BCB157BBB3002CA6528978301BC4E3699978EBA30C204B33E6DC1609B86B30C3</t>
  </si>
  <si>
    <t>5DB3018389AC7A64172B36B26142A6A8CD95135214356D098823A7BC1BC3FE58</t>
  </si>
  <si>
    <t>AEDCA963C6EAEED49034D6C86E15E98A8AD41D3136CEA61EAEA727A4702C8C2E</t>
  </si>
  <si>
    <t>BABB3F136A2FAEE169697631D150407032207D4B691A99D300816C36063CF88B</t>
  </si>
  <si>
    <t>36371F107A010AB5B2268BE999AABC59D55A16EB59148FC39CF748084AA918D9</t>
  </si>
  <si>
    <t>C8041EE81CAABA6D2C3B13649141DA4D54EC56A0CC3010C629E9028349B925F3</t>
  </si>
  <si>
    <t>C54AF2C9DFBB0307EC7B92DB5CC6933312EE43DCF780BBF9EC02DC441E989587</t>
  </si>
  <si>
    <t>9B9E98C733861897C85278B074B4D9DB061E1854753EC792ADF0C061DEBB2BD5</t>
  </si>
  <si>
    <t>7BBB235D34DA08D36E30708B7844228C77897AE544D5BC921782BE60DD1CB7A2</t>
  </si>
  <si>
    <t>A5B07B6CFC8F8F916A30042EC8AB9BA4A62F82B63B8324C56374825F640F50E7</t>
  </si>
  <si>
    <t>1BD8EAF47520159507244DD03A0BBD07E257B0627C20521B4E78AC614871C348</t>
  </si>
  <si>
    <t>A96250FF166F5B906771CF1334BC285E8ED566F808E8FAA095265700B90396BD</t>
  </si>
  <si>
    <t>5FB3A6A864BFBC231A8649D030CA87ECCD1C42A455282DA6C8EB085F4650BFE3</t>
  </si>
  <si>
    <t>C5E3A10427D648A3FB64FF176F628ACC297D37E3C752398CE09E47346AC6AD5A</t>
  </si>
  <si>
    <t>533A7046277EFCD8D706D59577F0D6959AAA4E3AD4F44C85E626E49327A32D00</t>
  </si>
  <si>
    <t>8CF7598789EC292C60CD0C615A3DF12715FDA1523AC4128CE5E4F471BBDD8D38</t>
  </si>
  <si>
    <t>2A95DBAF40B7356B361DABF6609DE732200A9CCACFD921EC9905550BDC3833C5</t>
  </si>
  <si>
    <t>713989E8F10B55E59FAD32F72048F3CCDE56F441E244CA01B7BAB1DDC9E6C4EC</t>
  </si>
  <si>
    <t>04F692D4253F3BA1E5009AD93B0012A2D4323296E57CA4B81FC3A72D9BC1F9F5</t>
  </si>
  <si>
    <t>E3B001AF1FD06D98B3C771AAA3573B1945B47C222D3DA045666FE31B2498FC78</t>
  </si>
  <si>
    <t>2130118936472A7A11E6CAF4D09486C0F5CB0CD6FC3BC845568FBFC7F3CD0FB2</t>
  </si>
  <si>
    <t>C636A670C7387710BED38AD2B50ACE8ACE5160D8533957374E63BD17FDE6A457</t>
  </si>
  <si>
    <t>D2AA7772E93D567E23BE681D6E825859D685E4AAEAAB90B20093B3EA347D1BE1</t>
  </si>
  <si>
    <t>D19229447504A239F13E0714CE3F3B6E3D228457E44469766D67EC3CFFACE099</t>
  </si>
  <si>
    <t>226F896BBC1056D468F3379DDC35DC996B5B9DBABE24EE4FCB203C4636866FDE</t>
  </si>
  <si>
    <t>ACF7B76E7FC77C3A8E210DF2F75C6E6EAE52F8FAF178697508F77103812F009D</t>
  </si>
  <si>
    <t>549FD7010D17C4A441EBE12FD1867667AB4B308BD2DC5FDD037CBB5ACDC315C1</t>
  </si>
  <si>
    <t>14B4C236717B8D8B9B231B45E4F8ED57463C910D534AB35AC873CAE083B68CA7</t>
  </si>
  <si>
    <t>409E328A3B4E0788D803F8D1B09BFE2ACAB9DADF654A5742DE4BECE1A0D1384D</t>
  </si>
  <si>
    <t>4BEE5DBC20E90A51F0C031F801CCFB9DD1E3254898509AFF4E3258221EC316ED</t>
  </si>
  <si>
    <t>C2DF6C0E484B2EE9B165183CB2E23FF37E3068A1D292F4092232F6F7445AE2F3</t>
  </si>
  <si>
    <t>F1252F35649D490FEBC19DAA712D484FE642FC7FD1D5262CA8335C70E36DAAE9</t>
  </si>
  <si>
    <t>6A018C6B3F1E348508F3766EA221FBBC7F89ED817EE952DE275D8093890964BE</t>
  </si>
  <si>
    <t>0F605F4FDEEC30C6966611ECEB3261AB517FB7208F19BF1B1CBD1845FB51F313</t>
  </si>
  <si>
    <t>7F202C33237ACCCCF4A83B238C0E9B7A6F04405B3C379ED8DCAD2006AEB860BF</t>
  </si>
  <si>
    <t>4094B0D8CDEF4FA3501C8A135C1C8E9DD09E2BCC5A29F49D3217A3709582E313</t>
  </si>
  <si>
    <t>F6F29F78AE18B62074CAC8C4214EA4D703BE4B4E8200C44FB2A2FB99AAA4A6EB</t>
  </si>
  <si>
    <t>26DE055FB23D4226EAB9251A982B6EF37F811FD49E06F2FFB7F8983AECEA1178</t>
  </si>
  <si>
    <t>48E0A631B3D5530E72AF2C94014F787BB2224BEE1D80D921349A917884F02681</t>
  </si>
  <si>
    <t>4B4EBC0800D1D9EC59F637A3BAE5CB3CEA77066252F65E759EB8731C490E956B</t>
  </si>
  <si>
    <t>AD7C02CF196824D5B9B002DE42E5E7693771EDDED5002315688DE60BD269787C</t>
  </si>
  <si>
    <t>067D9CEEB7482643D1D9733B1603AA74F34F2196795343192479A7B41B946118</t>
  </si>
  <si>
    <t>15331653E4F7C182018F115CBD8621CEE46E0E7E06D410273545E507BED2384D</t>
  </si>
  <si>
    <t>2134E6DACC3AE819D70338C9C6668948FD1F6EB4644EB7266A2902B198C84B17</t>
  </si>
  <si>
    <t>A281BC792CAA5EFF31D97B74DE2399641EDC157A5B0AAA751155D72FF41E35B6</t>
  </si>
  <si>
    <t>73B1B0E09AD83FC2EBCF9BAB7FBE7CD1728428FF4AC644C6C881A63955A55550</t>
  </si>
  <si>
    <t>D9ADD18924D5D5F2986DC0C03F2176F879F4DA8A54B106C686E9BA14DBD5B83E</t>
  </si>
  <si>
    <t>40BD2C3DE4CE3BA9E983DEB515F6AB10235DD82357B25E22FD2F766811806D78</t>
  </si>
  <si>
    <t>7E67CC908722FB7BD7412F68A6FB86449EBCAB3380FEE2326EED58747C064937</t>
  </si>
  <si>
    <t>C55F6773CFD0369D8F1BAF8AFE3B8C6E59AB3B5F4ACCB2494B07F85EECAA9AFE</t>
  </si>
  <si>
    <t>8D3C8A175111BA360FEA142B3AF8EF8DB2F5E44E4F2E6B55F80A7EE2964E1B1B</t>
  </si>
  <si>
    <t>13AE3EF16776ABE28CDCE355E6F732AB14E9006CEDD57CC819ECBAABC5CA42AF</t>
  </si>
  <si>
    <t>7A697601AB04BB2730927B46579A16A2446EB66F4DF71B07930B060A951192C9</t>
  </si>
  <si>
    <t>E57112B4422F1C24C2CE7CCC0A5B6460F0F8A44D23891E3215770AB7C4B4BD80</t>
  </si>
  <si>
    <t>3DF2906826F4477FF6BA6FC7D0C697C5AD981128D85F31EC5C19BBDC026B8288</t>
  </si>
  <si>
    <t>7F66C8780FE3E161445AFD204F171C8E9F041E6F486E66F0EE5F277FB0C78FCB</t>
  </si>
  <si>
    <t>3A4413F00FD6B84D32209A83C2CE4D8B0071C53D7DCF2DA71E0A0BB077195A5C</t>
  </si>
  <si>
    <t>4CCA1155D50A9BE2CAA17C05FF4D1F87B8F629730C81A8FC078C47F9DE7D5F3A</t>
  </si>
  <si>
    <t>1B83F1101317B1FB8481DB719F9EC2BB9C289898E165B0C3F82FB8428E226649</t>
  </si>
  <si>
    <t>0DDE9301ADAB1F37BF7173A035E74C370ED90C0F071BF5D77C9DF55C63BB97E5</t>
  </si>
  <si>
    <t>7B82211F017B621264D81F4D0A30073C765AE43F96A6C924FA4C98387889047C</t>
  </si>
  <si>
    <t>1538E071C4B711D5724E54F56F53DDF97E59F0C093CD5F0A2A8666580BFBED18</t>
  </si>
  <si>
    <t>B9B8C531316797AE69263EDE35A34AE68665D4BDDBC5D000CE21A3B773FEF257</t>
  </si>
  <si>
    <t>B71743BA2394610612A38F6EC216E398BBA8741FCFFCA398E7253FBC4F4B25FC</t>
  </si>
  <si>
    <t>6B3488F89FF3B7F6E63C6CE0BD3E283C12A80E7ABFEFEC27ED6C0066EDCB9235</t>
  </si>
  <si>
    <t>599D8823460E31495C1273402670A309F8919737D7127C0705ABF57FD92DC0D3</t>
  </si>
  <si>
    <t>998EDBCD4EFD79DA4A16627265E62EC5346F29EF4B7CE783A9B779A410A4E5E5</t>
  </si>
  <si>
    <t>9456262815DE79536FAF505AA027BA3E5CCF5863A72D261616CD5991861D81F9</t>
  </si>
  <si>
    <t>BFAE0B9E4FA360B5D2304AB2530621530A88615083B2BCA7E7F5AC84B1D6E43B</t>
  </si>
  <si>
    <t>84B59106BB611DCD71E285CB92096293BDB044E623A003168DED3E92307D50E1</t>
  </si>
  <si>
    <t>E2553D7B449603ED896BE14A1361FBA53FB72F74BF0AD7D63101423C0A97C5C6</t>
  </si>
  <si>
    <t>EA7151207322680F5B5EB91C1BF5A48164310B983020C8683C935A56D04378A7</t>
  </si>
  <si>
    <t>E24239AF02863E24B5BA99FD1FEAE8FEEF97A6DE285D24C7A98B6ED740C4CD3F</t>
  </si>
  <si>
    <t>9F3C4771622C48792473B36A77FD8F2933B77EE6860195C6F4219B458D73E7A7</t>
  </si>
  <si>
    <t>5AAAB59F58D7760859C929505E9C542FE92B82C6E3E22928B6D67BFF57E1E0DF</t>
  </si>
  <si>
    <t>30B8270FE7A5ADD99AA087FF0B13AC6E19C3355F4A133838A1C15F0C0176A1EF</t>
  </si>
  <si>
    <t>2</t>
  </si>
  <si>
    <t>Sim</t>
  </si>
  <si>
    <t>Não</t>
  </si>
  <si>
    <t>CHAVE_GLOVAL</t>
  </si>
  <si>
    <t>JUNHO DE 2022</t>
  </si>
  <si>
    <t>JUNHO DE 23</t>
  </si>
  <si>
    <t>DEZEMBRO DE 23</t>
  </si>
  <si>
    <t>JUNHO DE 24</t>
  </si>
  <si>
    <t>Chaves Gloval Duplicadas (# de registos)</t>
  </si>
  <si>
    <t>07A19AB885F359A561E96EB9B5AB76884AE697C067D7A98CD8AF108D565501C6</t>
  </si>
  <si>
    <t>DB8949D3CDB251285766E5895EE1CF721E493B950A7E89ABB249E785B9301A70</t>
  </si>
  <si>
    <t>59732573DE1C28208CEE5710BCBF81E9E5BD1AF67765B3981F0EAD348CFBBC8F</t>
  </si>
  <si>
    <t>DC06A6A76B1E6DF8E7CC0EE53C5327FC1453F6516F47C82C620FDB417A572573</t>
  </si>
  <si>
    <t>0C4ACCA350D65F05E1DCBE56A6EC59E915EB84C443A53585963EE6E712FE5F42</t>
  </si>
  <si>
    <t>72FB33E663B1AB0CB122919A890BE0B22889AFDAC92C446BB4381F3A88C629BA</t>
  </si>
  <si>
    <t>1DDD16760558B98F387355407B3BA817E9D3702AA1AC21023D2805F3E82A5050</t>
  </si>
  <si>
    <t>3E9D07AE57E8272A1F390338ACFB0B5109270C31B43B499CC43E4FD1BFEC9D64</t>
  </si>
  <si>
    <t>B6419C61D24D09626972D31B0122581E41E3FC58ED003025D254F916319B3BBA</t>
  </si>
  <si>
    <t>A21B81D06D1466692AFE1D7066871519A58013965E3586E88BBF5521AAD96004</t>
  </si>
  <si>
    <t>09E84B7B40A0C77FEEA20A1D3815DED0AF0D2EF75CCB11A8246DAE44823241E7</t>
  </si>
  <si>
    <t>59929A96B4E197805188BFF0671065F4147D43F14EBCDD3A18AD038F16E1CE62</t>
  </si>
  <si>
    <t>573F172B53DDB8279EDF1F8E0AD7D477C4050823C02ED6EE3A4D3A1087A9DD73</t>
  </si>
  <si>
    <t>D6A9D3FD657EF7C6B04E883DE488DF9E90949C9D3B566BA8234BBF177608CC1F</t>
  </si>
  <si>
    <t>6D1822394503C9E40D95CEC8A07BBE3D27336536DBF481996078BF7D76C2ED97</t>
  </si>
  <si>
    <t>77B4F2F997C0E92F11ED5AA72A4936011A78F46271E81E51D293D5C1F81F85C7</t>
  </si>
  <si>
    <t>2B5641A3211DA9BD1D67780942DDC5BDBDBDF5AAC7C10903AAA9F55165D68BBB</t>
  </si>
  <si>
    <t>157F2C4FC9FDE3044461DF2D9DC2DFDB6930374601BF15E1CDC5A6421322C824</t>
  </si>
  <si>
    <t>11BB401612CB00B5F76059278373D2113EE70B538BBDFEE630D036C6D2748641</t>
  </si>
  <si>
    <t>AFB51DF3652AF25B2FAB7CDC960294BDFB3C10F545EF53BDD7AF10B738EA3CA6</t>
  </si>
  <si>
    <t>276E49F5C2870C18485413EEE235DF2501199AB94A9DF335681AAF1E039A21CC</t>
  </si>
  <si>
    <t>79CF6D4A509CE5FFBA3EAFB5CD519FFC2843EA2ED6083A7A1C55A0466F7D309B</t>
  </si>
  <si>
    <t>7F20E030DEA988A4C35412806C1B46FB041DFEF7145D0B7F5ACBA0089786A27E</t>
  </si>
  <si>
    <t>5742E784DD4546DA0C512EDC663B4ADC7145C62DAB5CE4C962E2196562163831</t>
  </si>
  <si>
    <t>7EAD499D63601C28F12E0C5B43185D0340BD27899AEE6B7440F32866E953C0D1</t>
  </si>
  <si>
    <t>ABB42BFFB7CE09EAB7419A31A612AE8C575E9C66BAD836731A24B9DA87FD2E86</t>
  </si>
  <si>
    <t>AC40B914AD523EA21C35DF306F0C4FFFC1E4A6B2A79C4DE01CE00DFCE41B8FBE</t>
  </si>
  <si>
    <t>AA9EAE0EE1D37C324AB4690892A3E883FA9C611B15AC6B68EF9BC0DF69073F26</t>
  </si>
  <si>
    <t>99FD0D2957F94881B2C09FBD63570C3FA312D4579CA2EC7496A19BEF3233004E</t>
  </si>
  <si>
    <t>84270A93A687F250EA056228192281CFFC0F46E4E4A125176E226DE884C47F06</t>
  </si>
  <si>
    <t>9CD48A6A2BA6F7E9A85CFB91505CA25EC4A06AD0540AF0B9688A0A2818B5B2AA</t>
  </si>
  <si>
    <t>C91B2EBA3F0932E44144188C2CA0710D9089340AF9CDFD6A1B53C05271A5ABCB</t>
  </si>
  <si>
    <t>C8748C0100B7FAF44DF3D61C8BE86D1B726C433C493836F0C50429814B8DFEC9</t>
  </si>
  <si>
    <t>4E064C9013824F3708C2C5D9DEE4F814740E0CDDDB020F522D6ACE25C9FB698E</t>
  </si>
  <si>
    <t>72CAFE87A1AA31EEAEBD5B9E13C0C9C21DFD791615C0D733C46C36F6473DDBB4</t>
  </si>
  <si>
    <t>EC0642BCE679F9A35C83C241E3414865C09E70722B723B695ED941288241E39B</t>
  </si>
  <si>
    <t>F94F4DBB31B9076069ACBA51F33B140593E264DF5CB7B875D889B1AA0159066A</t>
  </si>
  <si>
    <t>46907E4804AE4AFE732C20FD59726FFAE1DA7146B121934E82163EE71EA6706A</t>
  </si>
  <si>
    <t>B07B6253EBA9599323E1D28BC0B4F1390056C336F36E1F944D9C8634BD3902A0</t>
  </si>
  <si>
    <t>80B8272A6153F881BAB4BABE969E247481E1510B6CCA2EC8E1A5CF38A5FA87B3</t>
  </si>
  <si>
    <t>65BF8B24ED654856DC61E049E6C8F06C911F28D795D4271E163010A055D82D77</t>
  </si>
  <si>
    <t>BA4EFF0F8F27D7146B93BEDA14F7FE46B96AB3AE26BC80A07EDF5FFF4DB577A0</t>
  </si>
  <si>
    <t>16A560C394AAC25845CA86404949A7FBC8A61AD47C8061C830ABEF026C70040B</t>
  </si>
  <si>
    <t>34670FB0318EAF9345603CF2910396D68172CAEAAC0D1862C5BB07924A239B54</t>
  </si>
  <si>
    <t>49BD0AD21FEBD6AAE640C4D41DEEE501122ED44DEBCA445046427885F561F607</t>
  </si>
  <si>
    <t>EC20B5EE17C67686B7D681353AA0770A2053E69B77B16246A17D624E310116FA</t>
  </si>
  <si>
    <t>73955116F58EBA1099035935FE44253C053B4D842FFB2402783AE3DBD527EF59</t>
  </si>
  <si>
    <t>E5C520BB343175407558BBA6264603DFD610E2F4957135DCD5FFC020F94DF3B7</t>
  </si>
  <si>
    <t>3C4CC68CA6A073424A0B5896DDDDEE5F20D07FF228F92B9598060A6EE17BB4C5</t>
  </si>
  <si>
    <t>B31BB19BBC7150840AF9181AD9B2183ED1491C2E7E3DD542DF2AE74DCFE68173</t>
  </si>
  <si>
    <t>8564154A2F3B81B794C7A23D76DF69F6707F756BEE1B0437AE35767A9CBE3FF6</t>
  </si>
  <si>
    <t>C80E5ECF788928B190B9501E9F3645F149BC345078C3C69FF9623AEE080C700A</t>
  </si>
  <si>
    <t>7750F32817A515235248624F7EF929B7C83CA2B22E7CDED74A3F710F4EDBDED7</t>
  </si>
  <si>
    <t>F5B97ADFF4789217D595303A84DD82D445EDE6FFB010018610F9E9A72B45014F</t>
  </si>
  <si>
    <t>F24E97FCAA8DB3FA11562C70E367B6304BA58970DBB4A1DE05AC40E92E59A051</t>
  </si>
  <si>
    <t>EFB3671F34526F5C78FA52BA2C76763D8001673A1821D73703095A22E878F9DE</t>
  </si>
  <si>
    <t>792A02F0637A5604977B1503CBF9D3F5409BDD5CA6A3ECDD834DD5EBC2D3FD76</t>
  </si>
  <si>
    <t>84103C7BEB3DBAAE14EF00530E5E3A6C94BE28FE128553DE2911827CD8F37D91</t>
  </si>
  <si>
    <t>795C3D50DC93CBAFAC496799517163A6566A1E8EE05E1BCA42194E579FF494D7</t>
  </si>
  <si>
    <t>714EB29312323580BC3DB53188237BD561947B2248FDDF13E15DE91B4ED55759</t>
  </si>
  <si>
    <t>28BD7B4A0713707A813B802AC1C491543AFDF5D131CCC37DD427B2C649B4CBFE</t>
  </si>
  <si>
    <t>2D75160CC5F82AB41A45A63ABF626FE0EC0FE698691FC269E4258C3FA05804C7</t>
  </si>
  <si>
    <t>983D22D99148F06F11AC8AF4EA27CDE9A8DA9192B6D41301978CC90F172EC55E</t>
  </si>
  <si>
    <t>11E0BA12F03643D6BC42DDBA9CA0F2508E780330BCC22BCF9581EAC7944B038C</t>
  </si>
  <si>
    <t>47FEA55A06E6FAE9E9A0AA173F61561B7FEF401AFBFF2E63C0850E156FAA92EA</t>
  </si>
  <si>
    <t>DB9548EF2B05FE169ACAD05A1ECF4E8FD3BB01BC16A80605E3D67F1B20380EF1</t>
  </si>
  <si>
    <t>AE39840DDCFA3108E94C029D7CB56E60ECDA77911AF7E7776CC7DA22B273BFDD</t>
  </si>
  <si>
    <t>ADADD0322A896458AB074356AF730E47C7C232C7D2ED491724CF95A13B7BFE50</t>
  </si>
  <si>
    <t>23A0B42BD524D7D2A9052B1CC5E7B0F4EA4518220015343BDFF764D302459CD3</t>
  </si>
  <si>
    <t>CE493EDEAD7C7445C7D3354545451424DB12E69DE6CCCE5EFF002F5CDEBCF269</t>
  </si>
  <si>
    <t>EC03D079AF72527114A7C8EA427C44BC8D5E322E7B7BE5C743C8EC00848F1A15</t>
  </si>
  <si>
    <t>BAC6CA759DF9B889034CF23F4904B64A17A4A5C5D9FF2E7E042F628B03DB94AD</t>
  </si>
  <si>
    <t>61B3C54D6C673F25C4D5E2D2E6B9F3A14ABDEBBE4074905A98ECED7F831CC5FE</t>
  </si>
  <si>
    <t>CE61BA66682BBBF2EE41E2B2643B1F3E6F45A0E697CA77B0BACA71B0851AD119</t>
  </si>
  <si>
    <t>9D7CD5A880F62EAD4A0320E63BD232B23018BAD607BFDC34C60A3A3F2605A27C</t>
  </si>
  <si>
    <t>FEED24155864F2D0415EEE46826DA82F79636105D7E82DD1413CABA917222637</t>
  </si>
  <si>
    <t>6EAAE1897FD0BC66D4B803A26D2D67D7A200D25F7BAF2280447604D62F2FD92A</t>
  </si>
  <si>
    <t>4E334BEE8FC3E8CF1416E7E2F7F77DC4AB9EB892FCD05AE33B7E003B77267051</t>
  </si>
  <si>
    <t>119A6E72E2269E07BECF90FC3A207635E9A529A0D14A51F54236AC245763FB46</t>
  </si>
  <si>
    <t>434B4FAE6DC4BC30B9F0C982273559084FDB0AA5E73B4B9E1A6453F8FFA64946</t>
  </si>
  <si>
    <t>9C2015240D41ADB56F3BB5D9C0A39D198936FEF11125C85B60D997E0C6362E51</t>
  </si>
  <si>
    <t>60D6153711D0430FD74E719C8A7D309054EA017BDA4069D80F26A95FA16033B7</t>
  </si>
  <si>
    <t>B1A4F796F8B3662E360492A67F383B992191C48D39EAA25244C598D0C02E049E</t>
  </si>
  <si>
    <t>F052352C3B5DE1BB87A57993B36B2B957668E9A1CA9C4B8A18EE5059048DE2ED</t>
  </si>
  <si>
    <t>8C63A340292667BEEE4792A72907A7B6F07BC33F0D4AA885F9AB0AECC59E9A9E</t>
  </si>
  <si>
    <t>802E3590196B1078B3A090C17B8FEBD633C4BF1FCFEC555CC11DB8D3F51072FE</t>
  </si>
  <si>
    <t>1DFE591861B81C0B1ECBAFA316718BCEF508800EB774D724A358D556095F0CF9</t>
  </si>
  <si>
    <t>6013EC0276C6C9EA597919652FC1095C9075E5B383FB0C663BFF4B9BC4581A9A</t>
  </si>
  <si>
    <t>44D570F3E9110F7DBFDB0CF4CA5FD424B84E92EC6F254983A1E6CF5A22DCDFF6</t>
  </si>
  <si>
    <t>B43FDA9927D0CAA1F34E2DF3BAEBBA663702273616DA8B2E58F5FB56AE0FA01C</t>
  </si>
  <si>
    <t>96B29E0BB17D3C3CF88959976495B9C73ED3954A56A7673928F86BD0B9749CFE</t>
  </si>
  <si>
    <t>322C8FD9C8C5B159291F8B9FC1CD712A7AAFA1BBB5492CF4F147825B9494D2E1</t>
  </si>
  <si>
    <t>241602D955F87AEE92C4EA56171935B0CA274248EB1B7A47FFF615E4C704BED2</t>
  </si>
  <si>
    <t>97324526A97D50B543E48BC64278C4393202F285EA61DD23EC5347540C5CEAFD</t>
  </si>
  <si>
    <t>E7A58F84F1A6CCAD5553A6333D15386E4B7F0828C813E8A72D7C1C543D4FD7F9</t>
  </si>
  <si>
    <t>4C150BB70E26526924EA8C7EA3A454B98B0EB435CEED1403A6C4BF29A5B6EA97</t>
  </si>
  <si>
    <t>0F5C84B389263B226699104EBA1D435926293A4F32729D299D5C695FF2CE2299</t>
  </si>
  <si>
    <t>7631CF412014B2D3D4F942A9A0057B822759B5EFEDDEC2878D3ED9B5DFDE70B7</t>
  </si>
  <si>
    <t>10E4A8BB4E6BA8E79CE6502B69F987BAF05E40F657D397A53CEAC0544AF4C6AA</t>
  </si>
  <si>
    <t>D49F35F64FCDC752F1B365BE229B364AE9AA0C1224E994C786872FC39E04790F</t>
  </si>
  <si>
    <t>17D46F93E8F086A2F9D744C019D4191F2064F674D2D1A6DD3583C79A2C0C721C</t>
  </si>
  <si>
    <t>25C4452269132920904B6EFBE55644F63C790C385E5B61B3A70E0F495C2D2D42</t>
  </si>
  <si>
    <t>9FFD5F38FE9BA6ADAE0B33225478CDB154D1C7E47A68EB77564D50606FDE4C3E</t>
  </si>
  <si>
    <t>BCC2DE01827FA8ECDAB6DA0996F924CA1A27A7245AA301049CC2D6C0FFE9F6AC</t>
  </si>
  <si>
    <t>DB24AA8F1645F94FE18C84CD64E989E8ACFB12E984A19C09A005517506DF1EE4</t>
  </si>
  <si>
    <t>B31E1F794B4481A7B3326F8249A743CBF5CA96563EDDF561B3827E4BE8BB7B18</t>
  </si>
  <si>
    <t>B884ECE9231A52462E28A8028AFCD7CDF10C1508D62C4002FC86B738F5F23ED3</t>
  </si>
  <si>
    <t>FACD6CAEBF517F7C144F514ADFBD7FB6C50DF5EBED87E1FB41A1DBF63B662B7F</t>
  </si>
  <si>
    <t>2022-12-31</t>
  </si>
  <si>
    <t>2023-06-30</t>
  </si>
  <si>
    <t>2023-12-31</t>
  </si>
  <si>
    <t>2022-06-30</t>
  </si>
  <si>
    <t>2024-06-30</t>
  </si>
  <si>
    <t>MIN_DT_ENVIO</t>
  </si>
  <si>
    <t>MAX_DT_ENVIO</t>
  </si>
  <si>
    <t>Chaves Duplicadas (entre envios)</t>
  </si>
  <si>
    <t>EXCL FICHEIRO</t>
  </si>
  <si>
    <t>E753EAD1C6FE3E34B696F31B3BA5E9982AD519FF2ACB77C134D146AE9AD1AD19</t>
  </si>
  <si>
    <t>NULL</t>
  </si>
  <si>
    <t>D96E1F2DADF9FB56F3EB80B4A88C5FECBA91BBDB6405B6985FC52326E2C70A3C</t>
  </si>
  <si>
    <t>0995518A03BDD44BB7C7BF0E92E1D020149825B0FB07961855445D58B386D5E2</t>
  </si>
  <si>
    <t>02D0D72D56A62860C5273335380EB9CAFBD8ACBA04E022F66F166FFC85288CEF</t>
  </si>
  <si>
    <t>8CA2F7A1F19091EB5E536E0567CB12E5D4F40801D5151917099D70D685F94363</t>
  </si>
  <si>
    <t>3EB953BB7607341947EDE2F996A7EC18342981971041875ACB9DD8E3F4AB9A14</t>
  </si>
  <si>
    <t>E1B693639C387FF1763C436196D8A52724CBBE7AB047C3172CD2FD3E363E2BE3</t>
  </si>
  <si>
    <t>6F4F7A04F720D019509CA30DCD74934F4053E6D2A0D85428C8C164B39E6B799F</t>
  </si>
  <si>
    <t>E8253852903AFBA2B76D819AFFD8864D04898D0CD9E13E589509ADF6FDDC378D</t>
  </si>
  <si>
    <t>2DCA40410599EDE6774FB94222129186544EF8D30BF223ABE5FA5E02CCCCEB19</t>
  </si>
  <si>
    <t>3F71DD192344DAAD2544BFDC5E68558F91369B9A3332410D91A8DE681405D7C7</t>
  </si>
  <si>
    <t>55FFC25B682A8207F595A4F920D7959EC69C8812B244FB3769F65D5117574E70</t>
  </si>
  <si>
    <t>A8FEC1AA66AEA3FC28932FFF0E78FA5499AEC0FD70896B708307711246114B6D</t>
  </si>
  <si>
    <t>7231BE1DA29EC3EE7F6BB81F5BF1539BB58564DBA33F150F8500AC0302B06440</t>
  </si>
  <si>
    <t>29EE18BEC7E1741E8EBF4B448ACBDE1CF7404964A9692178791C86F7A91E2A0D</t>
  </si>
  <si>
    <t>BA37CF0A502199F95069B902BEFB72CAE040D5344BB4A2F4A32C314F8C8691FB</t>
  </si>
  <si>
    <t>A688679156F2D9456DC615DCCD0DC7C84CEB63D4D514CACBBB0BCAA3C3F220E4</t>
  </si>
  <si>
    <t>26E571BF037F5F195662BE7D0EB2AD85CF31F54AF0E41B5B0118C828F8BBC3E5</t>
  </si>
  <si>
    <t>ABE9BDB87449A3D960E93DAAE05AE588420E9D044CFC5733DE3A24CF19FBC953</t>
  </si>
  <si>
    <t>418E2586467DEB9C6390446AA9B7C59E916BA15A4244657F9D6408FE8D4A2376</t>
  </si>
  <si>
    <t>D7556D10A325521B24C7A09E728E8DEF358E7E120B9B4654A1FB1101AE397D9C</t>
  </si>
  <si>
    <t>79E98C36202CE980D9DE568BE63E4D786EACE4895A121680074499A61CC8F024</t>
  </si>
  <si>
    <t>E572082A6C21FC4760B3531D59C9AE11A85E245095BE5F2E2F519DA90EDBFF1A</t>
  </si>
  <si>
    <t>5796B7A13CA3955FFAE8E6DA63C2E7DB623C40926E685D66698F037379687C99</t>
  </si>
  <si>
    <t>5B6FE0B6F37C2D3FB7D9808AF3D324D40BF85C3CFF96E2EEBBF7466114D32545</t>
  </si>
  <si>
    <t>7F8FAF39A475E1254178EEE4747F1978D8908292B233730F3E4F0C94F6AB2AF6</t>
  </si>
  <si>
    <t>D8A40B0288176FC11B91BE664580DDED3365D8738CB14DE55E3DAC01AD4F82C7</t>
  </si>
  <si>
    <t>C5D2030B731ABB1B80E8815EC44435F77941D743D6848649DEE576EE1F4DFE0B</t>
  </si>
  <si>
    <t>FFFAD42CFB6B4C53FAE001F699F0A097E070B29B63D5EDEE0C31C9C997C13174</t>
  </si>
  <si>
    <t>3854984644DC14291BEA92FF29E3C89D8820DE09C6CE60D673F955F682A98C63</t>
  </si>
  <si>
    <t>B41B2591FF90B4C5C825D96CB46EC3C5AF9A75D2D9FA1A403E0A1C629AB8A025</t>
  </si>
  <si>
    <t>8ECF2858AAF472A064B319230CCC664A3591683B55BDAFAAB0C944B270495626</t>
  </si>
  <si>
    <t>C73436FF8A96EF6A176D6C046AE06B55629EE83216A325904E43A5883D1467BF</t>
  </si>
  <si>
    <t>601EFDE511C987B8AACE609F3D45DB041955BA131F8BEE8919753568E4E91AE2</t>
  </si>
  <si>
    <t>6451918786077FED64398D2B17C9FAC570E44CD001666945EA9A6348755E0238</t>
  </si>
  <si>
    <t>91CE230E5EF69976A93F40695B904B07FFD2E1305DC397C46951F445DC197E5E</t>
  </si>
  <si>
    <t>1ED119EC7733A2C31E9A8BE5835806211C9C1001A269008609B4EA9BF1EFE198</t>
  </si>
  <si>
    <t>04551F14BCCAA0326C541819135046D68323F27E2B9A190EDD37D11EA054DD5A</t>
  </si>
  <si>
    <t>AE93CA7DCD847E427B2FA8C005CA38BC8A376F22AC6AA15C8C4915E1A73D4755</t>
  </si>
  <si>
    <t>3759BCD4E762433AF130CB7014A31531C3A6E87EE3091730FB0E6E74E5433F41</t>
  </si>
  <si>
    <t>422F728A9AB9C57C44E1BCCE92E889FDF14156DAA6D0553C4A2DDB20DD4260CF</t>
  </si>
  <si>
    <t>492DA4FA4DEAB61AF04CA442E1A7B901E9016524B3CCC1890EA678DFF1B4066F</t>
  </si>
  <si>
    <t>6D525A3BD49C7EF8A43036A443581AF3DAB926864FDE42D15B12A5E203C877F1</t>
  </si>
  <si>
    <t>6E058AD0AFEBC1B3CAA51BFF97FA9CF89DF83F287DAE487122C8C7363E1A23FD</t>
  </si>
  <si>
    <t>FDE16C2CEADB306FA75E5B96491A452ED060A5A03F9E256CE3C7D735CA146BA5</t>
  </si>
  <si>
    <t>FCFE825CBB1C4C5A80EA8CD3A80638B6F652E140F8C3070F5D69885E67F754C0</t>
  </si>
  <si>
    <t>FEC07DB1573199E811FB7924E4E2C294814C540165C313094E150AAFA40384AB</t>
  </si>
  <si>
    <t>7DDB78EC87DBDFEC8428EF965F528E3C00D2BDD565EAA9CEFA0D1F208C7195F7</t>
  </si>
  <si>
    <t>BF8C6AA6F00C5BF97CF6689335A15FDDD15F9E845C9B1268933F87CB8FEE4B53</t>
  </si>
  <si>
    <t>C953AA841CFC953359D6E51084246EBC2980A364B0C8B39BF8E311B390C092E5</t>
  </si>
  <si>
    <t>E8AF711F83A261D3B1C3F93C9D6FEFF71F0E72B7EC6AEDDAD2BE6E133436D16D</t>
  </si>
  <si>
    <t>F6CB2F6E548A56BB3DB63A0B7D3CC6B27108B9350C4720EBAC0A004AAFC22D6A</t>
  </si>
  <si>
    <t>72CDD97D2B972D5C572E8DD3CDB9BEA8A6C3AD0947A41FFB234BE42C518C2AFB</t>
  </si>
  <si>
    <t>FD0DCF99859A4E50AB5D6BBF8DE7C856AE8723B08914B72C94C51B2EDAD0A06A</t>
  </si>
  <si>
    <t>14E8D0389DD87CE61853D280E59775918A2DE53E92F3B006020DFDB5D63F4AA3</t>
  </si>
  <si>
    <t>F54B813DA0DAB1890FF3ACDAE2248BF22AB74A6355767B9D59B98CCDFF069202</t>
  </si>
  <si>
    <t>340F300B61BDF4A0F5B6A40D85718B95C61F6A28FB73014DCEF346C2BA0923DD</t>
  </si>
  <si>
    <t>DA5FEE8BC424F70D61648600DE2EDF190953686B3DD801A319AEA442A14CDB8C</t>
  </si>
  <si>
    <t>AA68AAD0EBA577D9E6BC64B176525CC727AD6CB35903C2268D720A9F844E1ED7</t>
  </si>
  <si>
    <t>19A57409179AA82089E3F8E90865CEA88D17299374D8BAC0E8B068CB66DA886D</t>
  </si>
  <si>
    <t>F248168D1A5A8DBBD89DB6D6B415C5B8AEA0893F538B86F2013E5D74799F8480</t>
  </si>
  <si>
    <t>5061B48150C44378DF93CE3084400032FFE3BD70811436928578A0D5025B82D3</t>
  </si>
  <si>
    <t>9A05A54E26D33C9004134FB2F578803F196F4C920119C20618266E972FFFFC7A</t>
  </si>
  <si>
    <t>6B77C9781A042B5A0E0568A5867F85D2AB30BE972B342B09BFF20A4E14865F12</t>
  </si>
  <si>
    <t>AA2EA1E105900CF5D3CDE84372C7FF3F37EBCA26F12F49E5FB627A32600DF579</t>
  </si>
  <si>
    <t>4E2F79B4491731156CDD12C0B5DD677C0AE4B88C620CEA45B3C9E7DCF3891E16</t>
  </si>
  <si>
    <t>700E5B6BE3BCAC81AA8A6DEB64A4246839EB8F999D43334BA90C6A5200A30204</t>
  </si>
  <si>
    <t>29E9D72026884B6041C491410964985A9348FECF077D39BBD698AF4209303F18</t>
  </si>
  <si>
    <t>25C845FAF2AE029E33C75FC6F6E4AA476C9B7C011971D52833FA3E685A4FAF3D</t>
  </si>
  <si>
    <t>B63BD58FA4762E93EF1C8826CFA8D7814CE1AA835C46E8F3019F5EB59A519115</t>
  </si>
  <si>
    <t>CE12E1AD66D92DFAF7DC545EDB2C93C766F1ECE93DEB864DE464D6A3B99145F1</t>
  </si>
  <si>
    <t>4276EB45EFBA16FE103624DC1F235C0B3452D2D17E399CB325DF842ACBAF170C</t>
  </si>
  <si>
    <t>8F6670E00251BA8AB5052EBE5C48FAA13E6E98D3E097111B7D0AA3B13C943527</t>
  </si>
  <si>
    <t>04412937C1BA0EFA55CF46EC4C1A20A3017DEA5751D0C8603430A0B075DB5ADF</t>
  </si>
  <si>
    <t>90C0ABCB132513E9F694845B57F3B5F1A634935096110BE8DB4C18F2FFC5208E</t>
  </si>
  <si>
    <t>3751DDFF28E5BB0B56814CBC114F421AB5AC98B3CCEA40476C0C8042715EAD51</t>
  </si>
  <si>
    <t>0BBE8450B1B4422A0593B3F72505CBB6999A2F6B046A05DA7BA828A34D29D673</t>
  </si>
  <si>
    <t>E2EE9D5E2E10DCEA4DD4CD4101185B7D2600A953EC17E869AFE861056169D81E</t>
  </si>
  <si>
    <t>97BCEA98DAFC1F90DDB71AF6DAA60EB9A9215BA9C627E735AA034C6788B28971</t>
  </si>
  <si>
    <t>80556064080F42B69BC08B2070680446BEE79E4B4B3BC91F9348857AFB2D7AC3</t>
  </si>
  <si>
    <t>BD78D7B200E7A45841036C96A5293FC1C562BCF6D223C18860FB44FA36EDDD4F</t>
  </si>
  <si>
    <t>7D5A990AE83C19D3DF6CBF5BADB133ACC3602BE6DD070923E3B2B9805A9B2F9A</t>
  </si>
  <si>
    <t>13F45F465B184B707FD3A66109FDB077183E499E24D8FAD30D35E26025FCCAF5</t>
  </si>
  <si>
    <t>E527EDEC9DBDB21A4590F1097FB405C959B46526ADE7010783A73C975F4128F1</t>
  </si>
  <si>
    <t>DF910CA9017829D6ECE48DD66E3AD6C676F042A66182654116B56FB9CF5A322C</t>
  </si>
  <si>
    <t>1AA1B109F19C95DB8743DDFA046996EE7F09D51D5CA19F406CB3C2599E9414A9</t>
  </si>
  <si>
    <t>03400A1880BF70B81BDED9A5CB515427EF24CBBB46CACC9A938D16D7640A599C</t>
  </si>
  <si>
    <t>EF1F24D243C78313403FA3A40D806E3188CE196989BFCEB00D9CCBCEBA6BCA7E</t>
  </si>
  <si>
    <t>7A3078EF5037854ACCC1FEA22E392C1038A80E441DDC12C758D493B00444C7D6</t>
  </si>
  <si>
    <t>E0E396254A336AF01A2AEC28EEF3D173ED9ED645FC011346B0D86BC00DDE039C</t>
  </si>
  <si>
    <t>76FC4E8FC5032A252628BFC3A10F60F66059A1E7B34F3A45CF2CCBC8A61126EB</t>
  </si>
  <si>
    <t>742F2E7301ADEB4BABF1248FDEB4FE91680B0785289CF887B28D1E4619E985C9</t>
  </si>
  <si>
    <t>4A50E7566CEEFA34D6DD1CEBC38B8A163141E1C681A6FB981B6A2AAD6E9E32AE</t>
  </si>
  <si>
    <t>9A85BE8D0B8F4485C7949B57613AF03F2FBFB883DDF9E24B3AF48436C7F3D3D8</t>
  </si>
  <si>
    <t>B44040BB87B1C2534E05D4E6DFAAE024105C021EE3FA0EDEDA5105D47FD11690</t>
  </si>
  <si>
    <t>605468AF3286713D246EC0C146E2F790E0B0501DDC57F553CA99AEE6AF2D9CD0</t>
  </si>
  <si>
    <t>9720FB6171AB2E52296BFFCE9EBB66C5CE1993186C7053833F39EA5A3A90B8B8</t>
  </si>
  <si>
    <t>EBA9A868A209A2EC77DDDB003359EACF57899D39C4E54D3F4EE81384DF84A543</t>
  </si>
  <si>
    <t>BCBC3E7A7B8CBE61C1B67AEC5971A804796F21CE7B62ECC9DF54ED150337F19C</t>
  </si>
  <si>
    <t>A45B72E3C4495492AAAA547DB92870BA171012C0B67F5CB210D99FB78BC13C8A</t>
  </si>
  <si>
    <t>80C63320D288C1B832D7AE2ABA7DA70B4479DB58FC32F39A00E88AC02E6D48AB</t>
  </si>
  <si>
    <t>875D888CD33ECBDF7C94F8B6F9BDB98A1413430A998B618A0872428EE80341F5</t>
  </si>
  <si>
    <t>5C211B40E7BD108140F21519AF677A57E2FDDB0AD2497F17F9892DF198C72A93</t>
  </si>
  <si>
    <t>2929DDBA34360B2DBA7EB882B08C15A5862223C5CD9AF488836E59A0BD904C4C</t>
  </si>
  <si>
    <t>4906FF5A7F1A4E02CA671D03A684F721D4B573B878ADB6A1F4C6E7F6B7238DDD</t>
  </si>
  <si>
    <t>F5089A12E0938661F44FFAF9FD680C5F5C040FFB130E7AB0CAE6A81DC39FD82D</t>
  </si>
  <si>
    <t>487CD3810C2436DED600234F3AEB07766396A573526506A1C2F8299CF0390BA2</t>
  </si>
  <si>
    <t>6233293B87E5C3FE97B63E617DCB65FBABEAD906BE1947090D075B2F48A6F355</t>
  </si>
  <si>
    <t>69644275AD1DDBA29AC148FDA5C27C55757F1D3A301099548D943D0EAB69BAB8</t>
  </si>
  <si>
    <t>30ACFEA817916AAB655016F61E3ABDB045F55A25C5931280542F592AEA554C1A</t>
  </si>
  <si>
    <t>8020F1BABCF78E1D726591008AEE9EBF4FF7EF3F788CA11ADCB9F7CA0121DA33</t>
  </si>
  <si>
    <t>B9CD1128EABA2921B12BA68B9D1578559B21918F610CBC0EB4DF35378F20B2B9</t>
  </si>
  <si>
    <t>39C0D348833F1C08FD5C44CF28A4D536F17A3FB0E96D0CE2FE1B6E211A160C2C</t>
  </si>
  <si>
    <t>7AE9706C4B8545CD9E82DA0188DE01976C02B3086435A7751FE3F47E5DE8E22D</t>
  </si>
  <si>
    <t>120339C8203C5EB31F802E67ED0DF9D47386FA2F81506DDB9D86557FDF9A2E9B</t>
  </si>
  <si>
    <t>DA9F9729441AD9E8C5C509EB2E4B3E7721470CA38F871464F710BA89E898DBA5</t>
  </si>
  <si>
    <t>8C90F86A5785867AC07C9D48BF0D9DA5CC65E771AE71A7BDAC2AE89FC4F54CDD</t>
  </si>
  <si>
    <t>AF8CE3D6C7BF46C765E55B9239219ECCC375695C1EF2E4D21C4E566F3E8DA1FB</t>
  </si>
  <si>
    <t>77C49BC135740B31C62092609DCDD0BD28324FFB00FB95E2D025CB5F3CE18228</t>
  </si>
  <si>
    <t>75766F8462066F7DED9B1B92CF8D26A34C916DEE970BAD3A18E94D321DC53E96</t>
  </si>
  <si>
    <t>585B2C1E8A3BC6E7F7610FC89C75779D19AAAF1356F9B6B8B3EF3FAC5C50957C</t>
  </si>
  <si>
    <t>5E405F5475A03872CC67C189CB9586AAE8D46A43EDFBDE3AFA0902AB7398A09E</t>
  </si>
  <si>
    <t>F9CAF66F8C902BABDABE9FBD7F9EFF63BBD805108411CBB3A213A51E54677224</t>
  </si>
  <si>
    <t>F59C9A0E6782AF6220F52383B781C3C7EB1C97A8D34FED4CF6A1E5D1E2A5CDC5</t>
  </si>
  <si>
    <t>CB17E2117A94ECAFCD0757AF732D93CD7CA7D9DC132DAF4B958144144120377E</t>
  </si>
  <si>
    <t>E8D6B26BA1D6D718B4086E77963E8DF7E9B83934090164FAD6674E9260261E0B</t>
  </si>
  <si>
    <t>9F181255D429A9C81D7C51F3339A1CE64E04FD79FCADB1717E73EFFA20F16042</t>
  </si>
  <si>
    <t>ECD47E989CEE3ED5BCAD4313972DC594B8383CB91C4E75FF152653E07041F1BA</t>
  </si>
  <si>
    <t>6410F005784C8510FD4D991E4C5988470F39EC7F8D5B64CE90FEAFD530E51DC1</t>
  </si>
  <si>
    <t>4FBBD7794EF8117F2E6161B88B3787AD7ED9667C937F8A0B8D01657A89A2B0B2</t>
  </si>
  <si>
    <t>A36C813B80E9681F91BA689AD99DD6E6491A399E7E0EF38774D8C378C1EEF852</t>
  </si>
  <si>
    <t>5E51DAED2951F72B258556FEE612ADF910F9455732F1201A3D66C41CC5E3BA90</t>
  </si>
  <si>
    <t>25E3522517F34927CF3C47D2945BD638CC5DF3E34B1C830E2CB59333F26D8374</t>
  </si>
  <si>
    <t>4C6CC160AB51D83B45BAB9EA303FC9CA5F3503B0D9B67E88533F2A7A271F8ED0</t>
  </si>
  <si>
    <t>9753155D1CC1A0DE7637A22AED9E481BC3EA528E61F5C6A2C117FB93D5015C99</t>
  </si>
  <si>
    <t>050D29833611E3D44D432CA97B0812725B3ED1042F72C4DB97192CDD65B7182E</t>
  </si>
  <si>
    <t>5573EC5E5241486014390E81B09F440D9F0BC624B5DD67C7030E6068A164110E</t>
  </si>
  <si>
    <t>D9FB9C36D9465380816CABD67DB4603EB7BD5D4722CCA66F6177E42F3FDFDDD5</t>
  </si>
  <si>
    <t>18F5B714EF1C9E8808C67BD354381522F33739DC94E85CA1E525AEF625AEFDF4</t>
  </si>
  <si>
    <t>A432788B8B9D5CAD253BF664E7518348A60A9D2FE3CB3BA8FE6B0B716C7CBCFC</t>
  </si>
  <si>
    <t>3657395A270E044353190BAE7989977130F1E91EA6E1FE509E3B488BCA628695</t>
  </si>
  <si>
    <t>854FB661398D2539834903112136C243DE62682F0EDC94143015D60E9F87847C</t>
  </si>
  <si>
    <t>1A862BF27A8A5DB1A7D790E5BB64241240CD5F73E607807716DFB3EF37D21010</t>
  </si>
  <si>
    <t>3407922B185220E56D38331BE7A24AC292F6ACB81D3A3CEC733A2DBA430AB20D</t>
  </si>
  <si>
    <t>D4FE4E94B965C7D70D0EE90D92F3B4050F332BFE51A2692C978C424225D13472</t>
  </si>
  <si>
    <t>D19891BD2C0C573E69EC46792E6719341515E74348BE56A38CEF8D73B8D7FC98</t>
  </si>
  <si>
    <t>02908D9F183399C1B53899450A2E0FAAB98A2420FC187A03585B96196ECA9CCA</t>
  </si>
  <si>
    <t>26C2FBC077279050BE3E2DA275C460E2F84D196DEDC4C96900FB0ADF7F6E02AF</t>
  </si>
  <si>
    <t>5858B55A2F19E96743566DA2EDB7DF60D09D8178D83D5973523C25066DC702D0</t>
  </si>
  <si>
    <t>1B0B0CEB81083A5DE5C7757BF8D1F4DBD25E28290741ADA233AD06C626C45F85</t>
  </si>
  <si>
    <t>6DD47FE07A67EADEE1C532E8DD4334560253DFA993988C70600EB830A7FAC8DE</t>
  </si>
  <si>
    <t>1EFFEB7EDB46CE09D8CC12C53BCBD35709934DAD2A5E1911BA873091C1D78D71</t>
  </si>
  <si>
    <t>65FEE231342EC1BE39023EF307A885CACAE59DFB74D5BEFD63F101B8E99B5728</t>
  </si>
  <si>
    <t>661185B590E18DCB136D70DD5B9CFCB90230E8FE695EC84C3D82953C4EC2DB04</t>
  </si>
  <si>
    <t>65A38B1D4C1B47A6B0B6633B2DD65DD857C8517BDE87647FCB1AC8EEDA1A811B</t>
  </si>
  <si>
    <t>61DAF192ACD5EDA0EA3C527E1111D73C5AF3164A0863AEAD2505841497B89D45</t>
  </si>
  <si>
    <t>63C9F4E5B4FFAA03792E858BBD0AF131AE35764743F12B4FC72ED02BD5A2EE44</t>
  </si>
  <si>
    <t>7ACC3713B21480297AA60CC496BC3F796B4CDC236EDCA25F0F3B622028BE19BE</t>
  </si>
  <si>
    <t>EECEDED5B902027B28B245156CF140453811173C50161BED10A0BC27923AC99C</t>
  </si>
  <si>
    <t>939C6D5C5846BEEF0A043F5A0C9860F61A5F7A014F86C13632463CDE5B4313A8</t>
  </si>
  <si>
    <t>50D28B80767069B5A380C72D4E364F72FA3397995FE2D12B53B7677EAA05E873</t>
  </si>
  <si>
    <t>33825BA8F44FD0B456817783D82CFC89FC5DAC65502A9F516D8BE2E4E0370A30</t>
  </si>
  <si>
    <t>DCC10CBA852E1118F0C88BDCA3D03018B65C19FB20DDBEF26F1A58BA6A78DCE7</t>
  </si>
  <si>
    <t>5E46BEDA568C329CC3824A2C56B944213CB575B4C100303EF3FA458AA55C089F</t>
  </si>
  <si>
    <t>7A6FB0086E16E914BF42D411A893172B6BB9468F03ABA6ACA08844FB18F3882F</t>
  </si>
  <si>
    <t>C5B225B454E876E055CECC533B31AA2AC5FBB23B234F7A465DA57C848A93FDA6</t>
  </si>
  <si>
    <t>F286ED71FFE742958381A7B783229210EAA49E6D4A3CD820603B3F681EA1482E</t>
  </si>
  <si>
    <t>0CC50702E733CC88A1666D9F9FD957B2057EBE635D468F72B61CB9222CAD2B99</t>
  </si>
  <si>
    <t>4CB5213F6E67E93395926E76B922DB3C51B5AF10DEEFAC5576DD98802DDF87D1</t>
  </si>
  <si>
    <t>CF82A8D8FD960779F01BA3C99E374BD4904B3B8A9717CC51BEA5E59E62B3C8DE</t>
  </si>
  <si>
    <t>EB6C30B56F11288E18F2C3EF1B8179905EB4CAF2A7774724F4698FF49EE79B6E</t>
  </si>
  <si>
    <t>7E8D77BEB8325D714260961BAA1E8A089C86C319436B72FB1FADA984216AF63E</t>
  </si>
  <si>
    <t>BB32437A5544A920F875982A4BC415B5ED04523F9EEE363F31E2FA18FDFD29DE</t>
  </si>
  <si>
    <t>3938976D7F9A7420B13659E984E06D990DD794CEA10C104AAC1EFE318F25A0BB</t>
  </si>
  <si>
    <t>141669EE9E6591F0155D0EBD2E3BD588E394CCA2405E1EF32E85C9D473E5C279</t>
  </si>
  <si>
    <t>60BFF6DB6F40443F317E46D17542BDF39FCD21B46AD6D15E701936109C81F710</t>
  </si>
  <si>
    <t>D814ADDB4BF5AF28B133D4EB9E4BAC86AA230C4980D09CA0134F167CB3AAE0DB</t>
  </si>
  <si>
    <t>6B67A37CAFC478290AA498D6F009D9B924CD8033355E7AC6AAB0BF7039BA1104</t>
  </si>
  <si>
    <t>CA8A9F686B9021C64E837BE5B039DC6CCB3DACC9368F8698BD2AD66656ACFB08</t>
  </si>
  <si>
    <t>148CC0A72089457994DB476D66EFDEEADD81F2485ACFE3201B87025046DA6222</t>
  </si>
  <si>
    <t>B5E0E237A0BC98CFE2A89ED896F70A99D87559AB0A93B477401DDC60B467D1BC</t>
  </si>
  <si>
    <t>6FA78774016F123558CFD122A363C7DF033C7BF99BE2BB14101F298B24238D3F</t>
  </si>
  <si>
    <t>052E34CC0F511D92B136DE2A9A234639A86CD3CB2010AC58F24EF15B9050B6A5</t>
  </si>
  <si>
    <t>54E06E5453F13BB2C27A8CD6A0643E65113516B767E358DCA2FA804EE2E8F29B</t>
  </si>
  <si>
    <t>E6A0A807C05273431EA54905299EAC9FA2CB4752C7E1DF586C6D37D45A21962E</t>
  </si>
  <si>
    <t>DE1103B4DA5FFEA8F74FD8F88AF23EA4C06E8C666F7ACB2334B5C0F1679370ED</t>
  </si>
  <si>
    <t>831E20450324266248D4555F98C9DF400A76B1793103A2421E6C8FFB3761F0E3</t>
  </si>
  <si>
    <t>2B0322A10AE159686CD509DF96D8DD88775523885F0FE1CB543770C060D1867C</t>
  </si>
  <si>
    <t>8E234ECD46A5B8A5089EB0920767065613A9D15B9DC3ADDFE845E79F070C267C</t>
  </si>
  <si>
    <t>B53F8EF5832686BB023F09AB1A426E9910DE2B9E0AAFE8E53FCF5C28C3F240A4</t>
  </si>
  <si>
    <t>87C37F038B4B10E37DA0ECC298A4B91830ABBB2CC0BADA51A1B9E536868BAA44</t>
  </si>
  <si>
    <t>78C9950AE94587ACC0754B1C927A929FC9CEAF23817AEEC27DC28B0004CCB9C8</t>
  </si>
  <si>
    <t>B47878319B4D239236156A5F3EAF054217294A516A35745C3D8FC364A5A0E4DD</t>
  </si>
  <si>
    <t>E7AB091ED7DF0C16488E770B608B0F56B931FB8BB3C6D44A39DDB345B8FED426</t>
  </si>
  <si>
    <t>25117655DECFFA570497D5AE4B70D907B7AF0E12A0786702A366B99742EE65EC</t>
  </si>
  <si>
    <t>ECA0545C2FE3CF21399E9C628656297AEAAF76F27A84BE002909F79391CA62F4</t>
  </si>
  <si>
    <t>67BD9CE6987DC1DADEF5565AB5C8309B9B7507F5EF8F0FED8BD3A779169E7AD0</t>
  </si>
  <si>
    <t>518638C62F5A8FADA1EE9AC469FAC35102AA6F1318F1A8688A6CD7332F2C15A0</t>
  </si>
  <si>
    <t>7D9DBFA4712EDFD0F38EF6F75199B2F705DCD6802100B2F3B458D5F817B47F03</t>
  </si>
  <si>
    <t>6EF804D47E50A8E216EEEC8867829C7A681B05B53D343CC148520C356C91E484</t>
  </si>
  <si>
    <t>CEEDA58C67DF0810787BC7B802D65306B6F38D431006865B084524BFA8BF797D</t>
  </si>
  <si>
    <t>6F6D2EB96DFFA6387B687E8390153F2994B9142C4739FF2EB00C7C6ADF5F7FDD</t>
  </si>
  <si>
    <t>37FF144A2A09E7237C1A7DDCC3B0C28C9FD7EAEDDCD8961598DC50EF6479C4C7</t>
  </si>
  <si>
    <t>4FEA22DDAC1A279474B976850CC0B1121503917F1BFEFAF9D56E926CF10B77B0</t>
  </si>
  <si>
    <t>BBC409EF3F6C6C1E9D6FA3104BCC8E1A4183E6BBA36957D21CF60E6029FD6262</t>
  </si>
  <si>
    <t>2A46E5A6E92C319B305C16C7588A2F1152D0F7D01DFEBB4AC0050318FD5B8FB5</t>
  </si>
  <si>
    <t>910635D6289F96FC4FC9100FE429AB6ADF0EE73A95C75D083DA83781DE2B8D57</t>
  </si>
  <si>
    <t>07BDB903D4A5C36BC070D80F09690C894A1BBA09DDED5B26A6A2C4C3295B856A</t>
  </si>
  <si>
    <t>41831A8C671AB44187E2A8059B18C0E6307782C75BEF44DD9F2A719E336E17E4</t>
  </si>
  <si>
    <t>7D3613EEC07F278B105FE185555B9E24D8C20D299BA7C0E3144AFF5D4095750B</t>
  </si>
  <si>
    <t>F2EECE10B9873F37378E325A40B1C2D7A29452AC1E45322D84BAB134EA702CE2</t>
  </si>
  <si>
    <t>32D0021C49BFEB9FB3551DAD72B1655C2735A4BDD4055D5102837E22957C7EFB</t>
  </si>
  <si>
    <t>08C77AF8A53ECE5D92E3B0CFADD62E3FD81A1206E8D6F284C42797167AA07127</t>
  </si>
  <si>
    <t>4A4B40330DDEBD8FFFF6D7FF6540597E03398BCFF413D6427C525B46D9B68471</t>
  </si>
  <si>
    <t>57EF3215C72581C995130317EC7FE11ACCBB13CE3656FE948ABDB9CB0A378592</t>
  </si>
  <si>
    <t>89D1DCA87136980357AC740C1A4AE8330C728511489E0B8B74AB509A95939E1D</t>
  </si>
  <si>
    <t>2482FBC6E69BEAB515784C33D9F5AFD96D4A9011C96A833F2E947588A9B7A66C</t>
  </si>
  <si>
    <t>91032080B102450975A9039D201CCAAAF0C857CEA6FEED8A681207BA278BE331</t>
  </si>
  <si>
    <t>A2A29D305684C6917E94DEBA78F696901FE1D3B1D172596998D3A532F3E5CA7E</t>
  </si>
  <si>
    <t>66D71CDB6E9E97088EFE86C14DD52F8FE0D9028D478FE24D01B97A128D7735B5</t>
  </si>
  <si>
    <t>9EB8D8557BAA0D7392008DEDA264DCA1BD239C9D2FD9F004AF4D7335531FB518</t>
  </si>
  <si>
    <t>3A7C12C853A35CF9C7B3A7303A9EFE39B598338E755F62EFC73402F19906E6E4</t>
  </si>
  <si>
    <t>3A7AE7346E5AD845C2792252243737E85625CE2099828772AD2966B9F4F3BC8D</t>
  </si>
  <si>
    <t>301D9D3DE67EB1474247639D8C23E57AFC143D7E6A847578D2708A2A96CC3E86</t>
  </si>
  <si>
    <t>EB30FF4A92872AEC4F977C7AE6562538F2B6BEF09E31614B470105C34F95AB1D</t>
  </si>
  <si>
    <t>C76E9CC8BA2DB2E377B4D0FBACE4FC45F437088C070A6BC9E98CBBB72001E33B</t>
  </si>
  <si>
    <t>024720B9727B1B9759602CC762058631A29487F56710AF9300FAED632AB381F1</t>
  </si>
  <si>
    <t>D927DA65CFAE270073E15D49B3F177D6ACE1CA42AC0EFFD598F185378C183018</t>
  </si>
  <si>
    <t>0E1F1941ABE9DC2BA2E19ED6AE4F75E4798415ED84706B6C3E68481FC4C9B4ED</t>
  </si>
  <si>
    <t>90FDD0635D55B2ED9AA6F1720E8871781F2E285FF1ACFE9B699449366CE1EEF3</t>
  </si>
  <si>
    <t>EF1BC0D19B9F1487851807C0F0215F76EC1E904E6E3EDAC10C4024D52738B3D3</t>
  </si>
  <si>
    <t>17F2A6BC59387D7ACD02D369EAC0ACEEEE5F98CBB431C4C6FF2E960CAEE8EDA8</t>
  </si>
  <si>
    <t>2B6CA42EC6906BE534D8969916C8E65F2D8520EE75091A12B7C6D12364135649</t>
  </si>
  <si>
    <t>C87C7EDFC830DF06B31629B6D758EB6AA752FFEC89D8D70D034BAC3DFFBE2653</t>
  </si>
  <si>
    <t>A117AF8D0E79F1724C735A02E9DD5CDA85123514BA79FFFFCF71B030CBC6C0CD</t>
  </si>
  <si>
    <t>4D29E3E0F42CC2147B4456A32CE33F83B0C643DE2C0A8A2911A9A95A75E5637F</t>
  </si>
  <si>
    <t>035C7ADE80212E8930ED612EE9268311CAE9707D271D2E6546E5B5FF6120F98B</t>
  </si>
  <si>
    <t>E8425505FD0C06C2DB2B4BB99665441746383EBE958177EAAFAD9676FF8CF30D</t>
  </si>
  <si>
    <t>06B74650E19D0F8A1ED3F6014AC6A570A901689248C4288B439AF903CE2DE0C9</t>
  </si>
  <si>
    <t>926B3ACBF8E8D3230306893EDDE5149962C624A26517F52E557681C28AA7E6A5</t>
  </si>
  <si>
    <t>355B1DDCA4257C4F0743066076738F05E231D88BBCDD4FD7EC0AA7AB49D441E1</t>
  </si>
  <si>
    <t>6590BD20376CF191833DA1C7E17242C80F7DD2D42908883A7ABA77F6EB27C1BF</t>
  </si>
  <si>
    <t>E410CF2DFD38D72A2B50C8B9BE5C0032C67116D26AE5B53AAEEC6A77B89E72BC</t>
  </si>
  <si>
    <t>D34604FA6A72509B8DE029DFA264B62ACDD39B209CA1C1B4626759B77A63F403</t>
  </si>
  <si>
    <t>55115EC63F2CEF055F00CD1348F404E3BEC33B478FC5EC867362247F4D9A5973</t>
  </si>
  <si>
    <t>A75236ABC2FB496EE150F1A9251D75918696B9721100685C2DA265AB2F0F93A5</t>
  </si>
  <si>
    <t>09B6EE8DD7548506B4CFCE39099B62F12E885468EC71A954F7D19F68727B3E1D</t>
  </si>
  <si>
    <t>256632F1F4ADCB5F2E6268E385089F2C4FD1391A4ECFDD5025796838A2F9794E</t>
  </si>
  <si>
    <t>43FB28E32230B5B48E4DDA55B35283EC085848EC0954FCA3482459572BE2CF92</t>
  </si>
  <si>
    <t>BFCF71DC0028A21FAB9C62B748B6596A563B197E007FD830D6AD130FBB5E8733</t>
  </si>
  <si>
    <t>269D99FE2100D146137B25D98186402F6E5FB9E53ECF9F8149E310B3FC8915DC</t>
  </si>
  <si>
    <t>4B844D9BEB9914EE74E1C3B6D063B0DF02CFC71020B5D67F19957D42A3919445</t>
  </si>
  <si>
    <t>A23D130DCEC684072083DD86CBA7A2C51181D7E86DAC9DEC4A0F06C1E0A2716E</t>
  </si>
  <si>
    <t>FDD8D74F33A6F3BFB4B661C99D20AB9F34E8BFCD9562F7E7D456407B404B1EF9</t>
  </si>
  <si>
    <t>A05FB14844E2525D7D00FB0CC0A98297ACBC223F54F2D28552A1F44EBF9F5FEB</t>
  </si>
  <si>
    <t>8EA6B125D1FB2CDB6422B31C00190E69B75CDD34DC8A08248DC669E5ECDE591C</t>
  </si>
  <si>
    <t>91A9D6F63EB265D47C5AC9102E40E280086F7BF438C724F06B87DC7D2943EE9D</t>
  </si>
  <si>
    <t>B8B8EF285B3C9F06013757DDECD5140F816C8A0250DF92EAF01E000697A1B88E</t>
  </si>
  <si>
    <t>BB7D55B4B699B2F2B48AE9DB6BB957EF8F42A0E044B9C8B330C178FFE0BBD3EB</t>
  </si>
  <si>
    <t>262409C9148FC2E26EB1352594BE4468EB03BC74892B59B59D64B8A5D2529B22</t>
  </si>
  <si>
    <t>C0A97DE87E847D4EF7137D17C86D6A76F09F1A013470FA693B2FCC77A1A14576</t>
  </si>
  <si>
    <t>C75142E05BE220E7AA596E34B7E479C8DB81B7EE416DBC1EE9406FFD41DA3E22</t>
  </si>
  <si>
    <t>9608BF7E8F235B65956E9CC9361DBF78092132DFDB1AC82D9FE011A025545307</t>
  </si>
  <si>
    <t>9B4C55F6AC5E5DDCB3CE7AD5C7860E6A15F4BF0CCE6B281914B06A30C8F31E39</t>
  </si>
  <si>
    <t>340ADD41DAE60EA87C886DC1B434C8359E2EE075D1EE65CFE22F6F2D703787F5</t>
  </si>
  <si>
    <t>4012A8441B8501B9FBCF8A65D16069CCE3C8267DA501C2F9C3ABCD226DC5D7BE</t>
  </si>
  <si>
    <t>C5DAEA2FAC3F10C739800CBD69581BEE0384BA55AFED6C8D533171FA3CFF2548</t>
  </si>
  <si>
    <t>DBB623FDDF9756B634A69DAA934A8CBE30B0FD645352F100948C6C7BBF591F91</t>
  </si>
  <si>
    <t>F96D21B13899AA5013937DA3460DCF1B5C3C8781358E6E9B5569815ECEBEA72E</t>
  </si>
  <si>
    <t>D6E298AA896FAE4BE66FBB677CFE30D2F8169602F49938F25A7AA02A147A1939</t>
  </si>
  <si>
    <t>B5FF3AA1991A66054150B3F6D82E136FAB567AE498ADAF93518A38264052A10C</t>
  </si>
  <si>
    <t>B1EE7BAD7E0454A135428FD202F5AFFC7773B738842997ED2F553212313818F3</t>
  </si>
  <si>
    <t>D334067930A485F3EC4E2493E76DF79FCA7719794D66DC3B40D607B7A6DEDAE0</t>
  </si>
  <si>
    <t>CB2198C8623ACD8852CD9D18707F17064C56C03044DA1A63018E22ED472641F5</t>
  </si>
  <si>
    <t>89E2A3ECEF84CD05839462C5A026EA5F7F07828F89D199CF19D949C7FFCD9346</t>
  </si>
  <si>
    <t>89A08A7ED2F6C73A3A2B9B890C3BE6A997851F30CD0156B3A8A0444031F0A84D</t>
  </si>
  <si>
    <t>74FEB576545F974703246628E4FF1CA977556A9F1105CCE526CECF09391F04CD</t>
  </si>
  <si>
    <t>E27E22114BA07DA8A95B99ACA29C82F6D2A5D12EED9E9DFD164E7778F874AB41</t>
  </si>
  <si>
    <t>9E7B205A8404E8015D798637FFAF65D9A60F27397C0F717A3D2E5ECDE1DE8C14</t>
  </si>
  <si>
    <t>426541D5A8B58E5F535AC45EB4BC6A74776D71255BA770208DF68A95E0AC4CAD</t>
  </si>
  <si>
    <t>18BE61DC6754A0FC1CF26727D9047D53E71C134ED0036A7C8B2E1B089E9BAC94</t>
  </si>
  <si>
    <t>A55CC3840E5C5C026202D378EBF663964CF2771873081B4F8E8F69E138A024B0</t>
  </si>
  <si>
    <t>176A661F2B1B695C787AAB7FE2830A209212BD1903A7151E8C1447FEC03D66E9</t>
  </si>
  <si>
    <t>440E5B1780C2535BD94115146DBD1CEF1121ECE85C282851890A852C3DA09BD4</t>
  </si>
  <si>
    <t>065D9F80EF17497B848A080B386D369CF9C681011F9451582EEBE581BA99CDC7</t>
  </si>
  <si>
    <t>165C3E4AFD77AC6F2D30B6FC73CC9FD4ED92AF1B33A64DCCB2E7D708B21E0B8D</t>
  </si>
  <si>
    <t>A8D9D65D8835F9E3F87BF3E29DE7A7C6B8CB20A510C8EF3C3616B8816C8695AA</t>
  </si>
  <si>
    <t>6FC971F32B2DC9E1D051827FDF8683712B73C5EEBEE23800548B0C02B69A318F</t>
  </si>
  <si>
    <t>7801CB5F6A0B4BD01229C177D384C9D229C7EFA9A91E770C071D178A2C158EAF</t>
  </si>
  <si>
    <t>24B968EF7F2A3A2AD92C3D1070EA0D9CE2D27A8344B3AB9E1B4DD1B0E374DCBD</t>
  </si>
  <si>
    <t>D6D891FDFABBD0CE9E2C13F44692FD20F9875BB28F356F2C509C3CA7C6FB7D77</t>
  </si>
  <si>
    <t>71D07F4C0632FE1211CD81FF81A58B161CC25E958DF08B5E94801593231025EB</t>
  </si>
  <si>
    <t>C1CE27612B3F620D671C2450F870C1D3AA137D9F2FFD759D2ACE1C204EB05D80</t>
  </si>
  <si>
    <t>0B1453AB2259CEDF139AD3BA102BB986AA38BA98276BD47FAC35DA2B705CCD18</t>
  </si>
  <si>
    <t>244B4C5FBEF01846ACE8D9F937F10961174A1BD910C55714BA0A0EAAD9FBF18B</t>
  </si>
  <si>
    <t>8F284EF7BA5B1784C98B5818A12EA9375033932B13F4F079FC9C555D37DA5B0B</t>
  </si>
  <si>
    <t>6B39C9635598E5CB541AD49251F4074661A014D013D2E316E460FEAE050D2287</t>
  </si>
  <si>
    <t>E7D27E2E58C044DFC08F0AF2BA353BE5EED0713D1962D71207382E00D40AEBC1</t>
  </si>
  <si>
    <t>E89C47F4DC4DBEA8FF6DA7DA03C3D9F591280332F9BBE52B0B6B4CF117B77D9A</t>
  </si>
  <si>
    <t>9D0CDFD20B4C4F3125404B21AF5A3F4E76AFD1C6DF678CBF0B4050A23418F4D2</t>
  </si>
  <si>
    <t>A356CC1499255769F75C513EE7B88F8FA97DC08C4A3097DF8E553E6EE1252176</t>
  </si>
  <si>
    <t>E25184FA5DB1AC77C5354D40B413819C69CE941C36B9E7526B39912DA971FD41</t>
  </si>
  <si>
    <t>4F9B565579E36AEB45207671D0BF88E38224456B0A1E00A68AABD4A95DD57961</t>
  </si>
  <si>
    <t>F9FBB7C15940ED1B4E78749E7CE362B343E8F8457D52BC6CBE798F764B5E671E</t>
  </si>
  <si>
    <t>B33A1BC70C9FBA725D837BA4A26DF1AD7C36751AB3F67A147126AA7B88C8CD7F</t>
  </si>
  <si>
    <t>12ABAEFFB046EECC07305109FBBA882AF481109901AA27D385A1C4F086359F76</t>
  </si>
  <si>
    <t>C2AD78B19315F45E4B1588842E32FADDA4BC94BF34521DB165BE1635FAA3951C</t>
  </si>
  <si>
    <t>A118A81652E6C1A59B1E47E0135BF467270E4CC1297F634A8086A617E7651071</t>
  </si>
  <si>
    <t>02799FE3930D0D23ABAEA2E27B657B73D5E0B94B9E5BF5216B8C683E18E6AFC5</t>
  </si>
  <si>
    <t>D2FB1A9C75A3D9660E14E86003FB126D6E0BD6D06D4D3FD979D48F50E2569BD2</t>
  </si>
  <si>
    <t>86D93068CB2D29882ACE9AAF246116C0028D30E5D7C15620DDCEBC693B7C0FAE</t>
  </si>
  <si>
    <t>012EE6DE03B156BCD0D7CF942063179B2303865D84D7895E00DEF5A059E349B8</t>
  </si>
  <si>
    <t>24039CC67C328367966E019206BB04E746FDBA4720CE0D1ADE401C0DFF0CADF6</t>
  </si>
  <si>
    <t>2FE1BB863B8218C3181BF3B220E3A27692FCAE2450F7E50738274377723F2480</t>
  </si>
  <si>
    <t>D8DC77BF233B602D578AB78A494BDA90D714C1B16E811E580ABD07BC1CF8AA1E</t>
  </si>
  <si>
    <t>9B286193E75EEFEB41BFB0523C795A684AE6FF8AB1585B25AD39CC04269506E9</t>
  </si>
  <si>
    <t>9041D90AE8EDDE777702103F2EE51E2DE92145140BBDFBD7764EF97858F4A15A</t>
  </si>
  <si>
    <t>7D960C11110BFE368F7B5F0E9F73795A9607BB2B7FA8ABCACB003377AA7A1F22</t>
  </si>
  <si>
    <t>3451D7F77A37134BFE72CF88CE18AE76726408965917D36595A70C9F6FDA70B0</t>
  </si>
  <si>
    <t>A228B06C0BFF43FBAA43314261DCDC5B395EDA26C7B98E68E223214774E0A65F</t>
  </si>
  <si>
    <t>6886F21128CEABE6E780786033548EEBCF568C5FFA469E785B313B8CCC924C52</t>
  </si>
  <si>
    <t>FBF9CADE1337D758DACE2F1C4ADC6ABA8307B9241ECC6A886C59680A4C148DA5</t>
  </si>
  <si>
    <t>21902CC46B05073B280FC3AA962C92A5F084F30F1DEAB6CE1F58B1AFA9C3A9A1</t>
  </si>
  <si>
    <t>6D037B48598294820742E0400258DAA3CADADACF5E1FE0E5C738A205EF079800</t>
  </si>
  <si>
    <t>0403930621F9360859B1A1538F7E6A7FA627F481D4728F4CFBE5FFB34A03B43E</t>
  </si>
  <si>
    <t>D9C1750FD41A322B179A32065356959977D94A44EAF55046063457E59433CA64</t>
  </si>
  <si>
    <t>70ADC197466FB7AB7600EC138CD3642DADD2FC51B21B852E66A1EC3F3F53E6A3</t>
  </si>
  <si>
    <t>DE3D6DADABED1E462619FDC894D1C95029047C70F266D0EFA6C20744683F664E</t>
  </si>
  <si>
    <t>97447FE7A04D0F2C54A23EEA13AB63CE9A10F4273881B7A37394F882A0F9F970</t>
  </si>
  <si>
    <t>E6BE78EAA233608F5CE69851138B7B497B8C60BB8613BE1F858989A406DEFAFA</t>
  </si>
  <si>
    <t>545705472CC73B66E01AFBDF938147778CEA60FECDAC2C8A6E9CD7EA9F14E779</t>
  </si>
  <si>
    <t>70F5B9AA1409C9A1E3D4C9D5DAB443C4F1E940685DE941489A7E0BDDE388F2E8</t>
  </si>
  <si>
    <t>E1243AD96570DCD8334A1A5854DFBA7C8EBA740497C352270C31791AC78F357C</t>
  </si>
  <si>
    <t>25331CADB5AB643C915D45C68CEF6B207D1BD3ED26CBCC78613EE832C9C8F962</t>
  </si>
  <si>
    <t>8A0BF15DAFA63B1EA20283E8B4865DF03AD1CFF2B15577935F3CBC9DC457D6C4</t>
  </si>
  <si>
    <t>2A254BFBBFE743BAEDCE54018FEA8271BC0956BF1D61315870D3DEEDAB474D11</t>
  </si>
  <si>
    <t>BA506AE9A9B0FEFE3C17D132868889B94D6C272AC9ED8CC68A73A14F98DF9ED1</t>
  </si>
  <si>
    <t>897B139A84D85DC4143C612F22DE33FA8D15B4BEC161F1A4F3EA4A6296D68C9A</t>
  </si>
  <si>
    <t>C24326129F42E464CC23C57C6A8712CF743C3CF2D88B64D613295C68150D4A55</t>
  </si>
  <si>
    <t>285FFB37DE7B36C3E01D836AD8CE06C325BA7431FBCDE2EA6EFDDB688A9B9A08</t>
  </si>
  <si>
    <t>0DE8C2E732EE86F6F9B55AFB5AF152FB70B75AE77CE7A147A6C59CBDE5FB4077</t>
  </si>
  <si>
    <t>9C84BC80C4CF3DF43A8C20CB2890CDE4983D7280CFCEE4735D3E867D1DA4203F</t>
  </si>
  <si>
    <t>F54084D531553D185A678BDDC41FE91D51EA605F2EE36B2131C617C4F721B06D</t>
  </si>
  <si>
    <t>4E1C4F41E0D5C33EF3117FFC0A6293BC3EC57CB7C5031DB905B0F4D72C375B03</t>
  </si>
  <si>
    <t>AA7160452A5925FE169CB990093A1B956F89E7338732619F63070A0D14661EFF</t>
  </si>
  <si>
    <t>B421AB235AF2E359960B0C31C02E3B07053D811504FF08473214D69F354CCE97</t>
  </si>
  <si>
    <t>7C9DD25B5092D7A86419B3BFA9ED7C7DEB302AE77484062886FE90EF811265BA</t>
  </si>
  <si>
    <t>F50F313893D3E97BD94378FB32BE89F2356345EB7C9569DA012629D13B2BBBC3</t>
  </si>
  <si>
    <t>E34659CEBA7607238F109A720A652BCCF0553786B1F44C7CE19838DC22321BF5</t>
  </si>
  <si>
    <t>50D638D47CBF4DE1C583D635468525C08FD02833603D59D56FA26076CC2CCC30</t>
  </si>
  <si>
    <t>0F6CA1D06BD3625BFDB52EDDF79A5483182C7D06297798C80010FC2F8BC9DDEA</t>
  </si>
  <si>
    <t>2DD484400A4180F54A82B25F4F643A6D6DB5B02A4FD11236304DEAA764A5F932</t>
  </si>
  <si>
    <t>950387589C47470DC3FEC7DA2665C1A303359C471F966B692E41FAAB45A46BD2</t>
  </si>
  <si>
    <t>5B31899986FAACE1F6A62928780B6D21103CF086CB27A67D737B6940F87714A8</t>
  </si>
  <si>
    <t>B2C1EDF3920C9351040BF91048C090EF99263137EB8AE77299B031AC470DFD18</t>
  </si>
  <si>
    <t>5905EF469AF6F75230C30CE1577F9B9784EB6788B6BA00E1A1D507E7B227974A</t>
  </si>
  <si>
    <t>C8C78F05128E7AF5F1DCB79FEF3CD3663965EF8FB71318DABB3F0C5F0F07C8DB</t>
  </si>
  <si>
    <t>A491E2E230638A5FEF645296485D015E6E9335E1BC5569F080EC917F56218181</t>
  </si>
  <si>
    <t>C500C6CA241846DF5B54CDB50F464D805457FB9D0C61DFDEB85EECB5885EC4B2</t>
  </si>
  <si>
    <t>1FC0975C959A79199B5D7153863001C90387A3297108E0762FCF8A56DF708499</t>
  </si>
  <si>
    <t>DF94E93F118F35132039E67E424A074D3591E28D4B9C4AABFA5975531D1F7F70</t>
  </si>
  <si>
    <t>1CAB57BBE870F1906FA3EA02928A605588393F540DB9A9E2105306851C20C832</t>
  </si>
  <si>
    <t>D7F19B9FD03ED0DA068E676F69C7F5E4E780F67C74EF1D4BB30312886745511E</t>
  </si>
  <si>
    <t>95E0C2DEDFB1D6E60B9AC0DF5E79665069D0334BC7E30A1292935FDAA19FE605</t>
  </si>
  <si>
    <t>5A6F9C609382D8B052CF3B10623DB538C6598C257FF029E025A62487711C06F7</t>
  </si>
  <si>
    <t>BD9C1958A03E1C7FF0A460F31FB1ED1069B55D6CAC79A7B6536A27EE328C3627</t>
  </si>
  <si>
    <t>E1383C9619E5BDC50CEF2B1983DAEFF1FEB01809CCF0B3EE15EF5EE002369F4F</t>
  </si>
  <si>
    <t>E610B6AC3DA27BED387AE0ADA0BCFFB95D98BE0582C192EFD74B437089504AB2</t>
  </si>
  <si>
    <t>DDBC801DD8A90F408BB63316047E84DFB2A5C23A65D5D376651B444A94FB62AD</t>
  </si>
  <si>
    <t>85A1DE02B7B80AB1EFA8AB69F57444A265B2F3DB2B8F8E606455E1A7B2633AFC</t>
  </si>
  <si>
    <t>78D8A17B6669A8ED3C91931940F77F64D2802D0746C00650BB538446EF2C32B2</t>
  </si>
  <si>
    <t>25FE6175F221B42D277D78498BAFCCDFCFD8AF2E78463485D1B91D95D83EEC65</t>
  </si>
  <si>
    <t>B5912224FBBFEB2CC8AB406B71BE250CB0496F448FE9E2AF37F5C0B6E3E24A57</t>
  </si>
  <si>
    <t>04F168468C5CB10D897569ED1AE682E619FF1E3BA850FE95D8BC89BFB0F3AFBB</t>
  </si>
  <si>
    <t>12004682DB6461B72EA935FB0468548844AC61FA41A3B63C83FFFFD498CC6134</t>
  </si>
  <si>
    <t>F09B793D6F275F2640197208A2045744C2E91A141DCFA09D570F4ADDF0A59163</t>
  </si>
  <si>
    <t>A3090F3105366C1A1CA0AD47CE1EEAEE064275E4B676F0B8B3E4A3B54119A27D</t>
  </si>
  <si>
    <t>F1B39854EFC981CBEC7FE29C7FE60DAE044BE55A00F18B54247D1CDC6F8446D4</t>
  </si>
  <si>
    <t>106226AD4AC5C2DECD7795236215E9802FCBE0DA74572FCF5C272B1BE7E14290</t>
  </si>
  <si>
    <t>836F66D375DDFB7D3870641791C8AEB434987080B0160B2C9C84524BEEF654A1</t>
  </si>
  <si>
    <t>42EF39A0E1043C9E96CEFEF47ABF7FC926AF2E84C7C43EEC42BFF73179F62714</t>
  </si>
  <si>
    <t>2B225D99ABC756723BB5F56A498E595D6DF5EE7D5F3B5877ABF2E6704EFA0B3A</t>
  </si>
  <si>
    <t>739BF77259269F3E865CD73683FF3B5A01240E7154A434F204204D1C085AA21B</t>
  </si>
  <si>
    <t>0C3C8124F37DEFB4853ED38DCDFD78870FB509410D363DEB8D62190A10880AB5</t>
  </si>
  <si>
    <t>475045565D8818AB7AF15835EBFFB3DAC7FB7F8C5E30E8B95226D0C926C0634B</t>
  </si>
  <si>
    <t>6265B8DB9C77490F5C09677F5189A53AFAF08C09864265F67526AEA95359BCFB</t>
  </si>
  <si>
    <t>49C96FD2A46E4B2FE7DD97D64605AE71A3FAF6172B5B41CB3E86B040C53822B1</t>
  </si>
  <si>
    <t>B27D2E35CD804DD5E7F94B65F054D8A5FD6FDB6719FDBBA78A705116EAE75C11</t>
  </si>
  <si>
    <t>9377DCB617B66967F40DDA2D290D03B73F07CFB4170AE1B02C765B301D133AC4</t>
  </si>
  <si>
    <t>3006DD488855962A228A1993B8F819DB7208A018E3CC012F66654E7453A081EA</t>
  </si>
  <si>
    <t>F590CDF1DB94CAC440B7E07EE5928C70D8A5F1506289E8BB224E5FF4A388EEE8</t>
  </si>
  <si>
    <t>3875395BB19D541300567EFB9A47D9ECBC04E3C2AFB421ED315EAB8980C9E5F3</t>
  </si>
  <si>
    <t>A6EA5EE19CDD8A9ACC4918B51E86F6B6992DFDDD10BAE9C72540E0A67347D3C8</t>
  </si>
  <si>
    <t>9EA59CBEFC1B59508D1A3804EEF18F8FCCD2F21BA71B35E53AB23E48AB2EF2C2</t>
  </si>
  <si>
    <t>282B3F16F7B3CFFD69634DF14B3D2AA61E5E43E13BC3A6A298AA6D47F904AB9E</t>
  </si>
  <si>
    <t>527EF399F65991E8F405031CB2A0A31FF519FA8136B26045870991643EAB3D55</t>
  </si>
  <si>
    <t>51CAA152FF33DE007AE48AFCBF1A676DCE8C90B1858F53E5DE2A141D1F697071</t>
  </si>
  <si>
    <t>24075BAE07D909825180F74EE414EBF9AEC26FE993A5C72F34B7805B060D87B0</t>
  </si>
  <si>
    <t>CA3619ED3AD67280023FD7C6E2FC0CB3FBD947267A482932BF0C26632588DA0E</t>
  </si>
  <si>
    <t>7A7DE70D8E835ED5746536E267E20D960E7C93B7C735738585D6CD8BBEED8EC1</t>
  </si>
  <si>
    <t>E39DA8EC3CD23DE1C86A809D90CB8AD2C94343F3611418E73A8B8F5B44580FBF</t>
  </si>
  <si>
    <t>5B50483EF2B7A8DD50D242038015813F0A4D5B3018A63FEDA40BBE861BB0F1A4</t>
  </si>
  <si>
    <t>EE2920BDA836367D891C6DE6574C7A607A6895EFC754DC27055E8D8455C61363</t>
  </si>
  <si>
    <t>0D989E504B66EE14730EAE522E3F3D68B71D783EEEFB04AB2FA48151FA5CC644</t>
  </si>
  <si>
    <t>E648F2C51E8E21E0390294C7A088738A980E1ECD5B109A50C6B2057B74AF1D3F</t>
  </si>
  <si>
    <t>98B00DAEA0453B14C1F589C557E0A71263A64334B2867475AC14391D62C83806</t>
  </si>
  <si>
    <t>F2EA07D326C7C3A4A0965D7E84B86E233A1EE975A8F9572673D940A825F66280</t>
  </si>
  <si>
    <t>2A8CC10F2E0979DD579A598BEEA12D551A9CBB550799FFB19BB8E757BC20510E</t>
  </si>
  <si>
    <t>70A58A4B6167770D9BF79024E55BA3F773EC5FA1BA81B25C721024859956DB5C</t>
  </si>
  <si>
    <t>0CC8DD7EA245D0D0A87C5C0309E27F6E7310B3FCC8A8083E4FCCFCD1A7529BA7</t>
  </si>
  <si>
    <t>679E0327615A322F187D0FC9B287D7A0AF03BCCBEBE66C00D2603B3B0ED50A3E</t>
  </si>
  <si>
    <t>B1A31FE834500E0999770E93807E2331A67BC5A3BE2AB9E3E47CD971715CF2A0</t>
  </si>
  <si>
    <t>C3996398DA7A13547A477135582525D31756CC9C5994BB96967A9A4A50EFD827</t>
  </si>
  <si>
    <t>88EEA7FBBE269B470D01CE3F6386BC658F5F231801DD0834A1B3E0D8906110EB</t>
  </si>
  <si>
    <t>998D7A1A3D6198AE5DB17E94F1BB1390CDBD038745DBBC1EF11B82E8A66F242F</t>
  </si>
  <si>
    <t>0D32C050E7EA6257876CFF9B9519F9BF11E757069EB4E8D2C5B25B1DEF7311AF</t>
  </si>
  <si>
    <t>22C8C8B24C18B4CAA32C2D12138187FB8ED30FE207A92396D5CB377F5FC47A93</t>
  </si>
  <si>
    <t>D7667403E9A8A1420579A4FEBCD494C0281F688CDCC138EEACA802A475E22402</t>
  </si>
  <si>
    <t>47DD4BC1BB0E615E09913C8785D25793BB07FDE36F09931ADA709D501F4A7668</t>
  </si>
  <si>
    <t>81D7ABBC311C6E94FB4812BFF547752D19E4D36B7A4C4F4CAC280F045F2C6E8F</t>
  </si>
  <si>
    <t>CCBEED62EFD3AB4FAAE46C8DBFBF83785EE15E28BEFC89AD8F71BAF8000E58CF</t>
  </si>
  <si>
    <t>E38EAFE94D7EB4F4D5B94A58AB53B43C02FF24113DD95689370CBFB1AC936D77</t>
  </si>
  <si>
    <t>0B0C877E6FE25F33D482B3F37882AADED20D97EEA51B91A88F46091E8A9BC8F1</t>
  </si>
  <si>
    <t>C9496DA2AE7CFEC249717C5A9561068AE40C611E4136B98A03614DBABD89763B</t>
  </si>
  <si>
    <t>5C4541303FFE6D60B3647689697DEAE10471118726565486D312B4AE2FD781BD</t>
  </si>
  <si>
    <t>0B3CD99354437488BE60DE6C5E700F9D4D47DBC5C634CD015A2D841ABA085893</t>
  </si>
  <si>
    <t>6B50B424DF202EE32BC3B121CE3C29BF7FF3DDC92848B8397CCA6D0BAA4F64B0</t>
  </si>
  <si>
    <t>3F2B1A03A7F050D0683606C2B519753C0023D5133172C2E3E158B54884450446</t>
  </si>
  <si>
    <t>7E44BFBD23CAB38160AAF6C00D6AE09BBD10E92E9332215AC0C11D68ED78CCBF</t>
  </si>
  <si>
    <t>19914FA0D9B2C3FFBFB599B1CC1561E090F99395CE7ABA7904B0E7311066A8FD</t>
  </si>
  <si>
    <t>DB4D8509479A28FC3A77805369E915B0EEECD9EC5AC03C1EA9AF1FC0499E84D4</t>
  </si>
  <si>
    <t>69D53FAF9F847EAF1E2298C716FB2E0278AB55945FC0E619D5AA4F2B213BCAA8</t>
  </si>
  <si>
    <t>327F586202186744C42CD2D0DB1A24265AA394AE053152A5435525AEE5A3FB16</t>
  </si>
  <si>
    <t>40E9A9D27BE95F72E1259C7ED80A1645458D7FFFC57ECA6A0E824500E713760A</t>
  </si>
  <si>
    <t>9BD560DA6E386629ABD5F51BB4AB7AE19697E9FD0F0317BEC32658FE810BE1E0</t>
  </si>
  <si>
    <t>3CEE43F9EDB631807A02CE5CD58A03B8F388C5968C77E400BB3FA79FB7127F62</t>
  </si>
  <si>
    <t>DFB5C7552C27BB0256FA5BCDF4C06F467D28608858FC795871C2B5912DE6AFA0</t>
  </si>
  <si>
    <t>5D981C1DF20C7D94F9F8FAD4AA358DCFF52622BB1FC2479B04EA5296996D99A0</t>
  </si>
  <si>
    <t>31BFD36C3224841FC39430CA83260991B800286DC96D662C1522E1C77258AE25</t>
  </si>
  <si>
    <t>450AABC6B135B666FC461701199A8F78D4E3A33C910DEF57667D31A2C484A69E</t>
  </si>
  <si>
    <t>18431E0EE1AF554F20A843ED4043EAD00EBD5F6D2E2A324BD37097698D352B52</t>
  </si>
  <si>
    <t>01308BA7CC34CD2B95B38132C6A9D1900BCF10312703925FB9AA877C1FA2056A</t>
  </si>
  <si>
    <t>B4B728EA40AC9BE63C0764BFEFE3C269530236D903853C9373DBFFCD16AA5B6E</t>
  </si>
  <si>
    <t>524D5A3226A40452C1A35C0F1489BFE5E9C487EFF995CFF9121405642BA3400C</t>
  </si>
  <si>
    <t>CE205EA9227AA849CFF5B4EB7A135556F7EFBE3837119012C164BF569D49DB18</t>
  </si>
  <si>
    <t>9D83752515DEB66B747D1732073DA0245B97F2A18836B33D4FCCFBFD9D2FBE3C</t>
  </si>
  <si>
    <t>5805EA7118A8E562723631F690C76F37C8DB101F96B630AA89E5AB202AD27D9F</t>
  </si>
  <si>
    <t>42F5729AA3ABFA6C80D8A6EA63B03CB7C1C53F5331FDEC3E86BAB57ECCDCA6D3</t>
  </si>
  <si>
    <t>352DC954A8A270C66689FA7B79194784F7F0485A4A5DC566B7DDB6F3E2DD6B89</t>
  </si>
  <si>
    <t>4457B0BEB03869C5D0A9AB384BC942927AFE018100358AB69127596358318AEC</t>
  </si>
  <si>
    <t>E9A2797BD362AECEA8B863C511996DB6A4907A2785E2A4D573894EB5E808BCB0</t>
  </si>
  <si>
    <t>CD7B81923D21C03A2A9AA096235109C964620C3460A08D21C9A2DDFF43C54B00</t>
  </si>
  <si>
    <t>8CB5E3CB40E35F9C6393A36A8FCA9CC7C2204881B6681F01132F493F214851CA</t>
  </si>
  <si>
    <t>56C5505008BC438401DFD941F897A61D9D6D7F631FE08F1A6D9423948187C879</t>
  </si>
  <si>
    <t>BB744F3F41B5A3C817A5500DBFB585D4D33FCCE6516D3170A5726F25397B13BA</t>
  </si>
  <si>
    <t>B278AB7967CA3FEC7C5F79DE5709EF4C2FF68C91917B42DA80E83F70DEF6A37B</t>
  </si>
  <si>
    <t>17952F34E211AC755A825A521D7395052F8E2385716BAA3AA9E48BF2788ECCA1</t>
  </si>
  <si>
    <t>3778C48719746C9D51BF6BE3E2A02AAC62DAF2377EE929E11A514DC95FC18A2A</t>
  </si>
  <si>
    <t>2421680AB7AB4445F49E9A8EE649947DA00AE1C2522D81264BB8A6F5EEA2C166</t>
  </si>
  <si>
    <t>D72B4EA11E715EA22B8804ECC90B119B90ED5C492208C00B466CD9A2F2D780DA</t>
  </si>
  <si>
    <t>CCDC671F6E5B0B839720C12753C67145A1927A89C4FCA853778014C78943CFC7</t>
  </si>
  <si>
    <t>399ECB2062710BECA5EEDD0C9A76287DAD18D78890B3000FF9EE0D5583B4DC85</t>
  </si>
  <si>
    <t>4C16D6B7FD1941FDEFEB761840AFB49432C8E6B6B3DDD9CBDC19F7DBA08E0CF0</t>
  </si>
  <si>
    <t>21BB4AA5409548BDAAAD27CF714F3EBFD2A091F53AA488DB0AA6FD1BA5AC9270</t>
  </si>
  <si>
    <t>19F826DBE0E917D494C3F7DE10D7045F44DDC466C7358E095011274AA3C12430</t>
  </si>
  <si>
    <t>165F660169E0AA11C46599B048C33AAC4142BC2424C67FF7B57786012B350BA9</t>
  </si>
  <si>
    <t>A3D08387E097EA5A122FCBDD3AA852C8EF318F2B4CD8B4DB56E0DEF2B54843E7</t>
  </si>
  <si>
    <t>B6FC9B250A0D60DE4B59EA01C4DC2274ACA587FC86E333A5AE3B37BF4E534D8F</t>
  </si>
  <si>
    <t>7D5078345894BCBCC601E119407607FF77B7573FF1DEA0AB8E6DEA4781F80472</t>
  </si>
  <si>
    <t>06E4536BD06B6BCFE6731C3237223EEAD7BA54486C325C57937BF3C0B88C1272</t>
  </si>
  <si>
    <t>D55548805CF8E8F45FDBEC7B5E9FAC22C3514FAF914AC2929C9A38A29A0BA014</t>
  </si>
  <si>
    <t>3F476B144A0A2B84E26F17895259B8670EB39CD5B0E1EA2641AE758350D0103B</t>
  </si>
  <si>
    <t>87C2E8A524D09A364A62008D737A0AAC0F9C209F89A60F21B85D0DB3C7083268</t>
  </si>
  <si>
    <t>B43547BB0184A1FBFE0962C4CE4DBC4C1FEBDAE35CA7EA1A0C410334A3E3389C</t>
  </si>
  <si>
    <t>15BA310037D5A3CDD076526C2F8AD137B0F159B7C556B588EB1E797861EFB345</t>
  </si>
  <si>
    <t>0858B72B98A223934F0E0C34B9551ECEADC29A1ED6FCE1B088E209DAD295DACC</t>
  </si>
  <si>
    <t>B29B9F6DF484B870A43347A16F77B6EA577E4A98098C9061261CC74A3DB1DEA7</t>
  </si>
  <si>
    <t>FFC1DEF9C223FC2A85116FCA30DF42CF007EB11645F91CD8D5DECDEE1B1EA9A4</t>
  </si>
  <si>
    <t>CC87935787DE4E91E232940DC2F4180EB6502C37E83CA63D2F8B0E4EF9BFEC9B</t>
  </si>
  <si>
    <t>37C2967C459BEC3EC2DFCEF40E00154C88DC9B3CB6DA00141893D4F7CFEB397B</t>
  </si>
  <si>
    <t>31E46498EA46F22E68F60F9F2C117AF7BFCB184D74842277A93A1FC31B11D7AC</t>
  </si>
  <si>
    <t>1965B0A377EBE389D5FEEA4ECFBA53F39D61D06E11B5825424CB0C03C0A62EAA</t>
  </si>
  <si>
    <t>8583AE325B5C1D14F8F5DD3F26B8F1DD410ECA6D8F15959BB7B5A28993EA5F77</t>
  </si>
  <si>
    <t>BC2FFBA1498BB1AD891373A8EBC26147C5D65DBD99126182C791AF6DCC989DA8</t>
  </si>
  <si>
    <t>20A04E9F61F8DD6C552DF56311C8401A759A18DC05EEE23DCEA7692E89ED794E</t>
  </si>
  <si>
    <t>5BB0E237B08BAC0BA91166DB1089C78DABDF0BF2D93A42744D16433146B033FA</t>
  </si>
  <si>
    <t>C8DB5B83A62CE3B2460B0C71135D73921F784EE3C65B21949C19D827EF20BABC</t>
  </si>
  <si>
    <t>BBC99D44992DEEBA2C66B323DFB888167079655F2C3A6CF618A12F32BE14E453</t>
  </si>
  <si>
    <t>E818928764D35BC290BA480DF5E5F2B791621A7682230F6D9052FCDD91A3EBB8</t>
  </si>
  <si>
    <t>333A57AE7E09A03538BFCDCF5D64D86ADBDCB4FBD9CC113853D6770CF4EA7494</t>
  </si>
  <si>
    <t>488EF88FC1BC73E7A8C026265B68F025FA881D431F44DCF4017512CA81ECC8B1</t>
  </si>
  <si>
    <t>4FEA0CCABB31E795A271B5CD36B376C9D500FB2A78D71E58E2FE591514409499</t>
  </si>
  <si>
    <t>28C54EB16AEC7A7179614E1DB3DFD9F1C6F8088E700A54D4C524C5DCF9267890</t>
  </si>
  <si>
    <t>98AEDAEAE2FFB6E03F09A1A48335BDFA6E6235396C232D59318046B5E6F876B6</t>
  </si>
  <si>
    <t>B8FBDFB1069B4595E079ABB5392A13D709174D3F96E26F5473C7E629F0C12D40</t>
  </si>
  <si>
    <t>512FE174976B914D0B0F6D6955FDC7DA83E463C06F7EC3B9CC2349F95343F0CC</t>
  </si>
  <si>
    <t>5F0F3CC44D2BA292DDA85D52A1B631C8460BBB3426055278117CC102048B6381</t>
  </si>
  <si>
    <t>4CE2F6E7662887B704DF4A8B4A00314F9969C9BDB02547C53251E6A53FA65EC4</t>
  </si>
  <si>
    <t>4A1C139C14C0CA1E54C0C54E99D868180EF353A6011C2AE43966179BBBA05A2A</t>
  </si>
  <si>
    <t>B1D1894F3B550481E635564C33E2C3DD63952F2A02B55E1BD5AA555D30C3EF0E</t>
  </si>
  <si>
    <t>68BD0E891E659DB2EBCE3ABAECC77E71837138C15AAEA8DB15671A7619888BCF</t>
  </si>
  <si>
    <t>1F0280CF2476B0D4350A28AFA448435A84ECAAE02438F99FE990573EE04388B4</t>
  </si>
  <si>
    <t>E66937275577C983133CA5053A883663171AE61CA91536976540C09988D9B654</t>
  </si>
  <si>
    <t>4DE4FBD07306DCA875BFE8F2BC8FD444D449E579EA6737DA4304D689CAAB396D</t>
  </si>
  <si>
    <t>B17B6DF71C475BA8CB3020C24537F059B6670A8095AFC34A2B811DCD510F6E1D</t>
  </si>
  <si>
    <t>E7E7878DA4A66758E83958E287512D1000E2E798F377E3CED3E20D6F65887916</t>
  </si>
  <si>
    <t>B224B14534E07A46BE5E23E0090B9DBF37862A40F05785CC73DCC67C3E7D98CE</t>
  </si>
  <si>
    <t>E6C041B90B5B8A90705EBC3B816FF11CA9802B5EC99F23DED4E4400B3F16A7FC</t>
  </si>
  <si>
    <t>FEF60B06570669A8D4B7ABCB8B54D1BB10A927D9A457812ECDB640C2A011C244</t>
  </si>
  <si>
    <t>D6F8D5900483A5E47D8A5D46996D00737BABE1F9D873BC013AC35CB7459F9C6A</t>
  </si>
  <si>
    <t>CBF624FC3EB55824772E7D59988CAC2275457933E298F7D8C5D7882BAB19D256</t>
  </si>
  <si>
    <t>DE486E47E702FCAAF2D6F3596147824031635872C575BD34CF42C2D5E023BA56</t>
  </si>
  <si>
    <t>0F8B10FC96D1344704C50C90649FD9685D9C8F2524265032816B3424AEEB25DA</t>
  </si>
  <si>
    <t>81F4E11EA1EFBD8EE08CDC7373A2A46D19A5C651018318CDCDCB1738C890713F</t>
  </si>
  <si>
    <t>4DC948417E85B42874CAF962E017CC2D011C702BBB7655BBD46C71EEF72EC84A</t>
  </si>
  <si>
    <t>926C78C9809735FBD5FDB7E5F0C630E25FFFE479930C2F3877420BF376BC4F87</t>
  </si>
  <si>
    <t>A046A1A0F2CC80B71F0D0ADD01A6FFD9902AC6589A863E3A1BB8DE37D4301C04</t>
  </si>
  <si>
    <t>C503C11970D4C115DD5B0B16770CFC9ECC227C82A8263EB8DB4FDEE070F96AA0</t>
  </si>
  <si>
    <t>447C9E0690FC88135661A4957BDF8F21E01BBF6C419E1C98262D1A796D27611B</t>
  </si>
  <si>
    <t>010ED6AAD206E73A36279DACC036EA55CADDF83AAF23204115FBF4A678ED03EE</t>
  </si>
  <si>
    <t>9D6BC42F62DEB179B9175C50C0A3AD8BCC5F5BEB7CB25FD424E293683765D8E6</t>
  </si>
  <si>
    <t>9EF66BCF3A3490BE99B1010729C4618A1B87B3AA3C3C61DF823A6753B7B02433</t>
  </si>
  <si>
    <t>9C1018046BB5016FF9E8D514D9C6A7ADD85FE9E2C8FF6B91B680EA6B42E8BC3A</t>
  </si>
  <si>
    <t>89F88E8F68DD4940657CF4E60DE6F8562A12561D66F01612F8A9BEC880E010D8</t>
  </si>
  <si>
    <t>3E19153463FA3CC448418CBD290F2F4FC7228A3F933A9E5CBB05071D93873428</t>
  </si>
  <si>
    <t>AC28AA461023C077E44D7D43057DD8D8457A65D23AB71FFD428D77E4D8C94AF8</t>
  </si>
  <si>
    <t>258BCF4F3A5903E269DCF4732B1143D2E49DF93513ACDC0BABE012DAB3A10856</t>
  </si>
  <si>
    <t>27094735D159183547848FDA3931738CC14E66C34B5DF693B6341935FBCB4CEA</t>
  </si>
  <si>
    <t>D14E72FA243A73374752EA298810106E34414AFB2C3C70D3DEE9DFD817726ABB</t>
  </si>
  <si>
    <t>E0CD5F9144F634DDCA4C5252188EBD73511AE1EEF534D0B065F32B3D1A5C3C86</t>
  </si>
  <si>
    <t>E6A3B7F1CEF124C014748250D8EBA3F840748AEE58C642A4D9BD044656135E77</t>
  </si>
  <si>
    <t>BD50D98762B3DA6AF51BF4D09CE6BE93234A42BA45D7C13F969AEFF5D8D4BC1F</t>
  </si>
  <si>
    <t>6885B291FD5CF31F87BC3F9BF8C64F4C4EE6CD36C878165D1231E02C0C448E34</t>
  </si>
  <si>
    <t>968196353C80C26AC4526EF08F4A291469D8BF63869E78D57CD7B8A39CCC842D</t>
  </si>
  <si>
    <t>158C023611672823169626BE4F51988F4DA1092895FEE83EB412D46583401EB2</t>
  </si>
  <si>
    <t>E54A95F0CD36AF9CD91B602EC1917692EC122488A0D1FDCB772D14A695E59982</t>
  </si>
  <si>
    <t>B670C2CD7F5285E4ED46FB55079B5EC203C15289212E897108AF8DE72B6897FF</t>
  </si>
  <si>
    <t>9702D20BFA338BDFDFE63EDDF2C238558E395C84B37D77B08D71A5E3E6C8E538</t>
  </si>
  <si>
    <t>77BF36BAB89F2160D614A49DC1DBB9CEAE01268071C6886B17DE2AF1A40DED47</t>
  </si>
  <si>
    <t>B1F28C927FA65BE5D7EAEF50A4A623F2BD4591C2F7BD3B38086E256EB0317F18</t>
  </si>
  <si>
    <t>96ED99106F2641766F452AAA4D0E0B08DD9EEFEF4CF0C8AF9E3CB9004943BCC8</t>
  </si>
  <si>
    <t>12CB7783F37A9BDD0C2967A5EA35107DC756BD0275641B2BF528D551FF09AA79</t>
  </si>
  <si>
    <t>50C9CE989E2C8C3B0B6204EF645E94FE9A203A6B86D0AF5F968CF612C481ABEE</t>
  </si>
  <si>
    <t>71DF679CA85F7278FB48594230638CE68ABE881374D87AB3EF6BCBE5667A785C</t>
  </si>
  <si>
    <t>801802F7F9678F42F6643954832678CFE3B938F1BAE2F52A80415995EE982AD3</t>
  </si>
  <si>
    <t>17CAB549E51FC86424089157A00C2DF69F557D93D087BFC1ADD12E7EF4484C0B</t>
  </si>
  <si>
    <t>74F72F3F319CAC681CCF93CC05852FEB66C3CF6AE138D2A6C7CC492E739A2CA2</t>
  </si>
  <si>
    <t>EF5A789E5FB31575083B869855D45DC519C327A86234066E27B3F2BBBD82D3C4</t>
  </si>
  <si>
    <t>A693F2212155A58AE9D75F22FE3594DA0E2B21651B9E2DFC5AC449C931FE3240</t>
  </si>
  <si>
    <t>B9F6FB7E33FFD26731F0F4E4E746B54669A497EB6282F10E0D3BD9AA11593C8E</t>
  </si>
  <si>
    <t>5587A846D5E767FDF14427CB7F708BFF47C4D546311AABD7E7AAEA0EC0ADD63E</t>
  </si>
  <si>
    <t>9521406F908C670DAE378A8F9A30119773B8D16FCC80B2EDDD4D2A6E3334614E</t>
  </si>
  <si>
    <t>333DC48D829C0FB5B6CFBBA52C4BA4D8A26A9AE1BBA427785BD1CDF0F865324E</t>
  </si>
  <si>
    <t>2CE958B8004E339A600C9C01C6AB48F92F3090764E3E869A0713568C415F8927</t>
  </si>
  <si>
    <t>09E7213EA487962AF6B18FBC666FB84F5C829156DE47842E6A81EC905C03C52C</t>
  </si>
  <si>
    <t>F19B12010EDAAF5F60028CB50382F2F1924122F506E8AFC201817F4133241663</t>
  </si>
  <si>
    <t>1F9C42A165876D90C1A227DF8AAB6177612B8FA0961094365D72E1115E24D705</t>
  </si>
  <si>
    <t>B1CDBA6E7EE319D5F791F04C0BC2585847A6593E76503E672559D5D76C564FB6</t>
  </si>
  <si>
    <t>E2CD8947059AB29F1B2B6674C5029D2051050C3C185F10927BE8C2F0B14C0F86</t>
  </si>
  <si>
    <t>DD48A60D34BEE280182EC781C70C7915C420F9202C85B21C6FF1DEBA3FB82277</t>
  </si>
  <si>
    <t>D0992AF7493D15D3769A981F99C231D90A07EF241CC8AEA59C91AA34E2E3BA4E</t>
  </si>
  <si>
    <t>62E7FACFF6C23D428DB492562D66800BFB6863B14F3F4975FDCBC6A3E8A10124</t>
  </si>
  <si>
    <t>BC34E0B36D99AD46630611D79BC2D3233EF92ACE74EAC7B419146A6C456723D6</t>
  </si>
  <si>
    <t>574FEF486549B207DD6662F7A5515C5936E047607FB25EF837E6AD9C6CE610A6</t>
  </si>
  <si>
    <t>1A6DC67B09A05596F6D845C978302E9F00225EF550FFC17FFE6B54EB78638D14</t>
  </si>
  <si>
    <t>F3D1186CFFD5BF3291B97471CBA332A48C40FC784E3D06F258FDBEB9DD97FF8B</t>
  </si>
  <si>
    <t>7E4CDB2C22FC35D2C3C485C4C6B9248F7D4AE6F32E289451024346026D4D0D7E</t>
  </si>
  <si>
    <t>577617EF7F61CC36D7EAC58F36FAAF510DD048EAA33132636594A0A2372B8C92</t>
  </si>
  <si>
    <t>7321A3E04489BD10298E033BD82A659DA9208D7C966554D253E2C795DD6B2097</t>
  </si>
  <si>
    <t>DFA6BB1BFB8DDCFADF453489AF45A3A0F8F704AFA3652620E2AF42F8D4E67B7A</t>
  </si>
  <si>
    <t>141FC078D18CF51BFC58658217CBDA5C4418EB451BFAE6581AC7FF622FB867D1</t>
  </si>
  <si>
    <t>F86301B933A0DADADBFD719239D8BD3F50AAB44A5DC0D241ECD8D8A7E9BA8739</t>
  </si>
  <si>
    <t>A9F6A8C8CF8C472E33BA8CF08F6073A8BE781DC4A23C61B0D80018B7494A912F</t>
  </si>
  <si>
    <t>F90BDE3F30E039CAAFF5766441A5B62B70288270132D625AC0ECC5C1FD63B092</t>
  </si>
  <si>
    <t>F2DB1A8B7D24F21AF0D1FBB20DB2F788FE5E15EAF09B0ECE467401CFFD3B2DC0</t>
  </si>
  <si>
    <t>A4184C7A2FC0755F3E3BF95097FED8EDDCE10E4E8FC83D39EEDD56A5D2A699BF</t>
  </si>
  <si>
    <t>294D7914C302A4961FEC13FAF360321233ADB13F9AF3364CD2366598AF38F1B0</t>
  </si>
  <si>
    <t>1CC1C56B1B2071F9F7EF7F52AECBF152CC301F477B4F7E490DC249B229B6CE5D</t>
  </si>
  <si>
    <t>6D01EC76E6AD762A7660CB8F8AB3C13E93C0AC109F9CC990E1053CBC3B516F22</t>
  </si>
  <si>
    <t>AF741BA09879971ED8B351A4D5994B881100A6D8320260BE0D8AEFD7E9103D4A</t>
  </si>
  <si>
    <t>E71BC346EE23E9D5CA7150CF8C7656CFC0881FDDF56A85E8E82D7EE09A0AA037</t>
  </si>
  <si>
    <t>61D91F9D1ACE933BA8249C6E526E442A8C9B597B51785337D373E5A8E890A2E6</t>
  </si>
  <si>
    <t>2668B36DFD90914B801C9BF9E1AE8CCCF40613A4FB883525946A6AF662BAB98D</t>
  </si>
  <si>
    <t>4EB72BD7AFD39A4245E5E8C8013899D88EBAD18DA71163550A3C0400AB55DB37</t>
  </si>
  <si>
    <t>178C3E3357B5F03351B93EC89DF1045B40C18FD572B9B573C445828D67AA2B49</t>
  </si>
  <si>
    <t>D00DF9A3BF5F2FEE86AA441027C10F0BAC95C261B61891382C772A19DE01EE78</t>
  </si>
  <si>
    <t>AC08CF8FD54423E9F1B4D5B8FE7AC6245DFF356C17F74BDF43EA3D4609315861</t>
  </si>
  <si>
    <t>30B3C1BBE20C76DC638F60CBC89D1A751627F0EE9B625B9C5EAF267B97B35EB0</t>
  </si>
  <si>
    <t>CACB232F6FC8D457055E47F8ACAAD08A640EB41C0A0AD1FE2C322A23BB114C0C</t>
  </si>
  <si>
    <t>F0FB4220FD2534AD7EBCE6393E955FB2756FA3CC345EFD640D25A3F3D5C3184F</t>
  </si>
  <si>
    <t>6B08FF8F0BDC0D80C4B173B7CC72F77BAC17AEA5E3F91630CA72267A70DF0551</t>
  </si>
  <si>
    <t>1CEE07270CA29E436332F9798912DC42482180E132F7ECFAA80E862A0F08B959</t>
  </si>
  <si>
    <t>EE77D0564843BF74AD9240F00B37E8FF06A39F73A836B568AB50A0668E1147EA</t>
  </si>
  <si>
    <t>B4E4D98142904E09B8BA7E23F3700C2A0DEB3CC68AA9B46B84628BC2C44EAB2B</t>
  </si>
  <si>
    <t>C16A7E5CB21E7633B7D9B04F548B397666AB49609B40AFF0091DEF7DCD6F271A</t>
  </si>
  <si>
    <t>B3A97F0E1DF9E3D6B14A5EE18CAE28D0776554178F76129C631E3BFE5B4DA269</t>
  </si>
  <si>
    <t>1AFB87DF12F80A3106C5625D730E8C62B303422E4FBBF74077E87179F121D3E7</t>
  </si>
  <si>
    <t>A81C0AC312F75AEAD904C753AFE3AF26770EAD00F919822B023ED42DF04B249B</t>
  </si>
  <si>
    <t>38D0AB6A20325F734A301882E4760DA44C8333DFDA72E2F340BCB48674E8115C</t>
  </si>
  <si>
    <t>9BCA28CC62BB118D2097215406BEAAE1E715F9AD9F3515834D9AF3608BCE27ED</t>
  </si>
  <si>
    <t>14C659AD30C16390850751A3A92B0F94DFCE6C93C688472E1948E72486779DC6</t>
  </si>
  <si>
    <t>280CDEBD608666A50F19B53FD193497E704DA310E2A5B83AC9301360678277C3</t>
  </si>
  <si>
    <t>FB8B6B6FA9B22D9B2FB0DE484D9A1EA852E3E0C8E9E874530A1672B75086B4F7</t>
  </si>
  <si>
    <t>DEF7375A46CA344BB12FDD40C254C912AB2A2D6A18FDF43ABAAA2551D0D83AB7</t>
  </si>
  <si>
    <t>38DCBA8B273A65479986F1E01C66501D7111EFF68C2C88CCB9F5A414396F503D</t>
  </si>
  <si>
    <t>CCAA9F02DDD160735D8907765886093DB82CF1B948E21A561F2C68D7FC243973</t>
  </si>
  <si>
    <t>4DDE97CDE1E64E16C8888F796BE05936D3E8D2BFD0DDBA706011B9C1D7BB00FE</t>
  </si>
  <si>
    <t>933AAE477B1F446268C078A755FBDA59CD84F7B868AC7AB6ECB4E281BF7EA3C6</t>
  </si>
  <si>
    <t>AF1255F618E25A363A479368211845E4DED1B40A6F19B4D794EE29FA747C389B</t>
  </si>
  <si>
    <t>17638F044A76B86B198FA64D82875297B101B7EB30E09C69AB8157258361CCD4</t>
  </si>
  <si>
    <t>D527DD2513E7BFB7BA8A10ADBF802E35B73A033B42DDB3FF6FA12F10DB2B89F1</t>
  </si>
  <si>
    <t>03C4BE1AA8A894E04E206DC3246C1AA44913E07D6A256F132F027CC8940B8942</t>
  </si>
  <si>
    <t>DEE6462E487DE7891E44CFDB381646E1CF5CE0FD15396296D5C694A92A6C6FB9</t>
  </si>
  <si>
    <t>6FCFF06719647A864421975764CFC7650CCA8018721C202BC11FA55280CE4C29</t>
  </si>
  <si>
    <t>2AF2E414200D790EE43C7442F23AFF07AB384070931EA56EF3DCAA0028850C66</t>
  </si>
  <si>
    <t>139E6D177E543D45AC26D59A5F2F03BB6E42F8668542C7F51A41FFDC8FA1776F</t>
  </si>
  <si>
    <t>49A25F28B4ED6F48C0371788D6275EE7519AD6D386C792B892A0466C928F470B</t>
  </si>
  <si>
    <t>93F97C4723EA36EDCA965A83CD50B95C259063631D37D21AB99383F52502CE55</t>
  </si>
  <si>
    <t>9F0803FD35506E37B555F7AE2C5A8F32B6BB09CBA50A1E53A0016FC892866F3A</t>
  </si>
  <si>
    <t>6370A4E9AD64EBE4A800127AE715037D4DABE121C0ABC8A42F3237EF354B4AF9</t>
  </si>
  <si>
    <t>88C0A3FABDEE86DD0664B07F0F0CDF8459DA8E37AE778E7D115D107BB825C3AA</t>
  </si>
  <si>
    <t>ADBE92D83542F1E14278FA078971A68896268F0E71910832D2CE62F5C527D180</t>
  </si>
  <si>
    <t>5767E0894E021FA945C56C9E404BD57F83C0D591E361D85739D35EB3B4EE5280</t>
  </si>
  <si>
    <t>BBB22F26016AE02E4A4D77F2352C501EEADAE65F7AF2D744907915F4FC629705</t>
  </si>
  <si>
    <t>E93EFC38202E09E3F8B1BAFE9E0BB2FBCD5A65D556F6BA0208AD7B26751E9200</t>
  </si>
  <si>
    <t>E7551675B1C8D32AEF2C681B0C025768FE9E4C5F2E0806A91A6592E002BE56DF</t>
  </si>
  <si>
    <t>3F4E14892AA6C12A79A347B40C65F132F1F51E254CE425C50E91F08D3D5D6A12</t>
  </si>
  <si>
    <t>51FA5E9971F002852F8533F223E24BBC1A971B91BD246176D9928D0D66401EFB</t>
  </si>
  <si>
    <t>5EF2C3C77D1ECFC8744CB18DD2D62B4CD840C22495F94C5A8A0CF8C267A8F1BC</t>
  </si>
  <si>
    <t>1B00056A58ECA202DB2101410964DC91B18BD33CB73F962BADE236ADDF1B7375</t>
  </si>
  <si>
    <t>F5E7A65F642FED09EE98E0B2BAD905528B7A42C5D4C25FF5234E98AFBFE7B24C</t>
  </si>
  <si>
    <t>95CA3D2679988EECD2B573E8525762ACA797AD351969E0DC84005A4B5D062734</t>
  </si>
  <si>
    <t>5FF3195B92A30C0754012B58F813591B9B230E63A9021A8F7C3C080D0B4F385C</t>
  </si>
  <si>
    <t>BB58DAB271C9758C693547E9504726D00202BFAF24B6C0CD3F4A1253A7D43989</t>
  </si>
  <si>
    <t>5FE56FF95C319BB8C51421F5E7A2DA76C72D48C21FAB9E9BC454206C191851CC</t>
  </si>
  <si>
    <t>603F170BD2A8EE08673EF8CDA52C7B5B82920CDE751719B663E4E13E60AB202B</t>
  </si>
  <si>
    <t>8E772A1BCAB98EE2F75035B88C2D1C81E2256EB2F35F3386A393AD9AB595C0BD</t>
  </si>
  <si>
    <t>6143FCEBCE901A8A5823022CD72EFC198E849F3DC0DC34DEFC8357DC3A97862D</t>
  </si>
  <si>
    <t>5B8362A76A472895EB0858B7621102CB41FBE4988DE2808A32066C6613A762C5</t>
  </si>
  <si>
    <t>232CAE822A684B599BFDD9B4B6F5605CDBB32F2D98AC16975F6A60FEA5869DA5</t>
  </si>
  <si>
    <t>2D47EA1E2FE7E2717EB946967F4162B27220295ED23E652D45ADA14C80BF6C7B</t>
  </si>
  <si>
    <t>678AF87BBA7916B049B10178A5FCFEF1293BD2A78969F1AFA7ED12EC8665062F</t>
  </si>
  <si>
    <t>CCBBDE53A865F00C8BE85A9E7BE28FEB79845B5249DB3122D12116B08FD35CF2</t>
  </si>
  <si>
    <t>A763F3315D41A2E27533954F6AC0B3426C394F7D0DE8FBD46CB7BDA07EA1663F</t>
  </si>
  <si>
    <t>44439D1507E69D98D4EA8916CE414597C30AAC54D2F11220BAF6F4E5B936361B</t>
  </si>
  <si>
    <t>C873D5D0A434354D8614D4DB08CF7565C927AAB9EDEDA13B0C6F9B97D09733EE</t>
  </si>
  <si>
    <t>4EA7BA3471847B0058366DC540AEE6E0E1C84E5EE44C9BAB462EA9463EAABF42</t>
  </si>
  <si>
    <t>AF72936C6CC7940465AA8CEB9EA8A00F3EEF1801BA27857E18564800757AE9F2</t>
  </si>
  <si>
    <t>35BF250EC61253FFC314D496035766A194E2E04EE5DC06281E3B755231AE3018</t>
  </si>
  <si>
    <t>B5FE9A01807AA3DF240767EDFF0920BD995ED759B908ADA60AD562DADB1F699A</t>
  </si>
  <si>
    <t>818C5A7F581F2C4C69E69E7C015F65C017B0D067828CC5BEFC0078A8B8B67209</t>
  </si>
  <si>
    <t>0132D54519D00F8EF6F02029DF32D827475333308FF3B891596EDC0C37898092</t>
  </si>
  <si>
    <t>079D93AB8C2460FB77A72101CED318BE9C9B8B3C0F9800C4B440EA87A03EF2FA</t>
  </si>
  <si>
    <t>2BA2C883B2D0C96DA423855DF0184CCE047AED7441677135F84574D4A34567D8</t>
  </si>
  <si>
    <t>61FDF047AE17FFB963D3592E1931047292BF9FE718AB971E53FE31ABC5FE36C1</t>
  </si>
  <si>
    <t>ED4436A9F3F99040A2A89AB5C1F9720BC7D452921A50E1A7351230794E6FEC31</t>
  </si>
  <si>
    <t>3BDB65C702C970DFFD4382C9B2B23F59C4CA38CF1C60F6F925B5FD56A970F7A6</t>
  </si>
  <si>
    <t>CC348E9D6525FEECD96F8C5397105337F12699501CB3830B79C5584E7DEFDDA8</t>
  </si>
  <si>
    <t>B2CA1375B36DD135842B1F04D48A97F94EA6B5C1A4015E468A693FE0232BBA35</t>
  </si>
  <si>
    <t>D802A015F96C8A8A1E42CB01D746384930406C7EADD3E7F527265870C0B77C21</t>
  </si>
  <si>
    <t>345F09B4A1D41F9D2051D0C4C170EC59C6D515587A596668D0DC475F1D2ABC93</t>
  </si>
  <si>
    <t>959C1769FB29C917D7C834AEB20E4AE5746062A17050DB1B75416E82D03B39F9</t>
  </si>
  <si>
    <t>4C78880F7806A3038ECF60B7AEF70F5B35B6BB41B9DF5A6E20165F7721A74F1E</t>
  </si>
  <si>
    <t>DC6B0B74D3441BDE03F9ABF1E7B45795EF74860369F8E7DC831478AABFF1AA8A</t>
  </si>
  <si>
    <t>AA44C808C08BB41BE684EF54E2D483ED6C20C4F82F3DF12712E70AEDCC8B1C23</t>
  </si>
  <si>
    <t>343CD6D43951515C8EDDBBEA9F0286EC065FDF458E19841308C5495A761A5DC7</t>
  </si>
  <si>
    <t>B175BF361D832B9350B8EE7BF5CEFB13735BD0B30D5436591C15DDFFFC42E756</t>
  </si>
  <si>
    <t>FB2B605C3E766ABDCD8FE9C4EF3F56CBCBD6028CD160B25E7633505E11705513</t>
  </si>
  <si>
    <t>604B96D8A02DEF76F75F3753A9C6C5A80AB806F1FC79696261955E320D7EFE2D</t>
  </si>
  <si>
    <t>684269FCEA26261DC8BE0485D10457DF8193537C2308BD50A286091BE14D7939</t>
  </si>
  <si>
    <t>4A71661D61E34CB7F7106BE839870F49A5B122345DB1D5D2AEF1343CE810AE32</t>
  </si>
  <si>
    <t>CCAC61399C813F458320E33F2582136A7DD035B4336BEE627AB1381BE57A6CA1</t>
  </si>
  <si>
    <t>A229345DF406F89BDFA0CC11615185291C4E630BB2757ADEF42952510A41B518</t>
  </si>
  <si>
    <t>F17ECC2F9BDEC80D8E355F5E4C5C7427080E3E9A8B77AA57712020F8CF674CC3</t>
  </si>
  <si>
    <t>526602D90FDF58A0F9B94424167B4496514EB95601E8217F67A2EB41B7E21C8D</t>
  </si>
  <si>
    <t>72C1305F0FD011B771F2172BA1749E736EA8F7C112DC07E05FBEAA0D0FD43E8B</t>
  </si>
  <si>
    <t>C8D3E28995AD8D29FE8F75028993031FCB5E346FA838AB79DE1FF2B6F82E01AC</t>
  </si>
  <si>
    <t>8E97A6C189BAF2C60BF480B70A3CB98039B3D49E0915E41CAE3A2B8F99EEBD5B</t>
  </si>
  <si>
    <t>7DD0571AC5E2B5E2CD68AAA22EC1CE698733753460836CA934E2615106747C88</t>
  </si>
  <si>
    <t>698AC71632736EC7DE899C91AB7468C175AFEA182FF25FAA367AD82E1547C617</t>
  </si>
  <si>
    <t>1DEDE3DAEF3B99BF88EF7875BDEB1240D58BCB7269FB4F9CEE8CF4A904425E26</t>
  </si>
  <si>
    <t>AE451B26E7D1F9A7E427990EAB7654D3BD1B2E8E58295C57D5D04486FA01A1DB</t>
  </si>
  <si>
    <t>F0AD972EF61BFBEBC6862B972CDFCA95BBB9A2C4809CD163D9DA5CF7B9928A00</t>
  </si>
  <si>
    <t>0DE84E7E040EBCB792F07C679339C4793BA477BB460D3FCACC6F41527D681480</t>
  </si>
  <si>
    <t>778A018BF3F44C9E42BD6B420EAFA536318A178238F185C5EE23C4A44FC224ED</t>
  </si>
  <si>
    <t>FF3873FA6A0B66AA3328F0DAD720D1BC3E8F3DEBFED394DEB3C7B3CF6A6D2E05</t>
  </si>
  <si>
    <t>C4BD7812A33907C3B00F827CB5DE16BE9CA3E312CA106A4DFE40B1CA91BB8EDB</t>
  </si>
  <si>
    <t>172445C94BD8E0077E912DBC2C568555DCCD7327F4F4DE37439BDC1CF68E9BDB</t>
  </si>
  <si>
    <t>F099FBA3E160AD28675AF66FC85CE0B213CFA292C1E12A38415390550A5DEADA</t>
  </si>
  <si>
    <t>5DF1B25076E94EBAF9D20F29FE16672EF2C1FD0C6A9AE28B4F8AB9C9303A8884</t>
  </si>
  <si>
    <t>8E4382A5B899EBA4E1C14D4AB1FD931AC5CFDEF947414036D79A7F42A42B08BF</t>
  </si>
  <si>
    <t>5589AC65143C00556CD3C61BD692511055E727CDF2BC68421DF24C2A72C32D46</t>
  </si>
  <si>
    <t>875791DCD49859C2830C1FBB13AABFDC4730CED5E7F5D12368AB64790574AFF7</t>
  </si>
  <si>
    <t>C28C0EE9958CD9EA231996AB1A67910D6836E19CEC6C6FC72DF13779A1785568</t>
  </si>
  <si>
    <t>F0CF8145D7312D124C9715FA8CF9C1B5014BB205DF2A00E5D16E1E146E0AADBB</t>
  </si>
  <si>
    <t>C3C85D1BF2B11D1F0EAA2690C9642AD13569D6F342C2DF07A0049B2C0E1A50F7</t>
  </si>
  <si>
    <t>1B09C8CEAB670187F907180454E499A5064A87BBD16EE5B999A5E27C6253E1C0</t>
  </si>
  <si>
    <t>619CD58637933D6B0C9EA75AEDB6338831ADB38FC279C63A7B6D4BDBBD55E83E</t>
  </si>
  <si>
    <t>537026A9D9E7E07535086BA5B6AF718A14106036C9257D3025410037A3422C84</t>
  </si>
  <si>
    <t>9D4C1225B36B6E6C49A0F40B0B177B06F06B47B5F591B5CD2A7E7A32367D676D</t>
  </si>
  <si>
    <t>3B5599489D373E4932E09239E35D533ACAA1E49C85FE577694184DE8715C3B6E</t>
  </si>
  <si>
    <t>3B93909F44875B5296397BC913C1E61AF6D2217CD4C3C6E60BE0F1B83015396A</t>
  </si>
  <si>
    <t>5EB86C0EDE9DF507BF42EEFDBE645B0381FF034920A7BBC0FB2487D0A64A38D6</t>
  </si>
  <si>
    <t>F37D98267D5A939525EB0E0A53C4828850F6C353B80D020C7A7C3882FCCB71EB</t>
  </si>
  <si>
    <t>858064F5B16708C1B1934086C7F8EE9C3BFC0DD53CF4BE3E4DFE314DADC76B69</t>
  </si>
  <si>
    <t>547BEBC270736536999A28CBBD236066D382CFC9725485961DE22ED1909F22C6</t>
  </si>
  <si>
    <t>CF26706BB223494F2A49AD48DF30CC50436519B77EBA9E4E152100AA7FD4B813</t>
  </si>
  <si>
    <t>99B9A8CA709119E4F6377079D6B6024E34BA63F8AC747D4543BB83D3083B02AD</t>
  </si>
  <si>
    <t>8129695B23388DF475A068884567409B9B2D605B7035E184AB76719076C2A0AD</t>
  </si>
  <si>
    <t>7596B685A8D5464A8CB68BFA15000263BF7AFE42703063650B6FB275D077FE42</t>
  </si>
  <si>
    <t>5F4B07FCE4E4B8BAF02F721BDE2CE34E16C094FD3D03E6F8D191CABA25CFA141</t>
  </si>
  <si>
    <t>F97E27D36359E5771DD0F81497E09D9BA6B1B2DB1D980FBC1DF38C957D8F8A3C</t>
  </si>
  <si>
    <t>A7B629E38B319503DB02CDA9FF219A3511D8A6A7F232537D20DD298E5B51BBBD</t>
  </si>
  <si>
    <t>0DDD110A1A1AF1277004E394F3AAEED6B6C498A4288C5230D8FFC6DDA99F17FB</t>
  </si>
  <si>
    <t>C30670E47821DE29F6B9C52F507478CC3150CFB2D25AE2EE15C45B85F7F54671</t>
  </si>
  <si>
    <t>71A61DC715E1C6C75FA42BC2071A1A41E5D3F62CA9BE71B4E7B3D07F4553B38E</t>
  </si>
  <si>
    <t>0B698FDF1028D300867AC936391687C8FAE934D15BB89683E04C8FC5BBEF69FE</t>
  </si>
  <si>
    <t>09805B63861190D3C2CB5210E77C89AA3ACF277DFB71C871ACD26AA7081875F3</t>
  </si>
  <si>
    <t>1C3700D33AB5C70809D13570DFF8BD61808370D7C61FD2290AD093F4DE08179E</t>
  </si>
  <si>
    <t>5BAB5177DD3767E5CD09403A7CAABDB76700A09C4B9720C4036B03725C274F6B</t>
  </si>
  <si>
    <t>13E1F19DB993DD795D9553F6B3C51913184F4DDD8B5E06C7130B40B35F67268C</t>
  </si>
  <si>
    <t>D9D9F1D3CD40988005F740B42FDB66581E414CE44AF5CF130A013BD4AB247DA2</t>
  </si>
  <si>
    <t>A1E0733DA8B5A9F589927363EBB48806DF4F808343925E5E092280BDC60CB1F8</t>
  </si>
  <si>
    <t>B1BCCDE5F10F03AE2ECA627E6254B7C0EF20E2C0CF4E207A96BB394FDBDC6CBF</t>
  </si>
  <si>
    <t>8314D2151514B27A0835816AE3473CF19A54E1750305665E499821BAF078CB1B</t>
  </si>
  <si>
    <t>13CF60E0516F5DF408D3B7FBB7D7B1C1C63D403737909CB7DA13BDB7F9F63283</t>
  </si>
  <si>
    <t>338A0E41AE8B8638167527E6EB9CDE8A83F858E4C7F55DAF3DED707516BD7416</t>
  </si>
  <si>
    <t>6189631DDA03180B7D5304C2B6EB023B330ACDFF44CC46D31E5A33BCCBD21121</t>
  </si>
  <si>
    <t>A958612577F768FD58906C7C9ACB8FDF18E809BC3E0BA478D275460B7F051EE2</t>
  </si>
  <si>
    <t>DE00103E6D7E6BAFB8A88F14589C6E642E2B7B31F46391E781106A98F50525B4</t>
  </si>
  <si>
    <t>6F6D0E5CF172E35F449A48141E1ABC410D0DF3488DE8A4C19BB760405E734950</t>
  </si>
  <si>
    <t>08CDE8E45776F220D99182F6DA10C64A50E50DCB923687D6776976CFCD1C2FAE</t>
  </si>
  <si>
    <t>02AB5FC6FACF17F4E366947B300D2E61ACCB386250FBC615152EE8182D1AE202</t>
  </si>
  <si>
    <t>2A4BB6FB344673255CAC0109FC7499605E6723AC20BF9C3AEB9D978BBBF06A00</t>
  </si>
  <si>
    <t>288FB651615642650F6179A9F26B51BE1E169F72D7CC8D4CF3906F3F8ECF2EE6</t>
  </si>
  <si>
    <t>610DE2E7CD15B7A87F5569B06F3190800BDC3520926C1284AA6AFDE38DA095A1</t>
  </si>
  <si>
    <t>4921B5F8797B2B1913636433D27C53FFB29A4B9D6211529F4DCF70BC0127D653</t>
  </si>
  <si>
    <t>B0D643233F7CA0FA6423CF1495589095D2981EF9BEBDAB49E9D701F5A6D0B049</t>
  </si>
  <si>
    <t>B3FF7B0098BA1A05BCDA50A2907134E05EDB9771C730317EAF961C5F126E8B79</t>
  </si>
  <si>
    <t>72F15BF5311227BEF33D5F90E7FAF1B5CF02FAC04239CF47496453FD2C74A1EA</t>
  </si>
  <si>
    <t>8037D86C60F5EB4FE53EC06EFB17AC2C75AAA78A3B23B61361ABD0EF37D32F4A</t>
  </si>
  <si>
    <t>1C53080314957F3C9E173AA7BECD8CC6253A7873F2D84941CA92FCD062052899</t>
  </si>
  <si>
    <t>803524B51C56D8BC44FAE94CB4FCBE02E133D14349A866E5485C0ED9DC903ADD</t>
  </si>
  <si>
    <t>8562D6CFC7C2509172DBE2056751CC47F48BEDB58E165ADB1384B59CD28F4871</t>
  </si>
  <si>
    <t>EBA0B89F5FCA99C249647FFA013E15463BC6A72E4065924823297199FC7BA16C</t>
  </si>
  <si>
    <t>436FE66CAAA7477BC1447BC85BF31972DB702CDD7B32C73264BE610ECF3A2D79</t>
  </si>
  <si>
    <t>59DF1F63E37BDB9B2822864AF5B5A1B65393002251EE4E4EF63AB03204D85103</t>
  </si>
  <si>
    <t>2755B82B8EC477810961774F918387833DF762C1A59AAE0E56A513C4BA5ED0F2</t>
  </si>
  <si>
    <t>525B471028DDBE57DAD2E803BAB27BB8A28B2A54A3EF7BF798656235AB36DE05</t>
  </si>
  <si>
    <t>07961FD26428AFF3D99C4F6E55C264E0C43745BF4701545E80FD9AB5E8C78CBF</t>
  </si>
  <si>
    <t>8F634C459EF840D6CB259B4D242BC4F9106DC0A1EC3410AE4202E18CF3E6FE48</t>
  </si>
  <si>
    <t>E9A698627E6990CE796E44E2399CC74CB0E62B7AB4F82A53B51A45B9F5AFA1BB</t>
  </si>
  <si>
    <t>665CFE48D1234BCC8E4E374B321A28E671201F5666E7BB8BC895687D69BF0459</t>
  </si>
  <si>
    <t>96CB65D170629AE4056D8D9F2F72E645B1EE6B163DB4D10157C4EDF791C6DE29</t>
  </si>
  <si>
    <t>D5C1B78F9BF05266FD548739CA6A4FF78E66AD7D2581410E48C5257CBB57C78F</t>
  </si>
  <si>
    <t>13E73169D376ADF4A514F6F8FACD73809834DD8F54AE91DF428B983AA1184C6E</t>
  </si>
  <si>
    <t>B1D059264C67596EB9EF75AC1B0CCB8448F01FA2A166BE2348755D7BC1D584C8</t>
  </si>
  <si>
    <t>4038FEFB847CCE7E6ACD607133B3251D4C8A06A58AA9D17E182AC65B9AE334AB</t>
  </si>
  <si>
    <t>2EE1F4D0571E046CF66E3095A06139E1213B89B65E499AB2F9A3738B0424F06B</t>
  </si>
  <si>
    <t>32816B413689BBEF5612C13E782AFABCE70397EE2FC3BB4B45B434695D080AE8</t>
  </si>
  <si>
    <t>4DF064F789962D5696D5D3A6D6A20A4EBA23C3D2F4129B22C120104B27033149</t>
  </si>
  <si>
    <t>8752190055585EFB123A8A68D4DC640EE0BEB68635A2C42F7197FEF557F6D4ED</t>
  </si>
  <si>
    <t>DE286E95CC7741488322C41B79AA95E2A2D2C1D28E269DC8072D1E24F686CC13</t>
  </si>
  <si>
    <t>2A7D11CEF242C5A63FD4CA3A2577A3EA1725061983EDDDF6C1026113B620A959</t>
  </si>
  <si>
    <t>842291347CD8F9DC357F970872A7B46B60CFE8A53DAECAFCDE4C7FA3B0A8693E</t>
  </si>
  <si>
    <t>3C380B6AF77C3009937B8C8AB74C8C75443CA1E16617E81399FAAE482B0FF1DC</t>
  </si>
  <si>
    <t>21060CE070F840294E4363C17282E1C7B4C2D1A5468B9CC43903BE93BACEEEBC</t>
  </si>
  <si>
    <t>1F6DA6FFFDA9BBE1D5BAD00F7E7CB3D87912C957DE0D0F616CEA44D030C13496</t>
  </si>
  <si>
    <t>BC6D7FAC330A50E42A7A71DBECBFD73A72DA91901C17BBC0547322986FB91B6F</t>
  </si>
  <si>
    <t>0CAF2B52CEC101BB782C6CCB83E535890CE9E7FA9709576BA811CD51A4984421</t>
  </si>
  <si>
    <t>0DF0C84B3048ED22E76EF9EEBD62A30C8C9A4613B12F475AEE28470467A39682</t>
  </si>
  <si>
    <t>055ADAFB2EB1933653BFB196DB871F280B687783AA34EB983B302956950BE1E8</t>
  </si>
  <si>
    <t>7513FAD0497F901612FCC3E9810BB6AEE916AF59C3D8905A520BEF133BD4DCC0</t>
  </si>
  <si>
    <t>0FDEA947D41EFFFFF9AF6CB9C899EB8E258B02B02A9BDF3F0403633ED2EECD12</t>
  </si>
  <si>
    <t>113F1DE1051FDE0BB54EC791800C561AA455CB7F05A115AD441F1F43417BFA67</t>
  </si>
  <si>
    <t>CBB09B4F709522DB21D1D49E663954608EE2E2BDCB20E5AB6D19E7E8A4F3536C</t>
  </si>
  <si>
    <t>C56E6BF680C480FEF6CABE87E27B5938313017EB5BC2AB3DA54BDD0B50D109E1</t>
  </si>
  <si>
    <t>2E0A7720C8D7DE4194125EC1FAEBBE3499C1F0103EAB6F99FA8C70FB8BE68583</t>
  </si>
  <si>
    <t>7122183337537760CA375D6AAD6306BE01A03D75E3F38C7AA331E4AB4E8F8C85</t>
  </si>
  <si>
    <t>1123DFBF0AD6426F1D4D611D4E02AEA80CFE401CA401B455F84A04F34E570070</t>
  </si>
  <si>
    <t>56FD5DF3405F02D7C8E66324C7717FE757E96C72BB84DBC8B960786C31136F42</t>
  </si>
  <si>
    <t>48E03D8233601E9B882CE46E77813A0169F343AC8C17D27CC1AFF18DD5706133</t>
  </si>
  <si>
    <t>367AF01CE38C34A7DF0125D93A490971350961F5D2451488A3F23432290508A4</t>
  </si>
  <si>
    <t>1473E5BF3EA70A006572AB6313DC32B6E6D89C4F62ACC318B38A70D7D06C5372</t>
  </si>
  <si>
    <t>EB072376751864E9DA21E5637F14C6E1B50DE4203FDFC53A992DEB955CDA58F5</t>
  </si>
  <si>
    <t>E20C6F35E31B5478D7C9BE3BD3186B19A73130902715E77EF77FC8FD37EDCF00</t>
  </si>
  <si>
    <t>C202EEB82939A1D8551C2A1B917F937115151C65CE4C53D2563F148D5D6A95B3</t>
  </si>
  <si>
    <t>CFBD9923FE0BB651E181240467862F2803AA06AE45874A7CB3FA841C7D72EF49</t>
  </si>
  <si>
    <t>3FA441ED805E25CBBAFBCA2CCA015C999ABB722DF095582ACE2B5FB91EE7B2B6</t>
  </si>
  <si>
    <t>2A5EDDEB3FE37788E486135DC464D3F5E4F53E4D29980F2E346DB546E54DE67A</t>
  </si>
  <si>
    <t>4644B227875AE2E15D9CD8B74AA396B2C9D7E8C24F99C9443FEE484C844E1954</t>
  </si>
  <si>
    <t>2A1FF4F2A2FFAC7A190F28F03AF39C07F33EF9F0C945A55572049BDD69EFF5E7</t>
  </si>
  <si>
    <t>C94F6FD62D9BD04CC1BD753E27FAE2B13D453310FE1930D15D45F68966B19EB1</t>
  </si>
  <si>
    <t>A3001F3849D0B71A37BE92BA688FA4688DF339F1DFCD42E576214F83AE4F469A</t>
  </si>
  <si>
    <t>E9397661EF2DC547224978147B339D924648AAF9ED616B74EC8A1A067D702662</t>
  </si>
  <si>
    <t>B91406505FD80E0EDF6B7B03CFEA142CD5311C0A36AEEFBE3BB100A0E2ABF9A1</t>
  </si>
  <si>
    <t>896B1D956BDF5B4B53FA294E2BF06C1085FCEDFA002573217DBB7198AEAE8BFB</t>
  </si>
  <si>
    <t>B9ECDABEFD43B42BD8B935AAED2A2F8B081ED3B17152851074167C331FFBFACE</t>
  </si>
  <si>
    <t>81D970855B56056B09BF506CBCDB4E30BEA2D30180697475D32EBC294FC0FABA</t>
  </si>
  <si>
    <t>08E89EDA9563F97C58E6A9E8FC43878425A5C3DD236023C033D32D31F9EA2EBB</t>
  </si>
  <si>
    <t>55A43A6C69B09C29D6373EA74DE3D7F51F1A53DF7B9E0CA1597DEB69CAEEC373</t>
  </si>
  <si>
    <t>9B562B1DFFA4DADA6DF0F6C42F4BEAEBCFBC8B463D303C83429A253D1DD8B613</t>
  </si>
  <si>
    <t>14E4E7EDBE7AE14927BAD5565B3405C40A6CF5E625BFF083E638B0841185B01D</t>
  </si>
  <si>
    <t>70CE1302E7E3D6AF0FB8EB2C748E3581EB4338799A22B989E6F8B63F17631B2B</t>
  </si>
  <si>
    <t>DA6C12398369C24C29CBE5B83666E4B1F0FA43C1ECB9E2AA628C54F5EB09D5E1</t>
  </si>
  <si>
    <t>AC525C95B0E67F95CE7EAF0EA9A73F69E5DC6203F7062040EC62CEAD3B8EF786</t>
  </si>
  <si>
    <t>625EA42234435C2B0EDE25161CF241FDD8F5D95A7BCEB587C720F8747FE58BF2</t>
  </si>
  <si>
    <t>898F46F10337A3C98A11A11F6AB62E3648672A604CBA4B0912D1F15CA78964B3</t>
  </si>
  <si>
    <t>463BA471E2E1E75785984D316FBE527B7796419B41638259CB1CE9F9D866BB3C</t>
  </si>
  <si>
    <t>4B1CBAB4E6241FAEB06A62E00FC491D7E137942DED5A8ABDC1357EBBCED9736B</t>
  </si>
  <si>
    <t>ECED0F015A16CFEFBCE241F89726B3836CAE25E68095267D26F8CE1E2C54F0EB</t>
  </si>
  <si>
    <t>A6ED1033AD59463A51187D987D31EF82D01654E8D93AEAC5744C82AA7A9EDF0A</t>
  </si>
  <si>
    <t>97D0F22682C316E76322C4FA2E877D5CB0E7B92669482E157DB7C961F57EAD8D</t>
  </si>
  <si>
    <t>5F2B4B0AE935E95390B60FEAF9C63BC2F20FACE62D36EB7EEC47E235506826F0</t>
  </si>
  <si>
    <t>B5B2062225B178C4412AC6609236E6FA966C031CA06E63F590C36D2CC60D51E6</t>
  </si>
  <si>
    <t>295EAB4BE26B7C9A3F947CDAF99D1109427E263956607E285FE3AA980FA3E06D</t>
  </si>
  <si>
    <t>9056872AE9F95D90AC91F47FB333C95B2CABE1055B0466AC06AEE4FCE726FDFF</t>
  </si>
  <si>
    <t>7A1543033CA9E50C7BADEC7F954B21AD789F34A9FC17CA28FAD0E8809A09C203</t>
  </si>
  <si>
    <t>57F5908F1FA1F1FBCED63554B3440DC9575050F82F271396CD658D6CC1377F74</t>
  </si>
  <si>
    <t>7EFE2C97811E573BD03489B03471366EC3E970F37A5824E7FBD147E5C19EED63</t>
  </si>
  <si>
    <t>1F67E304227C2A1C756156181FA3D34BDC9CDD56BEFC5334F989439CFA0ECFBA</t>
  </si>
  <si>
    <t>6F9584C24F66EE6894183B5B60446048EBEE9A1CCACE06A481D8E5507D4ABB15</t>
  </si>
  <si>
    <t>D406A3D75B8B4F499C4668286E5BC0B7808FCCEAF896E59B41A312679ED776AD</t>
  </si>
  <si>
    <t>CF0EDA403628E3D5D90A3A00D932A0F91C5CD9A983D8A8C50A90BCDB0677E32F</t>
  </si>
  <si>
    <t>45117254834F0BA5D537338CAE5474A66CD0911D89A8FA9F22E30927A4F85E50</t>
  </si>
  <si>
    <t>713C9B78F5B94D340A19914B593DF842D5422A37EFAE96D908B45A0D99BEB894</t>
  </si>
  <si>
    <t>E4E45B11691D9C7BBBCCBCFCA9EF01614A24F8E321A270DF1C426C3A779C6867</t>
  </si>
  <si>
    <t>E7E9DECE184DB444562427DEE29347333E8F5DB50D7C46CC56327CBE83F7FE0B</t>
  </si>
  <si>
    <t>38D41F1D8F100D2DD3A73F454D9B4A254333677CB047091EAD3B425917B2BD67</t>
  </si>
  <si>
    <t>78DC64CA2D17A13D1D314F70F7E1BA60E4ABBC9057C439E8C1EB1397EE1AB292</t>
  </si>
  <si>
    <t>2312BD8C03A00BDEAF10FD457217BD4CF56C2DA6178B6AA3A91656F0432A2E07</t>
  </si>
  <si>
    <t>70607B36D4B75551BA90D695ED046E42A5C76A08B9CB5AB60D4FA0859EDAB0BE</t>
  </si>
  <si>
    <t>D5A4839070163F2F11216357866AC9F66FECD1642DBCE0650467637BF4858CF3</t>
  </si>
  <si>
    <t>B572A385B83D12254B777557438346E9B5EBB615D52C3A2AF7A81133CF8A2C7C</t>
  </si>
  <si>
    <t>EB53A86C1B57643DC43699B048F13F1AA748BD5F39A1A2409869F8639D5D862B</t>
  </si>
  <si>
    <t>B5772CECB892F484FD5A531402F074B8AC795CA0B14B6B4B3A8250B61A98D9F2</t>
  </si>
  <si>
    <t>7F9B4191AA2C215B79C8FDE9C73543C1AA12D331F780CB65CC822C2AB2F08DDE</t>
  </si>
  <si>
    <t>8EC0A96139EA40C46E6EBB64862882AD6FE76E38CC1FB87E6AF202611E55FF28</t>
  </si>
  <si>
    <t>A34B522FA9D77F70CAD9EBE69C57B3084A0DC9F4339A11B3B557A60B5AF90A4C</t>
  </si>
  <si>
    <t>0271544FEDD12370CE7E7570A296C1267A9C92944289E3BF870037BFFCAE5A06</t>
  </si>
  <si>
    <t>E9511A4961751C332916D0D9F4FDD48B04403BD9C05D3938AA7DBDF5D3A7CFCA</t>
  </si>
  <si>
    <t>C9B58E75538B686FE7181C152F049C3E009AC0CE65CAAE977784821BEDA78496</t>
  </si>
  <si>
    <t>E1B985A4A4543CDC570A5F7912DABD1396F7850DD2C1C283D5941FC8027A717C</t>
  </si>
  <si>
    <t>A2B1CF1EFD02BB63F43C83692FCDEBDD8741B1E0F78EA3DD0956B5AA7ACED0C0</t>
  </si>
  <si>
    <t>9888E4578D8274DF0AD1C03B3BB91DF36ECD0B923FB5B4A11827F9DE7DF992F7</t>
  </si>
  <si>
    <t>862ED36E1E6F389B62B99D1158857EA8F182A348461A9990A7357DB9A0BFEDB6</t>
  </si>
  <si>
    <t>313AB02D40D0E43149CC73EF893B102894EAEDABC4FC6B2BD7ED7AF706334BEF</t>
  </si>
  <si>
    <t>9C8D689747F6F9657A4E33F35B00DABE2F199514F087EE51B638BE335EF57E89</t>
  </si>
  <si>
    <t>F4B04E57E5D413B4E8116E4040CDF8D15B8F3C10F9C1193F450F7CCCE3BC4684</t>
  </si>
  <si>
    <t>88427CE8554A91FADF7AE2903D5957C7EED6BA0AA0CC9ABFBD245EF008F7A783</t>
  </si>
  <si>
    <t>80EEC97EF392BCC86980F233B686F1AAE034708E15EB9781A6D081C116D23845</t>
  </si>
  <si>
    <t>5397465A781136CA6A2C2E96F24BF3DDF9BBF8C2AE50D58B9B5466F4E10C949A</t>
  </si>
  <si>
    <t>4C1902A6CED81619500038143C8D820B5D8FCCBDEC37150ED394E4B2144D8FC0</t>
  </si>
  <si>
    <t>DB0CF4D86AA08F588DF6950FDEBF6FA082179077AA127CA23B2311421E4A17F7</t>
  </si>
  <si>
    <t>4472BD1866A46C420B141B47CBAE3714847A8DD51F7AC5CA82906E22D6629A03</t>
  </si>
  <si>
    <t>9ADF85FBEAAE49763EE16B0F1351488988679BA828E0B73D8E426220D2B7A218</t>
  </si>
  <si>
    <t>419E61D46E933A78B4AFB82A6404C924D71DB462DE5C7200594D7A439F07B86F</t>
  </si>
  <si>
    <t>F82F4C23E19EE10A20DCBFD673DC6717B71B4FFB8ECF4F76CACA0F98B81BE37C</t>
  </si>
  <si>
    <t>7D7F4728BD8B94E1F393B2B19D0D8AE077222ADE25962CB9F874AC5252AB3D36</t>
  </si>
  <si>
    <t>2FDEC35FC68678A09D23402336A51FB268960BC39200D58B2ABA85C920C50A16</t>
  </si>
  <si>
    <t>B99B72115357A56165BF1535E441FFEBAD8086E1ACBF234B96C0E32D3A881F82</t>
  </si>
  <si>
    <t>D436A677B04ECF4D22EBB74C6BAF91103798E796DDBB5272F62D7C7520F64984</t>
  </si>
  <si>
    <t>460BBEAF85011C69CCF25B0929B29FB26F13EC681AC375A0D50FF7FB978135D8</t>
  </si>
  <si>
    <t>17C4BE520E281F25B0B9AEBCDEE6B55A98EFF974376DC4AB94F428B8A60E5E8F</t>
  </si>
  <si>
    <t>01E66E63B9F4B1DC44FABEA5B98F650896B92761EBE3ABBA4FB4D06E52278C49</t>
  </si>
  <si>
    <t>023015A10368C38AA35F509C851F293176EB6BBF2E52F5543A90F2D641737C95</t>
  </si>
  <si>
    <t>23E6FF8382BD30DA6AA47E75D2EA5DD0A1F9032581D6B14D4E7CE021F872CECC</t>
  </si>
  <si>
    <t>230CDFFF5D512DCCAB84F6699A0B448142080DC2B75B951F163AA70F2B69F489</t>
  </si>
  <si>
    <t>062F539692E6F25E47251FE99F06CC60060827A7CD64AA201196E10D6B3590A8</t>
  </si>
  <si>
    <t>60BE0E3922F0AEC370D188F513781FD30E3B129800621825B0800F03E4B14C35</t>
  </si>
  <si>
    <t>DCB27835623C3019A47EA72E65902FF1F1CD7E95BC398E2AFB740AA9B44A6C8B</t>
  </si>
  <si>
    <t>ED6C5EA1360AEBF67E51B34D94A57254397918BE4251FC94FFD5F2BC71125C30</t>
  </si>
  <si>
    <t>617931DFFE4A6E43B984DDA70BF80766257D78F39A8F8F3870A00D21A7BCB747</t>
  </si>
  <si>
    <t>31E68E7D47870EB831180F90918BAA686E9D11497C1AA50DFCCA9B813488F6E5</t>
  </si>
  <si>
    <t>B33D9F24FDB412B4E31D0F0CF6053CD02B42D6A8BB92C391669EF05095376FFA</t>
  </si>
  <si>
    <t>411ABD7F8A2FDC9E762C548783F5928B7398C37D133C25055DE9D8FEBDF0FB23</t>
  </si>
  <si>
    <t>581895365B90F8F8969FEF182ED405A4ED5D2CA1E547DE0CB29B38198FCFF956</t>
  </si>
  <si>
    <t>81FF4DD6FC75318B4FEA9FDB29BB27D2A5AF16F08E04D6660533ED4BFAB4F11A</t>
  </si>
  <si>
    <t>2B3A2149CE127492E2287F3B10DCA64FCB350A2BE234154F118058AAD4C14EC3</t>
  </si>
  <si>
    <t>E3CBA276D386D3BA0D05A0720E41C2EE46914EAC900D019496AA92C068116AE7</t>
  </si>
  <si>
    <t>D8AEB2351782619BA2D164C140DD0D2F742879C348F22314B09B0A1D6029C8CF</t>
  </si>
  <si>
    <t>D41C22C169266D5045CFA80DED98C26DB0047B141D916732DBADFB615F5C28BC</t>
  </si>
  <si>
    <t>3DA9492672CF131E024877E0EF1DE513C69B76818B2BEA720021D91B293805F6</t>
  </si>
  <si>
    <t>99998ED04067601066BE5B54E86B745579C04114EAE1179A93DAABB417540119</t>
  </si>
  <si>
    <t>30BD8140B0AFD7E9BFF327130F49214C05DAFA0CBA249F5BDC17465B56F3001B</t>
  </si>
  <si>
    <t>1F08ACC77D940C424DCE4B8296AB008887C9CA92C2B28A0F57C7F6391CCB208A</t>
  </si>
  <si>
    <t>5F94E13E43F81962C5F5B8729CB19324AA23DB0C4E62227B0C7CCD1227BE6614</t>
  </si>
  <si>
    <t>78BC66D85F5B2B13050E50A9092AE06B74C00F7DC34617C552C04C5BC82AE406</t>
  </si>
  <si>
    <t>799FFE5EE6840E6BDE3C2DFC0367A7744ADBC031E137A44987496C9279174DBE</t>
  </si>
  <si>
    <t>FB5D95DBA222CFBB72FA1C8307F0CEDAACD348D5A8802C0E593344916AF2AC60</t>
  </si>
  <si>
    <t>896A30254E6DD4874E6B5E6C7293B236B707240DD9AA2310C3D424517C8A46A3</t>
  </si>
  <si>
    <t>8F932F25E9ACFE53C2D9C8F3E37C20514B941136F298CF827A0AA8C11E0D203B</t>
  </si>
  <si>
    <t>9DC54A3EEB5BA3C612B74B8E003EE1AFEA179B107B6841B3C46D3A0C377E89F5</t>
  </si>
  <si>
    <t>84C4152B12F2468CF50BDEAEC7BBD23BBB9127483F13166F83821BE3C88326ED</t>
  </si>
  <si>
    <t>AF916FA341CDE1A04F4472539C8DA928E3A09772A1242CF6CED4947F05530C95</t>
  </si>
  <si>
    <t>E23C4BD0B648FF01714F65EA9E91D833CE30DCA8315E3CC23E6B95173C5CC7FD</t>
  </si>
  <si>
    <t>C55BE7D195DC8755A494D882B6D6A35A7FFD00A05BB36F4F7A87C150BAF2625A</t>
  </si>
  <si>
    <t>7A4F3283450D322D211CFE443BD416443DF6EC39E41738AACD0917F13BB5A232</t>
  </si>
  <si>
    <t>BFD49C2D3F5C521E70A7E22D655ABFF45216F1425D246C72FC9829D2EB43F1BB</t>
  </si>
  <si>
    <t>5F28D3F6AAD4E8303F0ED1EB25B953F302C7F7413CE945F1A52F28749305B156</t>
  </si>
  <si>
    <t>C9ED4D6A9FD5BA75DE1AD09DE8A49AFB2C11B58CB2DD481F0D452BB2733053BB</t>
  </si>
  <si>
    <t>DE3D06A0DA7C07310B9BBCCAD606A552A15A5FBB4B52DDCEAD99339357000D5D</t>
  </si>
  <si>
    <t>8258FD1E9E73C0B8704CCDFC78483CB0DD070818E9A98BD2678E3FBB37183558</t>
  </si>
  <si>
    <t>F06250CE57C4236428D1994147270E28F70A99A14B1F91CB065E829D8A46456F</t>
  </si>
  <si>
    <t>9F74BB6A9ED7A2FE740649F5E59AC672E282E38ADFF22321C31CAAC9D4FF02C7</t>
  </si>
  <si>
    <t>7B9B26B1758592DFF0F575AFDDA0F636C20CF7FD2E45BD4DF8E7C92DFB3F0999</t>
  </si>
  <si>
    <t>56FDB0AD2DC10B110A5D1F4EF9C45F3EBC53515B2BBBDE266A6159D3B40D2D0A</t>
  </si>
  <si>
    <t>8262AB94EE39EF3071D9B5934F7919821EF36F2B9AEA3FFFB20FCB70326BF666</t>
  </si>
  <si>
    <t>72A9FAA8FB545C333B7935B32D9616B5D44DF4CE3839B45A3397B705173933AA</t>
  </si>
  <si>
    <t>49DA799E0AFAA55DC0C45AEEC274E487D6D57A0F418A605EC29145EF56EDFE03</t>
  </si>
  <si>
    <t>CB2CC75C40FDCBE6F71A5E9DA2E10C8C1A8111CB7A48318CEC4E598A7E0D2AA9</t>
  </si>
  <si>
    <t>9D7466FE3D6FD6AB3F3DD41023966059F79FD09E1A46E4C757F732EF469155FF</t>
  </si>
  <si>
    <t>C4066FECE00EB762A5E79B0287CC8C856CC3DD112AF45C142CD3E798C0BA86A9</t>
  </si>
  <si>
    <t>D19676D06AFF24AEEADFEC3DB713F0D79581439DEF1D6B761C741D425604E8A7</t>
  </si>
  <si>
    <t>5EE7697931C7B50638D3550D5361C24F8FF48D567154762CA4358F4E4A30E008</t>
  </si>
  <si>
    <t>45C86482D36769DFE25DE1EC9943A068F512F34A7D878716AD900B520B4D5689</t>
  </si>
  <si>
    <t>D923795F0CD99EF8CB1829E16548CDC0A909C6C2BFDB54C181F60C49F6863765</t>
  </si>
  <si>
    <t>2CAE9235EBE84CB8F00F5E98EFD5A75A08EF2978A0721E9CCD77AE7D45C1B6FC</t>
  </si>
  <si>
    <t>E3B25927ED3DDF80FCE2F365F5EBCCBDB0077EB8CD448A1985F1B0BAF36062D4</t>
  </si>
  <si>
    <t>D8CC9687D73DDADAADCD249C10D0F10B3E956F70EBA005F8618EE6EB1BB77C03</t>
  </si>
  <si>
    <t>F0D31BD7434D0530D88ED3664DD1B37E9DBA13DBABE14280A23335BE4978D503</t>
  </si>
  <si>
    <t>6BC8197C1BA1A547E21E2DA2800D6796C64CCF7F89E5A387E1FF95593E20BA45</t>
  </si>
  <si>
    <t>ACECEDF3E516392125E6FEF9C047FF2253434C601805214599C00CD009CCF8D9</t>
  </si>
  <si>
    <t>588725641D53296BD2B084D5ABCB596339181F2B71F2906CC898642570BDE374</t>
  </si>
  <si>
    <t>90AB799748DF7AE4A36EB9A33C2DC3B6747D764176099F70EFD783F936829C7C</t>
  </si>
  <si>
    <t>0AD1CF37F2B9F9202068A5FAF6941B6ECE3C1E58054E1E02E3C63228EF19ED66</t>
  </si>
  <si>
    <t>728D52F12CF7077F78CEBE36A8A85AE0DBF656E9A0A8BB1BB6A502FE86593CC7</t>
  </si>
  <si>
    <t>19703867BC32CE46D6B8B5B7D935D466CCFA823B59EC8CF2C84C3294631F3BD9</t>
  </si>
  <si>
    <t>86CD492F7B5FE00DCA8A0945E34F5734981F1A71D4317486EABBB3C0ED27107C</t>
  </si>
  <si>
    <t>918F32382F2A82524B9EC4DDE5B83963B1CBF9CED0D82EA02E2FE7EE9E715112</t>
  </si>
  <si>
    <t>DEFE9C7C6D134F9A0E660C1B1D3FB6168A9130F64B6AED25C4D3AC9467197BA4</t>
  </si>
  <si>
    <t>459C2B3AB140D0A699C378238114FDAE8E8DB1B2216FA327F5B0968598821556</t>
  </si>
  <si>
    <t>2FFEA1844B00933EB18B1F501A57A44A1039E14BE31305B2A95C094CFEE1327E</t>
  </si>
  <si>
    <t>66A02BFAF35594875CE3FEA05BE4B1F4F64B3B047E98268BC7D38325C47C7698</t>
  </si>
  <si>
    <t>957D5048691072CC970B1EA7311CC74D5FBDF89727357BC5939FDB41EF5BC4DD</t>
  </si>
  <si>
    <t>09B5C178D8C9BF77CDD043606744D516EC8ED748E74AA66ECE752B51331A8980</t>
  </si>
  <si>
    <t>1DA4B7518FD078C05858F55D56F3C4EB93D3F8E96B99BB9B6DD3725BF2A40009</t>
  </si>
  <si>
    <t>B8B74A767F9D9515DE733E962FDB36134F16651465830E490241C413ED07984A</t>
  </si>
  <si>
    <t>D35DBEF201084D5C010DC6ADC891D5360335AFE0BB00D045432884B40C6159DF</t>
  </si>
  <si>
    <t>63845459D2020C87158BCCBAE8B28C368391B67BDF6D18F86732C9A11CA3C2D5</t>
  </si>
  <si>
    <t>A0F45D9D2A87F2E947A6938F3F3C42793EB7B8B99C8B2BB7954E96A6B38AA756</t>
  </si>
  <si>
    <t>0AEF25B74486ED6BE4C8F7783B65ADB934C382AC6DB384D7DE0E85F013497AF1</t>
  </si>
  <si>
    <t>D62FC0802D119A5380FCDCCC9D67DD72CFABD33A91C79EDEFDC1D21002A9695B</t>
  </si>
  <si>
    <t>8A1E765A2B0CCDE5090035E38FC4334BB469DAB7253DB4EF5CAFAB566723B8F7</t>
  </si>
  <si>
    <t>26DE4AEED9837F0E50718DB6BD959654BB16EBD722FA65AFF8D80DF598CAB5BC</t>
  </si>
  <si>
    <t>40808B94EE176B703F23722A293CD9A09014472F164D2029C705517E407E9886</t>
  </si>
  <si>
    <t>84D60ED232965E584AEFC3C591276AD99C2279F65326ADBAA664D226B06E025D</t>
  </si>
  <si>
    <t>2209F16F15AD5DF4D2A2C2A1992AAE5E9C2E2836546E82DAE882E250E05CE82F</t>
  </si>
  <si>
    <t>C23505DD8BC87CE127261C06B5EE0A144D0736531417EF61D142E30355C90CDB</t>
  </si>
  <si>
    <t>850749C320DEB0C2059604C2C0E2A4E31B6EA77D5A6CB964B744EB5A18CF3FA7</t>
  </si>
  <si>
    <t>BD2F0E0B15A9FFECC9BD6D264223285FD728C766EE7E6FD0047523A1477EEF59</t>
  </si>
  <si>
    <t>DCA6AE055F9EA0C6F544428B82C51738E55FA1DD179F1F7412E4945AE6B82568</t>
  </si>
  <si>
    <t>50A518F49AC736E322E052FF024BC47871FFCE7600768F3649F086445F160B1C</t>
  </si>
  <si>
    <t>4202FACE828B88DEA318B5BA0079C3018A9147FBBB1C085D00E0650630CEBE90</t>
  </si>
  <si>
    <t>D9A858059A7E3016D91483C8C7D563E07EC1DACB6C59BD28790058F66C91E4FF</t>
  </si>
  <si>
    <t>197CD4966941E9F03BDD4AE0956351B36F1ADAE7E9C6D5225EA2D826EF16CE33</t>
  </si>
  <si>
    <t>B134E6B0F7D0D1020EA6A6C46D5943B06C189601E97114FD946E320DD6EE6516</t>
  </si>
  <si>
    <t>6AB3670104D048441CDBDC0DF066C1296B29E7F80AA04C8EF9F6AACACF95075B</t>
  </si>
  <si>
    <t>E6C7CAAC5213B74655DBAC0A6F25BC570347D73A8325C45F9ABC70B864A29D8D</t>
  </si>
  <si>
    <t>4CA8D3A2B6FDB2123D7F455932443D1E43A98784307F212F1897A75C0828EDC2</t>
  </si>
  <si>
    <t>C22AEDE097E62C37A3B7A9374B617F462F0BBFEFE0EB93D583F6CEF4D8D575CE</t>
  </si>
  <si>
    <t>41CDFD9CFD4DE9F1347AB21BE565A537DB37DB1CC86B29F6C9545051D5720E98</t>
  </si>
  <si>
    <t>3D103F159AAF64D8A3383275AA2B6211738E76BD946DE2B1C6E1B5F320F83E8C</t>
  </si>
  <si>
    <t>EC2DEB3A47D70A19974C194F06795F4A69ABE54450C26DAA638730461C7BDFD3</t>
  </si>
  <si>
    <t>32953B202BE66B5EBDF1BE46E239D899D307CBBE53AFF297D1F996DCAA2F0201</t>
  </si>
  <si>
    <t>FAB064E5E26DD20B3EB53EE31857972A563F13E4EBD3F53723E34D4E9B379145</t>
  </si>
  <si>
    <t>3255FE35F0D84062192F3A6E088A53F58D182B176C6252730D821741C9B959C4</t>
  </si>
  <si>
    <t>ED9CED02A92F39E335F2DD900E7157C40697146C4A2D9EF2005F7851C9D92CC2</t>
  </si>
  <si>
    <t>6034A6D019FE850C9E7CCE2493F560B8A978E289D43C474E982FF6891E76F153</t>
  </si>
  <si>
    <t>37CEBD820CF6C085B224906FA6E072427FEEC48CCADDB10DCA6E5CF244004215</t>
  </si>
  <si>
    <t>C5130B2F5DD65F68B5129CCA775BB7E58283BE0A99F495A5614CBB094DED8FFB</t>
  </si>
  <si>
    <t>C5A81EC0D0F72B33A7476343C0959436699B3DE085143EBF0C8AE8C5AC2BF031</t>
  </si>
  <si>
    <t>60060B324D9CAF138C280EA000873D21DE543A391797D75C3DE1CB9DD054755C</t>
  </si>
  <si>
    <t>94755520DF2E4736E32A32FC5B73B660CB6836BFA34745FC457D6CE31A22F283</t>
  </si>
  <si>
    <t>7063EB816264D37F4215F397A4950D98F92D09D1363E89B61012F4D1D140AA2B</t>
  </si>
  <si>
    <t>03715186CD0D0F5AE06C1DBB6A47DB4ED52B35DB6F6DAA93C680BA77E1DDE0CA</t>
  </si>
  <si>
    <t>731DF7BB5FD11A9521DDDCB7FF299D786AA1944EC91970BD34859ECDEB13CD9A</t>
  </si>
  <si>
    <t>481FE767BA2626B4783BEE2B36C3D7216B5663C75ECDE16569914BF2B074DA5C</t>
  </si>
  <si>
    <t>33A2B9613FF0E61DC2F64CC5FE418596CA4F6B2D4AE4F47DB2EC0250B50B9EDF</t>
  </si>
  <si>
    <t>94D8B37B0D532DCECE03B3F0C69F617A3E7E6E489CE08180266928F210FF9C56</t>
  </si>
  <si>
    <t>BC6A300CA4F00051BE51FABBAC39EEB8FF322B8F27805660056658AFDFBB40EE</t>
  </si>
  <si>
    <t>4A66EF7A10C24285FF599ECE86A556ED24EF9C7FB83BAA78224E3FB66E9C57DD</t>
  </si>
  <si>
    <t>2C293444321BEE2F7E5E70D20168E84E686EA14A3AE4982390455764007141B7</t>
  </si>
  <si>
    <t>18218C78868503E99D2B4FBFA96C3EE6CA38024C148EEFAC1FA2930C2488225C</t>
  </si>
  <si>
    <t>7E90ED26F2BC6B8602BAABB7470671FF466F27372FEFAB295BCE9BF08D89A629</t>
  </si>
  <si>
    <t>9C25045A55C010390E8D8BB7A90DAFEBD93B3E322862F6A6B38F8F3BCF80229E</t>
  </si>
  <si>
    <t>B723A05305DC066DE80FE4A4B0293548770188D3066CF9821DD0412CD69526F0</t>
  </si>
  <si>
    <t>F74E17623B50AF638107355013AD7F8D9771D3423E133B4C58468DAD3C44DD94</t>
  </si>
  <si>
    <t>C8A1E0081E3D6B4DBD3A40B4E1FF3274F26406CD17D86A0429AF49E75181A9F2</t>
  </si>
  <si>
    <t>CA7F7DA1BDEEF405DF907032D5A275AAB094F388232E6348B90E4D7A3E73996A</t>
  </si>
  <si>
    <t>76C217E9958820007D39E6747454D6E8E23706DA6AB7572DB83A5CBBE27319B5</t>
  </si>
  <si>
    <t>7A0DFBCE6D548994EE3E78432FD8B1DB503D0BE952D0F8A4671D40B924191460</t>
  </si>
  <si>
    <t>4726BB2D2B88B96F6272FB524DD6A5CAC00A918B17162557063296F7F1839767</t>
  </si>
  <si>
    <t>05E7EB0FFEDED79ABFE310535D5D9D8D85FA9C1B00955A8C104EB3A7BD2F6EB7</t>
  </si>
  <si>
    <t>794F2CD3EE3B63CF703E6FF3D3E8A797A8803657BC4072C502524280C18C40C2</t>
  </si>
  <si>
    <t>EE558252EFE71D20972A38A6FB69962BC244AAD217C422D58E20A0A1E48DEEF2</t>
  </si>
  <si>
    <t>0D4CFE1F92F48F16BFD2FF345168BA631F2E3FECD6C5DEC239B64E511DAFA204</t>
  </si>
  <si>
    <t>DAA60A703CBF26913A127816360FD43D8A6549DDC1892CC3069804B1778188C0</t>
  </si>
  <si>
    <t>A0E6FE71C0A9D22E397F080902CF10B28E37F39A6A0604C532BC0480DC68BEF4</t>
  </si>
  <si>
    <t>766A1BEFF8EF408E23641693CBEA395B06F769DA08ABA32166880E89B24F85D7</t>
  </si>
  <si>
    <t>5151B018CEBE7301A79E88B2D5A53CB4B7FABA0D15586A447AF4A99B4A8D224D</t>
  </si>
  <si>
    <t>2E15E68ED80F1035B305FFE13DFA94F013715FE8BDB08F15859230CBCE3BD522</t>
  </si>
  <si>
    <t>B0B847D586ED15A27EE8E2A7316A91C2479A96BD6D3415675ADF6DC20E7BA2DF</t>
  </si>
  <si>
    <t>F0E77D9233441912278BDEC83E87917AAC79CC547FBF86FBD72594B741C993FB</t>
  </si>
  <si>
    <t>A1224BE521C4B917A0C689F5FBF7AF15D4782A29C3000969BFC8FFCD79C000AF</t>
  </si>
  <si>
    <t>E070672FE736FF7DAC6712A14E1DD033F609B42F3AF891F76E6B2EF664D9989A</t>
  </si>
  <si>
    <t>6DE6EB144F7EFA252FC376105DA7D7BDA821BD3909210990C018AEB5C887A7E3</t>
  </si>
  <si>
    <t>32215229761C4E6D19CADFFCA859F2219EE99B60A0C25D676860739ADC7D42A8</t>
  </si>
  <si>
    <t>7D4D617343B6BCDDF8887F8EED6072AE5380309BEA109C5CB8C62C79E5B71D9C</t>
  </si>
  <si>
    <t>9E3963C7C8FFA45A2581F7E6554ED16978BA5BAD25B968C7DCF7F29B2D1D9124</t>
  </si>
  <si>
    <t>1DB185862342D16540DF10EB44AD68A6145F4D219AC3F84B955E98038B707E43</t>
  </si>
  <si>
    <t>E9C42E9286447D130DE11D55AA0A32D5ACF86B8B45B3A2EDB01D62BCA2A73A4A</t>
  </si>
  <si>
    <t>E42D68492409660A68CA2942F3BA1602F4773DFAEDB9812333D7E2ADFAE7C791</t>
  </si>
  <si>
    <t>9AB4C2633BBFB2AACD720979A41D56B2CA665FD4E0961829435A9105B1C6130E</t>
  </si>
  <si>
    <t>582DFE4A7643FA867FA4B31EA4B0F73FE3B52AF43B8ED3738B878AB1B06DFDC9</t>
  </si>
  <si>
    <t>A005618D06149340813526AA03B69A96B93C00313D2FFFD2D22F598E98DEF951</t>
  </si>
  <si>
    <t>15FEE9ECC43E385097523F79E0E15E30095003A542514750D49FDF431F309D03</t>
  </si>
  <si>
    <t>9CB9F4A7D1AA7B0B8CE58FD6897A1EB584EA11D42A6CCA34BE32263B4116FE0F</t>
  </si>
  <si>
    <t>F07A009C061B55A27C4F2AE795CBB9786B0C889A5088A9792DC7D8F8ACD23D6B</t>
  </si>
  <si>
    <t>10D33B7F49A5956455136E1B713432730B4DB36E3082212070CFF5634A8C681F</t>
  </si>
  <si>
    <t>7F574B8E6D2E5806F71E53AFEE3A8794B2053E14610C6D2229C3BFBC12B9CCA2</t>
  </si>
  <si>
    <t>2ECDBD4974BA921B9E2254BB4E7FF543923424D1A7573693718B12D0C907AEE7</t>
  </si>
  <si>
    <t>A47168E02DEC6D1E23A941908AF0CCFB0AD6C81331D1350759E47FAE8CF5DEDA</t>
  </si>
  <si>
    <t>A7C1A9435F46FD76EEF55E079AE5F38F589FED219A2D264679E4730655351BC0</t>
  </si>
  <si>
    <t>E4A20D8B3829BD52478BAC8EE98F2978C590C08DC89AF009663C598DF86D1768</t>
  </si>
  <si>
    <t>8B9C01B4A9DB134AA847CEA2B0CAF4079640E242516321AB3C62A45D98AD49E8</t>
  </si>
  <si>
    <t>1BD33E5BFF0DBE57A6ADEFC82945F6654CE4649C16A8C04FEDFBB8250E9FDE52</t>
  </si>
  <si>
    <t>2C7F4621BEDD1447C1DFC62A7559115BFCF3FFCE97E9582C5C46F149CADCD258</t>
  </si>
  <si>
    <t>1F7E4628AF7E0EE463D0B317DED6952B0EA50FD114A5B94AD46B5FF3AB1BE367</t>
  </si>
  <si>
    <t>6B6757A010EB2CDF179A7D294FB0851086DCEA90C5FA710941765F77C6AE1DD9</t>
  </si>
  <si>
    <t>6A090C2CD6D46C5D9FDFD3211A48BF818B4FD86DED63EEEA8DDC7E0C1200A554</t>
  </si>
  <si>
    <t>179725EC26B2D24FBB23A53252E0F5265A48B091560A3F2353F873DF2E6809EC</t>
  </si>
  <si>
    <t>B31D92FFB1E2CBE090C08D8197525B7928540648038686776E2072861E23CF16</t>
  </si>
  <si>
    <t>E0D566F77C728CA853DA0F77B8A6869B79A589A5A54106D647122D179D2C9B9F</t>
  </si>
  <si>
    <t>F7E0D3A5817E029F5493B557DD06DE8114ACB44DC55A314208232D3DD46545D5</t>
  </si>
  <si>
    <t>3A6431030AC4B3D8978832382D53423EDA6F87CF24C0E4707C9870BB86EC4DC1</t>
  </si>
  <si>
    <t>914D8B53ECD654D1544C63DFF7500F27C3BA380162E23A6693F499B95E238CB2</t>
  </si>
  <si>
    <t>718FBC017228EF62F329A5B1B32907F282BA898E120414E031A7C4DC2BF0D28A</t>
  </si>
  <si>
    <t>F0BE54D24964A51DAC4FBE2EFF454B654FFC030B8AFBDDB6B010C07A47FBE977</t>
  </si>
  <si>
    <t>535E311568E13ABF7A4E9142F5156FE01DDF4B93E2EB2B31D0DD47EAAF5E40B1</t>
  </si>
  <si>
    <t>4270F66B944E0E377FD40260B5262D92CFF4FAF6A3F831D330F68AF84F84E0E7</t>
  </si>
  <si>
    <t>149E75642500E73B37A676781E83700818918A25470BA5ABA973DC66A607BDBC</t>
  </si>
  <si>
    <t>24FC8F5344F7E3BD9A42BD52FB5A5F563B432348EB2860E98A0B36DDFCD7C3D5</t>
  </si>
  <si>
    <t>719CA593ABA8A4DDDADE995382F2A6C31CAF16661F96D67CC46D0AE8B33CEC53</t>
  </si>
  <si>
    <t>3CE09C9AF63580C6F2093FB90835F235949F99322F6FCED3568F97ECE0823064</t>
  </si>
  <si>
    <t>CB166F2B32C5F7C94B523B0A1E33B0A3AE31E689286FE50D6160D51000FFF72E</t>
  </si>
  <si>
    <t>C0E39154D52566EFF5654D3ADC8DD01927FE440699E54FA9FE87C493944B8DBD</t>
  </si>
  <si>
    <t>47EB42B9EBE2F0478C9D4CC0802DDF5BC1DDAC25A29502D8EF137755289D032D</t>
  </si>
  <si>
    <t>054E9C04585DFE200F19CBAE3F6BD3479CD132C2FF158B4DC25D736096D77EFD</t>
  </si>
  <si>
    <t>DF1ABA4187BC7DAC749879A4F22D01C4FD1324DBBF89573B52024A5FBB83C345</t>
  </si>
  <si>
    <t>E401A45A7BAA8DCAAF1B4506E3AB6ABCC59E3ACA99C8C4E6849E5956D074DB88</t>
  </si>
  <si>
    <t>90DFE22D06F1A9B528F5C139A233F7C8D95BD8B3825BF8FD933505DD9C5E0E95</t>
  </si>
  <si>
    <t>5BBC9B18780AB41A5518D766510403C42CC79E0B8BF83823659A1748B0D84573</t>
  </si>
  <si>
    <t>CEA8B713DA68CA1B8D92742A58E521EB191692B6F915AD34326E7E1C3B7305FD</t>
  </si>
  <si>
    <t>12147EE8461896C3BB1D499613F1BA838A731FFA0DC1CBD84DE0856DDD5C6DDE</t>
  </si>
  <si>
    <t>65A992BADC453E65F346D4B509FAB139DF8688071ED31E600B7E731ED2957628</t>
  </si>
  <si>
    <t>ABB3BF5EF6E23AE0AF03696DA5BC159A1C1A22934F71D01A04FE443CAAAC2B45</t>
  </si>
  <si>
    <t>6D32914A3267291388C0DC1F4CD60A611D16CF6ACF8BF3FE81EF0A139A0A7F96</t>
  </si>
  <si>
    <t>D1FDFFED8A27E8A2003AC78380E40B0829C40D3F7A43655057C39A89D79B473B</t>
  </si>
  <si>
    <t>7D628BD2DC449F0FD50FA7AC9D825A5EB69D755AD0522228060696B16B456273</t>
  </si>
  <si>
    <t>5486E5DEF5A7668A00D570748BDCB037216BF2563389C28A87DEAA741F5E179E</t>
  </si>
  <si>
    <t>0461E0BA7BD315E565E5C37B74F042189D79C4454794152F5EB1FDE0EFCBE2B4</t>
  </si>
  <si>
    <t>D8FD4F5390BCEA20C2111A23E67A2DACC46FE635867D0C4AF9BF97FF23566CC4</t>
  </si>
  <si>
    <t>CCCCBE57297A8DCE798763D1B4BB7EE6C5FD79F5807C30E406EC36A310593909</t>
  </si>
  <si>
    <t>E881F63C28545F2CA786886097064D3AAFD54AED5517EBC8E317F511A706AED9</t>
  </si>
  <si>
    <t>B8A121FAE3D999A58A7DEF3C8EA34611126A79A345A8D73781A4F04DD8B37A41</t>
  </si>
  <si>
    <t>B2B34CCFEF5FA6A822BC67731802071E68170BA4DBA3511D57A6F018B9245FD6</t>
  </si>
  <si>
    <t>82CB6FF3579FD063F6621E3EB9896C2AC5FC6CAD4E3D00C092F6096053AA220C</t>
  </si>
  <si>
    <t>7E9851A04141F3959D6F41BEB56A6341E863979A2FFBFA5FD17F75E1800AB7FB</t>
  </si>
  <si>
    <t>3BD5DC49E120726C24E71A3A49C070E36F04758C3BA453606F7C25D236D8DABD</t>
  </si>
  <si>
    <t>5A0CBDBF9698AB178AB29E3D5FC14DD13090F2D1FC9C721C4A42C0DAE356F5A8</t>
  </si>
  <si>
    <t>0880783DB67FC0174287170B2008B16EA50AC650140B6DD81025F16ACA8CACEA</t>
  </si>
  <si>
    <t>1A5F246B5073F8FC6AE1D4BE112AA9AA35BEEE870C5E7D78A1328491EF639535</t>
  </si>
  <si>
    <t>61A722BE1566C96741D5D4A6F07C0E72178AB6B51A39C43401E06C0E4B1565FF</t>
  </si>
  <si>
    <t>959053B0690EC59784C8D428C86E027DD09C70007EB11549C7CC020FA4A6F722</t>
  </si>
  <si>
    <t>VERIF</t>
  </si>
  <si>
    <t>CHAVE_GLOVAL_ENVIADA</t>
  </si>
  <si>
    <t>2A. Análise Tradutor Chaves - DL (# de registos)</t>
  </si>
  <si>
    <t>2B. Análise Tradutor Chaves - Duplicados</t>
  </si>
  <si>
    <t>Relação entre Chave Gloval e Chave Banco</t>
  </si>
  <si>
    <t>003017961150000000000000000000</t>
  </si>
  <si>
    <t>26442</t>
  </si>
  <si>
    <t>27004</t>
  </si>
  <si>
    <t>000601989029080000000000100001</t>
  </si>
  <si>
    <t>009018033120000000000000000000</t>
  </si>
  <si>
    <t>003018042220000000000000000000</t>
  </si>
  <si>
    <t>003218057610000000000000000000</t>
  </si>
  <si>
    <t>003017985140000000000000000000</t>
  </si>
  <si>
    <t>003017983470000000000000000000</t>
  </si>
  <si>
    <t>009018050040000000000000000000</t>
  </si>
  <si>
    <t>009018096330000000000000000000</t>
  </si>
  <si>
    <t>003018066320000000000000000000</t>
  </si>
  <si>
    <t>000301097283080000000000100001</t>
  </si>
  <si>
    <t>27002</t>
  </si>
  <si>
    <t>27035</t>
  </si>
  <si>
    <t>009017984880000000000000000000</t>
  </si>
  <si>
    <t>009018056000000000000000000000</t>
  </si>
  <si>
    <t>003018015760000000000000000000</t>
  </si>
  <si>
    <t>19503</t>
  </si>
  <si>
    <t>003018028380000000000000000000</t>
  </si>
  <si>
    <t>003017955470000000000000000000</t>
  </si>
  <si>
    <t>003018065380000000000000000000</t>
  </si>
  <si>
    <t>003018017340000000000000000000</t>
  </si>
  <si>
    <t>003017964850000000000000000000</t>
  </si>
  <si>
    <t>003018109250000000000000000000</t>
  </si>
  <si>
    <t>27008</t>
  </si>
  <si>
    <t>003018029620000000000000000000</t>
  </si>
  <si>
    <t>000302186960080000000000100001</t>
  </si>
  <si>
    <t>003017983940000000000000000000</t>
  </si>
  <si>
    <t>003018039080000000000000000000</t>
  </si>
  <si>
    <t>003018061720000000000000000000</t>
  </si>
  <si>
    <t>003018097470000000000000000000</t>
  </si>
  <si>
    <t>000301817979080000000000100001</t>
  </si>
  <si>
    <t>003018011440000000000000000000</t>
  </si>
  <si>
    <t>003018034730000000000000000000</t>
  </si>
  <si>
    <t>003018045210000000000000000000</t>
  </si>
  <si>
    <t>003018078730000000000000000000</t>
  </si>
  <si>
    <t>27003</t>
  </si>
  <si>
    <t>009018046140000000000000000000</t>
  </si>
  <si>
    <t>8949</t>
  </si>
  <si>
    <t>009018091900000000000000000000</t>
  </si>
  <si>
    <t>26142</t>
  </si>
  <si>
    <t>000302171533080000000000100001</t>
  </si>
  <si>
    <t>009018000410000000000000000000</t>
  </si>
  <si>
    <t>16423</t>
  </si>
  <si>
    <t>27029</t>
  </si>
  <si>
    <t>003018073450000000000000000000</t>
  </si>
  <si>
    <t>003018012960000000000000000000</t>
  </si>
  <si>
    <t>009017960600000000000000000000</t>
  </si>
  <si>
    <t>003018001770000000000000000000</t>
  </si>
  <si>
    <t>000601979772080000000000100001</t>
  </si>
  <si>
    <t>000302186960080000000000100003</t>
  </si>
  <si>
    <t>27001</t>
  </si>
  <si>
    <t>003018012120000000000000000000</t>
  </si>
  <si>
    <t>003017957690000000000000000000</t>
  </si>
  <si>
    <t>27009</t>
  </si>
  <si>
    <t>003018022230000000000000000000</t>
  </si>
  <si>
    <t>009018034040000000000000000000</t>
  </si>
  <si>
    <t>003018017920000000000000000000</t>
  </si>
  <si>
    <t>003018026760000000000000000000</t>
  </si>
  <si>
    <t>003018049470000000000000000000</t>
  </si>
  <si>
    <t>009018082170000000000000000000</t>
  </si>
  <si>
    <t>003018047110000000000000000000</t>
  </si>
  <si>
    <t>003018059810001000000000000000</t>
  </si>
  <si>
    <t>003017970360000000000000000000</t>
  </si>
  <si>
    <t>009018017360000000000000000000</t>
  </si>
  <si>
    <t>003017989940000000000000000000</t>
  </si>
  <si>
    <t>003218087080000000000000000000</t>
  </si>
  <si>
    <t>000601980481080000000000100001</t>
  </si>
  <si>
    <t>000601996008080000000000100001</t>
  </si>
  <si>
    <t>27026</t>
  </si>
  <si>
    <t>003018003450000000000000000000</t>
  </si>
  <si>
    <t>000601985639080000000000100001</t>
  </si>
  <si>
    <t>000302176912080000000000100001</t>
  </si>
  <si>
    <t>009018075510000000000000000000</t>
  </si>
  <si>
    <t>27018</t>
  </si>
  <si>
    <t>000601980481080000000000100002</t>
  </si>
  <si>
    <t>003017986750000000000000000000</t>
  </si>
  <si>
    <t>003018038520000000000000000000</t>
  </si>
  <si>
    <t>003018058930001000000000000000</t>
  </si>
  <si>
    <t>003018021130000000000000000000</t>
  </si>
  <si>
    <t>003017957120000000000000000000</t>
  </si>
  <si>
    <t>003018035990001000000000000000</t>
  </si>
  <si>
    <t>19502</t>
  </si>
  <si>
    <t>003018010920000000000000000000</t>
  </si>
  <si>
    <t>000601981356080000000000100001</t>
  </si>
  <si>
    <t>000302168380080000000000100002</t>
  </si>
  <si>
    <t>003018065280000000000000000000</t>
  </si>
  <si>
    <t>000602082022080000000000100001</t>
  </si>
  <si>
    <t>000302186960080000000000100004</t>
  </si>
  <si>
    <t>009017972890000000000000000000</t>
  </si>
  <si>
    <t>003018004670000000000000000000</t>
  </si>
  <si>
    <t>003018045500000000000000000000</t>
  </si>
  <si>
    <t>26984</t>
  </si>
  <si>
    <t>003018008420000000000000000000</t>
  </si>
  <si>
    <t>000601986470080000000000200001</t>
  </si>
  <si>
    <t>009018107560000000000000000000</t>
  </si>
  <si>
    <t>009018002640000000000000000000</t>
  </si>
  <si>
    <t>000302186960080000000000100002</t>
  </si>
  <si>
    <t>000302168380080000000000100001</t>
  </si>
  <si>
    <t>27017</t>
  </si>
  <si>
    <t>003017958600000000000000000000</t>
  </si>
  <si>
    <t>003018044410000000000000000000</t>
  </si>
  <si>
    <t>009018006770000000000000000000</t>
  </si>
  <si>
    <t>009017966840000000000000000000</t>
  </si>
  <si>
    <t>26802</t>
  </si>
  <si>
    <t>003017958410000000000000000000</t>
  </si>
  <si>
    <t>AUX_VER_FICHEIRO</t>
  </si>
  <si>
    <t>CHAVE_BANCO_ATUAL</t>
  </si>
  <si>
    <r>
      <t xml:space="preserve">Tabela em análise </t>
    </r>
    <r>
      <rPr>
        <sz val="8.5"/>
        <color theme="1"/>
        <rFont val="Calibri"/>
        <family val="2"/>
        <scheme val="minor"/>
      </rPr>
      <t xml:space="preserve">bu_esg_work.kt_chave_gloval
</t>
    </r>
    <r>
      <rPr>
        <b/>
        <u/>
        <sz val="8.5"/>
        <color theme="1"/>
        <rFont val="Calibri"/>
        <family val="2"/>
        <scheme val="minor"/>
      </rPr>
      <t xml:space="preserve">Análise </t>
    </r>
    <r>
      <rPr>
        <sz val="8.5"/>
        <color theme="1"/>
        <rFont val="Calibri"/>
        <family val="2"/>
        <scheme val="minor"/>
      </rPr>
      <t xml:space="preserve">Detalhe na </t>
    </r>
    <r>
      <rPr>
        <i/>
        <sz val="8.5"/>
        <color theme="1"/>
        <rFont val="Calibri"/>
        <family val="2"/>
        <scheme val="minor"/>
      </rPr>
      <t>sheet</t>
    </r>
    <r>
      <rPr>
        <sz val="8.5"/>
        <color theme="1"/>
        <rFont val="Calibri"/>
        <family val="2"/>
        <scheme val="minor"/>
      </rPr>
      <t xml:space="preserve"> 2A_Aux1
 - 1 Chave que no ficheiro aparece em Jun/22 e no tradutor em Jun/24: 
3E9D07AE57E8272A1F390338ACFB0B5109270C31B43B499CC43E4FD1BFEC9D64
 - 1.075 Chaves que aparecem no ficheiro mas nunca aparecem no tradutor.</t>
    </r>
  </si>
  <si>
    <r>
      <t xml:space="preserve">Relação entre Chave Gloval e Chave Banco </t>
    </r>
    <r>
      <rPr>
        <sz val="8.5"/>
        <color theme="1"/>
        <rFont val="Calibri"/>
        <family val="2"/>
        <scheme val="minor"/>
      </rPr>
      <t xml:space="preserve">
 - 1 Chave NOK: 147B723F2C37A7F36304C30DF4EBFB7F55C513E191C88AB1B1DA0DDA7DCF7952
   --&gt; 000016530870000000000000000000 
   --&gt; 000016530870000000000001005746
</t>
    </r>
    <r>
      <rPr>
        <b/>
        <u/>
        <sz val="8.5"/>
        <color theme="1"/>
        <rFont val="Calibri"/>
        <family val="2"/>
        <scheme val="minor"/>
      </rPr>
      <t>Chaves Gloval Duplicadas (entre envios)</t>
    </r>
    <r>
      <rPr>
        <sz val="8.5"/>
        <color theme="1"/>
        <rFont val="Calibri"/>
        <family val="2"/>
        <scheme val="minor"/>
      </rPr>
      <t xml:space="preserve"> Detalhe na </t>
    </r>
    <r>
      <rPr>
        <i/>
        <sz val="8.5"/>
        <color theme="1"/>
        <rFont val="Calibri"/>
        <family val="2"/>
        <scheme val="minor"/>
      </rPr>
      <t>sheet</t>
    </r>
    <r>
      <rPr>
        <sz val="8.5"/>
        <color theme="1"/>
        <rFont val="Calibri"/>
        <family val="2"/>
        <scheme val="minor"/>
      </rPr>
      <t xml:space="preserve"> 2B_Aux1 </t>
    </r>
  </si>
  <si>
    <t>2C. Análise Tradutor Chaves - Obtenção do CEMPBEM</t>
  </si>
  <si>
    <t>084015011270000000000000000000</t>
  </si>
  <si>
    <t>000016549280000000000069619981</t>
  </si>
  <si>
    <t>003011629900001000000000000000</t>
  </si>
  <si>
    <t>005000599180000000000000000000</t>
  </si>
  <si>
    <t>000016497950000000000001003786</t>
  </si>
  <si>
    <t>000017820500000000000010202884</t>
  </si>
  <si>
    <t>003016247450001000000000000000</t>
  </si>
  <si>
    <t>003016706050000000000000000000</t>
  </si>
  <si>
    <t>000017820070000000000010052162</t>
  </si>
  <si>
    <t>083214964470000000000000000000</t>
  </si>
  <si>
    <t>003217129140000000000000000000</t>
  </si>
  <si>
    <t>083014844910001000000000000000</t>
  </si>
  <si>
    <t>000010496200001000000000000000</t>
  </si>
  <si>
    <t>086014735470000000000000000000</t>
  </si>
  <si>
    <t>000016518420000000000010141463</t>
  </si>
  <si>
    <t>003016332140001000000000000000</t>
  </si>
  <si>
    <t>003014703470001000000000000000</t>
  </si>
  <si>
    <t>000017037550000000000000000000</t>
  </si>
  <si>
    <t>000010026240001000000000000000</t>
  </si>
  <si>
    <t>003001147380000000000000000000</t>
  </si>
  <si>
    <t>000016536560000000000010073351</t>
  </si>
  <si>
    <t>083015076520000000000000000000</t>
  </si>
  <si>
    <t>003013131660001000000000000000</t>
  </si>
  <si>
    <t>000001072100001000000000000000</t>
  </si>
  <si>
    <t>003017209350001000000000000000</t>
  </si>
  <si>
    <t>085014743080001000000000000000</t>
  </si>
  <si>
    <t>003015832060001000000000000000</t>
  </si>
  <si>
    <t>003000447960000000000000000000</t>
  </si>
  <si>
    <t>000017819610000000000001002075</t>
  </si>
  <si>
    <t>003016480600001000000000000000</t>
  </si>
  <si>
    <t>003015302470000000000000000000</t>
  </si>
  <si>
    <t>003012940370001000000000000000</t>
  </si>
  <si>
    <t>000000771480000000000000000000</t>
  </si>
  <si>
    <t>003013973100000000000000000000</t>
  </si>
  <si>
    <t>084014815260000000000000000000</t>
  </si>
  <si>
    <t>063015951800000000000000000000</t>
  </si>
  <si>
    <t>003014435780000000000000000000</t>
  </si>
  <si>
    <t>003015550280001000000000000000</t>
  </si>
  <si>
    <t>063215925500000000000000000000</t>
  </si>
  <si>
    <t>000016545260000000000069614981</t>
  </si>
  <si>
    <t>003014439880001000000000000000</t>
  </si>
  <si>
    <t>000016546050000000000069616001</t>
  </si>
  <si>
    <t>083014997180000000000000000000</t>
  </si>
  <si>
    <t>004013599890001000000000000000</t>
  </si>
  <si>
    <t>003011066580001000000000000000</t>
  </si>
  <si>
    <t>003217119580000000000000000000</t>
  </si>
  <si>
    <t>000017038340000000000000000000</t>
  </si>
  <si>
    <t>085014767480000000000000000000</t>
  </si>
  <si>
    <t>009017125470002000000000000000</t>
  </si>
  <si>
    <t>086015207900000000000000000000</t>
  </si>
  <si>
    <t>000016521860000000000069021951</t>
  </si>
  <si>
    <t>004017649770001000000000000000</t>
  </si>
  <si>
    <t>000016522430000000000200006181</t>
  </si>
  <si>
    <t>003011065490000000000000000000</t>
  </si>
  <si>
    <t>000016540840000000000069017521</t>
  </si>
  <si>
    <t>063215999850000000000000000000</t>
  </si>
  <si>
    <t>000017819890000000000001009859</t>
  </si>
  <si>
    <t>000016517790000000000010136138</t>
  </si>
  <si>
    <t>000016536190000000000010059872</t>
  </si>
  <si>
    <t>003012255560001000000000000000</t>
  </si>
  <si>
    <t>000016543650000000000069611521</t>
  </si>
  <si>
    <t>003016554240001000000000000000</t>
  </si>
  <si>
    <t>084015022360000000000000000000</t>
  </si>
  <si>
    <t>003012880740000000000000000000</t>
  </si>
  <si>
    <t>000016541990000000000069600381</t>
  </si>
  <si>
    <t>003016278370000000000000000000</t>
  </si>
  <si>
    <t>000017819550000000000001000874</t>
  </si>
  <si>
    <t>064016037730000000000000000000</t>
  </si>
  <si>
    <t>003016846460001000000000000000</t>
  </si>
  <si>
    <t>000016502000000000000001009689</t>
  </si>
  <si>
    <t>000000404090001000000000000000</t>
  </si>
  <si>
    <t>003011952460001000000000000000</t>
  </si>
  <si>
    <t>000000439120001000000000000000</t>
  </si>
  <si>
    <t>083015094090000000000000000000</t>
  </si>
  <si>
    <t>003016425890001000000000000000</t>
  </si>
  <si>
    <t>000016529730000000000001002991</t>
  </si>
  <si>
    <t>063016147290000000000000000000</t>
  </si>
  <si>
    <t>000016541210000000000069019942</t>
  </si>
  <si>
    <t>000016545620000000000069615471</t>
  </si>
  <si>
    <t>003017307160001000000000000000</t>
  </si>
  <si>
    <t>000016541400000000000069021681</t>
  </si>
  <si>
    <t>000016498090000000000001004183</t>
  </si>
  <si>
    <t>000016533040000000000001008938</t>
  </si>
  <si>
    <t>000016541200000000000069019941</t>
  </si>
  <si>
    <t>063015903190000000000000000000</t>
  </si>
  <si>
    <t>003012546940001000000000000000</t>
  </si>
  <si>
    <t>000014140590000000000000000000</t>
  </si>
  <si>
    <t>003016629720001000000000000000</t>
  </si>
  <si>
    <t>000010728360001000000000000000</t>
  </si>
  <si>
    <t>003016426540001000000000000000</t>
  </si>
  <si>
    <t>003014252130000000000000000000</t>
  </si>
  <si>
    <t>000010835710001000000000000000</t>
  </si>
  <si>
    <t>004016912540000000000000000000</t>
  </si>
  <si>
    <t>000017820120000000000010100022</t>
  </si>
  <si>
    <t>000017820130000000000010100546</t>
  </si>
  <si>
    <t>000010271820000000000000000000</t>
  </si>
  <si>
    <t>000016552940000000000200007008</t>
  </si>
  <si>
    <t>000016514620000000000010055882</t>
  </si>
  <si>
    <t>064015948580000000000000000000</t>
  </si>
  <si>
    <t>000017037350000000000000000000</t>
  </si>
  <si>
    <t>004000531220001000000000000000</t>
  </si>
  <si>
    <t>063016113820000000000000000000</t>
  </si>
  <si>
    <t>000017820370000000000010202427</t>
  </si>
  <si>
    <t>083015070680000000000000000000</t>
  </si>
  <si>
    <t>003014456150000000000000000000</t>
  </si>
  <si>
    <t>003017416920001000000000000000</t>
  </si>
  <si>
    <t>003014192130000000000000000000</t>
  </si>
  <si>
    <t>063016108130000000000000000000</t>
  </si>
  <si>
    <t>083014991020000000000000000000</t>
  </si>
  <si>
    <t>000017822050000000000010207050</t>
  </si>
  <si>
    <t>000010862400000000000000000000</t>
  </si>
  <si>
    <t>084014907750000000000000000000</t>
  </si>
  <si>
    <t>000010485010001000000000000000</t>
  </si>
  <si>
    <t>003014661500001000000000000000</t>
  </si>
  <si>
    <t>003011815350001000000000000000</t>
  </si>
  <si>
    <t>064015968100000000000000000000</t>
  </si>
  <si>
    <t>004013067920000000000000000000</t>
  </si>
  <si>
    <t>000016541660000000000069024231</t>
  </si>
  <si>
    <t>000017821790000000000010205350</t>
  </si>
  <si>
    <t>000010746870001000000000000000</t>
  </si>
  <si>
    <t>084014905630000000000000000000</t>
  </si>
  <si>
    <t>000000305310001000000000000000</t>
  </si>
  <si>
    <t>000000142540001000000000000000</t>
  </si>
  <si>
    <t>000016528820000000000001002063</t>
  </si>
  <si>
    <t>000016531110000000000001006152</t>
  </si>
  <si>
    <t>000010899580001000000000000000</t>
  </si>
  <si>
    <t>000010364340001000000000000000</t>
  </si>
  <si>
    <t>003013139210000000000000000000</t>
  </si>
  <si>
    <t>003016910620001000000000000000</t>
  </si>
  <si>
    <t>000010038510001000000000000000</t>
  </si>
  <si>
    <t>004015612600000000000000000000</t>
  </si>
  <si>
    <t>083015057020000000000000000000</t>
  </si>
  <si>
    <t>000017821480000000000010204699</t>
  </si>
  <si>
    <t>003012327560001000000000000000</t>
  </si>
  <si>
    <t>003016714540000000000000000000</t>
  </si>
  <si>
    <t>000017194720000000000001018112</t>
  </si>
  <si>
    <t>003013069430001000000000000000</t>
  </si>
  <si>
    <t>003016244240000000000000000000</t>
  </si>
  <si>
    <t>003015805200001000000000000000</t>
  </si>
  <si>
    <t>003015230770000000000000000000</t>
  </si>
  <si>
    <t>003017166190001000000000000000</t>
  </si>
  <si>
    <t>086014729970000000000000000000</t>
  </si>
  <si>
    <t>083014789530000000000000000000</t>
  </si>
  <si>
    <t>000016524060000000000690220900</t>
  </si>
  <si>
    <t>063016128400000000000000000000</t>
  </si>
  <si>
    <t>003017619730000000000000000000</t>
  </si>
  <si>
    <t>000016530440000000000001004776</t>
  </si>
  <si>
    <t>003012440170001000000000000000</t>
  </si>
  <si>
    <t>006011607080001000000000000000</t>
  </si>
  <si>
    <t>003016961650001000000000000000</t>
  </si>
  <si>
    <t>000017043250000000000000000000</t>
  </si>
  <si>
    <t>000016522510000000000200006548</t>
  </si>
  <si>
    <t>083014887660000000000000000000</t>
  </si>
  <si>
    <t>063016026530000000000000000000</t>
  </si>
  <si>
    <t>000000399370001000000000000000</t>
  </si>
  <si>
    <t>003016262410001000000000000000</t>
  </si>
  <si>
    <t>003014495560000000000000000000</t>
  </si>
  <si>
    <t>000016552760000000000200006355</t>
  </si>
  <si>
    <t>003011947720000000000000000000</t>
  </si>
  <si>
    <t>003013481130001000000000000000</t>
  </si>
  <si>
    <t>000016521960000000000069023631</t>
  </si>
  <si>
    <t>003011747200001000000000000000</t>
  </si>
  <si>
    <t>003016265040000000000000000000</t>
  </si>
  <si>
    <t>003416280530001000000000000000</t>
  </si>
  <si>
    <t>063215881880000000000000000000</t>
  </si>
  <si>
    <t>000017820900000000000010203673</t>
  </si>
  <si>
    <t>004015615510000000000000000000</t>
  </si>
  <si>
    <t>000000684770000000000000000000</t>
  </si>
  <si>
    <t>000016535650000000000010050232</t>
  </si>
  <si>
    <t>000016537590000000000010107016</t>
  </si>
  <si>
    <t>000017822330000000000200009561</t>
  </si>
  <si>
    <t>003012407360001000000000000000</t>
  </si>
  <si>
    <t>003017080240001000000000000000</t>
  </si>
  <si>
    <t>003017137760001000000000000000</t>
  </si>
  <si>
    <t>004001117340001000000000000000</t>
  </si>
  <si>
    <t>000010541260000000000000000000</t>
  </si>
  <si>
    <t>003015247010000000000000000000</t>
  </si>
  <si>
    <t>003016330790001000000000000000</t>
  </si>
  <si>
    <t>003016771740001000000000000000</t>
  </si>
  <si>
    <t>003015558540000000000000000000</t>
  </si>
  <si>
    <t>000016497060000000000001001917</t>
  </si>
  <si>
    <t>005000649730001000000000000000</t>
  </si>
  <si>
    <t>003016454660001000000000000000</t>
  </si>
  <si>
    <t>000016502600000000000001010242</t>
  </si>
  <si>
    <t>006000713520000000000000000000</t>
  </si>
  <si>
    <t>084014747530000000000000000000</t>
  </si>
  <si>
    <t>000017038440000000000000000000</t>
  </si>
  <si>
    <t>003016461720000000000000000000</t>
  </si>
  <si>
    <t>006000826470001000000000000000</t>
  </si>
  <si>
    <t>084015170370001000000000000000</t>
  </si>
  <si>
    <t>000016514300000000000010049152</t>
  </si>
  <si>
    <t>063016135260000000000000000000</t>
  </si>
  <si>
    <t>003014270830000000000000000000</t>
  </si>
  <si>
    <t>086014745650000000000000000000</t>
  </si>
  <si>
    <t>004014511480001000000000000000</t>
  </si>
  <si>
    <t>064015985340000000000000000000</t>
  </si>
  <si>
    <t>003016261810001000000000000000</t>
  </si>
  <si>
    <t>003011125860000000000000000000</t>
  </si>
  <si>
    <t>003015367110001000000000000000</t>
  </si>
  <si>
    <t>003013278560001000000000000000</t>
  </si>
  <si>
    <t>000016519880000000000010154792</t>
  </si>
  <si>
    <t>000017822180000000000200005758</t>
  </si>
  <si>
    <t>000016375220000000000000000000</t>
  </si>
  <si>
    <t>000016499850000000000001007190</t>
  </si>
  <si>
    <t>003011635090000000000000000000</t>
  </si>
  <si>
    <t>003011644790001000000000000000</t>
  </si>
  <si>
    <t>003012966970000000000000000000</t>
  </si>
  <si>
    <t>009016637170000000000000000000</t>
  </si>
  <si>
    <t>513011194080001000000000000000</t>
  </si>
  <si>
    <t>003012273810001000000000000000</t>
  </si>
  <si>
    <t>005000614510000000000000000000</t>
  </si>
  <si>
    <t>083215153920000000000000000000</t>
  </si>
  <si>
    <t>003013866930001000000000000000</t>
  </si>
  <si>
    <t>000016536890000000000010090953</t>
  </si>
  <si>
    <t>063016002690000000000000000000</t>
  </si>
  <si>
    <t>003016414840000000000000000000</t>
  </si>
  <si>
    <t>003015451340001000000000000000</t>
  </si>
  <si>
    <t>003013338300000000000000000000</t>
  </si>
  <si>
    <t>063215879840000000000000000000</t>
  </si>
  <si>
    <t>064015934860000000000000000000</t>
  </si>
  <si>
    <t>083214987320000000000000000000</t>
  </si>
  <si>
    <t>000000763580001000000000000000</t>
  </si>
  <si>
    <t>000017821520000000000010204757</t>
  </si>
  <si>
    <t>003017625610001000000000000000</t>
  </si>
  <si>
    <t>000016507410000000000001012918</t>
  </si>
  <si>
    <t>000016498410000000000001005051</t>
  </si>
  <si>
    <t>063215941320000000000000000000</t>
  </si>
  <si>
    <t>000016542560000000000069603681</t>
  </si>
  <si>
    <t>003016412090001000000000000000</t>
  </si>
  <si>
    <t>000000326390001000000000000000</t>
  </si>
  <si>
    <t>064015928860000000000000000000</t>
  </si>
  <si>
    <t>003013103520001000000000000000</t>
  </si>
  <si>
    <t>003015584880001000000000000000</t>
  </si>
  <si>
    <t>003016794000001000000000000000</t>
  </si>
  <si>
    <t>000016506770000000000001012579</t>
  </si>
  <si>
    <t>063216090350000000000000000000</t>
  </si>
  <si>
    <t>003015346820001000000000000000</t>
  </si>
  <si>
    <t>000017822250000000000200006059</t>
  </si>
  <si>
    <t>083014923500000000000000000000</t>
  </si>
  <si>
    <t>003017386150001000000000000000</t>
  </si>
  <si>
    <t>000016522530000000000200006577</t>
  </si>
  <si>
    <t>000016529060000000000001002297</t>
  </si>
  <si>
    <t>009016912670000000000000000000</t>
  </si>
  <si>
    <t>003015532200001000000000000000</t>
  </si>
  <si>
    <t>003015486170001000000000000000</t>
  </si>
  <si>
    <t>003017351050001000000000000000</t>
  </si>
  <si>
    <t>086014749520000000000000000000</t>
  </si>
  <si>
    <t>000016505420000000000001011896</t>
  </si>
  <si>
    <t>063016132370000000000000000000</t>
  </si>
  <si>
    <t>003017525370001000000000000000</t>
  </si>
  <si>
    <t>003015383800001000000000000000</t>
  </si>
  <si>
    <t>003017102280001000000000000000</t>
  </si>
  <si>
    <t>084014853990000000000000000000</t>
  </si>
  <si>
    <t>000016514020000000000010024112</t>
  </si>
  <si>
    <t>000016538720000000000061138001</t>
  </si>
  <si>
    <t>003015675900000000000000000000</t>
  </si>
  <si>
    <t>000016506990000000000001012700</t>
  </si>
  <si>
    <t>004011279880001000000000000000</t>
  </si>
  <si>
    <t>003011283030001000000000000000</t>
  </si>
  <si>
    <t>008014514890001000000000000000</t>
  </si>
  <si>
    <t>000016532270000000000001008135</t>
  </si>
  <si>
    <t>063216045130000000000000000000</t>
  </si>
  <si>
    <t>004015481220001000000000000000</t>
  </si>
  <si>
    <t>003001238620001000000000000000</t>
  </si>
  <si>
    <t>006001110260001000000000000000</t>
  </si>
  <si>
    <t>000016521160000000000061140451</t>
  </si>
  <si>
    <t>000000398410001000000000000000</t>
  </si>
  <si>
    <t>003016745520001000000000000000</t>
  </si>
  <si>
    <t>003011767290000000000000000000</t>
  </si>
  <si>
    <t>000016512940000000000001015858</t>
  </si>
  <si>
    <t>083014872050000000000000000000</t>
  </si>
  <si>
    <t>003013078020001000000000000000</t>
  </si>
  <si>
    <t>003012679920001000000000000000</t>
  </si>
  <si>
    <t>066015896590000000000000000000</t>
  </si>
  <si>
    <t>003015558360001000000000000000</t>
  </si>
  <si>
    <t>063016094310000000000000000000</t>
  </si>
  <si>
    <t>003016402360001000000000000000</t>
  </si>
  <si>
    <t>083015182130000000000000000000</t>
  </si>
  <si>
    <t>000017821900000000000010205546</t>
  </si>
  <si>
    <t>005000601990000000000000000000</t>
  </si>
  <si>
    <t>003013057580001000000000000000</t>
  </si>
  <si>
    <t>008016763590001000000000000000</t>
  </si>
  <si>
    <t>003015448400001000000000000000</t>
  </si>
  <si>
    <t>000016523160000000000200009493</t>
  </si>
  <si>
    <t>003000476870000000000000000000</t>
  </si>
  <si>
    <t>005000645650000000000000000000</t>
  </si>
  <si>
    <t>003015442360001000000000000000</t>
  </si>
  <si>
    <t>000000253200001000000000000000</t>
  </si>
  <si>
    <t>000016521750000000000069018861</t>
  </si>
  <si>
    <t>003011232790001000000000000000</t>
  </si>
  <si>
    <t>000016530230000000000001004543</t>
  </si>
  <si>
    <t>000017045210000000000000000000</t>
  </si>
  <si>
    <t>000016500920000000000001008489</t>
  </si>
  <si>
    <t>000016532110000000000001007785</t>
  </si>
  <si>
    <t>003015361200001000000000000000</t>
  </si>
  <si>
    <t>003014501380001000000000000000</t>
  </si>
  <si>
    <t>003012846610001000000000000000</t>
  </si>
  <si>
    <t>000010708600001000000000000000</t>
  </si>
  <si>
    <t>000016508510000000000001013469</t>
  </si>
  <si>
    <t>003016890830001000000000000000</t>
  </si>
  <si>
    <t>000016531560000000000001006861</t>
  </si>
  <si>
    <t>003016315140000000000000000000</t>
  </si>
  <si>
    <t>083015080570000000000000000000</t>
  </si>
  <si>
    <t>000016513570000000000001016251</t>
  </si>
  <si>
    <t>000000502670009000000000000000</t>
  </si>
  <si>
    <t>003015273540000000000000000000</t>
  </si>
  <si>
    <t>000017819760000000000001005849</t>
  </si>
  <si>
    <t>000010607080001000000000000000</t>
  </si>
  <si>
    <t>000016545750000000000069615641</t>
  </si>
  <si>
    <t>003015334800001000000000000000</t>
  </si>
  <si>
    <t>513000129190001000000000000000</t>
  </si>
  <si>
    <t>083014735630000000000000000000</t>
  </si>
  <si>
    <t>083015038450000000000000000000</t>
  </si>
  <si>
    <t>003412257270001000000000000000</t>
  </si>
  <si>
    <t>000016523480000000000200012416</t>
  </si>
  <si>
    <t>000010651760001000000000000000</t>
  </si>
  <si>
    <t>000016552580000000000200006056</t>
  </si>
  <si>
    <t>003012039430001000000000000000</t>
  </si>
  <si>
    <t>003013273330001000000000000000</t>
  </si>
  <si>
    <t>000016507920000000000001013190</t>
  </si>
  <si>
    <t>083014798510000000000000000000</t>
  </si>
  <si>
    <t>083215218110000000000000000000</t>
  </si>
  <si>
    <t>083014885150000000000000000000</t>
  </si>
  <si>
    <t>000010171720000000000000000000</t>
  </si>
  <si>
    <t>003016235220001000000000000000</t>
  </si>
  <si>
    <t>003013005510001000000000000000</t>
  </si>
  <si>
    <t>006000789580000000000000000000</t>
  </si>
  <si>
    <t>004013470270000000000000000000</t>
  </si>
  <si>
    <t>000010120410001000000000000000</t>
  </si>
  <si>
    <t>000016520290000000000010158994</t>
  </si>
  <si>
    <t>000010478720001000000000000000</t>
  </si>
  <si>
    <t>003015525650001000000000000000</t>
  </si>
  <si>
    <t>513000009240000000000000000000</t>
  </si>
  <si>
    <t>064015953070000000000000000000</t>
  </si>
  <si>
    <t>063016104620000000000000000000</t>
  </si>
  <si>
    <t>003016814350000000000000000000</t>
  </si>
  <si>
    <t>003016776800001000000000000000</t>
  </si>
  <si>
    <t>003017340810001000000000000000</t>
  </si>
  <si>
    <t>000010817920001000000000000000</t>
  </si>
  <si>
    <t>000016545850000000000069615781</t>
  </si>
  <si>
    <t>063416085540000000000000000000</t>
  </si>
  <si>
    <t>000016528560000000000001001620</t>
  </si>
  <si>
    <t>000016515390000000000010102299</t>
  </si>
  <si>
    <t>000010739440001000000000000000</t>
  </si>
  <si>
    <t>003012115150001000000000000000</t>
  </si>
  <si>
    <t>000016511370000000000001014839</t>
  </si>
  <si>
    <t>009017171640000000000000000000</t>
  </si>
  <si>
    <t>000010745040001000000000000000</t>
  </si>
  <si>
    <t>000017822230000000000200005875</t>
  </si>
  <si>
    <t>003015787490001000000000000000</t>
  </si>
  <si>
    <t>004012553420000000000000000000</t>
  </si>
  <si>
    <t>084015154070000000000000000000</t>
  </si>
  <si>
    <t>003017756190001000000000000000</t>
  </si>
  <si>
    <t>000000599240000000000000000000</t>
  </si>
  <si>
    <t>003017537290000000000000000000</t>
  </si>
  <si>
    <t>006000817640000000000000000000</t>
  </si>
  <si>
    <t>083015160380000000000000000000</t>
  </si>
  <si>
    <t>003014692810001000000000000000</t>
  </si>
  <si>
    <t>003016211250001000000000000000</t>
  </si>
  <si>
    <t>003014538770001000000000000000</t>
  </si>
  <si>
    <t>003012399400001000000000000000</t>
  </si>
  <si>
    <t>064016032490000000000000000000</t>
  </si>
  <si>
    <t>000017821260000000000010204494</t>
  </si>
  <si>
    <t>000010301850001000000000000000</t>
  </si>
  <si>
    <t>003016422160001000000000000000</t>
  </si>
  <si>
    <t>003015452660000000000000000000</t>
  </si>
  <si>
    <t>003017120590000000000000000000</t>
  </si>
  <si>
    <t>000010523580001000000000000000</t>
  </si>
  <si>
    <t>083414823410000000000000000000</t>
  </si>
  <si>
    <t>003011017500001000000000000000</t>
  </si>
  <si>
    <t>003015847050000000000000000000</t>
  </si>
  <si>
    <t>000000477970001000000000000000</t>
  </si>
  <si>
    <t>006011171620001000000000000000</t>
  </si>
  <si>
    <t>005000611170000000000000000000</t>
  </si>
  <si>
    <t>003001010930000000000000000000</t>
  </si>
  <si>
    <t>000016530140000000000001004428</t>
  </si>
  <si>
    <t>003016164820001000000000000000</t>
  </si>
  <si>
    <t>003017004390001000000000000000</t>
  </si>
  <si>
    <t>000016550390000000000069621311</t>
  </si>
  <si>
    <t>000017820000000000000010032544</t>
  </si>
  <si>
    <t>004013696990001000000000000000</t>
  </si>
  <si>
    <t>084014900900000000000000000000</t>
  </si>
  <si>
    <t>003016339260001000000000000000</t>
  </si>
  <si>
    <t>083214970800000000000000000000</t>
  </si>
  <si>
    <t>000010827080000000000000000000</t>
  </si>
  <si>
    <t>005000663090001000000000000000</t>
  </si>
  <si>
    <t>006000927030000000000000000000</t>
  </si>
  <si>
    <t>000016533650000000000001009546</t>
  </si>
  <si>
    <t>000016521230000000000061202771</t>
  </si>
  <si>
    <t>000017036820000000000000000000</t>
  </si>
  <si>
    <t>000017820020000000000010045602</t>
  </si>
  <si>
    <t>003013539900000000000000000000</t>
  </si>
  <si>
    <t>003016598120001000000000000000</t>
  </si>
  <si>
    <t>003415681420001000000000000000</t>
  </si>
  <si>
    <t>003014529210001000000000000000</t>
  </si>
  <si>
    <t>000017037610000000000000000000</t>
  </si>
  <si>
    <t>000016500110000000000001007558</t>
  </si>
  <si>
    <t>003016162600001000000000000000</t>
  </si>
  <si>
    <t>003016218840001000000000000000</t>
  </si>
  <si>
    <t>003017207830001000000000000000</t>
  </si>
  <si>
    <t>000016533600000000000001009529</t>
  </si>
  <si>
    <t>000016841820000000000000000000</t>
  </si>
  <si>
    <t>084014863400001000000000000000</t>
  </si>
  <si>
    <t>063016028960000000000000000000</t>
  </si>
  <si>
    <t>000010676050001000000000000000</t>
  </si>
  <si>
    <t>000016537360000000000010104880</t>
  </si>
  <si>
    <t>063015901230000000000000000000</t>
  </si>
  <si>
    <t>000017038230000000000000000000</t>
  </si>
  <si>
    <t>000010021650000000000000000000</t>
  </si>
  <si>
    <t>003015784850001000000000000000</t>
  </si>
  <si>
    <t>000016529780000000000001003164</t>
  </si>
  <si>
    <t>000016870150000000000000000000</t>
  </si>
  <si>
    <t>000010486980001000000000000000</t>
  </si>
  <si>
    <t>006000754940000000000000000000</t>
  </si>
  <si>
    <t>000011052410001000000000000000</t>
  </si>
  <si>
    <t>003012306090001000000000000000</t>
  </si>
  <si>
    <t>000017820950000000000010203834</t>
  </si>
  <si>
    <t>003011475630001000000000000000</t>
  </si>
  <si>
    <t>063015989210001000000000000000</t>
  </si>
  <si>
    <t>006000814130000000000000000000</t>
  </si>
  <si>
    <t>000016498170000000000001004403</t>
  </si>
  <si>
    <t>000016514270000000000010048422</t>
  </si>
  <si>
    <t>000010001250000000000000000000</t>
  </si>
  <si>
    <t>000016851050000000000000000000</t>
  </si>
  <si>
    <t>000017819740000000000001004969</t>
  </si>
  <si>
    <t>003015328890001000000000000000</t>
  </si>
  <si>
    <t>003011974480001000000000000000</t>
  </si>
  <si>
    <t>000017821070000000000010204112</t>
  </si>
  <si>
    <t>000017036910000000000000000000</t>
  </si>
  <si>
    <t>003216406630001000000000000000</t>
  </si>
  <si>
    <t>000000757320001000000000000000</t>
  </si>
  <si>
    <t>000016505320000000000001011822</t>
  </si>
  <si>
    <t>000010673450000000000000000000</t>
  </si>
  <si>
    <t>000016532060000000000001007730</t>
  </si>
  <si>
    <t>004001106340001000000000000000</t>
  </si>
  <si>
    <t>000000019170005000000000000000</t>
  </si>
  <si>
    <t>084014804560000000000000000000</t>
  </si>
  <si>
    <t>003017018920001000000000000000</t>
  </si>
  <si>
    <t>004001124420001000000000000000</t>
  </si>
  <si>
    <t>006011571480000000000000000000</t>
  </si>
  <si>
    <t>000016553530000000000200009227</t>
  </si>
  <si>
    <t>006000770980000000000000000000</t>
  </si>
  <si>
    <t>000016498990000000000001006227</t>
  </si>
  <si>
    <t>000016516070000000000010118952</t>
  </si>
  <si>
    <t>003017436050001000000000000000</t>
  </si>
  <si>
    <t>003013234800001000000000000000</t>
  </si>
  <si>
    <t>083014808910001000000000000000</t>
  </si>
  <si>
    <t>003001062260001000000000000000</t>
  </si>
  <si>
    <t>000010023370001000000000000000</t>
  </si>
  <si>
    <t>000000694430001000000000000000</t>
  </si>
  <si>
    <t>000016552360000000000200005626</t>
  </si>
  <si>
    <t>000016500300000000000001007865</t>
  </si>
  <si>
    <t>003015392590000000000000000000</t>
  </si>
  <si>
    <t>000017037790000000000000000000</t>
  </si>
  <si>
    <t>000016499150000000000001006339</t>
  </si>
  <si>
    <t>000000398300001000000000000000</t>
  </si>
  <si>
    <t>003016574000001000000000000000</t>
  </si>
  <si>
    <t>003011856470001000000000000000</t>
  </si>
  <si>
    <t>003016830140001000000000000000</t>
  </si>
  <si>
    <t>000016542480000000000069603511</t>
  </si>
  <si>
    <t>003001075870000000000000000000</t>
  </si>
  <si>
    <t>000000711100001000000000000000</t>
  </si>
  <si>
    <t>004016747160000000000000000000</t>
  </si>
  <si>
    <t>000016501600000000000001009048</t>
  </si>
  <si>
    <t>000016552950000000000200007121</t>
  </si>
  <si>
    <t>000016551120000000000069622211</t>
  </si>
  <si>
    <t>000000342970001000000000000000</t>
  </si>
  <si>
    <t>003000235810000000000000000000</t>
  </si>
  <si>
    <t>000016522360000000000200006086</t>
  </si>
  <si>
    <t>005000621130000000000000000000</t>
  </si>
  <si>
    <t>003014682100000000000000000000</t>
  </si>
  <si>
    <t>063016095680000000000000000000</t>
  </si>
  <si>
    <t>003012009120000000000000000000</t>
  </si>
  <si>
    <t>000016523170000000000200009500</t>
  </si>
  <si>
    <t>004013358890001000000000000000</t>
  </si>
  <si>
    <t>004012933110000000000000000000</t>
  </si>
  <si>
    <t>083014869050000000000000000000</t>
  </si>
  <si>
    <t>005012135080001000000000000000</t>
  </si>
  <si>
    <t>083014884940000000000000000000</t>
  </si>
  <si>
    <t>003011619880001000000000000000</t>
  </si>
  <si>
    <t>000016535420000000000010045565</t>
  </si>
  <si>
    <t>006000719980000000000000000000</t>
  </si>
  <si>
    <t>085015044680000000000000000000</t>
  </si>
  <si>
    <t>003012996200001000000000000000</t>
  </si>
  <si>
    <t>003015266790001000000000000000</t>
  </si>
  <si>
    <t>000016500730000000000001008255</t>
  </si>
  <si>
    <t>003012846570000000000000000000</t>
  </si>
  <si>
    <t>000010601030001000000000000000</t>
  </si>
  <si>
    <t>003015249500001000000000000000</t>
  </si>
  <si>
    <t>003015597600001000000000000000</t>
  </si>
  <si>
    <t>000010558590001000000000000000</t>
  </si>
  <si>
    <t>000016529290000000000001002520</t>
  </si>
  <si>
    <t>003015433730001000000000000000</t>
  </si>
  <si>
    <t>000016515350000000000010102294</t>
  </si>
  <si>
    <t>000000314590001000000000000000</t>
  </si>
  <si>
    <t>084014776600000000000000000000</t>
  </si>
  <si>
    <t>000016501590000000000001009026</t>
  </si>
  <si>
    <t>063216090370000000000000000000</t>
  </si>
  <si>
    <t>000016541460000000000069022701</t>
  </si>
  <si>
    <t>003017074150001000000000000000</t>
  </si>
  <si>
    <t>009012655610000000000000000000</t>
  </si>
  <si>
    <t>003013754740001000000000000000</t>
  </si>
  <si>
    <t>000016541170000000000069019881</t>
  </si>
  <si>
    <t>003012404540001000000000000000</t>
  </si>
  <si>
    <t>003015345750001000000000000000</t>
  </si>
  <si>
    <t>003012890500001000000000000000</t>
  </si>
  <si>
    <t>003015260330001000000000000000</t>
  </si>
  <si>
    <t>000016506190000000000001012294</t>
  </si>
  <si>
    <t>000016502020000000000001009709</t>
  </si>
  <si>
    <t>083015193760000000000000000000</t>
  </si>
  <si>
    <t>000010419770000000000000000000</t>
  </si>
  <si>
    <t>000000416670001000000000000000</t>
  </si>
  <si>
    <t>004011452750001000000000000000</t>
  </si>
  <si>
    <t>084014910100001000000000000000</t>
  </si>
  <si>
    <t>000016497810000000000001002951</t>
  </si>
  <si>
    <t>000016501210000000000001008720</t>
  </si>
  <si>
    <t>083015053420000000000000000000</t>
  </si>
  <si>
    <t>003015655360001000000000000000</t>
  </si>
  <si>
    <t>003011770520001000000000000000</t>
  </si>
  <si>
    <t>084014937160000000000000000000</t>
  </si>
  <si>
    <t>003014637210001000000000000000</t>
  </si>
  <si>
    <t>084015130520000000000000000000</t>
  </si>
  <si>
    <t>009016354440000000000000000000</t>
  </si>
  <si>
    <t>003017157920001000000000000000</t>
  </si>
  <si>
    <t>063015993570000000000000000000</t>
  </si>
  <si>
    <t>003017746930000000000000000000</t>
  </si>
  <si>
    <t>000017510340000000000001018680</t>
  </si>
  <si>
    <t>000014150220000000000000000000</t>
  </si>
  <si>
    <t>003017594040001000000000000000</t>
  </si>
  <si>
    <t>003014285130001000000000000000</t>
  </si>
  <si>
    <t>000016506350000000000001012364</t>
  </si>
  <si>
    <t>006000722790000000000000000000</t>
  </si>
  <si>
    <t>064015996770000000000000000000</t>
  </si>
  <si>
    <t>003017758590001000000000000000</t>
  </si>
  <si>
    <t>003015739780001000000000000000</t>
  </si>
  <si>
    <t>003216480080000000000000000000</t>
  </si>
  <si>
    <t>000016508930000000000001013670</t>
  </si>
  <si>
    <t>003017253280001000000000000000</t>
  </si>
  <si>
    <t>003017524750001000000000000000</t>
  </si>
  <si>
    <t>063015898500000000000000000000</t>
  </si>
  <si>
    <t>000010813870001000000000000000</t>
  </si>
  <si>
    <t>000016769730000000000010107440</t>
  </si>
  <si>
    <t>000016521240000000000062000051</t>
  </si>
  <si>
    <t>083415120380000000000000000000</t>
  </si>
  <si>
    <t>003016561670000000000000000000</t>
  </si>
  <si>
    <t>003214430600000000000000000000</t>
  </si>
  <si>
    <t>084014922250000000000000000000</t>
  </si>
  <si>
    <t>003015432330001000000000000000</t>
  </si>
  <si>
    <t>000000697450001000000000000000</t>
  </si>
  <si>
    <t>003013262410000000000000000000</t>
  </si>
  <si>
    <t>063015895270000000000000000000</t>
  </si>
  <si>
    <t>000010760910001000000000000000</t>
  </si>
  <si>
    <t>003016345720000000000000000000</t>
  </si>
  <si>
    <t>000016516960000000000010129041</t>
  </si>
  <si>
    <t>003015644690001000000000000000</t>
  </si>
  <si>
    <t>000017037120000000000000000000</t>
  </si>
  <si>
    <t>000016529180000000000001002397</t>
  </si>
  <si>
    <t>000016515470000000000010105154</t>
  </si>
  <si>
    <t>000016546270000000000069616351</t>
  </si>
  <si>
    <t>000016552480000000000200005889</t>
  </si>
  <si>
    <t>005000657980000000000000000000</t>
  </si>
  <si>
    <t>003214043290000000000000000000</t>
  </si>
  <si>
    <t>063015910320000000000000000000</t>
  </si>
  <si>
    <t>000016543730000000000069611811</t>
  </si>
  <si>
    <t>008012221550001000000000000000</t>
  </si>
  <si>
    <t>084015141530000000000000000000</t>
  </si>
  <si>
    <t>000016530670000000000001005309</t>
  </si>
  <si>
    <t>003014529470001000000000000000</t>
  </si>
  <si>
    <t>000016550230000000000069621141</t>
  </si>
  <si>
    <t>083014792400000000000000000000</t>
  </si>
  <si>
    <t>000016519070000000000010149541</t>
  </si>
  <si>
    <t>003014650810000000000000000000</t>
  </si>
  <si>
    <t>000017820150000000000010100548</t>
  </si>
  <si>
    <t>000016521770000000000069019281</t>
  </si>
  <si>
    <t>083014755770000000000000000000</t>
  </si>
  <si>
    <t>000015773620000000000000000000</t>
  </si>
  <si>
    <t>000000745320000000000000000000</t>
  </si>
  <si>
    <t>000010556920000000000000000000</t>
  </si>
  <si>
    <t>003001325340001000000000000000</t>
  </si>
  <si>
    <t>000010580060001000000000000000</t>
  </si>
  <si>
    <t>000017822320000000000200009041</t>
  </si>
  <si>
    <t>003016571890001000000000000000</t>
  </si>
  <si>
    <t>003015471240000000000000000000</t>
  </si>
  <si>
    <t>000000711850001000000000000000</t>
  </si>
  <si>
    <t>000016536440000000000010068612</t>
  </si>
  <si>
    <t>006001120660001000000000000000</t>
  </si>
  <si>
    <t>063016130260000000000000000000</t>
  </si>
  <si>
    <t>084014755680000000000000000000</t>
  </si>
  <si>
    <t>003017666830001000000000000000</t>
  </si>
  <si>
    <t>003013735060000000000000000000</t>
  </si>
  <si>
    <t>000016517760000000000010136135</t>
  </si>
  <si>
    <t>000016532240000000000001008082</t>
  </si>
  <si>
    <t>000016523240000000000200009941</t>
  </si>
  <si>
    <t>513000030530001000000000000000</t>
  </si>
  <si>
    <t>003017152200001000000000000000</t>
  </si>
  <si>
    <t>006001117930001000000000000000</t>
  </si>
  <si>
    <t>000016529600000000000001002911</t>
  </si>
  <si>
    <t>003013773800001000000000000000</t>
  </si>
  <si>
    <t>000016540430000000000069014991</t>
  </si>
  <si>
    <t>003213908970001000000000000000</t>
  </si>
  <si>
    <t>000016520240000000000010158732</t>
  </si>
  <si>
    <t>004015743630001000000000000000</t>
  </si>
  <si>
    <t>000010532410001000000000000000</t>
  </si>
  <si>
    <t>004015615840001000000000000000</t>
  </si>
  <si>
    <t>003001241390001000000000000000</t>
  </si>
  <si>
    <t>003012497950001000000000000000</t>
  </si>
  <si>
    <t>000000625580000000000000000000</t>
  </si>
  <si>
    <t>003016310180001000000000000000</t>
  </si>
  <si>
    <t>003016197430001000000000000000</t>
  </si>
  <si>
    <t>003016608280001000000000000000</t>
  </si>
  <si>
    <t>000017821650000000000010205019</t>
  </si>
  <si>
    <t>084014819600000000000000000000</t>
  </si>
  <si>
    <t>000000015720001000000000000000</t>
  </si>
  <si>
    <t>003015403020001000000000000000</t>
  </si>
  <si>
    <t>000016529830000000000001003847</t>
  </si>
  <si>
    <t>003013223140000000000000000000</t>
  </si>
  <si>
    <t>005000642980000000000000000000</t>
  </si>
  <si>
    <t>083215154240000000000000000000</t>
  </si>
  <si>
    <t>003216368900000000000000000000</t>
  </si>
  <si>
    <t>000000168630001000000000000000</t>
  </si>
  <si>
    <t>514015354730001000000000000000</t>
  </si>
  <si>
    <t>000000252580000000000000000000</t>
  </si>
  <si>
    <t>083215154270000000000000000000</t>
  </si>
  <si>
    <t>003015374800000000000000000000</t>
  </si>
  <si>
    <t>003011227950001000000000000000</t>
  </si>
  <si>
    <t>000014164070000000000000000000</t>
  </si>
  <si>
    <t>000017819750000000000001005790</t>
  </si>
  <si>
    <t>003012131090000000000000000000</t>
  </si>
  <si>
    <t>000016543420000000000069610581</t>
  </si>
  <si>
    <t>000010512750000000000000000000</t>
  </si>
  <si>
    <t>000000709420001000000000000000</t>
  </si>
  <si>
    <t>009016967280000000000000000000</t>
  </si>
  <si>
    <t>003016562070000000000000000000</t>
  </si>
  <si>
    <t>003011385440001000000000000000</t>
  </si>
  <si>
    <t>003017207660001000000000000000</t>
  </si>
  <si>
    <t>000000412490000000000000000000</t>
  </si>
  <si>
    <t>003017241840001000000000000000</t>
  </si>
  <si>
    <t>003011711440001000000000000000</t>
  </si>
  <si>
    <t>003011835740001000000000000000</t>
  </si>
  <si>
    <t>004013461070000000000000000000</t>
  </si>
  <si>
    <t>003012344510001000000000000000</t>
  </si>
  <si>
    <t>000016521370000000000062002031</t>
  </si>
  <si>
    <t>000016553020000000000200007433</t>
  </si>
  <si>
    <t>005000616270001000000000000000</t>
  </si>
  <si>
    <t>000016548420000000000069618961</t>
  </si>
  <si>
    <t>000016540690000000000069016351</t>
  </si>
  <si>
    <t>086014734760000000000000000000</t>
  </si>
  <si>
    <t>003014348560001000000000000000</t>
  </si>
  <si>
    <t>003014616730000000000000000000</t>
  </si>
  <si>
    <t>004013470340001000000000000000</t>
  </si>
  <si>
    <t>000017820720000000000010203392</t>
  </si>
  <si>
    <t>000010286650002000000000000000</t>
  </si>
  <si>
    <t>003017493990001000000000000000</t>
  </si>
  <si>
    <t>003013387240000000000000000000</t>
  </si>
  <si>
    <t>000016501500000000000001008984</t>
  </si>
  <si>
    <t>000016529980000000000001004198</t>
  </si>
  <si>
    <t>003217804700001000000000000000</t>
  </si>
  <si>
    <t>000016498250000000000001004550</t>
  </si>
  <si>
    <t>000000706700001000000000000000</t>
  </si>
  <si>
    <t>004013911970001000000000000000</t>
  </si>
  <si>
    <t>003411009810001000000000000000</t>
  </si>
  <si>
    <t>003012463730001000000000000000</t>
  </si>
  <si>
    <t>000016536920000000000010090982</t>
  </si>
  <si>
    <t>004013771590001000000000000000</t>
  </si>
  <si>
    <t>063015942430000000000000000000</t>
  </si>
  <si>
    <t>003017456170000000000000000000</t>
  </si>
  <si>
    <t>000016550380000000000069621301</t>
  </si>
  <si>
    <t>000016535490000000000010047862</t>
  </si>
  <si>
    <t>003015576280001000000000000000</t>
  </si>
  <si>
    <t>000000393900001000000000000000</t>
  </si>
  <si>
    <t>063415931880000000000000000000</t>
  </si>
  <si>
    <t>003001241720001000000000000000</t>
  </si>
  <si>
    <t>003013379340000000000000000000</t>
  </si>
  <si>
    <t>000000508970013000000000000000</t>
  </si>
  <si>
    <t>003217804730001000000000000000</t>
  </si>
  <si>
    <t>004001054310001000000000000000</t>
  </si>
  <si>
    <t>000017044660000000000000000000</t>
  </si>
  <si>
    <t>004000532510000000000000000000</t>
  </si>
  <si>
    <t>003015498650001000000000000000</t>
  </si>
  <si>
    <t>000016528340000000000001000511</t>
  </si>
  <si>
    <t>003016985850001000000000000000</t>
  </si>
  <si>
    <t>003016601530001000000000000000</t>
  </si>
  <si>
    <t>003016662760001000000000000000</t>
  </si>
  <si>
    <t>003012915150001000000000000000</t>
  </si>
  <si>
    <t>005000630910000000000000000000</t>
  </si>
  <si>
    <t>000016502880000000000001010510</t>
  </si>
  <si>
    <t>003012614850000000000000000000</t>
  </si>
  <si>
    <t>003017525780001000000000000000</t>
  </si>
  <si>
    <t>000016546600000000000069616771</t>
  </si>
  <si>
    <t>000010767810000000000000000000</t>
  </si>
  <si>
    <t>003013490410000000000000000000</t>
  </si>
  <si>
    <t>003014369790000000000000000000</t>
  </si>
  <si>
    <t>000017820790000000000010203529</t>
  </si>
  <si>
    <t>000016535750000000000010051752</t>
  </si>
  <si>
    <t>000017821370000000000010204592</t>
  </si>
  <si>
    <t>006013016150001000000000000000</t>
  </si>
  <si>
    <t>005000622130000000000000000000</t>
  </si>
  <si>
    <t>003015657750001000000000000000</t>
  </si>
  <si>
    <t>000016509190000000000001013761</t>
  </si>
  <si>
    <t>003017306640001000000000000000</t>
  </si>
  <si>
    <t>000017036870000000000000000000</t>
  </si>
  <si>
    <t>083014925460000000000000000000</t>
  </si>
  <si>
    <t>000000712800001000000000000000</t>
  </si>
  <si>
    <t>083015152660000000000000000000</t>
  </si>
  <si>
    <t>083014955220000000000000000000</t>
  </si>
  <si>
    <t>003011804380001000000000000000</t>
  </si>
  <si>
    <t>003013005460001000000000000000</t>
  </si>
  <si>
    <t>003015503630001000000000000000</t>
  </si>
  <si>
    <t>000016535690000000000010050902</t>
  </si>
  <si>
    <t>000017820010000000000010032545</t>
  </si>
  <si>
    <t>003012117340001000000000000000</t>
  </si>
  <si>
    <t>000016504930000000000001011634</t>
  </si>
  <si>
    <t>009113817650030000000000000000</t>
  </si>
  <si>
    <t>003016199990001000000000000000</t>
  </si>
  <si>
    <t>003012498170001000000000000000</t>
  </si>
  <si>
    <t>000016529740000000000001002993</t>
  </si>
  <si>
    <t>000016503640000000000001010879</t>
  </si>
  <si>
    <t>003015229210000000000000000000</t>
  </si>
  <si>
    <t>003016282210000000000000000000</t>
  </si>
  <si>
    <t>083015044210000000000000000000</t>
  </si>
  <si>
    <t>063415931030000000000000000000</t>
  </si>
  <si>
    <t>000016531380000000000001006457</t>
  </si>
  <si>
    <t>000016537660000000000010107547</t>
  </si>
  <si>
    <t>003011976500001000000000000000</t>
  </si>
  <si>
    <t>003013880600001000000000000000</t>
  </si>
  <si>
    <t>003016259160000000000000000000</t>
  </si>
  <si>
    <t>000016512840000000000001015795</t>
  </si>
  <si>
    <t>003017184330001000000000000000</t>
  </si>
  <si>
    <t>003015686480000000000000000000</t>
  </si>
  <si>
    <t>003012456100001000000000000000</t>
  </si>
  <si>
    <t>003015863730001000000000000000</t>
  </si>
  <si>
    <t>003012402580001000000000000000</t>
  </si>
  <si>
    <t>003017503720001000000000000000</t>
  </si>
  <si>
    <t>000016516680000000000010127524</t>
  </si>
  <si>
    <t>003012353140001000000000000000</t>
  </si>
  <si>
    <t>003017547160001000000000000000</t>
  </si>
  <si>
    <t>003014304810001000000000000000</t>
  </si>
  <si>
    <t>003012533650001000000000000000</t>
  </si>
  <si>
    <t>000010568270000000000000000000</t>
  </si>
  <si>
    <t>000000685810001000000000000000</t>
  </si>
  <si>
    <t>000016720220000000000010169672</t>
  </si>
  <si>
    <t>003015715590001000000000000000</t>
  </si>
  <si>
    <t>084015160100000000000000000000</t>
  </si>
  <si>
    <t>000010763290001000000000000000</t>
  </si>
  <si>
    <t>000016541620000000000069023821</t>
  </si>
  <si>
    <t>004015652290000000000000000000</t>
  </si>
  <si>
    <t>008012967860001000000000000000</t>
  </si>
  <si>
    <t>083215193500000000000000000000</t>
  </si>
  <si>
    <t>003017169820001000000000000000</t>
  </si>
  <si>
    <t>063015948050000000000000000000</t>
  </si>
  <si>
    <t>000000367410000000000000000000</t>
  </si>
  <si>
    <t>513000121820000000000000000000</t>
  </si>
  <si>
    <t>000017820590000000000010203108</t>
  </si>
  <si>
    <t>000016541480000000000069022772</t>
  </si>
  <si>
    <t>063015910610000000000000000000</t>
  </si>
  <si>
    <t>000016546780000000000069617001</t>
  </si>
  <si>
    <t>003012854100000000000000000000</t>
  </si>
  <si>
    <t>063015945730000000000000000000</t>
  </si>
  <si>
    <t>003011563130001000000000000000</t>
  </si>
  <si>
    <t>003012255090000000000000000000</t>
  </si>
  <si>
    <t>003012875450001000000000000000</t>
  </si>
  <si>
    <t>000017820140000000000010100547</t>
  </si>
  <si>
    <t>003014282390000000000000000000</t>
  </si>
  <si>
    <t>003214018790000000000000000000</t>
  </si>
  <si>
    <t>003016628190001000000000000000</t>
  </si>
  <si>
    <t>003214323120001000000000000000</t>
  </si>
  <si>
    <t>003016461650001000000000000000</t>
  </si>
  <si>
    <t>000016536590000000000010074473</t>
  </si>
  <si>
    <t>063015915540000000000000000000</t>
  </si>
  <si>
    <t>003012944730001000000000000000</t>
  </si>
  <si>
    <t>003013931410001000000000000000</t>
  </si>
  <si>
    <t>000016529270000000000001002503</t>
  </si>
  <si>
    <t>003011961570001000000000000000</t>
  </si>
  <si>
    <t>000000464520001000000000000000</t>
  </si>
  <si>
    <t>003014296350001000000000000000</t>
  </si>
  <si>
    <t>003015641810001000000000000000</t>
  </si>
  <si>
    <t>000010121680000000000000000000</t>
  </si>
  <si>
    <t>003013533060001000000000000000</t>
  </si>
  <si>
    <t>000010768950001000000000000000</t>
  </si>
  <si>
    <t>064016099970000000000000000000</t>
  </si>
  <si>
    <t>003011114440000000000000000000</t>
  </si>
  <si>
    <t>083015033450000000000000000000</t>
  </si>
  <si>
    <t>000016528920000000000001002147</t>
  </si>
  <si>
    <t>000000749640000000000000000000</t>
  </si>
  <si>
    <t>003013047350000000000000000000</t>
  </si>
  <si>
    <t>083014775010001000000000000000</t>
  </si>
  <si>
    <t>000010070120004000000000000000</t>
  </si>
  <si>
    <t>004012813940000000000000000000</t>
  </si>
  <si>
    <t>000010569890001000000000000000</t>
  </si>
  <si>
    <t>063016012900000000000000000000</t>
  </si>
  <si>
    <t>003216465260000000000000000000</t>
  </si>
  <si>
    <t>064016133250000000000000000000</t>
  </si>
  <si>
    <t>003016734300001000000000000000</t>
  </si>
  <si>
    <t>003001249670000000000000000000</t>
  </si>
  <si>
    <t>003017294340000000000000000000</t>
  </si>
  <si>
    <t>003015599960001000000000000000</t>
  </si>
  <si>
    <t>084015014930000000000000000000</t>
  </si>
  <si>
    <t>000016543360000000000069610391</t>
  </si>
  <si>
    <t>003015717760001000000000000000</t>
  </si>
  <si>
    <t>003012226830000000000000000000</t>
  </si>
  <si>
    <t>000016552450000000000200005858</t>
  </si>
  <si>
    <t>006000764300001000000000000000</t>
  </si>
  <si>
    <t>000016549990000000000069620871</t>
  </si>
  <si>
    <t>003011443950000000000000000000</t>
  </si>
  <si>
    <t>003016221440001000000000000000</t>
  </si>
  <si>
    <t>003217379440000000000000000000</t>
  </si>
  <si>
    <t>003013689540001000000000000000</t>
  </si>
  <si>
    <t>006000720800000000000000000000</t>
  </si>
  <si>
    <t>003012798070000000000000000000</t>
  </si>
  <si>
    <t>000016538690000000000061134052</t>
  </si>
  <si>
    <t>000017820050000000000010051631</t>
  </si>
  <si>
    <t>003000925880000000000000000000</t>
  </si>
  <si>
    <t>084014748510000000000000000000</t>
  </si>
  <si>
    <t>003011758620000000000000000000</t>
  </si>
  <si>
    <t>000016541530000000000069023322</t>
  </si>
  <si>
    <t>003012641970000000000000000000</t>
  </si>
  <si>
    <t>009016896720000000000000000000</t>
  </si>
  <si>
    <t>000016514140000000000010038932</t>
  </si>
  <si>
    <t>000016536360000000000010063102</t>
  </si>
  <si>
    <t>000000712890001000000000000000</t>
  </si>
  <si>
    <t>000000392790001000000000000000</t>
  </si>
  <si>
    <t>063016017040000000000000000000</t>
  </si>
  <si>
    <t>000016510160000000000001014282</t>
  </si>
  <si>
    <t>000016540490000000000069015383</t>
  </si>
  <si>
    <t>003012959300001000000000000000</t>
  </si>
  <si>
    <t>000016530220000000000001004542</t>
  </si>
  <si>
    <t>003001019530001000000000000000</t>
  </si>
  <si>
    <t>084015184380000000000000000000</t>
  </si>
  <si>
    <t>513011175530001000000000000000</t>
  </si>
  <si>
    <t>000016550340000000000069621251</t>
  </si>
  <si>
    <t>003015675290001000000000000000</t>
  </si>
  <si>
    <t>063215876930000000000000000000</t>
  </si>
  <si>
    <t>000014011680001000000000000000</t>
  </si>
  <si>
    <t>086015036430000000000000000000</t>
  </si>
  <si>
    <t>003014595870000000000000000000</t>
  </si>
  <si>
    <t>065015952720000000000000000000</t>
  </si>
  <si>
    <t>003015447170001000000000000000</t>
  </si>
  <si>
    <t>064016031910000000000000000000</t>
  </si>
  <si>
    <t>000000509570001000000000000000</t>
  </si>
  <si>
    <t>003016491040001000000000000000</t>
  </si>
  <si>
    <t>063016131370000000000000000000</t>
  </si>
  <si>
    <t>000016523270000000000200010130</t>
  </si>
  <si>
    <t>003012948200000000000000000000</t>
  </si>
  <si>
    <t>083014934830000000000000000000</t>
  </si>
  <si>
    <t>000010922550001000000000000000</t>
  </si>
  <si>
    <t>084014750860000000000000000000</t>
  </si>
  <si>
    <t>000010060920000000000000000000</t>
  </si>
  <si>
    <t>000016550820000000000069621851</t>
  </si>
  <si>
    <t>003014681750001000000000000000</t>
  </si>
  <si>
    <t>084014832770000000000000000000</t>
  </si>
  <si>
    <t>000016498740000000000001005854</t>
  </si>
  <si>
    <t>000016514120000000000010038042</t>
  </si>
  <si>
    <t>000016544830000000000069614131</t>
  </si>
  <si>
    <t>000010843580000000000000000000</t>
  </si>
  <si>
    <t>003011051310000000000000000000</t>
  </si>
  <si>
    <t>003015587730001000000000000000</t>
  </si>
  <si>
    <t>000016543100000000000069609591</t>
  </si>
  <si>
    <t>003015698700001000000000000000</t>
  </si>
  <si>
    <t>084015164150000000000000000000</t>
  </si>
  <si>
    <t>003012933750001000000000000000</t>
  </si>
  <si>
    <t>000016802230000000000000000000</t>
  </si>
  <si>
    <t>003016726250000000000000000000</t>
  </si>
  <si>
    <t>003014608000001000000000000000</t>
  </si>
  <si>
    <t>000016528840000000000001002070</t>
  </si>
  <si>
    <t>003011666660000000000000000000</t>
  </si>
  <si>
    <t>003017290540001000000000000000</t>
  </si>
  <si>
    <t>005001061800001000000000000000</t>
  </si>
  <si>
    <t>086014730880000000000000000000</t>
  </si>
  <si>
    <t>513011350180001000000000000000</t>
  </si>
  <si>
    <t>003012211410001000000000000000</t>
  </si>
  <si>
    <t>003014088970001000000000000000</t>
  </si>
  <si>
    <t>000000683220001000000000000000</t>
  </si>
  <si>
    <t>003013983450001000000000000000</t>
  </si>
  <si>
    <t>000016512570000000000001015625</t>
  </si>
  <si>
    <t>000016522400000000000200006154</t>
  </si>
  <si>
    <t>064016031720000000000000000000</t>
  </si>
  <si>
    <t>003013763950001000000000000000</t>
  </si>
  <si>
    <t>000016529430000000000001002658</t>
  </si>
  <si>
    <t>083015184740000000000000000000</t>
  </si>
  <si>
    <t>003412010430000000000000000000</t>
  </si>
  <si>
    <t>000016496840000000000000000281</t>
  </si>
  <si>
    <t>003014678900000000000000000000</t>
  </si>
  <si>
    <t>003016696890001000000000000000</t>
  </si>
  <si>
    <t>063216112290000000000000000000</t>
  </si>
  <si>
    <t>083014877940000000000000000000</t>
  </si>
  <si>
    <t>000010618640000000000000000000</t>
  </si>
  <si>
    <t>003017140000001000000000000000</t>
  </si>
  <si>
    <t>003013424690001000000000000000</t>
  </si>
  <si>
    <t>086014752450000000000000000000</t>
  </si>
  <si>
    <t>064015997200000000000000000000</t>
  </si>
  <si>
    <t>000016514560000000000010053482</t>
  </si>
  <si>
    <t>000016532670000000000001008565</t>
  </si>
  <si>
    <t>003015536520001000000000000000</t>
  </si>
  <si>
    <t>084014909440000000000000000000</t>
  </si>
  <si>
    <t>003014628240000000000000000000</t>
  </si>
  <si>
    <t>000016497940000000000001003654</t>
  </si>
  <si>
    <t>003216306530000000000000000000</t>
  </si>
  <si>
    <t>003014657990000000000000000000</t>
  </si>
  <si>
    <t>084015148610000000000000000000</t>
  </si>
  <si>
    <t>063016096910000000000000000000</t>
  </si>
  <si>
    <t>003015256810001000000000000000</t>
  </si>
  <si>
    <t>000010324940001000000000000000</t>
  </si>
  <si>
    <t>000016535160000000000010028122</t>
  </si>
  <si>
    <t>003017130540001000000000000000</t>
  </si>
  <si>
    <t>003011756130000000000000000000</t>
  </si>
  <si>
    <t>003015308610000000000000000000</t>
  </si>
  <si>
    <t>086014719500000000000000000000</t>
  </si>
  <si>
    <t>000016501180000000000001008708</t>
  </si>
  <si>
    <t>003015713720001000000000000000</t>
  </si>
  <si>
    <t>003015263050000000000000000000</t>
  </si>
  <si>
    <t>003012001820001000000000000000</t>
  </si>
  <si>
    <t>000016536330000000000010061156</t>
  </si>
  <si>
    <t>003014009710001000000000000000</t>
  </si>
  <si>
    <t>000000707610001000000000000000</t>
  </si>
  <si>
    <t>003017074390001000000000000000</t>
  </si>
  <si>
    <t>003015468550001000000000000000</t>
  </si>
  <si>
    <t>000016532420000000000001008260</t>
  </si>
  <si>
    <t>063215881800000000000000000000</t>
  </si>
  <si>
    <t>000017043260000000000000000000</t>
  </si>
  <si>
    <t>000016541850000000000069500041</t>
  </si>
  <si>
    <t>000016509430000000000001013900</t>
  </si>
  <si>
    <t>000017036750000000000000000000</t>
  </si>
  <si>
    <t>000010157620001000000000000000</t>
  </si>
  <si>
    <t>000010225890000000000000000000</t>
  </si>
  <si>
    <t>000016540380000000000069014131</t>
  </si>
  <si>
    <t>003016567290000000000000000000</t>
  </si>
  <si>
    <t>083014913320000000000000000000</t>
  </si>
  <si>
    <t>000010344280000000000000000000</t>
  </si>
  <si>
    <t>113011087080001000000000000000</t>
  </si>
  <si>
    <t>000017820860000000000010203622</t>
  </si>
  <si>
    <t>000016529400000000000001002635</t>
  </si>
  <si>
    <t>009015449400000000000000000000</t>
  </si>
  <si>
    <t>003014110280000000000000000000</t>
  </si>
  <si>
    <t>003000294800000000000000000000</t>
  </si>
  <si>
    <t>004000545190001000000000000000</t>
  </si>
  <si>
    <t>084014929840000000000000000000</t>
  </si>
  <si>
    <t>003015850670000000000000000000</t>
  </si>
  <si>
    <t>000000563460000000000000000000</t>
  </si>
  <si>
    <t>000017820540000000000010203007</t>
  </si>
  <si>
    <t>003017365930001000000000000000</t>
  </si>
  <si>
    <t>064015959140000000000000000000</t>
  </si>
  <si>
    <t>000010287720000000000000000000</t>
  </si>
  <si>
    <t>003000463720000000000000000000</t>
  </si>
  <si>
    <t>000016549660000000000069620471</t>
  </si>
  <si>
    <t>000000410450000000000000000000</t>
  </si>
  <si>
    <t>083214995150000000000000000000</t>
  </si>
  <si>
    <t>003013612230001000000000000000</t>
  </si>
  <si>
    <t>000010541610001000000000000000</t>
  </si>
  <si>
    <t>000016544650000000000069613881</t>
  </si>
  <si>
    <t>003016822220001000000000000000</t>
  </si>
  <si>
    <t>513000106530001000000000000000</t>
  </si>
  <si>
    <t>003013209690001000000000000000</t>
  </si>
  <si>
    <t>000016522260000000000200005854</t>
  </si>
  <si>
    <t>003015298980001000000000000000</t>
  </si>
  <si>
    <t>003016285080001000000000000000</t>
  </si>
  <si>
    <t>000010692290000000000000000000</t>
  </si>
  <si>
    <t>003015848590001000000000000000</t>
  </si>
  <si>
    <t>003016379770001000000000000000</t>
  </si>
  <si>
    <t>003015444430000000000000000000</t>
  </si>
  <si>
    <t>003015294240001000000000000000</t>
  </si>
  <si>
    <t>000017819930000000000001010380</t>
  </si>
  <si>
    <t>000016520930000000000011036788</t>
  </si>
  <si>
    <t>000016514130000000000010038302</t>
  </si>
  <si>
    <t>084014935990000000000000000000</t>
  </si>
  <si>
    <t>000016515410000000000010102541</t>
  </si>
  <si>
    <t>003014667630000000000000000000</t>
  </si>
  <si>
    <t>000016516220000000000010120851</t>
  </si>
  <si>
    <t>003014487360001000000000000000</t>
  </si>
  <si>
    <t>006000721160000000000000000000</t>
  </si>
  <si>
    <t>000010209480000000000000000000</t>
  </si>
  <si>
    <t>000014145880000000000000000000</t>
  </si>
  <si>
    <t>003012853190001000000000000000</t>
  </si>
  <si>
    <t>003000226250001000000000000000</t>
  </si>
  <si>
    <t>000017136860000000000001018069</t>
  </si>
  <si>
    <t>003015682480000000000000000000</t>
  </si>
  <si>
    <t>003215374570000000000000000000</t>
  </si>
  <si>
    <t>000000662910001000000000000000</t>
  </si>
  <si>
    <t>063016096870000000000000000000</t>
  </si>
  <si>
    <t>003017241880001000000000000000</t>
  </si>
  <si>
    <t>000016522460000000000200006373</t>
  </si>
  <si>
    <t>003012622180001000000000000000</t>
  </si>
  <si>
    <t>003016315330001000000000000000</t>
  </si>
  <si>
    <t>000010468060001000000000000000</t>
  </si>
  <si>
    <t>003017334050000000000000000000</t>
  </si>
  <si>
    <t>000016851640000000000000000000</t>
  </si>
  <si>
    <t>005000614150001000000000000000</t>
  </si>
  <si>
    <t>003015712780000000000000000000</t>
  </si>
  <si>
    <t>003017062160000000000000000000</t>
  </si>
  <si>
    <t>000010632330001000000000000000</t>
  </si>
  <si>
    <t>000000705490001000000000000000</t>
  </si>
  <si>
    <t>086014970930000000000000000000</t>
  </si>
  <si>
    <t>003015313390001000000000000000</t>
  </si>
  <si>
    <t>003016261390001000000000000000</t>
  </si>
  <si>
    <t>000010115420001000000000000000</t>
  </si>
  <si>
    <t>000016532840000000000001008805</t>
  </si>
  <si>
    <t>000010765170001000000000000000</t>
  </si>
  <si>
    <t>000016537730000000000010107908</t>
  </si>
  <si>
    <t>083015039760000000000000000000</t>
  </si>
  <si>
    <t>003016201410001000000000000000</t>
  </si>
  <si>
    <t>005000671850000000000000000000</t>
  </si>
  <si>
    <t>063015933880000000000000000000</t>
  </si>
  <si>
    <t>003000230970000000000000000000</t>
  </si>
  <si>
    <t>006000855550001000000000000000</t>
  </si>
  <si>
    <t>003013662490001000000000000000</t>
  </si>
  <si>
    <t>000017820610000000000010203141</t>
  </si>
  <si>
    <t>003415620420000000000000000000</t>
  </si>
  <si>
    <t>003017578200000000000000000000</t>
  </si>
  <si>
    <t>000000513140011000000000000000</t>
  </si>
  <si>
    <t>063015907100000000000000000000</t>
  </si>
  <si>
    <t>003016148780000000000000000000</t>
  </si>
  <si>
    <t>003016576870001000000000000000</t>
  </si>
  <si>
    <t>003012609910000000000000000000</t>
  </si>
  <si>
    <t>003011882880001000000000000000</t>
  </si>
  <si>
    <t>000000713970001000000000000000</t>
  </si>
  <si>
    <t>084014968420000000000000000000</t>
  </si>
  <si>
    <t>003001319730001000000000000000</t>
  </si>
  <si>
    <t>000016541890000000000069500101</t>
  </si>
  <si>
    <t>000000336620000000000000000000</t>
  </si>
  <si>
    <t>000016542240000000000069601731</t>
  </si>
  <si>
    <t>000016538670000000000061127731</t>
  </si>
  <si>
    <t>513000097900001000000000000000</t>
  </si>
  <si>
    <t>000016536960000000000010093681</t>
  </si>
  <si>
    <t>064015935750000000000000000000</t>
  </si>
  <si>
    <t>003000235800000000000000000000</t>
  </si>
  <si>
    <t>003017210740001000000000000000</t>
  </si>
  <si>
    <t>000010776920000000000000000000</t>
  </si>
  <si>
    <t>004014618060001000000000000000</t>
  </si>
  <si>
    <t>083015104770000000000000000000</t>
  </si>
  <si>
    <t>003015794480001000000000000000</t>
  </si>
  <si>
    <t>000017819880000000000001009718</t>
  </si>
  <si>
    <t>000016535340000000000010044231</t>
  </si>
  <si>
    <t>086014717030001000000000000000</t>
  </si>
  <si>
    <t>003014461220001000000000000000</t>
  </si>
  <si>
    <t>084014825530001000000000000000</t>
  </si>
  <si>
    <t>003017684540001000000000000000</t>
  </si>
  <si>
    <t>000010856120001000000000000000</t>
  </si>
  <si>
    <t>083015047800000000000000000000</t>
  </si>
  <si>
    <t>000010785790001000000000000000</t>
  </si>
  <si>
    <t>003013923250001000000000000000</t>
  </si>
  <si>
    <t>083015075420000000000000000000</t>
  </si>
  <si>
    <t>003011251940001000000000000000</t>
  </si>
  <si>
    <t>063016043220000000000000000000</t>
  </si>
  <si>
    <t>003001230990001000000000000000</t>
  </si>
  <si>
    <t>000016531140000000000001006188</t>
  </si>
  <si>
    <t>003016596810001000000000000000</t>
  </si>
  <si>
    <t>083015191010000000000000000000</t>
  </si>
  <si>
    <t>003015266230001000000000000000</t>
  </si>
  <si>
    <t>004016220860001000000000000000</t>
  </si>
  <si>
    <t>000016499610000000000001006936</t>
  </si>
  <si>
    <t>000016535240000000000010036372</t>
  </si>
  <si>
    <t>000010066910001000000000000000</t>
  </si>
  <si>
    <t>004016633920001000000000000000</t>
  </si>
  <si>
    <t>000000330070001000000000000000</t>
  </si>
  <si>
    <t>003215264190000000000000000000</t>
  </si>
  <si>
    <t>003012466870000000000000000000</t>
  </si>
  <si>
    <t>000016531820000000000001007293</t>
  </si>
  <si>
    <t>003016241310001000000000000000</t>
  </si>
  <si>
    <t>084015186880000000000000000000</t>
  </si>
  <si>
    <t>000016553700000000000200010137</t>
  </si>
  <si>
    <t>000016514090000000000010030982</t>
  </si>
  <si>
    <t>083015029810000000000000000000</t>
  </si>
  <si>
    <t>000016532530000000000001008339</t>
  </si>
  <si>
    <t>000016520010000000000010155535</t>
  </si>
  <si>
    <t>000017820840000000000010203612</t>
  </si>
  <si>
    <t>000016538290000000000061014923</t>
  </si>
  <si>
    <t>009111956680027000000000000000</t>
  </si>
  <si>
    <t>003001161040000000000000000000</t>
  </si>
  <si>
    <t>063415930570000000000000000000</t>
  </si>
  <si>
    <t>003012240700001000000000000000</t>
  </si>
  <si>
    <t>063216004380000000000000000000</t>
  </si>
  <si>
    <t>063015919560000000000000000000</t>
  </si>
  <si>
    <t>000016514180000000000010043432</t>
  </si>
  <si>
    <t>000016505360000000000001011831</t>
  </si>
  <si>
    <t>003016378640001000000000000000</t>
  </si>
  <si>
    <t>003015730210001000000000000000</t>
  </si>
  <si>
    <t>000000743730001000000000000000</t>
  </si>
  <si>
    <t>003016649400000000000000000000</t>
  </si>
  <si>
    <t>000010609890001000000000000000</t>
  </si>
  <si>
    <t>000017821990000000000010206544</t>
  </si>
  <si>
    <t>003000330550000000000000000000</t>
  </si>
  <si>
    <t>064015961660000000000000000000</t>
  </si>
  <si>
    <t>006000817770000000000000000000</t>
  </si>
  <si>
    <t>000016532580000000000001008456</t>
  </si>
  <si>
    <t>000014156810000000000000000000</t>
  </si>
  <si>
    <t>000016538740000000000061140021</t>
  </si>
  <si>
    <t>083014911520000000000000000000</t>
  </si>
  <si>
    <t>004014464590001000000000000000</t>
  </si>
  <si>
    <t>083015061790000000000000000000</t>
  </si>
  <si>
    <t>003013108870001000000000000000</t>
  </si>
  <si>
    <t>003016604780001000000000000000</t>
  </si>
  <si>
    <t>000016501520000000000001008989</t>
  </si>
  <si>
    <t>000016543740000000000069611831</t>
  </si>
  <si>
    <t>003012726850001000000000000000</t>
  </si>
  <si>
    <t>000016536580000000000010074472</t>
  </si>
  <si>
    <t>083015098930000000000000000000</t>
  </si>
  <si>
    <t>063016103630000000000000000000</t>
  </si>
  <si>
    <t>000016529770000000000001003149</t>
  </si>
  <si>
    <t>000016497340000000000001002366</t>
  </si>
  <si>
    <t>000017038290000000000000000000</t>
  </si>
  <si>
    <t>003011011670000000000000000000</t>
  </si>
  <si>
    <t>003016241290001000000000000000</t>
  </si>
  <si>
    <t>005000637270000000000000000000</t>
  </si>
  <si>
    <t>000010367240001000000000000000</t>
  </si>
  <si>
    <t>083215124340000000000000000000</t>
  </si>
  <si>
    <t>084015056880000000000000000000</t>
  </si>
  <si>
    <t>003016175030000000000000000000</t>
  </si>
  <si>
    <t>003011197460001000000000000000</t>
  </si>
  <si>
    <t>000016506940000000000001012685</t>
  </si>
  <si>
    <t>000000484190001000000000000000</t>
  </si>
  <si>
    <t>003213998850000000000000000000</t>
  </si>
  <si>
    <t>000017044620000000000000000000</t>
  </si>
  <si>
    <t>083014802290000000000000000000</t>
  </si>
  <si>
    <t>513000049240000000000000000000</t>
  </si>
  <si>
    <t>000016496890000000000001000534</t>
  </si>
  <si>
    <t>000017132300000000000001017801</t>
  </si>
  <si>
    <t>084015131530000000000000000000</t>
  </si>
  <si>
    <t>006000874620000000000000000000</t>
  </si>
  <si>
    <t>003016865090000000000000000000</t>
  </si>
  <si>
    <t>003012777510001000000000000000</t>
  </si>
  <si>
    <t>006015621450001000000000000000</t>
  </si>
  <si>
    <t>064015946170000000000000000000</t>
  </si>
  <si>
    <t>084015137990000000000000000000</t>
  </si>
  <si>
    <t>003015812580001000000000000000</t>
  </si>
  <si>
    <t>003015367060000000000000000000</t>
  </si>
  <si>
    <t>003012653880000000000000000000</t>
  </si>
  <si>
    <t>000016533870000000000001009866</t>
  </si>
  <si>
    <t>003017230180000000000000000000</t>
  </si>
  <si>
    <t>000016552630000000000200006146</t>
  </si>
  <si>
    <t>000016503760000000000001011012</t>
  </si>
  <si>
    <t>000011014020001000000000000000</t>
  </si>
  <si>
    <t>003013091430000000000000000000</t>
  </si>
  <si>
    <t>000000764290001000000000000000</t>
  </si>
  <si>
    <t>000016520910000000000011036784</t>
  </si>
  <si>
    <t>003013163690001000000000000000</t>
  </si>
  <si>
    <t>003015498620001000000000000000</t>
  </si>
  <si>
    <t>000010163940001000000000000000</t>
  </si>
  <si>
    <t>000016497090000000000001001976</t>
  </si>
  <si>
    <t>000010588020001000000000000000</t>
  </si>
  <si>
    <t>003217494700000000000000000000</t>
  </si>
  <si>
    <t>000016551770000000000069622951</t>
  </si>
  <si>
    <t>000016546340000000000069616421</t>
  </si>
  <si>
    <t>000016506510000000000001012426</t>
  </si>
  <si>
    <t>000016551910000000000069623121</t>
  </si>
  <si>
    <t>004000952470000000000000000000</t>
  </si>
  <si>
    <t>000000235020001000000000000000</t>
  </si>
  <si>
    <t>000010725640001000000000000000</t>
  </si>
  <si>
    <t>000016530880000000000001005754</t>
  </si>
  <si>
    <t>003012723310001000000000000000</t>
  </si>
  <si>
    <t>003012272810001000000000000000</t>
  </si>
  <si>
    <t>000010874070001000000000000000</t>
  </si>
  <si>
    <t>084014930650000000000000000000</t>
  </si>
  <si>
    <t>006001080760001000000000000000</t>
  </si>
  <si>
    <t>003016947890001000000000000000</t>
  </si>
  <si>
    <t>063015913890000000000000000000</t>
  </si>
  <si>
    <t>003012155780000000000000000000</t>
  </si>
  <si>
    <t>003013489700000000000000000000</t>
  </si>
  <si>
    <t>003013886070001000000000000000</t>
  </si>
  <si>
    <t>003011337750001000000000000000</t>
  </si>
  <si>
    <t>064015903010000000000000000000</t>
  </si>
  <si>
    <t>003013409910001000000000000000</t>
  </si>
  <si>
    <t>003015491730001000000000000000</t>
  </si>
  <si>
    <t>000016511750000000000001015108</t>
  </si>
  <si>
    <t>000010704750001000000000000000</t>
  </si>
  <si>
    <t>004015604410000000000000000000</t>
  </si>
  <si>
    <t>000017820820000000000010203558</t>
  </si>
  <si>
    <t>000010911340000000000000000000</t>
  </si>
  <si>
    <t>000017821020000000000010203911</t>
  </si>
  <si>
    <t>000016498530000000000001005417</t>
  </si>
  <si>
    <t>085015050430000000000000000000</t>
  </si>
  <si>
    <t>064015882660000000000000000000</t>
  </si>
  <si>
    <t>003013677180001000000000000000</t>
  </si>
  <si>
    <t>003014586720000000000000000000</t>
  </si>
  <si>
    <t>003016941420001000000000000000</t>
  </si>
  <si>
    <t>063016062530000000000000000000</t>
  </si>
  <si>
    <t>000001172950001000000000000000</t>
  </si>
  <si>
    <t>084014770790000000000000000000</t>
  </si>
  <si>
    <t>003011639380001000000000000000</t>
  </si>
  <si>
    <t>000016541310000000000069021041</t>
  </si>
  <si>
    <t>000016540370000000000069013771</t>
  </si>
  <si>
    <t>063215996530000000000000000000</t>
  </si>
  <si>
    <t>514015401950001000000000000000</t>
  </si>
  <si>
    <t>063016029760000000000000000000</t>
  </si>
  <si>
    <t>000010369170001000000000000000</t>
  </si>
  <si>
    <t>000010767530001000000000000000</t>
  </si>
  <si>
    <t>000000229030001000000000000000</t>
  </si>
  <si>
    <t>084014794630000000000000000000</t>
  </si>
  <si>
    <t>000010494990001000000000000000</t>
  </si>
  <si>
    <t>003014481160001000000000000000</t>
  </si>
  <si>
    <t>000016533090000000000001008947</t>
  </si>
  <si>
    <t>083014912050000000000000000000</t>
  </si>
  <si>
    <t>003012976590000000000000000000</t>
  </si>
  <si>
    <t>003012499150000000000000000000</t>
  </si>
  <si>
    <t>004014321230000000000000000000</t>
  </si>
  <si>
    <t>516011118490001000000000000000</t>
  </si>
  <si>
    <t>000016501170000000000001008702</t>
  </si>
  <si>
    <t>003214260050000000000000000000</t>
  </si>
  <si>
    <t>003014314980001000000000000000</t>
  </si>
  <si>
    <t>084015131520000000000000000000</t>
  </si>
  <si>
    <t>000016501880000000000001009452</t>
  </si>
  <si>
    <t>003012947290001000000000000000</t>
  </si>
  <si>
    <t>003016572120001000000000000000</t>
  </si>
  <si>
    <t>003017747930000000000000000000</t>
  </si>
  <si>
    <t>000016529540000000000001002819</t>
  </si>
  <si>
    <t>063016138200000000000000000000</t>
  </si>
  <si>
    <t>000016528810000000000001002047</t>
  </si>
  <si>
    <t>003016304590000000000000000000</t>
  </si>
  <si>
    <t>000016521880000000000069022681</t>
  </si>
  <si>
    <t>000010719060001000000000000000</t>
  </si>
  <si>
    <t>003012092810001000000000000000</t>
  </si>
  <si>
    <t>000016535500000000000010047872</t>
  </si>
  <si>
    <t>000016504220000000000001011268</t>
  </si>
  <si>
    <t>003012513230001000000000000000</t>
  </si>
  <si>
    <t>000010371590002000000000000000</t>
  </si>
  <si>
    <t>003014710920001000000000000000</t>
  </si>
  <si>
    <t>000000296900001000000000000000</t>
  </si>
  <si>
    <t>003016240970000000000000000000</t>
  </si>
  <si>
    <t>003011629940001000000000000000</t>
  </si>
  <si>
    <t>000017038130000000000000000000</t>
  </si>
  <si>
    <t>000016514290000000000010048572</t>
  </si>
  <si>
    <t>000000115360001000000000000000</t>
  </si>
  <si>
    <t>000016540890000000000069017964</t>
  </si>
  <si>
    <t>003016280310000000000000000000</t>
  </si>
  <si>
    <t>000017820220000000000010107138</t>
  </si>
  <si>
    <t>003015572720001000000000000000</t>
  </si>
  <si>
    <t>000016851060000000000000000000</t>
  </si>
  <si>
    <t>000010197200001000000000000000</t>
  </si>
  <si>
    <t>000017038100000000000000000000</t>
  </si>
  <si>
    <t>064015877880000000000000000000</t>
  </si>
  <si>
    <t>000016531590000000000001006925</t>
  </si>
  <si>
    <t>000014164410000000000000000000</t>
  </si>
  <si>
    <t>003015689600001000000000000000</t>
  </si>
  <si>
    <t>083215206850000000000000000000</t>
  </si>
  <si>
    <t>003016377270001000000000000000</t>
  </si>
  <si>
    <t>006000719700000000000000000000</t>
  </si>
  <si>
    <t>003016780020001000000000000000</t>
  </si>
  <si>
    <t>083214848960000000000000000000</t>
  </si>
  <si>
    <t>083014945330000000000000000000</t>
  </si>
  <si>
    <t>003414332580001000000000000000</t>
  </si>
  <si>
    <t>000016532640000000000001008538</t>
  </si>
  <si>
    <t>000016528650000000000001001853</t>
  </si>
  <si>
    <t>513011252630001000000000000000</t>
  </si>
  <si>
    <t>003016960610001000000000000000</t>
  </si>
  <si>
    <t>003011656910001000000000000000</t>
  </si>
  <si>
    <t>009015277820017000000000000000</t>
  </si>
  <si>
    <t>003012560090001000000000000000</t>
  </si>
  <si>
    <t>003013372940000000000000000000</t>
  </si>
  <si>
    <t>000016541130000000000069019311</t>
  </si>
  <si>
    <t>000016513510000000000001016229</t>
  </si>
  <si>
    <t>088015197130000000000000000000</t>
  </si>
  <si>
    <t>003014356250001000000000000000</t>
  </si>
  <si>
    <t>003011715220000000000000000000</t>
  </si>
  <si>
    <t>000010616560001000000000000000</t>
  </si>
  <si>
    <t>003015677000001000000000000000</t>
  </si>
  <si>
    <t>003017111800001000000000000000</t>
  </si>
  <si>
    <t>084014795980000000000000000000</t>
  </si>
  <si>
    <t>006000912680000000000000000000</t>
  </si>
  <si>
    <t>000016511460000000000001014890</t>
  </si>
  <si>
    <t>006001111540001000000000000000</t>
  </si>
  <si>
    <t>003012718550000000000000000000</t>
  </si>
  <si>
    <t>003015415420001000000000000000</t>
  </si>
  <si>
    <t>005016240270001000000000000000</t>
  </si>
  <si>
    <t>087015217530000000000000000000</t>
  </si>
  <si>
    <t>063016111380000000000000000000</t>
  </si>
  <si>
    <t>003016174890000000000000000000</t>
  </si>
  <si>
    <t>003000439940000000000000000000</t>
  </si>
  <si>
    <t>000016549620000000000069620331</t>
  </si>
  <si>
    <t>003011731810001000000000000000</t>
  </si>
  <si>
    <t>086014992510000000000000000000</t>
  </si>
  <si>
    <t>003013770370000000000000000000</t>
  </si>
  <si>
    <t>003016236950001000000000000000</t>
  </si>
  <si>
    <t>003012716440000000000000000000</t>
  </si>
  <si>
    <t>003216816020000000000000000000</t>
  </si>
  <si>
    <t>000010554550001000000000000000</t>
  </si>
  <si>
    <t>000016534330000000000001010983</t>
  </si>
  <si>
    <t>000016523010000000000200008885</t>
  </si>
  <si>
    <t>000010179340001000000000000000</t>
  </si>
  <si>
    <t>000016544450000000000069613591</t>
  </si>
  <si>
    <t>063016002700000000000000000000</t>
  </si>
  <si>
    <t>003012358900000000000000000000</t>
  </si>
  <si>
    <t>084014862870000000000000000000</t>
  </si>
  <si>
    <t>084015105890000000000000000000</t>
  </si>
  <si>
    <t>003012088380001000000000000000</t>
  </si>
  <si>
    <t>003012952350000000000000000000</t>
  </si>
  <si>
    <t>083015052210000000000000000000</t>
  </si>
  <si>
    <t>003015467330001000000000000000</t>
  </si>
  <si>
    <t>083014807770000000000000000000</t>
  </si>
  <si>
    <t>000016542320000000000069602211</t>
  </si>
  <si>
    <t>513011137460000000000000000000</t>
  </si>
  <si>
    <t>084014726900001000000000000000</t>
  </si>
  <si>
    <t>003011320880001000000000000000</t>
  </si>
  <si>
    <t>000016543270000000000069610191</t>
  </si>
  <si>
    <t>084015197160000000000000000000</t>
  </si>
  <si>
    <t>000016553160000000000200008075</t>
  </si>
  <si>
    <t>003017478670001000000000000000</t>
  </si>
  <si>
    <t>000016531150000000000001006208</t>
  </si>
  <si>
    <t>003014695520001000000000000000</t>
  </si>
  <si>
    <t>085015136800000000000000000000</t>
  </si>
  <si>
    <t>084014996080000000000000000000</t>
  </si>
  <si>
    <t>003013535980001000000000000000</t>
  </si>
  <si>
    <t>003015325350001000000000000000</t>
  </si>
  <si>
    <t>003011043500001000000000000000</t>
  </si>
  <si>
    <t>003012897520001000000000000000</t>
  </si>
  <si>
    <t>003011602320001000000000000000</t>
  </si>
  <si>
    <t>000017820730000000000010203393</t>
  </si>
  <si>
    <t>083014994920000000000000000000</t>
  </si>
  <si>
    <t>000016498070000000000001004141</t>
  </si>
  <si>
    <t>003015395670001000000000000000</t>
  </si>
  <si>
    <t>003013997390001000000000000000</t>
  </si>
  <si>
    <t>000016515370000000000010102297</t>
  </si>
  <si>
    <t>003013423380000000000000000000</t>
  </si>
  <si>
    <t>003013072560001000000000000000</t>
  </si>
  <si>
    <t>003015649420000000000000000000</t>
  </si>
  <si>
    <t>000016500710000000000001008247</t>
  </si>
  <si>
    <t>000016497510000000000001002647</t>
  </si>
  <si>
    <t>000010610440001000000000000000</t>
  </si>
  <si>
    <t>000016536670000000000010083392</t>
  </si>
  <si>
    <t>003001270830001000000000000000</t>
  </si>
  <si>
    <t>003016319160001000000000000000</t>
  </si>
  <si>
    <t>003012661770001000000000000000</t>
  </si>
  <si>
    <t>003016959560001000000000000000</t>
  </si>
  <si>
    <t>084014912690000000000000000000</t>
  </si>
  <si>
    <t>003017644730001000000000000000</t>
  </si>
  <si>
    <t>000017093200000000000000000000</t>
  </si>
  <si>
    <t>000016501550000000000001009008</t>
  </si>
  <si>
    <t>003011725950000000000000000000</t>
  </si>
  <si>
    <t>003015533490001000000000000000</t>
  </si>
  <si>
    <t>003012584140000000000000000000</t>
  </si>
  <si>
    <t>003013911210000000000000000000</t>
  </si>
  <si>
    <t>000000417700000000000000000000</t>
  </si>
  <si>
    <t>083015140020000000000000000000</t>
  </si>
  <si>
    <t>003012326220001000000000000000</t>
  </si>
  <si>
    <t>003016722910001000000000000000</t>
  </si>
  <si>
    <t>003016447180001000000000000000</t>
  </si>
  <si>
    <t>000014144690000000000000000000</t>
  </si>
  <si>
    <t>000016528700000000000001001884</t>
  </si>
  <si>
    <t>000014159310000000000000000000</t>
  </si>
  <si>
    <t>003016393120000000000000000000</t>
  </si>
  <si>
    <t>003013353180001000000000000000</t>
  </si>
  <si>
    <t>063216005090000000000000000000</t>
  </si>
  <si>
    <t>004015616900000000000000000000</t>
  </si>
  <si>
    <t>003011649070001000000000000000</t>
  </si>
  <si>
    <t>003015733960001000000000000000</t>
  </si>
  <si>
    <t>000016515030000000000010085722</t>
  </si>
  <si>
    <t>003016642680001000000000000000</t>
  </si>
  <si>
    <t>000017820380000000000010202484</t>
  </si>
  <si>
    <t>003015458960001000000000000000</t>
  </si>
  <si>
    <t>003017099400000000000000000000</t>
  </si>
  <si>
    <t>084015011600000000000000000000</t>
  </si>
  <si>
    <t>000000734130000000000000000000</t>
  </si>
  <si>
    <t>000016529910000000000001004000</t>
  </si>
  <si>
    <t>000016519000000000000010148264</t>
  </si>
  <si>
    <t>000000358220000000000000000000</t>
  </si>
  <si>
    <t>003215444020000000000000000000</t>
  </si>
  <si>
    <t>000016498780000000000001005884</t>
  </si>
  <si>
    <t>000016498040000000000001004103</t>
  </si>
  <si>
    <t>000017819840000000000001008522</t>
  </si>
  <si>
    <t>003012209920001000000000000000</t>
  </si>
  <si>
    <t>000016520250000000000010158733</t>
  </si>
  <si>
    <t>003015831240001000000000000000</t>
  </si>
  <si>
    <t>000016497270000000000001002250</t>
  </si>
  <si>
    <t>000016528410000000000001000842</t>
  </si>
  <si>
    <t>003000399640000000000000000000</t>
  </si>
  <si>
    <t>003013483040001000000000000000</t>
  </si>
  <si>
    <t>003014503360000000000000000000</t>
  </si>
  <si>
    <t>000016593170000000000010166891</t>
  </si>
  <si>
    <t>003014403780001000000000000000</t>
  </si>
  <si>
    <t>000016536570000000000010073882</t>
  </si>
  <si>
    <t>000010410860001000000000000000</t>
  </si>
  <si>
    <t>064016016290000000000000000000</t>
  </si>
  <si>
    <t>003013351880001000000000000000</t>
  </si>
  <si>
    <t>003213302110001000000000000000</t>
  </si>
  <si>
    <t>000016540580000000000069016071</t>
  </si>
  <si>
    <t>003012411410001000000000000000</t>
  </si>
  <si>
    <t>003016448640001000000000000000</t>
  </si>
  <si>
    <t>003015307450001000000000000000</t>
  </si>
  <si>
    <t>003214449010000000000000000000</t>
  </si>
  <si>
    <t>003013066800001000000000000000</t>
  </si>
  <si>
    <t>003014646670000000000000000000</t>
  </si>
  <si>
    <t>000016543220000000000069610071</t>
  </si>
  <si>
    <t>085014742450000000000000000000</t>
  </si>
  <si>
    <t>000010085660001000000000000000</t>
  </si>
  <si>
    <t>000016617870000000000000000000</t>
  </si>
  <si>
    <t>003015856780001000000000000000</t>
  </si>
  <si>
    <t>003014077690000000000000000000</t>
  </si>
  <si>
    <t>000016531090000000000001006139</t>
  </si>
  <si>
    <t>084014961550000000000000000000</t>
  </si>
  <si>
    <t>003016489010001000000000000000</t>
  </si>
  <si>
    <t>003015662220000000000000000000</t>
  </si>
  <si>
    <t>000016538730000000000061139071</t>
  </si>
  <si>
    <t>000016512470000000000001015505</t>
  </si>
  <si>
    <t>000016519010000000000010148265</t>
  </si>
  <si>
    <t>003017440660001000000000000000</t>
  </si>
  <si>
    <t>005000591660001000000000000000</t>
  </si>
  <si>
    <t>003016262480001000000000000000</t>
  </si>
  <si>
    <t>000017042740000000000000000000</t>
  </si>
  <si>
    <t>513011209730000000000000000000</t>
  </si>
  <si>
    <t>000016553590000000000200009660</t>
  </si>
  <si>
    <t>000016940050000000000000000000</t>
  </si>
  <si>
    <t>000016497030000000000001001793</t>
  </si>
  <si>
    <t>515011179210001000000000000000</t>
  </si>
  <si>
    <t>009015516070030000000000000000</t>
  </si>
  <si>
    <t>000016501910000000000001009486</t>
  </si>
  <si>
    <t>009016477440000000000000000000</t>
  </si>
  <si>
    <t>000016540740000000000069016812</t>
  </si>
  <si>
    <t>003014116500000000000000000000</t>
  </si>
  <si>
    <t>003000473330001000000000000000</t>
  </si>
  <si>
    <t>003011845080001000000000000000</t>
  </si>
  <si>
    <t>005000684540000000000000000000</t>
  </si>
  <si>
    <t>003015660730001000000000000000</t>
  </si>
  <si>
    <t>513000076990001000000000000000</t>
  </si>
  <si>
    <t>084014802520000000000000000000</t>
  </si>
  <si>
    <t>000016534030000000000001010221</t>
  </si>
  <si>
    <t>003015577330001000000000000000</t>
  </si>
  <si>
    <t>000000497530000000000000000000</t>
  </si>
  <si>
    <t>003016358140000000000000000000</t>
  </si>
  <si>
    <t>003013758450001000000000000000</t>
  </si>
  <si>
    <t>083015150980000000000000000000</t>
  </si>
  <si>
    <t>000016524520000000000690221033</t>
  </si>
  <si>
    <t>000000472650001000000000000000</t>
  </si>
  <si>
    <t>003013053580001000000000000000</t>
  </si>
  <si>
    <t>084014753910000000000000000000</t>
  </si>
  <si>
    <t>084014976630000000000000000000</t>
  </si>
  <si>
    <t>000016497190000000000001002072</t>
  </si>
  <si>
    <t>003015469780000000000000000000</t>
  </si>
  <si>
    <t>003015555750001000000000000000</t>
  </si>
  <si>
    <t>003012462870000000000000000000</t>
  </si>
  <si>
    <t>006001069470001000000000000000</t>
  </si>
  <si>
    <t>113011497680001000000000000000</t>
  </si>
  <si>
    <t>000016536210000000000010060121</t>
  </si>
  <si>
    <t>000017819630000000000001002230</t>
  </si>
  <si>
    <t>003016195910000000000000000000</t>
  </si>
  <si>
    <t>000017822100000000000069022851</t>
  </si>
  <si>
    <t>003017715200001000000000000000</t>
  </si>
  <si>
    <t>063015995280000000000000000000</t>
  </si>
  <si>
    <t>000016517780000000000010136137</t>
  </si>
  <si>
    <t>003015438400001000000000000000</t>
  </si>
  <si>
    <t>000016523330000000000200011061</t>
  </si>
  <si>
    <t>003013449880000000000000000000</t>
  </si>
  <si>
    <t>003014346230000000000000000000</t>
  </si>
  <si>
    <t>083014912500000000000000000000</t>
  </si>
  <si>
    <t>000017821030000000000010203935</t>
  </si>
  <si>
    <t>000010359420000000000000000000</t>
  </si>
  <si>
    <t>063015957000000000000000000000</t>
  </si>
  <si>
    <t>063016002650000000000000000000</t>
  </si>
  <si>
    <t>003000216210000000000000000000</t>
  </si>
  <si>
    <t>000016529160000000000001002373</t>
  </si>
  <si>
    <t>000016499040000000000001006265</t>
  </si>
  <si>
    <t>003217171890000000000000000000</t>
  </si>
  <si>
    <t>063016030700001000000000000000</t>
  </si>
  <si>
    <t>000016552980000000000200007254</t>
  </si>
  <si>
    <t>000016540320000000000069012241</t>
  </si>
  <si>
    <t>000014354680001000000000000000</t>
  </si>
  <si>
    <t>003014436100001000000000000000</t>
  </si>
  <si>
    <t>084014990670000000000000000000</t>
  </si>
  <si>
    <t>000016545600000000000069615451</t>
  </si>
  <si>
    <t>084015191350001000000000000000</t>
  </si>
  <si>
    <t>000016552470000000000200005888</t>
  </si>
  <si>
    <t>003214571140000000000000000000</t>
  </si>
  <si>
    <t>000010797770001000000000000000</t>
  </si>
  <si>
    <t>003016190160000000000000000000</t>
  </si>
  <si>
    <t>000000408540001000000000000000</t>
  </si>
  <si>
    <t>003216249250001000000000000000</t>
  </si>
  <si>
    <t>084014922530000000000000000000</t>
  </si>
  <si>
    <t>000017820110000000000010100021</t>
  </si>
  <si>
    <t>000016540550000000000069015821</t>
  </si>
  <si>
    <t>003001194760000000000000000000</t>
  </si>
  <si>
    <t>003013213930000000000000000000</t>
  </si>
  <si>
    <t>000000413050001000000000000000</t>
  </si>
  <si>
    <t>003014321560001000000000000000</t>
  </si>
  <si>
    <t>003011079680000000000000000000</t>
  </si>
  <si>
    <t>003017294250000000000000000000</t>
  </si>
  <si>
    <t>085014887380000000000000000000</t>
  </si>
  <si>
    <t>000010585510001000000000000000</t>
  </si>
  <si>
    <t>084014921360000000000000000000</t>
  </si>
  <si>
    <t>063216146100000000000000000000</t>
  </si>
  <si>
    <t>000000741710001000000000000000</t>
  </si>
  <si>
    <t>003017525500001000000000000000</t>
  </si>
  <si>
    <t>003011981800001000000000000000</t>
  </si>
  <si>
    <t>083015067840000000000000000000</t>
  </si>
  <si>
    <t>000016498030000000000001004030</t>
  </si>
  <si>
    <t>003016910540000000000000000000</t>
  </si>
  <si>
    <t>086014760660000000000000000000</t>
  </si>
  <si>
    <t>063016099010000000000000000000</t>
  </si>
  <si>
    <t>003015397780000000000000000000</t>
  </si>
  <si>
    <t>003013960940001000000000000000</t>
  </si>
  <si>
    <t>003011172930001000000000000000</t>
  </si>
  <si>
    <t>000016550400000000000069621321</t>
  </si>
  <si>
    <t>000017037440000000000000000000</t>
  </si>
  <si>
    <t>000016508430000000000001013441</t>
  </si>
  <si>
    <t>003014452080000000000000000000</t>
  </si>
  <si>
    <t>003016350730001000000000000000</t>
  </si>
  <si>
    <t>003015383540001000000000000000</t>
  </si>
  <si>
    <t>000016505350000000000001011830</t>
  </si>
  <si>
    <t>000000265220001000000000000000</t>
  </si>
  <si>
    <t>000016539080000000000062000993</t>
  </si>
  <si>
    <t>000016540800000000000069017221</t>
  </si>
  <si>
    <t>084014799890000000000000000000</t>
  </si>
  <si>
    <t>513011116130000000000000000000</t>
  </si>
  <si>
    <t>000000378700001000000000000000</t>
  </si>
  <si>
    <t>084014848470000000000000000000</t>
  </si>
  <si>
    <t>083215151430000000000000000000</t>
  </si>
  <si>
    <t>003016447220000000000000000000</t>
  </si>
  <si>
    <t>000010796540001000000000000000</t>
  </si>
  <si>
    <t>000017821890000000000010205529</t>
  </si>
  <si>
    <t>003016682980001000000000000000</t>
  </si>
  <si>
    <t>084014963230000000000000000000</t>
  </si>
  <si>
    <t>004015619870000000000000000000</t>
  </si>
  <si>
    <t>063015908850000000000000000000</t>
  </si>
  <si>
    <t>003012980380001000000000000000</t>
  </si>
  <si>
    <t>000016510870000000000001014575</t>
  </si>
  <si>
    <t>003016313520000000000000000000</t>
  </si>
  <si>
    <t>003016303320001000000000000000</t>
  </si>
  <si>
    <t>000000396870001000000000000000</t>
  </si>
  <si>
    <t>000016543480000000000069610801</t>
  </si>
  <si>
    <t>003014032520001000000000000000</t>
  </si>
  <si>
    <t>000016517680000000000010135392</t>
  </si>
  <si>
    <t>000010548000001000000000000000</t>
  </si>
  <si>
    <t>003013847570001000000000000000</t>
  </si>
  <si>
    <t>004001081040001000000000000000</t>
  </si>
  <si>
    <t>003011441460001000000000000000</t>
  </si>
  <si>
    <t>003011403780001000000000000000</t>
  </si>
  <si>
    <t>063016138350000000000000000000</t>
  </si>
  <si>
    <t>003016738860001000000000000000</t>
  </si>
  <si>
    <t>000016535390000000000010045562</t>
  </si>
  <si>
    <t>083014792380000000000000000000</t>
  </si>
  <si>
    <t>000016507080000000000001012740</t>
  </si>
  <si>
    <t>003017146770000000000000000000</t>
  </si>
  <si>
    <t>000016547590000000000069617941</t>
  </si>
  <si>
    <t>003015681490000000000000000000</t>
  </si>
  <si>
    <t>003016455440001000000000000000</t>
  </si>
  <si>
    <t>003015686430000000000000000000</t>
  </si>
  <si>
    <t>000017182880000000000000000000</t>
  </si>
  <si>
    <t>003016257480001000000000000000</t>
  </si>
  <si>
    <t>003214243360000000000000000000</t>
  </si>
  <si>
    <t>086014928230000000000000000000</t>
  </si>
  <si>
    <t>063015903000000000000000000000</t>
  </si>
  <si>
    <t>003013651340001000000000000000</t>
  </si>
  <si>
    <t>000016502240000000000001009967</t>
  </si>
  <si>
    <t>000016519600000000000010153461</t>
  </si>
  <si>
    <t>000016520260000000000010158991</t>
  </si>
  <si>
    <t>003013595470000000000000000000</t>
  </si>
  <si>
    <t>000016515630000000000010107987</t>
  </si>
  <si>
    <t>063015940660000000000000000000</t>
  </si>
  <si>
    <t>000016496940000000000001001137</t>
  </si>
  <si>
    <t>000016502970000000000001010547</t>
  </si>
  <si>
    <t>000010874570000000000000000000</t>
  </si>
  <si>
    <t>003014049980001000000000000000</t>
  </si>
  <si>
    <t>003014411390001000000000000000</t>
  </si>
  <si>
    <t>000016551130000000000069622221</t>
  </si>
  <si>
    <t>003014035480001000000000000000</t>
  </si>
  <si>
    <t>000016509400000000000001013874</t>
  </si>
  <si>
    <t>000016529820000000000001003769</t>
  </si>
  <si>
    <t>005000591860001000000000000000</t>
  </si>
  <si>
    <t>063216038540000000000000000000</t>
  </si>
  <si>
    <t>003014694180000000000000000000</t>
  </si>
  <si>
    <t>003012648420001000000000000000</t>
  </si>
  <si>
    <t>000016503330000000000001010741</t>
  </si>
  <si>
    <t>000017819820000000000001008180</t>
  </si>
  <si>
    <t>000016360760000000000000000000</t>
  </si>
  <si>
    <t>000016529580000000000001002887</t>
  </si>
  <si>
    <t>003016589870000000000000000000</t>
  </si>
  <si>
    <t>003013221250001000000000000000</t>
  </si>
  <si>
    <t>000017102500000000000001001416</t>
  </si>
  <si>
    <t>000016499780000000000001007124</t>
  </si>
  <si>
    <t>003013928770001000000000000000</t>
  </si>
  <si>
    <t>083014779480000000000000000000</t>
  </si>
  <si>
    <t>003017007410001000000000000000</t>
  </si>
  <si>
    <t>083014798650000000000000000000</t>
  </si>
  <si>
    <t>000016539460000000000062003721</t>
  </si>
  <si>
    <t>003017346380000000000000000000</t>
  </si>
  <si>
    <t>003015223300001000000000000000</t>
  </si>
  <si>
    <t>003016718740001000000000000000</t>
  </si>
  <si>
    <t>000016497000000000000001001583</t>
  </si>
  <si>
    <t>003015699430001000000000000000</t>
  </si>
  <si>
    <t>003013202010001000000000000000</t>
  </si>
  <si>
    <t>063016135600000000000000000000</t>
  </si>
  <si>
    <t>085014764960000000000000000000</t>
  </si>
  <si>
    <t>000016528330000000000001000388</t>
  </si>
  <si>
    <t>063015892690000000000000000000</t>
  </si>
  <si>
    <t>000017821130000000000010204248</t>
  </si>
  <si>
    <t>003015808140001000000000000000</t>
  </si>
  <si>
    <t>004012748320000000000000000000</t>
  </si>
  <si>
    <t>003015221430000000000000000000</t>
  </si>
  <si>
    <t>003016195040001000000000000000</t>
  </si>
  <si>
    <t>003015732810001000000000000000</t>
  </si>
  <si>
    <t>003015680380000000000000000000</t>
  </si>
  <si>
    <t>086015035850000000000000000000</t>
  </si>
  <si>
    <t>000017821360000000000010204583</t>
  </si>
  <si>
    <t>000010180460000000000000000000</t>
  </si>
  <si>
    <t>003414288510001000000000000000</t>
  </si>
  <si>
    <t>000000765200000000000000000000</t>
  </si>
  <si>
    <t>000000399440001000000000000000</t>
  </si>
  <si>
    <t>003012321470001000000000000000</t>
  </si>
  <si>
    <t>000016509680000000000001014062</t>
  </si>
  <si>
    <t>004016300710001000000000000000</t>
  </si>
  <si>
    <t>000016533170000000000001009038</t>
  </si>
  <si>
    <t>000016511050000000000001014676</t>
  </si>
  <si>
    <t>000016530910000000000001005893</t>
  </si>
  <si>
    <t>003017189910000000000000000000</t>
  </si>
  <si>
    <t>003015582970001000000000000000</t>
  </si>
  <si>
    <t>003015601390001000000000000000</t>
  </si>
  <si>
    <t>000017093670000000000000000000</t>
  </si>
  <si>
    <t>000010665140000000000000000000</t>
  </si>
  <si>
    <t>000017182890000000000000000000</t>
  </si>
  <si>
    <t>000017038370000000000000000000</t>
  </si>
  <si>
    <t>000017819650000000000001002455</t>
  </si>
  <si>
    <t>063015909740000000000000000000</t>
  </si>
  <si>
    <t>006000726720000000000000000000</t>
  </si>
  <si>
    <t>003011103250001000000000000000</t>
  </si>
  <si>
    <t>006000803820000000000000000000</t>
  </si>
  <si>
    <t>000016524460000000000690221014</t>
  </si>
  <si>
    <t>006015600400001000000000000000</t>
  </si>
  <si>
    <t>003016668310001000000000000000</t>
  </si>
  <si>
    <t>064016029750000000000000000000</t>
  </si>
  <si>
    <t>000017819960000000000001012617</t>
  </si>
  <si>
    <t>003013769830001000000000000000</t>
  </si>
  <si>
    <t>000017819850000000000001008623</t>
  </si>
  <si>
    <t>003016684240000000000000000000</t>
  </si>
  <si>
    <t>003015827350001000000000000000</t>
  </si>
  <si>
    <t>000010817500000000000000000000</t>
  </si>
  <si>
    <t>000000764500000000000000000000</t>
  </si>
  <si>
    <t>003012979780001000000000000000</t>
  </si>
  <si>
    <t>004014466790001000000000000000</t>
  </si>
  <si>
    <t>000016531620000000000001006966</t>
  </si>
  <si>
    <t>000016498980000000000001006225</t>
  </si>
  <si>
    <t>003014550360000000000000000000</t>
  </si>
  <si>
    <t>003016285550001000000000000000</t>
  </si>
  <si>
    <t>003016384070001000000000000000</t>
  </si>
  <si>
    <t>003214541990000000000000000000</t>
  </si>
  <si>
    <t>084015167900000000000000000000</t>
  </si>
  <si>
    <t>005001062960001000000000000000</t>
  </si>
  <si>
    <t>068015905210000000000000000000</t>
  </si>
  <si>
    <t>000016507770000000000001013116</t>
  </si>
  <si>
    <t>003016678250001000000000000000</t>
  </si>
  <si>
    <t>003015260930000000000000000000</t>
  </si>
  <si>
    <t>083214819450000000000000000000</t>
  </si>
  <si>
    <t>000016497910000000000001003257</t>
  </si>
  <si>
    <t>000016497590000000000001002797</t>
  </si>
  <si>
    <t>000016538280000000000061014922</t>
  </si>
  <si>
    <t>003011122050001000000000000000</t>
  </si>
  <si>
    <t>003010976030001000000000000000</t>
  </si>
  <si>
    <t>000016532190000000000001007954</t>
  </si>
  <si>
    <t>000016546620000000000069616811</t>
  </si>
  <si>
    <t>003000956550001000000000000000</t>
  </si>
  <si>
    <t>000016552730000000000200006297</t>
  </si>
  <si>
    <t>003012441630000000000000000000</t>
  </si>
  <si>
    <t>003216723090000000000000000000</t>
  </si>
  <si>
    <t>083014794700000000000000000000</t>
  </si>
  <si>
    <t>000017821560000000000010204847</t>
  </si>
  <si>
    <t>000017821780000000000010205293</t>
  </si>
  <si>
    <t>000016506320000000000001012350</t>
  </si>
  <si>
    <t>000000705580000000000000000000</t>
  </si>
  <si>
    <t>064016010890000000000000000000</t>
  </si>
  <si>
    <t>005000619780000000000000000000</t>
  </si>
  <si>
    <t>006000829370000000000000000000</t>
  </si>
  <si>
    <t>000601979475080000000000000000</t>
  </si>
  <si>
    <t>000016523210000000000200009778</t>
  </si>
  <si>
    <t>003012533180000000000000000000</t>
  </si>
  <si>
    <t>000017038270000000000000000000</t>
  </si>
  <si>
    <t>000000704930000000000000000000</t>
  </si>
  <si>
    <t>000000701340000000000000000000</t>
  </si>
  <si>
    <t>003015445290001000000000000000</t>
  </si>
  <si>
    <t>003017447610000000000000000000</t>
  </si>
  <si>
    <t>003010959650000000000000000000</t>
  </si>
  <si>
    <t>005000595040000000000000000000</t>
  </si>
  <si>
    <t>000000016460009000000000000000</t>
  </si>
  <si>
    <t>086014745830000000000000000000</t>
  </si>
  <si>
    <t>003014673810001000000000000000</t>
  </si>
  <si>
    <t>000017819700000000000001004404</t>
  </si>
  <si>
    <t>003011222880001000000000000000</t>
  </si>
  <si>
    <t>003014487100001000000000000000</t>
  </si>
  <si>
    <t>009017235990003000000000000000</t>
  </si>
  <si>
    <t>000016500470000000000001008021</t>
  </si>
  <si>
    <t>000016543640000000000069611441</t>
  </si>
  <si>
    <t>003015738040001000000000000000</t>
  </si>
  <si>
    <t>000016499500000000000001006786</t>
  </si>
  <si>
    <t>003001158710001000000000000000</t>
  </si>
  <si>
    <t>000016549580000000000069620291</t>
  </si>
  <si>
    <t>006000717050000000000000000000</t>
  </si>
  <si>
    <t>513011280080001000000000000000</t>
  </si>
  <si>
    <t>083016277890001000000000000000</t>
  </si>
  <si>
    <t>000016514160000000000010041432</t>
  </si>
  <si>
    <t>000010269690001000000000000000</t>
  </si>
  <si>
    <t>083014808020000000000000000000</t>
  </si>
  <si>
    <t>000017820620000000000010203157</t>
  </si>
  <si>
    <t>003014043870001000000000000000</t>
  </si>
  <si>
    <t>003015487720001000000000000000</t>
  </si>
  <si>
    <t>000016535410000000000010045564</t>
  </si>
  <si>
    <t>003016493960000000000000000000</t>
  </si>
  <si>
    <t>000000613180001000000000000000</t>
  </si>
  <si>
    <t>063216086550000000000000000000</t>
  </si>
  <si>
    <t>000016537290000000000010104091</t>
  </si>
  <si>
    <t>003012568260001000000000000000</t>
  </si>
  <si>
    <t>000016529590000000000001002899</t>
  </si>
  <si>
    <t>003013749300001000000000000000</t>
  </si>
  <si>
    <t>000016524320000000000690220969</t>
  </si>
  <si>
    <t>003011630300000000000000000000</t>
  </si>
  <si>
    <t>003012668400001000000000000000</t>
  </si>
  <si>
    <t>000010213140000000000000000000</t>
  </si>
  <si>
    <t>006000713960001000000000000000</t>
  </si>
  <si>
    <t>003015776360001000000000000000</t>
  </si>
  <si>
    <t>003012426360001000000000000000</t>
  </si>
  <si>
    <t>003012981760000000000000000000</t>
  </si>
  <si>
    <t>000010601140001000000000000000</t>
  </si>
  <si>
    <t>003015575370001000000000000000</t>
  </si>
  <si>
    <t>000016502340000000000001010050</t>
  </si>
  <si>
    <t>000016540330000000000069012791</t>
  </si>
  <si>
    <t>003216665220000000000000000000</t>
  </si>
  <si>
    <t>000017821090000000000010204120</t>
  </si>
  <si>
    <t>003012657220000000000000000000</t>
  </si>
  <si>
    <t>004011854720001000000000000000</t>
  </si>
  <si>
    <t>000017822000000000000010206727</t>
  </si>
  <si>
    <t>003014665870001000000000000000</t>
  </si>
  <si>
    <t>003011673810001000000000000000</t>
  </si>
  <si>
    <t>063216045050000000000000000000</t>
  </si>
  <si>
    <t>083014751920000000000000000000</t>
  </si>
  <si>
    <t>000017038570000000000000000000</t>
  </si>
  <si>
    <t>000017821250000000000010204478</t>
  </si>
  <si>
    <t>084014901070000000000000000000</t>
  </si>
  <si>
    <t>003000300470000000000000000000</t>
  </si>
  <si>
    <t>000016541290000000000069020861</t>
  </si>
  <si>
    <t>000016543550000000000069611021</t>
  </si>
  <si>
    <t>000016509670000000000001014052</t>
  </si>
  <si>
    <t>084014914240000000000000000000</t>
  </si>
  <si>
    <t>003015553590000000000000000000</t>
  </si>
  <si>
    <t>003013045140001000000000000000</t>
  </si>
  <si>
    <t>003015688930000000000000000000</t>
  </si>
  <si>
    <t>083014932990000000000000000000</t>
  </si>
  <si>
    <t>063016012500000000000000000000</t>
  </si>
  <si>
    <t>084015013690000000000000000000</t>
  </si>
  <si>
    <t>063015975670000000000000000000</t>
  </si>
  <si>
    <t>000016529920000000000001004001</t>
  </si>
  <si>
    <t>063016008020000000000000000000</t>
  </si>
  <si>
    <t>003015311190001000000000000000</t>
  </si>
  <si>
    <t>000016543230000000000069610081</t>
  </si>
  <si>
    <t>000010788980001000000000000000</t>
  </si>
  <si>
    <t>000010540550000000000000000000</t>
  </si>
  <si>
    <t>083014983080000000000000000000</t>
  </si>
  <si>
    <t>003016693790000000000000000000</t>
  </si>
  <si>
    <t>000016506900000000000001012668</t>
  </si>
  <si>
    <t>513011529660001000000000000000</t>
  </si>
  <si>
    <t>083014964540000000000000000000</t>
  </si>
  <si>
    <t>513000040160001000000000000000</t>
  </si>
  <si>
    <t>003017584840001000000000000000</t>
  </si>
  <si>
    <t>000016530200000000000001004518</t>
  </si>
  <si>
    <t>006000749470001000000000000000</t>
  </si>
  <si>
    <t>063015961940000000000000000000</t>
  </si>
  <si>
    <t>084014829160000000000000000000</t>
  </si>
  <si>
    <t>000016514070000000000010030182</t>
  </si>
  <si>
    <t>003416419480001000000000000000</t>
  </si>
  <si>
    <t>063216112310000000000000000000</t>
  </si>
  <si>
    <t>000017820700000000000010203320</t>
  </si>
  <si>
    <t>083015019030000000000000000000</t>
  </si>
  <si>
    <t>003015458120001000000000000000</t>
  </si>
  <si>
    <t>000000712930000000000000000000</t>
  </si>
  <si>
    <t>003016405940001000000000000000</t>
  </si>
  <si>
    <t>003016914980001000000000000000</t>
  </si>
  <si>
    <t>004001036330001000000000000000</t>
  </si>
  <si>
    <t>513000046860000000000000000000</t>
  </si>
  <si>
    <t>000017266930000000000000000000</t>
  </si>
  <si>
    <t>000000384510001000000000000000</t>
  </si>
  <si>
    <t>064015976030000000000000000000</t>
  </si>
  <si>
    <t>000010723290000000000000000000</t>
  </si>
  <si>
    <t>003012603230001000000000000000</t>
  </si>
  <si>
    <t>000017038590000000000000000000</t>
  </si>
  <si>
    <t>004016478280001000000000000000</t>
  </si>
  <si>
    <t>000000701050001000000000000000</t>
  </si>
  <si>
    <t>003017099960001000000000000000</t>
  </si>
  <si>
    <t>513011232420001000000000000000</t>
  </si>
  <si>
    <t>003015286360001000000000000000</t>
  </si>
  <si>
    <t>004015498060001000000000000000</t>
  </si>
  <si>
    <t>000014157090000000000000000000</t>
  </si>
  <si>
    <t>004011205430001000000000000000</t>
  </si>
  <si>
    <t>003001253170001000000000000000</t>
  </si>
  <si>
    <t>003014256910000000000000000000</t>
  </si>
  <si>
    <t>003012370890000000000000000000</t>
  </si>
  <si>
    <t>003016208250000000000000000000</t>
  </si>
  <si>
    <t>000010506190000000000000000000</t>
  </si>
  <si>
    <t>084014949690000000000000000000</t>
  </si>
  <si>
    <t>086015134210000000000000000000</t>
  </si>
  <si>
    <t>000016502840000000000001010467</t>
  </si>
  <si>
    <t>083015151740000000000000000000</t>
  </si>
  <si>
    <t>000017820770000000000010203435</t>
  </si>
  <si>
    <t>003012251980000000000000000000</t>
  </si>
  <si>
    <t>083015043670000000000000000000</t>
  </si>
  <si>
    <t>513011454490001000000000000000</t>
  </si>
  <si>
    <t>003016661640001000000000000000</t>
  </si>
  <si>
    <t>003016662990001000000000000000</t>
  </si>
  <si>
    <t>006000724450001000000000000000</t>
  </si>
  <si>
    <t>086014928640000000000000000000</t>
  </si>
  <si>
    <t>003000434610000000000000000000</t>
  </si>
  <si>
    <t>003011680980001000000000000000</t>
  </si>
  <si>
    <t>063016079280000000000000000000</t>
  </si>
  <si>
    <t>006015614090000000000000000000</t>
  </si>
  <si>
    <t>000016536660000000000010081902</t>
  </si>
  <si>
    <t>003014413140000000000000000000</t>
  </si>
  <si>
    <t>004014671390000000000000000000</t>
  </si>
  <si>
    <t>003011117540000000000000000000</t>
  </si>
  <si>
    <t>000016517250000000000010132021</t>
  </si>
  <si>
    <t>064016106930000000000000000000</t>
  </si>
  <si>
    <t>003011833810001000000000000000</t>
  </si>
  <si>
    <t>000010691830001000000000000000</t>
  </si>
  <si>
    <t>000016519100000000000010149544</t>
  </si>
  <si>
    <t>003015369540000000000000000000</t>
  </si>
  <si>
    <t>003016225650001000000000000000</t>
  </si>
  <si>
    <t>003014530740001000000000000000</t>
  </si>
  <si>
    <t>003011812990001000000000000000</t>
  </si>
  <si>
    <t>063016069370000000000000000000</t>
  </si>
  <si>
    <t>063216072760000000000000000000</t>
  </si>
  <si>
    <t>084014942770000000000000000000</t>
  </si>
  <si>
    <t>063016125820000000000000000000</t>
  </si>
  <si>
    <t>005000670020001000000000000000</t>
  </si>
  <si>
    <t>003017114820000000000000000000</t>
  </si>
  <si>
    <t>003016980660001000000000000000</t>
  </si>
  <si>
    <t>063015990000000000000000000000</t>
  </si>
  <si>
    <t>000016536870000000000010090951</t>
  </si>
  <si>
    <t>083014875240000000000000000000</t>
  </si>
  <si>
    <t>000016504170000000000001011235</t>
  </si>
  <si>
    <t>003016896310001000000000000000</t>
  </si>
  <si>
    <t>000017822150000000000069602331</t>
  </si>
  <si>
    <t>000302184379080000000000000000</t>
  </si>
  <si>
    <t>003016787850000000000000000000</t>
  </si>
  <si>
    <t>003014341850000000000000000000</t>
  </si>
  <si>
    <t>003014392260001000000000000000</t>
  </si>
  <si>
    <t>000016528730000000000001001925</t>
  </si>
  <si>
    <t>003017160760001000000000000000</t>
  </si>
  <si>
    <t>000017043280000000000000000000</t>
  </si>
  <si>
    <t>003017432380001000000000000000</t>
  </si>
  <si>
    <t>084014857460000000000000000000</t>
  </si>
  <si>
    <t>003015378030000000000000000000</t>
  </si>
  <si>
    <t>083214931210000000000000000000</t>
  </si>
  <si>
    <t>064015993790000000000000000000</t>
  </si>
  <si>
    <t>000014166490001000000000000000</t>
  </si>
  <si>
    <t>003015624130001000000000000000</t>
  </si>
  <si>
    <t>000010044850002000000000000000</t>
  </si>
  <si>
    <t>000601984236080000000000000000</t>
  </si>
  <si>
    <t>000010194340001000000000000000</t>
  </si>
  <si>
    <t>000010663540001000000000000000</t>
  </si>
  <si>
    <t>003012072450001000000000000000</t>
  </si>
  <si>
    <t>516011299580001000000000000000</t>
  </si>
  <si>
    <t>000016531940000000000001007431</t>
  </si>
  <si>
    <t>083015057670000000000000000000</t>
  </si>
  <si>
    <t>063216081390000000000000000000</t>
  </si>
  <si>
    <t>003014712860001000000000000000</t>
  </si>
  <si>
    <t>000010238530001000000000000000</t>
  </si>
  <si>
    <t>000017820210000000000010106727</t>
  </si>
  <si>
    <t>005000704340000000000000000000</t>
  </si>
  <si>
    <t>003012565340001000000000000000</t>
  </si>
  <si>
    <t>000016529860000000000001003891</t>
  </si>
  <si>
    <t>084014923140000000000000000000</t>
  </si>
  <si>
    <t>063015971560000000000000000000</t>
  </si>
  <si>
    <t>000017820980000000000010203863</t>
  </si>
  <si>
    <t>000016541270000000000069020721</t>
  </si>
  <si>
    <t>000016551670000000000069622841</t>
  </si>
  <si>
    <t>083014952870000000000000000000</t>
  </si>
  <si>
    <t>003016234620001000000000000000</t>
  </si>
  <si>
    <t>003015474080001000000000000000</t>
  </si>
  <si>
    <t>003013494110000000000000000000</t>
  </si>
  <si>
    <t>003015720260001000000000000000</t>
  </si>
  <si>
    <t>000017382730000000000000000000</t>
  </si>
  <si>
    <t>000016497120000000000001001992</t>
  </si>
  <si>
    <t>513011148550001000000000000000</t>
  </si>
  <si>
    <t>003001069990001000000000000000</t>
  </si>
  <si>
    <t>003015235620001000000000000000</t>
  </si>
  <si>
    <t>000000015740016000000000000000</t>
  </si>
  <si>
    <t>000000410740001000000000000000</t>
  </si>
  <si>
    <t>003015360780001000000000000000</t>
  </si>
  <si>
    <t>066015884380000000000000000000</t>
  </si>
  <si>
    <t>000016551680000000000069622851</t>
  </si>
  <si>
    <t>000016524670000000000690221114</t>
  </si>
  <si>
    <t>003017445250001000000000000000</t>
  </si>
  <si>
    <t>003011949590001000000000000000</t>
  </si>
  <si>
    <t>003012820580001000000000000000</t>
  </si>
  <si>
    <t>084014795220000000000000000000</t>
  </si>
  <si>
    <t>083215026300000000000000000000</t>
  </si>
  <si>
    <t>000016520900000000000011036782</t>
  </si>
  <si>
    <t>000016534090000000000001010479</t>
  </si>
  <si>
    <t>003216697030000000000000000000</t>
  </si>
  <si>
    <t>003014420450000000000000000000</t>
  </si>
  <si>
    <t>000016505230000000000001011768</t>
  </si>
  <si>
    <t>005000595320000000000000000000</t>
  </si>
  <si>
    <t>006000856270000000000000000000</t>
  </si>
  <si>
    <t>004017615850000000000000000000</t>
  </si>
  <si>
    <t>003414458770001000000000000000</t>
  </si>
  <si>
    <t>003012953840000000000000000000</t>
  </si>
  <si>
    <t>083015110470000000000000000000</t>
  </si>
  <si>
    <t>003016417550001000000000000000</t>
  </si>
  <si>
    <t>003012414210001000000000000000</t>
  </si>
  <si>
    <t>003001007480001000000000000000</t>
  </si>
  <si>
    <t>006000813230000000000000000000</t>
  </si>
  <si>
    <t>003013914980001000000000000000</t>
  </si>
  <si>
    <t>003214416030000000000000000000</t>
  </si>
  <si>
    <t>083014775580000000000000000000</t>
  </si>
  <si>
    <t>006015604320001000000000000000</t>
  </si>
  <si>
    <t>003011871440001000000000000000</t>
  </si>
  <si>
    <t>003017057160000000000000000000</t>
  </si>
  <si>
    <t>003015568820001000000000000000</t>
  </si>
  <si>
    <t>000017821120000000000010204235</t>
  </si>
  <si>
    <t>003012924060001000000000000000</t>
  </si>
  <si>
    <t>065015952770000000000000000000</t>
  </si>
  <si>
    <t>063015962040000000000000000000</t>
  </si>
  <si>
    <t>003016197970001000000000000000</t>
  </si>
  <si>
    <t>000016548680000000000069619261</t>
  </si>
  <si>
    <t>003015368200001000000000000000</t>
  </si>
  <si>
    <t>003013506600001000000000000000</t>
  </si>
  <si>
    <t>000000664900001000000000000000</t>
  </si>
  <si>
    <t>003016754660001000000000000000</t>
  </si>
  <si>
    <t>083014758640000000000000000000</t>
  </si>
  <si>
    <t>083414845790000000000000000000</t>
  </si>
  <si>
    <t>000017555490000000000000000000</t>
  </si>
  <si>
    <t>000016538930000000000061194481</t>
  </si>
  <si>
    <t>084014726250000000000000000000</t>
  </si>
  <si>
    <t>000016552490000000000200005937</t>
  </si>
  <si>
    <t>084015008250000000000000000000</t>
  </si>
  <si>
    <t>003016426150000000000000000000</t>
  </si>
  <si>
    <t>003014599710001000000000000000</t>
  </si>
  <si>
    <t>000016516280000000000010121685</t>
  </si>
  <si>
    <t>083215169480000000000000000000</t>
  </si>
  <si>
    <t>003012867960000000000000000000</t>
  </si>
  <si>
    <t>003015826140000000000000000000</t>
  </si>
  <si>
    <t>000016514320000000000010049812</t>
  </si>
  <si>
    <t>000017036880000000000000000000</t>
  </si>
  <si>
    <t>063016024980000000000000000000</t>
  </si>
  <si>
    <t>000010207460001000000000000000</t>
  </si>
  <si>
    <t>003013094380001000000000000000</t>
  </si>
  <si>
    <t>003216816600000000000000000000</t>
  </si>
  <si>
    <t>000000351240001000000000000000</t>
  </si>
  <si>
    <t>003017091160001000000000000000</t>
  </si>
  <si>
    <t>084014745230000000000000000000</t>
  </si>
  <si>
    <t>003014522250001000000000000000</t>
  </si>
  <si>
    <t>113011510910001000000000000000</t>
  </si>
  <si>
    <t>003011791960001000000000000000</t>
  </si>
  <si>
    <t>000016497310000000000001002326</t>
  </si>
  <si>
    <t>000017820970000000000010203859</t>
  </si>
  <si>
    <t>003016314800001000000000000000</t>
  </si>
  <si>
    <t>064015988800000000000000000000</t>
  </si>
  <si>
    <t>084014813410000000000000000000</t>
  </si>
  <si>
    <t>000011006800001000000000000000</t>
  </si>
  <si>
    <t>003017716190001000000000000000</t>
  </si>
  <si>
    <t>005000596440000000000000000000</t>
  </si>
  <si>
    <t>003012366580001000000000000000</t>
  </si>
  <si>
    <t>003013767780000000000000000000</t>
  </si>
  <si>
    <t>003015613150001000000000000000</t>
  </si>
  <si>
    <t>006000801190000000000000000000</t>
  </si>
  <si>
    <t>000016516260000000000010121681</t>
  </si>
  <si>
    <t>004013979210001000000000000000</t>
  </si>
  <si>
    <t>003017452890001000000000000000</t>
  </si>
  <si>
    <t>003017499090001000000000000000</t>
  </si>
  <si>
    <t>000016535000000000000001013525</t>
  </si>
  <si>
    <t>003012861890001000000000000000</t>
  </si>
  <si>
    <t>000016548330000000000069618861</t>
  </si>
  <si>
    <t>003012652050001000000000000000</t>
  </si>
  <si>
    <t>003017117360000000000000000000</t>
  </si>
  <si>
    <t>000016553630000000000200009873</t>
  </si>
  <si>
    <t>113011536190001000000000000000</t>
  </si>
  <si>
    <t>006000817220001000000000000000</t>
  </si>
  <si>
    <t>003013728330000000000000000000</t>
  </si>
  <si>
    <t>000017820480000000000010202818</t>
  </si>
  <si>
    <t>000016535560000000000010048542</t>
  </si>
  <si>
    <t>000016534500000000000001011500</t>
  </si>
  <si>
    <t>000017821950000000000010206159</t>
  </si>
  <si>
    <t>003014054450001000000000000000</t>
  </si>
  <si>
    <t>083014910830000000000000000000</t>
  </si>
  <si>
    <t>083014786460000000000000000000</t>
  </si>
  <si>
    <t>000016552330000000000069623571</t>
  </si>
  <si>
    <t>004015354320000000000000000000</t>
  </si>
  <si>
    <t>006000796170000000000000000000</t>
  </si>
  <si>
    <t>083014867540000000000000000000</t>
  </si>
  <si>
    <t>000010805810001000000000000000</t>
  </si>
  <si>
    <t>113011504600001000000000000000</t>
  </si>
  <si>
    <t>000017038200000000000000000000</t>
  </si>
  <si>
    <t>005000683830000000000000000000</t>
  </si>
  <si>
    <t>003001267650001000000000000000</t>
  </si>
  <si>
    <t>005000592090000000000000000000</t>
  </si>
  <si>
    <t>513011319570001000000000000000</t>
  </si>
  <si>
    <t>000016516690000000000010127525</t>
  </si>
  <si>
    <t>003016174160001000000000000000</t>
  </si>
  <si>
    <t>000017821110000000000010204219</t>
  </si>
  <si>
    <t>000010526030000000000000000000</t>
  </si>
  <si>
    <t>000016504070000000000001011182</t>
  </si>
  <si>
    <t>003015607770001000000000000000</t>
  </si>
  <si>
    <t>004011950630001000000000000000</t>
  </si>
  <si>
    <t>000016535110000000000010023972</t>
  </si>
  <si>
    <t>000016541490000000000069022773</t>
  </si>
  <si>
    <t>000016546370000000000069616481</t>
  </si>
  <si>
    <t>000016529040000000000001002256</t>
  </si>
  <si>
    <t>083215169490000000000000000000</t>
  </si>
  <si>
    <t>064016127790000000000000000000</t>
  </si>
  <si>
    <t>000016502130000000000001009833</t>
  </si>
  <si>
    <t>000000511570004000000000000000</t>
  </si>
  <si>
    <t>003016322940001000000000000000</t>
  </si>
  <si>
    <t>000016540080000000000069008251</t>
  </si>
  <si>
    <t>000010618540001000000000000000</t>
  </si>
  <si>
    <t>003012445540001000000000000000</t>
  </si>
  <si>
    <t>000016545210000000000069614891</t>
  </si>
  <si>
    <t>003012883060000000000000000000</t>
  </si>
  <si>
    <t>086014865340001000000000000000</t>
  </si>
  <si>
    <t>003015756320001000000000000000</t>
  </si>
  <si>
    <t>003012580570001000000000000000</t>
  </si>
  <si>
    <t>000017042990000000000000000000</t>
  </si>
  <si>
    <t>000010128300001000000000000000</t>
  </si>
  <si>
    <t>000016546210000000000069616291</t>
  </si>
  <si>
    <t>083215175790000000000000000000</t>
  </si>
  <si>
    <t>000016540120000000000069009231</t>
  </si>
  <si>
    <t>083414872260000000000000000000</t>
  </si>
  <si>
    <t>083014750850000000000000000000</t>
  </si>
  <si>
    <t>000016535360000000000010044352</t>
  </si>
  <si>
    <t>083014830410000000000000000000</t>
  </si>
  <si>
    <t>003015313580001000000000000000</t>
  </si>
  <si>
    <t>000010600900001000000000000000</t>
  </si>
  <si>
    <t>003016324290000000000000000000</t>
  </si>
  <si>
    <t>000000025580001000000000000000</t>
  </si>
  <si>
    <t>000016531070000000000001006122</t>
  </si>
  <si>
    <t>063216047770000000000000000000</t>
  </si>
  <si>
    <t>513000001120001000000000000000</t>
  </si>
  <si>
    <t>003015675360001000000000000000</t>
  </si>
  <si>
    <t>003017143010001000000000000000</t>
  </si>
  <si>
    <t>000010475140001000000000000000</t>
  </si>
  <si>
    <t>006000808770001000000000000000</t>
  </si>
  <si>
    <t>005000601980000000000000000000</t>
  </si>
  <si>
    <t>000017822240000000000200005893</t>
  </si>
  <si>
    <t>000016550910000000000069621951</t>
  </si>
  <si>
    <t>003014517080000000000000000000</t>
  </si>
  <si>
    <t>083015183110000000000000000000</t>
  </si>
  <si>
    <t>084014980060000000000000000000</t>
  </si>
  <si>
    <t>083015167930000000000000000000</t>
  </si>
  <si>
    <t>003016292080000000000000000000</t>
  </si>
  <si>
    <t>003016791750001000000000000000</t>
  </si>
  <si>
    <t>000016519270000000000010150062</t>
  </si>
  <si>
    <t>000010473010000000000000000000</t>
  </si>
  <si>
    <t>003016386060001000000000000000</t>
  </si>
  <si>
    <t>000017821970000000000010206304</t>
  </si>
  <si>
    <t>000016497520000000000001002662</t>
  </si>
  <si>
    <t>000017743490000000000000000000</t>
  </si>
  <si>
    <t>083015035180000000000000000000</t>
  </si>
  <si>
    <t>064016013600000000000000000000</t>
  </si>
  <si>
    <t>006000955320000000000000000000</t>
  </si>
  <si>
    <t>005011295430001000000000000000</t>
  </si>
  <si>
    <t>003015749270001000000000000000</t>
  </si>
  <si>
    <t>003215300650000000000000000000</t>
  </si>
  <si>
    <t>003412007860001000000000000000</t>
  </si>
  <si>
    <t>000016532560000000000001008435</t>
  </si>
  <si>
    <t>003016612300000000000000000000</t>
  </si>
  <si>
    <t>003017733480000000000000000000</t>
  </si>
  <si>
    <t>000017820940000000000010203793</t>
  </si>
  <si>
    <t>000016498080000000000001004151</t>
  </si>
  <si>
    <t>513000044550001000000000000000</t>
  </si>
  <si>
    <t>000016504000000000000001011153</t>
  </si>
  <si>
    <t>003013938690000000000000000000</t>
  </si>
  <si>
    <t>000016564310000000000010145462</t>
  </si>
  <si>
    <t>003014261890001000000000000000</t>
  </si>
  <si>
    <t>004015617630000000000000000000</t>
  </si>
  <si>
    <t>000016768160000000000000000000</t>
  </si>
  <si>
    <t>003015436200000000000000000000</t>
  </si>
  <si>
    <t>063016061560000000000000000000</t>
  </si>
  <si>
    <t>000010580200001000000000000000</t>
  </si>
  <si>
    <t>003012361740000000000000000000</t>
  </si>
  <si>
    <t>084014893160000000000000000000</t>
  </si>
  <si>
    <t>000016533800000000000001009730</t>
  </si>
  <si>
    <t>004016780210000000000000000000</t>
  </si>
  <si>
    <t>000016541100000000000069018851</t>
  </si>
  <si>
    <t>000016497200000000000001002086</t>
  </si>
  <si>
    <t>084014777800000000000000000000</t>
  </si>
  <si>
    <t>003016741730000000000000000000</t>
  </si>
  <si>
    <t>003014321830001000000000000000</t>
  </si>
  <si>
    <t>063015990210000000000000000000</t>
  </si>
  <si>
    <t>000016540730000000000069016811</t>
  </si>
  <si>
    <t>003015438190000000000000000000</t>
  </si>
  <si>
    <t>000016537380000000000010104905</t>
  </si>
  <si>
    <t>003015364210000000000000000000</t>
  </si>
  <si>
    <t>003015857260001000000000000000</t>
  </si>
  <si>
    <t>003015815100001000000000000000</t>
  </si>
  <si>
    <t>518011521630001000000000000000</t>
  </si>
  <si>
    <t>000017821180000000000010204368</t>
  </si>
  <si>
    <t>003017115040001000000000000000</t>
  </si>
  <si>
    <t>000017038430000000000000000000</t>
  </si>
  <si>
    <t>003013695830001000000000000000</t>
  </si>
  <si>
    <t>000016552780000000000200006402</t>
  </si>
  <si>
    <t>003017475800001000000000000000</t>
  </si>
  <si>
    <t>003015294710000000000000000000</t>
  </si>
  <si>
    <t>000016517260000000000010132022</t>
  </si>
  <si>
    <t>000010711870002000000000000000</t>
  </si>
  <si>
    <t>000016534510000000000001011526</t>
  </si>
  <si>
    <t>000017819640000000000001002421</t>
  </si>
  <si>
    <t>006000845370000000000000000000</t>
  </si>
  <si>
    <t>000017037390000000000000000000</t>
  </si>
  <si>
    <t>063016005620000000000000000000</t>
  </si>
  <si>
    <t>000016549520000000000069620221</t>
  </si>
  <si>
    <t>003012141070001000000000000000</t>
  </si>
  <si>
    <t>003011725410001000000000000000</t>
  </si>
  <si>
    <t>084015093400000000000000000000</t>
  </si>
  <si>
    <t>003013932480001000000000000000</t>
  </si>
  <si>
    <t>003000223380001000000000000000</t>
  </si>
  <si>
    <t>063016029950000000000000000000</t>
  </si>
  <si>
    <t>000016497480000000000001002612</t>
  </si>
  <si>
    <t>000016497610000000000001002826</t>
  </si>
  <si>
    <t>000016537820000000000010120852</t>
  </si>
  <si>
    <t>003016666280000000000000000000</t>
  </si>
  <si>
    <t>003012079290001000000000000000</t>
  </si>
  <si>
    <t>000016536910000000000010090955</t>
  </si>
  <si>
    <t>003013893230000000000000000000</t>
  </si>
  <si>
    <t>003016251570001000000000000000</t>
  </si>
  <si>
    <t>000016504700000000000001011515</t>
  </si>
  <si>
    <t>003011899640000000000000000000</t>
  </si>
  <si>
    <t>086014735230000000000000000000</t>
  </si>
  <si>
    <t>084014847700000000000000000000</t>
  </si>
  <si>
    <t>513011290280001000000000000000</t>
  </si>
  <si>
    <t>113011529940001000000000000000</t>
  </si>
  <si>
    <t>003016983390001000000000000000</t>
  </si>
  <si>
    <t>003016409020001000000000000000</t>
  </si>
  <si>
    <t>003013678220001000000000000000</t>
  </si>
  <si>
    <t>003012637090001000000000000000</t>
  </si>
  <si>
    <t>003213211900000000000000000000</t>
  </si>
  <si>
    <t>000010365600001000000000000000</t>
  </si>
  <si>
    <t>000016528620000000000001001821</t>
  </si>
  <si>
    <t>005000609280000000000000000000</t>
  </si>
  <si>
    <t>000016497710000000000001002880</t>
  </si>
  <si>
    <t>064016027980000000000000000000</t>
  </si>
  <si>
    <t>003016828400001000000000000000</t>
  </si>
  <si>
    <t>003015561780001000000000000000</t>
  </si>
  <si>
    <t>003214283290001000000000000000</t>
  </si>
  <si>
    <t>003017572980001000000000000000</t>
  </si>
  <si>
    <t>000000222760001000000000000000</t>
  </si>
  <si>
    <t>000010784800001000000000000000</t>
  </si>
  <si>
    <t>000016508890000000000001013659</t>
  </si>
  <si>
    <t>003215827890001000000000000000</t>
  </si>
  <si>
    <t>000010718260001000000000000000</t>
  </si>
  <si>
    <t>064015878820000000000000000000</t>
  </si>
  <si>
    <t>083014878420000000000000000000</t>
  </si>
  <si>
    <t>003214007580000000000000000000</t>
  </si>
  <si>
    <t>003216312140000000000000000000</t>
  </si>
  <si>
    <t>003016919760001000000000000000</t>
  </si>
  <si>
    <t>003016384450001000000000000000</t>
  </si>
  <si>
    <t>004017531900000000000000000000</t>
  </si>
  <si>
    <t>000010826150000000000000000000</t>
  </si>
  <si>
    <t>003016660980001000000000000000</t>
  </si>
  <si>
    <t>003015784400001000000000000000</t>
  </si>
  <si>
    <t>086014734460000000000000000000</t>
  </si>
  <si>
    <t>000016532760000000000001008652</t>
  </si>
  <si>
    <t>009017443050000000000000000000</t>
  </si>
  <si>
    <t>003013795500000000000000000000</t>
  </si>
  <si>
    <t>000016517730000000000010136132</t>
  </si>
  <si>
    <t>000016499830000000000001007182</t>
  </si>
  <si>
    <t>000017820080000000000010053242</t>
  </si>
  <si>
    <t>003000326330001000000000000000</t>
  </si>
  <si>
    <t>000017102600000000000010014170</t>
  </si>
  <si>
    <t>000016549680000000000069620491</t>
  </si>
  <si>
    <t>003013775610001000000000000000</t>
  </si>
  <si>
    <t>000017041310000000000000000000</t>
  </si>
  <si>
    <t>003016703270001000000000000000</t>
  </si>
  <si>
    <t>000016517720000000000010136131</t>
  </si>
  <si>
    <t>000016543010000000000069608851</t>
  </si>
  <si>
    <t>000000469330000000000000000000</t>
  </si>
  <si>
    <t>063016094160000000000000000000</t>
  </si>
  <si>
    <t>003011208140001000000000000000</t>
  </si>
  <si>
    <t>063216090320000000000000000000</t>
  </si>
  <si>
    <t>000010022560000000000000000000</t>
  </si>
  <si>
    <t>085014732210000000000000000000</t>
  </si>
  <si>
    <t>003015721460000000000000000000</t>
  </si>
  <si>
    <t>000016548240000000000069618771</t>
  </si>
  <si>
    <t>003015479080001000000000000000</t>
  </si>
  <si>
    <t>083214917140000000000000000000</t>
  </si>
  <si>
    <t>003000471260001000000000000000</t>
  </si>
  <si>
    <t>003013568560001000000000000000</t>
  </si>
  <si>
    <t>000016542040000000000069600601</t>
  </si>
  <si>
    <t>000000746570000000000000000000</t>
  </si>
  <si>
    <t>003015535250001000000000000000</t>
  </si>
  <si>
    <t>084014938690000000000000000000</t>
  </si>
  <si>
    <t>003012696110001000000000000000</t>
  </si>
  <si>
    <t>064016029040000000000000000000</t>
  </si>
  <si>
    <t>003016278750000000000000000000</t>
  </si>
  <si>
    <t>003013008050000000000000000000</t>
  </si>
  <si>
    <t>000016498280000000000001004582</t>
  </si>
  <si>
    <t>000010555080001000000000000000</t>
  </si>
  <si>
    <t>000016529610000000000001002912</t>
  </si>
  <si>
    <t>000016530450000000000001004816</t>
  </si>
  <si>
    <t>000016533290000000000001009175</t>
  </si>
  <si>
    <t>084014911120000000000000000000</t>
  </si>
  <si>
    <t>003017524430001000000000000000</t>
  </si>
  <si>
    <t>003015548860001000000000000000</t>
  </si>
  <si>
    <t>003013924280001000000000000000</t>
  </si>
  <si>
    <t>003016671540001000000000000000</t>
  </si>
  <si>
    <t>003014010080000000000000000000</t>
  </si>
  <si>
    <t>003014208470001000000000000000</t>
  </si>
  <si>
    <t>000016553650000000000200009969</t>
  </si>
  <si>
    <t>005000595460000000000000000000</t>
  </si>
  <si>
    <t>003014427770001000000000000000</t>
  </si>
  <si>
    <t>003000241840000000000000000000</t>
  </si>
  <si>
    <t>003214311760000000000000000000</t>
  </si>
  <si>
    <t>004017292470001000000000000000</t>
  </si>
  <si>
    <t>003412134800001000000000000000</t>
  </si>
  <si>
    <t>003013682570000000000000000000</t>
  </si>
  <si>
    <t>513000077510001000000000000000</t>
  </si>
  <si>
    <t>003017531530001000000000000000</t>
  </si>
  <si>
    <t>000016540400000000000069014711</t>
  </si>
  <si>
    <t>003013139540001000000000000000</t>
  </si>
  <si>
    <t>000016509620000000000001013998</t>
  </si>
  <si>
    <t>083015208320000000000000000000</t>
  </si>
  <si>
    <t>063016018870000000000000000000</t>
  </si>
  <si>
    <t>003017496590000000000000000000</t>
  </si>
  <si>
    <t>083014961710000000000000000000</t>
  </si>
  <si>
    <t>063216098690000000000000000000</t>
  </si>
  <si>
    <t>000017819830000000000001008486</t>
  </si>
  <si>
    <t>003017640390001000000000000000</t>
  </si>
  <si>
    <t>000017821880000000000010205525</t>
  </si>
  <si>
    <t>003013014150000000000000000000</t>
  </si>
  <si>
    <t>003015220850001000000000000000</t>
  </si>
  <si>
    <t>000016541070000000000069018791</t>
  </si>
  <si>
    <t>000016523810000000000690220811</t>
  </si>
  <si>
    <t>003017637880000000000000000000</t>
  </si>
  <si>
    <t>000017821290000000000010204528</t>
  </si>
  <si>
    <t>083015168270000000000000000000</t>
  </si>
  <si>
    <t>000017821330000000000010204546</t>
  </si>
  <si>
    <t>003013889880001000000000000000</t>
  </si>
  <si>
    <t>000016503130000000000001010627</t>
  </si>
  <si>
    <t>513000023220001000000000000000</t>
  </si>
  <si>
    <t>003217752620001000000000000000</t>
  </si>
  <si>
    <t>063215883340000000000000000000</t>
  </si>
  <si>
    <t>003000479890000000000000000000</t>
  </si>
  <si>
    <t>000000379500001000000000000000</t>
  </si>
  <si>
    <t>000016547700000000000069618081</t>
  </si>
  <si>
    <t>000000414830000000000000000000</t>
  </si>
  <si>
    <t>000016543690000000000069611631</t>
  </si>
  <si>
    <t>000016535320000000000010042602</t>
  </si>
  <si>
    <t>000016508060000000000001013254</t>
  </si>
  <si>
    <t>000016537710000000000010107830</t>
  </si>
  <si>
    <t>003016884370001000000000000000</t>
  </si>
  <si>
    <t>006000811960001000000000000000</t>
  </si>
  <si>
    <t>000016553550000000000200009415</t>
  </si>
  <si>
    <t>000016540900000000000069018011</t>
  </si>
  <si>
    <t>003012146900001000000000000000</t>
  </si>
  <si>
    <t>000016533780000000000001009717</t>
  </si>
  <si>
    <t>000000770590000000000000000000</t>
  </si>
  <si>
    <t>003015764050001000000000000000</t>
  </si>
  <si>
    <t>063015917080000000000000000000</t>
  </si>
  <si>
    <t>003014423030001000000000000000</t>
  </si>
  <si>
    <t>003214044130000000000000000000</t>
  </si>
  <si>
    <t>004010958840001000000000000000</t>
  </si>
  <si>
    <t>000017821420000000000010204646</t>
  </si>
  <si>
    <t>003013089870001000000000000000</t>
  </si>
  <si>
    <t>003016731450001000000000000000</t>
  </si>
  <si>
    <t>003012670410000000000000000000</t>
  </si>
  <si>
    <t>064015920510000000000000000000</t>
  </si>
  <si>
    <t>000016516290000000000010121881</t>
  </si>
  <si>
    <t>003016698660000000000000000000</t>
  </si>
  <si>
    <t>084014870100000000000000000000</t>
  </si>
  <si>
    <t>003013506340001000000000000000</t>
  </si>
  <si>
    <t>000016511960000000000001015197</t>
  </si>
  <si>
    <t>000010486650001000000000000000</t>
  </si>
  <si>
    <t>003013775510001000000000000000</t>
  </si>
  <si>
    <t>083015189220000000000000000000</t>
  </si>
  <si>
    <t>003011920710000000000000000000</t>
  </si>
  <si>
    <t>084014750840000000000000000000</t>
  </si>
  <si>
    <t>003013991960001000000000000000</t>
  </si>
  <si>
    <t>000016545330000000000069615091</t>
  </si>
  <si>
    <t>000017821000000000000010203889</t>
  </si>
  <si>
    <t>000017819900000000000001009924</t>
  </si>
  <si>
    <t>005000646170000000000000000000</t>
  </si>
  <si>
    <t>084015068690000000000000000000</t>
  </si>
  <si>
    <t>005000700030001000000000000000</t>
  </si>
  <si>
    <t>083015199560000000000000000000</t>
  </si>
  <si>
    <t>003001098870001000000000000000</t>
  </si>
  <si>
    <t>005000691400001000000000000000</t>
  </si>
  <si>
    <t>006000720320000000000000000000</t>
  </si>
  <si>
    <t>000016502590000000000001010231</t>
  </si>
  <si>
    <t>003015526430000000000000000000</t>
  </si>
  <si>
    <t>084014778530001000000000000000</t>
  </si>
  <si>
    <t>003012227610000000000000000000</t>
  </si>
  <si>
    <t>003015678570001000000000000000</t>
  </si>
  <si>
    <t>063016109820000000000000000000</t>
  </si>
  <si>
    <t>513000112440001000000000000000</t>
  </si>
  <si>
    <t>003014125750001000000000000000</t>
  </si>
  <si>
    <t>084014802320000000000000000000</t>
  </si>
  <si>
    <t>003016979680001000000000000000</t>
  </si>
  <si>
    <t>000016540510000000000069015385</t>
  </si>
  <si>
    <t>063215972470000000000000000000</t>
  </si>
  <si>
    <t>083215026270000000000000000000</t>
  </si>
  <si>
    <t>063015999570000000000000000000</t>
  </si>
  <si>
    <t>003016713480001000000000000000</t>
  </si>
  <si>
    <t>006000719210001000000000000000</t>
  </si>
  <si>
    <t>006000714190000000000000000000</t>
  </si>
  <si>
    <t>000010698930000000000000000000</t>
  </si>
  <si>
    <t>003015502900001000000000000000</t>
  </si>
  <si>
    <t>006015617540001000000000000000</t>
  </si>
  <si>
    <t>083014990230000000000000000000</t>
  </si>
  <si>
    <t>000016535770000000000010051862</t>
  </si>
  <si>
    <t>003016387600001000000000000000</t>
  </si>
  <si>
    <t>000017822200000000000200005836</t>
  </si>
  <si>
    <t>085014717160000000000000000000</t>
  </si>
  <si>
    <t>000016535760000000000010051861</t>
  </si>
  <si>
    <t>006000720820000000000000000000</t>
  </si>
  <si>
    <t>003015592560000000000000000000</t>
  </si>
  <si>
    <t>083014962930001000000000000000</t>
  </si>
  <si>
    <t>086014717880000000000000000000</t>
  </si>
  <si>
    <t>083015111300000000000000000000</t>
  </si>
  <si>
    <t>000016545200000000000069614881</t>
  </si>
  <si>
    <t>003012478260000000000000000000</t>
  </si>
  <si>
    <t>003000277720000000000000000000</t>
  </si>
  <si>
    <t>003012066920001000000000000000</t>
  </si>
  <si>
    <t>004011731700001000000000000000</t>
  </si>
  <si>
    <t>000010035760002000000000000000</t>
  </si>
  <si>
    <t>000016516760000000000010127532</t>
  </si>
  <si>
    <t>003012147130001000000000000000</t>
  </si>
  <si>
    <t>003016815350001000000000000000</t>
  </si>
  <si>
    <t>000014486340001000000000000000</t>
  </si>
  <si>
    <t>003216816570000000000000000000</t>
  </si>
  <si>
    <t>003016802800001000000000000000</t>
  </si>
  <si>
    <t>064016024900000000000000000000</t>
  </si>
  <si>
    <t>000016543030000000000069608931</t>
  </si>
  <si>
    <t>063216146000000000000000000000</t>
  </si>
  <si>
    <t>000016521780000000000069019351</t>
  </si>
  <si>
    <t>003000440250000000000000000000</t>
  </si>
  <si>
    <t>000016528610000000000001001817</t>
  </si>
  <si>
    <t>003015796220001000000000000000</t>
  </si>
  <si>
    <t>000016481400000000000000000000</t>
  </si>
  <si>
    <t>063016104750000000000000000000</t>
  </si>
  <si>
    <t>003015474400000000000000000000</t>
  </si>
  <si>
    <t>000601998020080000000000000000</t>
  </si>
  <si>
    <t>003015229010000000000000000000</t>
  </si>
  <si>
    <t>000016518030000000000010138981</t>
  </si>
  <si>
    <t>064015998200000000000000000000</t>
  </si>
  <si>
    <t>085014736150000000000000000000</t>
  </si>
  <si>
    <t>000016529660000000000001002919</t>
  </si>
  <si>
    <t>000016532020000000000001007670</t>
  </si>
  <si>
    <t>003017227660001000000000000000</t>
  </si>
  <si>
    <t>000017819730000000000001004506</t>
  </si>
  <si>
    <t>513000014480000000000000000000</t>
  </si>
  <si>
    <t>003016313950001000000000000000</t>
  </si>
  <si>
    <t>000016505110000000000001011716</t>
  </si>
  <si>
    <t>003015760450000000000000000000</t>
  </si>
  <si>
    <t>000010646880000000000000000000</t>
  </si>
  <si>
    <t>063015918220000000000000000000</t>
  </si>
  <si>
    <t>003001253840000000000000000000</t>
  </si>
  <si>
    <t>000010194400001000000000000000</t>
  </si>
  <si>
    <t>000016551800000000000069622981</t>
  </si>
  <si>
    <t>083015179100000000000000000000</t>
  </si>
  <si>
    <t>084014824390000000000000000000</t>
  </si>
  <si>
    <t>003015246090000000000000000000</t>
  </si>
  <si>
    <t>003011042570001000000000000000</t>
  </si>
  <si>
    <t>000000734540000000000000000000</t>
  </si>
  <si>
    <t>000017038170000000000000000000</t>
  </si>
  <si>
    <t>063015913060000000000000000000</t>
  </si>
  <si>
    <t>083015118020000000000000000000</t>
  </si>
  <si>
    <t>000016498150000000000001004350</t>
  </si>
  <si>
    <t>000010002030001000000000000000</t>
  </si>
  <si>
    <t>003017701220001000000000000000</t>
  </si>
  <si>
    <t>004013834430001000000000000000</t>
  </si>
  <si>
    <t>000016499030000000000001006247</t>
  </si>
  <si>
    <t>003010945550000000000000000000</t>
  </si>
  <si>
    <t>003013032920001000000000000000</t>
  </si>
  <si>
    <t>000016548740000000000069619321</t>
  </si>
  <si>
    <t>003000205910000000000000000000</t>
  </si>
  <si>
    <t>006011690240000000000000000000</t>
  </si>
  <si>
    <t>000016547550000000000069617901</t>
  </si>
  <si>
    <t>083215193510000000000000000000</t>
  </si>
  <si>
    <t>003015649790001000000000000000</t>
  </si>
  <si>
    <t>003017484660001000000000000000</t>
  </si>
  <si>
    <t>003000457910000000000000000000</t>
  </si>
  <si>
    <t>003000438980000000000000000000</t>
  </si>
  <si>
    <t>083015124610000000000000000000</t>
  </si>
  <si>
    <t>004015601490000000000000000000</t>
  </si>
  <si>
    <t>003012394990001000000000000000</t>
  </si>
  <si>
    <t>003016788450001000000000000000</t>
  </si>
  <si>
    <t>003015783330001000000000000000</t>
  </si>
  <si>
    <t>000016536810000000000010088701</t>
  </si>
  <si>
    <t>000016540880000000000069017963</t>
  </si>
  <si>
    <t>004012762600001000000000000000</t>
  </si>
  <si>
    <t>000017819940000000000001010506</t>
  </si>
  <si>
    <t>003013005440001000000000000000</t>
  </si>
  <si>
    <t>003015744040001000000000000000</t>
  </si>
  <si>
    <t>003012279910001000000000000000</t>
  </si>
  <si>
    <t>000015504550001000000000000000</t>
  </si>
  <si>
    <t>003017377160000000000000000000</t>
  </si>
  <si>
    <t>000016516540000000000010125782</t>
  </si>
  <si>
    <t>000016523360000000000200011141</t>
  </si>
  <si>
    <t>000016499520000000000001006872</t>
  </si>
  <si>
    <t>000016553690000000000200010127</t>
  </si>
  <si>
    <t>003011103510000000000000000000</t>
  </si>
  <si>
    <t>000010484220001000000000000000</t>
  </si>
  <si>
    <t>003013041880001000000000000000</t>
  </si>
  <si>
    <t>003001293770001000000000000000</t>
  </si>
  <si>
    <t>003014359580001000000000000000</t>
  </si>
  <si>
    <t>003013813250001000000000000000</t>
  </si>
  <si>
    <t>000017820200000000000010105553</t>
  </si>
  <si>
    <t>003016284050001000000000000000</t>
  </si>
  <si>
    <t>000016510310000000000001014335</t>
  </si>
  <si>
    <t>006015601670000000000000000000</t>
  </si>
  <si>
    <t>003015317200001000000000000000</t>
  </si>
  <si>
    <t>000016508210000000000001013324</t>
  </si>
  <si>
    <t>000016552910000000000200006878</t>
  </si>
  <si>
    <t>003215617700000000000000000000</t>
  </si>
  <si>
    <t>000016540870000000000069017962</t>
  </si>
  <si>
    <t>000016520000000000000010155534</t>
  </si>
  <si>
    <t>000017822160000000000069609731</t>
  </si>
  <si>
    <t>003014219520001000000000000000</t>
  </si>
  <si>
    <t>000016505450000000000001011917</t>
  </si>
  <si>
    <t>063015901070000000000000000000</t>
  </si>
  <si>
    <t>064015956860000000000000000000</t>
  </si>
  <si>
    <t>003013679960001000000000000000</t>
  </si>
  <si>
    <t>000016505600000000000001011978</t>
  </si>
  <si>
    <t>083414993860000000000000000000</t>
  </si>
  <si>
    <t>084015131550000000000000000000</t>
  </si>
  <si>
    <t>083014771320000000000000000000</t>
  </si>
  <si>
    <t>000000388000001000000000000000</t>
  </si>
  <si>
    <t>000017821270000000000010204518</t>
  </si>
  <si>
    <t>003015784220001000000000000000</t>
  </si>
  <si>
    <t>003015457330001000000000000000</t>
  </si>
  <si>
    <t>000016533860000000000001009862</t>
  </si>
  <si>
    <t>063016034910000000000000000000</t>
  </si>
  <si>
    <t>000000698370000000000000000000</t>
  </si>
  <si>
    <t>003013627830001000000000000000</t>
  </si>
  <si>
    <t>006012740100001000000000000000</t>
  </si>
  <si>
    <t>000000412880000000000000000000</t>
  </si>
  <si>
    <t>000016500950000000000001008528</t>
  </si>
  <si>
    <t>000016550870000000000069621901</t>
  </si>
  <si>
    <t>000016501260000000000001008768</t>
  </si>
  <si>
    <t>000016529250000000000001002469</t>
  </si>
  <si>
    <t>000017820430000000000010202688</t>
  </si>
  <si>
    <t>003015714300001000000000000000</t>
  </si>
  <si>
    <t>084014835310001000000000000000</t>
  </si>
  <si>
    <t>003012144230000000000000000000</t>
  </si>
  <si>
    <t>003012990790000000000000000000</t>
  </si>
  <si>
    <t>003012642890000000000000000000</t>
  </si>
  <si>
    <t>003011695590000000000000000000</t>
  </si>
  <si>
    <t>003216449010000000000000000000</t>
  </si>
  <si>
    <t>000010868710001000000000000000</t>
  </si>
  <si>
    <t>064015967520000000000000000000</t>
  </si>
  <si>
    <t>004015683460001000000000000000</t>
  </si>
  <si>
    <t>003013280620001000000000000000</t>
  </si>
  <si>
    <t>003013062460001000000000000000</t>
  </si>
  <si>
    <t>000016498050000000000001004110</t>
  </si>
  <si>
    <t>063016071660000000000000000000</t>
  </si>
  <si>
    <t>083015055870000000000000000000</t>
  </si>
  <si>
    <t>513011286520001000000000000000</t>
  </si>
  <si>
    <t>513000022870000000000000000000</t>
  </si>
  <si>
    <t>000000703510000000000000000000</t>
  </si>
  <si>
    <t>083014998190000000000000000000</t>
  </si>
  <si>
    <t>083015207610000000000000000000</t>
  </si>
  <si>
    <t>003017269860001000000000000000</t>
  </si>
  <si>
    <t>000000429460001000000000000000</t>
  </si>
  <si>
    <t>000016530810000000000001005674</t>
  </si>
  <si>
    <t>064016008960000000000000000000</t>
  </si>
  <si>
    <t>003015615890001000000000000000</t>
  </si>
  <si>
    <t>064015969630000000000000000000</t>
  </si>
  <si>
    <t>003016799520001000000000000000</t>
  </si>
  <si>
    <t>000000707590001000000000000000</t>
  </si>
  <si>
    <t>003016293730001000000000000000</t>
  </si>
  <si>
    <t>000016533630000000000001009536</t>
  </si>
  <si>
    <t>003012649140000000000000000000</t>
  </si>
  <si>
    <t>000010650600001000000000000000</t>
  </si>
  <si>
    <t>000016497380000000000001002411</t>
  </si>
  <si>
    <t>003216472630000000000000000000</t>
  </si>
  <si>
    <t>000016509180000000000001013755</t>
  </si>
  <si>
    <t>000016523140000000000200009468</t>
  </si>
  <si>
    <t>003001249340000000000000000000</t>
  </si>
  <si>
    <t>003015541940001000000000000000</t>
  </si>
  <si>
    <t>068015912640000000000000000000</t>
  </si>
  <si>
    <t>003014692740001000000000000000</t>
  </si>
  <si>
    <t>000016511610000000000001015038</t>
  </si>
  <si>
    <t>000016522520000000000200006573</t>
  </si>
  <si>
    <t>000016552430000000000200005841</t>
  </si>
  <si>
    <t>000016534320000000000001010974</t>
  </si>
  <si>
    <t>003013797980001000000000000000</t>
  </si>
  <si>
    <t>003011721310001000000000000000</t>
  </si>
  <si>
    <t>006012923680001000000000000000</t>
  </si>
  <si>
    <t>000016539380000000000062003551</t>
  </si>
  <si>
    <t>000017820810000000000010203556</t>
  </si>
  <si>
    <t>006000758800001000000000000000</t>
  </si>
  <si>
    <t>003014179170001000000000000000</t>
  </si>
  <si>
    <t>513000139480001000000000000000</t>
  </si>
  <si>
    <t>000016541280000000000069020831</t>
  </si>
  <si>
    <t>000016536830000000000010089371</t>
  </si>
  <si>
    <t>000010654780000000000000000000</t>
  </si>
  <si>
    <t>513000009610000000000000000000</t>
  </si>
  <si>
    <t>003014520320000000000000000000</t>
  </si>
  <si>
    <t>063416071240000000000000000000</t>
  </si>
  <si>
    <t>003015700740000000000000000000</t>
  </si>
  <si>
    <t>000016530050000000000001004280</t>
  </si>
  <si>
    <t>003015806550001000000000000000</t>
  </si>
  <si>
    <t>063216112320000000000000000000</t>
  </si>
  <si>
    <t>083215143100000000000000000000</t>
  </si>
  <si>
    <t>004015615720000000000000000000</t>
  </si>
  <si>
    <t>000016551180000000000069622251</t>
  </si>
  <si>
    <t>003214570750000000000000000000</t>
  </si>
  <si>
    <t>003214616910000000000000000000</t>
  </si>
  <si>
    <t>003016661850000000000000000000</t>
  </si>
  <si>
    <t>003012513770001000000000000000</t>
  </si>
  <si>
    <t>000016503620000000000001010866</t>
  </si>
  <si>
    <t>003012851390001000000000000000</t>
  </si>
  <si>
    <t>000000278740000000000000000000</t>
  </si>
  <si>
    <t>000000708030001000000000000000</t>
  </si>
  <si>
    <t>083215124590000000000000000000</t>
  </si>
  <si>
    <t>063016036540000000000000000000</t>
  </si>
  <si>
    <t>003001068600000000000000000000</t>
  </si>
  <si>
    <t>003016756790000000000000000000</t>
  </si>
  <si>
    <t>003016150120000000000000000000</t>
  </si>
  <si>
    <t>003013197820001000000000000000</t>
  </si>
  <si>
    <t>000000436880001000000000000000</t>
  </si>
  <si>
    <t>084015140990000000000000000000</t>
  </si>
  <si>
    <t>003013169160000000000000000000</t>
  </si>
  <si>
    <t>003011340570001000000000000000</t>
  </si>
  <si>
    <t>003013771040001000000000000000</t>
  </si>
  <si>
    <t>000017038510000000000000000000</t>
  </si>
  <si>
    <t>083215136550000000000000000000</t>
  </si>
  <si>
    <t>003016244660001000000000000000</t>
  </si>
  <si>
    <t>086014737780001000000000000000</t>
  </si>
  <si>
    <t>084014898910000000000000000000</t>
  </si>
  <si>
    <t>003012022450000000000000000000</t>
  </si>
  <si>
    <t>003015374530001000000000000000</t>
  </si>
  <si>
    <t>003011332130001000000000000000</t>
  </si>
  <si>
    <t>003017301750000000000000000000</t>
  </si>
  <si>
    <t>000016528500000000000001001360</t>
  </si>
  <si>
    <t>063015915120000000000000000000</t>
  </si>
  <si>
    <t>000000395610000000000000000000</t>
  </si>
  <si>
    <t>000016505050000000000001011691</t>
  </si>
  <si>
    <t>003014469590001000000000000000</t>
  </si>
  <si>
    <t>000016529880000000000001003947</t>
  </si>
  <si>
    <t>006000713900001000000000000000</t>
  </si>
  <si>
    <t>083015099200000000000000000000</t>
  </si>
  <si>
    <t>086015034900000000000000000000</t>
  </si>
  <si>
    <t>000010166630001000000000000000</t>
  </si>
  <si>
    <t>000016511300000000000001014826</t>
  </si>
  <si>
    <t>003011564880000000000000000000</t>
  </si>
  <si>
    <t>000000698050001000000000000000</t>
  </si>
  <si>
    <t>000016518610000000000010144171</t>
  </si>
  <si>
    <t>003015391820001000000000000000</t>
  </si>
  <si>
    <t>000016522310000000000200005939</t>
  </si>
  <si>
    <t>003016633560001000000000000000</t>
  </si>
  <si>
    <t>513011301420001000000000000000</t>
  </si>
  <si>
    <t>003015491650000000000000000000</t>
  </si>
  <si>
    <t>003012616330001000000000000000</t>
  </si>
  <si>
    <t>000016540980000000000069018431</t>
  </si>
  <si>
    <t>003016485110001000000000000000</t>
  </si>
  <si>
    <t>003015685250001000000000000000</t>
  </si>
  <si>
    <t>084014990680000000000000000000</t>
  </si>
  <si>
    <t>000017821920000000000010205964</t>
  </si>
  <si>
    <t>000010564200001000000000000000</t>
  </si>
  <si>
    <t>000016529230000000000001002449</t>
  </si>
  <si>
    <t>003013050110001000000000000000</t>
  </si>
  <si>
    <t>000016671850000000000001016907</t>
  </si>
  <si>
    <t>000017821600000000000010204921</t>
  </si>
  <si>
    <t>003016351830000000000000000000</t>
  </si>
  <si>
    <t>003012549180001000000000000000</t>
  </si>
  <si>
    <t>003016182000000000000000000000</t>
  </si>
  <si>
    <t>003015691660001000000000000000</t>
  </si>
  <si>
    <t>003017221870000000000000000000</t>
  </si>
  <si>
    <t>083015103650000000000000000000</t>
  </si>
  <si>
    <t>000017819620000000000001002114</t>
  </si>
  <si>
    <t>003012249280001000000000000000</t>
  </si>
  <si>
    <t>063016008140000000000000000000</t>
  </si>
  <si>
    <t>000016543130000000000069609651</t>
  </si>
  <si>
    <t>000016522980000000000200008793</t>
  </si>
  <si>
    <t>003015409530001000000000000000</t>
  </si>
  <si>
    <t>514011280310001000000000000000</t>
  </si>
  <si>
    <t>003012159620001000000000000000</t>
  </si>
  <si>
    <t>000017820630000000000010203179</t>
  </si>
  <si>
    <t>003017400410001000000000000000</t>
  </si>
  <si>
    <t>003017164310001000000000000000</t>
  </si>
  <si>
    <t>003216485250000000000000000000</t>
  </si>
  <si>
    <t>003017149420000000000000000000</t>
  </si>
  <si>
    <t>008014662060000000000000000000</t>
  </si>
  <si>
    <t>003017258580000000000000000000</t>
  </si>
  <si>
    <t>000010425420001000000000000000</t>
  </si>
  <si>
    <t>005000660610000000000000000000</t>
  </si>
  <si>
    <t>003015455680001000000000000000</t>
  </si>
  <si>
    <t>063215969020000000000000000000</t>
  </si>
  <si>
    <t>003015621970001000000000000000</t>
  </si>
  <si>
    <t>513011306500001000000000000000</t>
  </si>
  <si>
    <t>003015589100000000000000000000</t>
  </si>
  <si>
    <t>000017093810000000000000000000</t>
  </si>
  <si>
    <t>064015885250000000000000000000</t>
  </si>
  <si>
    <t>003011739780001000000000000000</t>
  </si>
  <si>
    <t>000016513560000000000001016249</t>
  </si>
  <si>
    <t>003217262090000000000000000000</t>
  </si>
  <si>
    <t>003017286840001000000000000000</t>
  </si>
  <si>
    <t>063015909920000000000000000000</t>
  </si>
  <si>
    <t>000016499490000000000001006749</t>
  </si>
  <si>
    <t>066015899180000000000000000000</t>
  </si>
  <si>
    <t>000016551100000000000069622161</t>
  </si>
  <si>
    <t>000016535350000000000010044232</t>
  </si>
  <si>
    <t>514011535330000000000000000000</t>
  </si>
  <si>
    <t>003016659580001000000000000000</t>
  </si>
  <si>
    <t>086014726730000000000000000000</t>
  </si>
  <si>
    <t>003015645980001000000000000000</t>
  </si>
  <si>
    <t>086014767280000000000000000000</t>
  </si>
  <si>
    <t>513011454590001000000000000000</t>
  </si>
  <si>
    <t>006012476050001000000000000000</t>
  </si>
  <si>
    <t>003012286030000000000000000000</t>
  </si>
  <si>
    <t>000016529350000000000001002571</t>
  </si>
  <si>
    <t>003013165840000000000000000000</t>
  </si>
  <si>
    <t>003015602990001000000000000000</t>
  </si>
  <si>
    <t>000016504950000000000001011638</t>
  </si>
  <si>
    <t>003013582790001000000000000000</t>
  </si>
  <si>
    <t>000010634790001000000000000000</t>
  </si>
  <si>
    <t>000010357930001000000000000000</t>
  </si>
  <si>
    <t>003016992130000000000000000000</t>
  </si>
  <si>
    <t>003012028030000000000000000000</t>
  </si>
  <si>
    <t>000017822010000000000010206846</t>
  </si>
  <si>
    <t>086014742570000000000000000000</t>
  </si>
  <si>
    <t>063015879440000000000000000000</t>
  </si>
  <si>
    <t>003015698650001000000000000000</t>
  </si>
  <si>
    <t>003016187630001000000000000000</t>
  </si>
  <si>
    <t>003016973720001000000000000000</t>
  </si>
  <si>
    <t>000016519980000000000010155532</t>
  </si>
  <si>
    <t>000010246750001000000000000000</t>
  </si>
  <si>
    <t>000017821390000000000010204620</t>
  </si>
  <si>
    <t>000016501790000000000001009312</t>
  </si>
  <si>
    <t>000016532040000000000001007710</t>
  </si>
  <si>
    <t>000016505020000000000001011684</t>
  </si>
  <si>
    <t>000010569440001000000000000000</t>
  </si>
  <si>
    <t>000016502390000000000001010091</t>
  </si>
  <si>
    <t>003013696070001000000000000000</t>
  </si>
  <si>
    <t>003013352910001000000000000000</t>
  </si>
  <si>
    <t>064016024070000000000000000000</t>
  </si>
  <si>
    <t>000016522560000000000200006673</t>
  </si>
  <si>
    <t>063216090450000000000000000000</t>
  </si>
  <si>
    <t>009014425140004000000000000000</t>
  </si>
  <si>
    <t>083015172810000000000000000000</t>
  </si>
  <si>
    <t>003000321910000000000000000000</t>
  </si>
  <si>
    <t>000016530090000000000001004388</t>
  </si>
  <si>
    <t>003015808390001000000000000000</t>
  </si>
  <si>
    <t>003013225290000000000000000000</t>
  </si>
  <si>
    <t>000016498720000000000001005839</t>
  </si>
  <si>
    <t>084014929690000000000000000000</t>
  </si>
  <si>
    <t>003012681970000000000000000000</t>
  </si>
  <si>
    <t>000016530000000000000001004203</t>
  </si>
  <si>
    <t>063216090460000000000000000000</t>
  </si>
  <si>
    <t>083015210090000000000000000000</t>
  </si>
  <si>
    <t>000017037780000000000000000000</t>
  </si>
  <si>
    <t>006000996770001000000000000000</t>
  </si>
  <si>
    <t>003016326790001000000000000000</t>
  </si>
  <si>
    <t>003013222280000000000000000000</t>
  </si>
  <si>
    <t>000016510120000000000001014260</t>
  </si>
  <si>
    <t>003011929190001000000000000000</t>
  </si>
  <si>
    <t>003015284430001000000000000000</t>
  </si>
  <si>
    <t>003013165280001000000000000000</t>
  </si>
  <si>
    <t>003014627640001000000000000000</t>
  </si>
  <si>
    <t>083015088840000000000000000000</t>
  </si>
  <si>
    <t>003017169850001000000000000000</t>
  </si>
  <si>
    <t>000000015940002000000000000000</t>
  </si>
  <si>
    <t>084015158300000000000000000000</t>
  </si>
  <si>
    <t>003011466230001000000000000000</t>
  </si>
  <si>
    <t>000016530550000000000001005060</t>
  </si>
  <si>
    <t>000017102590000000000010014169</t>
  </si>
  <si>
    <t>000000709060001000000000000000</t>
  </si>
  <si>
    <t>003017555930001000000000000000</t>
  </si>
  <si>
    <t>003013601700000000000000000000</t>
  </si>
  <si>
    <t>000016518980000000000010148262</t>
  </si>
  <si>
    <t>083015085680000000000000000000</t>
  </si>
  <si>
    <t>064016018670000000000000000000</t>
  </si>
  <si>
    <t>003013136610001000000000000000</t>
  </si>
  <si>
    <t>000016506500000000000001012420</t>
  </si>
  <si>
    <t>004012581390001000000000000000</t>
  </si>
  <si>
    <t>003012208100001000000000000000</t>
  </si>
  <si>
    <t>000010801030000000000000000000</t>
  </si>
  <si>
    <t>003213164380001000000000000000</t>
  </si>
  <si>
    <t>003214544230000000000000000000</t>
  </si>
  <si>
    <t>000016514050000000000010028431</t>
  </si>
  <si>
    <t>003000422440000000000000000000</t>
  </si>
  <si>
    <t>000000483180001000000000000000</t>
  </si>
  <si>
    <t>003015469040000000000000000000</t>
  </si>
  <si>
    <t>003014421250000000000000000000</t>
  </si>
  <si>
    <t>000017819580000000000001001758</t>
  </si>
  <si>
    <t>003016208390001000000000000000</t>
  </si>
  <si>
    <t>000016540950000000000069018181</t>
  </si>
  <si>
    <t>000016530630000000000001005207</t>
  </si>
  <si>
    <t>005000917700000000000000000000</t>
  </si>
  <si>
    <t>003011882780001000000000000000</t>
  </si>
  <si>
    <t>000015591660001000000000000000</t>
  </si>
  <si>
    <t>000016531450000000000001006575</t>
  </si>
  <si>
    <t>000016521250000000000062000081</t>
  </si>
  <si>
    <t>003214135360001000000000000000</t>
  </si>
  <si>
    <t>083215132420000000000000000000</t>
  </si>
  <si>
    <t>000016539090000000000062000994</t>
  </si>
  <si>
    <t>003015872300001000000000000000</t>
  </si>
  <si>
    <t>000016501010000000000001008563</t>
  </si>
  <si>
    <t>000010823010001000000000000000</t>
  </si>
  <si>
    <t>000010881960000000000000000000</t>
  </si>
  <si>
    <t>003015440540000000000000000000</t>
  </si>
  <si>
    <t>000016540270000000000069011611</t>
  </si>
  <si>
    <t>084014936870000000000000000000</t>
  </si>
  <si>
    <t>000010783600001000000000000000</t>
  </si>
  <si>
    <t>000000772300000000000000000000</t>
  </si>
  <si>
    <t>003014234400001000000000000000</t>
  </si>
  <si>
    <t>003017219270001000000000000000</t>
  </si>
  <si>
    <t>083014935290001000000000000000</t>
  </si>
  <si>
    <t>009017235990001000000000000000</t>
  </si>
  <si>
    <t>000016552790000000000200006427</t>
  </si>
  <si>
    <t>003012656630001000000000000000</t>
  </si>
  <si>
    <t>003013358440001000000000000000</t>
  </si>
  <si>
    <t>084014912800000000000000000000</t>
  </si>
  <si>
    <t>000010829830000000000000000000</t>
  </si>
  <si>
    <t>000017076010000000000001017751</t>
  </si>
  <si>
    <t>003012707520000000000000000000</t>
  </si>
  <si>
    <t>003012220980001000000000000000</t>
  </si>
  <si>
    <t>083214977800000000000000000000</t>
  </si>
  <si>
    <t>083015191320000000000000000000</t>
  </si>
  <si>
    <t>000017036800000000000000000000</t>
  </si>
  <si>
    <t>000017038090000000000000000000</t>
  </si>
  <si>
    <t>006000869890000000000000000000</t>
  </si>
  <si>
    <t>003016619380001000000000000000</t>
  </si>
  <si>
    <t>000016512660000000000001015700</t>
  </si>
  <si>
    <t>000000620900000000000000000000</t>
  </si>
  <si>
    <t>003012628850001000000000000000</t>
  </si>
  <si>
    <t>005012234540001000000000000000</t>
  </si>
  <si>
    <t>000016516530000000000010125781</t>
  </si>
  <si>
    <t>003016179400001000000000000000</t>
  </si>
  <si>
    <t>000016524910000000000690221257</t>
  </si>
  <si>
    <t>004015602810000000000000000000</t>
  </si>
  <si>
    <t>003414279460001000000000000000</t>
  </si>
  <si>
    <t>000016516660000000000010127522</t>
  </si>
  <si>
    <t>000010831330001000000000000000</t>
  </si>
  <si>
    <t>003017222460001000000000000000</t>
  </si>
  <si>
    <t>003016427210001000000000000000</t>
  </si>
  <si>
    <t>000017820600000000000010203134</t>
  </si>
  <si>
    <t>000016530470000000000001004848</t>
  </si>
  <si>
    <t>063216003930000000000000000000</t>
  </si>
  <si>
    <t>083014860760000000000000000000</t>
  </si>
  <si>
    <t>000016540650000000000069016141</t>
  </si>
  <si>
    <t>003017506530001000000000000000</t>
  </si>
  <si>
    <t>000010773130001000000000000000</t>
  </si>
  <si>
    <t>003014513180001000000000000000</t>
  </si>
  <si>
    <t>000017822020000000000010206890</t>
  </si>
  <si>
    <t>083015093040000000000000000000</t>
  </si>
  <si>
    <t>000016529680000000000001002933</t>
  </si>
  <si>
    <t>003016797840001000000000000000</t>
  </si>
  <si>
    <t>000010254890014000000000000000</t>
  </si>
  <si>
    <t>083215026290000000000000000000</t>
  </si>
  <si>
    <t>063015956260000000000000000000</t>
  </si>
  <si>
    <t>513000050760001000000000000000</t>
  </si>
  <si>
    <t>000014162080000000000000000000</t>
  </si>
  <si>
    <t>000016529960000000000001004173</t>
  </si>
  <si>
    <t>003016235980001000000000000000</t>
  </si>
  <si>
    <t>003012607160001000000000000000</t>
  </si>
  <si>
    <t>000016510560000000000001014444</t>
  </si>
  <si>
    <t>006000720170000000000000000000</t>
  </si>
  <si>
    <t>003012287760001000000000000000</t>
  </si>
  <si>
    <t>085014749250000000000000000000</t>
  </si>
  <si>
    <t>083215168390000000000000000000</t>
  </si>
  <si>
    <t>000016529390000000000001002623</t>
  </si>
  <si>
    <t>000000219930000000000000000000</t>
  </si>
  <si>
    <t>003015627370001000000000000000</t>
  </si>
  <si>
    <t>003013536490000000000000000000</t>
  </si>
  <si>
    <t>003015479650001000000000000000</t>
  </si>
  <si>
    <t>003016264880000000000000000000</t>
  </si>
  <si>
    <t>003016689980001000000000000000</t>
  </si>
  <si>
    <t>000016547120000000000069617421</t>
  </si>
  <si>
    <t>000010477310001000000000000000</t>
  </si>
  <si>
    <t>003015637100001000000000000000</t>
  </si>
  <si>
    <t>003015734330000000000000000000</t>
  </si>
  <si>
    <t>003012000950001000000000000000</t>
  </si>
  <si>
    <t>006000834680000000000000000000</t>
  </si>
  <si>
    <t>063016140970000000000000000000</t>
  </si>
  <si>
    <t>000016518400000000000010141461</t>
  </si>
  <si>
    <t>000016521930000000000069023421</t>
  </si>
  <si>
    <t>064016099980000000000000000000</t>
  </si>
  <si>
    <t>000016529070000000000001002304</t>
  </si>
  <si>
    <t>003012382530001000000000000000</t>
  </si>
  <si>
    <t>000000735980000000000000000000</t>
  </si>
  <si>
    <t>064016015810000000000000000000</t>
  </si>
  <si>
    <t>000016503580000000000001010850</t>
  </si>
  <si>
    <t>003213880490000000000000000000</t>
  </si>
  <si>
    <t>003215439520000000000000000000</t>
  </si>
  <si>
    <t>003015747920000000000000000000</t>
  </si>
  <si>
    <t>004015605090000000000000000000</t>
  </si>
  <si>
    <t>003213975260000000000000000000</t>
  </si>
  <si>
    <t>003015659720001000000000000000</t>
  </si>
  <si>
    <t>063016137520000000000000000000</t>
  </si>
  <si>
    <t>000017821350000000000010204558</t>
  </si>
  <si>
    <t>003014107860001000000000000000</t>
  </si>
  <si>
    <t>000016538790000000000061151971</t>
  </si>
  <si>
    <t>003017506430001000000000000000</t>
  </si>
  <si>
    <t>000016502280000000000001009994</t>
  </si>
  <si>
    <t>006015613960001000000000000000</t>
  </si>
  <si>
    <t>003017054250001000000000000000</t>
  </si>
  <si>
    <t>086014724170000000000000000000</t>
  </si>
  <si>
    <t>003016236810000000000000000000</t>
  </si>
  <si>
    <t>003016148920000000000000000000</t>
  </si>
  <si>
    <t>000017735740000000000000000000</t>
  </si>
  <si>
    <t>000017820930000000000010203768</t>
  </si>
  <si>
    <t>003013190230000000000000000000</t>
  </si>
  <si>
    <t>000017820250000000000010107984</t>
  </si>
  <si>
    <t>000017820710000000000010203354</t>
  </si>
  <si>
    <t>003015441520001000000000000000</t>
  </si>
  <si>
    <t>000016500400000000000001007955</t>
  </si>
  <si>
    <t>003017650780001000000000000000</t>
  </si>
  <si>
    <t>003015779570000000000000000000</t>
  </si>
  <si>
    <t>000017820920000000000010203738</t>
  </si>
  <si>
    <t>064016016570000000000000000000</t>
  </si>
  <si>
    <t>000016497830000000000001002963</t>
  </si>
  <si>
    <t>006012839230000000000000000000</t>
  </si>
  <si>
    <t>003012265490000000000000000000</t>
  </si>
  <si>
    <t>003013590390001000000000000000</t>
  </si>
  <si>
    <t>063016052970000000000000000000</t>
  </si>
  <si>
    <t>003014320130001000000000000000</t>
  </si>
  <si>
    <t>063015926220000000000000000000</t>
  </si>
  <si>
    <t>003017227800001000000000000000</t>
  </si>
  <si>
    <t>006012702690001000000000000000</t>
  </si>
  <si>
    <t>084014917450000000000000000000</t>
  </si>
  <si>
    <t>003012650170000000000000000000</t>
  </si>
  <si>
    <t>083015147800000000000000000000</t>
  </si>
  <si>
    <t>000016498600000000000001005590</t>
  </si>
  <si>
    <t>064016028720000000000000000000</t>
  </si>
  <si>
    <t>000016522600000000000200006881</t>
  </si>
  <si>
    <t>003016481640001000000000000000</t>
  </si>
  <si>
    <t>000016521730000000000069018191</t>
  </si>
  <si>
    <t>000000534470000000000000000000</t>
  </si>
  <si>
    <t>003012072170001000000000000000</t>
  </si>
  <si>
    <t>000016500480000000000001008030</t>
  </si>
  <si>
    <t>000010485160001000000000000000</t>
  </si>
  <si>
    <t>004016741930001000000000000000</t>
  </si>
  <si>
    <t>000016528950000000000001002173</t>
  </si>
  <si>
    <t>003017610230001000000000000000</t>
  </si>
  <si>
    <t>000016498550000000000001005435</t>
  </si>
  <si>
    <t>063215933790000000000000000000</t>
  </si>
  <si>
    <t>003014452290001000000000000000</t>
  </si>
  <si>
    <t>000016498240000000000001004519</t>
  </si>
  <si>
    <t>063016023480000000000000000000</t>
  </si>
  <si>
    <t>000301750014080000000000000000</t>
  </si>
  <si>
    <t>003216696990000000000000000000</t>
  </si>
  <si>
    <t>000016531970000000000001007502</t>
  </si>
  <si>
    <t>003013871530000000000000000000</t>
  </si>
  <si>
    <t>003016260140000000000000000000</t>
  </si>
  <si>
    <t>063216045110000000000000000000</t>
  </si>
  <si>
    <t>003001233920000000000000000000</t>
  </si>
  <si>
    <t>004016751040001000000000000000</t>
  </si>
  <si>
    <t>003012647120000000000000000000</t>
  </si>
  <si>
    <t>004001124310001000000000000000</t>
  </si>
  <si>
    <t>004017463520001000000000000000</t>
  </si>
  <si>
    <t>063016116810000000000000000000</t>
  </si>
  <si>
    <t>000016528890000000000001002092</t>
  </si>
  <si>
    <t>000016541110000000000069019101</t>
  </si>
  <si>
    <t>086014755840001000000000000000</t>
  </si>
  <si>
    <t>000016544190000000000069613161</t>
  </si>
  <si>
    <t>083014883860000000000000000000</t>
  </si>
  <si>
    <t>083215208640000000000000000000</t>
  </si>
  <si>
    <t>000016535400000000000010045563</t>
  </si>
  <si>
    <t>000016553730000000000200010462</t>
  </si>
  <si>
    <t>000016528830000000000001002064</t>
  </si>
  <si>
    <t>000010752780001000000000000000</t>
  </si>
  <si>
    <t>000010542300001000000000000000</t>
  </si>
  <si>
    <t>000017102570000000000010014167</t>
  </si>
  <si>
    <t>083014888300000000000000000000</t>
  </si>
  <si>
    <t>000000202150001000000000000000</t>
  </si>
  <si>
    <t>064015897950000000000000000000</t>
  </si>
  <si>
    <t>000016498900000000000001006085</t>
  </si>
  <si>
    <t>000016545880000000000069615821</t>
  </si>
  <si>
    <t>000000620710000000000000000000</t>
  </si>
  <si>
    <t>003014194450000000000000000000</t>
  </si>
  <si>
    <t>003012888040001000000000000000</t>
  </si>
  <si>
    <t>084015192810000000000000000000</t>
  </si>
  <si>
    <t>003014235050000000000000000000</t>
  </si>
  <si>
    <t>003000367190000000000000000000</t>
  </si>
  <si>
    <t>083015193750000000000000000000</t>
  </si>
  <si>
    <t>063216010820000000000000000000</t>
  </si>
  <si>
    <t>000010601100001000000000000000</t>
  </si>
  <si>
    <t>003015860580001000000000000000</t>
  </si>
  <si>
    <t>000016533670000000000001009565</t>
  </si>
  <si>
    <t>003015598320001000000000000000</t>
  </si>
  <si>
    <t>005000985250000000000000000000</t>
  </si>
  <si>
    <t>005000596160000000000000000000</t>
  </si>
  <si>
    <t>000000723790001000000000000000</t>
  </si>
  <si>
    <t>009016967260000000000000000000</t>
  </si>
  <si>
    <t>084014841020000000000000000000</t>
  </si>
  <si>
    <t>004015603800000000000000000000</t>
  </si>
  <si>
    <t>083014836580000000000000000000</t>
  </si>
  <si>
    <t>000016523180000000000200009569</t>
  </si>
  <si>
    <t>004015620360000000000000000000</t>
  </si>
  <si>
    <t>000016553140000000000200007965</t>
  </si>
  <si>
    <t>003013851440001000000000000000</t>
  </si>
  <si>
    <t>083014858090000000000000000000</t>
  </si>
  <si>
    <t>064015934370000000000000000000</t>
  </si>
  <si>
    <t>003017620770001000000000000000</t>
  </si>
  <si>
    <t>005000670880001000000000000000</t>
  </si>
  <si>
    <t>003016465020000000000000000000</t>
  </si>
  <si>
    <t>003015568600001000000000000000</t>
  </si>
  <si>
    <t>003016206160000000000000000000</t>
  </si>
  <si>
    <t>003216895620000000000000000000</t>
  </si>
  <si>
    <t>000000675050001000000000000000</t>
  </si>
  <si>
    <t>084014923240001000000000000000</t>
  </si>
  <si>
    <t>000017821690000000000010205127</t>
  </si>
  <si>
    <t>003016780330000000000000000000</t>
  </si>
  <si>
    <t>003013886410001000000000000000</t>
  </si>
  <si>
    <t>000016544430000000000069613561</t>
  </si>
  <si>
    <t>003017279930001000000000000000</t>
  </si>
  <si>
    <t>000016538160000000000011036785</t>
  </si>
  <si>
    <t>513000087670000000000000000000</t>
  </si>
  <si>
    <t>064016076690000000000000000000</t>
  </si>
  <si>
    <t>000010294440002000000000000000</t>
  </si>
  <si>
    <t>513000131290001000000000000000</t>
  </si>
  <si>
    <t>063016039870000000000000000000</t>
  </si>
  <si>
    <t>000017822170000000000069617881</t>
  </si>
  <si>
    <t>003015752030001000000000000000</t>
  </si>
  <si>
    <t>004000955920000000000000000000</t>
  </si>
  <si>
    <t>003013456220001000000000000000</t>
  </si>
  <si>
    <t>000000629880001000000000000000</t>
  </si>
  <si>
    <t>000016530300000000000001004629</t>
  </si>
  <si>
    <t>004014087040000000000000000000</t>
  </si>
  <si>
    <t>003013160400001000000000000000</t>
  </si>
  <si>
    <t>000016545080000000000069614621</t>
  </si>
  <si>
    <t>000016536900000000000010090954</t>
  </si>
  <si>
    <t>004011462040001000000000000000</t>
  </si>
  <si>
    <t>084015196630000000000000000000</t>
  </si>
  <si>
    <t>000016535300000000000010041422</t>
  </si>
  <si>
    <t>000014153860001000000000000000</t>
  </si>
  <si>
    <t>000010010630001000000000000000</t>
  </si>
  <si>
    <t>004001025450001000000000000000</t>
  </si>
  <si>
    <t>000016529500000000000001002770</t>
  </si>
  <si>
    <t>003013685560000000000000000000</t>
  </si>
  <si>
    <t>003016673610001000000000000000</t>
  </si>
  <si>
    <t>003011039640001000000000000000</t>
  </si>
  <si>
    <t>003014400790000000000000000000</t>
  </si>
  <si>
    <t>000010533820001000000000000000</t>
  </si>
  <si>
    <t>000017037270000000000000000000</t>
  </si>
  <si>
    <t>083014928520000000000000000000</t>
  </si>
  <si>
    <t>063016067090000000000000000000</t>
  </si>
  <si>
    <t>000000753230001000000000000000</t>
  </si>
  <si>
    <t>003014316700001000000000000000</t>
  </si>
  <si>
    <t>063015920760000000000000000000</t>
  </si>
  <si>
    <t>004016459070001000000000000000</t>
  </si>
  <si>
    <t>003016737400000000000000000000</t>
  </si>
  <si>
    <t>063016084820000000000000000000</t>
  </si>
  <si>
    <t>000016540410000000000069014712</t>
  </si>
  <si>
    <t>000016497720000000000001002882</t>
  </si>
  <si>
    <t>000017820310000000000010202292</t>
  </si>
  <si>
    <t>000016542290000000000069601911</t>
  </si>
  <si>
    <t>000016530500000000000001004957</t>
  </si>
  <si>
    <t>003011726910001000000000000000</t>
  </si>
  <si>
    <t>003000466540000000000000000000</t>
  </si>
  <si>
    <t>000016497570000000000001002743</t>
  </si>
  <si>
    <t>084014937300000000000000000000</t>
  </si>
  <si>
    <t>063015894710000000000000000000</t>
  </si>
  <si>
    <t>003014579370000000000000000000</t>
  </si>
  <si>
    <t>003015861050001000000000000000</t>
  </si>
  <si>
    <t>003016729010001000000000000000</t>
  </si>
  <si>
    <t>003214285760001000000000000000</t>
  </si>
  <si>
    <t>000000502760003000000000000000</t>
  </si>
  <si>
    <t>003017302580001000000000000000</t>
  </si>
  <si>
    <t>003012289320001000000000000000</t>
  </si>
  <si>
    <t>003015372960001000000000000000</t>
  </si>
  <si>
    <t>000000756600000000000000000000</t>
  </si>
  <si>
    <t>000017821580000000000010204863</t>
  </si>
  <si>
    <t>005000641660000000000000000000</t>
  </si>
  <si>
    <t>084014841070000000000000000000</t>
  </si>
  <si>
    <t>003015332050001000000000000000</t>
  </si>
  <si>
    <t>000000711250001000000000000000</t>
  </si>
  <si>
    <t>003011038040001000000000000000</t>
  </si>
  <si>
    <t>000017041290000000000000000000</t>
  </si>
  <si>
    <t>000016498940000000000001006182</t>
  </si>
  <si>
    <t>000017819720000000000001004458</t>
  </si>
  <si>
    <t>003010987700001000000000000000</t>
  </si>
  <si>
    <t>003010935170001000000000000000</t>
  </si>
  <si>
    <t>003016681160001000000000000000</t>
  </si>
  <si>
    <t>003012986890001000000000000000</t>
  </si>
  <si>
    <t>513011127180001000000000000000</t>
  </si>
  <si>
    <t>083014804630001000000000000000</t>
  </si>
  <si>
    <t>003015821610000000000000000000</t>
  </si>
  <si>
    <t>000000404780001000000000000000</t>
  </si>
  <si>
    <t>000016547150000000000069617451</t>
  </si>
  <si>
    <t>000016531920000000000001007417</t>
  </si>
  <si>
    <t>083015207680000000000000000000</t>
  </si>
  <si>
    <t>000016514530000000000010052842</t>
  </si>
  <si>
    <t>063015901760000000000000000000</t>
  </si>
  <si>
    <t>000016553460000000000200008934</t>
  </si>
  <si>
    <t>000010881920000000000000000000</t>
  </si>
  <si>
    <t>003013675900001000000000000000</t>
  </si>
  <si>
    <t>003001294880000000000000000000</t>
  </si>
  <si>
    <t>003016391790000000000000000000</t>
  </si>
  <si>
    <t>063415931830000000000000000000</t>
  </si>
  <si>
    <t>063015895590000000000000000000</t>
  </si>
  <si>
    <t>003015366360001000000000000000</t>
  </si>
  <si>
    <t>003015448570001000000000000000</t>
  </si>
  <si>
    <t>003217868840001000000000000000</t>
  </si>
  <si>
    <t>003012676070001000000000000000</t>
  </si>
  <si>
    <t>003014479020001000000000000000</t>
  </si>
  <si>
    <t>000016530540000000000001005059</t>
  </si>
  <si>
    <t>000016503460000000000001010793</t>
  </si>
  <si>
    <t>003016945080001000000000000000</t>
  </si>
  <si>
    <t>003016711120000000000000000000</t>
  </si>
  <si>
    <t>000017821400000000000010204622</t>
  </si>
  <si>
    <t>086014961280000000000000000000</t>
  </si>
  <si>
    <t>000016540210000000000069011011</t>
  </si>
  <si>
    <t>000010305560001000000000000000</t>
  </si>
  <si>
    <t>000016552320000000000069623561</t>
  </si>
  <si>
    <t>000016533850000000000001009809</t>
  </si>
  <si>
    <t>003017210380001000000000000000</t>
  </si>
  <si>
    <t>006000720760001000000000000000</t>
  </si>
  <si>
    <t>000016514970000000000010084581</t>
  </si>
  <si>
    <t>004012557920000000000000000000</t>
  </si>
  <si>
    <t>003016617250001000000000000000</t>
  </si>
  <si>
    <t>003015523830001000000000000000</t>
  </si>
  <si>
    <t>000016529810000000000001003698</t>
  </si>
  <si>
    <t>003016460270001000000000000000</t>
  </si>
  <si>
    <t>006000741910000000000000000000</t>
  </si>
  <si>
    <t>003016317720001000000000000000</t>
  </si>
  <si>
    <t>003001168670001000000000000000</t>
  </si>
  <si>
    <t>000016529050000000000001002269</t>
  </si>
  <si>
    <t>063016127630000000000000000000</t>
  </si>
  <si>
    <t>003017606300001000000000000000</t>
  </si>
  <si>
    <t>003013943010001000000000000000</t>
  </si>
  <si>
    <t>003017491470001000000000000000</t>
  </si>
  <si>
    <t>000016501960000000000001009547</t>
  </si>
  <si>
    <t>000016538900000000000061168251</t>
  </si>
  <si>
    <t>064016040840000000000000000000</t>
  </si>
  <si>
    <t>003000286070001000000000000000</t>
  </si>
  <si>
    <t>000000650680000000000000000000</t>
  </si>
  <si>
    <t>000016535380000000000010044903</t>
  </si>
  <si>
    <t>063016032790000000000000000000</t>
  </si>
  <si>
    <t>003414398650001000000000000000</t>
  </si>
  <si>
    <t>000016542180000000000069601051</t>
  </si>
  <si>
    <t>000016540200000000000069010941</t>
  </si>
  <si>
    <t>003214050280000000000000000000</t>
  </si>
  <si>
    <t>000016503600000000000001010857</t>
  </si>
  <si>
    <t>006000852570000000000000000000</t>
  </si>
  <si>
    <t>000017821310000000000010204536</t>
  </si>
  <si>
    <t>084014899360000000000000000000</t>
  </si>
  <si>
    <t>003012893430001000000000000000</t>
  </si>
  <si>
    <t>000017821830000000000010205404</t>
  </si>
  <si>
    <t>000017822040000000000010206985</t>
  </si>
  <si>
    <t>063015879130000000000000000000</t>
  </si>
  <si>
    <t>000017819510000000000001000115</t>
  </si>
  <si>
    <t>084015193940000000000000000000</t>
  </si>
  <si>
    <t>000016542030000000000069600512</t>
  </si>
  <si>
    <t>003015663450001000000000000000</t>
  </si>
  <si>
    <t>003001065220001000000000000000</t>
  </si>
  <si>
    <t>003011562260000000000000000000</t>
  </si>
  <si>
    <t>003013827170001000000000000000</t>
  </si>
  <si>
    <t>000016548580000000000069619101</t>
  </si>
  <si>
    <t>003216697240000000000000000000</t>
  </si>
  <si>
    <t>000016542020000000000069600511</t>
  </si>
  <si>
    <t>003015793860001000000000000000</t>
  </si>
  <si>
    <t>003017109710001000000000000000</t>
  </si>
  <si>
    <t>003013141280001000000000000000</t>
  </si>
  <si>
    <t>000016540260000000000069011114</t>
  </si>
  <si>
    <t>000016520270000000000010158992</t>
  </si>
  <si>
    <t>003014055230001000000000000000</t>
  </si>
  <si>
    <t>000014167910000000000000000000</t>
  </si>
  <si>
    <t>083015213680000000000000000000</t>
  </si>
  <si>
    <t>004012982020001000000000000000</t>
  </si>
  <si>
    <t>000010083440001000000000000000</t>
  </si>
  <si>
    <t>006012732580001000000000000000</t>
  </si>
  <si>
    <t>003014673470000000000000000000</t>
  </si>
  <si>
    <t>003012258130001000000000000000</t>
  </si>
  <si>
    <t>003016335340001000000000000000</t>
  </si>
  <si>
    <t>003015679140001000000000000000</t>
  </si>
  <si>
    <t>003000278380000000000000000000</t>
  </si>
  <si>
    <t>003012589620001000000000000000</t>
  </si>
  <si>
    <t>000016524990000000000690221289</t>
  </si>
  <si>
    <t>003012799990001000000000000000</t>
  </si>
  <si>
    <t>083014950050000000000000000000</t>
  </si>
  <si>
    <t>083015013270000000000000000000</t>
  </si>
  <si>
    <t>005000671490000000000000000000</t>
  </si>
  <si>
    <t>000016536840000000000010090382</t>
  </si>
  <si>
    <t>063015924620000000000000000000</t>
  </si>
  <si>
    <t>000016553780000000000200010758</t>
  </si>
  <si>
    <t>084014795260000000000000000000</t>
  </si>
  <si>
    <t>003016655000001000000000000000</t>
  </si>
  <si>
    <t>084014982860000000000000000000</t>
  </si>
  <si>
    <t>000016497690000000000001002878</t>
  </si>
  <si>
    <t>000016503300000000000001010729</t>
  </si>
  <si>
    <t>000014154200000000000000000000</t>
  </si>
  <si>
    <t>063016087940000000000000000000</t>
  </si>
  <si>
    <t>003016957210001000000000000000</t>
  </si>
  <si>
    <t>083015069350000000000000000000</t>
  </si>
  <si>
    <t>003415374460001000000000000000</t>
  </si>
  <si>
    <t>000000401240001000000000000000</t>
  </si>
  <si>
    <t>003016470830001000000000000000</t>
  </si>
  <si>
    <t>000017821980000000000010206447</t>
  </si>
  <si>
    <t>004015643890001000000000000000</t>
  </si>
  <si>
    <t>000017821500000000000010204732</t>
  </si>
  <si>
    <t>003017414190000000000000000000</t>
  </si>
  <si>
    <t>003011255170001000000000000000</t>
  </si>
  <si>
    <t>000010167740001000000000000000</t>
  </si>
  <si>
    <t>003014280060000000000000000000</t>
  </si>
  <si>
    <t>003000463230000000000000000000</t>
  </si>
  <si>
    <t>000016529080000000000001002313</t>
  </si>
  <si>
    <t>003015372910000000000000000000</t>
  </si>
  <si>
    <t>003015317320001000000000000000</t>
  </si>
  <si>
    <t>000016514880000000000010075792</t>
  </si>
  <si>
    <t>003411999150001000000000000000</t>
  </si>
  <si>
    <t>000016515180000000000010098332</t>
  </si>
  <si>
    <t>003015270780001000000000000000</t>
  </si>
  <si>
    <t>003015629810001000000000000000</t>
  </si>
  <si>
    <t>003016408720000000000000000000</t>
  </si>
  <si>
    <t>003000449140000000000000000000</t>
  </si>
  <si>
    <t>083015119590000000000000000000</t>
  </si>
  <si>
    <t>000016530010000000000001004213</t>
  </si>
  <si>
    <t>004011911970001000000000000000</t>
  </si>
  <si>
    <t>000016630360000000000001016761</t>
  </si>
  <si>
    <t>513011269050001000000000000000</t>
  </si>
  <si>
    <t>000016530330000000000001004659</t>
  </si>
  <si>
    <t>000016497880000000000001003207</t>
  </si>
  <si>
    <t>083015056890000000000000000000</t>
  </si>
  <si>
    <t>063016130540000000000000000000</t>
  </si>
  <si>
    <t>003016583240001000000000000000</t>
  </si>
  <si>
    <t>000016504520000000000001011427</t>
  </si>
  <si>
    <t>003016773110001000000000000000</t>
  </si>
  <si>
    <t>005011716100001000000000000000</t>
  </si>
  <si>
    <t>003015259440000000000000000000</t>
  </si>
  <si>
    <t>003016254240001000000000000000</t>
  </si>
  <si>
    <t>003016187350001000000000000000</t>
  </si>
  <si>
    <t>003013766150000000000000000000</t>
  </si>
  <si>
    <t>000016497320000000000001002330</t>
  </si>
  <si>
    <t>083014985450001000000000000000</t>
  </si>
  <si>
    <t>003015435110000000000000000000</t>
  </si>
  <si>
    <t>003017603350001000000000000000</t>
  </si>
  <si>
    <t>003011620330001000000000000000</t>
  </si>
  <si>
    <t>000016870390000000000000000000</t>
  </si>
  <si>
    <t>066015878600000000000000000000</t>
  </si>
  <si>
    <t>000017820320000000000010202302</t>
  </si>
  <si>
    <t>003015413900000000000000000000</t>
  </si>
  <si>
    <t>003016167480001000000000000000</t>
  </si>
  <si>
    <t>003016857910001000000000000000</t>
  </si>
  <si>
    <t>084014777440000000000000000000</t>
  </si>
  <si>
    <t>003013605750001000000000000000</t>
  </si>
  <si>
    <t>000010657090001000000000000000</t>
  </si>
  <si>
    <t>000016504870000000000001011599</t>
  </si>
  <si>
    <t>003014290030000000000000000000</t>
  </si>
  <si>
    <t>083015177200000000000000000000</t>
  </si>
  <si>
    <t>000016499200000000000001006388</t>
  </si>
  <si>
    <t>003016982620000000000000000000</t>
  </si>
  <si>
    <t>000000412900000000000000000000</t>
  </si>
  <si>
    <t>000016512190000000000001015313</t>
  </si>
  <si>
    <t>003012861590000000000000000000</t>
  </si>
  <si>
    <t>003010974350001000000000000000</t>
  </si>
  <si>
    <t>000016543990000000000069612411</t>
  </si>
  <si>
    <t>003014490020000000000000000000</t>
  </si>
  <si>
    <t>003015528340001000000000000000</t>
  </si>
  <si>
    <t>003015339350000000000000000000</t>
  </si>
  <si>
    <t>000010049360001000000000000000</t>
  </si>
  <si>
    <t>000016502710000000000001010381</t>
  </si>
  <si>
    <t>000000760480001000000000000000</t>
  </si>
  <si>
    <t>000000024620003000000000000000</t>
  </si>
  <si>
    <t>003015601990001000000000000000</t>
  </si>
  <si>
    <t>003011181160001000000000000000</t>
  </si>
  <si>
    <t>000017820680000000000010203288</t>
  </si>
  <si>
    <t>003015862760000000000000000000</t>
  </si>
  <si>
    <t>003014318670000000000000000000</t>
  </si>
  <si>
    <t>003015797630001000000000000000</t>
  </si>
  <si>
    <t>083015119690000000000000000000</t>
  </si>
  <si>
    <t>000000662880000000000000000000</t>
  </si>
  <si>
    <t>003015428520000000000000000000</t>
  </si>
  <si>
    <t>000017102580000000000010014168</t>
  </si>
  <si>
    <t>000016538940000000000061194482</t>
  </si>
  <si>
    <t>064016034350000000000000000000</t>
  </si>
  <si>
    <t>000016508780000000000001013588</t>
  </si>
  <si>
    <t>003012684690001000000000000000</t>
  </si>
  <si>
    <t>003014335500000000000000000000</t>
  </si>
  <si>
    <t>000017182920000000000000000000</t>
  </si>
  <si>
    <t>003012224420001000000000000000</t>
  </si>
  <si>
    <t>000000408960001000000000000000</t>
  </si>
  <si>
    <t>003016150350001000000000000000</t>
  </si>
  <si>
    <t>003016826260001000000000000000</t>
  </si>
  <si>
    <t>086015130540001000000000000000</t>
  </si>
  <si>
    <t>083015081320000000000000000000</t>
  </si>
  <si>
    <t>003217529710000000000000000000</t>
  </si>
  <si>
    <t>083014800110000000000000000000</t>
  </si>
  <si>
    <t>000010742030001000000000000000</t>
  </si>
  <si>
    <t>063015924530000000000000000000</t>
  </si>
  <si>
    <t>003014065560001000000000000000</t>
  </si>
  <si>
    <t>000001313810000000000000000000</t>
  </si>
  <si>
    <t>063215924800000000000000000000</t>
  </si>
  <si>
    <t>000016533640000000000001009541</t>
  </si>
  <si>
    <t>000301754024080000000000000000</t>
  </si>
  <si>
    <t>063015896360000000000000000000</t>
  </si>
  <si>
    <t>003012305500001000000000000000</t>
  </si>
  <si>
    <t>000000705870001000000000000000</t>
  </si>
  <si>
    <t>000017820400000000000010202590</t>
  </si>
  <si>
    <t>083015119390000000000000000000</t>
  </si>
  <si>
    <t>003011473560001000000000000000</t>
  </si>
  <si>
    <t>000016184610000000000000000000</t>
  </si>
  <si>
    <t>003015561800000000000000000000</t>
  </si>
  <si>
    <t>000016509790000000000001014102</t>
  </si>
  <si>
    <t>003014476190001000000000000000</t>
  </si>
  <si>
    <t>003216284360001000000000000000</t>
  </si>
  <si>
    <t>064016125830000000000000000000</t>
  </si>
  <si>
    <t>003013159050001000000000000000</t>
  </si>
  <si>
    <t>063016047840001000000000000000</t>
  </si>
  <si>
    <t>006001076030001000000000000000</t>
  </si>
  <si>
    <t>003012442310001000000000000000</t>
  </si>
  <si>
    <t>084014939930000000000000000000</t>
  </si>
  <si>
    <t>003017110970001000000000000000</t>
  </si>
  <si>
    <t>003016193360001000000000000000</t>
  </si>
  <si>
    <t>004015604720001000000000000000</t>
  </si>
  <si>
    <t>003016234680000000000000000000</t>
  </si>
  <si>
    <t>063216091500000000000000000000</t>
  </si>
  <si>
    <t>003012260310000000000000000000</t>
  </si>
  <si>
    <t>003000441370000000000000000000</t>
  </si>
  <si>
    <t>003012785600001000000000000000</t>
  </si>
  <si>
    <t>006000834340000000000000000000</t>
  </si>
  <si>
    <t>000010597120001000000000000000</t>
  </si>
  <si>
    <t>084015087940000000000000000000</t>
  </si>
  <si>
    <t>000017037360000000000000000000</t>
  </si>
  <si>
    <t>000016522290000000000200005914</t>
  </si>
  <si>
    <t>083015086970001000000000000000</t>
  </si>
  <si>
    <t>003013160590001000000000000000</t>
  </si>
  <si>
    <t>000010039990001000000000000000</t>
  </si>
  <si>
    <t>003015790810001000000000000000</t>
  </si>
  <si>
    <t>003017030650001000000000000000</t>
  </si>
  <si>
    <t>000016519870000000000010154791</t>
  </si>
  <si>
    <t>003012124540001000000000000000</t>
  </si>
  <si>
    <t>000016521720000000000069017561</t>
  </si>
  <si>
    <t>000016534060000000000001010423</t>
  </si>
  <si>
    <t>000016529110000000000001002333</t>
  </si>
  <si>
    <t>003017535410000000000000000000</t>
  </si>
  <si>
    <t>000016536220000000000010060122</t>
  </si>
  <si>
    <t>003012481060000000000000000000</t>
  </si>
  <si>
    <t>000016500850000000000001008409</t>
  </si>
  <si>
    <t>000016510000000000000001014203</t>
  </si>
  <si>
    <t>083014854210000000000000000000</t>
  </si>
  <si>
    <t>513000068420000000000000000000</t>
  </si>
  <si>
    <t>003015844730001000000000000000</t>
  </si>
  <si>
    <t>000010677290001000000000000000</t>
  </si>
  <si>
    <t>003216468390000000000000000000</t>
  </si>
  <si>
    <t>003013044740001000000000000000</t>
  </si>
  <si>
    <t>000017822070000000000061166691</t>
  </si>
  <si>
    <t>003017570320001000000000000000</t>
  </si>
  <si>
    <t>000000413770001000000000000000</t>
  </si>
  <si>
    <t>000016552660000000000200006193</t>
  </si>
  <si>
    <t>000016504460000000000001011412</t>
  </si>
  <si>
    <t>003014499360001000000000000000</t>
  </si>
  <si>
    <t>003015350050000000000000000000</t>
  </si>
  <si>
    <t>083015001470000000000000000000</t>
  </si>
  <si>
    <t>000017042750000000000000000000</t>
  </si>
  <si>
    <t>000016500660000000000001008170</t>
  </si>
  <si>
    <t>003015617170001000000000000000</t>
  </si>
  <si>
    <t>083014897060001000000000000000</t>
  </si>
  <si>
    <t>000010151330001000000000000000</t>
  </si>
  <si>
    <t>064015983530000000000000000000</t>
  </si>
  <si>
    <t>513011245810001000000000000000</t>
  </si>
  <si>
    <t>006000739440000000000000000000</t>
  </si>
  <si>
    <t>000016500200000000000001007667</t>
  </si>
  <si>
    <t>083016441050001000000000000000</t>
  </si>
  <si>
    <t>000016515340000000000010102293</t>
  </si>
  <si>
    <t>000016539790000000000062004661</t>
  </si>
  <si>
    <t>000010165910002000000000000000</t>
  </si>
  <si>
    <t>063016083110000000000000000000</t>
  </si>
  <si>
    <t>004013780550000000000000000000</t>
  </si>
  <si>
    <t>000016499970000000000001007378</t>
  </si>
  <si>
    <t>000017820280000000000010201832</t>
  </si>
  <si>
    <t>003015809370001000000000000000</t>
  </si>
  <si>
    <t>003015219840000000000000000000</t>
  </si>
  <si>
    <t>000000402300001000000000000000</t>
  </si>
  <si>
    <t>063016048990000000000000000000</t>
  </si>
  <si>
    <t>003012666420001000000000000000</t>
  </si>
  <si>
    <t>083014860390000000000000000000</t>
  </si>
  <si>
    <t>006000815170000000000000000000</t>
  </si>
  <si>
    <t>000016503110000000000001010622</t>
  </si>
  <si>
    <t>063016101300000000000000000000</t>
  </si>
  <si>
    <t>000016851520000000000000000000</t>
  </si>
  <si>
    <t>000017822270000000000200007892</t>
  </si>
  <si>
    <t>003016206460001000000000000000</t>
  </si>
  <si>
    <t>003000941770000000000000000000</t>
  </si>
  <si>
    <t>000016870410000000000000000000</t>
  </si>
  <si>
    <t>000016511340000000000001014834</t>
  </si>
  <si>
    <t>000017102630000000000010014173</t>
  </si>
  <si>
    <t>003012158940001000000000000000</t>
  </si>
  <si>
    <t>063015855060000000000000000000</t>
  </si>
  <si>
    <t>006000822710000000000000000000</t>
  </si>
  <si>
    <t>003016831630001000000000000000</t>
  </si>
  <si>
    <t>003014336810001000000000000000</t>
  </si>
  <si>
    <t>003012697480001000000000000000</t>
  </si>
  <si>
    <t>000010766900000000000000000000</t>
  </si>
  <si>
    <t>063216020690000000000000000000</t>
  </si>
  <si>
    <t>083015071080000000000000000000</t>
  </si>
  <si>
    <t>000016539980000000000069005791</t>
  </si>
  <si>
    <t>000016516300000000000010121883</t>
  </si>
  <si>
    <t>000016501190000000000001008709</t>
  </si>
  <si>
    <t>000016593160000000000001016723</t>
  </si>
  <si>
    <t>000016538460000000000061067231</t>
  </si>
  <si>
    <t>084014853110000000000000000000</t>
  </si>
  <si>
    <t>063016116900000000000000000000</t>
  </si>
  <si>
    <t>004016442310001000000000000000</t>
  </si>
  <si>
    <t>003016597220001000000000000000</t>
  </si>
  <si>
    <t>000016503950000000000001011116</t>
  </si>
  <si>
    <t>000016529440000000000001002674</t>
  </si>
  <si>
    <t>000017821590000000000010204894</t>
  </si>
  <si>
    <t>003017172830000000000000000000</t>
  </si>
  <si>
    <t>003012830340001000000000000000</t>
  </si>
  <si>
    <t>063216045080000000000000000000</t>
  </si>
  <si>
    <t>083014779070000000000000000000</t>
  </si>
  <si>
    <t>000016500140000000000001007618</t>
  </si>
  <si>
    <t>003215367160000000000000000000</t>
  </si>
  <si>
    <t>003013202440001000000000000000</t>
  </si>
  <si>
    <t>003012495430000000000000000000</t>
  </si>
  <si>
    <t>000016513630000000000001016275</t>
  </si>
  <si>
    <t>006000719110000000000000000000</t>
  </si>
  <si>
    <t>083015108400000000000000000000</t>
  </si>
  <si>
    <t>003215278860001000000000000000</t>
  </si>
  <si>
    <t>000012454740001000000000000000</t>
  </si>
  <si>
    <t>004000529940000000000000000000</t>
  </si>
  <si>
    <t>003015484110001000000000000000</t>
  </si>
  <si>
    <t>003013393680000000000000000000</t>
  </si>
  <si>
    <t>000010817510001000000000000000</t>
  </si>
  <si>
    <t>083415057750000000000000000000</t>
  </si>
  <si>
    <t>009017301370000000000000000000</t>
  </si>
  <si>
    <t>003016894840001000000000000000</t>
  </si>
  <si>
    <t>006000727640000000000000000000</t>
  </si>
  <si>
    <t>000016541300000000000069020881</t>
  </si>
  <si>
    <t>000017102540000000000010014164</t>
  </si>
  <si>
    <t>000014157290000000000000000000</t>
  </si>
  <si>
    <t>003014714480000000000000000000</t>
  </si>
  <si>
    <t>000017102620000000000010014172</t>
  </si>
  <si>
    <t>000000502580011000000000000000</t>
  </si>
  <si>
    <t>000000016910002000000000000000</t>
  </si>
  <si>
    <t>000016530400000000000001004737</t>
  </si>
  <si>
    <t>085014749540000000000000000000</t>
  </si>
  <si>
    <t>000014636320000000000000000000</t>
  </si>
  <si>
    <t>003017147870001000000000000000</t>
  </si>
  <si>
    <t>003016660040001000000000000000</t>
  </si>
  <si>
    <t>000017820360000000000010202426</t>
  </si>
  <si>
    <t>083214995130000000000000000000</t>
  </si>
  <si>
    <t>005001090240001000000000000000</t>
  </si>
  <si>
    <t>000016541120000000000069019102</t>
  </si>
  <si>
    <t>003000426400000000000000000000</t>
  </si>
  <si>
    <t>003014679460000000000000000000</t>
  </si>
  <si>
    <t>000016497040000000000001001844</t>
  </si>
  <si>
    <t>003001117960001000000000000000</t>
  </si>
  <si>
    <t>003015789330001000000000000000</t>
  </si>
  <si>
    <t>003014704570000000000000000000</t>
  </si>
  <si>
    <t>000016497990000000000001003931</t>
  </si>
  <si>
    <t>000016553580000000000200009517</t>
  </si>
  <si>
    <t>003013362590000000000000000000</t>
  </si>
  <si>
    <t>000016536970000000000010093682</t>
  </si>
  <si>
    <t>003016284400001000000000000000</t>
  </si>
  <si>
    <t>003014345510000000000000000000</t>
  </si>
  <si>
    <t>003012332530001000000000000000</t>
  </si>
  <si>
    <t>063216090360000000000000000000</t>
  </si>
  <si>
    <t>000016530070000000000001004364</t>
  </si>
  <si>
    <t>003011564640001000000000000000</t>
  </si>
  <si>
    <t>001200032230000000000000000000</t>
  </si>
  <si>
    <t>003014580960001000000000000000</t>
  </si>
  <si>
    <t>006001075780001000000000000000</t>
  </si>
  <si>
    <t>000000406590001000000000000000</t>
  </si>
  <si>
    <t>003014083340001000000000000000</t>
  </si>
  <si>
    <t>063016017610000000000000000000</t>
  </si>
  <si>
    <t>000016538580000000000061107281</t>
  </si>
  <si>
    <t>000010089650001000000000000000</t>
  </si>
  <si>
    <t>000016504180000000000001011259</t>
  </si>
  <si>
    <t>000017820910000000000010203720</t>
  </si>
  <si>
    <t>000017820560000000000010203050</t>
  </si>
  <si>
    <t>000017820530000000000010202978</t>
  </si>
  <si>
    <t>083014948150000000000000000000</t>
  </si>
  <si>
    <t>003016349200001000000000000000</t>
  </si>
  <si>
    <t>003016527480001000000000000000</t>
  </si>
  <si>
    <t>009017056640000000000000000000</t>
  </si>
  <si>
    <t>003015617890001000000000000000</t>
  </si>
  <si>
    <t>003017291490001000000000000000</t>
  </si>
  <si>
    <t>000016501230000000000001008742</t>
  </si>
  <si>
    <t>003014103870000000000000000000</t>
  </si>
  <si>
    <t>009016922700000000000000000000</t>
  </si>
  <si>
    <t>064015991870000000000000000000</t>
  </si>
  <si>
    <t>000016501040000000000001008585</t>
  </si>
  <si>
    <t>000010772710001000000000000000</t>
  </si>
  <si>
    <t>000017820420000000000010202642</t>
  </si>
  <si>
    <t>084014764030000000000000000000</t>
  </si>
  <si>
    <t>000010290290000000000000000000</t>
  </si>
  <si>
    <t>064015879200000000000000000000</t>
  </si>
  <si>
    <t>000017822300000000000200008466</t>
  </si>
  <si>
    <t>064016070440000000000000000000</t>
  </si>
  <si>
    <t>000016547000000000000069617271</t>
  </si>
  <si>
    <t>065015953370000000000000000000</t>
  </si>
  <si>
    <t>003010944670001000000000000000</t>
  </si>
  <si>
    <t>008016561030001000000000000000</t>
  </si>
  <si>
    <t>009016249540000000000000000000</t>
  </si>
  <si>
    <t>083015035110000000000000000000</t>
  </si>
  <si>
    <t>000016536860000000000010090385</t>
  </si>
  <si>
    <t>000017821940000000000010206077</t>
  </si>
  <si>
    <t>063015914220000000000000000000</t>
  </si>
  <si>
    <t>063016114550000000000000000000</t>
  </si>
  <si>
    <t>000016531630000000000001007020</t>
  </si>
  <si>
    <t>004012321390000000000000000000</t>
  </si>
  <si>
    <t>003016226500001000000000000000</t>
  </si>
  <si>
    <t>513011477430000000000000000000</t>
  </si>
  <si>
    <t>087015218270001000000000000000</t>
  </si>
  <si>
    <t>003016319380000000000000000000</t>
  </si>
  <si>
    <t>003016690950001000000000000000</t>
  </si>
  <si>
    <t>003012614460001000000000000000</t>
  </si>
  <si>
    <t>003016219760001000000000000000</t>
  </si>
  <si>
    <t>000016530170000000000001004469</t>
  </si>
  <si>
    <t>003015250720000000000000000000</t>
  </si>
  <si>
    <t>003016721410000000000000000000</t>
  </si>
  <si>
    <t>003013509810001000000000000000</t>
  </si>
  <si>
    <t>000010242500002000000000000000</t>
  </si>
  <si>
    <t>000010265200001000000000000000</t>
  </si>
  <si>
    <t>000017821140000000000010204264</t>
  </si>
  <si>
    <t>000010645350001000000000000000</t>
  </si>
  <si>
    <t>000016532790000000000001008672</t>
  </si>
  <si>
    <t>000000674170001000000000000000</t>
  </si>
  <si>
    <t>064015969260000000000000000000</t>
  </si>
  <si>
    <t>000017820330000000000010202355</t>
  </si>
  <si>
    <t>000016535210000000000010033602</t>
  </si>
  <si>
    <t>003014394430000000000000000000</t>
  </si>
  <si>
    <t>000017820830000000000010203572</t>
  </si>
  <si>
    <t>000010491240001000000000000000</t>
  </si>
  <si>
    <t>003017007990000000000000000000</t>
  </si>
  <si>
    <t>000016566310000000000200007363</t>
  </si>
  <si>
    <t>083015120200000000000000000000</t>
  </si>
  <si>
    <t>003000221200000000000000000000</t>
  </si>
  <si>
    <t>003012252050000000000000000000</t>
  </si>
  <si>
    <t>063015928490000000000000000000</t>
  </si>
  <si>
    <t>003016976950001000000000000000</t>
  </si>
  <si>
    <t>003012767320000000000000000000</t>
  </si>
  <si>
    <t>513011252350000000000000000000</t>
  </si>
  <si>
    <t>000016513100000000000001015958</t>
  </si>
  <si>
    <t>000016534400000000000001011122</t>
  </si>
  <si>
    <t>000010063250001000000000000000</t>
  </si>
  <si>
    <t>000016502630000000000001010260</t>
  </si>
  <si>
    <t>003015431680000000000000000000</t>
  </si>
  <si>
    <t>000010868600000000000000000000</t>
  </si>
  <si>
    <t>083015082590000000000000000000</t>
  </si>
  <si>
    <t>113011317810001000000000000000</t>
  </si>
  <si>
    <t>000000710920001000000000000000</t>
  </si>
  <si>
    <t>004016654530001000000000000000</t>
  </si>
  <si>
    <t>003015364970001000000000000000</t>
  </si>
  <si>
    <t>000016535330000000000010042812</t>
  </si>
  <si>
    <t>000000006470001000000000000000</t>
  </si>
  <si>
    <t>000016502110000000000001009827</t>
  </si>
  <si>
    <t>000016512240000000000001015345</t>
  </si>
  <si>
    <t>000010571630001000000000000000</t>
  </si>
  <si>
    <t>000016543120000000000069609621</t>
  </si>
  <si>
    <t>084014816560000000000000000000</t>
  </si>
  <si>
    <t>003016203500000000000000000000</t>
  </si>
  <si>
    <t>000000649730000000000000000000</t>
  </si>
  <si>
    <t>003216352220001000000000000000</t>
  </si>
  <si>
    <t>513011132180000000000000000000</t>
  </si>
  <si>
    <t>084014828280000000000000000000</t>
  </si>
  <si>
    <t>006000718120000000000000000000</t>
  </si>
  <si>
    <t>513011098560001000000000000000</t>
  </si>
  <si>
    <t>000010795160001000000000000000</t>
  </si>
  <si>
    <t>063016094790000000000000000000</t>
  </si>
  <si>
    <t>000016534220000000000001010770</t>
  </si>
  <si>
    <t>003014406670000000000000000000</t>
  </si>
  <si>
    <t>000016534710000000000001012049</t>
  </si>
  <si>
    <t>000016528930000000000001002152</t>
  </si>
  <si>
    <t>083014895110000000000000000000</t>
  </si>
  <si>
    <t>063016011580000000000000000000</t>
  </si>
  <si>
    <t>006011826630001000000000000000</t>
  </si>
  <si>
    <t>083014717050000000000000000000</t>
  </si>
  <si>
    <t>000010827020000000000000000000</t>
  </si>
  <si>
    <t>006000721090001000000000000000</t>
  </si>
  <si>
    <t>000016535940000000000010054202</t>
  </si>
  <si>
    <t>083015062070000000000000000000</t>
  </si>
  <si>
    <t>003016480550001000000000000000</t>
  </si>
  <si>
    <t>000016548650000000000069619221</t>
  </si>
  <si>
    <t>009015292500014000000000000000</t>
  </si>
  <si>
    <t>000016498060000000000001004118</t>
  </si>
  <si>
    <t>000016515850000000000010115153</t>
  </si>
  <si>
    <t>063015975090000000000000000000</t>
  </si>
  <si>
    <t>000016501390000000000001008896</t>
  </si>
  <si>
    <t>000017819660000000000001002457</t>
  </si>
  <si>
    <t>003016419570001000000000000000</t>
  </si>
  <si>
    <t>003214683260001000000000000000</t>
  </si>
  <si>
    <t>003011931660001000000000000000</t>
  </si>
  <si>
    <t>003016244790000000000000000000</t>
  </si>
  <si>
    <t>003015464870001000000000000000</t>
  </si>
  <si>
    <t>003001341880000000000000000000</t>
  </si>
  <si>
    <t>000016539820000000000062004731</t>
  </si>
  <si>
    <t>000010796530001000000000000000</t>
  </si>
  <si>
    <t>000010338610001000000000000000</t>
  </si>
  <si>
    <t>006000767870000000000000000000</t>
  </si>
  <si>
    <t>000016533790000000000001009727</t>
  </si>
  <si>
    <t>003215661950001000000000000000</t>
  </si>
  <si>
    <t>003017296710001000000000000000</t>
  </si>
  <si>
    <t>083214931480000000000000000000</t>
  </si>
  <si>
    <t>000016497160000000000001002016</t>
  </si>
  <si>
    <t>000010287970021000000000000000</t>
  </si>
  <si>
    <t>003015379760001000000000000000</t>
  </si>
  <si>
    <t>063016146760000000000000000000</t>
  </si>
  <si>
    <t>085015011880000000000000000000</t>
  </si>
  <si>
    <t>003016558040001000000000000000</t>
  </si>
  <si>
    <t>003015462470001000000000000000</t>
  </si>
  <si>
    <t>003011346410001000000000000000</t>
  </si>
  <si>
    <t>003016166630000000000000000000</t>
  </si>
  <si>
    <t>000017036890000000000000000000</t>
  </si>
  <si>
    <t>003017115470001000000000000000</t>
  </si>
  <si>
    <t>003016287640001000000000000000</t>
  </si>
  <si>
    <t>000016516080000000000010118953</t>
  </si>
  <si>
    <t>003214001860001000000000000000</t>
  </si>
  <si>
    <t>063016138000000000000000000000</t>
  </si>
  <si>
    <t>003017078360000000000000000000</t>
  </si>
  <si>
    <t>000016520920000000000011036787</t>
  </si>
  <si>
    <t>003012051860000000000000000000</t>
  </si>
  <si>
    <t>085014724190000000000000000000</t>
  </si>
  <si>
    <t>004012638400000000000000000000</t>
  </si>
  <si>
    <t>003017214720001000000000000000</t>
  </si>
  <si>
    <t>066015915620000000000000000000</t>
  </si>
  <si>
    <t>000010519420001000000000000000</t>
  </si>
  <si>
    <t>003000933260001000000000000000</t>
  </si>
  <si>
    <t>000010802010002000000000000000</t>
  </si>
  <si>
    <t>000016499990000000000001007381</t>
  </si>
  <si>
    <t>084014776000000000000000000000</t>
  </si>
  <si>
    <t>006012973900001000000000000000</t>
  </si>
  <si>
    <t>000016503870000000000001011064</t>
  </si>
  <si>
    <t>000016498350000000000001004761</t>
  </si>
  <si>
    <t>000016531660000000000001007035</t>
  </si>
  <si>
    <t>003013229530001000000000000000</t>
  </si>
  <si>
    <t>003014610770000000000000000000</t>
  </si>
  <si>
    <t>000017821100000000000010204145</t>
  </si>
  <si>
    <t>000017820510000000000010202886</t>
  </si>
  <si>
    <t>003015766660001000000000000000</t>
  </si>
  <si>
    <t>000010530390001000000000000000</t>
  </si>
  <si>
    <t>009017303530000000000000000000</t>
  </si>
  <si>
    <t>064016076970000000000000000000</t>
  </si>
  <si>
    <t>003413961930001000000000000000</t>
  </si>
  <si>
    <t>005000618240000000000000000000</t>
  </si>
  <si>
    <t>003011651880001000000000000000</t>
  </si>
  <si>
    <t>000000701770001000000000000000</t>
  </si>
  <si>
    <t>000016531120000000000001006162</t>
  </si>
  <si>
    <t>003000236700001000000000000000</t>
  </si>
  <si>
    <t>083215133880000000000000000000</t>
  </si>
  <si>
    <t>003013984570000000000000000000</t>
  </si>
  <si>
    <t>000016540230000000000069011111</t>
  </si>
  <si>
    <t>000017821300000000000010204532</t>
  </si>
  <si>
    <t>003016480300000000000000000000</t>
  </si>
  <si>
    <t>000010527140001000000000000000</t>
  </si>
  <si>
    <t>003015743210001000000000000000</t>
  </si>
  <si>
    <t>003012628480000000000000000000</t>
  </si>
  <si>
    <t>000010674000001000000000000000</t>
  </si>
  <si>
    <t>003015522190000000000000000000</t>
  </si>
  <si>
    <t>000016530240000000000001004544</t>
  </si>
  <si>
    <t>003015391170000000000000000000</t>
  </si>
  <si>
    <t>000016535620000000000010049702</t>
  </si>
  <si>
    <t>003011804260001000000000000000</t>
  </si>
  <si>
    <t>000016511600000000000001015030</t>
  </si>
  <si>
    <t>003013352670000000000000000000</t>
  </si>
  <si>
    <t>000010405530001000000000000000</t>
  </si>
  <si>
    <t>000016542210000000000069601331</t>
  </si>
  <si>
    <t>000010396500000000000000000000</t>
  </si>
  <si>
    <t>000016497790000000000001002945</t>
  </si>
  <si>
    <t>000016564300000000000010054272</t>
  </si>
  <si>
    <t>083015196290000000000000000000</t>
  </si>
  <si>
    <t>000017038180000000000000000000</t>
  </si>
  <si>
    <t>083215026320000000000000000000</t>
  </si>
  <si>
    <t>003013194670000000000000000000</t>
  </si>
  <si>
    <t>003015560430001000000000000000</t>
  </si>
  <si>
    <t>063016008550000000000000000000</t>
  </si>
  <si>
    <t>063015899630000000000000000000</t>
  </si>
  <si>
    <t>009015480350004000000000000000</t>
  </si>
  <si>
    <t>000017182850000000000000000000</t>
  </si>
  <si>
    <t>006015600470001000000000000000</t>
  </si>
  <si>
    <t>006013343560001000000000000000</t>
  </si>
  <si>
    <t>000016516850000000000010128522</t>
  </si>
  <si>
    <t>000016530410000000000001004741</t>
  </si>
  <si>
    <t>003016613380000000000000000000</t>
  </si>
  <si>
    <t>000016536600000000000010074922</t>
  </si>
  <si>
    <t>083015035130000000000000000000</t>
  </si>
  <si>
    <t>000016514230000000000010045712</t>
  </si>
  <si>
    <t>000016528640000000000001001850</t>
  </si>
  <si>
    <t>000010895180001000000000000000</t>
  </si>
  <si>
    <t>000016497700000000000001002879</t>
  </si>
  <si>
    <t>004016387260000000000000000000</t>
  </si>
  <si>
    <t>009017589310000000000000000000</t>
  </si>
  <si>
    <t>003016324090000000000000000000</t>
  </si>
  <si>
    <t>003017347990001000000000000000</t>
  </si>
  <si>
    <t>005015598020000000000000000000</t>
  </si>
  <si>
    <t>003214700460001000000000000000</t>
  </si>
  <si>
    <t>000016519260000000000010150061</t>
  </si>
  <si>
    <t>003016598510001000000000000000</t>
  </si>
  <si>
    <t>003011680110001000000000000000</t>
  </si>
  <si>
    <t>083014998050000000000000000000</t>
  </si>
  <si>
    <t>005012779850001000000000000000</t>
  </si>
  <si>
    <t>000016532950000000000001008879</t>
  </si>
  <si>
    <t>063016008050000000000000000000</t>
  </si>
  <si>
    <t>000016529100000000000001002325</t>
  </si>
  <si>
    <t>000016532000000000000001007613</t>
  </si>
  <si>
    <t>084014749290001000000000000000</t>
  </si>
  <si>
    <t>084014811850000000000000000000</t>
  </si>
  <si>
    <t>000016498100000000000001004230</t>
  </si>
  <si>
    <t>006001007280001000000000000000</t>
  </si>
  <si>
    <t>000000418290000000000000000000</t>
  </si>
  <si>
    <t>003013748130000000000000000000</t>
  </si>
  <si>
    <t>003013180130001000000000000000</t>
  </si>
  <si>
    <t>003016961610001000000000000000</t>
  </si>
  <si>
    <t>083014936610000000000000000000</t>
  </si>
  <si>
    <t>084014911840000000000000000000</t>
  </si>
  <si>
    <t>000016535430000000000010045566</t>
  </si>
  <si>
    <t>003016195730001000000000000000</t>
  </si>
  <si>
    <t>063016142710000000000000000000</t>
  </si>
  <si>
    <t>003015858980000000000000000000</t>
  </si>
  <si>
    <t>000010897310000000000000000000</t>
  </si>
  <si>
    <t>003001190880001000000000000000</t>
  </si>
  <si>
    <t>003000310640000000000000000000</t>
  </si>
  <si>
    <t>003013836790000000000000000000</t>
  </si>
  <si>
    <t>000016548760000000000069619341</t>
  </si>
  <si>
    <t>006000820600000000000000000000</t>
  </si>
  <si>
    <t>003012334930001000000000000000</t>
  </si>
  <si>
    <t>003012760860001000000000000000</t>
  </si>
  <si>
    <t>086014988230000000000000000000</t>
  </si>
  <si>
    <t>003016149660001000000000000000</t>
  </si>
  <si>
    <t>000017820350000000000010202381</t>
  </si>
  <si>
    <t>003014577380000000000000000000</t>
  </si>
  <si>
    <t>083015119060000000000000000000</t>
  </si>
  <si>
    <t>000016551450000000000069622591</t>
  </si>
  <si>
    <t>083214995120000000000000000000</t>
  </si>
  <si>
    <t>003013250440001000000000000000</t>
  </si>
  <si>
    <t>000016522230000000000200005782</t>
  </si>
  <si>
    <t>004013157580000000000000000000</t>
  </si>
  <si>
    <t>003214509050000000000000000000</t>
  </si>
  <si>
    <t>000016242570000000000000000000</t>
  </si>
  <si>
    <t>000010679630000000000000000000</t>
  </si>
  <si>
    <t>000016515660000000000010110642</t>
  </si>
  <si>
    <t>000016535260000000000010037922</t>
  </si>
  <si>
    <t>513011465900000000000000000000</t>
  </si>
  <si>
    <t>000016529360000000000001002582</t>
  </si>
  <si>
    <t>003012294740001000000000000000</t>
  </si>
  <si>
    <t>000017037010000000000000000000</t>
  </si>
  <si>
    <t>003011790580000000000000000000</t>
  </si>
  <si>
    <t>003013394170001000000000000000</t>
  </si>
  <si>
    <t>000016501280000000000001008791</t>
  </si>
  <si>
    <t>513000014610001000000000000000</t>
  </si>
  <si>
    <t>004015620590001000000000000000</t>
  </si>
  <si>
    <t>004013005340001000000000000000</t>
  </si>
  <si>
    <t>064015960540000000000000000000</t>
  </si>
  <si>
    <t>003015684740001000000000000000</t>
  </si>
  <si>
    <t>000017820290000000000010201920</t>
  </si>
  <si>
    <t>000000260600001000000000000000</t>
  </si>
  <si>
    <t>000016544070000000000069612931</t>
  </si>
  <si>
    <t>004000587610000000000000000000</t>
  </si>
  <si>
    <t>003011731910001000000000000000</t>
  </si>
  <si>
    <t>003016447800001000000000000000</t>
  </si>
  <si>
    <t>000017822060000000000010601205</t>
  </si>
  <si>
    <t>003017679630001000000000000000</t>
  </si>
  <si>
    <t>003013430060001000000000000000</t>
  </si>
  <si>
    <t>003016367680001000000000000000</t>
  </si>
  <si>
    <t>084014786020000000000000000000</t>
  </si>
  <si>
    <t>003016600750001000000000000000</t>
  </si>
  <si>
    <t>086014877450001000000000000000</t>
  </si>
  <si>
    <t>009017301350000000000000000000</t>
  </si>
  <si>
    <t>003015493350001000000000000000</t>
  </si>
  <si>
    <t>000016532050000000000001007715</t>
  </si>
  <si>
    <t>063016004310000000000000000000</t>
  </si>
  <si>
    <t>000016533940000000000001009944</t>
  </si>
  <si>
    <t>003000403950000000000000000000</t>
  </si>
  <si>
    <t>084015193410000000000000000000</t>
  </si>
  <si>
    <t>003013921020001000000000000000</t>
  </si>
  <si>
    <t>000017820780000000000010203519</t>
  </si>
  <si>
    <t>003016741070001000000000000000</t>
  </si>
  <si>
    <t>003014665800001000000000000000</t>
  </si>
  <si>
    <t>000016541340000000000069021241</t>
  </si>
  <si>
    <t>003014184060001000000000000000</t>
  </si>
  <si>
    <t>000016536310000000000010061154</t>
  </si>
  <si>
    <t>063015934980000000000000000000</t>
  </si>
  <si>
    <t>003012015210000000000000000000</t>
  </si>
  <si>
    <t>000010107710001000000000000000</t>
  </si>
  <si>
    <t>000010808850001000000000000000</t>
  </si>
  <si>
    <t>003015556510000000000000000000</t>
  </si>
  <si>
    <t>000016532030000000000001007706</t>
  </si>
  <si>
    <t>003015267890001000000000000000</t>
  </si>
  <si>
    <t>000017102530000000000010014163</t>
  </si>
  <si>
    <t>003216666400000000000000000000</t>
  </si>
  <si>
    <t>003012374880001000000000000000</t>
  </si>
  <si>
    <t>000016505060000000000001011692</t>
  </si>
  <si>
    <t>003013520000001000000000000000</t>
  </si>
  <si>
    <t>000016516970000000000010129042</t>
  </si>
  <si>
    <t>003016313430001000000000000000</t>
  </si>
  <si>
    <t>000017038530000000000000000000</t>
  </si>
  <si>
    <t>000010114680015000000000000000</t>
  </si>
  <si>
    <t>000010757280000000000000000000</t>
  </si>
  <si>
    <t>000016549110000000000069619761</t>
  </si>
  <si>
    <t>003016465460001000000000000000</t>
  </si>
  <si>
    <t>004016244580001000000000000000</t>
  </si>
  <si>
    <t>003015539170001000000000000000</t>
  </si>
  <si>
    <t>006000817230000000000000000000</t>
  </si>
  <si>
    <t>000016538170000000000011036786</t>
  </si>
  <si>
    <t>000016535140000000000010025632</t>
  </si>
  <si>
    <t>003216346950001000000000000000</t>
  </si>
  <si>
    <t>003017129960000000000000000000</t>
  </si>
  <si>
    <t>000016522450000000000200006321</t>
  </si>
  <si>
    <t>000016529760000000000001003103</t>
  </si>
  <si>
    <t>063015929460000000000000000000</t>
  </si>
  <si>
    <t>000017102560000000000010014166</t>
  </si>
  <si>
    <t>513000024380001000000000000000</t>
  </si>
  <si>
    <t>003000961710001000000000000000</t>
  </si>
  <si>
    <t>003014119390000000000000000000</t>
  </si>
  <si>
    <t>000017821710000000000010205171</t>
  </si>
  <si>
    <t>083215173760000000000000000000</t>
  </si>
  <si>
    <t>083014758000000000000000000000</t>
  </si>
  <si>
    <t>000010899420001000000000000000</t>
  </si>
  <si>
    <t>003014670850001000000000000000</t>
  </si>
  <si>
    <t>063015965690000000000000000000</t>
  </si>
  <si>
    <t>003016438000001000000000000000</t>
  </si>
  <si>
    <t>003017319050000000000000000000</t>
  </si>
  <si>
    <t>003014182420001000000000000000</t>
  </si>
  <si>
    <t>063016017450000000000000000000</t>
  </si>
  <si>
    <t>006015618810000000000000000000</t>
  </si>
  <si>
    <t>000017820520000000000010202950</t>
  </si>
  <si>
    <t>000000441460002000000000000000</t>
  </si>
  <si>
    <t>006000833040000000000000000000</t>
  </si>
  <si>
    <t>003013675600001000000000000000</t>
  </si>
  <si>
    <t>003015828950001000000000000000</t>
  </si>
  <si>
    <t>000017038450000000000000000000</t>
  </si>
  <si>
    <t>084014808940000000000000000000</t>
  </si>
  <si>
    <t>003216354530000000000000000000</t>
  </si>
  <si>
    <t>000016552590000000000200006081</t>
  </si>
  <si>
    <t>003013231510001000000000000000</t>
  </si>
  <si>
    <t>000010063410001000000000000000</t>
  </si>
  <si>
    <t>064016015470000000000000000000</t>
  </si>
  <si>
    <t>000010778700001000000000000000</t>
  </si>
  <si>
    <t>000016536820000000000010089232</t>
  </si>
  <si>
    <t>513011224230001000000000000000</t>
  </si>
  <si>
    <t>003016728950000000000000000000</t>
  </si>
  <si>
    <t>003015727580001000000000000000</t>
  </si>
  <si>
    <t>004015602820001000000000000000</t>
  </si>
  <si>
    <t>003216696970000000000000000000</t>
  </si>
  <si>
    <t>000016502210000000000001009940</t>
  </si>
  <si>
    <t>083215171400000000000000000000</t>
  </si>
  <si>
    <t>000016517770000000000010136136</t>
  </si>
  <si>
    <t>000016533710000000000001009595</t>
  </si>
  <si>
    <t>064015884860001000000000000000</t>
  </si>
  <si>
    <t>000016521900000000000069022891</t>
  </si>
  <si>
    <t>003216194220000000000000000000</t>
  </si>
  <si>
    <t>003012259800001000000000000000</t>
  </si>
  <si>
    <t>000000749710001000000000000000</t>
  </si>
  <si>
    <t>000016541760000000000069024741</t>
  </si>
  <si>
    <t>000017821640000000000010204958</t>
  </si>
  <si>
    <t>000017036770000000000000000000</t>
  </si>
  <si>
    <t>003016322050000000000000000000</t>
  </si>
  <si>
    <t>000010758540000000000000000000</t>
  </si>
  <si>
    <t>083014855430000000000000000000</t>
  </si>
  <si>
    <t>063416005260000000000000000000</t>
  </si>
  <si>
    <t>003012146800001000000000000000</t>
  </si>
  <si>
    <t>003015511210001000000000000000</t>
  </si>
  <si>
    <t>003016886820001000000000000000</t>
  </si>
  <si>
    <t>003411932350001000000000000000</t>
  </si>
  <si>
    <t>063015987020000000000000000000</t>
  </si>
  <si>
    <t>003016205750000000000000000000</t>
  </si>
  <si>
    <t>063216020700000000000000000000</t>
  </si>
  <si>
    <t>000010790560001000000000000000</t>
  </si>
  <si>
    <t>006000809950000000000000000000</t>
  </si>
  <si>
    <t>000016536400000000000010063822</t>
  </si>
  <si>
    <t>064016015570000000000000000000</t>
  </si>
  <si>
    <t>069016068190000000000000000000</t>
  </si>
  <si>
    <t>003015346050001000000000000000</t>
  </si>
  <si>
    <t>000016532940000000000001008878</t>
  </si>
  <si>
    <t>003017197120001000000000000000</t>
  </si>
  <si>
    <t>003015657260001000000000000000</t>
  </si>
  <si>
    <t>003015696480001000000000000000</t>
  </si>
  <si>
    <t>003014353330000000000000000000</t>
  </si>
  <si>
    <t>003012174720001000000000000000</t>
  </si>
  <si>
    <t>000016528760000000000001002012</t>
  </si>
  <si>
    <t>000010273890001000000000000000</t>
  </si>
  <si>
    <t>003000258830000000000000000000</t>
  </si>
  <si>
    <t>000017038560000000000000000000</t>
  </si>
  <si>
    <t>083014882600000000000000000000</t>
  </si>
  <si>
    <t>003016411480001000000000000000</t>
  </si>
  <si>
    <t>000000767570000000000000000000</t>
  </si>
  <si>
    <t>000010588560001000000000000000</t>
  </si>
  <si>
    <t>000010184630000000000000000000</t>
  </si>
  <si>
    <t>063016120320000000000000000000</t>
  </si>
  <si>
    <t>003014378110001000000000000000</t>
  </si>
  <si>
    <t>000016547610000000000069617961</t>
  </si>
  <si>
    <t>084015179670000000000000000000</t>
  </si>
  <si>
    <t>518011159630000000000000000000</t>
  </si>
  <si>
    <t>003012033150000000000000000000</t>
  </si>
  <si>
    <t>066015954470000000000000000000</t>
  </si>
  <si>
    <t>000016524750000000000690221133</t>
  </si>
  <si>
    <t>083214914410000000000000000000</t>
  </si>
  <si>
    <t>063016136670000000000000000000</t>
  </si>
  <si>
    <t>000016529970000000000001004178</t>
  </si>
  <si>
    <t>063016076660000000000000000000</t>
  </si>
  <si>
    <t>084014815640000000000000000000</t>
  </si>
  <si>
    <t>003014226060001000000000000000</t>
  </si>
  <si>
    <t>004017089390001000000000000000</t>
  </si>
  <si>
    <t>003017356380001000000000000000</t>
  </si>
  <si>
    <t>084014911020000000000000000000</t>
  </si>
  <si>
    <t>003014188480000000000000000000</t>
  </si>
  <si>
    <t>003012242460000000000000000000</t>
  </si>
  <si>
    <t>003015784700001000000000000000</t>
  </si>
  <si>
    <t>000016499120000000000001006324</t>
  </si>
  <si>
    <t>003012887400001000000000000000</t>
  </si>
  <si>
    <t>000016720190000000000001016967</t>
  </si>
  <si>
    <t>005011658410001000000000000000</t>
  </si>
  <si>
    <t>003000196350001000000000000000</t>
  </si>
  <si>
    <t>000016538520000000000061078902</t>
  </si>
  <si>
    <t>063015971820000000000000000000</t>
  </si>
  <si>
    <t>000016519090000000000010149543</t>
  </si>
  <si>
    <t>003016276570000000000000000000</t>
  </si>
  <si>
    <t>003014439590001000000000000000</t>
  </si>
  <si>
    <t>000016498270000000000001004573</t>
  </si>
  <si>
    <t>003012019700000000000000000000</t>
  </si>
  <si>
    <t>003012649220001000000000000000</t>
  </si>
  <si>
    <t>000016528980000000000001002179</t>
  </si>
  <si>
    <t>005000670220000000000000000000</t>
  </si>
  <si>
    <t>084015177050000000000000000000</t>
  </si>
  <si>
    <t>084014911590000000000000000000</t>
  </si>
  <si>
    <t>084014770130001000000000000000</t>
  </si>
  <si>
    <t>000016504440000000000001011387</t>
  </si>
  <si>
    <t>000010508540000000000000000000</t>
  </si>
  <si>
    <t>083015010790000000000000000000</t>
  </si>
  <si>
    <t>000016552750000000000200006320</t>
  </si>
  <si>
    <t>063016082980000000000000000000</t>
  </si>
  <si>
    <t>003016779560001000000000000000</t>
  </si>
  <si>
    <t>084015012700000000000000000000</t>
  </si>
  <si>
    <t>084014906740000000000000000000</t>
  </si>
  <si>
    <t>000016506300000000000001012344</t>
  </si>
  <si>
    <t>064015976740000000000000000000</t>
  </si>
  <si>
    <t>003015577780001000000000000000</t>
  </si>
  <si>
    <t>009017369630000000000000000000</t>
  </si>
  <si>
    <t>000000508970031000000000000000</t>
  </si>
  <si>
    <t>000017038260000000000000000000</t>
  </si>
  <si>
    <t>003014497660001000000000000000</t>
  </si>
  <si>
    <t>006000819520000000000000000000</t>
  </si>
  <si>
    <t>003015361370001000000000000000</t>
  </si>
  <si>
    <t>003000231100000000000000000000</t>
  </si>
  <si>
    <t>000016533160000000000001009012</t>
  </si>
  <si>
    <t>003412923790001000000000000000</t>
  </si>
  <si>
    <t>003016285880000000000000000000</t>
  </si>
  <si>
    <t>000016537800000000000010112582</t>
  </si>
  <si>
    <t>003017385370001000000000000000</t>
  </si>
  <si>
    <t>003013465240000000000000000000</t>
  </si>
  <si>
    <t>005001124540001000000000000000</t>
  </si>
  <si>
    <t>003013983730000000000000000000</t>
  </si>
  <si>
    <t>000016503660000000000001010940</t>
  </si>
  <si>
    <t>083014738080000000000000000000</t>
  </si>
  <si>
    <t>003001323690000000000000000000</t>
  </si>
  <si>
    <t>003017141990001000000000000000</t>
  </si>
  <si>
    <t>083014931950000000000000000000</t>
  </si>
  <si>
    <t>000016547330000000000069617651</t>
  </si>
  <si>
    <t>000000708420001000000000000000</t>
  </si>
  <si>
    <t>003015801160001000000000000000</t>
  </si>
  <si>
    <t>003017156270001000000000000000</t>
  </si>
  <si>
    <t>003014520500000000000000000000</t>
  </si>
  <si>
    <t>000014360540000000000000000000</t>
  </si>
  <si>
    <t>000010880410000000000000000000</t>
  </si>
  <si>
    <t>000000502580010000000000000000</t>
  </si>
  <si>
    <t>006001078580001000000000000000</t>
  </si>
  <si>
    <t>003016887110001000000000000000</t>
  </si>
  <si>
    <t>003014663240001000000000000000</t>
  </si>
  <si>
    <t>003017656240001000000000000000</t>
  </si>
  <si>
    <t>003011607370000000000000000000</t>
  </si>
  <si>
    <t>003416230530001000000000000000</t>
  </si>
  <si>
    <t>003017414760001000000000000000</t>
  </si>
  <si>
    <t>064016029770000000000000000000</t>
  </si>
  <si>
    <t>000017820990000000000010203880</t>
  </si>
  <si>
    <t>008001249600001000000000000000</t>
  </si>
  <si>
    <t>000016499980000000000001007380</t>
  </si>
  <si>
    <t>003214023120000000000000000000</t>
  </si>
  <si>
    <t>000016497370000000000001002408</t>
  </si>
  <si>
    <t>003012480730001000000000000000</t>
  </si>
  <si>
    <t>000016529140000000000001002355</t>
  </si>
  <si>
    <t>063216075900000000000000000000</t>
  </si>
  <si>
    <t>003001331070001000000000000000</t>
  </si>
  <si>
    <t>084015164540000000000000000000</t>
  </si>
  <si>
    <t>000016544640000000000069613851</t>
  </si>
  <si>
    <t>066015956320000000000000000000</t>
  </si>
  <si>
    <t>000017820190000000000010104078</t>
  </si>
  <si>
    <t>083215143490000000000000000000</t>
  </si>
  <si>
    <t>083014908690000000000000000000</t>
  </si>
  <si>
    <t>003001285130001000000000000000</t>
  </si>
  <si>
    <t>000000695710000000000000000000</t>
  </si>
  <si>
    <t>083014861380000000000000000000</t>
  </si>
  <si>
    <t>003015255050001000000000000000</t>
  </si>
  <si>
    <t>000014160200000000000000000000</t>
  </si>
  <si>
    <t>000000661900001000000000000000</t>
  </si>
  <si>
    <t>006013328160001000000000000000</t>
  </si>
  <si>
    <t>000016537540000000000010105908</t>
  </si>
  <si>
    <t>000016533010000000000001008916</t>
  </si>
  <si>
    <t>000016498210000000000001004502</t>
  </si>
  <si>
    <t>003016717730000000000000000000</t>
  </si>
  <si>
    <t>000017820850000000000010203615</t>
  </si>
  <si>
    <t>000000429240001000000000000000</t>
  </si>
  <si>
    <t>004013430180000000000000000000</t>
  </si>
  <si>
    <t>003016872540001000000000000000</t>
  </si>
  <si>
    <t>000000441250001000000000000000</t>
  </si>
  <si>
    <t>004011736530001000000000000000</t>
  </si>
  <si>
    <t>000000711640001000000000000000</t>
  </si>
  <si>
    <t>083215193520000000000000000000</t>
  </si>
  <si>
    <t>083415063130000000000000000000</t>
  </si>
  <si>
    <t>000016528710000000000001001889</t>
  </si>
  <si>
    <t>003000447950000000000000000000</t>
  </si>
  <si>
    <t>003012654480001000000000000000</t>
  </si>
  <si>
    <t>000000508970010000000000000000</t>
  </si>
  <si>
    <t>003017631470001000000000000000</t>
  </si>
  <si>
    <t>003011397840001000000000000000</t>
  </si>
  <si>
    <t>063015937220000000000000000000</t>
  </si>
  <si>
    <t>083215002890000000000000000000</t>
  </si>
  <si>
    <t>003012235050001000000000000000</t>
  </si>
  <si>
    <t>000016548980000000000069619631</t>
  </si>
  <si>
    <t>003011747170000000000000000000</t>
  </si>
  <si>
    <t>003015657200000000000000000000</t>
  </si>
  <si>
    <t>000016530870000000000001005746</t>
  </si>
  <si>
    <t>003001293640001000000000000000</t>
  </si>
  <si>
    <t>003015551580001000000000000000</t>
  </si>
  <si>
    <t>000017820030000000000010047782</t>
  </si>
  <si>
    <t>000016542050000000000069600621</t>
  </si>
  <si>
    <t>003017254660001000000000000000</t>
  </si>
  <si>
    <t>084015162270000000000000000000</t>
  </si>
  <si>
    <t>006000821900001000000000000000</t>
  </si>
  <si>
    <t>000016515380000000000010102298</t>
  </si>
  <si>
    <t>000000410590001000000000000000</t>
  </si>
  <si>
    <t>063015895600000000000000000000</t>
  </si>
  <si>
    <t>003015261970001000000000000000</t>
  </si>
  <si>
    <t>003015500600000000000000000000</t>
  </si>
  <si>
    <t>003014297650001000000000000000</t>
  </si>
  <si>
    <t>003216565940000000000000000000</t>
  </si>
  <si>
    <t>003012621330001000000000000000</t>
  </si>
  <si>
    <t>003011588600001000000000000000</t>
  </si>
  <si>
    <t>065015965040000000000000000000</t>
  </si>
  <si>
    <t>000000699300001000000000000000</t>
  </si>
  <si>
    <t>003012662110000000000000000000</t>
  </si>
  <si>
    <t>084014763940000000000000000000</t>
  </si>
  <si>
    <t>084014916490000000000000000000</t>
  </si>
  <si>
    <t>083014888770000000000000000000</t>
  </si>
  <si>
    <t>000016504090000000000001011184</t>
  </si>
  <si>
    <t>000010636120001000000000000000</t>
  </si>
  <si>
    <t>063016086750000000000000000000</t>
  </si>
  <si>
    <t>003015630060001000000000000000</t>
  </si>
  <si>
    <t>000016516670000000000010127523</t>
  </si>
  <si>
    <t>003013122970001000000000000000</t>
  </si>
  <si>
    <t>000016497670000000000001002868</t>
  </si>
  <si>
    <t>000016526010000000000690221803</t>
  </si>
  <si>
    <t>003016863010001000000000000000</t>
  </si>
  <si>
    <t>000016516750000000000010127531</t>
  </si>
  <si>
    <t>000000641530002000000000000000</t>
  </si>
  <si>
    <t>003014476590001000000000000000</t>
  </si>
  <si>
    <t>000016502420000000000001010105</t>
  </si>
  <si>
    <t>003015809670001000000000000000</t>
  </si>
  <si>
    <t>003011554890000000000000000000</t>
  </si>
  <si>
    <t>000000214270001000000000000000</t>
  </si>
  <si>
    <t>006000813360000000000000000000</t>
  </si>
  <si>
    <t>000016545710000000000069615591</t>
  </si>
  <si>
    <t>000010540490001000000000000000</t>
  </si>
  <si>
    <t>003016413270001000000000000000</t>
  </si>
  <si>
    <t>083014867700000000000000000000</t>
  </si>
  <si>
    <t>000017821240000000000010204474</t>
  </si>
  <si>
    <t>000000659790000000000000000000</t>
  </si>
  <si>
    <t>000016523260000000000200010023</t>
  </si>
  <si>
    <t>003017360380000000000000000000</t>
  </si>
  <si>
    <t>513000104330001000000000000000</t>
  </si>
  <si>
    <t>003015781350001000000000000000</t>
  </si>
  <si>
    <t>005000952610000000000000000000</t>
  </si>
  <si>
    <t>000017036860000000000000000000</t>
  </si>
  <si>
    <t>005000644080000000000000000000</t>
  </si>
  <si>
    <t>083014851460000000000000000000</t>
  </si>
  <si>
    <t>000016500130000000000001007600</t>
  </si>
  <si>
    <t>003415390920000000000000000000</t>
  </si>
  <si>
    <t>083015202260000000000000000000</t>
  </si>
  <si>
    <t>003016326470001000000000000000</t>
  </si>
  <si>
    <t>003012584240001000000000000000</t>
  </si>
  <si>
    <t>003011684390001000000000000000</t>
  </si>
  <si>
    <t>063216065350000000000000000000</t>
  </si>
  <si>
    <t>003016277810001000000000000000</t>
  </si>
  <si>
    <t>065015937950000000000000000000</t>
  </si>
  <si>
    <t>005012504260001000000000000000</t>
  </si>
  <si>
    <t>000016518990000000000010148263</t>
  </si>
  <si>
    <t>003011153120001000000000000000</t>
  </si>
  <si>
    <t>003013065840001000000000000000</t>
  </si>
  <si>
    <t>086014720670000000000000000000</t>
  </si>
  <si>
    <t>003012149800001000000000000000</t>
  </si>
  <si>
    <t>000010663550000000000000000000</t>
  </si>
  <si>
    <t>000017822190000000000200005827</t>
  </si>
  <si>
    <t>084014888580000000000000000000</t>
  </si>
  <si>
    <t>000016517880000000000010137332</t>
  </si>
  <si>
    <t>000016541970000000000069600151</t>
  </si>
  <si>
    <t>000017821200000000000010204393</t>
  </si>
  <si>
    <t>000016514390000000000010050482</t>
  </si>
  <si>
    <t>000016503200000000000001010669</t>
  </si>
  <si>
    <t>513000003800001000000000000000</t>
  </si>
  <si>
    <t>003017424440000000000000000000</t>
  </si>
  <si>
    <t>006000870080000000000000000000</t>
  </si>
  <si>
    <t>003001252320001000000000000000</t>
  </si>
  <si>
    <t>000016540560000000000069015822</t>
  </si>
  <si>
    <t>003013918660000000000000000000</t>
  </si>
  <si>
    <t>000016529890000000000001003958</t>
  </si>
  <si>
    <t>003016197990001000000000000000</t>
  </si>
  <si>
    <t>000010011070003000000000000000</t>
  </si>
  <si>
    <t>083014826080000000000000000000</t>
  </si>
  <si>
    <t>003017040210001000000000000000</t>
  </si>
  <si>
    <t>083015198540000000000000000000</t>
  </si>
  <si>
    <t>003215266260001000000000000000</t>
  </si>
  <si>
    <t>000016546390000000000069616511</t>
  </si>
  <si>
    <t>000010887990000000000000000000</t>
  </si>
  <si>
    <t>000016534490000000000001011485</t>
  </si>
  <si>
    <t>000017820800000000000010203544</t>
  </si>
  <si>
    <t>003011710590000000000000000000</t>
  </si>
  <si>
    <t>003015731840001000000000000000</t>
  </si>
  <si>
    <t>000016511560000000000001015007</t>
  </si>
  <si>
    <t>003015462380001000000000000000</t>
  </si>
  <si>
    <t>003015469160001000000000000000</t>
  </si>
  <si>
    <t>000016522250000000000200005853</t>
  </si>
  <si>
    <t>003015337130001000000000000000</t>
  </si>
  <si>
    <t>084014918180000000000000000000</t>
  </si>
  <si>
    <t>000016529520000000000001002801</t>
  </si>
  <si>
    <t>084015599220001000000000000000</t>
  </si>
  <si>
    <t>083214973910000000000000000000</t>
  </si>
  <si>
    <t>000017425630000000000001018758</t>
  </si>
  <si>
    <t>000010385590026000000000000000</t>
  </si>
  <si>
    <t>000010748250001000000000000000</t>
  </si>
  <si>
    <t>003012217130001000000000000000</t>
  </si>
  <si>
    <t>000016543450000000000069610751</t>
  </si>
  <si>
    <t>513011393680001000000000000000</t>
  </si>
  <si>
    <t>003017251890001000000000000000</t>
  </si>
  <si>
    <t>084014949440000000000000000000</t>
  </si>
  <si>
    <t>003016857610001000000000000000</t>
  </si>
  <si>
    <t>083014952720000000000000000000</t>
  </si>
  <si>
    <t>001200031700000000000000000000</t>
  </si>
  <si>
    <t>003014494710001000000000000000</t>
  </si>
  <si>
    <t>000016522620000000000200007173</t>
  </si>
  <si>
    <t>000016500900000000000001008487</t>
  </si>
  <si>
    <t>003014402750000000000000000000</t>
  </si>
  <si>
    <t>513011201910000000000000000000</t>
  </si>
  <si>
    <t>006000790890000000000000000000</t>
  </si>
  <si>
    <t>003012912450001000000000000000</t>
  </si>
  <si>
    <t>000016540350000000000069013292</t>
  </si>
  <si>
    <t>000016531520000000000001006760</t>
  </si>
  <si>
    <t>000016538150000000000011036783</t>
  </si>
  <si>
    <t>003012361070001000000000000000</t>
  </si>
  <si>
    <t>083015092930000000000000000000</t>
  </si>
  <si>
    <t>000016528480000000000001001102</t>
  </si>
  <si>
    <t>003011647810001000000000000000</t>
  </si>
  <si>
    <t>000017036760000000000000000000</t>
  </si>
  <si>
    <t>003001292440001000000000000000</t>
  </si>
  <si>
    <t>003000366550000000000000000000</t>
  </si>
  <si>
    <t>003014683980001000000000000000</t>
  </si>
  <si>
    <t>003014659640001000000000000000</t>
  </si>
  <si>
    <t>000010483970000000000000000000</t>
  </si>
  <si>
    <t>063016116360000000000000000000</t>
  </si>
  <si>
    <t>083215188200000000000000000000</t>
  </si>
  <si>
    <t>004000978530001000000000000000</t>
  </si>
  <si>
    <t>064016043880000000000000000000</t>
  </si>
  <si>
    <t>003016648290001000000000000000</t>
  </si>
  <si>
    <t>084014759090001000000000000000</t>
  </si>
  <si>
    <t>084014749690000000000000000000</t>
  </si>
  <si>
    <t>000016549210000000000069619901</t>
  </si>
  <si>
    <t>003016223810001000000000000000</t>
  </si>
  <si>
    <t>063015889880000000000000000000</t>
  </si>
  <si>
    <t>003017254520000000000000000000</t>
  </si>
  <si>
    <t>003012147490001000000000000000</t>
  </si>
  <si>
    <t>003017766830001000000000000000</t>
  </si>
  <si>
    <t>003016754280001000000000000000</t>
  </si>
  <si>
    <t>003015546410000000000000000000</t>
  </si>
  <si>
    <t>064016043130000000000000000000</t>
  </si>
  <si>
    <t>003001159390001000000000000000</t>
  </si>
  <si>
    <t>003011885370001000000000000000</t>
  </si>
  <si>
    <t>003012702440001000000000000000</t>
  </si>
  <si>
    <t>003011591270001000000000000000</t>
  </si>
  <si>
    <t>000016497800000000000001002947</t>
  </si>
  <si>
    <t>000016536880000000000010090952</t>
  </si>
  <si>
    <t>003013155820001000000000000000</t>
  </si>
  <si>
    <t>003012226140001000000000000000</t>
  </si>
  <si>
    <t>000017821910000000000010205562</t>
  </si>
  <si>
    <t>000016498970000000000001006190</t>
  </si>
  <si>
    <t>000010814020001000000000000000</t>
  </si>
  <si>
    <t>084014931780000000000000000000</t>
  </si>
  <si>
    <t>000016541600000000000069023801</t>
  </si>
  <si>
    <t>000016500580000000000001008076</t>
  </si>
  <si>
    <t>000000183830002000000000000000</t>
  </si>
  <si>
    <t>003013859880001000000000000000</t>
  </si>
  <si>
    <t>085014879190000000000000000000</t>
  </si>
  <si>
    <t>083214917150000000000000000000</t>
  </si>
  <si>
    <t>000010870260001000000000000000</t>
  </si>
  <si>
    <t>000016505250000000000001011773</t>
  </si>
  <si>
    <t>000016522730000000000200007840</t>
  </si>
  <si>
    <t>003017650040001000000000000000</t>
  </si>
  <si>
    <t>063216045160000000000000000000</t>
  </si>
  <si>
    <t>003015289610001000000000000000</t>
  </si>
  <si>
    <t>003217605960000000000000000000</t>
  </si>
  <si>
    <t>003016409200001000000000000000</t>
  </si>
  <si>
    <t>003015706830000000000000000000</t>
  </si>
  <si>
    <t>000017822080000000000061166692</t>
  </si>
  <si>
    <t>000016502050000000000001009735</t>
  </si>
  <si>
    <t>000010377410002000000000000000</t>
  </si>
  <si>
    <t>000016530640000000000001005270</t>
  </si>
  <si>
    <t>000016547960000000000069618431</t>
  </si>
  <si>
    <t>003017358960001000000000000000</t>
  </si>
  <si>
    <t>000016522340000000000200006073</t>
  </si>
  <si>
    <t>003014408420001000000000000000</t>
  </si>
  <si>
    <t>003013182530000000000000000000</t>
  </si>
  <si>
    <t>003014254340000000000000000000</t>
  </si>
  <si>
    <t>000016505620000000000001011983</t>
  </si>
  <si>
    <t>003012294660001000000000000000</t>
  </si>
  <si>
    <t>003012449750000000000000000000</t>
  </si>
  <si>
    <t>083014897330001000000000000000</t>
  </si>
  <si>
    <t>084014922240000000000000000000</t>
  </si>
  <si>
    <t>000000036380004000000000000000</t>
  </si>
  <si>
    <t>006000724290000000000000000000</t>
  </si>
  <si>
    <t>003012927180001000000000000000</t>
  </si>
  <si>
    <t>000016504800000000000001011560</t>
  </si>
  <si>
    <t>003000921990000000000000000000</t>
  </si>
  <si>
    <t>000016537180000000000010102081</t>
  </si>
  <si>
    <t>083015175500000000000000000000</t>
  </si>
  <si>
    <t>003017199270001000000000000000</t>
  </si>
  <si>
    <t>000016552840000000000200006535</t>
  </si>
  <si>
    <t>000016530100000000000001004390</t>
  </si>
  <si>
    <t>064016055780000000000000000000</t>
  </si>
  <si>
    <t>000000395950001000000000000000</t>
  </si>
  <si>
    <t>003016765920001000000000000000</t>
  </si>
  <si>
    <t>003011162340000000000000000000</t>
  </si>
  <si>
    <t>003011575930001000000000000000</t>
  </si>
  <si>
    <t>000010114110001000000000000000</t>
  </si>
  <si>
    <t>000017820160000000000010100549</t>
  </si>
  <si>
    <t>003011587670001000000000000000</t>
  </si>
  <si>
    <t>003017426630001000000000000000</t>
  </si>
  <si>
    <t>005001062370000000000000000000</t>
  </si>
  <si>
    <t>000016532700000000000001008587</t>
  </si>
  <si>
    <t>000016528430000000000001000889</t>
  </si>
  <si>
    <t>000016510850000000000001014569</t>
  </si>
  <si>
    <t>000000509650008000000000000000</t>
  </si>
  <si>
    <t>009112855390043000000000000000</t>
  </si>
  <si>
    <t>063016119620000000000000000000</t>
  </si>
  <si>
    <t>000016530890000000000001005787</t>
  </si>
  <si>
    <t>003017007160001000000000000000</t>
  </si>
  <si>
    <t>000016501360000000000001008853</t>
  </si>
  <si>
    <t>003015784080000000000000000000</t>
  </si>
  <si>
    <t>003012329860000000000000000000</t>
  </si>
  <si>
    <t>003012110420001000000000000000</t>
  </si>
  <si>
    <t>000017821460000000000010204688</t>
  </si>
  <si>
    <t>003013007070001000000000000000</t>
  </si>
  <si>
    <t>000016499800000000000001007159</t>
  </si>
  <si>
    <t>003013332390001000000000000000</t>
  </si>
  <si>
    <t>513400096010001000000000000000</t>
  </si>
  <si>
    <t>003012854080001000000000000000</t>
  </si>
  <si>
    <t>003411996980001000000000000000</t>
  </si>
  <si>
    <t>083214917180000000000000000000</t>
  </si>
  <si>
    <t>084014790460000000000000000000</t>
  </si>
  <si>
    <t>003011451850001000000000000000</t>
  </si>
  <si>
    <t>003016418080000000000000000000</t>
  </si>
  <si>
    <t>003015666950001000000000000000</t>
  </si>
  <si>
    <t>064016061480000000000000000000</t>
  </si>
  <si>
    <t>000016522570000000000200006754</t>
  </si>
  <si>
    <t>003016326910001000000000000000</t>
  </si>
  <si>
    <t>000010365350000000000000000000</t>
  </si>
  <si>
    <t>000016552920000000000200006891</t>
  </si>
  <si>
    <t>003016279650001000000000000000</t>
  </si>
  <si>
    <t>000016523050000000000200009166</t>
  </si>
  <si>
    <t>000016548280000000000069618811</t>
  </si>
  <si>
    <t>000017093190000000000000000000</t>
  </si>
  <si>
    <t>003015675440001000000000000000</t>
  </si>
  <si>
    <t>003015794940000000000000000000</t>
  </si>
  <si>
    <t>003012785750001000000000000000</t>
  </si>
  <si>
    <t>003013235110001000000000000000</t>
  </si>
  <si>
    <t>009112503350135000000000000000</t>
  </si>
  <si>
    <t>083015212670000000000000000000</t>
  </si>
  <si>
    <t>063016095610000000000000000000</t>
  </si>
  <si>
    <t>000017820760000000000010203433</t>
  </si>
  <si>
    <t>000016533370000000000001009244</t>
  </si>
  <si>
    <t>000000412120001000000000000000</t>
  </si>
  <si>
    <t>083014792670000000000000000000</t>
  </si>
  <si>
    <t>003214463100000000000000000000</t>
  </si>
  <si>
    <t>083014736760000000000000000000</t>
  </si>
  <si>
    <t>000016537970000000000010128022</t>
  </si>
  <si>
    <t>084014756920000000000000000000</t>
  </si>
  <si>
    <t>003012889020000000000000000000</t>
  </si>
  <si>
    <t>005000688740000000000000000000</t>
  </si>
  <si>
    <t>084014965860000000000000000000</t>
  </si>
  <si>
    <t>009017220360000000000000000000</t>
  </si>
  <si>
    <t>083215020890000000000000000000</t>
  </si>
  <si>
    <t>063015950860000000000000000000</t>
  </si>
  <si>
    <t>000016498160000000000001004363</t>
  </si>
  <si>
    <t>000016535680000000000010050852</t>
  </si>
  <si>
    <t>005000610750000000000000000000</t>
  </si>
  <si>
    <t>003001310830001000000000000000</t>
  </si>
  <si>
    <t>000016512510000000000001015537</t>
  </si>
  <si>
    <t>003016435980001000000000000000</t>
  </si>
  <si>
    <t>006012982130001000000000000000</t>
  </si>
  <si>
    <t>083214892630000000000000000000</t>
  </si>
  <si>
    <t>003015820390001000000000000000</t>
  </si>
  <si>
    <t>000000703580001000000000000000</t>
  </si>
  <si>
    <t>003014690840001000000000000000</t>
  </si>
  <si>
    <t>083414814860000000000000000000</t>
  </si>
  <si>
    <t>000000407590001000000000000000</t>
  </si>
  <si>
    <t>003015690390000000000000000000</t>
  </si>
  <si>
    <t>000016540480000000000069015382</t>
  </si>
  <si>
    <t>006000828720000000000000000000</t>
  </si>
  <si>
    <t>000016529670000000000001002931</t>
  </si>
  <si>
    <t>004012685100001000000000000000</t>
  </si>
  <si>
    <t>064016140290000000000000000000</t>
  </si>
  <si>
    <t>004016435730000000000000000000</t>
  </si>
  <si>
    <t>003012431390000000000000000000</t>
  </si>
  <si>
    <t>003013611330001000000000000000</t>
  </si>
  <si>
    <t>003016946590001000000000000000</t>
  </si>
  <si>
    <t>083015129300000000000000000000</t>
  </si>
  <si>
    <t>003015592060001000000000000000</t>
  </si>
  <si>
    <t>003017509900001000000000000000</t>
  </si>
  <si>
    <t>005000654390000000000000000000</t>
  </si>
  <si>
    <t>000000410130000000000000000000</t>
  </si>
  <si>
    <t>000016515860000000000010115872</t>
  </si>
  <si>
    <t>003016940030001000000000000000</t>
  </si>
  <si>
    <t>005017167800001000000000000000</t>
  </si>
  <si>
    <t>000000403160001000000000000000</t>
  </si>
  <si>
    <t>064016099990000000000000000000</t>
  </si>
  <si>
    <t>083014892900000000000000000000</t>
  </si>
  <si>
    <t>000000548080002000000000000000</t>
  </si>
  <si>
    <t>004013287310001000000000000000</t>
  </si>
  <si>
    <t>000017037500000000000000000000</t>
  </si>
  <si>
    <t>064015968760000000000000000000</t>
  </si>
  <si>
    <t>003015430980000000000000000000</t>
  </si>
  <si>
    <t>083214994800000000000000000000</t>
  </si>
  <si>
    <t>000017038110000000000000000000</t>
  </si>
  <si>
    <t>063216058230000000000000000000</t>
  </si>
  <si>
    <t>000010133080001000000000000000</t>
  </si>
  <si>
    <t>003414348140000000000000000000</t>
  </si>
  <si>
    <t>003015645970000000000000000000</t>
  </si>
  <si>
    <t>084015131500000000000000000000</t>
  </si>
  <si>
    <t>003016326610001000000000000000</t>
  </si>
  <si>
    <t>000017821720000000000010205220</t>
  </si>
  <si>
    <t>000016541330000000000069021221</t>
  </si>
  <si>
    <t>000000743400001000000000000000</t>
  </si>
  <si>
    <t>000016523400000000000200011441</t>
  </si>
  <si>
    <t>084014848630000000000000000000</t>
  </si>
  <si>
    <t>003017423040001000000000000000</t>
  </si>
  <si>
    <t>005000592900000000000000000000</t>
  </si>
  <si>
    <t>005012816490001000000000000000</t>
  </si>
  <si>
    <t>003012340690001000000000000000</t>
  </si>
  <si>
    <t>000017038220000000000000000000</t>
  </si>
  <si>
    <t>000016519530000000000010152672</t>
  </si>
  <si>
    <t>003016642120001000000000000000</t>
  </si>
  <si>
    <t>003016894440001000000000000000</t>
  </si>
  <si>
    <t>003012681140000000000000000000</t>
  </si>
  <si>
    <t>083215174100000000000000000000</t>
  </si>
  <si>
    <t>003015460580001000000000000000</t>
  </si>
  <si>
    <t>003016195310001000000000000000</t>
  </si>
  <si>
    <t>083214798810000000000000000000</t>
  </si>
  <si>
    <t>003017293640001000000000000000</t>
  </si>
  <si>
    <t>083014906440000000000000000000</t>
  </si>
  <si>
    <t>003016685050001000000000000000</t>
  </si>
  <si>
    <t>003012995600000000000000000000</t>
  </si>
  <si>
    <t>513000135450000000000000000000</t>
  </si>
  <si>
    <t>000014151080000000000000000000</t>
  </si>
  <si>
    <t>003015406690001000000000000000</t>
  </si>
  <si>
    <t>000017820390000000000010202503</t>
  </si>
  <si>
    <t>000016497240000000000001002150</t>
  </si>
  <si>
    <t>063015936670000000000000000000</t>
  </si>
  <si>
    <t>000010725200000000000000000000</t>
  </si>
  <si>
    <t>000016522280000000000200005897</t>
  </si>
  <si>
    <t>003001196280001000000000000000</t>
  </si>
  <si>
    <t>004001186740000000000000000000</t>
  </si>
  <si>
    <t>065015967040000000000000000000</t>
  </si>
  <si>
    <t>000010646430001000000000000000</t>
  </si>
  <si>
    <t>003015427350000000000000000000</t>
  </si>
  <si>
    <t>083215026280000000000000000000</t>
  </si>
  <si>
    <t>000017036810000000000000000000</t>
  </si>
  <si>
    <t>000016843400001000000000000000</t>
  </si>
  <si>
    <t>003012005190001000000000000000</t>
  </si>
  <si>
    <t>083014971980000000000000000000</t>
  </si>
  <si>
    <t>065015951770001000000000000000</t>
  </si>
  <si>
    <t>513000135080001000000000000000</t>
  </si>
  <si>
    <t>001815564120001000000000000000</t>
  </si>
  <si>
    <t>005000597150000000000000000000</t>
  </si>
  <si>
    <t>000017031100000000000000000000</t>
  </si>
  <si>
    <t>003015385900001000000000000000</t>
  </si>
  <si>
    <t>000000764230001000000000000000</t>
  </si>
  <si>
    <t>000016502430000000000001010107</t>
  </si>
  <si>
    <t>083015114320000000000000000000</t>
  </si>
  <si>
    <t>086014741500000000000000000000</t>
  </si>
  <si>
    <t>086014742710001000000000000000</t>
  </si>
  <si>
    <t>000000699480000000000000000000</t>
  </si>
  <si>
    <t>003014574510001000000000000000</t>
  </si>
  <si>
    <t>000017821080000000000010204113</t>
  </si>
  <si>
    <t>084014730590000000000000000000</t>
  </si>
  <si>
    <t>000016535270000000000010038392</t>
  </si>
  <si>
    <t>000010159060002000000000000000</t>
  </si>
  <si>
    <t>000010342150000000000000000000</t>
  </si>
  <si>
    <t>064015879310000000000000000000</t>
  </si>
  <si>
    <t>514015390800000000000000000000</t>
  </si>
  <si>
    <t>005000648930000000000000000000</t>
  </si>
  <si>
    <t>000011669920001000000000000000</t>
  </si>
  <si>
    <t>003016222950001000000000000000</t>
  </si>
  <si>
    <t>003411920610001000000000000000</t>
  </si>
  <si>
    <t>063016056700000000000000000000</t>
  </si>
  <si>
    <t>003016364120000000000000000000</t>
  </si>
  <si>
    <t>003016792080001000000000000000</t>
  </si>
  <si>
    <t>003011251450001000000000000000</t>
  </si>
  <si>
    <t>000016538260000000000061014421</t>
  </si>
  <si>
    <t>000016536850000000000010090383</t>
  </si>
  <si>
    <t>003011831920000000000000000000</t>
  </si>
  <si>
    <t>000017821800000000000010205352</t>
  </si>
  <si>
    <t>513011120030000000000000000000</t>
  </si>
  <si>
    <t>000016176510000000000000000000</t>
  </si>
  <si>
    <t>003001292930001000000000000000</t>
  </si>
  <si>
    <t>000016499160000000000001006340</t>
  </si>
  <si>
    <t>086014871980000000000000000000</t>
  </si>
  <si>
    <t>084015131510000000000000000000</t>
  </si>
  <si>
    <t>003014298800001000000000000000</t>
  </si>
  <si>
    <t>003001250000001000000000000000</t>
  </si>
  <si>
    <t>003016627640001000000000000000</t>
  </si>
  <si>
    <t>000016514200000000000010043962</t>
  </si>
  <si>
    <t>000016504480000000000001011420</t>
  </si>
  <si>
    <t>000016518410000000000010141462</t>
  </si>
  <si>
    <t>000016521870000000000069022511</t>
  </si>
  <si>
    <t>003016307780001000000000000000</t>
  </si>
  <si>
    <t>003015557720000000000000000000</t>
  </si>
  <si>
    <t>003015378410000000000000000000</t>
  </si>
  <si>
    <t>063016110280000000000000000000</t>
  </si>
  <si>
    <t>004013261240001000000000000000</t>
  </si>
  <si>
    <t>003015753790000000000000000000</t>
  </si>
  <si>
    <t>000000621410000000000000000000</t>
  </si>
  <si>
    <t>003216697010000000000000000000</t>
  </si>
  <si>
    <t>003016592570001000000000000000</t>
  </si>
  <si>
    <t>000017042010000000000000000000</t>
  </si>
  <si>
    <t>003012787750000000000000000000</t>
  </si>
  <si>
    <t>003215283470000000000000000000</t>
  </si>
  <si>
    <t>003012622720001000000000000000</t>
  </si>
  <si>
    <t>000000773160001000000000000000</t>
  </si>
  <si>
    <t>004016835640001000000000000000</t>
  </si>
  <si>
    <t>003015247120001000000000000000</t>
  </si>
  <si>
    <t>000010377390001000000000000000</t>
  </si>
  <si>
    <t>000016529720000000000001002977</t>
  </si>
  <si>
    <t>003214706700000000000000000000</t>
  </si>
  <si>
    <t>000017821190000000000010204370</t>
  </si>
  <si>
    <t>000010376690001000000000000000</t>
  </si>
  <si>
    <t>000016507000000000000001012714</t>
  </si>
  <si>
    <t>000000468360000000000000000000</t>
  </si>
  <si>
    <t>000016518040000000000010138982</t>
  </si>
  <si>
    <t>003015238370001000000000000000</t>
  </si>
  <si>
    <t>003016358250001000000000000000</t>
  </si>
  <si>
    <t>000016506610000000000001012492</t>
  </si>
  <si>
    <t>000010795240001000000000000000</t>
  </si>
  <si>
    <t>063016116490000000000000000000</t>
  </si>
  <si>
    <t>000016522640000000000200007522</t>
  </si>
  <si>
    <t>063016071660001000000000000000</t>
  </si>
  <si>
    <t>000016553750000000000200010667</t>
  </si>
  <si>
    <t>003014697870001000000000000000</t>
  </si>
  <si>
    <t>000016497840000000000001003020</t>
  </si>
  <si>
    <t>000016503890000000000001011082</t>
  </si>
  <si>
    <t>063016118700000000000000000000</t>
  </si>
  <si>
    <t>000016547040000000000069617321</t>
  </si>
  <si>
    <t>000014144220000000000000000000</t>
  </si>
  <si>
    <t>003014233140000000000000000000</t>
  </si>
  <si>
    <t>003014456160001000000000000000</t>
  </si>
  <si>
    <t>064016036140000000000000000000</t>
  </si>
  <si>
    <t>009112698420008000000000000000</t>
  </si>
  <si>
    <t>003012970570001000000000000000</t>
  </si>
  <si>
    <t>513000017980000000000000000000</t>
  </si>
  <si>
    <t>003013635160001000000000000000</t>
  </si>
  <si>
    <t>000016514210000000000010044342</t>
  </si>
  <si>
    <t>003014019990001000000000000000</t>
  </si>
  <si>
    <t>005000663760000000000000000000</t>
  </si>
  <si>
    <t>003016216150001000000000000000</t>
  </si>
  <si>
    <t>003012605100001000000000000000</t>
  </si>
  <si>
    <t>003016484080001000000000000000</t>
  </si>
  <si>
    <t>084014967720000000000000000000</t>
  </si>
  <si>
    <t>000010539320001000000000000000</t>
  </si>
  <si>
    <t>083015011340000000000000000000</t>
  </si>
  <si>
    <t>000016593930000000000001016713</t>
  </si>
  <si>
    <t>000010710550001000000000000000</t>
  </si>
  <si>
    <t>006000818470000000000000000000</t>
  </si>
  <si>
    <t>063216071310000000000000000000</t>
  </si>
  <si>
    <t>003015375750000000000000000000</t>
  </si>
  <si>
    <t>064015948470000000000000000000</t>
  </si>
  <si>
    <t>003012966360000000000000000000</t>
  </si>
  <si>
    <t>009016731760000000000000000000</t>
  </si>
  <si>
    <t>000017819680000000000001003915</t>
  </si>
  <si>
    <t>005000669530000000000000000000</t>
  </si>
  <si>
    <t>000016506550000000000001012457</t>
  </si>
  <si>
    <t>003013944290000000000000000000</t>
  </si>
  <si>
    <t>000016516980000000000010129043</t>
  </si>
  <si>
    <t>000016515040000000000010085723</t>
  </si>
  <si>
    <t>003011870810000000000000000000</t>
  </si>
  <si>
    <t>084014739920000000000000000000</t>
  </si>
  <si>
    <t>003015375320001000000000000000</t>
  </si>
  <si>
    <t>000010805150000000000000000000</t>
  </si>
  <si>
    <t>084014928600000000000000000000</t>
  </si>
  <si>
    <t>000010591130000000000000000000</t>
  </si>
  <si>
    <t>005000601870001000000000000000</t>
  </si>
  <si>
    <t>003000227930000000000000000000</t>
  </si>
  <si>
    <t>000017093380000000000000000000</t>
  </si>
  <si>
    <t>003016617480001000000000000000</t>
  </si>
  <si>
    <t>003000963620001000000000000000</t>
  </si>
  <si>
    <t>000000409120001000000000000000</t>
  </si>
  <si>
    <t>000000707290000000000000000000</t>
  </si>
  <si>
    <t>003016287040001000000000000000</t>
  </si>
  <si>
    <t>000014160560000000000000000000</t>
  </si>
  <si>
    <t>003011661370001000000000000000</t>
  </si>
  <si>
    <t>000016757880000000000000000000</t>
  </si>
  <si>
    <t>000016502290000000000001009998</t>
  </si>
  <si>
    <t>003013059300001000000000000000</t>
  </si>
  <si>
    <t>000016533310000000000001009207</t>
  </si>
  <si>
    <t>083014978500000000000000000000</t>
  </si>
  <si>
    <t>063015894670000000000000000000</t>
  </si>
  <si>
    <t>000017821930000000000010206044</t>
  </si>
  <si>
    <t>003012094830001000000000000000</t>
  </si>
  <si>
    <t>003014546400001000000000000000</t>
  </si>
  <si>
    <t>003016614490000000000000000000</t>
  </si>
  <si>
    <t>006001262800001000000000000000</t>
  </si>
  <si>
    <t>000000660490000000000000000000</t>
  </si>
  <si>
    <t>083014979930000000000000000000</t>
  </si>
  <si>
    <t>003014298780001000000000000000</t>
  </si>
  <si>
    <t>004016240240001000000000000000</t>
  </si>
  <si>
    <t>513011394760001000000000000000</t>
  </si>
  <si>
    <t>084014795780000000000000000000</t>
  </si>
  <si>
    <t>003000286410001000000000000000</t>
  </si>
  <si>
    <t>083414803060001000000000000000</t>
  </si>
  <si>
    <t>003011363310000000000000000000</t>
  </si>
  <si>
    <t>003015846590001000000000000000</t>
  </si>
  <si>
    <t>003400513950001000000000000000</t>
  </si>
  <si>
    <t>000017819800000000000001007121</t>
  </si>
  <si>
    <t>003016936670001000000000000000</t>
  </si>
  <si>
    <t>083015099320000000000000000000</t>
  </si>
  <si>
    <t>000000511570001000000000000000</t>
  </si>
  <si>
    <t>000016528880000000000001002091</t>
  </si>
  <si>
    <t>003012450240001000000000000000</t>
  </si>
  <si>
    <t>083215020900000000000000000000</t>
  </si>
  <si>
    <t>003000942250000000000000000000</t>
  </si>
  <si>
    <t>084015085360000000000000000000</t>
  </si>
  <si>
    <t>000017102610000000000010014171</t>
  </si>
  <si>
    <t>009111535020015000000000000000</t>
  </si>
  <si>
    <t>003015630050000000000000000000</t>
  </si>
  <si>
    <t>000017820340000000000010202363</t>
  </si>
  <si>
    <t>000016535580000000000010048932</t>
  </si>
  <si>
    <t>006000869680000000000000000000</t>
  </si>
  <si>
    <t>003016748340001000000000000000</t>
  </si>
  <si>
    <t>000016508110000000000001013269</t>
  </si>
  <si>
    <t>000016500340000000000001007907</t>
  </si>
  <si>
    <t>003016924450001000000000000000</t>
  </si>
  <si>
    <t>003016786800001000000000000000</t>
  </si>
  <si>
    <t>003014522880000000000000000000</t>
  </si>
  <si>
    <t>003015719800001000000000000000</t>
  </si>
  <si>
    <t>000016541940000000000069500261</t>
  </si>
  <si>
    <t>003012899780001000000000000000</t>
  </si>
  <si>
    <t>003014185560001000000000000000</t>
  </si>
  <si>
    <t>003013021480000000000000000000</t>
  </si>
  <si>
    <t>003016566660000000000000000000</t>
  </si>
  <si>
    <t>084014789680000000000000000000</t>
  </si>
  <si>
    <t>000010663540002000000000000000</t>
  </si>
  <si>
    <t>083014969370000000000000000000</t>
  </si>
  <si>
    <t>003017551260001000000000000000</t>
  </si>
  <si>
    <t>003011675080000000000000000000</t>
  </si>
  <si>
    <t>000016499710000000000001007069</t>
  </si>
  <si>
    <t>003016725280001000000000000000</t>
  </si>
  <si>
    <t>000017819990000000000010032543</t>
  </si>
  <si>
    <t>084014948180000000000000000000</t>
  </si>
  <si>
    <t>000017820890000000000010203660</t>
  </si>
  <si>
    <t>084015184440000000000000000000</t>
  </si>
  <si>
    <t>083014970900000000000000000000</t>
  </si>
  <si>
    <t>000016497250000000000001002164</t>
  </si>
  <si>
    <t>004015621650000000000000000000</t>
  </si>
  <si>
    <t>000016541390000000000069021662</t>
  </si>
  <si>
    <t>083015151550000000000000000000</t>
  </si>
  <si>
    <t>000016515020000000000010085721</t>
  </si>
  <si>
    <t>003015706120000000000000000000</t>
  </si>
  <si>
    <t>003014613250001000000000000000</t>
  </si>
  <si>
    <t>009016718860000000000000000000</t>
  </si>
  <si>
    <t>000000409210001000000000000000</t>
  </si>
  <si>
    <t>004001063290001000000000000000</t>
  </si>
  <si>
    <t>083015055330000000000000000000</t>
  </si>
  <si>
    <t>003217068990000000000000000000</t>
  </si>
  <si>
    <t>003012326920001000000000000000</t>
  </si>
  <si>
    <t>003010912780001000000000000000</t>
  </si>
  <si>
    <t>063015919340000000000000000000</t>
  </si>
  <si>
    <t>005011264720001000000000000000</t>
  </si>
  <si>
    <t>513000049810001000000000000000</t>
  </si>
  <si>
    <t>003013406570000000000000000000</t>
  </si>
  <si>
    <t>003016601050001000000000000000</t>
  </si>
  <si>
    <t>003012549320001000000000000000</t>
  </si>
  <si>
    <t>083014738400000000000000000000</t>
  </si>
  <si>
    <t>063216090390000000000000000000</t>
  </si>
  <si>
    <t>000016537830000000000010120853</t>
  </si>
  <si>
    <t>000010506620001000000000000000</t>
  </si>
  <si>
    <t>005012844370001000000000000000</t>
  </si>
  <si>
    <t>005000669760000000000000000000</t>
  </si>
  <si>
    <t>000010806820001000000000000000</t>
  </si>
  <si>
    <t>004016474570000000000000000000</t>
  </si>
  <si>
    <t>003017493310001000000000000000</t>
  </si>
  <si>
    <t>000016845180000000000000000000</t>
  </si>
  <si>
    <t>000017820270000000000010201226</t>
  </si>
  <si>
    <t>004001081380000000000000000000</t>
  </si>
  <si>
    <t>009016279570019000000000000000</t>
  </si>
  <si>
    <t>003017385300000000000000000000</t>
  </si>
  <si>
    <t>063015916600000000000000000000</t>
  </si>
  <si>
    <t>000016501890000000000001009473</t>
  </si>
  <si>
    <t>000017821700000000000010205135</t>
  </si>
  <si>
    <t>000016515550000000000010106266</t>
  </si>
  <si>
    <t>000010578580000000000000000000</t>
  </si>
  <si>
    <t>003215844220001000000000000000</t>
  </si>
  <si>
    <t>084015153410000000000000000000</t>
  </si>
  <si>
    <t>000016502080000000000001009774</t>
  </si>
  <si>
    <t>003013445630001000000000000000</t>
  </si>
  <si>
    <t>083015065610000000000000000000</t>
  </si>
  <si>
    <t>003014456040000000000000000000</t>
  </si>
  <si>
    <t>003014229880000000000000000000</t>
  </si>
  <si>
    <t>003017136070001000000000000000</t>
  </si>
  <si>
    <t>003016919970000000000000000000</t>
  </si>
  <si>
    <t>000016503530000000000001010830</t>
  </si>
  <si>
    <t>000000552530000000000000000000</t>
  </si>
  <si>
    <t>003000416030000000000000000000</t>
  </si>
  <si>
    <t>083015174170000000000000000000</t>
  </si>
  <si>
    <t>063015932640000000000000000000</t>
  </si>
  <si>
    <t>000010085920000000000000000000</t>
  </si>
  <si>
    <t>000000704950001000000000000000</t>
  </si>
  <si>
    <t>000016537790000000000010112581</t>
  </si>
  <si>
    <t>003012355710000000000000000000</t>
  </si>
  <si>
    <t>003014125850001000000000000000</t>
  </si>
  <si>
    <t>000017043270000000000000000000</t>
  </si>
  <si>
    <t>003013053680001000000000000000</t>
  </si>
  <si>
    <t>004000541130000000000000000000</t>
  </si>
  <si>
    <t>000017821870000000000010205483</t>
  </si>
  <si>
    <t>063016076760000000000000000000</t>
  </si>
  <si>
    <t>003014550570000000000000000000</t>
  </si>
  <si>
    <t>003015430300001000000000000000</t>
  </si>
  <si>
    <t>000016529020000000000001002234</t>
  </si>
  <si>
    <t>000016540390000000000069014671</t>
  </si>
  <si>
    <t>063016001100000000000000000000</t>
  </si>
  <si>
    <t>003016746300001000000000000000</t>
  </si>
  <si>
    <t>000016531890000000000001007388</t>
  </si>
  <si>
    <t>000016543560000000000069611022</t>
  </si>
  <si>
    <t>000017036440000000000000000000</t>
  </si>
  <si>
    <t>084014860170000000000000000000</t>
  </si>
  <si>
    <t>003011843620001000000000000000</t>
  </si>
  <si>
    <t>006015616830000000000000000000</t>
  </si>
  <si>
    <t>084014879280000000000000000000</t>
  </si>
  <si>
    <t>000016498910000000000001006095</t>
  </si>
  <si>
    <t>000016501630000000000001009065</t>
  </si>
  <si>
    <t>000016496960000000000001001371</t>
  </si>
  <si>
    <t>000000415630000000000000000000</t>
  </si>
  <si>
    <t>003017449460001000000000000000</t>
  </si>
  <si>
    <t>003011951360000000000000000000</t>
  </si>
  <si>
    <t>003017351890001000000000000000</t>
  </si>
  <si>
    <t>000017821320000000000010204539</t>
  </si>
  <si>
    <t>084014979210000000000000000000</t>
  </si>
  <si>
    <t>008000891780001000000000000000</t>
  </si>
  <si>
    <t>083014978090001000000000000000</t>
  </si>
  <si>
    <t>000016522350000000000200006084</t>
  </si>
  <si>
    <t>003015491690000000000000000000</t>
  </si>
  <si>
    <t>000000722270001000000000000000</t>
  </si>
  <si>
    <t>003012587800001000000000000000</t>
  </si>
  <si>
    <t>003012458490001000000000000000</t>
  </si>
  <si>
    <t>003014014830001000000000000000</t>
  </si>
  <si>
    <t>000016497680000000000001002871</t>
  </si>
  <si>
    <t>084015141680000000000000000000</t>
  </si>
  <si>
    <t>083215199460000000000000000000</t>
  </si>
  <si>
    <t>000016867550000000000001017397</t>
  </si>
  <si>
    <t>009016648150000000000000000000</t>
  </si>
  <si>
    <t>000016531840000000000001007329</t>
  </si>
  <si>
    <t>003015598870001000000000000000</t>
  </si>
  <si>
    <t>063016111250000000000000000000</t>
  </si>
  <si>
    <t>003013141240000000000000000000</t>
  </si>
  <si>
    <t>083014908010000000000000000000</t>
  </si>
  <si>
    <t>000016529370000000000001002583</t>
  </si>
  <si>
    <t>083015121170000000000000000000</t>
  </si>
  <si>
    <t>003012748230001000000000000000</t>
  </si>
  <si>
    <t>063015978010000000000000000000</t>
  </si>
  <si>
    <t>004015614830000000000000000000</t>
  </si>
  <si>
    <t>513000138590001000000000000000</t>
  </si>
  <si>
    <t>000016508880000000000001013652</t>
  </si>
  <si>
    <t>000000059250001000000000000000</t>
  </si>
  <si>
    <t>003216816000001000000000000000</t>
  </si>
  <si>
    <t>083015103320000000000000000000</t>
  </si>
  <si>
    <t>003016877870000000000000000000</t>
  </si>
  <si>
    <t>003000418510000000000000000000</t>
  </si>
  <si>
    <t>000017820180000000000010100551</t>
  </si>
  <si>
    <t>003012834240001000000000000000</t>
  </si>
  <si>
    <t>004013788130001000000000000000</t>
  </si>
  <si>
    <t>006000798640001000000000000000</t>
  </si>
  <si>
    <t>000013470650001000000000000000</t>
  </si>
  <si>
    <t>003016465300001000000000000000</t>
  </si>
  <si>
    <t>003216696670000000000000000000</t>
  </si>
  <si>
    <t>006000822830000000000000000000</t>
  </si>
  <si>
    <t>063216058240000000000000000000</t>
  </si>
  <si>
    <t>083015018390000000000000000000</t>
  </si>
  <si>
    <t>000000709320001000000000000000</t>
  </si>
  <si>
    <t>084015012730000000000000000000</t>
  </si>
  <si>
    <t>000000293920001000000000000000</t>
  </si>
  <si>
    <t>000010812750000000000000000000</t>
  </si>
  <si>
    <t>000016499960000000000001007349</t>
  </si>
  <si>
    <t>003016437650000000000000000000</t>
  </si>
  <si>
    <t>000016530650000000000001005278</t>
  </si>
  <si>
    <t>006000860250000000000000000000</t>
  </si>
  <si>
    <t>003012971190001000000000000000</t>
  </si>
  <si>
    <t>003412534610000000000000000000</t>
  </si>
  <si>
    <t>003012383850001000000000000000</t>
  </si>
  <si>
    <t>000016497630000000000001002845</t>
  </si>
  <si>
    <t>000010481580000000000000000000</t>
  </si>
  <si>
    <t>064016122680000000000000000000</t>
  </si>
  <si>
    <t>000017819920000000000001009984</t>
  </si>
  <si>
    <t>000017036840000000000000000000</t>
  </si>
  <si>
    <t>000016545680000000000069615561</t>
  </si>
  <si>
    <t>000017821620000000000010204929</t>
  </si>
  <si>
    <t>000016520280000000000010158993</t>
  </si>
  <si>
    <t>003014540830000000000000000000</t>
  </si>
  <si>
    <t>000016542890000000000069608441</t>
  </si>
  <si>
    <t>005000595620001000000000000000</t>
  </si>
  <si>
    <t>000016502450000000000001010113</t>
  </si>
  <si>
    <t>006000847470000000000000000000</t>
  </si>
  <si>
    <t>513011453780000000000000000000</t>
  </si>
  <si>
    <t>084014823210000000000000000000</t>
  </si>
  <si>
    <t>003015539490001000000000000000</t>
  </si>
  <si>
    <t>063016135710000000000000000000</t>
  </si>
  <si>
    <t>000000635170000000000000000000</t>
  </si>
  <si>
    <t>000017820060000000000010051632</t>
  </si>
  <si>
    <t>000010833460000000000000000000</t>
  </si>
  <si>
    <t>084014822720000000000000000000</t>
  </si>
  <si>
    <t>003013888100001000000000000000</t>
  </si>
  <si>
    <t>003000318410000000000000000000</t>
  </si>
  <si>
    <t>003000293580000000000000000000</t>
  </si>
  <si>
    <t>003013344430001000000000000000</t>
  </si>
  <si>
    <t>003013002740001000000000000000</t>
  </si>
  <si>
    <t>000016541980000000000069600261</t>
  </si>
  <si>
    <t>000017037470000000000000000000</t>
  </si>
  <si>
    <t>003013150280000000000000000000</t>
  </si>
  <si>
    <t>000016541230000000000069020451</t>
  </si>
  <si>
    <t>003013590730000000000000000000</t>
  </si>
  <si>
    <t>083015010620000000000000000000</t>
  </si>
  <si>
    <t>003012810130001000000000000000</t>
  </si>
  <si>
    <t>003015840310000000000000000000</t>
  </si>
  <si>
    <t>003015262940000000000000000000</t>
  </si>
  <si>
    <t>003014336630001000000000000000</t>
  </si>
  <si>
    <t>084014811480000000000000000000</t>
  </si>
  <si>
    <t>003016655280001000000000000000</t>
  </si>
  <si>
    <t>009017454530000000000000000000</t>
  </si>
  <si>
    <t>000017820230000000000010107818</t>
  </si>
  <si>
    <t>003013231210001000000000000000</t>
  </si>
  <si>
    <t>003014672530001000000000000000</t>
  </si>
  <si>
    <t>003016423710001000000000000000</t>
  </si>
  <si>
    <t>063216090420000000000000000000</t>
  </si>
  <si>
    <t>000014159770000000000000000000</t>
  </si>
  <si>
    <t>003013123560001000000000000000</t>
  </si>
  <si>
    <t>084014864880000000000000000000</t>
  </si>
  <si>
    <t>063015877090000000000000000000</t>
  </si>
  <si>
    <t>063015963400000000000000000000</t>
  </si>
  <si>
    <t>003013246470001000000000000000</t>
  </si>
  <si>
    <t>513000053060001000000000000000</t>
  </si>
  <si>
    <t>003015340140001000000000000000</t>
  </si>
  <si>
    <t>000016522370000000000200006111</t>
  </si>
  <si>
    <t>000017036970000000000000000000</t>
  </si>
  <si>
    <t>003016915170001000000000000000</t>
  </si>
  <si>
    <t>000016528720000000000001001916</t>
  </si>
  <si>
    <t>084014846450000000000000000000</t>
  </si>
  <si>
    <t>004013406260000000000000000000</t>
  </si>
  <si>
    <t>003016462990001000000000000000</t>
  </si>
  <si>
    <t>003014495630001000000000000000</t>
  </si>
  <si>
    <t>006000856280000000000000000000</t>
  </si>
  <si>
    <t>003015775110001000000000000000</t>
  </si>
  <si>
    <t>003016295600001000000000000000</t>
  </si>
  <si>
    <t>000016549240000000000069619931</t>
  </si>
  <si>
    <t>005000597030000000000000000000</t>
  </si>
  <si>
    <t>000017038150000000000000000000</t>
  </si>
  <si>
    <t>000016515620000000000010107974</t>
  </si>
  <si>
    <t>003017012520001000000000000000</t>
  </si>
  <si>
    <t>003013381850000000000000000000</t>
  </si>
  <si>
    <t>064015913380000000000000000000</t>
  </si>
  <si>
    <t>003217379550000000000000000000</t>
  </si>
  <si>
    <t>003012686670001000000000000000</t>
  </si>
  <si>
    <t>003017690690001000000000000000</t>
  </si>
  <si>
    <t>003411862260000000000000000000</t>
  </si>
  <si>
    <t>003013498830000000000000000000</t>
  </si>
  <si>
    <t>003016255800000000000000000000</t>
  </si>
  <si>
    <t>003016248040001000000000000000</t>
  </si>
  <si>
    <t>000016501100000000000001008617</t>
  </si>
  <si>
    <t>003015412340001000000000000000</t>
  </si>
  <si>
    <t>000010214200002000000000000000</t>
  </si>
  <si>
    <t>003013114810001000000000000000</t>
  </si>
  <si>
    <t>000016552390000000000200005736</t>
  </si>
  <si>
    <t>000017043560000000000000000000</t>
  </si>
  <si>
    <t>000000413700000000000000000000</t>
  </si>
  <si>
    <t>003015563910001000000000000000</t>
  </si>
  <si>
    <t>003016914450001000000000000000</t>
  </si>
  <si>
    <t>003014041050000000000000000000</t>
  </si>
  <si>
    <t>084015013810000000000000000000</t>
  </si>
  <si>
    <t>003017400170001000000000000000</t>
  </si>
  <si>
    <t>003011159880000000000000000000</t>
  </si>
  <si>
    <t>003012728450000000000000000000</t>
  </si>
  <si>
    <t>003013651360001000000000000000</t>
  </si>
  <si>
    <t>004012896490001000000000000000</t>
  </si>
  <si>
    <t>006000760200000000000000000000</t>
  </si>
  <si>
    <t>000010031210001000000000000000</t>
  </si>
  <si>
    <t>000017820880000000000010203656</t>
  </si>
  <si>
    <t>000016497540000000000001002675</t>
  </si>
  <si>
    <t>003016982610000000000000000000</t>
  </si>
  <si>
    <t>083014725690000000000000000000</t>
  </si>
  <si>
    <t>000016541740000000000069024681</t>
  </si>
  <si>
    <t>003011764550001000000000000000</t>
  </si>
  <si>
    <t>000016506010000000000001012213</t>
  </si>
  <si>
    <t>000016521910000000000069023231</t>
  </si>
  <si>
    <t>003016471610001000000000000000</t>
  </si>
  <si>
    <t>063015935370000000000000000000</t>
  </si>
  <si>
    <t>000016540470000000000069015381</t>
  </si>
  <si>
    <t>006000756850000000000000000000</t>
  </si>
  <si>
    <t>003017066780001000000000000000</t>
  </si>
  <si>
    <t>003014305270000000000000000000</t>
  </si>
  <si>
    <t>003013153330001000000000000000</t>
  </si>
  <si>
    <t>003016235370001000000000000000</t>
  </si>
  <si>
    <t>003217823640000000000000000000</t>
  </si>
  <si>
    <t>083014808490000000000000000000</t>
  </si>
  <si>
    <t>000010608670001000000000000000</t>
  </si>
  <si>
    <t>000015796850001000000000000000</t>
  </si>
  <si>
    <t>000016501970000000000001009553</t>
  </si>
  <si>
    <t>000016551530000000000069622691</t>
  </si>
  <si>
    <t>000000333100000000000000000000</t>
  </si>
  <si>
    <t>003015454760001000000000000000</t>
  </si>
  <si>
    <t>000017821840000000000010205441</t>
  </si>
  <si>
    <t>000016503410000000000001010780</t>
  </si>
  <si>
    <t>063015929940000000000000000000</t>
  </si>
  <si>
    <t>003217168180001000000000000000</t>
  </si>
  <si>
    <t>003216697160000000000000000000</t>
  </si>
  <si>
    <t>003015405010001000000000000000</t>
  </si>
  <si>
    <t>063216018960000000000000000000</t>
  </si>
  <si>
    <t>000016520300000000000010158995</t>
  </si>
  <si>
    <t>063016137450000000000000000000</t>
  </si>
  <si>
    <t>084015186260000000000000000000</t>
  </si>
  <si>
    <t>064015881940000000000000000000</t>
  </si>
  <si>
    <t>003016661550000000000000000000</t>
  </si>
  <si>
    <t>003014083590001000000000000000</t>
  </si>
  <si>
    <t>000016531280000000000001006368</t>
  </si>
  <si>
    <t>003015661490001000000000000000</t>
  </si>
  <si>
    <t>000016526000000000000690221795</t>
  </si>
  <si>
    <t>000016540860000000000069017961</t>
  </si>
  <si>
    <t>000016506880000000000001012648</t>
  </si>
  <si>
    <t>000016507720000000000001013105</t>
  </si>
  <si>
    <t>004013941210001000000000000000</t>
  </si>
  <si>
    <t>003015736450001000000000000000</t>
  </si>
  <si>
    <t>003012349300000000000000000000</t>
  </si>
  <si>
    <t>003016193650001000000000000000</t>
  </si>
  <si>
    <t>000016529750000000000001002996</t>
  </si>
  <si>
    <t>514000003270001000000000000000</t>
  </si>
  <si>
    <t>003016863110001000000000000000</t>
  </si>
  <si>
    <t>003013982020000000000000000000</t>
  </si>
  <si>
    <t>063016106590000000000000000000</t>
  </si>
  <si>
    <t>003015236120001000000000000000</t>
  </si>
  <si>
    <t>003014321540001000000000000000</t>
  </si>
  <si>
    <t>003015843910001000000000000000</t>
  </si>
  <si>
    <t>000016501460000000000001008941</t>
  </si>
  <si>
    <t>004016391030001000000000000000</t>
  </si>
  <si>
    <t>000000036000017000000000000000</t>
  </si>
  <si>
    <t>064016082360000000000000000000</t>
  </si>
  <si>
    <t>000010851820000000000000000000</t>
  </si>
  <si>
    <t>000016497300000000000001002322</t>
  </si>
  <si>
    <t>003013709400001000000000000000</t>
  </si>
  <si>
    <t>003012480610001000000000000000</t>
  </si>
  <si>
    <t>000016540670000000000069016271</t>
  </si>
  <si>
    <t>003014201850001000000000000000</t>
  </si>
  <si>
    <t>009017056220000000000000000000</t>
  </si>
  <si>
    <t>003012648780001000000000000000</t>
  </si>
  <si>
    <t>000000512070007000000000000000</t>
  </si>
  <si>
    <t>003011604070001000000000000000</t>
  </si>
  <si>
    <t>000000716050001000000000000000</t>
  </si>
  <si>
    <t>003015479310001000000000000000</t>
  </si>
  <si>
    <t>000016515400000000000010102301</t>
  </si>
  <si>
    <t>000016512330000000000001015377</t>
  </si>
  <si>
    <t>083214786720000000000000000000</t>
  </si>
  <si>
    <t>000016536300000000000010061153</t>
  </si>
  <si>
    <t>003012607690001000000000000000</t>
  </si>
  <si>
    <t>000010047540001000000000000000</t>
  </si>
  <si>
    <t>004015369820001000000000000000</t>
  </si>
  <si>
    <t>000016500450000000000001007967</t>
  </si>
  <si>
    <t>063015978930000000000000000000</t>
  </si>
  <si>
    <t>000016541510000000000069023161</t>
  </si>
  <si>
    <t>063016063740000000000000000000</t>
  </si>
  <si>
    <t>003016939120001000000000000000</t>
  </si>
  <si>
    <t>003012979440000000000000000000</t>
  </si>
  <si>
    <t>003017296410000000000000000000</t>
  </si>
  <si>
    <t>003016211870000000000000000000</t>
  </si>
  <si>
    <t>513011238110001000000000000000</t>
  </si>
  <si>
    <t>003013225200001000000000000000</t>
  </si>
  <si>
    <t>003012630070001000000000000000</t>
  </si>
  <si>
    <t>003017281280001000000000000000</t>
  </si>
  <si>
    <t>003011423720001000000000000000</t>
  </si>
  <si>
    <t>000016515360000000000010102295</t>
  </si>
  <si>
    <t>005000630730000000000000000000</t>
  </si>
  <si>
    <t>084014863580000000000000000000</t>
  </si>
  <si>
    <t>003012069020001000000000000000</t>
  </si>
  <si>
    <t>003216347280000000000000000000</t>
  </si>
  <si>
    <t>003016733350000000000000000000</t>
  </si>
  <si>
    <t>003012578210001000000000000000</t>
  </si>
  <si>
    <t>003011660780001000000000000000</t>
  </si>
  <si>
    <t>003015526560001000000000000000</t>
  </si>
  <si>
    <t>084014857580000000000000000000</t>
  </si>
  <si>
    <t>003000308140000000000000000000</t>
  </si>
  <si>
    <t>003017061120001000000000000000</t>
  </si>
  <si>
    <t>004017447260000000000000000000</t>
  </si>
  <si>
    <t>003016288790001000000000000000</t>
  </si>
  <si>
    <t>000017044840000000000000000000</t>
  </si>
  <si>
    <t>000010061290000000000000000000</t>
  </si>
  <si>
    <t>003013562390001000000000000000</t>
  </si>
  <si>
    <t>000015622960000000000000000000</t>
  </si>
  <si>
    <t>000016497020000000000001001766</t>
  </si>
  <si>
    <t>084014804390000000000000000000</t>
  </si>
  <si>
    <t>000010255920001000000000000000</t>
  </si>
  <si>
    <t>000000370690001000000000000000</t>
  </si>
  <si>
    <t>003017122750001000000000000000</t>
  </si>
  <si>
    <t>000016540340000000000069013291</t>
  </si>
  <si>
    <t>003013146430001000000000000000</t>
  </si>
  <si>
    <t>003014173520001000000000000000</t>
  </si>
  <si>
    <t>000016529260000000000001002482</t>
  </si>
  <si>
    <t>513011519190001000000000000000</t>
  </si>
  <si>
    <t>000016549570000000000069620281</t>
  </si>
  <si>
    <t>064015999090000000000000000000</t>
  </si>
  <si>
    <t>003001164650000000000000000000</t>
  </si>
  <si>
    <t>086014717410000000000000000000</t>
  </si>
  <si>
    <t>000016499360000000000001006559</t>
  </si>
  <si>
    <t>064015921100000000000000000000</t>
  </si>
  <si>
    <t>006000748780000000000000000000</t>
  </si>
  <si>
    <t>000010339100000000000000000000</t>
  </si>
  <si>
    <t>083015113540000000000000000000</t>
  </si>
  <si>
    <t>003213908950001000000000000000</t>
  </si>
  <si>
    <t>003016341650001000000000000000</t>
  </si>
  <si>
    <t>000016537110000000000010099182</t>
  </si>
  <si>
    <t>000016529490000000000001002732</t>
  </si>
  <si>
    <t>003015457780001000000000000000</t>
  </si>
  <si>
    <t>003012615270000000000000000000</t>
  </si>
  <si>
    <t>000000710080000000000000000000</t>
  </si>
  <si>
    <t>084014848250000000000000000000</t>
  </si>
  <si>
    <t>003001249700001000000000000000</t>
  </si>
  <si>
    <t>000016523340000000000200011063</t>
  </si>
  <si>
    <t>003010947800000000000000000000</t>
  </si>
  <si>
    <t>003011390650001000000000000000</t>
  </si>
  <si>
    <t>000010826730001000000000000000</t>
  </si>
  <si>
    <t>000016532320000000000001008193</t>
  </si>
  <si>
    <t>003017234560001000000000000000</t>
  </si>
  <si>
    <t>003000265310000000000000000000</t>
  </si>
  <si>
    <t>083014780730000000000000000000</t>
  </si>
  <si>
    <t>083014844720001000000000000000</t>
  </si>
  <si>
    <t>000010732600000000000000000000</t>
  </si>
  <si>
    <t>000016536320000000000010061155</t>
  </si>
  <si>
    <t>000017820550000000000010203043</t>
  </si>
  <si>
    <t>000016509340000000000001013867</t>
  </si>
  <si>
    <t>003012458500001000000000000000</t>
  </si>
  <si>
    <t>000016543240000000000069610091</t>
  </si>
  <si>
    <t>003017089370001000000000000000</t>
  </si>
  <si>
    <t>003015748530001000000000000000</t>
  </si>
  <si>
    <t>000016541610000000000069023802</t>
  </si>
  <si>
    <t>000017821150000000000010204303</t>
  </si>
  <si>
    <t>084014811390000000000000000000</t>
  </si>
  <si>
    <t>009014354780021000000000000000</t>
  </si>
  <si>
    <t>000016538990000000000062000101</t>
  </si>
  <si>
    <t>083014873700000000000000000000</t>
  </si>
  <si>
    <t>004013108310000000000000000000</t>
  </si>
  <si>
    <t>000000314560001000000000000000</t>
  </si>
  <si>
    <t>003016425510001000000000000000</t>
  </si>
  <si>
    <t>003015548370001000000000000000</t>
  </si>
  <si>
    <t>003014674780001000000000000000</t>
  </si>
  <si>
    <t>000010291480001000000000000000</t>
  </si>
  <si>
    <t>083015074370000000000000000000</t>
  </si>
  <si>
    <t>000016529130000000000001002349</t>
  </si>
  <si>
    <t>003013393550000000000000000000</t>
  </si>
  <si>
    <t>000010059510001000000000000000</t>
  </si>
  <si>
    <t>513000027830000000000000000000</t>
  </si>
  <si>
    <t>003016825640000000000000000000</t>
  </si>
  <si>
    <t>000010763370000000000000000000</t>
  </si>
  <si>
    <t>000016542900000000000069608461</t>
  </si>
  <si>
    <t>003015632480001000000000000000</t>
  </si>
  <si>
    <t>000010585740000000000000000000</t>
  </si>
  <si>
    <t>003000365130000000000000000000</t>
  </si>
  <si>
    <t>004013885120001000000000000000</t>
  </si>
  <si>
    <t>003015645260001000000000000000</t>
  </si>
  <si>
    <t>003014516320000000000000000000</t>
  </si>
  <si>
    <t>005000592700000000000000000000</t>
  </si>
  <si>
    <t>005000596870000000000000000000</t>
  </si>
  <si>
    <t>003015462160001000000000000000</t>
  </si>
  <si>
    <t>083215167220000000000000000000</t>
  </si>
  <si>
    <t>003016565460001000000000000000</t>
  </si>
  <si>
    <t>000016538470000000000061067232</t>
  </si>
  <si>
    <t>003012820570000000000000000000</t>
  </si>
  <si>
    <t>064015925420000000000000000000</t>
  </si>
  <si>
    <t>083015000220000000000000000000</t>
  </si>
  <si>
    <t>000010466340001000000000000000</t>
  </si>
  <si>
    <t>003013997230001000000000000000</t>
  </si>
  <si>
    <t>000017819560000000000001001147</t>
  </si>
  <si>
    <t>000016529030000000000001002236</t>
  </si>
  <si>
    <t>000016524920000000000690221258</t>
  </si>
  <si>
    <t>000017038520000000000000000000</t>
  </si>
  <si>
    <t>003014012090000000000000000000</t>
  </si>
  <si>
    <t>000000574890001000000000000000</t>
  </si>
  <si>
    <t>003012539740001000000000000000</t>
  </si>
  <si>
    <t>000016498340000000000001004755</t>
  </si>
  <si>
    <t>003017621950001000000000000000</t>
  </si>
  <si>
    <t>003015811450001000000000000000</t>
  </si>
  <si>
    <t>000010711870001000000000000000</t>
  </si>
  <si>
    <t>000000409930001000000000000000</t>
  </si>
  <si>
    <t>000016551780000000000069622961</t>
  </si>
  <si>
    <t>000016540520000000000069015411</t>
  </si>
  <si>
    <t>003012328310001000000000000000</t>
  </si>
  <si>
    <t>000016528670000000000001001859</t>
  </si>
  <si>
    <t>000016530700000000000001005472</t>
  </si>
  <si>
    <t>000016529220000000000001002436</t>
  </si>
  <si>
    <t>003215793890001000000000000000</t>
  </si>
  <si>
    <t>003011719900001000000000000000</t>
  </si>
  <si>
    <t>000016534780000000000001012259</t>
  </si>
  <si>
    <t>003015560920001000000000000000</t>
  </si>
  <si>
    <t>004016685420001000000000000000</t>
  </si>
  <si>
    <t>003017704700001000000000000000</t>
  </si>
  <si>
    <t>000016536070000000000010056601</t>
  </si>
  <si>
    <t>003013783120000000000000000000</t>
  </si>
  <si>
    <t>003014384700001000000000000000</t>
  </si>
  <si>
    <t>000017038420000000000000000000</t>
  </si>
  <si>
    <t>000016522240000000000200005815</t>
  </si>
  <si>
    <t>004013288670000000000000000000</t>
  </si>
  <si>
    <t>006000718720000000000000000000</t>
  </si>
  <si>
    <t>003016854120001000000000000000</t>
  </si>
  <si>
    <t>003001329870001000000000000000</t>
  </si>
  <si>
    <t>000016553150000000000200008059</t>
  </si>
  <si>
    <t>000016522610000000000200007075</t>
  </si>
  <si>
    <t>000000424040001000000000000000</t>
  </si>
  <si>
    <t>000014139430000000000000000000</t>
  </si>
  <si>
    <t>003013038660000000000000000000</t>
  </si>
  <si>
    <t>005000667680000000000000000000</t>
  </si>
  <si>
    <t>003015659230001000000000000000</t>
  </si>
  <si>
    <t>003016406710001000000000000000</t>
  </si>
  <si>
    <t>003011687310001000000000000000</t>
  </si>
  <si>
    <t>000016550560000000000069621501</t>
  </si>
  <si>
    <t>083014882770000000000000000000</t>
  </si>
  <si>
    <t>003217753610000000000000000000</t>
  </si>
  <si>
    <t>003000252350001000000000000000</t>
  </si>
  <si>
    <t>063016022820000000000000000000</t>
  </si>
  <si>
    <t>000016553370000000000200008506</t>
  </si>
  <si>
    <t>000016498360000000000001004768</t>
  </si>
  <si>
    <t>000000564870002000000000000000</t>
  </si>
  <si>
    <t>003015504350001000000000000000</t>
  </si>
  <si>
    <t>000016745540000000000001016933</t>
  </si>
  <si>
    <t>000016497070000000000001001954</t>
  </si>
  <si>
    <t>006000819860000000000000000000</t>
  </si>
  <si>
    <t>003013722630001000000000000000</t>
  </si>
  <si>
    <t>000017036780000000000000000000</t>
  </si>
  <si>
    <t>000016531980000000000001007511</t>
  </si>
  <si>
    <t>113011520050001000000000000000</t>
  </si>
  <si>
    <t>085014764780000000000000000000</t>
  </si>
  <si>
    <t>004012809470001000000000000000</t>
  </si>
  <si>
    <t>000016523650000000000690220728</t>
  </si>
  <si>
    <t>003016666260001000000000000000</t>
  </si>
  <si>
    <t>009016485740000000000000000000</t>
  </si>
  <si>
    <t>003014307840000000000000000000</t>
  </si>
  <si>
    <t>000016537760000000000010108267</t>
  </si>
  <si>
    <t>004013816100001000000000000000</t>
  </si>
  <si>
    <t>003216302590000000000000000000</t>
  </si>
  <si>
    <t>003017600190000000000000000000</t>
  </si>
  <si>
    <t>000010111290000000000000000000</t>
  </si>
  <si>
    <t>000016497050000000000001001897</t>
  </si>
  <si>
    <t>000017038320000000000000000000</t>
  </si>
  <si>
    <t>003015596420001000000000000000</t>
  </si>
  <si>
    <t>000016543530000000000069611001</t>
  </si>
  <si>
    <t>000010540080000000000000000000</t>
  </si>
  <si>
    <t>003017206150000000000000000000</t>
  </si>
  <si>
    <t>003012808370000000000000000000</t>
  </si>
  <si>
    <t>083014951720000000000000000000</t>
  </si>
  <si>
    <t>003216291680001000000000000000</t>
  </si>
  <si>
    <t>083015008020000000000000000000</t>
  </si>
  <si>
    <t>513000143240001000000000000000</t>
  </si>
  <si>
    <t>084014915090000000000000000000</t>
  </si>
  <si>
    <t>003016712430000000000000000000</t>
  </si>
  <si>
    <t>063016008740000000000000000000</t>
  </si>
  <si>
    <t>000017819690000000000001004400</t>
  </si>
  <si>
    <t>008016271370001000000000000000</t>
  </si>
  <si>
    <t>000016538180000000000011036789</t>
  </si>
  <si>
    <t>000010570980001000000000000000</t>
  </si>
  <si>
    <t>009111180290039000000000000000</t>
  </si>
  <si>
    <t>003016166350001000000000000000</t>
  </si>
  <si>
    <t>003016573730001000000000000000</t>
  </si>
  <si>
    <t>000016507460000000000001012951</t>
  </si>
  <si>
    <t>000010806450001000000000000000</t>
  </si>
  <si>
    <t>000016535660000000000010050402</t>
  </si>
  <si>
    <t>084014806410000000000000000000</t>
  </si>
  <si>
    <t>083015196280000000000000000000</t>
  </si>
  <si>
    <t>003011947430001000000000000000</t>
  </si>
  <si>
    <t>000016540790000000000069016921</t>
  </si>
  <si>
    <t>000017819670000000000001003321</t>
  </si>
  <si>
    <t>000017820100000000000010054022</t>
  </si>
  <si>
    <t>003015827180001000000000000000</t>
  </si>
  <si>
    <t>000010089860001000000000000000</t>
  </si>
  <si>
    <t>005000616040000000000000000000</t>
  </si>
  <si>
    <t>516000035390001000000000000000</t>
  </si>
  <si>
    <t>003014713650001000000000000000</t>
  </si>
  <si>
    <t>006000960100000000000000000000</t>
  </si>
  <si>
    <t>003011948920001000000000000000</t>
  </si>
  <si>
    <t>000016532870000000000001008825</t>
  </si>
  <si>
    <t>084014829730000000000000000000</t>
  </si>
  <si>
    <t>063215965450000000000000000000</t>
  </si>
  <si>
    <t>009015757150027000000000000000</t>
  </si>
  <si>
    <t>000017821170000000000010204365</t>
  </si>
  <si>
    <t>000016529340000000000001002557</t>
  </si>
  <si>
    <t>084015003980000000000000000000</t>
  </si>
  <si>
    <t>063016118610000000000000000000</t>
  </si>
  <si>
    <t>003012870980000000000000000000</t>
  </si>
  <si>
    <t>000016509740000000000001014085</t>
  </si>
  <si>
    <t>000010320690000000000000000000</t>
  </si>
  <si>
    <t>000010832310000000000000000000</t>
  </si>
  <si>
    <t>003013051890001000000000000000</t>
  </si>
  <si>
    <t>084014905160000000000000000000</t>
  </si>
  <si>
    <t>000016516780000000000010127534</t>
  </si>
  <si>
    <t>004016669430001000000000000000</t>
  </si>
  <si>
    <t>000016517870000000000010137331</t>
  </si>
  <si>
    <t>003012352780001000000000000000</t>
  </si>
  <si>
    <t>006000811150000000000000000000</t>
  </si>
  <si>
    <t>000017819570000000000001001663</t>
  </si>
  <si>
    <t>000016546150000000000069616151</t>
  </si>
  <si>
    <t>003016736570000000000000000000</t>
  </si>
  <si>
    <t>088015110360000000000000000000</t>
  </si>
  <si>
    <t>003016711160000000000000000000</t>
  </si>
  <si>
    <t>003016624980001000000000000000</t>
  </si>
  <si>
    <t>000016525340000000000690221425</t>
  </si>
  <si>
    <t>003012679610001000000000000000</t>
  </si>
  <si>
    <t>003016612860001000000000000000</t>
  </si>
  <si>
    <t>000016614360000000000000000000</t>
  </si>
  <si>
    <t>003214500130001000000000000000</t>
  </si>
  <si>
    <t>000000758260000000000000000000</t>
  </si>
  <si>
    <t>000016505070000000000001011701</t>
  </si>
  <si>
    <t>000000705320001000000000000000</t>
  </si>
  <si>
    <t>003016207530001000000000000000</t>
  </si>
  <si>
    <t>003016203340001000000000000000</t>
  </si>
  <si>
    <t>000016550180000000000069621091</t>
  </si>
  <si>
    <t>063015891810000000000000000000</t>
  </si>
  <si>
    <t>063015990430000000000000000000</t>
  </si>
  <si>
    <t>000010129710001000000000000000</t>
  </si>
  <si>
    <t>000010346500000000000000000000</t>
  </si>
  <si>
    <t>003016744600001000000000000000</t>
  </si>
  <si>
    <t>000010141700001000000000000000</t>
  </si>
  <si>
    <t>003014475900001000000000000000</t>
  </si>
  <si>
    <t>000016505980000000000001012208</t>
  </si>
  <si>
    <t>000016516770000000000010127533</t>
  </si>
  <si>
    <t>003017475840000000000000000000</t>
  </si>
  <si>
    <t>000016529530000000000001002809</t>
  </si>
  <si>
    <t>083015140710000000000000000000</t>
  </si>
  <si>
    <t>003000313610000000000000000000</t>
  </si>
  <si>
    <t>000016503170000000000001010657</t>
  </si>
  <si>
    <t>000016564290000000000010054271</t>
  </si>
  <si>
    <t>000302171384080000000000000000</t>
  </si>
  <si>
    <t>000010571420001000000000000000</t>
  </si>
  <si>
    <t>000000688730001000000000000000</t>
  </si>
  <si>
    <t>000017037490000000000000000000</t>
  </si>
  <si>
    <t>000010609470000000000000000000</t>
  </si>
  <si>
    <t>000000416170001000000000000000</t>
  </si>
  <si>
    <t>000016499720000000000001007072</t>
  </si>
  <si>
    <t>003411997810001000000000000000</t>
  </si>
  <si>
    <t>003012864250001000000000000000</t>
  </si>
  <si>
    <t>000016536520000000000010070202</t>
  </si>
  <si>
    <t>005000663450000000000000000000</t>
  </si>
  <si>
    <t>006000827090000000000000000000</t>
  </si>
  <si>
    <t>000016497360000000000001002396</t>
  </si>
  <si>
    <t>005000670040000000000000000000</t>
  </si>
  <si>
    <t>003014604170000000000000000000</t>
  </si>
  <si>
    <t>063016023080000000000000000000</t>
  </si>
  <si>
    <t>000000725780001000000000000000</t>
  </si>
  <si>
    <t>006000718330000000000000000000</t>
  </si>
  <si>
    <t>000000421710001000000000000000</t>
  </si>
  <si>
    <t>003000279310001000000000000000</t>
  </si>
  <si>
    <t>003213424890000000000000000000</t>
  </si>
  <si>
    <t>000016514790000000000010060222</t>
  </si>
  <si>
    <t>004012188920000000000000000000</t>
  </si>
  <si>
    <t>003012343060001000000000000000</t>
  </si>
  <si>
    <t>000016507550000000000001013001</t>
  </si>
  <si>
    <t>000017821280000000000010204523</t>
  </si>
  <si>
    <t>003014181490001000000000000000</t>
  </si>
  <si>
    <t>000016532610000000000001008479</t>
  </si>
  <si>
    <t>000017820690000000000010203307</t>
  </si>
  <si>
    <t>003011599030001000000000000000</t>
  </si>
  <si>
    <t>000016533810000000000001009745</t>
  </si>
  <si>
    <t>003215580220000000000000000000</t>
  </si>
  <si>
    <t>086014767620000000000000000000</t>
  </si>
  <si>
    <t>000017821450000000000010204665</t>
  </si>
  <si>
    <t>065015951100000000000000000000</t>
  </si>
  <si>
    <t>000017822280000000000200007988</t>
  </si>
  <si>
    <t>006000770880000000000000000000</t>
  </si>
  <si>
    <t>004013036290000000000000000000</t>
  </si>
  <si>
    <t>003015705480001000000000000000</t>
  </si>
  <si>
    <t>513011390360000000000000000000</t>
  </si>
  <si>
    <t>084014827680000000000000000000</t>
  </si>
  <si>
    <t>003017315000001000000000000000</t>
  </si>
  <si>
    <t>003017789680001000000000000000</t>
  </si>
  <si>
    <t>003011348730001000000000000000</t>
  </si>
  <si>
    <t>003012117210001000000000000000</t>
  </si>
  <si>
    <t>003017632160001000000000000000</t>
  </si>
  <si>
    <t>006000711980000000000000000000</t>
  </si>
  <si>
    <t>000016532140000000000001007814</t>
  </si>
  <si>
    <t>000017787930000000000000000000</t>
  </si>
  <si>
    <t>003012790530000000000000000000</t>
  </si>
  <si>
    <t>003015786640000000000000000000</t>
  </si>
  <si>
    <t>003014526530001000000000000000</t>
  </si>
  <si>
    <t>003212622750000000000000000000</t>
  </si>
  <si>
    <t>004015601650000000000000000000</t>
  </si>
  <si>
    <t>004013281250000000000000000000</t>
  </si>
  <si>
    <t>000016535200000000000010033322</t>
  </si>
  <si>
    <t>003012140780000000000000000000</t>
  </si>
  <si>
    <t>084014755150000000000000000000</t>
  </si>
  <si>
    <t>000014156180000000000000000000</t>
  </si>
  <si>
    <t>000016528900000000000001002107</t>
  </si>
  <si>
    <t>083014994510000000000000000000</t>
  </si>
  <si>
    <t>003015552390001000000000000000</t>
  </si>
  <si>
    <t>000016531960000000000001007492</t>
  </si>
  <si>
    <t>003213570600000000000000000000</t>
  </si>
  <si>
    <t>003017267630001000000000000000</t>
  </si>
  <si>
    <t>000016497080000000000001001967</t>
  </si>
  <si>
    <t>000016499680000000000001007036</t>
  </si>
  <si>
    <t>086014717720001000000000000000</t>
  </si>
  <si>
    <t>003014603960000000000000000000</t>
  </si>
  <si>
    <t>003012848150000000000000000000</t>
  </si>
  <si>
    <t>003017587260001000000000000000</t>
  </si>
  <si>
    <t>006000722750001000000000000000</t>
  </si>
  <si>
    <t>003015561380001000000000000000</t>
  </si>
  <si>
    <t>003016806520001000000000000000</t>
  </si>
  <si>
    <t>000016542080000000000069600791</t>
  </si>
  <si>
    <t>003016937670001000000000000000</t>
  </si>
  <si>
    <t>004000974440000000000000000000</t>
  </si>
  <si>
    <t>009016395620000000000000000000</t>
  </si>
  <si>
    <t>000010513940001000000000000000</t>
  </si>
  <si>
    <t>000016516060000000000010118951</t>
  </si>
  <si>
    <t>513011346660000000000000000000</t>
  </si>
  <si>
    <t>000010467050001000000000000000</t>
  </si>
  <si>
    <t>000016541420000000000069022211</t>
  </si>
  <si>
    <t>000000475910001000000000000000</t>
  </si>
  <si>
    <t>000017038330000000000000000000</t>
  </si>
  <si>
    <t>000016528990000000000001002188</t>
  </si>
  <si>
    <t>003010959350001000000000000000</t>
  </si>
  <si>
    <t>003016590960000000000000000000</t>
  </si>
  <si>
    <t>006000722560001000000000000000</t>
  </si>
  <si>
    <t>066015969120000000000000000000</t>
  </si>
  <si>
    <t>003216697210000000000000000000</t>
  </si>
  <si>
    <t>003015646340001000000000000000</t>
  </si>
  <si>
    <t>063016110300000000000000000000</t>
  </si>
  <si>
    <t>000016518430000000000010141464</t>
  </si>
  <si>
    <t>000000723810001000000000000000</t>
  </si>
  <si>
    <t>000010723940001000000000000000</t>
  </si>
  <si>
    <t>006000723050001000000000000000</t>
  </si>
  <si>
    <t>003014407690001000000000000000</t>
  </si>
  <si>
    <t>003012086790001000000000000000</t>
  </si>
  <si>
    <t>000016533880000000000001009870</t>
  </si>
  <si>
    <t>000016529420000000000001002655</t>
  </si>
  <si>
    <t>000016545910000000000069615851</t>
  </si>
  <si>
    <t>000000568140000000000000000000</t>
  </si>
  <si>
    <t>063216090470000000000000000000</t>
  </si>
  <si>
    <t>000016549020000000000069619671</t>
  </si>
  <si>
    <t>003015790260001000000000000000</t>
  </si>
  <si>
    <t>000000723060000000000000000000</t>
  </si>
  <si>
    <t>000016539910000000000069003021</t>
  </si>
  <si>
    <t>003015627380000000000000000000</t>
  </si>
  <si>
    <t>000017043290000000000000000000</t>
  </si>
  <si>
    <t>000016530320000000000001004651</t>
  </si>
  <si>
    <t>003016842450001000000000000000</t>
  </si>
  <si>
    <t>083014964700000000000000000000</t>
  </si>
  <si>
    <t>003015310920000000000000000000</t>
  </si>
  <si>
    <t>003000917260000000000000000000</t>
  </si>
  <si>
    <t>083014907560000000000000000000</t>
  </si>
  <si>
    <t>003014533770000000000000000000</t>
  </si>
  <si>
    <t>083015121090000000000000000000</t>
  </si>
  <si>
    <t>083014817340001000000000000000</t>
  </si>
  <si>
    <t>000016523320000000000200011060</t>
  </si>
  <si>
    <t>003012984750000000000000000000</t>
  </si>
  <si>
    <t>006000719900000000000000000000</t>
  </si>
  <si>
    <t>000016516730000000000010127529</t>
  </si>
  <si>
    <t>000016533110000000000001008973</t>
  </si>
  <si>
    <t>063016145730000000000000000000</t>
  </si>
  <si>
    <t>063016103660001000000000000000</t>
  </si>
  <si>
    <t>063015928380000000000000000000</t>
  </si>
  <si>
    <t>005012193600000000000000000000</t>
  </si>
  <si>
    <t>005001033850001000000000000000</t>
  </si>
  <si>
    <t>003013349720001000000000000000</t>
  </si>
  <si>
    <t>000016553170000000000200008076</t>
  </si>
  <si>
    <t>003015408320001000000000000000</t>
  </si>
  <si>
    <t>064015889930000000000000000000</t>
  </si>
  <si>
    <t>003015231770001000000000000000</t>
  </si>
  <si>
    <t>083015160790000000000000000000</t>
  </si>
  <si>
    <t>003000298330000000000000000000</t>
  </si>
  <si>
    <t>084014938230001000000000000000</t>
  </si>
  <si>
    <t>000016853340000000000001017310</t>
  </si>
  <si>
    <t>063015909900000000000000000000</t>
  </si>
  <si>
    <t>083214999360000000000000000000</t>
  </si>
  <si>
    <t>003011117190001000000000000000</t>
  </si>
  <si>
    <t>004017361130000000000000000000</t>
  </si>
  <si>
    <t>000014144590000000000000000000</t>
  </si>
  <si>
    <t>000016528910000000000001002130</t>
  </si>
  <si>
    <t>003017085170001000000000000000</t>
  </si>
  <si>
    <t>000017505840000000000001018800</t>
  </si>
  <si>
    <t>004016453880000000000000000000</t>
  </si>
  <si>
    <t>003012583690001000000000000000</t>
  </si>
  <si>
    <t>063216045120000000000000000000</t>
  </si>
  <si>
    <t>000016503440000000000001010789</t>
  </si>
  <si>
    <t>064016061490000000000000000000</t>
  </si>
  <si>
    <t>000000095860000000000000000000</t>
  </si>
  <si>
    <t>003011638670000000000000000000</t>
  </si>
  <si>
    <t>003000322160000000000000000000</t>
  </si>
  <si>
    <t>083214917190000000000000000000</t>
  </si>
  <si>
    <t>003014469040000000000000000000</t>
  </si>
  <si>
    <t>084014920930000000000000000000</t>
  </si>
  <si>
    <t>006000720540000000000000000000</t>
  </si>
  <si>
    <t>000016536650000000000010081901</t>
  </si>
  <si>
    <t>063015933820000000000000000000</t>
  </si>
  <si>
    <t>000017821060000000000010204082</t>
  </si>
  <si>
    <t>003014288100000000000000000000</t>
  </si>
  <si>
    <t>000016504830000000000001011587</t>
  </si>
  <si>
    <t>000016536730000000000010085461</t>
  </si>
  <si>
    <t>001814297940001000000000000000</t>
  </si>
  <si>
    <t>006000789990000000000000000000</t>
  </si>
  <si>
    <t>003016286900000000000000000000</t>
  </si>
  <si>
    <t>064015881730000000000000000000</t>
  </si>
  <si>
    <t>003014122990001000000000000000</t>
  </si>
  <si>
    <t>063015932710000000000000000000</t>
  </si>
  <si>
    <t>000013243080001000000000000000</t>
  </si>
  <si>
    <t>004012657310000000000000000000</t>
  </si>
  <si>
    <t>003016566990001000000000000000</t>
  </si>
  <si>
    <t>000016540970000000000069018331</t>
  </si>
  <si>
    <t>064016027230000000000000000000</t>
  </si>
  <si>
    <t>003012585000001000000000000000</t>
  </si>
  <si>
    <t>003012057700001000000000000000</t>
  </si>
  <si>
    <t>003016308960000000000000000000</t>
  </si>
  <si>
    <t>084014853180000000000000000000</t>
  </si>
  <si>
    <t>003013073160001000000000000000</t>
  </si>
  <si>
    <t>001200142770000000000000000000</t>
  </si>
  <si>
    <t>003012913120001000000000000000</t>
  </si>
  <si>
    <t>000014152340000000000000000000</t>
  </si>
  <si>
    <t>000016541380000000000069021661</t>
  </si>
  <si>
    <t>003016326180001000000000000000</t>
  </si>
  <si>
    <t>004016755700001000000000000000</t>
  </si>
  <si>
    <t>086014719670000000000000000000</t>
  </si>
  <si>
    <t>000016535220000000000010034362</t>
  </si>
  <si>
    <t>003016831770001000000000000000</t>
  </si>
  <si>
    <t>003015774970001000000000000000</t>
  </si>
  <si>
    <t>063015890130000000000000000000</t>
  </si>
  <si>
    <t>000015682300001000000000000000</t>
  </si>
  <si>
    <t>000000239740001000000000000000</t>
  </si>
  <si>
    <t>000016543570000000000069611023</t>
  </si>
  <si>
    <t>000010053380001000000000000000</t>
  </si>
  <si>
    <t>006000802250000000000000000000</t>
  </si>
  <si>
    <t>003014676160000000000000000000</t>
  </si>
  <si>
    <t>083215154220000000000000000000</t>
  </si>
  <si>
    <t>003013838530000000000000000000</t>
  </si>
  <si>
    <t>003215642780001000000000000000</t>
  </si>
  <si>
    <t>003012689620001000000000000000</t>
  </si>
  <si>
    <t>063216045090000000000000000000</t>
  </si>
  <si>
    <t>000016531300000000000001006382</t>
  </si>
  <si>
    <t>003015568680001000000000000000</t>
  </si>
  <si>
    <t>004015433830000000000000000000</t>
  </si>
  <si>
    <t>000017037820000000000000000000</t>
  </si>
  <si>
    <t>003017346320001000000000000000</t>
  </si>
  <si>
    <t>000000492860001000000000000000</t>
  </si>
  <si>
    <t>003014651960001000000000000000</t>
  </si>
  <si>
    <t>003012672900001000000000000000</t>
  </si>
  <si>
    <t>000016540590000000000069016072</t>
  </si>
  <si>
    <t>000016540060000000000069007541</t>
  </si>
  <si>
    <t>008014536600001000000000000000</t>
  </si>
  <si>
    <t>000017820440000000000010202719</t>
  </si>
  <si>
    <t>004012453430001000000000000000</t>
  </si>
  <si>
    <t>003016444480001000000000000000</t>
  </si>
  <si>
    <t>000016870400000000000000000000</t>
  </si>
  <si>
    <t>006000773100000000000000000000</t>
  </si>
  <si>
    <t>000010344650001000000000000000</t>
  </si>
  <si>
    <t>000017821490000000000010204700</t>
  </si>
  <si>
    <t>000016529640000000000001002915</t>
  </si>
  <si>
    <t>000010753520000000000000000000</t>
  </si>
  <si>
    <t>063216045140000000000000000000</t>
  </si>
  <si>
    <t>000016539450000000000062003701</t>
  </si>
  <si>
    <t>000000294600001000000000000000</t>
  </si>
  <si>
    <t>003014663570001000000000000000</t>
  </si>
  <si>
    <t>063015970710000000000000000000</t>
  </si>
  <si>
    <t>000000400240001000000000000000</t>
  </si>
  <si>
    <t>063216112300000000000000000000</t>
  </si>
  <si>
    <t>086015032450000000000000000000</t>
  </si>
  <si>
    <t>003013235720000000000000000000</t>
  </si>
  <si>
    <t>003012520770001000000000000000</t>
  </si>
  <si>
    <t>005000644420000000000000000000</t>
  </si>
  <si>
    <t>083014823890001000000000000000</t>
  </si>
  <si>
    <t>063016054280000000000000000000</t>
  </si>
  <si>
    <t>084015088770000000000000000000</t>
  </si>
  <si>
    <t>000010596780001000000000000000</t>
  </si>
  <si>
    <t>063016083380000000000000000000</t>
  </si>
  <si>
    <t>003015637760001000000000000000</t>
  </si>
  <si>
    <t>006000717170000000000000000000</t>
  </si>
  <si>
    <t>003001157660000000000000000000</t>
  </si>
  <si>
    <t>084014759440000000000000000000</t>
  </si>
  <si>
    <t>003013707880001000000000000000</t>
  </si>
  <si>
    <t>063016069180000000000000000000</t>
  </si>
  <si>
    <t>083015118730000000000000000000</t>
  </si>
  <si>
    <t>003015393830001000000000000000</t>
  </si>
  <si>
    <t>000016533910000000000001009912</t>
  </si>
  <si>
    <t>003012363930001000000000000000</t>
  </si>
  <si>
    <t>000016536800000000000010088692</t>
  </si>
  <si>
    <t>084014956180000000000000000000</t>
  </si>
  <si>
    <t>003014301890000000000000000000</t>
  </si>
  <si>
    <t>003011795960001000000000000000</t>
  </si>
  <si>
    <t>063016146130000000000000000000</t>
  </si>
  <si>
    <t>000010819540001000000000000000</t>
  </si>
  <si>
    <t>003016853730000000000000000000</t>
  </si>
  <si>
    <t>000017821430000000000010204654</t>
  </si>
  <si>
    <t>003015553170001000000000000000</t>
  </si>
  <si>
    <t>083014941020000000000000000000</t>
  </si>
  <si>
    <t>083014927800000000000000000000</t>
  </si>
  <si>
    <t>000016532340000000000001008217</t>
  </si>
  <si>
    <t>003017358010001000000000000000</t>
  </si>
  <si>
    <t>003013130330000000000000000000</t>
  </si>
  <si>
    <t>063015914460000000000000000000</t>
  </si>
  <si>
    <t>000016537870000000000010124582</t>
  </si>
  <si>
    <t>000000618730000000000000000000</t>
  </si>
  <si>
    <t>063216112280000000000000000000</t>
  </si>
  <si>
    <t>003016585370001000000000000000</t>
  </si>
  <si>
    <t>003012613030001000000000000000</t>
  </si>
  <si>
    <t>084015097920000000000000000000</t>
  </si>
  <si>
    <t>000016500500000000000001008037</t>
  </si>
  <si>
    <t>003015297090000000000000000000</t>
  </si>
  <si>
    <t>000017820750000000000010203426</t>
  </si>
  <si>
    <t>000016530480000000000001004853</t>
  </si>
  <si>
    <t>000016541080000000000069018811</t>
  </si>
  <si>
    <t>003011267960001000000000000000</t>
  </si>
  <si>
    <t>005000670510000000000000000000</t>
  </si>
  <si>
    <t>000016535740000000000010051452</t>
  </si>
  <si>
    <t>000016516720000000000010127528</t>
  </si>
  <si>
    <t>000016514800000000000010063101</t>
  </si>
  <si>
    <t>003015501360001000000000000000</t>
  </si>
  <si>
    <t>003014466870001000000000000000</t>
  </si>
  <si>
    <t>003012052260000000000000000000</t>
  </si>
  <si>
    <t>063016025970000000000000000000</t>
  </si>
  <si>
    <t>000016499660000000000001007028</t>
  </si>
  <si>
    <t>084014932040000000000000000000</t>
  </si>
  <si>
    <t>003000977170001000000000000000</t>
  </si>
  <si>
    <t>003000248780001000000000000000</t>
  </si>
  <si>
    <t>003014668620001000000000000000</t>
  </si>
  <si>
    <t>005001095600000000000000000000</t>
  </si>
  <si>
    <t>005000591390000000000000000000</t>
  </si>
  <si>
    <t>000016540910000000000069018012</t>
  </si>
  <si>
    <t>064015948510000000000000000000</t>
  </si>
  <si>
    <t>063015911590000000000000000000</t>
  </si>
  <si>
    <t>006015601510001000000000000000</t>
  </si>
  <si>
    <t>003015442790001000000000000000</t>
  </si>
  <si>
    <t>003216293110001000000000000000</t>
  </si>
  <si>
    <t>083014997520000000000000000000</t>
  </si>
  <si>
    <t>000010910190000000000000000000</t>
  </si>
  <si>
    <t>084014797780000000000000000000</t>
  </si>
  <si>
    <t>000016533840000000000001009771</t>
  </si>
  <si>
    <t>003000387620000000000000000000</t>
  </si>
  <si>
    <t>000016529240000000000001002466</t>
  </si>
  <si>
    <t>000016517740000000000010136133</t>
  </si>
  <si>
    <t>000000756040001000000000000000</t>
  </si>
  <si>
    <t>000010742860000000000000000000</t>
  </si>
  <si>
    <t>003012512160001000000000000000</t>
  </si>
  <si>
    <t>003015307310000000000000000000</t>
  </si>
  <si>
    <t>003017292600001000000000000000</t>
  </si>
  <si>
    <t>000016525630000000000690221566</t>
  </si>
  <si>
    <t>003016954680000000000000000000</t>
  </si>
  <si>
    <t>084015087950000000000000000000</t>
  </si>
  <si>
    <t>000017821570000000000010204848</t>
  </si>
  <si>
    <t>000016551750000000000069622931</t>
  </si>
  <si>
    <t>000016934740000000000001017505</t>
  </si>
  <si>
    <t>003012497860001000000000000000</t>
  </si>
  <si>
    <t>000017044650000000000000000000</t>
  </si>
  <si>
    <t>000017821820000000000010205402</t>
  </si>
  <si>
    <t>084014980800000000000000000000</t>
  </si>
  <si>
    <t>000016542100000000000069600951</t>
  </si>
  <si>
    <t>000010564380000000000000000000</t>
  </si>
  <si>
    <t>000016501770000000000001009287</t>
  </si>
  <si>
    <t>000000749320001000000000000000</t>
  </si>
  <si>
    <t>005013139980001000000000000000</t>
  </si>
  <si>
    <t>000016536240000000000010060262</t>
  </si>
  <si>
    <t>003012556220001000000000000000</t>
  </si>
  <si>
    <t>003014584610000000000000000000</t>
  </si>
  <si>
    <t>003015688960001000000000000000</t>
  </si>
  <si>
    <t>000016497150000000000001002005</t>
  </si>
  <si>
    <t>003015442660000000000000000000</t>
  </si>
  <si>
    <t>003015239850000000000000000000</t>
  </si>
  <si>
    <t>083214979260000000000000000000</t>
  </si>
  <si>
    <t>000001210100001000000000000000</t>
  </si>
  <si>
    <t>003214063210000000000000000000</t>
  </si>
  <si>
    <t>003011770240001000000000000000</t>
  </si>
  <si>
    <t>006000720810000000000000000000</t>
  </si>
  <si>
    <t>000016504320000000000001011303</t>
  </si>
  <si>
    <t>000016550460000000000069621391</t>
  </si>
  <si>
    <t>000017763450000000000001019132</t>
  </si>
  <si>
    <t>003011256620001000000000000000</t>
  </si>
  <si>
    <t>000010174610000000000000000000</t>
  </si>
  <si>
    <t>063216078440000000000000000000</t>
  </si>
  <si>
    <t>083014800300000000000000000000</t>
  </si>
  <si>
    <t>003016636350001000000000000000</t>
  </si>
  <si>
    <t>003013131740001000000000000000</t>
  </si>
  <si>
    <t>003017737060001000000000000000</t>
  </si>
  <si>
    <t>003016481090001000000000000000</t>
  </si>
  <si>
    <t>000017820240000000000010107819</t>
  </si>
  <si>
    <t>000010625260000000000000000000</t>
  </si>
  <si>
    <t>000016543190000000000069609951</t>
  </si>
  <si>
    <t>003015660800001000000000000000</t>
  </si>
  <si>
    <t>000010572210001000000000000000</t>
  </si>
  <si>
    <t>003013631930000000000000000000</t>
  </si>
  <si>
    <t>000000699910001000000000000000</t>
  </si>
  <si>
    <t>000000706630001000000000000000</t>
  </si>
  <si>
    <t>000016500650000000000001008168</t>
  </si>
  <si>
    <t>003000957780000000000000000000</t>
  </si>
  <si>
    <t>000010226530002000000000000000</t>
  </si>
  <si>
    <t>006000715360001000000000000000</t>
  </si>
  <si>
    <t>000012572200001000000000000000</t>
  </si>
  <si>
    <t>000017821230000000000010204459</t>
  </si>
  <si>
    <t>003012874340001000000000000000</t>
  </si>
  <si>
    <t>000016533490000000000001009357</t>
  </si>
  <si>
    <t>003017653830001000000000000000</t>
  </si>
  <si>
    <t>003013892360000000000000000000</t>
  </si>
  <si>
    <t>000016539070000000000062000992</t>
  </si>
  <si>
    <t>000016503500000000000001010810</t>
  </si>
  <si>
    <t>003215343890001000000000000000</t>
  </si>
  <si>
    <t>003015726780001000000000000000</t>
  </si>
  <si>
    <t>003215350840000000000000000000</t>
  </si>
  <si>
    <t>000016530280000000000001004598</t>
  </si>
  <si>
    <t>064016014670000000000000000000</t>
  </si>
  <si>
    <t>009111939110015000000000000000</t>
  </si>
  <si>
    <t>064016081410000000000000000000</t>
  </si>
  <si>
    <t>003012294010001000000000000000</t>
  </si>
  <si>
    <t>003015404680001000000000000000</t>
  </si>
  <si>
    <t>003014585660001000000000000000</t>
  </si>
  <si>
    <t>003016182080001000000000000000</t>
  </si>
  <si>
    <t>063216053810000000000000000000</t>
  </si>
  <si>
    <t>003013280080001000000000000000</t>
  </si>
  <si>
    <t>003016400300000000000000000000</t>
  </si>
  <si>
    <t>006013093970001000000000000000</t>
  </si>
  <si>
    <t>003215496600000000000000000000</t>
  </si>
  <si>
    <t>003015588580001000000000000000</t>
  </si>
  <si>
    <t>000016501120000000000001008644</t>
  </si>
  <si>
    <t>003015858760000000000000000000</t>
  </si>
  <si>
    <t>000016550070000000000069620961</t>
  </si>
  <si>
    <t>083015197770000000000000000000</t>
  </si>
  <si>
    <t>083014750830000000000000000000</t>
  </si>
  <si>
    <t>000000688650001000000000000000</t>
  </si>
  <si>
    <t>063216070840000000000000000000</t>
  </si>
  <si>
    <t>003011656600000000000000000000</t>
  </si>
  <si>
    <t>003015526730000000000000000000</t>
  </si>
  <si>
    <t>009015592270000000000000000000</t>
  </si>
  <si>
    <t>083215164030000000000000000000</t>
  </si>
  <si>
    <t>000010812020001000000000000000</t>
  </si>
  <si>
    <t>000016496850000000000001000236</t>
  </si>
  <si>
    <t>003017519230001000000000000000</t>
  </si>
  <si>
    <t>003014421110000000000000000000</t>
  </si>
  <si>
    <t>000016498200000000000001004501</t>
  </si>
  <si>
    <t>000016528970000000000001002178</t>
  </si>
  <si>
    <t>000010596200001000000000000000</t>
  </si>
  <si>
    <t>000016531470000000000001006654</t>
  </si>
  <si>
    <t>000016543050000000000069608971</t>
  </si>
  <si>
    <t>003216153670000000000000000000</t>
  </si>
  <si>
    <t>000016531790000000000001007229</t>
  </si>
  <si>
    <t>003011956310001000000000000000</t>
  </si>
  <si>
    <t>000010413220001000000000000000</t>
  </si>
  <si>
    <t>003015476130001000000000000000</t>
  </si>
  <si>
    <t>000000711200000000000000000000</t>
  </si>
  <si>
    <t>000016503000000000000001010574</t>
  </si>
  <si>
    <t>003016247090000000000000000000</t>
  </si>
  <si>
    <t>003000949640000000000000000000</t>
  </si>
  <si>
    <t>003016613500001000000000000000</t>
  </si>
  <si>
    <t>000016521920000000000069023321</t>
  </si>
  <si>
    <t>000014575230001000000000000000</t>
  </si>
  <si>
    <t>009014653900001000000000000000</t>
  </si>
  <si>
    <t>003012814820000000000000000000</t>
  </si>
  <si>
    <t>000017820650000000000010203212</t>
  </si>
  <si>
    <t>513000013970001000000000000000</t>
  </si>
  <si>
    <t>003016205780001000000000000000</t>
  </si>
  <si>
    <t>000016528800000000000001002045</t>
  </si>
  <si>
    <t>000016498590000000000001005556</t>
  </si>
  <si>
    <t>000017038140000000000000000000</t>
  </si>
  <si>
    <t>083014728360000000000000000000</t>
  </si>
  <si>
    <t>003012569360001000000000000000</t>
  </si>
  <si>
    <t>003215645790000000000000000000</t>
  </si>
  <si>
    <t>083014823940000000000000000000</t>
  </si>
  <si>
    <t>000016530510000000000001004993</t>
  </si>
  <si>
    <t>000016516790000000000010127535</t>
  </si>
  <si>
    <t>003015555340001000000000000000</t>
  </si>
  <si>
    <t>063016132420000000000000000000</t>
  </si>
  <si>
    <t>005000595840000000000000000000</t>
  </si>
  <si>
    <t>003015720200001000000000000000</t>
  </si>
  <si>
    <t>003015353740001000000000000000</t>
  </si>
  <si>
    <t>003001324520000000000000000000</t>
  </si>
  <si>
    <t>064016042180000000000000000000</t>
  </si>
  <si>
    <t>000016553280000000000200008318</t>
  </si>
  <si>
    <t>003013660990001000000000000000</t>
  </si>
  <si>
    <t>003012970140000000000000000000</t>
  </si>
  <si>
    <t>003012505790001000000000000000</t>
  </si>
  <si>
    <t>084015119460000000000000000000</t>
  </si>
  <si>
    <t>003011777840001000000000000000</t>
  </si>
  <si>
    <t>003016345520001000000000000000</t>
  </si>
  <si>
    <t>000016531260000000000001006351</t>
  </si>
  <si>
    <t>084014855260000000000000000000</t>
  </si>
  <si>
    <t>000016515840000000000010115152</t>
  </si>
  <si>
    <t>003012851060000000000000000000</t>
  </si>
  <si>
    <t>005000606490001000000000000000</t>
  </si>
  <si>
    <t>000017819710000000000001004416</t>
  </si>
  <si>
    <t>083015179090000000000000000000</t>
  </si>
  <si>
    <t>000016531360000000000001006442</t>
  </si>
  <si>
    <t>000016538680000000000061134051</t>
  </si>
  <si>
    <t>003015847990000000000000000000</t>
  </si>
  <si>
    <t>003017480320001000000000000000</t>
  </si>
  <si>
    <t>003011919600001000000000000000</t>
  </si>
  <si>
    <t>000010007750007000000000000000</t>
  </si>
  <si>
    <t>000016497220000000000001002103</t>
  </si>
  <si>
    <t>003012772400001000000000000000</t>
  </si>
  <si>
    <t>003015381680001000000000000000</t>
  </si>
  <si>
    <t>003016388200001000000000000000</t>
  </si>
  <si>
    <t>003013962800001000000000000000</t>
  </si>
  <si>
    <t>000017819540000000000001000593</t>
  </si>
  <si>
    <t>003016399100000000000000000000</t>
  </si>
  <si>
    <t>063216115700000000000000000000</t>
  </si>
  <si>
    <t>003012609470000000000000000000</t>
  </si>
  <si>
    <t>003000236180000000000000000000</t>
  </si>
  <si>
    <t>003015672980001000000000000000</t>
  </si>
  <si>
    <t>065015901130000000000000000000</t>
  </si>
  <si>
    <t>063015906260000000000000000000</t>
  </si>
  <si>
    <t>000000397650001000000000000000</t>
  </si>
  <si>
    <t>063216064650000000000000000000</t>
  </si>
  <si>
    <t>003017214550001000000000000000</t>
  </si>
  <si>
    <t>003017487880001000000000000000</t>
  </si>
  <si>
    <t>003013686350001000000000000000</t>
  </si>
  <si>
    <t>085015054900000000000000000000</t>
  </si>
  <si>
    <t>000010498920001000000000000000</t>
  </si>
  <si>
    <t>003012028460000000000000000000</t>
  </si>
  <si>
    <t>000017044640000000000000000000</t>
  </si>
  <si>
    <t>063215990260000000000000000000</t>
  </si>
  <si>
    <t>000016541920000000000069500161</t>
  </si>
  <si>
    <t>000010295470001000000000000000</t>
  </si>
  <si>
    <t>003016330820001000000000000000</t>
  </si>
  <si>
    <t>000017820960000000000010203835</t>
  </si>
  <si>
    <t>003016871930001000000000000000</t>
  </si>
  <si>
    <t>003011209260001000000000000000</t>
  </si>
  <si>
    <t>114011537150000000000000000000</t>
  </si>
  <si>
    <t>003015709600001000000000000000</t>
  </si>
  <si>
    <t>003013517890001000000000000000</t>
  </si>
  <si>
    <t>084014960670000000000000000000</t>
  </si>
  <si>
    <t>003016784790001000000000000000</t>
  </si>
  <si>
    <t>083015199570000000000000000000</t>
  </si>
  <si>
    <t>000016552420000000000200005820</t>
  </si>
  <si>
    <t>003016237110001000000000000000</t>
  </si>
  <si>
    <t>003215407800000000000000000000</t>
  </si>
  <si>
    <t>000000016880003000000000000000</t>
  </si>
  <si>
    <t>000016531870000000000001007362</t>
  </si>
  <si>
    <t>083414970750000000000000000000</t>
  </si>
  <si>
    <t>000013501020001000000000000000</t>
  </si>
  <si>
    <t>066015961860000000000000000000</t>
  </si>
  <si>
    <t>003011631940001000000000000000</t>
  </si>
  <si>
    <t>003016622480000000000000000000</t>
  </si>
  <si>
    <t>003001341220001000000000000000</t>
  </si>
  <si>
    <t>000016505940000000000001012193</t>
  </si>
  <si>
    <t>063016035020000000000000000000</t>
  </si>
  <si>
    <t>063016027830000000000000000000</t>
  </si>
  <si>
    <t>000016546000000000000069615941</t>
  </si>
  <si>
    <t>003016620320001000000000000000</t>
  </si>
  <si>
    <t>000017821210000000000010204400</t>
  </si>
  <si>
    <t>083214991490000000000000000000</t>
  </si>
  <si>
    <t>000016514360000000000010050162</t>
  </si>
  <si>
    <t>000016501980000000000001009577</t>
  </si>
  <si>
    <t>003216471260000000000000000000</t>
  </si>
  <si>
    <t>000010636860000000000000000000</t>
  </si>
  <si>
    <t>000016506180000000000001012293</t>
  </si>
  <si>
    <t>003000302410000000000000000000</t>
  </si>
  <si>
    <t>003014173150000000000000000000</t>
  </si>
  <si>
    <t>003011338600001000000000000000</t>
  </si>
  <si>
    <t>003015632140000000000000000000</t>
  </si>
  <si>
    <t>084014908170000000000000000000</t>
  </si>
  <si>
    <t>063016070850000000000000000000</t>
  </si>
  <si>
    <t>003017583050001000000000000000</t>
  </si>
  <si>
    <t>083215154250000000000000000000</t>
  </si>
  <si>
    <t>004016750070000000000000000000</t>
  </si>
  <si>
    <t>003012449370001000000000000000</t>
  </si>
  <si>
    <t>000016851490000000000000000000</t>
  </si>
  <si>
    <t>000016529090000000000001002319</t>
  </si>
  <si>
    <t>005000591830000000000000000000</t>
  </si>
  <si>
    <t>000016552370000000000200005678</t>
  </si>
  <si>
    <t>084014862280000000000000000000</t>
  </si>
  <si>
    <t>065015992370000000000000000000</t>
  </si>
  <si>
    <t>003012587810001000000000000000</t>
  </si>
  <si>
    <t>009016452990000000000000000000</t>
  </si>
  <si>
    <t>000016519990000000000010155533</t>
  </si>
  <si>
    <t>063015902320000000000000000000</t>
  </si>
  <si>
    <t>003016390870001000000000000000</t>
  </si>
  <si>
    <t>003000311930000000000000000000</t>
  </si>
  <si>
    <t>003001260540000000000000000000</t>
  </si>
  <si>
    <t>003014063380000000000000000000</t>
  </si>
  <si>
    <t>000016507180000000000001012793</t>
  </si>
  <si>
    <t>000017821050000000000010204048</t>
  </si>
  <si>
    <t>063216086560000000000000000000</t>
  </si>
  <si>
    <t>000016538220000000000020274170</t>
  </si>
  <si>
    <t>003016885750001000000000000000</t>
  </si>
  <si>
    <t>086014766750000000000000000000</t>
  </si>
  <si>
    <t>003012077270001000000000000000</t>
  </si>
  <si>
    <t>000016513990000000000009000888</t>
  </si>
  <si>
    <t>003015331510001000000000000000</t>
  </si>
  <si>
    <t>000016768190000000000001017154</t>
  </si>
  <si>
    <t>000016546770000000000069616991</t>
  </si>
  <si>
    <t>004015613080000000000000000000</t>
  </si>
  <si>
    <t>000016535600000000000010049242</t>
  </si>
  <si>
    <t>084014839110000000000000000000</t>
  </si>
  <si>
    <t>354015353390001000000000000000</t>
  </si>
  <si>
    <t>003217407620000000000000000000</t>
  </si>
  <si>
    <t>009017393290004000000000000000</t>
  </si>
  <si>
    <t>000000300360001000000000000000</t>
  </si>
  <si>
    <t>003012041810001000000000000000</t>
  </si>
  <si>
    <t>000016551860000000000069623041</t>
  </si>
  <si>
    <t>000016508050000000000001013252</t>
  </si>
  <si>
    <t>004014440000001000000000000000</t>
  </si>
  <si>
    <t>000000511880004000000000000000</t>
  </si>
  <si>
    <t>000016544460000000000069613601</t>
  </si>
  <si>
    <t>000016519020000000000010148266</t>
  </si>
  <si>
    <t>084014785780000000000000000000</t>
  </si>
  <si>
    <t>000017041300000000000000000000</t>
  </si>
  <si>
    <t>003015255180000000000000000000</t>
  </si>
  <si>
    <t>003015654590001000000000000000</t>
  </si>
  <si>
    <t>083214917160000000000000000000</t>
  </si>
  <si>
    <t>006000747190000000000000000000</t>
  </si>
  <si>
    <t>003013179390000000000000000000</t>
  </si>
  <si>
    <t>003016194940001000000000000000</t>
  </si>
  <si>
    <t>003015701070000000000000000000</t>
  </si>
  <si>
    <t>003015434750001000000000000000</t>
  </si>
  <si>
    <t>000010843270001000000000000000</t>
  </si>
  <si>
    <t>004011869720001000000000000000</t>
  </si>
  <si>
    <t>004013487190000000000000000000</t>
  </si>
  <si>
    <t>000000641230002000000000000000</t>
  </si>
  <si>
    <t>003213646200001000000000000000</t>
  </si>
  <si>
    <t>003216696960000000000000000000</t>
  </si>
  <si>
    <t>003017669780001000000000000000</t>
  </si>
  <si>
    <t>003015539900001000000000000000</t>
  </si>
  <si>
    <t>003017678040001000000000000000</t>
  </si>
  <si>
    <t>003011009210001000000000000000</t>
  </si>
  <si>
    <t>000000411590001000000000000000</t>
  </si>
  <si>
    <t>003012060660000000000000000000</t>
  </si>
  <si>
    <t>000010908030001000000000000000</t>
  </si>
  <si>
    <t>003012451400001000000000000000</t>
  </si>
  <si>
    <t>000017821860000000000010205473</t>
  </si>
  <si>
    <t>084014878610000000000000000000</t>
  </si>
  <si>
    <t>003001092860001000000000000000</t>
  </si>
  <si>
    <t>000010796980001000000000000000</t>
  </si>
  <si>
    <t>003214257190000000000000000000</t>
  </si>
  <si>
    <t>000010083110002000000000000000</t>
  </si>
  <si>
    <t>083015061390000000000000000000</t>
  </si>
  <si>
    <t>000016497660000000000001002866</t>
  </si>
  <si>
    <t>000016532730000000000001008628</t>
  </si>
  <si>
    <t>066015960600000000000000000000</t>
  </si>
  <si>
    <t>000017819530000000000001000444</t>
  </si>
  <si>
    <t>000016517750000000000010136134</t>
  </si>
  <si>
    <t>000016536280000000000010061151</t>
  </si>
  <si>
    <t>003014507450000000000000000000</t>
  </si>
  <si>
    <t>003012686220001000000000000000</t>
  </si>
  <si>
    <t>083214949350000000000000000000</t>
  </si>
  <si>
    <t>000016521640000000000069009221</t>
  </si>
  <si>
    <t>000016510340000000000001014346</t>
  </si>
  <si>
    <t>063016102480000000000000000000</t>
  </si>
  <si>
    <t>083215154230000000000000000000</t>
  </si>
  <si>
    <t>000000408700001000000000000000</t>
  </si>
  <si>
    <t>000016505150000000000001011727</t>
  </si>
  <si>
    <t>000016536290000000000010061152</t>
  </si>
  <si>
    <t>000016534880000000000001012938</t>
  </si>
  <si>
    <t>064016027290000000000000000000</t>
  </si>
  <si>
    <t>000016535280000000000010039472</t>
  </si>
  <si>
    <t>003017296900001000000000000000</t>
  </si>
  <si>
    <t>000016543580000000000069611024</t>
  </si>
  <si>
    <t>003216927250000000000000000000</t>
  </si>
  <si>
    <t>000016524690000000000690221119</t>
  </si>
  <si>
    <t>003012838540001000000000000000</t>
  </si>
  <si>
    <t>000014172820001000000000000000</t>
  </si>
  <si>
    <t>000016546330000000000069616411</t>
  </si>
  <si>
    <t>000017821660000000000010205026</t>
  </si>
  <si>
    <t>000016552350000000000200005614</t>
  </si>
  <si>
    <t>005000594460001000000000000000</t>
  </si>
  <si>
    <t>003015781940000000000000000000</t>
  </si>
  <si>
    <t>006011848420001000000000000000</t>
  </si>
  <si>
    <t>003015714220000000000000000000</t>
  </si>
  <si>
    <t>000016546160000000000069616171</t>
  </si>
  <si>
    <t>004013479640000000000000000000</t>
  </si>
  <si>
    <t>000000514150022000000000000000</t>
  </si>
  <si>
    <t>000016507810000000000001013128</t>
  </si>
  <si>
    <t>084014781010000000000000000000</t>
  </si>
  <si>
    <t>003017548330001000000000000000</t>
  </si>
  <si>
    <t>000017819810000000000001007637</t>
  </si>
  <si>
    <t>003013576180000000000000000000</t>
  </si>
  <si>
    <t>003015751150000000000000000000</t>
  </si>
  <si>
    <t>084014971460000000000000000000</t>
  </si>
  <si>
    <t>006000786420000000000000000000</t>
  </si>
  <si>
    <t>000016537030000000000010094682</t>
  </si>
  <si>
    <t>003013594140001000000000000000</t>
  </si>
  <si>
    <t>000017043300000000000000000000</t>
  </si>
  <si>
    <t>083014864630000000000000000000</t>
  </si>
  <si>
    <t>003011786500001000000000000000</t>
  </si>
  <si>
    <t>006000793690000000000000000000</t>
  </si>
  <si>
    <t>003016841010001000000000000000</t>
  </si>
  <si>
    <t>000016533660000000000001009560</t>
  </si>
  <si>
    <t>000016521200000000000061165151</t>
  </si>
  <si>
    <t>004015645840001000000000000000</t>
  </si>
  <si>
    <t>063216045100000000000000000000</t>
  </si>
  <si>
    <t>000017820260000000000010108296</t>
  </si>
  <si>
    <t>003011624290001000000000000000</t>
  </si>
  <si>
    <t>003015769450001000000000000000</t>
  </si>
  <si>
    <t>083014973770000000000000000000</t>
  </si>
  <si>
    <t>000016512650000000000001015696</t>
  </si>
  <si>
    <t>004013239210001000000000000000</t>
  </si>
  <si>
    <t>513011189480001000000000000000</t>
  </si>
  <si>
    <t>000010735900001000000000000000</t>
  </si>
  <si>
    <t>003014704880001000000000000000</t>
  </si>
  <si>
    <t>000000693380001000000000000000</t>
  </si>
  <si>
    <t>000016549370000000000069620071</t>
  </si>
  <si>
    <t>063015913580000000000000000000</t>
  </si>
  <si>
    <t>001200116620001000000000000000</t>
  </si>
  <si>
    <t>063016147670000000000000000000</t>
  </si>
  <si>
    <t>003016431500000000000000000000</t>
  </si>
  <si>
    <t>003013520820001000000000000000</t>
  </si>
  <si>
    <t>000016504230000000000001011273</t>
  </si>
  <si>
    <t>000016508750000000000001013572</t>
  </si>
  <si>
    <t>000016502140000000000001009842</t>
  </si>
  <si>
    <t>000016528850000000000001002071</t>
  </si>
  <si>
    <t>003013796550001000000000000000</t>
  </si>
  <si>
    <t>083015066900000000000000000000</t>
  </si>
  <si>
    <t>003012804040001000000000000000</t>
  </si>
  <si>
    <t>003017219670001000000000000000</t>
  </si>
  <si>
    <t>003017221430001000000000000000</t>
  </si>
  <si>
    <t>000016542950000000000069608571</t>
  </si>
  <si>
    <t>064015937630000000000000000000</t>
  </si>
  <si>
    <t>006000844990001000000000000000</t>
  </si>
  <si>
    <t>003216816030000000000000000000</t>
  </si>
  <si>
    <t>063216009170000000000000000000</t>
  </si>
  <si>
    <t>000017820450000000000010202802</t>
  </si>
  <si>
    <t>003001134980001000000000000000</t>
  </si>
  <si>
    <t>003016387070001000000000000000</t>
  </si>
  <si>
    <t>003013360900001000000000000000</t>
  </si>
  <si>
    <t>000016505030000000000001011687</t>
  </si>
  <si>
    <t>000016501050000000000001008589</t>
  </si>
  <si>
    <t>003000218600001000000000000000</t>
  </si>
  <si>
    <t>000010179350001000000000000000</t>
  </si>
  <si>
    <t>003017380280000000000000000000</t>
  </si>
  <si>
    <t>000016769750000000000020271236</t>
  </si>
  <si>
    <t>065015876110000000000000000000</t>
  </si>
  <si>
    <t>064016013390000000000000000000</t>
  </si>
  <si>
    <t>000016497600000000000001002817</t>
  </si>
  <si>
    <t>083014749900000000000000000000</t>
  </si>
  <si>
    <t>005000917630000000000000000000</t>
  </si>
  <si>
    <t>003016852380001000000000000000</t>
  </si>
  <si>
    <t>003000283400000000000000000000</t>
  </si>
  <si>
    <t>003015612310000000000000000000</t>
  </si>
  <si>
    <t>000016498920000000000001006154</t>
  </si>
  <si>
    <t>083015098800000000000000000000</t>
  </si>
  <si>
    <t>003014134360001000000000000000</t>
  </si>
  <si>
    <t>003017260940000000000000000000</t>
  </si>
  <si>
    <t>005000601020000000000000000000</t>
  </si>
  <si>
    <t>063015994870000000000000000000</t>
  </si>
  <si>
    <t>000017182870000000000000000000</t>
  </si>
  <si>
    <t>003213429300001000000000000000</t>
  </si>
  <si>
    <t>003215318140001000000000000000</t>
  </si>
  <si>
    <t>003015498510001000000000000000</t>
  </si>
  <si>
    <t>003017057420001000000000000000</t>
  </si>
  <si>
    <t>003215811920000000000000000000</t>
  </si>
  <si>
    <t>000017038390000000000000000000</t>
  </si>
  <si>
    <t>063016070780000000000000000000</t>
  </si>
  <si>
    <t>000016517890000000000010137333</t>
  </si>
  <si>
    <t>000017819780000000000001006273</t>
  </si>
  <si>
    <t>000016536790000000000010087522</t>
  </si>
  <si>
    <t>000016528570000000000001001685</t>
  </si>
  <si>
    <t>000000707870001000000000000000</t>
  </si>
  <si>
    <t>003016164900001000000000000000</t>
  </si>
  <si>
    <t>000010676340001000000000000000</t>
  </si>
  <si>
    <t>084015096150000000000000000000</t>
  </si>
  <si>
    <t>000016516270000000000010121684</t>
  </si>
  <si>
    <t>513011120750001000000000000000</t>
  </si>
  <si>
    <t>003016351780000000000000000000</t>
  </si>
  <si>
    <t>003014322940001000000000000000</t>
  </si>
  <si>
    <t>513000043620000000000000000000</t>
  </si>
  <si>
    <t>003011907430001000000000000000</t>
  </si>
  <si>
    <t>000016543540000000000069611011</t>
  </si>
  <si>
    <t>003016713540001000000000000000</t>
  </si>
  <si>
    <t>000017820570000000000010203097</t>
  </si>
  <si>
    <t>003012495980000000000000000000</t>
  </si>
  <si>
    <t>008000895500001000000000000000</t>
  </si>
  <si>
    <t>003017414510001000000000000000</t>
  </si>
  <si>
    <t>113011496770001000000000000000</t>
  </si>
  <si>
    <t>084015190460000000000000000000</t>
  </si>
  <si>
    <t>006000801020000000000000000000</t>
  </si>
  <si>
    <t>003016156850000000000000000000</t>
  </si>
  <si>
    <t>003412642590001000000000000000</t>
  </si>
  <si>
    <t>000016544550000000000069613691</t>
  </si>
  <si>
    <t>003013357250001000000000000000</t>
  </si>
  <si>
    <t>000016548860000000000069619451</t>
  </si>
  <si>
    <t>003012611420001000000000000000</t>
  </si>
  <si>
    <t>000016549190000000000069619881</t>
  </si>
  <si>
    <t>003015297310001000000000000000</t>
  </si>
  <si>
    <t>006000804410001000000000000000</t>
  </si>
  <si>
    <t>064016100310000000000000000000</t>
  </si>
  <si>
    <t>000017822210000000000200005859</t>
  </si>
  <si>
    <t>000017819910000000000001009980</t>
  </si>
  <si>
    <t>000016501330000000000001008836</t>
  </si>
  <si>
    <t>003013569610001000000000000000</t>
  </si>
  <si>
    <t>000016497560000000000001002690</t>
  </si>
  <si>
    <t>003012343040001000000000000000</t>
  </si>
  <si>
    <t>003017317340001000000000000000</t>
  </si>
  <si>
    <t>003017056010001000000000000000</t>
  </si>
  <si>
    <t>083215218120000000000000000000</t>
  </si>
  <si>
    <t>000016506440000000000001012394</t>
  </si>
  <si>
    <t>000014148140000000000000000000</t>
  </si>
  <si>
    <t>004001105400001000000000000000</t>
  </si>
  <si>
    <t>063015979260000000000000000000</t>
  </si>
  <si>
    <t>000016553610000000000200009834</t>
  </si>
  <si>
    <t>000000624200001000000000000000</t>
  </si>
  <si>
    <t>000016552880000000000200006781</t>
  </si>
  <si>
    <t>064015978420000000000000000000</t>
  </si>
  <si>
    <t>084015093390000000000000000000</t>
  </si>
  <si>
    <t>065015877210000000000000000000</t>
  </si>
  <si>
    <t>003016307520001000000000000000</t>
  </si>
  <si>
    <t>003014572090001000000000000000</t>
  </si>
  <si>
    <t>084014787200000000000000000000</t>
  </si>
  <si>
    <t>063016068240000000000000000000</t>
  </si>
  <si>
    <t>004015309680000000000000000000</t>
  </si>
  <si>
    <t>005000596000001000000000000000</t>
  </si>
  <si>
    <t>003016756730001000000000000000</t>
  </si>
  <si>
    <t>000017821550000000000010204840</t>
  </si>
  <si>
    <t>516000018850001000000000000000</t>
  </si>
  <si>
    <t>003013187700001000000000000000</t>
  </si>
  <si>
    <t>003216697180000000000000000000</t>
  </si>
  <si>
    <t>000016553070000000000200007623</t>
  </si>
  <si>
    <t>000017286810000000000001018450</t>
  </si>
  <si>
    <t>000000016880007000000000000000</t>
  </si>
  <si>
    <t>083014976920000000000000000000</t>
  </si>
  <si>
    <t>000010522080001000000000000000</t>
  </si>
  <si>
    <t>084014780230000000000000000000</t>
  </si>
  <si>
    <t>003014582590001000000000000000</t>
  </si>
  <si>
    <t>004015614650000000000000000000</t>
  </si>
  <si>
    <t>003012232800001000000000000000</t>
  </si>
  <si>
    <t>003015690980000000000000000000</t>
  </si>
  <si>
    <t>000016532780000000000001008663</t>
  </si>
  <si>
    <t>003013870430000000000000000000</t>
  </si>
  <si>
    <t>513000091180001000000000000000</t>
  </si>
  <si>
    <t>063015984990000000000000000000</t>
  </si>
  <si>
    <t>000016536540000000000010071102</t>
  </si>
  <si>
    <t>003013213690001000000000000000</t>
  </si>
  <si>
    <t>000016566320000000000690220408</t>
  </si>
  <si>
    <t>003012620830000000000000000000</t>
  </si>
  <si>
    <t>083014836980000000000000000000</t>
  </si>
  <si>
    <t>003214023680001000000000000000</t>
  </si>
  <si>
    <t>000017821740000000000010205224</t>
  </si>
  <si>
    <t>000010678780000000000000000000</t>
  </si>
  <si>
    <t>000016541540000000000069023371</t>
  </si>
  <si>
    <t>000016532650000000000001008542</t>
  </si>
  <si>
    <t>003016757990001000000000000000</t>
  </si>
  <si>
    <t>003011508420001000000000000000</t>
  </si>
  <si>
    <t>003014684910000000000000000000</t>
  </si>
  <si>
    <t>000016515220000000000010100042</t>
  </si>
  <si>
    <t>003015693020001000000000000000</t>
  </si>
  <si>
    <t>006000863460000000000000000000</t>
  </si>
  <si>
    <t>000016552800000000000200006445</t>
  </si>
  <si>
    <t>003216389580000000000000000000</t>
  </si>
  <si>
    <t>000016529550000000000001002821</t>
  </si>
  <si>
    <t>000016500210000000000001007712</t>
  </si>
  <si>
    <t>000000401890001000000000000000</t>
  </si>
  <si>
    <t>000017821540000000000010204783</t>
  </si>
  <si>
    <t>083015082530000000000000000000</t>
  </si>
  <si>
    <t>003011852680001000000000000000</t>
  </si>
  <si>
    <t>083215174110000000000000000000</t>
  </si>
  <si>
    <t>063015911070000000000000000000</t>
  </si>
  <si>
    <t>000017821510000000000010204733</t>
  </si>
  <si>
    <t>000016532380000000000001008231</t>
  </si>
  <si>
    <t>083015129010000000000000000000</t>
  </si>
  <si>
    <t>005001105250000000000000000000</t>
  </si>
  <si>
    <t>003000473990000000000000000000</t>
  </si>
  <si>
    <t>000016536930000000000010090983</t>
  </si>
  <si>
    <t>063016119030000000000000000000</t>
  </si>
  <si>
    <t>083215026310000000000000000000</t>
  </si>
  <si>
    <t>003011763730001000000000000000</t>
  </si>
  <si>
    <t>000010378730001000000000000000</t>
  </si>
  <si>
    <t>003016291910001000000000000000</t>
  </si>
  <si>
    <t>003012794700001000000000000000</t>
  </si>
  <si>
    <t>000016549460000000000069620161</t>
  </si>
  <si>
    <t>000016549350000000000069620051</t>
  </si>
  <si>
    <t>063015991910000000000000000000</t>
  </si>
  <si>
    <t>086014737390001000000000000000</t>
  </si>
  <si>
    <t>000000703720001000000000000000</t>
  </si>
  <si>
    <t>000016533410000000000001009303</t>
  </si>
  <si>
    <t>003016333070000000000000000000</t>
  </si>
  <si>
    <t>000017821470000000000010204693</t>
  </si>
  <si>
    <t>063015913910000000000000000000</t>
  </si>
  <si>
    <t>005001051880001000000000000000</t>
  </si>
  <si>
    <t>063016064120000000000000000000</t>
  </si>
  <si>
    <t>003015750630001000000000000000</t>
  </si>
  <si>
    <t>000016552830000000000200006503</t>
  </si>
  <si>
    <t>000000417130000000000000000000</t>
  </si>
  <si>
    <t>003016214000001000000000000000</t>
  </si>
  <si>
    <t>000000709940001000000000000000</t>
  </si>
  <si>
    <t>000016531990000000000001007562</t>
  </si>
  <si>
    <t>003011262880000000000000000000</t>
  </si>
  <si>
    <t>000016514680000000000010057422</t>
  </si>
  <si>
    <t>003016345560001000000000000000</t>
  </si>
  <si>
    <t>000016521330000000000062000951</t>
  </si>
  <si>
    <t>003017502430000000000000000000</t>
  </si>
  <si>
    <t>000016540500000000000069015384</t>
  </si>
  <si>
    <t>084014888470000000000000000000</t>
  </si>
  <si>
    <t>006000725800000000000000000000</t>
  </si>
  <si>
    <t>003011134470001000000000000000</t>
  </si>
  <si>
    <t>003016354220001000000000000000</t>
  </si>
  <si>
    <t>000016535130000000000010025392</t>
  </si>
  <si>
    <t>003015522760001000000000000000</t>
  </si>
  <si>
    <t>003016526490001000000000000000</t>
  </si>
  <si>
    <t>000016548530000000000069619051</t>
  </si>
  <si>
    <t>003010946530001000000000000000</t>
  </si>
  <si>
    <t>000017820740000000000010203413</t>
  </si>
  <si>
    <t>000017038380000000000000000000</t>
  </si>
  <si>
    <t>000010364500001000000000000000</t>
  </si>
  <si>
    <t>063016128870000000000000000000</t>
  </si>
  <si>
    <t>000010638040001000000000000000</t>
  </si>
  <si>
    <t>064015986330000000000000000000</t>
  </si>
  <si>
    <t>513011269290001000000000000000</t>
  </si>
  <si>
    <t>003214357720000000000000000000</t>
  </si>
  <si>
    <t>003011704560000000000000000000</t>
  </si>
  <si>
    <t>000014693010000000000000000000</t>
  </si>
  <si>
    <t>003016933280001000000000000000</t>
  </si>
  <si>
    <t>000016529990000000000001004202</t>
  </si>
  <si>
    <t>003015460110001000000000000000</t>
  </si>
  <si>
    <t>086014719540000000000000000000</t>
  </si>
  <si>
    <t>003017387280000000000000000000</t>
  </si>
  <si>
    <t>003416770520001000000000000000</t>
  </si>
  <si>
    <t>000010644530000000000000000000</t>
  </si>
  <si>
    <t>003015292080000000000000000000</t>
  </si>
  <si>
    <t>000016511430000000000001014868</t>
  </si>
  <si>
    <t>083014740060001000000000000000</t>
  </si>
  <si>
    <t>003015449050000000000000000000</t>
  </si>
  <si>
    <t>000010378470000000000000000000</t>
  </si>
  <si>
    <t>005000597310001000000000000000</t>
  </si>
  <si>
    <t>084014981960000000000000000000</t>
  </si>
  <si>
    <t>083015067510000000000000000000</t>
  </si>
  <si>
    <t>003011271910000000000000000000</t>
  </si>
  <si>
    <t>000017821610000000000010204924</t>
  </si>
  <si>
    <t>003014714860001000000000000000</t>
  </si>
  <si>
    <t>083015179650000000000000000000</t>
  </si>
  <si>
    <t>003012237930000000000000000000</t>
  </si>
  <si>
    <t>000017821040000000000010204022</t>
  </si>
  <si>
    <t>000010028950000000000000000000</t>
  </si>
  <si>
    <t>003001144650001000000000000000</t>
  </si>
  <si>
    <t>063016116390000000000000000000</t>
  </si>
  <si>
    <t>003016753260001000000000000000</t>
  </si>
  <si>
    <t>003017827500001000000000000000</t>
  </si>
  <si>
    <t>000016539530000000000062004071</t>
  </si>
  <si>
    <t>003012795530001000000000000000</t>
  </si>
  <si>
    <t>000000513030111000000000000000</t>
  </si>
  <si>
    <t>003015814630001000000000000000</t>
  </si>
  <si>
    <t>003015631910001000000000000000</t>
  </si>
  <si>
    <t>003017558410000000000000000000</t>
  </si>
  <si>
    <t>003015734340001000000000000000</t>
  </si>
  <si>
    <t>083214962620000000000000000000</t>
  </si>
  <si>
    <t>006000812810000000000000000000</t>
  </si>
  <si>
    <t>000016500960000000000001008532</t>
  </si>
  <si>
    <t>000016532910000000000001008869</t>
  </si>
  <si>
    <t>000016497410000000000001002474</t>
  </si>
  <si>
    <t>000016500020000000000001007447</t>
  </si>
  <si>
    <t>063216005120000000000000000000</t>
  </si>
  <si>
    <t>003015253460000000000000000000</t>
  </si>
  <si>
    <t>003011649500000000000000000000</t>
  </si>
  <si>
    <t>000016528680000000000001001874</t>
  </si>
  <si>
    <t>003015662600001000000000000000</t>
  </si>
  <si>
    <t>000000706160001000000000000000</t>
  </si>
  <si>
    <t>003017622160000000000000000000</t>
  </si>
  <si>
    <t>003216915990001000000000000000</t>
  </si>
  <si>
    <t>000017821410000000000010204644</t>
  </si>
  <si>
    <t>003014335340000000000000000000</t>
  </si>
  <si>
    <t>000017038400000000000000000000</t>
  </si>
  <si>
    <t>000016499750000000000001007110</t>
  </si>
  <si>
    <t>000016533590000000000001009525</t>
  </si>
  <si>
    <t>003000314230000000000000000000</t>
  </si>
  <si>
    <t>000016540600000000000069016073</t>
  </si>
  <si>
    <t>084014800420000000000000000000</t>
  </si>
  <si>
    <t>003015457570001000000000000000</t>
  </si>
  <si>
    <t>006015616960000000000000000000</t>
  </si>
  <si>
    <t>003014197570001000000000000000</t>
  </si>
  <si>
    <t>000016512340000000000001015382</t>
  </si>
  <si>
    <t>513011228920001000000000000000</t>
  </si>
  <si>
    <t>003015531470001000000000000000</t>
  </si>
  <si>
    <t>513011450840001000000000000000</t>
  </si>
  <si>
    <t>000000401790001000000000000000</t>
  </si>
  <si>
    <t>000017820670000000000010203282</t>
  </si>
  <si>
    <t>003000292760000000000000000000</t>
  </si>
  <si>
    <t>003412919510000000000000000000</t>
  </si>
  <si>
    <t>000016851650000000000000000000</t>
  </si>
  <si>
    <t>086015036170000000000000000000</t>
  </si>
  <si>
    <t>003015322070001000000000000000</t>
  </si>
  <si>
    <t>005000667590000000000000000000</t>
  </si>
  <si>
    <t>084014942460000000000000000000</t>
  </si>
  <si>
    <t>004016920150001000000000000000</t>
  </si>
  <si>
    <t>000016497130000000000001001998</t>
  </si>
  <si>
    <t>000016529210000000000001002435</t>
  </si>
  <si>
    <t>000016509880000000000001014148</t>
  </si>
  <si>
    <t>000016497770000000000001002934</t>
  </si>
  <si>
    <t>005000599740000000000000000000</t>
  </si>
  <si>
    <t>000010620890002000000000000000</t>
  </si>
  <si>
    <t>003012636590001000000000000000</t>
  </si>
  <si>
    <t>003013058580001000000000000000</t>
  </si>
  <si>
    <t>003016400810001000000000000000</t>
  </si>
  <si>
    <t>003012013580000000000000000000</t>
  </si>
  <si>
    <t>000010887420001000000000000000</t>
  </si>
  <si>
    <t>003014301600001000000000000000</t>
  </si>
  <si>
    <t>003012356650001000000000000000</t>
  </si>
  <si>
    <t>006000714080001000000000000000</t>
  </si>
  <si>
    <t>000016524470000000000690221019</t>
  </si>
  <si>
    <t>003017382600001000000000000000</t>
  </si>
  <si>
    <t>513000018650001000000000000000</t>
  </si>
  <si>
    <t>084014998920000000000000000000</t>
  </si>
  <si>
    <t>003015649860001000000000000000</t>
  </si>
  <si>
    <t>083014956110000000000000000000</t>
  </si>
  <si>
    <t>000016595590000000000010166892</t>
  </si>
  <si>
    <t>003012483780001000000000000000</t>
  </si>
  <si>
    <t>003016987760001000000000000000</t>
  </si>
  <si>
    <t>000000760140001000000000000000</t>
  </si>
  <si>
    <t>000000714870001000000000000000</t>
  </si>
  <si>
    <t>003012482200001000000000000000</t>
  </si>
  <si>
    <t>003013705880001000000000000000</t>
  </si>
  <si>
    <t>003011666960001000000000000000</t>
  </si>
  <si>
    <t>003016810670001000000000000000</t>
  </si>
  <si>
    <t>003016559970001000000000000000</t>
  </si>
  <si>
    <t>003013548030001000000000000000</t>
  </si>
  <si>
    <t>003015582630001000000000000000</t>
  </si>
  <si>
    <t>064015959030000000000000000000</t>
  </si>
  <si>
    <t>000010555350001000000000000000</t>
  </si>
  <si>
    <t>003216696940000000000000000000</t>
  </si>
  <si>
    <t>063016003060000000000000000000</t>
  </si>
  <si>
    <t>003016296560001000000000000000</t>
  </si>
  <si>
    <t>004015252270000000000000000000</t>
  </si>
  <si>
    <t>514011542710000000000000000000</t>
  </si>
  <si>
    <t>000016530130000000000001004421</t>
  </si>
  <si>
    <t>003017491040001000000000000000</t>
  </si>
  <si>
    <t>003014072550000000000000000000</t>
  </si>
  <si>
    <t>003016808160001000000000000000</t>
  </si>
  <si>
    <t>005000598560001000000000000000</t>
  </si>
  <si>
    <t>003011909950001000000000000000</t>
  </si>
  <si>
    <t>084014962380000000000000000000</t>
  </si>
  <si>
    <t>003014581350000000000000000000</t>
  </si>
  <si>
    <t>000016513530000000000001016236</t>
  </si>
  <si>
    <t>513011347040001000000000000000</t>
  </si>
  <si>
    <t>000017102520000000000010014162</t>
  </si>
  <si>
    <t>003014254980000000000000000000</t>
  </si>
  <si>
    <t>083015095380000000000000000000</t>
  </si>
  <si>
    <t>003013189410000000000000000000</t>
  </si>
  <si>
    <t>000011161780000000000000000000</t>
  </si>
  <si>
    <t>000017821010000000000010203908</t>
  </si>
  <si>
    <t>003411997770001000000000000000</t>
  </si>
  <si>
    <t>000010344450001000000000000000</t>
  </si>
  <si>
    <t>003014505440000000000000000000</t>
  </si>
  <si>
    <t>005000647040000000000000000000</t>
  </si>
  <si>
    <t>003214053250000000000000000000</t>
  </si>
  <si>
    <t>003013119840001000000000000000</t>
  </si>
  <si>
    <t>003014575640001000000000000000</t>
  </si>
  <si>
    <t>000000753200001000000000000000</t>
  </si>
  <si>
    <t>004014262460001000000000000000</t>
  </si>
  <si>
    <t>000017822260000000000200007745</t>
  </si>
  <si>
    <t>003011732360000000000000000000</t>
  </si>
  <si>
    <t>084014893130000000000000000000</t>
  </si>
  <si>
    <t>005000594160000000000000000000</t>
  </si>
  <si>
    <t>003015388120001000000000000000</t>
  </si>
  <si>
    <t>005000649160000000000000000000</t>
  </si>
  <si>
    <t>513000078180001000000000000000</t>
  </si>
  <si>
    <t>003017209080000000000000000000</t>
  </si>
  <si>
    <t>000016550760000000000069621771</t>
  </si>
  <si>
    <t>003010974200000000000000000000</t>
  </si>
  <si>
    <t>003016230690001000000000000000</t>
  </si>
  <si>
    <t>003017344450000000000000000000</t>
  </si>
  <si>
    <t>000010843790000000000000000000</t>
  </si>
  <si>
    <t>006000820190001000000000000000</t>
  </si>
  <si>
    <t>063016090610000000000000000000</t>
  </si>
  <si>
    <t>064015969260001000000000000000</t>
  </si>
  <si>
    <t>003013763040001000000000000000</t>
  </si>
  <si>
    <t>063015910290000000000000000000</t>
  </si>
  <si>
    <t>000017038550000000000000000000</t>
  </si>
  <si>
    <t>003016449270001000000000000000</t>
  </si>
  <si>
    <t>000016497470000000000001002591</t>
  </si>
  <si>
    <t>003015526300000000000000000000</t>
  </si>
  <si>
    <t>083014769270000000000000000000</t>
  </si>
  <si>
    <t>003014676830000000000000000000</t>
  </si>
  <si>
    <t>003013268760001000000000000000</t>
  </si>
  <si>
    <t>003000394080000000000000000000</t>
  </si>
  <si>
    <t>000016533260000000000001009160</t>
  </si>
  <si>
    <t>086014741050000000000000000000</t>
  </si>
  <si>
    <t>003217051700000000000000000000</t>
  </si>
  <si>
    <t>084014859600000000000000000000</t>
  </si>
  <si>
    <t>063016119460000000000000000000</t>
  </si>
  <si>
    <t>000016524740000000000690221130</t>
  </si>
  <si>
    <t>003016223000001000000000000000</t>
  </si>
  <si>
    <t>064015990900000000000000000000</t>
  </si>
  <si>
    <t>000016531490000000000001006676</t>
  </si>
  <si>
    <t>003014557450000000000000000000</t>
  </si>
  <si>
    <t>000016499760000000000001007112</t>
  </si>
  <si>
    <t>000017822310000000000200008540</t>
  </si>
  <si>
    <t>005001015190001000000000000000</t>
  </si>
  <si>
    <t>003016289000001000000000000000</t>
  </si>
  <si>
    <t>004000580210001000000000000000</t>
  </si>
  <si>
    <t>004015598230001000000000000000</t>
  </si>
  <si>
    <t>086014767340000000000000000000</t>
  </si>
  <si>
    <t>003012760230001000000000000000</t>
  </si>
  <si>
    <t>003012906630000000000000000000</t>
  </si>
  <si>
    <t>000016522060000000000069609881</t>
  </si>
  <si>
    <t>000000508670002000000000000000</t>
  </si>
  <si>
    <t>000000098180001000000000000000</t>
  </si>
  <si>
    <t>000017822030000000000010206954</t>
  </si>
  <si>
    <t>000010570280000000000000000000</t>
  </si>
  <si>
    <t>003016165340001000000000000000</t>
  </si>
  <si>
    <t>003012592230001000000000000000</t>
  </si>
  <si>
    <t>084015204310000000000000000000</t>
  </si>
  <si>
    <t>003011567460001000000000000000</t>
  </si>
  <si>
    <t>003016234760001000000000000000</t>
  </si>
  <si>
    <t>000016547160000000000069617471</t>
  </si>
  <si>
    <t>003016583850001000000000000000</t>
  </si>
  <si>
    <t>000016504540000000000001011432</t>
  </si>
  <si>
    <t>513011239130001000000000000000</t>
  </si>
  <si>
    <t>004001171000000000000000000000</t>
  </si>
  <si>
    <t>003017574270001000000000000000</t>
  </si>
  <si>
    <t>003000278280000000000000000000</t>
  </si>
  <si>
    <t>003216461580000000000000000000</t>
  </si>
  <si>
    <t>006000729220000000000000000000</t>
  </si>
  <si>
    <t>000016501920000000000001009498</t>
  </si>
  <si>
    <t>003016174130001000000000000000</t>
  </si>
  <si>
    <t>000000029260008000000000000000</t>
  </si>
  <si>
    <t>003016351030001000000000000000</t>
  </si>
  <si>
    <t>084014920660000000000000000000</t>
  </si>
  <si>
    <t>000016540240000000000069011112</t>
  </si>
  <si>
    <t>000016501070000000000001008604</t>
  </si>
  <si>
    <t>003014616200000000000000000000</t>
  </si>
  <si>
    <t>000000288030001000000000000000</t>
  </si>
  <si>
    <t>000010246010032000000000000000</t>
  </si>
  <si>
    <t>003015237940000000000000000000</t>
  </si>
  <si>
    <t>000010525680000000000000000000</t>
  </si>
  <si>
    <t>000000407990000000000000000000</t>
  </si>
  <si>
    <t>006000813680001000000000000000</t>
  </si>
  <si>
    <t>003013868910000000000000000000</t>
  </si>
  <si>
    <t>084014790290000000000000000000</t>
  </si>
  <si>
    <t>003013097360000000000000000000</t>
  </si>
  <si>
    <t>000017821530000000000010204780</t>
  </si>
  <si>
    <t>003014297570001000000000000000</t>
  </si>
  <si>
    <t>000016523220000000000200009820</t>
  </si>
  <si>
    <t>513011162540001000000000000000</t>
  </si>
  <si>
    <t>003017380000001000000000000000</t>
  </si>
  <si>
    <t>009015409690027000000000000000</t>
  </si>
  <si>
    <t>083014880060000000000000000000</t>
  </si>
  <si>
    <t>003015480460000000000000000000</t>
  </si>
  <si>
    <t>000016540530000000000069015591</t>
  </si>
  <si>
    <t>069016069190000000000000000000</t>
  </si>
  <si>
    <t>000016543140000000000069609681</t>
  </si>
  <si>
    <t>000017819520000000000001000284</t>
  </si>
  <si>
    <t>000000684520001000000000000000</t>
  </si>
  <si>
    <t>000016546420000000000069616541</t>
  </si>
  <si>
    <t>000016497180000000000001002051</t>
  </si>
  <si>
    <t>003012430190001000000000000000</t>
  </si>
  <si>
    <t>000010048200000000000000000000</t>
  </si>
  <si>
    <t>000000370330001000000000000000</t>
  </si>
  <si>
    <t>000010559930000000000000000000</t>
  </si>
  <si>
    <t>003015420740001000000000000000</t>
  </si>
  <si>
    <t>000010669460001000000000000000</t>
  </si>
  <si>
    <t>084014883540000000000000000000</t>
  </si>
  <si>
    <t>000016498010000000000001003995</t>
  </si>
  <si>
    <t>000016538320000000000061024022</t>
  </si>
  <si>
    <t>003016243770000000000000000000</t>
  </si>
  <si>
    <t>003015638740001000000000000000</t>
  </si>
  <si>
    <t>000010831730000000000000000000</t>
  </si>
  <si>
    <t>000017822220000000000200005866</t>
  </si>
  <si>
    <t>064015988140000000000000000000</t>
  </si>
  <si>
    <t>003017073150000000000000000000</t>
  </si>
  <si>
    <t>083015056930000000000000000000</t>
  </si>
  <si>
    <t>000016516710000000000010127527</t>
  </si>
  <si>
    <t>000000407650001000000000000000</t>
  </si>
  <si>
    <t>003001324270001000000000000000</t>
  </si>
  <si>
    <t>003010979970000000000000000000</t>
  </si>
  <si>
    <t>003001044390001000000000000000</t>
  </si>
  <si>
    <t>000010389130000000000000000000</t>
  </si>
  <si>
    <t>000016534240000000000001010802</t>
  </si>
  <si>
    <t>063216090410000000000000000000</t>
  </si>
  <si>
    <t>000016515080000000000010090384</t>
  </si>
  <si>
    <t>063015904910000000000000000000</t>
  </si>
  <si>
    <t>006015616780000000000000000000</t>
  </si>
  <si>
    <t>003017297870001000000000000000</t>
  </si>
  <si>
    <t>003017245380001000000000000000</t>
  </si>
  <si>
    <t>005001040420001000000000000000</t>
  </si>
  <si>
    <t>004015605270000000000000000000</t>
  </si>
  <si>
    <t>006000737480001000000000000000</t>
  </si>
  <si>
    <t>000016535170000000000010029912</t>
  </si>
  <si>
    <t>005000672940000000000000000000</t>
  </si>
  <si>
    <t>003016428540001000000000000000</t>
  </si>
  <si>
    <t>000016548700000000000069619281</t>
  </si>
  <si>
    <t>000016519610000000000010153462</t>
  </si>
  <si>
    <t>000016506850000000000001012635</t>
  </si>
  <si>
    <t>084014910110000000000000000000</t>
  </si>
  <si>
    <t>000016497170000000000001002044</t>
  </si>
  <si>
    <t>003011134490001000000000000000</t>
  </si>
  <si>
    <t>003012222090001000000000000000</t>
  </si>
  <si>
    <t>000016534610000000000001011843</t>
  </si>
  <si>
    <t>064015995770000000000000000000</t>
  </si>
  <si>
    <t>000016539060000000000062000991</t>
  </si>
  <si>
    <t>003014275400000000000000000000</t>
  </si>
  <si>
    <t>003015394610001000000000000000</t>
  </si>
  <si>
    <t>003012646500001000000000000000</t>
  </si>
  <si>
    <t>084014845280000000000000000000</t>
  </si>
  <si>
    <t>000016515230000000000010100043</t>
  </si>
  <si>
    <t>000016533140000000000001008998</t>
  </si>
  <si>
    <t>000016535440000000000010045682</t>
  </si>
  <si>
    <t>000016522720000000000200007747</t>
  </si>
  <si>
    <t>000000713580001000000000000000</t>
  </si>
  <si>
    <t>003014062290000000000000000000</t>
  </si>
  <si>
    <t>000016533080000000000001008946</t>
  </si>
  <si>
    <t>003017136740001000000000000000</t>
  </si>
  <si>
    <t>000017820170000000000010100550</t>
  </si>
  <si>
    <t>005012546210001000000000000000</t>
  </si>
  <si>
    <t>003011432200000000000000000000</t>
  </si>
  <si>
    <t>004017212920001000000000000000</t>
  </si>
  <si>
    <t>000016537680000000000010107630</t>
  </si>
  <si>
    <t>003216907920000000000000000000</t>
  </si>
  <si>
    <t>003014545340000000000000000000</t>
  </si>
  <si>
    <t>003015283920000000000000000000</t>
  </si>
  <si>
    <t>003011825740000000000000000000</t>
  </si>
  <si>
    <t>003017317470000000000000000000</t>
  </si>
  <si>
    <t>000016566280000000000001016511</t>
  </si>
  <si>
    <t>000016540710000000000069016431</t>
  </si>
  <si>
    <t>003016616650001000000000000000</t>
  </si>
  <si>
    <t>000016540420000000000069014791</t>
  </si>
  <si>
    <t>000016552520000000000200005977</t>
  </si>
  <si>
    <t>000016529410000000000001002645</t>
  </si>
  <si>
    <t>083015193550001000000000000000</t>
  </si>
  <si>
    <t>003012681290000000000000000000</t>
  </si>
  <si>
    <t>004016741380000000000000000000</t>
  </si>
  <si>
    <t>003016172370000000000000000000</t>
  </si>
  <si>
    <t>513000053070001000000000000000</t>
  </si>
  <si>
    <t>003016690000001000000000000000</t>
  </si>
  <si>
    <t>000017820870000000000010203652</t>
  </si>
  <si>
    <t>003015472330000000000000000000</t>
  </si>
  <si>
    <t>000000700130001000000000000000</t>
  </si>
  <si>
    <t>084014888600000000000000000000</t>
  </si>
  <si>
    <t>004000563840000000000000000000</t>
  </si>
  <si>
    <t>000016533470000000000001009347</t>
  </si>
  <si>
    <t>003017180750001000000000000000</t>
  </si>
  <si>
    <t>003015437430001000000000000000</t>
  </si>
  <si>
    <t>003015232090000000000000000000</t>
  </si>
  <si>
    <t>000016510190000000000001014297</t>
  </si>
  <si>
    <t>000016550740000000000069621751</t>
  </si>
  <si>
    <t>000016501700000000000001009226</t>
  </si>
  <si>
    <t>003012796610001000000000000000</t>
  </si>
  <si>
    <t>003016954650001000000000000000</t>
  </si>
  <si>
    <t>003016879140000000000000000000</t>
  </si>
  <si>
    <t>003217202370000000000000000000</t>
  </si>
  <si>
    <t>003016308250001000000000000000</t>
  </si>
  <si>
    <t>000010845050001000000000000000</t>
  </si>
  <si>
    <t>003213543020001000000000000000</t>
  </si>
  <si>
    <t>000000640390001000000000000000</t>
  </si>
  <si>
    <t>000017819790000000000001006704</t>
  </si>
  <si>
    <t>000016552530000000000200005990</t>
  </si>
  <si>
    <t>000010616860000000000000000000</t>
  </si>
  <si>
    <t>003015487390001000000000000000</t>
  </si>
  <si>
    <t>084014747230000000000000000000</t>
  </si>
  <si>
    <t>000017821750000000000010205226</t>
  </si>
  <si>
    <t>000000339120001000000000000000</t>
  </si>
  <si>
    <t>000010689920001000000000000000</t>
  </si>
  <si>
    <t>003011130630000000000000000000</t>
  </si>
  <si>
    <t>003016702050001000000000000000</t>
  </si>
  <si>
    <t>069016069200000000000000000000</t>
  </si>
  <si>
    <t>000000401950001000000000000000</t>
  </si>
  <si>
    <t>000016497930000000000001003632</t>
  </si>
  <si>
    <t>000016552720000000000200006275</t>
  </si>
  <si>
    <t>003014657620000000000000000000</t>
  </si>
  <si>
    <t>003014056770001000000000000000</t>
  </si>
  <si>
    <t>003013112500001000000000000000</t>
  </si>
  <si>
    <t>003017743070001000000000000000</t>
  </si>
  <si>
    <t>000010656250000000000000000000</t>
  </si>
  <si>
    <t>004013005400001000000000000000</t>
  </si>
  <si>
    <t>003011339600001000000000000000</t>
  </si>
  <si>
    <t>000016550880000000000069621911</t>
  </si>
  <si>
    <t>003001337200000000000000000000</t>
  </si>
  <si>
    <t>003012076500000000000000000000</t>
  </si>
  <si>
    <t>064015962150000000000000000000</t>
  </si>
  <si>
    <t>000016538310000000000061024021</t>
  </si>
  <si>
    <t>000016508690000000000001013545</t>
  </si>
  <si>
    <t>083015167340000000000000000000</t>
  </si>
  <si>
    <t>003013912770001000000000000000</t>
  </si>
  <si>
    <t>000017821440000000000010204662</t>
  </si>
  <si>
    <t>003012570810001000000000000000</t>
  </si>
  <si>
    <t>003013041540000000000000000000</t>
  </si>
  <si>
    <t>063016102150000000000000000000</t>
  </si>
  <si>
    <t>000017819590000000000001001807</t>
  </si>
  <si>
    <t>000000760040000000000000000000</t>
  </si>
  <si>
    <t>003016321990000000000000000000</t>
  </si>
  <si>
    <t>083215143500000000000000000000</t>
  </si>
  <si>
    <t>003011175280001000000000000000</t>
  </si>
  <si>
    <t>003014343910001000000000000000</t>
  </si>
  <si>
    <t>004015602840000000000000000000</t>
  </si>
  <si>
    <t>000010728850001000000000000000</t>
  </si>
  <si>
    <t>005000597810000000000000000000</t>
  </si>
  <si>
    <t>003011785400001000000000000000</t>
  </si>
  <si>
    <t>009112606660033000000000000000</t>
  </si>
  <si>
    <t>003013984370001000000000000000</t>
  </si>
  <si>
    <t>000016502560000000000001010199</t>
  </si>
  <si>
    <t>000014144360000000000000000000</t>
  </si>
  <si>
    <t>000016552680000000000200006231</t>
  </si>
  <si>
    <t>000016532590000000000001008457</t>
  </si>
  <si>
    <t>003016597570001000000000000000</t>
  </si>
  <si>
    <t>000016529000000000000001002211</t>
  </si>
  <si>
    <t>000010224990000000000000000000</t>
  </si>
  <si>
    <t>000016496950000000000001001175</t>
  </si>
  <si>
    <t>000016529280000000000001002516</t>
  </si>
  <si>
    <t>000016515870000000000010115873</t>
  </si>
  <si>
    <t>084014766280000000000000000000</t>
  </si>
  <si>
    <t>063015888980000000000000000000</t>
  </si>
  <si>
    <t>000010821390001000000000000000</t>
  </si>
  <si>
    <t>083015014170000000000000000000</t>
  </si>
  <si>
    <t>003001212320001000000000000000</t>
  </si>
  <si>
    <t>063215926260000000000000000000</t>
  </si>
  <si>
    <t>003012645040001000000000000000</t>
  </si>
  <si>
    <t>003015806350001000000000000000</t>
  </si>
  <si>
    <t>000016531700000000000001007074</t>
  </si>
  <si>
    <t>000016501250000000000001008753</t>
  </si>
  <si>
    <t>083015097440000000000000000000</t>
  </si>
  <si>
    <t>003016321290000000000000000000</t>
  </si>
  <si>
    <t>003016558230001000000000000000</t>
  </si>
  <si>
    <t>003012931830001000000000000000</t>
  </si>
  <si>
    <t>000016497440000000000001002542</t>
  </si>
  <si>
    <t>009016666850000000000000000000</t>
  </si>
  <si>
    <t>005000621570000000000000000000</t>
  </si>
  <si>
    <t>000016169330000000000000000000</t>
  </si>
  <si>
    <t>003001280150001000000000000000</t>
  </si>
  <si>
    <t>003216460460001000000000000000</t>
  </si>
  <si>
    <t>000016538510000000000061078901</t>
  </si>
  <si>
    <t>003015715330001000000000000000</t>
  </si>
  <si>
    <t>000000315350001000000000000000</t>
  </si>
  <si>
    <t>003000279210000000000000000000</t>
  </si>
  <si>
    <t>083015138220000000000000000000</t>
  </si>
  <si>
    <t>000016540540000000000069015761</t>
  </si>
  <si>
    <t>003011812780000000000000000000</t>
  </si>
  <si>
    <t>063015986430000000000000000000</t>
  </si>
  <si>
    <t>003011813640001000000000000000</t>
  </si>
  <si>
    <t>003013758200000000000000000000</t>
  </si>
  <si>
    <t>000017821760000000000010205238</t>
  </si>
  <si>
    <t>003213431190001000000000000000</t>
  </si>
  <si>
    <t>003014447690000000000000000000</t>
  </si>
  <si>
    <t>003012919430001000000000000000</t>
  </si>
  <si>
    <t>003013189500000000000000000000</t>
  </si>
  <si>
    <t>000010763940000000000000000000</t>
  </si>
  <si>
    <t>000010914380001000000000000000</t>
  </si>
  <si>
    <t>000016552340000000000200005590</t>
  </si>
  <si>
    <t>000016551020000000000069622061</t>
  </si>
  <si>
    <t>003016228680000000000000000000</t>
  </si>
  <si>
    <t>084014946260000000000000000000</t>
  </si>
  <si>
    <t>003016488630001000000000000000</t>
  </si>
  <si>
    <t>003014684120001000000000000000</t>
  </si>
  <si>
    <t>000010540460000000000000000000</t>
  </si>
  <si>
    <t>003011477320001000000000000000</t>
  </si>
  <si>
    <t>000014141520000000000000000000</t>
  </si>
  <si>
    <t>000016533480000000000001009349</t>
  </si>
  <si>
    <t>000010746170001000000000000000</t>
  </si>
  <si>
    <t>063015898540000000000000000000</t>
  </si>
  <si>
    <t>003014421840001000000000000000</t>
  </si>
  <si>
    <t>000017038540000000000000000000</t>
  </si>
  <si>
    <t>003014452150001000000000000000</t>
  </si>
  <si>
    <t>003016602230000000000000000000</t>
  </si>
  <si>
    <t>063016108380000000000000000000</t>
  </si>
  <si>
    <t>003000300740000000000000000000</t>
  </si>
  <si>
    <t>000017037850000000000000000000</t>
  </si>
  <si>
    <t>000016534450000000000001011362</t>
  </si>
  <si>
    <t>003017363050000000000000000000</t>
  </si>
  <si>
    <t>063015878290000000000000000000</t>
  </si>
  <si>
    <t>000016553210000000000200008201</t>
  </si>
  <si>
    <t>000010130100001000000000000000</t>
  </si>
  <si>
    <t>083014953650001000000000000000</t>
  </si>
  <si>
    <t>004013494970001000000000000000</t>
  </si>
  <si>
    <t>003016178090000000000000000000</t>
  </si>
  <si>
    <t>003213330520001000000000000000</t>
  </si>
  <si>
    <t>086014764700000000000000000000</t>
  </si>
  <si>
    <t>000017820470000000000010202817</t>
  </si>
  <si>
    <t>003013022660001000000000000000</t>
  </si>
  <si>
    <t>083014933250001000000000000000</t>
  </si>
  <si>
    <t>000016523080000000000200009254</t>
  </si>
  <si>
    <t>113011109720000000000000000000</t>
  </si>
  <si>
    <t>000016553660000000000200010028</t>
  </si>
  <si>
    <t>003015709800001000000000000000</t>
  </si>
  <si>
    <t>000016504250000000000001011283</t>
  </si>
  <si>
    <t>000016502250000000000001009968</t>
  </si>
  <si>
    <t>000017093370000000000000000000</t>
  </si>
  <si>
    <t>003016574400000000000000000000</t>
  </si>
  <si>
    <t>000016523120000000000200009347</t>
  </si>
  <si>
    <t>003017194450001000000000000000</t>
  </si>
  <si>
    <t>003013901550001000000000000000</t>
  </si>
  <si>
    <t>003014454740001000000000000000</t>
  </si>
  <si>
    <t>000016544320000000000069613311</t>
  </si>
  <si>
    <t>003216932200000000000000000000</t>
  </si>
  <si>
    <t>003401252670000000000000000000</t>
  </si>
  <si>
    <t>083015085150000000000000000000</t>
  </si>
  <si>
    <t>003015561470001000000000000000</t>
  </si>
  <si>
    <t>000016533770000000000001009679</t>
  </si>
  <si>
    <t>000000408450001000000000000000</t>
  </si>
  <si>
    <t>084014962820000000000000000000</t>
  </si>
  <si>
    <t>000016553490000000000200009065</t>
  </si>
  <si>
    <t>084014970000000000000000000000</t>
  </si>
  <si>
    <t>003015538780001000000000000000</t>
  </si>
  <si>
    <t>005000703680000000000000000000</t>
  </si>
  <si>
    <t>005000609580001000000000000000</t>
  </si>
  <si>
    <t>003001223450001000000000000000</t>
  </si>
  <si>
    <t>000016522320000000000200005968</t>
  </si>
  <si>
    <t>003014235820000000000000000000</t>
  </si>
  <si>
    <t>000016498620000000000001005638</t>
  </si>
  <si>
    <t>064015882920000000000000000000</t>
  </si>
  <si>
    <t>000000399780000000000000000000</t>
  </si>
  <si>
    <t>000016540610000000000069016074</t>
  </si>
  <si>
    <t>003015241780000000000000000000</t>
  </si>
  <si>
    <t>005000615140000000000000000000</t>
  </si>
  <si>
    <t>000016519890000000000010154793</t>
  </si>
  <si>
    <t>003016266960001000000000000000</t>
  </si>
  <si>
    <t>003015294760000000000000000000</t>
  </si>
  <si>
    <t>003011894600001000000000000000</t>
  </si>
  <si>
    <t>000016528960000000000001002177</t>
  </si>
  <si>
    <t>063216090380000000000000000000</t>
  </si>
  <si>
    <t>000016497280000000000001002255</t>
  </si>
  <si>
    <t>003217323560000000000000000000</t>
  </si>
  <si>
    <t>003013049180001000000000000000</t>
  </si>
  <si>
    <t>000016498560000000000001005459</t>
  </si>
  <si>
    <t>000016534270000000000001010896</t>
  </si>
  <si>
    <t>000016508600000000000001013497</t>
  </si>
  <si>
    <t>003014237070000000000000000000</t>
  </si>
  <si>
    <t>000016544790000000000069614081</t>
  </si>
  <si>
    <t>000016550770000000000069621781</t>
  </si>
  <si>
    <t>003016557990001000000000000000</t>
  </si>
  <si>
    <t>003013325190001000000000000000</t>
  </si>
  <si>
    <t>000016524050000000000690220899</t>
  </si>
  <si>
    <t>083015082340000000000000000000</t>
  </si>
  <si>
    <t>000016541770000000000069024931</t>
  </si>
  <si>
    <t>084015038240000000000000000000</t>
  </si>
  <si>
    <t>000010914930001000000000000000</t>
  </si>
  <si>
    <t>000017102550000000000010014165</t>
  </si>
  <si>
    <t>000016498540000000000001005426</t>
  </si>
  <si>
    <t>064016119680000000000000000000</t>
  </si>
  <si>
    <t>003014481720001000000000000000</t>
  </si>
  <si>
    <t>003001221140000000000000000000</t>
  </si>
  <si>
    <t>000000708980001000000000000000</t>
  </si>
  <si>
    <t>003015642390001000000000000000</t>
  </si>
  <si>
    <t>003015469300001000000000000000</t>
  </si>
  <si>
    <t>513000092270001000000000000000</t>
  </si>
  <si>
    <t>068015960930000000000000000000</t>
  </si>
  <si>
    <t>003411998990001000000000000000</t>
  </si>
  <si>
    <t>083015083790000000000000000000</t>
  </si>
  <si>
    <t>003011080120001000000000000000</t>
  </si>
  <si>
    <t>063015991480000000000000000000</t>
  </si>
  <si>
    <t>003016346510001000000000000000</t>
  </si>
  <si>
    <t>000017821810000000000010205382</t>
  </si>
  <si>
    <t>083015171170000000000000000000</t>
  </si>
  <si>
    <t>000017820040000000000010048342</t>
  </si>
  <si>
    <t>003016787620001000000000000000</t>
  </si>
  <si>
    <t>000017821680000000000010205072</t>
  </si>
  <si>
    <t>003015563080000000000000000000</t>
  </si>
  <si>
    <t>003017207610001000000000000000</t>
  </si>
  <si>
    <t>000000402060001000000000000000</t>
  </si>
  <si>
    <t>000016502500000000000001010149</t>
  </si>
  <si>
    <t>004016253330000000000000000000</t>
  </si>
  <si>
    <t>003012001680000000000000000000</t>
  </si>
  <si>
    <t>000010669810001000000000000000</t>
  </si>
  <si>
    <t>003001252470001000000000000000</t>
  </si>
  <si>
    <t>063216011480000000000000000000</t>
  </si>
  <si>
    <t>000016529620000000000001002913</t>
  </si>
  <si>
    <t>000016542830000000000069608361</t>
  </si>
  <si>
    <t>009017677750000000000000000000</t>
  </si>
  <si>
    <t>086014767180000000000000000000</t>
  </si>
  <si>
    <t>513000058930000000000000000000</t>
  </si>
  <si>
    <t>003213868150000000000000000000</t>
  </si>
  <si>
    <t>000014161530001000000000000000</t>
  </si>
  <si>
    <t>000016545820000000000069615741</t>
  </si>
  <si>
    <t>003015678980001000000000000000</t>
  </si>
  <si>
    <t>000016553680000000000200010117</t>
  </si>
  <si>
    <t>003013194420001000000000000000</t>
  </si>
  <si>
    <t>003017346540000000000000000000</t>
  </si>
  <si>
    <t>065015951490000000000000000000</t>
  </si>
  <si>
    <t>083015058660000000000000000000</t>
  </si>
  <si>
    <t>003017273490001000000000000000</t>
  </si>
  <si>
    <t>000000711910001000000000000000</t>
  </si>
  <si>
    <t>000016549160000000000069619841</t>
  </si>
  <si>
    <t>003011971150001000000000000000</t>
  </si>
  <si>
    <t>000017820580000000000010203099</t>
  </si>
  <si>
    <t>000016551700000000000069622881</t>
  </si>
  <si>
    <t>003017320910001000000000000000</t>
  </si>
  <si>
    <t>000017821160000000000010204315</t>
  </si>
  <si>
    <t>003014377300000000000000000000</t>
  </si>
  <si>
    <t>000010181700000000000000000000</t>
  </si>
  <si>
    <t>000017821340000000000010204557</t>
  </si>
  <si>
    <t>006000814420000000000000000000</t>
  </si>
  <si>
    <t>000016548720000000000069619301</t>
  </si>
  <si>
    <t>004017220970001000000000000000</t>
  </si>
  <si>
    <t>003015331380000000000000000000</t>
  </si>
  <si>
    <t>000010341820000000000000000000</t>
  </si>
  <si>
    <t>003015725620001000000000000000</t>
  </si>
  <si>
    <t>003012595850001000000000000000</t>
  </si>
  <si>
    <t>063015984400000000000000000000</t>
  </si>
  <si>
    <t>003017070700001000000000000000</t>
  </si>
  <si>
    <t>000016509390000000000001013873</t>
  </si>
  <si>
    <t>003011682060001000000000000000</t>
  </si>
  <si>
    <t>000010779240001000000000000000</t>
  </si>
  <si>
    <t>084014777390000000000000000000</t>
  </si>
  <si>
    <t>003012164420001000000000000000</t>
  </si>
  <si>
    <t>064016069930000000000000000000</t>
  </si>
  <si>
    <t>000017037000000000000000000000</t>
  </si>
  <si>
    <t>003014379120000000000000000000</t>
  </si>
  <si>
    <t>003012520730001000000000000000</t>
  </si>
  <si>
    <t>003213308680001000000000000000</t>
  </si>
  <si>
    <t>000010817610001000000000000000</t>
  </si>
  <si>
    <t>003016986340001000000000000000</t>
  </si>
  <si>
    <t>005000592600000000000000000000</t>
  </si>
  <si>
    <t>000016533320000000000001009210</t>
  </si>
  <si>
    <t>000016534310000000000001010973</t>
  </si>
  <si>
    <t>003017436540001000000000000000</t>
  </si>
  <si>
    <t>000016544350000000000069613341</t>
  </si>
  <si>
    <t>000010807660001000000000000000</t>
  </si>
  <si>
    <t>000010829340001000000000000000</t>
  </si>
  <si>
    <t>003012916870001000000000000000</t>
  </si>
  <si>
    <t>003013763330001000000000000000</t>
  </si>
  <si>
    <t>003015540590001000000000000000</t>
  </si>
  <si>
    <t>003011061940001000000000000000</t>
  </si>
  <si>
    <t>003216494790000000000000000000</t>
  </si>
  <si>
    <t>000000638070000000000000000000</t>
  </si>
  <si>
    <t>000016537750000000000010108137</t>
  </si>
  <si>
    <t>000016512390000000000001015471</t>
  </si>
  <si>
    <t>003017068340001000000000000000</t>
  </si>
  <si>
    <t>063016141150000000000000000000</t>
  </si>
  <si>
    <t>003017305660001000000000000000</t>
  </si>
  <si>
    <t>000016533980000000000001010052</t>
  </si>
  <si>
    <t>083014885550000000000000000000</t>
  </si>
  <si>
    <t>083415036750000000000000000000</t>
  </si>
  <si>
    <t>003016418280000000000000000000</t>
  </si>
  <si>
    <t>004015612560000000000000000000</t>
  </si>
  <si>
    <t>085014760530001000000000000000</t>
  </si>
  <si>
    <t>003016383680001000000000000000</t>
  </si>
  <si>
    <t>066015969130000000000000000000</t>
  </si>
  <si>
    <t>000016502010000000000001009700</t>
  </si>
  <si>
    <t>513011503260001000000000000000</t>
  </si>
  <si>
    <t>000016502980000000000001010553</t>
  </si>
  <si>
    <t>083015186270000000000000000000</t>
  </si>
  <si>
    <t>003217536090000000000000000000</t>
  </si>
  <si>
    <t>004015642220000000000000000000</t>
  </si>
  <si>
    <t>000016530120000000000001004399</t>
  </si>
  <si>
    <t>000016542230000000000069601591</t>
  </si>
  <si>
    <t>000016541870000000000069500081</t>
  </si>
  <si>
    <t>000017038310000000000000000000</t>
  </si>
  <si>
    <t>000016522220000000000200005752</t>
  </si>
  <si>
    <t>083014808440000000000000000000</t>
  </si>
  <si>
    <t>064016066320000000000000000000</t>
  </si>
  <si>
    <t>000010109090001000000000000000</t>
  </si>
  <si>
    <t>003016863040001000000000000000</t>
  </si>
  <si>
    <t>004001016800001000000000000000</t>
  </si>
  <si>
    <t>003000913130000000000000000000</t>
  </si>
  <si>
    <t>063015958050000000000000000000</t>
  </si>
  <si>
    <t>003015580170001000000000000000</t>
  </si>
  <si>
    <t>083014780050000000000000000000</t>
  </si>
  <si>
    <t>000016531250000000000001006342</t>
  </si>
  <si>
    <t>003015767480000000000000000000</t>
  </si>
  <si>
    <t>000016538950000000000061194483</t>
  </si>
  <si>
    <t>003017316540001000000000000000</t>
  </si>
  <si>
    <t>000010651750001000000000000000</t>
  </si>
  <si>
    <t>000016533050000000000001008939</t>
  </si>
  <si>
    <t>063015929820000000000000000000</t>
  </si>
  <si>
    <t>003001079960001000000000000000</t>
  </si>
  <si>
    <t>003000291710000000000000000000</t>
  </si>
  <si>
    <t>000016552600000000000200006104</t>
  </si>
  <si>
    <t>000016529710000000000001002974</t>
  </si>
  <si>
    <t>000016503510000000000001010817</t>
  </si>
  <si>
    <t>003017744100001000000000000000</t>
  </si>
  <si>
    <t>083015092010001000000000000000</t>
  </si>
  <si>
    <t>000016533890000000000001009880</t>
  </si>
  <si>
    <t>000017820300000000000010202182</t>
  </si>
  <si>
    <t>000000699860001000000000000000</t>
  </si>
  <si>
    <t>000010406730000000000000000000</t>
  </si>
  <si>
    <t>000010715100001000000000000000</t>
  </si>
  <si>
    <t>003215542880000000000000000000</t>
  </si>
  <si>
    <t>084014805680001000000000000000</t>
  </si>
  <si>
    <t>003000385330000000000000000000</t>
  </si>
  <si>
    <t>004011274340001000000000000000</t>
  </si>
  <si>
    <t>000016501480000000000001008955</t>
  </si>
  <si>
    <t>000017821730000000000010205223</t>
  </si>
  <si>
    <t>000017034320000000000001017756</t>
  </si>
  <si>
    <t>003015472420001000000000000000</t>
  </si>
  <si>
    <t>003011834700001000000000000000</t>
  </si>
  <si>
    <t>004016872830000000000000000000</t>
  </si>
  <si>
    <t>003013020620000000000000000000</t>
  </si>
  <si>
    <t>000016533460000000000001009346</t>
  </si>
  <si>
    <t>000017036330000000000000000000</t>
  </si>
  <si>
    <t>000016512260000000000001015352</t>
  </si>
  <si>
    <t>003011669720000000000000000000</t>
  </si>
  <si>
    <t>003015796350001000000000000000</t>
  </si>
  <si>
    <t>003012163900001000000000000000</t>
  </si>
  <si>
    <t>084015119700000000000000000000</t>
  </si>
  <si>
    <t>000017819770000000000001006055</t>
  </si>
  <si>
    <t>000014146260000000000000000000</t>
  </si>
  <si>
    <t>000015698330001000000000000000</t>
  </si>
  <si>
    <t>063016038900000000000000000000</t>
  </si>
  <si>
    <t>003016315970000000000000000000</t>
  </si>
  <si>
    <t>003012931350001000000000000000</t>
  </si>
  <si>
    <t>000016538270000000000061014921</t>
  </si>
  <si>
    <t>003014354650000000000000000000</t>
  </si>
  <si>
    <t>003013348630001000000000000000</t>
  </si>
  <si>
    <t>084015194320000000000000000000</t>
  </si>
  <si>
    <t>005000992850001000000000000000</t>
  </si>
  <si>
    <t>003011172630000000000000000000</t>
  </si>
  <si>
    <t>003015655080000000000000000000</t>
  </si>
  <si>
    <t>000016529150000000000001002357</t>
  </si>
  <si>
    <t>003017526560000000000000000000</t>
  </si>
  <si>
    <t>000016533580000000000001009514</t>
  </si>
  <si>
    <t>000016516740000000000010127530</t>
  </si>
  <si>
    <t>003013648780000000000000000000</t>
  </si>
  <si>
    <t>000016505170000000000001011743</t>
  </si>
  <si>
    <t>063016064080000000000000000000</t>
  </si>
  <si>
    <t>003015508790001000000000000000</t>
  </si>
  <si>
    <t>003013313600001000000000000000</t>
  </si>
  <si>
    <t>000016509850000000000001014128</t>
  </si>
  <si>
    <t>000017820640000000000010203184</t>
  </si>
  <si>
    <t>000010804250000000000000000000</t>
  </si>
  <si>
    <t>000016516650000000000010127521</t>
  </si>
  <si>
    <t>004011719920000000000000000000</t>
  </si>
  <si>
    <t>083015029280000000000000000000</t>
  </si>
  <si>
    <t>003016346000001000000000000000</t>
  </si>
  <si>
    <t>000000004380004000000000000000</t>
  </si>
  <si>
    <t>000016523250000000000200009974</t>
  </si>
  <si>
    <t>004011185420001000000000000000</t>
  </si>
  <si>
    <t>000010582760001000000000000000</t>
  </si>
  <si>
    <t>000000396890001000000000000000</t>
  </si>
  <si>
    <t>064015970000000000000000000000</t>
  </si>
  <si>
    <t>003016757660000000000000000000</t>
  </si>
  <si>
    <t>003015821500001000000000000000</t>
  </si>
  <si>
    <t>003216697190000000000000000000</t>
  </si>
  <si>
    <t>000016541350000000000069021461</t>
  </si>
  <si>
    <t>513000074860000000000000000000</t>
  </si>
  <si>
    <t>000010328000000000000000000000</t>
  </si>
  <si>
    <t>000000494500000000000000000000</t>
  </si>
  <si>
    <t>000016521540000000000062004301</t>
  </si>
  <si>
    <t>003216816620000000000000000000</t>
  </si>
  <si>
    <t>003014274620001000000000000000</t>
  </si>
  <si>
    <t>000017267010000000000000000000</t>
  </si>
  <si>
    <t>005000603620001000000000000000</t>
  </si>
  <si>
    <t>000016509460000000000001013909</t>
  </si>
  <si>
    <t>000000764000001000000000000000</t>
  </si>
  <si>
    <t>003016329650000000000000000000</t>
  </si>
  <si>
    <t>003213908960000000000000000000</t>
  </si>
  <si>
    <t>003012896620001000000000000000</t>
  </si>
  <si>
    <t>063016028950000000000000000000</t>
  </si>
  <si>
    <t>083215218100000000000000000000</t>
  </si>
  <si>
    <t>000016522710000000000200007716</t>
  </si>
  <si>
    <t>000010456290001000000000000000</t>
  </si>
  <si>
    <t>000017267220000000000000000000</t>
  </si>
  <si>
    <t>000017036310000000000000000000</t>
  </si>
  <si>
    <t>000017821850000000000010205452</t>
  </si>
  <si>
    <t>063015901280000000000000000000</t>
  </si>
  <si>
    <t>084015094110000000000000000000</t>
  </si>
  <si>
    <t>000017821670000000000010205055</t>
  </si>
  <si>
    <t>063216046840000000000000000000</t>
  </si>
  <si>
    <t>000017821380000000000010204605</t>
  </si>
  <si>
    <t>003015812720001000000000000000</t>
  </si>
  <si>
    <t>000000293070001000000000000000</t>
  </si>
  <si>
    <t>000010579660000000000000000000</t>
  </si>
  <si>
    <t>003014432220001000000000000000</t>
  </si>
  <si>
    <t>003016723990001000000000000000</t>
  </si>
  <si>
    <t>000010226770001000000000000000</t>
  </si>
  <si>
    <t>003011677020001000000000000000</t>
  </si>
  <si>
    <t>065015952750000000000000000000</t>
  </si>
  <si>
    <t>000016529170000000000001002388</t>
  </si>
  <si>
    <t>005000597350000000000000000000</t>
  </si>
  <si>
    <t>003017146260001000000000000000</t>
  </si>
  <si>
    <t>000010702940001000000000000000</t>
  </si>
  <si>
    <t>084014795230000000000000000000</t>
  </si>
  <si>
    <t>000016541470000000000069022771</t>
  </si>
  <si>
    <t>000000581150001000000000000000</t>
  </si>
  <si>
    <t>000016540250000000000069011113</t>
  </si>
  <si>
    <t>003016459090000000000000000000</t>
  </si>
  <si>
    <t>003011991990001000000000000000</t>
  </si>
  <si>
    <t>003014085870001000000000000000</t>
  </si>
  <si>
    <t>003017513170000000000000000000</t>
  </si>
  <si>
    <t>003011918270001000000000000000</t>
  </si>
  <si>
    <t>000016502510000000000001010157</t>
  </si>
  <si>
    <t>003011615470001000000000000000</t>
  </si>
  <si>
    <t>006000812490000000000000000000</t>
  </si>
  <si>
    <t>000010775160000000000000000000</t>
  </si>
  <si>
    <t>003016812120001000000000000000</t>
  </si>
  <si>
    <t>083015089450000000000000000000</t>
  </si>
  <si>
    <t>003014618070000000000000000000</t>
  </si>
  <si>
    <t>003013035940001000000000000000</t>
  </si>
  <si>
    <t>000017819950000000000001010791</t>
  </si>
  <si>
    <t>003016571440001000000000000000</t>
  </si>
  <si>
    <t>003015460620001000000000000000</t>
  </si>
  <si>
    <t>083414829270000000000000000000</t>
  </si>
  <si>
    <t>000016508640000000000001013510</t>
  </si>
  <si>
    <t>000016548710000000000069619291</t>
  </si>
  <si>
    <t>003017261320001000000000000000</t>
  </si>
  <si>
    <t>003017388560001000000000000000</t>
  </si>
  <si>
    <t>000010716380000000000000000000</t>
  </si>
  <si>
    <t>003014365430000000000000000000</t>
  </si>
  <si>
    <t>003014554990001000000000000000</t>
  </si>
  <si>
    <t>000016502370000000000001010081</t>
  </si>
  <si>
    <t>000016542090000000000069600941</t>
  </si>
  <si>
    <t>000016513860000000000001016458</t>
  </si>
  <si>
    <t>003016997810001000000000000000</t>
  </si>
  <si>
    <t>003013635850001000000000000000</t>
  </si>
  <si>
    <t>063015963460000000000000000000</t>
  </si>
  <si>
    <t>003014631330001000000000000000</t>
  </si>
  <si>
    <t>063016134840000000000000000000</t>
  </si>
  <si>
    <t>086014721200000000000000000000</t>
  </si>
  <si>
    <t>003012794580001000000000000000</t>
  </si>
  <si>
    <t>000010860750001000000000000000</t>
  </si>
  <si>
    <t>003017397800001000000000000000</t>
  </si>
  <si>
    <t>003016588690000000000000000000</t>
  </si>
  <si>
    <t>003015746360001000000000000000</t>
  </si>
  <si>
    <t>000016530530000000000001005037</t>
  </si>
  <si>
    <t>000010694550001000000000000000</t>
  </si>
  <si>
    <t>006000722190000000000000000000</t>
  </si>
  <si>
    <t>000016499250000000000001006414</t>
  </si>
  <si>
    <t>000016516700000000000010127526</t>
  </si>
  <si>
    <t>003414377670001000000000000000</t>
  </si>
  <si>
    <t>004014027070000000000000000000</t>
  </si>
  <si>
    <t>000017182860000000000000000000</t>
  </si>
  <si>
    <t>003000297010000000000000000000</t>
  </si>
  <si>
    <t>000000714740001000000000000000</t>
  </si>
  <si>
    <t>000017819870000000000001009367</t>
  </si>
  <si>
    <t>000016517670000000000010135391</t>
  </si>
  <si>
    <t>003001270900001000000000000000</t>
  </si>
  <si>
    <t>000017819600000000000001001963</t>
  </si>
  <si>
    <t>084014822170000000000000000000</t>
  </si>
  <si>
    <t>063015963860000000000000000000</t>
  </si>
  <si>
    <t>084015168260000000000000000000</t>
  </si>
  <si>
    <t>000016501420000000000001008923</t>
  </si>
  <si>
    <t>003017552700001000000000000000</t>
  </si>
  <si>
    <t>004000975230001000000000000000</t>
  </si>
  <si>
    <t>000016521970000000000069023681</t>
  </si>
  <si>
    <t>000016529930000000000001004102</t>
  </si>
  <si>
    <t>063016037230000000000000000000</t>
  </si>
  <si>
    <t>000016498510000000000001005371</t>
  </si>
  <si>
    <t>000016536410000000000010063823</t>
  </si>
  <si>
    <t>000010378600004000000000000000</t>
  </si>
  <si>
    <t>003014477120000000000000000000</t>
  </si>
  <si>
    <t>083014872940000000000000000000</t>
  </si>
  <si>
    <t>063015940380000000000000000000</t>
  </si>
  <si>
    <t>005000591680001000000000000000</t>
  </si>
  <si>
    <t>003011076280001000000000000000</t>
  </si>
  <si>
    <t>514000011360000000000000000000</t>
  </si>
  <si>
    <t>000016522550000000000200006638</t>
  </si>
  <si>
    <t>063016132150000000000000000000</t>
  </si>
  <si>
    <t>005000689250000000000000000000</t>
  </si>
  <si>
    <t>003015792100001000000000000000</t>
  </si>
  <si>
    <t>005000600030000000000000000000</t>
  </si>
  <si>
    <t>083017105140000000000000000000</t>
  </si>
  <si>
    <t>000010854620000000000000000000</t>
  </si>
  <si>
    <t>003013775470001000000000000000</t>
  </si>
  <si>
    <t>000016529790000000000001003198</t>
  </si>
  <si>
    <t>000016500620000000000001008123</t>
  </si>
  <si>
    <t>003016619360000000000000000000</t>
  </si>
  <si>
    <t>000010104070001000000000000000</t>
  </si>
  <si>
    <t>063216020660000000000000000000</t>
  </si>
  <si>
    <t>084014849590000000000000000000</t>
  </si>
  <si>
    <t>006000727110001000000000000000</t>
  </si>
  <si>
    <t>000017821770000000000010205269</t>
  </si>
  <si>
    <t>003011442560001000000000000000</t>
  </si>
  <si>
    <t>083015164160000000000000000000</t>
  </si>
  <si>
    <t>009112154680014000000000000000</t>
  </si>
  <si>
    <t>003016893630000000000000000000</t>
  </si>
  <si>
    <t>063216090340000000000000000000</t>
  </si>
  <si>
    <t>083015102040000000000000000000</t>
  </si>
  <si>
    <t>003016359620000000000000000000</t>
  </si>
  <si>
    <t>000016523350000000000200011064</t>
  </si>
  <si>
    <t>003015664760000000000000000000</t>
  </si>
  <si>
    <t>003016471150001000000000000000</t>
  </si>
  <si>
    <t>003016168760001000000000000000</t>
  </si>
  <si>
    <t>000016519080000000000010149542</t>
  </si>
  <si>
    <t>000016534340000000000001010987</t>
  </si>
  <si>
    <t>003015865770001000000000000000</t>
  </si>
  <si>
    <t>003011958770001000000000000000</t>
  </si>
  <si>
    <t>003016228830001000000000000000</t>
  </si>
  <si>
    <t>000016534810000000000001012406</t>
  </si>
  <si>
    <t>000016521850000000000069021321</t>
  </si>
  <si>
    <t>000000713960001000000000000000</t>
  </si>
  <si>
    <t>003011011720001000000000000000</t>
  </si>
  <si>
    <t>000016498960000000000001006186</t>
  </si>
  <si>
    <t>000016497900000000000001003223</t>
  </si>
  <si>
    <t>000016528870000000000001002084</t>
  </si>
  <si>
    <t>006000884610000000000000000000</t>
  </si>
  <si>
    <t>000016535450000000000010046292</t>
  </si>
  <si>
    <t>083014869150000000000000000000</t>
  </si>
  <si>
    <t>003013840830001000000000000000</t>
  </si>
  <si>
    <t>000016510080000000000001014254</t>
  </si>
  <si>
    <t>000017037320000000000000000000</t>
  </si>
  <si>
    <t>003013597780001000000000000000</t>
  </si>
  <si>
    <t>003001270540000000000000000000</t>
  </si>
  <si>
    <t>003001071680000000000000000000</t>
  </si>
  <si>
    <t>003016310060001000000000000000</t>
  </si>
  <si>
    <t>000017820460000000000010202810</t>
  </si>
  <si>
    <t>063015930440000000000000000000</t>
  </si>
  <si>
    <t>000000411220000000000000000000</t>
  </si>
  <si>
    <t>063015982230000000000000000000</t>
  </si>
  <si>
    <t>000010317120001000000000000000</t>
  </si>
  <si>
    <t>083015009880000000000000000000</t>
  </si>
  <si>
    <t>000016550370000000000069621291</t>
  </si>
  <si>
    <t>003001061000001000000000000000</t>
  </si>
  <si>
    <t>000016546170000000000069616181</t>
  </si>
  <si>
    <t>000010574610000000000000000000</t>
  </si>
  <si>
    <t>003013695080001000000000000000</t>
  </si>
  <si>
    <t>003017532030001000000000000000</t>
  </si>
  <si>
    <t>003015326480001000000000000000</t>
  </si>
  <si>
    <t>000016519900000000000010154794</t>
  </si>
  <si>
    <t>000016518620000000000010144172</t>
  </si>
  <si>
    <t>003016464520000000000000000000</t>
  </si>
  <si>
    <t>005000596850000000000000000000</t>
  </si>
  <si>
    <t>000017821960000000000010206209</t>
  </si>
  <si>
    <t>000016538960000000000061201601</t>
  </si>
  <si>
    <t>084015171290000000000000000000</t>
  </si>
  <si>
    <t>003000981890001000000000000000</t>
  </si>
  <si>
    <t>000016539920000000000069004421</t>
  </si>
  <si>
    <t>006000815930000000000000000000</t>
  </si>
  <si>
    <t>000017821220000000000010204457</t>
  </si>
  <si>
    <t>003012701160001000000000000000</t>
  </si>
  <si>
    <t>084014730220000000000000000000</t>
  </si>
  <si>
    <t>000016541520000000000069023171</t>
  </si>
  <si>
    <t>003016298160000000000000000000</t>
  </si>
  <si>
    <t>083015105860000000000000000000</t>
  </si>
  <si>
    <t>000016531180000000000001006260</t>
  </si>
  <si>
    <t>003016555360001000000000000000</t>
  </si>
  <si>
    <t>063016103940000000000000000000</t>
  </si>
  <si>
    <t>000016552550000000000200006032</t>
  </si>
  <si>
    <t>083014959460000000000000000000</t>
  </si>
  <si>
    <t>000016499070000000000001006290</t>
  </si>
  <si>
    <t>003015348430000000000000000000</t>
  </si>
  <si>
    <t>084015161100000000000000000000</t>
  </si>
  <si>
    <t>003017697320001000000000000000</t>
  </si>
  <si>
    <t>000016549880000000000069620731</t>
  </si>
  <si>
    <t>006015617870001000000000000000</t>
  </si>
  <si>
    <t>000016553200000000000200008160</t>
  </si>
  <si>
    <t>000016524850000000000690221230</t>
  </si>
  <si>
    <t>003013871890001000000000000000</t>
  </si>
  <si>
    <t>000016513950000000000001016539</t>
  </si>
  <si>
    <t>000016502610000000000001010256</t>
  </si>
  <si>
    <t>003015609080001000000000000000</t>
  </si>
  <si>
    <t>000016497430000000000001002533</t>
  </si>
  <si>
    <t>003015391950001000000000000000</t>
  </si>
  <si>
    <t>004017065580001000000000000000</t>
  </si>
  <si>
    <t>083015074360000000000000000000</t>
  </si>
  <si>
    <t>003015787050001000000000000000</t>
  </si>
  <si>
    <t>515000043460001000000000000000</t>
  </si>
  <si>
    <t>003014657740001000000000000000</t>
  </si>
  <si>
    <t>003001117650000000000000000000</t>
  </si>
  <si>
    <t>000016548550000000000069619071</t>
  </si>
  <si>
    <t>003010942620001000000000000000</t>
  </si>
  <si>
    <t>000017819980000000000010032542</t>
  </si>
  <si>
    <t>084014911820000000000000000000</t>
  </si>
  <si>
    <t>000000393400001000000000000000</t>
  </si>
  <si>
    <t>000010276850001000000000000000</t>
  </si>
  <si>
    <t>003012119750001000000000000000</t>
  </si>
  <si>
    <t>000016541720000000000069024641</t>
  </si>
  <si>
    <t>063216009180000000000000000000</t>
  </si>
  <si>
    <t>004015613020000000000000000000</t>
  </si>
  <si>
    <t>000017036740000000000000000000</t>
  </si>
  <si>
    <t>000000157760001000000000000000</t>
  </si>
  <si>
    <t>000000406560001000000000000000</t>
  </si>
  <si>
    <t>003015641680001000000000000000</t>
  </si>
  <si>
    <t>064016054340000000000000000000</t>
  </si>
  <si>
    <t>006000816580000000000000000000</t>
  </si>
  <si>
    <t>003013077000000000000000000000</t>
  </si>
  <si>
    <t>063016114990000000000000000000</t>
  </si>
  <si>
    <t>000016501290000000000001008795</t>
  </si>
  <si>
    <t>000016529310000000000001002536</t>
  </si>
  <si>
    <t>084014821300001000000000000000</t>
  </si>
  <si>
    <t>005013257470001000000000000000</t>
  </si>
  <si>
    <t>003014567460001000000000000000</t>
  </si>
  <si>
    <t>000010815400001000000000000000</t>
  </si>
  <si>
    <t>003015395720001000000000000000</t>
  </si>
  <si>
    <t>003016301800000000000000000000</t>
  </si>
  <si>
    <t>003015735510001000000000000000</t>
  </si>
  <si>
    <t>003016341570001000000000000000</t>
  </si>
  <si>
    <t>000016529380000000000001002593</t>
  </si>
  <si>
    <t>003016782850000000000000000000</t>
  </si>
  <si>
    <t>003012030140001000000000000000</t>
  </si>
  <si>
    <t>006000723270000000000000000000</t>
  </si>
  <si>
    <t>003016720810001000000000000000</t>
  </si>
  <si>
    <t>000016529460000000000001002683</t>
  </si>
  <si>
    <t>003211985080000000000000000000</t>
  </si>
  <si>
    <t>000001345150000000000000000000</t>
  </si>
  <si>
    <t>000000694690000000000000000000</t>
  </si>
  <si>
    <t>003414225110001000000000000000</t>
  </si>
  <si>
    <t>003014422580001000000000000000</t>
  </si>
  <si>
    <t>000016505510000000000001011949</t>
  </si>
  <si>
    <t>003014623640001000000000000000</t>
  </si>
  <si>
    <t>000014139330001000000000000000</t>
  </si>
  <si>
    <t>003001243140001000000000000000</t>
  </si>
  <si>
    <t>000014140900000000000000000000</t>
  </si>
  <si>
    <t>000016547340000000000069617661</t>
  </si>
  <si>
    <t>006000887010000000000000000000</t>
  </si>
  <si>
    <t>000016512360000000000001015397</t>
  </si>
  <si>
    <t>000010775370001000000000000000</t>
  </si>
  <si>
    <t>003016427110000000000000000000</t>
  </si>
  <si>
    <t>006000783790000000000000000000</t>
  </si>
  <si>
    <t>003011662440001000000000000000</t>
  </si>
  <si>
    <t>000016514340000000000010050082</t>
  </si>
  <si>
    <t>000016502300000000000001010004</t>
  </si>
  <si>
    <t>004012013610000000000000000000</t>
  </si>
  <si>
    <t>000016552620000000000200006132</t>
  </si>
  <si>
    <t>003016877900001000000000000000</t>
  </si>
  <si>
    <t>003012624010000000000000000000</t>
  </si>
  <si>
    <t>063015979510000000000000000000</t>
  </si>
  <si>
    <t>000016552690000000000200006242</t>
  </si>
  <si>
    <t>000016512160000000000001015293</t>
  </si>
  <si>
    <t>000016529630000000000001002914</t>
  </si>
  <si>
    <t>003012355260001000000000000000</t>
  </si>
  <si>
    <t>004013811950001000000000000000</t>
  </si>
  <si>
    <t>003011460920000000000000000000</t>
  </si>
  <si>
    <t>003012985240001000000000000000</t>
  </si>
  <si>
    <t>005000592480001000000000000000</t>
  </si>
  <si>
    <t>065015952730000000000000000000</t>
  </si>
  <si>
    <t>003013273970001000000000000000</t>
  </si>
  <si>
    <t>003215593660000000000000000000</t>
  </si>
  <si>
    <t>084015060290000000000000000000</t>
  </si>
  <si>
    <t>003012781890000000000000000000</t>
  </si>
  <si>
    <t>000016529690000000000001002937</t>
  </si>
  <si>
    <t>000017820490000000000010202833</t>
  </si>
  <si>
    <t>004013239450001000000000000000</t>
  </si>
  <si>
    <t>003013968930000000000000000000</t>
  </si>
  <si>
    <t>006000844010000000000000000000</t>
  </si>
  <si>
    <t>063016025770000000000000000000</t>
  </si>
  <si>
    <t>003014363630001000000000000000</t>
  </si>
  <si>
    <t>063015922080000000000000000000</t>
  </si>
  <si>
    <t>003013419930001000000000000000</t>
  </si>
  <si>
    <t>000016553180000000000200008107</t>
  </si>
  <si>
    <t>004000904350000000000000000000</t>
  </si>
  <si>
    <t>084014796580000000000000000000</t>
  </si>
  <si>
    <t>000016501200000000000001008710</t>
  </si>
  <si>
    <t>005000669350000000000000000000</t>
  </si>
  <si>
    <t>063416135230000000000000000000</t>
  </si>
  <si>
    <t>009016612340000000000000000000</t>
  </si>
  <si>
    <t>000016498500000000000001005344</t>
  </si>
  <si>
    <t>084014781760000000000000000000</t>
  </si>
  <si>
    <t>000017820410000000000010202604</t>
  </si>
  <si>
    <t>003014601610001000000000000000</t>
  </si>
  <si>
    <t>083014823160000000000000000000</t>
  </si>
  <si>
    <t>003015270250000000000000000000</t>
  </si>
  <si>
    <t>000000180950001000000000000000</t>
  </si>
  <si>
    <t>084014721030000000000000000000</t>
  </si>
  <si>
    <t>000016550300000000000069621211</t>
  </si>
  <si>
    <t>003012912840001000000000000000</t>
  </si>
  <si>
    <t>006015603870001000000000000000</t>
  </si>
  <si>
    <t>063015914150000000000000000000</t>
  </si>
  <si>
    <t>003013680450001000000000000000</t>
  </si>
  <si>
    <t>003014636480000000000000000000</t>
  </si>
  <si>
    <t>003017107140000000000000000000</t>
  </si>
  <si>
    <t>084014863810000000000000000000</t>
  </si>
  <si>
    <t>084015161600000000000000000000</t>
  </si>
  <si>
    <t>003015587750000000000000000000</t>
  </si>
  <si>
    <t>083014746450000000000000000000</t>
  </si>
  <si>
    <t>003013139970001000000000000000</t>
  </si>
  <si>
    <t>003014056010000000000000000000</t>
  </si>
  <si>
    <t>083014910260000000000000000000</t>
  </si>
  <si>
    <t>000016528590000000000001001796</t>
  </si>
  <si>
    <t>000016542340000000000069602321</t>
  </si>
  <si>
    <t>003016884380000000000000000000</t>
  </si>
  <si>
    <t>000010775770001000000000000000</t>
  </si>
  <si>
    <t>000016529450000000000001002679</t>
  </si>
  <si>
    <t>000000554860001000000000000000</t>
  </si>
  <si>
    <t>000016529320000000000001002539</t>
  </si>
  <si>
    <t>000017820090000000000010053602</t>
  </si>
  <si>
    <t>003017321160001000000000000000</t>
  </si>
  <si>
    <t>003016474180000000000000000000</t>
  </si>
  <si>
    <t>003016365570000000000000000000</t>
  </si>
  <si>
    <t>003014487850000000000000000000</t>
  </si>
  <si>
    <t>000017182830000000000000000000</t>
  </si>
  <si>
    <t>000017821630000000000010204953</t>
  </si>
  <si>
    <t>003017141810001000000000000000</t>
  </si>
  <si>
    <t>000010537950001000000000000000</t>
  </si>
  <si>
    <t>063016124150000000000000000000</t>
  </si>
  <si>
    <t>000016528350000000000001000517</t>
  </si>
  <si>
    <t>003016947950001000000000000000</t>
  </si>
  <si>
    <t>003015791930001000000000000000</t>
  </si>
  <si>
    <t>003014062650001000000000000000</t>
  </si>
  <si>
    <t>000016541180000000000069019911</t>
  </si>
  <si>
    <t>000017820660000000000010203279</t>
  </si>
  <si>
    <t>000016499320000000000001006516</t>
  </si>
  <si>
    <t>000016552460000000000200005871</t>
  </si>
  <si>
    <t>513011109650000000000000000000</t>
  </si>
  <si>
    <t>000016505180000000000001011746</t>
  </si>
  <si>
    <t>003017382260001000000000000000</t>
  </si>
  <si>
    <t>003014393010001000000000000000</t>
  </si>
  <si>
    <t>003000224130000000000000000000</t>
  </si>
  <si>
    <t>064016099960000000000000000000</t>
  </si>
  <si>
    <t>003013670430000000000000000000</t>
  </si>
  <si>
    <t>063016014730000000000000000000</t>
  </si>
  <si>
    <t>003016847040001000000000000000</t>
  </si>
  <si>
    <t>003015269910000000000000000000</t>
  </si>
  <si>
    <t>003013882750001000000000000000</t>
  </si>
  <si>
    <t>000010573620001000000000000000</t>
  </si>
  <si>
    <t>TAMANHO_CHAVE</t>
  </si>
  <si>
    <t>Relação entre Chave Banco e MUG (ou MBI)</t>
  </si>
  <si>
    <r>
      <t>Chaves Gloval Duplicadas (entre envios)</t>
    </r>
    <r>
      <rPr>
        <sz val="8.5"/>
        <color theme="1"/>
        <rFont val="Calibri"/>
        <family val="2"/>
        <scheme val="minor"/>
      </rPr>
      <t xml:space="preserve"> Detalhe na </t>
    </r>
    <r>
      <rPr>
        <i/>
        <sz val="8.5"/>
        <color theme="1"/>
        <rFont val="Calibri"/>
        <family val="2"/>
        <scheme val="minor"/>
      </rPr>
      <t>sheet</t>
    </r>
    <r>
      <rPr>
        <sz val="8.5"/>
        <color theme="1"/>
        <rFont val="Calibri"/>
        <family val="2"/>
        <scheme val="minor"/>
      </rPr>
      <t xml:space="preserve"> 2C_Aux1 
</t>
    </r>
  </si>
  <si>
    <t>1. DADOS AUX=1</t>
  </si>
  <si>
    <t>2. DADOS AUX=2</t>
  </si>
  <si>
    <t>3. Validação</t>
  </si>
  <si>
    <t>chave_banco</t>
  </si>
  <si>
    <t>codigo_distrito</t>
  </si>
  <si>
    <t>nombre_distrito</t>
  </si>
  <si>
    <t>codigo_concejo</t>
  </si>
  <si>
    <t>nombre_concejo</t>
  </si>
  <si>
    <t>codigo_freguesia</t>
  </si>
  <si>
    <t>nombre_freguesia</t>
  </si>
  <si>
    <t>localidade</t>
  </si>
  <si>
    <t>tipo_via</t>
  </si>
  <si>
    <t>nombre_tipo_via</t>
  </si>
  <si>
    <t>nombre_via</t>
  </si>
  <si>
    <t>numero_via</t>
  </si>
  <si>
    <t>lote</t>
  </si>
  <si>
    <t>urbanizacion</t>
  </si>
  <si>
    <t>caglurb</t>
  </si>
  <si>
    <t>resto_direccion</t>
  </si>
  <si>
    <t>latitud</t>
  </si>
  <si>
    <t>longitud</t>
  </si>
  <si>
    <t>codigo_postal</t>
  </si>
  <si>
    <t>subcodigo_postal</t>
  </si>
  <si>
    <t>assuperficie_util</t>
  </si>
  <si>
    <t>anio_construccion</t>
  </si>
  <si>
    <t>tipo_inmueble_habitacao</t>
  </si>
  <si>
    <t>piso_apartamento</t>
  </si>
  <si>
    <t>casa_unifamiliar</t>
  </si>
  <si>
    <t>tipo_inmueble_comercio_servicos</t>
  </si>
  <si>
    <t>nome_conservatoria</t>
  </si>
  <si>
    <t>cod_conservatoria</t>
  </si>
  <si>
    <t>registro_conservatoria</t>
  </si>
  <si>
    <t>art_matriciais</t>
  </si>
  <si>
    <t>fraccao_autonoma</t>
  </si>
  <si>
    <t>finalidade_bem</t>
  </si>
  <si>
    <t>class_gpt31</t>
  </si>
  <si>
    <t>class_stclim</t>
  </si>
  <si>
    <t>conf_stclim</t>
  </si>
  <si>
    <t>fiabilidad</t>
  </si>
  <si>
    <t>clase_energetica</t>
  </si>
  <si>
    <t>emisiones</t>
  </si>
  <si>
    <t>consumos</t>
  </si>
  <si>
    <t>AUX</t>
  </si>
  <si>
    <t>aux_1</t>
  </si>
  <si>
    <t>aux_2</t>
  </si>
  <si>
    <t>DIFERENÇAS</t>
  </si>
  <si>
    <t>BLANKS AUX1</t>
  </si>
  <si>
    <t>BLANKS AUX2</t>
  </si>
  <si>
    <t>COMENTÁRIO NYD</t>
  </si>
  <si>
    <t>110000</t>
  </si>
  <si>
    <t>LISBOA</t>
  </si>
  <si>
    <t>110600</t>
  </si>
  <si>
    <t>110623</t>
  </si>
  <si>
    <t>NOSSA SENHORA DE FÁTIMA</t>
  </si>
  <si>
    <t>02</t>
  </si>
  <si>
    <t>AVENIDA</t>
  </si>
  <si>
    <t>REPÚBLICA</t>
  </si>
  <si>
    <t>77 A</t>
  </si>
  <si>
    <t>2948 A</t>
  </si>
  <si>
    <t>1050</t>
  </si>
  <si>
    <t>243</t>
  </si>
  <si>
    <t>4515</t>
  </si>
  <si>
    <t>2000</t>
  </si>
  <si>
    <t>0</t>
  </si>
  <si>
    <t>000</t>
  </si>
  <si>
    <t>0000000</t>
  </si>
  <si>
    <t>1491 CRP 2948</t>
  </si>
  <si>
    <t>1491      2948 A</t>
  </si>
  <si>
    <t>OUTRAS</t>
  </si>
  <si>
    <t>C</t>
  </si>
  <si>
    <t>4-MEDIA</t>
  </si>
  <si>
    <t>2-MUY ALTA</t>
  </si>
  <si>
    <t>A</t>
  </si>
  <si>
    <t>6,02</t>
  </si>
  <si>
    <t>21,4</t>
  </si>
  <si>
    <t>0032174229700000</t>
  </si>
  <si>
    <t>080000</t>
  </si>
  <si>
    <t>FARO</t>
  </si>
  <si>
    <t>080400</t>
  </si>
  <si>
    <t>CASTRO MARIM</t>
  </si>
  <si>
    <t>080402</t>
  </si>
  <si>
    <t>FERNAO GIL</t>
  </si>
  <si>
    <t>16</t>
  </si>
  <si>
    <t>LUGAR</t>
  </si>
  <si>
    <t>.</t>
  </si>
  <si>
    <t>8950</t>
  </si>
  <si>
    <t>326</t>
  </si>
  <si>
    <t>143</t>
  </si>
  <si>
    <t>1</t>
  </si>
  <si>
    <t>U2885 R156 SECCAO DZ</t>
  </si>
  <si>
    <t>HABITACAO</t>
  </si>
  <si>
    <t>5-MEDIA BAJA</t>
  </si>
  <si>
    <t>16,73</t>
  </si>
  <si>
    <t>59,53</t>
  </si>
  <si>
    <t>080600</t>
  </si>
  <si>
    <t>LAGOA (ALGARVE)</t>
  </si>
  <si>
    <t>080602</t>
  </si>
  <si>
    <t>FERRAGUDO</t>
  </si>
  <si>
    <t>VALE AREIA-FERRAGUDO</t>
  </si>
  <si>
    <t>06</t>
  </si>
  <si>
    <t>URBANIZACAO</t>
  </si>
  <si>
    <t>ANGRINHA</t>
  </si>
  <si>
    <t>3</t>
  </si>
  <si>
    <t>LARGO</t>
  </si>
  <si>
    <t>2º - APT 3</t>
  </si>
  <si>
    <t>8400</t>
  </si>
  <si>
    <t>124</t>
  </si>
  <si>
    <t>3077 E 3444</t>
  </si>
  <si>
    <t>D</t>
  </si>
  <si>
    <t>3-ALTA</t>
  </si>
  <si>
    <t>18,26</t>
  </si>
  <si>
    <t>65,2</t>
  </si>
  <si>
    <t>0090172090200000</t>
  </si>
  <si>
    <t>140000</t>
  </si>
  <si>
    <t>SANTARÉM</t>
  </si>
  <si>
    <t>141100</t>
  </si>
  <si>
    <t>FERREIRA DO ZEZERE</t>
  </si>
  <si>
    <t>141101</t>
  </si>
  <si>
    <t>ÁGUAS BELAS</t>
  </si>
  <si>
    <t>BELA VISTA</t>
  </si>
  <si>
    <t>2240</t>
  </si>
  <si>
    <t>1950</t>
  </si>
  <si>
    <t>000002041 -</t>
  </si>
  <si>
    <t>ARMAZEM</t>
  </si>
  <si>
    <t>44</t>
  </si>
  <si>
    <t>153,05</t>
  </si>
  <si>
    <t>0632160836300000</t>
  </si>
  <si>
    <t>F</t>
  </si>
  <si>
    <t>060000</t>
  </si>
  <si>
    <t>COIMBRA</t>
  </si>
  <si>
    <t>060300</t>
  </si>
  <si>
    <t>060302</t>
  </si>
  <si>
    <t>COIMBRA (ALMEDINA)</t>
  </si>
  <si>
    <t>01</t>
  </si>
  <si>
    <t>RUA</t>
  </si>
  <si>
    <t>DO BRASIL</t>
  </si>
  <si>
    <t>3030</t>
  </si>
  <si>
    <t>175</t>
  </si>
  <si>
    <t>3623</t>
  </si>
  <si>
    <t>1475</t>
  </si>
  <si>
    <t>E</t>
  </si>
  <si>
    <t>56,86</t>
  </si>
  <si>
    <t>203,42</t>
  </si>
  <si>
    <t>0090169506000000</t>
  </si>
  <si>
    <t>0032163519700000</t>
  </si>
  <si>
    <t>120000</t>
  </si>
  <si>
    <t>PORTALEGRE</t>
  </si>
  <si>
    <t>120300</t>
  </si>
  <si>
    <t>AVIS</t>
  </si>
  <si>
    <t>120302</t>
  </si>
  <si>
    <t>ALDEIA VELHA</t>
  </si>
  <si>
    <t>24</t>
  </si>
  <si>
    <t>CANADA</t>
  </si>
  <si>
    <t>HERDADE DO MONTE NOVO</t>
  </si>
  <si>
    <t>NA</t>
  </si>
  <si>
    <t>7480</t>
  </si>
  <si>
    <t>051</t>
  </si>
  <si>
    <t>772</t>
  </si>
  <si>
    <t>1 SEC. A E A1 178</t>
  </si>
  <si>
    <t>53,92</t>
  </si>
  <si>
    <t>193,15</t>
  </si>
  <si>
    <t>111600</t>
  </si>
  <si>
    <t>ODIVELAS</t>
  </si>
  <si>
    <t>CANECAS</t>
  </si>
  <si>
    <t>R.JOSE VIANA,LT.11 A R/C ESQ,LOJA B</t>
  </si>
  <si>
    <t>B</t>
  </si>
  <si>
    <t>1685</t>
  </si>
  <si>
    <t>043</t>
  </si>
  <si>
    <t>4217</t>
  </si>
  <si>
    <t>COMERCIO</t>
  </si>
  <si>
    <t>46,48</t>
  </si>
  <si>
    <t>162,86</t>
  </si>
  <si>
    <t>CONS REGISTO PREDIAL DE ODIVELAS</t>
  </si>
  <si>
    <t>ODIV</t>
  </si>
  <si>
    <t>180000</t>
  </si>
  <si>
    <t>VISEU</t>
  </si>
  <si>
    <t>180500</t>
  </si>
  <si>
    <t>LAMEGO</t>
  </si>
  <si>
    <t>180510</t>
  </si>
  <si>
    <t>LALIM</t>
  </si>
  <si>
    <t>08</t>
  </si>
  <si>
    <t>QUINTA</t>
  </si>
  <si>
    <t>DOS MELOS/ QUINTA DO TERREIRO</t>
  </si>
  <si>
    <t>S/N</t>
  </si>
  <si>
    <t>5100</t>
  </si>
  <si>
    <t>550</t>
  </si>
  <si>
    <t>1424</t>
  </si>
  <si>
    <t>0001</t>
  </si>
  <si>
    <t>R=541U=1002,2003,949</t>
  </si>
  <si>
    <t>40,81</t>
  </si>
  <si>
    <t>145,83</t>
  </si>
  <si>
    <t>0032145956900000</t>
  </si>
  <si>
    <t>140500</t>
  </si>
  <si>
    <t>BENAVENTE</t>
  </si>
  <si>
    <t>140503</t>
  </si>
  <si>
    <t>SANTO ESTÉVÃO</t>
  </si>
  <si>
    <t>SANTO ESTEVAO</t>
  </si>
  <si>
    <t>MANUEL MARTINS ALVES</t>
  </si>
  <si>
    <t>42</t>
  </si>
  <si>
    <t>2130</t>
  </si>
  <si>
    <t>121</t>
  </si>
  <si>
    <t>415</t>
  </si>
  <si>
    <t>1092, CRP 26622</t>
  </si>
  <si>
    <t>B-</t>
  </si>
  <si>
    <t>54,81</t>
  </si>
  <si>
    <t>195,26</t>
  </si>
  <si>
    <t>0032174208500000</t>
  </si>
  <si>
    <t>0832151796300000</t>
  </si>
  <si>
    <t>310000</t>
  </si>
  <si>
    <t>ILHA DA MADEIRA</t>
  </si>
  <si>
    <t>310300</t>
  </si>
  <si>
    <t>FUNCHAL</t>
  </si>
  <si>
    <t>310310</t>
  </si>
  <si>
    <t>FUNCHAL (SE)</t>
  </si>
  <si>
    <t>SE</t>
  </si>
  <si>
    <t>RUA FERNAO ORNELAS 28 A 36</t>
  </si>
  <si>
    <t>000000</t>
  </si>
  <si>
    <t>0000871</t>
  </si>
  <si>
    <t>9050</t>
  </si>
  <si>
    <t>021</t>
  </si>
  <si>
    <t>957</t>
  </si>
  <si>
    <t>1955</t>
  </si>
  <si>
    <t>955</t>
  </si>
  <si>
    <t>46,11</t>
  </si>
  <si>
    <t>90,3</t>
  </si>
  <si>
    <t>200000</t>
  </si>
  <si>
    <t>HORTA</t>
  </si>
  <si>
    <t>200500</t>
  </si>
  <si>
    <t>MADALENA</t>
  </si>
  <si>
    <t>200504</t>
  </si>
  <si>
    <t>AV. PADRE NUNES DA ROSA</t>
  </si>
  <si>
    <t>0001759</t>
  </si>
  <si>
    <t>9950</t>
  </si>
  <si>
    <t>302</t>
  </si>
  <si>
    <t>1815</t>
  </si>
  <si>
    <t>1986</t>
  </si>
  <si>
    <t>CONSERV.MACHICO</t>
  </si>
  <si>
    <t>145</t>
  </si>
  <si>
    <t>1162</t>
  </si>
  <si>
    <t>PREDIO</t>
  </si>
  <si>
    <t>83,33</t>
  </si>
  <si>
    <t>292,46</t>
  </si>
  <si>
    <t>0832151471300000</t>
  </si>
  <si>
    <t>170000</t>
  </si>
  <si>
    <t>VILA REAL</t>
  </si>
  <si>
    <t>171300</t>
  </si>
  <si>
    <t>VILA POUCA DE AGUIAR</t>
  </si>
  <si>
    <t>171311</t>
  </si>
  <si>
    <t>TELOES</t>
  </si>
  <si>
    <t>FERREIRINHO</t>
  </si>
  <si>
    <t>FERREIRINHO ESTRADA MUNICIPAL CM</t>
  </si>
  <si>
    <t>1165</t>
  </si>
  <si>
    <t>5450</t>
  </si>
  <si>
    <t>283</t>
  </si>
  <si>
    <t>578</t>
  </si>
  <si>
    <t>1868</t>
  </si>
  <si>
    <t>G</t>
  </si>
  <si>
    <t>88,62</t>
  </si>
  <si>
    <t>308,48</t>
  </si>
  <si>
    <t>0032168223300000</t>
  </si>
  <si>
    <t>0632161455800000</t>
  </si>
  <si>
    <t>110618</t>
  </si>
  <si>
    <t>LUMIAR</t>
  </si>
  <si>
    <t>TELHEIRAS</t>
  </si>
  <si>
    <t>PROF PINTO PEIXOTO</t>
  </si>
  <si>
    <t>1600</t>
  </si>
  <si>
    <t>820</t>
  </si>
  <si>
    <t>11</t>
  </si>
  <si>
    <t>1997</t>
  </si>
  <si>
    <t>000N/A-JS -</t>
  </si>
  <si>
    <t>ESTACIONAMENTO</t>
  </si>
  <si>
    <t>47,97</t>
  </si>
  <si>
    <t>171,42</t>
  </si>
  <si>
    <t>0032177918700000</t>
  </si>
  <si>
    <t>030000</t>
  </si>
  <si>
    <t>BRAGA</t>
  </si>
  <si>
    <t>030800</t>
  </si>
  <si>
    <t>GUIMARAES</t>
  </si>
  <si>
    <t>030823</t>
  </si>
  <si>
    <t>GUARDIZELA</t>
  </si>
  <si>
    <t>PARQUE DESPORTIVO</t>
  </si>
  <si>
    <t>SN</t>
  </si>
  <si>
    <t>4765</t>
  </si>
  <si>
    <t>474</t>
  </si>
  <si>
    <t>3140</t>
  </si>
  <si>
    <t>1599</t>
  </si>
  <si>
    <t>INDUSTRIA</t>
  </si>
  <si>
    <t>31,84</t>
  </si>
  <si>
    <t>113,96</t>
  </si>
  <si>
    <t>0090167041700000</t>
  </si>
  <si>
    <t>110627</t>
  </si>
  <si>
    <t>SACRAMENTO</t>
  </si>
  <si>
    <t>ROSSIO</t>
  </si>
  <si>
    <t>PRIMEIRO DE DEZEMBRO</t>
  </si>
  <si>
    <t>87</t>
  </si>
  <si>
    <t>1200</t>
  </si>
  <si>
    <t>358</t>
  </si>
  <si>
    <t>"CPU 608, CRP 26 - ""B"""</t>
  </si>
  <si>
    <t>46,78</t>
  </si>
  <si>
    <t>166,85</t>
  </si>
  <si>
    <t>030300</t>
  </si>
  <si>
    <t>030314</t>
  </si>
  <si>
    <t>FERREIROS</t>
  </si>
  <si>
    <t>DAS AUSTRALIAS</t>
  </si>
  <si>
    <t>6</t>
  </si>
  <si>
    <t>4700</t>
  </si>
  <si>
    <t>001</t>
  </si>
  <si>
    <t>1000</t>
  </si>
  <si>
    <t>2002</t>
  </si>
  <si>
    <t>1008</t>
  </si>
  <si>
    <t>31,07</t>
  </si>
  <si>
    <t>111,29</t>
  </si>
  <si>
    <t>0032171713500000</t>
  </si>
  <si>
    <t>080100</t>
  </si>
  <si>
    <t>ALBUFEIRA</t>
  </si>
  <si>
    <t>080101</t>
  </si>
  <si>
    <t>VARZEA DA ORADA</t>
  </si>
  <si>
    <t>MARINA ALBUFEIRA LOTE 4</t>
  </si>
  <si>
    <t>0012228</t>
  </si>
  <si>
    <t>8200</t>
  </si>
  <si>
    <t>98</t>
  </si>
  <si>
    <t>2009</t>
  </si>
  <si>
    <t>37,72</t>
  </si>
  <si>
    <t>135</t>
  </si>
  <si>
    <t>0832149937800000</t>
  </si>
  <si>
    <t>0632161442300000</t>
  </si>
  <si>
    <t>100000</t>
  </si>
  <si>
    <t>LEIRIA</t>
  </si>
  <si>
    <t>100900</t>
  </si>
  <si>
    <t>100912</t>
  </si>
  <si>
    <t>AROEIRA</t>
  </si>
  <si>
    <t>2425</t>
  </si>
  <si>
    <t>580</t>
  </si>
  <si>
    <t>000006380 -</t>
  </si>
  <si>
    <t>33,93</t>
  </si>
  <si>
    <t>121,5</t>
  </si>
  <si>
    <t>430000</t>
  </si>
  <si>
    <t>ILHA TERCEIRA-AÇORES</t>
  </si>
  <si>
    <t>430200</t>
  </si>
  <si>
    <t>VILA PRAIA DA VITÓRIA</t>
  </si>
  <si>
    <t>430208</t>
  </si>
  <si>
    <t>PRAIA DA VITÓRIA (SANTA CRUZ)</t>
  </si>
  <si>
    <t>PRAIA DA VITORIA SANTA CRUZ</t>
  </si>
  <si>
    <t>CRUZ DO MARCO, RIBEIRA STO ANTONIO</t>
  </si>
  <si>
    <t>9760</t>
  </si>
  <si>
    <t>500</t>
  </si>
  <si>
    <t>999</t>
  </si>
  <si>
    <t>32,97</t>
  </si>
  <si>
    <t>64,54</t>
  </si>
  <si>
    <t>3799</t>
  </si>
  <si>
    <t>0090164040300000</t>
  </si>
  <si>
    <t>130000</t>
  </si>
  <si>
    <t>PORTO</t>
  </si>
  <si>
    <t>131200</t>
  </si>
  <si>
    <t>131204</t>
  </si>
  <si>
    <t>CEDOFEITA</t>
  </si>
  <si>
    <t>DO BONJARDIM</t>
  </si>
  <si>
    <t>401</t>
  </si>
  <si>
    <t>4000</t>
  </si>
  <si>
    <t>010</t>
  </si>
  <si>
    <t>17079</t>
  </si>
  <si>
    <t>9842, CRP 1196</t>
  </si>
  <si>
    <t>29,76</t>
  </si>
  <si>
    <t>105,83</t>
  </si>
  <si>
    <t>010000</t>
  </si>
  <si>
    <t>AVEIRO</t>
  </si>
  <si>
    <t>010900</t>
  </si>
  <si>
    <t>FEIRA</t>
  </si>
  <si>
    <t>010902</t>
  </si>
  <si>
    <t>ARRIFANA</t>
  </si>
  <si>
    <t>TERRAS STA MARIA</t>
  </si>
  <si>
    <t>1845</t>
  </si>
  <si>
    <t>3700</t>
  </si>
  <si>
    <t>400</t>
  </si>
  <si>
    <t>125</t>
  </si>
  <si>
    <t>1970</t>
  </si>
  <si>
    <t>0003048-B -</t>
  </si>
  <si>
    <t>67,53</t>
  </si>
  <si>
    <t>241,14</t>
  </si>
  <si>
    <t>0632161338300000</t>
  </si>
  <si>
    <t>310307</t>
  </si>
  <si>
    <t>S. MARTINHO</t>
  </si>
  <si>
    <t>09</t>
  </si>
  <si>
    <t>ESTRADA</t>
  </si>
  <si>
    <t>MONUMENTAL  - HOTEL BAIA AZUL</t>
  </si>
  <si>
    <t>9000</t>
  </si>
  <si>
    <t>7034</t>
  </si>
  <si>
    <t>ART. 3718, CRP 1842</t>
  </si>
  <si>
    <t>16,43</t>
  </si>
  <si>
    <t>32,21</t>
  </si>
  <si>
    <t>0032145088800000</t>
  </si>
  <si>
    <t>0832152038800000</t>
  </si>
  <si>
    <t>420000</t>
  </si>
  <si>
    <t>ILHA DE SAO MIGUEL-AÇORES</t>
  </si>
  <si>
    <t>420500</t>
  </si>
  <si>
    <t>RIBEIRA GRANDE</t>
  </si>
  <si>
    <t>420508</t>
  </si>
  <si>
    <t>RABO DE PEIXE</t>
  </si>
  <si>
    <t>CANADA DO BACHAREL</t>
  </si>
  <si>
    <t>0002485</t>
  </si>
  <si>
    <t>9600</t>
  </si>
  <si>
    <t>082</t>
  </si>
  <si>
    <t>48400</t>
  </si>
  <si>
    <t>1989</t>
  </si>
  <si>
    <t>12/Q</t>
  </si>
  <si>
    <t>0632161441800000</t>
  </si>
  <si>
    <t>2080</t>
  </si>
  <si>
    <t>000006702 -</t>
  </si>
  <si>
    <t>41,46</t>
  </si>
  <si>
    <t>148,5</t>
  </si>
  <si>
    <t>5320</t>
  </si>
  <si>
    <t>000006709 -</t>
  </si>
  <si>
    <t>0632161442200000</t>
  </si>
  <si>
    <t>000006391 -</t>
  </si>
  <si>
    <t>37,69</t>
  </si>
  <si>
    <t>0632161441100000</t>
  </si>
  <si>
    <t>GIESTAS ROCA</t>
  </si>
  <si>
    <t>GIESTAS</t>
  </si>
  <si>
    <t>0000018</t>
  </si>
  <si>
    <t>1068</t>
  </si>
  <si>
    <t>49/S</t>
  </si>
  <si>
    <t>26,97</t>
  </si>
  <si>
    <t>52,8</t>
  </si>
  <si>
    <t>0832152039100000</t>
  </si>
  <si>
    <t>101000</t>
  </si>
  <si>
    <t>MARINHA GRANDE</t>
  </si>
  <si>
    <t>101001</t>
  </si>
  <si>
    <t>2430</t>
  </si>
  <si>
    <t>216</t>
  </si>
  <si>
    <t>2171</t>
  </si>
  <si>
    <t>P20870</t>
  </si>
  <si>
    <t>38,06</t>
  </si>
  <si>
    <t>136,08</t>
  </si>
  <si>
    <t>0090170769300000</t>
  </si>
  <si>
    <t>0032152903700000</t>
  </si>
  <si>
    <t>030358</t>
  </si>
  <si>
    <t>TENOES</t>
  </si>
  <si>
    <t>GENERAL CARRILHO DA SILVA PINTO</t>
  </si>
  <si>
    <t>4715</t>
  </si>
  <si>
    <t>380</t>
  </si>
  <si>
    <t>13114</t>
  </si>
  <si>
    <t>1207</t>
  </si>
  <si>
    <t>39,05</t>
  </si>
  <si>
    <t>139,49</t>
  </si>
  <si>
    <t>0032171713100000</t>
  </si>
  <si>
    <t>031300</t>
  </si>
  <si>
    <t>VILA VERDE</t>
  </si>
  <si>
    <t>031326</t>
  </si>
  <si>
    <t>MARRANCOS</t>
  </si>
  <si>
    <t>S JOSE</t>
  </si>
  <si>
    <t>S MARTINHO</t>
  </si>
  <si>
    <t>15</t>
  </si>
  <si>
    <t>4730</t>
  </si>
  <si>
    <t>788</t>
  </si>
  <si>
    <t>482</t>
  </si>
  <si>
    <t>31,86</t>
  </si>
  <si>
    <t>113,38</t>
  </si>
  <si>
    <t>0832152039400000</t>
  </si>
  <si>
    <t>420512</t>
  </si>
  <si>
    <t>SANTA BÁRBARA</t>
  </si>
  <si>
    <t>COVAS</t>
  </si>
  <si>
    <t>0000443</t>
  </si>
  <si>
    <t>11720</t>
  </si>
  <si>
    <t>21/B</t>
  </si>
  <si>
    <t>0632161441300000</t>
  </si>
  <si>
    <t>480</t>
  </si>
  <si>
    <t>000006382 -</t>
  </si>
  <si>
    <t>020000</t>
  </si>
  <si>
    <t>BEJA</t>
  </si>
  <si>
    <t>020500</t>
  </si>
  <si>
    <t>020511</t>
  </si>
  <si>
    <t>BEJA (SANTA MARIA DA FEIRA)</t>
  </si>
  <si>
    <t>03</t>
  </si>
  <si>
    <t>PRACA</t>
  </si>
  <si>
    <t>FERNANDO LOPES GRACA</t>
  </si>
  <si>
    <t>36</t>
  </si>
  <si>
    <t>7800</t>
  </si>
  <si>
    <t>003</t>
  </si>
  <si>
    <t>2658</t>
  </si>
  <si>
    <t>3619</t>
  </si>
  <si>
    <t>47,86</t>
  </si>
  <si>
    <t>172,67</t>
  </si>
  <si>
    <t>0032156953400000</t>
  </si>
  <si>
    <t>0032164229000000</t>
  </si>
  <si>
    <t>130800</t>
  </si>
  <si>
    <t>MATOSINHOS</t>
  </si>
  <si>
    <t>130806</t>
  </si>
  <si>
    <t>ROBERTO IVENS</t>
  </si>
  <si>
    <t>547</t>
  </si>
  <si>
    <t>4450</t>
  </si>
  <si>
    <t>254</t>
  </si>
  <si>
    <t>238</t>
  </si>
  <si>
    <t>13996419642  CRP 3547</t>
  </si>
  <si>
    <t>19,77</t>
  </si>
  <si>
    <t>71,19</t>
  </si>
  <si>
    <t>100923</t>
  </si>
  <si>
    <t>SANTA EUFEMIA</t>
  </si>
  <si>
    <t>MEMÓRIA</t>
  </si>
  <si>
    <t>2420</t>
  </si>
  <si>
    <t>5040</t>
  </si>
  <si>
    <t>3403</t>
  </si>
  <si>
    <t>000002525 -</t>
  </si>
  <si>
    <t>41,06</t>
  </si>
  <si>
    <t>146,3</t>
  </si>
  <si>
    <t>0632161441500000</t>
  </si>
  <si>
    <t>10900</t>
  </si>
  <si>
    <t>000006657 -</t>
  </si>
  <si>
    <t>0032174792100010</t>
  </si>
  <si>
    <t>150000</t>
  </si>
  <si>
    <t>SETUBAL</t>
  </si>
  <si>
    <t>150500</t>
  </si>
  <si>
    <t>GRANDOLA</t>
  </si>
  <si>
    <t>150505</t>
  </si>
  <si>
    <t>CARVALHAL</t>
  </si>
  <si>
    <t>TROIA</t>
  </si>
  <si>
    <t>EDIFICIO APARTAMENTO DA MARINA</t>
  </si>
  <si>
    <t>3.1</t>
  </si>
  <si>
    <t>7570</t>
  </si>
  <si>
    <t>789</t>
  </si>
  <si>
    <t>70</t>
  </si>
  <si>
    <t>2008</t>
  </si>
  <si>
    <t>2617 CRP 1239</t>
  </si>
  <si>
    <t>37,6</t>
  </si>
  <si>
    <t>134,33</t>
  </si>
  <si>
    <t>0032169064000000</t>
  </si>
  <si>
    <t>160000</t>
  </si>
  <si>
    <t>VIANA DO CASTELO</t>
  </si>
  <si>
    <t>160100</t>
  </si>
  <si>
    <t>ARCOS DE VALDEVEZ</t>
  </si>
  <si>
    <t>160124</t>
  </si>
  <si>
    <t>PACO</t>
  </si>
  <si>
    <t>CORTINHAS</t>
  </si>
  <si>
    <t>EN101</t>
  </si>
  <si>
    <t>4970</t>
  </si>
  <si>
    <t>237</t>
  </si>
  <si>
    <t>269</t>
  </si>
  <si>
    <t>1116</t>
  </si>
  <si>
    <t>33,36</t>
  </si>
  <si>
    <t>117,09</t>
  </si>
  <si>
    <t>110500</t>
  </si>
  <si>
    <t>CASCAIS</t>
  </si>
  <si>
    <t>110501</t>
  </si>
  <si>
    <t>ALCABIDECHE</t>
  </si>
  <si>
    <t>MANIQUE</t>
  </si>
  <si>
    <t>ESCOLA DOS SALESIANOS MANIQUE</t>
  </si>
  <si>
    <t>2645</t>
  </si>
  <si>
    <t>438</t>
  </si>
  <si>
    <t>18586</t>
  </si>
  <si>
    <t>15117 * 2212 E 529</t>
  </si>
  <si>
    <t>44,5</t>
  </si>
  <si>
    <t>159,13</t>
  </si>
  <si>
    <t>0032144642600000</t>
  </si>
  <si>
    <t>010913</t>
  </si>
  <si>
    <t>LOUROSA</t>
  </si>
  <si>
    <t>NOVA ALDEIRO</t>
  </si>
  <si>
    <t>208</t>
  </si>
  <si>
    <t>4535</t>
  </si>
  <si>
    <t>097</t>
  </si>
  <si>
    <t>85</t>
  </si>
  <si>
    <t>1969</t>
  </si>
  <si>
    <t>CONSERV.SABROSA</t>
  </si>
  <si>
    <t>246</t>
  </si>
  <si>
    <t>2593/20080317</t>
  </si>
  <si>
    <t>1210</t>
  </si>
  <si>
    <t>52,17</t>
  </si>
  <si>
    <t>186,58</t>
  </si>
  <si>
    <t>0032143066400000</t>
  </si>
  <si>
    <t>ROJA PE</t>
  </si>
  <si>
    <t>110</t>
  </si>
  <si>
    <t>4981-U * CRP 10278/19970313</t>
  </si>
  <si>
    <t>17,49</t>
  </si>
  <si>
    <t>62,65</t>
  </si>
  <si>
    <t>110604</t>
  </si>
  <si>
    <t>ALVALADE</t>
  </si>
  <si>
    <t>DAS FORCAS ARMADAS</t>
  </si>
  <si>
    <t>4A, 4C</t>
  </si>
  <si>
    <t>875</t>
  </si>
  <si>
    <t>3283</t>
  </si>
  <si>
    <t>38,27</t>
  </si>
  <si>
    <t>136,51</t>
  </si>
  <si>
    <t>0032176761500000</t>
  </si>
  <si>
    <t>0090167041400000</t>
  </si>
  <si>
    <t>95</t>
  </si>
  <si>
    <t>1350</t>
  </si>
  <si>
    <t>612, CRP 25</t>
  </si>
  <si>
    <t>110632</t>
  </si>
  <si>
    <t>SANTA MARIA DE BELEM</t>
  </si>
  <si>
    <t>BELEM</t>
  </si>
  <si>
    <t>DE BRASILIA</t>
  </si>
  <si>
    <t>1400</t>
  </si>
  <si>
    <t>038</t>
  </si>
  <si>
    <t>57610</t>
  </si>
  <si>
    <t>3443 CRP2921</t>
  </si>
  <si>
    <t>23,94</t>
  </si>
  <si>
    <t>85,28</t>
  </si>
  <si>
    <t>0032164279300000</t>
  </si>
  <si>
    <t>150900</t>
  </si>
  <si>
    <t>SANTIAGO DO CACEM</t>
  </si>
  <si>
    <t>150907</t>
  </si>
  <si>
    <t>SANTO ANDRE</t>
  </si>
  <si>
    <t>120</t>
  </si>
  <si>
    <t>2900</t>
  </si>
  <si>
    <t>337</t>
  </si>
  <si>
    <t>1973</t>
  </si>
  <si>
    <t>R288 U1027 U2013</t>
  </si>
  <si>
    <t>228       120</t>
  </si>
  <si>
    <t>31,46</t>
  </si>
  <si>
    <t>111,66</t>
  </si>
  <si>
    <t>0032171034200000</t>
  </si>
  <si>
    <t>011800</t>
  </si>
  <si>
    <t>VAGOS</t>
  </si>
  <si>
    <t>011807</t>
  </si>
  <si>
    <t>SOSA</t>
  </si>
  <si>
    <t>50</t>
  </si>
  <si>
    <t>ZONA INDUSTRIAL</t>
  </si>
  <si>
    <t>FONTAO, LT 3, 4, 10 E 11</t>
  </si>
  <si>
    <t>PQ EMP SOZA</t>
  </si>
  <si>
    <t>3840</t>
  </si>
  <si>
    <t>342</t>
  </si>
  <si>
    <t>16751</t>
  </si>
  <si>
    <t>2872,2888_89,2876CRP6082,6184_86,6096</t>
  </si>
  <si>
    <t>56,71</t>
  </si>
  <si>
    <t>194,2</t>
  </si>
  <si>
    <t>1843</t>
  </si>
  <si>
    <t>0003048-A -</t>
  </si>
  <si>
    <t>0032171061600000</t>
  </si>
  <si>
    <t>090000</t>
  </si>
  <si>
    <t>GUARDA</t>
  </si>
  <si>
    <t>090100</t>
  </si>
  <si>
    <t>AGUIAR DA BEIRA</t>
  </si>
  <si>
    <t>090109</t>
  </si>
  <si>
    <t>PENA VERDE</t>
  </si>
  <si>
    <t>30</t>
  </si>
  <si>
    <t>OUTROS</t>
  </si>
  <si>
    <t>MOREIRA</t>
  </si>
  <si>
    <t>3570</t>
  </si>
  <si>
    <t>170</t>
  </si>
  <si>
    <t>2162</t>
  </si>
  <si>
    <t>R6342  CRP 3033</t>
  </si>
  <si>
    <t>32,35</t>
  </si>
  <si>
    <t>117,08</t>
  </si>
  <si>
    <t>420300</t>
  </si>
  <si>
    <t>PONTA DELGADA</t>
  </si>
  <si>
    <t>420399</t>
  </si>
  <si>
    <t>99</t>
  </si>
  <si>
    <t>VILA DE NORDESTE</t>
  </si>
  <si>
    <t>RUA DAS COURELAS DE BAIXO</t>
  </si>
  <si>
    <t>0000173</t>
  </si>
  <si>
    <t>9630</t>
  </si>
  <si>
    <t>173</t>
  </si>
  <si>
    <t>437</t>
  </si>
  <si>
    <t>1987</t>
  </si>
  <si>
    <t>PREDIOS</t>
  </si>
  <si>
    <t>6-BAJA</t>
  </si>
  <si>
    <t>CONSERV.NAZARÉ</t>
  </si>
  <si>
    <t>183</t>
  </si>
  <si>
    <t>2440</t>
  </si>
  <si>
    <t>0032143066500000</t>
  </si>
  <si>
    <t>ROJA PE - OLHOS AGUA</t>
  </si>
  <si>
    <t>QUINTA DO MILHARO</t>
  </si>
  <si>
    <t>23</t>
  </si>
  <si>
    <t>PRACETA</t>
  </si>
  <si>
    <t>868</t>
  </si>
  <si>
    <t>18137 * CRP 3245/19880315</t>
  </si>
  <si>
    <t>34,59</t>
  </si>
  <si>
    <t>123,8</t>
  </si>
  <si>
    <t>PRIMEIRO DEZEMBRO</t>
  </si>
  <si>
    <t>93</t>
  </si>
  <si>
    <t>"CPU 608, CRP 26 - ""C"""</t>
  </si>
  <si>
    <t>0090167041900000</t>
  </si>
  <si>
    <t>131211</t>
  </si>
  <si>
    <t>RAMALDE</t>
  </si>
  <si>
    <t>SAO JOAO BOSCO</t>
  </si>
  <si>
    <t>383</t>
  </si>
  <si>
    <t>5 D</t>
  </si>
  <si>
    <t>4100</t>
  </si>
  <si>
    <t>450</t>
  </si>
  <si>
    <t>129</t>
  </si>
  <si>
    <t>25,42</t>
  </si>
  <si>
    <t>90,4</t>
  </si>
  <si>
    <t>0032178532600010</t>
  </si>
  <si>
    <t>290000</t>
  </si>
  <si>
    <t>290300</t>
  </si>
  <si>
    <t>290304</t>
  </si>
  <si>
    <t>CAPELAS</t>
  </si>
  <si>
    <t>RUA DO NAVIO</t>
  </si>
  <si>
    <t>0000502</t>
  </si>
  <si>
    <t>9545</t>
  </si>
  <si>
    <t>140</t>
  </si>
  <si>
    <t>4180</t>
  </si>
  <si>
    <t>2010</t>
  </si>
  <si>
    <t>CONSERV.PINHEL</t>
  </si>
  <si>
    <t>213</t>
  </si>
  <si>
    <t>502 E 684</t>
  </si>
  <si>
    <t>2001 E 2039</t>
  </si>
  <si>
    <t>42,83</t>
  </si>
  <si>
    <t>150,98</t>
  </si>
  <si>
    <t>0832150068100000</t>
  </si>
  <si>
    <t>0832152038900000</t>
  </si>
  <si>
    <t>CANADA DO BACHAREL -</t>
  </si>
  <si>
    <t>0001431</t>
  </si>
  <si>
    <t>24360</t>
  </si>
  <si>
    <t>7/Q</t>
  </si>
  <si>
    <t>0632160673700000</t>
  </si>
  <si>
    <t>100917</t>
  </si>
  <si>
    <t>MONTE REDONDO</t>
  </si>
  <si>
    <t>11890</t>
  </si>
  <si>
    <t>5829</t>
  </si>
  <si>
    <t>000011890 -CARTORIO PORTO MOS- MANUEL CA</t>
  </si>
  <si>
    <t>310500</t>
  </si>
  <si>
    <t>PONTA DO SOL</t>
  </si>
  <si>
    <t>310503</t>
  </si>
  <si>
    <t>ESTRADA V CENTENARIO</t>
  </si>
  <si>
    <t>16C</t>
  </si>
  <si>
    <t>9360</t>
  </si>
  <si>
    <t>420</t>
  </si>
  <si>
    <t>2015</t>
  </si>
  <si>
    <t>4137-C</t>
  </si>
  <si>
    <t>48,41</t>
  </si>
  <si>
    <t>92,04</t>
  </si>
  <si>
    <t>000006691 -</t>
  </si>
  <si>
    <t>0632161442100000</t>
  </si>
  <si>
    <t>0832151708000000</t>
  </si>
  <si>
    <t>310303</t>
  </si>
  <si>
    <t>FUNCHAL (SANTA LUZIA)</t>
  </si>
  <si>
    <t>RUA DAS HORTAS Nº101</t>
  </si>
  <si>
    <t>0001668</t>
  </si>
  <si>
    <t>1519</t>
  </si>
  <si>
    <t>2012</t>
  </si>
  <si>
    <t>CONSERV.FUNDÃO</t>
  </si>
  <si>
    <t>108</t>
  </si>
  <si>
    <t>1583</t>
  </si>
  <si>
    <t>60,87</t>
  </si>
  <si>
    <t>119,57</t>
  </si>
  <si>
    <t>0000800</t>
  </si>
  <si>
    <t>21300</t>
  </si>
  <si>
    <t>52/B1</t>
  </si>
  <si>
    <t>0832152039600000</t>
  </si>
  <si>
    <t>111300</t>
  </si>
  <si>
    <t>TORRES VEDRAS</t>
  </si>
  <si>
    <t>111314</t>
  </si>
  <si>
    <t>S. PEDRO DA CADEIRA</t>
  </si>
  <si>
    <t>2560</t>
  </si>
  <si>
    <t>331</t>
  </si>
  <si>
    <t>1992</t>
  </si>
  <si>
    <t>000003399 -</t>
  </si>
  <si>
    <t>37,92</t>
  </si>
  <si>
    <t>135,04</t>
  </si>
  <si>
    <t>0632159347800000</t>
  </si>
  <si>
    <t>10410</t>
  </si>
  <si>
    <t>000006383 -</t>
  </si>
  <si>
    <t>0632161441400000</t>
  </si>
  <si>
    <t>110646</t>
  </si>
  <si>
    <t>S. MAMEDE</t>
  </si>
  <si>
    <t>ARTILHARIA 1</t>
  </si>
  <si>
    <t>101</t>
  </si>
  <si>
    <t>1070</t>
  </si>
  <si>
    <t>012</t>
  </si>
  <si>
    <t>180</t>
  </si>
  <si>
    <t>0001256-I -</t>
  </si>
  <si>
    <t>19,59</t>
  </si>
  <si>
    <t>69,77</t>
  </si>
  <si>
    <t>0632160438700000</t>
  </si>
  <si>
    <t>0003109</t>
  </si>
  <si>
    <t>5720</t>
  </si>
  <si>
    <t>9/R</t>
  </si>
  <si>
    <t>0832152039000000</t>
  </si>
  <si>
    <t>0632159599600000</t>
  </si>
  <si>
    <t>140502</t>
  </si>
  <si>
    <t>SAMORA CORREIA</t>
  </si>
  <si>
    <t>GUINÉ-BISSAU</t>
  </si>
  <si>
    <t>21</t>
  </si>
  <si>
    <t>2135</t>
  </si>
  <si>
    <t>327</t>
  </si>
  <si>
    <t>4987</t>
  </si>
  <si>
    <t>2001</t>
  </si>
  <si>
    <t>000007967 -</t>
  </si>
  <si>
    <t>46,1</t>
  </si>
  <si>
    <t>166,86</t>
  </si>
  <si>
    <t>0632161013300000</t>
  </si>
  <si>
    <t>081100</t>
  </si>
  <si>
    <t>PORTIMAO</t>
  </si>
  <si>
    <t>081103</t>
  </si>
  <si>
    <t>PORTIMÃO</t>
  </si>
  <si>
    <t>PEDRA</t>
  </si>
  <si>
    <t>13</t>
  </si>
  <si>
    <t>1010</t>
  </si>
  <si>
    <t>8500</t>
  </si>
  <si>
    <t>815</t>
  </si>
  <si>
    <t>2296</t>
  </si>
  <si>
    <t>1981</t>
  </si>
  <si>
    <t>000006197 -CN CARMO CORREIA</t>
  </si>
  <si>
    <t>48,29</t>
  </si>
  <si>
    <t>172,3</t>
  </si>
  <si>
    <t>0032167852400000</t>
  </si>
  <si>
    <t>181300</t>
  </si>
  <si>
    <t>RESENDE</t>
  </si>
  <si>
    <t>181314</t>
  </si>
  <si>
    <t>S. MARTINHO DE MOUROS</t>
  </si>
  <si>
    <t>SAO MARTINHO DE MOUR</t>
  </si>
  <si>
    <t>DO CIMO DA FEIRA NOVA</t>
  </si>
  <si>
    <t>166</t>
  </si>
  <si>
    <t>4660</t>
  </si>
  <si>
    <t>1763</t>
  </si>
  <si>
    <t>2245</t>
  </si>
  <si>
    <t>63,98</t>
  </si>
  <si>
    <t>227,98</t>
  </si>
  <si>
    <t>0032169674800000</t>
  </si>
  <si>
    <t>142100</t>
  </si>
  <si>
    <t>OUREM</t>
  </si>
  <si>
    <t>142115</t>
  </si>
  <si>
    <t>NOSSA SENHORA DA PIEDADE</t>
  </si>
  <si>
    <t>CASAIS DA CARIDADE</t>
  </si>
  <si>
    <t>14</t>
  </si>
  <si>
    <t>2490</t>
  </si>
  <si>
    <t>198</t>
  </si>
  <si>
    <t>3360</t>
  </si>
  <si>
    <t>2020</t>
  </si>
  <si>
    <t>4782</t>
  </si>
  <si>
    <t>33,72</t>
  </si>
  <si>
    <t>131,21</t>
  </si>
  <si>
    <t>0032169974700000</t>
  </si>
  <si>
    <t>110617</t>
  </si>
  <si>
    <t>LAPA</t>
  </si>
  <si>
    <t>R OLIVAL 25, R JANELAS VERDES</t>
  </si>
  <si>
    <t>25</t>
  </si>
  <si>
    <t>3449</t>
  </si>
  <si>
    <t>24232591</t>
  </si>
  <si>
    <t>48,03</t>
  </si>
  <si>
    <t>171,63</t>
  </si>
  <si>
    <t>060318</t>
  </si>
  <si>
    <t>SANTO ANTÓNIO DOS OLIVAIS</t>
  </si>
  <si>
    <t>CARLOS SEIXAS</t>
  </si>
  <si>
    <t>171</t>
  </si>
  <si>
    <t>RCH</t>
  </si>
  <si>
    <t>177</t>
  </si>
  <si>
    <t>2003</t>
  </si>
  <si>
    <t>52,24</t>
  </si>
  <si>
    <t>185,93</t>
  </si>
  <si>
    <t>0032178233500010</t>
  </si>
  <si>
    <t>021100</t>
  </si>
  <si>
    <t>ODEMIRA</t>
  </si>
  <si>
    <t>021111</t>
  </si>
  <si>
    <t>VILA NOVA DE MILFONTES</t>
  </si>
  <si>
    <t>MONTE DA ROSA</t>
  </si>
  <si>
    <t>R/C ESQ</t>
  </si>
  <si>
    <t>7645</t>
  </si>
  <si>
    <t>284</t>
  </si>
  <si>
    <t>65</t>
  </si>
  <si>
    <t>1994</t>
  </si>
  <si>
    <t>46,35</t>
  </si>
  <si>
    <t>164,44</t>
  </si>
  <si>
    <t>0032174340000010</t>
  </si>
  <si>
    <t>0032169859900000</t>
  </si>
  <si>
    <t>130100</t>
  </si>
  <si>
    <t>AMARANTE</t>
  </si>
  <si>
    <t>130133</t>
  </si>
  <si>
    <t>AMARANTE (S. GONÇALO)</t>
  </si>
  <si>
    <t>SAO LAZARO</t>
  </si>
  <si>
    <t>DR MARIO MONTERROSO</t>
  </si>
  <si>
    <t>104</t>
  </si>
  <si>
    <t>4600</t>
  </si>
  <si>
    <t>074</t>
  </si>
  <si>
    <t>1942</t>
  </si>
  <si>
    <t>U-3709</t>
  </si>
  <si>
    <t>21,11</t>
  </si>
  <si>
    <t>75,52</t>
  </si>
  <si>
    <t>0640161175600000</t>
  </si>
  <si>
    <t>111100</t>
  </si>
  <si>
    <t>SINTRA</t>
  </si>
  <si>
    <t>111107</t>
  </si>
  <si>
    <t>QUELUZ</t>
  </si>
  <si>
    <t>CASAL DA BAROTA</t>
  </si>
  <si>
    <t>PADEIRA ALJUBARROTA</t>
  </si>
  <si>
    <t>18</t>
  </si>
  <si>
    <t>2605</t>
  </si>
  <si>
    <t>249</t>
  </si>
  <si>
    <t>88</t>
  </si>
  <si>
    <t>0005304-C -</t>
  </si>
  <si>
    <t>33</t>
  </si>
  <si>
    <t>117,87</t>
  </si>
  <si>
    <t>030871</t>
  </si>
  <si>
    <t>URGEZES</t>
  </si>
  <si>
    <t>PAULO VI</t>
  </si>
  <si>
    <t>91</t>
  </si>
  <si>
    <t>4810</t>
  </si>
  <si>
    <t>508</t>
  </si>
  <si>
    <t>1893</t>
  </si>
  <si>
    <t>1181 CRP 3</t>
  </si>
  <si>
    <t>39,22</t>
  </si>
  <si>
    <t>140,31</t>
  </si>
  <si>
    <t>0032176380100000</t>
  </si>
  <si>
    <t>3580</t>
  </si>
  <si>
    <t>000006661 -</t>
  </si>
  <si>
    <t>0632161441900000</t>
  </si>
  <si>
    <t>1430</t>
  </si>
  <si>
    <t>000006663 -</t>
  </si>
  <si>
    <t>0632161442000000</t>
  </si>
  <si>
    <t>BACHAREL</t>
  </si>
  <si>
    <t>0001453</t>
  </si>
  <si>
    <t>169520</t>
  </si>
  <si>
    <t>3/R</t>
  </si>
  <si>
    <t>0832152038600000</t>
  </si>
  <si>
    <t>0090162612500000</t>
  </si>
  <si>
    <t>110502</t>
  </si>
  <si>
    <t>CARCAVELOS</t>
  </si>
  <si>
    <t>LOMBOS</t>
  </si>
  <si>
    <t>EUSEBIO PEREIRA</t>
  </si>
  <si>
    <t>1-4</t>
  </si>
  <si>
    <t>2775</t>
  </si>
  <si>
    <t>403</t>
  </si>
  <si>
    <t>11842</t>
  </si>
  <si>
    <t>7743</t>
  </si>
  <si>
    <t>9,36</t>
  </si>
  <si>
    <t>33,44</t>
  </si>
  <si>
    <t>310304</t>
  </si>
  <si>
    <t>FUNCHAL (SANTA MARIA MAIOR)</t>
  </si>
  <si>
    <t>SANTA LUZIA</t>
  </si>
  <si>
    <t>RIBEIRA DE JOAO GOMES</t>
  </si>
  <si>
    <t>0000534</t>
  </si>
  <si>
    <t>1832</t>
  </si>
  <si>
    <t>3147</t>
  </si>
  <si>
    <t>35,11</t>
  </si>
  <si>
    <t>69,13</t>
  </si>
  <si>
    <t>0832151796100000</t>
  </si>
  <si>
    <t>RUA DO POCEIRAO, N.º1</t>
  </si>
  <si>
    <t>0246345</t>
  </si>
  <si>
    <t>1980</t>
  </si>
  <si>
    <t>762</t>
  </si>
  <si>
    <t>0832151770000000</t>
  </si>
  <si>
    <t>0032153119200000</t>
  </si>
  <si>
    <t>131208</t>
  </si>
  <si>
    <t>MIRAGAIA</t>
  </si>
  <si>
    <t>DE MONCHIQUE 30,35 A 41</t>
  </si>
  <si>
    <t>4560</t>
  </si>
  <si>
    <t>150</t>
  </si>
  <si>
    <t>8376</t>
  </si>
  <si>
    <t>1612,1617,1622,1627,1632</t>
  </si>
  <si>
    <t>1-REAL</t>
  </si>
  <si>
    <t>49,9</t>
  </si>
  <si>
    <t>194,18</t>
  </si>
  <si>
    <t>0032177094600010</t>
  </si>
  <si>
    <t>111603</t>
  </si>
  <si>
    <t>04</t>
  </si>
  <si>
    <t>JOSE MARIA BONTEMPO</t>
  </si>
  <si>
    <t>RC DTO</t>
  </si>
  <si>
    <t>2675</t>
  </si>
  <si>
    <t>651</t>
  </si>
  <si>
    <t>155</t>
  </si>
  <si>
    <t>12337</t>
  </si>
  <si>
    <t>50,58</t>
  </si>
  <si>
    <t>170,29</t>
  </si>
  <si>
    <t>080800</t>
  </si>
  <si>
    <t>LOULE</t>
  </si>
  <si>
    <t>080805</t>
  </si>
  <si>
    <t>QUARTEIRA</t>
  </si>
  <si>
    <t>VILAMOURA</t>
  </si>
  <si>
    <t>ARMAZENS MOURASTOCK BLC 1- PORTA 1.4</t>
  </si>
  <si>
    <t>6I1/24</t>
  </si>
  <si>
    <t>8125</t>
  </si>
  <si>
    <t>146</t>
  </si>
  <si>
    <t>1991</t>
  </si>
  <si>
    <t>U6775  CRP 4093</t>
  </si>
  <si>
    <t>54,5</t>
  </si>
  <si>
    <t>193,75</t>
  </si>
  <si>
    <t>0032175989100000</t>
  </si>
  <si>
    <t>0030174757300010</t>
  </si>
  <si>
    <t>131206</t>
  </si>
  <si>
    <t>LORDELO DO OURO</t>
  </si>
  <si>
    <t>MASSARELOS</t>
  </si>
  <si>
    <t>PROF AUGUSTO NOBRE</t>
  </si>
  <si>
    <t>336</t>
  </si>
  <si>
    <t>B 1 1</t>
  </si>
  <si>
    <t>4150</t>
  </si>
  <si>
    <t>785</t>
  </si>
  <si>
    <t>149</t>
  </si>
  <si>
    <t>2021</t>
  </si>
  <si>
    <t>3629-U</t>
  </si>
  <si>
    <t>63,89</t>
  </si>
  <si>
    <t>248,59</t>
  </si>
  <si>
    <t>130400</t>
  </si>
  <si>
    <t>GONDOMAR</t>
  </si>
  <si>
    <t>130408</t>
  </si>
  <si>
    <t>RIO TINTO</t>
  </si>
  <si>
    <t>CALOUSTE GULBENKIAN</t>
  </si>
  <si>
    <t>R/C</t>
  </si>
  <si>
    <t>4435</t>
  </si>
  <si>
    <t>002</t>
  </si>
  <si>
    <t>144</t>
  </si>
  <si>
    <t>13276</t>
  </si>
  <si>
    <t>44,29</t>
  </si>
  <si>
    <t>151,66</t>
  </si>
  <si>
    <t>0032167489900010</t>
  </si>
  <si>
    <t>16A</t>
  </si>
  <si>
    <t>54</t>
  </si>
  <si>
    <t>CONSERV.POMBAL</t>
  </si>
  <si>
    <t>214</t>
  </si>
  <si>
    <t>4751</t>
  </si>
  <si>
    <t>4137-A</t>
  </si>
  <si>
    <t>A, B, C</t>
  </si>
  <si>
    <t>55,45</t>
  </si>
  <si>
    <t>105,41</t>
  </si>
  <si>
    <t>0032176886400000</t>
  </si>
  <si>
    <t>TOMAS GONZAGA</t>
  </si>
  <si>
    <t>78</t>
  </si>
  <si>
    <t>4050</t>
  </si>
  <si>
    <t>605</t>
  </si>
  <si>
    <t>535</t>
  </si>
  <si>
    <t>1967</t>
  </si>
  <si>
    <t>1148</t>
  </si>
  <si>
    <t>41,12</t>
  </si>
  <si>
    <t>146,22</t>
  </si>
  <si>
    <t>1480</t>
  </si>
  <si>
    <t>000006701 -</t>
  </si>
  <si>
    <t>34,48</t>
  </si>
  <si>
    <t>123,48</t>
  </si>
  <si>
    <t>0632161441700000</t>
  </si>
  <si>
    <t>0632161347300000</t>
  </si>
  <si>
    <t>011300</t>
  </si>
  <si>
    <t>OLIVEIRA DE AZEMEIS</t>
  </si>
  <si>
    <t>011306</t>
  </si>
  <si>
    <t>MACINHATA DE SEIXA</t>
  </si>
  <si>
    <t>MACINHATA DA SEIXA</t>
  </si>
  <si>
    <t>3720</t>
  </si>
  <si>
    <t>734</t>
  </si>
  <si>
    <t>2017</t>
  </si>
  <si>
    <t>000001895 -</t>
  </si>
  <si>
    <t>65,75</t>
  </si>
  <si>
    <t>226,71</t>
  </si>
  <si>
    <t>0032172334100000</t>
  </si>
  <si>
    <t>130807</t>
  </si>
  <si>
    <t>PERAFITA</t>
  </si>
  <si>
    <t>GONCALVES ZARCO</t>
  </si>
  <si>
    <t>4455</t>
  </si>
  <si>
    <t>586</t>
  </si>
  <si>
    <t>1386</t>
  </si>
  <si>
    <t>183 CRP 2339</t>
  </si>
  <si>
    <t>ESCRITORIO</t>
  </si>
  <si>
    <t>34,62</t>
  </si>
  <si>
    <t>124,22</t>
  </si>
  <si>
    <t>0032176190100010</t>
  </si>
  <si>
    <t>RAMALDE-PORTO</t>
  </si>
  <si>
    <t>SENHORA DO PORTO, N.º 852, 2º DTO.</t>
  </si>
  <si>
    <t>852</t>
  </si>
  <si>
    <t>2º DTO</t>
  </si>
  <si>
    <t>4250</t>
  </si>
  <si>
    <t>454</t>
  </si>
  <si>
    <t>117</t>
  </si>
  <si>
    <t>U6290</t>
  </si>
  <si>
    <t>23,35</t>
  </si>
  <si>
    <t>90,85</t>
  </si>
  <si>
    <t>0032178010600000</t>
  </si>
  <si>
    <t>05</t>
  </si>
  <si>
    <t>CORPO SANTO</t>
  </si>
  <si>
    <t>32 34</t>
  </si>
  <si>
    <t>9060</t>
  </si>
  <si>
    <t>073</t>
  </si>
  <si>
    <t>50,28</t>
  </si>
  <si>
    <t>98,02</t>
  </si>
  <si>
    <t>0030157440800000</t>
  </si>
  <si>
    <t>170300</t>
  </si>
  <si>
    <t>CHAVES</t>
  </si>
  <si>
    <t>170342</t>
  </si>
  <si>
    <t>VIDAGO</t>
  </si>
  <si>
    <t>5425</t>
  </si>
  <si>
    <t>301</t>
  </si>
  <si>
    <t>1420 URB+2706 RUST</t>
  </si>
  <si>
    <t>7,53</t>
  </si>
  <si>
    <t>27,39</t>
  </si>
  <si>
    <t>0032177805900000</t>
  </si>
  <si>
    <t>181800</t>
  </si>
  <si>
    <t>SERNANCELHE</t>
  </si>
  <si>
    <t>181816</t>
  </si>
  <si>
    <t>19</t>
  </si>
  <si>
    <t>LOTEAMENTO</t>
  </si>
  <si>
    <t>DO PINHEIRO</t>
  </si>
  <si>
    <t>3640</t>
  </si>
  <si>
    <t>664</t>
  </si>
  <si>
    <t>1292 CRP 805</t>
  </si>
  <si>
    <t>69,12</t>
  </si>
  <si>
    <t>247,86</t>
  </si>
  <si>
    <t>0832152039200000</t>
  </si>
  <si>
    <t>CANADA DO BACAHREL</t>
  </si>
  <si>
    <t>0001014</t>
  </si>
  <si>
    <t>7/T</t>
  </si>
  <si>
    <t>030317</t>
  </si>
  <si>
    <t>FROSSOS</t>
  </si>
  <si>
    <t>DA SEARA OU FEITAL</t>
  </si>
  <si>
    <t>37</t>
  </si>
  <si>
    <t>154</t>
  </si>
  <si>
    <t>860</t>
  </si>
  <si>
    <t>0032176400500000</t>
  </si>
  <si>
    <t>0032164817000000</t>
  </si>
  <si>
    <t>110100</t>
  </si>
  <si>
    <t>ALENQUER</t>
  </si>
  <si>
    <t>110112</t>
  </si>
  <si>
    <t>ALENQUER (TRIANA)</t>
  </si>
  <si>
    <t>DO CABECO DAS ALMAS</t>
  </si>
  <si>
    <t>-</t>
  </si>
  <si>
    <t>2580</t>
  </si>
  <si>
    <t>15642</t>
  </si>
  <si>
    <t>5916CRP923</t>
  </si>
  <si>
    <t>46,77</t>
  </si>
  <si>
    <t>165,15</t>
  </si>
  <si>
    <t>0032173617900000</t>
  </si>
  <si>
    <t>060325</t>
  </si>
  <si>
    <t>COIMBRA (SE NOVA)</t>
  </si>
  <si>
    <t>GENERAL HUMBERTO DELGADO</t>
  </si>
  <si>
    <t>395</t>
  </si>
  <si>
    <t>90</t>
  </si>
  <si>
    <t>4117</t>
  </si>
  <si>
    <t>37,39</t>
  </si>
  <si>
    <t>133,52</t>
  </si>
  <si>
    <t>131207</t>
  </si>
  <si>
    <t>GONCALO SAMPAIO,280/366 PRACA BOM SUCESS</t>
  </si>
  <si>
    <t>23/61</t>
  </si>
  <si>
    <t>365</t>
  </si>
  <si>
    <t>1996</t>
  </si>
  <si>
    <t>2685</t>
  </si>
  <si>
    <t>39,98</t>
  </si>
  <si>
    <t>138,8</t>
  </si>
  <si>
    <t>0032176810800000</t>
  </si>
  <si>
    <t>0632160926200000</t>
  </si>
  <si>
    <t>150800</t>
  </si>
  <si>
    <t>PALMELA</t>
  </si>
  <si>
    <t>150804</t>
  </si>
  <si>
    <t>QUINTA DO ANJO</t>
  </si>
  <si>
    <t>2950</t>
  </si>
  <si>
    <t>220</t>
  </si>
  <si>
    <t>000011214 -</t>
  </si>
  <si>
    <t>20,44</t>
  </si>
  <si>
    <t>73,12</t>
  </si>
  <si>
    <t>0032171712700000</t>
  </si>
  <si>
    <t>030354</t>
  </si>
  <si>
    <t>SEQUEIRA</t>
  </si>
  <si>
    <t>10</t>
  </si>
  <si>
    <t>1240</t>
  </si>
  <si>
    <t>1,08811E+14</t>
  </si>
  <si>
    <t>E RUA DO SEMINARIO 3/5</t>
  </si>
  <si>
    <t>DO CARMO</t>
  </si>
  <si>
    <t>019</t>
  </si>
  <si>
    <t>2329</t>
  </si>
  <si>
    <t>U-1557,U-1591</t>
  </si>
  <si>
    <t>389   677</t>
  </si>
  <si>
    <t>715</t>
  </si>
  <si>
    <t>000006723 -</t>
  </si>
  <si>
    <t>0632161442400000</t>
  </si>
  <si>
    <t>DO SOUTO</t>
  </si>
  <si>
    <t>68-72</t>
  </si>
  <si>
    <t>594</t>
  </si>
  <si>
    <t>268</t>
  </si>
  <si>
    <t>U4681 CRP 245</t>
  </si>
  <si>
    <t>24,35</t>
  </si>
  <si>
    <t>86,59</t>
  </si>
  <si>
    <t>0032175114400000</t>
  </si>
  <si>
    <t>0632160114700000</t>
  </si>
  <si>
    <t>81</t>
  </si>
  <si>
    <t>2005</t>
  </si>
  <si>
    <t>000111-HO -</t>
  </si>
  <si>
    <t>38,79</t>
  </si>
  <si>
    <t>138,83</t>
  </si>
  <si>
    <t>081400</t>
  </si>
  <si>
    <t>081404</t>
  </si>
  <si>
    <t>TAVIRA</t>
  </si>
  <si>
    <t>8800</t>
  </si>
  <si>
    <t>4485</t>
  </si>
  <si>
    <t>20,09</t>
  </si>
  <si>
    <t>71,45</t>
  </si>
  <si>
    <t>SANTA CATARINA DA FONTE DO BISPO</t>
  </si>
  <si>
    <t>000002823 -CN Angela Relvas, Olhão</t>
  </si>
  <si>
    <t>464       1978</t>
  </si>
  <si>
    <t>20</t>
  </si>
  <si>
    <t>68,98</t>
  </si>
  <si>
    <t>RUA DA RIBEIRA DE JOAO GOMES</t>
  </si>
  <si>
    <t>0000958</t>
  </si>
  <si>
    <t>563</t>
  </si>
  <si>
    <t>780</t>
  </si>
  <si>
    <t>8F, CRP 958</t>
  </si>
  <si>
    <t>35,39</t>
  </si>
  <si>
    <t>0832149621900000</t>
  </si>
  <si>
    <t>FUNCHAL,RIBEIRO SECO</t>
  </si>
  <si>
    <t>CAM DAS VIRTUDES-R 4 ABRIL-TV LEV PILAR</t>
  </si>
  <si>
    <t>163</t>
  </si>
  <si>
    <t>13905</t>
  </si>
  <si>
    <t>27,36</t>
  </si>
  <si>
    <t>53,5</t>
  </si>
  <si>
    <t>0090164676700000</t>
  </si>
  <si>
    <t>0832152039500000</t>
  </si>
  <si>
    <t>0000821</t>
  </si>
  <si>
    <t>17400</t>
  </si>
  <si>
    <t>20/B</t>
  </si>
  <si>
    <t>THE PALMS, BLOCO B</t>
  </si>
  <si>
    <t>BL B</t>
  </si>
  <si>
    <t>RC- APT 15</t>
  </si>
  <si>
    <t>159</t>
  </si>
  <si>
    <t>3444</t>
  </si>
  <si>
    <t>27,02</t>
  </si>
  <si>
    <t>96,72</t>
  </si>
  <si>
    <t>0090172090400000</t>
  </si>
  <si>
    <t>0032172353400000</t>
  </si>
  <si>
    <t>160700</t>
  </si>
  <si>
    <t>PONTE DE LIMA</t>
  </si>
  <si>
    <t>160705</t>
  </si>
  <si>
    <t>ARDEGAO</t>
  </si>
  <si>
    <t>PENADA</t>
  </si>
  <si>
    <t>DA PENADA</t>
  </si>
  <si>
    <t>4990</t>
  </si>
  <si>
    <t>45</t>
  </si>
  <si>
    <t>14,3</t>
  </si>
  <si>
    <t>50,95</t>
  </si>
  <si>
    <t>151200</t>
  </si>
  <si>
    <t>151203</t>
  </si>
  <si>
    <t>SETUBAL (S. JULIAO)</t>
  </si>
  <si>
    <t>DR. ANTONIO RODRIGUES MANITO</t>
  </si>
  <si>
    <t>49</t>
  </si>
  <si>
    <t>6ºDRT</t>
  </si>
  <si>
    <t>058</t>
  </si>
  <si>
    <t>141</t>
  </si>
  <si>
    <t>4911, CRP 1086</t>
  </si>
  <si>
    <t>46,29</t>
  </si>
  <si>
    <t>165,43</t>
  </si>
  <si>
    <t>0032177746400010</t>
  </si>
  <si>
    <t>110648</t>
  </si>
  <si>
    <t>S. NICOLAU</t>
  </si>
  <si>
    <t>CORREEIROS</t>
  </si>
  <si>
    <t>227 A</t>
  </si>
  <si>
    <t>1100</t>
  </si>
  <si>
    <t>165</t>
  </si>
  <si>
    <t>1384</t>
  </si>
  <si>
    <t>1988</t>
  </si>
  <si>
    <t>000001272 -</t>
  </si>
  <si>
    <t>29,61</t>
  </si>
  <si>
    <t>105,56</t>
  </si>
  <si>
    <t>0632160674100000</t>
  </si>
  <si>
    <t>CAMINHO DA ROÇA</t>
  </si>
  <si>
    <t>GIESTA</t>
  </si>
  <si>
    <t>0002992</t>
  </si>
  <si>
    <t>102</t>
  </si>
  <si>
    <t>23760</t>
  </si>
  <si>
    <t>4119</t>
  </si>
  <si>
    <t>0832152038700000</t>
  </si>
  <si>
    <t>0032152443100000</t>
  </si>
  <si>
    <t>PEDRO ALVARES CABRAL, Nº 205 - 313</t>
  </si>
  <si>
    <t>205</t>
  </si>
  <si>
    <t>24319</t>
  </si>
  <si>
    <t>CPU 17309 CRP 6650/20020218</t>
  </si>
  <si>
    <t>49,73</t>
  </si>
  <si>
    <t>176,99</t>
  </si>
  <si>
    <t>958/1370-D</t>
  </si>
  <si>
    <t>72</t>
  </si>
  <si>
    <t>0002722-D -CARTORIO PORTO MOS- MANUEL CA</t>
  </si>
  <si>
    <t>2722      958/1370-D</t>
  </si>
  <si>
    <t>43,71</t>
  </si>
  <si>
    <t>156,2</t>
  </si>
  <si>
    <t>111118</t>
  </si>
  <si>
    <t>ÁGUALVA</t>
  </si>
  <si>
    <t>CASAL DO COTAO</t>
  </si>
  <si>
    <t>"CIDADE DE LISBOA - FRACAO ""A"""</t>
  </si>
  <si>
    <t>53</t>
  </si>
  <si>
    <t>LOJA 1</t>
  </si>
  <si>
    <t>2735</t>
  </si>
  <si>
    <t>1995</t>
  </si>
  <si>
    <t>51,24</t>
  </si>
  <si>
    <t>182,52</t>
  </si>
  <si>
    <t>0032176295700010</t>
  </si>
  <si>
    <t>0032178688200010</t>
  </si>
  <si>
    <t>101200</t>
  </si>
  <si>
    <t>OBIDOS</t>
  </si>
  <si>
    <t>101208</t>
  </si>
  <si>
    <t>GAEIRAS</t>
  </si>
  <si>
    <t>PRINCIPAL (FRACCAO A)</t>
  </si>
  <si>
    <t>RCH/1º</t>
  </si>
  <si>
    <t>2510</t>
  </si>
  <si>
    <t>733</t>
  </si>
  <si>
    <t>52,02</t>
  </si>
  <si>
    <t>182,82</t>
  </si>
  <si>
    <t>0032158290500010</t>
  </si>
  <si>
    <t>180600</t>
  </si>
  <si>
    <t>MANGUALDE</t>
  </si>
  <si>
    <t>180610</t>
  </si>
  <si>
    <t>07</t>
  </si>
  <si>
    <t>TRAVESSA</t>
  </si>
  <si>
    <t>ECA QUIROS</t>
  </si>
  <si>
    <t>BAIRRO DA GANDARA</t>
  </si>
  <si>
    <t>3530</t>
  </si>
  <si>
    <t>109</t>
  </si>
  <si>
    <t>5316CRP3382</t>
  </si>
  <si>
    <t>48,75</t>
  </si>
  <si>
    <t>171,26</t>
  </si>
  <si>
    <t>0032177152100010</t>
  </si>
  <si>
    <t>080500</t>
  </si>
  <si>
    <t>080505</t>
  </si>
  <si>
    <t>FARO (SE)</t>
  </si>
  <si>
    <t>RIO SECO</t>
  </si>
  <si>
    <t>8005</t>
  </si>
  <si>
    <t>528</t>
  </si>
  <si>
    <t>2650</t>
  </si>
  <si>
    <t>10252, 10253 R11 E R12 M</t>
  </si>
  <si>
    <t>62,66</t>
  </si>
  <si>
    <t>243,8</t>
  </si>
  <si>
    <t>0000</t>
  </si>
  <si>
    <t>000001899 -</t>
  </si>
  <si>
    <t>37,44</t>
  </si>
  <si>
    <t>129,11</t>
  </si>
  <si>
    <t>0632161347200000</t>
  </si>
  <si>
    <t>RUA DR. FERNAO DE ORNELAS Nº 8 A 16</t>
  </si>
  <si>
    <t>0000869</t>
  </si>
  <si>
    <t>624</t>
  </si>
  <si>
    <t>1957</t>
  </si>
  <si>
    <t>921</t>
  </si>
  <si>
    <t>0832151796200000</t>
  </si>
  <si>
    <t>0032171540700010</t>
  </si>
  <si>
    <t>130199</t>
  </si>
  <si>
    <t>VILA MEA</t>
  </si>
  <si>
    <t>ANTONIO NOBRE E PADRE FRANCISCO BABO</t>
  </si>
  <si>
    <t>4605</t>
  </si>
  <si>
    <t>023</t>
  </si>
  <si>
    <t>130</t>
  </si>
  <si>
    <t>919</t>
  </si>
  <si>
    <t>17,26</t>
  </si>
  <si>
    <t>61,98</t>
  </si>
  <si>
    <t>16B</t>
  </si>
  <si>
    <t>260</t>
  </si>
  <si>
    <t>4137-B</t>
  </si>
  <si>
    <t>160145</t>
  </si>
  <si>
    <t>SISTELO</t>
  </si>
  <si>
    <t>DA IGREJA</t>
  </si>
  <si>
    <t>645</t>
  </si>
  <si>
    <t>225</t>
  </si>
  <si>
    <t>484</t>
  </si>
  <si>
    <t>80,73</t>
  </si>
  <si>
    <t>280,59</t>
  </si>
  <si>
    <t>0032173314900000</t>
  </si>
  <si>
    <t>140400</t>
  </si>
  <si>
    <t>ALPIARCA</t>
  </si>
  <si>
    <t>140401</t>
  </si>
  <si>
    <t>FRADE DE BAIXO</t>
  </si>
  <si>
    <t>1º DE MAIO</t>
  </si>
  <si>
    <t>57</t>
  </si>
  <si>
    <t>2090</t>
  </si>
  <si>
    <t>1982</t>
  </si>
  <si>
    <t>3831</t>
  </si>
  <si>
    <t>64,14</t>
  </si>
  <si>
    <t>249,56</t>
  </si>
  <si>
    <t>0032171214100000</t>
  </si>
  <si>
    <t>AVENIDA EDUARDO RIOS=AV 25 ABRIL Nº20</t>
  </si>
  <si>
    <t>0014926</t>
  </si>
  <si>
    <t>17160</t>
  </si>
  <si>
    <t>CONSERV.ALBUFEIRA</t>
  </si>
  <si>
    <t>006</t>
  </si>
  <si>
    <t>14926</t>
  </si>
  <si>
    <t>30,59</t>
  </si>
  <si>
    <t>109,38</t>
  </si>
  <si>
    <t>0832149937700000</t>
  </si>
  <si>
    <t>0832151966100000</t>
  </si>
  <si>
    <t>AV 25 DE ABRIL Nº 10 1 DRT FRT</t>
  </si>
  <si>
    <t>0014705E</t>
  </si>
  <si>
    <t>013</t>
  </si>
  <si>
    <t>E         6430</t>
  </si>
  <si>
    <t>40,74</t>
  </si>
  <si>
    <t>145,8</t>
  </si>
  <si>
    <t>0090166375800000</t>
  </si>
  <si>
    <t>131203</t>
  </si>
  <si>
    <t>CAMPANHA</t>
  </si>
  <si>
    <t>ANTAS</t>
  </si>
  <si>
    <t>AGOSTINHO JOSE FREIRE</t>
  </si>
  <si>
    <t>4350</t>
  </si>
  <si>
    <t>307</t>
  </si>
  <si>
    <t>7132</t>
  </si>
  <si>
    <t>11491</t>
  </si>
  <si>
    <t>61,24</t>
  </si>
  <si>
    <t>218,97</t>
  </si>
  <si>
    <t>111315</t>
  </si>
  <si>
    <t>TORRES VEDRAS (SÃO PEDRO E SANTIAGO)</t>
  </si>
  <si>
    <t>VALE DA AZENHA</t>
  </si>
  <si>
    <t>9</t>
  </si>
  <si>
    <t>257</t>
  </si>
  <si>
    <t>548</t>
  </si>
  <si>
    <t>8214 CRP 5740</t>
  </si>
  <si>
    <t>31,71</t>
  </si>
  <si>
    <t>112,95</t>
  </si>
  <si>
    <t>0032167405500000</t>
  </si>
  <si>
    <t>10820</t>
  </si>
  <si>
    <t>000006711 -</t>
  </si>
  <si>
    <t>0632161440800000</t>
  </si>
  <si>
    <t>080804</t>
  </si>
  <si>
    <t>BOLIQUEIME</t>
  </si>
  <si>
    <t>NACIONAL 125, BENFARRAS</t>
  </si>
  <si>
    <t>8100</t>
  </si>
  <si>
    <t>068</t>
  </si>
  <si>
    <t>1187</t>
  </si>
  <si>
    <t>3390, CRP 345</t>
  </si>
  <si>
    <t>37,29</t>
  </si>
  <si>
    <t>133,43</t>
  </si>
  <si>
    <t>0032142969600000</t>
  </si>
  <si>
    <t>0632161346900000</t>
  </si>
  <si>
    <t>2368</t>
  </si>
  <si>
    <t>000000004 -</t>
  </si>
  <si>
    <t>060500</t>
  </si>
  <si>
    <t>FIGUEIRA DA FOZ</t>
  </si>
  <si>
    <t>060504</t>
  </si>
  <si>
    <t>BUARCOS</t>
  </si>
  <si>
    <t>DA CORTICA</t>
  </si>
  <si>
    <t>15-17</t>
  </si>
  <si>
    <t>3080</t>
  </si>
  <si>
    <t>274</t>
  </si>
  <si>
    <t>74</t>
  </si>
  <si>
    <t>1951</t>
  </si>
  <si>
    <t>4153</t>
  </si>
  <si>
    <t>24,81</t>
  </si>
  <si>
    <t>88,76</t>
  </si>
  <si>
    <t>0032169101800000</t>
  </si>
  <si>
    <t>1800</t>
  </si>
  <si>
    <t>000006715 -</t>
  </si>
  <si>
    <t>0632161441000000</t>
  </si>
  <si>
    <t>0632161347000000</t>
  </si>
  <si>
    <t>000006581 -</t>
  </si>
  <si>
    <t>140300</t>
  </si>
  <si>
    <t>ALMEIRIM</t>
  </si>
  <si>
    <t>140301</t>
  </si>
  <si>
    <t>1544</t>
  </si>
  <si>
    <t>000007934 -</t>
  </si>
  <si>
    <t>31,83</t>
  </si>
  <si>
    <t>112,59</t>
  </si>
  <si>
    <t>0090167041500000</t>
  </si>
  <si>
    <t>222</t>
  </si>
  <si>
    <t>"CPU 608, CRP 26 - ""A"""</t>
  </si>
  <si>
    <t>420317</t>
  </si>
  <si>
    <t>PONTA DELGADA (S. PEDRO)</t>
  </si>
  <si>
    <t>MARGARIDA CHAVES</t>
  </si>
  <si>
    <t>34D</t>
  </si>
  <si>
    <t>P0</t>
  </si>
  <si>
    <t>9500</t>
  </si>
  <si>
    <t>088</t>
  </si>
  <si>
    <t>96</t>
  </si>
  <si>
    <t>49,74</t>
  </si>
  <si>
    <t>97,26</t>
  </si>
  <si>
    <t>0032170682600010</t>
  </si>
  <si>
    <t>310100</t>
  </si>
  <si>
    <t>CALHETA (MADEIRA)</t>
  </si>
  <si>
    <t>310102</t>
  </si>
  <si>
    <t>CALHETA</t>
  </si>
  <si>
    <t>22</t>
  </si>
  <si>
    <t>EDIFICIO</t>
  </si>
  <si>
    <t>LOMBO DO SALAO FERREIRAS</t>
  </si>
  <si>
    <t>9370</t>
  </si>
  <si>
    <t>134</t>
  </si>
  <si>
    <t>11/10295 R10295</t>
  </si>
  <si>
    <t>30,81</t>
  </si>
  <si>
    <t>57,49</t>
  </si>
  <si>
    <t>0032163168600000</t>
  </si>
  <si>
    <t>0032168574500000</t>
  </si>
  <si>
    <t>110503</t>
  </si>
  <si>
    <t>REPUBLICA</t>
  </si>
  <si>
    <t>398</t>
  </si>
  <si>
    <t>2750</t>
  </si>
  <si>
    <t>475</t>
  </si>
  <si>
    <t>280</t>
  </si>
  <si>
    <t>1338</t>
  </si>
  <si>
    <t>27,03</t>
  </si>
  <si>
    <t>91,93</t>
  </si>
  <si>
    <t>CAMINHO DSA GIESTAS</t>
  </si>
  <si>
    <t>CAMINHO</t>
  </si>
  <si>
    <t>CAMINHO DAS GIESTAS</t>
  </si>
  <si>
    <t>0001015</t>
  </si>
  <si>
    <t>6200</t>
  </si>
  <si>
    <t>9/T</t>
  </si>
  <si>
    <t>0832152039300000</t>
  </si>
  <si>
    <t>100920</t>
  </si>
  <si>
    <t>POUSOS</t>
  </si>
  <si>
    <t>TOURIA - POUSOS</t>
  </si>
  <si>
    <t>DA SILVEIRA</t>
  </si>
  <si>
    <t>476</t>
  </si>
  <si>
    <t>2410</t>
  </si>
  <si>
    <t>495</t>
  </si>
  <si>
    <t>801</t>
  </si>
  <si>
    <t>10194</t>
  </si>
  <si>
    <t>34,32</t>
  </si>
  <si>
    <t>122,03</t>
  </si>
  <si>
    <t>0032167541300000</t>
  </si>
  <si>
    <t>080300</t>
  </si>
  <si>
    <t>ALJEZUR</t>
  </si>
  <si>
    <t>080301</t>
  </si>
  <si>
    <t>VALE DOS POLVOS E CADAVEIRO</t>
  </si>
  <si>
    <t>8670</t>
  </si>
  <si>
    <t>5978</t>
  </si>
  <si>
    <t>8650, 11-BJ, CRP 8090</t>
  </si>
  <si>
    <t>74,9</t>
  </si>
  <si>
    <t>267,7</t>
  </si>
  <si>
    <t>0032173878300000</t>
  </si>
  <si>
    <t>050000</t>
  </si>
  <si>
    <t>CASTELO BRANCO</t>
  </si>
  <si>
    <t>051100</t>
  </si>
  <si>
    <t>VILA VELHA DE RODAO</t>
  </si>
  <si>
    <t>051104</t>
  </si>
  <si>
    <t>R COMENDADOR JOAO MARTINS</t>
  </si>
  <si>
    <t>6030</t>
  </si>
  <si>
    <t>221</t>
  </si>
  <si>
    <t>1716</t>
  </si>
  <si>
    <t>2018</t>
  </si>
  <si>
    <t>3897</t>
  </si>
  <si>
    <t>61,73</t>
  </si>
  <si>
    <t>209,96</t>
  </si>
  <si>
    <t>0032176484500000</t>
  </si>
  <si>
    <t>010500</t>
  </si>
  <si>
    <t>010506</t>
  </si>
  <si>
    <t>GLORIA</t>
  </si>
  <si>
    <t>CAIS DA FONTE NOVA</t>
  </si>
  <si>
    <t>5</t>
  </si>
  <si>
    <t>3810</t>
  </si>
  <si>
    <t>200</t>
  </si>
  <si>
    <t>4950</t>
  </si>
  <si>
    <t>24,93</t>
  </si>
  <si>
    <t>89,24</t>
  </si>
  <si>
    <t>0032146068200000</t>
  </si>
  <si>
    <t>110638</t>
  </si>
  <si>
    <t>S. CRISTOVAO E S. LOURENCO</t>
  </si>
  <si>
    <t>28</t>
  </si>
  <si>
    <t>ESCADINHAS</t>
  </si>
  <si>
    <t>MARQUES PONTE DE LIMA.</t>
  </si>
  <si>
    <t>Nº8</t>
  </si>
  <si>
    <t>511</t>
  </si>
  <si>
    <t>119</t>
  </si>
  <si>
    <t>1965</t>
  </si>
  <si>
    <t>945</t>
  </si>
  <si>
    <t>31,18</t>
  </si>
  <si>
    <t>111,15</t>
  </si>
  <si>
    <t>0032176996800000</t>
  </si>
  <si>
    <t>0000168419800000</t>
  </si>
  <si>
    <t>310200</t>
  </si>
  <si>
    <t>CÂMARA DE LOBOS</t>
  </si>
  <si>
    <t>310203</t>
  </si>
  <si>
    <t>ESTREITO DE CÂMARA DE LOBOS</t>
  </si>
  <si>
    <t>CAMARA DE LOBOS</t>
  </si>
  <si>
    <t>RUA DA VARGEM</t>
  </si>
  <si>
    <t>9325</t>
  </si>
  <si>
    <t>4804</t>
  </si>
  <si>
    <t>4901 E 2277</t>
  </si>
  <si>
    <t>R-4 E 5, U-1543, U-262 E U-263</t>
  </si>
  <si>
    <t>45,75</t>
  </si>
  <si>
    <t>89,51</t>
  </si>
  <si>
    <t>0832150068200000</t>
  </si>
  <si>
    <t>RUA DO NAVIO,47</t>
  </si>
  <si>
    <t>0000684</t>
  </si>
  <si>
    <t>914</t>
  </si>
  <si>
    <t>2006</t>
  </si>
  <si>
    <t>2039</t>
  </si>
  <si>
    <t>35,04</t>
  </si>
  <si>
    <t>123,53</t>
  </si>
  <si>
    <t>0032170507100000</t>
  </si>
  <si>
    <t>021200</t>
  </si>
  <si>
    <t>OURIQUE</t>
  </si>
  <si>
    <t>021204</t>
  </si>
  <si>
    <t>PANOIAS</t>
  </si>
  <si>
    <t>EMPREENDIMENTO</t>
  </si>
  <si>
    <t>TORRE VA</t>
  </si>
  <si>
    <t>7670</t>
  </si>
  <si>
    <t>407</t>
  </si>
  <si>
    <t>7186</t>
  </si>
  <si>
    <t>U585, R43 B1</t>
  </si>
  <si>
    <t>65,09</t>
  </si>
  <si>
    <t>231,29</t>
  </si>
  <si>
    <t>0640160097200000</t>
  </si>
  <si>
    <t>100600</t>
  </si>
  <si>
    <t>CALDAS DA RAINHA</t>
  </si>
  <si>
    <t>100608</t>
  </si>
  <si>
    <t>NADADOURO</t>
  </si>
  <si>
    <t>RAINHA SOL</t>
  </si>
  <si>
    <t>2500</t>
  </si>
  <si>
    <t>544</t>
  </si>
  <si>
    <t>2007</t>
  </si>
  <si>
    <t>0002041-A -</t>
  </si>
  <si>
    <t>57,08</t>
  </si>
  <si>
    <t>204,41</t>
  </si>
  <si>
    <t>0032171713700000</t>
  </si>
  <si>
    <t>031400</t>
  </si>
  <si>
    <t>VIZELA</t>
  </si>
  <si>
    <t>031499</t>
  </si>
  <si>
    <t>SANTA EULALIA</t>
  </si>
  <si>
    <t>PRADOS</t>
  </si>
  <si>
    <t>76</t>
  </si>
  <si>
    <t>4620</t>
  </si>
  <si>
    <t>853</t>
  </si>
  <si>
    <t>1861</t>
  </si>
  <si>
    <t>31,6</t>
  </si>
  <si>
    <t>112,2</t>
  </si>
  <si>
    <t>0032146123500000</t>
  </si>
  <si>
    <t>160900</t>
  </si>
  <si>
    <t>160931</t>
  </si>
  <si>
    <t>VIANA DO CASTELO (SANTA MARIA MAIOR)</t>
  </si>
  <si>
    <t>CENTRO COMERCIAL ESTACAO VIANA</t>
  </si>
  <si>
    <t>4935</t>
  </si>
  <si>
    <t>054</t>
  </si>
  <si>
    <t>19172</t>
  </si>
  <si>
    <t>78,95</t>
  </si>
  <si>
    <t>282,14</t>
  </si>
  <si>
    <r>
      <t xml:space="preserve">Ficheiros carregados no DL:
</t>
    </r>
    <r>
      <rPr>
        <sz val="8.5"/>
        <color theme="1"/>
        <rFont val="Calibri"/>
        <family val="2"/>
        <scheme val="minor"/>
      </rPr>
      <t xml:space="preserve"> - bu_esg_work.gloval_jun22 (292.710 registos)
 - bu_esg_work.gloval_recebido_jun22 (292.710 registos)
 - bu_esg_work.gloval_dez22 (12.990 registos)
 - bu_esg_work.gloval_jun23 (174.698 registos: Entrega 1 + Atualizações (entrega 3))
 - bu_esg_work.gloval_envio_jun23 (9.818 registos)
 - bu_esg_work.gloval_dez23 (146.884 registos: Entrega 1 + Entrega 2 + Atualizações (entrega 3))
 - bu_esg_work.dez23_atu_v2 (3.126 registos: Atualizações)
 - bu_esg_work.gloval_jun24 (153.818 registos: Entrega 1 + Entrega 2 + Atualizações (entrega 3))
 - bu_esg_work.gloval_dez24 (151.674 registos: Entrega 1 + Entrega 2 + Atualizações (entrega 3))
</t>
    </r>
    <r>
      <rPr>
        <b/>
        <u/>
        <sz val="8.5"/>
        <color theme="1"/>
        <rFont val="Calibri"/>
        <family val="2"/>
        <scheme val="minor"/>
      </rPr>
      <t>Chaves Gloval Duplicadas</t>
    </r>
    <r>
      <rPr>
        <sz val="8.5"/>
        <color theme="1"/>
        <rFont val="Calibri"/>
        <family val="2"/>
        <scheme val="minor"/>
      </rPr>
      <t xml:space="preserve"> Detalhe na </t>
    </r>
    <r>
      <rPr>
        <i/>
        <sz val="8.5"/>
        <color theme="1"/>
        <rFont val="Calibri"/>
        <family val="2"/>
        <scheme val="minor"/>
      </rPr>
      <t>sheet</t>
    </r>
    <r>
      <rPr>
        <sz val="8.5"/>
        <color theme="1"/>
        <rFont val="Calibri"/>
        <family val="2"/>
        <scheme val="minor"/>
      </rPr>
      <t xml:space="preserve"> 1A_Aux1 (na </t>
    </r>
    <r>
      <rPr>
        <i/>
        <sz val="8.5"/>
        <color theme="1"/>
        <rFont val="Calibri"/>
        <family val="2"/>
        <scheme val="minor"/>
      </rPr>
      <t>sheet</t>
    </r>
    <r>
      <rPr>
        <sz val="8.5"/>
        <color theme="1"/>
        <rFont val="Calibri"/>
        <family val="2"/>
        <scheme val="minor"/>
      </rPr>
      <t xml:space="preserve"> 1A_Aux2 encontra-se a análise dos dados duplicados enviados a Jun22)
</t>
    </r>
    <r>
      <rPr>
        <b/>
        <u/>
        <sz val="8.5"/>
        <color theme="1"/>
        <rFont val="Calibri"/>
        <family val="2"/>
        <scheme val="minor"/>
      </rPr>
      <t>Chaves Duplicadas (entre envios)</t>
    </r>
    <r>
      <rPr>
        <sz val="8.5"/>
        <color theme="1"/>
        <rFont val="Calibri"/>
        <family val="2"/>
        <scheme val="minor"/>
      </rPr>
      <t xml:space="preserve"> Detalhe na </t>
    </r>
    <r>
      <rPr>
        <i/>
        <sz val="8.5"/>
        <color theme="1"/>
        <rFont val="Calibri"/>
        <family val="2"/>
        <scheme val="minor"/>
      </rPr>
      <t>sheet</t>
    </r>
    <r>
      <rPr>
        <sz val="8.5"/>
        <color theme="1"/>
        <rFont val="Calibri"/>
        <family val="2"/>
        <scheme val="minor"/>
      </rPr>
      <t xml:space="preserve"> 1A_Aux3
 - 88 Chaves Gloval enviadas em Dezembro de 2022 e em Junho de 2023
 - 19 Chaves Gloval enviadas em Junho de 2023 e em Dezembro de 2023
 - 1   Chave  Gloval enviada em Junho de 2022 e em Junho de 2024</t>
    </r>
  </si>
  <si>
    <t>Diferenças nos registos enviados &amp; Sem diferenças nos dados recebidos</t>
  </si>
  <si>
    <t>Registo duplicado (todos os campos iguais) &amp; Sem diferenças nos dados recebidos</t>
  </si>
  <si>
    <t>Diferenças nos registos enviados &amp; Com diferenças nos dados recebidos</t>
  </si>
  <si>
    <t/>
  </si>
  <si>
    <t>BU_ESG_WORK.GLOVAL_TRAT_JUN22</t>
  </si>
  <si>
    <t>ID</t>
  </si>
  <si>
    <r>
      <t xml:space="preserve">Chave interna do Banco (detalhe nas </t>
    </r>
    <r>
      <rPr>
        <i/>
        <sz val="11"/>
        <color theme="1"/>
        <rFont val="Calibri"/>
        <family val="2"/>
        <scheme val="minor"/>
      </rPr>
      <t>sheet 2C_Aux1)</t>
    </r>
  </si>
  <si>
    <r>
      <t xml:space="preserve">152 Chaves Gloval duplicadas no envio (detalhe na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1A_Aux2)</t>
    </r>
  </si>
  <si>
    <t>2. Rácio Junho de 2022</t>
  </si>
  <si>
    <t>3. Rácio Dezembro de 2022</t>
  </si>
  <si>
    <t>1.075 Chaves sem cruzamento com o Tradutor de Chaves (detalhe na sheet 1A_Aux2)</t>
  </si>
  <si>
    <t xml:space="preserve">Como ponto de partida para obtanção da chave interna do Banco foi considerado o tradutor de chaves presente no DL com os seguintes tratamentos:
       ▪ cempbem - Cruzamento do tradutor de chaves com o MUG e MBI para identificar o CEMBEM (não foi possivel cruzar 6.940 imóveis e para este foi considerado '31')
       ▪ ckbalbem - Se o tamanho da chave for 30 então foi considerado os primeiros 4 digitos da chave_banco_atual.
       ▪ ckctabem - Se o tamanho da chave for 30 então foram considerados os 11 digitos da chave_banco_atual após a posição 5. 
       ▪ ckrefbem - Se o tamanho da chave for 30 então foram considerados os 15 digitos da chave_banco_atual após a posição 16.
Todas as chaves com o tamnho diferente de 30 (adjudicados) foram consideradas as variaveis cempbem, ckctabem e ckrefbem a null e a variável ckbalbem com a chave. </t>
  </si>
  <si>
    <t>BU_ESG_WORK.GLOVAL_TRAT_DEZ22</t>
  </si>
  <si>
    <t>BU_ESG_WORK.GLOVAL_TRAT_JUN23</t>
  </si>
  <si>
    <r>
      <t xml:space="preserve">88 Chaves Gloval enviadas em 2 rácios distintos (consideradas no rácio de Dezembro de 2022 e no rácio de Dezembro de 2023 (detalhe na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1A_Aux3)).</t>
    </r>
  </si>
  <si>
    <t>BU_ESG_WORK.GLOVAL_TRAT_JUN23_ATU</t>
  </si>
  <si>
    <t>Entrega 3</t>
  </si>
  <si>
    <t>Entrega 1</t>
  </si>
  <si>
    <t>52,2</t>
  </si>
  <si>
    <t>203,11</t>
  </si>
  <si>
    <t>28,95</t>
  </si>
  <si>
    <t>112,65</t>
  </si>
  <si>
    <t>45,36</t>
  </si>
  <si>
    <t>163,34</t>
  </si>
  <si>
    <t>20,34</t>
  </si>
  <si>
    <t>73,24</t>
  </si>
  <si>
    <t>19,28</t>
  </si>
  <si>
    <t>75</t>
  </si>
  <si>
    <t>32,07</t>
  </si>
  <si>
    <t>124,79</t>
  </si>
  <si>
    <t>28,46</t>
  </si>
  <si>
    <t>102,47</t>
  </si>
  <si>
    <t>29,78</t>
  </si>
  <si>
    <t>102,7</t>
  </si>
  <si>
    <t>15,84</t>
  </si>
  <si>
    <t>56,66</t>
  </si>
  <si>
    <t>32,9</t>
  </si>
  <si>
    <t>118,3</t>
  </si>
  <si>
    <t>72,94</t>
  </si>
  <si>
    <t>283,81</t>
  </si>
  <si>
    <t>32,88</t>
  </si>
  <si>
    <t>127,96</t>
  </si>
  <si>
    <t>35,82</t>
  </si>
  <si>
    <t>128,83</t>
  </si>
  <si>
    <t>FIABILIDAD</t>
  </si>
  <si>
    <t>CLASE_ENERGETICA</t>
  </si>
  <si>
    <t>EMISIONES</t>
  </si>
  <si>
    <t>CONSUMOS</t>
  </si>
  <si>
    <t>ENTREGA</t>
  </si>
  <si>
    <t>DT_ENVIO_MIN</t>
  </si>
  <si>
    <t>DT_ENVIO_MAX</t>
  </si>
  <si>
    <r>
      <t xml:space="preserve">Carregamento no </t>
    </r>
    <r>
      <rPr>
        <i/>
        <sz val="11"/>
        <rFont val="Calibri"/>
        <family val="2"/>
        <scheme val="minor"/>
      </rPr>
      <t>front-end</t>
    </r>
    <r>
      <rPr>
        <sz val="11"/>
        <rFont val="Calibri"/>
        <family val="2"/>
        <scheme val="minor"/>
      </rPr>
      <t xml:space="preserve"> como Atualização: Registo de atuaização do envio de Dezembro de 2022.</t>
    </r>
  </si>
  <si>
    <r>
      <t xml:space="preserve">Carregamento no </t>
    </r>
    <r>
      <rPr>
        <i/>
        <sz val="11"/>
        <rFont val="Calibri"/>
        <family val="2"/>
        <scheme val="minor"/>
      </rPr>
      <t>front-end</t>
    </r>
    <r>
      <rPr>
        <sz val="11"/>
        <rFont val="Calibri"/>
        <family val="2"/>
        <scheme val="minor"/>
      </rPr>
      <t xml:space="preserve"> como Envio: Registo referente ao envio de Junho de 2023.</t>
    </r>
  </si>
  <si>
    <r>
      <t xml:space="preserve">Carregamento no </t>
    </r>
    <r>
      <rPr>
        <i/>
        <sz val="11"/>
        <rFont val="Calibri"/>
        <family val="2"/>
        <scheme val="minor"/>
      </rPr>
      <t>front-end</t>
    </r>
    <r>
      <rPr>
        <sz val="11"/>
        <rFont val="Calibri"/>
        <family val="2"/>
        <scheme val="minor"/>
      </rPr>
      <t xml:space="preserve"> como Atualização: Duplicado com valores distintos.</t>
    </r>
  </si>
  <si>
    <t>BU_ESG_WORK.GLOVAL_TRAT_DEZ23_ATU</t>
  </si>
  <si>
    <t>BU_ESG_WORK.GLOVAL_TRAT_DEZ23</t>
  </si>
  <si>
    <r>
      <t xml:space="preserve">19 Chaves Gloval enviadas em 2 rácios distintos (consideradas no rácio de Junho de 2023 e no rácio de Dezembro de 2023 (detalhe na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1A_Aux3)).</t>
    </r>
  </si>
  <si>
    <t>BU_ESG_WORK.GLOVAL_TRAT_JUN24</t>
  </si>
  <si>
    <t>BU_ESG_WORK.GLOVAL_TRAT_JUN24_ATU</t>
  </si>
  <si>
    <r>
      <t xml:space="preserve">1 Chave Gloval enviada em 2 rácios distintos (consideradas no rácio de Junho de 2022 e no rácio de Junho de 2024 (detalhe na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1A_Aux3)).</t>
    </r>
  </si>
  <si>
    <t>BU_ESG_WORK.GLOVAL_TRAT_DEZ24</t>
  </si>
  <si>
    <t>BU_ESG_WORK.GLOVAL_TRAT_DEZ24_ATU</t>
  </si>
  <si>
    <t>Das 115 chaves Gloval (que corresponde a 144 linhas no ficheiro de origem) foram carregadas no front-end:
       ▪ 114 chaves Gloval apenas com 1 linha (uma vez que os dados recebidos pela Gloval foram iguais)
       ▪ 1 chave Gloval com 2 linhas (uma vez que os dados recebidos pela Gloval foram diferentes) - Para este caso o processo de aprovisionamento da tabela de output de certificados considera o pior registo (abordagem conservadora) - detalhe na sheet 3_Aux1.
Denote-se que todas estas chaves correspondem as chaves que foram enviadas 2x no rácio de Junho de 2022. A chave Gloval com 2 valores distintos é a mesma chave identificada na atualização de Junho de 2023.</t>
  </si>
  <si>
    <t xml:space="preserve">Aplicado a todos os rácios. </t>
  </si>
  <si>
    <t>Junho de 2022</t>
  </si>
  <si>
    <t>Dezembro de 2022</t>
  </si>
  <si>
    <t>Junho de 2023</t>
  </si>
  <si>
    <t>Junho de 2023 - Atualizações</t>
  </si>
  <si>
    <t>Dezembro de 2023</t>
  </si>
  <si>
    <t>Dezembro de 2023 - Atualizações</t>
  </si>
  <si>
    <t>Junho de 2024</t>
  </si>
  <si>
    <t>Junho de 2024 - Atualizações</t>
  </si>
  <si>
    <t>Dezembro de 2024</t>
  </si>
  <si>
    <t>Dezembro de 2024 - Atualizações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</si>
  <si>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</si>
  <si>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</si>
  <si>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</si>
  <si>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</si>
  <si>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</si>
  <si>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</si>
  <si>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</si>
  <si>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</si>
  <si>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</si>
  <si>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</si>
  <si>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</si>
  <si>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Rácio</t>
  </si>
  <si>
    <t>Medida de resolução</t>
  </si>
  <si>
    <t>3. Dados a importar (após tratamentos)</t>
  </si>
  <si>
    <t>Envios</t>
  </si>
  <si>
    <r>
      <t>Tabelas criadas no DL</t>
    </r>
    <r>
      <rPr>
        <sz val="8.5"/>
        <color theme="1"/>
        <rFont val="Calibri"/>
        <family val="2"/>
        <scheme val="minor"/>
      </rPr>
      <t xml:space="preserve">
</t>
    </r>
  </si>
  <si>
    <r>
      <t xml:space="preserve">152 Chaves Gloval duplicadas no envio (detalhe na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1A_Aux2).</t>
    </r>
  </si>
  <si>
    <r>
      <t xml:space="preserve">Chaves internas do Banco (detalhe nas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2C_Aux1).</t>
    </r>
  </si>
  <si>
    <r>
      <t xml:space="preserve">1.075 Chaves sem cruzamento com o Tradutor de Chaves (detalhe na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1A_Aux2).</t>
    </r>
  </si>
  <si>
    <r>
      <t xml:space="preserve">128 Chaves Gloval duplicadas (detalhe na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1A_Aux1).</t>
    </r>
  </si>
  <si>
    <r>
      <t xml:space="preserve">72 Chaves Gloval duplicadas (detalhe na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1A_Aux1).</t>
    </r>
  </si>
  <si>
    <r>
      <t xml:space="preserve">115 Chaves Gloval duplicadas (detalhe na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1A_Aux1).</t>
    </r>
  </si>
  <si>
    <t>Não aplicável</t>
  </si>
  <si>
    <r>
      <t xml:space="preserve">Tabela importada no </t>
    </r>
    <r>
      <rPr>
        <b/>
        <i/>
        <sz val="12"/>
        <color theme="0"/>
        <rFont val="Calibri"/>
        <family val="2"/>
        <scheme val="minor"/>
      </rPr>
      <t>front-end</t>
    </r>
  </si>
  <si>
    <r>
      <rPr>
        <b/>
        <i/>
        <sz val="12"/>
        <color theme="0"/>
        <rFont val="Calibri"/>
        <family val="2"/>
        <scheme val="minor"/>
      </rPr>
      <t>Issue</t>
    </r>
    <r>
      <rPr>
        <b/>
        <sz val="12"/>
        <color theme="0"/>
        <rFont val="Calibri"/>
        <family val="2"/>
        <scheme val="minor"/>
      </rPr>
      <t xml:space="preserve"> detetado</t>
    </r>
  </si>
  <si>
    <t>0000004816100000</t>
  </si>
  <si>
    <t>0000102069900000</t>
  </si>
  <si>
    <t>0000103841900010</t>
  </si>
  <si>
    <t>0000104137700000</t>
  </si>
  <si>
    <t>0000104470900010</t>
  </si>
  <si>
    <t>0000105244800000</t>
  </si>
  <si>
    <t>0000105560700000</t>
  </si>
  <si>
    <t>0000142917700010</t>
  </si>
  <si>
    <t>0000146324400010</t>
  </si>
  <si>
    <t>0000165029400000</t>
  </si>
  <si>
    <t>0000165030500000</t>
  </si>
  <si>
    <t>0000165032200000</t>
  </si>
  <si>
    <t>0000165233700000</t>
  </si>
  <si>
    <t>0000165376300000a</t>
  </si>
  <si>
    <t>0000165376300000b</t>
  </si>
  <si>
    <t>0000173302200000</t>
  </si>
  <si>
    <t>0000178197700000</t>
  </si>
  <si>
    <t>0000178221100000</t>
  </si>
  <si>
    <t>0000178221200000</t>
  </si>
  <si>
    <t>0000178221300000</t>
  </si>
  <si>
    <t>0000178221400000</t>
  </si>
  <si>
    <t>0030004205000010</t>
  </si>
  <si>
    <t>0030119333700010</t>
  </si>
  <si>
    <t>0030120179000010</t>
  </si>
  <si>
    <t>0030123999000010</t>
  </si>
  <si>
    <t>0030124541600010</t>
  </si>
  <si>
    <t>0030125469400010</t>
  </si>
  <si>
    <t>0030125907100000</t>
  </si>
  <si>
    <t>0030126304000010</t>
  </si>
  <si>
    <t>0030126399700010</t>
  </si>
  <si>
    <t>0030126803900000</t>
  </si>
  <si>
    <t>0030127359100010a</t>
  </si>
  <si>
    <t>0030127359100010b</t>
  </si>
  <si>
    <t>0030127482300010</t>
  </si>
  <si>
    <t>0030129664800000</t>
  </si>
  <si>
    <t>0030130346000010</t>
  </si>
  <si>
    <t>0030132152100010</t>
  </si>
  <si>
    <t>0030132263900000</t>
  </si>
  <si>
    <t>0030134044800000</t>
  </si>
  <si>
    <t>0030136340400010</t>
  </si>
  <si>
    <t>0030136982400010</t>
  </si>
  <si>
    <t>0040122022600010</t>
  </si>
  <si>
    <t>0060008157000010</t>
  </si>
  <si>
    <t>0830147639900000</t>
  </si>
  <si>
    <t>0830148418000000</t>
  </si>
  <si>
    <t>0830149366100000</t>
  </si>
  <si>
    <t>0830149945100000</t>
  </si>
  <si>
    <t>0830150738600000</t>
  </si>
  <si>
    <t>0840147271200000</t>
  </si>
  <si>
    <t>0840147805500000</t>
  </si>
  <si>
    <t>0840148975000000</t>
  </si>
  <si>
    <t>0840149097900000</t>
  </si>
  <si>
    <t>0840149373000000</t>
  </si>
  <si>
    <t>0860015047510000</t>
  </si>
  <si>
    <t>1000597</t>
  </si>
  <si>
    <t>2024-12-31</t>
  </si>
  <si>
    <t>1014150</t>
  </si>
  <si>
    <t>1014151</t>
  </si>
  <si>
    <t>1015824</t>
  </si>
  <si>
    <t>10158242</t>
  </si>
  <si>
    <t>10337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</si>
  <si>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</si>
  <si>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</si>
  <si>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</si>
  <si>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</si>
  <si>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</si>
  <si>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</si>
  <si>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</si>
  <si>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</si>
  <si>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12024</t>
  </si>
  <si>
    <t>12175</t>
  </si>
  <si>
    <t>12230</t>
  </si>
  <si>
    <t>12856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</si>
  <si>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</si>
  <si>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</si>
  <si>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</si>
  <si>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</si>
  <si>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</si>
  <si>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</si>
  <si>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</si>
  <si>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</si>
  <si>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</si>
  <si>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</si>
  <si>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</si>
  <si>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</si>
  <si>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</si>
  <si>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</si>
  <si>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</si>
  <si>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</si>
  <si>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13652</t>
  </si>
  <si>
    <t>13925</t>
  </si>
  <si>
    <t>14461</t>
  </si>
  <si>
    <t>14484</t>
  </si>
  <si>
    <t>14818</t>
  </si>
  <si>
    <t>1502</t>
  </si>
  <si>
    <t>15140</t>
  </si>
  <si>
    <t>15141</t>
  </si>
  <si>
    <t>15155</t>
  </si>
  <si>
    <t>15156</t>
  </si>
  <si>
    <t>15175</t>
  </si>
  <si>
    <t>15226</t>
  </si>
  <si>
    <t>1539</t>
  </si>
  <si>
    <t>15473</t>
  </si>
  <si>
    <t>15474</t>
  </si>
  <si>
    <t>15512</t>
  </si>
  <si>
    <t>15513</t>
  </si>
  <si>
    <t>15568</t>
  </si>
  <si>
    <t>15599</t>
  </si>
  <si>
    <t>15600</t>
  </si>
  <si>
    <t>15798</t>
  </si>
  <si>
    <t>15849</t>
  </si>
  <si>
    <t>15883</t>
  </si>
  <si>
    <t>15975</t>
  </si>
  <si>
    <t>15984</t>
  </si>
  <si>
    <t>16071</t>
  </si>
  <si>
    <t>16263</t>
  </si>
  <si>
    <t>16480</t>
  </si>
  <si>
    <t>16534</t>
  </si>
  <si>
    <t>16835</t>
  </si>
  <si>
    <t>16870</t>
  </si>
  <si>
    <t>16943</t>
  </si>
  <si>
    <t>16976</t>
  </si>
  <si>
    <t>1700186932</t>
  </si>
  <si>
    <t>1700186932a</t>
  </si>
  <si>
    <t>17183</t>
  </si>
  <si>
    <t>17184</t>
  </si>
  <si>
    <t>17185</t>
  </si>
  <si>
    <t>17186</t>
  </si>
  <si>
    <t>17187</t>
  </si>
  <si>
    <t>17188</t>
  </si>
  <si>
    <t>17189</t>
  </si>
  <si>
    <t>17191</t>
  </si>
  <si>
    <t>17261</t>
  </si>
  <si>
    <t>17514</t>
  </si>
  <si>
    <t>17515</t>
  </si>
  <si>
    <t>17516</t>
  </si>
  <si>
    <t>17518</t>
  </si>
  <si>
    <t>17519</t>
  </si>
  <si>
    <t>17520</t>
  </si>
  <si>
    <t>17522</t>
  </si>
  <si>
    <t>17622</t>
  </si>
  <si>
    <t>17754</t>
  </si>
  <si>
    <t>17755</t>
  </si>
  <si>
    <t>17756</t>
  </si>
  <si>
    <t>17757</t>
  </si>
  <si>
    <t>17848</t>
  </si>
  <si>
    <t>18072</t>
  </si>
  <si>
    <t>18101</t>
  </si>
  <si>
    <t>18102</t>
  </si>
  <si>
    <t>18272</t>
  </si>
  <si>
    <t>18353</t>
  </si>
  <si>
    <t>18468</t>
  </si>
  <si>
    <t>18477</t>
  </si>
  <si>
    <t>18481</t>
  </si>
  <si>
    <t>18545</t>
  </si>
  <si>
    <t>18558</t>
  </si>
  <si>
    <t>18656</t>
  </si>
  <si>
    <t>18677</t>
  </si>
  <si>
    <t>18747</t>
  </si>
  <si>
    <t>18748</t>
  </si>
  <si>
    <t>18760</t>
  </si>
  <si>
    <t>18774</t>
  </si>
  <si>
    <t>18856</t>
  </si>
  <si>
    <t>19028</t>
  </si>
  <si>
    <t>19061</t>
  </si>
  <si>
    <t>19154</t>
  </si>
  <si>
    <t>19156</t>
  </si>
  <si>
    <t>19282</t>
  </si>
  <si>
    <t>19283</t>
  </si>
  <si>
    <t>19340</t>
  </si>
  <si>
    <t>19346</t>
  </si>
  <si>
    <t>19348</t>
  </si>
  <si>
    <t>19368</t>
  </si>
  <si>
    <t>19369</t>
  </si>
  <si>
    <t>19370</t>
  </si>
  <si>
    <t>19371</t>
  </si>
  <si>
    <t>19398</t>
  </si>
  <si>
    <t>19417</t>
  </si>
  <si>
    <t>19430</t>
  </si>
  <si>
    <t>19442</t>
  </si>
  <si>
    <t>19443</t>
  </si>
  <si>
    <t>19444</t>
  </si>
  <si>
    <t>19498</t>
  </si>
  <si>
    <t>19513</t>
  </si>
  <si>
    <t>19594</t>
  </si>
  <si>
    <t>19601</t>
  </si>
  <si>
    <t>19607</t>
  </si>
  <si>
    <t>19662</t>
  </si>
  <si>
    <t>19877</t>
  </si>
  <si>
    <t>19942</t>
  </si>
  <si>
    <t>20050</t>
  </si>
  <si>
    <t>20051</t>
  </si>
  <si>
    <t>20052</t>
  </si>
  <si>
    <t>20053</t>
  </si>
  <si>
    <t>20054</t>
  </si>
  <si>
    <t>20057</t>
  </si>
  <si>
    <t>20058</t>
  </si>
  <si>
    <t>20059</t>
  </si>
  <si>
    <t>20063</t>
  </si>
  <si>
    <t>20064</t>
  </si>
  <si>
    <t>20227</t>
  </si>
  <si>
    <t>20272</t>
  </si>
  <si>
    <t>20273</t>
  </si>
  <si>
    <t>20278</t>
  </si>
  <si>
    <t>20285</t>
  </si>
  <si>
    <t>20290</t>
  </si>
  <si>
    <t>20291</t>
  </si>
  <si>
    <t>20292</t>
  </si>
  <si>
    <t>20293</t>
  </si>
  <si>
    <t>20294</t>
  </si>
  <si>
    <t>20295</t>
  </si>
  <si>
    <t>20296</t>
  </si>
  <si>
    <t>20460</t>
  </si>
  <si>
    <t>20478</t>
  </si>
  <si>
    <t>20733</t>
  </si>
  <si>
    <t>20749</t>
  </si>
  <si>
    <t>20750</t>
  </si>
  <si>
    <t>20773</t>
  </si>
  <si>
    <t>20774</t>
  </si>
  <si>
    <t>20789</t>
  </si>
  <si>
    <t>20904</t>
  </si>
  <si>
    <t>20913</t>
  </si>
  <si>
    <t>2100703210</t>
  </si>
  <si>
    <t>2100789953</t>
  </si>
  <si>
    <t>2101001690</t>
  </si>
  <si>
    <t>2101230365</t>
  </si>
  <si>
    <t>2101343557a</t>
  </si>
  <si>
    <t>2101343557b</t>
  </si>
  <si>
    <t>21023</t>
  </si>
  <si>
    <t>21034</t>
  </si>
  <si>
    <t>21035</t>
  </si>
  <si>
    <t>21036</t>
  </si>
  <si>
    <t>21096</t>
  </si>
  <si>
    <t>21142</t>
  </si>
  <si>
    <t>21143</t>
  </si>
  <si>
    <t>21144</t>
  </si>
  <si>
    <t>21146</t>
  </si>
  <si>
    <t>21222</t>
  </si>
  <si>
    <t>21277</t>
  </si>
  <si>
    <t>21335</t>
  </si>
  <si>
    <t>21419</t>
  </si>
  <si>
    <t>21459</t>
  </si>
  <si>
    <t>21460</t>
  </si>
  <si>
    <t>21523</t>
  </si>
  <si>
    <t>21583</t>
  </si>
  <si>
    <t>21595</t>
  </si>
  <si>
    <t>21596</t>
  </si>
  <si>
    <t>21614</t>
  </si>
  <si>
    <t>21650</t>
  </si>
  <si>
    <t>21695</t>
  </si>
  <si>
    <t>21700</t>
  </si>
  <si>
    <t>21706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</si>
  <si>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</si>
  <si>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</si>
  <si>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</si>
  <si>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</si>
  <si>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</si>
  <si>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</si>
  <si>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</si>
  <si>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</si>
  <si>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</si>
  <si>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</si>
  <si>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21753</t>
  </si>
  <si>
    <t>21760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</si>
  <si>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</si>
  <si>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</si>
  <si>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</si>
  <si>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</si>
  <si>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</si>
  <si>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</si>
  <si>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</si>
  <si>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</si>
  <si>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</si>
  <si>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</si>
  <si>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</si>
  <si>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</si>
  <si>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</si>
  <si>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</si>
  <si>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</si>
  <si>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</si>
  <si>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</si>
  <si>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</si>
  <si>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</si>
  <si>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</si>
  <si>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</si>
  <si>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</si>
  <si>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21793</t>
  </si>
  <si>
    <t>21794</t>
  </si>
  <si>
    <t>21795</t>
  </si>
  <si>
    <t>21796</t>
  </si>
  <si>
    <t>21797</t>
  </si>
  <si>
    <t>21798</t>
  </si>
  <si>
    <t>21799</t>
  </si>
  <si>
    <t>21839</t>
  </si>
  <si>
    <t>21876</t>
  </si>
  <si>
    <t>21939</t>
  </si>
  <si>
    <t>21953</t>
  </si>
  <si>
    <t>21954</t>
  </si>
  <si>
    <t>22061</t>
  </si>
  <si>
    <t>22081</t>
  </si>
  <si>
    <t>22189</t>
  </si>
  <si>
    <t>22222</t>
  </si>
  <si>
    <t>22223</t>
  </si>
  <si>
    <t>22370</t>
  </si>
  <si>
    <t>22371</t>
  </si>
  <si>
    <t>22397</t>
  </si>
  <si>
    <t>22419</t>
  </si>
  <si>
    <t>22432</t>
  </si>
  <si>
    <t>22439</t>
  </si>
  <si>
    <t>22465</t>
  </si>
  <si>
    <t>22503</t>
  </si>
  <si>
    <t>22541</t>
  </si>
  <si>
    <t>22554</t>
  </si>
  <si>
    <t>22562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</si>
  <si>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</si>
  <si>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</si>
  <si>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</si>
  <si>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</si>
  <si>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</si>
  <si>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</si>
  <si>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</si>
  <si>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</si>
  <si>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</si>
  <si>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</si>
  <si>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</si>
  <si>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</si>
  <si>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</si>
  <si>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</si>
  <si>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</si>
  <si>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</si>
  <si>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</si>
  <si>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</si>
  <si>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</si>
  <si>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</si>
  <si>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</si>
  <si>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</si>
  <si>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</si>
  <si>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</si>
  <si>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</si>
  <si>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</si>
  <si>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</si>
  <si>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</si>
  <si>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</si>
  <si>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</si>
  <si>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</si>
  <si>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</si>
  <si>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</si>
  <si>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</si>
  <si>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</si>
  <si>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</si>
  <si>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</si>
  <si>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</si>
  <si>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</si>
  <si>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</si>
  <si>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</si>
  <si>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</si>
  <si>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</si>
  <si>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</si>
  <si>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</si>
  <si>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</si>
  <si>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</si>
  <si>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</si>
  <si>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</si>
  <si>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</si>
  <si>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</si>
  <si>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</si>
  <si>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</si>
  <si>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</si>
  <si>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</si>
  <si>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</si>
  <si>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</si>
  <si>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</si>
  <si>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</si>
  <si>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</si>
  <si>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</si>
  <si>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</si>
  <si>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</si>
  <si>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</si>
  <si>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</si>
  <si>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</si>
  <si>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</si>
  <si>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</si>
  <si>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</si>
  <si>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</si>
  <si>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23348</t>
  </si>
  <si>
    <t>23354</t>
  </si>
  <si>
    <t>23358</t>
  </si>
  <si>
    <t>23359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</si>
  <si>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</si>
  <si>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</si>
  <si>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</si>
  <si>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</si>
  <si>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</si>
  <si>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</si>
  <si>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</si>
  <si>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</si>
  <si>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</si>
  <si>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</si>
  <si>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</si>
  <si>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</si>
  <si>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</si>
  <si>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</si>
  <si>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</si>
  <si>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</si>
  <si>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</si>
  <si>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</si>
  <si>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</si>
  <si>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</si>
  <si>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</si>
  <si>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</si>
  <si>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</si>
  <si>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</si>
  <si>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</si>
  <si>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</si>
  <si>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</si>
  <si>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</si>
  <si>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</si>
  <si>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</si>
  <si>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</si>
  <si>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</si>
  <si>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</si>
  <si>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</si>
  <si>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</si>
  <si>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</si>
  <si>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</si>
  <si>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</si>
  <si>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</si>
  <si>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</si>
  <si>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</si>
  <si>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</si>
  <si>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</si>
  <si>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</si>
  <si>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</si>
  <si>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</si>
  <si>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</si>
  <si>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</si>
  <si>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</si>
  <si>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</si>
  <si>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</si>
  <si>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</si>
  <si>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</si>
  <si>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</si>
  <si>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</si>
  <si>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</si>
  <si>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</si>
  <si>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</si>
  <si>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</si>
  <si>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</si>
  <si>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</si>
  <si>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</si>
  <si>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</si>
  <si>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</si>
  <si>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</si>
  <si>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</si>
  <si>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</si>
  <si>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</si>
  <si>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</si>
  <si>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</si>
  <si>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</si>
  <si>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</si>
  <si>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</si>
  <si>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</si>
  <si>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</si>
  <si>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</si>
  <si>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</si>
  <si>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</si>
  <si>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</si>
  <si>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</si>
  <si>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</si>
  <si>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</si>
  <si>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</si>
  <si>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</si>
  <si>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</si>
  <si>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</si>
  <si>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</si>
  <si>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</si>
  <si>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</si>
  <si>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</si>
  <si>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</si>
  <si>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</si>
  <si>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</si>
  <si>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</si>
  <si>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</si>
  <si>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</si>
  <si>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</si>
  <si>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</si>
  <si>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</si>
  <si>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</si>
  <si>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</si>
  <si>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</si>
  <si>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</si>
  <si>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</si>
  <si>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</si>
  <si>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</si>
  <si>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</si>
  <si>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</si>
  <si>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</si>
  <si>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</si>
  <si>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</si>
  <si>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</si>
  <si>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</si>
  <si>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</si>
  <si>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</si>
  <si>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</si>
  <si>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</si>
  <si>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</si>
  <si>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</si>
  <si>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</si>
  <si>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</si>
  <si>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</si>
  <si>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</si>
  <si>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</si>
  <si>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</si>
  <si>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</si>
  <si>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</si>
  <si>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</si>
  <si>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</si>
  <si>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</si>
  <si>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</si>
  <si>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</si>
  <si>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</si>
  <si>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</si>
  <si>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</si>
  <si>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</si>
  <si>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</si>
  <si>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</si>
  <si>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</si>
  <si>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</si>
  <si>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</si>
  <si>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</si>
  <si>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</si>
  <si>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</si>
  <si>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</si>
  <si>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</si>
  <si>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</si>
  <si>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</si>
  <si>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</si>
  <si>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</si>
  <si>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</si>
  <si>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</si>
  <si>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</si>
  <si>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</si>
  <si>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</si>
  <si>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</si>
  <si>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</si>
  <si>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</si>
  <si>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</si>
  <si>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</si>
  <si>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</si>
  <si>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</si>
  <si>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</si>
  <si>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</si>
  <si>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</si>
  <si>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</si>
  <si>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</si>
  <si>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</si>
  <si>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</si>
  <si>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</si>
  <si>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</si>
  <si>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</si>
  <si>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</si>
  <si>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</si>
  <si>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</si>
  <si>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</si>
  <si>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</si>
  <si>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</si>
  <si>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</si>
  <si>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</si>
  <si>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</si>
  <si>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</si>
  <si>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</si>
  <si>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</si>
  <si>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</si>
  <si>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</si>
  <si>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</si>
  <si>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</si>
  <si>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</si>
  <si>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</si>
  <si>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23674</t>
  </si>
  <si>
    <t>23676</t>
  </si>
  <si>
    <t>23677</t>
  </si>
  <si>
    <t>23678</t>
  </si>
  <si>
    <t>23680</t>
  </si>
  <si>
    <t>23682</t>
  </si>
  <si>
    <t>23683</t>
  </si>
  <si>
    <t>23684</t>
  </si>
  <si>
    <t>23685</t>
  </si>
  <si>
    <t>23694</t>
  </si>
  <si>
    <t>23697</t>
  </si>
  <si>
    <t>23702</t>
  </si>
  <si>
    <t>23718</t>
  </si>
  <si>
    <t>23719</t>
  </si>
  <si>
    <t>23720</t>
  </si>
  <si>
    <t>23730</t>
  </si>
  <si>
    <t>23731</t>
  </si>
  <si>
    <t>23757</t>
  </si>
  <si>
    <t>23758</t>
  </si>
  <si>
    <t>23759</t>
  </si>
  <si>
    <t>23775</t>
  </si>
  <si>
    <t>23778</t>
  </si>
  <si>
    <t>23781</t>
  </si>
  <si>
    <t>23787</t>
  </si>
  <si>
    <t>23788</t>
  </si>
  <si>
    <t>23790</t>
  </si>
  <si>
    <t>23791</t>
  </si>
  <si>
    <t>23792</t>
  </si>
  <si>
    <t>23829</t>
  </si>
  <si>
    <t>23863</t>
  </si>
  <si>
    <t>23872</t>
  </si>
  <si>
    <t>23881</t>
  </si>
  <si>
    <t>23882</t>
  </si>
  <si>
    <t>23883</t>
  </si>
  <si>
    <t>23884</t>
  </si>
  <si>
    <t>23917</t>
  </si>
  <si>
    <t>23923</t>
  </si>
  <si>
    <t>23924</t>
  </si>
  <si>
    <t>23938</t>
  </si>
  <si>
    <t>23949</t>
  </si>
  <si>
    <t>23976</t>
  </si>
  <si>
    <t>23991</t>
  </si>
  <si>
    <t>23992</t>
  </si>
  <si>
    <t>23997</t>
  </si>
  <si>
    <t>23998</t>
  </si>
  <si>
    <t>23999</t>
  </si>
  <si>
    <t>24000</t>
  </si>
  <si>
    <t>24001</t>
  </si>
  <si>
    <t>24002</t>
  </si>
  <si>
    <t>24003</t>
  </si>
  <si>
    <t>24004</t>
  </si>
  <si>
    <t>24019</t>
  </si>
  <si>
    <t>24067</t>
  </si>
  <si>
    <t>24076</t>
  </si>
  <si>
    <t>24077</t>
  </si>
  <si>
    <t>24113</t>
  </si>
  <si>
    <t>24127</t>
  </si>
  <si>
    <t>24130</t>
  </si>
  <si>
    <t>24132</t>
  </si>
  <si>
    <t>24133</t>
  </si>
  <si>
    <t>24134</t>
  </si>
  <si>
    <t>24135</t>
  </si>
  <si>
    <t>24166</t>
  </si>
  <si>
    <t>24167</t>
  </si>
  <si>
    <t>24175</t>
  </si>
  <si>
    <t>24191</t>
  </si>
  <si>
    <t>24193</t>
  </si>
  <si>
    <t>24203</t>
  </si>
  <si>
    <t>24211</t>
  </si>
  <si>
    <t>24212</t>
  </si>
  <si>
    <t>24217</t>
  </si>
  <si>
    <t>24218</t>
  </si>
  <si>
    <t>24233</t>
  </si>
  <si>
    <t>24259</t>
  </si>
  <si>
    <t>24260</t>
  </si>
  <si>
    <t>24267</t>
  </si>
  <si>
    <t>24268</t>
  </si>
  <si>
    <t>24279</t>
  </si>
  <si>
    <t>24280</t>
  </si>
  <si>
    <t>24303</t>
  </si>
  <si>
    <t>24304</t>
  </si>
  <si>
    <t>24305</t>
  </si>
  <si>
    <t>24307</t>
  </si>
  <si>
    <t>24308</t>
  </si>
  <si>
    <t>24309</t>
  </si>
  <si>
    <t>24313</t>
  </si>
  <si>
    <t>24314</t>
  </si>
  <si>
    <t>24315</t>
  </si>
  <si>
    <t>24316</t>
  </si>
  <si>
    <t>24317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</si>
  <si>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</si>
  <si>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</si>
  <si>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</si>
  <si>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</si>
  <si>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</si>
  <si>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</si>
  <si>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</si>
  <si>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</si>
  <si>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24329</t>
  </si>
  <si>
    <t>24330</t>
  </si>
  <si>
    <t>24331</t>
  </si>
  <si>
    <t>24332</t>
  </si>
  <si>
    <t>24333</t>
  </si>
  <si>
    <t>24334</t>
  </si>
  <si>
    <t>24335</t>
  </si>
  <si>
    <t>24338</t>
  </si>
  <si>
    <t>24339</t>
  </si>
  <si>
    <t>24340</t>
  </si>
  <si>
    <t>24341</t>
  </si>
  <si>
    <t>24349</t>
  </si>
  <si>
    <t>2435</t>
  </si>
  <si>
    <t>24350</t>
  </si>
  <si>
    <t>24353</t>
  </si>
  <si>
    <t>24354</t>
  </si>
  <si>
    <t>24355</t>
  </si>
  <si>
    <t>24356</t>
  </si>
  <si>
    <t>24357</t>
  </si>
  <si>
    <t>24359</t>
  </si>
  <si>
    <t>24361</t>
  </si>
  <si>
    <t>24362</t>
  </si>
  <si>
    <t>24363</t>
  </si>
  <si>
    <t>24366</t>
  </si>
  <si>
    <t>24367</t>
  </si>
  <si>
    <t>24368</t>
  </si>
  <si>
    <t>24369</t>
  </si>
  <si>
    <t>24370</t>
  </si>
  <si>
    <t>24372</t>
  </si>
  <si>
    <t>24373</t>
  </si>
  <si>
    <t>24374</t>
  </si>
  <si>
    <t>24375</t>
  </si>
  <si>
    <t>24376</t>
  </si>
  <si>
    <t>24378</t>
  </si>
  <si>
    <t>24382</t>
  </si>
  <si>
    <t>24383</t>
  </si>
  <si>
    <t>24456</t>
  </si>
  <si>
    <t>24482</t>
  </si>
  <si>
    <t>24517</t>
  </si>
  <si>
    <t>24589</t>
  </si>
  <si>
    <t>24591</t>
  </si>
  <si>
    <t>24594</t>
  </si>
  <si>
    <t>24683</t>
  </si>
  <si>
    <t>24689</t>
  </si>
  <si>
    <t>24691</t>
  </si>
  <si>
    <t>24695</t>
  </si>
  <si>
    <t>24738</t>
  </si>
  <si>
    <t>24792</t>
  </si>
  <si>
    <t>24875</t>
  </si>
  <si>
    <t>24876</t>
  </si>
  <si>
    <t>24891</t>
  </si>
  <si>
    <t>24903</t>
  </si>
  <si>
    <t>24904</t>
  </si>
  <si>
    <t>24923</t>
  </si>
  <si>
    <t>24978</t>
  </si>
  <si>
    <t>24979</t>
  </si>
  <si>
    <t>24986</t>
  </si>
  <si>
    <t>25008</t>
  </si>
  <si>
    <t>25031</t>
  </si>
  <si>
    <t>25042</t>
  </si>
  <si>
    <t>25044</t>
  </si>
  <si>
    <t>25059</t>
  </si>
  <si>
    <t>25061</t>
  </si>
  <si>
    <t>25075</t>
  </si>
  <si>
    <t>25083</t>
  </si>
  <si>
    <t>25084</t>
  </si>
  <si>
    <t>25092</t>
  </si>
  <si>
    <t>25095</t>
  </si>
  <si>
    <t>25157</t>
  </si>
  <si>
    <t>25240</t>
  </si>
  <si>
    <t>25258</t>
  </si>
  <si>
    <t>25259</t>
  </si>
  <si>
    <t>25260</t>
  </si>
  <si>
    <t>25261</t>
  </si>
  <si>
    <t>25292</t>
  </si>
  <si>
    <t>25293</t>
  </si>
  <si>
    <t>25294</t>
  </si>
  <si>
    <t>25335</t>
  </si>
  <si>
    <t>25336</t>
  </si>
  <si>
    <t>25348</t>
  </si>
  <si>
    <t>25349</t>
  </si>
  <si>
    <t>25507</t>
  </si>
  <si>
    <t>25516</t>
  </si>
  <si>
    <t>25519</t>
  </si>
  <si>
    <t>25558</t>
  </si>
  <si>
    <t>25575</t>
  </si>
  <si>
    <t>25576</t>
  </si>
  <si>
    <t>25581</t>
  </si>
  <si>
    <t>25588</t>
  </si>
  <si>
    <t>25594</t>
  </si>
  <si>
    <t>25595</t>
  </si>
  <si>
    <t>25596</t>
  </si>
  <si>
    <t>25599</t>
  </si>
  <si>
    <t>25600</t>
  </si>
  <si>
    <t>25602</t>
  </si>
  <si>
    <t>25603</t>
  </si>
  <si>
    <t>25645</t>
  </si>
  <si>
    <t>25646</t>
  </si>
  <si>
    <t>25647</t>
  </si>
  <si>
    <t>25650</t>
  </si>
  <si>
    <t>25651</t>
  </si>
  <si>
    <t>25652</t>
  </si>
  <si>
    <t>25654</t>
  </si>
  <si>
    <t>25656</t>
  </si>
  <si>
    <t>25657</t>
  </si>
  <si>
    <t>25658</t>
  </si>
  <si>
    <t>25659</t>
  </si>
  <si>
    <t>25660</t>
  </si>
  <si>
    <t>25679</t>
  </si>
  <si>
    <t>25680</t>
  </si>
  <si>
    <t>25681</t>
  </si>
  <si>
    <t>25682</t>
  </si>
  <si>
    <t>25683</t>
  </si>
  <si>
    <t>25684</t>
  </si>
  <si>
    <t>25685</t>
  </si>
  <si>
    <t>25686</t>
  </si>
  <si>
    <t>25687</t>
  </si>
  <si>
    <t>25688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</si>
  <si>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</si>
  <si>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</si>
  <si>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</si>
  <si>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</si>
  <si>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</si>
  <si>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</si>
  <si>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</si>
  <si>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</si>
  <si>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</si>
  <si>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</si>
  <si>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</si>
  <si>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</si>
  <si>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</si>
  <si>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</si>
  <si>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</si>
  <si>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</si>
  <si>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</si>
  <si>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</si>
  <si>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</si>
  <si>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</si>
  <si>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25710</t>
  </si>
  <si>
    <t>25717</t>
  </si>
  <si>
    <t>25718</t>
  </si>
  <si>
    <t>25719</t>
  </si>
  <si>
    <t>25790</t>
  </si>
  <si>
    <t>25809</t>
  </si>
  <si>
    <t>25832</t>
  </si>
  <si>
    <t>25844</t>
  </si>
  <si>
    <t>25846</t>
  </si>
  <si>
    <t>25847</t>
  </si>
  <si>
    <t>25850</t>
  </si>
  <si>
    <t>25862</t>
  </si>
  <si>
    <t>25863</t>
  </si>
  <si>
    <t>25864</t>
  </si>
  <si>
    <t>25865</t>
  </si>
  <si>
    <t>25869</t>
  </si>
  <si>
    <t>25871</t>
  </si>
  <si>
    <t>25873</t>
  </si>
  <si>
    <t>25874</t>
  </si>
  <si>
    <t>25876</t>
  </si>
  <si>
    <t>25877</t>
  </si>
  <si>
    <t>25888</t>
  </si>
  <si>
    <t>25889</t>
  </si>
  <si>
    <t>25904</t>
  </si>
  <si>
    <t>25905</t>
  </si>
  <si>
    <t>25935</t>
  </si>
  <si>
    <t>25936</t>
  </si>
  <si>
    <t>25937</t>
  </si>
  <si>
    <t>25938</t>
  </si>
  <si>
    <t>25939</t>
  </si>
  <si>
    <t>25942</t>
  </si>
  <si>
    <t>25945</t>
  </si>
  <si>
    <t>25946</t>
  </si>
  <si>
    <t>25947</t>
  </si>
  <si>
    <t>25949</t>
  </si>
  <si>
    <t>25950</t>
  </si>
  <si>
    <t>25951</t>
  </si>
  <si>
    <t>25952</t>
  </si>
  <si>
    <t>25954</t>
  </si>
  <si>
    <t>25955</t>
  </si>
  <si>
    <t>25956</t>
  </si>
  <si>
    <t>25957</t>
  </si>
  <si>
    <t>25958</t>
  </si>
  <si>
    <t>25959</t>
  </si>
  <si>
    <t>25982</t>
  </si>
  <si>
    <t>25984</t>
  </si>
  <si>
    <t>26005</t>
  </si>
  <si>
    <t>26007</t>
  </si>
  <si>
    <t>26018</t>
  </si>
  <si>
    <t>26032</t>
  </si>
  <si>
    <t>26037</t>
  </si>
  <si>
    <t>26038</t>
  </si>
  <si>
    <t>26044</t>
  </si>
  <si>
    <t>26045</t>
  </si>
  <si>
    <t>26046</t>
  </si>
  <si>
    <t>26050</t>
  </si>
  <si>
    <t>26051</t>
  </si>
  <si>
    <t>26057</t>
  </si>
  <si>
    <t>26067</t>
  </si>
  <si>
    <t>26069</t>
  </si>
  <si>
    <t>26074</t>
  </si>
  <si>
    <t>26086</t>
  </si>
  <si>
    <t>26087</t>
  </si>
  <si>
    <t>26088</t>
  </si>
  <si>
    <t>26094</t>
  </si>
  <si>
    <t>26117</t>
  </si>
  <si>
    <t>26118</t>
  </si>
  <si>
    <t>26135</t>
  </si>
  <si>
    <t>26152</t>
  </si>
  <si>
    <t>26278</t>
  </si>
  <si>
    <t>26287</t>
  </si>
  <si>
    <t>26290</t>
  </si>
  <si>
    <t>26338</t>
  </si>
  <si>
    <t>26341</t>
  </si>
  <si>
    <t>26371</t>
  </si>
  <si>
    <t>26378</t>
  </si>
  <si>
    <t>26381</t>
  </si>
  <si>
    <t>26384</t>
  </si>
  <si>
    <t>26385</t>
  </si>
  <si>
    <t>26386</t>
  </si>
  <si>
    <t>26392</t>
  </si>
  <si>
    <t>26393</t>
  </si>
  <si>
    <t>26399</t>
  </si>
  <si>
    <t>26401</t>
  </si>
  <si>
    <t>26403</t>
  </si>
  <si>
    <t>26405</t>
  </si>
  <si>
    <t>26424</t>
  </si>
  <si>
    <t>26428</t>
  </si>
  <si>
    <t>26429</t>
  </si>
  <si>
    <t>26430</t>
  </si>
  <si>
    <t>26431</t>
  </si>
  <si>
    <t>26448</t>
  </si>
  <si>
    <t>26474</t>
  </si>
  <si>
    <t>26476</t>
  </si>
  <si>
    <t>26478</t>
  </si>
  <si>
    <t>26479</t>
  </si>
  <si>
    <t>26480</t>
  </si>
  <si>
    <t>26494</t>
  </si>
  <si>
    <t>26496</t>
  </si>
  <si>
    <t>26501</t>
  </si>
  <si>
    <t>26506</t>
  </si>
  <si>
    <t>26510</t>
  </si>
  <si>
    <t>26511</t>
  </si>
  <si>
    <t>26534</t>
  </si>
  <si>
    <t>26536</t>
  </si>
  <si>
    <t>26552</t>
  </si>
  <si>
    <t>26554</t>
  </si>
  <si>
    <t>26574</t>
  </si>
  <si>
    <t>26581</t>
  </si>
  <si>
    <t>26582</t>
  </si>
  <si>
    <t>26583</t>
  </si>
  <si>
    <t>26584</t>
  </si>
  <si>
    <t>26585</t>
  </si>
  <si>
    <t>26586</t>
  </si>
  <si>
    <t>26587</t>
  </si>
  <si>
    <t>26588</t>
  </si>
  <si>
    <t>26589</t>
  </si>
  <si>
    <t>26590</t>
  </si>
  <si>
    <t>26591</t>
  </si>
  <si>
    <t>26592</t>
  </si>
  <si>
    <t>26594</t>
  </si>
  <si>
    <t>26595</t>
  </si>
  <si>
    <t>26602</t>
  </si>
  <si>
    <t>26607</t>
  </si>
  <si>
    <t>26610</t>
  </si>
  <si>
    <t>26614</t>
  </si>
  <si>
    <t>26620</t>
  </si>
  <si>
    <t>26626</t>
  </si>
  <si>
    <t>26627</t>
  </si>
  <si>
    <t>26637</t>
  </si>
  <si>
    <t>26638</t>
  </si>
  <si>
    <t>26639</t>
  </si>
  <si>
    <t>26643</t>
  </si>
  <si>
    <t>26644</t>
  </si>
  <si>
    <t>26645</t>
  </si>
  <si>
    <t>26646</t>
  </si>
  <si>
    <t>26648</t>
  </si>
  <si>
    <t>26649</t>
  </si>
  <si>
    <t>2665</t>
  </si>
  <si>
    <t>26650</t>
  </si>
  <si>
    <t>26673</t>
  </si>
  <si>
    <t>26674</t>
  </si>
  <si>
    <t>26675</t>
  </si>
  <si>
    <t>26678</t>
  </si>
  <si>
    <t>26679</t>
  </si>
  <si>
    <t>26682</t>
  </si>
  <si>
    <t>26684</t>
  </si>
  <si>
    <t>26685</t>
  </si>
  <si>
    <t>26687</t>
  </si>
  <si>
    <t>26691</t>
  </si>
  <si>
    <t>26692</t>
  </si>
  <si>
    <t>26693</t>
  </si>
  <si>
    <t>26695</t>
  </si>
  <si>
    <t>26703</t>
  </si>
  <si>
    <t>26705</t>
  </si>
  <si>
    <t>26707</t>
  </si>
  <si>
    <t>26708</t>
  </si>
  <si>
    <t>26725</t>
  </si>
  <si>
    <t>26730</t>
  </si>
  <si>
    <t>26736</t>
  </si>
  <si>
    <t>26744</t>
  </si>
  <si>
    <t>26745</t>
  </si>
  <si>
    <t>26746</t>
  </si>
  <si>
    <t>26748</t>
  </si>
  <si>
    <t>26749</t>
  </si>
  <si>
    <t>26753</t>
  </si>
  <si>
    <t>26754</t>
  </si>
  <si>
    <t>26755</t>
  </si>
  <si>
    <t>26758</t>
  </si>
  <si>
    <t>26759</t>
  </si>
  <si>
    <t>26764</t>
  </si>
  <si>
    <t>26766</t>
  </si>
  <si>
    <t>26767</t>
  </si>
  <si>
    <t>26772</t>
  </si>
  <si>
    <t>26773</t>
  </si>
  <si>
    <t>26774</t>
  </si>
  <si>
    <t>26777</t>
  </si>
  <si>
    <t>26781</t>
  </si>
  <si>
    <t>26784</t>
  </si>
  <si>
    <t>26789</t>
  </si>
  <si>
    <t>26794</t>
  </si>
  <si>
    <t>26796</t>
  </si>
  <si>
    <t>26800</t>
  </si>
  <si>
    <t>26803</t>
  </si>
  <si>
    <t>26804</t>
  </si>
  <si>
    <t>26805</t>
  </si>
  <si>
    <t>26833</t>
  </si>
  <si>
    <t>26834</t>
  </si>
  <si>
    <t>26835</t>
  </si>
  <si>
    <t>26836</t>
  </si>
  <si>
    <t>26848</t>
  </si>
  <si>
    <t>26854</t>
  </si>
  <si>
    <t>26855</t>
  </si>
  <si>
    <t>26856</t>
  </si>
  <si>
    <t>26861</t>
  </si>
  <si>
    <t>26863</t>
  </si>
  <si>
    <t>26864</t>
  </si>
  <si>
    <t>26865</t>
  </si>
  <si>
    <t>26866</t>
  </si>
  <si>
    <t>26867</t>
  </si>
  <si>
    <t>26868</t>
  </si>
  <si>
    <t>26869</t>
  </si>
  <si>
    <t>26870</t>
  </si>
  <si>
    <t>26871</t>
  </si>
  <si>
    <t>26891</t>
  </si>
  <si>
    <t>26892</t>
  </si>
  <si>
    <t>26893</t>
  </si>
  <si>
    <t>26894</t>
  </si>
  <si>
    <t>26897</t>
  </si>
  <si>
    <t>26898</t>
  </si>
  <si>
    <t>26902</t>
  </si>
  <si>
    <t>26902a</t>
  </si>
  <si>
    <t>26902b</t>
  </si>
  <si>
    <t>26903</t>
  </si>
  <si>
    <t>26905</t>
  </si>
  <si>
    <t>26906</t>
  </si>
  <si>
    <t>26907</t>
  </si>
  <si>
    <t>26908</t>
  </si>
  <si>
    <t>26910</t>
  </si>
  <si>
    <t>26921</t>
  </si>
  <si>
    <t>26922</t>
  </si>
  <si>
    <t>26926</t>
  </si>
  <si>
    <t>26927</t>
  </si>
  <si>
    <t>26928</t>
  </si>
  <si>
    <t>26929</t>
  </si>
  <si>
    <t>26933</t>
  </si>
  <si>
    <t>26935</t>
  </si>
  <si>
    <t>26948</t>
  </si>
  <si>
    <t>26951</t>
  </si>
  <si>
    <t>26952</t>
  </si>
  <si>
    <t>26964</t>
  </si>
  <si>
    <t>26965</t>
  </si>
  <si>
    <t>26966</t>
  </si>
  <si>
    <t>26967</t>
  </si>
  <si>
    <t>26968</t>
  </si>
  <si>
    <t>26969</t>
  </si>
  <si>
    <t>26971</t>
  </si>
  <si>
    <t>26972</t>
  </si>
  <si>
    <t>26973</t>
  </si>
  <si>
    <t>26974</t>
  </si>
  <si>
    <t>26977</t>
  </si>
  <si>
    <t>26978</t>
  </si>
  <si>
    <t>26979</t>
  </si>
  <si>
    <t>26980</t>
  </si>
  <si>
    <t>26981</t>
  </si>
  <si>
    <t>26982</t>
  </si>
  <si>
    <t>26983</t>
  </si>
  <si>
    <t>26985</t>
  </si>
  <si>
    <t>26986</t>
  </si>
  <si>
    <t>26987</t>
  </si>
  <si>
    <t>26989</t>
  </si>
  <si>
    <t>26990</t>
  </si>
  <si>
    <t>26991</t>
  </si>
  <si>
    <t>26992</t>
  </si>
  <si>
    <t>26993</t>
  </si>
  <si>
    <t>26994</t>
  </si>
  <si>
    <t>26996</t>
  </si>
  <si>
    <t>27000</t>
  </si>
  <si>
    <t>27005</t>
  </si>
  <si>
    <t>27006</t>
  </si>
  <si>
    <t>27007</t>
  </si>
  <si>
    <t>27010</t>
  </si>
  <si>
    <t>27011</t>
  </si>
  <si>
    <t>27012</t>
  </si>
  <si>
    <t>27013</t>
  </si>
  <si>
    <t>27014</t>
  </si>
  <si>
    <t>27016</t>
  </si>
  <si>
    <t>27022</t>
  </si>
  <si>
    <t>27023</t>
  </si>
  <si>
    <t>27024</t>
  </si>
  <si>
    <t>27025</t>
  </si>
  <si>
    <t>27027</t>
  </si>
  <si>
    <t>27030</t>
  </si>
  <si>
    <t>27034</t>
  </si>
  <si>
    <t>27036</t>
  </si>
  <si>
    <t>27038</t>
  </si>
  <si>
    <t>27039</t>
  </si>
  <si>
    <t>27040</t>
  </si>
  <si>
    <t>27041</t>
  </si>
  <si>
    <t>27043</t>
  </si>
  <si>
    <t>27045</t>
  </si>
  <si>
    <t>27046</t>
  </si>
  <si>
    <t>27047</t>
  </si>
  <si>
    <t>27051</t>
  </si>
  <si>
    <t>27052</t>
  </si>
  <si>
    <t>27053</t>
  </si>
  <si>
    <t>27054</t>
  </si>
  <si>
    <t>27055</t>
  </si>
  <si>
    <t>27056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</si>
  <si>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</si>
  <si>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</si>
  <si>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</si>
  <si>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</si>
  <si>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</si>
  <si>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</si>
  <si>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</si>
  <si>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</si>
  <si>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</si>
  <si>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</si>
  <si>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</si>
  <si>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27074</t>
  </si>
  <si>
    <t>27075</t>
  </si>
  <si>
    <t>27076</t>
  </si>
  <si>
    <t>27078</t>
  </si>
  <si>
    <t>27079</t>
  </si>
  <si>
    <t>27080</t>
  </si>
  <si>
    <t>27081</t>
  </si>
  <si>
    <t>27082</t>
  </si>
  <si>
    <t>27087</t>
  </si>
  <si>
    <t>27092</t>
  </si>
  <si>
    <t>27103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</si>
  <si>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</si>
  <si>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</si>
  <si>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</si>
  <si>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</si>
  <si>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</si>
  <si>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</si>
  <si>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</si>
  <si>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</si>
  <si>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</si>
  <si>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</si>
  <si>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27118</t>
  </si>
  <si>
    <t>27122</t>
  </si>
  <si>
    <t>27123</t>
  </si>
  <si>
    <t>27125</t>
  </si>
  <si>
    <t>27132</t>
  </si>
  <si>
    <t>27136</t>
  </si>
  <si>
    <t>27139</t>
  </si>
  <si>
    <t>27140</t>
  </si>
  <si>
    <t>27141</t>
  </si>
  <si>
    <t>27144</t>
  </si>
  <si>
    <t>27145</t>
  </si>
  <si>
    <t>27146</t>
  </si>
  <si>
    <t>3221</t>
  </si>
  <si>
    <t>3301</t>
  </si>
  <si>
    <t>3421005437</t>
  </si>
  <si>
    <t>3421005439</t>
  </si>
  <si>
    <t>4405</t>
  </si>
  <si>
    <t>5100299061</t>
  </si>
  <si>
    <t>5116</t>
  </si>
  <si>
    <t>5130115079000010</t>
  </si>
  <si>
    <t>5225</t>
  </si>
  <si>
    <t>69617171</t>
  </si>
  <si>
    <t>7346</t>
  </si>
  <si>
    <t>7351</t>
  </si>
  <si>
    <t>7353</t>
  </si>
  <si>
    <t>7378</t>
  </si>
  <si>
    <t>7383</t>
  </si>
  <si>
    <t>7400</t>
  </si>
  <si>
    <t>7400317171</t>
  </si>
  <si>
    <t>7400317897a</t>
  </si>
  <si>
    <t>7400317897b</t>
  </si>
  <si>
    <t>7400323190</t>
  </si>
  <si>
    <t>7400369360</t>
  </si>
  <si>
    <t>7400403925</t>
  </si>
  <si>
    <t>8038196907</t>
  </si>
  <si>
    <t>8046571130</t>
  </si>
  <si>
    <t>8264</t>
  </si>
  <si>
    <t>9001054885a</t>
  </si>
  <si>
    <t>9001781504</t>
  </si>
  <si>
    <t>9001811986</t>
  </si>
  <si>
    <t>9002212320</t>
  </si>
  <si>
    <t>949</t>
  </si>
  <si>
    <t>9701a</t>
  </si>
  <si>
    <t>9701b</t>
  </si>
  <si>
    <t>DATA_ENVIO</t>
  </si>
  <si>
    <t>PROPERTY_BANK_ID</t>
  </si>
  <si>
    <t>PROPERTY_BRANCH_CODE</t>
  </si>
  <si>
    <t>PROPERTY_CONTRACT_ID</t>
  </si>
  <si>
    <t>PROPERTY_REFERENCE_CODE</t>
  </si>
  <si>
    <t>FA5C09472887C8210DD3F3CF2A4D55DEEE7AC170FCD12FCC66393A9D02A18C10</t>
  </si>
  <si>
    <t>7E00063E3A0CCE41A710175CD1B3625E7F83D8E46431D601F95C3882F51E5AB0</t>
  </si>
  <si>
    <t>E23EC7118F6F3464BFA0A8598D962D1FF8AB4CDA38CB108047E4F360E8C6C0CC</t>
  </si>
  <si>
    <t>3C0D1C80B3436B0C9B2FD44A6E12AE6B3B2A5A3F06AF0D6E89EB3FBC16383B72</t>
  </si>
  <si>
    <t>F794B71121F3D54A4C72725F2AB5084AC0A08E99699B481DF64BDE9D1F5FE5D2</t>
  </si>
  <si>
    <t>D3BE1393BF32E32ECE2C68911252F1BD89A35F974D7C944ECC899120D56F7E09</t>
  </si>
  <si>
    <t>E9EAB7EF08721EE3392B12F7C0DA6605A2BCCB847728AA64AA55B712A2129BAB</t>
  </si>
  <si>
    <t>CC180DCC73BB01E9A3B3DE8B0BC33F8FECFD1DA901BAFFE048F10A2B31DF09DA</t>
  </si>
  <si>
    <t>9E751061EAD1A0703F9AE143888EF0E3C205A93C4AD4D161E0528D98958CFBB5</t>
  </si>
  <si>
    <t>5CEB20B090A636B732F601CC02DD5BBBCF5C1D9003ECA1E317F0590138CDD959</t>
  </si>
  <si>
    <t>3E0335E202DC8F4546FFA0242B25CD23FA349F6778E4DFFC1793837B82745279</t>
  </si>
  <si>
    <t>A7CC90BF38DAE2879476D0F1D410B32C10C2C7AB786AA7916A9CB89FB9AE7F6C</t>
  </si>
  <si>
    <t>97855449577447A59C16F32C6DE5540E0380C956CCD258A599981F4A9909D081</t>
  </si>
  <si>
    <t>01F6226AC72F947B7F64A1CDA6EF1F7788B4A6DC322C2F31B1914DD48DC9C312</t>
  </si>
  <si>
    <t>D80AE3D8425E583414631CBA4AF202D1E5C2D6A46161529073324BC06876A803</t>
  </si>
  <si>
    <t>6B379472E0C6D1BC6556B6B201DAE3CA34DE0AC62A241D63AE9E8D7E9FBD143E</t>
  </si>
  <si>
    <t>20036F35FD2603EA1A8D54654CEDA0D1E3363F7A2D30CB299D80E4775CE0D965</t>
  </si>
  <si>
    <t>277A703838B9B4EB9E8F4CECEDA32CABFCA3015B252D7A7158112479E1A309E6</t>
  </si>
  <si>
    <t>F072C4460CEA67790033E7EAE04DBBD3234DD519BE3FEDEE4FBD829AEE2653E8</t>
  </si>
  <si>
    <t>1A3A9BB74755C0B1BC07481292D0F8A1D973ABB18F9D4E8E172883D78BBA06AC</t>
  </si>
  <si>
    <t>A938CEE8686898EFCD73944406B9B797EDFC4E7F895885396040505691461F8B</t>
  </si>
  <si>
    <t>89A18F17F56000E5E63009DDC16D767929F44477ED134523FDBB9644FBDC1029</t>
  </si>
  <si>
    <t>85E1C3C0BB1067DB8B7BD8A39AD7F3704972BC4C5F3A0C1376F679EF722C6C15</t>
  </si>
  <si>
    <t>72F91E399A0CEDD03A24A40781BE4A3794750145A87D1C0DB3ABA4C8A1569CEE</t>
  </si>
  <si>
    <t>211263A76B088F528CE8B7DED3768CC7E8B6AFDC8E239F5591547F00A9A27FDA</t>
  </si>
  <si>
    <t>008E94642AF3EF404CE3282FD3F161FC3DBFE454CA25261CD6473D86F5D2F83B</t>
  </si>
  <si>
    <t>426F5B690CE2A8059433FF0E3FC642561A6A498FB84D7D5C5697EBD022DBEFEC</t>
  </si>
  <si>
    <t>954E79425937ADECC0EC032A2FE34BE2E7A845D1654376B1385819C3E7C61DEA</t>
  </si>
  <si>
    <t>8D18A0C010FDE44CBDC55B7D0371B4D80C4807EB44F8B1AFD9978CD7735B4763</t>
  </si>
  <si>
    <t>AE04249C1B7C218A1F53C5469A08618734A001EAF52BC83E96D23C43B6B84F12</t>
  </si>
  <si>
    <t>AD66B16594591B2FCA0ADDF32B033EABE3F9DAB5E831DA14CF6A2C5E6247DB3B</t>
  </si>
  <si>
    <t>B3F8B6F12D7FDFB518ABDC0B4F1C20CF472C15C04B37A98D2CA3540147C6BCF3</t>
  </si>
  <si>
    <t>5A24881C19E21C0654CC0F16239310E96F980E525EA246312A1515DFE273E16B</t>
  </si>
  <si>
    <t>4AAE0BECB1CEF554F269260B5F945B4902D78E598CE7F251F973583FCC833EDD</t>
  </si>
  <si>
    <t>F5EECC0A94AB14D51EBFBC2F38E63FCB68D151B10337F4D6CCB919D4BEA32E39</t>
  </si>
  <si>
    <t>E66BB1BC9ADD229DC0B989285CC8E6553E34ACBC52D051D5D4DEEF63F420FA8E</t>
  </si>
  <si>
    <t>09F84D515A706D4C4505156ACD8E188E06E6DA2777B032A77E8E527B62001194</t>
  </si>
  <si>
    <t>76B8D11897E77EEC8FC404BC386B07ED46029B6E09CEF883107E8C885DDA7449</t>
  </si>
  <si>
    <t>7E753B7C43DAC6EEF4F0170BD15BED64E36B1B4D2350CE89AD6B350129B5F75F</t>
  </si>
  <si>
    <t>18FB6E0E4D4D32E43F68B994EDFCB03C07FDA2FE8F68CAAFB1ECD2555450BFD9</t>
  </si>
  <si>
    <t>0AE150FEFB7AE8ED784631D9786AC148B91FE4CB1BEF4120D6C1A7953E454662</t>
  </si>
  <si>
    <t>787D5416BDDD693C7F5A91BCA8DCBD1DD94E1074274ADD54392CADF568022DCA</t>
  </si>
  <si>
    <t>E7A2E62D73D860D097CBF78F7045A3151D6057D6E8C5BA20B4F20917716BE69C</t>
  </si>
  <si>
    <t>CB57B7720C7B27A3B4BFA285D30646AA5E4393C1DF73C72A1244475AABA24F87</t>
  </si>
  <si>
    <t>DBA0AE07DEEDD1B609E5F0253CC4C8329C85FD50D07E1FEE5348D51627586AD3</t>
  </si>
  <si>
    <t>03B6762A9B71F5D3B5CEA1D932FABE6F224A4CF2A39E1F952308E4C11133233C</t>
  </si>
  <si>
    <t>922084CD934317E0312919E7E2377ABCE581D0E1E722A4DA33ED56E8014526CE</t>
  </si>
  <si>
    <t>A59628EE68FFD6AB25FA1E7C310C6AF32F5AF7D3E6149851BBA71212BAB4C455</t>
  </si>
  <si>
    <t>CC4BB2C38E5339369535A076CE3503A8DA6617384EC770FE085A109107CC5076</t>
  </si>
  <si>
    <t>003FE1C6CF734C717A4C4FFB79B025DF5A20BFA1FCA3746FA800EB803A7BDFC9</t>
  </si>
  <si>
    <t>CD1939A7A33E3374CB8B31B84BE3227099EBE8026DD7770E2B86B5BFC5954C0D</t>
  </si>
  <si>
    <t>5F0A5115D35F932623C1A8B0A463EFD101C8A4826B47E1D403F1D91176698466</t>
  </si>
  <si>
    <t>830FBA3460CEC0A10F7E9E5476F1BBDA78B3CA9C957C81BF247EAE1E9AA46974</t>
  </si>
  <si>
    <t>262668B654D750B8CFFC0217BA6CD5DC9996E5F61C246FBBE25892F947CC0F85</t>
  </si>
  <si>
    <t>EE298EC965F846287F8591C43371223EC9880D65C53EEF7427E1B65074F28257</t>
  </si>
  <si>
    <t>992A208BA6BE943E78F37D5A3FCBCF64B24A89F62A533230FB970E8048CE04B0</t>
  </si>
  <si>
    <t>424BDB7C56CE19D47923C6CC396F1F45793168FA620F6D609C24526C7F675A1A</t>
  </si>
  <si>
    <t>E58D553C943D4444567B0776092A3ECA177D519CF3CC06408F08E415FE52BEBB</t>
  </si>
  <si>
    <t>32290B219A81C7C6452ADECEDC8504BC36CD8BC16A1A6D8AD07E9607356BDE2D</t>
  </si>
  <si>
    <t>5C196024BF92EFBECE9B6274BCD1F994E3C2BBC6ACD941818EBB1809C1BE320C</t>
  </si>
  <si>
    <t>89DBE31A7BE90A08B80D6FD6E39F407DAE2D956A877B9AF187FBCB3E6A91C4AB</t>
  </si>
  <si>
    <t>EB51DEB36A86335C5057C4DD28AD73CC8C3EBB42F87098DC502CF8CD46DF5FEC</t>
  </si>
  <si>
    <t>3281503C6B3F3BE2A1DA8614582D67D82AAEE8514FEEB264AD0A15641BEF0326</t>
  </si>
  <si>
    <t>C049D2975BD59EA14CA140171BE0CD06052B53A174089AF022BF1BCB95A4902E</t>
  </si>
  <si>
    <t>3FF8BDEBCF4E816DBD7A85FAB1DE5630D4FB8D451898807A74EB9D736881A529</t>
  </si>
  <si>
    <t>76A803C4561423DF92E1F7A0CF79D125220CAE3F4F88FE826ED26FA6EE33982C</t>
  </si>
  <si>
    <t>CFD0771C5A55C4C1D8D49D9FB91EDD3861721DC4E03990F7A4281C07B81B6E54</t>
  </si>
  <si>
    <t>A4B2A4E663F6CE80903A6FF9BB4987DF20C1F6C58B6A45D33106757C50AAD19C</t>
  </si>
  <si>
    <t>7DB9CBB0433FAEA80BE87D9AB4DBB28BA3896F6815B4A6F9474C4FC51F86BCF9</t>
  </si>
  <si>
    <t>9C08C51E2539BED00E524DC939B3B8EA65165D150EE322531113F061BC0A03E4</t>
  </si>
  <si>
    <t>81810E2089B51FFEF099BF7DA19E5105BB1787037F0282A46A7ABA4F98066100</t>
  </si>
  <si>
    <t>09162CEC4F02288C7749A64EBE5C29E28AE1E1FC04DD8C18A4D9B2A32F1B8948</t>
  </si>
  <si>
    <t>7CA34B7A2FE1B71702BF841DC1EA2DF2C4E602ACAD54A8232EEC603AF230138A</t>
  </si>
  <si>
    <t>B9F3AAAF0CE1B8B14281F7AC53E2B51BF1193E192EC874147245F360FAEB48E9</t>
  </si>
  <si>
    <t>B77E95D6D4479BBEAD08CAA20E59DD91A31DDFE5C182A09E1C981968A8CC6774</t>
  </si>
  <si>
    <t>F2ED961998C25A8BD05FC2FEBFA70FBCC101192860142D77A5B1753DA6585183</t>
  </si>
  <si>
    <t>A7C1D09DCC41E7BFD710BAABB8E511E0C12EC9990D748CE006A382EDAC030BB3</t>
  </si>
  <si>
    <t>184DAA6CE1A0112BFB2D4D7C4903B9393DAFF112A7EDE59FE6738823FA568AB4</t>
  </si>
  <si>
    <t>E43A05C3638AAD2C22254F74CDCE675DE40FC741437FE14579E7822F308E958B</t>
  </si>
  <si>
    <t>57E944FDAF971B30DFCFD7B19B5966DA3CC631EBE5AB91167E9342A8E3937A06</t>
  </si>
  <si>
    <t>8CD8221D301F59D7D56577C8930DA6BC5824DC9C1DFB37E463CB08DDF5482DC4</t>
  </si>
  <si>
    <t>8012BB571332867185C198E4B3E35109B19DF3B1BDD9F7B1CE962A2522E49397</t>
  </si>
  <si>
    <t>315C75276D351ACA6039030236359AE7BDE8852BE4DD81247E6EFA7A017E4E45</t>
  </si>
  <si>
    <t>0309BFFEF959FCA64EBC2C58C8E7C0B2501D33949EBCA66561B171D9B761C488</t>
  </si>
  <si>
    <t>7D3C728984AF86AE8E97B36EAD165B29AB687D7B0A8584182CED773B0DAD7E29</t>
  </si>
  <si>
    <t>437D4EB47716B11D0FB304FCB046B07DE4264B50EB641DE1D4FCD8CB47108151</t>
  </si>
  <si>
    <t>D7762DD18A6CD3068617A339A5D780B81186F5D6AE8BB45F3024C867409AE931</t>
  </si>
  <si>
    <t>744677414DBF12CFD1980ECFD4F95A40A333036D5DCA835BD0DF20739DA22561</t>
  </si>
  <si>
    <t>BB12F5C5D8824F4143D90FAA646CC12D5E503661C05FD5D872D4C485DCB61DE3</t>
  </si>
  <si>
    <t>D63718B69EBD4A22ED1B6E4D5D68E04F813B37D372BA09744C9720098528CE4C</t>
  </si>
  <si>
    <t>398BFF17058D5C4E7366466926B792B404728114B48923D8FC2F9D4133D1F2AF</t>
  </si>
  <si>
    <t>F035EDC6904D6DE3E0CA03F672AE88374FB36E8F85124ED50BBDD316ADCD9B6F</t>
  </si>
  <si>
    <t>0D4F8FF8F4FDD3526A2377717487D827273999400D01A92272BEB2A35CDBFFC2</t>
  </si>
  <si>
    <t>19DA672971BE3EAD224D96E46A746B5BBE695ABC21814CDD19791BEBD63216AA</t>
  </si>
  <si>
    <t>1080656F3F79A3599DE7CDF345DE7518E3B99DADA93710425FE701F7363D950D</t>
  </si>
  <si>
    <t>5B7ACB492803DE0D0191B3BDB467AFF3ABB95DDC4D0DADCA8653A20934A9BF37</t>
  </si>
  <si>
    <t>D1262AC677D6195F752145F29EA8CBA9AB8FD0681FFC9D1B7CB343F6450DD488</t>
  </si>
  <si>
    <t>E95D5DE13A57AC19CBD6EC059F1BC95109743D90050C550203A64A2467E6A3F8</t>
  </si>
  <si>
    <t>4CCE24BE5CDD13B449F9BD8748268AE81164F55907731C7C910B20D2CACE1033</t>
  </si>
  <si>
    <t>C93A33B5EA4E01948FB755B4CBA2DBA8EA77A676B62146600D928A1491DB1AE6</t>
  </si>
  <si>
    <t>3ACA68E9B51A310039CD5720AAC66316C0387793184A8DE311A991AA332977E9</t>
  </si>
  <si>
    <t>64F601B5BB223FE1EE6E8F1665F823485214BE7FB99C24FEB9E6BBBBD88756B0</t>
  </si>
  <si>
    <t>64FC783857C15EB5ADC97BF48881AB00E30794C592C03B534CD2CB9C1BA6FDBE</t>
  </si>
  <si>
    <t>E595D5E3A028E83A106072CDA4195D41B67DC6618A996EA778BCAE4EA3A63BA4</t>
  </si>
  <si>
    <t>CD01FDCD71D1555DEC7612C50E4FC4D97E7876A778126DE5DEF2634FA9BD30C9</t>
  </si>
  <si>
    <t>22B556569B98B4DF3060A07FA8D3F1C64658CDAEE7F6B5F1ADFB5C8D2BC8D835</t>
  </si>
  <si>
    <t>AECFBA12E3BE4084305490E2774D0794E0760E812E09A24325963B9A7208889D</t>
  </si>
  <si>
    <t>E8F889FF91C2CB05FACCF9D1301603244AEA01AE0CAF53F6EC7F1A88449C1D28</t>
  </si>
  <si>
    <r>
      <t xml:space="preserve">1. Para a obtenção das chaves internas do Banco foram consideradas as relações (variávies </t>
    </r>
    <r>
      <rPr>
        <i/>
        <sz val="11"/>
        <color theme="1"/>
        <rFont val="Calibri"/>
        <family val="2"/>
        <scheme val="minor"/>
      </rPr>
      <t>chave_banco_atual</t>
    </r>
    <r>
      <rPr>
        <sz val="11"/>
        <color theme="1"/>
        <rFont val="Calibri"/>
        <family val="2"/>
        <scheme val="minor"/>
      </rPr>
      <t xml:space="preserve"> e </t>
    </r>
    <r>
      <rPr>
        <i/>
        <sz val="11"/>
        <color theme="1"/>
        <rFont val="Calibri"/>
        <family val="2"/>
        <scheme val="minor"/>
      </rPr>
      <t>chave_gloval_enviada</t>
    </r>
    <r>
      <rPr>
        <sz val="11"/>
        <color theme="1"/>
        <rFont val="Calibri"/>
        <family val="2"/>
        <scheme val="minor"/>
      </rPr>
      <t xml:space="preserve">) presentes no tradutor de chaves </t>
    </r>
    <r>
      <rPr>
        <i/>
        <sz val="11"/>
        <color theme="1"/>
        <rFont val="Calibri"/>
        <family val="2"/>
        <scheme val="minor"/>
      </rPr>
      <t>(bu_esg_work.kt_chave_gloval</t>
    </r>
    <r>
      <rPr>
        <sz val="11"/>
        <color theme="1"/>
        <rFont val="Calibri"/>
        <family val="2"/>
        <scheme val="minor"/>
      </rPr>
      <t xml:space="preserve">) com os seguintes tratamentos:
       ▪ </t>
    </r>
    <r>
      <rPr>
        <i/>
        <sz val="11"/>
        <color theme="1"/>
        <rFont val="Calibri"/>
        <family val="2"/>
        <scheme val="minor"/>
      </rPr>
      <t>cempbem</t>
    </r>
    <r>
      <rPr>
        <sz val="11"/>
        <color theme="1"/>
        <rFont val="Calibri"/>
        <family val="2"/>
        <scheme val="minor"/>
      </rPr>
      <t xml:space="preserve"> - Cruzamento do tradutor de chaves com o MUG e MBI para identificar o </t>
    </r>
    <r>
      <rPr>
        <i/>
        <sz val="11"/>
        <color theme="1"/>
        <rFont val="Calibri"/>
        <family val="2"/>
        <scheme val="minor"/>
      </rPr>
      <t>cempbem</t>
    </r>
    <r>
      <rPr>
        <sz val="11"/>
        <color theme="1"/>
        <rFont val="Calibri"/>
        <family val="2"/>
        <scheme val="minor"/>
      </rPr>
      <t xml:space="preserve"> (não foi possivel cruzar 6.940 imóveis, como pressuposto foi considerado '31' / detalhe na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2C_Aux1)
       ▪ </t>
    </r>
    <r>
      <rPr>
        <i/>
        <sz val="11"/>
        <color theme="1"/>
        <rFont val="Calibri"/>
        <family val="2"/>
        <scheme val="minor"/>
      </rPr>
      <t>ckbalbem</t>
    </r>
    <r>
      <rPr>
        <sz val="11"/>
        <color theme="1"/>
        <rFont val="Calibri"/>
        <family val="2"/>
        <scheme val="minor"/>
      </rPr>
      <t xml:space="preserve"> - Se o tamanho da chave for 30 então foram considerados os primeiros 4 digitos da </t>
    </r>
    <r>
      <rPr>
        <i/>
        <sz val="11"/>
        <color theme="1"/>
        <rFont val="Calibri"/>
        <family val="2"/>
        <scheme val="minor"/>
      </rPr>
      <t>chave_banco_atual</t>
    </r>
    <r>
      <rPr>
        <sz val="11"/>
        <color theme="1"/>
        <rFont val="Calibri"/>
        <family val="2"/>
        <scheme val="minor"/>
      </rPr>
      <t xml:space="preserve">.
       ▪ </t>
    </r>
    <r>
      <rPr>
        <i/>
        <sz val="11"/>
        <color theme="1"/>
        <rFont val="Calibri"/>
        <family val="2"/>
        <scheme val="minor"/>
      </rPr>
      <t>ckctabem</t>
    </r>
    <r>
      <rPr>
        <sz val="11"/>
        <color theme="1"/>
        <rFont val="Calibri"/>
        <family val="2"/>
        <scheme val="minor"/>
      </rPr>
      <t xml:space="preserve"> - Se o tamanho da chave for 30 então foram considerados os 11 digitos da </t>
    </r>
    <r>
      <rPr>
        <i/>
        <sz val="11"/>
        <color theme="1"/>
        <rFont val="Calibri"/>
        <family val="2"/>
        <scheme val="minor"/>
      </rPr>
      <t>chave_banco_atual</t>
    </r>
    <r>
      <rPr>
        <sz val="11"/>
        <color theme="1"/>
        <rFont val="Calibri"/>
        <family val="2"/>
        <scheme val="minor"/>
      </rPr>
      <t xml:space="preserve"> após a posição 5. 
       ▪ </t>
    </r>
    <r>
      <rPr>
        <i/>
        <sz val="11"/>
        <color theme="1"/>
        <rFont val="Calibri"/>
        <family val="2"/>
        <scheme val="minor"/>
      </rPr>
      <t>ckrefbem</t>
    </r>
    <r>
      <rPr>
        <sz val="11"/>
        <color theme="1"/>
        <rFont val="Calibri"/>
        <family val="2"/>
        <scheme val="minor"/>
      </rPr>
      <t xml:space="preserve"> - Se o tamanho da chave for 30 então foram considerados os 15 digitos da </t>
    </r>
    <r>
      <rPr>
        <i/>
        <sz val="11"/>
        <color theme="1"/>
        <rFont val="Calibri"/>
        <family val="2"/>
        <scheme val="minor"/>
      </rPr>
      <t>chave_banco_atual</t>
    </r>
    <r>
      <rPr>
        <sz val="11"/>
        <color theme="1"/>
        <rFont val="Calibri"/>
        <family val="2"/>
        <scheme val="minor"/>
      </rPr>
      <t xml:space="preserve"> após a posição 16.
2. Para as relações não presentes no tradutor de chaves foram consideras as relaçoes presentes na tabela </t>
    </r>
    <r>
      <rPr>
        <i/>
        <sz val="11"/>
        <color theme="1"/>
        <rFont val="Calibri"/>
        <family val="2"/>
        <scheme val="minor"/>
      </rPr>
      <t>bu_esg_work.envio_gloval_dez22_v2</t>
    </r>
    <r>
      <rPr>
        <sz val="11"/>
        <color theme="1"/>
        <rFont val="Calibri"/>
        <family val="2"/>
        <scheme val="minor"/>
      </rPr>
      <t xml:space="preserve"> (1.075 chaves / detalhe na sheet 2A_Aux1). Denote-se que nesta tabela estas chaves estão assinaladas com a </t>
    </r>
    <r>
      <rPr>
        <i/>
        <sz val="11"/>
        <color theme="1"/>
        <rFont val="Calibri"/>
        <family val="2"/>
        <scheme val="minor"/>
      </rPr>
      <t>flag</t>
    </r>
    <r>
      <rPr>
        <sz val="11"/>
        <color theme="1"/>
        <rFont val="Calibri"/>
        <family val="2"/>
        <scheme val="minor"/>
      </rPr>
      <t xml:space="preserve"> de adjudicados. 
3. Para todas as chaves com tamanho diferente de 30 (1.200 chaves / detalhe na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3_Aux2) foram consideradas as variaveis </t>
    </r>
    <r>
      <rPr>
        <i/>
        <sz val="11"/>
        <color theme="1"/>
        <rFont val="Calibri"/>
        <family val="2"/>
        <scheme val="minor"/>
      </rPr>
      <t>cempbem</t>
    </r>
    <r>
      <rPr>
        <sz val="11"/>
        <color theme="1"/>
        <rFont val="Calibri"/>
        <family val="2"/>
        <scheme val="minor"/>
      </rPr>
      <t xml:space="preserve">, </t>
    </r>
    <r>
      <rPr>
        <i/>
        <sz val="11"/>
        <color theme="1"/>
        <rFont val="Calibri"/>
        <family val="2"/>
        <scheme val="minor"/>
      </rPr>
      <t>ckctabem</t>
    </r>
    <r>
      <rPr>
        <sz val="11"/>
        <color theme="1"/>
        <rFont val="Calibri"/>
        <family val="2"/>
        <scheme val="minor"/>
      </rPr>
      <t xml:space="preserve"> e </t>
    </r>
    <r>
      <rPr>
        <i/>
        <sz val="11"/>
        <color theme="1"/>
        <rFont val="Calibri"/>
        <family val="2"/>
        <scheme val="minor"/>
      </rPr>
      <t>ckrefbem</t>
    </r>
    <r>
      <rPr>
        <sz val="11"/>
        <color theme="1"/>
        <rFont val="Calibri"/>
        <family val="2"/>
        <scheme val="minor"/>
      </rPr>
      <t xml:space="preserve"> a </t>
    </r>
    <r>
      <rPr>
        <i/>
        <sz val="11"/>
        <color theme="1"/>
        <rFont val="Calibri"/>
        <family val="2"/>
        <scheme val="minor"/>
      </rPr>
      <t>null</t>
    </r>
    <r>
      <rPr>
        <sz val="11"/>
        <color theme="1"/>
        <rFont val="Calibri"/>
        <family val="2"/>
        <scheme val="minor"/>
      </rPr>
      <t xml:space="preserve"> (carregado a vazio no </t>
    </r>
    <r>
      <rPr>
        <i/>
        <sz val="11"/>
        <color theme="1"/>
        <rFont val="Calibri"/>
        <family val="2"/>
        <scheme val="minor"/>
      </rPr>
      <t>font-end</t>
    </r>
    <r>
      <rPr>
        <sz val="11"/>
        <color theme="1"/>
        <rFont val="Calibri"/>
        <family val="2"/>
        <scheme val="minor"/>
      </rPr>
      <t xml:space="preserve">) e a variável </t>
    </r>
    <r>
      <rPr>
        <i/>
        <sz val="11"/>
        <color theme="1"/>
        <rFont val="Calibri"/>
        <family val="2"/>
        <scheme val="minor"/>
      </rPr>
      <t>ckbalbem</t>
    </r>
    <r>
      <rPr>
        <sz val="11"/>
        <color theme="1"/>
        <rFont val="Calibri"/>
        <family val="2"/>
        <scheme val="minor"/>
      </rPr>
      <t xml:space="preserve"> com a chave. Denote-se que os adjudicados foram alvo deste tratamento e por este motivo (aquando a integração destas chaves nos sistemas do Banco) será necessário a revisão das mesmas nos ficheiros carregados no </t>
    </r>
    <r>
      <rPr>
        <i/>
        <sz val="11"/>
        <color theme="1"/>
        <rFont val="Calibri"/>
        <family val="2"/>
        <scheme val="minor"/>
      </rPr>
      <t>front-end</t>
    </r>
    <r>
      <rPr>
        <sz val="11"/>
        <color theme="1"/>
        <rFont val="Calibri"/>
        <family val="2"/>
        <scheme val="minor"/>
      </rPr>
      <t xml:space="preserve">.
4. Para a chave Gloval 147B723F2C37A7F36304C30DF4EBFB7F55C513E191C88AB1B1DA0DDA7DCF7952 foi considerada a chave banco 000016530870000000000000000000 em virtude de apenas esta constar no MUG (a chave 000016530870000000000001005746 foi desvinculada desta chave Gloval). </t>
    </r>
  </si>
  <si>
    <r>
      <t xml:space="preserve">Foram carregadas as 152 chaves no </t>
    </r>
    <r>
      <rPr>
        <i/>
        <sz val="11"/>
        <color theme="1"/>
        <rFont val="Calibri"/>
        <family val="2"/>
        <scheme val="minor"/>
      </rPr>
      <t>front-end</t>
    </r>
    <r>
      <rPr>
        <sz val="11"/>
        <color theme="1"/>
        <rFont val="Calibri"/>
        <family val="2"/>
        <scheme val="minor"/>
      </rPr>
      <t xml:space="preserve">. Destas 152 chaves apenas 1 chave tem impacto no processo de aprovisionamento da tabela de </t>
    </r>
    <r>
      <rPr>
        <i/>
        <sz val="11"/>
        <color theme="1"/>
        <rFont val="Calibri"/>
        <family val="2"/>
        <scheme val="minor"/>
      </rPr>
      <t>output</t>
    </r>
    <r>
      <rPr>
        <sz val="11"/>
        <color theme="1"/>
        <rFont val="Calibri"/>
        <family val="2"/>
        <scheme val="minor"/>
      </rPr>
      <t xml:space="preserve"> de certificados, uma vez que, os valores recebidos pela Gloval são distintos (na tabela de </t>
    </r>
    <r>
      <rPr>
        <i/>
        <sz val="11"/>
        <color theme="1"/>
        <rFont val="Calibri"/>
        <family val="2"/>
        <scheme val="minor"/>
      </rPr>
      <t>output</t>
    </r>
    <r>
      <rPr>
        <sz val="11"/>
        <color theme="1"/>
        <rFont val="Calibri"/>
        <family val="2"/>
        <scheme val="minor"/>
      </rPr>
      <t xml:space="preserve"> é realizado o tratamento destes casos de modo a escolher o pior registo (abordagem conservadora)).</t>
    </r>
  </si>
  <si>
    <r>
      <t xml:space="preserve">Foram consideradas as chaves internas do banco presentes na tabela </t>
    </r>
    <r>
      <rPr>
        <i/>
        <sz val="11"/>
        <color theme="1"/>
        <rFont val="Calibri"/>
        <family val="2"/>
        <scheme val="minor"/>
      </rPr>
      <t>bu_esg_work.envio_gloval_dez22_v2</t>
    </r>
    <r>
      <rPr>
        <sz val="11"/>
        <color theme="1"/>
        <rFont val="Calibri"/>
        <family val="2"/>
        <scheme val="minor"/>
      </rPr>
      <t>. Denote-se que estes imóveis incidiram no tratatamento descrito no ID #1.</t>
    </r>
  </si>
  <si>
    <r>
      <t xml:space="preserve">Foram carregadas as 88 chaves no </t>
    </r>
    <r>
      <rPr>
        <i/>
        <sz val="11"/>
        <color theme="1"/>
        <rFont val="Calibri"/>
        <family val="2"/>
        <scheme val="minor"/>
      </rPr>
      <t>front-end</t>
    </r>
    <r>
      <rPr>
        <sz val="11"/>
        <color theme="1"/>
        <rFont val="Calibri"/>
        <family val="2"/>
        <scheme val="minor"/>
      </rPr>
      <t xml:space="preserve">. Para estas 88 chaves o processo de aprovisionamento da tabela de </t>
    </r>
    <r>
      <rPr>
        <i/>
        <sz val="11"/>
        <color theme="1"/>
        <rFont val="Calibri"/>
        <family val="2"/>
        <scheme val="minor"/>
      </rPr>
      <t>output</t>
    </r>
    <r>
      <rPr>
        <sz val="11"/>
        <color theme="1"/>
        <rFont val="Calibri"/>
        <family val="2"/>
        <scheme val="minor"/>
      </rPr>
      <t xml:space="preserve"> de certificados ignora os dados recebidos da Gloval no rácio de Dezembro de 2022, exceto:
       ▪ 6 chaves (detalhe na sheet 3_Aux1) - Estas chaves foram enviadas em Dezembro de 2022 e em Junho de 2023. No entanto, em Junho de 2023 a Gloval enviou a atualização destas 6 chaves (considerado nos registos do ID #5), e por conseguinte, o processo de aprovisionamento da tabela de output de certificados irá considerar o valor desta atualização ao invés dos dados recebidos associados ao envio de Junho de 2023. </t>
    </r>
  </si>
  <si>
    <r>
      <t xml:space="preserve">Das 128 chaves Gloval (que corresponde a 256 linhas no ficheiro de origem) foram carregadas no </t>
    </r>
    <r>
      <rPr>
        <i/>
        <sz val="11"/>
        <color theme="1"/>
        <rFont val="Calibri"/>
        <family val="2"/>
        <scheme val="minor"/>
      </rPr>
      <t>front-end</t>
    </r>
    <r>
      <rPr>
        <sz val="11"/>
        <color theme="1"/>
        <rFont val="Calibri"/>
        <family val="2"/>
        <scheme val="minor"/>
      </rPr>
      <t xml:space="preserve">:
       ▪ 127 chaves Gloval apenas com 1 linha (uma vez que os dados recebidos pela Gloval foram iguais)
       ▪ 1 chave Gloval com 2 linhas (uma vez que os dados recebidos pela Gloval foram diferentes) - Para este caso o processo de aprovisionamento da tabela de </t>
    </r>
    <r>
      <rPr>
        <i/>
        <sz val="11"/>
        <color theme="1"/>
        <rFont val="Calibri"/>
        <family val="2"/>
        <scheme val="minor"/>
      </rPr>
      <t>output</t>
    </r>
    <r>
      <rPr>
        <sz val="11"/>
        <color theme="1"/>
        <rFont val="Calibri"/>
        <family val="2"/>
        <scheme val="minor"/>
      </rPr>
      <t xml:space="preserve"> de certificados considera o pior registo (abordagem conservadora) - detalhe na </t>
    </r>
    <r>
      <rPr>
        <i/>
        <sz val="11"/>
        <color theme="1"/>
        <rFont val="Calibri"/>
        <family val="2"/>
        <scheme val="minor"/>
      </rPr>
      <t>sheet</t>
    </r>
    <r>
      <rPr>
        <sz val="11"/>
        <color theme="1"/>
        <rFont val="Calibri"/>
        <family val="2"/>
        <scheme val="minor"/>
      </rPr>
      <t xml:space="preserve"> 3_Aux1.
Denote-se que todas estas chaves correspondem as chaves que foram enviadas 2x no rácio de Junho de 2022.</t>
    </r>
  </si>
  <si>
    <r>
      <t xml:space="preserve">Foram carregadas as 19 chaves no </t>
    </r>
    <r>
      <rPr>
        <i/>
        <sz val="11"/>
        <color theme="1"/>
        <rFont val="Calibri"/>
        <family val="2"/>
        <scheme val="minor"/>
      </rPr>
      <t>front-end</t>
    </r>
    <r>
      <rPr>
        <sz val="11"/>
        <color theme="1"/>
        <rFont val="Calibri"/>
        <family val="2"/>
        <scheme val="minor"/>
      </rPr>
      <t xml:space="preserve">. Para estas 19 chaves o processo de aprovisionamento da tabela de </t>
    </r>
    <r>
      <rPr>
        <i/>
        <sz val="11"/>
        <color theme="1"/>
        <rFont val="Calibri"/>
        <family val="2"/>
        <scheme val="minor"/>
      </rPr>
      <t>output</t>
    </r>
    <r>
      <rPr>
        <sz val="11"/>
        <color theme="1"/>
        <rFont val="Calibri"/>
        <family val="2"/>
        <scheme val="minor"/>
      </rPr>
      <t xml:space="preserve"> de certificados ignora os dados recebidos da Gloval no rácio de Junho de 2023.</t>
    </r>
  </si>
  <si>
    <r>
      <t xml:space="preserve">Das 72 chaves Gloval (que corresponde a 144 linhas no ficheiro de origem) foram carregadas no </t>
    </r>
    <r>
      <rPr>
        <i/>
        <sz val="11"/>
        <color theme="1"/>
        <rFont val="Calibri"/>
        <family val="2"/>
        <scheme val="minor"/>
      </rPr>
      <t>front-end</t>
    </r>
    <r>
      <rPr>
        <sz val="11"/>
        <color theme="1"/>
        <rFont val="Calibri"/>
        <family val="2"/>
        <scheme val="minor"/>
      </rPr>
      <t>:
       ▪ 71 chaves Gloval apenas com 1 linha (uma vez que os dados recebidos pela Gloval foram iguais)
       ▪ 1 chave Gloval com 2 linhas (uma vez que os dados recebidos pela Gloval foram diferentes) - Para este caso o processo de aprovisionamento da tabela de output de certificados considera o pior registo (abordagem conservadora) - detalhe na sheet 3_Aux1.
Denote-se que todas estas chaves correspondem as chaves que foram enviadas 2x no rácio de Junho de 2022. A chave Gloval com 2 valores distintos é a mesma chave identificada na atualização de Junho de 2023.</t>
    </r>
  </si>
  <si>
    <r>
      <t xml:space="preserve">Foi carregado esta chave no </t>
    </r>
    <r>
      <rPr>
        <i/>
        <sz val="11"/>
        <color theme="1"/>
        <rFont val="Calibri"/>
        <family val="2"/>
        <scheme val="minor"/>
      </rPr>
      <t>front-end</t>
    </r>
    <r>
      <rPr>
        <sz val="11"/>
        <color theme="1"/>
        <rFont val="Calibri"/>
        <family val="2"/>
        <scheme val="minor"/>
      </rPr>
      <t>. Para esta chave o processo de aprovisionamento da tabela de output de certificados ignora os dados recebidos da Gloval no rácio de Junho de 2022.</t>
    </r>
  </si>
  <si>
    <r>
      <t>Em detrimento da análise aos ficheiros da Gloval (</t>
    </r>
    <r>
      <rPr>
        <b/>
        <i/>
        <sz val="11"/>
        <color theme="1"/>
        <rFont val="Calibri"/>
        <family val="2"/>
        <scheme val="minor"/>
      </rPr>
      <t>sheet "1. Análise"</t>
    </r>
    <r>
      <rPr>
        <b/>
        <sz val="11"/>
        <color theme="1"/>
        <rFont val="Calibri"/>
        <family val="2"/>
        <scheme val="minor"/>
      </rPr>
      <t xml:space="preserve">) foram considerados os seguintes pressupostos em função dos temas identificados.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</si>
</sst>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8.5"/>
      <color theme="1"/>
      <name val="Calibri"/>
      <family val="2"/>
      <scheme val="minor"/>
    </font>
    <font>
      <sz val="8.5"/>
      <color theme="1"/>
      <name val="Calibri"/>
      <family val="2"/>
      <scheme val="minor"/>
    </font>
    <font>
      <i/>
      <sz val="8.5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hair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hair">
        <color theme="0" tint="-0.24994659260841701"/>
      </bottom>
      <diagonal/>
    </border>
    <border>
      <left style="hair">
        <color theme="0"/>
      </left>
      <right/>
      <top style="thin">
        <color theme="0"/>
      </top>
      <bottom style="hair">
        <color theme="0" tint="-0.24994659260841701"/>
      </bottom>
      <diagonal/>
    </border>
    <border>
      <left/>
      <right/>
      <top style="thin">
        <color theme="0"/>
      </top>
      <bottom style="hair">
        <color theme="0" tint="-0.24994659260841701"/>
      </bottom>
      <diagonal/>
    </border>
    <border>
      <left/>
      <right style="hair">
        <color theme="0"/>
      </right>
      <top style="thin">
        <color theme="0"/>
      </top>
      <bottom style="hair">
        <color theme="0" tint="-0.24994659260841701"/>
      </bottom>
      <diagonal/>
    </border>
    <border>
      <left style="hair">
        <color theme="0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rgb="FFFF0000"/>
      </left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1" xfId="0" applyFont="1" applyBorder="1"/>
    <xf numFmtId="0" fontId="0" fillId="0" borderId="1" xfId="0" applyBorder="1"/>
    <xf numFmtId="0" fontId="0" fillId="0" borderId="0" xfId="0" quotePrefix="1"/>
    <xf numFmtId="3" fontId="1" fillId="3" borderId="2" xfId="0" applyNumberFormat="1" applyFont="1" applyFill="1" applyBorder="1"/>
    <xf numFmtId="0" fontId="1" fillId="3" borderId="2" xfId="0" applyFont="1" applyFill="1" applyBorder="1" applyAlignment="1">
      <alignment horizontal="left" indent="3"/>
    </xf>
    <xf numFmtId="17" fontId="3" fillId="2" borderId="2" xfId="0" quotePrefix="1" applyNumberFormat="1" applyFont="1" applyFill="1" applyBorder="1" applyAlignment="1">
      <alignment horizontal="center"/>
    </xf>
    <xf numFmtId="0" fontId="0" fillId="0" borderId="3" xfId="0" applyBorder="1" applyAlignment="1">
      <alignment horizontal="left" indent="5"/>
    </xf>
    <xf numFmtId="3" fontId="0" fillId="0" borderId="3" xfId="0" applyNumberFormat="1" applyBorder="1"/>
    <xf numFmtId="0" fontId="0" fillId="0" borderId="3" xfId="0" applyBorder="1"/>
    <xf numFmtId="0" fontId="0" fillId="0" borderId="4" xfId="0" applyBorder="1" applyAlignment="1">
      <alignment horizontal="left" indent="5"/>
    </xf>
    <xf numFmtId="3" fontId="0" fillId="0" borderId="4" xfId="0" applyNumberFormat="1" applyBorder="1"/>
    <xf numFmtId="0" fontId="0" fillId="0" borderId="4" xfId="0" applyBorder="1"/>
    <xf numFmtId="0" fontId="1" fillId="5" borderId="2" xfId="0" applyFont="1" applyFill="1" applyBorder="1" applyAlignment="1">
      <alignment horizontal="left" indent="3"/>
    </xf>
    <xf numFmtId="3" fontId="1" fillId="5" borderId="2" xfId="0" applyNumberFormat="1" applyFont="1" applyFill="1" applyBorder="1"/>
    <xf numFmtId="3" fontId="5" fillId="0" borderId="5" xfId="0" applyNumberFormat="1" applyFont="1" applyBorder="1" applyAlignment="1">
      <alignment horizontal="right"/>
    </xf>
    <xf numFmtId="0" fontId="6" fillId="0" borderId="3" xfId="0" applyFont="1" applyBorder="1" applyAlignment="1">
      <alignment horizontal="center"/>
    </xf>
    <xf numFmtId="3" fontId="7" fillId="3" borderId="2" xfId="0" applyNumberFormat="1" applyFont="1" applyFill="1" applyBorder="1" applyAlignment="1">
      <alignment horizontal="center"/>
    </xf>
    <xf numFmtId="3" fontId="8" fillId="0" borderId="5" xfId="0" applyNumberFormat="1" applyFont="1" applyBorder="1" applyAlignment="1">
      <alignment horizontal="right"/>
    </xf>
    <xf numFmtId="3" fontId="0" fillId="0" borderId="0" xfId="0" applyNumberFormat="1"/>
    <xf numFmtId="0" fontId="0" fillId="0" borderId="7" xfId="0" applyBorder="1" applyAlignment="1">
      <alignment horizontal="left" indent="5"/>
    </xf>
    <xf numFmtId="3" fontId="0" fillId="0" borderId="8" xfId="0" applyNumberFormat="1" applyBorder="1"/>
    <xf numFmtId="3" fontId="0" fillId="0" borderId="9" xfId="0" applyNumberFormat="1" applyBorder="1"/>
    <xf numFmtId="0" fontId="0" fillId="0" borderId="10" xfId="0" applyBorder="1" applyAlignment="1">
      <alignment horizontal="left" indent="5"/>
    </xf>
    <xf numFmtId="3" fontId="0" fillId="0" borderId="11" xfId="0" applyNumberFormat="1" applyBorder="1"/>
    <xf numFmtId="3" fontId="0" fillId="0" borderId="12" xfId="0" applyNumberFormat="1" applyBorder="1"/>
    <xf numFmtId="3" fontId="0" fillId="8" borderId="8" xfId="0" applyNumberFormat="1" applyFill="1" applyBorder="1"/>
    <xf numFmtId="3" fontId="0" fillId="8" borderId="11" xfId="0" applyNumberFormat="1" applyFill="1" applyBorder="1"/>
    <xf numFmtId="11" fontId="0" fillId="0" borderId="0" xfId="0" applyNumberFormat="1"/>
    <xf numFmtId="49" fontId="0" fillId="0" borderId="0" xfId="0" applyNumberFormat="1"/>
    <xf numFmtId="49" fontId="0" fillId="0" borderId="13" xfId="0" applyNumberFormat="1" applyBorder="1"/>
    <xf numFmtId="0" fontId="0" fillId="0" borderId="13" xfId="0" applyBorder="1"/>
    <xf numFmtId="49" fontId="9" fillId="2" borderId="13" xfId="0" applyNumberFormat="1" applyFont="1" applyFill="1" applyBorder="1"/>
    <xf numFmtId="0" fontId="1" fillId="0" borderId="13" xfId="0" applyFont="1" applyBorder="1"/>
    <xf numFmtId="0" fontId="1" fillId="0" borderId="13" xfId="0" applyFont="1" applyBorder="1" applyAlignment="1">
      <alignment horizontal="right"/>
    </xf>
    <xf numFmtId="0" fontId="1" fillId="3" borderId="6" xfId="0" applyFont="1" applyFill="1" applyBorder="1" applyAlignment="1">
      <alignment horizontal="left" indent="3"/>
    </xf>
    <xf numFmtId="3" fontId="5" fillId="0" borderId="6" xfId="0" applyNumberFormat="1" applyFont="1" applyBorder="1" applyAlignment="1">
      <alignment horizontal="right"/>
    </xf>
    <xf numFmtId="3" fontId="8" fillId="0" borderId="6" xfId="0" applyNumberFormat="1" applyFont="1" applyBorder="1" applyAlignment="1">
      <alignment horizontal="right"/>
    </xf>
    <xf numFmtId="0" fontId="0" fillId="0" borderId="14" xfId="0" applyBorder="1" applyAlignment="1">
      <alignment horizontal="left" indent="5"/>
    </xf>
    <xf numFmtId="3" fontId="0" fillId="0" borderId="14" xfId="0" applyNumberFormat="1" applyBorder="1"/>
    <xf numFmtId="0" fontId="1" fillId="3" borderId="14" xfId="0" applyFont="1" applyFill="1" applyBorder="1" applyAlignment="1">
      <alignment horizontal="left" indent="3"/>
    </xf>
    <xf numFmtId="3" fontId="5" fillId="0" borderId="14" xfId="0" applyNumberFormat="1" applyFont="1" applyBorder="1" applyAlignment="1">
      <alignment horizontal="right"/>
    </xf>
    <xf numFmtId="3" fontId="8" fillId="0" borderId="14" xfId="0" applyNumberFormat="1" applyFont="1" applyBorder="1" applyAlignment="1">
      <alignment horizontal="right"/>
    </xf>
    <xf numFmtId="0" fontId="9" fillId="2" borderId="13" xfId="0" applyFont="1" applyFill="1" applyBorder="1"/>
    <xf numFmtId="0" fontId="1" fillId="0" borderId="0" xfId="0" applyFont="1" applyAlignment="1">
      <alignment horizontal="left"/>
    </xf>
    <xf numFmtId="0" fontId="10" fillId="10" borderId="13" xfId="0" applyFont="1" applyFill="1" applyBorder="1"/>
    <xf numFmtId="0" fontId="10" fillId="11" borderId="13" xfId="0" applyFont="1" applyFill="1" applyBorder="1"/>
    <xf numFmtId="0" fontId="9" fillId="7" borderId="13" xfId="0" applyFont="1" applyFill="1" applyBorder="1"/>
    <xf numFmtId="0" fontId="0" fillId="5" borderId="13" xfId="0" applyFill="1" applyBorder="1"/>
    <xf numFmtId="0" fontId="9" fillId="12" borderId="13" xfId="0" applyFont="1" applyFill="1" applyBorder="1"/>
    <xf numFmtId="3" fontId="5" fillId="5" borderId="2" xfId="0" applyNumberFormat="1" applyFont="1" applyFill="1" applyBorder="1"/>
    <xf numFmtId="3" fontId="14" fillId="4" borderId="2" xfId="0" applyNumberFormat="1" applyFont="1" applyFill="1" applyBorder="1"/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49" fontId="9" fillId="13" borderId="13" xfId="0" applyNumberFormat="1" applyFont="1" applyFill="1" applyBorder="1"/>
    <xf numFmtId="49" fontId="0" fillId="0" borderId="15" xfId="0" applyNumberFormat="1" applyBorder="1"/>
    <xf numFmtId="0" fontId="0" fillId="0" borderId="15" xfId="0" applyBorder="1"/>
    <xf numFmtId="49" fontId="0" fillId="0" borderId="16" xfId="0" applyNumberFormat="1" applyBorder="1"/>
    <xf numFmtId="0" fontId="0" fillId="0" borderId="16" xfId="0" applyBorder="1"/>
    <xf numFmtId="0" fontId="16" fillId="0" borderId="15" xfId="0" applyFont="1" applyBorder="1"/>
    <xf numFmtId="0" fontId="16" fillId="0" borderId="16" xfId="0" applyFont="1" applyBorder="1"/>
    <xf numFmtId="0" fontId="3" fillId="2" borderId="13" xfId="0" applyFont="1" applyFill="1" applyBorder="1" applyAlignment="1">
      <alignment horizontal="center" vertical="center"/>
    </xf>
    <xf numFmtId="0" fontId="1" fillId="14" borderId="13" xfId="0" applyFont="1" applyFill="1" applyBorder="1" applyAlignment="1">
      <alignment horizontal="center" vertical="top"/>
    </xf>
    <xf numFmtId="0" fontId="1" fillId="14" borderId="13" xfId="0" applyFont="1" applyFill="1" applyBorder="1" applyAlignment="1">
      <alignment horizontal="left" vertical="top"/>
    </xf>
    <xf numFmtId="0" fontId="15" fillId="15" borderId="13" xfId="0" applyFont="1" applyFill="1" applyBorder="1" applyAlignment="1">
      <alignment vertical="top"/>
    </xf>
    <xf numFmtId="0" fontId="15" fillId="15" borderId="13" xfId="0" applyFont="1" applyFill="1" applyBorder="1" applyAlignment="1">
      <alignment horizontal="center" vertical="top"/>
    </xf>
    <xf numFmtId="0" fontId="0" fillId="15" borderId="13" xfId="0" applyFill="1" applyBorder="1" applyAlignment="1">
      <alignment horizontal="left" vertical="top" wrapText="1"/>
    </xf>
    <xf numFmtId="0" fontId="0" fillId="15" borderId="13" xfId="0" applyFill="1" applyBorder="1" applyAlignment="1">
      <alignment vertical="top"/>
    </xf>
    <xf numFmtId="3" fontId="0" fillId="15" borderId="13" xfId="0" applyNumberFormat="1" applyFill="1" applyBorder="1" applyAlignment="1">
      <alignment horizontal="center" vertical="top"/>
    </xf>
    <xf numFmtId="0" fontId="15" fillId="15" borderId="13" xfId="0" applyFont="1" applyFill="1" applyBorder="1" applyAlignment="1">
      <alignment horizontal="left" vertical="top" wrapText="1"/>
    </xf>
    <xf numFmtId="0" fontId="1" fillId="0" borderId="17" xfId="0" applyFont="1" applyBorder="1" applyAlignment="1">
      <alignment horizontal="left" indent="1"/>
    </xf>
    <xf numFmtId="0" fontId="11" fillId="6" borderId="0" xfId="0" quotePrefix="1" applyFont="1" applyFill="1" applyAlignment="1">
      <alignment horizontal="left" vertical="top" wrapText="1"/>
    </xf>
    <xf numFmtId="0" fontId="0" fillId="6" borderId="0" xfId="0" applyFill="1" applyAlignment="1">
      <alignment horizontal="left" vertical="top"/>
    </xf>
    <xf numFmtId="0" fontId="1" fillId="4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vertical="center"/>
    </xf>
  </cellXfs>
  <cellStyles count="1">
    <cellStyle name="Normal" xfId="0" builtinId="0"/>
  </cellStyles>
  <dxfs count="2">
    <dxf>
      <font>
        <b/>
        <i val="0"/>
        <strike val="0"/>
        <color theme="6" tint="-0.499984740745262"/>
      </font>
      <fill>
        <patternFill>
          <bgColor theme="6" tint="0.79998168889431442"/>
        </patternFill>
      </fill>
    </dxf>
    <dxf>
      <font>
        <b/>
        <i val="0"/>
        <color rgb="FFC00000"/>
      </font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7F7F7"/>
      <color rgb="FFF1F7E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1678087</xdr:colOff>
      <xdr:row>0</xdr:row>
      <xdr:rowOff>179917</xdr:rowOff>
    </xdr:from>
    <xdr:to>
      <xdr:col>2</xdr:col>
      <xdr:colOff>1012447</xdr:colOff>
      <xdr:row>3</xdr:row>
      <xdr:rowOff>85247</xdr:rowOff>
    </xdr:to>
    <xdr:pic>
      <xdr:nvPicPr>
        <xdr:cNvPr id="8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1504" y="179917"/>
          <a:ext cx="1387526" cy="47683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</xdr:row>
      <xdr:rowOff>82669</xdr:rowOff>
    </xdr:from>
    <xdr:to>
      <xdr:col>1</xdr:col>
      <xdr:colOff>1460812</xdr:colOff>
      <xdr:row>2</xdr:row>
      <xdr:rowOff>148167</xdr:rowOff>
    </xdr:to>
    <xdr:pic>
      <xdr:nvPicPr>
        <xdr:cNvPr id="9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417" y="273169"/>
          <a:ext cx="1460812" cy="2559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1064254</xdr:colOff>
      <xdr:row>1</xdr:row>
      <xdr:rowOff>0</xdr:rowOff>
    </xdr:from>
    <xdr:to>
      <xdr:col>2</xdr:col>
      <xdr:colOff>2451780</xdr:colOff>
      <xdr:row>3</xdr:row>
      <xdr:rowOff>95830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21504" y="190500"/>
          <a:ext cx="1387526" cy="47683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</xdr:row>
      <xdr:rowOff>93252</xdr:rowOff>
    </xdr:from>
    <xdr:to>
      <xdr:col>2</xdr:col>
      <xdr:colOff>846979</xdr:colOff>
      <xdr:row>2</xdr:row>
      <xdr:rowOff>158750</xdr:rowOff>
    </xdr:to>
    <xdr:pic>
      <xdr:nvPicPr>
        <xdr:cNvPr id="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417" y="283752"/>
          <a:ext cx="1460812" cy="2559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showGridLines="0" tabSelected="1" zoomScale="90" zoomScaleNormal="90" workbookViewId="0"/>
  </sheetViews>
  <sheetFormatPr defaultColWidth="0" defaultRowHeight="15" zeroHeight="1" x14ac:dyDescent="0.25"/>
  <cols>
    <col min="1" max="1" width="3.7109375" customWidth="1"/>
    <col min="2" max="2" width="30.7109375" bestFit="1" customWidth="1"/>
    <col min="3" max="8" width="16.7109375" customWidth="1"/>
    <col min="9" max="9" width="3.7109375" customWidth="1"/>
    <col min="10" max="10" width="73.42578125" customWidth="1"/>
    <col min="11" max="11" width="3.7109375" customWidth="1"/>
    <col min="12" max="16384" width="9.140625" hidden="1"/>
  </cols>
  <sheetData>
    <row r="1" spans="2:10" s="2" customFormat="1" x14ac:dyDescent="0.25"/>
    <row r="2" spans="2:10" s="2" customFormat="1" x14ac:dyDescent="0.25"/>
    <row r="3" spans="2:10" s="2" customFormat="1" x14ac:dyDescent="0.25"/>
    <row r="4" spans="2:10" s="2" customFormat="1" x14ac:dyDescent="0.25"/>
    <row r="5" spans="2:10" s="1" customFormat="1" ht="3" customHeight="1" x14ac:dyDescent="0.25"/>
    <row r="6" spans="2:10" x14ac:dyDescent="0.25"/>
    <row r="7" spans="2:10" ht="18.75" x14ac:dyDescent="0.3">
      <c r="B7" s="3" t="s">
        <v>16</v>
      </c>
      <c r="C7" s="4"/>
      <c r="D7" s="4"/>
      <c r="E7" s="4"/>
      <c r="F7" s="4"/>
      <c r="G7" s="4"/>
      <c r="H7" s="4"/>
      <c r="I7" s="4"/>
      <c r="J7" s="4"/>
    </row>
    <row r="8" spans="2:10" x14ac:dyDescent="0.25"/>
    <row r="9" spans="2:10" ht="15.75" customHeight="1" x14ac:dyDescent="0.25">
      <c r="B9" s="8" t="s">
        <v>14</v>
      </c>
      <c r="C9" s="8" t="s">
        <v>1</v>
      </c>
      <c r="D9" s="8" t="s">
        <v>2</v>
      </c>
      <c r="E9" s="8" t="s">
        <v>3</v>
      </c>
      <c r="F9" s="8" t="s">
        <v>4</v>
      </c>
      <c r="G9" s="8" t="s">
        <v>5</v>
      </c>
      <c r="H9" s="8" t="s">
        <v>6</v>
      </c>
      <c r="J9" s="74" t="s">
        <v>10033</v>
      </c>
    </row>
    <row r="10" spans="2:10" x14ac:dyDescent="0.25">
      <c r="B10" s="7" t="s">
        <v>7</v>
      </c>
      <c r="C10" s="6">
        <v>16048</v>
      </c>
      <c r="D10" s="6">
        <v>20206</v>
      </c>
      <c r="E10" s="6">
        <v>11011</v>
      </c>
      <c r="F10" s="6">
        <v>9818</v>
      </c>
      <c r="G10" s="6"/>
      <c r="H10" s="6"/>
      <c r="J10" s="74"/>
    </row>
    <row r="11" spans="2:10" x14ac:dyDescent="0.25">
      <c r="B11" s="12" t="s">
        <v>8</v>
      </c>
      <c r="C11" s="13">
        <v>16029</v>
      </c>
      <c r="D11" s="13">
        <v>20172</v>
      </c>
      <c r="E11" s="13">
        <v>10956</v>
      </c>
      <c r="F11" s="13">
        <v>9818</v>
      </c>
      <c r="G11" s="14"/>
      <c r="H11" s="14"/>
      <c r="J11" s="74"/>
    </row>
    <row r="12" spans="2:10" x14ac:dyDescent="0.25">
      <c r="B12" s="9" t="s">
        <v>9</v>
      </c>
      <c r="C12" s="10">
        <v>19</v>
      </c>
      <c r="D12" s="10">
        <v>34</v>
      </c>
      <c r="E12" s="10">
        <v>55</v>
      </c>
      <c r="F12" s="10"/>
      <c r="G12" s="11"/>
      <c r="H12" s="11"/>
      <c r="J12" s="74"/>
    </row>
    <row r="13" spans="2:10" x14ac:dyDescent="0.25">
      <c r="B13" s="7" t="s">
        <v>10</v>
      </c>
      <c r="C13" s="6">
        <v>16048</v>
      </c>
      <c r="D13" s="6">
        <v>20206</v>
      </c>
      <c r="E13" s="6">
        <v>11011</v>
      </c>
      <c r="F13" s="6">
        <v>9818</v>
      </c>
      <c r="G13" s="6">
        <v>12990</v>
      </c>
      <c r="H13" s="6">
        <v>292710</v>
      </c>
      <c r="J13" s="74"/>
    </row>
    <row r="14" spans="2:10" x14ac:dyDescent="0.25">
      <c r="B14" s="12" t="s">
        <v>11</v>
      </c>
      <c r="C14" s="13">
        <v>16029</v>
      </c>
      <c r="D14" s="13">
        <v>20172</v>
      </c>
      <c r="E14" s="13">
        <v>10956</v>
      </c>
      <c r="F14" s="13">
        <v>9818</v>
      </c>
      <c r="G14" s="13">
        <v>12990</v>
      </c>
      <c r="H14" s="13">
        <v>292710</v>
      </c>
      <c r="J14" s="74"/>
    </row>
    <row r="15" spans="2:10" x14ac:dyDescent="0.25">
      <c r="B15" s="9" t="s">
        <v>12</v>
      </c>
      <c r="C15" s="10">
        <v>19</v>
      </c>
      <c r="D15" s="10">
        <v>34</v>
      </c>
      <c r="E15" s="10">
        <v>55</v>
      </c>
      <c r="F15" s="10"/>
      <c r="G15" s="18"/>
      <c r="H15" s="18"/>
      <c r="J15" s="74"/>
    </row>
    <row r="16" spans="2:10" x14ac:dyDescent="0.25">
      <c r="B16" s="7" t="s">
        <v>13</v>
      </c>
      <c r="C16" s="6">
        <v>135626</v>
      </c>
      <c r="D16" s="6">
        <v>133612</v>
      </c>
      <c r="E16" s="6">
        <v>138999</v>
      </c>
      <c r="F16" s="6">
        <v>164880</v>
      </c>
      <c r="G16" s="19"/>
      <c r="H16" s="19"/>
      <c r="J16" s="74"/>
    </row>
    <row r="17" spans="2:10" x14ac:dyDescent="0.25">
      <c r="B17" s="15" t="s">
        <v>19</v>
      </c>
      <c r="C17" s="16">
        <v>0</v>
      </c>
      <c r="D17" s="53">
        <v>115</v>
      </c>
      <c r="E17" s="53">
        <v>72</v>
      </c>
      <c r="F17" s="53">
        <v>128</v>
      </c>
      <c r="G17" s="16">
        <v>0</v>
      </c>
      <c r="H17" s="53">
        <v>152</v>
      </c>
      <c r="J17" s="74"/>
    </row>
    <row r="18" spans="2:10" x14ac:dyDescent="0.25">
      <c r="B18" s="22" t="s">
        <v>11</v>
      </c>
      <c r="C18" s="28">
        <v>0</v>
      </c>
      <c r="D18" s="23">
        <v>0</v>
      </c>
      <c r="E18" s="23">
        <v>0</v>
      </c>
      <c r="F18" s="23">
        <v>0</v>
      </c>
      <c r="G18" s="23">
        <v>0</v>
      </c>
      <c r="H18" s="24">
        <v>152</v>
      </c>
      <c r="J18" s="74"/>
    </row>
    <row r="19" spans="2:10" x14ac:dyDescent="0.25">
      <c r="B19" s="25" t="s">
        <v>12</v>
      </c>
      <c r="C19" s="29">
        <v>0</v>
      </c>
      <c r="D19" s="26">
        <v>0</v>
      </c>
      <c r="E19" s="26">
        <v>0</v>
      </c>
      <c r="F19" s="26"/>
      <c r="G19" s="26"/>
      <c r="H19" s="27"/>
      <c r="J19" s="74"/>
    </row>
    <row r="20" spans="2:10" x14ac:dyDescent="0.25">
      <c r="B20" s="25" t="s">
        <v>13</v>
      </c>
      <c r="C20" s="29">
        <v>0</v>
      </c>
      <c r="D20" s="26">
        <v>115</v>
      </c>
      <c r="E20" s="26">
        <v>72</v>
      </c>
      <c r="F20" s="26">
        <v>128</v>
      </c>
      <c r="G20" s="26"/>
      <c r="H20" s="27"/>
      <c r="J20" s="74"/>
    </row>
    <row r="21" spans="2:10" x14ac:dyDescent="0.25">
      <c r="B21" s="15" t="s">
        <v>299</v>
      </c>
      <c r="C21" s="16"/>
      <c r="D21" s="53">
        <v>1</v>
      </c>
      <c r="E21" s="53">
        <v>19</v>
      </c>
      <c r="F21" s="53">
        <v>88</v>
      </c>
      <c r="G21" s="16"/>
      <c r="H21" s="16"/>
      <c r="J21" s="74"/>
    </row>
    <row r="22" spans="2:10" x14ac:dyDescent="0.25">
      <c r="D22" s="21"/>
      <c r="E22" s="21"/>
      <c r="F22" s="21"/>
    </row>
    <row r="23" spans="2:10" ht="18.75" x14ac:dyDescent="0.3">
      <c r="B23" s="3" t="s">
        <v>1379</v>
      </c>
      <c r="C23" s="4"/>
      <c r="D23" s="4"/>
      <c r="E23" s="4"/>
      <c r="F23" s="4"/>
      <c r="G23" s="4"/>
      <c r="H23" s="4"/>
      <c r="I23" s="4"/>
      <c r="J23" s="4"/>
    </row>
    <row r="24" spans="2:10" x14ac:dyDescent="0.25"/>
    <row r="25" spans="2:10" ht="15.75" x14ac:dyDescent="0.25">
      <c r="B25" s="8" t="s">
        <v>14</v>
      </c>
      <c r="C25" s="8" t="s">
        <v>1</v>
      </c>
      <c r="D25" s="8" t="s">
        <v>2</v>
      </c>
      <c r="E25" s="8" t="s">
        <v>3</v>
      </c>
      <c r="F25" s="8" t="s">
        <v>4</v>
      </c>
      <c r="G25" s="8" t="s">
        <v>5</v>
      </c>
      <c r="H25" s="8" t="s">
        <v>6</v>
      </c>
      <c r="J25" s="74" t="s">
        <v>1491</v>
      </c>
    </row>
    <row r="26" spans="2:10" x14ac:dyDescent="0.25">
      <c r="B26" s="7" t="s">
        <v>10</v>
      </c>
      <c r="C26" s="6">
        <v>16048</v>
      </c>
      <c r="D26" s="6">
        <v>20206</v>
      </c>
      <c r="E26" s="6">
        <v>11011</v>
      </c>
      <c r="F26" s="6">
        <v>9818</v>
      </c>
      <c r="G26" s="6">
        <v>11915</v>
      </c>
      <c r="H26" s="6">
        <v>292557</v>
      </c>
      <c r="J26" s="75"/>
    </row>
    <row r="27" spans="2:10" x14ac:dyDescent="0.25">
      <c r="B27" s="12" t="s">
        <v>15</v>
      </c>
      <c r="C27" s="13">
        <v>16048</v>
      </c>
      <c r="D27" s="13">
        <v>20206</v>
      </c>
      <c r="E27" s="13">
        <v>11011</v>
      </c>
      <c r="F27" s="13">
        <v>9818</v>
      </c>
      <c r="G27" s="13">
        <v>11915</v>
      </c>
      <c r="H27" s="13">
        <v>292557</v>
      </c>
      <c r="J27" s="75"/>
    </row>
    <row r="28" spans="2:10" x14ac:dyDescent="0.25">
      <c r="B28" s="12" t="s">
        <v>20</v>
      </c>
      <c r="C28" s="17" t="s">
        <v>0</v>
      </c>
      <c r="D28" s="17" t="s">
        <v>0</v>
      </c>
      <c r="E28" s="17" t="s">
        <v>0</v>
      </c>
      <c r="F28" s="17" t="s">
        <v>0</v>
      </c>
      <c r="G28" s="20" t="s">
        <v>18</v>
      </c>
      <c r="H28" s="20" t="s">
        <v>18</v>
      </c>
      <c r="J28" s="75"/>
    </row>
    <row r="29" spans="2:10" x14ac:dyDescent="0.25">
      <c r="B29" s="15" t="s">
        <v>21</v>
      </c>
      <c r="C29" s="52">
        <v>0</v>
      </c>
      <c r="D29" s="52">
        <v>0</v>
      </c>
      <c r="E29" s="52">
        <v>0</v>
      </c>
      <c r="F29" s="52">
        <v>0</v>
      </c>
      <c r="G29" s="53">
        <f>+G13-G26</f>
        <v>1075</v>
      </c>
      <c r="H29" s="53">
        <f>+H13-H17-H26</f>
        <v>1</v>
      </c>
      <c r="J29" s="75"/>
    </row>
    <row r="30" spans="2:10" x14ac:dyDescent="0.25"/>
    <row r="31" spans="2:10" ht="18.75" x14ac:dyDescent="0.3">
      <c r="B31" s="3" t="s">
        <v>1380</v>
      </c>
      <c r="C31" s="4"/>
      <c r="D31" s="4"/>
      <c r="E31" s="4"/>
      <c r="F31" s="4"/>
      <c r="G31" s="4"/>
      <c r="H31" s="4"/>
      <c r="I31" s="4"/>
      <c r="J31" s="4"/>
    </row>
    <row r="32" spans="2:10" x14ac:dyDescent="0.25"/>
    <row r="33" spans="2:10" ht="15.75" x14ac:dyDescent="0.25">
      <c r="B33" s="8" t="s">
        <v>14</v>
      </c>
      <c r="C33" s="8" t="s">
        <v>1</v>
      </c>
      <c r="D33" s="8" t="s">
        <v>2</v>
      </c>
      <c r="E33" s="8" t="s">
        <v>3</v>
      </c>
      <c r="F33" s="8" t="s">
        <v>4</v>
      </c>
      <c r="G33" s="8" t="s">
        <v>5</v>
      </c>
      <c r="H33" s="8" t="s">
        <v>6</v>
      </c>
      <c r="J33" s="74" t="s">
        <v>1492</v>
      </c>
    </row>
    <row r="34" spans="2:10" x14ac:dyDescent="0.25">
      <c r="B34" s="37" t="s">
        <v>1381</v>
      </c>
      <c r="C34" s="38" t="s">
        <v>0</v>
      </c>
      <c r="D34" s="38" t="s">
        <v>0</v>
      </c>
      <c r="E34" s="38" t="s">
        <v>0</v>
      </c>
      <c r="F34" s="38" t="s">
        <v>0</v>
      </c>
      <c r="G34" s="38" t="s">
        <v>0</v>
      </c>
      <c r="H34" s="39" t="s">
        <v>18</v>
      </c>
      <c r="J34" s="75"/>
    </row>
    <row r="35" spans="2:10" x14ac:dyDescent="0.25">
      <c r="B35" s="40" t="s">
        <v>17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1</v>
      </c>
      <c r="J35" s="75"/>
    </row>
    <row r="36" spans="2:10" x14ac:dyDescent="0.25">
      <c r="B36" s="42" t="s">
        <v>299</v>
      </c>
      <c r="C36" s="43" t="s">
        <v>0</v>
      </c>
      <c r="D36" s="43" t="s">
        <v>0</v>
      </c>
      <c r="E36" s="44" t="s">
        <v>18</v>
      </c>
      <c r="F36" s="44" t="s">
        <v>18</v>
      </c>
      <c r="G36" s="43" t="s">
        <v>0</v>
      </c>
      <c r="H36" s="43" t="s">
        <v>0</v>
      </c>
      <c r="J36" s="75"/>
    </row>
    <row r="37" spans="2:10" x14ac:dyDescent="0.25">
      <c r="B37" s="40" t="s">
        <v>17</v>
      </c>
      <c r="C37" s="41">
        <v>0</v>
      </c>
      <c r="D37" s="41">
        <v>0</v>
      </c>
      <c r="E37" s="41">
        <v>19</v>
      </c>
      <c r="F37" s="41">
        <v>88</v>
      </c>
      <c r="G37" s="41">
        <v>0</v>
      </c>
      <c r="H37" s="41">
        <v>0</v>
      </c>
      <c r="J37" s="75"/>
    </row>
    <row r="38" spans="2:10" x14ac:dyDescent="0.25"/>
    <row r="39" spans="2:10" ht="18.75" x14ac:dyDescent="0.3">
      <c r="B39" s="3" t="s">
        <v>1493</v>
      </c>
      <c r="C39" s="4"/>
      <c r="D39" s="4"/>
      <c r="E39" s="4"/>
      <c r="F39" s="4"/>
      <c r="G39" s="4"/>
      <c r="H39" s="4"/>
      <c r="I39" s="4"/>
      <c r="J39" s="4"/>
    </row>
    <row r="40" spans="2:10" x14ac:dyDescent="0.25"/>
    <row r="41" spans="2:10" ht="15.75" x14ac:dyDescent="0.25">
      <c r="B41" s="8" t="s">
        <v>14</v>
      </c>
      <c r="C41" s="8" t="s">
        <v>1</v>
      </c>
      <c r="D41" s="8" t="s">
        <v>2</v>
      </c>
      <c r="E41" s="8" t="s">
        <v>3</v>
      </c>
      <c r="F41" s="8" t="s">
        <v>4</v>
      </c>
      <c r="G41" s="8" t="s">
        <v>5</v>
      </c>
      <c r="H41" s="8" t="s">
        <v>6</v>
      </c>
      <c r="J41" s="74" t="s">
        <v>8436</v>
      </c>
    </row>
    <row r="42" spans="2:10" x14ac:dyDescent="0.25">
      <c r="B42" s="37" t="s">
        <v>8435</v>
      </c>
      <c r="C42" s="38" t="s">
        <v>0</v>
      </c>
      <c r="D42" s="38" t="s">
        <v>0</v>
      </c>
      <c r="E42" s="38" t="s">
        <v>0</v>
      </c>
      <c r="F42" s="38" t="s">
        <v>0</v>
      </c>
      <c r="G42" s="39" t="s">
        <v>18</v>
      </c>
      <c r="H42" s="39" t="s">
        <v>18</v>
      </c>
      <c r="J42" s="75"/>
    </row>
    <row r="43" spans="2:10" x14ac:dyDescent="0.25">
      <c r="B43" s="40" t="s">
        <v>17</v>
      </c>
      <c r="C43" s="41">
        <v>0</v>
      </c>
      <c r="D43" s="41">
        <v>0</v>
      </c>
      <c r="E43" s="41">
        <v>0</v>
      </c>
      <c r="F43" s="41">
        <v>0</v>
      </c>
      <c r="G43" s="41">
        <v>7</v>
      </c>
      <c r="H43" s="41">
        <v>6933</v>
      </c>
      <c r="J43" s="75"/>
    </row>
    <row r="44" spans="2:10" x14ac:dyDescent="0.25"/>
    <row r="45" spans="2:10" ht="18.75" x14ac:dyDescent="0.3">
      <c r="B45" s="3" t="s">
        <v>10121</v>
      </c>
      <c r="C45" s="4"/>
      <c r="D45" s="4"/>
      <c r="E45" s="4"/>
      <c r="F45" s="4"/>
      <c r="G45" s="4"/>
      <c r="H45" s="4"/>
      <c r="I45" s="4"/>
      <c r="J45" s="4"/>
    </row>
    <row r="46" spans="2:10" x14ac:dyDescent="0.25"/>
    <row r="47" spans="2:10" ht="15.75" x14ac:dyDescent="0.25">
      <c r="B47" s="8" t="s">
        <v>14</v>
      </c>
      <c r="C47" s="8" t="s">
        <v>1</v>
      </c>
      <c r="D47" s="8" t="s">
        <v>2</v>
      </c>
      <c r="E47" s="8" t="s">
        <v>3</v>
      </c>
      <c r="F47" s="8" t="s">
        <v>4</v>
      </c>
      <c r="G47" s="8" t="s">
        <v>5</v>
      </c>
      <c r="H47" s="8" t="s">
        <v>6</v>
      </c>
      <c r="J47" s="74" t="s">
        <v>10123</v>
      </c>
    </row>
    <row r="48" spans="2:10" x14ac:dyDescent="0.25">
      <c r="B48" s="37" t="s">
        <v>10122</v>
      </c>
      <c r="C48" s="38" t="s">
        <v>0</v>
      </c>
      <c r="D48" s="38" t="s">
        <v>0</v>
      </c>
      <c r="E48" s="38" t="s">
        <v>0</v>
      </c>
      <c r="F48" s="38" t="s">
        <v>0</v>
      </c>
      <c r="G48" s="39" t="s">
        <v>18</v>
      </c>
      <c r="H48" s="39" t="s">
        <v>18</v>
      </c>
      <c r="J48" s="75"/>
    </row>
    <row r="49" spans="2:10" x14ac:dyDescent="0.25">
      <c r="B49" s="7" t="s">
        <v>13</v>
      </c>
      <c r="C49" s="41">
        <v>0</v>
      </c>
      <c r="D49" s="41">
        <v>0</v>
      </c>
      <c r="E49" s="41">
        <v>0</v>
      </c>
      <c r="F49" s="41">
        <v>0</v>
      </c>
      <c r="G49" s="41">
        <v>7</v>
      </c>
      <c r="H49" s="41">
        <v>6933</v>
      </c>
      <c r="J49" s="75"/>
    </row>
    <row r="50" spans="2:10" x14ac:dyDescent="0.25"/>
  </sheetData>
  <mergeCells count="5">
    <mergeCell ref="J47:J49"/>
    <mergeCell ref="J25:J29"/>
    <mergeCell ref="J9:J21"/>
    <mergeCell ref="J33:J37"/>
    <mergeCell ref="J41:J4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showGridLines="0" zoomScale="90" zoomScaleNormal="90" workbookViewId="0">
      <pane ySplit="9" topLeftCell="A10" activePane="bottomLeft" state="frozen"/>
      <selection pane="bottomLeft"/>
    </sheetView>
  </sheetViews>
  <sheetFormatPr defaultColWidth="0" defaultRowHeight="15" zeroHeight="1" x14ac:dyDescent="0.25"/>
  <cols>
    <col min="1" max="1" width="3.7109375" customWidth="1"/>
    <col min="2" max="2" width="9.140625" customWidth="1"/>
    <col min="3" max="3" width="39.140625" bestFit="1" customWidth="1"/>
    <col min="4" max="4" width="47.28515625" bestFit="1" customWidth="1"/>
    <col min="5" max="5" width="16" bestFit="1" customWidth="1"/>
    <col min="6" max="6" width="85" bestFit="1" customWidth="1"/>
    <col min="7" max="7" width="85.85546875" customWidth="1"/>
    <col min="8" max="8" width="3.7109375" customWidth="1"/>
    <col min="9" max="11" width="0" hidden="1" customWidth="1"/>
    <col min="12" max="16384" width="9.140625" hidden="1"/>
  </cols>
  <sheetData>
    <row r="1" spans="1:8" x14ac:dyDescent="0.25">
      <c r="A1" s="2"/>
      <c r="B1" s="2"/>
      <c r="C1" s="2"/>
      <c r="D1" s="2"/>
      <c r="E1" s="2"/>
      <c r="F1" s="2"/>
      <c r="G1" s="2"/>
      <c r="H1" s="2"/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2"/>
      <c r="B3" s="2"/>
      <c r="C3" s="2"/>
      <c r="D3" s="2"/>
      <c r="E3" s="2"/>
      <c r="F3" s="2"/>
      <c r="G3" s="2"/>
      <c r="H3" s="2"/>
    </row>
    <row r="4" spans="1:8" x14ac:dyDescent="0.25">
      <c r="A4" s="2"/>
      <c r="B4" s="2"/>
      <c r="C4" s="2"/>
      <c r="D4" s="2"/>
      <c r="E4" s="2"/>
      <c r="F4" s="2"/>
      <c r="G4" s="2"/>
      <c r="H4" s="2"/>
    </row>
    <row r="5" spans="1:8" ht="3" customHeight="1" x14ac:dyDescent="0.25">
      <c r="A5" s="1"/>
      <c r="B5" s="1"/>
      <c r="C5" s="1"/>
      <c r="D5" s="1"/>
      <c r="E5" s="1"/>
      <c r="F5" s="1"/>
      <c r="G5" s="1"/>
      <c r="H5" s="1"/>
    </row>
    <row r="6" spans="1:8" x14ac:dyDescent="0.25"/>
    <row r="7" spans="1:8" x14ac:dyDescent="0.25">
      <c r="B7" s="73" t="s">
        <v>11433</v>
      </c>
    </row>
    <row r="8" spans="1:8" x14ac:dyDescent="0.25"/>
    <row r="9" spans="1:8" ht="31.5" customHeight="1" x14ac:dyDescent="0.25">
      <c r="B9" s="64" t="s">
        <v>10039</v>
      </c>
      <c r="C9" s="64" t="s">
        <v>10119</v>
      </c>
      <c r="D9" s="64" t="s">
        <v>10131</v>
      </c>
      <c r="E9" s="64" t="s">
        <v>17</v>
      </c>
      <c r="F9" s="64" t="s">
        <v>10132</v>
      </c>
      <c r="G9" s="64" t="s">
        <v>10120</v>
      </c>
    </row>
    <row r="10" spans="1:8" ht="409.5" x14ac:dyDescent="0.25">
      <c r="B10" s="65" t="s">
        <v>10108</v>
      </c>
      <c r="C10" s="66" t="s">
        <v>10097</v>
      </c>
      <c r="D10" s="67" t="s">
        <v>10130</v>
      </c>
      <c r="E10" s="68" t="s">
        <v>10130</v>
      </c>
      <c r="F10" s="69" t="s">
        <v>10125</v>
      </c>
      <c r="G10" s="69" t="s">
        <v>11425</v>
      </c>
    </row>
    <row r="11" spans="1:8" ht="60" x14ac:dyDescent="0.25">
      <c r="B11" s="65" t="s">
        <v>10109</v>
      </c>
      <c r="C11" s="66" t="s">
        <v>10098</v>
      </c>
      <c r="D11" s="70" t="s">
        <v>10038</v>
      </c>
      <c r="E11" s="71">
        <v>292710</v>
      </c>
      <c r="F11" s="69" t="s">
        <v>10124</v>
      </c>
      <c r="G11" s="69" t="s">
        <v>11426</v>
      </c>
    </row>
    <row r="12" spans="1:8" ht="45" x14ac:dyDescent="0.25">
      <c r="B12" s="65" t="s">
        <v>10110</v>
      </c>
      <c r="C12" s="66" t="s">
        <v>10099</v>
      </c>
      <c r="D12" s="70" t="s">
        <v>10046</v>
      </c>
      <c r="E12" s="71">
        <v>12990</v>
      </c>
      <c r="F12" s="69" t="s">
        <v>10126</v>
      </c>
      <c r="G12" s="69" t="s">
        <v>11427</v>
      </c>
    </row>
    <row r="13" spans="1:8" ht="120" x14ac:dyDescent="0.25">
      <c r="B13" s="65" t="s">
        <v>10111</v>
      </c>
      <c r="C13" s="66" t="s">
        <v>10100</v>
      </c>
      <c r="D13" s="70" t="s">
        <v>10047</v>
      </c>
      <c r="E13" s="71">
        <v>9818</v>
      </c>
      <c r="F13" s="69" t="s">
        <v>10048</v>
      </c>
      <c r="G13" s="69" t="s">
        <v>11428</v>
      </c>
    </row>
    <row r="14" spans="1:8" ht="150" x14ac:dyDescent="0.25">
      <c r="B14" s="65" t="s">
        <v>10112</v>
      </c>
      <c r="C14" s="66" t="s">
        <v>10101</v>
      </c>
      <c r="D14" s="70" t="s">
        <v>10049</v>
      </c>
      <c r="E14" s="71">
        <v>164753</v>
      </c>
      <c r="F14" s="69" t="s">
        <v>10127</v>
      </c>
      <c r="G14" s="69" t="s">
        <v>11429</v>
      </c>
    </row>
    <row r="15" spans="1:8" ht="45" x14ac:dyDescent="0.25">
      <c r="B15" s="65" t="s">
        <v>10113</v>
      </c>
      <c r="C15" s="66" t="s">
        <v>10102</v>
      </c>
      <c r="D15" s="70" t="s">
        <v>10089</v>
      </c>
      <c r="E15" s="71">
        <v>11011</v>
      </c>
      <c r="F15" s="69" t="s">
        <v>10090</v>
      </c>
      <c r="G15" s="69" t="s">
        <v>11430</v>
      </c>
    </row>
    <row r="16" spans="1:8" ht="165" x14ac:dyDescent="0.25">
      <c r="B16" s="65" t="s">
        <v>10114</v>
      </c>
      <c r="C16" s="66" t="s">
        <v>10103</v>
      </c>
      <c r="D16" s="70" t="s">
        <v>10088</v>
      </c>
      <c r="E16" s="71">
        <v>138928</v>
      </c>
      <c r="F16" s="69" t="s">
        <v>10128</v>
      </c>
      <c r="G16" s="69" t="s">
        <v>11431</v>
      </c>
    </row>
    <row r="17" spans="2:7" ht="45" x14ac:dyDescent="0.25">
      <c r="B17" s="65" t="s">
        <v>10115</v>
      </c>
      <c r="C17" s="66" t="s">
        <v>10104</v>
      </c>
      <c r="D17" s="70" t="s">
        <v>10091</v>
      </c>
      <c r="E17" s="71">
        <v>20206</v>
      </c>
      <c r="F17" s="69" t="s">
        <v>10093</v>
      </c>
      <c r="G17" s="69" t="s">
        <v>11432</v>
      </c>
    </row>
    <row r="18" spans="2:7" ht="165" x14ac:dyDescent="0.25">
      <c r="B18" s="65" t="s">
        <v>10116</v>
      </c>
      <c r="C18" s="66" t="s">
        <v>10105</v>
      </c>
      <c r="D18" s="70" t="s">
        <v>10092</v>
      </c>
      <c r="E18" s="71">
        <v>133498</v>
      </c>
      <c r="F18" s="69" t="s">
        <v>10129</v>
      </c>
      <c r="G18" s="69" t="s">
        <v>10096</v>
      </c>
    </row>
    <row r="19" spans="2:7" x14ac:dyDescent="0.25">
      <c r="B19" s="65" t="s">
        <v>10117</v>
      </c>
      <c r="C19" s="66" t="s">
        <v>10106</v>
      </c>
      <c r="D19" s="70" t="s">
        <v>10094</v>
      </c>
      <c r="E19" s="71">
        <v>16048</v>
      </c>
      <c r="F19" s="72" t="s">
        <v>10130</v>
      </c>
      <c r="G19" s="72" t="s">
        <v>10130</v>
      </c>
    </row>
    <row r="20" spans="2:7" x14ac:dyDescent="0.25">
      <c r="B20" s="65" t="s">
        <v>10118</v>
      </c>
      <c r="C20" s="66" t="s">
        <v>10107</v>
      </c>
      <c r="D20" s="70" t="s">
        <v>10095</v>
      </c>
      <c r="E20" s="71">
        <v>135626</v>
      </c>
      <c r="F20" s="72" t="s">
        <v>10130</v>
      </c>
      <c r="G20" s="72" t="s">
        <v>10130</v>
      </c>
    </row>
    <row r="21" spans="2:7" x14ac:dyDescent="0.25">
      <c r="E21" s="21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8:J50"/>
  <sheetViews>
    <sheetView showGridLines="0" workbookViewId="0">
      <selection activeCell="C50" sqref="C50:D50"/>
    </sheetView>
  </sheetViews>
  <sheetFormatPr defaultRowHeight="15" x14ac:dyDescent="0.25"/>
  <sheetData>
    <row r="48" spans="6:10" ht="409.5" x14ac:dyDescent="0.25">
      <c r="F48" s="5" t="s">
        <v>10040</v>
      </c>
      <c r="J48" s="55" t="s">
        <v>10045</v>
      </c>
    </row>
    <row r="49" spans="2:10" ht="150" x14ac:dyDescent="0.25">
      <c r="B49" t="s">
        <v>10042</v>
      </c>
      <c r="F49" s="54" t="s">
        <v>10041</v>
      </c>
      <c r="G49" s="54"/>
      <c r="H49" s="54"/>
      <c r="I49" s="54"/>
      <c r="J49" s="55"/>
    </row>
    <row r="50" spans="2:10" ht="195" x14ac:dyDescent="0.25">
      <c r="B50" t="s">
        <v>10043</v>
      </c>
      <c r="F50" s="54" t="s">
        <v>10044</v>
      </c>
      <c r="G50" s="54"/>
      <c r="H50" s="54"/>
      <c r="I50" s="54"/>
      <c r="J50" s="5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6"/>
  <sheetViews>
    <sheetView showGridLines="0" workbookViewId="0"/>
  </sheetViews>
  <sheetFormatPr defaultColWidth="0" defaultRowHeight="15" zeroHeight="1" x14ac:dyDescent="0.25"/>
  <cols>
    <col min="1" max="1" width="3.7109375" customWidth="1"/>
    <col min="2" max="2" width="74.85546875" customWidth="1"/>
    <col min="3" max="6" width="20.7109375" customWidth="1"/>
    <col min="7" max="7" width="3.7109375" customWidth="1"/>
    <col min="8" max="10" width="0" hidden="1" customWidth="1"/>
    <col min="11" max="16384" width="9.140625" hidden="1"/>
  </cols>
  <sheetData>
    <row r="1" spans="2:8" x14ac:dyDescent="0.25"/>
    <row r="2" spans="2:8" x14ac:dyDescent="0.25">
      <c r="B2" s="36" t="s">
        <v>183</v>
      </c>
      <c r="C2" s="35">
        <f>+COUNTIF($C$4:$C$155,"Sim")</f>
        <v>152</v>
      </c>
      <c r="D2" s="35">
        <f>+COUNTIF($D$4:$D$155,"Sim")</f>
        <v>128</v>
      </c>
      <c r="E2" s="35">
        <f>+COUNTIF($E$4:$E$155,"Sim")</f>
        <v>72</v>
      </c>
      <c r="F2" s="35">
        <f>+COUNTIF($F$4:$F$155,"Sim")</f>
        <v>115</v>
      </c>
    </row>
    <row r="3" spans="2:8" x14ac:dyDescent="0.25">
      <c r="B3" s="34" t="s">
        <v>178</v>
      </c>
      <c r="C3" s="34" t="s">
        <v>179</v>
      </c>
      <c r="D3" s="34" t="s">
        <v>180</v>
      </c>
      <c r="E3" s="34" t="s">
        <v>181</v>
      </c>
      <c r="F3" s="34" t="s">
        <v>182</v>
      </c>
    </row>
    <row r="4" spans="2:8" x14ac:dyDescent="0.25">
      <c r="B4" s="32" t="s">
        <v>23</v>
      </c>
      <c r="C4" s="32" t="s">
        <v>176</v>
      </c>
      <c r="D4" s="33" t="s">
        <v>176</v>
      </c>
      <c r="E4" s="33" t="s">
        <v>176</v>
      </c>
      <c r="F4" s="33" t="s">
        <v>176</v>
      </c>
    </row>
    <row r="5" spans="2:8" x14ac:dyDescent="0.25">
      <c r="B5" s="32" t="s">
        <v>24</v>
      </c>
      <c r="C5" s="32" t="s">
        <v>176</v>
      </c>
      <c r="D5" s="33" t="s">
        <v>176</v>
      </c>
      <c r="E5" s="33" t="s">
        <v>177</v>
      </c>
      <c r="F5" s="33" t="s">
        <v>177</v>
      </c>
    </row>
    <row r="6" spans="2:8" x14ac:dyDescent="0.25">
      <c r="B6" s="32" t="s">
        <v>25</v>
      </c>
      <c r="C6" s="32" t="s">
        <v>176</v>
      </c>
      <c r="D6" s="33" t="s">
        <v>176</v>
      </c>
      <c r="E6" s="33" t="s">
        <v>176</v>
      </c>
      <c r="F6" s="33" t="s">
        <v>176</v>
      </c>
    </row>
    <row r="7" spans="2:8" x14ac:dyDescent="0.25">
      <c r="B7" s="32" t="s">
        <v>26</v>
      </c>
      <c r="C7" s="32" t="s">
        <v>176</v>
      </c>
      <c r="D7" s="33" t="s">
        <v>176</v>
      </c>
      <c r="E7" s="33" t="s">
        <v>176</v>
      </c>
      <c r="F7" s="33" t="s">
        <v>176</v>
      </c>
    </row>
    <row r="8" spans="2:8" x14ac:dyDescent="0.25">
      <c r="B8" s="32" t="s">
        <v>27</v>
      </c>
      <c r="C8" s="32" t="s">
        <v>176</v>
      </c>
      <c r="D8" s="33" t="s">
        <v>176</v>
      </c>
      <c r="E8" s="33" t="s">
        <v>176</v>
      </c>
      <c r="F8" s="33" t="s">
        <v>176</v>
      </c>
    </row>
    <row r="9" spans="2:8" x14ac:dyDescent="0.25">
      <c r="B9" s="32" t="s">
        <v>28</v>
      </c>
      <c r="C9" s="32" t="s">
        <v>176</v>
      </c>
      <c r="D9" s="33" t="s">
        <v>176</v>
      </c>
      <c r="E9" s="33" t="s">
        <v>177</v>
      </c>
      <c r="F9" s="33" t="s">
        <v>176</v>
      </c>
    </row>
    <row r="10" spans="2:8" x14ac:dyDescent="0.25">
      <c r="B10" s="32" t="s">
        <v>29</v>
      </c>
      <c r="C10" s="32" t="s">
        <v>176</v>
      </c>
      <c r="D10" s="33" t="s">
        <v>176</v>
      </c>
      <c r="E10" s="33" t="s">
        <v>177</v>
      </c>
      <c r="F10" s="33" t="s">
        <v>176</v>
      </c>
    </row>
    <row r="11" spans="2:8" x14ac:dyDescent="0.25">
      <c r="B11" s="32" t="s">
        <v>30</v>
      </c>
      <c r="C11" s="32" t="s">
        <v>176</v>
      </c>
      <c r="D11" s="33" t="s">
        <v>176</v>
      </c>
      <c r="E11" s="33" t="s">
        <v>177</v>
      </c>
      <c r="F11" s="33" t="s">
        <v>176</v>
      </c>
    </row>
    <row r="12" spans="2:8" x14ac:dyDescent="0.25">
      <c r="B12" s="32" t="s">
        <v>31</v>
      </c>
      <c r="C12" s="32" t="s">
        <v>176</v>
      </c>
      <c r="D12" s="33" t="s">
        <v>177</v>
      </c>
      <c r="E12" s="33" t="s">
        <v>177</v>
      </c>
      <c r="F12" s="33" t="s">
        <v>177</v>
      </c>
    </row>
    <row r="13" spans="2:8" x14ac:dyDescent="0.25">
      <c r="B13" s="32" t="s">
        <v>32</v>
      </c>
      <c r="C13" s="32" t="s">
        <v>176</v>
      </c>
      <c r="D13" s="33" t="s">
        <v>176</v>
      </c>
      <c r="E13" s="33" t="s">
        <v>177</v>
      </c>
      <c r="F13" s="33" t="s">
        <v>177</v>
      </c>
    </row>
    <row r="14" spans="2:8" x14ac:dyDescent="0.25">
      <c r="B14" s="32" t="s">
        <v>33</v>
      </c>
      <c r="C14" s="32" t="s">
        <v>176</v>
      </c>
      <c r="D14" s="33" t="s">
        <v>176</v>
      </c>
      <c r="E14" s="33" t="s">
        <v>176</v>
      </c>
      <c r="F14" s="33" t="s">
        <v>176</v>
      </c>
    </row>
    <row r="15" spans="2:8" x14ac:dyDescent="0.25">
      <c r="B15" s="32" t="s">
        <v>34</v>
      </c>
      <c r="C15" s="32" t="s">
        <v>176</v>
      </c>
      <c r="D15" s="33" t="s">
        <v>176</v>
      </c>
      <c r="E15" s="33" t="s">
        <v>176</v>
      </c>
      <c r="F15" s="33" t="s">
        <v>177</v>
      </c>
      <c r="H15" s="30"/>
    </row>
    <row r="16" spans="2:8" x14ac:dyDescent="0.25">
      <c r="B16" s="32" t="s">
        <v>35</v>
      </c>
      <c r="C16" s="32" t="s">
        <v>176</v>
      </c>
      <c r="D16" s="33" t="s">
        <v>176</v>
      </c>
      <c r="E16" s="33" t="s">
        <v>177</v>
      </c>
      <c r="F16" s="33" t="s">
        <v>177</v>
      </c>
    </row>
    <row r="17" spans="2:7" x14ac:dyDescent="0.25">
      <c r="B17" s="32" t="s">
        <v>36</v>
      </c>
      <c r="C17" s="32" t="s">
        <v>176</v>
      </c>
      <c r="D17" s="33" t="s">
        <v>177</v>
      </c>
      <c r="E17" s="33" t="s">
        <v>177</v>
      </c>
      <c r="F17" s="33" t="s">
        <v>177</v>
      </c>
    </row>
    <row r="18" spans="2:7" x14ac:dyDescent="0.25">
      <c r="B18" s="32" t="s">
        <v>37</v>
      </c>
      <c r="C18" s="32" t="s">
        <v>176</v>
      </c>
      <c r="D18" s="33" t="s">
        <v>176</v>
      </c>
      <c r="E18" s="33" t="s">
        <v>177</v>
      </c>
      <c r="F18" s="33" t="s">
        <v>177</v>
      </c>
    </row>
    <row r="19" spans="2:7" x14ac:dyDescent="0.25">
      <c r="B19" s="32" t="s">
        <v>38</v>
      </c>
      <c r="C19" s="32" t="s">
        <v>176</v>
      </c>
      <c r="D19" s="33" t="s">
        <v>177</v>
      </c>
      <c r="E19" s="33" t="s">
        <v>177</v>
      </c>
      <c r="F19" s="33" t="s">
        <v>177</v>
      </c>
    </row>
    <row r="20" spans="2:7" x14ac:dyDescent="0.25">
      <c r="B20" s="32" t="s">
        <v>39</v>
      </c>
      <c r="C20" s="32" t="s">
        <v>176</v>
      </c>
      <c r="D20" s="33" t="s">
        <v>176</v>
      </c>
      <c r="E20" s="33" t="s">
        <v>176</v>
      </c>
      <c r="F20" s="33" t="s">
        <v>176</v>
      </c>
      <c r="G20" s="30"/>
    </row>
    <row r="21" spans="2:7" x14ac:dyDescent="0.25">
      <c r="B21" s="32" t="s">
        <v>40</v>
      </c>
      <c r="C21" s="32" t="s">
        <v>176</v>
      </c>
      <c r="D21" s="33" t="s">
        <v>177</v>
      </c>
      <c r="E21" s="33" t="s">
        <v>177</v>
      </c>
      <c r="F21" s="33" t="s">
        <v>177</v>
      </c>
    </row>
    <row r="22" spans="2:7" x14ac:dyDescent="0.25">
      <c r="B22" s="32" t="s">
        <v>41</v>
      </c>
      <c r="C22" s="32" t="s">
        <v>176</v>
      </c>
      <c r="D22" s="33" t="s">
        <v>176</v>
      </c>
      <c r="E22" s="33" t="s">
        <v>177</v>
      </c>
      <c r="F22" s="33" t="s">
        <v>177</v>
      </c>
    </row>
    <row r="23" spans="2:7" x14ac:dyDescent="0.25">
      <c r="B23" s="32" t="s">
        <v>42</v>
      </c>
      <c r="C23" s="32" t="s">
        <v>176</v>
      </c>
      <c r="D23" s="33" t="s">
        <v>176</v>
      </c>
      <c r="E23" s="33" t="s">
        <v>177</v>
      </c>
      <c r="F23" s="33" t="s">
        <v>176</v>
      </c>
    </row>
    <row r="24" spans="2:7" x14ac:dyDescent="0.25">
      <c r="B24" s="32" t="s">
        <v>43</v>
      </c>
      <c r="C24" s="32" t="s">
        <v>176</v>
      </c>
      <c r="D24" s="33" t="s">
        <v>176</v>
      </c>
      <c r="E24" s="33" t="s">
        <v>176</v>
      </c>
      <c r="F24" s="33" t="s">
        <v>176</v>
      </c>
    </row>
    <row r="25" spans="2:7" x14ac:dyDescent="0.25">
      <c r="B25" s="32" t="s">
        <v>44</v>
      </c>
      <c r="C25" s="32" t="s">
        <v>176</v>
      </c>
      <c r="D25" s="33" t="s">
        <v>176</v>
      </c>
      <c r="E25" s="33" t="s">
        <v>177</v>
      </c>
      <c r="F25" s="33" t="s">
        <v>176</v>
      </c>
    </row>
    <row r="26" spans="2:7" x14ac:dyDescent="0.25">
      <c r="B26" s="32" t="s">
        <v>45</v>
      </c>
      <c r="C26" s="32" t="s">
        <v>176</v>
      </c>
      <c r="D26" s="33" t="s">
        <v>176</v>
      </c>
      <c r="E26" s="33" t="s">
        <v>177</v>
      </c>
      <c r="F26" s="33" t="s">
        <v>176</v>
      </c>
    </row>
    <row r="27" spans="2:7" x14ac:dyDescent="0.25">
      <c r="B27" s="32" t="s">
        <v>46</v>
      </c>
      <c r="C27" s="32" t="s">
        <v>176</v>
      </c>
      <c r="D27" s="33" t="s">
        <v>176</v>
      </c>
      <c r="E27" s="33" t="s">
        <v>177</v>
      </c>
      <c r="F27" s="33" t="s">
        <v>176</v>
      </c>
    </row>
    <row r="28" spans="2:7" x14ac:dyDescent="0.25">
      <c r="B28" s="32" t="s">
        <v>47</v>
      </c>
      <c r="C28" s="32" t="s">
        <v>176</v>
      </c>
      <c r="D28" s="33" t="s">
        <v>176</v>
      </c>
      <c r="E28" s="33" t="s">
        <v>177</v>
      </c>
      <c r="F28" s="33" t="s">
        <v>176</v>
      </c>
    </row>
    <row r="29" spans="2:7" x14ac:dyDescent="0.25">
      <c r="B29" s="32" t="s">
        <v>48</v>
      </c>
      <c r="C29" s="32" t="s">
        <v>176</v>
      </c>
      <c r="D29" s="33" t="s">
        <v>176</v>
      </c>
      <c r="E29" s="33" t="s">
        <v>176</v>
      </c>
      <c r="F29" s="33" t="s">
        <v>176</v>
      </c>
    </row>
    <row r="30" spans="2:7" x14ac:dyDescent="0.25">
      <c r="B30" s="32" t="s">
        <v>49</v>
      </c>
      <c r="C30" s="32" t="s">
        <v>176</v>
      </c>
      <c r="D30" s="33" t="s">
        <v>177</v>
      </c>
      <c r="E30" s="33" t="s">
        <v>177</v>
      </c>
      <c r="F30" s="33" t="s">
        <v>177</v>
      </c>
    </row>
    <row r="31" spans="2:7" x14ac:dyDescent="0.25">
      <c r="B31" s="32" t="s">
        <v>50</v>
      </c>
      <c r="C31" s="32" t="s">
        <v>176</v>
      </c>
      <c r="D31" s="33" t="s">
        <v>176</v>
      </c>
      <c r="E31" s="33" t="s">
        <v>176</v>
      </c>
      <c r="F31" s="33" t="s">
        <v>176</v>
      </c>
    </row>
    <row r="32" spans="2:7" x14ac:dyDescent="0.25">
      <c r="B32" s="32" t="s">
        <v>51</v>
      </c>
      <c r="C32" s="32" t="s">
        <v>176</v>
      </c>
      <c r="D32" s="33" t="s">
        <v>177</v>
      </c>
      <c r="E32" s="33" t="s">
        <v>177</v>
      </c>
      <c r="F32" s="33" t="s">
        <v>177</v>
      </c>
    </row>
    <row r="33" spans="2:8" x14ac:dyDescent="0.25">
      <c r="B33" s="32" t="s">
        <v>52</v>
      </c>
      <c r="C33" s="32" t="s">
        <v>176</v>
      </c>
      <c r="D33" s="33" t="s">
        <v>176</v>
      </c>
      <c r="E33" s="33" t="s">
        <v>176</v>
      </c>
      <c r="F33" s="33" t="s">
        <v>176</v>
      </c>
    </row>
    <row r="34" spans="2:8" x14ac:dyDescent="0.25">
      <c r="B34" s="32" t="s">
        <v>53</v>
      </c>
      <c r="C34" s="32" t="s">
        <v>176</v>
      </c>
      <c r="D34" s="33" t="s">
        <v>176</v>
      </c>
      <c r="E34" s="33" t="s">
        <v>176</v>
      </c>
      <c r="F34" s="33" t="s">
        <v>176</v>
      </c>
    </row>
    <row r="35" spans="2:8" x14ac:dyDescent="0.25">
      <c r="B35" s="32" t="s">
        <v>54</v>
      </c>
      <c r="C35" s="32" t="s">
        <v>176</v>
      </c>
      <c r="D35" s="33" t="s">
        <v>176</v>
      </c>
      <c r="E35" s="33" t="s">
        <v>177</v>
      </c>
      <c r="F35" s="33" t="s">
        <v>176</v>
      </c>
    </row>
    <row r="36" spans="2:8" x14ac:dyDescent="0.25">
      <c r="B36" s="32" t="s">
        <v>55</v>
      </c>
      <c r="C36" s="32" t="s">
        <v>176</v>
      </c>
      <c r="D36" s="33" t="s">
        <v>176</v>
      </c>
      <c r="E36" s="33" t="s">
        <v>177</v>
      </c>
      <c r="F36" s="33" t="s">
        <v>176</v>
      </c>
    </row>
    <row r="37" spans="2:8" x14ac:dyDescent="0.25">
      <c r="B37" s="32" t="s">
        <v>56</v>
      </c>
      <c r="C37" s="32" t="s">
        <v>176</v>
      </c>
      <c r="D37" s="33" t="s">
        <v>176</v>
      </c>
      <c r="E37" s="33" t="s">
        <v>176</v>
      </c>
      <c r="F37" s="33" t="s">
        <v>176</v>
      </c>
    </row>
    <row r="38" spans="2:8" x14ac:dyDescent="0.25">
      <c r="B38" s="32" t="s">
        <v>57</v>
      </c>
      <c r="C38" s="32" t="s">
        <v>176</v>
      </c>
      <c r="D38" s="33" t="s">
        <v>176</v>
      </c>
      <c r="E38" s="33" t="s">
        <v>176</v>
      </c>
      <c r="F38" s="33" t="s">
        <v>176</v>
      </c>
      <c r="H38" s="30"/>
    </row>
    <row r="39" spans="2:8" x14ac:dyDescent="0.25">
      <c r="B39" s="32" t="s">
        <v>58</v>
      </c>
      <c r="C39" s="32" t="s">
        <v>176</v>
      </c>
      <c r="D39" s="33" t="s">
        <v>176</v>
      </c>
      <c r="E39" s="33" t="s">
        <v>177</v>
      </c>
      <c r="F39" s="33" t="s">
        <v>176</v>
      </c>
    </row>
    <row r="40" spans="2:8" x14ac:dyDescent="0.25">
      <c r="B40" s="32" t="s">
        <v>59</v>
      </c>
      <c r="C40" s="32" t="s">
        <v>176</v>
      </c>
      <c r="D40" s="33" t="s">
        <v>177</v>
      </c>
      <c r="E40" s="33" t="s">
        <v>177</v>
      </c>
      <c r="F40" s="33" t="s">
        <v>177</v>
      </c>
    </row>
    <row r="41" spans="2:8" x14ac:dyDescent="0.25">
      <c r="B41" s="32" t="s">
        <v>60</v>
      </c>
      <c r="C41" s="32" t="s">
        <v>176</v>
      </c>
      <c r="D41" s="33" t="s">
        <v>176</v>
      </c>
      <c r="E41" s="33" t="s">
        <v>177</v>
      </c>
      <c r="F41" s="33" t="s">
        <v>176</v>
      </c>
    </row>
    <row r="42" spans="2:8" x14ac:dyDescent="0.25">
      <c r="B42" s="32" t="s">
        <v>61</v>
      </c>
      <c r="C42" s="32" t="s">
        <v>176</v>
      </c>
      <c r="D42" s="33" t="s">
        <v>176</v>
      </c>
      <c r="E42" s="33" t="s">
        <v>177</v>
      </c>
      <c r="F42" s="33" t="s">
        <v>176</v>
      </c>
    </row>
    <row r="43" spans="2:8" x14ac:dyDescent="0.25">
      <c r="B43" s="32" t="s">
        <v>62</v>
      </c>
      <c r="C43" s="32" t="s">
        <v>176</v>
      </c>
      <c r="D43" s="33" t="s">
        <v>176</v>
      </c>
      <c r="E43" s="33" t="s">
        <v>177</v>
      </c>
      <c r="F43" s="33" t="s">
        <v>176</v>
      </c>
    </row>
    <row r="44" spans="2:8" x14ac:dyDescent="0.25">
      <c r="B44" s="32" t="s">
        <v>63</v>
      </c>
      <c r="C44" s="32" t="s">
        <v>176</v>
      </c>
      <c r="D44" s="33" t="s">
        <v>177</v>
      </c>
      <c r="E44" s="33" t="s">
        <v>177</v>
      </c>
      <c r="F44" s="33" t="s">
        <v>177</v>
      </c>
    </row>
    <row r="45" spans="2:8" x14ac:dyDescent="0.25">
      <c r="B45" s="32" t="s">
        <v>64</v>
      </c>
      <c r="C45" s="32" t="s">
        <v>176</v>
      </c>
      <c r="D45" s="33" t="s">
        <v>176</v>
      </c>
      <c r="E45" s="33" t="s">
        <v>176</v>
      </c>
      <c r="F45" s="33" t="s">
        <v>176</v>
      </c>
    </row>
    <row r="46" spans="2:8" x14ac:dyDescent="0.25">
      <c r="B46" s="32" t="s">
        <v>65</v>
      </c>
      <c r="C46" s="32" t="s">
        <v>176</v>
      </c>
      <c r="D46" s="33" t="s">
        <v>176</v>
      </c>
      <c r="E46" s="33" t="s">
        <v>176</v>
      </c>
      <c r="F46" s="33" t="s">
        <v>176</v>
      </c>
    </row>
    <row r="47" spans="2:8" x14ac:dyDescent="0.25">
      <c r="B47" s="32" t="s">
        <v>66</v>
      </c>
      <c r="C47" s="32" t="s">
        <v>176</v>
      </c>
      <c r="D47" s="33" t="s">
        <v>177</v>
      </c>
      <c r="E47" s="33" t="s">
        <v>177</v>
      </c>
      <c r="F47" s="33" t="s">
        <v>177</v>
      </c>
    </row>
    <row r="48" spans="2:8" x14ac:dyDescent="0.25">
      <c r="B48" s="32" t="s">
        <v>67</v>
      </c>
      <c r="C48" s="32" t="s">
        <v>176</v>
      </c>
      <c r="D48" s="33" t="s">
        <v>176</v>
      </c>
      <c r="E48" s="33" t="s">
        <v>176</v>
      </c>
      <c r="F48" s="33" t="s">
        <v>176</v>
      </c>
    </row>
    <row r="49" spans="2:8" x14ac:dyDescent="0.25">
      <c r="B49" s="32" t="s">
        <v>68</v>
      </c>
      <c r="C49" s="32" t="s">
        <v>176</v>
      </c>
      <c r="D49" s="33" t="s">
        <v>176</v>
      </c>
      <c r="E49" s="33" t="s">
        <v>176</v>
      </c>
      <c r="F49" s="33" t="s">
        <v>176</v>
      </c>
    </row>
    <row r="50" spans="2:8" x14ac:dyDescent="0.25">
      <c r="B50" s="32" t="s">
        <v>69</v>
      </c>
      <c r="C50" s="32" t="s">
        <v>176</v>
      </c>
      <c r="D50" s="33" t="s">
        <v>177</v>
      </c>
      <c r="E50" s="33" t="s">
        <v>177</v>
      </c>
      <c r="F50" s="33" t="s">
        <v>177</v>
      </c>
    </row>
    <row r="51" spans="2:8" x14ac:dyDescent="0.25">
      <c r="B51" s="32" t="s">
        <v>70</v>
      </c>
      <c r="C51" s="32" t="s">
        <v>176</v>
      </c>
      <c r="D51" s="33" t="s">
        <v>176</v>
      </c>
      <c r="E51" s="33" t="s">
        <v>177</v>
      </c>
      <c r="F51" s="33" t="s">
        <v>176</v>
      </c>
    </row>
    <row r="52" spans="2:8" x14ac:dyDescent="0.25">
      <c r="B52" s="32" t="s">
        <v>71</v>
      </c>
      <c r="C52" s="32" t="s">
        <v>176</v>
      </c>
      <c r="D52" s="33" t="s">
        <v>176</v>
      </c>
      <c r="E52" s="33" t="s">
        <v>176</v>
      </c>
      <c r="F52" s="33" t="s">
        <v>176</v>
      </c>
    </row>
    <row r="53" spans="2:8" x14ac:dyDescent="0.25">
      <c r="B53" s="32" t="s">
        <v>72</v>
      </c>
      <c r="C53" s="32" t="s">
        <v>176</v>
      </c>
      <c r="D53" s="33" t="s">
        <v>176</v>
      </c>
      <c r="E53" s="33" t="s">
        <v>176</v>
      </c>
      <c r="F53" s="33" t="s">
        <v>176</v>
      </c>
    </row>
    <row r="54" spans="2:8" x14ac:dyDescent="0.25">
      <c r="B54" s="32" t="s">
        <v>73</v>
      </c>
      <c r="C54" s="32" t="s">
        <v>176</v>
      </c>
      <c r="D54" s="33" t="s">
        <v>176</v>
      </c>
      <c r="E54" s="33" t="s">
        <v>176</v>
      </c>
      <c r="F54" s="33" t="s">
        <v>176</v>
      </c>
    </row>
    <row r="55" spans="2:8" x14ac:dyDescent="0.25">
      <c r="B55" s="32" t="s">
        <v>74</v>
      </c>
      <c r="C55" s="32" t="s">
        <v>176</v>
      </c>
      <c r="D55" s="33" t="s">
        <v>176</v>
      </c>
      <c r="E55" s="33" t="s">
        <v>177</v>
      </c>
      <c r="F55" s="33" t="s">
        <v>176</v>
      </c>
    </row>
    <row r="56" spans="2:8" x14ac:dyDescent="0.25">
      <c r="B56" s="32" t="s">
        <v>75</v>
      </c>
      <c r="C56" s="32" t="s">
        <v>176</v>
      </c>
      <c r="D56" s="33" t="s">
        <v>176</v>
      </c>
      <c r="E56" s="33" t="s">
        <v>176</v>
      </c>
      <c r="F56" s="33" t="s">
        <v>176</v>
      </c>
    </row>
    <row r="57" spans="2:8" x14ac:dyDescent="0.25">
      <c r="B57" s="32" t="s">
        <v>76</v>
      </c>
      <c r="C57" s="32" t="s">
        <v>176</v>
      </c>
      <c r="D57" s="33" t="s">
        <v>176</v>
      </c>
      <c r="E57" s="33" t="s">
        <v>176</v>
      </c>
      <c r="F57" s="33" t="s">
        <v>176</v>
      </c>
      <c r="H57" s="30"/>
    </row>
    <row r="58" spans="2:8" x14ac:dyDescent="0.25">
      <c r="B58" s="32" t="s">
        <v>77</v>
      </c>
      <c r="C58" s="32" t="s">
        <v>176</v>
      </c>
      <c r="D58" s="33" t="s">
        <v>176</v>
      </c>
      <c r="E58" s="33" t="s">
        <v>176</v>
      </c>
      <c r="F58" s="33" t="s">
        <v>176</v>
      </c>
    </row>
    <row r="59" spans="2:8" x14ac:dyDescent="0.25">
      <c r="B59" s="32" t="s">
        <v>78</v>
      </c>
      <c r="C59" s="32" t="s">
        <v>176</v>
      </c>
      <c r="D59" s="33" t="s">
        <v>176</v>
      </c>
      <c r="E59" s="33" t="s">
        <v>177</v>
      </c>
      <c r="F59" s="33" t="s">
        <v>176</v>
      </c>
    </row>
    <row r="60" spans="2:8" x14ac:dyDescent="0.25">
      <c r="B60" s="32" t="s">
        <v>79</v>
      </c>
      <c r="C60" s="32" t="s">
        <v>176</v>
      </c>
      <c r="D60" s="33" t="s">
        <v>177</v>
      </c>
      <c r="E60" s="33" t="s">
        <v>177</v>
      </c>
      <c r="F60" s="33" t="s">
        <v>177</v>
      </c>
    </row>
    <row r="61" spans="2:8" x14ac:dyDescent="0.25">
      <c r="B61" s="32" t="s">
        <v>80</v>
      </c>
      <c r="C61" s="32" t="s">
        <v>176</v>
      </c>
      <c r="D61" s="33" t="s">
        <v>176</v>
      </c>
      <c r="E61" s="33" t="s">
        <v>176</v>
      </c>
      <c r="F61" s="33" t="s">
        <v>176</v>
      </c>
    </row>
    <row r="62" spans="2:8" x14ac:dyDescent="0.25">
      <c r="B62" s="32" t="s">
        <v>81</v>
      </c>
      <c r="C62" s="32" t="s">
        <v>176</v>
      </c>
      <c r="D62" s="33" t="s">
        <v>177</v>
      </c>
      <c r="E62" s="33" t="s">
        <v>177</v>
      </c>
      <c r="F62" s="33" t="s">
        <v>177</v>
      </c>
    </row>
    <row r="63" spans="2:8" x14ac:dyDescent="0.25">
      <c r="B63" s="32" t="s">
        <v>82</v>
      </c>
      <c r="C63" s="32" t="s">
        <v>176</v>
      </c>
      <c r="D63" s="33" t="s">
        <v>176</v>
      </c>
      <c r="E63" s="33" t="s">
        <v>176</v>
      </c>
      <c r="F63" s="33" t="s">
        <v>176</v>
      </c>
    </row>
    <row r="64" spans="2:8" x14ac:dyDescent="0.25">
      <c r="B64" s="32" t="s">
        <v>83</v>
      </c>
      <c r="C64" s="32" t="s">
        <v>176</v>
      </c>
      <c r="D64" s="33" t="s">
        <v>176</v>
      </c>
      <c r="E64" s="33" t="s">
        <v>176</v>
      </c>
      <c r="F64" s="33" t="s">
        <v>176</v>
      </c>
    </row>
    <row r="65" spans="2:7" x14ac:dyDescent="0.25">
      <c r="B65" s="32" t="s">
        <v>84</v>
      </c>
      <c r="C65" s="32" t="s">
        <v>176</v>
      </c>
      <c r="D65" s="33" t="s">
        <v>176</v>
      </c>
      <c r="E65" s="33" t="s">
        <v>177</v>
      </c>
      <c r="F65" s="33" t="s">
        <v>177</v>
      </c>
      <c r="G65" s="30"/>
    </row>
    <row r="66" spans="2:7" x14ac:dyDescent="0.25">
      <c r="B66" s="32" t="s">
        <v>85</v>
      </c>
      <c r="C66" s="32" t="s">
        <v>176</v>
      </c>
      <c r="D66" s="33" t="s">
        <v>176</v>
      </c>
      <c r="E66" s="33" t="s">
        <v>176</v>
      </c>
      <c r="F66" s="33" t="s">
        <v>176</v>
      </c>
    </row>
    <row r="67" spans="2:7" x14ac:dyDescent="0.25">
      <c r="B67" s="32" t="s">
        <v>86</v>
      </c>
      <c r="C67" s="32" t="s">
        <v>176</v>
      </c>
      <c r="D67" s="33" t="s">
        <v>176</v>
      </c>
      <c r="E67" s="33" t="s">
        <v>176</v>
      </c>
      <c r="F67" s="33" t="s">
        <v>176</v>
      </c>
    </row>
    <row r="68" spans="2:7" x14ac:dyDescent="0.25">
      <c r="B68" s="32" t="s">
        <v>87</v>
      </c>
      <c r="C68" s="32" t="s">
        <v>176</v>
      </c>
      <c r="D68" s="33" t="s">
        <v>176</v>
      </c>
      <c r="E68" s="33" t="s">
        <v>176</v>
      </c>
      <c r="F68" s="33" t="s">
        <v>176</v>
      </c>
    </row>
    <row r="69" spans="2:7" x14ac:dyDescent="0.25">
      <c r="B69" s="32" t="s">
        <v>88</v>
      </c>
      <c r="C69" s="32" t="s">
        <v>176</v>
      </c>
      <c r="D69" s="33" t="s">
        <v>177</v>
      </c>
      <c r="E69" s="33" t="s">
        <v>177</v>
      </c>
      <c r="F69" s="33" t="s">
        <v>177</v>
      </c>
    </row>
    <row r="70" spans="2:7" x14ac:dyDescent="0.25">
      <c r="B70" s="32" t="s">
        <v>89</v>
      </c>
      <c r="C70" s="32" t="s">
        <v>176</v>
      </c>
      <c r="D70" s="33" t="s">
        <v>176</v>
      </c>
      <c r="E70" s="33" t="s">
        <v>177</v>
      </c>
      <c r="F70" s="33" t="s">
        <v>176</v>
      </c>
    </row>
    <row r="71" spans="2:7" x14ac:dyDescent="0.25">
      <c r="B71" s="32" t="s">
        <v>90</v>
      </c>
      <c r="C71" s="32" t="s">
        <v>176</v>
      </c>
      <c r="D71" s="33" t="s">
        <v>176</v>
      </c>
      <c r="E71" s="33" t="s">
        <v>177</v>
      </c>
      <c r="F71" s="33" t="s">
        <v>177</v>
      </c>
    </row>
    <row r="72" spans="2:7" x14ac:dyDescent="0.25">
      <c r="B72" s="32" t="s">
        <v>91</v>
      </c>
      <c r="C72" s="32" t="s">
        <v>176</v>
      </c>
      <c r="D72" s="33" t="s">
        <v>177</v>
      </c>
      <c r="E72" s="33" t="s">
        <v>177</v>
      </c>
      <c r="F72" s="33" t="s">
        <v>177</v>
      </c>
    </row>
    <row r="73" spans="2:7" x14ac:dyDescent="0.25">
      <c r="B73" s="32" t="s">
        <v>92</v>
      </c>
      <c r="C73" s="32" t="s">
        <v>176</v>
      </c>
      <c r="D73" s="33" t="s">
        <v>176</v>
      </c>
      <c r="E73" s="33" t="s">
        <v>177</v>
      </c>
      <c r="F73" s="33" t="s">
        <v>176</v>
      </c>
    </row>
    <row r="74" spans="2:7" x14ac:dyDescent="0.25">
      <c r="B74" s="32" t="s">
        <v>93</v>
      </c>
      <c r="C74" s="32" t="s">
        <v>176</v>
      </c>
      <c r="D74" s="33" t="s">
        <v>176</v>
      </c>
      <c r="E74" s="33" t="s">
        <v>176</v>
      </c>
      <c r="F74" s="33" t="s">
        <v>176</v>
      </c>
    </row>
    <row r="75" spans="2:7" x14ac:dyDescent="0.25">
      <c r="B75" s="32" t="s">
        <v>94</v>
      </c>
      <c r="C75" s="32" t="s">
        <v>176</v>
      </c>
      <c r="D75" s="33" t="s">
        <v>176</v>
      </c>
      <c r="E75" s="33" t="s">
        <v>177</v>
      </c>
      <c r="F75" s="33" t="s">
        <v>176</v>
      </c>
    </row>
    <row r="76" spans="2:7" x14ac:dyDescent="0.25">
      <c r="B76" s="32" t="s">
        <v>95</v>
      </c>
      <c r="C76" s="32" t="s">
        <v>176</v>
      </c>
      <c r="D76" s="33" t="s">
        <v>176</v>
      </c>
      <c r="E76" s="33" t="s">
        <v>176</v>
      </c>
      <c r="F76" s="33" t="s">
        <v>176</v>
      </c>
    </row>
    <row r="77" spans="2:7" x14ac:dyDescent="0.25">
      <c r="B77" s="32" t="s">
        <v>96</v>
      </c>
      <c r="C77" s="32" t="s">
        <v>176</v>
      </c>
      <c r="D77" s="33" t="s">
        <v>176</v>
      </c>
      <c r="E77" s="33" t="s">
        <v>176</v>
      </c>
      <c r="F77" s="33" t="s">
        <v>176</v>
      </c>
    </row>
    <row r="78" spans="2:7" x14ac:dyDescent="0.25">
      <c r="B78" s="32" t="s">
        <v>97</v>
      </c>
      <c r="C78" s="32" t="s">
        <v>176</v>
      </c>
      <c r="D78" s="33" t="s">
        <v>177</v>
      </c>
      <c r="E78" s="33" t="s">
        <v>177</v>
      </c>
      <c r="F78" s="33" t="s">
        <v>177</v>
      </c>
    </row>
    <row r="79" spans="2:7" x14ac:dyDescent="0.25">
      <c r="B79" s="32" t="s">
        <v>98</v>
      </c>
      <c r="C79" s="32" t="s">
        <v>176</v>
      </c>
      <c r="D79" s="33" t="s">
        <v>176</v>
      </c>
      <c r="E79" s="33" t="s">
        <v>176</v>
      </c>
      <c r="F79" s="33" t="s">
        <v>176</v>
      </c>
    </row>
    <row r="80" spans="2:7" x14ac:dyDescent="0.25">
      <c r="B80" s="32" t="s">
        <v>99</v>
      </c>
      <c r="C80" s="32" t="s">
        <v>176</v>
      </c>
      <c r="D80" s="33" t="s">
        <v>176</v>
      </c>
      <c r="E80" s="33" t="s">
        <v>176</v>
      </c>
      <c r="F80" s="33" t="s">
        <v>176</v>
      </c>
    </row>
    <row r="81" spans="2:6" x14ac:dyDescent="0.25">
      <c r="B81" s="32" t="s">
        <v>100</v>
      </c>
      <c r="C81" s="32" t="s">
        <v>176</v>
      </c>
      <c r="D81" s="33" t="s">
        <v>176</v>
      </c>
      <c r="E81" s="33" t="s">
        <v>176</v>
      </c>
      <c r="F81" s="33" t="s">
        <v>176</v>
      </c>
    </row>
    <row r="82" spans="2:6" x14ac:dyDescent="0.25">
      <c r="B82" s="32" t="s">
        <v>101</v>
      </c>
      <c r="C82" s="32" t="s">
        <v>176</v>
      </c>
      <c r="D82" s="33" t="s">
        <v>176</v>
      </c>
      <c r="E82" s="33" t="s">
        <v>177</v>
      </c>
      <c r="F82" s="33" t="s">
        <v>176</v>
      </c>
    </row>
    <row r="83" spans="2:6" x14ac:dyDescent="0.25">
      <c r="B83" s="32" t="s">
        <v>102</v>
      </c>
      <c r="C83" s="32" t="s">
        <v>176</v>
      </c>
      <c r="D83" s="33" t="s">
        <v>176</v>
      </c>
      <c r="E83" s="33" t="s">
        <v>176</v>
      </c>
      <c r="F83" s="33" t="s">
        <v>176</v>
      </c>
    </row>
    <row r="84" spans="2:6" x14ac:dyDescent="0.25">
      <c r="B84" s="32" t="s">
        <v>103</v>
      </c>
      <c r="C84" s="32" t="s">
        <v>176</v>
      </c>
      <c r="D84" s="33" t="s">
        <v>176</v>
      </c>
      <c r="E84" s="33" t="s">
        <v>177</v>
      </c>
      <c r="F84" s="33" t="s">
        <v>176</v>
      </c>
    </row>
    <row r="85" spans="2:6" x14ac:dyDescent="0.25">
      <c r="B85" s="32" t="s">
        <v>104</v>
      </c>
      <c r="C85" s="32" t="s">
        <v>176</v>
      </c>
      <c r="D85" s="33" t="s">
        <v>176</v>
      </c>
      <c r="E85" s="33" t="s">
        <v>177</v>
      </c>
      <c r="F85" s="33" t="s">
        <v>176</v>
      </c>
    </row>
    <row r="86" spans="2:6" x14ac:dyDescent="0.25">
      <c r="B86" s="32" t="s">
        <v>105</v>
      </c>
      <c r="C86" s="32" t="s">
        <v>176</v>
      </c>
      <c r="D86" s="33" t="s">
        <v>176</v>
      </c>
      <c r="E86" s="33" t="s">
        <v>177</v>
      </c>
      <c r="F86" s="33" t="s">
        <v>176</v>
      </c>
    </row>
    <row r="87" spans="2:6" x14ac:dyDescent="0.25">
      <c r="B87" s="32" t="s">
        <v>106</v>
      </c>
      <c r="C87" s="32" t="s">
        <v>176</v>
      </c>
      <c r="D87" s="33" t="s">
        <v>176</v>
      </c>
      <c r="E87" s="33" t="s">
        <v>177</v>
      </c>
      <c r="F87" s="33" t="s">
        <v>176</v>
      </c>
    </row>
    <row r="88" spans="2:6" x14ac:dyDescent="0.25">
      <c r="B88" s="32" t="s">
        <v>107</v>
      </c>
      <c r="C88" s="32" t="s">
        <v>176</v>
      </c>
      <c r="D88" s="33" t="s">
        <v>177</v>
      </c>
      <c r="E88" s="33" t="s">
        <v>177</v>
      </c>
      <c r="F88" s="33" t="s">
        <v>177</v>
      </c>
    </row>
    <row r="89" spans="2:6" x14ac:dyDescent="0.25">
      <c r="B89" s="32" t="s">
        <v>108</v>
      </c>
      <c r="C89" s="32" t="s">
        <v>176</v>
      </c>
      <c r="D89" s="33" t="s">
        <v>177</v>
      </c>
      <c r="E89" s="33" t="s">
        <v>177</v>
      </c>
      <c r="F89" s="33" t="s">
        <v>177</v>
      </c>
    </row>
    <row r="90" spans="2:6" x14ac:dyDescent="0.25">
      <c r="B90" s="32" t="s">
        <v>109</v>
      </c>
      <c r="C90" s="32" t="s">
        <v>176</v>
      </c>
      <c r="D90" s="33" t="s">
        <v>176</v>
      </c>
      <c r="E90" s="33" t="s">
        <v>177</v>
      </c>
      <c r="F90" s="33" t="s">
        <v>176</v>
      </c>
    </row>
    <row r="91" spans="2:6" x14ac:dyDescent="0.25">
      <c r="B91" s="32" t="s">
        <v>110</v>
      </c>
      <c r="C91" s="32" t="s">
        <v>176</v>
      </c>
      <c r="D91" s="33" t="s">
        <v>176</v>
      </c>
      <c r="E91" s="33" t="s">
        <v>177</v>
      </c>
      <c r="F91" s="33" t="s">
        <v>176</v>
      </c>
    </row>
    <row r="92" spans="2:6" x14ac:dyDescent="0.25">
      <c r="B92" s="32" t="s">
        <v>111</v>
      </c>
      <c r="C92" s="32" t="s">
        <v>176</v>
      </c>
      <c r="D92" s="33" t="s">
        <v>176</v>
      </c>
      <c r="E92" s="33" t="s">
        <v>176</v>
      </c>
      <c r="F92" s="33" t="s">
        <v>176</v>
      </c>
    </row>
    <row r="93" spans="2:6" x14ac:dyDescent="0.25">
      <c r="B93" s="32" t="s">
        <v>112</v>
      </c>
      <c r="C93" s="32" t="s">
        <v>176</v>
      </c>
      <c r="D93" s="33" t="s">
        <v>176</v>
      </c>
      <c r="E93" s="33" t="s">
        <v>177</v>
      </c>
      <c r="F93" s="33" t="s">
        <v>177</v>
      </c>
    </row>
    <row r="94" spans="2:6" x14ac:dyDescent="0.25">
      <c r="B94" s="32" t="s">
        <v>113</v>
      </c>
      <c r="C94" s="32" t="s">
        <v>176</v>
      </c>
      <c r="D94" s="33" t="s">
        <v>176</v>
      </c>
      <c r="E94" s="33" t="s">
        <v>176</v>
      </c>
      <c r="F94" s="33" t="s">
        <v>176</v>
      </c>
    </row>
    <row r="95" spans="2:6" x14ac:dyDescent="0.25">
      <c r="B95" s="32" t="s">
        <v>114</v>
      </c>
      <c r="C95" s="32" t="s">
        <v>176</v>
      </c>
      <c r="D95" s="33" t="s">
        <v>177</v>
      </c>
      <c r="E95" s="33" t="s">
        <v>177</v>
      </c>
      <c r="F95" s="33" t="s">
        <v>177</v>
      </c>
    </row>
    <row r="96" spans="2:6" x14ac:dyDescent="0.25">
      <c r="B96" s="32" t="s">
        <v>115</v>
      </c>
      <c r="C96" s="32" t="s">
        <v>176</v>
      </c>
      <c r="D96" s="33" t="s">
        <v>176</v>
      </c>
      <c r="E96" s="33" t="s">
        <v>176</v>
      </c>
      <c r="F96" s="33" t="s">
        <v>176</v>
      </c>
    </row>
    <row r="97" spans="2:6" x14ac:dyDescent="0.25">
      <c r="B97" s="32" t="s">
        <v>116</v>
      </c>
      <c r="C97" s="32" t="s">
        <v>176</v>
      </c>
      <c r="D97" s="33" t="s">
        <v>177</v>
      </c>
      <c r="E97" s="33" t="s">
        <v>177</v>
      </c>
      <c r="F97" s="33" t="s">
        <v>177</v>
      </c>
    </row>
    <row r="98" spans="2:6" x14ac:dyDescent="0.25">
      <c r="B98" s="32" t="s">
        <v>117</v>
      </c>
      <c r="C98" s="32" t="s">
        <v>176</v>
      </c>
      <c r="D98" s="33" t="s">
        <v>177</v>
      </c>
      <c r="E98" s="33" t="s">
        <v>177</v>
      </c>
      <c r="F98" s="33" t="s">
        <v>177</v>
      </c>
    </row>
    <row r="99" spans="2:6" x14ac:dyDescent="0.25">
      <c r="B99" s="32" t="s">
        <v>118</v>
      </c>
      <c r="C99" s="32" t="s">
        <v>176</v>
      </c>
      <c r="D99" s="33" t="s">
        <v>176</v>
      </c>
      <c r="E99" s="33" t="s">
        <v>176</v>
      </c>
      <c r="F99" s="33" t="s">
        <v>176</v>
      </c>
    </row>
    <row r="100" spans="2:6" x14ac:dyDescent="0.25">
      <c r="B100" s="32" t="s">
        <v>119</v>
      </c>
      <c r="C100" s="32" t="s">
        <v>176</v>
      </c>
      <c r="D100" s="33" t="s">
        <v>176</v>
      </c>
      <c r="E100" s="33" t="s">
        <v>176</v>
      </c>
      <c r="F100" s="33" t="s">
        <v>176</v>
      </c>
    </row>
    <row r="101" spans="2:6" x14ac:dyDescent="0.25">
      <c r="B101" s="32" t="s">
        <v>120</v>
      </c>
      <c r="C101" s="32" t="s">
        <v>176</v>
      </c>
      <c r="D101" s="33" t="s">
        <v>176</v>
      </c>
      <c r="E101" s="33" t="s">
        <v>176</v>
      </c>
      <c r="F101" s="33" t="s">
        <v>176</v>
      </c>
    </row>
    <row r="102" spans="2:6" x14ac:dyDescent="0.25">
      <c r="B102" s="32" t="s">
        <v>121</v>
      </c>
      <c r="C102" s="32" t="s">
        <v>176</v>
      </c>
      <c r="D102" s="33" t="s">
        <v>176</v>
      </c>
      <c r="E102" s="33" t="s">
        <v>177</v>
      </c>
      <c r="F102" s="33" t="s">
        <v>177</v>
      </c>
    </row>
    <row r="103" spans="2:6" x14ac:dyDescent="0.25">
      <c r="B103" s="32" t="s">
        <v>122</v>
      </c>
      <c r="C103" s="32" t="s">
        <v>176</v>
      </c>
      <c r="D103" s="33" t="s">
        <v>176</v>
      </c>
      <c r="E103" s="33" t="s">
        <v>176</v>
      </c>
      <c r="F103" s="33" t="s">
        <v>176</v>
      </c>
    </row>
    <row r="104" spans="2:6" x14ac:dyDescent="0.25">
      <c r="B104" s="32" t="s">
        <v>123</v>
      </c>
      <c r="C104" s="32" t="s">
        <v>176</v>
      </c>
      <c r="D104" s="33" t="s">
        <v>176</v>
      </c>
      <c r="E104" s="33" t="s">
        <v>176</v>
      </c>
      <c r="F104" s="33" t="s">
        <v>176</v>
      </c>
    </row>
    <row r="105" spans="2:6" x14ac:dyDescent="0.25">
      <c r="B105" s="32" t="s">
        <v>124</v>
      </c>
      <c r="C105" s="32" t="s">
        <v>176</v>
      </c>
      <c r="D105" s="33" t="s">
        <v>176</v>
      </c>
      <c r="E105" s="33" t="s">
        <v>176</v>
      </c>
      <c r="F105" s="33" t="s">
        <v>176</v>
      </c>
    </row>
    <row r="106" spans="2:6" x14ac:dyDescent="0.25">
      <c r="B106" s="32" t="s">
        <v>125</v>
      </c>
      <c r="C106" s="32" t="s">
        <v>176</v>
      </c>
      <c r="D106" s="33" t="s">
        <v>176</v>
      </c>
      <c r="E106" s="33" t="s">
        <v>177</v>
      </c>
      <c r="F106" s="33" t="s">
        <v>176</v>
      </c>
    </row>
    <row r="107" spans="2:6" x14ac:dyDescent="0.25">
      <c r="B107" s="32" t="s">
        <v>126</v>
      </c>
      <c r="C107" s="32" t="s">
        <v>176</v>
      </c>
      <c r="D107" s="33" t="s">
        <v>176</v>
      </c>
      <c r="E107" s="33" t="s">
        <v>176</v>
      </c>
      <c r="F107" s="33" t="s">
        <v>176</v>
      </c>
    </row>
    <row r="108" spans="2:6" x14ac:dyDescent="0.25">
      <c r="B108" s="32" t="s">
        <v>127</v>
      </c>
      <c r="C108" s="32" t="s">
        <v>176</v>
      </c>
      <c r="D108" s="33" t="s">
        <v>177</v>
      </c>
      <c r="E108" s="33" t="s">
        <v>177</v>
      </c>
      <c r="F108" s="33" t="s">
        <v>177</v>
      </c>
    </row>
    <row r="109" spans="2:6" x14ac:dyDescent="0.25">
      <c r="B109" s="32" t="s">
        <v>128</v>
      </c>
      <c r="C109" s="32" t="s">
        <v>176</v>
      </c>
      <c r="D109" s="33" t="s">
        <v>176</v>
      </c>
      <c r="E109" s="33" t="s">
        <v>176</v>
      </c>
      <c r="F109" s="33" t="s">
        <v>176</v>
      </c>
    </row>
    <row r="110" spans="2:6" x14ac:dyDescent="0.25">
      <c r="B110" s="32" t="s">
        <v>129</v>
      </c>
      <c r="C110" s="32" t="s">
        <v>176</v>
      </c>
      <c r="D110" s="33" t="s">
        <v>177</v>
      </c>
      <c r="E110" s="33" t="s">
        <v>177</v>
      </c>
      <c r="F110" s="33" t="s">
        <v>177</v>
      </c>
    </row>
    <row r="111" spans="2:6" x14ac:dyDescent="0.25">
      <c r="B111" s="32" t="s">
        <v>130</v>
      </c>
      <c r="C111" s="32" t="s">
        <v>176</v>
      </c>
      <c r="D111" s="33" t="s">
        <v>176</v>
      </c>
      <c r="E111" s="33" t="s">
        <v>177</v>
      </c>
      <c r="F111" s="33" t="s">
        <v>176</v>
      </c>
    </row>
    <row r="112" spans="2:6" x14ac:dyDescent="0.25">
      <c r="B112" s="32" t="s">
        <v>131</v>
      </c>
      <c r="C112" s="32" t="s">
        <v>176</v>
      </c>
      <c r="D112" s="33" t="s">
        <v>176</v>
      </c>
      <c r="E112" s="33" t="s">
        <v>177</v>
      </c>
      <c r="F112" s="33" t="s">
        <v>177</v>
      </c>
    </row>
    <row r="113" spans="2:6" x14ac:dyDescent="0.25">
      <c r="B113" s="32" t="s">
        <v>132</v>
      </c>
      <c r="C113" s="32" t="s">
        <v>176</v>
      </c>
      <c r="D113" s="33" t="s">
        <v>177</v>
      </c>
      <c r="E113" s="33" t="s">
        <v>177</v>
      </c>
      <c r="F113" s="33" t="s">
        <v>177</v>
      </c>
    </row>
    <row r="114" spans="2:6" x14ac:dyDescent="0.25">
      <c r="B114" s="32" t="s">
        <v>133</v>
      </c>
      <c r="C114" s="32" t="s">
        <v>176</v>
      </c>
      <c r="D114" s="33" t="s">
        <v>176</v>
      </c>
      <c r="E114" s="33" t="s">
        <v>176</v>
      </c>
      <c r="F114" s="33" t="s">
        <v>176</v>
      </c>
    </row>
    <row r="115" spans="2:6" x14ac:dyDescent="0.25">
      <c r="B115" s="32" t="s">
        <v>134</v>
      </c>
      <c r="C115" s="32" t="s">
        <v>176</v>
      </c>
      <c r="D115" s="33" t="s">
        <v>176</v>
      </c>
      <c r="E115" s="33" t="s">
        <v>176</v>
      </c>
      <c r="F115" s="33" t="s">
        <v>176</v>
      </c>
    </row>
    <row r="116" spans="2:6" x14ac:dyDescent="0.25">
      <c r="B116" s="32" t="s">
        <v>135</v>
      </c>
      <c r="C116" s="32" t="s">
        <v>176</v>
      </c>
      <c r="D116" s="33" t="s">
        <v>176</v>
      </c>
      <c r="E116" s="33" t="s">
        <v>176</v>
      </c>
      <c r="F116" s="33" t="s">
        <v>176</v>
      </c>
    </row>
    <row r="117" spans="2:6" x14ac:dyDescent="0.25">
      <c r="B117" s="32" t="s">
        <v>136</v>
      </c>
      <c r="C117" s="32" t="s">
        <v>176</v>
      </c>
      <c r="D117" s="33" t="s">
        <v>176</v>
      </c>
      <c r="E117" s="33" t="s">
        <v>176</v>
      </c>
      <c r="F117" s="33" t="s">
        <v>176</v>
      </c>
    </row>
    <row r="118" spans="2:6" x14ac:dyDescent="0.25">
      <c r="B118" s="32" t="s">
        <v>137</v>
      </c>
      <c r="C118" s="32" t="s">
        <v>176</v>
      </c>
      <c r="D118" s="33" t="s">
        <v>176</v>
      </c>
      <c r="E118" s="33" t="s">
        <v>176</v>
      </c>
      <c r="F118" s="33" t="s">
        <v>176</v>
      </c>
    </row>
    <row r="119" spans="2:6" x14ac:dyDescent="0.25">
      <c r="B119" s="32" t="s">
        <v>138</v>
      </c>
      <c r="C119" s="32" t="s">
        <v>176</v>
      </c>
      <c r="D119" s="33" t="s">
        <v>176</v>
      </c>
      <c r="E119" s="33" t="s">
        <v>176</v>
      </c>
      <c r="F119" s="33" t="s">
        <v>176</v>
      </c>
    </row>
    <row r="120" spans="2:6" x14ac:dyDescent="0.25">
      <c r="B120" s="32" t="s">
        <v>139</v>
      </c>
      <c r="C120" s="32" t="s">
        <v>176</v>
      </c>
      <c r="D120" s="33" t="s">
        <v>176</v>
      </c>
      <c r="E120" s="33" t="s">
        <v>177</v>
      </c>
      <c r="F120" s="33" t="s">
        <v>176</v>
      </c>
    </row>
    <row r="121" spans="2:6" x14ac:dyDescent="0.25">
      <c r="B121" s="32" t="s">
        <v>140</v>
      </c>
      <c r="C121" s="32" t="s">
        <v>176</v>
      </c>
      <c r="D121" s="33" t="s">
        <v>177</v>
      </c>
      <c r="E121" s="33" t="s">
        <v>177</v>
      </c>
      <c r="F121" s="33" t="s">
        <v>177</v>
      </c>
    </row>
    <row r="122" spans="2:6" x14ac:dyDescent="0.25">
      <c r="B122" s="32" t="s">
        <v>141</v>
      </c>
      <c r="C122" s="32" t="s">
        <v>176</v>
      </c>
      <c r="D122" s="33" t="s">
        <v>176</v>
      </c>
      <c r="E122" s="33" t="s">
        <v>176</v>
      </c>
      <c r="F122" s="33" t="s">
        <v>176</v>
      </c>
    </row>
    <row r="123" spans="2:6" x14ac:dyDescent="0.25">
      <c r="B123" s="32" t="s">
        <v>142</v>
      </c>
      <c r="C123" s="32" t="s">
        <v>176</v>
      </c>
      <c r="D123" s="33" t="s">
        <v>176</v>
      </c>
      <c r="E123" s="33" t="s">
        <v>176</v>
      </c>
      <c r="F123" s="33" t="s">
        <v>176</v>
      </c>
    </row>
    <row r="124" spans="2:6" x14ac:dyDescent="0.25">
      <c r="B124" s="32" t="s">
        <v>143</v>
      </c>
      <c r="C124" s="32" t="s">
        <v>176</v>
      </c>
      <c r="D124" s="33" t="s">
        <v>176</v>
      </c>
      <c r="E124" s="33" t="s">
        <v>177</v>
      </c>
      <c r="F124" s="33" t="s">
        <v>176</v>
      </c>
    </row>
    <row r="125" spans="2:6" x14ac:dyDescent="0.25">
      <c r="B125" s="32" t="s">
        <v>144</v>
      </c>
      <c r="C125" s="32" t="s">
        <v>176</v>
      </c>
      <c r="D125" s="33" t="s">
        <v>176</v>
      </c>
      <c r="E125" s="33" t="s">
        <v>177</v>
      </c>
      <c r="F125" s="33" t="s">
        <v>176</v>
      </c>
    </row>
    <row r="126" spans="2:6" x14ac:dyDescent="0.25">
      <c r="B126" s="32" t="s">
        <v>145</v>
      </c>
      <c r="C126" s="32" t="s">
        <v>176</v>
      </c>
      <c r="D126" s="33" t="s">
        <v>176</v>
      </c>
      <c r="E126" s="33" t="s">
        <v>177</v>
      </c>
      <c r="F126" s="33" t="s">
        <v>176</v>
      </c>
    </row>
    <row r="127" spans="2:6" x14ac:dyDescent="0.25">
      <c r="B127" s="32" t="s">
        <v>146</v>
      </c>
      <c r="C127" s="32" t="s">
        <v>176</v>
      </c>
      <c r="D127" s="33" t="s">
        <v>176</v>
      </c>
      <c r="E127" s="33" t="s">
        <v>177</v>
      </c>
      <c r="F127" s="33" t="s">
        <v>176</v>
      </c>
    </row>
    <row r="128" spans="2:6" x14ac:dyDescent="0.25">
      <c r="B128" s="32" t="s">
        <v>147</v>
      </c>
      <c r="C128" s="32" t="s">
        <v>176</v>
      </c>
      <c r="D128" s="33" t="s">
        <v>176</v>
      </c>
      <c r="E128" s="33" t="s">
        <v>176</v>
      </c>
      <c r="F128" s="33" t="s">
        <v>176</v>
      </c>
    </row>
    <row r="129" spans="2:6" x14ac:dyDescent="0.25">
      <c r="B129" s="32" t="s">
        <v>148</v>
      </c>
      <c r="C129" s="32" t="s">
        <v>176</v>
      </c>
      <c r="D129" s="33" t="s">
        <v>176</v>
      </c>
      <c r="E129" s="33" t="s">
        <v>176</v>
      </c>
      <c r="F129" s="33" t="s">
        <v>176</v>
      </c>
    </row>
    <row r="130" spans="2:6" x14ac:dyDescent="0.25">
      <c r="B130" s="32" t="s">
        <v>149</v>
      </c>
      <c r="C130" s="32" t="s">
        <v>176</v>
      </c>
      <c r="D130" s="33" t="s">
        <v>176</v>
      </c>
      <c r="E130" s="33" t="s">
        <v>177</v>
      </c>
      <c r="F130" s="33" t="s">
        <v>176</v>
      </c>
    </row>
    <row r="131" spans="2:6" x14ac:dyDescent="0.25">
      <c r="B131" s="32" t="s">
        <v>150</v>
      </c>
      <c r="C131" s="32" t="s">
        <v>176</v>
      </c>
      <c r="D131" s="33" t="s">
        <v>176</v>
      </c>
      <c r="E131" s="33" t="s">
        <v>176</v>
      </c>
      <c r="F131" s="33" t="s">
        <v>176</v>
      </c>
    </row>
    <row r="132" spans="2:6" x14ac:dyDescent="0.25">
      <c r="B132" s="32" t="s">
        <v>151</v>
      </c>
      <c r="C132" s="32" t="s">
        <v>176</v>
      </c>
      <c r="D132" s="33" t="s">
        <v>176</v>
      </c>
      <c r="E132" s="33" t="s">
        <v>177</v>
      </c>
      <c r="F132" s="33" t="s">
        <v>176</v>
      </c>
    </row>
    <row r="133" spans="2:6" x14ac:dyDescent="0.25">
      <c r="B133" s="32" t="s">
        <v>152</v>
      </c>
      <c r="C133" s="32" t="s">
        <v>176</v>
      </c>
      <c r="D133" s="33" t="s">
        <v>176</v>
      </c>
      <c r="E133" s="33" t="s">
        <v>177</v>
      </c>
      <c r="F133" s="33" t="s">
        <v>176</v>
      </c>
    </row>
    <row r="134" spans="2:6" x14ac:dyDescent="0.25">
      <c r="B134" s="32" t="s">
        <v>153</v>
      </c>
      <c r="C134" s="32" t="s">
        <v>176</v>
      </c>
      <c r="D134" s="33" t="s">
        <v>176</v>
      </c>
      <c r="E134" s="33" t="s">
        <v>176</v>
      </c>
      <c r="F134" s="33" t="s">
        <v>176</v>
      </c>
    </row>
    <row r="135" spans="2:6" x14ac:dyDescent="0.25">
      <c r="B135" s="32" t="s">
        <v>154</v>
      </c>
      <c r="C135" s="32" t="s">
        <v>176</v>
      </c>
      <c r="D135" s="33" t="s">
        <v>176</v>
      </c>
      <c r="E135" s="33" t="s">
        <v>177</v>
      </c>
      <c r="F135" s="33" t="s">
        <v>177</v>
      </c>
    </row>
    <row r="136" spans="2:6" x14ac:dyDescent="0.25">
      <c r="B136" s="32" t="s">
        <v>155</v>
      </c>
      <c r="C136" s="32" t="s">
        <v>176</v>
      </c>
      <c r="D136" s="33" t="s">
        <v>176</v>
      </c>
      <c r="E136" s="33" t="s">
        <v>177</v>
      </c>
      <c r="F136" s="33" t="s">
        <v>176</v>
      </c>
    </row>
    <row r="137" spans="2:6" x14ac:dyDescent="0.25">
      <c r="B137" s="32" t="s">
        <v>156</v>
      </c>
      <c r="C137" s="32" t="s">
        <v>176</v>
      </c>
      <c r="D137" s="33" t="s">
        <v>176</v>
      </c>
      <c r="E137" s="33" t="s">
        <v>176</v>
      </c>
      <c r="F137" s="33" t="s">
        <v>176</v>
      </c>
    </row>
    <row r="138" spans="2:6" x14ac:dyDescent="0.25">
      <c r="B138" s="32" t="s">
        <v>157</v>
      </c>
      <c r="C138" s="32" t="s">
        <v>176</v>
      </c>
      <c r="D138" s="33" t="s">
        <v>176</v>
      </c>
      <c r="E138" s="33" t="s">
        <v>176</v>
      </c>
      <c r="F138" s="33" t="s">
        <v>176</v>
      </c>
    </row>
    <row r="139" spans="2:6" x14ac:dyDescent="0.25">
      <c r="B139" s="32" t="s">
        <v>158</v>
      </c>
      <c r="C139" s="32" t="s">
        <v>176</v>
      </c>
      <c r="D139" s="33" t="s">
        <v>176</v>
      </c>
      <c r="E139" s="33" t="s">
        <v>176</v>
      </c>
      <c r="F139" s="33" t="s">
        <v>176</v>
      </c>
    </row>
    <row r="140" spans="2:6" x14ac:dyDescent="0.25">
      <c r="B140" s="32" t="s">
        <v>159</v>
      </c>
      <c r="C140" s="32" t="s">
        <v>176</v>
      </c>
      <c r="D140" s="33" t="s">
        <v>176</v>
      </c>
      <c r="E140" s="33" t="s">
        <v>177</v>
      </c>
      <c r="F140" s="33" t="s">
        <v>177</v>
      </c>
    </row>
    <row r="141" spans="2:6" x14ac:dyDescent="0.25">
      <c r="B141" s="32" t="s">
        <v>160</v>
      </c>
      <c r="C141" s="32" t="s">
        <v>176</v>
      </c>
      <c r="D141" s="33" t="s">
        <v>176</v>
      </c>
      <c r="E141" s="33" t="s">
        <v>176</v>
      </c>
      <c r="F141" s="33" t="s">
        <v>176</v>
      </c>
    </row>
    <row r="142" spans="2:6" x14ac:dyDescent="0.25">
      <c r="B142" s="32" t="s">
        <v>161</v>
      </c>
      <c r="C142" s="32" t="s">
        <v>176</v>
      </c>
      <c r="D142" s="33" t="s">
        <v>176</v>
      </c>
      <c r="E142" s="33" t="s">
        <v>177</v>
      </c>
      <c r="F142" s="33" t="s">
        <v>176</v>
      </c>
    </row>
    <row r="143" spans="2:6" x14ac:dyDescent="0.25">
      <c r="B143" s="32" t="s">
        <v>162</v>
      </c>
      <c r="C143" s="32" t="s">
        <v>176</v>
      </c>
      <c r="D143" s="33" t="s">
        <v>176</v>
      </c>
      <c r="E143" s="33" t="s">
        <v>176</v>
      </c>
      <c r="F143" s="33" t="s">
        <v>176</v>
      </c>
    </row>
    <row r="144" spans="2:6" x14ac:dyDescent="0.25">
      <c r="B144" s="32" t="s">
        <v>163</v>
      </c>
      <c r="C144" s="32" t="s">
        <v>176</v>
      </c>
      <c r="D144" s="33" t="s">
        <v>176</v>
      </c>
      <c r="E144" s="33" t="s">
        <v>177</v>
      </c>
      <c r="F144" s="33" t="s">
        <v>176</v>
      </c>
    </row>
    <row r="145" spans="2:6" x14ac:dyDescent="0.25">
      <c r="B145" s="32" t="s">
        <v>164</v>
      </c>
      <c r="C145" s="32" t="s">
        <v>176</v>
      </c>
      <c r="D145" s="33" t="s">
        <v>176</v>
      </c>
      <c r="E145" s="33" t="s">
        <v>177</v>
      </c>
      <c r="F145" s="33" t="s">
        <v>176</v>
      </c>
    </row>
    <row r="146" spans="2:6" x14ac:dyDescent="0.25">
      <c r="B146" s="32" t="s">
        <v>165</v>
      </c>
      <c r="C146" s="32" t="s">
        <v>176</v>
      </c>
      <c r="D146" s="33" t="s">
        <v>176</v>
      </c>
      <c r="E146" s="33" t="s">
        <v>176</v>
      </c>
      <c r="F146" s="33" t="s">
        <v>176</v>
      </c>
    </row>
    <row r="147" spans="2:6" x14ac:dyDescent="0.25">
      <c r="B147" s="32" t="s">
        <v>166</v>
      </c>
      <c r="C147" s="32" t="s">
        <v>176</v>
      </c>
      <c r="D147" s="33" t="s">
        <v>176</v>
      </c>
      <c r="E147" s="33" t="s">
        <v>176</v>
      </c>
      <c r="F147" s="33" t="s">
        <v>176</v>
      </c>
    </row>
    <row r="148" spans="2:6" x14ac:dyDescent="0.25">
      <c r="B148" s="32" t="s">
        <v>167</v>
      </c>
      <c r="C148" s="32" t="s">
        <v>176</v>
      </c>
      <c r="D148" s="33" t="s">
        <v>176</v>
      </c>
      <c r="E148" s="33" t="s">
        <v>177</v>
      </c>
      <c r="F148" s="33" t="s">
        <v>176</v>
      </c>
    </row>
    <row r="149" spans="2:6" x14ac:dyDescent="0.25">
      <c r="B149" s="32" t="s">
        <v>168</v>
      </c>
      <c r="C149" s="32" t="s">
        <v>176</v>
      </c>
      <c r="D149" s="33" t="s">
        <v>176</v>
      </c>
      <c r="E149" s="33" t="s">
        <v>176</v>
      </c>
      <c r="F149" s="33" t="s">
        <v>176</v>
      </c>
    </row>
    <row r="150" spans="2:6" x14ac:dyDescent="0.25">
      <c r="B150" s="32" t="s">
        <v>169</v>
      </c>
      <c r="C150" s="32" t="s">
        <v>176</v>
      </c>
      <c r="D150" s="33" t="s">
        <v>176</v>
      </c>
      <c r="E150" s="33" t="s">
        <v>176</v>
      </c>
      <c r="F150" s="33" t="s">
        <v>176</v>
      </c>
    </row>
    <row r="151" spans="2:6" x14ac:dyDescent="0.25">
      <c r="B151" s="32" t="s">
        <v>170</v>
      </c>
      <c r="C151" s="32" t="s">
        <v>176</v>
      </c>
      <c r="D151" s="33" t="s">
        <v>176</v>
      </c>
      <c r="E151" s="33" t="s">
        <v>176</v>
      </c>
      <c r="F151" s="33" t="s">
        <v>176</v>
      </c>
    </row>
    <row r="152" spans="2:6" x14ac:dyDescent="0.25">
      <c r="B152" s="32" t="s">
        <v>171</v>
      </c>
      <c r="C152" s="32" t="s">
        <v>176</v>
      </c>
      <c r="D152" s="33" t="s">
        <v>176</v>
      </c>
      <c r="E152" s="33" t="s">
        <v>177</v>
      </c>
      <c r="F152" s="33" t="s">
        <v>176</v>
      </c>
    </row>
    <row r="153" spans="2:6" x14ac:dyDescent="0.25">
      <c r="B153" s="32" t="s">
        <v>172</v>
      </c>
      <c r="C153" s="32" t="s">
        <v>176</v>
      </c>
      <c r="D153" s="33" t="s">
        <v>176</v>
      </c>
      <c r="E153" s="33" t="s">
        <v>177</v>
      </c>
      <c r="F153" s="33" t="s">
        <v>176</v>
      </c>
    </row>
    <row r="154" spans="2:6" x14ac:dyDescent="0.25">
      <c r="B154" s="32" t="s">
        <v>173</v>
      </c>
      <c r="C154" s="32" t="s">
        <v>176</v>
      </c>
      <c r="D154" s="33" t="s">
        <v>176</v>
      </c>
      <c r="E154" s="33" t="s">
        <v>176</v>
      </c>
      <c r="F154" s="33" t="s">
        <v>176</v>
      </c>
    </row>
    <row r="155" spans="2:6" x14ac:dyDescent="0.25">
      <c r="B155" s="32" t="s">
        <v>174</v>
      </c>
      <c r="C155" s="32" t="s">
        <v>176</v>
      </c>
      <c r="D155" s="33" t="s">
        <v>176</v>
      </c>
      <c r="E155" s="33" t="s">
        <v>176</v>
      </c>
      <c r="F155" s="33" t="s">
        <v>176</v>
      </c>
    </row>
    <row r="156" spans="2:6" x14ac:dyDescent="0.25"/>
  </sheetData>
  <autoFilter ref="B3:F155" xr:uid="{00000000-0009-0000-0000-000003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D157"/>
  <sheetViews>
    <sheetView showGridLines="0" topLeftCell="A120" workbookViewId="0">
      <selection activeCell="EC5" sqref="EC5:EC156"/>
    </sheetView>
  </sheetViews>
  <sheetFormatPr defaultColWidth="0" defaultRowHeight="15" zeroHeight="1" x14ac:dyDescent="0.25"/>
  <cols>
    <col min="1" max="1" width="3.7109375" customWidth="1"/>
    <col min="2" max="3" width="9.140625" customWidth="1"/>
    <col min="4" max="42" width="9.140625" hidden="1" customWidth="1"/>
    <col min="43" max="43" width="3.7109375" customWidth="1"/>
    <col min="44" max="45" width="9.140625" customWidth="1"/>
    <col min="46" max="84" width="9.140625" hidden="1" customWidth="1"/>
    <col min="85" max="85" width="3.7109375" customWidth="1"/>
    <col min="86" max="87" width="9.140625" customWidth="1"/>
    <col min="88" max="128" width="9.140625" hidden="1" customWidth="1"/>
    <col min="129" max="129" width="14.140625" customWidth="1"/>
    <col min="130" max="131" width="15.5703125" hidden="1" customWidth="1"/>
    <col min="132" max="132" width="37.42578125" hidden="1" customWidth="1"/>
    <col min="133" max="133" width="75.28515625" customWidth="1"/>
    <col min="134" max="134" width="3.7109375" customWidth="1"/>
    <col min="135" max="16384" width="9.140625" hidden="1"/>
  </cols>
  <sheetData>
    <row r="1" spans="2:133" x14ac:dyDescent="0.25"/>
    <row r="2" spans="2:133" x14ac:dyDescent="0.25">
      <c r="B2" s="76" t="s">
        <v>8437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R2" s="76" t="s">
        <v>8438</v>
      </c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76"/>
      <c r="BG2" s="76"/>
      <c r="BH2" s="76"/>
      <c r="BI2" s="76"/>
      <c r="BJ2" s="76"/>
      <c r="BK2" s="76"/>
      <c r="BL2" s="76"/>
      <c r="BM2" s="76"/>
      <c r="BN2" s="76"/>
      <c r="BO2" s="76"/>
      <c r="BP2" s="76"/>
      <c r="BQ2" s="76"/>
      <c r="BR2" s="76"/>
      <c r="BS2" s="76"/>
      <c r="BT2" s="76"/>
      <c r="BU2" s="76"/>
      <c r="BV2" s="76"/>
      <c r="BW2" s="76"/>
      <c r="BX2" s="76"/>
      <c r="BY2" s="76"/>
      <c r="BZ2" s="76"/>
      <c r="CA2" s="76"/>
      <c r="CB2" s="76"/>
      <c r="CC2" s="76"/>
      <c r="CD2" s="76"/>
      <c r="CE2" s="76"/>
      <c r="CF2" s="76"/>
      <c r="CH2" s="77" t="s">
        <v>8439</v>
      </c>
      <c r="CI2" s="77"/>
      <c r="CJ2" s="77"/>
      <c r="CK2" s="77"/>
      <c r="CL2" s="77"/>
      <c r="CM2" s="77"/>
      <c r="CN2" s="77"/>
      <c r="CO2" s="77"/>
      <c r="CP2" s="77"/>
      <c r="CQ2" s="77"/>
      <c r="CR2" s="77"/>
      <c r="CS2" s="77"/>
      <c r="CT2" s="77"/>
      <c r="CU2" s="77"/>
      <c r="CV2" s="77"/>
      <c r="CW2" s="77"/>
      <c r="CX2" s="77"/>
      <c r="CY2" s="77"/>
      <c r="CZ2" s="77"/>
      <c r="DA2" s="77"/>
      <c r="DB2" s="77"/>
      <c r="DC2" s="77"/>
      <c r="DD2" s="77"/>
      <c r="DE2" s="77"/>
      <c r="DF2" s="77"/>
      <c r="DG2" s="77"/>
      <c r="DH2" s="77"/>
      <c r="DI2" s="77"/>
      <c r="DJ2" s="77"/>
      <c r="DK2" s="77"/>
      <c r="DL2" s="77"/>
      <c r="DM2" s="77"/>
      <c r="DN2" s="77"/>
      <c r="DO2" s="77"/>
      <c r="DP2" s="77"/>
      <c r="DQ2" s="77"/>
      <c r="DR2" s="77"/>
      <c r="DS2" s="77"/>
      <c r="DT2" s="77"/>
      <c r="DU2" s="77"/>
      <c r="DV2" s="77"/>
      <c r="DW2" s="77"/>
      <c r="DX2" s="77"/>
    </row>
    <row r="3" spans="2:133" x14ac:dyDescent="0.25"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 s="76"/>
      <c r="BH3" s="76"/>
      <c r="BI3" s="76"/>
      <c r="BJ3" s="76"/>
      <c r="BK3" s="76"/>
      <c r="BL3" s="76"/>
      <c r="BM3" s="76"/>
      <c r="BN3" s="76"/>
      <c r="BO3" s="76"/>
      <c r="BP3" s="76"/>
      <c r="BQ3" s="76"/>
      <c r="BR3" s="76"/>
      <c r="BS3" s="76"/>
      <c r="BT3" s="76"/>
      <c r="BU3" s="76"/>
      <c r="BV3" s="76"/>
      <c r="BW3" s="76"/>
      <c r="BX3" s="76"/>
      <c r="BY3" s="76"/>
      <c r="BZ3" s="76"/>
      <c r="CA3" s="76"/>
      <c r="CB3" s="76"/>
      <c r="CC3" s="76"/>
      <c r="CD3" s="76"/>
      <c r="CE3" s="76"/>
      <c r="CF3" s="76"/>
      <c r="CH3" s="46">
        <f>+SUM(CH5:CH156)</f>
        <v>0</v>
      </c>
      <c r="CI3" s="46">
        <f t="shared" ref="CI3:DX3" si="0">+SUM(CI5:CI156)</f>
        <v>0</v>
      </c>
      <c r="CJ3" s="46">
        <f t="shared" si="0"/>
        <v>1</v>
      </c>
      <c r="CK3" s="46">
        <f t="shared" si="0"/>
        <v>0</v>
      </c>
      <c r="CL3" s="46">
        <f t="shared" si="0"/>
        <v>1</v>
      </c>
      <c r="CM3" s="46">
        <f t="shared" si="0"/>
        <v>1</v>
      </c>
      <c r="CN3" s="46">
        <f t="shared" si="0"/>
        <v>2</v>
      </c>
      <c r="CO3" s="46">
        <f t="shared" si="0"/>
        <v>0</v>
      </c>
      <c r="CP3" s="46">
        <f t="shared" si="0"/>
        <v>2</v>
      </c>
      <c r="CQ3" s="46">
        <f t="shared" si="0"/>
        <v>0</v>
      </c>
      <c r="CR3" s="46">
        <f t="shared" si="0"/>
        <v>0</v>
      </c>
      <c r="CS3" s="46">
        <f t="shared" si="0"/>
        <v>0</v>
      </c>
      <c r="CT3" s="46">
        <f t="shared" si="0"/>
        <v>0</v>
      </c>
      <c r="CU3" s="46">
        <f t="shared" si="0"/>
        <v>0</v>
      </c>
      <c r="CV3" s="46">
        <f t="shared" si="0"/>
        <v>0</v>
      </c>
      <c r="CW3" s="46">
        <f t="shared" si="0"/>
        <v>1</v>
      </c>
      <c r="CX3" s="46">
        <f t="shared" si="0"/>
        <v>0</v>
      </c>
      <c r="CY3" s="46">
        <f t="shared" si="0"/>
        <v>0</v>
      </c>
      <c r="CZ3" s="46">
        <f t="shared" si="0"/>
        <v>0</v>
      </c>
      <c r="DA3" s="46">
        <f t="shared" si="0"/>
        <v>0</v>
      </c>
      <c r="DB3" s="46">
        <f t="shared" si="0"/>
        <v>0</v>
      </c>
      <c r="DC3" s="46">
        <f t="shared" si="0"/>
        <v>2</v>
      </c>
      <c r="DD3" s="46">
        <f t="shared" si="0"/>
        <v>0</v>
      </c>
      <c r="DE3" s="46">
        <f t="shared" si="0"/>
        <v>0</v>
      </c>
      <c r="DF3" s="46">
        <f t="shared" si="0"/>
        <v>0</v>
      </c>
      <c r="DG3" s="46">
        <f t="shared" si="0"/>
        <v>0</v>
      </c>
      <c r="DH3" s="46">
        <f t="shared" si="0"/>
        <v>2</v>
      </c>
      <c r="DI3" s="46">
        <f t="shared" si="0"/>
        <v>9</v>
      </c>
      <c r="DJ3" s="46">
        <f t="shared" si="0"/>
        <v>7</v>
      </c>
      <c r="DK3" s="46">
        <f t="shared" si="0"/>
        <v>3</v>
      </c>
      <c r="DL3" s="46">
        <f t="shared" si="0"/>
        <v>2</v>
      </c>
      <c r="DM3" s="46">
        <f t="shared" si="0"/>
        <v>0</v>
      </c>
      <c r="DN3" s="46">
        <f t="shared" si="0"/>
        <v>0</v>
      </c>
      <c r="DO3" s="46">
        <f t="shared" si="0"/>
        <v>82</v>
      </c>
      <c r="DR3" s="46">
        <f t="shared" si="0"/>
        <v>82</v>
      </c>
      <c r="DU3" s="46">
        <f t="shared" si="0"/>
        <v>0</v>
      </c>
      <c r="DV3" s="46">
        <f t="shared" si="0"/>
        <v>0</v>
      </c>
      <c r="DW3" s="46">
        <f t="shared" si="0"/>
        <v>1</v>
      </c>
      <c r="DX3" s="46">
        <f t="shared" si="0"/>
        <v>1</v>
      </c>
    </row>
    <row r="4" spans="2:133" x14ac:dyDescent="0.25">
      <c r="B4" s="47" t="s">
        <v>8440</v>
      </c>
      <c r="C4" s="47" t="s">
        <v>22</v>
      </c>
      <c r="D4" s="47" t="s">
        <v>8441</v>
      </c>
      <c r="E4" s="47" t="s">
        <v>8442</v>
      </c>
      <c r="F4" s="47" t="s">
        <v>8443</v>
      </c>
      <c r="G4" s="47" t="s">
        <v>8444</v>
      </c>
      <c r="H4" s="47" t="s">
        <v>8445</v>
      </c>
      <c r="I4" s="47" t="s">
        <v>8446</v>
      </c>
      <c r="J4" s="47" t="s">
        <v>8447</v>
      </c>
      <c r="K4" s="47" t="s">
        <v>8448</v>
      </c>
      <c r="L4" s="47" t="s">
        <v>8449</v>
      </c>
      <c r="M4" s="47" t="s">
        <v>8450</v>
      </c>
      <c r="N4" s="47" t="s">
        <v>8451</v>
      </c>
      <c r="O4" s="47" t="s">
        <v>8452</v>
      </c>
      <c r="P4" s="47" t="s">
        <v>8453</v>
      </c>
      <c r="Q4" s="47" t="s">
        <v>8454</v>
      </c>
      <c r="R4" s="47" t="s">
        <v>8455</v>
      </c>
      <c r="S4" s="47" t="s">
        <v>8456</v>
      </c>
      <c r="T4" s="47" t="s">
        <v>8457</v>
      </c>
      <c r="U4" s="47" t="s">
        <v>8458</v>
      </c>
      <c r="V4" s="47" t="s">
        <v>8459</v>
      </c>
      <c r="W4" s="47" t="s">
        <v>8460</v>
      </c>
      <c r="X4" s="47" t="s">
        <v>8461</v>
      </c>
      <c r="Y4" s="47" t="s">
        <v>8462</v>
      </c>
      <c r="Z4" s="47" t="s">
        <v>8463</v>
      </c>
      <c r="AA4" s="47" t="s">
        <v>8464</v>
      </c>
      <c r="AB4" s="47" t="s">
        <v>8465</v>
      </c>
      <c r="AC4" s="47" t="s">
        <v>8466</v>
      </c>
      <c r="AD4" s="47" t="s">
        <v>8467</v>
      </c>
      <c r="AE4" s="47" t="s">
        <v>8468</v>
      </c>
      <c r="AF4" s="47" t="s">
        <v>8469</v>
      </c>
      <c r="AG4" s="47" t="s">
        <v>8470</v>
      </c>
      <c r="AH4" s="47" t="s">
        <v>8471</v>
      </c>
      <c r="AI4" s="47" t="s">
        <v>8472</v>
      </c>
      <c r="AJ4" s="47" t="s">
        <v>8473</v>
      </c>
      <c r="AK4" s="47" t="s">
        <v>8474</v>
      </c>
      <c r="AL4" s="47" t="s">
        <v>8475</v>
      </c>
      <c r="AM4" s="47" t="s">
        <v>8476</v>
      </c>
      <c r="AN4" s="47" t="s">
        <v>8477</v>
      </c>
      <c r="AO4" s="47" t="s">
        <v>8478</v>
      </c>
      <c r="AP4" s="47" t="s">
        <v>8479</v>
      </c>
      <c r="AR4" s="47" t="s">
        <v>8440</v>
      </c>
      <c r="AS4" s="47" t="s">
        <v>22</v>
      </c>
      <c r="AT4" s="47" t="s">
        <v>8441</v>
      </c>
      <c r="AU4" s="47" t="s">
        <v>8442</v>
      </c>
      <c r="AV4" s="47" t="s">
        <v>8443</v>
      </c>
      <c r="AW4" s="47" t="s">
        <v>8444</v>
      </c>
      <c r="AX4" s="47" t="s">
        <v>8445</v>
      </c>
      <c r="AY4" s="47" t="s">
        <v>8446</v>
      </c>
      <c r="AZ4" s="47" t="s">
        <v>8447</v>
      </c>
      <c r="BA4" s="47" t="s">
        <v>8448</v>
      </c>
      <c r="BB4" s="47" t="s">
        <v>8449</v>
      </c>
      <c r="BC4" s="47" t="s">
        <v>8450</v>
      </c>
      <c r="BD4" s="47" t="s">
        <v>8451</v>
      </c>
      <c r="BE4" s="47" t="s">
        <v>8452</v>
      </c>
      <c r="BF4" s="47" t="s">
        <v>8453</v>
      </c>
      <c r="BG4" s="47" t="s">
        <v>8454</v>
      </c>
      <c r="BH4" s="47" t="s">
        <v>8455</v>
      </c>
      <c r="BI4" s="47" t="s">
        <v>8456</v>
      </c>
      <c r="BJ4" s="47" t="s">
        <v>8457</v>
      </c>
      <c r="BK4" s="47" t="s">
        <v>8458</v>
      </c>
      <c r="BL4" s="47" t="s">
        <v>8459</v>
      </c>
      <c r="BM4" s="47" t="s">
        <v>8460</v>
      </c>
      <c r="BN4" s="47" t="s">
        <v>8461</v>
      </c>
      <c r="BO4" s="47" t="s">
        <v>8462</v>
      </c>
      <c r="BP4" s="47" t="s">
        <v>8463</v>
      </c>
      <c r="BQ4" s="47" t="s">
        <v>8464</v>
      </c>
      <c r="BR4" s="47" t="s">
        <v>8465</v>
      </c>
      <c r="BS4" s="47" t="s">
        <v>8466</v>
      </c>
      <c r="BT4" s="47" t="s">
        <v>8467</v>
      </c>
      <c r="BU4" s="47" t="s">
        <v>8468</v>
      </c>
      <c r="BV4" s="47" t="s">
        <v>8469</v>
      </c>
      <c r="BW4" s="47" t="s">
        <v>8470</v>
      </c>
      <c r="BX4" s="47" t="s">
        <v>8471</v>
      </c>
      <c r="BY4" s="47" t="s">
        <v>8472</v>
      </c>
      <c r="BZ4" s="47" t="s">
        <v>8473</v>
      </c>
      <c r="CA4" s="47" t="s">
        <v>8474</v>
      </c>
      <c r="CB4" s="47" t="s">
        <v>8475</v>
      </c>
      <c r="CC4" s="47" t="s">
        <v>8476</v>
      </c>
      <c r="CD4" s="47" t="s">
        <v>8477</v>
      </c>
      <c r="CE4" s="47" t="s">
        <v>8478</v>
      </c>
      <c r="CF4" s="47" t="s">
        <v>8479</v>
      </c>
      <c r="CH4" s="48" t="s">
        <v>22</v>
      </c>
      <c r="CI4" s="48" t="s">
        <v>8441</v>
      </c>
      <c r="CJ4" s="48" t="s">
        <v>8442</v>
      </c>
      <c r="CK4" s="48" t="s">
        <v>8443</v>
      </c>
      <c r="CL4" s="48" t="s">
        <v>8444</v>
      </c>
      <c r="CM4" s="48" t="s">
        <v>8445</v>
      </c>
      <c r="CN4" s="48" t="s">
        <v>8446</v>
      </c>
      <c r="CO4" s="48" t="s">
        <v>8447</v>
      </c>
      <c r="CP4" s="48" t="s">
        <v>8448</v>
      </c>
      <c r="CQ4" s="48" t="s">
        <v>8449</v>
      </c>
      <c r="CR4" s="48" t="s">
        <v>8450</v>
      </c>
      <c r="CS4" s="48" t="s">
        <v>8451</v>
      </c>
      <c r="CT4" s="48" t="s">
        <v>8452</v>
      </c>
      <c r="CU4" s="48" t="s">
        <v>8453</v>
      </c>
      <c r="CV4" s="48" t="s">
        <v>8454</v>
      </c>
      <c r="CW4" s="48" t="s">
        <v>8455</v>
      </c>
      <c r="CX4" s="48" t="s">
        <v>8456</v>
      </c>
      <c r="CY4" s="48" t="s">
        <v>8457</v>
      </c>
      <c r="CZ4" s="48" t="s">
        <v>8458</v>
      </c>
      <c r="DA4" s="48" t="s">
        <v>8459</v>
      </c>
      <c r="DB4" s="48" t="s">
        <v>8460</v>
      </c>
      <c r="DC4" s="48" t="s">
        <v>8461</v>
      </c>
      <c r="DD4" s="48" t="s">
        <v>8462</v>
      </c>
      <c r="DE4" s="48" t="s">
        <v>8463</v>
      </c>
      <c r="DF4" s="48" t="s">
        <v>8464</v>
      </c>
      <c r="DG4" s="48" t="s">
        <v>8465</v>
      </c>
      <c r="DH4" s="48" t="s">
        <v>8466</v>
      </c>
      <c r="DI4" s="48" t="s">
        <v>8467</v>
      </c>
      <c r="DJ4" s="48" t="s">
        <v>8468</v>
      </c>
      <c r="DK4" s="48" t="s">
        <v>8469</v>
      </c>
      <c r="DL4" s="48" t="s">
        <v>8470</v>
      </c>
      <c r="DM4" s="48" t="s">
        <v>8471</v>
      </c>
      <c r="DN4" s="48" t="s">
        <v>8472</v>
      </c>
      <c r="DO4" s="48" t="s">
        <v>8473</v>
      </c>
      <c r="DP4" s="47" t="s">
        <v>8480</v>
      </c>
      <c r="DQ4" s="47" t="s">
        <v>8481</v>
      </c>
      <c r="DR4" s="48" t="s">
        <v>8474</v>
      </c>
      <c r="DS4" s="47" t="s">
        <v>8480</v>
      </c>
      <c r="DT4" s="47" t="s">
        <v>8481</v>
      </c>
      <c r="DU4" s="48" t="s">
        <v>8475</v>
      </c>
      <c r="DV4" s="48" t="s">
        <v>8476</v>
      </c>
      <c r="DW4" s="48" t="s">
        <v>8477</v>
      </c>
      <c r="DX4" s="48" t="s">
        <v>8478</v>
      </c>
      <c r="DY4" s="49" t="s">
        <v>8482</v>
      </c>
      <c r="DZ4" s="51" t="s">
        <v>8483</v>
      </c>
      <c r="EA4" s="51" t="s">
        <v>8484</v>
      </c>
      <c r="EB4" s="51" t="s">
        <v>8479</v>
      </c>
      <c r="EC4" s="49" t="s">
        <v>8485</v>
      </c>
    </row>
    <row r="5" spans="2:133" x14ac:dyDescent="0.25">
      <c r="B5" s="33"/>
      <c r="C5" s="33" t="s">
        <v>117</v>
      </c>
      <c r="D5" s="33" t="s">
        <v>8486</v>
      </c>
      <c r="E5" s="33" t="s">
        <v>8487</v>
      </c>
      <c r="F5" s="33" t="s">
        <v>8488</v>
      </c>
      <c r="G5" s="33" t="s">
        <v>8487</v>
      </c>
      <c r="H5" s="33" t="s">
        <v>8489</v>
      </c>
      <c r="I5" s="33" t="s">
        <v>8490</v>
      </c>
      <c r="J5" s="33" t="s">
        <v>8487</v>
      </c>
      <c r="K5" s="33" t="s">
        <v>8491</v>
      </c>
      <c r="L5" s="33" t="s">
        <v>8492</v>
      </c>
      <c r="M5" s="33" t="s">
        <v>8493</v>
      </c>
      <c r="N5" s="33" t="s">
        <v>8494</v>
      </c>
      <c r="O5" s="33"/>
      <c r="P5" s="33"/>
      <c r="Q5" s="33" t="s">
        <v>8492</v>
      </c>
      <c r="R5" s="33" t="s">
        <v>8495</v>
      </c>
      <c r="S5" s="33"/>
      <c r="T5" s="33"/>
      <c r="U5" s="33" t="s">
        <v>8496</v>
      </c>
      <c r="V5" s="33" t="s">
        <v>8497</v>
      </c>
      <c r="W5" s="33" t="s">
        <v>8498</v>
      </c>
      <c r="X5" s="33" t="s">
        <v>8499</v>
      </c>
      <c r="Y5" s="33" t="s">
        <v>8500</v>
      </c>
      <c r="Z5" s="33" t="s">
        <v>8500</v>
      </c>
      <c r="AA5" s="33" t="s">
        <v>8500</v>
      </c>
      <c r="AB5" s="33" t="s">
        <v>8500</v>
      </c>
      <c r="AC5" s="33"/>
      <c r="AD5" s="33" t="s">
        <v>8501</v>
      </c>
      <c r="AE5" s="33" t="s">
        <v>8502</v>
      </c>
      <c r="AF5" s="33" t="s">
        <v>8503</v>
      </c>
      <c r="AG5" s="33" t="s">
        <v>8504</v>
      </c>
      <c r="AH5" s="33" t="s">
        <v>8505</v>
      </c>
      <c r="AI5" s="33"/>
      <c r="AJ5" s="33" t="s">
        <v>8506</v>
      </c>
      <c r="AK5" s="33" t="s">
        <v>8507</v>
      </c>
      <c r="AL5" s="33" t="s">
        <v>8508</v>
      </c>
      <c r="AM5" s="33" t="s">
        <v>8509</v>
      </c>
      <c r="AN5" s="33" t="s">
        <v>8510</v>
      </c>
      <c r="AO5" s="33" t="s">
        <v>8511</v>
      </c>
      <c r="AP5" s="33">
        <v>1</v>
      </c>
      <c r="AQ5" s="5" t="s">
        <v>10037</v>
      </c>
      <c r="AR5" s="33"/>
      <c r="AS5" s="33" t="s">
        <v>117</v>
      </c>
      <c r="AT5" s="33" t="s">
        <v>8486</v>
      </c>
      <c r="AU5" s="33" t="s">
        <v>8487</v>
      </c>
      <c r="AV5" s="33" t="s">
        <v>8488</v>
      </c>
      <c r="AW5" s="33" t="s">
        <v>8487</v>
      </c>
      <c r="AX5" s="33" t="s">
        <v>8489</v>
      </c>
      <c r="AY5" s="33" t="s">
        <v>8490</v>
      </c>
      <c r="AZ5" s="33" t="s">
        <v>8487</v>
      </c>
      <c r="BA5" s="33" t="s">
        <v>8491</v>
      </c>
      <c r="BB5" s="33" t="s">
        <v>8492</v>
      </c>
      <c r="BC5" s="33" t="s">
        <v>8493</v>
      </c>
      <c r="BD5" s="33" t="s">
        <v>8494</v>
      </c>
      <c r="BE5" s="33"/>
      <c r="BF5" s="33"/>
      <c r="BG5" s="33" t="s">
        <v>8492</v>
      </c>
      <c r="BH5" s="33" t="s">
        <v>8495</v>
      </c>
      <c r="BI5" s="33"/>
      <c r="BJ5" s="33"/>
      <c r="BK5" s="33" t="s">
        <v>8496</v>
      </c>
      <c r="BL5" s="33" t="s">
        <v>8497</v>
      </c>
      <c r="BM5" s="33" t="s">
        <v>8498</v>
      </c>
      <c r="BN5" s="33" t="s">
        <v>8499</v>
      </c>
      <c r="BO5" s="33" t="s">
        <v>8500</v>
      </c>
      <c r="BP5" s="33" t="s">
        <v>8500</v>
      </c>
      <c r="BQ5" s="33" t="s">
        <v>8500</v>
      </c>
      <c r="BR5" s="33" t="s">
        <v>8500</v>
      </c>
      <c r="BS5" s="33"/>
      <c r="BT5" s="33"/>
      <c r="BU5" s="33" t="s">
        <v>8502</v>
      </c>
      <c r="BV5" s="33" t="s">
        <v>8503</v>
      </c>
      <c r="BW5" s="33" t="s">
        <v>8504</v>
      </c>
      <c r="BX5" s="33" t="s">
        <v>8505</v>
      </c>
      <c r="BY5" s="33"/>
      <c r="BZ5" s="33"/>
      <c r="CA5" s="33"/>
      <c r="CB5" s="33" t="s">
        <v>8508</v>
      </c>
      <c r="CC5" s="33" t="s">
        <v>8509</v>
      </c>
      <c r="CD5" s="33" t="s">
        <v>8510</v>
      </c>
      <c r="CE5" s="33" t="s">
        <v>8511</v>
      </c>
      <c r="CF5" s="33">
        <v>2</v>
      </c>
      <c r="CG5" s="5" t="s">
        <v>10037</v>
      </c>
      <c r="CH5" s="33">
        <f>+IF(C5=AS5,0,1)</f>
        <v>0</v>
      </c>
      <c r="CI5" s="33">
        <f t="shared" ref="CI5:CX20" si="1">+IF(D5=AT5,0,1)</f>
        <v>0</v>
      </c>
      <c r="CJ5" s="33">
        <f t="shared" si="1"/>
        <v>0</v>
      </c>
      <c r="CK5" s="33">
        <f t="shared" si="1"/>
        <v>0</v>
      </c>
      <c r="CL5" s="33">
        <f t="shared" si="1"/>
        <v>0</v>
      </c>
      <c r="CM5" s="33">
        <f t="shared" si="1"/>
        <v>0</v>
      </c>
      <c r="CN5" s="33">
        <f t="shared" si="1"/>
        <v>0</v>
      </c>
      <c r="CO5" s="33">
        <f t="shared" si="1"/>
        <v>0</v>
      </c>
      <c r="CP5" s="33">
        <f t="shared" si="1"/>
        <v>0</v>
      </c>
      <c r="CQ5" s="33">
        <f t="shared" si="1"/>
        <v>0</v>
      </c>
      <c r="CR5" s="33">
        <f t="shared" si="1"/>
        <v>0</v>
      </c>
      <c r="CS5" s="33">
        <f t="shared" si="1"/>
        <v>0</v>
      </c>
      <c r="CT5" s="33">
        <f t="shared" si="1"/>
        <v>0</v>
      </c>
      <c r="CU5" s="33">
        <f t="shared" si="1"/>
        <v>0</v>
      </c>
      <c r="CV5" s="33">
        <f t="shared" si="1"/>
        <v>0</v>
      </c>
      <c r="CW5" s="33">
        <f t="shared" si="1"/>
        <v>0</v>
      </c>
      <c r="CX5" s="33">
        <f t="shared" si="1"/>
        <v>0</v>
      </c>
      <c r="CY5" s="33">
        <f t="shared" ref="CY5:DN20" si="2">+IF(T5=BJ5,0,1)</f>
        <v>0</v>
      </c>
      <c r="CZ5" s="33">
        <f t="shared" si="2"/>
        <v>0</v>
      </c>
      <c r="DA5" s="33">
        <f t="shared" si="2"/>
        <v>0</v>
      </c>
      <c r="DB5" s="33">
        <f t="shared" si="2"/>
        <v>0</v>
      </c>
      <c r="DC5" s="33">
        <f t="shared" si="2"/>
        <v>0</v>
      </c>
      <c r="DD5" s="33">
        <f t="shared" si="2"/>
        <v>0</v>
      </c>
      <c r="DE5" s="33">
        <f t="shared" si="2"/>
        <v>0</v>
      </c>
      <c r="DF5" s="33">
        <f t="shared" si="2"/>
        <v>0</v>
      </c>
      <c r="DG5" s="33">
        <f t="shared" si="2"/>
        <v>0</v>
      </c>
      <c r="DH5" s="33">
        <f t="shared" si="2"/>
        <v>0</v>
      </c>
      <c r="DI5" s="33">
        <f t="shared" si="2"/>
        <v>1</v>
      </c>
      <c r="DJ5" s="33">
        <f t="shared" si="2"/>
        <v>0</v>
      </c>
      <c r="DK5" s="33">
        <f t="shared" si="2"/>
        <v>0</v>
      </c>
      <c r="DL5" s="33">
        <f t="shared" si="2"/>
        <v>0</v>
      </c>
      <c r="DM5" s="33">
        <f t="shared" si="2"/>
        <v>0</v>
      </c>
      <c r="DN5" s="33">
        <f t="shared" si="2"/>
        <v>0</v>
      </c>
      <c r="DO5" s="33">
        <f t="shared" ref="DO5:DO68" si="3">+IF(AJ5=BZ5,0,1)</f>
        <v>1</v>
      </c>
      <c r="DP5" s="50" t="str">
        <f>+AJ5</f>
        <v>C</v>
      </c>
      <c r="DQ5" s="50">
        <f>+BZ5</f>
        <v>0</v>
      </c>
      <c r="DR5" s="33">
        <f t="shared" ref="DR5:DR68" si="4">+IF(AK5=CA5,0,1)</f>
        <v>1</v>
      </c>
      <c r="DS5" s="50" t="str">
        <f>+AK5</f>
        <v>4-MEDIA</v>
      </c>
      <c r="DT5" s="50">
        <f>+CA5</f>
        <v>0</v>
      </c>
      <c r="DU5" s="33">
        <f t="shared" ref="DU5:DX68" si="5">+IF(AL5=CB5,0,1)</f>
        <v>0</v>
      </c>
      <c r="DV5" s="33">
        <f t="shared" si="5"/>
        <v>0</v>
      </c>
      <c r="DW5" s="33">
        <f t="shared" si="5"/>
        <v>0</v>
      </c>
      <c r="DX5" s="33">
        <f t="shared" si="5"/>
        <v>0</v>
      </c>
      <c r="DY5" s="35">
        <f>+SUM(CH5:DO5,DR5,DU5:DX5)</f>
        <v>3</v>
      </c>
      <c r="DZ5" s="33">
        <f t="shared" ref="DZ5" si="6">+COUNTBLANK(C5:AO5)</f>
        <v>6</v>
      </c>
      <c r="EA5" s="33">
        <f t="shared" ref="EA5" si="7">+COUNTBLANK(AS5:CE5)</f>
        <v>9</v>
      </c>
      <c r="EB5" s="33" t="str">
        <f t="shared" ref="EB5" si="8">+IF(AND(DZ5=EA5,DY5=0),"IGUAL CAMPOS PREENCH",IF(DZ5&lt;=EA5,"AUX 1 COM + CAMPOS PREENC OU IGUAL","AUX 2 COM + CAMPOS PREENC"))</f>
        <v>AUX 1 COM + CAMPOS PREENC OU IGUAL</v>
      </c>
      <c r="EC5" s="33" t="s">
        <v>10034</v>
      </c>
    </row>
    <row r="6" spans="2:133" x14ac:dyDescent="0.25">
      <c r="B6" s="33" t="s">
        <v>8512</v>
      </c>
      <c r="C6" s="33" t="s">
        <v>61</v>
      </c>
      <c r="D6" s="33" t="s">
        <v>8513</v>
      </c>
      <c r="E6" s="33" t="s">
        <v>8514</v>
      </c>
      <c r="F6" s="33" t="s">
        <v>8515</v>
      </c>
      <c r="G6" s="33" t="s">
        <v>8516</v>
      </c>
      <c r="H6" s="33" t="s">
        <v>8517</v>
      </c>
      <c r="I6" s="33" t="s">
        <v>8516</v>
      </c>
      <c r="J6" s="33" t="s">
        <v>8518</v>
      </c>
      <c r="K6" s="33" t="s">
        <v>8519</v>
      </c>
      <c r="L6" s="33" t="s">
        <v>8520</v>
      </c>
      <c r="M6" s="33" t="s">
        <v>8518</v>
      </c>
      <c r="N6" s="33" t="s">
        <v>8521</v>
      </c>
      <c r="O6" s="33"/>
      <c r="P6" s="33"/>
      <c r="Q6" s="33" t="s">
        <v>8520</v>
      </c>
      <c r="R6" s="33"/>
      <c r="S6" s="33"/>
      <c r="T6" s="33"/>
      <c r="U6" s="33" t="s">
        <v>8522</v>
      </c>
      <c r="V6" s="33" t="s">
        <v>8523</v>
      </c>
      <c r="W6" s="33" t="s">
        <v>8524</v>
      </c>
      <c r="X6" s="33"/>
      <c r="Y6" s="33" t="s">
        <v>8525</v>
      </c>
      <c r="Z6" s="33" t="s">
        <v>8500</v>
      </c>
      <c r="AA6" s="33" t="s">
        <v>8500</v>
      </c>
      <c r="AB6" s="33" t="s">
        <v>8500</v>
      </c>
      <c r="AC6" s="33"/>
      <c r="AD6" s="33"/>
      <c r="AE6" s="33"/>
      <c r="AF6" s="33" t="s">
        <v>8526</v>
      </c>
      <c r="AG6" s="33"/>
      <c r="AH6" s="33" t="s">
        <v>8527</v>
      </c>
      <c r="AI6" s="33"/>
      <c r="AJ6" s="33"/>
      <c r="AK6" s="33"/>
      <c r="AL6" s="33" t="s">
        <v>8528</v>
      </c>
      <c r="AM6" s="33" t="s">
        <v>8506</v>
      </c>
      <c r="AN6" s="33" t="s">
        <v>8529</v>
      </c>
      <c r="AO6" s="33" t="s">
        <v>8530</v>
      </c>
      <c r="AP6" s="33">
        <v>1</v>
      </c>
      <c r="AQ6" s="5" t="s">
        <v>10037</v>
      </c>
      <c r="AR6" s="33"/>
      <c r="AS6" s="33" t="s">
        <v>61</v>
      </c>
      <c r="AT6" s="33" t="s">
        <v>8513</v>
      </c>
      <c r="AU6" s="33" t="s">
        <v>8514</v>
      </c>
      <c r="AV6" s="33" t="s">
        <v>8515</v>
      </c>
      <c r="AW6" s="33" t="s">
        <v>8516</v>
      </c>
      <c r="AX6" s="33" t="s">
        <v>8517</v>
      </c>
      <c r="AY6" s="33" t="s">
        <v>8516</v>
      </c>
      <c r="AZ6" s="33" t="s">
        <v>8518</v>
      </c>
      <c r="BA6" s="33" t="s">
        <v>8519</v>
      </c>
      <c r="BB6" s="33" t="s">
        <v>8520</v>
      </c>
      <c r="BC6" s="33" t="s">
        <v>8518</v>
      </c>
      <c r="BD6" s="33" t="s">
        <v>8521</v>
      </c>
      <c r="BE6" s="33"/>
      <c r="BF6" s="33"/>
      <c r="BG6" s="33" t="s">
        <v>8520</v>
      </c>
      <c r="BH6" s="33"/>
      <c r="BI6" s="33"/>
      <c r="BJ6" s="33"/>
      <c r="BK6" s="33" t="s">
        <v>8522</v>
      </c>
      <c r="BL6" s="33" t="s">
        <v>8523</v>
      </c>
      <c r="BM6" s="33" t="s">
        <v>8524</v>
      </c>
      <c r="BN6" s="33"/>
      <c r="BO6" s="33" t="s">
        <v>8525</v>
      </c>
      <c r="BP6" s="33" t="s">
        <v>8500</v>
      </c>
      <c r="BQ6" s="33" t="s">
        <v>8500</v>
      </c>
      <c r="BR6" s="33" t="s">
        <v>8500</v>
      </c>
      <c r="BS6" s="33"/>
      <c r="BT6" s="33"/>
      <c r="BU6" s="33"/>
      <c r="BV6" s="33" t="s">
        <v>8526</v>
      </c>
      <c r="BW6" s="33"/>
      <c r="BX6" s="33" t="s">
        <v>8527</v>
      </c>
      <c r="BY6" s="33"/>
      <c r="BZ6" s="33"/>
      <c r="CA6" s="33"/>
      <c r="CB6" s="33" t="s">
        <v>8528</v>
      </c>
      <c r="CC6" s="33" t="s">
        <v>8506</v>
      </c>
      <c r="CD6" s="33" t="s">
        <v>8529</v>
      </c>
      <c r="CE6" s="33" t="s">
        <v>8530</v>
      </c>
      <c r="CF6" s="33">
        <v>2</v>
      </c>
      <c r="CG6" s="5" t="s">
        <v>10037</v>
      </c>
      <c r="CH6" s="33">
        <f t="shared" ref="CH6:CW35" si="9">+IF(C6=AS6,0,1)</f>
        <v>0</v>
      </c>
      <c r="CI6" s="33">
        <f t="shared" si="1"/>
        <v>0</v>
      </c>
      <c r="CJ6" s="33">
        <f t="shared" si="1"/>
        <v>0</v>
      </c>
      <c r="CK6" s="33">
        <f t="shared" si="1"/>
        <v>0</v>
      </c>
      <c r="CL6" s="33">
        <f t="shared" si="1"/>
        <v>0</v>
      </c>
      <c r="CM6" s="33">
        <f t="shared" si="1"/>
        <v>0</v>
      </c>
      <c r="CN6" s="33">
        <f t="shared" si="1"/>
        <v>0</v>
      </c>
      <c r="CO6" s="33">
        <f t="shared" si="1"/>
        <v>0</v>
      </c>
      <c r="CP6" s="33">
        <f t="shared" si="1"/>
        <v>0</v>
      </c>
      <c r="CQ6" s="33">
        <f t="shared" si="1"/>
        <v>0</v>
      </c>
      <c r="CR6" s="33">
        <f t="shared" si="1"/>
        <v>0</v>
      </c>
      <c r="CS6" s="33">
        <f t="shared" si="1"/>
        <v>0</v>
      </c>
      <c r="CT6" s="33">
        <f t="shared" si="1"/>
        <v>0</v>
      </c>
      <c r="CU6" s="33">
        <f t="shared" si="1"/>
        <v>0</v>
      </c>
      <c r="CV6" s="33">
        <f t="shared" si="1"/>
        <v>0</v>
      </c>
      <c r="CW6" s="33">
        <f t="shared" si="1"/>
        <v>0</v>
      </c>
      <c r="CX6" s="33">
        <f t="shared" si="1"/>
        <v>0</v>
      </c>
      <c r="CY6" s="33">
        <f t="shared" si="2"/>
        <v>0</v>
      </c>
      <c r="CZ6" s="33">
        <f t="shared" si="2"/>
        <v>0</v>
      </c>
      <c r="DA6" s="33">
        <f t="shared" si="2"/>
        <v>0</v>
      </c>
      <c r="DB6" s="33">
        <f t="shared" si="2"/>
        <v>0</v>
      </c>
      <c r="DC6" s="33">
        <f t="shared" si="2"/>
        <v>0</v>
      </c>
      <c r="DD6" s="33">
        <f t="shared" si="2"/>
        <v>0</v>
      </c>
      <c r="DE6" s="33">
        <f t="shared" si="2"/>
        <v>0</v>
      </c>
      <c r="DF6" s="33">
        <f t="shared" si="2"/>
        <v>0</v>
      </c>
      <c r="DG6" s="33">
        <f t="shared" si="2"/>
        <v>0</v>
      </c>
      <c r="DH6" s="33">
        <f t="shared" si="2"/>
        <v>0</v>
      </c>
      <c r="DI6" s="33">
        <f t="shared" si="2"/>
        <v>0</v>
      </c>
      <c r="DJ6" s="33">
        <f t="shared" si="2"/>
        <v>0</v>
      </c>
      <c r="DK6" s="33">
        <f t="shared" si="2"/>
        <v>0</v>
      </c>
      <c r="DL6" s="33">
        <f t="shared" si="2"/>
        <v>0</v>
      </c>
      <c r="DM6" s="33">
        <f t="shared" si="2"/>
        <v>0</v>
      </c>
      <c r="DN6" s="33">
        <f t="shared" si="2"/>
        <v>0</v>
      </c>
      <c r="DO6" s="33">
        <f t="shared" si="3"/>
        <v>0</v>
      </c>
      <c r="DP6" s="50">
        <f t="shared" ref="DP6:DP69" si="10">+AJ6</f>
        <v>0</v>
      </c>
      <c r="DQ6" s="50">
        <f t="shared" ref="DQ6:DQ69" si="11">+BZ6</f>
        <v>0</v>
      </c>
      <c r="DR6" s="33">
        <f t="shared" si="4"/>
        <v>0</v>
      </c>
      <c r="DS6" s="50">
        <f t="shared" ref="DS6:DS69" si="12">+AK6</f>
        <v>0</v>
      </c>
      <c r="DT6" s="50">
        <f t="shared" ref="DT6:DT69" si="13">+CA6</f>
        <v>0</v>
      </c>
      <c r="DU6" s="33">
        <f t="shared" si="5"/>
        <v>0</v>
      </c>
      <c r="DV6" s="33">
        <f t="shared" si="5"/>
        <v>0</v>
      </c>
      <c r="DW6" s="33">
        <f t="shared" si="5"/>
        <v>0</v>
      </c>
      <c r="DX6" s="33">
        <f t="shared" si="5"/>
        <v>0</v>
      </c>
      <c r="DY6" s="35">
        <f t="shared" ref="DY6:DY69" si="14">+SUM(CH6:DO6,DR6,DU6:DX6)</f>
        <v>0</v>
      </c>
      <c r="DZ6" s="33">
        <f>+COUNTBLANK(C6:AO6)</f>
        <v>13</v>
      </c>
      <c r="EA6" s="33">
        <f>+COUNTBLANK(AS6:CE6)</f>
        <v>13</v>
      </c>
      <c r="EB6" s="33" t="str">
        <f>+IF(AND(DZ6=EA6,DY6=0),"IGUAL CAMPOS PREENCH",IF(DZ6&lt;=EA6,"AUX 1 COM + CAMPOS PREENC OU IGUAL","AUX 2 COM + CAMPOS PREENC"))</f>
        <v>IGUAL CAMPOS PREENCH</v>
      </c>
      <c r="EC6" s="33" t="s">
        <v>10035</v>
      </c>
    </row>
    <row r="7" spans="2:133" x14ac:dyDescent="0.25">
      <c r="B7" s="33"/>
      <c r="C7" s="33" t="s">
        <v>140</v>
      </c>
      <c r="D7" s="33" t="s">
        <v>8513</v>
      </c>
      <c r="E7" s="33" t="s">
        <v>8514</v>
      </c>
      <c r="F7" s="33" t="s">
        <v>8531</v>
      </c>
      <c r="G7" s="33" t="s">
        <v>8532</v>
      </c>
      <c r="H7" s="33" t="s">
        <v>8533</v>
      </c>
      <c r="I7" s="33" t="s">
        <v>8534</v>
      </c>
      <c r="J7" s="33" t="s">
        <v>8535</v>
      </c>
      <c r="K7" s="33" t="s">
        <v>8536</v>
      </c>
      <c r="L7" s="33" t="s">
        <v>8537</v>
      </c>
      <c r="M7" s="33" t="s">
        <v>8538</v>
      </c>
      <c r="N7" s="33" t="s">
        <v>8539</v>
      </c>
      <c r="O7" s="33" t="s">
        <v>8539</v>
      </c>
      <c r="P7" s="33"/>
      <c r="Q7" s="33" t="s">
        <v>8540</v>
      </c>
      <c r="R7" s="33" t="s">
        <v>8541</v>
      </c>
      <c r="S7" s="33"/>
      <c r="T7" s="33"/>
      <c r="U7" s="33" t="s">
        <v>8542</v>
      </c>
      <c r="V7" s="33"/>
      <c r="W7" s="33" t="s">
        <v>8543</v>
      </c>
      <c r="X7" s="33"/>
      <c r="Y7" s="33" t="s">
        <v>8525</v>
      </c>
      <c r="Z7" s="33" t="s">
        <v>8500</v>
      </c>
      <c r="AA7" s="33" t="s">
        <v>8500</v>
      </c>
      <c r="AB7" s="33" t="s">
        <v>8500</v>
      </c>
      <c r="AC7" s="33"/>
      <c r="AD7" s="33"/>
      <c r="AE7" s="33"/>
      <c r="AF7" s="33" t="s">
        <v>8544</v>
      </c>
      <c r="AG7" s="33"/>
      <c r="AH7" s="33" t="s">
        <v>8527</v>
      </c>
      <c r="AI7" s="33"/>
      <c r="AJ7" s="33" t="s">
        <v>8545</v>
      </c>
      <c r="AK7" s="33" t="s">
        <v>8528</v>
      </c>
      <c r="AL7" s="33" t="s">
        <v>8546</v>
      </c>
      <c r="AM7" s="33" t="s">
        <v>8506</v>
      </c>
      <c r="AN7" s="33" t="s">
        <v>8547</v>
      </c>
      <c r="AO7" s="33" t="s">
        <v>8548</v>
      </c>
      <c r="AP7" s="33">
        <v>1</v>
      </c>
      <c r="AQ7" s="5" t="s">
        <v>10037</v>
      </c>
      <c r="AR7" s="33" t="s">
        <v>8549</v>
      </c>
      <c r="AS7" s="33" t="s">
        <v>140</v>
      </c>
      <c r="AT7" s="33" t="s">
        <v>8513</v>
      </c>
      <c r="AU7" s="33" t="s">
        <v>8514</v>
      </c>
      <c r="AV7" s="33" t="s">
        <v>8531</v>
      </c>
      <c r="AW7" s="33" t="s">
        <v>8532</v>
      </c>
      <c r="AX7" s="33" t="s">
        <v>8533</v>
      </c>
      <c r="AY7" s="33" t="s">
        <v>8534</v>
      </c>
      <c r="AZ7" s="33" t="s">
        <v>8535</v>
      </c>
      <c r="BA7" s="33" t="s">
        <v>8536</v>
      </c>
      <c r="BB7" s="33" t="s">
        <v>8537</v>
      </c>
      <c r="BC7" s="33" t="s">
        <v>8538</v>
      </c>
      <c r="BD7" s="33" t="s">
        <v>8539</v>
      </c>
      <c r="BE7" s="33" t="s">
        <v>8539</v>
      </c>
      <c r="BF7" s="33"/>
      <c r="BG7" s="33" t="s">
        <v>8540</v>
      </c>
      <c r="BH7" s="33" t="s">
        <v>8541</v>
      </c>
      <c r="BI7" s="33"/>
      <c r="BJ7" s="33"/>
      <c r="BK7" s="33" t="s">
        <v>8542</v>
      </c>
      <c r="BL7" s="33"/>
      <c r="BM7" s="33" t="s">
        <v>8543</v>
      </c>
      <c r="BN7" s="33"/>
      <c r="BO7" s="33" t="s">
        <v>8525</v>
      </c>
      <c r="BP7" s="33" t="s">
        <v>8500</v>
      </c>
      <c r="BQ7" s="33" t="s">
        <v>8500</v>
      </c>
      <c r="BR7" s="33" t="s">
        <v>8500</v>
      </c>
      <c r="BS7" s="33"/>
      <c r="BT7" s="33"/>
      <c r="BU7" s="33"/>
      <c r="BV7" s="33" t="s">
        <v>8544</v>
      </c>
      <c r="BW7" s="33"/>
      <c r="BX7" s="33" t="s">
        <v>8527</v>
      </c>
      <c r="BY7" s="33"/>
      <c r="BZ7" s="33" t="s">
        <v>8545</v>
      </c>
      <c r="CA7" s="33" t="s">
        <v>8528</v>
      </c>
      <c r="CB7" s="33" t="s">
        <v>8546</v>
      </c>
      <c r="CC7" s="33" t="s">
        <v>8506</v>
      </c>
      <c r="CD7" s="33" t="s">
        <v>8547</v>
      </c>
      <c r="CE7" s="33" t="s">
        <v>8548</v>
      </c>
      <c r="CF7" s="33">
        <v>2</v>
      </c>
      <c r="CG7" s="5" t="s">
        <v>10037</v>
      </c>
      <c r="CH7" s="33">
        <f t="shared" si="9"/>
        <v>0</v>
      </c>
      <c r="CI7" s="33">
        <f t="shared" si="1"/>
        <v>0</v>
      </c>
      <c r="CJ7" s="33">
        <f t="shared" si="1"/>
        <v>0</v>
      </c>
      <c r="CK7" s="33">
        <f t="shared" si="1"/>
        <v>0</v>
      </c>
      <c r="CL7" s="33">
        <f t="shared" si="1"/>
        <v>0</v>
      </c>
      <c r="CM7" s="33">
        <f t="shared" si="1"/>
        <v>0</v>
      </c>
      <c r="CN7" s="33">
        <f t="shared" si="1"/>
        <v>0</v>
      </c>
      <c r="CO7" s="33">
        <f t="shared" si="1"/>
        <v>0</v>
      </c>
      <c r="CP7" s="33">
        <f t="shared" si="1"/>
        <v>0</v>
      </c>
      <c r="CQ7" s="33">
        <f t="shared" si="1"/>
        <v>0</v>
      </c>
      <c r="CR7" s="33">
        <f t="shared" si="1"/>
        <v>0</v>
      </c>
      <c r="CS7" s="33">
        <f t="shared" si="1"/>
        <v>0</v>
      </c>
      <c r="CT7" s="33">
        <f t="shared" si="1"/>
        <v>0</v>
      </c>
      <c r="CU7" s="33">
        <f t="shared" si="1"/>
        <v>0</v>
      </c>
      <c r="CV7" s="33">
        <f t="shared" si="1"/>
        <v>0</v>
      </c>
      <c r="CW7" s="33">
        <f t="shared" si="1"/>
        <v>0</v>
      </c>
      <c r="CX7" s="33">
        <f t="shared" si="1"/>
        <v>0</v>
      </c>
      <c r="CY7" s="33">
        <f t="shared" si="2"/>
        <v>0</v>
      </c>
      <c r="CZ7" s="33">
        <f t="shared" si="2"/>
        <v>0</v>
      </c>
      <c r="DA7" s="33">
        <f t="shared" si="2"/>
        <v>0</v>
      </c>
      <c r="DB7" s="33">
        <f t="shared" si="2"/>
        <v>0</v>
      </c>
      <c r="DC7" s="33">
        <f t="shared" si="2"/>
        <v>0</v>
      </c>
      <c r="DD7" s="33">
        <f t="shared" si="2"/>
        <v>0</v>
      </c>
      <c r="DE7" s="33">
        <f t="shared" si="2"/>
        <v>0</v>
      </c>
      <c r="DF7" s="33">
        <f t="shared" si="2"/>
        <v>0</v>
      </c>
      <c r="DG7" s="33">
        <f t="shared" si="2"/>
        <v>0</v>
      </c>
      <c r="DH7" s="33">
        <f t="shared" si="2"/>
        <v>0</v>
      </c>
      <c r="DI7" s="33">
        <f t="shared" si="2"/>
        <v>0</v>
      </c>
      <c r="DJ7" s="33">
        <f t="shared" si="2"/>
        <v>0</v>
      </c>
      <c r="DK7" s="33">
        <f t="shared" si="2"/>
        <v>0</v>
      </c>
      <c r="DL7" s="33">
        <f t="shared" si="2"/>
        <v>0</v>
      </c>
      <c r="DM7" s="33">
        <f t="shared" si="2"/>
        <v>0</v>
      </c>
      <c r="DN7" s="33">
        <f t="shared" si="2"/>
        <v>0</v>
      </c>
      <c r="DO7" s="33">
        <f t="shared" si="3"/>
        <v>0</v>
      </c>
      <c r="DP7" s="50" t="str">
        <f t="shared" si="10"/>
        <v>D</v>
      </c>
      <c r="DQ7" s="50" t="str">
        <f t="shared" si="11"/>
        <v>D</v>
      </c>
      <c r="DR7" s="33">
        <f t="shared" si="4"/>
        <v>0</v>
      </c>
      <c r="DS7" s="50" t="str">
        <f t="shared" si="12"/>
        <v>5-MEDIA BAJA</v>
      </c>
      <c r="DT7" s="50" t="str">
        <f t="shared" si="13"/>
        <v>5-MEDIA BAJA</v>
      </c>
      <c r="DU7" s="33">
        <f t="shared" si="5"/>
        <v>0</v>
      </c>
      <c r="DV7" s="33">
        <f t="shared" si="5"/>
        <v>0</v>
      </c>
      <c r="DW7" s="33">
        <f t="shared" si="5"/>
        <v>0</v>
      </c>
      <c r="DX7" s="33">
        <f t="shared" si="5"/>
        <v>0</v>
      </c>
      <c r="DY7" s="35">
        <f t="shared" si="14"/>
        <v>0</v>
      </c>
      <c r="DZ7" s="33">
        <f t="shared" ref="DZ7:DZ70" si="15">+COUNTBLANK(C7:AO7)</f>
        <v>10</v>
      </c>
      <c r="EA7" s="33">
        <f t="shared" ref="EA7:EA70" si="16">+COUNTBLANK(AS7:CE7)</f>
        <v>10</v>
      </c>
      <c r="EB7" s="33" t="str">
        <f t="shared" ref="EB7:EB70" si="17">+IF(AND(DZ7=EA7,DY7=0),"IGUAL CAMPOS PREENCH",IF(DZ7&lt;=EA7,"AUX 1 COM + CAMPOS PREENC OU IGUAL","AUX 2 COM + CAMPOS PREENC"))</f>
        <v>IGUAL CAMPOS PREENCH</v>
      </c>
      <c r="EC7" s="33" t="s">
        <v>10035</v>
      </c>
    </row>
    <row r="8" spans="2:133" x14ac:dyDescent="0.25">
      <c r="B8" s="33"/>
      <c r="C8" s="33" t="s">
        <v>158</v>
      </c>
      <c r="D8" s="33" t="s">
        <v>8550</v>
      </c>
      <c r="E8" s="33" t="s">
        <v>8551</v>
      </c>
      <c r="F8" s="33" t="s">
        <v>8552</v>
      </c>
      <c r="G8" s="33" t="s">
        <v>8553</v>
      </c>
      <c r="H8" s="33" t="s">
        <v>8554</v>
      </c>
      <c r="I8" s="33" t="s">
        <v>8555</v>
      </c>
      <c r="J8" s="33" t="s">
        <v>8556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 t="s">
        <v>8557</v>
      </c>
      <c r="V8" s="33"/>
      <c r="W8" s="33" t="s">
        <v>8500</v>
      </c>
      <c r="X8" s="33" t="s">
        <v>8558</v>
      </c>
      <c r="Y8" s="33" t="s">
        <v>8500</v>
      </c>
      <c r="Z8" s="33" t="s">
        <v>8500</v>
      </c>
      <c r="AA8" s="33" t="s">
        <v>8500</v>
      </c>
      <c r="AB8" s="33" t="s">
        <v>8525</v>
      </c>
      <c r="AC8" s="33"/>
      <c r="AD8" s="33"/>
      <c r="AE8" s="33" t="s">
        <v>8502</v>
      </c>
      <c r="AF8" s="33" t="s">
        <v>8559</v>
      </c>
      <c r="AG8" s="33"/>
      <c r="AH8" s="33" t="s">
        <v>8560</v>
      </c>
      <c r="AI8" s="33"/>
      <c r="AJ8" s="33"/>
      <c r="AK8" s="33"/>
      <c r="AL8" s="33" t="s">
        <v>8528</v>
      </c>
      <c r="AM8" s="33" t="s">
        <v>8545</v>
      </c>
      <c r="AN8" s="33" t="s">
        <v>8561</v>
      </c>
      <c r="AO8" s="33" t="s">
        <v>8562</v>
      </c>
      <c r="AP8" s="33">
        <v>1</v>
      </c>
      <c r="AQ8" s="5" t="s">
        <v>10037</v>
      </c>
      <c r="AR8" s="33" t="s">
        <v>8563</v>
      </c>
      <c r="AS8" s="33" t="s">
        <v>158</v>
      </c>
      <c r="AT8" s="33" t="s">
        <v>8550</v>
      </c>
      <c r="AU8" s="33" t="s">
        <v>8551</v>
      </c>
      <c r="AV8" s="33" t="s">
        <v>8552</v>
      </c>
      <c r="AW8" s="33" t="s">
        <v>8553</v>
      </c>
      <c r="AX8" s="33" t="s">
        <v>8554</v>
      </c>
      <c r="AY8" s="33" t="s">
        <v>8555</v>
      </c>
      <c r="AZ8" s="33" t="s">
        <v>8556</v>
      </c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 t="s">
        <v>8557</v>
      </c>
      <c r="BL8" s="33"/>
      <c r="BM8" s="33" t="s">
        <v>8500</v>
      </c>
      <c r="BN8" s="33" t="s">
        <v>8558</v>
      </c>
      <c r="BO8" s="33" t="s">
        <v>8500</v>
      </c>
      <c r="BP8" s="33" t="s">
        <v>8500</v>
      </c>
      <c r="BQ8" s="33" t="s">
        <v>8500</v>
      </c>
      <c r="BR8" s="33" t="s">
        <v>8525</v>
      </c>
      <c r="BS8" s="33"/>
      <c r="BT8" s="33"/>
      <c r="BU8" s="33" t="s">
        <v>8502</v>
      </c>
      <c r="BV8" s="33" t="s">
        <v>8559</v>
      </c>
      <c r="BW8" s="33"/>
      <c r="BX8" s="33" t="s">
        <v>8560</v>
      </c>
      <c r="BY8" s="33"/>
      <c r="BZ8" s="33" t="s">
        <v>8564</v>
      </c>
      <c r="CA8" s="33" t="s">
        <v>8528</v>
      </c>
      <c r="CB8" s="33" t="s">
        <v>8528</v>
      </c>
      <c r="CC8" s="33" t="s">
        <v>8545</v>
      </c>
      <c r="CD8" s="33" t="s">
        <v>8561</v>
      </c>
      <c r="CE8" s="33" t="s">
        <v>8562</v>
      </c>
      <c r="CF8" s="33">
        <v>2</v>
      </c>
      <c r="CG8" s="5" t="s">
        <v>10037</v>
      </c>
      <c r="CH8" s="33">
        <f t="shared" si="9"/>
        <v>0</v>
      </c>
      <c r="CI8" s="33">
        <f t="shared" si="1"/>
        <v>0</v>
      </c>
      <c r="CJ8" s="33">
        <f t="shared" si="1"/>
        <v>0</v>
      </c>
      <c r="CK8" s="33">
        <f t="shared" si="1"/>
        <v>0</v>
      </c>
      <c r="CL8" s="33">
        <f t="shared" si="1"/>
        <v>0</v>
      </c>
      <c r="CM8" s="33">
        <f t="shared" si="1"/>
        <v>0</v>
      </c>
      <c r="CN8" s="33">
        <f t="shared" si="1"/>
        <v>0</v>
      </c>
      <c r="CO8" s="33">
        <f t="shared" si="1"/>
        <v>0</v>
      </c>
      <c r="CP8" s="33">
        <f t="shared" si="1"/>
        <v>0</v>
      </c>
      <c r="CQ8" s="33">
        <f t="shared" si="1"/>
        <v>0</v>
      </c>
      <c r="CR8" s="33">
        <f t="shared" si="1"/>
        <v>0</v>
      </c>
      <c r="CS8" s="33">
        <f t="shared" si="1"/>
        <v>0</v>
      </c>
      <c r="CT8" s="33">
        <f t="shared" si="1"/>
        <v>0</v>
      </c>
      <c r="CU8" s="33">
        <f t="shared" si="1"/>
        <v>0</v>
      </c>
      <c r="CV8" s="33">
        <f t="shared" si="1"/>
        <v>0</v>
      </c>
      <c r="CW8" s="33">
        <f t="shared" si="1"/>
        <v>0</v>
      </c>
      <c r="CX8" s="33">
        <f t="shared" si="1"/>
        <v>0</v>
      </c>
      <c r="CY8" s="33">
        <f t="shared" si="2"/>
        <v>0</v>
      </c>
      <c r="CZ8" s="33">
        <f t="shared" si="2"/>
        <v>0</v>
      </c>
      <c r="DA8" s="33">
        <f t="shared" si="2"/>
        <v>0</v>
      </c>
      <c r="DB8" s="33">
        <f t="shared" si="2"/>
        <v>0</v>
      </c>
      <c r="DC8" s="33">
        <f t="shared" si="2"/>
        <v>0</v>
      </c>
      <c r="DD8" s="33">
        <f t="shared" si="2"/>
        <v>0</v>
      </c>
      <c r="DE8" s="33">
        <f t="shared" si="2"/>
        <v>0</v>
      </c>
      <c r="DF8" s="33">
        <f t="shared" si="2"/>
        <v>0</v>
      </c>
      <c r="DG8" s="33">
        <f t="shared" si="2"/>
        <v>0</v>
      </c>
      <c r="DH8" s="33">
        <f t="shared" si="2"/>
        <v>0</v>
      </c>
      <c r="DI8" s="33">
        <f t="shared" si="2"/>
        <v>0</v>
      </c>
      <c r="DJ8" s="33">
        <f t="shared" si="2"/>
        <v>0</v>
      </c>
      <c r="DK8" s="33">
        <f t="shared" si="2"/>
        <v>0</v>
      </c>
      <c r="DL8" s="33">
        <f t="shared" si="2"/>
        <v>0</v>
      </c>
      <c r="DM8" s="33">
        <f t="shared" si="2"/>
        <v>0</v>
      </c>
      <c r="DN8" s="33">
        <f t="shared" si="2"/>
        <v>0</v>
      </c>
      <c r="DO8" s="33">
        <f t="shared" si="3"/>
        <v>1</v>
      </c>
      <c r="DP8" s="50">
        <f t="shared" si="10"/>
        <v>0</v>
      </c>
      <c r="DQ8" s="50" t="str">
        <f t="shared" si="11"/>
        <v>F</v>
      </c>
      <c r="DR8" s="33">
        <f t="shared" si="4"/>
        <v>1</v>
      </c>
      <c r="DS8" s="50">
        <f t="shared" si="12"/>
        <v>0</v>
      </c>
      <c r="DT8" s="50" t="str">
        <f t="shared" si="13"/>
        <v>5-MEDIA BAJA</v>
      </c>
      <c r="DU8" s="33">
        <f t="shared" si="5"/>
        <v>0</v>
      </c>
      <c r="DV8" s="33">
        <f t="shared" si="5"/>
        <v>0</v>
      </c>
      <c r="DW8" s="33">
        <f t="shared" si="5"/>
        <v>0</v>
      </c>
      <c r="DX8" s="33">
        <f t="shared" si="5"/>
        <v>0</v>
      </c>
      <c r="DY8" s="35">
        <f t="shared" si="14"/>
        <v>2</v>
      </c>
      <c r="DZ8" s="33">
        <f t="shared" si="15"/>
        <v>17</v>
      </c>
      <c r="EA8" s="33">
        <f t="shared" si="16"/>
        <v>15</v>
      </c>
      <c r="EB8" s="33" t="str">
        <f t="shared" si="17"/>
        <v>AUX 2 COM + CAMPOS PREENC</v>
      </c>
      <c r="EC8" s="33" t="s">
        <v>10034</v>
      </c>
    </row>
    <row r="9" spans="2:133" x14ac:dyDescent="0.25">
      <c r="B9" s="33"/>
      <c r="C9" s="33" t="s">
        <v>132</v>
      </c>
      <c r="D9" s="33" t="s">
        <v>8565</v>
      </c>
      <c r="E9" s="33" t="s">
        <v>8566</v>
      </c>
      <c r="F9" s="33" t="s">
        <v>8567</v>
      </c>
      <c r="G9" s="33" t="s">
        <v>8566</v>
      </c>
      <c r="H9" s="33" t="s">
        <v>8568</v>
      </c>
      <c r="I9" s="33" t="s">
        <v>8569</v>
      </c>
      <c r="J9" s="33" t="s">
        <v>8566</v>
      </c>
      <c r="K9" s="33" t="s">
        <v>8570</v>
      </c>
      <c r="L9" s="33" t="s">
        <v>8571</v>
      </c>
      <c r="M9" s="33" t="s">
        <v>8572</v>
      </c>
      <c r="N9" s="33" t="s">
        <v>8525</v>
      </c>
      <c r="O9" s="33"/>
      <c r="P9" s="33"/>
      <c r="Q9" s="33" t="s">
        <v>8571</v>
      </c>
      <c r="R9" s="33"/>
      <c r="S9" s="33"/>
      <c r="T9" s="33"/>
      <c r="U9" s="33" t="s">
        <v>8573</v>
      </c>
      <c r="V9" s="33" t="s">
        <v>8574</v>
      </c>
      <c r="W9" s="33" t="s">
        <v>8575</v>
      </c>
      <c r="X9" s="33"/>
      <c r="Y9" s="33" t="s">
        <v>8500</v>
      </c>
      <c r="Z9" s="33" t="s">
        <v>8500</v>
      </c>
      <c r="AA9" s="33" t="s">
        <v>8500</v>
      </c>
      <c r="AB9" s="33" t="s">
        <v>8500</v>
      </c>
      <c r="AC9" s="33"/>
      <c r="AD9" s="33"/>
      <c r="AE9" s="33"/>
      <c r="AF9" s="33" t="s">
        <v>8576</v>
      </c>
      <c r="AG9" s="33"/>
      <c r="AH9" s="33" t="s">
        <v>8505</v>
      </c>
      <c r="AI9" s="33"/>
      <c r="AJ9" s="33"/>
      <c r="AK9" s="33"/>
      <c r="AL9" s="33" t="s">
        <v>8508</v>
      </c>
      <c r="AM9" s="33" t="s">
        <v>8577</v>
      </c>
      <c r="AN9" s="33" t="s">
        <v>8578</v>
      </c>
      <c r="AO9" s="33" t="s">
        <v>8579</v>
      </c>
      <c r="AP9" s="33">
        <v>1</v>
      </c>
      <c r="AQ9" s="5" t="s">
        <v>10037</v>
      </c>
      <c r="AR9" s="33" t="s">
        <v>8580</v>
      </c>
      <c r="AS9" s="33" t="s">
        <v>132</v>
      </c>
      <c r="AT9" s="33" t="s">
        <v>8565</v>
      </c>
      <c r="AU9" s="33" t="s">
        <v>8566</v>
      </c>
      <c r="AV9" s="33" t="s">
        <v>8567</v>
      </c>
      <c r="AW9" s="33" t="s">
        <v>8566</v>
      </c>
      <c r="AX9" s="33" t="s">
        <v>8568</v>
      </c>
      <c r="AY9" s="33" t="s">
        <v>8569</v>
      </c>
      <c r="AZ9" s="33" t="s">
        <v>8566</v>
      </c>
      <c r="BA9" s="33" t="s">
        <v>8570</v>
      </c>
      <c r="BB9" s="33" t="s">
        <v>8571</v>
      </c>
      <c r="BC9" s="33" t="s">
        <v>8572</v>
      </c>
      <c r="BD9" s="33" t="s">
        <v>8525</v>
      </c>
      <c r="BE9" s="33"/>
      <c r="BF9" s="33"/>
      <c r="BG9" s="33" t="s">
        <v>8571</v>
      </c>
      <c r="BH9" s="33"/>
      <c r="BI9" s="33"/>
      <c r="BJ9" s="33"/>
      <c r="BK9" s="33" t="s">
        <v>8573</v>
      </c>
      <c r="BL9" s="33" t="s">
        <v>8574</v>
      </c>
      <c r="BM9" s="33" t="s">
        <v>8575</v>
      </c>
      <c r="BN9" s="33"/>
      <c r="BO9" s="33" t="s">
        <v>8500</v>
      </c>
      <c r="BP9" s="33" t="s">
        <v>8500</v>
      </c>
      <c r="BQ9" s="33" t="s">
        <v>8500</v>
      </c>
      <c r="BR9" s="33" t="s">
        <v>8500</v>
      </c>
      <c r="BS9" s="33"/>
      <c r="BT9" s="33"/>
      <c r="BU9" s="33"/>
      <c r="BV9" s="33" t="s">
        <v>8576</v>
      </c>
      <c r="BW9" s="33"/>
      <c r="BX9" s="33" t="s">
        <v>8505</v>
      </c>
      <c r="BY9" s="33"/>
      <c r="BZ9" s="33" t="s">
        <v>8506</v>
      </c>
      <c r="CA9" s="33" t="s">
        <v>8507</v>
      </c>
      <c r="CB9" s="33" t="s">
        <v>8508</v>
      </c>
      <c r="CC9" s="33" t="s">
        <v>8577</v>
      </c>
      <c r="CD9" s="33" t="s">
        <v>8578</v>
      </c>
      <c r="CE9" s="33" t="s">
        <v>8579</v>
      </c>
      <c r="CF9" s="33">
        <v>2</v>
      </c>
      <c r="CG9" s="5" t="s">
        <v>10037</v>
      </c>
      <c r="CH9" s="33">
        <f t="shared" si="9"/>
        <v>0</v>
      </c>
      <c r="CI9" s="33">
        <f t="shared" si="1"/>
        <v>0</v>
      </c>
      <c r="CJ9" s="33">
        <f t="shared" si="1"/>
        <v>0</v>
      </c>
      <c r="CK9" s="33">
        <f t="shared" si="1"/>
        <v>0</v>
      </c>
      <c r="CL9" s="33">
        <f t="shared" si="1"/>
        <v>0</v>
      </c>
      <c r="CM9" s="33">
        <f t="shared" si="1"/>
        <v>0</v>
      </c>
      <c r="CN9" s="33">
        <f t="shared" si="1"/>
        <v>0</v>
      </c>
      <c r="CO9" s="33">
        <f t="shared" si="1"/>
        <v>0</v>
      </c>
      <c r="CP9" s="33">
        <f t="shared" si="1"/>
        <v>0</v>
      </c>
      <c r="CQ9" s="33">
        <f t="shared" si="1"/>
        <v>0</v>
      </c>
      <c r="CR9" s="33">
        <f t="shared" si="1"/>
        <v>0</v>
      </c>
      <c r="CS9" s="33">
        <f t="shared" si="1"/>
        <v>0</v>
      </c>
      <c r="CT9" s="33">
        <f t="shared" si="1"/>
        <v>0</v>
      </c>
      <c r="CU9" s="33">
        <f t="shared" si="1"/>
        <v>0</v>
      </c>
      <c r="CV9" s="33">
        <f t="shared" si="1"/>
        <v>0</v>
      </c>
      <c r="CW9" s="33">
        <f t="shared" si="1"/>
        <v>0</v>
      </c>
      <c r="CX9" s="33">
        <f t="shared" si="1"/>
        <v>0</v>
      </c>
      <c r="CY9" s="33">
        <f t="shared" si="2"/>
        <v>0</v>
      </c>
      <c r="CZ9" s="33">
        <f t="shared" si="2"/>
        <v>0</v>
      </c>
      <c r="DA9" s="33">
        <f t="shared" si="2"/>
        <v>0</v>
      </c>
      <c r="DB9" s="33">
        <f t="shared" si="2"/>
        <v>0</v>
      </c>
      <c r="DC9" s="33">
        <f t="shared" si="2"/>
        <v>0</v>
      </c>
      <c r="DD9" s="33">
        <f t="shared" si="2"/>
        <v>0</v>
      </c>
      <c r="DE9" s="33">
        <f t="shared" si="2"/>
        <v>0</v>
      </c>
      <c r="DF9" s="33">
        <f t="shared" si="2"/>
        <v>0</v>
      </c>
      <c r="DG9" s="33">
        <f t="shared" si="2"/>
        <v>0</v>
      </c>
      <c r="DH9" s="33">
        <f t="shared" si="2"/>
        <v>0</v>
      </c>
      <c r="DI9" s="33">
        <f t="shared" si="2"/>
        <v>0</v>
      </c>
      <c r="DJ9" s="33">
        <f t="shared" si="2"/>
        <v>0</v>
      </c>
      <c r="DK9" s="33">
        <f t="shared" si="2"/>
        <v>0</v>
      </c>
      <c r="DL9" s="33">
        <f t="shared" si="2"/>
        <v>0</v>
      </c>
      <c r="DM9" s="33">
        <f t="shared" si="2"/>
        <v>0</v>
      </c>
      <c r="DN9" s="33">
        <f t="shared" si="2"/>
        <v>0</v>
      </c>
      <c r="DO9" s="33">
        <f t="shared" si="3"/>
        <v>1</v>
      </c>
      <c r="DP9" s="50">
        <f t="shared" si="10"/>
        <v>0</v>
      </c>
      <c r="DQ9" s="50" t="str">
        <f t="shared" si="11"/>
        <v>C</v>
      </c>
      <c r="DR9" s="33">
        <f t="shared" si="4"/>
        <v>1</v>
      </c>
      <c r="DS9" s="50">
        <f t="shared" si="12"/>
        <v>0</v>
      </c>
      <c r="DT9" s="50" t="str">
        <f t="shared" si="13"/>
        <v>4-MEDIA</v>
      </c>
      <c r="DU9" s="33">
        <f t="shared" si="5"/>
        <v>0</v>
      </c>
      <c r="DV9" s="33">
        <f t="shared" si="5"/>
        <v>0</v>
      </c>
      <c r="DW9" s="33">
        <f t="shared" si="5"/>
        <v>0</v>
      </c>
      <c r="DX9" s="33">
        <f t="shared" si="5"/>
        <v>0</v>
      </c>
      <c r="DY9" s="35">
        <f t="shared" si="14"/>
        <v>2</v>
      </c>
      <c r="DZ9" s="33">
        <f t="shared" si="15"/>
        <v>13</v>
      </c>
      <c r="EA9" s="33">
        <f t="shared" si="16"/>
        <v>11</v>
      </c>
      <c r="EB9" s="33" t="str">
        <f t="shared" si="17"/>
        <v>AUX 2 COM + CAMPOS PREENC</v>
      </c>
      <c r="EC9" s="33" t="s">
        <v>10034</v>
      </c>
    </row>
    <row r="10" spans="2:133" x14ac:dyDescent="0.25">
      <c r="B10" s="33" t="s">
        <v>8581</v>
      </c>
      <c r="C10" s="33" t="s">
        <v>150</v>
      </c>
      <c r="D10" s="33" t="s">
        <v>8582</v>
      </c>
      <c r="E10" s="33" t="s">
        <v>8583</v>
      </c>
      <c r="F10" s="33" t="s">
        <v>8584</v>
      </c>
      <c r="G10" s="33" t="s">
        <v>8585</v>
      </c>
      <c r="H10" s="33" t="s">
        <v>8586</v>
      </c>
      <c r="I10" s="33" t="s">
        <v>8587</v>
      </c>
      <c r="J10" s="33" t="s">
        <v>8587</v>
      </c>
      <c r="K10" s="33" t="s">
        <v>8588</v>
      </c>
      <c r="L10" s="33" t="s">
        <v>8589</v>
      </c>
      <c r="M10" s="33" t="s">
        <v>8590</v>
      </c>
      <c r="N10" s="33" t="s">
        <v>8591</v>
      </c>
      <c r="O10" s="33"/>
      <c r="P10" s="33"/>
      <c r="Q10" s="33" t="s">
        <v>8589</v>
      </c>
      <c r="R10" s="33"/>
      <c r="S10" s="33"/>
      <c r="T10" s="33"/>
      <c r="U10" s="33" t="s">
        <v>8592</v>
      </c>
      <c r="V10" s="33" t="s">
        <v>8593</v>
      </c>
      <c r="W10" s="33" t="s">
        <v>8594</v>
      </c>
      <c r="X10" s="33"/>
      <c r="Y10" s="33" t="s">
        <v>8525</v>
      </c>
      <c r="Z10" s="33" t="s">
        <v>8500</v>
      </c>
      <c r="AA10" s="33" t="s">
        <v>8500</v>
      </c>
      <c r="AB10" s="33" t="s">
        <v>8500</v>
      </c>
      <c r="AC10" s="33"/>
      <c r="AD10" s="33"/>
      <c r="AE10" s="33"/>
      <c r="AF10" s="33" t="s">
        <v>8595</v>
      </c>
      <c r="AG10" s="33"/>
      <c r="AH10" s="33" t="s">
        <v>8527</v>
      </c>
      <c r="AI10" s="33"/>
      <c r="AJ10" s="33" t="s">
        <v>8577</v>
      </c>
      <c r="AK10" s="33" t="s">
        <v>8528</v>
      </c>
      <c r="AL10" s="33" t="s">
        <v>8528</v>
      </c>
      <c r="AM10" s="33" t="s">
        <v>8577</v>
      </c>
      <c r="AN10" s="33" t="s">
        <v>8596</v>
      </c>
      <c r="AO10" s="33" t="s">
        <v>8597</v>
      </c>
      <c r="AP10" s="33">
        <v>1</v>
      </c>
      <c r="AQ10" s="5" t="s">
        <v>10037</v>
      </c>
      <c r="AR10" s="33"/>
      <c r="AS10" s="33" t="s">
        <v>150</v>
      </c>
      <c r="AT10" s="33" t="s">
        <v>8582</v>
      </c>
      <c r="AU10" s="33" t="s">
        <v>8583</v>
      </c>
      <c r="AV10" s="33" t="s">
        <v>8584</v>
      </c>
      <c r="AW10" s="33" t="s">
        <v>8585</v>
      </c>
      <c r="AX10" s="33" t="s">
        <v>8586</v>
      </c>
      <c r="AY10" s="33" t="s">
        <v>8587</v>
      </c>
      <c r="AZ10" s="33" t="s">
        <v>8587</v>
      </c>
      <c r="BA10" s="33" t="s">
        <v>8588</v>
      </c>
      <c r="BB10" s="33" t="s">
        <v>8589</v>
      </c>
      <c r="BC10" s="33" t="s">
        <v>8590</v>
      </c>
      <c r="BD10" s="33" t="s">
        <v>8591</v>
      </c>
      <c r="BE10" s="33"/>
      <c r="BF10" s="33"/>
      <c r="BG10" s="33" t="s">
        <v>8589</v>
      </c>
      <c r="BH10" s="33"/>
      <c r="BI10" s="33"/>
      <c r="BJ10" s="33"/>
      <c r="BK10" s="33" t="s">
        <v>8592</v>
      </c>
      <c r="BL10" s="33" t="s">
        <v>8593</v>
      </c>
      <c r="BM10" s="33" t="s">
        <v>8594</v>
      </c>
      <c r="BN10" s="33"/>
      <c r="BO10" s="33" t="s">
        <v>8525</v>
      </c>
      <c r="BP10" s="33" t="s">
        <v>8500</v>
      </c>
      <c r="BQ10" s="33" t="s">
        <v>8500</v>
      </c>
      <c r="BR10" s="33" t="s">
        <v>8500</v>
      </c>
      <c r="BS10" s="33"/>
      <c r="BT10" s="33"/>
      <c r="BU10" s="33"/>
      <c r="BV10" s="33" t="s">
        <v>8595</v>
      </c>
      <c r="BW10" s="33"/>
      <c r="BX10" s="33" t="s">
        <v>8527</v>
      </c>
      <c r="BY10" s="33"/>
      <c r="BZ10" s="33"/>
      <c r="CA10" s="33"/>
      <c r="CB10" s="33" t="s">
        <v>8528</v>
      </c>
      <c r="CC10" s="33" t="s">
        <v>8577</v>
      </c>
      <c r="CD10" s="33" t="s">
        <v>8596</v>
      </c>
      <c r="CE10" s="33" t="s">
        <v>8597</v>
      </c>
      <c r="CF10" s="33">
        <v>2</v>
      </c>
      <c r="CG10" s="5" t="s">
        <v>10037</v>
      </c>
      <c r="CH10" s="33">
        <f t="shared" si="9"/>
        <v>0</v>
      </c>
      <c r="CI10" s="33">
        <f t="shared" si="1"/>
        <v>0</v>
      </c>
      <c r="CJ10" s="33">
        <f t="shared" si="1"/>
        <v>0</v>
      </c>
      <c r="CK10" s="33">
        <f t="shared" si="1"/>
        <v>0</v>
      </c>
      <c r="CL10" s="33">
        <f t="shared" si="1"/>
        <v>0</v>
      </c>
      <c r="CM10" s="33">
        <f t="shared" si="1"/>
        <v>0</v>
      </c>
      <c r="CN10" s="33">
        <f t="shared" si="1"/>
        <v>0</v>
      </c>
      <c r="CO10" s="33">
        <f t="shared" si="1"/>
        <v>0</v>
      </c>
      <c r="CP10" s="33">
        <f t="shared" si="1"/>
        <v>0</v>
      </c>
      <c r="CQ10" s="33">
        <f t="shared" si="1"/>
        <v>0</v>
      </c>
      <c r="CR10" s="33">
        <f t="shared" si="1"/>
        <v>0</v>
      </c>
      <c r="CS10" s="33">
        <f t="shared" si="1"/>
        <v>0</v>
      </c>
      <c r="CT10" s="33">
        <f t="shared" si="1"/>
        <v>0</v>
      </c>
      <c r="CU10" s="33">
        <f t="shared" si="1"/>
        <v>0</v>
      </c>
      <c r="CV10" s="33">
        <f t="shared" si="1"/>
        <v>0</v>
      </c>
      <c r="CW10" s="33">
        <f t="shared" si="1"/>
        <v>0</v>
      </c>
      <c r="CX10" s="33">
        <f t="shared" si="1"/>
        <v>0</v>
      </c>
      <c r="CY10" s="33">
        <f t="shared" si="2"/>
        <v>0</v>
      </c>
      <c r="CZ10" s="33">
        <f t="shared" si="2"/>
        <v>0</v>
      </c>
      <c r="DA10" s="33">
        <f t="shared" si="2"/>
        <v>0</v>
      </c>
      <c r="DB10" s="33">
        <f t="shared" si="2"/>
        <v>0</v>
      </c>
      <c r="DC10" s="33">
        <f t="shared" si="2"/>
        <v>0</v>
      </c>
      <c r="DD10" s="33">
        <f t="shared" si="2"/>
        <v>0</v>
      </c>
      <c r="DE10" s="33">
        <f t="shared" si="2"/>
        <v>0</v>
      </c>
      <c r="DF10" s="33">
        <f t="shared" si="2"/>
        <v>0</v>
      </c>
      <c r="DG10" s="33">
        <f t="shared" si="2"/>
        <v>0</v>
      </c>
      <c r="DH10" s="33">
        <f t="shared" si="2"/>
        <v>0</v>
      </c>
      <c r="DI10" s="33">
        <f t="shared" si="2"/>
        <v>0</v>
      </c>
      <c r="DJ10" s="33">
        <f t="shared" si="2"/>
        <v>0</v>
      </c>
      <c r="DK10" s="33">
        <f t="shared" si="2"/>
        <v>0</v>
      </c>
      <c r="DL10" s="33">
        <f t="shared" si="2"/>
        <v>0</v>
      </c>
      <c r="DM10" s="33">
        <f t="shared" si="2"/>
        <v>0</v>
      </c>
      <c r="DN10" s="33">
        <f t="shared" si="2"/>
        <v>0</v>
      </c>
      <c r="DO10" s="33">
        <f t="shared" si="3"/>
        <v>1</v>
      </c>
      <c r="DP10" s="50" t="str">
        <f t="shared" si="10"/>
        <v>E</v>
      </c>
      <c r="DQ10" s="50">
        <f t="shared" si="11"/>
        <v>0</v>
      </c>
      <c r="DR10" s="33">
        <f t="shared" si="4"/>
        <v>1</v>
      </c>
      <c r="DS10" s="50" t="str">
        <f t="shared" si="12"/>
        <v>5-MEDIA BAJA</v>
      </c>
      <c r="DT10" s="50">
        <f t="shared" si="13"/>
        <v>0</v>
      </c>
      <c r="DU10" s="33">
        <f t="shared" si="5"/>
        <v>0</v>
      </c>
      <c r="DV10" s="33">
        <f t="shared" si="5"/>
        <v>0</v>
      </c>
      <c r="DW10" s="33">
        <f t="shared" si="5"/>
        <v>0</v>
      </c>
      <c r="DX10" s="33">
        <f t="shared" si="5"/>
        <v>0</v>
      </c>
      <c r="DY10" s="35">
        <f t="shared" si="14"/>
        <v>2</v>
      </c>
      <c r="DZ10" s="33">
        <f t="shared" si="15"/>
        <v>11</v>
      </c>
      <c r="EA10" s="33">
        <f t="shared" si="16"/>
        <v>13</v>
      </c>
      <c r="EB10" s="33" t="str">
        <f t="shared" si="17"/>
        <v>AUX 1 COM + CAMPOS PREENC OU IGUAL</v>
      </c>
      <c r="EC10" s="33" t="s">
        <v>10034</v>
      </c>
    </row>
    <row r="11" spans="2:133" x14ac:dyDescent="0.25">
      <c r="B11" s="33"/>
      <c r="C11" s="33" t="s">
        <v>24</v>
      </c>
      <c r="D11" s="33" t="s">
        <v>8486</v>
      </c>
      <c r="E11" s="33" t="s">
        <v>8487</v>
      </c>
      <c r="F11" s="33" t="s">
        <v>8598</v>
      </c>
      <c r="G11" s="33" t="s">
        <v>8599</v>
      </c>
      <c r="H11" s="33" t="s">
        <v>8598</v>
      </c>
      <c r="I11" s="33" t="s">
        <v>8599</v>
      </c>
      <c r="J11" s="33" t="s">
        <v>8600</v>
      </c>
      <c r="K11" s="33" t="s">
        <v>8588</v>
      </c>
      <c r="L11" s="33" t="s">
        <v>8589</v>
      </c>
      <c r="M11" s="33" t="s">
        <v>8601</v>
      </c>
      <c r="N11" s="33"/>
      <c r="O11" s="33"/>
      <c r="P11" s="33"/>
      <c r="Q11" s="33" t="s">
        <v>8589</v>
      </c>
      <c r="R11" s="33" t="s">
        <v>8602</v>
      </c>
      <c r="S11" s="33"/>
      <c r="T11" s="33"/>
      <c r="U11" s="33" t="s">
        <v>8603</v>
      </c>
      <c r="V11" s="33" t="s">
        <v>8604</v>
      </c>
      <c r="W11" s="33" t="s">
        <v>8500</v>
      </c>
      <c r="X11" s="33"/>
      <c r="Y11" s="33" t="s">
        <v>8500</v>
      </c>
      <c r="Z11" s="33" t="s">
        <v>8500</v>
      </c>
      <c r="AA11" s="33" t="s">
        <v>8500</v>
      </c>
      <c r="AB11" s="33" t="s">
        <v>8525</v>
      </c>
      <c r="AC11" s="33"/>
      <c r="AD11" s="33"/>
      <c r="AE11" s="33"/>
      <c r="AF11" s="33" t="s">
        <v>8605</v>
      </c>
      <c r="AG11" s="33"/>
      <c r="AH11" s="33" t="s">
        <v>8606</v>
      </c>
      <c r="AI11" s="33"/>
      <c r="AJ11" s="33"/>
      <c r="AK11" s="33"/>
      <c r="AL11" s="33" t="s">
        <v>8507</v>
      </c>
      <c r="AM11" s="33" t="s">
        <v>8577</v>
      </c>
      <c r="AN11" s="33" t="s">
        <v>8607</v>
      </c>
      <c r="AO11" s="33" t="s">
        <v>8608</v>
      </c>
      <c r="AP11" s="33">
        <v>1</v>
      </c>
      <c r="AQ11" s="5" t="s">
        <v>10037</v>
      </c>
      <c r="AR11" s="33"/>
      <c r="AS11" s="33" t="s">
        <v>24</v>
      </c>
      <c r="AT11" s="33" t="s">
        <v>8486</v>
      </c>
      <c r="AU11" s="33" t="s">
        <v>8487</v>
      </c>
      <c r="AV11" s="33" t="s">
        <v>8598</v>
      </c>
      <c r="AW11" s="33" t="s">
        <v>8599</v>
      </c>
      <c r="AX11" s="33"/>
      <c r="AY11" s="33"/>
      <c r="AZ11" s="33" t="s">
        <v>8600</v>
      </c>
      <c r="BA11" s="33" t="s">
        <v>8588</v>
      </c>
      <c r="BB11" s="33" t="s">
        <v>8589</v>
      </c>
      <c r="BC11" s="33" t="s">
        <v>8601</v>
      </c>
      <c r="BD11" s="33"/>
      <c r="BE11" s="33"/>
      <c r="BF11" s="33"/>
      <c r="BG11" s="33" t="s">
        <v>8589</v>
      </c>
      <c r="BH11" s="33"/>
      <c r="BI11" s="33"/>
      <c r="BJ11" s="33"/>
      <c r="BK11" s="33" t="s">
        <v>8603</v>
      </c>
      <c r="BL11" s="33" t="s">
        <v>8604</v>
      </c>
      <c r="BM11" s="33" t="s">
        <v>8500</v>
      </c>
      <c r="BN11" s="33"/>
      <c r="BO11" s="33" t="s">
        <v>8500</v>
      </c>
      <c r="BP11" s="33" t="s">
        <v>8500</v>
      </c>
      <c r="BQ11" s="33" t="s">
        <v>8500</v>
      </c>
      <c r="BR11" s="33" t="s">
        <v>8525</v>
      </c>
      <c r="BS11" s="33" t="s">
        <v>8609</v>
      </c>
      <c r="BT11" s="33" t="s">
        <v>8610</v>
      </c>
      <c r="BU11" s="33"/>
      <c r="BV11" s="33" t="s">
        <v>8605</v>
      </c>
      <c r="BW11" s="33" t="s">
        <v>8602</v>
      </c>
      <c r="BX11" s="33" t="s">
        <v>8606</v>
      </c>
      <c r="BY11" s="33"/>
      <c r="BZ11" s="33"/>
      <c r="CA11" s="33"/>
      <c r="CB11" s="33" t="s">
        <v>8507</v>
      </c>
      <c r="CC11" s="33" t="s">
        <v>8577</v>
      </c>
      <c r="CD11" s="33" t="s">
        <v>8607</v>
      </c>
      <c r="CE11" s="33" t="s">
        <v>8608</v>
      </c>
      <c r="CF11" s="33">
        <v>2</v>
      </c>
      <c r="CG11" s="5" t="s">
        <v>10037</v>
      </c>
      <c r="CH11" s="33">
        <f t="shared" si="9"/>
        <v>0</v>
      </c>
      <c r="CI11" s="33">
        <f t="shared" si="1"/>
        <v>0</v>
      </c>
      <c r="CJ11" s="33">
        <f t="shared" si="1"/>
        <v>0</v>
      </c>
      <c r="CK11" s="33">
        <f t="shared" si="1"/>
        <v>0</v>
      </c>
      <c r="CL11" s="33">
        <f t="shared" si="1"/>
        <v>0</v>
      </c>
      <c r="CM11" s="33">
        <f t="shared" si="1"/>
        <v>1</v>
      </c>
      <c r="CN11" s="33">
        <f t="shared" si="1"/>
        <v>1</v>
      </c>
      <c r="CO11" s="33">
        <f t="shared" si="1"/>
        <v>0</v>
      </c>
      <c r="CP11" s="33">
        <f t="shared" si="1"/>
        <v>0</v>
      </c>
      <c r="CQ11" s="33">
        <f t="shared" si="1"/>
        <v>0</v>
      </c>
      <c r="CR11" s="33">
        <f t="shared" si="1"/>
        <v>0</v>
      </c>
      <c r="CS11" s="33">
        <f t="shared" si="1"/>
        <v>0</v>
      </c>
      <c r="CT11" s="33">
        <f t="shared" si="1"/>
        <v>0</v>
      </c>
      <c r="CU11" s="33">
        <f t="shared" si="1"/>
        <v>0</v>
      </c>
      <c r="CV11" s="33">
        <f t="shared" si="1"/>
        <v>0</v>
      </c>
      <c r="CW11" s="33">
        <f t="shared" si="1"/>
        <v>1</v>
      </c>
      <c r="CX11" s="33">
        <f t="shared" si="1"/>
        <v>0</v>
      </c>
      <c r="CY11" s="33">
        <f t="shared" si="2"/>
        <v>0</v>
      </c>
      <c r="CZ11" s="33">
        <f t="shared" si="2"/>
        <v>0</v>
      </c>
      <c r="DA11" s="33">
        <f t="shared" si="2"/>
        <v>0</v>
      </c>
      <c r="DB11" s="33">
        <f t="shared" si="2"/>
        <v>0</v>
      </c>
      <c r="DC11" s="33">
        <f t="shared" si="2"/>
        <v>0</v>
      </c>
      <c r="DD11" s="33">
        <f t="shared" si="2"/>
        <v>0</v>
      </c>
      <c r="DE11" s="33">
        <f t="shared" si="2"/>
        <v>0</v>
      </c>
      <c r="DF11" s="33">
        <f t="shared" si="2"/>
        <v>0</v>
      </c>
      <c r="DG11" s="33">
        <f t="shared" si="2"/>
        <v>0</v>
      </c>
      <c r="DH11" s="33">
        <f t="shared" si="2"/>
        <v>1</v>
      </c>
      <c r="DI11" s="33">
        <f t="shared" si="2"/>
        <v>1</v>
      </c>
      <c r="DJ11" s="33">
        <f t="shared" si="2"/>
        <v>0</v>
      </c>
      <c r="DK11" s="33">
        <f t="shared" si="2"/>
        <v>0</v>
      </c>
      <c r="DL11" s="33">
        <f t="shared" si="2"/>
        <v>1</v>
      </c>
      <c r="DM11" s="33">
        <f t="shared" si="2"/>
        <v>0</v>
      </c>
      <c r="DN11" s="33">
        <f t="shared" si="2"/>
        <v>0</v>
      </c>
      <c r="DO11" s="33">
        <f t="shared" si="3"/>
        <v>0</v>
      </c>
      <c r="DP11" s="50">
        <f t="shared" si="10"/>
        <v>0</v>
      </c>
      <c r="DQ11" s="50">
        <f t="shared" si="11"/>
        <v>0</v>
      </c>
      <c r="DR11" s="33">
        <f t="shared" si="4"/>
        <v>0</v>
      </c>
      <c r="DS11" s="50">
        <f t="shared" si="12"/>
        <v>0</v>
      </c>
      <c r="DT11" s="50">
        <f t="shared" si="13"/>
        <v>0</v>
      </c>
      <c r="DU11" s="33">
        <f t="shared" si="5"/>
        <v>0</v>
      </c>
      <c r="DV11" s="33">
        <f t="shared" si="5"/>
        <v>0</v>
      </c>
      <c r="DW11" s="33">
        <f t="shared" si="5"/>
        <v>0</v>
      </c>
      <c r="DX11" s="33">
        <f t="shared" si="5"/>
        <v>0</v>
      </c>
      <c r="DY11" s="35">
        <f t="shared" si="14"/>
        <v>6</v>
      </c>
      <c r="DZ11" s="33">
        <f t="shared" si="15"/>
        <v>13</v>
      </c>
      <c r="EA11" s="33">
        <f t="shared" si="16"/>
        <v>13</v>
      </c>
      <c r="EB11" s="33" t="str">
        <f t="shared" si="17"/>
        <v>AUX 1 COM + CAMPOS PREENC OU IGUAL</v>
      </c>
      <c r="EC11" s="33" t="s">
        <v>10034</v>
      </c>
    </row>
    <row r="12" spans="2:133" x14ac:dyDescent="0.25">
      <c r="B12" s="33"/>
      <c r="C12" s="33" t="s">
        <v>126</v>
      </c>
      <c r="D12" s="33" t="s">
        <v>8611</v>
      </c>
      <c r="E12" s="33" t="s">
        <v>8612</v>
      </c>
      <c r="F12" s="33" t="s">
        <v>8613</v>
      </c>
      <c r="G12" s="33" t="s">
        <v>8614</v>
      </c>
      <c r="H12" s="33" t="s">
        <v>8615</v>
      </c>
      <c r="I12" s="33" t="s">
        <v>8616</v>
      </c>
      <c r="J12" s="33" t="s">
        <v>8616</v>
      </c>
      <c r="K12" s="33" t="s">
        <v>8617</v>
      </c>
      <c r="L12" s="33" t="s">
        <v>8618</v>
      </c>
      <c r="M12" s="33" t="s">
        <v>8619</v>
      </c>
      <c r="N12" s="33" t="s">
        <v>8620</v>
      </c>
      <c r="O12" s="33"/>
      <c r="P12" s="33"/>
      <c r="Q12" s="33" t="s">
        <v>8618</v>
      </c>
      <c r="R12" s="33"/>
      <c r="S12" s="33"/>
      <c r="T12" s="33"/>
      <c r="U12" s="33" t="s">
        <v>8621</v>
      </c>
      <c r="V12" s="33" t="s">
        <v>8622</v>
      </c>
      <c r="W12" s="33" t="s">
        <v>8623</v>
      </c>
      <c r="X12" s="33" t="s">
        <v>8624</v>
      </c>
      <c r="Y12" s="33" t="s">
        <v>8500</v>
      </c>
      <c r="Z12" s="33" t="s">
        <v>8500</v>
      </c>
      <c r="AA12" s="33" t="s">
        <v>8500</v>
      </c>
      <c r="AB12" s="33" t="s">
        <v>8500</v>
      </c>
      <c r="AC12" s="33"/>
      <c r="AD12" s="33"/>
      <c r="AE12" s="33"/>
      <c r="AF12" s="33" t="s">
        <v>8625</v>
      </c>
      <c r="AG12" s="33"/>
      <c r="AH12" s="33" t="s">
        <v>8505</v>
      </c>
      <c r="AI12" s="33"/>
      <c r="AJ12" s="33"/>
      <c r="AK12" s="33"/>
      <c r="AL12" s="33" t="s">
        <v>8528</v>
      </c>
      <c r="AM12" s="33" t="s">
        <v>8545</v>
      </c>
      <c r="AN12" s="33" t="s">
        <v>8626</v>
      </c>
      <c r="AO12" s="33" t="s">
        <v>8627</v>
      </c>
      <c r="AP12" s="33">
        <v>1</v>
      </c>
      <c r="AQ12" s="5" t="s">
        <v>10037</v>
      </c>
      <c r="AR12" s="33" t="s">
        <v>8628</v>
      </c>
      <c r="AS12" s="33" t="s">
        <v>126</v>
      </c>
      <c r="AT12" s="33" t="s">
        <v>8611</v>
      </c>
      <c r="AU12" s="33" t="s">
        <v>8612</v>
      </c>
      <c r="AV12" s="33" t="s">
        <v>8613</v>
      </c>
      <c r="AW12" s="33" t="s">
        <v>8614</v>
      </c>
      <c r="AX12" s="33" t="s">
        <v>8615</v>
      </c>
      <c r="AY12" s="33" t="s">
        <v>8616</v>
      </c>
      <c r="AZ12" s="33" t="s">
        <v>8616</v>
      </c>
      <c r="BA12" s="33" t="s">
        <v>8617</v>
      </c>
      <c r="BB12" s="33" t="s">
        <v>8618</v>
      </c>
      <c r="BC12" s="33" t="s">
        <v>8619</v>
      </c>
      <c r="BD12" s="33" t="s">
        <v>8620</v>
      </c>
      <c r="BE12" s="33"/>
      <c r="BF12" s="33"/>
      <c r="BG12" s="33" t="s">
        <v>8618</v>
      </c>
      <c r="BH12" s="33"/>
      <c r="BI12" s="33"/>
      <c r="BJ12" s="33"/>
      <c r="BK12" s="33" t="s">
        <v>8621</v>
      </c>
      <c r="BL12" s="33" t="s">
        <v>8622</v>
      </c>
      <c r="BM12" s="33" t="s">
        <v>8623</v>
      </c>
      <c r="BN12" s="33" t="s">
        <v>8624</v>
      </c>
      <c r="BO12" s="33" t="s">
        <v>8500</v>
      </c>
      <c r="BP12" s="33" t="s">
        <v>8500</v>
      </c>
      <c r="BQ12" s="33" t="s">
        <v>8500</v>
      </c>
      <c r="BR12" s="33" t="s">
        <v>8500</v>
      </c>
      <c r="BS12" s="33"/>
      <c r="BT12" s="33"/>
      <c r="BU12" s="33"/>
      <c r="BV12" s="33" t="s">
        <v>8625</v>
      </c>
      <c r="BW12" s="33"/>
      <c r="BX12" s="33" t="s">
        <v>8505</v>
      </c>
      <c r="BY12" s="33"/>
      <c r="BZ12" s="33" t="s">
        <v>8564</v>
      </c>
      <c r="CA12" s="33" t="s">
        <v>8528</v>
      </c>
      <c r="CB12" s="33" t="s">
        <v>8528</v>
      </c>
      <c r="CC12" s="33" t="s">
        <v>8545</v>
      </c>
      <c r="CD12" s="33" t="s">
        <v>8626</v>
      </c>
      <c r="CE12" s="33" t="s">
        <v>8627</v>
      </c>
      <c r="CF12" s="33">
        <v>2</v>
      </c>
      <c r="CG12" s="5" t="s">
        <v>10037</v>
      </c>
      <c r="CH12" s="33">
        <f t="shared" si="9"/>
        <v>0</v>
      </c>
      <c r="CI12" s="33">
        <f t="shared" si="1"/>
        <v>0</v>
      </c>
      <c r="CJ12" s="33">
        <f t="shared" si="1"/>
        <v>0</v>
      </c>
      <c r="CK12" s="33">
        <f t="shared" si="1"/>
        <v>0</v>
      </c>
      <c r="CL12" s="33">
        <f t="shared" si="1"/>
        <v>0</v>
      </c>
      <c r="CM12" s="33">
        <f t="shared" si="1"/>
        <v>0</v>
      </c>
      <c r="CN12" s="33">
        <f t="shared" si="1"/>
        <v>0</v>
      </c>
      <c r="CO12" s="33">
        <f t="shared" si="1"/>
        <v>0</v>
      </c>
      <c r="CP12" s="33">
        <f t="shared" si="1"/>
        <v>0</v>
      </c>
      <c r="CQ12" s="33">
        <f t="shared" si="1"/>
        <v>0</v>
      </c>
      <c r="CR12" s="33">
        <f t="shared" si="1"/>
        <v>0</v>
      </c>
      <c r="CS12" s="33">
        <f t="shared" si="1"/>
        <v>0</v>
      </c>
      <c r="CT12" s="33">
        <f t="shared" si="1"/>
        <v>0</v>
      </c>
      <c r="CU12" s="33">
        <f t="shared" si="1"/>
        <v>0</v>
      </c>
      <c r="CV12" s="33">
        <f t="shared" si="1"/>
        <v>0</v>
      </c>
      <c r="CW12" s="33">
        <f t="shared" si="1"/>
        <v>0</v>
      </c>
      <c r="CX12" s="33">
        <f t="shared" si="1"/>
        <v>0</v>
      </c>
      <c r="CY12" s="33">
        <f t="shared" si="2"/>
        <v>0</v>
      </c>
      <c r="CZ12" s="33">
        <f t="shared" si="2"/>
        <v>0</v>
      </c>
      <c r="DA12" s="33">
        <f t="shared" si="2"/>
        <v>0</v>
      </c>
      <c r="DB12" s="33">
        <f t="shared" si="2"/>
        <v>0</v>
      </c>
      <c r="DC12" s="33">
        <f t="shared" si="2"/>
        <v>0</v>
      </c>
      <c r="DD12" s="33">
        <f t="shared" si="2"/>
        <v>0</v>
      </c>
      <c r="DE12" s="33">
        <f t="shared" si="2"/>
        <v>0</v>
      </c>
      <c r="DF12" s="33">
        <f t="shared" si="2"/>
        <v>0</v>
      </c>
      <c r="DG12" s="33">
        <f t="shared" si="2"/>
        <v>0</v>
      </c>
      <c r="DH12" s="33">
        <f t="shared" si="2"/>
        <v>0</v>
      </c>
      <c r="DI12" s="33">
        <f t="shared" si="2"/>
        <v>0</v>
      </c>
      <c r="DJ12" s="33">
        <f t="shared" si="2"/>
        <v>0</v>
      </c>
      <c r="DK12" s="33">
        <f t="shared" si="2"/>
        <v>0</v>
      </c>
      <c r="DL12" s="33">
        <f t="shared" si="2"/>
        <v>0</v>
      </c>
      <c r="DM12" s="33">
        <f t="shared" si="2"/>
        <v>0</v>
      </c>
      <c r="DN12" s="33">
        <f t="shared" si="2"/>
        <v>0</v>
      </c>
      <c r="DO12" s="33">
        <f t="shared" si="3"/>
        <v>1</v>
      </c>
      <c r="DP12" s="50">
        <f t="shared" si="10"/>
        <v>0</v>
      </c>
      <c r="DQ12" s="50" t="str">
        <f t="shared" si="11"/>
        <v>F</v>
      </c>
      <c r="DR12" s="33">
        <f t="shared" si="4"/>
        <v>1</v>
      </c>
      <c r="DS12" s="50">
        <f t="shared" si="12"/>
        <v>0</v>
      </c>
      <c r="DT12" s="50" t="str">
        <f t="shared" si="13"/>
        <v>5-MEDIA BAJA</v>
      </c>
      <c r="DU12" s="33">
        <f t="shared" si="5"/>
        <v>0</v>
      </c>
      <c r="DV12" s="33">
        <f t="shared" si="5"/>
        <v>0</v>
      </c>
      <c r="DW12" s="33">
        <f t="shared" si="5"/>
        <v>0</v>
      </c>
      <c r="DX12" s="33">
        <f t="shared" si="5"/>
        <v>0</v>
      </c>
      <c r="DY12" s="35">
        <f t="shared" si="14"/>
        <v>2</v>
      </c>
      <c r="DZ12" s="33">
        <f t="shared" si="15"/>
        <v>12</v>
      </c>
      <c r="EA12" s="33">
        <f t="shared" si="16"/>
        <v>10</v>
      </c>
      <c r="EB12" s="33" t="str">
        <f t="shared" si="17"/>
        <v>AUX 2 COM + CAMPOS PREENC</v>
      </c>
      <c r="EC12" s="33" t="s">
        <v>10034</v>
      </c>
    </row>
    <row r="13" spans="2:133" x14ac:dyDescent="0.25">
      <c r="B13" s="33"/>
      <c r="C13" s="33" t="s">
        <v>63</v>
      </c>
      <c r="D13" s="33" t="s">
        <v>8550</v>
      </c>
      <c r="E13" s="33" t="s">
        <v>8551</v>
      </c>
      <c r="F13" s="33" t="s">
        <v>8629</v>
      </c>
      <c r="G13" s="33" t="s">
        <v>8630</v>
      </c>
      <c r="H13" s="33" t="s">
        <v>8631</v>
      </c>
      <c r="I13" s="33" t="s">
        <v>8632</v>
      </c>
      <c r="J13" s="33" t="s">
        <v>8633</v>
      </c>
      <c r="K13" s="33" t="s">
        <v>8570</v>
      </c>
      <c r="L13" s="33" t="s">
        <v>8571</v>
      </c>
      <c r="M13" s="33" t="s">
        <v>8634</v>
      </c>
      <c r="N13" s="33" t="s">
        <v>8635</v>
      </c>
      <c r="O13" s="33"/>
      <c r="P13" s="33"/>
      <c r="Q13" s="33" t="s">
        <v>8571</v>
      </c>
      <c r="R13" s="33"/>
      <c r="S13" s="33"/>
      <c r="T13" s="33"/>
      <c r="U13" s="33" t="s">
        <v>8636</v>
      </c>
      <c r="V13" s="33" t="s">
        <v>8637</v>
      </c>
      <c r="W13" s="33" t="s">
        <v>8638</v>
      </c>
      <c r="X13" s="33"/>
      <c r="Y13" s="33" t="s">
        <v>8500</v>
      </c>
      <c r="Z13" s="33" t="s">
        <v>8500</v>
      </c>
      <c r="AA13" s="33" t="s">
        <v>8500</v>
      </c>
      <c r="AB13" s="33" t="s">
        <v>8525</v>
      </c>
      <c r="AC13" s="33"/>
      <c r="AD13" s="33"/>
      <c r="AE13" s="33"/>
      <c r="AF13" s="33" t="s">
        <v>8639</v>
      </c>
      <c r="AG13" s="33"/>
      <c r="AH13" s="33" t="s">
        <v>8606</v>
      </c>
      <c r="AI13" s="33"/>
      <c r="AJ13" s="33"/>
      <c r="AK13" s="33"/>
      <c r="AL13" s="33" t="s">
        <v>8546</v>
      </c>
      <c r="AM13" s="33" t="s">
        <v>8640</v>
      </c>
      <c r="AN13" s="33" t="s">
        <v>8641</v>
      </c>
      <c r="AO13" s="33" t="s">
        <v>8642</v>
      </c>
      <c r="AP13" s="33">
        <v>1</v>
      </c>
      <c r="AQ13" s="5" t="s">
        <v>10037</v>
      </c>
      <c r="AR13" s="33" t="s">
        <v>8643</v>
      </c>
      <c r="AS13" s="33" t="s">
        <v>63</v>
      </c>
      <c r="AT13" s="33" t="s">
        <v>8550</v>
      </c>
      <c r="AU13" s="33" t="s">
        <v>8551</v>
      </c>
      <c r="AV13" s="33" t="s">
        <v>8629</v>
      </c>
      <c r="AW13" s="33" t="s">
        <v>8630</v>
      </c>
      <c r="AX13" s="33" t="s">
        <v>8631</v>
      </c>
      <c r="AY13" s="33" t="s">
        <v>8632</v>
      </c>
      <c r="AZ13" s="33" t="s">
        <v>8633</v>
      </c>
      <c r="BA13" s="33" t="s">
        <v>8570</v>
      </c>
      <c r="BB13" s="33" t="s">
        <v>8571</v>
      </c>
      <c r="BC13" s="33" t="s">
        <v>8634</v>
      </c>
      <c r="BD13" s="33" t="s">
        <v>8635</v>
      </c>
      <c r="BE13" s="33"/>
      <c r="BF13" s="33"/>
      <c r="BG13" s="33" t="s">
        <v>8571</v>
      </c>
      <c r="BH13" s="33"/>
      <c r="BI13" s="33"/>
      <c r="BJ13" s="33"/>
      <c r="BK13" s="33" t="s">
        <v>8636</v>
      </c>
      <c r="BL13" s="33" t="s">
        <v>8637</v>
      </c>
      <c r="BM13" s="33" t="s">
        <v>8638</v>
      </c>
      <c r="BN13" s="33"/>
      <c r="BO13" s="33" t="s">
        <v>8500</v>
      </c>
      <c r="BP13" s="33" t="s">
        <v>8500</v>
      </c>
      <c r="BQ13" s="33" t="s">
        <v>8500</v>
      </c>
      <c r="BR13" s="33" t="s">
        <v>8525</v>
      </c>
      <c r="BS13" s="33"/>
      <c r="BT13" s="33"/>
      <c r="BU13" s="33"/>
      <c r="BV13" s="33" t="s">
        <v>8639</v>
      </c>
      <c r="BW13" s="33"/>
      <c r="BX13" s="33" t="s">
        <v>8606</v>
      </c>
      <c r="BY13" s="33"/>
      <c r="BZ13" s="33"/>
      <c r="CA13" s="33"/>
      <c r="CB13" s="33" t="s">
        <v>8546</v>
      </c>
      <c r="CC13" s="33" t="s">
        <v>8640</v>
      </c>
      <c r="CD13" s="33" t="s">
        <v>8641</v>
      </c>
      <c r="CE13" s="33" t="s">
        <v>8642</v>
      </c>
      <c r="CF13" s="33">
        <v>2</v>
      </c>
      <c r="CG13" s="5" t="s">
        <v>10037</v>
      </c>
      <c r="CH13" s="33">
        <f t="shared" si="9"/>
        <v>0</v>
      </c>
      <c r="CI13" s="33">
        <f t="shared" si="1"/>
        <v>0</v>
      </c>
      <c r="CJ13" s="33">
        <f t="shared" si="1"/>
        <v>0</v>
      </c>
      <c r="CK13" s="33">
        <f t="shared" si="1"/>
        <v>0</v>
      </c>
      <c r="CL13" s="33">
        <f t="shared" si="1"/>
        <v>0</v>
      </c>
      <c r="CM13" s="33">
        <f t="shared" si="1"/>
        <v>0</v>
      </c>
      <c r="CN13" s="33">
        <f t="shared" si="1"/>
        <v>0</v>
      </c>
      <c r="CO13" s="33">
        <f t="shared" si="1"/>
        <v>0</v>
      </c>
      <c r="CP13" s="33">
        <f t="shared" si="1"/>
        <v>0</v>
      </c>
      <c r="CQ13" s="33">
        <f t="shared" si="1"/>
        <v>0</v>
      </c>
      <c r="CR13" s="33">
        <f t="shared" si="1"/>
        <v>0</v>
      </c>
      <c r="CS13" s="33">
        <f t="shared" si="1"/>
        <v>0</v>
      </c>
      <c r="CT13" s="33">
        <f t="shared" si="1"/>
        <v>0</v>
      </c>
      <c r="CU13" s="33">
        <f t="shared" si="1"/>
        <v>0</v>
      </c>
      <c r="CV13" s="33">
        <f t="shared" si="1"/>
        <v>0</v>
      </c>
      <c r="CW13" s="33">
        <f t="shared" si="1"/>
        <v>0</v>
      </c>
      <c r="CX13" s="33">
        <f t="shared" si="1"/>
        <v>0</v>
      </c>
      <c r="CY13" s="33">
        <f t="shared" si="2"/>
        <v>0</v>
      </c>
      <c r="CZ13" s="33">
        <f t="shared" si="2"/>
        <v>0</v>
      </c>
      <c r="DA13" s="33">
        <f t="shared" si="2"/>
        <v>0</v>
      </c>
      <c r="DB13" s="33">
        <f t="shared" si="2"/>
        <v>0</v>
      </c>
      <c r="DC13" s="33">
        <f t="shared" si="2"/>
        <v>0</v>
      </c>
      <c r="DD13" s="33">
        <f t="shared" si="2"/>
        <v>0</v>
      </c>
      <c r="DE13" s="33">
        <f t="shared" si="2"/>
        <v>0</v>
      </c>
      <c r="DF13" s="33">
        <f t="shared" si="2"/>
        <v>0</v>
      </c>
      <c r="DG13" s="33">
        <f t="shared" si="2"/>
        <v>0</v>
      </c>
      <c r="DH13" s="33">
        <f t="shared" si="2"/>
        <v>0</v>
      </c>
      <c r="DI13" s="33">
        <f t="shared" si="2"/>
        <v>0</v>
      </c>
      <c r="DJ13" s="33">
        <f t="shared" si="2"/>
        <v>0</v>
      </c>
      <c r="DK13" s="33">
        <f t="shared" si="2"/>
        <v>0</v>
      </c>
      <c r="DL13" s="33">
        <f t="shared" si="2"/>
        <v>0</v>
      </c>
      <c r="DM13" s="33">
        <f t="shared" si="2"/>
        <v>0</v>
      </c>
      <c r="DN13" s="33">
        <f t="shared" si="2"/>
        <v>0</v>
      </c>
      <c r="DO13" s="33">
        <f t="shared" si="3"/>
        <v>0</v>
      </c>
      <c r="DP13" s="50">
        <f t="shared" si="10"/>
        <v>0</v>
      </c>
      <c r="DQ13" s="50">
        <f t="shared" si="11"/>
        <v>0</v>
      </c>
      <c r="DR13" s="33">
        <f t="shared" si="4"/>
        <v>0</v>
      </c>
      <c r="DS13" s="50">
        <f t="shared" si="12"/>
        <v>0</v>
      </c>
      <c r="DT13" s="50">
        <f t="shared" si="13"/>
        <v>0</v>
      </c>
      <c r="DU13" s="33">
        <f t="shared" si="5"/>
        <v>0</v>
      </c>
      <c r="DV13" s="33">
        <f t="shared" si="5"/>
        <v>0</v>
      </c>
      <c r="DW13" s="33">
        <f t="shared" si="5"/>
        <v>0</v>
      </c>
      <c r="DX13" s="33">
        <f t="shared" si="5"/>
        <v>0</v>
      </c>
      <c r="DY13" s="35">
        <f t="shared" si="14"/>
        <v>0</v>
      </c>
      <c r="DZ13" s="33">
        <f t="shared" si="15"/>
        <v>13</v>
      </c>
      <c r="EA13" s="33">
        <f t="shared" si="16"/>
        <v>13</v>
      </c>
      <c r="EB13" s="33" t="str">
        <f t="shared" si="17"/>
        <v>IGUAL CAMPOS PREENCH</v>
      </c>
      <c r="EC13" s="33" t="s">
        <v>10035</v>
      </c>
    </row>
    <row r="14" spans="2:133" x14ac:dyDescent="0.25">
      <c r="B14" s="33" t="s">
        <v>8644</v>
      </c>
      <c r="C14" s="33" t="s">
        <v>141</v>
      </c>
      <c r="D14" s="33" t="s">
        <v>8645</v>
      </c>
      <c r="E14" s="33" t="s">
        <v>8646</v>
      </c>
      <c r="F14" s="33" t="s">
        <v>8647</v>
      </c>
      <c r="G14" s="33" t="s">
        <v>8648</v>
      </c>
      <c r="H14" s="33" t="s">
        <v>8649</v>
      </c>
      <c r="I14" s="33" t="s">
        <v>8650</v>
      </c>
      <c r="J14" s="33" t="s">
        <v>8651</v>
      </c>
      <c r="K14" s="33" t="s">
        <v>8570</v>
      </c>
      <c r="L14" s="33" t="s">
        <v>8571</v>
      </c>
      <c r="M14" s="33" t="s">
        <v>8652</v>
      </c>
      <c r="N14" s="33" t="s">
        <v>8653</v>
      </c>
      <c r="O14" s="33"/>
      <c r="P14" s="33"/>
      <c r="Q14" s="33" t="s">
        <v>8571</v>
      </c>
      <c r="R14" s="33" t="s">
        <v>8654</v>
      </c>
      <c r="S14" s="33"/>
      <c r="T14" s="33"/>
      <c r="U14" s="33" t="s">
        <v>8655</v>
      </c>
      <c r="V14" s="33" t="s">
        <v>8656</v>
      </c>
      <c r="W14" s="33" t="s">
        <v>8657</v>
      </c>
      <c r="X14" s="33" t="s">
        <v>8658</v>
      </c>
      <c r="Y14" s="33" t="s">
        <v>8500</v>
      </c>
      <c r="Z14" s="33" t="s">
        <v>8500</v>
      </c>
      <c r="AA14" s="33" t="s">
        <v>8500</v>
      </c>
      <c r="AB14" s="33" t="s">
        <v>8525</v>
      </c>
      <c r="AC14" s="33"/>
      <c r="AD14" s="33"/>
      <c r="AE14" s="33"/>
      <c r="AF14" s="33" t="s">
        <v>8659</v>
      </c>
      <c r="AG14" s="33"/>
      <c r="AH14" s="33" t="s">
        <v>8606</v>
      </c>
      <c r="AI14" s="33"/>
      <c r="AJ14" s="33" t="s">
        <v>8545</v>
      </c>
      <c r="AK14" s="33" t="s">
        <v>8528</v>
      </c>
      <c r="AL14" s="33" t="s">
        <v>8528</v>
      </c>
      <c r="AM14" s="33" t="s">
        <v>8577</v>
      </c>
      <c r="AN14" s="33" t="s">
        <v>8660</v>
      </c>
      <c r="AO14" s="33" t="s">
        <v>8661</v>
      </c>
      <c r="AP14" s="33">
        <v>1</v>
      </c>
      <c r="AQ14" s="5" t="s">
        <v>10037</v>
      </c>
      <c r="AR14" s="33"/>
      <c r="AS14" s="33" t="s">
        <v>141</v>
      </c>
      <c r="AT14" s="33" t="s">
        <v>8645</v>
      </c>
      <c r="AU14" s="33" t="s">
        <v>8646</v>
      </c>
      <c r="AV14" s="33" t="s">
        <v>8647</v>
      </c>
      <c r="AW14" s="33" t="s">
        <v>8648</v>
      </c>
      <c r="AX14" s="33" t="s">
        <v>8649</v>
      </c>
      <c r="AY14" s="33" t="s">
        <v>8650</v>
      </c>
      <c r="AZ14" s="33" t="s">
        <v>8651</v>
      </c>
      <c r="BA14" s="33" t="s">
        <v>8570</v>
      </c>
      <c r="BB14" s="33" t="s">
        <v>8571</v>
      </c>
      <c r="BC14" s="33" t="s">
        <v>8652</v>
      </c>
      <c r="BD14" s="33" t="s">
        <v>8653</v>
      </c>
      <c r="BE14" s="33"/>
      <c r="BF14" s="33"/>
      <c r="BG14" s="33" t="s">
        <v>8571</v>
      </c>
      <c r="BH14" s="33" t="s">
        <v>8654</v>
      </c>
      <c r="BI14" s="33"/>
      <c r="BJ14" s="33"/>
      <c r="BK14" s="33" t="s">
        <v>8655</v>
      </c>
      <c r="BL14" s="33" t="s">
        <v>8656</v>
      </c>
      <c r="BM14" s="33" t="s">
        <v>8657</v>
      </c>
      <c r="BN14" s="33" t="s">
        <v>8658</v>
      </c>
      <c r="BO14" s="33" t="s">
        <v>8500</v>
      </c>
      <c r="BP14" s="33" t="s">
        <v>8500</v>
      </c>
      <c r="BQ14" s="33" t="s">
        <v>8500</v>
      </c>
      <c r="BR14" s="33" t="s">
        <v>8525</v>
      </c>
      <c r="BS14" s="33"/>
      <c r="BT14" s="33"/>
      <c r="BU14" s="33"/>
      <c r="BV14" s="33" t="s">
        <v>8659</v>
      </c>
      <c r="BW14" s="33"/>
      <c r="BX14" s="33" t="s">
        <v>8606</v>
      </c>
      <c r="BY14" s="33"/>
      <c r="BZ14" s="33"/>
      <c r="CA14" s="33"/>
      <c r="CB14" s="33" t="s">
        <v>8528</v>
      </c>
      <c r="CC14" s="33" t="s">
        <v>8577</v>
      </c>
      <c r="CD14" s="33" t="s">
        <v>8660</v>
      </c>
      <c r="CE14" s="33" t="s">
        <v>8661</v>
      </c>
      <c r="CF14" s="33">
        <v>2</v>
      </c>
      <c r="CG14" s="5" t="s">
        <v>10037</v>
      </c>
      <c r="CH14" s="33">
        <f t="shared" si="9"/>
        <v>0</v>
      </c>
      <c r="CI14" s="33">
        <f t="shared" si="1"/>
        <v>0</v>
      </c>
      <c r="CJ14" s="33">
        <f t="shared" si="1"/>
        <v>0</v>
      </c>
      <c r="CK14" s="33">
        <f t="shared" si="1"/>
        <v>0</v>
      </c>
      <c r="CL14" s="33">
        <f t="shared" si="1"/>
        <v>0</v>
      </c>
      <c r="CM14" s="33">
        <f t="shared" si="1"/>
        <v>0</v>
      </c>
      <c r="CN14" s="33">
        <f t="shared" si="1"/>
        <v>0</v>
      </c>
      <c r="CO14" s="33">
        <f t="shared" si="1"/>
        <v>0</v>
      </c>
      <c r="CP14" s="33">
        <f t="shared" si="1"/>
        <v>0</v>
      </c>
      <c r="CQ14" s="33">
        <f t="shared" si="1"/>
        <v>0</v>
      </c>
      <c r="CR14" s="33">
        <f t="shared" si="1"/>
        <v>0</v>
      </c>
      <c r="CS14" s="33">
        <f t="shared" si="1"/>
        <v>0</v>
      </c>
      <c r="CT14" s="33">
        <f t="shared" si="1"/>
        <v>0</v>
      </c>
      <c r="CU14" s="33">
        <f t="shared" si="1"/>
        <v>0</v>
      </c>
      <c r="CV14" s="33">
        <f t="shared" si="1"/>
        <v>0</v>
      </c>
      <c r="CW14" s="33">
        <f t="shared" si="1"/>
        <v>0</v>
      </c>
      <c r="CX14" s="33">
        <f t="shared" si="1"/>
        <v>0</v>
      </c>
      <c r="CY14" s="33">
        <f t="shared" si="2"/>
        <v>0</v>
      </c>
      <c r="CZ14" s="33">
        <f t="shared" si="2"/>
        <v>0</v>
      </c>
      <c r="DA14" s="33">
        <f t="shared" si="2"/>
        <v>0</v>
      </c>
      <c r="DB14" s="33">
        <f t="shared" si="2"/>
        <v>0</v>
      </c>
      <c r="DC14" s="33">
        <f t="shared" si="2"/>
        <v>0</v>
      </c>
      <c r="DD14" s="33">
        <f t="shared" si="2"/>
        <v>0</v>
      </c>
      <c r="DE14" s="33">
        <f t="shared" si="2"/>
        <v>0</v>
      </c>
      <c r="DF14" s="33">
        <f t="shared" si="2"/>
        <v>0</v>
      </c>
      <c r="DG14" s="33">
        <f t="shared" si="2"/>
        <v>0</v>
      </c>
      <c r="DH14" s="33">
        <f t="shared" si="2"/>
        <v>0</v>
      </c>
      <c r="DI14" s="33">
        <f t="shared" si="2"/>
        <v>0</v>
      </c>
      <c r="DJ14" s="33">
        <f t="shared" si="2"/>
        <v>0</v>
      </c>
      <c r="DK14" s="33">
        <f t="shared" si="2"/>
        <v>0</v>
      </c>
      <c r="DL14" s="33">
        <f t="shared" si="2"/>
        <v>0</v>
      </c>
      <c r="DM14" s="33">
        <f t="shared" si="2"/>
        <v>0</v>
      </c>
      <c r="DN14" s="33">
        <f t="shared" si="2"/>
        <v>0</v>
      </c>
      <c r="DO14" s="33">
        <f t="shared" si="3"/>
        <v>1</v>
      </c>
      <c r="DP14" s="50" t="str">
        <f t="shared" si="10"/>
        <v>D</v>
      </c>
      <c r="DQ14" s="50">
        <f t="shared" si="11"/>
        <v>0</v>
      </c>
      <c r="DR14" s="33">
        <f t="shared" si="4"/>
        <v>1</v>
      </c>
      <c r="DS14" s="50" t="str">
        <f t="shared" si="12"/>
        <v>5-MEDIA BAJA</v>
      </c>
      <c r="DT14" s="50">
        <f t="shared" si="13"/>
        <v>0</v>
      </c>
      <c r="DU14" s="33">
        <f t="shared" si="5"/>
        <v>0</v>
      </c>
      <c r="DV14" s="33">
        <f t="shared" si="5"/>
        <v>0</v>
      </c>
      <c r="DW14" s="33">
        <f t="shared" si="5"/>
        <v>0</v>
      </c>
      <c r="DX14" s="33">
        <f t="shared" si="5"/>
        <v>0</v>
      </c>
      <c r="DY14" s="35">
        <f t="shared" si="14"/>
        <v>2</v>
      </c>
      <c r="DZ14" s="33">
        <f t="shared" si="15"/>
        <v>9</v>
      </c>
      <c r="EA14" s="33">
        <f t="shared" si="16"/>
        <v>11</v>
      </c>
      <c r="EB14" s="33" t="str">
        <f t="shared" si="17"/>
        <v>AUX 1 COM + CAMPOS PREENC OU IGUAL</v>
      </c>
      <c r="EC14" s="33" t="s">
        <v>10034</v>
      </c>
    </row>
    <row r="15" spans="2:133" x14ac:dyDescent="0.25">
      <c r="B15" s="33"/>
      <c r="C15" s="33" t="s">
        <v>160</v>
      </c>
      <c r="D15" s="33" t="s">
        <v>8662</v>
      </c>
      <c r="E15" s="33" t="s">
        <v>8663</v>
      </c>
      <c r="F15" s="33" t="s">
        <v>8664</v>
      </c>
      <c r="G15" s="33" t="s">
        <v>8665</v>
      </c>
      <c r="H15" s="33" t="s">
        <v>8666</v>
      </c>
      <c r="I15" s="33" t="s">
        <v>8665</v>
      </c>
      <c r="J15" s="33" t="s">
        <v>8665</v>
      </c>
      <c r="K15" s="33" t="s">
        <v>8491</v>
      </c>
      <c r="L15" s="33" t="s">
        <v>8492</v>
      </c>
      <c r="M15" s="33" t="s">
        <v>8667</v>
      </c>
      <c r="N15" s="33" t="s">
        <v>8653</v>
      </c>
      <c r="O15" s="33"/>
      <c r="P15" s="33"/>
      <c r="Q15" s="33" t="s">
        <v>8492</v>
      </c>
      <c r="R15" s="33" t="s">
        <v>8668</v>
      </c>
      <c r="S15" s="33"/>
      <c r="T15" s="33"/>
      <c r="U15" s="33" t="s">
        <v>8669</v>
      </c>
      <c r="V15" s="33" t="s">
        <v>8670</v>
      </c>
      <c r="W15" s="33" t="s">
        <v>8671</v>
      </c>
      <c r="X15" s="33" t="s">
        <v>8672</v>
      </c>
      <c r="Y15" s="33" t="s">
        <v>8500</v>
      </c>
      <c r="Z15" s="33" t="s">
        <v>8500</v>
      </c>
      <c r="AA15" s="33" t="s">
        <v>8500</v>
      </c>
      <c r="AB15" s="33" t="s">
        <v>8500</v>
      </c>
      <c r="AC15" s="33" t="s">
        <v>8673</v>
      </c>
      <c r="AD15" s="33" t="s">
        <v>8674</v>
      </c>
      <c r="AE15" s="33" t="s">
        <v>8668</v>
      </c>
      <c r="AF15" s="33" t="s">
        <v>8675</v>
      </c>
      <c r="AG15" s="33" t="s">
        <v>8676</v>
      </c>
      <c r="AH15" s="33" t="s">
        <v>8505</v>
      </c>
      <c r="AI15" s="33"/>
      <c r="AJ15" s="33"/>
      <c r="AK15" s="33"/>
      <c r="AL15" s="33" t="s">
        <v>8528</v>
      </c>
      <c r="AM15" s="33" t="s">
        <v>8564</v>
      </c>
      <c r="AN15" s="33" t="s">
        <v>8677</v>
      </c>
      <c r="AO15" s="33" t="s">
        <v>8678</v>
      </c>
      <c r="AP15" s="33">
        <v>1</v>
      </c>
      <c r="AQ15" s="5" t="s">
        <v>10037</v>
      </c>
      <c r="AR15" s="33" t="s">
        <v>8679</v>
      </c>
      <c r="AS15" s="33" t="s">
        <v>160</v>
      </c>
      <c r="AT15" s="33" t="s">
        <v>8662</v>
      </c>
      <c r="AU15" s="33" t="s">
        <v>8663</v>
      </c>
      <c r="AV15" s="33" t="s">
        <v>8664</v>
      </c>
      <c r="AW15" s="33" t="s">
        <v>8665</v>
      </c>
      <c r="AX15" s="33" t="s">
        <v>8666</v>
      </c>
      <c r="AY15" s="33" t="s">
        <v>8665</v>
      </c>
      <c r="AZ15" s="33" t="s">
        <v>8665</v>
      </c>
      <c r="BA15" s="33" t="s">
        <v>8491</v>
      </c>
      <c r="BB15" s="33" t="s">
        <v>8492</v>
      </c>
      <c r="BC15" s="33" t="s">
        <v>8667</v>
      </c>
      <c r="BD15" s="33" t="s">
        <v>8653</v>
      </c>
      <c r="BE15" s="33"/>
      <c r="BF15" s="33"/>
      <c r="BG15" s="33" t="s">
        <v>8492</v>
      </c>
      <c r="BH15" s="33" t="s">
        <v>8668</v>
      </c>
      <c r="BI15" s="33"/>
      <c r="BJ15" s="33"/>
      <c r="BK15" s="33" t="s">
        <v>8669</v>
      </c>
      <c r="BL15" s="33" t="s">
        <v>8670</v>
      </c>
      <c r="BM15" s="33" t="s">
        <v>8671</v>
      </c>
      <c r="BN15" s="33" t="s">
        <v>8672</v>
      </c>
      <c r="BO15" s="33" t="s">
        <v>8500</v>
      </c>
      <c r="BP15" s="33" t="s">
        <v>8500</v>
      </c>
      <c r="BQ15" s="33" t="s">
        <v>8500</v>
      </c>
      <c r="BR15" s="33" t="s">
        <v>8500</v>
      </c>
      <c r="BS15" s="33" t="s">
        <v>8673</v>
      </c>
      <c r="BT15" s="33" t="s">
        <v>8674</v>
      </c>
      <c r="BU15" s="33" t="s">
        <v>8668</v>
      </c>
      <c r="BV15" s="33" t="s">
        <v>8675</v>
      </c>
      <c r="BW15" s="33" t="s">
        <v>8676</v>
      </c>
      <c r="BX15" s="33" t="s">
        <v>8505</v>
      </c>
      <c r="BY15" s="33"/>
      <c r="BZ15" s="33" t="s">
        <v>8577</v>
      </c>
      <c r="CA15" s="33" t="s">
        <v>8528</v>
      </c>
      <c r="CB15" s="33" t="s">
        <v>8528</v>
      </c>
      <c r="CC15" s="33" t="s">
        <v>8564</v>
      </c>
      <c r="CD15" s="33" t="s">
        <v>8677</v>
      </c>
      <c r="CE15" s="33" t="s">
        <v>8678</v>
      </c>
      <c r="CF15" s="33">
        <v>2</v>
      </c>
      <c r="CG15" s="5" t="s">
        <v>10037</v>
      </c>
      <c r="CH15" s="33">
        <f t="shared" si="9"/>
        <v>0</v>
      </c>
      <c r="CI15" s="33">
        <f t="shared" si="1"/>
        <v>0</v>
      </c>
      <c r="CJ15" s="33">
        <f t="shared" si="1"/>
        <v>0</v>
      </c>
      <c r="CK15" s="33">
        <f t="shared" si="1"/>
        <v>0</v>
      </c>
      <c r="CL15" s="33">
        <f t="shared" si="1"/>
        <v>0</v>
      </c>
      <c r="CM15" s="33">
        <f t="shared" si="1"/>
        <v>0</v>
      </c>
      <c r="CN15" s="33">
        <f t="shared" si="1"/>
        <v>0</v>
      </c>
      <c r="CO15" s="33">
        <f t="shared" si="1"/>
        <v>0</v>
      </c>
      <c r="CP15" s="33">
        <f t="shared" si="1"/>
        <v>0</v>
      </c>
      <c r="CQ15" s="33">
        <f t="shared" si="1"/>
        <v>0</v>
      </c>
      <c r="CR15" s="33">
        <f t="shared" si="1"/>
        <v>0</v>
      </c>
      <c r="CS15" s="33">
        <f t="shared" si="1"/>
        <v>0</v>
      </c>
      <c r="CT15" s="33">
        <f t="shared" si="1"/>
        <v>0</v>
      </c>
      <c r="CU15" s="33">
        <f t="shared" si="1"/>
        <v>0</v>
      </c>
      <c r="CV15" s="33">
        <f t="shared" si="1"/>
        <v>0</v>
      </c>
      <c r="CW15" s="33">
        <f t="shared" si="1"/>
        <v>0</v>
      </c>
      <c r="CX15" s="33">
        <f t="shared" si="1"/>
        <v>0</v>
      </c>
      <c r="CY15" s="33">
        <f t="shared" si="2"/>
        <v>0</v>
      </c>
      <c r="CZ15" s="33">
        <f t="shared" si="2"/>
        <v>0</v>
      </c>
      <c r="DA15" s="33">
        <f t="shared" si="2"/>
        <v>0</v>
      </c>
      <c r="DB15" s="33">
        <f t="shared" si="2"/>
        <v>0</v>
      </c>
      <c r="DC15" s="33">
        <f t="shared" si="2"/>
        <v>0</v>
      </c>
      <c r="DD15" s="33">
        <f t="shared" si="2"/>
        <v>0</v>
      </c>
      <c r="DE15" s="33">
        <f t="shared" si="2"/>
        <v>0</v>
      </c>
      <c r="DF15" s="33">
        <f t="shared" si="2"/>
        <v>0</v>
      </c>
      <c r="DG15" s="33">
        <f t="shared" si="2"/>
        <v>0</v>
      </c>
      <c r="DH15" s="33">
        <f t="shared" si="2"/>
        <v>0</v>
      </c>
      <c r="DI15" s="33">
        <f t="shared" si="2"/>
        <v>0</v>
      </c>
      <c r="DJ15" s="33">
        <f t="shared" si="2"/>
        <v>0</v>
      </c>
      <c r="DK15" s="33">
        <f t="shared" si="2"/>
        <v>0</v>
      </c>
      <c r="DL15" s="33">
        <f t="shared" si="2"/>
        <v>0</v>
      </c>
      <c r="DM15" s="33">
        <f t="shared" si="2"/>
        <v>0</v>
      </c>
      <c r="DN15" s="33">
        <f t="shared" si="2"/>
        <v>0</v>
      </c>
      <c r="DO15" s="33">
        <f t="shared" si="3"/>
        <v>1</v>
      </c>
      <c r="DP15" s="50">
        <f t="shared" si="10"/>
        <v>0</v>
      </c>
      <c r="DQ15" s="50" t="str">
        <f t="shared" si="11"/>
        <v>E</v>
      </c>
      <c r="DR15" s="33">
        <f t="shared" si="4"/>
        <v>1</v>
      </c>
      <c r="DS15" s="50">
        <f t="shared" si="12"/>
        <v>0</v>
      </c>
      <c r="DT15" s="50" t="str">
        <f t="shared" si="13"/>
        <v>5-MEDIA BAJA</v>
      </c>
      <c r="DU15" s="33">
        <f t="shared" si="5"/>
        <v>0</v>
      </c>
      <c r="DV15" s="33">
        <f t="shared" si="5"/>
        <v>0</v>
      </c>
      <c r="DW15" s="33">
        <f t="shared" si="5"/>
        <v>0</v>
      </c>
      <c r="DX15" s="33">
        <f t="shared" si="5"/>
        <v>0</v>
      </c>
      <c r="DY15" s="35">
        <f t="shared" si="14"/>
        <v>2</v>
      </c>
      <c r="DZ15" s="33">
        <f t="shared" si="15"/>
        <v>7</v>
      </c>
      <c r="EA15" s="33">
        <f t="shared" si="16"/>
        <v>5</v>
      </c>
      <c r="EB15" s="33" t="str">
        <f t="shared" si="17"/>
        <v>AUX 2 COM + CAMPOS PREENC</v>
      </c>
      <c r="EC15" s="33" t="s">
        <v>10034</v>
      </c>
    </row>
    <row r="16" spans="2:133" x14ac:dyDescent="0.25">
      <c r="B16" s="33"/>
      <c r="C16" s="33" t="s">
        <v>74</v>
      </c>
      <c r="D16" s="33" t="s">
        <v>8680</v>
      </c>
      <c r="E16" s="33" t="s">
        <v>8681</v>
      </c>
      <c r="F16" s="33" t="s">
        <v>8682</v>
      </c>
      <c r="G16" s="33" t="s">
        <v>8683</v>
      </c>
      <c r="H16" s="33" t="s">
        <v>8684</v>
      </c>
      <c r="I16" s="33" t="s">
        <v>8685</v>
      </c>
      <c r="J16" s="33" t="s">
        <v>8686</v>
      </c>
      <c r="K16" s="33" t="s">
        <v>8519</v>
      </c>
      <c r="L16" s="33" t="s">
        <v>8520</v>
      </c>
      <c r="M16" s="33" t="s">
        <v>8687</v>
      </c>
      <c r="N16" s="33" t="s">
        <v>8688</v>
      </c>
      <c r="O16" s="33"/>
      <c r="P16" s="33"/>
      <c r="Q16" s="33" t="s">
        <v>8520</v>
      </c>
      <c r="R16" s="33"/>
      <c r="S16" s="33"/>
      <c r="T16" s="33"/>
      <c r="U16" s="33" t="s">
        <v>8689</v>
      </c>
      <c r="V16" s="33" t="s">
        <v>8690</v>
      </c>
      <c r="W16" s="33" t="s">
        <v>8691</v>
      </c>
      <c r="X16" s="33"/>
      <c r="Y16" s="33" t="s">
        <v>8500</v>
      </c>
      <c r="Z16" s="33" t="s">
        <v>8500</v>
      </c>
      <c r="AA16" s="33" t="s">
        <v>8500</v>
      </c>
      <c r="AB16" s="33" t="s">
        <v>8500</v>
      </c>
      <c r="AC16" s="33"/>
      <c r="AD16" s="33"/>
      <c r="AE16" s="33"/>
      <c r="AF16" s="33" t="s">
        <v>8692</v>
      </c>
      <c r="AG16" s="33"/>
      <c r="AH16" s="33" t="s">
        <v>8505</v>
      </c>
      <c r="AI16" s="33"/>
      <c r="AJ16" s="33"/>
      <c r="AK16" s="33"/>
      <c r="AL16" s="33" t="s">
        <v>8528</v>
      </c>
      <c r="AM16" s="33" t="s">
        <v>8693</v>
      </c>
      <c r="AN16" s="33" t="s">
        <v>8694</v>
      </c>
      <c r="AO16" s="33" t="s">
        <v>8695</v>
      </c>
      <c r="AP16" s="33">
        <v>1</v>
      </c>
      <c r="AQ16" s="5" t="s">
        <v>10037</v>
      </c>
      <c r="AR16" s="33" t="s">
        <v>8696</v>
      </c>
      <c r="AS16" s="33" t="s">
        <v>74</v>
      </c>
      <c r="AT16" s="33" t="s">
        <v>8680</v>
      </c>
      <c r="AU16" s="33" t="s">
        <v>8681</v>
      </c>
      <c r="AV16" s="33" t="s">
        <v>8682</v>
      </c>
      <c r="AW16" s="33" t="s">
        <v>8683</v>
      </c>
      <c r="AX16" s="33" t="s">
        <v>8684</v>
      </c>
      <c r="AY16" s="33" t="s">
        <v>8685</v>
      </c>
      <c r="AZ16" s="33" t="s">
        <v>8686</v>
      </c>
      <c r="BA16" s="33" t="s">
        <v>8519</v>
      </c>
      <c r="BB16" s="33" t="s">
        <v>8520</v>
      </c>
      <c r="BC16" s="33" t="s">
        <v>8687</v>
      </c>
      <c r="BD16" s="33" t="s">
        <v>8688</v>
      </c>
      <c r="BE16" s="33"/>
      <c r="BF16" s="33"/>
      <c r="BG16" s="33" t="s">
        <v>8520</v>
      </c>
      <c r="BH16" s="33"/>
      <c r="BI16" s="33"/>
      <c r="BJ16" s="33"/>
      <c r="BK16" s="33" t="s">
        <v>8689</v>
      </c>
      <c r="BL16" s="33" t="s">
        <v>8690</v>
      </c>
      <c r="BM16" s="33" t="s">
        <v>8691</v>
      </c>
      <c r="BN16" s="33"/>
      <c r="BO16" s="33" t="s">
        <v>8500</v>
      </c>
      <c r="BP16" s="33" t="s">
        <v>8500</v>
      </c>
      <c r="BQ16" s="33" t="s">
        <v>8500</v>
      </c>
      <c r="BR16" s="33" t="s">
        <v>8500</v>
      </c>
      <c r="BS16" s="33"/>
      <c r="BT16" s="33"/>
      <c r="BU16" s="33"/>
      <c r="BV16" s="33" t="s">
        <v>8692</v>
      </c>
      <c r="BW16" s="33"/>
      <c r="BX16" s="33" t="s">
        <v>8505</v>
      </c>
      <c r="BY16" s="33"/>
      <c r="BZ16" s="33"/>
      <c r="CA16" s="33"/>
      <c r="CB16" s="33" t="s">
        <v>8528</v>
      </c>
      <c r="CC16" s="33" t="s">
        <v>8693</v>
      </c>
      <c r="CD16" s="33" t="s">
        <v>8694</v>
      </c>
      <c r="CE16" s="33" t="s">
        <v>8695</v>
      </c>
      <c r="CF16" s="33">
        <v>2</v>
      </c>
      <c r="CG16" s="5" t="s">
        <v>10037</v>
      </c>
      <c r="CH16" s="33">
        <f t="shared" si="9"/>
        <v>0</v>
      </c>
      <c r="CI16" s="33">
        <f t="shared" si="1"/>
        <v>0</v>
      </c>
      <c r="CJ16" s="33">
        <f t="shared" si="1"/>
        <v>0</v>
      </c>
      <c r="CK16" s="33">
        <f t="shared" si="1"/>
        <v>0</v>
      </c>
      <c r="CL16" s="33">
        <f t="shared" si="1"/>
        <v>0</v>
      </c>
      <c r="CM16" s="33">
        <f t="shared" si="1"/>
        <v>0</v>
      </c>
      <c r="CN16" s="33">
        <f t="shared" si="1"/>
        <v>0</v>
      </c>
      <c r="CO16" s="33">
        <f t="shared" si="1"/>
        <v>0</v>
      </c>
      <c r="CP16" s="33">
        <f t="shared" si="1"/>
        <v>0</v>
      </c>
      <c r="CQ16" s="33">
        <f t="shared" si="1"/>
        <v>0</v>
      </c>
      <c r="CR16" s="33">
        <f t="shared" si="1"/>
        <v>0</v>
      </c>
      <c r="CS16" s="33">
        <f t="shared" si="1"/>
        <v>0</v>
      </c>
      <c r="CT16" s="33">
        <f t="shared" si="1"/>
        <v>0</v>
      </c>
      <c r="CU16" s="33">
        <f t="shared" si="1"/>
        <v>0</v>
      </c>
      <c r="CV16" s="33">
        <f t="shared" si="1"/>
        <v>0</v>
      </c>
      <c r="CW16" s="33">
        <f t="shared" si="1"/>
        <v>0</v>
      </c>
      <c r="CX16" s="33">
        <f t="shared" si="1"/>
        <v>0</v>
      </c>
      <c r="CY16" s="33">
        <f t="shared" si="2"/>
        <v>0</v>
      </c>
      <c r="CZ16" s="33">
        <f t="shared" si="2"/>
        <v>0</v>
      </c>
      <c r="DA16" s="33">
        <f t="shared" si="2"/>
        <v>0</v>
      </c>
      <c r="DB16" s="33">
        <f t="shared" si="2"/>
        <v>0</v>
      </c>
      <c r="DC16" s="33">
        <f t="shared" si="2"/>
        <v>0</v>
      </c>
      <c r="DD16" s="33">
        <f t="shared" si="2"/>
        <v>0</v>
      </c>
      <c r="DE16" s="33">
        <f t="shared" si="2"/>
        <v>0</v>
      </c>
      <c r="DF16" s="33">
        <f t="shared" si="2"/>
        <v>0</v>
      </c>
      <c r="DG16" s="33">
        <f t="shared" si="2"/>
        <v>0</v>
      </c>
      <c r="DH16" s="33">
        <f t="shared" si="2"/>
        <v>0</v>
      </c>
      <c r="DI16" s="33">
        <f t="shared" si="2"/>
        <v>0</v>
      </c>
      <c r="DJ16" s="33">
        <f t="shared" si="2"/>
        <v>0</v>
      </c>
      <c r="DK16" s="33">
        <f t="shared" si="2"/>
        <v>0</v>
      </c>
      <c r="DL16" s="33">
        <f t="shared" si="2"/>
        <v>0</v>
      </c>
      <c r="DM16" s="33">
        <f t="shared" si="2"/>
        <v>0</v>
      </c>
      <c r="DN16" s="33">
        <f t="shared" si="2"/>
        <v>0</v>
      </c>
      <c r="DO16" s="33">
        <f t="shared" si="3"/>
        <v>0</v>
      </c>
      <c r="DP16" s="50">
        <f t="shared" si="10"/>
        <v>0</v>
      </c>
      <c r="DQ16" s="50">
        <f t="shared" si="11"/>
        <v>0</v>
      </c>
      <c r="DR16" s="33">
        <f t="shared" si="4"/>
        <v>0</v>
      </c>
      <c r="DS16" s="50">
        <f t="shared" si="12"/>
        <v>0</v>
      </c>
      <c r="DT16" s="50">
        <f t="shared" si="13"/>
        <v>0</v>
      </c>
      <c r="DU16" s="33">
        <f t="shared" si="5"/>
        <v>0</v>
      </c>
      <c r="DV16" s="33">
        <f t="shared" si="5"/>
        <v>0</v>
      </c>
      <c r="DW16" s="33">
        <f t="shared" si="5"/>
        <v>0</v>
      </c>
      <c r="DX16" s="33">
        <f t="shared" si="5"/>
        <v>0</v>
      </c>
      <c r="DY16" s="35">
        <f t="shared" si="14"/>
        <v>0</v>
      </c>
      <c r="DZ16" s="33">
        <f t="shared" si="15"/>
        <v>13</v>
      </c>
      <c r="EA16" s="33">
        <f t="shared" si="16"/>
        <v>13</v>
      </c>
      <c r="EB16" s="33" t="str">
        <f t="shared" si="17"/>
        <v>IGUAL CAMPOS PREENCH</v>
      </c>
      <c r="EC16" s="33" t="s">
        <v>10035</v>
      </c>
    </row>
    <row r="17" spans="2:133" x14ac:dyDescent="0.25">
      <c r="B17" s="33" t="s">
        <v>8697</v>
      </c>
      <c r="C17" s="33" t="s">
        <v>38</v>
      </c>
      <c r="D17" s="33" t="s">
        <v>8486</v>
      </c>
      <c r="E17" s="33" t="s">
        <v>8487</v>
      </c>
      <c r="F17" s="33" t="s">
        <v>8488</v>
      </c>
      <c r="G17" s="33" t="s">
        <v>8487</v>
      </c>
      <c r="H17" s="33" t="s">
        <v>8698</v>
      </c>
      <c r="I17" s="33" t="s">
        <v>8699</v>
      </c>
      <c r="J17" s="33" t="s">
        <v>8700</v>
      </c>
      <c r="K17" s="33" t="s">
        <v>8570</v>
      </c>
      <c r="L17" s="33" t="s">
        <v>8571</v>
      </c>
      <c r="M17" s="33" t="s">
        <v>8701</v>
      </c>
      <c r="N17" s="33" t="s">
        <v>175</v>
      </c>
      <c r="O17" s="33"/>
      <c r="P17" s="33"/>
      <c r="Q17" s="33" t="s">
        <v>8571</v>
      </c>
      <c r="R17" s="33"/>
      <c r="S17" s="33"/>
      <c r="T17" s="33"/>
      <c r="U17" s="33" t="s">
        <v>8702</v>
      </c>
      <c r="V17" s="33" t="s">
        <v>8703</v>
      </c>
      <c r="W17" s="33" t="s">
        <v>8704</v>
      </c>
      <c r="X17" s="33" t="s">
        <v>8705</v>
      </c>
      <c r="Y17" s="33" t="s">
        <v>8525</v>
      </c>
      <c r="Z17" s="33" t="s">
        <v>8500</v>
      </c>
      <c r="AA17" s="33" t="s">
        <v>8500</v>
      </c>
      <c r="AB17" s="33" t="s">
        <v>8500</v>
      </c>
      <c r="AC17" s="33"/>
      <c r="AD17" s="33"/>
      <c r="AE17" s="33"/>
      <c r="AF17" s="33" t="s">
        <v>8706</v>
      </c>
      <c r="AG17" s="33"/>
      <c r="AH17" s="33" t="s">
        <v>8707</v>
      </c>
      <c r="AI17" s="33"/>
      <c r="AJ17" s="33" t="s">
        <v>8506</v>
      </c>
      <c r="AK17" s="33" t="s">
        <v>8528</v>
      </c>
      <c r="AL17" s="33" t="s">
        <v>8508</v>
      </c>
      <c r="AM17" s="33" t="s">
        <v>8577</v>
      </c>
      <c r="AN17" s="33" t="s">
        <v>8708</v>
      </c>
      <c r="AO17" s="33" t="s">
        <v>8709</v>
      </c>
      <c r="AP17" s="33">
        <v>1</v>
      </c>
      <c r="AQ17" s="5" t="s">
        <v>10037</v>
      </c>
      <c r="AR17" s="33"/>
      <c r="AS17" s="33" t="s">
        <v>38</v>
      </c>
      <c r="AT17" s="33" t="s">
        <v>8486</v>
      </c>
      <c r="AU17" s="33" t="s">
        <v>8487</v>
      </c>
      <c r="AV17" s="33" t="s">
        <v>8488</v>
      </c>
      <c r="AW17" s="33" t="s">
        <v>8487</v>
      </c>
      <c r="AX17" s="33" t="s">
        <v>8698</v>
      </c>
      <c r="AY17" s="33" t="s">
        <v>8699</v>
      </c>
      <c r="AZ17" s="33" t="s">
        <v>8700</v>
      </c>
      <c r="BA17" s="33" t="s">
        <v>8570</v>
      </c>
      <c r="BB17" s="33" t="s">
        <v>8571</v>
      </c>
      <c r="BC17" s="33" t="s">
        <v>8701</v>
      </c>
      <c r="BD17" s="33" t="s">
        <v>175</v>
      </c>
      <c r="BE17" s="33"/>
      <c r="BF17" s="33"/>
      <c r="BG17" s="33" t="s">
        <v>8571</v>
      </c>
      <c r="BH17" s="33"/>
      <c r="BI17" s="33"/>
      <c r="BJ17" s="33"/>
      <c r="BK17" s="33" t="s">
        <v>8702</v>
      </c>
      <c r="BL17" s="33" t="s">
        <v>8703</v>
      </c>
      <c r="BM17" s="33" t="s">
        <v>8704</v>
      </c>
      <c r="BN17" s="33" t="s">
        <v>8705</v>
      </c>
      <c r="BO17" s="33" t="s">
        <v>8525</v>
      </c>
      <c r="BP17" s="33" t="s">
        <v>8500</v>
      </c>
      <c r="BQ17" s="33" t="s">
        <v>8500</v>
      </c>
      <c r="BR17" s="33" t="s">
        <v>8500</v>
      </c>
      <c r="BS17" s="33"/>
      <c r="BT17" s="33"/>
      <c r="BU17" s="33"/>
      <c r="BV17" s="33" t="s">
        <v>8706</v>
      </c>
      <c r="BW17" s="33"/>
      <c r="BX17" s="33" t="s">
        <v>8707</v>
      </c>
      <c r="BY17" s="33"/>
      <c r="BZ17" s="33"/>
      <c r="CA17" s="33"/>
      <c r="CB17" s="33" t="s">
        <v>8508</v>
      </c>
      <c r="CC17" s="33" t="s">
        <v>8577</v>
      </c>
      <c r="CD17" s="33" t="s">
        <v>8708</v>
      </c>
      <c r="CE17" s="33" t="s">
        <v>8709</v>
      </c>
      <c r="CF17" s="33">
        <v>2</v>
      </c>
      <c r="CG17" s="5" t="s">
        <v>10037</v>
      </c>
      <c r="CH17" s="33">
        <f t="shared" si="9"/>
        <v>0</v>
      </c>
      <c r="CI17" s="33">
        <f t="shared" si="1"/>
        <v>0</v>
      </c>
      <c r="CJ17" s="33">
        <f t="shared" si="1"/>
        <v>0</v>
      </c>
      <c r="CK17" s="33">
        <f t="shared" si="1"/>
        <v>0</v>
      </c>
      <c r="CL17" s="33">
        <f t="shared" si="1"/>
        <v>0</v>
      </c>
      <c r="CM17" s="33">
        <f t="shared" si="1"/>
        <v>0</v>
      </c>
      <c r="CN17" s="33">
        <f t="shared" si="1"/>
        <v>0</v>
      </c>
      <c r="CO17" s="33">
        <f t="shared" si="1"/>
        <v>0</v>
      </c>
      <c r="CP17" s="33">
        <f t="shared" si="1"/>
        <v>0</v>
      </c>
      <c r="CQ17" s="33">
        <f t="shared" si="1"/>
        <v>0</v>
      </c>
      <c r="CR17" s="33">
        <f t="shared" si="1"/>
        <v>0</v>
      </c>
      <c r="CS17" s="33">
        <f t="shared" si="1"/>
        <v>0</v>
      </c>
      <c r="CT17" s="33">
        <f t="shared" si="1"/>
        <v>0</v>
      </c>
      <c r="CU17" s="33">
        <f t="shared" si="1"/>
        <v>0</v>
      </c>
      <c r="CV17" s="33">
        <f t="shared" si="1"/>
        <v>0</v>
      </c>
      <c r="CW17" s="33">
        <f t="shared" si="1"/>
        <v>0</v>
      </c>
      <c r="CX17" s="33">
        <f t="shared" si="1"/>
        <v>0</v>
      </c>
      <c r="CY17" s="33">
        <f t="shared" si="2"/>
        <v>0</v>
      </c>
      <c r="CZ17" s="33">
        <f t="shared" si="2"/>
        <v>0</v>
      </c>
      <c r="DA17" s="33">
        <f t="shared" si="2"/>
        <v>0</v>
      </c>
      <c r="DB17" s="33">
        <f t="shared" si="2"/>
        <v>0</v>
      </c>
      <c r="DC17" s="33">
        <f t="shared" si="2"/>
        <v>0</v>
      </c>
      <c r="DD17" s="33">
        <f t="shared" si="2"/>
        <v>0</v>
      </c>
      <c r="DE17" s="33">
        <f t="shared" si="2"/>
        <v>0</v>
      </c>
      <c r="DF17" s="33">
        <f t="shared" si="2"/>
        <v>0</v>
      </c>
      <c r="DG17" s="33">
        <f t="shared" si="2"/>
        <v>0</v>
      </c>
      <c r="DH17" s="33">
        <f t="shared" si="2"/>
        <v>0</v>
      </c>
      <c r="DI17" s="33">
        <f t="shared" si="2"/>
        <v>0</v>
      </c>
      <c r="DJ17" s="33">
        <f t="shared" si="2"/>
        <v>0</v>
      </c>
      <c r="DK17" s="33">
        <f t="shared" si="2"/>
        <v>0</v>
      </c>
      <c r="DL17" s="33">
        <f t="shared" si="2"/>
        <v>0</v>
      </c>
      <c r="DM17" s="33">
        <f t="shared" si="2"/>
        <v>0</v>
      </c>
      <c r="DN17" s="33">
        <f t="shared" si="2"/>
        <v>0</v>
      </c>
      <c r="DO17" s="33">
        <f t="shared" si="3"/>
        <v>1</v>
      </c>
      <c r="DP17" s="50" t="str">
        <f t="shared" si="10"/>
        <v>C</v>
      </c>
      <c r="DQ17" s="50">
        <f t="shared" si="11"/>
        <v>0</v>
      </c>
      <c r="DR17" s="33">
        <f t="shared" si="4"/>
        <v>1</v>
      </c>
      <c r="DS17" s="50" t="str">
        <f t="shared" si="12"/>
        <v>5-MEDIA BAJA</v>
      </c>
      <c r="DT17" s="50">
        <f t="shared" si="13"/>
        <v>0</v>
      </c>
      <c r="DU17" s="33">
        <f t="shared" si="5"/>
        <v>0</v>
      </c>
      <c r="DV17" s="33">
        <f t="shared" si="5"/>
        <v>0</v>
      </c>
      <c r="DW17" s="33">
        <f t="shared" si="5"/>
        <v>0</v>
      </c>
      <c r="DX17" s="33">
        <f t="shared" si="5"/>
        <v>0</v>
      </c>
      <c r="DY17" s="35">
        <f t="shared" si="14"/>
        <v>2</v>
      </c>
      <c r="DZ17" s="33">
        <f t="shared" si="15"/>
        <v>10</v>
      </c>
      <c r="EA17" s="33">
        <f t="shared" si="16"/>
        <v>12</v>
      </c>
      <c r="EB17" s="33" t="str">
        <f t="shared" si="17"/>
        <v>AUX 1 COM + CAMPOS PREENC OU IGUAL</v>
      </c>
      <c r="EC17" s="33" t="s">
        <v>10034</v>
      </c>
    </row>
    <row r="18" spans="2:133" x14ac:dyDescent="0.25">
      <c r="B18" s="33" t="s">
        <v>8710</v>
      </c>
      <c r="C18" s="33" t="s">
        <v>58</v>
      </c>
      <c r="D18" s="33" t="s">
        <v>8711</v>
      </c>
      <c r="E18" s="33" t="s">
        <v>8712</v>
      </c>
      <c r="F18" s="33" t="s">
        <v>8713</v>
      </c>
      <c r="G18" s="33" t="s">
        <v>8714</v>
      </c>
      <c r="H18" s="33" t="s">
        <v>8715</v>
      </c>
      <c r="I18" s="33" t="s">
        <v>8716</v>
      </c>
      <c r="J18" s="33" t="s">
        <v>8716</v>
      </c>
      <c r="K18" s="33" t="s">
        <v>8570</v>
      </c>
      <c r="L18" s="33" t="s">
        <v>8571</v>
      </c>
      <c r="M18" s="33" t="s">
        <v>8717</v>
      </c>
      <c r="N18" s="33" t="s">
        <v>8718</v>
      </c>
      <c r="O18" s="33"/>
      <c r="P18" s="33"/>
      <c r="Q18" s="33" t="s">
        <v>8571</v>
      </c>
      <c r="R18" s="33"/>
      <c r="S18" s="33"/>
      <c r="T18" s="33"/>
      <c r="U18" s="33" t="s">
        <v>8719</v>
      </c>
      <c r="V18" s="33" t="s">
        <v>8720</v>
      </c>
      <c r="W18" s="33" t="s">
        <v>8721</v>
      </c>
      <c r="X18" s="33"/>
      <c r="Y18" s="33" t="s">
        <v>8500</v>
      </c>
      <c r="Z18" s="33" t="s">
        <v>8500</v>
      </c>
      <c r="AA18" s="33" t="s">
        <v>8500</v>
      </c>
      <c r="AB18" s="33" t="s">
        <v>8525</v>
      </c>
      <c r="AC18" s="33"/>
      <c r="AD18" s="33"/>
      <c r="AE18" s="33"/>
      <c r="AF18" s="33" t="s">
        <v>8722</v>
      </c>
      <c r="AG18" s="33"/>
      <c r="AH18" s="33" t="s">
        <v>8723</v>
      </c>
      <c r="AI18" s="33"/>
      <c r="AJ18" s="33"/>
      <c r="AK18" s="33"/>
      <c r="AL18" s="33" t="s">
        <v>8528</v>
      </c>
      <c r="AM18" s="33" t="s">
        <v>8602</v>
      </c>
      <c r="AN18" s="33" t="s">
        <v>8724</v>
      </c>
      <c r="AO18" s="33" t="s">
        <v>8725</v>
      </c>
      <c r="AP18" s="33">
        <v>1</v>
      </c>
      <c r="AQ18" s="5" t="s">
        <v>10037</v>
      </c>
      <c r="AR18" s="33"/>
      <c r="AS18" s="33" t="s">
        <v>58</v>
      </c>
      <c r="AT18" s="33" t="s">
        <v>8711</v>
      </c>
      <c r="AU18" s="33" t="s">
        <v>8712</v>
      </c>
      <c r="AV18" s="33" t="s">
        <v>8713</v>
      </c>
      <c r="AW18" s="33" t="s">
        <v>8714</v>
      </c>
      <c r="AX18" s="33" t="s">
        <v>8715</v>
      </c>
      <c r="AY18" s="33" t="s">
        <v>8716</v>
      </c>
      <c r="AZ18" s="33" t="s">
        <v>8716</v>
      </c>
      <c r="BA18" s="33" t="s">
        <v>8570</v>
      </c>
      <c r="BB18" s="33" t="s">
        <v>8571</v>
      </c>
      <c r="BC18" s="33" t="s">
        <v>8717</v>
      </c>
      <c r="BD18" s="33" t="s">
        <v>8718</v>
      </c>
      <c r="BE18" s="33"/>
      <c r="BF18" s="33"/>
      <c r="BG18" s="33" t="s">
        <v>8571</v>
      </c>
      <c r="BH18" s="33"/>
      <c r="BI18" s="33"/>
      <c r="BJ18" s="33"/>
      <c r="BK18" s="33" t="s">
        <v>8719</v>
      </c>
      <c r="BL18" s="33" t="s">
        <v>8720</v>
      </c>
      <c r="BM18" s="33" t="s">
        <v>8721</v>
      </c>
      <c r="BN18" s="33"/>
      <c r="BO18" s="33" t="s">
        <v>8500</v>
      </c>
      <c r="BP18" s="33" t="s">
        <v>8500</v>
      </c>
      <c r="BQ18" s="33" t="s">
        <v>8500</v>
      </c>
      <c r="BR18" s="33" t="s">
        <v>8525</v>
      </c>
      <c r="BS18" s="33"/>
      <c r="BT18" s="33"/>
      <c r="BU18" s="33"/>
      <c r="BV18" s="33" t="s">
        <v>8722</v>
      </c>
      <c r="BW18" s="33"/>
      <c r="BX18" s="33" t="s">
        <v>8723</v>
      </c>
      <c r="BY18" s="33"/>
      <c r="BZ18" s="33"/>
      <c r="CA18" s="33"/>
      <c r="CB18" s="33" t="s">
        <v>8528</v>
      </c>
      <c r="CC18" s="33" t="s">
        <v>8602</v>
      </c>
      <c r="CD18" s="33" t="s">
        <v>8724</v>
      </c>
      <c r="CE18" s="33" t="s">
        <v>8725</v>
      </c>
      <c r="CF18" s="33">
        <v>2</v>
      </c>
      <c r="CG18" s="5" t="s">
        <v>10037</v>
      </c>
      <c r="CH18" s="33">
        <f t="shared" si="9"/>
        <v>0</v>
      </c>
      <c r="CI18" s="33">
        <f t="shared" si="1"/>
        <v>0</v>
      </c>
      <c r="CJ18" s="33">
        <f t="shared" si="1"/>
        <v>0</v>
      </c>
      <c r="CK18" s="33">
        <f t="shared" si="1"/>
        <v>0</v>
      </c>
      <c r="CL18" s="33">
        <f t="shared" si="1"/>
        <v>0</v>
      </c>
      <c r="CM18" s="33">
        <f t="shared" si="1"/>
        <v>0</v>
      </c>
      <c r="CN18" s="33">
        <f t="shared" si="1"/>
        <v>0</v>
      </c>
      <c r="CO18" s="33">
        <f t="shared" si="1"/>
        <v>0</v>
      </c>
      <c r="CP18" s="33">
        <f t="shared" si="1"/>
        <v>0</v>
      </c>
      <c r="CQ18" s="33">
        <f t="shared" si="1"/>
        <v>0</v>
      </c>
      <c r="CR18" s="33">
        <f t="shared" si="1"/>
        <v>0</v>
      </c>
      <c r="CS18" s="33">
        <f t="shared" si="1"/>
        <v>0</v>
      </c>
      <c r="CT18" s="33">
        <f t="shared" si="1"/>
        <v>0</v>
      </c>
      <c r="CU18" s="33">
        <f t="shared" si="1"/>
        <v>0</v>
      </c>
      <c r="CV18" s="33">
        <f t="shared" si="1"/>
        <v>0</v>
      </c>
      <c r="CW18" s="33">
        <f t="shared" si="1"/>
        <v>0</v>
      </c>
      <c r="CX18" s="33">
        <f t="shared" si="1"/>
        <v>0</v>
      </c>
      <c r="CY18" s="33">
        <f t="shared" si="2"/>
        <v>0</v>
      </c>
      <c r="CZ18" s="33">
        <f t="shared" si="2"/>
        <v>0</v>
      </c>
      <c r="DA18" s="33">
        <f t="shared" si="2"/>
        <v>0</v>
      </c>
      <c r="DB18" s="33">
        <f t="shared" si="2"/>
        <v>0</v>
      </c>
      <c r="DC18" s="33">
        <f t="shared" si="2"/>
        <v>0</v>
      </c>
      <c r="DD18" s="33">
        <f t="shared" si="2"/>
        <v>0</v>
      </c>
      <c r="DE18" s="33">
        <f t="shared" si="2"/>
        <v>0</v>
      </c>
      <c r="DF18" s="33">
        <f t="shared" si="2"/>
        <v>0</v>
      </c>
      <c r="DG18" s="33">
        <f t="shared" si="2"/>
        <v>0</v>
      </c>
      <c r="DH18" s="33">
        <f t="shared" si="2"/>
        <v>0</v>
      </c>
      <c r="DI18" s="33">
        <f t="shared" si="2"/>
        <v>0</v>
      </c>
      <c r="DJ18" s="33">
        <f t="shared" si="2"/>
        <v>0</v>
      </c>
      <c r="DK18" s="33">
        <f t="shared" si="2"/>
        <v>0</v>
      </c>
      <c r="DL18" s="33">
        <f t="shared" si="2"/>
        <v>0</v>
      </c>
      <c r="DM18" s="33">
        <f t="shared" si="2"/>
        <v>0</v>
      </c>
      <c r="DN18" s="33">
        <f t="shared" si="2"/>
        <v>0</v>
      </c>
      <c r="DO18" s="33">
        <f t="shared" si="3"/>
        <v>0</v>
      </c>
      <c r="DP18" s="50">
        <f t="shared" si="10"/>
        <v>0</v>
      </c>
      <c r="DQ18" s="50">
        <f t="shared" si="11"/>
        <v>0</v>
      </c>
      <c r="DR18" s="33">
        <f t="shared" si="4"/>
        <v>0</v>
      </c>
      <c r="DS18" s="50">
        <f t="shared" si="12"/>
        <v>0</v>
      </c>
      <c r="DT18" s="50">
        <f t="shared" si="13"/>
        <v>0</v>
      </c>
      <c r="DU18" s="33">
        <f t="shared" si="5"/>
        <v>0</v>
      </c>
      <c r="DV18" s="33">
        <f t="shared" si="5"/>
        <v>0</v>
      </c>
      <c r="DW18" s="33">
        <f t="shared" si="5"/>
        <v>0</v>
      </c>
      <c r="DX18" s="33">
        <f t="shared" si="5"/>
        <v>0</v>
      </c>
      <c r="DY18" s="35">
        <f t="shared" si="14"/>
        <v>0</v>
      </c>
      <c r="DZ18" s="33">
        <f t="shared" si="15"/>
        <v>13</v>
      </c>
      <c r="EA18" s="33">
        <f t="shared" si="16"/>
        <v>13</v>
      </c>
      <c r="EB18" s="33" t="str">
        <f t="shared" si="17"/>
        <v>IGUAL CAMPOS PREENCH</v>
      </c>
      <c r="EC18" s="33" t="s">
        <v>10035</v>
      </c>
    </row>
    <row r="19" spans="2:133" x14ac:dyDescent="0.25">
      <c r="B19" s="33" t="s">
        <v>8726</v>
      </c>
      <c r="C19" s="33" t="s">
        <v>157</v>
      </c>
      <c r="D19" s="33" t="s">
        <v>8486</v>
      </c>
      <c r="E19" s="33" t="s">
        <v>8487</v>
      </c>
      <c r="F19" s="33" t="s">
        <v>8488</v>
      </c>
      <c r="G19" s="33" t="s">
        <v>8487</v>
      </c>
      <c r="H19" s="33" t="s">
        <v>8727</v>
      </c>
      <c r="I19" s="33" t="s">
        <v>8728</v>
      </c>
      <c r="J19" s="33" t="s">
        <v>8729</v>
      </c>
      <c r="K19" s="33" t="s">
        <v>8570</v>
      </c>
      <c r="L19" s="33" t="s">
        <v>8571</v>
      </c>
      <c r="M19" s="33" t="s">
        <v>8730</v>
      </c>
      <c r="N19" s="33" t="s">
        <v>8731</v>
      </c>
      <c r="O19" s="33"/>
      <c r="P19" s="33"/>
      <c r="Q19" s="33" t="s">
        <v>8571</v>
      </c>
      <c r="R19" s="33"/>
      <c r="S19" s="33"/>
      <c r="T19" s="33"/>
      <c r="U19" s="33" t="s">
        <v>8732</v>
      </c>
      <c r="V19" s="33" t="s">
        <v>8733</v>
      </c>
      <c r="W19" s="33" t="s">
        <v>8561</v>
      </c>
      <c r="X19" s="33"/>
      <c r="Y19" s="33" t="s">
        <v>8500</v>
      </c>
      <c r="Z19" s="33" t="s">
        <v>8500</v>
      </c>
      <c r="AA19" s="33" t="s">
        <v>8500</v>
      </c>
      <c r="AB19" s="33" t="s">
        <v>8525</v>
      </c>
      <c r="AC19" s="33"/>
      <c r="AD19" s="33"/>
      <c r="AE19" s="33"/>
      <c r="AF19" s="33" t="s">
        <v>8734</v>
      </c>
      <c r="AG19" s="33"/>
      <c r="AH19" s="33" t="s">
        <v>8606</v>
      </c>
      <c r="AI19" s="33"/>
      <c r="AJ19" s="33" t="s">
        <v>8545</v>
      </c>
      <c r="AK19" s="33" t="s">
        <v>8528</v>
      </c>
      <c r="AL19" s="33" t="s">
        <v>8528</v>
      </c>
      <c r="AM19" s="33" t="s">
        <v>8506</v>
      </c>
      <c r="AN19" s="33" t="s">
        <v>8735</v>
      </c>
      <c r="AO19" s="33" t="s">
        <v>8736</v>
      </c>
      <c r="AP19" s="33">
        <v>1</v>
      </c>
      <c r="AQ19" s="5" t="s">
        <v>10037</v>
      </c>
      <c r="AR19" s="33"/>
      <c r="AS19" s="33" t="s">
        <v>157</v>
      </c>
      <c r="AT19" s="33" t="s">
        <v>8486</v>
      </c>
      <c r="AU19" s="33" t="s">
        <v>8487</v>
      </c>
      <c r="AV19" s="33" t="s">
        <v>8488</v>
      </c>
      <c r="AW19" s="33" t="s">
        <v>8487</v>
      </c>
      <c r="AX19" s="33" t="s">
        <v>8727</v>
      </c>
      <c r="AY19" s="33" t="s">
        <v>8728</v>
      </c>
      <c r="AZ19" s="33" t="s">
        <v>8729</v>
      </c>
      <c r="BA19" s="33" t="s">
        <v>8570</v>
      </c>
      <c r="BB19" s="33" t="s">
        <v>8571</v>
      </c>
      <c r="BC19" s="33" t="s">
        <v>8730</v>
      </c>
      <c r="BD19" s="33" t="s">
        <v>8731</v>
      </c>
      <c r="BE19" s="33"/>
      <c r="BF19" s="33"/>
      <c r="BG19" s="33" t="s">
        <v>8571</v>
      </c>
      <c r="BH19" s="33"/>
      <c r="BI19" s="33"/>
      <c r="BJ19" s="33"/>
      <c r="BK19" s="33" t="s">
        <v>8732</v>
      </c>
      <c r="BL19" s="33" t="s">
        <v>8733</v>
      </c>
      <c r="BM19" s="33" t="s">
        <v>8561</v>
      </c>
      <c r="BN19" s="33"/>
      <c r="BO19" s="33" t="s">
        <v>8500</v>
      </c>
      <c r="BP19" s="33" t="s">
        <v>8500</v>
      </c>
      <c r="BQ19" s="33" t="s">
        <v>8500</v>
      </c>
      <c r="BR19" s="33" t="s">
        <v>8525</v>
      </c>
      <c r="BS19" s="33"/>
      <c r="BT19" s="33"/>
      <c r="BU19" s="33"/>
      <c r="BV19" s="33" t="s">
        <v>8734</v>
      </c>
      <c r="BW19" s="33"/>
      <c r="BX19" s="33" t="s">
        <v>8606</v>
      </c>
      <c r="BY19" s="33"/>
      <c r="BZ19" s="33"/>
      <c r="CA19" s="33"/>
      <c r="CB19" s="33" t="s">
        <v>8528</v>
      </c>
      <c r="CC19" s="33" t="s">
        <v>8506</v>
      </c>
      <c r="CD19" s="33" t="s">
        <v>8735</v>
      </c>
      <c r="CE19" s="33" t="s">
        <v>8736</v>
      </c>
      <c r="CF19" s="33">
        <v>2</v>
      </c>
      <c r="CG19" s="5" t="s">
        <v>10037</v>
      </c>
      <c r="CH19" s="33">
        <f t="shared" si="9"/>
        <v>0</v>
      </c>
      <c r="CI19" s="33">
        <f t="shared" si="1"/>
        <v>0</v>
      </c>
      <c r="CJ19" s="33">
        <f t="shared" si="1"/>
        <v>0</v>
      </c>
      <c r="CK19" s="33">
        <f t="shared" si="1"/>
        <v>0</v>
      </c>
      <c r="CL19" s="33">
        <f t="shared" si="1"/>
        <v>0</v>
      </c>
      <c r="CM19" s="33">
        <f t="shared" si="1"/>
        <v>0</v>
      </c>
      <c r="CN19" s="33">
        <f t="shared" si="1"/>
        <v>0</v>
      </c>
      <c r="CO19" s="33">
        <f t="shared" si="1"/>
        <v>0</v>
      </c>
      <c r="CP19" s="33">
        <f t="shared" si="1"/>
        <v>0</v>
      </c>
      <c r="CQ19" s="33">
        <f t="shared" si="1"/>
        <v>0</v>
      </c>
      <c r="CR19" s="33">
        <f t="shared" si="1"/>
        <v>0</v>
      </c>
      <c r="CS19" s="33">
        <f t="shared" si="1"/>
        <v>0</v>
      </c>
      <c r="CT19" s="33">
        <f t="shared" si="1"/>
        <v>0</v>
      </c>
      <c r="CU19" s="33">
        <f t="shared" si="1"/>
        <v>0</v>
      </c>
      <c r="CV19" s="33">
        <f t="shared" si="1"/>
        <v>0</v>
      </c>
      <c r="CW19" s="33">
        <f t="shared" si="1"/>
        <v>0</v>
      </c>
      <c r="CX19" s="33">
        <f t="shared" si="1"/>
        <v>0</v>
      </c>
      <c r="CY19" s="33">
        <f t="shared" si="2"/>
        <v>0</v>
      </c>
      <c r="CZ19" s="33">
        <f t="shared" si="2"/>
        <v>0</v>
      </c>
      <c r="DA19" s="33">
        <f t="shared" si="2"/>
        <v>0</v>
      </c>
      <c r="DB19" s="33">
        <f t="shared" si="2"/>
        <v>0</v>
      </c>
      <c r="DC19" s="33">
        <f t="shared" si="2"/>
        <v>0</v>
      </c>
      <c r="DD19" s="33">
        <f t="shared" si="2"/>
        <v>0</v>
      </c>
      <c r="DE19" s="33">
        <f t="shared" si="2"/>
        <v>0</v>
      </c>
      <c r="DF19" s="33">
        <f t="shared" si="2"/>
        <v>0</v>
      </c>
      <c r="DG19" s="33">
        <f t="shared" si="2"/>
        <v>0</v>
      </c>
      <c r="DH19" s="33">
        <f t="shared" si="2"/>
        <v>0</v>
      </c>
      <c r="DI19" s="33">
        <f t="shared" si="2"/>
        <v>0</v>
      </c>
      <c r="DJ19" s="33">
        <f t="shared" si="2"/>
        <v>0</v>
      </c>
      <c r="DK19" s="33">
        <f t="shared" si="2"/>
        <v>0</v>
      </c>
      <c r="DL19" s="33">
        <f t="shared" si="2"/>
        <v>0</v>
      </c>
      <c r="DM19" s="33">
        <f t="shared" si="2"/>
        <v>0</v>
      </c>
      <c r="DN19" s="33">
        <f t="shared" si="2"/>
        <v>0</v>
      </c>
      <c r="DO19" s="33">
        <f t="shared" si="3"/>
        <v>1</v>
      </c>
      <c r="DP19" s="50" t="str">
        <f t="shared" si="10"/>
        <v>D</v>
      </c>
      <c r="DQ19" s="50">
        <f t="shared" si="11"/>
        <v>0</v>
      </c>
      <c r="DR19" s="33">
        <f t="shared" si="4"/>
        <v>1</v>
      </c>
      <c r="DS19" s="50" t="str">
        <f t="shared" si="12"/>
        <v>5-MEDIA BAJA</v>
      </c>
      <c r="DT19" s="50">
        <f t="shared" si="13"/>
        <v>0</v>
      </c>
      <c r="DU19" s="33">
        <f t="shared" si="5"/>
        <v>0</v>
      </c>
      <c r="DV19" s="33">
        <f t="shared" si="5"/>
        <v>0</v>
      </c>
      <c r="DW19" s="33">
        <f t="shared" si="5"/>
        <v>0</v>
      </c>
      <c r="DX19" s="33">
        <f t="shared" si="5"/>
        <v>0</v>
      </c>
      <c r="DY19" s="35">
        <f t="shared" si="14"/>
        <v>2</v>
      </c>
      <c r="DZ19" s="33">
        <f t="shared" si="15"/>
        <v>11</v>
      </c>
      <c r="EA19" s="33">
        <f t="shared" si="16"/>
        <v>13</v>
      </c>
      <c r="EB19" s="33" t="str">
        <f t="shared" si="17"/>
        <v>AUX 1 COM + CAMPOS PREENC OU IGUAL</v>
      </c>
      <c r="EC19" s="33" t="s">
        <v>10034</v>
      </c>
    </row>
    <row r="20" spans="2:133" x14ac:dyDescent="0.25">
      <c r="B20" s="33"/>
      <c r="C20" s="33" t="s">
        <v>109</v>
      </c>
      <c r="D20" s="33" t="s">
        <v>8711</v>
      </c>
      <c r="E20" s="33" t="s">
        <v>8712</v>
      </c>
      <c r="F20" s="33" t="s">
        <v>8737</v>
      </c>
      <c r="G20" s="33" t="s">
        <v>8712</v>
      </c>
      <c r="H20" s="33" t="s">
        <v>8738</v>
      </c>
      <c r="I20" s="33" t="s">
        <v>8739</v>
      </c>
      <c r="J20" s="33" t="s">
        <v>8739</v>
      </c>
      <c r="K20" s="33" t="s">
        <v>8570</v>
      </c>
      <c r="L20" s="33" t="s">
        <v>8571</v>
      </c>
      <c r="M20" s="33" t="s">
        <v>8740</v>
      </c>
      <c r="N20" s="33" t="s">
        <v>8741</v>
      </c>
      <c r="O20" s="33"/>
      <c r="P20" s="33"/>
      <c r="Q20" s="33" t="s">
        <v>8540</v>
      </c>
      <c r="R20" s="33"/>
      <c r="S20" s="33"/>
      <c r="T20" s="33"/>
      <c r="U20" s="33" t="s">
        <v>8742</v>
      </c>
      <c r="V20" s="33" t="s">
        <v>8743</v>
      </c>
      <c r="W20" s="33" t="s">
        <v>8744</v>
      </c>
      <c r="X20" s="33" t="s">
        <v>8745</v>
      </c>
      <c r="Y20" s="33" t="s">
        <v>8500</v>
      </c>
      <c r="Z20" s="33" t="s">
        <v>8500</v>
      </c>
      <c r="AA20" s="33" t="s">
        <v>8500</v>
      </c>
      <c r="AB20" s="33" t="s">
        <v>8525</v>
      </c>
      <c r="AC20" s="33"/>
      <c r="AD20" s="33"/>
      <c r="AE20" s="33"/>
      <c r="AF20" s="33" t="s">
        <v>8746</v>
      </c>
      <c r="AG20" s="33"/>
      <c r="AH20" s="33" t="s">
        <v>8560</v>
      </c>
      <c r="AI20" s="33"/>
      <c r="AJ20" s="33" t="s">
        <v>8506</v>
      </c>
      <c r="AK20" s="33" t="s">
        <v>8528</v>
      </c>
      <c r="AL20" s="33" t="s">
        <v>8528</v>
      </c>
      <c r="AM20" s="33" t="s">
        <v>8506</v>
      </c>
      <c r="AN20" s="33" t="s">
        <v>8747</v>
      </c>
      <c r="AO20" s="33" t="s">
        <v>8748</v>
      </c>
      <c r="AP20" s="33">
        <v>1</v>
      </c>
      <c r="AQ20" s="5" t="s">
        <v>10037</v>
      </c>
      <c r="AR20" s="33" t="s">
        <v>8749</v>
      </c>
      <c r="AS20" s="33" t="s">
        <v>109</v>
      </c>
      <c r="AT20" s="33" t="s">
        <v>8711</v>
      </c>
      <c r="AU20" s="33" t="s">
        <v>8712</v>
      </c>
      <c r="AV20" s="33" t="s">
        <v>8737</v>
      </c>
      <c r="AW20" s="33" t="s">
        <v>8712</v>
      </c>
      <c r="AX20" s="33" t="s">
        <v>8738</v>
      </c>
      <c r="AY20" s="33" t="s">
        <v>8739</v>
      </c>
      <c r="AZ20" s="33" t="s">
        <v>8739</v>
      </c>
      <c r="BA20" s="33" t="s">
        <v>8570</v>
      </c>
      <c r="BB20" s="33" t="s">
        <v>8571</v>
      </c>
      <c r="BC20" s="33" t="s">
        <v>8740</v>
      </c>
      <c r="BD20" s="33" t="s">
        <v>8741</v>
      </c>
      <c r="BE20" s="33"/>
      <c r="BF20" s="33"/>
      <c r="BG20" s="33" t="s">
        <v>8540</v>
      </c>
      <c r="BH20" s="33"/>
      <c r="BI20" s="33"/>
      <c r="BJ20" s="33"/>
      <c r="BK20" s="33" t="s">
        <v>8742</v>
      </c>
      <c r="BL20" s="33" t="s">
        <v>8743</v>
      </c>
      <c r="BM20" s="33" t="s">
        <v>8744</v>
      </c>
      <c r="BN20" s="33" t="s">
        <v>8745</v>
      </c>
      <c r="BO20" s="33" t="s">
        <v>8500</v>
      </c>
      <c r="BP20" s="33" t="s">
        <v>8500</v>
      </c>
      <c r="BQ20" s="33" t="s">
        <v>8500</v>
      </c>
      <c r="BR20" s="33" t="s">
        <v>8525</v>
      </c>
      <c r="BS20" s="33"/>
      <c r="BT20" s="33"/>
      <c r="BU20" s="33"/>
      <c r="BV20" s="33" t="s">
        <v>8746</v>
      </c>
      <c r="BW20" s="33"/>
      <c r="BX20" s="33" t="s">
        <v>8560</v>
      </c>
      <c r="BY20" s="33"/>
      <c r="BZ20" s="33" t="s">
        <v>8506</v>
      </c>
      <c r="CA20" s="33" t="s">
        <v>8528</v>
      </c>
      <c r="CB20" s="33" t="s">
        <v>8528</v>
      </c>
      <c r="CC20" s="33" t="s">
        <v>8506</v>
      </c>
      <c r="CD20" s="33" t="s">
        <v>8747</v>
      </c>
      <c r="CE20" s="33" t="s">
        <v>8748</v>
      </c>
      <c r="CF20" s="33">
        <v>2</v>
      </c>
      <c r="CG20" s="5" t="s">
        <v>10037</v>
      </c>
      <c r="CH20" s="33">
        <f t="shared" si="9"/>
        <v>0</v>
      </c>
      <c r="CI20" s="33">
        <f t="shared" si="1"/>
        <v>0</v>
      </c>
      <c r="CJ20" s="33">
        <f t="shared" si="1"/>
        <v>0</v>
      </c>
      <c r="CK20" s="33">
        <f t="shared" si="1"/>
        <v>0</v>
      </c>
      <c r="CL20" s="33">
        <f t="shared" si="1"/>
        <v>0</v>
      </c>
      <c r="CM20" s="33">
        <f t="shared" si="1"/>
        <v>0</v>
      </c>
      <c r="CN20" s="33">
        <f t="shared" si="1"/>
        <v>0</v>
      </c>
      <c r="CO20" s="33">
        <f t="shared" si="1"/>
        <v>0</v>
      </c>
      <c r="CP20" s="33">
        <f t="shared" si="1"/>
        <v>0</v>
      </c>
      <c r="CQ20" s="33">
        <f t="shared" si="1"/>
        <v>0</v>
      </c>
      <c r="CR20" s="33">
        <f t="shared" si="1"/>
        <v>0</v>
      </c>
      <c r="CS20" s="33">
        <f t="shared" si="1"/>
        <v>0</v>
      </c>
      <c r="CT20" s="33">
        <f t="shared" si="1"/>
        <v>0</v>
      </c>
      <c r="CU20" s="33">
        <f t="shared" si="1"/>
        <v>0</v>
      </c>
      <c r="CV20" s="33">
        <f t="shared" si="1"/>
        <v>0</v>
      </c>
      <c r="CW20" s="33">
        <f t="shared" si="1"/>
        <v>0</v>
      </c>
      <c r="CX20" s="33">
        <f t="shared" ref="CX20:DM36" si="18">+IF(S20=BI20,0,1)</f>
        <v>0</v>
      </c>
      <c r="CY20" s="33">
        <f t="shared" si="2"/>
        <v>0</v>
      </c>
      <c r="CZ20" s="33">
        <f t="shared" si="2"/>
        <v>0</v>
      </c>
      <c r="DA20" s="33">
        <f t="shared" si="2"/>
        <v>0</v>
      </c>
      <c r="DB20" s="33">
        <f t="shared" si="2"/>
        <v>0</v>
      </c>
      <c r="DC20" s="33">
        <f t="shared" si="2"/>
        <v>0</v>
      </c>
      <c r="DD20" s="33">
        <f t="shared" si="2"/>
        <v>0</v>
      </c>
      <c r="DE20" s="33">
        <f t="shared" si="2"/>
        <v>0</v>
      </c>
      <c r="DF20" s="33">
        <f t="shared" si="2"/>
        <v>0</v>
      </c>
      <c r="DG20" s="33">
        <f t="shared" si="2"/>
        <v>0</v>
      </c>
      <c r="DH20" s="33">
        <f t="shared" si="2"/>
        <v>0</v>
      </c>
      <c r="DI20" s="33">
        <f t="shared" si="2"/>
        <v>0</v>
      </c>
      <c r="DJ20" s="33">
        <f t="shared" si="2"/>
        <v>0</v>
      </c>
      <c r="DK20" s="33">
        <f t="shared" si="2"/>
        <v>0</v>
      </c>
      <c r="DL20" s="33">
        <f t="shared" si="2"/>
        <v>0</v>
      </c>
      <c r="DM20" s="33">
        <f t="shared" si="2"/>
        <v>0</v>
      </c>
      <c r="DN20" s="33">
        <f t="shared" ref="DN20:DO83" si="19">+IF(AI20=BY20,0,1)</f>
        <v>0</v>
      </c>
      <c r="DO20" s="33">
        <f t="shared" si="3"/>
        <v>0</v>
      </c>
      <c r="DP20" s="50" t="str">
        <f t="shared" si="10"/>
        <v>C</v>
      </c>
      <c r="DQ20" s="50" t="str">
        <f t="shared" si="11"/>
        <v>C</v>
      </c>
      <c r="DR20" s="33">
        <f t="shared" si="4"/>
        <v>0</v>
      </c>
      <c r="DS20" s="50" t="str">
        <f t="shared" si="12"/>
        <v>5-MEDIA BAJA</v>
      </c>
      <c r="DT20" s="50" t="str">
        <f t="shared" si="13"/>
        <v>5-MEDIA BAJA</v>
      </c>
      <c r="DU20" s="33">
        <f t="shared" si="5"/>
        <v>0</v>
      </c>
      <c r="DV20" s="33">
        <f t="shared" si="5"/>
        <v>0</v>
      </c>
      <c r="DW20" s="33">
        <f t="shared" si="5"/>
        <v>0</v>
      </c>
      <c r="DX20" s="33">
        <f t="shared" si="5"/>
        <v>0</v>
      </c>
      <c r="DY20" s="35">
        <f t="shared" si="14"/>
        <v>0</v>
      </c>
      <c r="DZ20" s="33">
        <f t="shared" si="15"/>
        <v>10</v>
      </c>
      <c r="EA20" s="33">
        <f t="shared" si="16"/>
        <v>10</v>
      </c>
      <c r="EB20" s="33" t="str">
        <f t="shared" si="17"/>
        <v>IGUAL CAMPOS PREENCH</v>
      </c>
      <c r="EC20" s="33" t="s">
        <v>10035</v>
      </c>
    </row>
    <row r="21" spans="2:133" x14ac:dyDescent="0.25">
      <c r="B21" s="33"/>
      <c r="C21" s="33" t="s">
        <v>26</v>
      </c>
      <c r="D21" s="33" t="s">
        <v>8513</v>
      </c>
      <c r="E21" s="33" t="s">
        <v>8514</v>
      </c>
      <c r="F21" s="33" t="s">
        <v>8750</v>
      </c>
      <c r="G21" s="33" t="s">
        <v>8751</v>
      </c>
      <c r="H21" s="33" t="s">
        <v>8752</v>
      </c>
      <c r="I21" s="33" t="s">
        <v>8751</v>
      </c>
      <c r="J21" s="33" t="s">
        <v>8753</v>
      </c>
      <c r="K21" s="33" t="s">
        <v>8570</v>
      </c>
      <c r="L21" s="33" t="s">
        <v>8571</v>
      </c>
      <c r="M21" s="33" t="s">
        <v>8754</v>
      </c>
      <c r="N21" s="33" t="s">
        <v>8653</v>
      </c>
      <c r="O21" s="33"/>
      <c r="P21" s="33"/>
      <c r="Q21" s="33" t="s">
        <v>8571</v>
      </c>
      <c r="R21" s="33" t="s">
        <v>8755</v>
      </c>
      <c r="S21" s="33"/>
      <c r="T21" s="33"/>
      <c r="U21" s="33" t="s">
        <v>8756</v>
      </c>
      <c r="V21" s="33" t="s">
        <v>8501</v>
      </c>
      <c r="W21" s="33" t="s">
        <v>8757</v>
      </c>
      <c r="X21" s="33" t="s">
        <v>8758</v>
      </c>
      <c r="Y21" s="33" t="s">
        <v>8500</v>
      </c>
      <c r="Z21" s="33" t="s">
        <v>8500</v>
      </c>
      <c r="AA21" s="33" t="s">
        <v>8500</v>
      </c>
      <c r="AB21" s="33" t="s">
        <v>8500</v>
      </c>
      <c r="AC21" s="33"/>
      <c r="AD21" s="33"/>
      <c r="AE21" s="33"/>
      <c r="AF21" s="33"/>
      <c r="AG21" s="33"/>
      <c r="AH21" s="33" t="s">
        <v>8505</v>
      </c>
      <c r="AI21" s="33"/>
      <c r="AJ21" s="33"/>
      <c r="AK21" s="33"/>
      <c r="AL21" s="33" t="s">
        <v>8528</v>
      </c>
      <c r="AM21" s="33" t="s">
        <v>8577</v>
      </c>
      <c r="AN21" s="33" t="s">
        <v>8759</v>
      </c>
      <c r="AO21" s="33" t="s">
        <v>8760</v>
      </c>
      <c r="AP21" s="33">
        <v>1</v>
      </c>
      <c r="AQ21" s="5" t="s">
        <v>10037</v>
      </c>
      <c r="AR21" s="33" t="s">
        <v>8761</v>
      </c>
      <c r="AS21" s="33" t="s">
        <v>26</v>
      </c>
      <c r="AT21" s="33" t="s">
        <v>8513</v>
      </c>
      <c r="AU21" s="33" t="s">
        <v>8514</v>
      </c>
      <c r="AV21" s="33" t="s">
        <v>8750</v>
      </c>
      <c r="AW21" s="33" t="s">
        <v>8751</v>
      </c>
      <c r="AX21" s="33" t="s">
        <v>8752</v>
      </c>
      <c r="AY21" s="33" t="s">
        <v>8751</v>
      </c>
      <c r="AZ21" s="33" t="s">
        <v>8753</v>
      </c>
      <c r="BA21" s="33" t="s">
        <v>8570</v>
      </c>
      <c r="BB21" s="33" t="s">
        <v>8571</v>
      </c>
      <c r="BC21" s="33" t="s">
        <v>8754</v>
      </c>
      <c r="BD21" s="33" t="s">
        <v>8653</v>
      </c>
      <c r="BE21" s="33"/>
      <c r="BF21" s="33"/>
      <c r="BG21" s="33" t="s">
        <v>8571</v>
      </c>
      <c r="BH21" s="33" t="s">
        <v>8755</v>
      </c>
      <c r="BI21" s="33"/>
      <c r="BJ21" s="33"/>
      <c r="BK21" s="33" t="s">
        <v>8756</v>
      </c>
      <c r="BL21" s="33" t="s">
        <v>8501</v>
      </c>
      <c r="BM21" s="33" t="s">
        <v>8757</v>
      </c>
      <c r="BN21" s="33" t="s">
        <v>8758</v>
      </c>
      <c r="BO21" s="33" t="s">
        <v>8500</v>
      </c>
      <c r="BP21" s="33" t="s">
        <v>8500</v>
      </c>
      <c r="BQ21" s="33" t="s">
        <v>8500</v>
      </c>
      <c r="BR21" s="33" t="s">
        <v>8500</v>
      </c>
      <c r="BS21" s="33"/>
      <c r="BT21" s="33"/>
      <c r="BU21" s="33"/>
      <c r="BV21" s="33"/>
      <c r="BW21" s="33"/>
      <c r="BX21" s="33" t="s">
        <v>8505</v>
      </c>
      <c r="BY21" s="33"/>
      <c r="BZ21" s="33" t="s">
        <v>8506</v>
      </c>
      <c r="CA21" s="33" t="s">
        <v>8507</v>
      </c>
      <c r="CB21" s="33" t="s">
        <v>8528</v>
      </c>
      <c r="CC21" s="33" t="s">
        <v>8577</v>
      </c>
      <c r="CD21" s="33" t="s">
        <v>8759</v>
      </c>
      <c r="CE21" s="33" t="s">
        <v>8760</v>
      </c>
      <c r="CF21" s="33">
        <v>2</v>
      </c>
      <c r="CG21" s="5" t="s">
        <v>10037</v>
      </c>
      <c r="CH21" s="33">
        <f t="shared" si="9"/>
        <v>0</v>
      </c>
      <c r="CI21" s="33">
        <f t="shared" si="9"/>
        <v>0</v>
      </c>
      <c r="CJ21" s="33">
        <f t="shared" si="9"/>
        <v>0</v>
      </c>
      <c r="CK21" s="33">
        <f t="shared" si="9"/>
        <v>0</v>
      </c>
      <c r="CL21" s="33">
        <f t="shared" si="9"/>
        <v>0</v>
      </c>
      <c r="CM21" s="33">
        <f t="shared" si="9"/>
        <v>0</v>
      </c>
      <c r="CN21" s="33">
        <f t="shared" si="9"/>
        <v>0</v>
      </c>
      <c r="CO21" s="33">
        <f t="shared" si="9"/>
        <v>0</v>
      </c>
      <c r="CP21" s="33">
        <f t="shared" si="9"/>
        <v>0</v>
      </c>
      <c r="CQ21" s="33">
        <f t="shared" si="9"/>
        <v>0</v>
      </c>
      <c r="CR21" s="33">
        <f t="shared" si="9"/>
        <v>0</v>
      </c>
      <c r="CS21" s="33">
        <f t="shared" si="9"/>
        <v>0</v>
      </c>
      <c r="CT21" s="33">
        <f t="shared" si="9"/>
        <v>0</v>
      </c>
      <c r="CU21" s="33">
        <f t="shared" si="9"/>
        <v>0</v>
      </c>
      <c r="CV21" s="33">
        <f t="shared" si="9"/>
        <v>0</v>
      </c>
      <c r="CW21" s="33">
        <f t="shared" si="9"/>
        <v>0</v>
      </c>
      <c r="CX21" s="33">
        <f t="shared" si="18"/>
        <v>0</v>
      </c>
      <c r="CY21" s="33">
        <f t="shared" si="18"/>
        <v>0</v>
      </c>
      <c r="CZ21" s="33">
        <f t="shared" si="18"/>
        <v>0</v>
      </c>
      <c r="DA21" s="33">
        <f t="shared" si="18"/>
        <v>0</v>
      </c>
      <c r="DB21" s="33">
        <f t="shared" si="18"/>
        <v>0</v>
      </c>
      <c r="DC21" s="33">
        <f t="shared" si="18"/>
        <v>0</v>
      </c>
      <c r="DD21" s="33">
        <f t="shared" si="18"/>
        <v>0</v>
      </c>
      <c r="DE21" s="33">
        <f t="shared" si="18"/>
        <v>0</v>
      </c>
      <c r="DF21" s="33">
        <f t="shared" si="18"/>
        <v>0</v>
      </c>
      <c r="DG21" s="33">
        <f t="shared" si="18"/>
        <v>0</v>
      </c>
      <c r="DH21" s="33">
        <f t="shared" si="18"/>
        <v>0</v>
      </c>
      <c r="DI21" s="33">
        <f t="shared" si="18"/>
        <v>0</v>
      </c>
      <c r="DJ21" s="33">
        <f t="shared" si="18"/>
        <v>0</v>
      </c>
      <c r="DK21" s="33">
        <f t="shared" si="18"/>
        <v>0</v>
      </c>
      <c r="DL21" s="33">
        <f t="shared" si="18"/>
        <v>0</v>
      </c>
      <c r="DM21" s="33">
        <f t="shared" si="18"/>
        <v>0</v>
      </c>
      <c r="DN21" s="33">
        <f t="shared" si="19"/>
        <v>0</v>
      </c>
      <c r="DO21" s="33">
        <f t="shared" si="3"/>
        <v>1</v>
      </c>
      <c r="DP21" s="50">
        <f t="shared" si="10"/>
        <v>0</v>
      </c>
      <c r="DQ21" s="50" t="str">
        <f t="shared" si="11"/>
        <v>C</v>
      </c>
      <c r="DR21" s="33">
        <f t="shared" si="4"/>
        <v>1</v>
      </c>
      <c r="DS21" s="50">
        <f t="shared" si="12"/>
        <v>0</v>
      </c>
      <c r="DT21" s="50" t="str">
        <f t="shared" si="13"/>
        <v>4-MEDIA</v>
      </c>
      <c r="DU21" s="33">
        <f t="shared" si="5"/>
        <v>0</v>
      </c>
      <c r="DV21" s="33">
        <f t="shared" si="5"/>
        <v>0</v>
      </c>
      <c r="DW21" s="33">
        <f t="shared" si="5"/>
        <v>0</v>
      </c>
      <c r="DX21" s="33">
        <f t="shared" si="5"/>
        <v>0</v>
      </c>
      <c r="DY21" s="35">
        <f t="shared" si="14"/>
        <v>2</v>
      </c>
      <c r="DZ21" s="33">
        <f t="shared" si="15"/>
        <v>12</v>
      </c>
      <c r="EA21" s="33">
        <f t="shared" si="16"/>
        <v>10</v>
      </c>
      <c r="EB21" s="33" t="str">
        <f t="shared" si="17"/>
        <v>AUX 2 COM + CAMPOS PREENC</v>
      </c>
      <c r="EC21" s="33" t="s">
        <v>10034</v>
      </c>
    </row>
    <row r="22" spans="2:133" x14ac:dyDescent="0.25">
      <c r="B22" s="33" t="s">
        <v>8762</v>
      </c>
      <c r="C22" s="33" t="s">
        <v>119</v>
      </c>
      <c r="D22" s="33" t="s">
        <v>8763</v>
      </c>
      <c r="E22" s="33" t="s">
        <v>8764</v>
      </c>
      <c r="F22" s="33" t="s">
        <v>8765</v>
      </c>
      <c r="G22" s="33" t="s">
        <v>8764</v>
      </c>
      <c r="H22" s="33" t="s">
        <v>8766</v>
      </c>
      <c r="I22" s="33" t="s">
        <v>8764</v>
      </c>
      <c r="J22" s="33" t="s">
        <v>8767</v>
      </c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 t="s">
        <v>8768</v>
      </c>
      <c r="V22" s="33"/>
      <c r="W22" s="33" t="s">
        <v>8769</v>
      </c>
      <c r="X22" s="33" t="s">
        <v>8499</v>
      </c>
      <c r="Y22" s="33" t="s">
        <v>8500</v>
      </c>
      <c r="Z22" s="33" t="s">
        <v>8500</v>
      </c>
      <c r="AA22" s="33" t="s">
        <v>8500</v>
      </c>
      <c r="AB22" s="33" t="s">
        <v>8525</v>
      </c>
      <c r="AC22" s="33"/>
      <c r="AD22" s="33"/>
      <c r="AE22" s="33"/>
      <c r="AF22" s="33" t="s">
        <v>8770</v>
      </c>
      <c r="AG22" s="33"/>
      <c r="AH22" s="33" t="s">
        <v>8560</v>
      </c>
      <c r="AI22" s="33"/>
      <c r="AJ22" s="33" t="s">
        <v>8545</v>
      </c>
      <c r="AK22" s="33" t="s">
        <v>8528</v>
      </c>
      <c r="AL22" s="33" t="s">
        <v>8528</v>
      </c>
      <c r="AM22" s="33" t="s">
        <v>8545</v>
      </c>
      <c r="AN22" s="33" t="s">
        <v>8771</v>
      </c>
      <c r="AO22" s="33" t="s">
        <v>8772</v>
      </c>
      <c r="AP22" s="33">
        <v>1</v>
      </c>
      <c r="AQ22" s="5" t="s">
        <v>10037</v>
      </c>
      <c r="AR22" s="33"/>
      <c r="AS22" s="33" t="s">
        <v>119</v>
      </c>
      <c r="AT22" s="33" t="s">
        <v>8763</v>
      </c>
      <c r="AU22" s="33" t="s">
        <v>8764</v>
      </c>
      <c r="AV22" s="33" t="s">
        <v>8765</v>
      </c>
      <c r="AW22" s="33" t="s">
        <v>8764</v>
      </c>
      <c r="AX22" s="33" t="s">
        <v>8766</v>
      </c>
      <c r="AY22" s="33" t="s">
        <v>8764</v>
      </c>
      <c r="AZ22" s="33" t="s">
        <v>8767</v>
      </c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 t="s">
        <v>8768</v>
      </c>
      <c r="BL22" s="33"/>
      <c r="BM22" s="33" t="s">
        <v>8769</v>
      </c>
      <c r="BN22" s="33" t="s">
        <v>8499</v>
      </c>
      <c r="BO22" s="33" t="s">
        <v>8500</v>
      </c>
      <c r="BP22" s="33" t="s">
        <v>8500</v>
      </c>
      <c r="BQ22" s="33" t="s">
        <v>8500</v>
      </c>
      <c r="BR22" s="33" t="s">
        <v>8525</v>
      </c>
      <c r="BS22" s="33"/>
      <c r="BT22" s="33"/>
      <c r="BU22" s="33"/>
      <c r="BV22" s="33" t="s">
        <v>8770</v>
      </c>
      <c r="BW22" s="33"/>
      <c r="BX22" s="33" t="s">
        <v>8560</v>
      </c>
      <c r="BY22" s="33"/>
      <c r="BZ22" s="33"/>
      <c r="CA22" s="33"/>
      <c r="CB22" s="33" t="s">
        <v>8528</v>
      </c>
      <c r="CC22" s="33" t="s">
        <v>8545</v>
      </c>
      <c r="CD22" s="33" t="s">
        <v>8771</v>
      </c>
      <c r="CE22" s="33" t="s">
        <v>8772</v>
      </c>
      <c r="CF22" s="33">
        <v>2</v>
      </c>
      <c r="CG22" s="5" t="s">
        <v>10037</v>
      </c>
      <c r="CH22" s="33">
        <f t="shared" si="9"/>
        <v>0</v>
      </c>
      <c r="CI22" s="33">
        <f t="shared" si="9"/>
        <v>0</v>
      </c>
      <c r="CJ22" s="33">
        <f t="shared" si="9"/>
        <v>0</v>
      </c>
      <c r="CK22" s="33">
        <f t="shared" si="9"/>
        <v>0</v>
      </c>
      <c r="CL22" s="33">
        <f t="shared" si="9"/>
        <v>0</v>
      </c>
      <c r="CM22" s="33">
        <f t="shared" si="9"/>
        <v>0</v>
      </c>
      <c r="CN22" s="33">
        <f t="shared" si="9"/>
        <v>0</v>
      </c>
      <c r="CO22" s="33">
        <f t="shared" si="9"/>
        <v>0</v>
      </c>
      <c r="CP22" s="33">
        <f t="shared" si="9"/>
        <v>0</v>
      </c>
      <c r="CQ22" s="33">
        <f t="shared" si="9"/>
        <v>0</v>
      </c>
      <c r="CR22" s="33">
        <f t="shared" si="9"/>
        <v>0</v>
      </c>
      <c r="CS22" s="33">
        <f t="shared" si="9"/>
        <v>0</v>
      </c>
      <c r="CT22" s="33">
        <f t="shared" si="9"/>
        <v>0</v>
      </c>
      <c r="CU22" s="33">
        <f t="shared" si="9"/>
        <v>0</v>
      </c>
      <c r="CV22" s="33">
        <f t="shared" si="9"/>
        <v>0</v>
      </c>
      <c r="CW22" s="33">
        <f t="shared" si="9"/>
        <v>0</v>
      </c>
      <c r="CX22" s="33">
        <f t="shared" si="18"/>
        <v>0</v>
      </c>
      <c r="CY22" s="33">
        <f t="shared" si="18"/>
        <v>0</v>
      </c>
      <c r="CZ22" s="33">
        <f t="shared" si="18"/>
        <v>0</v>
      </c>
      <c r="DA22" s="33">
        <f t="shared" si="18"/>
        <v>0</v>
      </c>
      <c r="DB22" s="33">
        <f t="shared" si="18"/>
        <v>0</v>
      </c>
      <c r="DC22" s="33">
        <f t="shared" si="18"/>
        <v>0</v>
      </c>
      <c r="DD22" s="33">
        <f t="shared" si="18"/>
        <v>0</v>
      </c>
      <c r="DE22" s="33">
        <f t="shared" si="18"/>
        <v>0</v>
      </c>
      <c r="DF22" s="33">
        <f t="shared" si="18"/>
        <v>0</v>
      </c>
      <c r="DG22" s="33">
        <f t="shared" si="18"/>
        <v>0</v>
      </c>
      <c r="DH22" s="33">
        <f t="shared" si="18"/>
        <v>0</v>
      </c>
      <c r="DI22" s="33">
        <f t="shared" si="18"/>
        <v>0</v>
      </c>
      <c r="DJ22" s="33">
        <f t="shared" si="18"/>
        <v>0</v>
      </c>
      <c r="DK22" s="33">
        <f t="shared" si="18"/>
        <v>0</v>
      </c>
      <c r="DL22" s="33">
        <f t="shared" si="18"/>
        <v>0</v>
      </c>
      <c r="DM22" s="33">
        <f t="shared" si="18"/>
        <v>0</v>
      </c>
      <c r="DN22" s="33">
        <f t="shared" si="19"/>
        <v>0</v>
      </c>
      <c r="DO22" s="33">
        <f t="shared" si="3"/>
        <v>1</v>
      </c>
      <c r="DP22" s="50" t="str">
        <f t="shared" si="10"/>
        <v>D</v>
      </c>
      <c r="DQ22" s="50">
        <f t="shared" si="11"/>
        <v>0</v>
      </c>
      <c r="DR22" s="33">
        <f t="shared" si="4"/>
        <v>1</v>
      </c>
      <c r="DS22" s="50" t="str">
        <f t="shared" si="12"/>
        <v>5-MEDIA BAJA</v>
      </c>
      <c r="DT22" s="50">
        <f t="shared" si="13"/>
        <v>0</v>
      </c>
      <c r="DU22" s="33">
        <f t="shared" si="5"/>
        <v>0</v>
      </c>
      <c r="DV22" s="33">
        <f t="shared" si="5"/>
        <v>0</v>
      </c>
      <c r="DW22" s="33">
        <f t="shared" si="5"/>
        <v>0</v>
      </c>
      <c r="DX22" s="33">
        <f t="shared" si="5"/>
        <v>0</v>
      </c>
      <c r="DY22" s="35">
        <f t="shared" si="14"/>
        <v>2</v>
      </c>
      <c r="DZ22" s="33">
        <f t="shared" si="15"/>
        <v>16</v>
      </c>
      <c r="EA22" s="33">
        <f t="shared" si="16"/>
        <v>18</v>
      </c>
      <c r="EB22" s="33" t="str">
        <f t="shared" si="17"/>
        <v>AUX 1 COM + CAMPOS PREENC OU IGUAL</v>
      </c>
      <c r="EC22" s="33" t="s">
        <v>10034</v>
      </c>
    </row>
    <row r="23" spans="2:133" x14ac:dyDescent="0.25">
      <c r="B23" s="33"/>
      <c r="C23" s="33" t="s">
        <v>142</v>
      </c>
      <c r="D23" s="33" t="s">
        <v>8773</v>
      </c>
      <c r="E23" s="33" t="s">
        <v>8774</v>
      </c>
      <c r="F23" s="33" t="s">
        <v>8775</v>
      </c>
      <c r="G23" s="33" t="s">
        <v>8776</v>
      </c>
      <c r="H23" s="33" t="s">
        <v>8777</v>
      </c>
      <c r="I23" s="33" t="s">
        <v>8778</v>
      </c>
      <c r="J23" s="33" t="s">
        <v>8779</v>
      </c>
      <c r="K23" s="33" t="s">
        <v>8588</v>
      </c>
      <c r="L23" s="33" t="s">
        <v>8589</v>
      </c>
      <c r="M23" s="33" t="s">
        <v>8780</v>
      </c>
      <c r="N23" s="33" t="s">
        <v>8591</v>
      </c>
      <c r="O23" s="33"/>
      <c r="P23" s="33"/>
      <c r="Q23" s="33" t="s">
        <v>8589</v>
      </c>
      <c r="R23" s="33"/>
      <c r="S23" s="33"/>
      <c r="T23" s="33"/>
      <c r="U23" s="33" t="s">
        <v>8781</v>
      </c>
      <c r="V23" s="33" t="s">
        <v>8782</v>
      </c>
      <c r="W23" s="33" t="s">
        <v>8525</v>
      </c>
      <c r="X23" s="33"/>
      <c r="Y23" s="33" t="s">
        <v>8500</v>
      </c>
      <c r="Z23" s="33" t="s">
        <v>8500</v>
      </c>
      <c r="AA23" s="33" t="s">
        <v>8500</v>
      </c>
      <c r="AB23" s="33" t="s">
        <v>8500</v>
      </c>
      <c r="AC23" s="33"/>
      <c r="AD23" s="33" t="s">
        <v>8783</v>
      </c>
      <c r="AE23" s="33"/>
      <c r="AF23" s="33"/>
      <c r="AG23" s="33"/>
      <c r="AH23" s="33" t="s">
        <v>8505</v>
      </c>
      <c r="AI23" s="33"/>
      <c r="AJ23" s="33"/>
      <c r="AK23" s="33"/>
      <c r="AL23" s="33" t="s">
        <v>8528</v>
      </c>
      <c r="AM23" s="33" t="s">
        <v>8545</v>
      </c>
      <c r="AN23" s="33" t="s">
        <v>8784</v>
      </c>
      <c r="AO23" s="33" t="s">
        <v>8785</v>
      </c>
      <c r="AP23" s="33">
        <v>1</v>
      </c>
      <c r="AQ23" s="5" t="s">
        <v>10037</v>
      </c>
      <c r="AR23" s="33"/>
      <c r="AS23" s="33" t="s">
        <v>142</v>
      </c>
      <c r="AT23" s="33" t="s">
        <v>8773</v>
      </c>
      <c r="AU23" s="33" t="s">
        <v>8774</v>
      </c>
      <c r="AV23" s="33" t="s">
        <v>8775</v>
      </c>
      <c r="AW23" s="33" t="s">
        <v>8776</v>
      </c>
      <c r="AX23" s="33" t="s">
        <v>8777</v>
      </c>
      <c r="AY23" s="33" t="s">
        <v>8778</v>
      </c>
      <c r="AZ23" s="33" t="s">
        <v>8779</v>
      </c>
      <c r="BA23" s="33" t="s">
        <v>8588</v>
      </c>
      <c r="BB23" s="33" t="s">
        <v>8589</v>
      </c>
      <c r="BC23" s="33" t="s">
        <v>8780</v>
      </c>
      <c r="BD23" s="33" t="s">
        <v>8591</v>
      </c>
      <c r="BE23" s="33"/>
      <c r="BF23" s="33"/>
      <c r="BG23" s="33" t="s">
        <v>8589</v>
      </c>
      <c r="BH23" s="33"/>
      <c r="BI23" s="33"/>
      <c r="BJ23" s="33"/>
      <c r="BK23" s="33" t="s">
        <v>8781</v>
      </c>
      <c r="BL23" s="33" t="s">
        <v>8782</v>
      </c>
      <c r="BM23" s="33" t="s">
        <v>8525</v>
      </c>
      <c r="BN23" s="33"/>
      <c r="BO23" s="33" t="s">
        <v>8500</v>
      </c>
      <c r="BP23" s="33" t="s">
        <v>8500</v>
      </c>
      <c r="BQ23" s="33" t="s">
        <v>8500</v>
      </c>
      <c r="BR23" s="33" t="s">
        <v>8500</v>
      </c>
      <c r="BS23" s="33"/>
      <c r="BT23" s="33"/>
      <c r="BU23" s="33"/>
      <c r="BV23" s="33" t="s">
        <v>8786</v>
      </c>
      <c r="BW23" s="33"/>
      <c r="BX23" s="33" t="s">
        <v>8505</v>
      </c>
      <c r="BY23" s="33"/>
      <c r="BZ23" s="33"/>
      <c r="CA23" s="33"/>
      <c r="CB23" s="33" t="s">
        <v>8528</v>
      </c>
      <c r="CC23" s="33" t="s">
        <v>8545</v>
      </c>
      <c r="CD23" s="33" t="s">
        <v>8784</v>
      </c>
      <c r="CE23" s="33" t="s">
        <v>8785</v>
      </c>
      <c r="CF23" s="33">
        <v>2</v>
      </c>
      <c r="CG23" s="5" t="s">
        <v>10037</v>
      </c>
      <c r="CH23" s="33">
        <f t="shared" si="9"/>
        <v>0</v>
      </c>
      <c r="CI23" s="33">
        <f t="shared" si="9"/>
        <v>0</v>
      </c>
      <c r="CJ23" s="33">
        <f t="shared" si="9"/>
        <v>0</v>
      </c>
      <c r="CK23" s="33">
        <f t="shared" si="9"/>
        <v>0</v>
      </c>
      <c r="CL23" s="33">
        <f t="shared" si="9"/>
        <v>0</v>
      </c>
      <c r="CM23" s="33">
        <f t="shared" si="9"/>
        <v>0</v>
      </c>
      <c r="CN23" s="33">
        <f t="shared" si="9"/>
        <v>0</v>
      </c>
      <c r="CO23" s="33">
        <f t="shared" si="9"/>
        <v>0</v>
      </c>
      <c r="CP23" s="33">
        <f t="shared" si="9"/>
        <v>0</v>
      </c>
      <c r="CQ23" s="33">
        <f t="shared" si="9"/>
        <v>0</v>
      </c>
      <c r="CR23" s="33">
        <f t="shared" si="9"/>
        <v>0</v>
      </c>
      <c r="CS23" s="33">
        <f t="shared" si="9"/>
        <v>0</v>
      </c>
      <c r="CT23" s="33">
        <f t="shared" si="9"/>
        <v>0</v>
      </c>
      <c r="CU23" s="33">
        <f t="shared" si="9"/>
        <v>0</v>
      </c>
      <c r="CV23" s="33">
        <f t="shared" si="9"/>
        <v>0</v>
      </c>
      <c r="CW23" s="33">
        <f t="shared" si="9"/>
        <v>0</v>
      </c>
      <c r="CX23" s="33">
        <f t="shared" si="18"/>
        <v>0</v>
      </c>
      <c r="CY23" s="33">
        <f t="shared" si="18"/>
        <v>0</v>
      </c>
      <c r="CZ23" s="33">
        <f t="shared" si="18"/>
        <v>0</v>
      </c>
      <c r="DA23" s="33">
        <f t="shared" si="18"/>
        <v>0</v>
      </c>
      <c r="DB23" s="33">
        <f t="shared" si="18"/>
        <v>0</v>
      </c>
      <c r="DC23" s="33">
        <f t="shared" si="18"/>
        <v>0</v>
      </c>
      <c r="DD23" s="33">
        <f t="shared" si="18"/>
        <v>0</v>
      </c>
      <c r="DE23" s="33">
        <f t="shared" si="18"/>
        <v>0</v>
      </c>
      <c r="DF23" s="33">
        <f t="shared" si="18"/>
        <v>0</v>
      </c>
      <c r="DG23" s="33">
        <f t="shared" si="18"/>
        <v>0</v>
      </c>
      <c r="DH23" s="33">
        <f t="shared" si="18"/>
        <v>0</v>
      </c>
      <c r="DI23" s="33">
        <f t="shared" si="18"/>
        <v>1</v>
      </c>
      <c r="DJ23" s="33">
        <f t="shared" si="18"/>
        <v>0</v>
      </c>
      <c r="DK23" s="33">
        <f t="shared" si="18"/>
        <v>1</v>
      </c>
      <c r="DL23" s="33">
        <f t="shared" si="18"/>
        <v>0</v>
      </c>
      <c r="DM23" s="33">
        <f t="shared" si="18"/>
        <v>0</v>
      </c>
      <c r="DN23" s="33">
        <f t="shared" si="19"/>
        <v>0</v>
      </c>
      <c r="DO23" s="33">
        <f t="shared" si="3"/>
        <v>0</v>
      </c>
      <c r="DP23" s="50">
        <f t="shared" si="10"/>
        <v>0</v>
      </c>
      <c r="DQ23" s="50">
        <f t="shared" si="11"/>
        <v>0</v>
      </c>
      <c r="DR23" s="33">
        <f t="shared" si="4"/>
        <v>0</v>
      </c>
      <c r="DS23" s="50">
        <f t="shared" si="12"/>
        <v>0</v>
      </c>
      <c r="DT23" s="50">
        <f t="shared" si="13"/>
        <v>0</v>
      </c>
      <c r="DU23" s="33">
        <f t="shared" si="5"/>
        <v>0</v>
      </c>
      <c r="DV23" s="33">
        <f t="shared" si="5"/>
        <v>0</v>
      </c>
      <c r="DW23" s="33">
        <f t="shared" si="5"/>
        <v>0</v>
      </c>
      <c r="DX23" s="33">
        <f t="shared" si="5"/>
        <v>0</v>
      </c>
      <c r="DY23" s="35">
        <f t="shared" si="14"/>
        <v>2</v>
      </c>
      <c r="DZ23" s="33">
        <f t="shared" si="15"/>
        <v>13</v>
      </c>
      <c r="EA23" s="33">
        <f t="shared" si="16"/>
        <v>13</v>
      </c>
      <c r="EB23" s="33" t="str">
        <f t="shared" si="17"/>
        <v>AUX 1 COM + CAMPOS PREENC OU IGUAL</v>
      </c>
      <c r="EC23" s="33" t="s">
        <v>10034</v>
      </c>
    </row>
    <row r="24" spans="2:133" x14ac:dyDescent="0.25">
      <c r="B24" s="33" t="s">
        <v>8787</v>
      </c>
      <c r="C24" s="33" t="s">
        <v>123</v>
      </c>
      <c r="D24" s="33" t="s">
        <v>8788</v>
      </c>
      <c r="E24" s="33" t="s">
        <v>8789</v>
      </c>
      <c r="F24" s="33" t="s">
        <v>8790</v>
      </c>
      <c r="G24" s="33" t="s">
        <v>8789</v>
      </c>
      <c r="H24" s="33" t="s">
        <v>8791</v>
      </c>
      <c r="I24" s="33" t="s">
        <v>8792</v>
      </c>
      <c r="J24" s="33" t="s">
        <v>8789</v>
      </c>
      <c r="K24" s="33" t="s">
        <v>8570</v>
      </c>
      <c r="L24" s="33" t="s">
        <v>8571</v>
      </c>
      <c r="M24" s="33" t="s">
        <v>8793</v>
      </c>
      <c r="N24" s="33" t="s">
        <v>8794</v>
      </c>
      <c r="O24" s="33"/>
      <c r="P24" s="33"/>
      <c r="Q24" s="33" t="s">
        <v>8571</v>
      </c>
      <c r="R24" s="33"/>
      <c r="S24" s="33"/>
      <c r="T24" s="33"/>
      <c r="U24" s="33" t="s">
        <v>8795</v>
      </c>
      <c r="V24" s="33" t="s">
        <v>8796</v>
      </c>
      <c r="W24" s="33" t="s">
        <v>8797</v>
      </c>
      <c r="X24" s="33"/>
      <c r="Y24" s="33" t="s">
        <v>8500</v>
      </c>
      <c r="Z24" s="33" t="s">
        <v>8500</v>
      </c>
      <c r="AA24" s="33" t="s">
        <v>8500</v>
      </c>
      <c r="AB24" s="33" t="s">
        <v>8500</v>
      </c>
      <c r="AC24" s="33"/>
      <c r="AD24" s="33"/>
      <c r="AE24" s="33"/>
      <c r="AF24" s="33" t="s">
        <v>8798</v>
      </c>
      <c r="AG24" s="33"/>
      <c r="AH24" s="33" t="s">
        <v>8505</v>
      </c>
      <c r="AI24" s="33"/>
      <c r="AJ24" s="33" t="s">
        <v>8545</v>
      </c>
      <c r="AK24" s="33" t="s">
        <v>8507</v>
      </c>
      <c r="AL24" s="33" t="s">
        <v>8507</v>
      </c>
      <c r="AM24" s="33" t="s">
        <v>8506</v>
      </c>
      <c r="AN24" s="33" t="s">
        <v>8799</v>
      </c>
      <c r="AO24" s="33" t="s">
        <v>8800</v>
      </c>
      <c r="AP24" s="33">
        <v>1</v>
      </c>
      <c r="AQ24" s="5" t="s">
        <v>10037</v>
      </c>
      <c r="AR24" s="33"/>
      <c r="AS24" s="33" t="s">
        <v>123</v>
      </c>
      <c r="AT24" s="33" t="s">
        <v>8788</v>
      </c>
      <c r="AU24" s="33" t="s">
        <v>8789</v>
      </c>
      <c r="AV24" s="33" t="s">
        <v>8790</v>
      </c>
      <c r="AW24" s="33" t="s">
        <v>8789</v>
      </c>
      <c r="AX24" s="33" t="s">
        <v>8791</v>
      </c>
      <c r="AY24" s="33" t="s">
        <v>8792</v>
      </c>
      <c r="AZ24" s="33" t="s">
        <v>8789</v>
      </c>
      <c r="BA24" s="33" t="s">
        <v>8570</v>
      </c>
      <c r="BB24" s="33" t="s">
        <v>8571</v>
      </c>
      <c r="BC24" s="33" t="s">
        <v>8793</v>
      </c>
      <c r="BD24" s="33" t="s">
        <v>8794</v>
      </c>
      <c r="BE24" s="33"/>
      <c r="BF24" s="33"/>
      <c r="BG24" s="33" t="s">
        <v>8571</v>
      </c>
      <c r="BH24" s="33"/>
      <c r="BI24" s="33"/>
      <c r="BJ24" s="33"/>
      <c r="BK24" s="33" t="s">
        <v>8795</v>
      </c>
      <c r="BL24" s="33" t="s">
        <v>8796</v>
      </c>
      <c r="BM24" s="33" t="s">
        <v>8797</v>
      </c>
      <c r="BN24" s="33"/>
      <c r="BO24" s="33" t="s">
        <v>8500</v>
      </c>
      <c r="BP24" s="33" t="s">
        <v>8500</v>
      </c>
      <c r="BQ24" s="33" t="s">
        <v>8500</v>
      </c>
      <c r="BR24" s="33" t="s">
        <v>8500</v>
      </c>
      <c r="BS24" s="33"/>
      <c r="BT24" s="33"/>
      <c r="BU24" s="33"/>
      <c r="BV24" s="33" t="s">
        <v>8798</v>
      </c>
      <c r="BW24" s="33"/>
      <c r="BX24" s="33" t="s">
        <v>8505</v>
      </c>
      <c r="BY24" s="33"/>
      <c r="BZ24" s="33"/>
      <c r="CA24" s="33"/>
      <c r="CB24" s="33" t="s">
        <v>8507</v>
      </c>
      <c r="CC24" s="33" t="s">
        <v>8506</v>
      </c>
      <c r="CD24" s="33" t="s">
        <v>8799</v>
      </c>
      <c r="CE24" s="33" t="s">
        <v>8800</v>
      </c>
      <c r="CF24" s="33">
        <v>2</v>
      </c>
      <c r="CG24" s="5" t="s">
        <v>10037</v>
      </c>
      <c r="CH24" s="33">
        <f t="shared" si="9"/>
        <v>0</v>
      </c>
      <c r="CI24" s="33">
        <f t="shared" si="9"/>
        <v>0</v>
      </c>
      <c r="CJ24" s="33">
        <f t="shared" si="9"/>
        <v>0</v>
      </c>
      <c r="CK24" s="33">
        <f t="shared" si="9"/>
        <v>0</v>
      </c>
      <c r="CL24" s="33">
        <f t="shared" si="9"/>
        <v>0</v>
      </c>
      <c r="CM24" s="33">
        <f t="shared" si="9"/>
        <v>0</v>
      </c>
      <c r="CN24" s="33">
        <f t="shared" si="9"/>
        <v>0</v>
      </c>
      <c r="CO24" s="33">
        <f t="shared" si="9"/>
        <v>0</v>
      </c>
      <c r="CP24" s="33">
        <f t="shared" si="9"/>
        <v>0</v>
      </c>
      <c r="CQ24" s="33">
        <f t="shared" si="9"/>
        <v>0</v>
      </c>
      <c r="CR24" s="33">
        <f t="shared" si="9"/>
        <v>0</v>
      </c>
      <c r="CS24" s="33">
        <f t="shared" si="9"/>
        <v>0</v>
      </c>
      <c r="CT24" s="33">
        <f t="shared" si="9"/>
        <v>0</v>
      </c>
      <c r="CU24" s="33">
        <f t="shared" si="9"/>
        <v>0</v>
      </c>
      <c r="CV24" s="33">
        <f t="shared" si="9"/>
        <v>0</v>
      </c>
      <c r="CW24" s="33">
        <f t="shared" si="9"/>
        <v>0</v>
      </c>
      <c r="CX24" s="33">
        <f t="shared" si="18"/>
        <v>0</v>
      </c>
      <c r="CY24" s="33">
        <f t="shared" si="18"/>
        <v>0</v>
      </c>
      <c r="CZ24" s="33">
        <f t="shared" si="18"/>
        <v>0</v>
      </c>
      <c r="DA24" s="33">
        <f t="shared" si="18"/>
        <v>0</v>
      </c>
      <c r="DB24" s="33">
        <f t="shared" si="18"/>
        <v>0</v>
      </c>
      <c r="DC24" s="33">
        <f t="shared" si="18"/>
        <v>0</v>
      </c>
      <c r="DD24" s="33">
        <f t="shared" si="18"/>
        <v>0</v>
      </c>
      <c r="DE24" s="33">
        <f t="shared" si="18"/>
        <v>0</v>
      </c>
      <c r="DF24" s="33">
        <f t="shared" si="18"/>
        <v>0</v>
      </c>
      <c r="DG24" s="33">
        <f t="shared" si="18"/>
        <v>0</v>
      </c>
      <c r="DH24" s="33">
        <f t="shared" si="18"/>
        <v>0</v>
      </c>
      <c r="DI24" s="33">
        <f t="shared" si="18"/>
        <v>0</v>
      </c>
      <c r="DJ24" s="33">
        <f t="shared" si="18"/>
        <v>0</v>
      </c>
      <c r="DK24" s="33">
        <f t="shared" si="18"/>
        <v>0</v>
      </c>
      <c r="DL24" s="33">
        <f t="shared" si="18"/>
        <v>0</v>
      </c>
      <c r="DM24" s="33">
        <f t="shared" si="18"/>
        <v>0</v>
      </c>
      <c r="DN24" s="33">
        <f t="shared" si="19"/>
        <v>0</v>
      </c>
      <c r="DO24" s="33">
        <f t="shared" si="3"/>
        <v>1</v>
      </c>
      <c r="DP24" s="50" t="str">
        <f t="shared" si="10"/>
        <v>D</v>
      </c>
      <c r="DQ24" s="50">
        <f t="shared" si="11"/>
        <v>0</v>
      </c>
      <c r="DR24" s="33">
        <f t="shared" si="4"/>
        <v>1</v>
      </c>
      <c r="DS24" s="50" t="str">
        <f t="shared" si="12"/>
        <v>4-MEDIA</v>
      </c>
      <c r="DT24" s="50">
        <f t="shared" si="13"/>
        <v>0</v>
      </c>
      <c r="DU24" s="33">
        <f t="shared" si="5"/>
        <v>0</v>
      </c>
      <c r="DV24" s="33">
        <f t="shared" si="5"/>
        <v>0</v>
      </c>
      <c r="DW24" s="33">
        <f t="shared" si="5"/>
        <v>0</v>
      </c>
      <c r="DX24" s="33">
        <f t="shared" si="5"/>
        <v>0</v>
      </c>
      <c r="DY24" s="35">
        <f t="shared" si="14"/>
        <v>2</v>
      </c>
      <c r="DZ24" s="33">
        <f t="shared" si="15"/>
        <v>11</v>
      </c>
      <c r="EA24" s="33">
        <f t="shared" si="16"/>
        <v>13</v>
      </c>
      <c r="EB24" s="33" t="str">
        <f t="shared" si="17"/>
        <v>AUX 1 COM + CAMPOS PREENC OU IGUAL</v>
      </c>
      <c r="EC24" s="33" t="s">
        <v>10034</v>
      </c>
    </row>
    <row r="25" spans="2:133" x14ac:dyDescent="0.25">
      <c r="B25" s="33"/>
      <c r="C25" s="33" t="s">
        <v>79</v>
      </c>
      <c r="D25" s="33" t="s">
        <v>8801</v>
      </c>
      <c r="E25" s="33" t="s">
        <v>8802</v>
      </c>
      <c r="F25" s="33" t="s">
        <v>8803</v>
      </c>
      <c r="G25" s="33" t="s">
        <v>8804</v>
      </c>
      <c r="H25" s="33" t="s">
        <v>8805</v>
      </c>
      <c r="I25" s="33" t="s">
        <v>8806</v>
      </c>
      <c r="J25" s="33" t="s">
        <v>8806</v>
      </c>
      <c r="K25" s="33" t="s">
        <v>8570</v>
      </c>
      <c r="L25" s="33" t="s">
        <v>8571</v>
      </c>
      <c r="M25" s="33" t="s">
        <v>8807</v>
      </c>
      <c r="N25" s="33" t="s">
        <v>8808</v>
      </c>
      <c r="O25" s="33"/>
      <c r="P25" s="33"/>
      <c r="Q25" s="33" t="s">
        <v>8571</v>
      </c>
      <c r="R25" s="33"/>
      <c r="S25" s="33"/>
      <c r="T25" s="33"/>
      <c r="U25" s="33" t="s">
        <v>8809</v>
      </c>
      <c r="V25" s="33" t="s">
        <v>8810</v>
      </c>
      <c r="W25" s="33" t="s">
        <v>8811</v>
      </c>
      <c r="X25" s="33" t="s">
        <v>8812</v>
      </c>
      <c r="Y25" s="33" t="s">
        <v>8525</v>
      </c>
      <c r="Z25" s="33" t="s">
        <v>8525</v>
      </c>
      <c r="AA25" s="33" t="s">
        <v>8500</v>
      </c>
      <c r="AB25" s="33" t="s">
        <v>8500</v>
      </c>
      <c r="AC25" s="33"/>
      <c r="AD25" s="33"/>
      <c r="AE25" s="33"/>
      <c r="AF25" s="33" t="s">
        <v>8813</v>
      </c>
      <c r="AG25" s="33"/>
      <c r="AH25" s="33" t="s">
        <v>8527</v>
      </c>
      <c r="AI25" s="33"/>
      <c r="AJ25" s="33"/>
      <c r="AK25" s="33"/>
      <c r="AL25" s="33" t="s">
        <v>8546</v>
      </c>
      <c r="AM25" s="33" t="s">
        <v>8564</v>
      </c>
      <c r="AN25" s="33" t="s">
        <v>8814</v>
      </c>
      <c r="AO25" s="33" t="s">
        <v>8815</v>
      </c>
      <c r="AP25" s="33">
        <v>1</v>
      </c>
      <c r="AQ25" s="5" t="s">
        <v>10037</v>
      </c>
      <c r="AR25" s="33" t="s">
        <v>8816</v>
      </c>
      <c r="AS25" s="33" t="s">
        <v>79</v>
      </c>
      <c r="AT25" s="33" t="s">
        <v>8801</v>
      </c>
      <c r="AU25" s="33" t="s">
        <v>8802</v>
      </c>
      <c r="AV25" s="33" t="s">
        <v>8803</v>
      </c>
      <c r="AW25" s="33" t="s">
        <v>8804</v>
      </c>
      <c r="AX25" s="33" t="s">
        <v>8805</v>
      </c>
      <c r="AY25" s="33" t="s">
        <v>8806</v>
      </c>
      <c r="AZ25" s="33" t="s">
        <v>8806</v>
      </c>
      <c r="BA25" s="33" t="s">
        <v>8570</v>
      </c>
      <c r="BB25" s="33" t="s">
        <v>8571</v>
      </c>
      <c r="BC25" s="33" t="s">
        <v>8807</v>
      </c>
      <c r="BD25" s="33" t="s">
        <v>8808</v>
      </c>
      <c r="BE25" s="33"/>
      <c r="BF25" s="33"/>
      <c r="BG25" s="33" t="s">
        <v>8571</v>
      </c>
      <c r="BH25" s="33"/>
      <c r="BI25" s="33"/>
      <c r="BJ25" s="33"/>
      <c r="BK25" s="33" t="s">
        <v>8809</v>
      </c>
      <c r="BL25" s="33" t="s">
        <v>8810</v>
      </c>
      <c r="BM25" s="33" t="s">
        <v>8811</v>
      </c>
      <c r="BN25" s="33" t="s">
        <v>8812</v>
      </c>
      <c r="BO25" s="33" t="s">
        <v>8525</v>
      </c>
      <c r="BP25" s="33" t="s">
        <v>8525</v>
      </c>
      <c r="BQ25" s="33" t="s">
        <v>8500</v>
      </c>
      <c r="BR25" s="33" t="s">
        <v>8500</v>
      </c>
      <c r="BS25" s="33"/>
      <c r="BT25" s="33"/>
      <c r="BU25" s="33"/>
      <c r="BV25" s="33" t="s">
        <v>8813</v>
      </c>
      <c r="BW25" s="33"/>
      <c r="BX25" s="33" t="s">
        <v>8527</v>
      </c>
      <c r="BY25" s="33"/>
      <c r="BZ25" s="33"/>
      <c r="CA25" s="33"/>
      <c r="CB25" s="33" t="s">
        <v>8546</v>
      </c>
      <c r="CC25" s="33" t="s">
        <v>8564</v>
      </c>
      <c r="CD25" s="33" t="s">
        <v>8814</v>
      </c>
      <c r="CE25" s="33" t="s">
        <v>8815</v>
      </c>
      <c r="CF25" s="33">
        <v>2</v>
      </c>
      <c r="CG25" s="5" t="s">
        <v>10037</v>
      </c>
      <c r="CH25" s="33">
        <f t="shared" si="9"/>
        <v>0</v>
      </c>
      <c r="CI25" s="33">
        <f t="shared" si="9"/>
        <v>0</v>
      </c>
      <c r="CJ25" s="33">
        <f t="shared" si="9"/>
        <v>0</v>
      </c>
      <c r="CK25" s="33">
        <f t="shared" si="9"/>
        <v>0</v>
      </c>
      <c r="CL25" s="33">
        <f t="shared" si="9"/>
        <v>0</v>
      </c>
      <c r="CM25" s="33">
        <f t="shared" si="9"/>
        <v>0</v>
      </c>
      <c r="CN25" s="33">
        <f t="shared" si="9"/>
        <v>0</v>
      </c>
      <c r="CO25" s="33">
        <f t="shared" si="9"/>
        <v>0</v>
      </c>
      <c r="CP25" s="33">
        <f t="shared" si="9"/>
        <v>0</v>
      </c>
      <c r="CQ25" s="33">
        <f t="shared" si="9"/>
        <v>0</v>
      </c>
      <c r="CR25" s="33">
        <f t="shared" si="9"/>
        <v>0</v>
      </c>
      <c r="CS25" s="33">
        <f t="shared" si="9"/>
        <v>0</v>
      </c>
      <c r="CT25" s="33">
        <f t="shared" si="9"/>
        <v>0</v>
      </c>
      <c r="CU25" s="33">
        <f t="shared" si="9"/>
        <v>0</v>
      </c>
      <c r="CV25" s="33">
        <f t="shared" si="9"/>
        <v>0</v>
      </c>
      <c r="CW25" s="33">
        <f t="shared" si="9"/>
        <v>0</v>
      </c>
      <c r="CX25" s="33">
        <f t="shared" si="18"/>
        <v>0</v>
      </c>
      <c r="CY25" s="33">
        <f t="shared" si="18"/>
        <v>0</v>
      </c>
      <c r="CZ25" s="33">
        <f t="shared" si="18"/>
        <v>0</v>
      </c>
      <c r="DA25" s="33">
        <f t="shared" si="18"/>
        <v>0</v>
      </c>
      <c r="DB25" s="33">
        <f t="shared" si="18"/>
        <v>0</v>
      </c>
      <c r="DC25" s="33">
        <f t="shared" si="18"/>
        <v>0</v>
      </c>
      <c r="DD25" s="33">
        <f t="shared" si="18"/>
        <v>0</v>
      </c>
      <c r="DE25" s="33">
        <f t="shared" si="18"/>
        <v>0</v>
      </c>
      <c r="DF25" s="33">
        <f t="shared" si="18"/>
        <v>0</v>
      </c>
      <c r="DG25" s="33">
        <f t="shared" si="18"/>
        <v>0</v>
      </c>
      <c r="DH25" s="33">
        <f t="shared" si="18"/>
        <v>0</v>
      </c>
      <c r="DI25" s="33">
        <f t="shared" si="18"/>
        <v>0</v>
      </c>
      <c r="DJ25" s="33">
        <f t="shared" si="18"/>
        <v>0</v>
      </c>
      <c r="DK25" s="33">
        <f t="shared" si="18"/>
        <v>0</v>
      </c>
      <c r="DL25" s="33">
        <f t="shared" si="18"/>
        <v>0</v>
      </c>
      <c r="DM25" s="33">
        <f t="shared" si="18"/>
        <v>0</v>
      </c>
      <c r="DN25" s="33">
        <f t="shared" si="19"/>
        <v>0</v>
      </c>
      <c r="DO25" s="33">
        <f t="shared" si="3"/>
        <v>0</v>
      </c>
      <c r="DP25" s="50">
        <f t="shared" si="10"/>
        <v>0</v>
      </c>
      <c r="DQ25" s="50">
        <f t="shared" si="11"/>
        <v>0</v>
      </c>
      <c r="DR25" s="33">
        <f t="shared" si="4"/>
        <v>0</v>
      </c>
      <c r="DS25" s="50">
        <f t="shared" si="12"/>
        <v>0</v>
      </c>
      <c r="DT25" s="50">
        <f t="shared" si="13"/>
        <v>0</v>
      </c>
      <c r="DU25" s="33">
        <f t="shared" si="5"/>
        <v>0</v>
      </c>
      <c r="DV25" s="33">
        <f t="shared" si="5"/>
        <v>0</v>
      </c>
      <c r="DW25" s="33">
        <f t="shared" si="5"/>
        <v>0</v>
      </c>
      <c r="DX25" s="33">
        <f t="shared" si="5"/>
        <v>0</v>
      </c>
      <c r="DY25" s="35">
        <f t="shared" si="14"/>
        <v>0</v>
      </c>
      <c r="DZ25" s="33">
        <f t="shared" si="15"/>
        <v>12</v>
      </c>
      <c r="EA25" s="33">
        <f t="shared" si="16"/>
        <v>12</v>
      </c>
      <c r="EB25" s="33" t="str">
        <f t="shared" si="17"/>
        <v>IGUAL CAMPOS PREENCH</v>
      </c>
      <c r="EC25" s="33" t="s">
        <v>10035</v>
      </c>
    </row>
    <row r="26" spans="2:133" x14ac:dyDescent="0.25">
      <c r="B26" s="33"/>
      <c r="C26" s="33" t="s">
        <v>136</v>
      </c>
      <c r="D26" s="33" t="s">
        <v>8645</v>
      </c>
      <c r="E26" s="33" t="s">
        <v>8646</v>
      </c>
      <c r="F26" s="33" t="s">
        <v>8647</v>
      </c>
      <c r="G26" s="33" t="s">
        <v>8648</v>
      </c>
      <c r="H26" s="33" t="s">
        <v>8817</v>
      </c>
      <c r="I26" s="33" t="s">
        <v>8818</v>
      </c>
      <c r="J26" s="33" t="s">
        <v>8818</v>
      </c>
      <c r="K26" s="33" t="s">
        <v>8819</v>
      </c>
      <c r="L26" s="33" t="s">
        <v>8820</v>
      </c>
      <c r="M26" s="33" t="s">
        <v>8821</v>
      </c>
      <c r="N26" s="33" t="s">
        <v>8521</v>
      </c>
      <c r="O26" s="33"/>
      <c r="P26" s="33"/>
      <c r="Q26" s="33" t="s">
        <v>8820</v>
      </c>
      <c r="R26" s="33"/>
      <c r="S26" s="33"/>
      <c r="T26" s="33"/>
      <c r="U26" s="33" t="s">
        <v>8822</v>
      </c>
      <c r="V26" s="33" t="s">
        <v>8743</v>
      </c>
      <c r="W26" s="33" t="s">
        <v>8823</v>
      </c>
      <c r="X26" s="33"/>
      <c r="Y26" s="33" t="s">
        <v>8500</v>
      </c>
      <c r="Z26" s="33" t="s">
        <v>8500</v>
      </c>
      <c r="AA26" s="33" t="s">
        <v>8500</v>
      </c>
      <c r="AB26" s="33" t="s">
        <v>8500</v>
      </c>
      <c r="AC26" s="33"/>
      <c r="AD26" s="33"/>
      <c r="AE26" s="33"/>
      <c r="AF26" s="33" t="s">
        <v>8824</v>
      </c>
      <c r="AG26" s="33"/>
      <c r="AH26" s="33" t="s">
        <v>8505</v>
      </c>
      <c r="AI26" s="33"/>
      <c r="AJ26" s="33"/>
      <c r="AK26" s="33"/>
      <c r="AL26" s="33" t="s">
        <v>8507</v>
      </c>
      <c r="AM26" s="33" t="s">
        <v>8506</v>
      </c>
      <c r="AN26" s="33" t="s">
        <v>8825</v>
      </c>
      <c r="AO26" s="33" t="s">
        <v>8826</v>
      </c>
      <c r="AP26" s="33">
        <v>1</v>
      </c>
      <c r="AQ26" s="5" t="s">
        <v>10037</v>
      </c>
      <c r="AR26" s="33" t="s">
        <v>8827</v>
      </c>
      <c r="AS26" s="33" t="s">
        <v>136</v>
      </c>
      <c r="AT26" s="33" t="s">
        <v>8645</v>
      </c>
      <c r="AU26" s="33" t="s">
        <v>8646</v>
      </c>
      <c r="AV26" s="33" t="s">
        <v>8647</v>
      </c>
      <c r="AW26" s="33" t="s">
        <v>8648</v>
      </c>
      <c r="AX26" s="33" t="s">
        <v>8817</v>
      </c>
      <c r="AY26" s="33" t="s">
        <v>8818</v>
      </c>
      <c r="AZ26" s="33" t="s">
        <v>8818</v>
      </c>
      <c r="BA26" s="33" t="s">
        <v>8819</v>
      </c>
      <c r="BB26" s="33" t="s">
        <v>8820</v>
      </c>
      <c r="BC26" s="33" t="s">
        <v>8821</v>
      </c>
      <c r="BD26" s="33" t="s">
        <v>8521</v>
      </c>
      <c r="BE26" s="33"/>
      <c r="BF26" s="33"/>
      <c r="BG26" s="33" t="s">
        <v>8820</v>
      </c>
      <c r="BH26" s="33"/>
      <c r="BI26" s="33"/>
      <c r="BJ26" s="33"/>
      <c r="BK26" s="33" t="s">
        <v>8822</v>
      </c>
      <c r="BL26" s="33" t="s">
        <v>8743</v>
      </c>
      <c r="BM26" s="33" t="s">
        <v>8823</v>
      </c>
      <c r="BN26" s="33"/>
      <c r="BO26" s="33" t="s">
        <v>8500</v>
      </c>
      <c r="BP26" s="33" t="s">
        <v>8500</v>
      </c>
      <c r="BQ26" s="33" t="s">
        <v>8500</v>
      </c>
      <c r="BR26" s="33" t="s">
        <v>8500</v>
      </c>
      <c r="BS26" s="33"/>
      <c r="BT26" s="33"/>
      <c r="BU26" s="33"/>
      <c r="BV26" s="33" t="s">
        <v>8824</v>
      </c>
      <c r="BW26" s="33"/>
      <c r="BX26" s="33" t="s">
        <v>8505</v>
      </c>
      <c r="BY26" s="33"/>
      <c r="BZ26" s="33" t="s">
        <v>8506</v>
      </c>
      <c r="CA26" s="33" t="s">
        <v>8528</v>
      </c>
      <c r="CB26" s="33" t="s">
        <v>8507</v>
      </c>
      <c r="CC26" s="33" t="s">
        <v>8506</v>
      </c>
      <c r="CD26" s="33" t="s">
        <v>8825</v>
      </c>
      <c r="CE26" s="33" t="s">
        <v>8826</v>
      </c>
      <c r="CF26" s="33">
        <v>2</v>
      </c>
      <c r="CG26" s="5" t="s">
        <v>10037</v>
      </c>
      <c r="CH26" s="33">
        <f t="shared" si="9"/>
        <v>0</v>
      </c>
      <c r="CI26" s="33">
        <f t="shared" si="9"/>
        <v>0</v>
      </c>
      <c r="CJ26" s="33">
        <f t="shared" si="9"/>
        <v>0</v>
      </c>
      <c r="CK26" s="33">
        <f t="shared" si="9"/>
        <v>0</v>
      </c>
      <c r="CL26" s="33">
        <f t="shared" si="9"/>
        <v>0</v>
      </c>
      <c r="CM26" s="33">
        <f t="shared" si="9"/>
        <v>0</v>
      </c>
      <c r="CN26" s="33">
        <f t="shared" si="9"/>
        <v>0</v>
      </c>
      <c r="CO26" s="33">
        <f t="shared" si="9"/>
        <v>0</v>
      </c>
      <c r="CP26" s="33">
        <f t="shared" si="9"/>
        <v>0</v>
      </c>
      <c r="CQ26" s="33">
        <f t="shared" si="9"/>
        <v>0</v>
      </c>
      <c r="CR26" s="33">
        <f t="shared" si="9"/>
        <v>0</v>
      </c>
      <c r="CS26" s="33">
        <f t="shared" si="9"/>
        <v>0</v>
      </c>
      <c r="CT26" s="33">
        <f t="shared" si="9"/>
        <v>0</v>
      </c>
      <c r="CU26" s="33">
        <f t="shared" si="9"/>
        <v>0</v>
      </c>
      <c r="CV26" s="33">
        <f t="shared" si="9"/>
        <v>0</v>
      </c>
      <c r="CW26" s="33">
        <f t="shared" si="9"/>
        <v>0</v>
      </c>
      <c r="CX26" s="33">
        <f t="shared" si="18"/>
        <v>0</v>
      </c>
      <c r="CY26" s="33">
        <f t="shared" si="18"/>
        <v>0</v>
      </c>
      <c r="CZ26" s="33">
        <f t="shared" si="18"/>
        <v>0</v>
      </c>
      <c r="DA26" s="33">
        <f t="shared" si="18"/>
        <v>0</v>
      </c>
      <c r="DB26" s="33">
        <f t="shared" si="18"/>
        <v>0</v>
      </c>
      <c r="DC26" s="33">
        <f t="shared" si="18"/>
        <v>0</v>
      </c>
      <c r="DD26" s="33">
        <f t="shared" si="18"/>
        <v>0</v>
      </c>
      <c r="DE26" s="33">
        <f t="shared" si="18"/>
        <v>0</v>
      </c>
      <c r="DF26" s="33">
        <f t="shared" si="18"/>
        <v>0</v>
      </c>
      <c r="DG26" s="33">
        <f t="shared" si="18"/>
        <v>0</v>
      </c>
      <c r="DH26" s="33">
        <f t="shared" si="18"/>
        <v>0</v>
      </c>
      <c r="DI26" s="33">
        <f t="shared" si="18"/>
        <v>0</v>
      </c>
      <c r="DJ26" s="33">
        <f t="shared" si="18"/>
        <v>0</v>
      </c>
      <c r="DK26" s="33">
        <f t="shared" si="18"/>
        <v>0</v>
      </c>
      <c r="DL26" s="33">
        <f t="shared" si="18"/>
        <v>0</v>
      </c>
      <c r="DM26" s="33">
        <f t="shared" si="18"/>
        <v>0</v>
      </c>
      <c r="DN26" s="33">
        <f t="shared" si="19"/>
        <v>0</v>
      </c>
      <c r="DO26" s="33">
        <f t="shared" si="3"/>
        <v>1</v>
      </c>
      <c r="DP26" s="50">
        <f t="shared" si="10"/>
        <v>0</v>
      </c>
      <c r="DQ26" s="50" t="str">
        <f t="shared" si="11"/>
        <v>C</v>
      </c>
      <c r="DR26" s="33">
        <f t="shared" si="4"/>
        <v>1</v>
      </c>
      <c r="DS26" s="50">
        <f t="shared" si="12"/>
        <v>0</v>
      </c>
      <c r="DT26" s="50" t="str">
        <f t="shared" si="13"/>
        <v>5-MEDIA BAJA</v>
      </c>
      <c r="DU26" s="33">
        <f t="shared" si="5"/>
        <v>0</v>
      </c>
      <c r="DV26" s="33">
        <f t="shared" si="5"/>
        <v>0</v>
      </c>
      <c r="DW26" s="33">
        <f t="shared" si="5"/>
        <v>0</v>
      </c>
      <c r="DX26" s="33">
        <f t="shared" si="5"/>
        <v>0</v>
      </c>
      <c r="DY26" s="35">
        <f t="shared" si="14"/>
        <v>2</v>
      </c>
      <c r="DZ26" s="33">
        <f t="shared" si="15"/>
        <v>13</v>
      </c>
      <c r="EA26" s="33">
        <f t="shared" si="16"/>
        <v>11</v>
      </c>
      <c r="EB26" s="33" t="str">
        <f t="shared" si="17"/>
        <v>AUX 2 COM + CAMPOS PREENC</v>
      </c>
      <c r="EC26" s="33" t="s">
        <v>10034</v>
      </c>
    </row>
    <row r="27" spans="2:133" x14ac:dyDescent="0.25">
      <c r="B27" s="33" t="s">
        <v>8828</v>
      </c>
      <c r="C27" s="33" t="s">
        <v>86</v>
      </c>
      <c r="D27" s="33" t="s">
        <v>8829</v>
      </c>
      <c r="E27" s="33" t="s">
        <v>8830</v>
      </c>
      <c r="F27" s="33" t="s">
        <v>8831</v>
      </c>
      <c r="G27" s="33" t="s">
        <v>8832</v>
      </c>
      <c r="H27" s="33" t="s">
        <v>8833</v>
      </c>
      <c r="I27" s="33" t="s">
        <v>8834</v>
      </c>
      <c r="J27" s="33" t="s">
        <v>8835</v>
      </c>
      <c r="K27" s="33" t="s">
        <v>8570</v>
      </c>
      <c r="L27" s="33" t="s">
        <v>8571</v>
      </c>
      <c r="M27" s="33" t="s">
        <v>8835</v>
      </c>
      <c r="N27" s="33" t="s">
        <v>8653</v>
      </c>
      <c r="O27" s="33"/>
      <c r="P27" s="33"/>
      <c r="Q27" s="33" t="s">
        <v>8571</v>
      </c>
      <c r="R27" s="33" t="s">
        <v>8836</v>
      </c>
      <c r="S27" s="33"/>
      <c r="T27" s="33"/>
      <c r="U27" s="33" t="s">
        <v>8837</v>
      </c>
      <c r="V27" s="33" t="s">
        <v>8838</v>
      </c>
      <c r="W27" s="33" t="s">
        <v>8839</v>
      </c>
      <c r="X27" s="33" t="s">
        <v>8840</v>
      </c>
      <c r="Y27" s="33" t="s">
        <v>8500</v>
      </c>
      <c r="Z27" s="33" t="s">
        <v>8500</v>
      </c>
      <c r="AA27" s="33" t="s">
        <v>8500</v>
      </c>
      <c r="AB27" s="33" t="s">
        <v>8500</v>
      </c>
      <c r="AC27" s="33"/>
      <c r="AD27" s="33"/>
      <c r="AE27" s="33"/>
      <c r="AF27" s="33" t="s">
        <v>8841</v>
      </c>
      <c r="AG27" s="33"/>
      <c r="AH27" s="33" t="s">
        <v>8505</v>
      </c>
      <c r="AI27" s="33"/>
      <c r="AJ27" s="33" t="s">
        <v>8545</v>
      </c>
      <c r="AK27" s="33" t="s">
        <v>8528</v>
      </c>
      <c r="AL27" s="33" t="s">
        <v>8528</v>
      </c>
      <c r="AM27" s="33" t="s">
        <v>8545</v>
      </c>
      <c r="AN27" s="33" t="s">
        <v>8784</v>
      </c>
      <c r="AO27" s="33" t="s">
        <v>8785</v>
      </c>
      <c r="AP27" s="33">
        <v>1</v>
      </c>
      <c r="AQ27" s="5" t="s">
        <v>10037</v>
      </c>
      <c r="AR27" s="33"/>
      <c r="AS27" s="33" t="s">
        <v>86</v>
      </c>
      <c r="AT27" s="33" t="s">
        <v>8829</v>
      </c>
      <c r="AU27" s="33" t="s">
        <v>8830</v>
      </c>
      <c r="AV27" s="33" t="s">
        <v>8831</v>
      </c>
      <c r="AW27" s="33" t="s">
        <v>8832</v>
      </c>
      <c r="AX27" s="33" t="s">
        <v>8833</v>
      </c>
      <c r="AY27" s="33" t="s">
        <v>8834</v>
      </c>
      <c r="AZ27" s="33" t="s">
        <v>8835</v>
      </c>
      <c r="BA27" s="33" t="s">
        <v>8570</v>
      </c>
      <c r="BB27" s="33" t="s">
        <v>8571</v>
      </c>
      <c r="BC27" s="33" t="s">
        <v>8835</v>
      </c>
      <c r="BD27" s="33" t="s">
        <v>8653</v>
      </c>
      <c r="BE27" s="33"/>
      <c r="BF27" s="33"/>
      <c r="BG27" s="33" t="s">
        <v>8571</v>
      </c>
      <c r="BH27" s="33" t="s">
        <v>8836</v>
      </c>
      <c r="BI27" s="33"/>
      <c r="BJ27" s="33"/>
      <c r="BK27" s="33" t="s">
        <v>8837</v>
      </c>
      <c r="BL27" s="33" t="s">
        <v>8838</v>
      </c>
      <c r="BM27" s="33" t="s">
        <v>8839</v>
      </c>
      <c r="BN27" s="33" t="s">
        <v>8840</v>
      </c>
      <c r="BO27" s="33" t="s">
        <v>8500</v>
      </c>
      <c r="BP27" s="33" t="s">
        <v>8500</v>
      </c>
      <c r="BQ27" s="33" t="s">
        <v>8500</v>
      </c>
      <c r="BR27" s="33" t="s">
        <v>8500</v>
      </c>
      <c r="BS27" s="33"/>
      <c r="BT27" s="33"/>
      <c r="BU27" s="33"/>
      <c r="BV27" s="33" t="s">
        <v>8841</v>
      </c>
      <c r="BW27" s="33"/>
      <c r="BX27" s="33" t="s">
        <v>8505</v>
      </c>
      <c r="BY27" s="33"/>
      <c r="BZ27" s="33"/>
      <c r="CA27" s="33"/>
      <c r="CB27" s="33" t="s">
        <v>8528</v>
      </c>
      <c r="CC27" s="33" t="s">
        <v>8545</v>
      </c>
      <c r="CD27" s="33" t="s">
        <v>8784</v>
      </c>
      <c r="CE27" s="33" t="s">
        <v>8785</v>
      </c>
      <c r="CF27" s="33">
        <v>2</v>
      </c>
      <c r="CG27" s="5" t="s">
        <v>10037</v>
      </c>
      <c r="CH27" s="33">
        <f t="shared" si="9"/>
        <v>0</v>
      </c>
      <c r="CI27" s="33">
        <f t="shared" si="9"/>
        <v>0</v>
      </c>
      <c r="CJ27" s="33">
        <f t="shared" si="9"/>
        <v>0</v>
      </c>
      <c r="CK27" s="33">
        <f t="shared" si="9"/>
        <v>0</v>
      </c>
      <c r="CL27" s="33">
        <f t="shared" si="9"/>
        <v>0</v>
      </c>
      <c r="CM27" s="33">
        <f t="shared" si="9"/>
        <v>0</v>
      </c>
      <c r="CN27" s="33">
        <f t="shared" si="9"/>
        <v>0</v>
      </c>
      <c r="CO27" s="33">
        <f t="shared" si="9"/>
        <v>0</v>
      </c>
      <c r="CP27" s="33">
        <f t="shared" si="9"/>
        <v>0</v>
      </c>
      <c r="CQ27" s="33">
        <f t="shared" si="9"/>
        <v>0</v>
      </c>
      <c r="CR27" s="33">
        <f t="shared" si="9"/>
        <v>0</v>
      </c>
      <c r="CS27" s="33">
        <f t="shared" si="9"/>
        <v>0</v>
      </c>
      <c r="CT27" s="33">
        <f t="shared" si="9"/>
        <v>0</v>
      </c>
      <c r="CU27" s="33">
        <f t="shared" si="9"/>
        <v>0</v>
      </c>
      <c r="CV27" s="33">
        <f t="shared" si="9"/>
        <v>0</v>
      </c>
      <c r="CW27" s="33">
        <f t="shared" si="9"/>
        <v>0</v>
      </c>
      <c r="CX27" s="33">
        <f t="shared" si="18"/>
        <v>0</v>
      </c>
      <c r="CY27" s="33">
        <f t="shared" si="18"/>
        <v>0</v>
      </c>
      <c r="CZ27" s="33">
        <f t="shared" si="18"/>
        <v>0</v>
      </c>
      <c r="DA27" s="33">
        <f t="shared" si="18"/>
        <v>0</v>
      </c>
      <c r="DB27" s="33">
        <f t="shared" si="18"/>
        <v>0</v>
      </c>
      <c r="DC27" s="33">
        <f t="shared" si="18"/>
        <v>0</v>
      </c>
      <c r="DD27" s="33">
        <f t="shared" si="18"/>
        <v>0</v>
      </c>
      <c r="DE27" s="33">
        <f t="shared" si="18"/>
        <v>0</v>
      </c>
      <c r="DF27" s="33">
        <f t="shared" si="18"/>
        <v>0</v>
      </c>
      <c r="DG27" s="33">
        <f t="shared" si="18"/>
        <v>0</v>
      </c>
      <c r="DH27" s="33">
        <f t="shared" si="18"/>
        <v>0</v>
      </c>
      <c r="DI27" s="33">
        <f t="shared" si="18"/>
        <v>0</v>
      </c>
      <c r="DJ27" s="33">
        <f t="shared" si="18"/>
        <v>0</v>
      </c>
      <c r="DK27" s="33">
        <f t="shared" si="18"/>
        <v>0</v>
      </c>
      <c r="DL27" s="33">
        <f t="shared" si="18"/>
        <v>0</v>
      </c>
      <c r="DM27" s="33">
        <f t="shared" si="18"/>
        <v>0</v>
      </c>
      <c r="DN27" s="33">
        <f t="shared" si="19"/>
        <v>0</v>
      </c>
      <c r="DO27" s="33">
        <f t="shared" si="3"/>
        <v>1</v>
      </c>
      <c r="DP27" s="50" t="str">
        <f t="shared" si="10"/>
        <v>D</v>
      </c>
      <c r="DQ27" s="50">
        <f t="shared" si="11"/>
        <v>0</v>
      </c>
      <c r="DR27" s="33">
        <f t="shared" si="4"/>
        <v>1</v>
      </c>
      <c r="DS27" s="50" t="str">
        <f t="shared" si="12"/>
        <v>5-MEDIA BAJA</v>
      </c>
      <c r="DT27" s="50">
        <f t="shared" si="13"/>
        <v>0</v>
      </c>
      <c r="DU27" s="33">
        <f t="shared" si="5"/>
        <v>0</v>
      </c>
      <c r="DV27" s="33">
        <f t="shared" si="5"/>
        <v>0</v>
      </c>
      <c r="DW27" s="33">
        <f t="shared" si="5"/>
        <v>0</v>
      </c>
      <c r="DX27" s="33">
        <f t="shared" si="5"/>
        <v>0</v>
      </c>
      <c r="DY27" s="35">
        <f t="shared" si="14"/>
        <v>2</v>
      </c>
      <c r="DZ27" s="33">
        <f t="shared" si="15"/>
        <v>9</v>
      </c>
      <c r="EA27" s="33">
        <f t="shared" si="16"/>
        <v>11</v>
      </c>
      <c r="EB27" s="33" t="str">
        <f t="shared" si="17"/>
        <v>AUX 1 COM + CAMPOS PREENC OU IGUAL</v>
      </c>
      <c r="EC27" s="33" t="s">
        <v>10034</v>
      </c>
    </row>
    <row r="28" spans="2:133" x14ac:dyDescent="0.25">
      <c r="B28" s="33" t="s">
        <v>8842</v>
      </c>
      <c r="C28" s="33" t="s">
        <v>115</v>
      </c>
      <c r="D28" s="33" t="s">
        <v>8763</v>
      </c>
      <c r="E28" s="33" t="s">
        <v>8764</v>
      </c>
      <c r="F28" s="33" t="s">
        <v>8765</v>
      </c>
      <c r="G28" s="33" t="s">
        <v>8764</v>
      </c>
      <c r="H28" s="33" t="s">
        <v>8766</v>
      </c>
      <c r="I28" s="33" t="s">
        <v>8764</v>
      </c>
      <c r="J28" s="33" t="s">
        <v>8767</v>
      </c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 t="s">
        <v>8768</v>
      </c>
      <c r="V28" s="33"/>
      <c r="W28" s="33" t="s">
        <v>8843</v>
      </c>
      <c r="X28" s="33" t="s">
        <v>8499</v>
      </c>
      <c r="Y28" s="33" t="s">
        <v>8500</v>
      </c>
      <c r="Z28" s="33" t="s">
        <v>8500</v>
      </c>
      <c r="AA28" s="33" t="s">
        <v>8500</v>
      </c>
      <c r="AB28" s="33" t="s">
        <v>8525</v>
      </c>
      <c r="AC28" s="33"/>
      <c r="AD28" s="33"/>
      <c r="AE28" s="33"/>
      <c r="AF28" s="33" t="s">
        <v>8844</v>
      </c>
      <c r="AG28" s="33"/>
      <c r="AH28" s="33" t="s">
        <v>8560</v>
      </c>
      <c r="AI28" s="33"/>
      <c r="AJ28" s="33" t="s">
        <v>8545</v>
      </c>
      <c r="AK28" s="33" t="s">
        <v>8528</v>
      </c>
      <c r="AL28" s="33" t="s">
        <v>8528</v>
      </c>
      <c r="AM28" s="33" t="s">
        <v>8545</v>
      </c>
      <c r="AN28" s="33" t="s">
        <v>8845</v>
      </c>
      <c r="AO28" s="33" t="s">
        <v>8846</v>
      </c>
      <c r="AP28" s="33">
        <v>1</v>
      </c>
      <c r="AQ28" s="5" t="s">
        <v>10037</v>
      </c>
      <c r="AR28" s="33"/>
      <c r="AS28" s="33" t="s">
        <v>115</v>
      </c>
      <c r="AT28" s="33" t="s">
        <v>8763</v>
      </c>
      <c r="AU28" s="33" t="s">
        <v>8764</v>
      </c>
      <c r="AV28" s="33" t="s">
        <v>8765</v>
      </c>
      <c r="AW28" s="33" t="s">
        <v>8764</v>
      </c>
      <c r="AX28" s="33" t="s">
        <v>8766</v>
      </c>
      <c r="AY28" s="33" t="s">
        <v>8764</v>
      </c>
      <c r="AZ28" s="33" t="s">
        <v>8767</v>
      </c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 t="s">
        <v>8768</v>
      </c>
      <c r="BL28" s="33"/>
      <c r="BM28" s="33" t="s">
        <v>8843</v>
      </c>
      <c r="BN28" s="33" t="s">
        <v>8499</v>
      </c>
      <c r="BO28" s="33" t="s">
        <v>8500</v>
      </c>
      <c r="BP28" s="33" t="s">
        <v>8500</v>
      </c>
      <c r="BQ28" s="33" t="s">
        <v>8500</v>
      </c>
      <c r="BR28" s="33" t="s">
        <v>8525</v>
      </c>
      <c r="BS28" s="33"/>
      <c r="BT28" s="33"/>
      <c r="BU28" s="33"/>
      <c r="BV28" s="33" t="s">
        <v>8844</v>
      </c>
      <c r="BW28" s="33"/>
      <c r="BX28" s="33" t="s">
        <v>8560</v>
      </c>
      <c r="BY28" s="33"/>
      <c r="BZ28" s="33"/>
      <c r="CA28" s="33"/>
      <c r="CB28" s="33" t="s">
        <v>8528</v>
      </c>
      <c r="CC28" s="33" t="s">
        <v>8545</v>
      </c>
      <c r="CD28" s="33" t="s">
        <v>8845</v>
      </c>
      <c r="CE28" s="33" t="s">
        <v>8846</v>
      </c>
      <c r="CF28" s="33">
        <v>2</v>
      </c>
      <c r="CG28" s="5" t="s">
        <v>10037</v>
      </c>
      <c r="CH28" s="33">
        <f t="shared" si="9"/>
        <v>0</v>
      </c>
      <c r="CI28" s="33">
        <f t="shared" si="9"/>
        <v>0</v>
      </c>
      <c r="CJ28" s="33">
        <f t="shared" si="9"/>
        <v>0</v>
      </c>
      <c r="CK28" s="33">
        <f t="shared" si="9"/>
        <v>0</v>
      </c>
      <c r="CL28" s="33">
        <f t="shared" si="9"/>
        <v>0</v>
      </c>
      <c r="CM28" s="33">
        <f t="shared" si="9"/>
        <v>0</v>
      </c>
      <c r="CN28" s="33">
        <f t="shared" si="9"/>
        <v>0</v>
      </c>
      <c r="CO28" s="33">
        <f t="shared" si="9"/>
        <v>0</v>
      </c>
      <c r="CP28" s="33">
        <f t="shared" si="9"/>
        <v>0</v>
      </c>
      <c r="CQ28" s="33">
        <f t="shared" si="9"/>
        <v>0</v>
      </c>
      <c r="CR28" s="33">
        <f t="shared" si="9"/>
        <v>0</v>
      </c>
      <c r="CS28" s="33">
        <f t="shared" si="9"/>
        <v>0</v>
      </c>
      <c r="CT28" s="33">
        <f t="shared" si="9"/>
        <v>0</v>
      </c>
      <c r="CU28" s="33">
        <f t="shared" si="9"/>
        <v>0</v>
      </c>
      <c r="CV28" s="33">
        <f t="shared" si="9"/>
        <v>0</v>
      </c>
      <c r="CW28" s="33">
        <f t="shared" si="9"/>
        <v>0</v>
      </c>
      <c r="CX28" s="33">
        <f t="shared" si="18"/>
        <v>0</v>
      </c>
      <c r="CY28" s="33">
        <f t="shared" si="18"/>
        <v>0</v>
      </c>
      <c r="CZ28" s="33">
        <f t="shared" si="18"/>
        <v>0</v>
      </c>
      <c r="DA28" s="33">
        <f t="shared" si="18"/>
        <v>0</v>
      </c>
      <c r="DB28" s="33">
        <f t="shared" si="18"/>
        <v>0</v>
      </c>
      <c r="DC28" s="33">
        <f t="shared" si="18"/>
        <v>0</v>
      </c>
      <c r="DD28" s="33">
        <f t="shared" si="18"/>
        <v>0</v>
      </c>
      <c r="DE28" s="33">
        <f t="shared" si="18"/>
        <v>0</v>
      </c>
      <c r="DF28" s="33">
        <f t="shared" si="18"/>
        <v>0</v>
      </c>
      <c r="DG28" s="33">
        <f t="shared" si="18"/>
        <v>0</v>
      </c>
      <c r="DH28" s="33">
        <f t="shared" si="18"/>
        <v>0</v>
      </c>
      <c r="DI28" s="33">
        <f t="shared" si="18"/>
        <v>0</v>
      </c>
      <c r="DJ28" s="33">
        <f t="shared" si="18"/>
        <v>0</v>
      </c>
      <c r="DK28" s="33">
        <f t="shared" si="18"/>
        <v>0</v>
      </c>
      <c r="DL28" s="33">
        <f t="shared" si="18"/>
        <v>0</v>
      </c>
      <c r="DM28" s="33">
        <f t="shared" si="18"/>
        <v>0</v>
      </c>
      <c r="DN28" s="33">
        <f t="shared" si="19"/>
        <v>0</v>
      </c>
      <c r="DO28" s="33">
        <f t="shared" si="3"/>
        <v>1</v>
      </c>
      <c r="DP28" s="50" t="str">
        <f t="shared" si="10"/>
        <v>D</v>
      </c>
      <c r="DQ28" s="50">
        <f t="shared" si="11"/>
        <v>0</v>
      </c>
      <c r="DR28" s="33">
        <f t="shared" si="4"/>
        <v>1</v>
      </c>
      <c r="DS28" s="50" t="str">
        <f t="shared" si="12"/>
        <v>5-MEDIA BAJA</v>
      </c>
      <c r="DT28" s="50">
        <f t="shared" si="13"/>
        <v>0</v>
      </c>
      <c r="DU28" s="33">
        <f t="shared" si="5"/>
        <v>0</v>
      </c>
      <c r="DV28" s="33">
        <f t="shared" si="5"/>
        <v>0</v>
      </c>
      <c r="DW28" s="33">
        <f t="shared" si="5"/>
        <v>0</v>
      </c>
      <c r="DX28" s="33">
        <f t="shared" si="5"/>
        <v>0</v>
      </c>
      <c r="DY28" s="35">
        <f t="shared" si="14"/>
        <v>2</v>
      </c>
      <c r="DZ28" s="33">
        <f t="shared" si="15"/>
        <v>16</v>
      </c>
      <c r="EA28" s="33">
        <f t="shared" si="16"/>
        <v>18</v>
      </c>
      <c r="EB28" s="33" t="str">
        <f t="shared" si="17"/>
        <v>AUX 1 COM + CAMPOS PREENC OU IGUAL</v>
      </c>
      <c r="EC28" s="33" t="s">
        <v>10034</v>
      </c>
    </row>
    <row r="29" spans="2:133" x14ac:dyDescent="0.25">
      <c r="B29" s="33"/>
      <c r="C29" s="33" t="s">
        <v>174</v>
      </c>
      <c r="D29" s="33" t="s">
        <v>8763</v>
      </c>
      <c r="E29" s="33" t="s">
        <v>8764</v>
      </c>
      <c r="F29" s="33" t="s">
        <v>8765</v>
      </c>
      <c r="G29" s="33" t="s">
        <v>8764</v>
      </c>
      <c r="H29" s="33" t="s">
        <v>8766</v>
      </c>
      <c r="I29" s="33" t="s">
        <v>8764</v>
      </c>
      <c r="J29" s="33" t="s">
        <v>8767</v>
      </c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 t="s">
        <v>8768</v>
      </c>
      <c r="V29" s="33"/>
      <c r="W29" s="33" t="s">
        <v>8847</v>
      </c>
      <c r="X29" s="33" t="s">
        <v>8499</v>
      </c>
      <c r="Y29" s="33" t="s">
        <v>8500</v>
      </c>
      <c r="Z29" s="33" t="s">
        <v>8500</v>
      </c>
      <c r="AA29" s="33" t="s">
        <v>8500</v>
      </c>
      <c r="AB29" s="33" t="s">
        <v>8525</v>
      </c>
      <c r="AC29" s="33"/>
      <c r="AD29" s="33"/>
      <c r="AE29" s="33"/>
      <c r="AF29" s="33" t="s">
        <v>8848</v>
      </c>
      <c r="AG29" s="33"/>
      <c r="AH29" s="33" t="s">
        <v>8560</v>
      </c>
      <c r="AI29" s="33"/>
      <c r="AJ29" s="33"/>
      <c r="AK29" s="33"/>
      <c r="AL29" s="33" t="s">
        <v>8528</v>
      </c>
      <c r="AM29" s="33" t="s">
        <v>8545</v>
      </c>
      <c r="AN29" s="33" t="s">
        <v>8845</v>
      </c>
      <c r="AO29" s="33" t="s">
        <v>8846</v>
      </c>
      <c r="AP29" s="33">
        <v>1</v>
      </c>
      <c r="AQ29" s="5" t="s">
        <v>10037</v>
      </c>
      <c r="AR29" s="33" t="s">
        <v>8849</v>
      </c>
      <c r="AS29" s="33" t="s">
        <v>174</v>
      </c>
      <c r="AT29" s="33" t="s">
        <v>8763</v>
      </c>
      <c r="AU29" s="33" t="s">
        <v>8764</v>
      </c>
      <c r="AV29" s="33" t="s">
        <v>8765</v>
      </c>
      <c r="AW29" s="33" t="s">
        <v>8764</v>
      </c>
      <c r="AX29" s="33" t="s">
        <v>8766</v>
      </c>
      <c r="AY29" s="33" t="s">
        <v>8764</v>
      </c>
      <c r="AZ29" s="33" t="s">
        <v>8767</v>
      </c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 t="s">
        <v>8768</v>
      </c>
      <c r="BL29" s="33"/>
      <c r="BM29" s="33" t="s">
        <v>8847</v>
      </c>
      <c r="BN29" s="33" t="s">
        <v>8499</v>
      </c>
      <c r="BO29" s="33" t="s">
        <v>8500</v>
      </c>
      <c r="BP29" s="33" t="s">
        <v>8500</v>
      </c>
      <c r="BQ29" s="33" t="s">
        <v>8500</v>
      </c>
      <c r="BR29" s="33" t="s">
        <v>8525</v>
      </c>
      <c r="BS29" s="33"/>
      <c r="BT29" s="33"/>
      <c r="BU29" s="33"/>
      <c r="BV29" s="33" t="s">
        <v>8848</v>
      </c>
      <c r="BW29" s="33"/>
      <c r="BX29" s="33" t="s">
        <v>8560</v>
      </c>
      <c r="BY29" s="33"/>
      <c r="BZ29" s="33" t="s">
        <v>8545</v>
      </c>
      <c r="CA29" s="33" t="s">
        <v>8528</v>
      </c>
      <c r="CB29" s="33" t="s">
        <v>8528</v>
      </c>
      <c r="CC29" s="33" t="s">
        <v>8545</v>
      </c>
      <c r="CD29" s="33" t="s">
        <v>8845</v>
      </c>
      <c r="CE29" s="33" t="s">
        <v>8846</v>
      </c>
      <c r="CF29" s="33">
        <v>2</v>
      </c>
      <c r="CG29" s="5" t="s">
        <v>10037</v>
      </c>
      <c r="CH29" s="33">
        <f t="shared" si="9"/>
        <v>0</v>
      </c>
      <c r="CI29" s="33">
        <f t="shared" si="9"/>
        <v>0</v>
      </c>
      <c r="CJ29" s="33">
        <f t="shared" si="9"/>
        <v>0</v>
      </c>
      <c r="CK29" s="33">
        <f t="shared" si="9"/>
        <v>0</v>
      </c>
      <c r="CL29" s="33">
        <f t="shared" si="9"/>
        <v>0</v>
      </c>
      <c r="CM29" s="33">
        <f t="shared" si="9"/>
        <v>0</v>
      </c>
      <c r="CN29" s="33">
        <f t="shared" si="9"/>
        <v>0</v>
      </c>
      <c r="CO29" s="33">
        <f t="shared" si="9"/>
        <v>0</v>
      </c>
      <c r="CP29" s="33">
        <f t="shared" si="9"/>
        <v>0</v>
      </c>
      <c r="CQ29" s="33">
        <f t="shared" si="9"/>
        <v>0</v>
      </c>
      <c r="CR29" s="33">
        <f t="shared" si="9"/>
        <v>0</v>
      </c>
      <c r="CS29" s="33">
        <f t="shared" si="9"/>
        <v>0</v>
      </c>
      <c r="CT29" s="33">
        <f t="shared" si="9"/>
        <v>0</v>
      </c>
      <c r="CU29" s="33">
        <f t="shared" si="9"/>
        <v>0</v>
      </c>
      <c r="CV29" s="33">
        <f t="shared" si="9"/>
        <v>0</v>
      </c>
      <c r="CW29" s="33">
        <f t="shared" si="9"/>
        <v>0</v>
      </c>
      <c r="CX29" s="33">
        <f t="shared" si="18"/>
        <v>0</v>
      </c>
      <c r="CY29" s="33">
        <f t="shared" si="18"/>
        <v>0</v>
      </c>
      <c r="CZ29" s="33">
        <f t="shared" si="18"/>
        <v>0</v>
      </c>
      <c r="DA29" s="33">
        <f t="shared" si="18"/>
        <v>0</v>
      </c>
      <c r="DB29" s="33">
        <f t="shared" si="18"/>
        <v>0</v>
      </c>
      <c r="DC29" s="33">
        <f t="shared" si="18"/>
        <v>0</v>
      </c>
      <c r="DD29" s="33">
        <f t="shared" si="18"/>
        <v>0</v>
      </c>
      <c r="DE29" s="33">
        <f t="shared" si="18"/>
        <v>0</v>
      </c>
      <c r="DF29" s="33">
        <f t="shared" si="18"/>
        <v>0</v>
      </c>
      <c r="DG29" s="33">
        <f t="shared" si="18"/>
        <v>0</v>
      </c>
      <c r="DH29" s="33">
        <f t="shared" si="18"/>
        <v>0</v>
      </c>
      <c r="DI29" s="33">
        <f t="shared" si="18"/>
        <v>0</v>
      </c>
      <c r="DJ29" s="33">
        <f t="shared" si="18"/>
        <v>0</v>
      </c>
      <c r="DK29" s="33">
        <f t="shared" si="18"/>
        <v>0</v>
      </c>
      <c r="DL29" s="33">
        <f t="shared" si="18"/>
        <v>0</v>
      </c>
      <c r="DM29" s="33">
        <f t="shared" si="18"/>
        <v>0</v>
      </c>
      <c r="DN29" s="33">
        <f t="shared" si="19"/>
        <v>0</v>
      </c>
      <c r="DO29" s="33">
        <f t="shared" si="3"/>
        <v>1</v>
      </c>
      <c r="DP29" s="50">
        <f t="shared" si="10"/>
        <v>0</v>
      </c>
      <c r="DQ29" s="50" t="str">
        <f t="shared" si="11"/>
        <v>D</v>
      </c>
      <c r="DR29" s="33">
        <f t="shared" si="4"/>
        <v>1</v>
      </c>
      <c r="DS29" s="50">
        <f t="shared" si="12"/>
        <v>0</v>
      </c>
      <c r="DT29" s="50" t="str">
        <f t="shared" si="13"/>
        <v>5-MEDIA BAJA</v>
      </c>
      <c r="DU29" s="33">
        <f t="shared" si="5"/>
        <v>0</v>
      </c>
      <c r="DV29" s="33">
        <f t="shared" si="5"/>
        <v>0</v>
      </c>
      <c r="DW29" s="33">
        <f t="shared" si="5"/>
        <v>0</v>
      </c>
      <c r="DX29" s="33">
        <f t="shared" si="5"/>
        <v>0</v>
      </c>
      <c r="DY29" s="35">
        <f t="shared" si="14"/>
        <v>2</v>
      </c>
      <c r="DZ29" s="33">
        <f t="shared" si="15"/>
        <v>18</v>
      </c>
      <c r="EA29" s="33">
        <f t="shared" si="16"/>
        <v>16</v>
      </c>
      <c r="EB29" s="33" t="str">
        <f t="shared" si="17"/>
        <v>AUX 2 COM + CAMPOS PREENC</v>
      </c>
      <c r="EC29" s="33" t="s">
        <v>10034</v>
      </c>
    </row>
    <row r="30" spans="2:133" x14ac:dyDescent="0.25">
      <c r="B30" s="33"/>
      <c r="C30" s="33" t="s">
        <v>27</v>
      </c>
      <c r="D30" s="33" t="s">
        <v>8763</v>
      </c>
      <c r="E30" s="33" t="s">
        <v>8764</v>
      </c>
      <c r="F30" s="33" t="s">
        <v>8765</v>
      </c>
      <c r="G30" s="33" t="s">
        <v>8764</v>
      </c>
      <c r="H30" s="33" t="s">
        <v>8766</v>
      </c>
      <c r="I30" s="33" t="s">
        <v>8764</v>
      </c>
      <c r="J30" s="33" t="s">
        <v>8767</v>
      </c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 t="s">
        <v>8768</v>
      </c>
      <c r="V30" s="33"/>
      <c r="W30" s="33" t="s">
        <v>8500</v>
      </c>
      <c r="X30" s="33" t="s">
        <v>8499</v>
      </c>
      <c r="Y30" s="33" t="s">
        <v>8500</v>
      </c>
      <c r="Z30" s="33" t="s">
        <v>8500</v>
      </c>
      <c r="AA30" s="33" t="s">
        <v>8500</v>
      </c>
      <c r="AB30" s="33" t="s">
        <v>8525</v>
      </c>
      <c r="AC30" s="33"/>
      <c r="AD30" s="33"/>
      <c r="AE30" s="33"/>
      <c r="AF30" s="33" t="s">
        <v>8850</v>
      </c>
      <c r="AG30" s="33"/>
      <c r="AH30" s="33" t="s">
        <v>8560</v>
      </c>
      <c r="AI30" s="33"/>
      <c r="AJ30" s="33"/>
      <c r="AK30" s="33"/>
      <c r="AL30" s="33" t="s">
        <v>8528</v>
      </c>
      <c r="AM30" s="33" t="s">
        <v>8545</v>
      </c>
      <c r="AN30" s="33" t="s">
        <v>8851</v>
      </c>
      <c r="AO30" s="33" t="s">
        <v>8760</v>
      </c>
      <c r="AP30" s="33">
        <v>1</v>
      </c>
      <c r="AQ30" s="5" t="s">
        <v>10037</v>
      </c>
      <c r="AR30" s="33" t="s">
        <v>8852</v>
      </c>
      <c r="AS30" s="33" t="s">
        <v>27</v>
      </c>
      <c r="AT30" s="33" t="s">
        <v>8763</v>
      </c>
      <c r="AU30" s="33" t="s">
        <v>8764</v>
      </c>
      <c r="AV30" s="33" t="s">
        <v>8765</v>
      </c>
      <c r="AW30" s="33" t="s">
        <v>8764</v>
      </c>
      <c r="AX30" s="33" t="s">
        <v>8766</v>
      </c>
      <c r="AY30" s="33" t="s">
        <v>8764</v>
      </c>
      <c r="AZ30" s="33" t="s">
        <v>8767</v>
      </c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 t="s">
        <v>8768</v>
      </c>
      <c r="BL30" s="33"/>
      <c r="BM30" s="33" t="s">
        <v>8500</v>
      </c>
      <c r="BN30" s="33" t="s">
        <v>8499</v>
      </c>
      <c r="BO30" s="33" t="s">
        <v>8500</v>
      </c>
      <c r="BP30" s="33" t="s">
        <v>8500</v>
      </c>
      <c r="BQ30" s="33" t="s">
        <v>8500</v>
      </c>
      <c r="BR30" s="33" t="s">
        <v>8525</v>
      </c>
      <c r="BS30" s="33"/>
      <c r="BT30" s="33"/>
      <c r="BU30" s="33"/>
      <c r="BV30" s="33" t="s">
        <v>8850</v>
      </c>
      <c r="BW30" s="33"/>
      <c r="BX30" s="33" t="s">
        <v>8560</v>
      </c>
      <c r="BY30" s="33"/>
      <c r="BZ30" s="33" t="s">
        <v>8545</v>
      </c>
      <c r="CA30" s="33" t="s">
        <v>8528</v>
      </c>
      <c r="CB30" s="33" t="s">
        <v>8528</v>
      </c>
      <c r="CC30" s="33" t="s">
        <v>8545</v>
      </c>
      <c r="CD30" s="33" t="s">
        <v>8851</v>
      </c>
      <c r="CE30" s="33" t="s">
        <v>8760</v>
      </c>
      <c r="CF30" s="33">
        <v>2</v>
      </c>
      <c r="CG30" s="5" t="s">
        <v>10037</v>
      </c>
      <c r="CH30" s="33">
        <f t="shared" si="9"/>
        <v>0</v>
      </c>
      <c r="CI30" s="33">
        <f t="shared" si="9"/>
        <v>0</v>
      </c>
      <c r="CJ30" s="33">
        <f t="shared" si="9"/>
        <v>0</v>
      </c>
      <c r="CK30" s="33">
        <f t="shared" si="9"/>
        <v>0</v>
      </c>
      <c r="CL30" s="33">
        <f t="shared" si="9"/>
        <v>0</v>
      </c>
      <c r="CM30" s="33">
        <f t="shared" si="9"/>
        <v>0</v>
      </c>
      <c r="CN30" s="33">
        <f t="shared" si="9"/>
        <v>0</v>
      </c>
      <c r="CO30" s="33">
        <f t="shared" si="9"/>
        <v>0</v>
      </c>
      <c r="CP30" s="33">
        <f t="shared" si="9"/>
        <v>0</v>
      </c>
      <c r="CQ30" s="33">
        <f t="shared" si="9"/>
        <v>0</v>
      </c>
      <c r="CR30" s="33">
        <f t="shared" si="9"/>
        <v>0</v>
      </c>
      <c r="CS30" s="33">
        <f t="shared" si="9"/>
        <v>0</v>
      </c>
      <c r="CT30" s="33">
        <f t="shared" si="9"/>
        <v>0</v>
      </c>
      <c r="CU30" s="33">
        <f t="shared" si="9"/>
        <v>0</v>
      </c>
      <c r="CV30" s="33">
        <f t="shared" si="9"/>
        <v>0</v>
      </c>
      <c r="CW30" s="33">
        <f t="shared" si="9"/>
        <v>0</v>
      </c>
      <c r="CX30" s="33">
        <f t="shared" si="18"/>
        <v>0</v>
      </c>
      <c r="CY30" s="33">
        <f t="shared" si="18"/>
        <v>0</v>
      </c>
      <c r="CZ30" s="33">
        <f t="shared" si="18"/>
        <v>0</v>
      </c>
      <c r="DA30" s="33">
        <f t="shared" si="18"/>
        <v>0</v>
      </c>
      <c r="DB30" s="33">
        <f t="shared" si="18"/>
        <v>0</v>
      </c>
      <c r="DC30" s="33">
        <f t="shared" si="18"/>
        <v>0</v>
      </c>
      <c r="DD30" s="33">
        <f t="shared" si="18"/>
        <v>0</v>
      </c>
      <c r="DE30" s="33">
        <f t="shared" si="18"/>
        <v>0</v>
      </c>
      <c r="DF30" s="33">
        <f t="shared" si="18"/>
        <v>0</v>
      </c>
      <c r="DG30" s="33">
        <f t="shared" si="18"/>
        <v>0</v>
      </c>
      <c r="DH30" s="33">
        <f t="shared" si="18"/>
        <v>0</v>
      </c>
      <c r="DI30" s="33">
        <f t="shared" si="18"/>
        <v>0</v>
      </c>
      <c r="DJ30" s="33">
        <f t="shared" si="18"/>
        <v>0</v>
      </c>
      <c r="DK30" s="33">
        <f t="shared" si="18"/>
        <v>0</v>
      </c>
      <c r="DL30" s="33">
        <f t="shared" si="18"/>
        <v>0</v>
      </c>
      <c r="DM30" s="33">
        <f t="shared" si="18"/>
        <v>0</v>
      </c>
      <c r="DN30" s="33">
        <f t="shared" si="19"/>
        <v>0</v>
      </c>
      <c r="DO30" s="33">
        <f t="shared" si="3"/>
        <v>1</v>
      </c>
      <c r="DP30" s="50">
        <f t="shared" si="10"/>
        <v>0</v>
      </c>
      <c r="DQ30" s="50" t="str">
        <f t="shared" si="11"/>
        <v>D</v>
      </c>
      <c r="DR30" s="33">
        <f t="shared" si="4"/>
        <v>1</v>
      </c>
      <c r="DS30" s="50">
        <f t="shared" si="12"/>
        <v>0</v>
      </c>
      <c r="DT30" s="50" t="str">
        <f t="shared" si="13"/>
        <v>5-MEDIA BAJA</v>
      </c>
      <c r="DU30" s="33">
        <f t="shared" si="5"/>
        <v>0</v>
      </c>
      <c r="DV30" s="33">
        <f t="shared" si="5"/>
        <v>0</v>
      </c>
      <c r="DW30" s="33">
        <f t="shared" si="5"/>
        <v>0</v>
      </c>
      <c r="DX30" s="33">
        <f t="shared" si="5"/>
        <v>0</v>
      </c>
      <c r="DY30" s="35">
        <f t="shared" si="14"/>
        <v>2</v>
      </c>
      <c r="DZ30" s="33">
        <f t="shared" si="15"/>
        <v>18</v>
      </c>
      <c r="EA30" s="33">
        <f t="shared" si="16"/>
        <v>16</v>
      </c>
      <c r="EB30" s="33" t="str">
        <f t="shared" si="17"/>
        <v>AUX 2 COM + CAMPOS PREENC</v>
      </c>
      <c r="EC30" s="33" t="s">
        <v>10034</v>
      </c>
    </row>
    <row r="31" spans="2:133" x14ac:dyDescent="0.25">
      <c r="B31" s="33"/>
      <c r="C31" s="33" t="s">
        <v>57</v>
      </c>
      <c r="D31" s="33" t="s">
        <v>8829</v>
      </c>
      <c r="E31" s="33" t="s">
        <v>8830</v>
      </c>
      <c r="F31" s="33" t="s">
        <v>8831</v>
      </c>
      <c r="G31" s="33" t="s">
        <v>8832</v>
      </c>
      <c r="H31" s="33" t="s">
        <v>8833</v>
      </c>
      <c r="I31" s="33" t="s">
        <v>8834</v>
      </c>
      <c r="J31" s="33" t="s">
        <v>8853</v>
      </c>
      <c r="K31" s="33" t="s">
        <v>8570</v>
      </c>
      <c r="L31" s="33" t="s">
        <v>8571</v>
      </c>
      <c r="M31" s="33" t="s">
        <v>8854</v>
      </c>
      <c r="N31" s="33" t="s">
        <v>8653</v>
      </c>
      <c r="O31" s="33"/>
      <c r="P31" s="33"/>
      <c r="Q31" s="33" t="s">
        <v>8571</v>
      </c>
      <c r="R31" s="33" t="s">
        <v>8855</v>
      </c>
      <c r="S31" s="33"/>
      <c r="T31" s="33"/>
      <c r="U31" s="33" t="s">
        <v>8837</v>
      </c>
      <c r="V31" s="33" t="s">
        <v>8838</v>
      </c>
      <c r="W31" s="33" t="s">
        <v>8856</v>
      </c>
      <c r="X31" s="33" t="s">
        <v>8840</v>
      </c>
      <c r="Y31" s="33" t="s">
        <v>8500</v>
      </c>
      <c r="Z31" s="33" t="s">
        <v>8500</v>
      </c>
      <c r="AA31" s="33" t="s">
        <v>8500</v>
      </c>
      <c r="AB31" s="33" t="s">
        <v>8500</v>
      </c>
      <c r="AC31" s="33"/>
      <c r="AD31" s="33"/>
      <c r="AE31" s="33"/>
      <c r="AF31" s="33" t="s">
        <v>8857</v>
      </c>
      <c r="AG31" s="33"/>
      <c r="AH31" s="33" t="s">
        <v>8505</v>
      </c>
      <c r="AI31" s="33"/>
      <c r="AJ31" s="33"/>
      <c r="AK31" s="33"/>
      <c r="AL31" s="33" t="s">
        <v>8528</v>
      </c>
      <c r="AM31" s="33" t="s">
        <v>8545</v>
      </c>
      <c r="AN31" s="33" t="s">
        <v>8858</v>
      </c>
      <c r="AO31" s="33" t="s">
        <v>8859</v>
      </c>
      <c r="AP31" s="33">
        <v>1</v>
      </c>
      <c r="AQ31" s="5" t="s">
        <v>10037</v>
      </c>
      <c r="AR31" s="33" t="s">
        <v>8860</v>
      </c>
      <c r="AS31" s="33" t="s">
        <v>57</v>
      </c>
      <c r="AT31" s="33" t="s">
        <v>8829</v>
      </c>
      <c r="AU31" s="33" t="s">
        <v>8830</v>
      </c>
      <c r="AV31" s="33" t="s">
        <v>8831</v>
      </c>
      <c r="AW31" s="33" t="s">
        <v>8832</v>
      </c>
      <c r="AX31" s="33" t="s">
        <v>8833</v>
      </c>
      <c r="AY31" s="33" t="s">
        <v>8834</v>
      </c>
      <c r="AZ31" s="33" t="s">
        <v>8853</v>
      </c>
      <c r="BA31" s="33" t="s">
        <v>8570</v>
      </c>
      <c r="BB31" s="33" t="s">
        <v>8571</v>
      </c>
      <c r="BC31" s="33" t="s">
        <v>8854</v>
      </c>
      <c r="BD31" s="33" t="s">
        <v>8653</v>
      </c>
      <c r="BE31" s="33"/>
      <c r="BF31" s="33"/>
      <c r="BG31" s="33" t="s">
        <v>8571</v>
      </c>
      <c r="BH31" s="33" t="s">
        <v>8855</v>
      </c>
      <c r="BI31" s="33"/>
      <c r="BJ31" s="33"/>
      <c r="BK31" s="33" t="s">
        <v>8837</v>
      </c>
      <c r="BL31" s="33" t="s">
        <v>8838</v>
      </c>
      <c r="BM31" s="33" t="s">
        <v>8856</v>
      </c>
      <c r="BN31" s="33" t="s">
        <v>8840</v>
      </c>
      <c r="BO31" s="33" t="s">
        <v>8500</v>
      </c>
      <c r="BP31" s="33" t="s">
        <v>8500</v>
      </c>
      <c r="BQ31" s="33" t="s">
        <v>8500</v>
      </c>
      <c r="BR31" s="33" t="s">
        <v>8500</v>
      </c>
      <c r="BS31" s="33"/>
      <c r="BT31" s="33"/>
      <c r="BU31" s="33"/>
      <c r="BV31" s="33" t="s">
        <v>8857</v>
      </c>
      <c r="BW31" s="33"/>
      <c r="BX31" s="33" t="s">
        <v>8505</v>
      </c>
      <c r="BY31" s="33"/>
      <c r="BZ31" s="33" t="s">
        <v>8545</v>
      </c>
      <c r="CA31" s="33" t="s">
        <v>8528</v>
      </c>
      <c r="CB31" s="33" t="s">
        <v>8528</v>
      </c>
      <c r="CC31" s="33" t="s">
        <v>8545</v>
      </c>
      <c r="CD31" s="33" t="s">
        <v>8858</v>
      </c>
      <c r="CE31" s="33" t="s">
        <v>8859</v>
      </c>
      <c r="CF31" s="33">
        <v>2</v>
      </c>
      <c r="CG31" s="5" t="s">
        <v>10037</v>
      </c>
      <c r="CH31" s="33">
        <f t="shared" si="9"/>
        <v>0</v>
      </c>
      <c r="CI31" s="33">
        <f t="shared" si="9"/>
        <v>0</v>
      </c>
      <c r="CJ31" s="33">
        <f t="shared" si="9"/>
        <v>0</v>
      </c>
      <c r="CK31" s="33">
        <f t="shared" si="9"/>
        <v>0</v>
      </c>
      <c r="CL31" s="33">
        <f t="shared" si="9"/>
        <v>0</v>
      </c>
      <c r="CM31" s="33">
        <f t="shared" si="9"/>
        <v>0</v>
      </c>
      <c r="CN31" s="33">
        <f t="shared" si="9"/>
        <v>0</v>
      </c>
      <c r="CO31" s="33">
        <f t="shared" si="9"/>
        <v>0</v>
      </c>
      <c r="CP31" s="33">
        <f t="shared" si="9"/>
        <v>0</v>
      </c>
      <c r="CQ31" s="33">
        <f t="shared" si="9"/>
        <v>0</v>
      </c>
      <c r="CR31" s="33">
        <f t="shared" si="9"/>
        <v>0</v>
      </c>
      <c r="CS31" s="33">
        <f t="shared" si="9"/>
        <v>0</v>
      </c>
      <c r="CT31" s="33">
        <f t="shared" si="9"/>
        <v>0</v>
      </c>
      <c r="CU31" s="33">
        <f t="shared" si="9"/>
        <v>0</v>
      </c>
      <c r="CV31" s="33">
        <f t="shared" si="9"/>
        <v>0</v>
      </c>
      <c r="CW31" s="33">
        <f t="shared" si="9"/>
        <v>0</v>
      </c>
      <c r="CX31" s="33">
        <f t="shared" si="18"/>
        <v>0</v>
      </c>
      <c r="CY31" s="33">
        <f t="shared" si="18"/>
        <v>0</v>
      </c>
      <c r="CZ31" s="33">
        <f t="shared" si="18"/>
        <v>0</v>
      </c>
      <c r="DA31" s="33">
        <f t="shared" si="18"/>
        <v>0</v>
      </c>
      <c r="DB31" s="33">
        <f t="shared" si="18"/>
        <v>0</v>
      </c>
      <c r="DC31" s="33">
        <f t="shared" si="18"/>
        <v>0</v>
      </c>
      <c r="DD31" s="33">
        <f t="shared" si="18"/>
        <v>0</v>
      </c>
      <c r="DE31" s="33">
        <f t="shared" si="18"/>
        <v>0</v>
      </c>
      <c r="DF31" s="33">
        <f t="shared" si="18"/>
        <v>0</v>
      </c>
      <c r="DG31" s="33">
        <f t="shared" si="18"/>
        <v>0</v>
      </c>
      <c r="DH31" s="33">
        <f t="shared" si="18"/>
        <v>0</v>
      </c>
      <c r="DI31" s="33">
        <f t="shared" si="18"/>
        <v>0</v>
      </c>
      <c r="DJ31" s="33">
        <f t="shared" si="18"/>
        <v>0</v>
      </c>
      <c r="DK31" s="33">
        <f t="shared" si="18"/>
        <v>0</v>
      </c>
      <c r="DL31" s="33">
        <f t="shared" si="18"/>
        <v>0</v>
      </c>
      <c r="DM31" s="33">
        <f t="shared" si="18"/>
        <v>0</v>
      </c>
      <c r="DN31" s="33">
        <f t="shared" si="19"/>
        <v>0</v>
      </c>
      <c r="DO31" s="33">
        <f t="shared" si="3"/>
        <v>1</v>
      </c>
      <c r="DP31" s="50">
        <f t="shared" si="10"/>
        <v>0</v>
      </c>
      <c r="DQ31" s="50" t="str">
        <f t="shared" si="11"/>
        <v>D</v>
      </c>
      <c r="DR31" s="33">
        <f t="shared" si="4"/>
        <v>1</v>
      </c>
      <c r="DS31" s="50">
        <f t="shared" si="12"/>
        <v>0</v>
      </c>
      <c r="DT31" s="50" t="str">
        <f t="shared" si="13"/>
        <v>5-MEDIA BAJA</v>
      </c>
      <c r="DU31" s="33">
        <f t="shared" si="5"/>
        <v>0</v>
      </c>
      <c r="DV31" s="33">
        <f t="shared" si="5"/>
        <v>0</v>
      </c>
      <c r="DW31" s="33">
        <f t="shared" si="5"/>
        <v>0</v>
      </c>
      <c r="DX31" s="33">
        <f t="shared" si="5"/>
        <v>0</v>
      </c>
      <c r="DY31" s="35">
        <f t="shared" si="14"/>
        <v>2</v>
      </c>
      <c r="DZ31" s="33">
        <f t="shared" si="15"/>
        <v>11</v>
      </c>
      <c r="EA31" s="33">
        <f t="shared" si="16"/>
        <v>9</v>
      </c>
      <c r="EB31" s="33" t="str">
        <f t="shared" si="17"/>
        <v>AUX 2 COM + CAMPOS PREENC</v>
      </c>
      <c r="EC31" s="33" t="s">
        <v>10034</v>
      </c>
    </row>
    <row r="32" spans="2:133" x14ac:dyDescent="0.25">
      <c r="B32" s="33"/>
      <c r="C32" s="33" t="s">
        <v>41</v>
      </c>
      <c r="D32" s="33" t="s">
        <v>8763</v>
      </c>
      <c r="E32" s="33" t="s">
        <v>8764</v>
      </c>
      <c r="F32" s="33" t="s">
        <v>8861</v>
      </c>
      <c r="G32" s="33" t="s">
        <v>8862</v>
      </c>
      <c r="H32" s="33" t="s">
        <v>8863</v>
      </c>
      <c r="I32" s="33" t="s">
        <v>8862</v>
      </c>
      <c r="J32" s="33" t="s">
        <v>8862</v>
      </c>
      <c r="K32" s="33" t="s">
        <v>8570</v>
      </c>
      <c r="L32" s="33" t="s">
        <v>8571</v>
      </c>
      <c r="M32" s="33" t="s">
        <v>8804</v>
      </c>
      <c r="N32" s="33" t="s">
        <v>8718</v>
      </c>
      <c r="O32" s="33"/>
      <c r="P32" s="33"/>
      <c r="Q32" s="33" t="s">
        <v>8571</v>
      </c>
      <c r="R32" s="33"/>
      <c r="S32" s="33"/>
      <c r="T32" s="33"/>
      <c r="U32" s="33" t="s">
        <v>8864</v>
      </c>
      <c r="V32" s="33" t="s">
        <v>8865</v>
      </c>
      <c r="W32" s="33" t="s">
        <v>8866</v>
      </c>
      <c r="X32" s="33"/>
      <c r="Y32" s="33" t="s">
        <v>8525</v>
      </c>
      <c r="Z32" s="33" t="s">
        <v>8525</v>
      </c>
      <c r="AA32" s="33" t="s">
        <v>8500</v>
      </c>
      <c r="AB32" s="33" t="s">
        <v>8500</v>
      </c>
      <c r="AC32" s="33"/>
      <c r="AD32" s="33"/>
      <c r="AE32" s="33"/>
      <c r="AF32" s="33" t="s">
        <v>8867</v>
      </c>
      <c r="AG32" s="33"/>
      <c r="AH32" s="33" t="s">
        <v>8527</v>
      </c>
      <c r="AI32" s="33"/>
      <c r="AJ32" s="33"/>
      <c r="AK32" s="33"/>
      <c r="AL32" s="33" t="s">
        <v>8507</v>
      </c>
      <c r="AM32" s="33" t="s">
        <v>8545</v>
      </c>
      <c r="AN32" s="33" t="s">
        <v>8868</v>
      </c>
      <c r="AO32" s="33" t="s">
        <v>8869</v>
      </c>
      <c r="AP32" s="33">
        <v>1</v>
      </c>
      <c r="AQ32" s="5" t="s">
        <v>10037</v>
      </c>
      <c r="AR32" s="33" t="s">
        <v>8870</v>
      </c>
      <c r="AS32" s="33" t="s">
        <v>41</v>
      </c>
      <c r="AT32" s="33" t="s">
        <v>8763</v>
      </c>
      <c r="AU32" s="33" t="s">
        <v>8764</v>
      </c>
      <c r="AV32" s="33" t="s">
        <v>8861</v>
      </c>
      <c r="AW32" s="33" t="s">
        <v>8862</v>
      </c>
      <c r="AX32" s="33" t="s">
        <v>8863</v>
      </c>
      <c r="AY32" s="33" t="s">
        <v>8862</v>
      </c>
      <c r="AZ32" s="33" t="s">
        <v>8862</v>
      </c>
      <c r="BA32" s="33" t="s">
        <v>8570</v>
      </c>
      <c r="BB32" s="33" t="s">
        <v>8571</v>
      </c>
      <c r="BC32" s="33" t="s">
        <v>8804</v>
      </c>
      <c r="BD32" s="33" t="s">
        <v>8718</v>
      </c>
      <c r="BE32" s="33"/>
      <c r="BF32" s="33"/>
      <c r="BG32" s="33" t="s">
        <v>8571</v>
      </c>
      <c r="BH32" s="33"/>
      <c r="BI32" s="33"/>
      <c r="BJ32" s="33"/>
      <c r="BK32" s="33" t="s">
        <v>8864</v>
      </c>
      <c r="BL32" s="33" t="s">
        <v>8865</v>
      </c>
      <c r="BM32" s="33" t="s">
        <v>8866</v>
      </c>
      <c r="BN32" s="33"/>
      <c r="BO32" s="33" t="s">
        <v>8525</v>
      </c>
      <c r="BP32" s="33" t="s">
        <v>8525</v>
      </c>
      <c r="BQ32" s="33" t="s">
        <v>8500</v>
      </c>
      <c r="BR32" s="33" t="s">
        <v>8500</v>
      </c>
      <c r="BS32" s="33"/>
      <c r="BT32" s="33"/>
      <c r="BU32" s="33"/>
      <c r="BV32" s="33" t="s">
        <v>8867</v>
      </c>
      <c r="BW32" s="33"/>
      <c r="BX32" s="33" t="s">
        <v>8527</v>
      </c>
      <c r="BY32" s="33"/>
      <c r="BZ32" s="33" t="s">
        <v>8577</v>
      </c>
      <c r="CA32" s="33" t="s">
        <v>8507</v>
      </c>
      <c r="CB32" s="33" t="s">
        <v>8507</v>
      </c>
      <c r="CC32" s="33" t="s">
        <v>8545</v>
      </c>
      <c r="CD32" s="33" t="s">
        <v>8868</v>
      </c>
      <c r="CE32" s="33" t="s">
        <v>8869</v>
      </c>
      <c r="CF32" s="33">
        <v>2</v>
      </c>
      <c r="CG32" s="5" t="s">
        <v>10037</v>
      </c>
      <c r="CH32" s="33">
        <f t="shared" si="9"/>
        <v>0</v>
      </c>
      <c r="CI32" s="33">
        <f t="shared" si="9"/>
        <v>0</v>
      </c>
      <c r="CJ32" s="33">
        <f t="shared" si="9"/>
        <v>0</v>
      </c>
      <c r="CK32" s="33">
        <f t="shared" si="9"/>
        <v>0</v>
      </c>
      <c r="CL32" s="33">
        <f t="shared" si="9"/>
        <v>0</v>
      </c>
      <c r="CM32" s="33">
        <f t="shared" si="9"/>
        <v>0</v>
      </c>
      <c r="CN32" s="33">
        <f t="shared" si="9"/>
        <v>0</v>
      </c>
      <c r="CO32" s="33">
        <f t="shared" si="9"/>
        <v>0</v>
      </c>
      <c r="CP32" s="33">
        <f t="shared" si="9"/>
        <v>0</v>
      </c>
      <c r="CQ32" s="33">
        <f t="shared" si="9"/>
        <v>0</v>
      </c>
      <c r="CR32" s="33">
        <f t="shared" si="9"/>
        <v>0</v>
      </c>
      <c r="CS32" s="33">
        <f t="shared" si="9"/>
        <v>0</v>
      </c>
      <c r="CT32" s="33">
        <f t="shared" si="9"/>
        <v>0</v>
      </c>
      <c r="CU32" s="33">
        <f t="shared" si="9"/>
        <v>0</v>
      </c>
      <c r="CV32" s="33">
        <f t="shared" si="9"/>
        <v>0</v>
      </c>
      <c r="CW32" s="33">
        <f t="shared" si="9"/>
        <v>0</v>
      </c>
      <c r="CX32" s="33">
        <f t="shared" si="18"/>
        <v>0</v>
      </c>
      <c r="CY32" s="33">
        <f t="shared" si="18"/>
        <v>0</v>
      </c>
      <c r="CZ32" s="33">
        <f t="shared" si="18"/>
        <v>0</v>
      </c>
      <c r="DA32" s="33">
        <f t="shared" si="18"/>
        <v>0</v>
      </c>
      <c r="DB32" s="33">
        <f t="shared" si="18"/>
        <v>0</v>
      </c>
      <c r="DC32" s="33">
        <f t="shared" si="18"/>
        <v>0</v>
      </c>
      <c r="DD32" s="33">
        <f t="shared" si="18"/>
        <v>0</v>
      </c>
      <c r="DE32" s="33">
        <f t="shared" si="18"/>
        <v>0</v>
      </c>
      <c r="DF32" s="33">
        <f t="shared" si="18"/>
        <v>0</v>
      </c>
      <c r="DG32" s="33">
        <f t="shared" si="18"/>
        <v>0</v>
      </c>
      <c r="DH32" s="33">
        <f t="shared" si="18"/>
        <v>0</v>
      </c>
      <c r="DI32" s="33">
        <f t="shared" si="18"/>
        <v>0</v>
      </c>
      <c r="DJ32" s="33">
        <f t="shared" si="18"/>
        <v>0</v>
      </c>
      <c r="DK32" s="33">
        <f t="shared" si="18"/>
        <v>0</v>
      </c>
      <c r="DL32" s="33">
        <f t="shared" si="18"/>
        <v>0</v>
      </c>
      <c r="DM32" s="33">
        <f t="shared" si="18"/>
        <v>0</v>
      </c>
      <c r="DN32" s="33">
        <f t="shared" si="19"/>
        <v>0</v>
      </c>
      <c r="DO32" s="33">
        <f t="shared" si="3"/>
        <v>1</v>
      </c>
      <c r="DP32" s="50">
        <f t="shared" si="10"/>
        <v>0</v>
      </c>
      <c r="DQ32" s="50" t="str">
        <f t="shared" si="11"/>
        <v>E</v>
      </c>
      <c r="DR32" s="33">
        <f t="shared" si="4"/>
        <v>1</v>
      </c>
      <c r="DS32" s="50">
        <f t="shared" si="12"/>
        <v>0</v>
      </c>
      <c r="DT32" s="50" t="str">
        <f t="shared" si="13"/>
        <v>4-MEDIA</v>
      </c>
      <c r="DU32" s="33">
        <f t="shared" si="5"/>
        <v>0</v>
      </c>
      <c r="DV32" s="33">
        <f t="shared" si="5"/>
        <v>0</v>
      </c>
      <c r="DW32" s="33">
        <f t="shared" si="5"/>
        <v>0</v>
      </c>
      <c r="DX32" s="33">
        <f t="shared" si="5"/>
        <v>0</v>
      </c>
      <c r="DY32" s="35">
        <f t="shared" si="14"/>
        <v>2</v>
      </c>
      <c r="DZ32" s="33">
        <f t="shared" si="15"/>
        <v>13</v>
      </c>
      <c r="EA32" s="33">
        <f t="shared" si="16"/>
        <v>11</v>
      </c>
      <c r="EB32" s="33" t="str">
        <f t="shared" si="17"/>
        <v>AUX 2 COM + CAMPOS PREENC</v>
      </c>
      <c r="EC32" s="33" t="s">
        <v>10034</v>
      </c>
    </row>
    <row r="33" spans="2:133" x14ac:dyDescent="0.25">
      <c r="B33" s="33" t="s">
        <v>8871</v>
      </c>
      <c r="C33" s="33" t="s">
        <v>103</v>
      </c>
      <c r="D33" s="33" t="s">
        <v>8711</v>
      </c>
      <c r="E33" s="33" t="s">
        <v>8712</v>
      </c>
      <c r="F33" s="33" t="s">
        <v>8737</v>
      </c>
      <c r="G33" s="33" t="s">
        <v>8712</v>
      </c>
      <c r="H33" s="33" t="s">
        <v>8872</v>
      </c>
      <c r="I33" s="33" t="s">
        <v>8873</v>
      </c>
      <c r="J33" s="33" t="s">
        <v>8712</v>
      </c>
      <c r="K33" s="33" t="s">
        <v>8491</v>
      </c>
      <c r="L33" s="33" t="s">
        <v>8492</v>
      </c>
      <c r="M33" s="33" t="s">
        <v>8874</v>
      </c>
      <c r="N33" s="33"/>
      <c r="O33" s="33"/>
      <c r="P33" s="33"/>
      <c r="Q33" s="33" t="s">
        <v>8571</v>
      </c>
      <c r="R33" s="33"/>
      <c r="S33" s="33"/>
      <c r="T33" s="33"/>
      <c r="U33" s="33" t="s">
        <v>8875</v>
      </c>
      <c r="V33" s="33" t="s">
        <v>8876</v>
      </c>
      <c r="W33" s="33" t="s">
        <v>8877</v>
      </c>
      <c r="X33" s="33"/>
      <c r="Y33" s="33" t="s">
        <v>8500</v>
      </c>
      <c r="Z33" s="33" t="s">
        <v>8500</v>
      </c>
      <c r="AA33" s="33" t="s">
        <v>8500</v>
      </c>
      <c r="AB33" s="33" t="s">
        <v>8500</v>
      </c>
      <c r="AC33" s="33"/>
      <c r="AD33" s="33"/>
      <c r="AE33" s="33"/>
      <c r="AF33" s="33" t="s">
        <v>8878</v>
      </c>
      <c r="AG33" s="33"/>
      <c r="AH33" s="33" t="s">
        <v>8505</v>
      </c>
      <c r="AI33" s="33"/>
      <c r="AJ33" s="33" t="s">
        <v>8506</v>
      </c>
      <c r="AK33" s="33" t="s">
        <v>8528</v>
      </c>
      <c r="AL33" s="33" t="s">
        <v>8507</v>
      </c>
      <c r="AM33" s="33" t="s">
        <v>8545</v>
      </c>
      <c r="AN33" s="33" t="s">
        <v>8879</v>
      </c>
      <c r="AO33" s="33" t="s">
        <v>8880</v>
      </c>
      <c r="AP33" s="33">
        <v>1</v>
      </c>
      <c r="AQ33" s="5" t="s">
        <v>10037</v>
      </c>
      <c r="AR33" s="33"/>
      <c r="AS33" s="33" t="s">
        <v>103</v>
      </c>
      <c r="AT33" s="33" t="s">
        <v>8711</v>
      </c>
      <c r="AU33" s="33" t="s">
        <v>8712</v>
      </c>
      <c r="AV33" s="33" t="s">
        <v>8737</v>
      </c>
      <c r="AW33" s="33" t="s">
        <v>8712</v>
      </c>
      <c r="AX33" s="33" t="s">
        <v>8872</v>
      </c>
      <c r="AY33" s="33" t="s">
        <v>8873</v>
      </c>
      <c r="AZ33" s="33" t="s">
        <v>8712</v>
      </c>
      <c r="BA33" s="33" t="s">
        <v>8491</v>
      </c>
      <c r="BB33" s="33" t="s">
        <v>8492</v>
      </c>
      <c r="BC33" s="33" t="s">
        <v>8874</v>
      </c>
      <c r="BD33" s="33"/>
      <c r="BE33" s="33"/>
      <c r="BF33" s="33"/>
      <c r="BG33" s="33" t="s">
        <v>8571</v>
      </c>
      <c r="BH33" s="33"/>
      <c r="BI33" s="33"/>
      <c r="BJ33" s="33"/>
      <c r="BK33" s="33" t="s">
        <v>8875</v>
      </c>
      <c r="BL33" s="33" t="s">
        <v>8876</v>
      </c>
      <c r="BM33" s="33" t="s">
        <v>8877</v>
      </c>
      <c r="BN33" s="33"/>
      <c r="BO33" s="33" t="s">
        <v>8500</v>
      </c>
      <c r="BP33" s="33" t="s">
        <v>8500</v>
      </c>
      <c r="BQ33" s="33" t="s">
        <v>8500</v>
      </c>
      <c r="BR33" s="33" t="s">
        <v>8500</v>
      </c>
      <c r="BS33" s="33"/>
      <c r="BT33" s="33"/>
      <c r="BU33" s="33"/>
      <c r="BV33" s="33" t="s">
        <v>8878</v>
      </c>
      <c r="BW33" s="33"/>
      <c r="BX33" s="33" t="s">
        <v>8505</v>
      </c>
      <c r="BY33" s="33"/>
      <c r="BZ33" s="33" t="s">
        <v>8506</v>
      </c>
      <c r="CA33" s="33" t="s">
        <v>8528</v>
      </c>
      <c r="CB33" s="33" t="s">
        <v>8507</v>
      </c>
      <c r="CC33" s="33" t="s">
        <v>8545</v>
      </c>
      <c r="CD33" s="33" t="s">
        <v>8879</v>
      </c>
      <c r="CE33" s="33" t="s">
        <v>8880</v>
      </c>
      <c r="CF33" s="33">
        <v>2</v>
      </c>
      <c r="CG33" s="5" t="s">
        <v>10037</v>
      </c>
      <c r="CH33" s="33">
        <f t="shared" si="9"/>
        <v>0</v>
      </c>
      <c r="CI33" s="33">
        <f t="shared" si="9"/>
        <v>0</v>
      </c>
      <c r="CJ33" s="33">
        <f t="shared" si="9"/>
        <v>0</v>
      </c>
      <c r="CK33" s="33">
        <f t="shared" si="9"/>
        <v>0</v>
      </c>
      <c r="CL33" s="33">
        <f t="shared" si="9"/>
        <v>0</v>
      </c>
      <c r="CM33" s="33">
        <f t="shared" si="9"/>
        <v>0</v>
      </c>
      <c r="CN33" s="33">
        <f t="shared" si="9"/>
        <v>0</v>
      </c>
      <c r="CO33" s="33">
        <f t="shared" si="9"/>
        <v>0</v>
      </c>
      <c r="CP33" s="33">
        <f t="shared" si="9"/>
        <v>0</v>
      </c>
      <c r="CQ33" s="33">
        <f t="shared" si="9"/>
        <v>0</v>
      </c>
      <c r="CR33" s="33">
        <f t="shared" si="9"/>
        <v>0</v>
      </c>
      <c r="CS33" s="33">
        <f t="shared" si="9"/>
        <v>0</v>
      </c>
      <c r="CT33" s="33">
        <f t="shared" si="9"/>
        <v>0</v>
      </c>
      <c r="CU33" s="33">
        <f t="shared" si="9"/>
        <v>0</v>
      </c>
      <c r="CV33" s="33">
        <f t="shared" si="9"/>
        <v>0</v>
      </c>
      <c r="CW33" s="33">
        <f t="shared" si="9"/>
        <v>0</v>
      </c>
      <c r="CX33" s="33">
        <f t="shared" si="18"/>
        <v>0</v>
      </c>
      <c r="CY33" s="33">
        <f t="shared" si="18"/>
        <v>0</v>
      </c>
      <c r="CZ33" s="33">
        <f t="shared" si="18"/>
        <v>0</v>
      </c>
      <c r="DA33" s="33">
        <f t="shared" si="18"/>
        <v>0</v>
      </c>
      <c r="DB33" s="33">
        <f t="shared" si="18"/>
        <v>0</v>
      </c>
      <c r="DC33" s="33">
        <f t="shared" si="18"/>
        <v>0</v>
      </c>
      <c r="DD33" s="33">
        <f t="shared" si="18"/>
        <v>0</v>
      </c>
      <c r="DE33" s="33">
        <f t="shared" si="18"/>
        <v>0</v>
      </c>
      <c r="DF33" s="33">
        <f t="shared" si="18"/>
        <v>0</v>
      </c>
      <c r="DG33" s="33">
        <f t="shared" si="18"/>
        <v>0</v>
      </c>
      <c r="DH33" s="33">
        <f t="shared" si="18"/>
        <v>0</v>
      </c>
      <c r="DI33" s="33">
        <f t="shared" si="18"/>
        <v>0</v>
      </c>
      <c r="DJ33" s="33">
        <f t="shared" si="18"/>
        <v>0</v>
      </c>
      <c r="DK33" s="33">
        <f t="shared" si="18"/>
        <v>0</v>
      </c>
      <c r="DL33" s="33">
        <f t="shared" si="18"/>
        <v>0</v>
      </c>
      <c r="DM33" s="33">
        <f t="shared" si="18"/>
        <v>0</v>
      </c>
      <c r="DN33" s="33">
        <f t="shared" si="19"/>
        <v>0</v>
      </c>
      <c r="DO33" s="33">
        <f t="shared" si="3"/>
        <v>0</v>
      </c>
      <c r="DP33" s="50" t="str">
        <f t="shared" si="10"/>
        <v>C</v>
      </c>
      <c r="DQ33" s="50" t="str">
        <f t="shared" si="11"/>
        <v>C</v>
      </c>
      <c r="DR33" s="33">
        <f t="shared" si="4"/>
        <v>0</v>
      </c>
      <c r="DS33" s="50" t="str">
        <f t="shared" si="12"/>
        <v>5-MEDIA BAJA</v>
      </c>
      <c r="DT33" s="50" t="str">
        <f t="shared" si="13"/>
        <v>5-MEDIA BAJA</v>
      </c>
      <c r="DU33" s="33">
        <f t="shared" si="5"/>
        <v>0</v>
      </c>
      <c r="DV33" s="33">
        <f t="shared" si="5"/>
        <v>0</v>
      </c>
      <c r="DW33" s="33">
        <f t="shared" si="5"/>
        <v>0</v>
      </c>
      <c r="DX33" s="33">
        <f t="shared" si="5"/>
        <v>0</v>
      </c>
      <c r="DY33" s="35">
        <f t="shared" si="14"/>
        <v>0</v>
      </c>
      <c r="DZ33" s="33">
        <f t="shared" si="15"/>
        <v>12</v>
      </c>
      <c r="EA33" s="33">
        <f t="shared" si="16"/>
        <v>12</v>
      </c>
      <c r="EB33" s="33" t="str">
        <f t="shared" si="17"/>
        <v>IGUAL CAMPOS PREENCH</v>
      </c>
      <c r="EC33" s="33" t="s">
        <v>10035</v>
      </c>
    </row>
    <row r="34" spans="2:133" x14ac:dyDescent="0.25">
      <c r="B34" s="33" t="s">
        <v>8881</v>
      </c>
      <c r="C34" s="33" t="s">
        <v>82</v>
      </c>
      <c r="D34" s="33" t="s">
        <v>8711</v>
      </c>
      <c r="E34" s="33" t="s">
        <v>8712</v>
      </c>
      <c r="F34" s="33" t="s">
        <v>8882</v>
      </c>
      <c r="G34" s="33" t="s">
        <v>8883</v>
      </c>
      <c r="H34" s="33" t="s">
        <v>8884</v>
      </c>
      <c r="I34" s="33" t="s">
        <v>8885</v>
      </c>
      <c r="J34" s="33" t="s">
        <v>8886</v>
      </c>
      <c r="K34" s="33" t="s">
        <v>8570</v>
      </c>
      <c r="L34" s="33" t="s">
        <v>8571</v>
      </c>
      <c r="M34" s="33" t="s">
        <v>8887</v>
      </c>
      <c r="N34" s="33" t="s">
        <v>8888</v>
      </c>
      <c r="O34" s="33"/>
      <c r="P34" s="33"/>
      <c r="Q34" s="33" t="s">
        <v>8571</v>
      </c>
      <c r="R34" s="33"/>
      <c r="S34" s="33"/>
      <c r="T34" s="33"/>
      <c r="U34" s="33" t="s">
        <v>8889</v>
      </c>
      <c r="V34" s="33" t="s">
        <v>8783</v>
      </c>
      <c r="W34" s="33" t="s">
        <v>8890</v>
      </c>
      <c r="X34" s="33" t="s">
        <v>8745</v>
      </c>
      <c r="Y34" s="33" t="s">
        <v>8500</v>
      </c>
      <c r="Z34" s="33" t="s">
        <v>8500</v>
      </c>
      <c r="AA34" s="33" t="s">
        <v>8500</v>
      </c>
      <c r="AB34" s="33" t="s">
        <v>8525</v>
      </c>
      <c r="AC34" s="33"/>
      <c r="AD34" s="33"/>
      <c r="AE34" s="33"/>
      <c r="AF34" s="33" t="s">
        <v>8891</v>
      </c>
      <c r="AG34" s="33"/>
      <c r="AH34" s="33" t="s">
        <v>8560</v>
      </c>
      <c r="AI34" s="33"/>
      <c r="AJ34" s="33" t="s">
        <v>8564</v>
      </c>
      <c r="AK34" s="33" t="s">
        <v>8528</v>
      </c>
      <c r="AL34" s="33" t="s">
        <v>8528</v>
      </c>
      <c r="AM34" s="33" t="s">
        <v>8506</v>
      </c>
      <c r="AN34" s="33" t="s">
        <v>8892</v>
      </c>
      <c r="AO34" s="33" t="s">
        <v>8893</v>
      </c>
      <c r="AP34" s="33">
        <v>1</v>
      </c>
      <c r="AQ34" s="5" t="s">
        <v>10037</v>
      </c>
      <c r="AR34" s="33"/>
      <c r="AS34" s="33" t="s">
        <v>82</v>
      </c>
      <c r="AT34" s="33" t="s">
        <v>8711</v>
      </c>
      <c r="AU34" s="33" t="s">
        <v>8712</v>
      </c>
      <c r="AV34" s="33" t="s">
        <v>8882</v>
      </c>
      <c r="AW34" s="33" t="s">
        <v>8883</v>
      </c>
      <c r="AX34" s="33" t="s">
        <v>8884</v>
      </c>
      <c r="AY34" s="33" t="s">
        <v>8885</v>
      </c>
      <c r="AZ34" s="33" t="s">
        <v>8886</v>
      </c>
      <c r="BA34" s="33" t="s">
        <v>8570</v>
      </c>
      <c r="BB34" s="33" t="s">
        <v>8571</v>
      </c>
      <c r="BC34" s="33" t="s">
        <v>8887</v>
      </c>
      <c r="BD34" s="33" t="s">
        <v>8888</v>
      </c>
      <c r="BE34" s="33"/>
      <c r="BF34" s="33"/>
      <c r="BG34" s="33" t="s">
        <v>8571</v>
      </c>
      <c r="BH34" s="33"/>
      <c r="BI34" s="33"/>
      <c r="BJ34" s="33"/>
      <c r="BK34" s="33" t="s">
        <v>8889</v>
      </c>
      <c r="BL34" s="33" t="s">
        <v>8783</v>
      </c>
      <c r="BM34" s="33" t="s">
        <v>8890</v>
      </c>
      <c r="BN34" s="33" t="s">
        <v>8745</v>
      </c>
      <c r="BO34" s="33" t="s">
        <v>8500</v>
      </c>
      <c r="BP34" s="33" t="s">
        <v>8500</v>
      </c>
      <c r="BQ34" s="33" t="s">
        <v>8500</v>
      </c>
      <c r="BR34" s="33" t="s">
        <v>8525</v>
      </c>
      <c r="BS34" s="33"/>
      <c r="BT34" s="33"/>
      <c r="BU34" s="33"/>
      <c r="BV34" s="33" t="s">
        <v>8891</v>
      </c>
      <c r="BW34" s="33"/>
      <c r="BX34" s="33" t="s">
        <v>8560</v>
      </c>
      <c r="BY34" s="33"/>
      <c r="BZ34" s="33"/>
      <c r="CA34" s="33"/>
      <c r="CB34" s="33" t="s">
        <v>8528</v>
      </c>
      <c r="CC34" s="33" t="s">
        <v>8506</v>
      </c>
      <c r="CD34" s="33" t="s">
        <v>8892</v>
      </c>
      <c r="CE34" s="33" t="s">
        <v>8893</v>
      </c>
      <c r="CF34" s="33">
        <v>2</v>
      </c>
      <c r="CG34" s="5" t="s">
        <v>10037</v>
      </c>
      <c r="CH34" s="33">
        <f t="shared" si="9"/>
        <v>0</v>
      </c>
      <c r="CI34" s="33">
        <f t="shared" si="9"/>
        <v>0</v>
      </c>
      <c r="CJ34" s="33">
        <f t="shared" si="9"/>
        <v>0</v>
      </c>
      <c r="CK34" s="33">
        <f t="shared" si="9"/>
        <v>0</v>
      </c>
      <c r="CL34" s="33">
        <f t="shared" si="9"/>
        <v>0</v>
      </c>
      <c r="CM34" s="33">
        <f t="shared" si="9"/>
        <v>0</v>
      </c>
      <c r="CN34" s="33">
        <f t="shared" si="9"/>
        <v>0</v>
      </c>
      <c r="CO34" s="33">
        <f t="shared" si="9"/>
        <v>0</v>
      </c>
      <c r="CP34" s="33">
        <f t="shared" si="9"/>
        <v>0</v>
      </c>
      <c r="CQ34" s="33">
        <f t="shared" si="9"/>
        <v>0</v>
      </c>
      <c r="CR34" s="33">
        <f t="shared" si="9"/>
        <v>0</v>
      </c>
      <c r="CS34" s="33">
        <f t="shared" si="9"/>
        <v>0</v>
      </c>
      <c r="CT34" s="33">
        <f t="shared" si="9"/>
        <v>0</v>
      </c>
      <c r="CU34" s="33">
        <f t="shared" si="9"/>
        <v>0</v>
      </c>
      <c r="CV34" s="33">
        <f t="shared" si="9"/>
        <v>0</v>
      </c>
      <c r="CW34" s="33">
        <f t="shared" si="9"/>
        <v>0</v>
      </c>
      <c r="CX34" s="33">
        <f t="shared" si="18"/>
        <v>0</v>
      </c>
      <c r="CY34" s="33">
        <f t="shared" si="18"/>
        <v>0</v>
      </c>
      <c r="CZ34" s="33">
        <f t="shared" si="18"/>
        <v>0</v>
      </c>
      <c r="DA34" s="33">
        <f t="shared" si="18"/>
        <v>0</v>
      </c>
      <c r="DB34" s="33">
        <f t="shared" si="18"/>
        <v>0</v>
      </c>
      <c r="DC34" s="33">
        <f t="shared" si="18"/>
        <v>0</v>
      </c>
      <c r="DD34" s="33">
        <f t="shared" si="18"/>
        <v>0</v>
      </c>
      <c r="DE34" s="33">
        <f t="shared" si="18"/>
        <v>0</v>
      </c>
      <c r="DF34" s="33">
        <f t="shared" si="18"/>
        <v>0</v>
      </c>
      <c r="DG34" s="33">
        <f t="shared" si="18"/>
        <v>0</v>
      </c>
      <c r="DH34" s="33">
        <f t="shared" si="18"/>
        <v>0</v>
      </c>
      <c r="DI34" s="33">
        <f t="shared" si="18"/>
        <v>0</v>
      </c>
      <c r="DJ34" s="33">
        <f t="shared" si="18"/>
        <v>0</v>
      </c>
      <c r="DK34" s="33">
        <f t="shared" si="18"/>
        <v>0</v>
      </c>
      <c r="DL34" s="33">
        <f t="shared" si="18"/>
        <v>0</v>
      </c>
      <c r="DM34" s="33">
        <f t="shared" si="18"/>
        <v>0</v>
      </c>
      <c r="DN34" s="33">
        <f t="shared" si="19"/>
        <v>0</v>
      </c>
      <c r="DO34" s="33">
        <f t="shared" si="3"/>
        <v>1</v>
      </c>
      <c r="DP34" s="50" t="str">
        <f t="shared" si="10"/>
        <v>F</v>
      </c>
      <c r="DQ34" s="50">
        <f t="shared" si="11"/>
        <v>0</v>
      </c>
      <c r="DR34" s="33">
        <f t="shared" si="4"/>
        <v>1</v>
      </c>
      <c r="DS34" s="50" t="str">
        <f t="shared" si="12"/>
        <v>5-MEDIA BAJA</v>
      </c>
      <c r="DT34" s="50">
        <f t="shared" si="13"/>
        <v>0</v>
      </c>
      <c r="DU34" s="33">
        <f t="shared" si="5"/>
        <v>0</v>
      </c>
      <c r="DV34" s="33">
        <f t="shared" si="5"/>
        <v>0</v>
      </c>
      <c r="DW34" s="33">
        <f t="shared" si="5"/>
        <v>0</v>
      </c>
      <c r="DX34" s="33">
        <f t="shared" si="5"/>
        <v>0</v>
      </c>
      <c r="DY34" s="35">
        <f t="shared" si="14"/>
        <v>2</v>
      </c>
      <c r="DZ34" s="33">
        <f t="shared" si="15"/>
        <v>10</v>
      </c>
      <c r="EA34" s="33">
        <f t="shared" si="16"/>
        <v>12</v>
      </c>
      <c r="EB34" s="33" t="str">
        <f t="shared" si="17"/>
        <v>AUX 1 COM + CAMPOS PREENC OU IGUAL</v>
      </c>
      <c r="EC34" s="33" t="s">
        <v>10034</v>
      </c>
    </row>
    <row r="35" spans="2:133" x14ac:dyDescent="0.25">
      <c r="B35" s="33" t="s">
        <v>8894</v>
      </c>
      <c r="C35" s="33" t="s">
        <v>23</v>
      </c>
      <c r="D35" s="33" t="s">
        <v>8829</v>
      </c>
      <c r="E35" s="33" t="s">
        <v>8830</v>
      </c>
      <c r="F35" s="33" t="s">
        <v>8831</v>
      </c>
      <c r="G35" s="33" t="s">
        <v>8832</v>
      </c>
      <c r="H35" s="33" t="s">
        <v>8895</v>
      </c>
      <c r="I35" s="33" t="s">
        <v>8896</v>
      </c>
      <c r="J35" s="33" t="s">
        <v>8897</v>
      </c>
      <c r="K35" s="33" t="s">
        <v>8570</v>
      </c>
      <c r="L35" s="33" t="s">
        <v>8571</v>
      </c>
      <c r="M35" s="33" t="s">
        <v>8897</v>
      </c>
      <c r="N35" s="33" t="s">
        <v>8653</v>
      </c>
      <c r="O35" s="33"/>
      <c r="P35" s="33"/>
      <c r="Q35" s="33" t="s">
        <v>8571</v>
      </c>
      <c r="R35" s="33" t="s">
        <v>8898</v>
      </c>
      <c r="S35" s="33"/>
      <c r="T35" s="33"/>
      <c r="U35" s="33" t="s">
        <v>8837</v>
      </c>
      <c r="V35" s="33" t="s">
        <v>8838</v>
      </c>
      <c r="W35" s="33" t="s">
        <v>8899</v>
      </c>
      <c r="X35" s="33" t="s">
        <v>8840</v>
      </c>
      <c r="Y35" s="33" t="s">
        <v>8500</v>
      </c>
      <c r="Z35" s="33" t="s">
        <v>8500</v>
      </c>
      <c r="AA35" s="33" t="s">
        <v>8500</v>
      </c>
      <c r="AB35" s="33" t="s">
        <v>8500</v>
      </c>
      <c r="AC35" s="33"/>
      <c r="AD35" s="33"/>
      <c r="AE35" s="33"/>
      <c r="AF35" s="33" t="s">
        <v>8900</v>
      </c>
      <c r="AG35" s="33"/>
      <c r="AH35" s="33" t="s">
        <v>8505</v>
      </c>
      <c r="AI35" s="33"/>
      <c r="AJ35" s="33" t="s">
        <v>8545</v>
      </c>
      <c r="AK35" s="33" t="s">
        <v>8528</v>
      </c>
      <c r="AL35" s="33" t="s">
        <v>8528</v>
      </c>
      <c r="AM35" s="33" t="s">
        <v>8545</v>
      </c>
      <c r="AN35" s="33" t="s">
        <v>8784</v>
      </c>
      <c r="AO35" s="33" t="s">
        <v>8785</v>
      </c>
      <c r="AP35" s="33">
        <v>1</v>
      </c>
      <c r="AQ35" s="5" t="s">
        <v>10037</v>
      </c>
      <c r="AR35" s="33"/>
      <c r="AS35" s="33" t="s">
        <v>23</v>
      </c>
      <c r="AT35" s="33" t="s">
        <v>8829</v>
      </c>
      <c r="AU35" s="33" t="s">
        <v>8830</v>
      </c>
      <c r="AV35" s="33" t="s">
        <v>8831</v>
      </c>
      <c r="AW35" s="33" t="s">
        <v>8832</v>
      </c>
      <c r="AX35" s="33" t="s">
        <v>8895</v>
      </c>
      <c r="AY35" s="33" t="s">
        <v>8896</v>
      </c>
      <c r="AZ35" s="33" t="s">
        <v>8897</v>
      </c>
      <c r="BA35" s="33" t="s">
        <v>8570</v>
      </c>
      <c r="BB35" s="33" t="s">
        <v>8571</v>
      </c>
      <c r="BC35" s="33" t="s">
        <v>8897</v>
      </c>
      <c r="BD35" s="33" t="s">
        <v>8653</v>
      </c>
      <c r="BE35" s="33"/>
      <c r="BF35" s="33"/>
      <c r="BG35" s="33" t="s">
        <v>8571</v>
      </c>
      <c r="BH35" s="33" t="s">
        <v>8898</v>
      </c>
      <c r="BI35" s="33"/>
      <c r="BJ35" s="33"/>
      <c r="BK35" s="33" t="s">
        <v>8837</v>
      </c>
      <c r="BL35" s="33" t="s">
        <v>8838</v>
      </c>
      <c r="BM35" s="33" t="s">
        <v>8899</v>
      </c>
      <c r="BN35" s="33" t="s">
        <v>8840</v>
      </c>
      <c r="BO35" s="33" t="s">
        <v>8500</v>
      </c>
      <c r="BP35" s="33" t="s">
        <v>8500</v>
      </c>
      <c r="BQ35" s="33" t="s">
        <v>8500</v>
      </c>
      <c r="BR35" s="33" t="s">
        <v>8500</v>
      </c>
      <c r="BS35" s="33"/>
      <c r="BT35" s="33"/>
      <c r="BU35" s="33"/>
      <c r="BV35" s="33" t="s">
        <v>8900</v>
      </c>
      <c r="BW35" s="33"/>
      <c r="BX35" s="33" t="s">
        <v>8505</v>
      </c>
      <c r="BY35" s="33"/>
      <c r="BZ35" s="33"/>
      <c r="CA35" s="33"/>
      <c r="CB35" s="33" t="s">
        <v>8528</v>
      </c>
      <c r="CC35" s="33" t="s">
        <v>8545</v>
      </c>
      <c r="CD35" s="33" t="s">
        <v>8784</v>
      </c>
      <c r="CE35" s="33" t="s">
        <v>8785</v>
      </c>
      <c r="CF35" s="33">
        <v>2</v>
      </c>
      <c r="CG35" s="5" t="s">
        <v>10037</v>
      </c>
      <c r="CH35" s="33">
        <f t="shared" si="9"/>
        <v>0</v>
      </c>
      <c r="CI35" s="33">
        <f t="shared" si="9"/>
        <v>0</v>
      </c>
      <c r="CJ35" s="33">
        <f t="shared" si="9"/>
        <v>0</v>
      </c>
      <c r="CK35" s="33">
        <f t="shared" si="9"/>
        <v>0</v>
      </c>
      <c r="CL35" s="33">
        <f t="shared" si="9"/>
        <v>0</v>
      </c>
      <c r="CM35" s="33">
        <f t="shared" si="9"/>
        <v>0</v>
      </c>
      <c r="CN35" s="33">
        <f t="shared" si="9"/>
        <v>0</v>
      </c>
      <c r="CO35" s="33">
        <f t="shared" si="9"/>
        <v>0</v>
      </c>
      <c r="CP35" s="33">
        <f t="shared" si="9"/>
        <v>0</v>
      </c>
      <c r="CQ35" s="33">
        <f t="shared" si="9"/>
        <v>0</v>
      </c>
      <c r="CR35" s="33">
        <f t="shared" si="9"/>
        <v>0</v>
      </c>
      <c r="CS35" s="33">
        <f t="shared" si="9"/>
        <v>0</v>
      </c>
      <c r="CT35" s="33">
        <f t="shared" si="9"/>
        <v>0</v>
      </c>
      <c r="CU35" s="33">
        <f t="shared" si="9"/>
        <v>0</v>
      </c>
      <c r="CV35" s="33">
        <f t="shared" si="9"/>
        <v>0</v>
      </c>
      <c r="CW35" s="33">
        <f t="shared" si="9"/>
        <v>0</v>
      </c>
      <c r="CX35" s="33">
        <f t="shared" si="18"/>
        <v>0</v>
      </c>
      <c r="CY35" s="33">
        <f t="shared" si="18"/>
        <v>0</v>
      </c>
      <c r="CZ35" s="33">
        <f t="shared" si="18"/>
        <v>0</v>
      </c>
      <c r="DA35" s="33">
        <f t="shared" si="18"/>
        <v>0</v>
      </c>
      <c r="DB35" s="33">
        <f t="shared" si="18"/>
        <v>0</v>
      </c>
      <c r="DC35" s="33">
        <f t="shared" si="18"/>
        <v>0</v>
      </c>
      <c r="DD35" s="33">
        <f t="shared" si="18"/>
        <v>0</v>
      </c>
      <c r="DE35" s="33">
        <f t="shared" si="18"/>
        <v>0</v>
      </c>
      <c r="DF35" s="33">
        <f t="shared" si="18"/>
        <v>0</v>
      </c>
      <c r="DG35" s="33">
        <f t="shared" si="18"/>
        <v>0</v>
      </c>
      <c r="DH35" s="33">
        <f t="shared" si="18"/>
        <v>0</v>
      </c>
      <c r="DI35" s="33">
        <f t="shared" si="18"/>
        <v>0</v>
      </c>
      <c r="DJ35" s="33">
        <f t="shared" si="18"/>
        <v>0</v>
      </c>
      <c r="DK35" s="33">
        <f t="shared" si="18"/>
        <v>0</v>
      </c>
      <c r="DL35" s="33">
        <f t="shared" si="18"/>
        <v>0</v>
      </c>
      <c r="DM35" s="33">
        <f t="shared" si="18"/>
        <v>0</v>
      </c>
      <c r="DN35" s="33">
        <f t="shared" si="19"/>
        <v>0</v>
      </c>
      <c r="DO35" s="33">
        <f t="shared" si="3"/>
        <v>1</v>
      </c>
      <c r="DP35" s="50" t="str">
        <f t="shared" si="10"/>
        <v>D</v>
      </c>
      <c r="DQ35" s="50">
        <f t="shared" si="11"/>
        <v>0</v>
      </c>
      <c r="DR35" s="33">
        <f t="shared" si="4"/>
        <v>1</v>
      </c>
      <c r="DS35" s="50" t="str">
        <f t="shared" si="12"/>
        <v>5-MEDIA BAJA</v>
      </c>
      <c r="DT35" s="50">
        <f t="shared" si="13"/>
        <v>0</v>
      </c>
      <c r="DU35" s="33">
        <f t="shared" si="5"/>
        <v>0</v>
      </c>
      <c r="DV35" s="33">
        <f t="shared" si="5"/>
        <v>0</v>
      </c>
      <c r="DW35" s="33">
        <f t="shared" si="5"/>
        <v>0</v>
      </c>
      <c r="DX35" s="33">
        <f t="shared" si="5"/>
        <v>0</v>
      </c>
      <c r="DY35" s="35">
        <f t="shared" si="14"/>
        <v>2</v>
      </c>
      <c r="DZ35" s="33">
        <f t="shared" si="15"/>
        <v>9</v>
      </c>
      <c r="EA35" s="33">
        <f t="shared" si="16"/>
        <v>11</v>
      </c>
      <c r="EB35" s="33" t="str">
        <f t="shared" si="17"/>
        <v>AUX 1 COM + CAMPOS PREENC OU IGUAL</v>
      </c>
      <c r="EC35" s="33" t="s">
        <v>10034</v>
      </c>
    </row>
    <row r="36" spans="2:133" x14ac:dyDescent="0.25">
      <c r="B36" s="33" t="s">
        <v>8901</v>
      </c>
      <c r="C36" s="33" t="s">
        <v>68</v>
      </c>
      <c r="D36" s="33" t="s">
        <v>8763</v>
      </c>
      <c r="E36" s="33" t="s">
        <v>8764</v>
      </c>
      <c r="F36" s="33" t="s">
        <v>8765</v>
      </c>
      <c r="G36" s="33" t="s">
        <v>8764</v>
      </c>
      <c r="H36" s="33" t="s">
        <v>8766</v>
      </c>
      <c r="I36" s="33" t="s">
        <v>8764</v>
      </c>
      <c r="J36" s="33" t="s">
        <v>8767</v>
      </c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 t="s">
        <v>8768</v>
      </c>
      <c r="V36" s="33"/>
      <c r="W36" s="33" t="s">
        <v>8902</v>
      </c>
      <c r="X36" s="33" t="s">
        <v>8499</v>
      </c>
      <c r="Y36" s="33" t="s">
        <v>8500</v>
      </c>
      <c r="Z36" s="33" t="s">
        <v>8500</v>
      </c>
      <c r="AA36" s="33" t="s">
        <v>8500</v>
      </c>
      <c r="AB36" s="33" t="s">
        <v>8525</v>
      </c>
      <c r="AC36" s="33"/>
      <c r="AD36" s="33"/>
      <c r="AE36" s="33"/>
      <c r="AF36" s="33" t="s">
        <v>8903</v>
      </c>
      <c r="AG36" s="33"/>
      <c r="AH36" s="33" t="s">
        <v>8560</v>
      </c>
      <c r="AI36" s="33"/>
      <c r="AJ36" s="33" t="s">
        <v>8545</v>
      </c>
      <c r="AK36" s="33" t="s">
        <v>8528</v>
      </c>
      <c r="AL36" s="33" t="s">
        <v>8528</v>
      </c>
      <c r="AM36" s="33" t="s">
        <v>8545</v>
      </c>
      <c r="AN36" s="33" t="s">
        <v>8771</v>
      </c>
      <c r="AO36" s="33" t="s">
        <v>8772</v>
      </c>
      <c r="AP36" s="33">
        <v>1</v>
      </c>
      <c r="AQ36" s="5" t="s">
        <v>10037</v>
      </c>
      <c r="AR36" s="33"/>
      <c r="AS36" s="33" t="s">
        <v>68</v>
      </c>
      <c r="AT36" s="33" t="s">
        <v>8763</v>
      </c>
      <c r="AU36" s="33" t="s">
        <v>8764</v>
      </c>
      <c r="AV36" s="33" t="s">
        <v>8765</v>
      </c>
      <c r="AW36" s="33" t="s">
        <v>8764</v>
      </c>
      <c r="AX36" s="33" t="s">
        <v>8766</v>
      </c>
      <c r="AY36" s="33" t="s">
        <v>8764</v>
      </c>
      <c r="AZ36" s="33" t="s">
        <v>8767</v>
      </c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 t="s">
        <v>8768</v>
      </c>
      <c r="BL36" s="33"/>
      <c r="BM36" s="33" t="s">
        <v>8902</v>
      </c>
      <c r="BN36" s="33" t="s">
        <v>8499</v>
      </c>
      <c r="BO36" s="33" t="s">
        <v>8500</v>
      </c>
      <c r="BP36" s="33" t="s">
        <v>8500</v>
      </c>
      <c r="BQ36" s="33" t="s">
        <v>8500</v>
      </c>
      <c r="BR36" s="33" t="s">
        <v>8525</v>
      </c>
      <c r="BS36" s="33"/>
      <c r="BT36" s="33"/>
      <c r="BU36" s="33"/>
      <c r="BV36" s="33" t="s">
        <v>8903</v>
      </c>
      <c r="BW36" s="33"/>
      <c r="BX36" s="33" t="s">
        <v>8560</v>
      </c>
      <c r="BY36" s="33"/>
      <c r="BZ36" s="33"/>
      <c r="CA36" s="33"/>
      <c r="CB36" s="33" t="s">
        <v>8528</v>
      </c>
      <c r="CC36" s="33" t="s">
        <v>8545</v>
      </c>
      <c r="CD36" s="33" t="s">
        <v>8771</v>
      </c>
      <c r="CE36" s="33" t="s">
        <v>8772</v>
      </c>
      <c r="CF36" s="33">
        <v>2</v>
      </c>
      <c r="CG36" s="5" t="s">
        <v>10037</v>
      </c>
      <c r="CH36" s="33">
        <f t="shared" ref="CH36:CW51" si="20">+IF(C36=AS36,0,1)</f>
        <v>0</v>
      </c>
      <c r="CI36" s="33">
        <f t="shared" si="20"/>
        <v>0</v>
      </c>
      <c r="CJ36" s="33">
        <f t="shared" si="20"/>
        <v>0</v>
      </c>
      <c r="CK36" s="33">
        <f t="shared" si="20"/>
        <v>0</v>
      </c>
      <c r="CL36" s="33">
        <f t="shared" si="20"/>
        <v>0</v>
      </c>
      <c r="CM36" s="33">
        <f t="shared" si="20"/>
        <v>0</v>
      </c>
      <c r="CN36" s="33">
        <f t="shared" si="20"/>
        <v>0</v>
      </c>
      <c r="CO36" s="33">
        <f t="shared" si="20"/>
        <v>0</v>
      </c>
      <c r="CP36" s="33">
        <f t="shared" si="20"/>
        <v>0</v>
      </c>
      <c r="CQ36" s="33">
        <f t="shared" si="20"/>
        <v>0</v>
      </c>
      <c r="CR36" s="33">
        <f t="shared" si="20"/>
        <v>0</v>
      </c>
      <c r="CS36" s="33">
        <f t="shared" si="20"/>
        <v>0</v>
      </c>
      <c r="CT36" s="33">
        <f t="shared" si="20"/>
        <v>0</v>
      </c>
      <c r="CU36" s="33">
        <f t="shared" si="20"/>
        <v>0</v>
      </c>
      <c r="CV36" s="33">
        <f t="shared" si="20"/>
        <v>0</v>
      </c>
      <c r="CW36" s="33">
        <f t="shared" si="20"/>
        <v>0</v>
      </c>
      <c r="CX36" s="33">
        <f t="shared" si="18"/>
        <v>0</v>
      </c>
      <c r="CY36" s="33">
        <f t="shared" si="18"/>
        <v>0</v>
      </c>
      <c r="CZ36" s="33">
        <f t="shared" si="18"/>
        <v>0</v>
      </c>
      <c r="DA36" s="33">
        <f t="shared" si="18"/>
        <v>0</v>
      </c>
      <c r="DB36" s="33">
        <f t="shared" si="18"/>
        <v>0</v>
      </c>
      <c r="DC36" s="33">
        <f t="shared" si="18"/>
        <v>0</v>
      </c>
      <c r="DD36" s="33">
        <f t="shared" si="18"/>
        <v>0</v>
      </c>
      <c r="DE36" s="33">
        <f t="shared" si="18"/>
        <v>0</v>
      </c>
      <c r="DF36" s="33">
        <f t="shared" si="18"/>
        <v>0</v>
      </c>
      <c r="DG36" s="33">
        <f t="shared" si="18"/>
        <v>0</v>
      </c>
      <c r="DH36" s="33">
        <f t="shared" si="18"/>
        <v>0</v>
      </c>
      <c r="DI36" s="33">
        <f t="shared" si="18"/>
        <v>0</v>
      </c>
      <c r="DJ36" s="33">
        <f t="shared" si="18"/>
        <v>0</v>
      </c>
      <c r="DK36" s="33">
        <f t="shared" si="18"/>
        <v>0</v>
      </c>
      <c r="DL36" s="33">
        <f t="shared" ref="DL36:DO99" si="21">+IF(AG36=BW36,0,1)</f>
        <v>0</v>
      </c>
      <c r="DM36" s="33">
        <f t="shared" si="21"/>
        <v>0</v>
      </c>
      <c r="DN36" s="33">
        <f t="shared" si="19"/>
        <v>0</v>
      </c>
      <c r="DO36" s="33">
        <f t="shared" si="3"/>
        <v>1</v>
      </c>
      <c r="DP36" s="50" t="str">
        <f t="shared" si="10"/>
        <v>D</v>
      </c>
      <c r="DQ36" s="50">
        <f t="shared" si="11"/>
        <v>0</v>
      </c>
      <c r="DR36" s="33">
        <f t="shared" si="4"/>
        <v>1</v>
      </c>
      <c r="DS36" s="50" t="str">
        <f t="shared" si="12"/>
        <v>5-MEDIA BAJA</v>
      </c>
      <c r="DT36" s="50">
        <f t="shared" si="13"/>
        <v>0</v>
      </c>
      <c r="DU36" s="33">
        <f t="shared" si="5"/>
        <v>0</v>
      </c>
      <c r="DV36" s="33">
        <f t="shared" si="5"/>
        <v>0</v>
      </c>
      <c r="DW36" s="33">
        <f t="shared" si="5"/>
        <v>0</v>
      </c>
      <c r="DX36" s="33">
        <f t="shared" si="5"/>
        <v>0</v>
      </c>
      <c r="DY36" s="35">
        <f t="shared" si="14"/>
        <v>2</v>
      </c>
      <c r="DZ36" s="33">
        <f t="shared" si="15"/>
        <v>16</v>
      </c>
      <c r="EA36" s="33">
        <f t="shared" si="16"/>
        <v>18</v>
      </c>
      <c r="EB36" s="33" t="str">
        <f t="shared" si="17"/>
        <v>AUX 1 COM + CAMPOS PREENC OU IGUAL</v>
      </c>
      <c r="EC36" s="33" t="s">
        <v>10034</v>
      </c>
    </row>
    <row r="37" spans="2:133" x14ac:dyDescent="0.25">
      <c r="B37" s="33"/>
      <c r="C37" s="33" t="s">
        <v>52</v>
      </c>
      <c r="D37" s="33" t="s">
        <v>8904</v>
      </c>
      <c r="E37" s="33" t="s">
        <v>8905</v>
      </c>
      <c r="F37" s="33" t="s">
        <v>8906</v>
      </c>
      <c r="G37" s="33" t="s">
        <v>8905</v>
      </c>
      <c r="H37" s="33" t="s">
        <v>8907</v>
      </c>
      <c r="I37" s="33" t="s">
        <v>8908</v>
      </c>
      <c r="J37" s="33" t="s">
        <v>8905</v>
      </c>
      <c r="K37" s="33" t="s">
        <v>8909</v>
      </c>
      <c r="L37" s="33" t="s">
        <v>8910</v>
      </c>
      <c r="M37" s="33" t="s">
        <v>8911</v>
      </c>
      <c r="N37" s="33" t="s">
        <v>8912</v>
      </c>
      <c r="O37" s="33"/>
      <c r="P37" s="33"/>
      <c r="Q37" s="33" t="s">
        <v>8910</v>
      </c>
      <c r="R37" s="33"/>
      <c r="S37" s="33"/>
      <c r="T37" s="33"/>
      <c r="U37" s="33" t="s">
        <v>8913</v>
      </c>
      <c r="V37" s="33" t="s">
        <v>8914</v>
      </c>
      <c r="W37" s="33" t="s">
        <v>8915</v>
      </c>
      <c r="X37" s="33" t="s">
        <v>8499</v>
      </c>
      <c r="Y37" s="33" t="s">
        <v>8500</v>
      </c>
      <c r="Z37" s="33" t="s">
        <v>8500</v>
      </c>
      <c r="AA37" s="33" t="s">
        <v>8500</v>
      </c>
      <c r="AB37" s="33" t="s">
        <v>8525</v>
      </c>
      <c r="AC37" s="33"/>
      <c r="AD37" s="33"/>
      <c r="AE37" s="33"/>
      <c r="AF37" s="33" t="s">
        <v>8916</v>
      </c>
      <c r="AG37" s="33"/>
      <c r="AH37" s="33" t="s">
        <v>8606</v>
      </c>
      <c r="AI37" s="33"/>
      <c r="AJ37" s="33"/>
      <c r="AK37" s="33"/>
      <c r="AL37" s="33" t="s">
        <v>8507</v>
      </c>
      <c r="AM37" s="33" t="s">
        <v>8506</v>
      </c>
      <c r="AN37" s="33" t="s">
        <v>8917</v>
      </c>
      <c r="AO37" s="33" t="s">
        <v>8918</v>
      </c>
      <c r="AP37" s="33">
        <v>1</v>
      </c>
      <c r="AQ37" s="5" t="s">
        <v>10037</v>
      </c>
      <c r="AR37" s="33" t="s">
        <v>8919</v>
      </c>
      <c r="AS37" s="33" t="s">
        <v>52</v>
      </c>
      <c r="AT37" s="33" t="s">
        <v>8904</v>
      </c>
      <c r="AU37" s="33" t="s">
        <v>8905</v>
      </c>
      <c r="AV37" s="33" t="s">
        <v>8906</v>
      </c>
      <c r="AW37" s="33" t="s">
        <v>8905</v>
      </c>
      <c r="AX37" s="33" t="s">
        <v>8907</v>
      </c>
      <c r="AY37" s="33" t="s">
        <v>8908</v>
      </c>
      <c r="AZ37" s="33" t="s">
        <v>8905</v>
      </c>
      <c r="BA37" s="33" t="s">
        <v>8909</v>
      </c>
      <c r="BB37" s="33" t="s">
        <v>8910</v>
      </c>
      <c r="BC37" s="33" t="s">
        <v>8911</v>
      </c>
      <c r="BD37" s="33" t="s">
        <v>8912</v>
      </c>
      <c r="BE37" s="33"/>
      <c r="BF37" s="33"/>
      <c r="BG37" s="33" t="s">
        <v>8910</v>
      </c>
      <c r="BH37" s="33"/>
      <c r="BI37" s="33"/>
      <c r="BJ37" s="33"/>
      <c r="BK37" s="33" t="s">
        <v>8913</v>
      </c>
      <c r="BL37" s="33" t="s">
        <v>8914</v>
      </c>
      <c r="BM37" s="33" t="s">
        <v>8915</v>
      </c>
      <c r="BN37" s="33" t="s">
        <v>8499</v>
      </c>
      <c r="BO37" s="33" t="s">
        <v>8500</v>
      </c>
      <c r="BP37" s="33" t="s">
        <v>8500</v>
      </c>
      <c r="BQ37" s="33" t="s">
        <v>8500</v>
      </c>
      <c r="BR37" s="33" t="s">
        <v>8525</v>
      </c>
      <c r="BS37" s="33"/>
      <c r="BT37" s="33"/>
      <c r="BU37" s="33"/>
      <c r="BV37" s="33" t="s">
        <v>8916</v>
      </c>
      <c r="BW37" s="33"/>
      <c r="BX37" s="33" t="s">
        <v>8606</v>
      </c>
      <c r="BY37" s="33"/>
      <c r="BZ37" s="33" t="s">
        <v>8545</v>
      </c>
      <c r="CA37" s="33" t="s">
        <v>8507</v>
      </c>
      <c r="CB37" s="33" t="s">
        <v>8507</v>
      </c>
      <c r="CC37" s="33" t="s">
        <v>8506</v>
      </c>
      <c r="CD37" s="33" t="s">
        <v>8917</v>
      </c>
      <c r="CE37" s="33" t="s">
        <v>8918</v>
      </c>
      <c r="CF37" s="33">
        <v>2</v>
      </c>
      <c r="CG37" s="5" t="s">
        <v>10037</v>
      </c>
      <c r="CH37" s="33">
        <f t="shared" si="20"/>
        <v>0</v>
      </c>
      <c r="CI37" s="33">
        <f t="shared" si="20"/>
        <v>0</v>
      </c>
      <c r="CJ37" s="33">
        <f t="shared" si="20"/>
        <v>0</v>
      </c>
      <c r="CK37" s="33">
        <f t="shared" si="20"/>
        <v>0</v>
      </c>
      <c r="CL37" s="33">
        <f t="shared" si="20"/>
        <v>0</v>
      </c>
      <c r="CM37" s="33">
        <f t="shared" si="20"/>
        <v>0</v>
      </c>
      <c r="CN37" s="33">
        <f t="shared" si="20"/>
        <v>0</v>
      </c>
      <c r="CO37" s="33">
        <f t="shared" si="20"/>
        <v>0</v>
      </c>
      <c r="CP37" s="33">
        <f t="shared" si="20"/>
        <v>0</v>
      </c>
      <c r="CQ37" s="33">
        <f t="shared" si="20"/>
        <v>0</v>
      </c>
      <c r="CR37" s="33">
        <f t="shared" si="20"/>
        <v>0</v>
      </c>
      <c r="CS37" s="33">
        <f t="shared" si="20"/>
        <v>0</v>
      </c>
      <c r="CT37" s="33">
        <f t="shared" si="20"/>
        <v>0</v>
      </c>
      <c r="CU37" s="33">
        <f t="shared" si="20"/>
        <v>0</v>
      </c>
      <c r="CV37" s="33">
        <f t="shared" si="20"/>
        <v>0</v>
      </c>
      <c r="CW37" s="33">
        <f t="shared" si="20"/>
        <v>0</v>
      </c>
      <c r="CX37" s="33">
        <f t="shared" ref="CX37:DK55" si="22">+IF(S37=BI37,0,1)</f>
        <v>0</v>
      </c>
      <c r="CY37" s="33">
        <f t="shared" si="22"/>
        <v>0</v>
      </c>
      <c r="CZ37" s="33">
        <f t="shared" si="22"/>
        <v>0</v>
      </c>
      <c r="DA37" s="33">
        <f t="shared" si="22"/>
        <v>0</v>
      </c>
      <c r="DB37" s="33">
        <f t="shared" si="22"/>
        <v>0</v>
      </c>
      <c r="DC37" s="33">
        <f t="shared" si="22"/>
        <v>0</v>
      </c>
      <c r="DD37" s="33">
        <f t="shared" si="22"/>
        <v>0</v>
      </c>
      <c r="DE37" s="33">
        <f t="shared" si="22"/>
        <v>0</v>
      </c>
      <c r="DF37" s="33">
        <f t="shared" si="22"/>
        <v>0</v>
      </c>
      <c r="DG37" s="33">
        <f t="shared" si="22"/>
        <v>0</v>
      </c>
      <c r="DH37" s="33">
        <f t="shared" si="22"/>
        <v>0</v>
      </c>
      <c r="DI37" s="33">
        <f t="shared" si="22"/>
        <v>0</v>
      </c>
      <c r="DJ37" s="33">
        <f t="shared" si="22"/>
        <v>0</v>
      </c>
      <c r="DK37" s="33">
        <f t="shared" si="22"/>
        <v>0</v>
      </c>
      <c r="DL37" s="33">
        <f t="shared" si="21"/>
        <v>0</v>
      </c>
      <c r="DM37" s="33">
        <f t="shared" si="21"/>
        <v>0</v>
      </c>
      <c r="DN37" s="33">
        <f t="shared" si="19"/>
        <v>0</v>
      </c>
      <c r="DO37" s="33">
        <f t="shared" si="3"/>
        <v>1</v>
      </c>
      <c r="DP37" s="50">
        <f t="shared" si="10"/>
        <v>0</v>
      </c>
      <c r="DQ37" s="50" t="str">
        <f t="shared" si="11"/>
        <v>D</v>
      </c>
      <c r="DR37" s="33">
        <f t="shared" si="4"/>
        <v>1</v>
      </c>
      <c r="DS37" s="50">
        <f t="shared" si="12"/>
        <v>0</v>
      </c>
      <c r="DT37" s="50" t="str">
        <f t="shared" si="13"/>
        <v>4-MEDIA</v>
      </c>
      <c r="DU37" s="33">
        <f t="shared" si="5"/>
        <v>0</v>
      </c>
      <c r="DV37" s="33">
        <f t="shared" si="5"/>
        <v>0</v>
      </c>
      <c r="DW37" s="33">
        <f t="shared" si="5"/>
        <v>0</v>
      </c>
      <c r="DX37" s="33">
        <f t="shared" si="5"/>
        <v>0</v>
      </c>
      <c r="DY37" s="35">
        <f t="shared" si="14"/>
        <v>2</v>
      </c>
      <c r="DZ37" s="33">
        <f t="shared" si="15"/>
        <v>12</v>
      </c>
      <c r="EA37" s="33">
        <f t="shared" si="16"/>
        <v>10</v>
      </c>
      <c r="EB37" s="33" t="str">
        <f t="shared" si="17"/>
        <v>AUX 2 COM + CAMPOS PREENC</v>
      </c>
      <c r="EC37" s="33" t="s">
        <v>10034</v>
      </c>
    </row>
    <row r="38" spans="2:133" x14ac:dyDescent="0.25">
      <c r="B38" s="33" t="s">
        <v>8920</v>
      </c>
      <c r="C38" s="33" t="s">
        <v>155</v>
      </c>
      <c r="D38" s="33" t="s">
        <v>8788</v>
      </c>
      <c r="E38" s="33" t="s">
        <v>8789</v>
      </c>
      <c r="F38" s="33" t="s">
        <v>8921</v>
      </c>
      <c r="G38" s="33" t="s">
        <v>8922</v>
      </c>
      <c r="H38" s="33" t="s">
        <v>8923</v>
      </c>
      <c r="I38" s="33" t="s">
        <v>8922</v>
      </c>
      <c r="J38" s="33" t="s">
        <v>8922</v>
      </c>
      <c r="K38" s="33" t="s">
        <v>8570</v>
      </c>
      <c r="L38" s="33" t="s">
        <v>8571</v>
      </c>
      <c r="M38" s="33" t="s">
        <v>8924</v>
      </c>
      <c r="N38" s="33" t="s">
        <v>8925</v>
      </c>
      <c r="O38" s="33"/>
      <c r="P38" s="33"/>
      <c r="Q38" s="33" t="s">
        <v>8571</v>
      </c>
      <c r="R38" s="33"/>
      <c r="S38" s="33"/>
      <c r="T38" s="33"/>
      <c r="U38" s="33" t="s">
        <v>8926</v>
      </c>
      <c r="V38" s="33" t="s">
        <v>8927</v>
      </c>
      <c r="W38" s="33" t="s">
        <v>8928</v>
      </c>
      <c r="X38" s="33"/>
      <c r="Y38" s="33" t="s">
        <v>8500</v>
      </c>
      <c r="Z38" s="33" t="s">
        <v>8500</v>
      </c>
      <c r="AA38" s="33" t="s">
        <v>8500</v>
      </c>
      <c r="AB38" s="33" t="s">
        <v>8500</v>
      </c>
      <c r="AC38" s="33"/>
      <c r="AD38" s="33"/>
      <c r="AE38" s="33"/>
      <c r="AF38" s="33" t="s">
        <v>8929</v>
      </c>
      <c r="AG38" s="33"/>
      <c r="AH38" s="33" t="s">
        <v>8505</v>
      </c>
      <c r="AI38" s="33"/>
      <c r="AJ38" s="33"/>
      <c r="AK38" s="33"/>
      <c r="AL38" s="33" t="s">
        <v>8507</v>
      </c>
      <c r="AM38" s="33" t="s">
        <v>8506</v>
      </c>
      <c r="AN38" s="33" t="s">
        <v>8930</v>
      </c>
      <c r="AO38" s="33" t="s">
        <v>8931</v>
      </c>
      <c r="AP38" s="33">
        <v>1</v>
      </c>
      <c r="AQ38" s="5" t="s">
        <v>10037</v>
      </c>
      <c r="AR38" s="33"/>
      <c r="AS38" s="33" t="s">
        <v>155</v>
      </c>
      <c r="AT38" s="33" t="s">
        <v>8788</v>
      </c>
      <c r="AU38" s="33" t="s">
        <v>8789</v>
      </c>
      <c r="AV38" s="33" t="s">
        <v>8921</v>
      </c>
      <c r="AW38" s="33" t="s">
        <v>8922</v>
      </c>
      <c r="AX38" s="33" t="s">
        <v>8923</v>
      </c>
      <c r="AY38" s="33" t="s">
        <v>8922</v>
      </c>
      <c r="AZ38" s="33" t="s">
        <v>8922</v>
      </c>
      <c r="BA38" s="33" t="s">
        <v>8570</v>
      </c>
      <c r="BB38" s="33" t="s">
        <v>8571</v>
      </c>
      <c r="BC38" s="33" t="s">
        <v>8924</v>
      </c>
      <c r="BD38" s="33" t="s">
        <v>8925</v>
      </c>
      <c r="BE38" s="33"/>
      <c r="BF38" s="33"/>
      <c r="BG38" s="33" t="s">
        <v>8571</v>
      </c>
      <c r="BH38" s="33"/>
      <c r="BI38" s="33"/>
      <c r="BJ38" s="33"/>
      <c r="BK38" s="33" t="s">
        <v>8926</v>
      </c>
      <c r="BL38" s="33" t="s">
        <v>8927</v>
      </c>
      <c r="BM38" s="33" t="s">
        <v>8928</v>
      </c>
      <c r="BN38" s="33"/>
      <c r="BO38" s="33" t="s">
        <v>8500</v>
      </c>
      <c r="BP38" s="33" t="s">
        <v>8500</v>
      </c>
      <c r="BQ38" s="33" t="s">
        <v>8500</v>
      </c>
      <c r="BR38" s="33" t="s">
        <v>8500</v>
      </c>
      <c r="BS38" s="33"/>
      <c r="BT38" s="33"/>
      <c r="BU38" s="33"/>
      <c r="BV38" s="33" t="s">
        <v>8929</v>
      </c>
      <c r="BW38" s="33"/>
      <c r="BX38" s="33" t="s">
        <v>8505</v>
      </c>
      <c r="BY38" s="33"/>
      <c r="BZ38" s="33"/>
      <c r="CA38" s="33"/>
      <c r="CB38" s="33" t="s">
        <v>8507</v>
      </c>
      <c r="CC38" s="33" t="s">
        <v>8506</v>
      </c>
      <c r="CD38" s="33" t="s">
        <v>8930</v>
      </c>
      <c r="CE38" s="33" t="s">
        <v>8931</v>
      </c>
      <c r="CF38" s="33">
        <v>2</v>
      </c>
      <c r="CG38" s="5" t="s">
        <v>10037</v>
      </c>
      <c r="CH38" s="33">
        <f t="shared" si="20"/>
        <v>0</v>
      </c>
      <c r="CI38" s="33">
        <f t="shared" si="20"/>
        <v>0</v>
      </c>
      <c r="CJ38" s="33">
        <f t="shared" si="20"/>
        <v>0</v>
      </c>
      <c r="CK38" s="33">
        <f t="shared" si="20"/>
        <v>0</v>
      </c>
      <c r="CL38" s="33">
        <f t="shared" si="20"/>
        <v>0</v>
      </c>
      <c r="CM38" s="33">
        <f t="shared" si="20"/>
        <v>0</v>
      </c>
      <c r="CN38" s="33">
        <f t="shared" si="20"/>
        <v>0</v>
      </c>
      <c r="CO38" s="33">
        <f t="shared" si="20"/>
        <v>0</v>
      </c>
      <c r="CP38" s="33">
        <f t="shared" si="20"/>
        <v>0</v>
      </c>
      <c r="CQ38" s="33">
        <f t="shared" si="20"/>
        <v>0</v>
      </c>
      <c r="CR38" s="33">
        <f t="shared" si="20"/>
        <v>0</v>
      </c>
      <c r="CS38" s="33">
        <f t="shared" si="20"/>
        <v>0</v>
      </c>
      <c r="CT38" s="33">
        <f t="shared" si="20"/>
        <v>0</v>
      </c>
      <c r="CU38" s="33">
        <f t="shared" si="20"/>
        <v>0</v>
      </c>
      <c r="CV38" s="33">
        <f t="shared" si="20"/>
        <v>0</v>
      </c>
      <c r="CW38" s="33">
        <f t="shared" si="20"/>
        <v>0</v>
      </c>
      <c r="CX38" s="33">
        <f t="shared" si="22"/>
        <v>0</v>
      </c>
      <c r="CY38" s="33">
        <f t="shared" si="22"/>
        <v>0</v>
      </c>
      <c r="CZ38" s="33">
        <f t="shared" si="22"/>
        <v>0</v>
      </c>
      <c r="DA38" s="33">
        <f t="shared" si="22"/>
        <v>0</v>
      </c>
      <c r="DB38" s="33">
        <f t="shared" si="22"/>
        <v>0</v>
      </c>
      <c r="DC38" s="33">
        <f t="shared" si="22"/>
        <v>0</v>
      </c>
      <c r="DD38" s="33">
        <f t="shared" si="22"/>
        <v>0</v>
      </c>
      <c r="DE38" s="33">
        <f t="shared" si="22"/>
        <v>0</v>
      </c>
      <c r="DF38" s="33">
        <f t="shared" si="22"/>
        <v>0</v>
      </c>
      <c r="DG38" s="33">
        <f t="shared" si="22"/>
        <v>0</v>
      </c>
      <c r="DH38" s="33">
        <f t="shared" si="22"/>
        <v>0</v>
      </c>
      <c r="DI38" s="33">
        <f t="shared" si="22"/>
        <v>0</v>
      </c>
      <c r="DJ38" s="33">
        <f t="shared" si="22"/>
        <v>0</v>
      </c>
      <c r="DK38" s="33">
        <f t="shared" si="22"/>
        <v>0</v>
      </c>
      <c r="DL38" s="33">
        <f t="shared" si="21"/>
        <v>0</v>
      </c>
      <c r="DM38" s="33">
        <f t="shared" si="21"/>
        <v>0</v>
      </c>
      <c r="DN38" s="33">
        <f t="shared" si="19"/>
        <v>0</v>
      </c>
      <c r="DO38" s="33">
        <f t="shared" si="3"/>
        <v>0</v>
      </c>
      <c r="DP38" s="50">
        <f t="shared" si="10"/>
        <v>0</v>
      </c>
      <c r="DQ38" s="50">
        <f t="shared" si="11"/>
        <v>0</v>
      </c>
      <c r="DR38" s="33">
        <f t="shared" si="4"/>
        <v>0</v>
      </c>
      <c r="DS38" s="50">
        <f t="shared" si="12"/>
        <v>0</v>
      </c>
      <c r="DT38" s="50">
        <f t="shared" si="13"/>
        <v>0</v>
      </c>
      <c r="DU38" s="33">
        <f t="shared" si="5"/>
        <v>0</v>
      </c>
      <c r="DV38" s="33">
        <f t="shared" si="5"/>
        <v>0</v>
      </c>
      <c r="DW38" s="33">
        <f t="shared" si="5"/>
        <v>0</v>
      </c>
      <c r="DX38" s="33">
        <f t="shared" si="5"/>
        <v>0</v>
      </c>
      <c r="DY38" s="35">
        <f t="shared" si="14"/>
        <v>0</v>
      </c>
      <c r="DZ38" s="33">
        <f t="shared" si="15"/>
        <v>13</v>
      </c>
      <c r="EA38" s="33">
        <f t="shared" si="16"/>
        <v>13</v>
      </c>
      <c r="EB38" s="33" t="str">
        <f t="shared" si="17"/>
        <v>IGUAL CAMPOS PREENCH</v>
      </c>
      <c r="EC38" s="33" t="s">
        <v>10035</v>
      </c>
    </row>
    <row r="39" spans="2:133" x14ac:dyDescent="0.25">
      <c r="B39" s="33"/>
      <c r="C39" s="33" t="s">
        <v>153</v>
      </c>
      <c r="D39" s="33" t="s">
        <v>8763</v>
      </c>
      <c r="E39" s="33" t="s">
        <v>8764</v>
      </c>
      <c r="F39" s="33" t="s">
        <v>8765</v>
      </c>
      <c r="G39" s="33" t="s">
        <v>8764</v>
      </c>
      <c r="H39" s="33" t="s">
        <v>8932</v>
      </c>
      <c r="I39" s="33" t="s">
        <v>8933</v>
      </c>
      <c r="J39" s="33" t="s">
        <v>8934</v>
      </c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 t="s">
        <v>8935</v>
      </c>
      <c r="V39" s="33"/>
      <c r="W39" s="33" t="s">
        <v>8936</v>
      </c>
      <c r="X39" s="33" t="s">
        <v>8812</v>
      </c>
      <c r="Y39" s="33" t="s">
        <v>8500</v>
      </c>
      <c r="Z39" s="33" t="s">
        <v>8500</v>
      </c>
      <c r="AA39" s="33" t="s">
        <v>8500</v>
      </c>
      <c r="AB39" s="33" t="s">
        <v>8525</v>
      </c>
      <c r="AC39" s="33"/>
      <c r="AD39" s="33"/>
      <c r="AE39" s="33" t="s">
        <v>8937</v>
      </c>
      <c r="AF39" s="33" t="s">
        <v>8938</v>
      </c>
      <c r="AG39" s="33"/>
      <c r="AH39" s="33" t="s">
        <v>8560</v>
      </c>
      <c r="AI39" s="33"/>
      <c r="AJ39" s="33"/>
      <c r="AK39" s="33"/>
      <c r="AL39" s="33" t="s">
        <v>8528</v>
      </c>
      <c r="AM39" s="33" t="s">
        <v>8640</v>
      </c>
      <c r="AN39" s="33" t="s">
        <v>8939</v>
      </c>
      <c r="AO39" s="33" t="s">
        <v>8940</v>
      </c>
      <c r="AP39" s="33">
        <v>1</v>
      </c>
      <c r="AQ39" s="5" t="s">
        <v>10037</v>
      </c>
      <c r="AR39" s="33"/>
      <c r="AS39" s="33" t="s">
        <v>153</v>
      </c>
      <c r="AT39" s="33" t="s">
        <v>8763</v>
      </c>
      <c r="AU39" s="33" t="s">
        <v>8764</v>
      </c>
      <c r="AV39" s="33" t="s">
        <v>8765</v>
      </c>
      <c r="AW39" s="33" t="s">
        <v>8764</v>
      </c>
      <c r="AX39" s="33" t="s">
        <v>8932</v>
      </c>
      <c r="AY39" s="33" t="s">
        <v>8933</v>
      </c>
      <c r="AZ39" s="33" t="s">
        <v>8934</v>
      </c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 t="s">
        <v>8935</v>
      </c>
      <c r="BL39" s="33"/>
      <c r="BM39" s="33" t="s">
        <v>8936</v>
      </c>
      <c r="BN39" s="33" t="s">
        <v>8812</v>
      </c>
      <c r="BO39" s="33" t="s">
        <v>8500</v>
      </c>
      <c r="BP39" s="33" t="s">
        <v>8500</v>
      </c>
      <c r="BQ39" s="33" t="s">
        <v>8500</v>
      </c>
      <c r="BR39" s="33" t="s">
        <v>8525</v>
      </c>
      <c r="BS39" s="33"/>
      <c r="BT39" s="33" t="s">
        <v>8501</v>
      </c>
      <c r="BU39" s="33"/>
      <c r="BV39" s="33" t="s">
        <v>8938</v>
      </c>
      <c r="BW39" s="33"/>
      <c r="BX39" s="33" t="s">
        <v>8560</v>
      </c>
      <c r="BY39" s="33"/>
      <c r="BZ39" s="33" t="s">
        <v>8545</v>
      </c>
      <c r="CA39" s="33" t="s">
        <v>8507</v>
      </c>
      <c r="CB39" s="33" t="s">
        <v>8528</v>
      </c>
      <c r="CC39" s="33" t="s">
        <v>8640</v>
      </c>
      <c r="CD39" s="33" t="s">
        <v>8939</v>
      </c>
      <c r="CE39" s="33" t="s">
        <v>8940</v>
      </c>
      <c r="CF39" s="33">
        <v>2</v>
      </c>
      <c r="CG39" s="5" t="s">
        <v>10037</v>
      </c>
      <c r="CH39" s="33">
        <f t="shared" si="20"/>
        <v>0</v>
      </c>
      <c r="CI39" s="33">
        <f t="shared" si="20"/>
        <v>0</v>
      </c>
      <c r="CJ39" s="33">
        <f t="shared" si="20"/>
        <v>0</v>
      </c>
      <c r="CK39" s="33">
        <f t="shared" si="20"/>
        <v>0</v>
      </c>
      <c r="CL39" s="33">
        <f t="shared" si="20"/>
        <v>0</v>
      </c>
      <c r="CM39" s="33">
        <f t="shared" si="20"/>
        <v>0</v>
      </c>
      <c r="CN39" s="33">
        <f t="shared" si="20"/>
        <v>0</v>
      </c>
      <c r="CO39" s="33">
        <f t="shared" si="20"/>
        <v>0</v>
      </c>
      <c r="CP39" s="33">
        <f t="shared" si="20"/>
        <v>0</v>
      </c>
      <c r="CQ39" s="33">
        <f t="shared" si="20"/>
        <v>0</v>
      </c>
      <c r="CR39" s="33">
        <f t="shared" si="20"/>
        <v>0</v>
      </c>
      <c r="CS39" s="33">
        <f t="shared" si="20"/>
        <v>0</v>
      </c>
      <c r="CT39" s="33">
        <f t="shared" si="20"/>
        <v>0</v>
      </c>
      <c r="CU39" s="33">
        <f t="shared" si="20"/>
        <v>0</v>
      </c>
      <c r="CV39" s="33">
        <f t="shared" si="20"/>
        <v>0</v>
      </c>
      <c r="CW39" s="33">
        <f t="shared" si="20"/>
        <v>0</v>
      </c>
      <c r="CX39" s="33">
        <f t="shared" si="22"/>
        <v>0</v>
      </c>
      <c r="CY39" s="33">
        <f t="shared" si="22"/>
        <v>0</v>
      </c>
      <c r="CZ39" s="33">
        <f t="shared" si="22"/>
        <v>0</v>
      </c>
      <c r="DA39" s="33">
        <f t="shared" si="22"/>
        <v>0</v>
      </c>
      <c r="DB39" s="33">
        <f t="shared" si="22"/>
        <v>0</v>
      </c>
      <c r="DC39" s="33">
        <f t="shared" si="22"/>
        <v>0</v>
      </c>
      <c r="DD39" s="33">
        <f t="shared" si="22"/>
        <v>0</v>
      </c>
      <c r="DE39" s="33">
        <f t="shared" si="22"/>
        <v>0</v>
      </c>
      <c r="DF39" s="33">
        <f t="shared" si="22"/>
        <v>0</v>
      </c>
      <c r="DG39" s="33">
        <f t="shared" si="22"/>
        <v>0</v>
      </c>
      <c r="DH39" s="33">
        <f t="shared" si="22"/>
        <v>0</v>
      </c>
      <c r="DI39" s="33">
        <f t="shared" si="22"/>
        <v>1</v>
      </c>
      <c r="DJ39" s="33">
        <f t="shared" si="22"/>
        <v>1</v>
      </c>
      <c r="DK39" s="33">
        <f t="shared" si="22"/>
        <v>0</v>
      </c>
      <c r="DL39" s="33">
        <f t="shared" si="21"/>
        <v>0</v>
      </c>
      <c r="DM39" s="33">
        <f t="shared" si="21"/>
        <v>0</v>
      </c>
      <c r="DN39" s="33">
        <f t="shared" si="19"/>
        <v>0</v>
      </c>
      <c r="DO39" s="33">
        <f t="shared" si="3"/>
        <v>1</v>
      </c>
      <c r="DP39" s="50">
        <f t="shared" si="10"/>
        <v>0</v>
      </c>
      <c r="DQ39" s="50" t="str">
        <f t="shared" si="11"/>
        <v>D</v>
      </c>
      <c r="DR39" s="33">
        <f t="shared" si="4"/>
        <v>1</v>
      </c>
      <c r="DS39" s="50">
        <f t="shared" si="12"/>
        <v>0</v>
      </c>
      <c r="DT39" s="50" t="str">
        <f t="shared" si="13"/>
        <v>4-MEDIA</v>
      </c>
      <c r="DU39" s="33">
        <f t="shared" si="5"/>
        <v>0</v>
      </c>
      <c r="DV39" s="33">
        <f t="shared" si="5"/>
        <v>0</v>
      </c>
      <c r="DW39" s="33">
        <f t="shared" si="5"/>
        <v>0</v>
      </c>
      <c r="DX39" s="33">
        <f t="shared" si="5"/>
        <v>0</v>
      </c>
      <c r="DY39" s="35">
        <f t="shared" si="14"/>
        <v>4</v>
      </c>
      <c r="DZ39" s="33">
        <f t="shared" si="15"/>
        <v>17</v>
      </c>
      <c r="EA39" s="33">
        <f t="shared" si="16"/>
        <v>15</v>
      </c>
      <c r="EB39" s="33" t="str">
        <f t="shared" si="17"/>
        <v>AUX 2 COM + CAMPOS PREENC</v>
      </c>
      <c r="EC39" s="33" t="s">
        <v>10034</v>
      </c>
    </row>
    <row r="40" spans="2:133" x14ac:dyDescent="0.25">
      <c r="B40" s="33" t="s">
        <v>8941</v>
      </c>
      <c r="C40" s="33" t="s">
        <v>134</v>
      </c>
      <c r="D40" s="33" t="s">
        <v>8763</v>
      </c>
      <c r="E40" s="33" t="s">
        <v>8764</v>
      </c>
      <c r="F40" s="33" t="s">
        <v>8765</v>
      </c>
      <c r="G40" s="33" t="s">
        <v>8764</v>
      </c>
      <c r="H40" s="33" t="s">
        <v>8766</v>
      </c>
      <c r="I40" s="33" t="s">
        <v>8764</v>
      </c>
      <c r="J40" s="33" t="s">
        <v>8767</v>
      </c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 t="s">
        <v>8768</v>
      </c>
      <c r="V40" s="33"/>
      <c r="W40" s="33" t="s">
        <v>8942</v>
      </c>
      <c r="X40" s="33" t="s">
        <v>8499</v>
      </c>
      <c r="Y40" s="33" t="s">
        <v>8500</v>
      </c>
      <c r="Z40" s="33" t="s">
        <v>8500</v>
      </c>
      <c r="AA40" s="33" t="s">
        <v>8500</v>
      </c>
      <c r="AB40" s="33" t="s">
        <v>8525</v>
      </c>
      <c r="AC40" s="33"/>
      <c r="AD40" s="33"/>
      <c r="AE40" s="33"/>
      <c r="AF40" s="33" t="s">
        <v>8943</v>
      </c>
      <c r="AG40" s="33"/>
      <c r="AH40" s="33" t="s">
        <v>8560</v>
      </c>
      <c r="AI40" s="33"/>
      <c r="AJ40" s="33" t="s">
        <v>8545</v>
      </c>
      <c r="AK40" s="33" t="s">
        <v>8528</v>
      </c>
      <c r="AL40" s="33" t="s">
        <v>8528</v>
      </c>
      <c r="AM40" s="33" t="s">
        <v>8545</v>
      </c>
      <c r="AN40" s="33" t="s">
        <v>8845</v>
      </c>
      <c r="AO40" s="33" t="s">
        <v>8846</v>
      </c>
      <c r="AP40" s="33">
        <v>1</v>
      </c>
      <c r="AQ40" s="5" t="s">
        <v>10037</v>
      </c>
      <c r="AR40" s="33"/>
      <c r="AS40" s="33" t="s">
        <v>134</v>
      </c>
      <c r="AT40" s="33" t="s">
        <v>8763</v>
      </c>
      <c r="AU40" s="33" t="s">
        <v>8764</v>
      </c>
      <c r="AV40" s="33" t="s">
        <v>8765</v>
      </c>
      <c r="AW40" s="33" t="s">
        <v>8764</v>
      </c>
      <c r="AX40" s="33" t="s">
        <v>8766</v>
      </c>
      <c r="AY40" s="33" t="s">
        <v>8764</v>
      </c>
      <c r="AZ40" s="33" t="s">
        <v>8767</v>
      </c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 t="s">
        <v>8768</v>
      </c>
      <c r="BL40" s="33"/>
      <c r="BM40" s="33" t="s">
        <v>8942</v>
      </c>
      <c r="BN40" s="33" t="s">
        <v>8499</v>
      </c>
      <c r="BO40" s="33" t="s">
        <v>8500</v>
      </c>
      <c r="BP40" s="33" t="s">
        <v>8500</v>
      </c>
      <c r="BQ40" s="33" t="s">
        <v>8500</v>
      </c>
      <c r="BR40" s="33" t="s">
        <v>8525</v>
      </c>
      <c r="BS40" s="33"/>
      <c r="BT40" s="33"/>
      <c r="BU40" s="33"/>
      <c r="BV40" s="33" t="s">
        <v>8943</v>
      </c>
      <c r="BW40" s="33"/>
      <c r="BX40" s="33" t="s">
        <v>8560</v>
      </c>
      <c r="BY40" s="33"/>
      <c r="BZ40" s="33"/>
      <c r="CA40" s="33"/>
      <c r="CB40" s="33" t="s">
        <v>8528</v>
      </c>
      <c r="CC40" s="33" t="s">
        <v>8545</v>
      </c>
      <c r="CD40" s="33" t="s">
        <v>8845</v>
      </c>
      <c r="CE40" s="33" t="s">
        <v>8846</v>
      </c>
      <c r="CF40" s="33">
        <v>2</v>
      </c>
      <c r="CG40" s="5" t="s">
        <v>10037</v>
      </c>
      <c r="CH40" s="33">
        <f t="shared" si="20"/>
        <v>0</v>
      </c>
      <c r="CI40" s="33">
        <f t="shared" si="20"/>
        <v>0</v>
      </c>
      <c r="CJ40" s="33">
        <f t="shared" si="20"/>
        <v>0</v>
      </c>
      <c r="CK40" s="33">
        <f t="shared" si="20"/>
        <v>0</v>
      </c>
      <c r="CL40" s="33">
        <f t="shared" si="20"/>
        <v>0</v>
      </c>
      <c r="CM40" s="33">
        <f t="shared" si="20"/>
        <v>0</v>
      </c>
      <c r="CN40" s="33">
        <f t="shared" si="20"/>
        <v>0</v>
      </c>
      <c r="CO40" s="33">
        <f t="shared" si="20"/>
        <v>0</v>
      </c>
      <c r="CP40" s="33">
        <f t="shared" si="20"/>
        <v>0</v>
      </c>
      <c r="CQ40" s="33">
        <f t="shared" si="20"/>
        <v>0</v>
      </c>
      <c r="CR40" s="33">
        <f t="shared" si="20"/>
        <v>0</v>
      </c>
      <c r="CS40" s="33">
        <f t="shared" si="20"/>
        <v>0</v>
      </c>
      <c r="CT40" s="33">
        <f t="shared" si="20"/>
        <v>0</v>
      </c>
      <c r="CU40" s="33">
        <f t="shared" si="20"/>
        <v>0</v>
      </c>
      <c r="CV40" s="33">
        <f t="shared" si="20"/>
        <v>0</v>
      </c>
      <c r="CW40" s="33">
        <f t="shared" si="20"/>
        <v>0</v>
      </c>
      <c r="CX40" s="33">
        <f t="shared" si="22"/>
        <v>0</v>
      </c>
      <c r="CY40" s="33">
        <f t="shared" si="22"/>
        <v>0</v>
      </c>
      <c r="CZ40" s="33">
        <f t="shared" si="22"/>
        <v>0</v>
      </c>
      <c r="DA40" s="33">
        <f t="shared" si="22"/>
        <v>0</v>
      </c>
      <c r="DB40" s="33">
        <f t="shared" si="22"/>
        <v>0</v>
      </c>
      <c r="DC40" s="33">
        <f t="shared" si="22"/>
        <v>0</v>
      </c>
      <c r="DD40" s="33">
        <f t="shared" si="22"/>
        <v>0</v>
      </c>
      <c r="DE40" s="33">
        <f t="shared" si="22"/>
        <v>0</v>
      </c>
      <c r="DF40" s="33">
        <f t="shared" si="22"/>
        <v>0</v>
      </c>
      <c r="DG40" s="33">
        <f t="shared" si="22"/>
        <v>0</v>
      </c>
      <c r="DH40" s="33">
        <f t="shared" si="22"/>
        <v>0</v>
      </c>
      <c r="DI40" s="33">
        <f t="shared" si="22"/>
        <v>0</v>
      </c>
      <c r="DJ40" s="33">
        <f t="shared" si="22"/>
        <v>0</v>
      </c>
      <c r="DK40" s="33">
        <f t="shared" si="22"/>
        <v>0</v>
      </c>
      <c r="DL40" s="33">
        <f t="shared" si="21"/>
        <v>0</v>
      </c>
      <c r="DM40" s="33">
        <f t="shared" si="21"/>
        <v>0</v>
      </c>
      <c r="DN40" s="33">
        <f t="shared" si="19"/>
        <v>0</v>
      </c>
      <c r="DO40" s="33">
        <f t="shared" si="3"/>
        <v>1</v>
      </c>
      <c r="DP40" s="50" t="str">
        <f t="shared" si="10"/>
        <v>D</v>
      </c>
      <c r="DQ40" s="50">
        <f t="shared" si="11"/>
        <v>0</v>
      </c>
      <c r="DR40" s="33">
        <f t="shared" si="4"/>
        <v>1</v>
      </c>
      <c r="DS40" s="50" t="str">
        <f t="shared" si="12"/>
        <v>5-MEDIA BAJA</v>
      </c>
      <c r="DT40" s="50">
        <f t="shared" si="13"/>
        <v>0</v>
      </c>
      <c r="DU40" s="33">
        <f t="shared" si="5"/>
        <v>0</v>
      </c>
      <c r="DV40" s="33">
        <f t="shared" si="5"/>
        <v>0</v>
      </c>
      <c r="DW40" s="33">
        <f t="shared" si="5"/>
        <v>0</v>
      </c>
      <c r="DX40" s="33">
        <f t="shared" si="5"/>
        <v>0</v>
      </c>
      <c r="DY40" s="35">
        <f t="shared" si="14"/>
        <v>2</v>
      </c>
      <c r="DZ40" s="33">
        <f t="shared" si="15"/>
        <v>16</v>
      </c>
      <c r="EA40" s="33">
        <f t="shared" si="16"/>
        <v>18</v>
      </c>
      <c r="EB40" s="33" t="str">
        <f t="shared" si="17"/>
        <v>AUX 1 COM + CAMPOS PREENC OU IGUAL</v>
      </c>
      <c r="EC40" s="33" t="s">
        <v>10034</v>
      </c>
    </row>
    <row r="41" spans="2:133" x14ac:dyDescent="0.25">
      <c r="B41" s="33" t="s">
        <v>8944</v>
      </c>
      <c r="C41" s="33" t="s">
        <v>127</v>
      </c>
      <c r="D41" s="33" t="s">
        <v>8945</v>
      </c>
      <c r="E41" s="33" t="s">
        <v>8946</v>
      </c>
      <c r="F41" s="33" t="s">
        <v>8947</v>
      </c>
      <c r="G41" s="33" t="s">
        <v>8948</v>
      </c>
      <c r="H41" s="33" t="s">
        <v>8949</v>
      </c>
      <c r="I41" s="33" t="s">
        <v>8950</v>
      </c>
      <c r="J41" s="33" t="s">
        <v>8951</v>
      </c>
      <c r="K41" s="33" t="s">
        <v>8570</v>
      </c>
      <c r="L41" s="33" t="s">
        <v>8571</v>
      </c>
      <c r="M41" s="33" t="s">
        <v>8952</v>
      </c>
      <c r="N41" s="33" t="s">
        <v>8953</v>
      </c>
      <c r="O41" s="33" t="s">
        <v>8953</v>
      </c>
      <c r="P41" s="33"/>
      <c r="Q41" s="33" t="s">
        <v>8571</v>
      </c>
      <c r="R41" s="33" t="s">
        <v>8525</v>
      </c>
      <c r="S41" s="33"/>
      <c r="T41" s="33"/>
      <c r="U41" s="33" t="s">
        <v>8954</v>
      </c>
      <c r="V41" s="33" t="s">
        <v>8955</v>
      </c>
      <c r="W41" s="33" t="s">
        <v>8956</v>
      </c>
      <c r="X41" s="33" t="s">
        <v>8957</v>
      </c>
      <c r="Y41" s="33" t="s">
        <v>8525</v>
      </c>
      <c r="Z41" s="33" t="s">
        <v>8525</v>
      </c>
      <c r="AA41" s="33" t="s">
        <v>8500</v>
      </c>
      <c r="AB41" s="33" t="s">
        <v>8500</v>
      </c>
      <c r="AC41" s="33"/>
      <c r="AD41" s="33"/>
      <c r="AE41" s="33"/>
      <c r="AF41" s="33" t="s">
        <v>8958</v>
      </c>
      <c r="AG41" s="33"/>
      <c r="AH41" s="33" t="s">
        <v>8527</v>
      </c>
      <c r="AI41" s="33"/>
      <c r="AJ41" s="33"/>
      <c r="AK41" s="33"/>
      <c r="AL41" s="33" t="s">
        <v>8508</v>
      </c>
      <c r="AM41" s="33" t="s">
        <v>8545</v>
      </c>
      <c r="AN41" s="33" t="s">
        <v>8959</v>
      </c>
      <c r="AO41" s="33" t="s">
        <v>8960</v>
      </c>
      <c r="AP41" s="33">
        <v>1</v>
      </c>
      <c r="AQ41" s="5" t="s">
        <v>10037</v>
      </c>
      <c r="AR41" s="33"/>
      <c r="AS41" s="33" t="s">
        <v>127</v>
      </c>
      <c r="AT41" s="33" t="s">
        <v>8945</v>
      </c>
      <c r="AU41" s="33" t="s">
        <v>8946</v>
      </c>
      <c r="AV41" s="33" t="s">
        <v>8947</v>
      </c>
      <c r="AW41" s="33" t="s">
        <v>8948</v>
      </c>
      <c r="AX41" s="33" t="s">
        <v>8949</v>
      </c>
      <c r="AY41" s="33" t="s">
        <v>8950</v>
      </c>
      <c r="AZ41" s="33" t="s">
        <v>8951</v>
      </c>
      <c r="BA41" s="33" t="s">
        <v>8570</v>
      </c>
      <c r="BB41" s="33" t="s">
        <v>8571</v>
      </c>
      <c r="BC41" s="33" t="s">
        <v>8952</v>
      </c>
      <c r="BD41" s="33" t="s">
        <v>8953</v>
      </c>
      <c r="BE41" s="33" t="s">
        <v>8953</v>
      </c>
      <c r="BF41" s="33"/>
      <c r="BG41" s="33" t="s">
        <v>8571</v>
      </c>
      <c r="BH41" s="33" t="s">
        <v>8525</v>
      </c>
      <c r="BI41" s="33"/>
      <c r="BJ41" s="33"/>
      <c r="BK41" s="33" t="s">
        <v>8954</v>
      </c>
      <c r="BL41" s="33" t="s">
        <v>8955</v>
      </c>
      <c r="BM41" s="33" t="s">
        <v>8956</v>
      </c>
      <c r="BN41" s="33" t="s">
        <v>8957</v>
      </c>
      <c r="BO41" s="33" t="s">
        <v>8525</v>
      </c>
      <c r="BP41" s="33" t="s">
        <v>8525</v>
      </c>
      <c r="BQ41" s="33" t="s">
        <v>8500</v>
      </c>
      <c r="BR41" s="33" t="s">
        <v>8500</v>
      </c>
      <c r="BS41" s="33"/>
      <c r="BT41" s="33"/>
      <c r="BU41" s="33"/>
      <c r="BV41" s="33" t="s">
        <v>8958</v>
      </c>
      <c r="BW41" s="33"/>
      <c r="BX41" s="33" t="s">
        <v>8527</v>
      </c>
      <c r="BY41" s="33"/>
      <c r="BZ41" s="33"/>
      <c r="CA41" s="33"/>
      <c r="CB41" s="33" t="s">
        <v>8508</v>
      </c>
      <c r="CC41" s="33" t="s">
        <v>8545</v>
      </c>
      <c r="CD41" s="33" t="s">
        <v>8959</v>
      </c>
      <c r="CE41" s="33" t="s">
        <v>8960</v>
      </c>
      <c r="CF41" s="33">
        <v>2</v>
      </c>
      <c r="CG41" s="5" t="s">
        <v>10037</v>
      </c>
      <c r="CH41" s="33">
        <f t="shared" si="20"/>
        <v>0</v>
      </c>
      <c r="CI41" s="33">
        <f t="shared" si="20"/>
        <v>0</v>
      </c>
      <c r="CJ41" s="33">
        <f t="shared" si="20"/>
        <v>0</v>
      </c>
      <c r="CK41" s="33">
        <f t="shared" si="20"/>
        <v>0</v>
      </c>
      <c r="CL41" s="33">
        <f t="shared" si="20"/>
        <v>0</v>
      </c>
      <c r="CM41" s="33">
        <f t="shared" si="20"/>
        <v>0</v>
      </c>
      <c r="CN41" s="33">
        <f t="shared" si="20"/>
        <v>0</v>
      </c>
      <c r="CO41" s="33">
        <f t="shared" si="20"/>
        <v>0</v>
      </c>
      <c r="CP41" s="33">
        <f t="shared" si="20"/>
        <v>0</v>
      </c>
      <c r="CQ41" s="33">
        <f t="shared" si="20"/>
        <v>0</v>
      </c>
      <c r="CR41" s="33">
        <f t="shared" si="20"/>
        <v>0</v>
      </c>
      <c r="CS41" s="33">
        <f t="shared" si="20"/>
        <v>0</v>
      </c>
      <c r="CT41" s="33">
        <f t="shared" si="20"/>
        <v>0</v>
      </c>
      <c r="CU41" s="33">
        <f t="shared" si="20"/>
        <v>0</v>
      </c>
      <c r="CV41" s="33">
        <f t="shared" si="20"/>
        <v>0</v>
      </c>
      <c r="CW41" s="33">
        <f t="shared" si="20"/>
        <v>0</v>
      </c>
      <c r="CX41" s="33">
        <f t="shared" si="22"/>
        <v>0</v>
      </c>
      <c r="CY41" s="33">
        <f t="shared" si="22"/>
        <v>0</v>
      </c>
      <c r="CZ41" s="33">
        <f t="shared" si="22"/>
        <v>0</v>
      </c>
      <c r="DA41" s="33">
        <f t="shared" si="22"/>
        <v>0</v>
      </c>
      <c r="DB41" s="33">
        <f t="shared" si="22"/>
        <v>0</v>
      </c>
      <c r="DC41" s="33">
        <f t="shared" si="22"/>
        <v>0</v>
      </c>
      <c r="DD41" s="33">
        <f t="shared" si="22"/>
        <v>0</v>
      </c>
      <c r="DE41" s="33">
        <f t="shared" si="22"/>
        <v>0</v>
      </c>
      <c r="DF41" s="33">
        <f t="shared" si="22"/>
        <v>0</v>
      </c>
      <c r="DG41" s="33">
        <f t="shared" si="22"/>
        <v>0</v>
      </c>
      <c r="DH41" s="33">
        <f t="shared" si="22"/>
        <v>0</v>
      </c>
      <c r="DI41" s="33">
        <f t="shared" si="22"/>
        <v>0</v>
      </c>
      <c r="DJ41" s="33">
        <f t="shared" si="22"/>
        <v>0</v>
      </c>
      <c r="DK41" s="33">
        <f t="shared" si="22"/>
        <v>0</v>
      </c>
      <c r="DL41" s="33">
        <f t="shared" si="21"/>
        <v>0</v>
      </c>
      <c r="DM41" s="33">
        <f t="shared" si="21"/>
        <v>0</v>
      </c>
      <c r="DN41" s="33">
        <f t="shared" si="19"/>
        <v>0</v>
      </c>
      <c r="DO41" s="33">
        <f t="shared" si="3"/>
        <v>0</v>
      </c>
      <c r="DP41" s="50">
        <f t="shared" si="10"/>
        <v>0</v>
      </c>
      <c r="DQ41" s="50">
        <f t="shared" si="11"/>
        <v>0</v>
      </c>
      <c r="DR41" s="33">
        <f t="shared" si="4"/>
        <v>0</v>
      </c>
      <c r="DS41" s="50">
        <f t="shared" si="12"/>
        <v>0</v>
      </c>
      <c r="DT41" s="50">
        <f t="shared" si="13"/>
        <v>0</v>
      </c>
      <c r="DU41" s="33">
        <f t="shared" si="5"/>
        <v>0</v>
      </c>
      <c r="DV41" s="33">
        <f t="shared" si="5"/>
        <v>0</v>
      </c>
      <c r="DW41" s="33">
        <f t="shared" si="5"/>
        <v>0</v>
      </c>
      <c r="DX41" s="33">
        <f t="shared" si="5"/>
        <v>0</v>
      </c>
      <c r="DY41" s="35">
        <f t="shared" si="14"/>
        <v>0</v>
      </c>
      <c r="DZ41" s="33">
        <f t="shared" si="15"/>
        <v>10</v>
      </c>
      <c r="EA41" s="33">
        <f t="shared" si="16"/>
        <v>10</v>
      </c>
      <c r="EB41" s="33" t="str">
        <f t="shared" si="17"/>
        <v>IGUAL CAMPOS PREENCH</v>
      </c>
      <c r="EC41" s="33" t="s">
        <v>10035</v>
      </c>
    </row>
    <row r="42" spans="2:133" x14ac:dyDescent="0.25">
      <c r="B42" s="33" t="s">
        <v>8961</v>
      </c>
      <c r="C42" s="33" t="s">
        <v>146</v>
      </c>
      <c r="D42" s="33" t="s">
        <v>8962</v>
      </c>
      <c r="E42" s="33" t="s">
        <v>8963</v>
      </c>
      <c r="F42" s="33" t="s">
        <v>8964</v>
      </c>
      <c r="G42" s="33" t="s">
        <v>8965</v>
      </c>
      <c r="H42" s="33" t="s">
        <v>8966</v>
      </c>
      <c r="I42" s="33" t="s">
        <v>8967</v>
      </c>
      <c r="J42" s="33" t="s">
        <v>8965</v>
      </c>
      <c r="K42" s="33" t="s">
        <v>8519</v>
      </c>
      <c r="L42" s="33" t="s">
        <v>8520</v>
      </c>
      <c r="M42" s="33" t="s">
        <v>8968</v>
      </c>
      <c r="N42" s="33" t="s">
        <v>8969</v>
      </c>
      <c r="O42" s="33"/>
      <c r="P42" s="33"/>
      <c r="Q42" s="33" t="s">
        <v>8520</v>
      </c>
      <c r="R42" s="33"/>
      <c r="S42" s="33"/>
      <c r="T42" s="33"/>
      <c r="U42" s="33" t="s">
        <v>8970</v>
      </c>
      <c r="V42" s="33" t="s">
        <v>8971</v>
      </c>
      <c r="W42" s="33" t="s">
        <v>8972</v>
      </c>
      <c r="X42" s="33" t="s">
        <v>8499</v>
      </c>
      <c r="Y42" s="33" t="s">
        <v>8500</v>
      </c>
      <c r="Z42" s="33" t="s">
        <v>8500</v>
      </c>
      <c r="AA42" s="33" t="s">
        <v>8500</v>
      </c>
      <c r="AB42" s="33" t="s">
        <v>8525</v>
      </c>
      <c r="AC42" s="33"/>
      <c r="AD42" s="33"/>
      <c r="AE42" s="33"/>
      <c r="AF42" s="33" t="s">
        <v>8973</v>
      </c>
      <c r="AG42" s="33"/>
      <c r="AH42" s="33" t="s">
        <v>8723</v>
      </c>
      <c r="AI42" s="33"/>
      <c r="AJ42" s="33"/>
      <c r="AK42" s="33"/>
      <c r="AL42" s="33" t="s">
        <v>8528</v>
      </c>
      <c r="AM42" s="33" t="s">
        <v>8506</v>
      </c>
      <c r="AN42" s="33" t="s">
        <v>8974</v>
      </c>
      <c r="AO42" s="33" t="s">
        <v>8975</v>
      </c>
      <c r="AP42" s="33">
        <v>1</v>
      </c>
      <c r="AQ42" s="5" t="s">
        <v>10037</v>
      </c>
      <c r="AR42" s="33"/>
      <c r="AS42" s="33" t="s">
        <v>146</v>
      </c>
      <c r="AT42" s="33" t="s">
        <v>8962</v>
      </c>
      <c r="AU42" s="33" t="s">
        <v>8963</v>
      </c>
      <c r="AV42" s="33" t="s">
        <v>8964</v>
      </c>
      <c r="AW42" s="33" t="s">
        <v>8965</v>
      </c>
      <c r="AX42" s="33" t="s">
        <v>8966</v>
      </c>
      <c r="AY42" s="33" t="s">
        <v>8967</v>
      </c>
      <c r="AZ42" s="33" t="s">
        <v>8965</v>
      </c>
      <c r="BA42" s="33" t="s">
        <v>8519</v>
      </c>
      <c r="BB42" s="33" t="s">
        <v>8520</v>
      </c>
      <c r="BC42" s="33" t="s">
        <v>8968</v>
      </c>
      <c r="BD42" s="33" t="s">
        <v>8969</v>
      </c>
      <c r="BE42" s="33"/>
      <c r="BF42" s="33"/>
      <c r="BG42" s="33" t="s">
        <v>8520</v>
      </c>
      <c r="BH42" s="33"/>
      <c r="BI42" s="33"/>
      <c r="BJ42" s="33"/>
      <c r="BK42" s="33" t="s">
        <v>8970</v>
      </c>
      <c r="BL42" s="33" t="s">
        <v>8971</v>
      </c>
      <c r="BM42" s="33" t="s">
        <v>8972</v>
      </c>
      <c r="BN42" s="33" t="s">
        <v>8499</v>
      </c>
      <c r="BO42" s="33" t="s">
        <v>8500</v>
      </c>
      <c r="BP42" s="33" t="s">
        <v>8500</v>
      </c>
      <c r="BQ42" s="33" t="s">
        <v>8500</v>
      </c>
      <c r="BR42" s="33" t="s">
        <v>8525</v>
      </c>
      <c r="BS42" s="33"/>
      <c r="BT42" s="33"/>
      <c r="BU42" s="33"/>
      <c r="BV42" s="33" t="s">
        <v>8973</v>
      </c>
      <c r="BW42" s="33"/>
      <c r="BX42" s="33" t="s">
        <v>8723</v>
      </c>
      <c r="BY42" s="33"/>
      <c r="BZ42" s="33"/>
      <c r="CA42" s="33"/>
      <c r="CB42" s="33" t="s">
        <v>8528</v>
      </c>
      <c r="CC42" s="33" t="s">
        <v>8506</v>
      </c>
      <c r="CD42" s="33" t="s">
        <v>8974</v>
      </c>
      <c r="CE42" s="33" t="s">
        <v>8975</v>
      </c>
      <c r="CF42" s="33">
        <v>2</v>
      </c>
      <c r="CG42" s="5" t="s">
        <v>10037</v>
      </c>
      <c r="CH42" s="33">
        <f t="shared" si="20"/>
        <v>0</v>
      </c>
      <c r="CI42" s="33">
        <f t="shared" si="20"/>
        <v>0</v>
      </c>
      <c r="CJ42" s="33">
        <f t="shared" si="20"/>
        <v>0</v>
      </c>
      <c r="CK42" s="33">
        <f t="shared" si="20"/>
        <v>0</v>
      </c>
      <c r="CL42" s="33">
        <f t="shared" si="20"/>
        <v>0</v>
      </c>
      <c r="CM42" s="33">
        <f t="shared" si="20"/>
        <v>0</v>
      </c>
      <c r="CN42" s="33">
        <f t="shared" si="20"/>
        <v>0</v>
      </c>
      <c r="CO42" s="33">
        <f t="shared" si="20"/>
        <v>0</v>
      </c>
      <c r="CP42" s="33">
        <f t="shared" si="20"/>
        <v>0</v>
      </c>
      <c r="CQ42" s="33">
        <f t="shared" si="20"/>
        <v>0</v>
      </c>
      <c r="CR42" s="33">
        <f t="shared" si="20"/>
        <v>0</v>
      </c>
      <c r="CS42" s="33">
        <f t="shared" si="20"/>
        <v>0</v>
      </c>
      <c r="CT42" s="33">
        <f t="shared" si="20"/>
        <v>0</v>
      </c>
      <c r="CU42" s="33">
        <f t="shared" si="20"/>
        <v>0</v>
      </c>
      <c r="CV42" s="33">
        <f t="shared" si="20"/>
        <v>0</v>
      </c>
      <c r="CW42" s="33">
        <f t="shared" si="20"/>
        <v>0</v>
      </c>
      <c r="CX42" s="33">
        <f t="shared" si="22"/>
        <v>0</v>
      </c>
      <c r="CY42" s="33">
        <f t="shared" si="22"/>
        <v>0</v>
      </c>
      <c r="CZ42" s="33">
        <f t="shared" si="22"/>
        <v>0</v>
      </c>
      <c r="DA42" s="33">
        <f t="shared" si="22"/>
        <v>0</v>
      </c>
      <c r="DB42" s="33">
        <f t="shared" si="22"/>
        <v>0</v>
      </c>
      <c r="DC42" s="33">
        <f t="shared" si="22"/>
        <v>0</v>
      </c>
      <c r="DD42" s="33">
        <f t="shared" si="22"/>
        <v>0</v>
      </c>
      <c r="DE42" s="33">
        <f t="shared" si="22"/>
        <v>0</v>
      </c>
      <c r="DF42" s="33">
        <f t="shared" si="22"/>
        <v>0</v>
      </c>
      <c r="DG42" s="33">
        <f t="shared" si="22"/>
        <v>0</v>
      </c>
      <c r="DH42" s="33">
        <f t="shared" si="22"/>
        <v>0</v>
      </c>
      <c r="DI42" s="33">
        <f t="shared" si="22"/>
        <v>0</v>
      </c>
      <c r="DJ42" s="33">
        <f t="shared" si="22"/>
        <v>0</v>
      </c>
      <c r="DK42" s="33">
        <f t="shared" si="22"/>
        <v>0</v>
      </c>
      <c r="DL42" s="33">
        <f t="shared" si="21"/>
        <v>0</v>
      </c>
      <c r="DM42" s="33">
        <f t="shared" si="21"/>
        <v>0</v>
      </c>
      <c r="DN42" s="33">
        <f t="shared" si="19"/>
        <v>0</v>
      </c>
      <c r="DO42" s="33">
        <f t="shared" si="3"/>
        <v>0</v>
      </c>
      <c r="DP42" s="50">
        <f t="shared" si="10"/>
        <v>0</v>
      </c>
      <c r="DQ42" s="50">
        <f t="shared" si="11"/>
        <v>0</v>
      </c>
      <c r="DR42" s="33">
        <f t="shared" si="4"/>
        <v>0</v>
      </c>
      <c r="DS42" s="50">
        <f t="shared" si="12"/>
        <v>0</v>
      </c>
      <c r="DT42" s="50">
        <f t="shared" si="13"/>
        <v>0</v>
      </c>
      <c r="DU42" s="33">
        <f t="shared" si="5"/>
        <v>0</v>
      </c>
      <c r="DV42" s="33">
        <f t="shared" si="5"/>
        <v>0</v>
      </c>
      <c r="DW42" s="33">
        <f t="shared" si="5"/>
        <v>0</v>
      </c>
      <c r="DX42" s="33">
        <f t="shared" si="5"/>
        <v>0</v>
      </c>
      <c r="DY42" s="35">
        <f t="shared" si="14"/>
        <v>0</v>
      </c>
      <c r="DZ42" s="33">
        <f t="shared" si="15"/>
        <v>12</v>
      </c>
      <c r="EA42" s="33">
        <f t="shared" si="16"/>
        <v>12</v>
      </c>
      <c r="EB42" s="33" t="str">
        <f t="shared" si="17"/>
        <v>IGUAL CAMPOS PREENCH</v>
      </c>
      <c r="EC42" s="33" t="s">
        <v>10035</v>
      </c>
    </row>
    <row r="43" spans="2:133" x14ac:dyDescent="0.25">
      <c r="B43" s="33"/>
      <c r="C43" s="33" t="s">
        <v>50</v>
      </c>
      <c r="D43" s="33" t="s">
        <v>8486</v>
      </c>
      <c r="E43" s="33" t="s">
        <v>8487</v>
      </c>
      <c r="F43" s="33" t="s">
        <v>8976</v>
      </c>
      <c r="G43" s="33" t="s">
        <v>8977</v>
      </c>
      <c r="H43" s="33" t="s">
        <v>8978</v>
      </c>
      <c r="I43" s="33" t="s">
        <v>8979</v>
      </c>
      <c r="J43" s="33" t="s">
        <v>8980</v>
      </c>
      <c r="K43" s="33" t="s">
        <v>8588</v>
      </c>
      <c r="L43" s="33" t="s">
        <v>8589</v>
      </c>
      <c r="M43" s="33" t="s">
        <v>8981</v>
      </c>
      <c r="N43" s="33" t="s">
        <v>8521</v>
      </c>
      <c r="O43" s="33"/>
      <c r="P43" s="33"/>
      <c r="Q43" s="33" t="s">
        <v>8589</v>
      </c>
      <c r="R43" s="33"/>
      <c r="S43" s="33"/>
      <c r="T43" s="33"/>
      <c r="U43" s="33" t="s">
        <v>8982</v>
      </c>
      <c r="V43" s="33" t="s">
        <v>8983</v>
      </c>
      <c r="W43" s="33" t="s">
        <v>8984</v>
      </c>
      <c r="X43" s="33"/>
      <c r="Y43" s="33" t="s">
        <v>8500</v>
      </c>
      <c r="Z43" s="33" t="s">
        <v>8500</v>
      </c>
      <c r="AA43" s="33" t="s">
        <v>8500</v>
      </c>
      <c r="AB43" s="33" t="s">
        <v>8500</v>
      </c>
      <c r="AC43" s="33"/>
      <c r="AD43" s="33"/>
      <c r="AE43" s="33"/>
      <c r="AF43" s="33" t="s">
        <v>8985</v>
      </c>
      <c r="AG43" s="33"/>
      <c r="AH43" s="33" t="s">
        <v>8505</v>
      </c>
      <c r="AI43" s="33"/>
      <c r="AJ43" s="33"/>
      <c r="AK43" s="33"/>
      <c r="AL43" s="33" t="s">
        <v>8507</v>
      </c>
      <c r="AM43" s="33" t="s">
        <v>8577</v>
      </c>
      <c r="AN43" s="33" t="s">
        <v>8986</v>
      </c>
      <c r="AO43" s="33" t="s">
        <v>8987</v>
      </c>
      <c r="AP43" s="33">
        <v>1</v>
      </c>
      <c r="AQ43" s="5" t="s">
        <v>10037</v>
      </c>
      <c r="AR43" s="33" t="s">
        <v>8988</v>
      </c>
      <c r="AS43" s="33" t="s">
        <v>50</v>
      </c>
      <c r="AT43" s="33" t="s">
        <v>8486</v>
      </c>
      <c r="AU43" s="33" t="s">
        <v>8487</v>
      </c>
      <c r="AV43" s="33" t="s">
        <v>8976</v>
      </c>
      <c r="AW43" s="33" t="s">
        <v>8977</v>
      </c>
      <c r="AX43" s="33" t="s">
        <v>8978</v>
      </c>
      <c r="AY43" s="33" t="s">
        <v>8979</v>
      </c>
      <c r="AZ43" s="33" t="s">
        <v>8980</v>
      </c>
      <c r="BA43" s="33" t="s">
        <v>8588</v>
      </c>
      <c r="BB43" s="33" t="s">
        <v>8589</v>
      </c>
      <c r="BC43" s="33" t="s">
        <v>8981</v>
      </c>
      <c r="BD43" s="33" t="s">
        <v>8521</v>
      </c>
      <c r="BE43" s="33"/>
      <c r="BF43" s="33"/>
      <c r="BG43" s="33" t="s">
        <v>8589</v>
      </c>
      <c r="BH43" s="33"/>
      <c r="BI43" s="33"/>
      <c r="BJ43" s="33"/>
      <c r="BK43" s="33" t="s">
        <v>8982</v>
      </c>
      <c r="BL43" s="33" t="s">
        <v>8983</v>
      </c>
      <c r="BM43" s="33" t="s">
        <v>8984</v>
      </c>
      <c r="BN43" s="33"/>
      <c r="BO43" s="33" t="s">
        <v>8500</v>
      </c>
      <c r="BP43" s="33" t="s">
        <v>8500</v>
      </c>
      <c r="BQ43" s="33" t="s">
        <v>8500</v>
      </c>
      <c r="BR43" s="33" t="s">
        <v>8500</v>
      </c>
      <c r="BS43" s="33"/>
      <c r="BT43" s="33"/>
      <c r="BU43" s="33"/>
      <c r="BV43" s="33" t="s">
        <v>8985</v>
      </c>
      <c r="BW43" s="33"/>
      <c r="BX43" s="33" t="s">
        <v>8505</v>
      </c>
      <c r="BY43" s="33"/>
      <c r="BZ43" s="33" t="s">
        <v>8545</v>
      </c>
      <c r="CA43" s="33" t="s">
        <v>8528</v>
      </c>
      <c r="CB43" s="33" t="s">
        <v>8507</v>
      </c>
      <c r="CC43" s="33" t="s">
        <v>8577</v>
      </c>
      <c r="CD43" s="33" t="s">
        <v>8986</v>
      </c>
      <c r="CE43" s="33" t="s">
        <v>8987</v>
      </c>
      <c r="CF43" s="33">
        <v>2</v>
      </c>
      <c r="CG43" s="5" t="s">
        <v>10037</v>
      </c>
      <c r="CH43" s="33">
        <f t="shared" si="20"/>
        <v>0</v>
      </c>
      <c r="CI43" s="33">
        <f t="shared" si="20"/>
        <v>0</v>
      </c>
      <c r="CJ43" s="33">
        <f t="shared" si="20"/>
        <v>0</v>
      </c>
      <c r="CK43" s="33">
        <f t="shared" si="20"/>
        <v>0</v>
      </c>
      <c r="CL43" s="33">
        <f t="shared" si="20"/>
        <v>0</v>
      </c>
      <c r="CM43" s="33">
        <f t="shared" si="20"/>
        <v>0</v>
      </c>
      <c r="CN43" s="33">
        <f t="shared" si="20"/>
        <v>0</v>
      </c>
      <c r="CO43" s="33">
        <f t="shared" si="20"/>
        <v>0</v>
      </c>
      <c r="CP43" s="33">
        <f t="shared" si="20"/>
        <v>0</v>
      </c>
      <c r="CQ43" s="33">
        <f t="shared" si="20"/>
        <v>0</v>
      </c>
      <c r="CR43" s="33">
        <f t="shared" si="20"/>
        <v>0</v>
      </c>
      <c r="CS43" s="33">
        <f t="shared" si="20"/>
        <v>0</v>
      </c>
      <c r="CT43" s="33">
        <f t="shared" si="20"/>
        <v>0</v>
      </c>
      <c r="CU43" s="33">
        <f t="shared" si="20"/>
        <v>0</v>
      </c>
      <c r="CV43" s="33">
        <f t="shared" si="20"/>
        <v>0</v>
      </c>
      <c r="CW43" s="33">
        <f t="shared" si="20"/>
        <v>0</v>
      </c>
      <c r="CX43" s="33">
        <f t="shared" si="22"/>
        <v>0</v>
      </c>
      <c r="CY43" s="33">
        <f t="shared" si="22"/>
        <v>0</v>
      </c>
      <c r="CZ43" s="33">
        <f t="shared" si="22"/>
        <v>0</v>
      </c>
      <c r="DA43" s="33">
        <f t="shared" si="22"/>
        <v>0</v>
      </c>
      <c r="DB43" s="33">
        <f t="shared" si="22"/>
        <v>0</v>
      </c>
      <c r="DC43" s="33">
        <f t="shared" si="22"/>
        <v>0</v>
      </c>
      <c r="DD43" s="33">
        <f t="shared" si="22"/>
        <v>0</v>
      </c>
      <c r="DE43" s="33">
        <f t="shared" si="22"/>
        <v>0</v>
      </c>
      <c r="DF43" s="33">
        <f t="shared" si="22"/>
        <v>0</v>
      </c>
      <c r="DG43" s="33">
        <f t="shared" si="22"/>
        <v>0</v>
      </c>
      <c r="DH43" s="33">
        <f t="shared" si="22"/>
        <v>0</v>
      </c>
      <c r="DI43" s="33">
        <f t="shared" si="22"/>
        <v>0</v>
      </c>
      <c r="DJ43" s="33">
        <f t="shared" si="22"/>
        <v>0</v>
      </c>
      <c r="DK43" s="33">
        <f t="shared" si="22"/>
        <v>0</v>
      </c>
      <c r="DL43" s="33">
        <f t="shared" si="21"/>
        <v>0</v>
      </c>
      <c r="DM43" s="33">
        <f t="shared" si="21"/>
        <v>0</v>
      </c>
      <c r="DN43" s="33">
        <f t="shared" si="19"/>
        <v>0</v>
      </c>
      <c r="DO43" s="33">
        <f t="shared" si="3"/>
        <v>1</v>
      </c>
      <c r="DP43" s="50">
        <f t="shared" si="10"/>
        <v>0</v>
      </c>
      <c r="DQ43" s="50" t="str">
        <f t="shared" si="11"/>
        <v>D</v>
      </c>
      <c r="DR43" s="33">
        <f t="shared" si="4"/>
        <v>1</v>
      </c>
      <c r="DS43" s="50">
        <f t="shared" si="12"/>
        <v>0</v>
      </c>
      <c r="DT43" s="50" t="str">
        <f t="shared" si="13"/>
        <v>5-MEDIA BAJA</v>
      </c>
      <c r="DU43" s="33">
        <f t="shared" si="5"/>
        <v>0</v>
      </c>
      <c r="DV43" s="33">
        <f t="shared" si="5"/>
        <v>0</v>
      </c>
      <c r="DW43" s="33">
        <f t="shared" si="5"/>
        <v>0</v>
      </c>
      <c r="DX43" s="33">
        <f t="shared" si="5"/>
        <v>0</v>
      </c>
      <c r="DY43" s="35">
        <f t="shared" si="14"/>
        <v>2</v>
      </c>
      <c r="DZ43" s="33">
        <f t="shared" si="15"/>
        <v>13</v>
      </c>
      <c r="EA43" s="33">
        <f t="shared" si="16"/>
        <v>11</v>
      </c>
      <c r="EB43" s="33" t="str">
        <f t="shared" si="17"/>
        <v>AUX 2 COM + CAMPOS PREENC</v>
      </c>
      <c r="EC43" s="33" t="s">
        <v>10034</v>
      </c>
    </row>
    <row r="44" spans="2:133" x14ac:dyDescent="0.25">
      <c r="B44" s="33"/>
      <c r="C44" s="33" t="s">
        <v>98</v>
      </c>
      <c r="D44" s="33" t="s">
        <v>8801</v>
      </c>
      <c r="E44" s="33" t="s">
        <v>8802</v>
      </c>
      <c r="F44" s="33" t="s">
        <v>8803</v>
      </c>
      <c r="G44" s="33" t="s">
        <v>8804</v>
      </c>
      <c r="H44" s="33" t="s">
        <v>8989</v>
      </c>
      <c r="I44" s="33" t="s">
        <v>8990</v>
      </c>
      <c r="J44" s="33" t="s">
        <v>8990</v>
      </c>
      <c r="K44" s="33" t="s">
        <v>8570</v>
      </c>
      <c r="L44" s="33" t="s">
        <v>8571</v>
      </c>
      <c r="M44" s="33" t="s">
        <v>8991</v>
      </c>
      <c r="N44" s="33" t="s">
        <v>8992</v>
      </c>
      <c r="O44" s="33"/>
      <c r="P44" s="33"/>
      <c r="Q44" s="33" t="s">
        <v>8571</v>
      </c>
      <c r="R44" s="33"/>
      <c r="S44" s="33"/>
      <c r="T44" s="33"/>
      <c r="U44" s="33" t="s">
        <v>8993</v>
      </c>
      <c r="V44" s="33" t="s">
        <v>8994</v>
      </c>
      <c r="W44" s="33" t="s">
        <v>8995</v>
      </c>
      <c r="X44" s="33" t="s">
        <v>8996</v>
      </c>
      <c r="Y44" s="33" t="s">
        <v>8525</v>
      </c>
      <c r="Z44" s="33" t="s">
        <v>8500</v>
      </c>
      <c r="AA44" s="33" t="s">
        <v>8525</v>
      </c>
      <c r="AB44" s="33" t="s">
        <v>8500</v>
      </c>
      <c r="AC44" s="33" t="s">
        <v>8997</v>
      </c>
      <c r="AD44" s="33" t="s">
        <v>8998</v>
      </c>
      <c r="AE44" s="33" t="s">
        <v>8999</v>
      </c>
      <c r="AF44" s="33" t="s">
        <v>9000</v>
      </c>
      <c r="AG44" s="33"/>
      <c r="AH44" s="33" t="s">
        <v>8527</v>
      </c>
      <c r="AI44" s="33"/>
      <c r="AJ44" s="33"/>
      <c r="AK44" s="33"/>
      <c r="AL44" s="33" t="s">
        <v>8507</v>
      </c>
      <c r="AM44" s="33" t="s">
        <v>8577</v>
      </c>
      <c r="AN44" s="33" t="s">
        <v>9001</v>
      </c>
      <c r="AO44" s="33" t="s">
        <v>9002</v>
      </c>
      <c r="AP44" s="33">
        <v>1</v>
      </c>
      <c r="AQ44" s="5" t="s">
        <v>10037</v>
      </c>
      <c r="AR44" s="33"/>
      <c r="AS44" s="33" t="s">
        <v>98</v>
      </c>
      <c r="AT44" s="33" t="s">
        <v>8801</v>
      </c>
      <c r="AU44" s="33" t="s">
        <v>8802</v>
      </c>
      <c r="AV44" s="33" t="s">
        <v>8803</v>
      </c>
      <c r="AW44" s="33" t="s">
        <v>8804</v>
      </c>
      <c r="AX44" s="33" t="s">
        <v>8989</v>
      </c>
      <c r="AY44" s="33" t="s">
        <v>8990</v>
      </c>
      <c r="AZ44" s="33" t="s">
        <v>8990</v>
      </c>
      <c r="BA44" s="33" t="s">
        <v>8570</v>
      </c>
      <c r="BB44" s="33" t="s">
        <v>8571</v>
      </c>
      <c r="BC44" s="33" t="s">
        <v>8991</v>
      </c>
      <c r="BD44" s="33" t="s">
        <v>8992</v>
      </c>
      <c r="BE44" s="33"/>
      <c r="BF44" s="33"/>
      <c r="BG44" s="33" t="s">
        <v>8571</v>
      </c>
      <c r="BH44" s="33"/>
      <c r="BI44" s="33"/>
      <c r="BJ44" s="33"/>
      <c r="BK44" s="33" t="s">
        <v>8993</v>
      </c>
      <c r="BL44" s="33" t="s">
        <v>8994</v>
      </c>
      <c r="BM44" s="33" t="s">
        <v>8995</v>
      </c>
      <c r="BN44" s="33" t="s">
        <v>8996</v>
      </c>
      <c r="BO44" s="33" t="s">
        <v>8525</v>
      </c>
      <c r="BP44" s="33" t="s">
        <v>8500</v>
      </c>
      <c r="BQ44" s="33" t="s">
        <v>8525</v>
      </c>
      <c r="BR44" s="33" t="s">
        <v>8500</v>
      </c>
      <c r="BS44" s="33" t="s">
        <v>8997</v>
      </c>
      <c r="BT44" s="33" t="s">
        <v>8998</v>
      </c>
      <c r="BU44" s="33" t="s">
        <v>8999</v>
      </c>
      <c r="BV44" s="33" t="s">
        <v>9000</v>
      </c>
      <c r="BW44" s="33"/>
      <c r="BX44" s="33" t="s">
        <v>8527</v>
      </c>
      <c r="BY44" s="33"/>
      <c r="BZ44" s="33" t="s">
        <v>8545</v>
      </c>
      <c r="CA44" s="33" t="s">
        <v>8507</v>
      </c>
      <c r="CB44" s="33" t="s">
        <v>8507</v>
      </c>
      <c r="CC44" s="33" t="s">
        <v>8577</v>
      </c>
      <c r="CD44" s="33" t="s">
        <v>9001</v>
      </c>
      <c r="CE44" s="33" t="s">
        <v>9002</v>
      </c>
      <c r="CF44" s="33">
        <v>2</v>
      </c>
      <c r="CG44" s="5" t="s">
        <v>10037</v>
      </c>
      <c r="CH44" s="33">
        <f t="shared" si="20"/>
        <v>0</v>
      </c>
      <c r="CI44" s="33">
        <f t="shared" si="20"/>
        <v>0</v>
      </c>
      <c r="CJ44" s="33">
        <f t="shared" si="20"/>
        <v>0</v>
      </c>
      <c r="CK44" s="33">
        <f t="shared" si="20"/>
        <v>0</v>
      </c>
      <c r="CL44" s="33">
        <f t="shared" si="20"/>
        <v>0</v>
      </c>
      <c r="CM44" s="33">
        <f t="shared" si="20"/>
        <v>0</v>
      </c>
      <c r="CN44" s="33">
        <f t="shared" si="20"/>
        <v>0</v>
      </c>
      <c r="CO44" s="33">
        <f t="shared" si="20"/>
        <v>0</v>
      </c>
      <c r="CP44" s="33">
        <f t="shared" si="20"/>
        <v>0</v>
      </c>
      <c r="CQ44" s="33">
        <f t="shared" si="20"/>
        <v>0</v>
      </c>
      <c r="CR44" s="33">
        <f t="shared" si="20"/>
        <v>0</v>
      </c>
      <c r="CS44" s="33">
        <f t="shared" si="20"/>
        <v>0</v>
      </c>
      <c r="CT44" s="33">
        <f t="shared" si="20"/>
        <v>0</v>
      </c>
      <c r="CU44" s="33">
        <f t="shared" si="20"/>
        <v>0</v>
      </c>
      <c r="CV44" s="33">
        <f t="shared" si="20"/>
        <v>0</v>
      </c>
      <c r="CW44" s="33">
        <f t="shared" si="20"/>
        <v>0</v>
      </c>
      <c r="CX44" s="33">
        <f t="shared" si="22"/>
        <v>0</v>
      </c>
      <c r="CY44" s="33">
        <f t="shared" si="22"/>
        <v>0</v>
      </c>
      <c r="CZ44" s="33">
        <f t="shared" si="22"/>
        <v>0</v>
      </c>
      <c r="DA44" s="33">
        <f t="shared" si="22"/>
        <v>0</v>
      </c>
      <c r="DB44" s="33">
        <f t="shared" si="22"/>
        <v>0</v>
      </c>
      <c r="DC44" s="33">
        <f t="shared" si="22"/>
        <v>0</v>
      </c>
      <c r="DD44" s="33">
        <f t="shared" si="22"/>
        <v>0</v>
      </c>
      <c r="DE44" s="33">
        <f t="shared" si="22"/>
        <v>0</v>
      </c>
      <c r="DF44" s="33">
        <f t="shared" si="22"/>
        <v>0</v>
      </c>
      <c r="DG44" s="33">
        <f t="shared" si="22"/>
        <v>0</v>
      </c>
      <c r="DH44" s="33">
        <f t="shared" si="22"/>
        <v>0</v>
      </c>
      <c r="DI44" s="33">
        <f t="shared" si="22"/>
        <v>0</v>
      </c>
      <c r="DJ44" s="33">
        <f t="shared" si="22"/>
        <v>0</v>
      </c>
      <c r="DK44" s="33">
        <f t="shared" si="22"/>
        <v>0</v>
      </c>
      <c r="DL44" s="33">
        <f t="shared" si="21"/>
        <v>0</v>
      </c>
      <c r="DM44" s="33">
        <f t="shared" si="21"/>
        <v>0</v>
      </c>
      <c r="DN44" s="33">
        <f t="shared" si="19"/>
        <v>0</v>
      </c>
      <c r="DO44" s="33">
        <f t="shared" si="3"/>
        <v>1</v>
      </c>
      <c r="DP44" s="50">
        <f t="shared" si="10"/>
        <v>0</v>
      </c>
      <c r="DQ44" s="50" t="str">
        <f t="shared" si="11"/>
        <v>D</v>
      </c>
      <c r="DR44" s="33">
        <f t="shared" si="4"/>
        <v>1</v>
      </c>
      <c r="DS44" s="50">
        <f t="shared" si="12"/>
        <v>0</v>
      </c>
      <c r="DT44" s="50" t="str">
        <f t="shared" si="13"/>
        <v>4-MEDIA</v>
      </c>
      <c r="DU44" s="33">
        <f t="shared" si="5"/>
        <v>0</v>
      </c>
      <c r="DV44" s="33">
        <f t="shared" si="5"/>
        <v>0</v>
      </c>
      <c r="DW44" s="33">
        <f t="shared" si="5"/>
        <v>0</v>
      </c>
      <c r="DX44" s="33">
        <f t="shared" si="5"/>
        <v>0</v>
      </c>
      <c r="DY44" s="35">
        <f t="shared" si="14"/>
        <v>2</v>
      </c>
      <c r="DZ44" s="33">
        <f t="shared" si="15"/>
        <v>9</v>
      </c>
      <c r="EA44" s="33">
        <f t="shared" si="16"/>
        <v>7</v>
      </c>
      <c r="EB44" s="33" t="str">
        <f t="shared" si="17"/>
        <v>AUX 2 COM + CAMPOS PREENC</v>
      </c>
      <c r="EC44" s="33" t="s">
        <v>10034</v>
      </c>
    </row>
    <row r="45" spans="2:133" x14ac:dyDescent="0.25">
      <c r="B45" s="33" t="s">
        <v>9003</v>
      </c>
      <c r="C45" s="33" t="s">
        <v>137</v>
      </c>
      <c r="D45" s="33" t="s">
        <v>8513</v>
      </c>
      <c r="E45" s="33" t="s">
        <v>8514</v>
      </c>
      <c r="F45" s="33" t="s">
        <v>8750</v>
      </c>
      <c r="G45" s="33" t="s">
        <v>8751</v>
      </c>
      <c r="H45" s="33" t="s">
        <v>8752</v>
      </c>
      <c r="I45" s="33" t="s">
        <v>8751</v>
      </c>
      <c r="J45" s="33" t="s">
        <v>8751</v>
      </c>
      <c r="K45" s="33" t="s">
        <v>8536</v>
      </c>
      <c r="L45" s="33" t="s">
        <v>8537</v>
      </c>
      <c r="M45" s="33" t="s">
        <v>9004</v>
      </c>
      <c r="N45" s="33" t="s">
        <v>8620</v>
      </c>
      <c r="O45" s="33"/>
      <c r="P45" s="33"/>
      <c r="Q45" s="33" t="s">
        <v>8537</v>
      </c>
      <c r="R45" s="33"/>
      <c r="S45" s="33"/>
      <c r="T45" s="33"/>
      <c r="U45" s="33" t="s">
        <v>8756</v>
      </c>
      <c r="V45" s="33" t="s">
        <v>8743</v>
      </c>
      <c r="W45" s="33" t="s">
        <v>9005</v>
      </c>
      <c r="X45" s="33"/>
      <c r="Y45" s="33" t="s">
        <v>8525</v>
      </c>
      <c r="Z45" s="33" t="s">
        <v>8500</v>
      </c>
      <c r="AA45" s="33" t="s">
        <v>8525</v>
      </c>
      <c r="AB45" s="33" t="s">
        <v>8500</v>
      </c>
      <c r="AC45" s="33"/>
      <c r="AD45" s="33"/>
      <c r="AE45" s="33"/>
      <c r="AF45" s="33" t="s">
        <v>9006</v>
      </c>
      <c r="AG45" s="33"/>
      <c r="AH45" s="33" t="s">
        <v>8527</v>
      </c>
      <c r="AI45" s="33"/>
      <c r="AJ45" s="33" t="s">
        <v>8545</v>
      </c>
      <c r="AK45" s="33" t="s">
        <v>8507</v>
      </c>
      <c r="AL45" s="33" t="s">
        <v>8507</v>
      </c>
      <c r="AM45" s="33" t="s">
        <v>8506</v>
      </c>
      <c r="AN45" s="33" t="s">
        <v>9007</v>
      </c>
      <c r="AO45" s="33" t="s">
        <v>9008</v>
      </c>
      <c r="AP45" s="33">
        <v>1</v>
      </c>
      <c r="AQ45" s="5" t="s">
        <v>10037</v>
      </c>
      <c r="AR45" s="33"/>
      <c r="AS45" s="33" t="s">
        <v>137</v>
      </c>
      <c r="AT45" s="33" t="s">
        <v>8513</v>
      </c>
      <c r="AU45" s="33" t="s">
        <v>8514</v>
      </c>
      <c r="AV45" s="33" t="s">
        <v>8750</v>
      </c>
      <c r="AW45" s="33" t="s">
        <v>8751</v>
      </c>
      <c r="AX45" s="33" t="s">
        <v>8752</v>
      </c>
      <c r="AY45" s="33" t="s">
        <v>8751</v>
      </c>
      <c r="AZ45" s="33" t="s">
        <v>8751</v>
      </c>
      <c r="BA45" s="33" t="s">
        <v>8536</v>
      </c>
      <c r="BB45" s="33" t="s">
        <v>8537</v>
      </c>
      <c r="BC45" s="33" t="s">
        <v>9004</v>
      </c>
      <c r="BD45" s="33" t="s">
        <v>8620</v>
      </c>
      <c r="BE45" s="33"/>
      <c r="BF45" s="33"/>
      <c r="BG45" s="33" t="s">
        <v>8537</v>
      </c>
      <c r="BH45" s="33"/>
      <c r="BI45" s="33"/>
      <c r="BJ45" s="33"/>
      <c r="BK45" s="33" t="s">
        <v>8756</v>
      </c>
      <c r="BL45" s="33" t="s">
        <v>8743</v>
      </c>
      <c r="BM45" s="33" t="s">
        <v>9005</v>
      </c>
      <c r="BN45" s="33"/>
      <c r="BO45" s="33" t="s">
        <v>8525</v>
      </c>
      <c r="BP45" s="33" t="s">
        <v>8500</v>
      </c>
      <c r="BQ45" s="33" t="s">
        <v>8525</v>
      </c>
      <c r="BR45" s="33" t="s">
        <v>8500</v>
      </c>
      <c r="BS45" s="33"/>
      <c r="BT45" s="33"/>
      <c r="BU45" s="33"/>
      <c r="BV45" s="33" t="s">
        <v>9006</v>
      </c>
      <c r="BW45" s="33"/>
      <c r="BX45" s="33" t="s">
        <v>8527</v>
      </c>
      <c r="BY45" s="33"/>
      <c r="BZ45" s="33"/>
      <c r="CA45" s="33"/>
      <c r="CB45" s="33" t="s">
        <v>8507</v>
      </c>
      <c r="CC45" s="33" t="s">
        <v>8506</v>
      </c>
      <c r="CD45" s="33" t="s">
        <v>9007</v>
      </c>
      <c r="CE45" s="33" t="s">
        <v>9008</v>
      </c>
      <c r="CF45" s="33">
        <v>2</v>
      </c>
      <c r="CG45" s="5" t="s">
        <v>10037</v>
      </c>
      <c r="CH45" s="33">
        <f t="shared" si="20"/>
        <v>0</v>
      </c>
      <c r="CI45" s="33">
        <f t="shared" si="20"/>
        <v>0</v>
      </c>
      <c r="CJ45" s="33">
        <f t="shared" si="20"/>
        <v>0</v>
      </c>
      <c r="CK45" s="33">
        <f t="shared" si="20"/>
        <v>0</v>
      </c>
      <c r="CL45" s="33">
        <f t="shared" si="20"/>
        <v>0</v>
      </c>
      <c r="CM45" s="33">
        <f t="shared" si="20"/>
        <v>0</v>
      </c>
      <c r="CN45" s="33">
        <f t="shared" si="20"/>
        <v>0</v>
      </c>
      <c r="CO45" s="33">
        <f t="shared" si="20"/>
        <v>0</v>
      </c>
      <c r="CP45" s="33">
        <f t="shared" si="20"/>
        <v>0</v>
      </c>
      <c r="CQ45" s="33">
        <f t="shared" si="20"/>
        <v>0</v>
      </c>
      <c r="CR45" s="33">
        <f t="shared" si="20"/>
        <v>0</v>
      </c>
      <c r="CS45" s="33">
        <f t="shared" si="20"/>
        <v>0</v>
      </c>
      <c r="CT45" s="33">
        <f t="shared" si="20"/>
        <v>0</v>
      </c>
      <c r="CU45" s="33">
        <f t="shared" si="20"/>
        <v>0</v>
      </c>
      <c r="CV45" s="33">
        <f t="shared" si="20"/>
        <v>0</v>
      </c>
      <c r="CW45" s="33">
        <f t="shared" si="20"/>
        <v>0</v>
      </c>
      <c r="CX45" s="33">
        <f t="shared" si="22"/>
        <v>0</v>
      </c>
      <c r="CY45" s="33">
        <f t="shared" si="22"/>
        <v>0</v>
      </c>
      <c r="CZ45" s="33">
        <f t="shared" si="22"/>
        <v>0</v>
      </c>
      <c r="DA45" s="33">
        <f t="shared" si="22"/>
        <v>0</v>
      </c>
      <c r="DB45" s="33">
        <f t="shared" si="22"/>
        <v>0</v>
      </c>
      <c r="DC45" s="33">
        <f t="shared" si="22"/>
        <v>0</v>
      </c>
      <c r="DD45" s="33">
        <f t="shared" si="22"/>
        <v>0</v>
      </c>
      <c r="DE45" s="33">
        <f t="shared" si="22"/>
        <v>0</v>
      </c>
      <c r="DF45" s="33">
        <f t="shared" si="22"/>
        <v>0</v>
      </c>
      <c r="DG45" s="33">
        <f t="shared" si="22"/>
        <v>0</v>
      </c>
      <c r="DH45" s="33">
        <f t="shared" si="22"/>
        <v>0</v>
      </c>
      <c r="DI45" s="33">
        <f t="shared" si="22"/>
        <v>0</v>
      </c>
      <c r="DJ45" s="33">
        <f t="shared" si="22"/>
        <v>0</v>
      </c>
      <c r="DK45" s="33">
        <f t="shared" si="22"/>
        <v>0</v>
      </c>
      <c r="DL45" s="33">
        <f t="shared" si="21"/>
        <v>0</v>
      </c>
      <c r="DM45" s="33">
        <f t="shared" si="21"/>
        <v>0</v>
      </c>
      <c r="DN45" s="33">
        <f t="shared" si="19"/>
        <v>0</v>
      </c>
      <c r="DO45" s="33">
        <f t="shared" si="3"/>
        <v>1</v>
      </c>
      <c r="DP45" s="50" t="str">
        <f t="shared" si="10"/>
        <v>D</v>
      </c>
      <c r="DQ45" s="50">
        <f t="shared" si="11"/>
        <v>0</v>
      </c>
      <c r="DR45" s="33">
        <f t="shared" si="4"/>
        <v>1</v>
      </c>
      <c r="DS45" s="50" t="str">
        <f t="shared" si="12"/>
        <v>4-MEDIA</v>
      </c>
      <c r="DT45" s="50">
        <f t="shared" si="13"/>
        <v>0</v>
      </c>
      <c r="DU45" s="33">
        <f t="shared" si="5"/>
        <v>0</v>
      </c>
      <c r="DV45" s="33">
        <f t="shared" si="5"/>
        <v>0</v>
      </c>
      <c r="DW45" s="33">
        <f t="shared" si="5"/>
        <v>0</v>
      </c>
      <c r="DX45" s="33">
        <f t="shared" si="5"/>
        <v>0</v>
      </c>
      <c r="DY45" s="35">
        <f t="shared" si="14"/>
        <v>2</v>
      </c>
      <c r="DZ45" s="33">
        <f t="shared" si="15"/>
        <v>11</v>
      </c>
      <c r="EA45" s="33">
        <f t="shared" si="16"/>
        <v>13</v>
      </c>
      <c r="EB45" s="33" t="str">
        <f t="shared" si="17"/>
        <v>AUX 1 COM + CAMPOS PREENC OU IGUAL</v>
      </c>
      <c r="EC45" s="33" t="s">
        <v>10034</v>
      </c>
    </row>
    <row r="46" spans="2:133" x14ac:dyDescent="0.25">
      <c r="B46" s="33"/>
      <c r="C46" s="33" t="s">
        <v>60</v>
      </c>
      <c r="D46" s="33" t="s">
        <v>8486</v>
      </c>
      <c r="E46" s="33" t="s">
        <v>8487</v>
      </c>
      <c r="F46" s="33" t="s">
        <v>8488</v>
      </c>
      <c r="G46" s="33" t="s">
        <v>8487</v>
      </c>
      <c r="H46" s="33" t="s">
        <v>9009</v>
      </c>
      <c r="I46" s="33" t="s">
        <v>9010</v>
      </c>
      <c r="J46" s="33" t="s">
        <v>9010</v>
      </c>
      <c r="K46" s="33" t="s">
        <v>8491</v>
      </c>
      <c r="L46" s="33" t="s">
        <v>8492</v>
      </c>
      <c r="M46" s="33" t="s">
        <v>9011</v>
      </c>
      <c r="N46" s="33" t="s">
        <v>9012</v>
      </c>
      <c r="O46" s="33"/>
      <c r="P46" s="33"/>
      <c r="Q46" s="33" t="s">
        <v>8492</v>
      </c>
      <c r="R46" s="33"/>
      <c r="S46" s="33"/>
      <c r="T46" s="33"/>
      <c r="U46" s="33" t="s">
        <v>8702</v>
      </c>
      <c r="V46" s="33" t="s">
        <v>8838</v>
      </c>
      <c r="W46" s="33" t="s">
        <v>9013</v>
      </c>
      <c r="X46" s="33"/>
      <c r="Y46" s="33" t="s">
        <v>8500</v>
      </c>
      <c r="Z46" s="33" t="s">
        <v>8500</v>
      </c>
      <c r="AA46" s="33" t="s">
        <v>8500</v>
      </c>
      <c r="AB46" s="33" t="s">
        <v>8525</v>
      </c>
      <c r="AC46" s="33"/>
      <c r="AD46" s="33"/>
      <c r="AE46" s="33"/>
      <c r="AF46" s="33" t="s">
        <v>9014</v>
      </c>
      <c r="AG46" s="33"/>
      <c r="AH46" s="33" t="s">
        <v>8606</v>
      </c>
      <c r="AI46" s="33"/>
      <c r="AJ46" s="33"/>
      <c r="AK46" s="33"/>
      <c r="AL46" s="33" t="s">
        <v>8528</v>
      </c>
      <c r="AM46" s="33" t="s">
        <v>8506</v>
      </c>
      <c r="AN46" s="33" t="s">
        <v>9015</v>
      </c>
      <c r="AO46" s="33" t="s">
        <v>9016</v>
      </c>
      <c r="AP46" s="33">
        <v>1</v>
      </c>
      <c r="AQ46" s="5" t="s">
        <v>10037</v>
      </c>
      <c r="AR46" s="33" t="s">
        <v>9017</v>
      </c>
      <c r="AS46" s="33" t="s">
        <v>60</v>
      </c>
      <c r="AT46" s="33" t="s">
        <v>8486</v>
      </c>
      <c r="AU46" s="33" t="s">
        <v>8487</v>
      </c>
      <c r="AV46" s="33" t="s">
        <v>8488</v>
      </c>
      <c r="AW46" s="33" t="s">
        <v>8487</v>
      </c>
      <c r="AX46" s="33" t="s">
        <v>9009</v>
      </c>
      <c r="AY46" s="33" t="s">
        <v>9010</v>
      </c>
      <c r="AZ46" s="33" t="s">
        <v>9010</v>
      </c>
      <c r="BA46" s="33" t="s">
        <v>8491</v>
      </c>
      <c r="BB46" s="33" t="s">
        <v>8492</v>
      </c>
      <c r="BC46" s="33" t="s">
        <v>9011</v>
      </c>
      <c r="BD46" s="33" t="s">
        <v>9012</v>
      </c>
      <c r="BE46" s="33"/>
      <c r="BF46" s="33"/>
      <c r="BG46" s="33" t="s">
        <v>8492</v>
      </c>
      <c r="BH46" s="33"/>
      <c r="BI46" s="33"/>
      <c r="BJ46" s="33"/>
      <c r="BK46" s="33" t="s">
        <v>8702</v>
      </c>
      <c r="BL46" s="33" t="s">
        <v>8838</v>
      </c>
      <c r="BM46" s="33" t="s">
        <v>9013</v>
      </c>
      <c r="BN46" s="33"/>
      <c r="BO46" s="33" t="s">
        <v>8500</v>
      </c>
      <c r="BP46" s="33" t="s">
        <v>8500</v>
      </c>
      <c r="BQ46" s="33" t="s">
        <v>8500</v>
      </c>
      <c r="BR46" s="33" t="s">
        <v>8525</v>
      </c>
      <c r="BS46" s="33"/>
      <c r="BT46" s="33"/>
      <c r="BU46" s="33"/>
      <c r="BV46" s="33" t="s">
        <v>9014</v>
      </c>
      <c r="BW46" s="33"/>
      <c r="BX46" s="33" t="s">
        <v>8606</v>
      </c>
      <c r="BY46" s="33"/>
      <c r="BZ46" s="33"/>
      <c r="CA46" s="33"/>
      <c r="CB46" s="33" t="s">
        <v>8528</v>
      </c>
      <c r="CC46" s="33" t="s">
        <v>8506</v>
      </c>
      <c r="CD46" s="33" t="s">
        <v>9015</v>
      </c>
      <c r="CE46" s="33" t="s">
        <v>9016</v>
      </c>
      <c r="CF46" s="33">
        <v>2</v>
      </c>
      <c r="CG46" s="5" t="s">
        <v>10037</v>
      </c>
      <c r="CH46" s="33">
        <f t="shared" si="20"/>
        <v>0</v>
      </c>
      <c r="CI46" s="33">
        <f t="shared" si="20"/>
        <v>0</v>
      </c>
      <c r="CJ46" s="33">
        <f t="shared" si="20"/>
        <v>0</v>
      </c>
      <c r="CK46" s="33">
        <f t="shared" si="20"/>
        <v>0</v>
      </c>
      <c r="CL46" s="33">
        <f t="shared" si="20"/>
        <v>0</v>
      </c>
      <c r="CM46" s="33">
        <f t="shared" si="20"/>
        <v>0</v>
      </c>
      <c r="CN46" s="33">
        <f t="shared" si="20"/>
        <v>0</v>
      </c>
      <c r="CO46" s="33">
        <f t="shared" si="20"/>
        <v>0</v>
      </c>
      <c r="CP46" s="33">
        <f t="shared" si="20"/>
        <v>0</v>
      </c>
      <c r="CQ46" s="33">
        <f t="shared" si="20"/>
        <v>0</v>
      </c>
      <c r="CR46" s="33">
        <f t="shared" si="20"/>
        <v>0</v>
      </c>
      <c r="CS46" s="33">
        <f t="shared" si="20"/>
        <v>0</v>
      </c>
      <c r="CT46" s="33">
        <f t="shared" si="20"/>
        <v>0</v>
      </c>
      <c r="CU46" s="33">
        <f t="shared" si="20"/>
        <v>0</v>
      </c>
      <c r="CV46" s="33">
        <f t="shared" si="20"/>
        <v>0</v>
      </c>
      <c r="CW46" s="33">
        <f t="shared" si="20"/>
        <v>0</v>
      </c>
      <c r="CX46" s="33">
        <f t="shared" si="22"/>
        <v>0</v>
      </c>
      <c r="CY46" s="33">
        <f t="shared" si="22"/>
        <v>0</v>
      </c>
      <c r="CZ46" s="33">
        <f t="shared" si="22"/>
        <v>0</v>
      </c>
      <c r="DA46" s="33">
        <f t="shared" si="22"/>
        <v>0</v>
      </c>
      <c r="DB46" s="33">
        <f t="shared" si="22"/>
        <v>0</v>
      </c>
      <c r="DC46" s="33">
        <f t="shared" si="22"/>
        <v>0</v>
      </c>
      <c r="DD46" s="33">
        <f t="shared" si="22"/>
        <v>0</v>
      </c>
      <c r="DE46" s="33">
        <f t="shared" si="22"/>
        <v>0</v>
      </c>
      <c r="DF46" s="33">
        <f t="shared" si="22"/>
        <v>0</v>
      </c>
      <c r="DG46" s="33">
        <f t="shared" si="22"/>
        <v>0</v>
      </c>
      <c r="DH46" s="33">
        <f t="shared" si="22"/>
        <v>0</v>
      </c>
      <c r="DI46" s="33">
        <f t="shared" si="22"/>
        <v>0</v>
      </c>
      <c r="DJ46" s="33">
        <f t="shared" si="22"/>
        <v>0</v>
      </c>
      <c r="DK46" s="33">
        <f t="shared" si="22"/>
        <v>0</v>
      </c>
      <c r="DL46" s="33">
        <f t="shared" si="21"/>
        <v>0</v>
      </c>
      <c r="DM46" s="33">
        <f t="shared" si="21"/>
        <v>0</v>
      </c>
      <c r="DN46" s="33">
        <f t="shared" si="19"/>
        <v>0</v>
      </c>
      <c r="DO46" s="33">
        <f t="shared" si="3"/>
        <v>0</v>
      </c>
      <c r="DP46" s="50">
        <f t="shared" si="10"/>
        <v>0</v>
      </c>
      <c r="DQ46" s="50">
        <f t="shared" si="11"/>
        <v>0</v>
      </c>
      <c r="DR46" s="33">
        <f t="shared" si="4"/>
        <v>0</v>
      </c>
      <c r="DS46" s="50">
        <f t="shared" si="12"/>
        <v>0</v>
      </c>
      <c r="DT46" s="50">
        <f t="shared" si="13"/>
        <v>0</v>
      </c>
      <c r="DU46" s="33">
        <f t="shared" si="5"/>
        <v>0</v>
      </c>
      <c r="DV46" s="33">
        <f t="shared" si="5"/>
        <v>0</v>
      </c>
      <c r="DW46" s="33">
        <f t="shared" si="5"/>
        <v>0</v>
      </c>
      <c r="DX46" s="33">
        <f t="shared" si="5"/>
        <v>0</v>
      </c>
      <c r="DY46" s="35">
        <f t="shared" si="14"/>
        <v>0</v>
      </c>
      <c r="DZ46" s="33">
        <f t="shared" si="15"/>
        <v>13</v>
      </c>
      <c r="EA46" s="33">
        <f t="shared" si="16"/>
        <v>13</v>
      </c>
      <c r="EB46" s="33" t="str">
        <f t="shared" si="17"/>
        <v>IGUAL CAMPOS PREENCH</v>
      </c>
      <c r="EC46" s="33" t="s">
        <v>10035</v>
      </c>
    </row>
    <row r="47" spans="2:133" x14ac:dyDescent="0.25">
      <c r="B47" s="33" t="s">
        <v>9018</v>
      </c>
      <c r="C47" s="33" t="s">
        <v>138</v>
      </c>
      <c r="D47" s="33" t="s">
        <v>8486</v>
      </c>
      <c r="E47" s="33" t="s">
        <v>8487</v>
      </c>
      <c r="F47" s="33" t="s">
        <v>8488</v>
      </c>
      <c r="G47" s="33" t="s">
        <v>8487</v>
      </c>
      <c r="H47" s="33" t="s">
        <v>8727</v>
      </c>
      <c r="I47" s="33" t="s">
        <v>8728</v>
      </c>
      <c r="J47" s="33" t="s">
        <v>8729</v>
      </c>
      <c r="K47" s="33" t="s">
        <v>8570</v>
      </c>
      <c r="L47" s="33" t="s">
        <v>8571</v>
      </c>
      <c r="M47" s="33" t="s">
        <v>8730</v>
      </c>
      <c r="N47" s="33" t="s">
        <v>9019</v>
      </c>
      <c r="O47" s="33"/>
      <c r="P47" s="33"/>
      <c r="Q47" s="33" t="s">
        <v>8571</v>
      </c>
      <c r="R47" s="33"/>
      <c r="S47" s="33"/>
      <c r="T47" s="33"/>
      <c r="U47" s="33" t="s">
        <v>8732</v>
      </c>
      <c r="V47" s="33" t="s">
        <v>8733</v>
      </c>
      <c r="W47" s="33" t="s">
        <v>9020</v>
      </c>
      <c r="X47" s="33"/>
      <c r="Y47" s="33" t="s">
        <v>8500</v>
      </c>
      <c r="Z47" s="33" t="s">
        <v>8500</v>
      </c>
      <c r="AA47" s="33" t="s">
        <v>8500</v>
      </c>
      <c r="AB47" s="33" t="s">
        <v>8525</v>
      </c>
      <c r="AC47" s="33"/>
      <c r="AD47" s="33"/>
      <c r="AE47" s="33"/>
      <c r="AF47" s="33" t="s">
        <v>9021</v>
      </c>
      <c r="AG47" s="33"/>
      <c r="AH47" s="33" t="s">
        <v>8606</v>
      </c>
      <c r="AI47" s="33"/>
      <c r="AJ47" s="33" t="s">
        <v>8545</v>
      </c>
      <c r="AK47" s="33" t="s">
        <v>8528</v>
      </c>
      <c r="AL47" s="33" t="s">
        <v>8528</v>
      </c>
      <c r="AM47" s="33" t="s">
        <v>8506</v>
      </c>
      <c r="AN47" s="33" t="s">
        <v>9015</v>
      </c>
      <c r="AO47" s="33" t="s">
        <v>9016</v>
      </c>
      <c r="AP47" s="33">
        <v>1</v>
      </c>
      <c r="AQ47" s="5" t="s">
        <v>10037</v>
      </c>
      <c r="AR47" s="33"/>
      <c r="AS47" s="33" t="s">
        <v>138</v>
      </c>
      <c r="AT47" s="33" t="s">
        <v>8486</v>
      </c>
      <c r="AU47" s="33" t="s">
        <v>8487</v>
      </c>
      <c r="AV47" s="33" t="s">
        <v>8488</v>
      </c>
      <c r="AW47" s="33" t="s">
        <v>8487</v>
      </c>
      <c r="AX47" s="33" t="s">
        <v>8727</v>
      </c>
      <c r="AY47" s="33" t="s">
        <v>8728</v>
      </c>
      <c r="AZ47" s="33" t="s">
        <v>8729</v>
      </c>
      <c r="BA47" s="33" t="s">
        <v>8570</v>
      </c>
      <c r="BB47" s="33" t="s">
        <v>8571</v>
      </c>
      <c r="BC47" s="33" t="s">
        <v>8730</v>
      </c>
      <c r="BD47" s="33" t="s">
        <v>9019</v>
      </c>
      <c r="BE47" s="33"/>
      <c r="BF47" s="33"/>
      <c r="BG47" s="33" t="s">
        <v>8571</v>
      </c>
      <c r="BH47" s="33"/>
      <c r="BI47" s="33"/>
      <c r="BJ47" s="33"/>
      <c r="BK47" s="33" t="s">
        <v>8732</v>
      </c>
      <c r="BL47" s="33" t="s">
        <v>8733</v>
      </c>
      <c r="BM47" s="33" t="s">
        <v>9020</v>
      </c>
      <c r="BN47" s="33"/>
      <c r="BO47" s="33" t="s">
        <v>8500</v>
      </c>
      <c r="BP47" s="33" t="s">
        <v>8500</v>
      </c>
      <c r="BQ47" s="33" t="s">
        <v>8500</v>
      </c>
      <c r="BR47" s="33" t="s">
        <v>8525</v>
      </c>
      <c r="BS47" s="33"/>
      <c r="BT47" s="33"/>
      <c r="BU47" s="33"/>
      <c r="BV47" s="33" t="s">
        <v>9021</v>
      </c>
      <c r="BW47" s="33"/>
      <c r="BX47" s="33" t="s">
        <v>8606</v>
      </c>
      <c r="BY47" s="33"/>
      <c r="BZ47" s="33"/>
      <c r="CA47" s="33"/>
      <c r="CB47" s="33" t="s">
        <v>8528</v>
      </c>
      <c r="CC47" s="33" t="s">
        <v>8506</v>
      </c>
      <c r="CD47" s="33" t="s">
        <v>9015</v>
      </c>
      <c r="CE47" s="33" t="s">
        <v>9016</v>
      </c>
      <c r="CF47" s="33">
        <v>2</v>
      </c>
      <c r="CG47" s="5" t="s">
        <v>10037</v>
      </c>
      <c r="CH47" s="33">
        <f t="shared" si="20"/>
        <v>0</v>
      </c>
      <c r="CI47" s="33">
        <f t="shared" si="20"/>
        <v>0</v>
      </c>
      <c r="CJ47" s="33">
        <f t="shared" si="20"/>
        <v>0</v>
      </c>
      <c r="CK47" s="33">
        <f t="shared" si="20"/>
        <v>0</v>
      </c>
      <c r="CL47" s="33">
        <f t="shared" si="20"/>
        <v>0</v>
      </c>
      <c r="CM47" s="33">
        <f t="shared" si="20"/>
        <v>0</v>
      </c>
      <c r="CN47" s="33">
        <f t="shared" si="20"/>
        <v>0</v>
      </c>
      <c r="CO47" s="33">
        <f t="shared" si="20"/>
        <v>0</v>
      </c>
      <c r="CP47" s="33">
        <f t="shared" si="20"/>
        <v>0</v>
      </c>
      <c r="CQ47" s="33">
        <f t="shared" si="20"/>
        <v>0</v>
      </c>
      <c r="CR47" s="33">
        <f t="shared" si="20"/>
        <v>0</v>
      </c>
      <c r="CS47" s="33">
        <f t="shared" si="20"/>
        <v>0</v>
      </c>
      <c r="CT47" s="33">
        <f t="shared" si="20"/>
        <v>0</v>
      </c>
      <c r="CU47" s="33">
        <f t="shared" si="20"/>
        <v>0</v>
      </c>
      <c r="CV47" s="33">
        <f t="shared" si="20"/>
        <v>0</v>
      </c>
      <c r="CW47" s="33">
        <f t="shared" si="20"/>
        <v>0</v>
      </c>
      <c r="CX47" s="33">
        <f t="shared" si="22"/>
        <v>0</v>
      </c>
      <c r="CY47" s="33">
        <f t="shared" si="22"/>
        <v>0</v>
      </c>
      <c r="CZ47" s="33">
        <f t="shared" si="22"/>
        <v>0</v>
      </c>
      <c r="DA47" s="33">
        <f t="shared" si="22"/>
        <v>0</v>
      </c>
      <c r="DB47" s="33">
        <f t="shared" si="22"/>
        <v>0</v>
      </c>
      <c r="DC47" s="33">
        <f t="shared" si="22"/>
        <v>0</v>
      </c>
      <c r="DD47" s="33">
        <f t="shared" si="22"/>
        <v>0</v>
      </c>
      <c r="DE47" s="33">
        <f t="shared" si="22"/>
        <v>0</v>
      </c>
      <c r="DF47" s="33">
        <f t="shared" si="22"/>
        <v>0</v>
      </c>
      <c r="DG47" s="33">
        <f t="shared" si="22"/>
        <v>0</v>
      </c>
      <c r="DH47" s="33">
        <f t="shared" si="22"/>
        <v>0</v>
      </c>
      <c r="DI47" s="33">
        <f t="shared" si="22"/>
        <v>0</v>
      </c>
      <c r="DJ47" s="33">
        <f t="shared" si="22"/>
        <v>0</v>
      </c>
      <c r="DK47" s="33">
        <f t="shared" si="22"/>
        <v>0</v>
      </c>
      <c r="DL47" s="33">
        <f t="shared" si="21"/>
        <v>0</v>
      </c>
      <c r="DM47" s="33">
        <f t="shared" si="21"/>
        <v>0</v>
      </c>
      <c r="DN47" s="33">
        <f t="shared" si="19"/>
        <v>0</v>
      </c>
      <c r="DO47" s="33">
        <f t="shared" si="3"/>
        <v>1</v>
      </c>
      <c r="DP47" s="50" t="str">
        <f t="shared" si="10"/>
        <v>D</v>
      </c>
      <c r="DQ47" s="50">
        <f t="shared" si="11"/>
        <v>0</v>
      </c>
      <c r="DR47" s="33">
        <f t="shared" si="4"/>
        <v>1</v>
      </c>
      <c r="DS47" s="50" t="str">
        <f t="shared" si="12"/>
        <v>5-MEDIA BAJA</v>
      </c>
      <c r="DT47" s="50">
        <f t="shared" si="13"/>
        <v>0</v>
      </c>
      <c r="DU47" s="33">
        <f t="shared" si="5"/>
        <v>0</v>
      </c>
      <c r="DV47" s="33">
        <f t="shared" si="5"/>
        <v>0</v>
      </c>
      <c r="DW47" s="33">
        <f t="shared" si="5"/>
        <v>0</v>
      </c>
      <c r="DX47" s="33">
        <f t="shared" si="5"/>
        <v>0</v>
      </c>
      <c r="DY47" s="35">
        <f t="shared" si="14"/>
        <v>2</v>
      </c>
      <c r="DZ47" s="33">
        <f t="shared" si="15"/>
        <v>11</v>
      </c>
      <c r="EA47" s="33">
        <f t="shared" si="16"/>
        <v>13</v>
      </c>
      <c r="EB47" s="33" t="str">
        <f t="shared" si="17"/>
        <v>AUX 1 COM + CAMPOS PREENC OU IGUAL</v>
      </c>
      <c r="EC47" s="33" t="s">
        <v>10034</v>
      </c>
    </row>
    <row r="48" spans="2:133" x14ac:dyDescent="0.25">
      <c r="B48" s="33"/>
      <c r="C48" s="33" t="s">
        <v>128</v>
      </c>
      <c r="D48" s="33" t="s">
        <v>8486</v>
      </c>
      <c r="E48" s="33" t="s">
        <v>8487</v>
      </c>
      <c r="F48" s="33" t="s">
        <v>8488</v>
      </c>
      <c r="G48" s="33" t="s">
        <v>8487</v>
      </c>
      <c r="H48" s="33" t="s">
        <v>9022</v>
      </c>
      <c r="I48" s="33" t="s">
        <v>9023</v>
      </c>
      <c r="J48" s="33" t="s">
        <v>9024</v>
      </c>
      <c r="K48" s="33" t="s">
        <v>8491</v>
      </c>
      <c r="L48" s="33" t="s">
        <v>8492</v>
      </c>
      <c r="M48" s="33" t="s">
        <v>9025</v>
      </c>
      <c r="N48" s="33" t="s">
        <v>8521</v>
      </c>
      <c r="O48" s="33"/>
      <c r="P48" s="33"/>
      <c r="Q48" s="33" t="s">
        <v>8492</v>
      </c>
      <c r="R48" s="33"/>
      <c r="S48" s="33"/>
      <c r="T48" s="33"/>
      <c r="U48" s="33" t="s">
        <v>9026</v>
      </c>
      <c r="V48" s="33" t="s">
        <v>9027</v>
      </c>
      <c r="W48" s="33" t="s">
        <v>9028</v>
      </c>
      <c r="X48" s="33"/>
      <c r="Y48" s="33" t="s">
        <v>8500</v>
      </c>
      <c r="Z48" s="33" t="s">
        <v>8500</v>
      </c>
      <c r="AA48" s="33" t="s">
        <v>8500</v>
      </c>
      <c r="AB48" s="33" t="s">
        <v>8500</v>
      </c>
      <c r="AC48" s="33"/>
      <c r="AD48" s="33"/>
      <c r="AE48" s="33"/>
      <c r="AF48" s="33" t="s">
        <v>9029</v>
      </c>
      <c r="AG48" s="33"/>
      <c r="AH48" s="33" t="s">
        <v>8505</v>
      </c>
      <c r="AI48" s="33"/>
      <c r="AJ48" s="33"/>
      <c r="AK48" s="33"/>
      <c r="AL48" s="33" t="s">
        <v>8528</v>
      </c>
      <c r="AM48" s="33" t="s">
        <v>8506</v>
      </c>
      <c r="AN48" s="33" t="s">
        <v>9030</v>
      </c>
      <c r="AO48" s="33" t="s">
        <v>9031</v>
      </c>
      <c r="AP48" s="33">
        <v>1</v>
      </c>
      <c r="AQ48" s="5" t="s">
        <v>10037</v>
      </c>
      <c r="AR48" s="33" t="s">
        <v>9032</v>
      </c>
      <c r="AS48" s="33" t="s">
        <v>128</v>
      </c>
      <c r="AT48" s="33" t="s">
        <v>8486</v>
      </c>
      <c r="AU48" s="33" t="s">
        <v>8487</v>
      </c>
      <c r="AV48" s="33" t="s">
        <v>8488</v>
      </c>
      <c r="AW48" s="33" t="s">
        <v>8487</v>
      </c>
      <c r="AX48" s="33" t="s">
        <v>9022</v>
      </c>
      <c r="AY48" s="33" t="s">
        <v>9023</v>
      </c>
      <c r="AZ48" s="33" t="s">
        <v>9024</v>
      </c>
      <c r="BA48" s="33" t="s">
        <v>8491</v>
      </c>
      <c r="BB48" s="33" t="s">
        <v>8492</v>
      </c>
      <c r="BC48" s="33" t="s">
        <v>9025</v>
      </c>
      <c r="BD48" s="33" t="s">
        <v>8521</v>
      </c>
      <c r="BE48" s="33"/>
      <c r="BF48" s="33"/>
      <c r="BG48" s="33" t="s">
        <v>8492</v>
      </c>
      <c r="BH48" s="33"/>
      <c r="BI48" s="33"/>
      <c r="BJ48" s="33"/>
      <c r="BK48" s="33" t="s">
        <v>9026</v>
      </c>
      <c r="BL48" s="33" t="s">
        <v>9027</v>
      </c>
      <c r="BM48" s="33" t="s">
        <v>9028</v>
      </c>
      <c r="BN48" s="33"/>
      <c r="BO48" s="33" t="s">
        <v>8500</v>
      </c>
      <c r="BP48" s="33" t="s">
        <v>8500</v>
      </c>
      <c r="BQ48" s="33" t="s">
        <v>8500</v>
      </c>
      <c r="BR48" s="33" t="s">
        <v>8500</v>
      </c>
      <c r="BS48" s="33"/>
      <c r="BT48" s="33"/>
      <c r="BU48" s="33"/>
      <c r="BV48" s="33" t="s">
        <v>9029</v>
      </c>
      <c r="BW48" s="33"/>
      <c r="BX48" s="33" t="s">
        <v>8505</v>
      </c>
      <c r="BY48" s="33"/>
      <c r="BZ48" s="33" t="s">
        <v>8506</v>
      </c>
      <c r="CA48" s="33" t="s">
        <v>8528</v>
      </c>
      <c r="CB48" s="33" t="s">
        <v>8528</v>
      </c>
      <c r="CC48" s="33" t="s">
        <v>8506</v>
      </c>
      <c r="CD48" s="33" t="s">
        <v>9030</v>
      </c>
      <c r="CE48" s="33" t="s">
        <v>9031</v>
      </c>
      <c r="CF48" s="33">
        <v>2</v>
      </c>
      <c r="CG48" s="5" t="s">
        <v>10037</v>
      </c>
      <c r="CH48" s="33">
        <f t="shared" si="20"/>
        <v>0</v>
      </c>
      <c r="CI48" s="33">
        <f t="shared" si="20"/>
        <v>0</v>
      </c>
      <c r="CJ48" s="33">
        <f t="shared" si="20"/>
        <v>0</v>
      </c>
      <c r="CK48" s="33">
        <f t="shared" si="20"/>
        <v>0</v>
      </c>
      <c r="CL48" s="33">
        <f t="shared" si="20"/>
        <v>0</v>
      </c>
      <c r="CM48" s="33">
        <f t="shared" si="20"/>
        <v>0</v>
      </c>
      <c r="CN48" s="33">
        <f t="shared" si="20"/>
        <v>0</v>
      </c>
      <c r="CO48" s="33">
        <f t="shared" si="20"/>
        <v>0</v>
      </c>
      <c r="CP48" s="33">
        <f t="shared" si="20"/>
        <v>0</v>
      </c>
      <c r="CQ48" s="33">
        <f t="shared" si="20"/>
        <v>0</v>
      </c>
      <c r="CR48" s="33">
        <f t="shared" si="20"/>
        <v>0</v>
      </c>
      <c r="CS48" s="33">
        <f t="shared" si="20"/>
        <v>0</v>
      </c>
      <c r="CT48" s="33">
        <f t="shared" si="20"/>
        <v>0</v>
      </c>
      <c r="CU48" s="33">
        <f t="shared" si="20"/>
        <v>0</v>
      </c>
      <c r="CV48" s="33">
        <f t="shared" si="20"/>
        <v>0</v>
      </c>
      <c r="CW48" s="33">
        <f t="shared" si="20"/>
        <v>0</v>
      </c>
      <c r="CX48" s="33">
        <f t="shared" si="22"/>
        <v>0</v>
      </c>
      <c r="CY48" s="33">
        <f t="shared" si="22"/>
        <v>0</v>
      </c>
      <c r="CZ48" s="33">
        <f t="shared" si="22"/>
        <v>0</v>
      </c>
      <c r="DA48" s="33">
        <f t="shared" si="22"/>
        <v>0</v>
      </c>
      <c r="DB48" s="33">
        <f t="shared" si="22"/>
        <v>0</v>
      </c>
      <c r="DC48" s="33">
        <f t="shared" si="22"/>
        <v>0</v>
      </c>
      <c r="DD48" s="33">
        <f t="shared" si="22"/>
        <v>0</v>
      </c>
      <c r="DE48" s="33">
        <f t="shared" si="22"/>
        <v>0</v>
      </c>
      <c r="DF48" s="33">
        <f t="shared" si="22"/>
        <v>0</v>
      </c>
      <c r="DG48" s="33">
        <f t="shared" si="22"/>
        <v>0</v>
      </c>
      <c r="DH48" s="33">
        <f t="shared" si="22"/>
        <v>0</v>
      </c>
      <c r="DI48" s="33">
        <f t="shared" si="22"/>
        <v>0</v>
      </c>
      <c r="DJ48" s="33">
        <f t="shared" si="22"/>
        <v>0</v>
      </c>
      <c r="DK48" s="33">
        <f t="shared" si="22"/>
        <v>0</v>
      </c>
      <c r="DL48" s="33">
        <f t="shared" si="21"/>
        <v>0</v>
      </c>
      <c r="DM48" s="33">
        <f t="shared" si="21"/>
        <v>0</v>
      </c>
      <c r="DN48" s="33">
        <f t="shared" si="19"/>
        <v>0</v>
      </c>
      <c r="DO48" s="33">
        <f t="shared" si="3"/>
        <v>1</v>
      </c>
      <c r="DP48" s="50">
        <f t="shared" si="10"/>
        <v>0</v>
      </c>
      <c r="DQ48" s="50" t="str">
        <f t="shared" si="11"/>
        <v>C</v>
      </c>
      <c r="DR48" s="33">
        <f t="shared" si="4"/>
        <v>1</v>
      </c>
      <c r="DS48" s="50">
        <f t="shared" si="12"/>
        <v>0</v>
      </c>
      <c r="DT48" s="50" t="str">
        <f t="shared" si="13"/>
        <v>5-MEDIA BAJA</v>
      </c>
      <c r="DU48" s="33">
        <f t="shared" si="5"/>
        <v>0</v>
      </c>
      <c r="DV48" s="33">
        <f t="shared" si="5"/>
        <v>0</v>
      </c>
      <c r="DW48" s="33">
        <f t="shared" si="5"/>
        <v>0</v>
      </c>
      <c r="DX48" s="33">
        <f t="shared" si="5"/>
        <v>0</v>
      </c>
      <c r="DY48" s="35">
        <f t="shared" si="14"/>
        <v>2</v>
      </c>
      <c r="DZ48" s="33">
        <f t="shared" si="15"/>
        <v>13</v>
      </c>
      <c r="EA48" s="33">
        <f t="shared" si="16"/>
        <v>11</v>
      </c>
      <c r="EB48" s="33" t="str">
        <f t="shared" si="17"/>
        <v>AUX 2 COM + CAMPOS PREENC</v>
      </c>
      <c r="EC48" s="33" t="s">
        <v>10034</v>
      </c>
    </row>
    <row r="49" spans="2:133" x14ac:dyDescent="0.25">
      <c r="B49" s="33"/>
      <c r="C49" s="33" t="s">
        <v>156</v>
      </c>
      <c r="D49" s="33" t="s">
        <v>8945</v>
      </c>
      <c r="E49" s="33" t="s">
        <v>8946</v>
      </c>
      <c r="F49" s="33" t="s">
        <v>9033</v>
      </c>
      <c r="G49" s="33" t="s">
        <v>9034</v>
      </c>
      <c r="H49" s="33" t="s">
        <v>9035</v>
      </c>
      <c r="I49" s="33" t="s">
        <v>9036</v>
      </c>
      <c r="J49" s="33" t="s">
        <v>8946</v>
      </c>
      <c r="K49" s="33"/>
      <c r="L49" s="33"/>
      <c r="M49" s="33"/>
      <c r="N49" s="33"/>
      <c r="O49" s="33"/>
      <c r="P49" s="33"/>
      <c r="Q49" s="33"/>
      <c r="R49" s="33" t="s">
        <v>9037</v>
      </c>
      <c r="S49" s="33"/>
      <c r="T49" s="33"/>
      <c r="U49" s="33" t="s">
        <v>9038</v>
      </c>
      <c r="V49" s="33"/>
      <c r="W49" s="33" t="s">
        <v>9039</v>
      </c>
      <c r="X49" s="33" t="s">
        <v>9040</v>
      </c>
      <c r="Y49" s="33" t="s">
        <v>8500</v>
      </c>
      <c r="Z49" s="33" t="s">
        <v>8500</v>
      </c>
      <c r="AA49" s="33" t="s">
        <v>8500</v>
      </c>
      <c r="AB49" s="33" t="s">
        <v>8525</v>
      </c>
      <c r="AC49" s="33"/>
      <c r="AD49" s="33" t="s">
        <v>8501</v>
      </c>
      <c r="AE49" s="33" t="s">
        <v>8502</v>
      </c>
      <c r="AF49" s="33" t="s">
        <v>9041</v>
      </c>
      <c r="AG49" s="33" t="s">
        <v>9042</v>
      </c>
      <c r="AH49" s="33" t="s">
        <v>8560</v>
      </c>
      <c r="AI49" s="33"/>
      <c r="AJ49" s="33" t="s">
        <v>8577</v>
      </c>
      <c r="AK49" s="33" t="s">
        <v>8528</v>
      </c>
      <c r="AL49" s="33" t="s">
        <v>8528</v>
      </c>
      <c r="AM49" s="33" t="s">
        <v>8506</v>
      </c>
      <c r="AN49" s="33" t="s">
        <v>9043</v>
      </c>
      <c r="AO49" s="33" t="s">
        <v>9044</v>
      </c>
      <c r="AP49" s="33">
        <v>1</v>
      </c>
      <c r="AQ49" s="5" t="s">
        <v>10037</v>
      </c>
      <c r="AR49" s="33"/>
      <c r="AS49" s="33" t="s">
        <v>156</v>
      </c>
      <c r="AT49" s="33" t="s">
        <v>8945</v>
      </c>
      <c r="AU49" s="33" t="s">
        <v>8946</v>
      </c>
      <c r="AV49" s="33" t="s">
        <v>9033</v>
      </c>
      <c r="AW49" s="33" t="s">
        <v>9034</v>
      </c>
      <c r="AX49" s="33" t="s">
        <v>9035</v>
      </c>
      <c r="AY49" s="33" t="s">
        <v>9036</v>
      </c>
      <c r="AZ49" s="33" t="s">
        <v>8946</v>
      </c>
      <c r="BA49" s="33"/>
      <c r="BB49" s="33"/>
      <c r="BC49" s="33"/>
      <c r="BD49" s="33"/>
      <c r="BE49" s="33"/>
      <c r="BF49" s="33"/>
      <c r="BG49" s="33"/>
      <c r="BH49" s="33" t="s">
        <v>9037</v>
      </c>
      <c r="BI49" s="33"/>
      <c r="BJ49" s="33"/>
      <c r="BK49" s="33" t="s">
        <v>9038</v>
      </c>
      <c r="BL49" s="33"/>
      <c r="BM49" s="33" t="s">
        <v>9039</v>
      </c>
      <c r="BN49" s="33" t="s">
        <v>9040</v>
      </c>
      <c r="BO49" s="33" t="s">
        <v>8500</v>
      </c>
      <c r="BP49" s="33" t="s">
        <v>8500</v>
      </c>
      <c r="BQ49" s="33" t="s">
        <v>8500</v>
      </c>
      <c r="BR49" s="33" t="s">
        <v>8525</v>
      </c>
      <c r="BS49" s="33"/>
      <c r="BT49" s="33"/>
      <c r="BU49" s="33" t="s">
        <v>8502</v>
      </c>
      <c r="BV49" s="33" t="s">
        <v>9041</v>
      </c>
      <c r="BW49" s="33" t="s">
        <v>9042</v>
      </c>
      <c r="BX49" s="33" t="s">
        <v>8560</v>
      </c>
      <c r="BY49" s="33"/>
      <c r="BZ49" s="33"/>
      <c r="CA49" s="33"/>
      <c r="CB49" s="33" t="s">
        <v>8528</v>
      </c>
      <c r="CC49" s="33" t="s">
        <v>8506</v>
      </c>
      <c r="CD49" s="33" t="s">
        <v>9043</v>
      </c>
      <c r="CE49" s="33" t="s">
        <v>9044</v>
      </c>
      <c r="CF49" s="33">
        <v>2</v>
      </c>
      <c r="CG49" s="5" t="s">
        <v>10037</v>
      </c>
      <c r="CH49" s="33">
        <f t="shared" si="20"/>
        <v>0</v>
      </c>
      <c r="CI49" s="33">
        <f t="shared" si="20"/>
        <v>0</v>
      </c>
      <c r="CJ49" s="33">
        <f t="shared" si="20"/>
        <v>0</v>
      </c>
      <c r="CK49" s="33">
        <f t="shared" si="20"/>
        <v>0</v>
      </c>
      <c r="CL49" s="33">
        <f t="shared" si="20"/>
        <v>0</v>
      </c>
      <c r="CM49" s="33">
        <f t="shared" si="20"/>
        <v>0</v>
      </c>
      <c r="CN49" s="33">
        <f t="shared" si="20"/>
        <v>0</v>
      </c>
      <c r="CO49" s="33">
        <f t="shared" si="20"/>
        <v>0</v>
      </c>
      <c r="CP49" s="33">
        <f t="shared" si="20"/>
        <v>0</v>
      </c>
      <c r="CQ49" s="33">
        <f t="shared" si="20"/>
        <v>0</v>
      </c>
      <c r="CR49" s="33">
        <f t="shared" si="20"/>
        <v>0</v>
      </c>
      <c r="CS49" s="33">
        <f t="shared" si="20"/>
        <v>0</v>
      </c>
      <c r="CT49" s="33">
        <f t="shared" si="20"/>
        <v>0</v>
      </c>
      <c r="CU49" s="33">
        <f t="shared" si="20"/>
        <v>0</v>
      </c>
      <c r="CV49" s="33">
        <f t="shared" si="20"/>
        <v>0</v>
      </c>
      <c r="CW49" s="33">
        <f t="shared" si="20"/>
        <v>0</v>
      </c>
      <c r="CX49" s="33">
        <f t="shared" si="22"/>
        <v>0</v>
      </c>
      <c r="CY49" s="33">
        <f t="shared" si="22"/>
        <v>0</v>
      </c>
      <c r="CZ49" s="33">
        <f t="shared" si="22"/>
        <v>0</v>
      </c>
      <c r="DA49" s="33">
        <f t="shared" si="22"/>
        <v>0</v>
      </c>
      <c r="DB49" s="33">
        <f t="shared" si="22"/>
        <v>0</v>
      </c>
      <c r="DC49" s="33">
        <f t="shared" si="22"/>
        <v>0</v>
      </c>
      <c r="DD49" s="33">
        <f t="shared" si="22"/>
        <v>0</v>
      </c>
      <c r="DE49" s="33">
        <f t="shared" si="22"/>
        <v>0</v>
      </c>
      <c r="DF49" s="33">
        <f t="shared" si="22"/>
        <v>0</v>
      </c>
      <c r="DG49" s="33">
        <f t="shared" si="22"/>
        <v>0</v>
      </c>
      <c r="DH49" s="33">
        <f t="shared" si="22"/>
        <v>0</v>
      </c>
      <c r="DI49" s="33">
        <f t="shared" si="22"/>
        <v>1</v>
      </c>
      <c r="DJ49" s="33">
        <f t="shared" si="22"/>
        <v>0</v>
      </c>
      <c r="DK49" s="33">
        <f t="shared" si="22"/>
        <v>0</v>
      </c>
      <c r="DL49" s="33">
        <f t="shared" si="21"/>
        <v>0</v>
      </c>
      <c r="DM49" s="33">
        <f t="shared" si="21"/>
        <v>0</v>
      </c>
      <c r="DN49" s="33">
        <f t="shared" si="19"/>
        <v>0</v>
      </c>
      <c r="DO49" s="33">
        <f t="shared" si="3"/>
        <v>1</v>
      </c>
      <c r="DP49" s="50" t="str">
        <f t="shared" si="10"/>
        <v>E</v>
      </c>
      <c r="DQ49" s="50">
        <f t="shared" si="11"/>
        <v>0</v>
      </c>
      <c r="DR49" s="33">
        <f t="shared" si="4"/>
        <v>1</v>
      </c>
      <c r="DS49" s="50" t="str">
        <f t="shared" si="12"/>
        <v>5-MEDIA BAJA</v>
      </c>
      <c r="DT49" s="50">
        <f t="shared" si="13"/>
        <v>0</v>
      </c>
      <c r="DU49" s="33">
        <f t="shared" si="5"/>
        <v>0</v>
      </c>
      <c r="DV49" s="33">
        <f t="shared" si="5"/>
        <v>0</v>
      </c>
      <c r="DW49" s="33">
        <f t="shared" si="5"/>
        <v>0</v>
      </c>
      <c r="DX49" s="33">
        <f t="shared" si="5"/>
        <v>0</v>
      </c>
      <c r="DY49" s="35">
        <f t="shared" si="14"/>
        <v>3</v>
      </c>
      <c r="DZ49" s="33">
        <f t="shared" si="15"/>
        <v>12</v>
      </c>
      <c r="EA49" s="33">
        <f t="shared" si="16"/>
        <v>15</v>
      </c>
      <c r="EB49" s="33" t="str">
        <f t="shared" si="17"/>
        <v>AUX 1 COM + CAMPOS PREENC OU IGUAL</v>
      </c>
      <c r="EC49" s="33" t="s">
        <v>10034</v>
      </c>
    </row>
    <row r="50" spans="2:133" x14ac:dyDescent="0.25">
      <c r="B50" s="33" t="s">
        <v>9045</v>
      </c>
      <c r="C50" s="33" t="s">
        <v>35</v>
      </c>
      <c r="D50" s="33" t="s">
        <v>8801</v>
      </c>
      <c r="E50" s="33" t="s">
        <v>8802</v>
      </c>
      <c r="F50" s="33" t="s">
        <v>9046</v>
      </c>
      <c r="G50" s="33" t="s">
        <v>9047</v>
      </c>
      <c r="H50" s="33" t="s">
        <v>9048</v>
      </c>
      <c r="I50" s="33" t="s">
        <v>9049</v>
      </c>
      <c r="J50" s="33" t="s">
        <v>9049</v>
      </c>
      <c r="K50" s="33" t="s">
        <v>9050</v>
      </c>
      <c r="L50" s="33" t="s">
        <v>9051</v>
      </c>
      <c r="M50" s="33" t="s">
        <v>9052</v>
      </c>
      <c r="N50" s="33" t="s">
        <v>8718</v>
      </c>
      <c r="O50" s="33"/>
      <c r="P50" s="33" t="s">
        <v>9053</v>
      </c>
      <c r="Q50" s="33" t="s">
        <v>9051</v>
      </c>
      <c r="R50" s="33"/>
      <c r="S50" s="33"/>
      <c r="T50" s="33"/>
      <c r="U50" s="33" t="s">
        <v>9054</v>
      </c>
      <c r="V50" s="33" t="s">
        <v>9055</v>
      </c>
      <c r="W50" s="33" t="s">
        <v>9056</v>
      </c>
      <c r="X50" s="33"/>
      <c r="Y50" s="33" t="s">
        <v>8500</v>
      </c>
      <c r="Z50" s="33" t="s">
        <v>8500</v>
      </c>
      <c r="AA50" s="33" t="s">
        <v>8500</v>
      </c>
      <c r="AB50" s="33" t="s">
        <v>8525</v>
      </c>
      <c r="AC50" s="33"/>
      <c r="AD50" s="33"/>
      <c r="AE50" s="33"/>
      <c r="AF50" s="33" t="s">
        <v>9057</v>
      </c>
      <c r="AG50" s="33"/>
      <c r="AH50" s="33" t="s">
        <v>8723</v>
      </c>
      <c r="AI50" s="33"/>
      <c r="AJ50" s="33"/>
      <c r="AK50" s="33"/>
      <c r="AL50" s="33" t="s">
        <v>8528</v>
      </c>
      <c r="AM50" s="33" t="s">
        <v>8577</v>
      </c>
      <c r="AN50" s="33" t="s">
        <v>9058</v>
      </c>
      <c r="AO50" s="33" t="s">
        <v>9059</v>
      </c>
      <c r="AP50" s="33">
        <v>1</v>
      </c>
      <c r="AQ50" s="5" t="s">
        <v>10037</v>
      </c>
      <c r="AR50" s="33"/>
      <c r="AS50" s="33" t="s">
        <v>35</v>
      </c>
      <c r="AT50" s="33" t="s">
        <v>8801</v>
      </c>
      <c r="AU50" s="33" t="s">
        <v>8802</v>
      </c>
      <c r="AV50" s="33" t="s">
        <v>9046</v>
      </c>
      <c r="AW50" s="33" t="s">
        <v>9047</v>
      </c>
      <c r="AX50" s="33" t="s">
        <v>9048</v>
      </c>
      <c r="AY50" s="33" t="s">
        <v>9049</v>
      </c>
      <c r="AZ50" s="33" t="s">
        <v>9049</v>
      </c>
      <c r="BA50" s="33" t="s">
        <v>9050</v>
      </c>
      <c r="BB50" s="33" t="s">
        <v>9051</v>
      </c>
      <c r="BC50" s="33" t="s">
        <v>9052</v>
      </c>
      <c r="BD50" s="33" t="s">
        <v>8718</v>
      </c>
      <c r="BE50" s="33"/>
      <c r="BF50" s="33" t="s">
        <v>9053</v>
      </c>
      <c r="BG50" s="33" t="s">
        <v>9051</v>
      </c>
      <c r="BH50" s="33"/>
      <c r="BI50" s="33"/>
      <c r="BJ50" s="33"/>
      <c r="BK50" s="33" t="s">
        <v>9054</v>
      </c>
      <c r="BL50" s="33" t="s">
        <v>9055</v>
      </c>
      <c r="BM50" s="33" t="s">
        <v>9056</v>
      </c>
      <c r="BN50" s="33"/>
      <c r="BO50" s="33" t="s">
        <v>8500</v>
      </c>
      <c r="BP50" s="33" t="s">
        <v>8500</v>
      </c>
      <c r="BQ50" s="33" t="s">
        <v>8500</v>
      </c>
      <c r="BR50" s="33" t="s">
        <v>8525</v>
      </c>
      <c r="BS50" s="33"/>
      <c r="BT50" s="33"/>
      <c r="BU50" s="33"/>
      <c r="BV50" s="33" t="s">
        <v>9057</v>
      </c>
      <c r="BW50" s="33"/>
      <c r="BX50" s="33" t="s">
        <v>8723</v>
      </c>
      <c r="BY50" s="33"/>
      <c r="BZ50" s="33"/>
      <c r="CA50" s="33"/>
      <c r="CB50" s="33" t="s">
        <v>8528</v>
      </c>
      <c r="CC50" s="33" t="s">
        <v>8577</v>
      </c>
      <c r="CD50" s="33" t="s">
        <v>9058</v>
      </c>
      <c r="CE50" s="33" t="s">
        <v>9059</v>
      </c>
      <c r="CF50" s="33">
        <v>2</v>
      </c>
      <c r="CG50" s="5" t="s">
        <v>10037</v>
      </c>
      <c r="CH50" s="33">
        <f t="shared" si="20"/>
        <v>0</v>
      </c>
      <c r="CI50" s="33">
        <f t="shared" si="20"/>
        <v>0</v>
      </c>
      <c r="CJ50" s="33">
        <f t="shared" si="20"/>
        <v>0</v>
      </c>
      <c r="CK50" s="33">
        <f t="shared" si="20"/>
        <v>0</v>
      </c>
      <c r="CL50" s="33">
        <f t="shared" si="20"/>
        <v>0</v>
      </c>
      <c r="CM50" s="33">
        <f t="shared" si="20"/>
        <v>0</v>
      </c>
      <c r="CN50" s="33">
        <f t="shared" si="20"/>
        <v>0</v>
      </c>
      <c r="CO50" s="33">
        <f t="shared" si="20"/>
        <v>0</v>
      </c>
      <c r="CP50" s="33">
        <f t="shared" si="20"/>
        <v>0</v>
      </c>
      <c r="CQ50" s="33">
        <f t="shared" si="20"/>
        <v>0</v>
      </c>
      <c r="CR50" s="33">
        <f t="shared" si="20"/>
        <v>0</v>
      </c>
      <c r="CS50" s="33">
        <f t="shared" si="20"/>
        <v>0</v>
      </c>
      <c r="CT50" s="33">
        <f t="shared" si="20"/>
        <v>0</v>
      </c>
      <c r="CU50" s="33">
        <f t="shared" si="20"/>
        <v>0</v>
      </c>
      <c r="CV50" s="33">
        <f t="shared" si="20"/>
        <v>0</v>
      </c>
      <c r="CW50" s="33">
        <f t="shared" si="20"/>
        <v>0</v>
      </c>
      <c r="CX50" s="33">
        <f t="shared" si="22"/>
        <v>0</v>
      </c>
      <c r="CY50" s="33">
        <f t="shared" si="22"/>
        <v>0</v>
      </c>
      <c r="CZ50" s="33">
        <f t="shared" si="22"/>
        <v>0</v>
      </c>
      <c r="DA50" s="33">
        <f t="shared" si="22"/>
        <v>0</v>
      </c>
      <c r="DB50" s="33">
        <f t="shared" si="22"/>
        <v>0</v>
      </c>
      <c r="DC50" s="33">
        <f t="shared" si="22"/>
        <v>0</v>
      </c>
      <c r="DD50" s="33">
        <f t="shared" si="22"/>
        <v>0</v>
      </c>
      <c r="DE50" s="33">
        <f t="shared" si="22"/>
        <v>0</v>
      </c>
      <c r="DF50" s="33">
        <f t="shared" si="22"/>
        <v>0</v>
      </c>
      <c r="DG50" s="33">
        <f t="shared" si="22"/>
        <v>0</v>
      </c>
      <c r="DH50" s="33">
        <f t="shared" si="22"/>
        <v>0</v>
      </c>
      <c r="DI50" s="33">
        <f t="shared" si="22"/>
        <v>0</v>
      </c>
      <c r="DJ50" s="33">
        <f t="shared" si="22"/>
        <v>0</v>
      </c>
      <c r="DK50" s="33">
        <f t="shared" si="22"/>
        <v>0</v>
      </c>
      <c r="DL50" s="33">
        <f t="shared" si="21"/>
        <v>0</v>
      </c>
      <c r="DM50" s="33">
        <f t="shared" si="21"/>
        <v>0</v>
      </c>
      <c r="DN50" s="33">
        <f t="shared" si="19"/>
        <v>0</v>
      </c>
      <c r="DO50" s="33">
        <f t="shared" si="3"/>
        <v>0</v>
      </c>
      <c r="DP50" s="50">
        <f t="shared" si="10"/>
        <v>0</v>
      </c>
      <c r="DQ50" s="50">
        <f t="shared" si="11"/>
        <v>0</v>
      </c>
      <c r="DR50" s="33">
        <f t="shared" si="4"/>
        <v>0</v>
      </c>
      <c r="DS50" s="50">
        <f t="shared" si="12"/>
        <v>0</v>
      </c>
      <c r="DT50" s="50">
        <f t="shared" si="13"/>
        <v>0</v>
      </c>
      <c r="DU50" s="33">
        <f t="shared" si="5"/>
        <v>0</v>
      </c>
      <c r="DV50" s="33">
        <f t="shared" si="5"/>
        <v>0</v>
      </c>
      <c r="DW50" s="33">
        <f t="shared" si="5"/>
        <v>0</v>
      </c>
      <c r="DX50" s="33">
        <f t="shared" si="5"/>
        <v>0</v>
      </c>
      <c r="DY50" s="35">
        <f t="shared" si="14"/>
        <v>0</v>
      </c>
      <c r="DZ50" s="33">
        <f t="shared" si="15"/>
        <v>12</v>
      </c>
      <c r="EA50" s="33">
        <f t="shared" si="16"/>
        <v>12</v>
      </c>
      <c r="EB50" s="33" t="str">
        <f t="shared" si="17"/>
        <v>IGUAL CAMPOS PREENCH</v>
      </c>
      <c r="EC50" s="33" t="s">
        <v>10035</v>
      </c>
    </row>
    <row r="51" spans="2:133" x14ac:dyDescent="0.25">
      <c r="B51" s="33"/>
      <c r="C51" s="33" t="s">
        <v>81</v>
      </c>
      <c r="D51" s="33" t="s">
        <v>8801</v>
      </c>
      <c r="E51" s="33" t="s">
        <v>8802</v>
      </c>
      <c r="F51" s="33" t="s">
        <v>8803</v>
      </c>
      <c r="G51" s="33" t="s">
        <v>8804</v>
      </c>
      <c r="H51" s="33" t="s">
        <v>8805</v>
      </c>
      <c r="I51" s="33" t="s">
        <v>8806</v>
      </c>
      <c r="J51" s="33" t="s">
        <v>8806</v>
      </c>
      <c r="K51" s="33" t="s">
        <v>8570</v>
      </c>
      <c r="L51" s="33" t="s">
        <v>8571</v>
      </c>
      <c r="M51" s="33" t="s">
        <v>8807</v>
      </c>
      <c r="N51" s="33" t="s">
        <v>9060</v>
      </c>
      <c r="O51" s="33"/>
      <c r="P51" s="33"/>
      <c r="Q51" s="33" t="s">
        <v>8571</v>
      </c>
      <c r="R51" s="33"/>
      <c r="S51" s="33"/>
      <c r="T51" s="33"/>
      <c r="U51" s="33" t="s">
        <v>8809</v>
      </c>
      <c r="V51" s="33" t="s">
        <v>8810</v>
      </c>
      <c r="W51" s="33" t="s">
        <v>8811</v>
      </c>
      <c r="X51" s="33" t="s">
        <v>8812</v>
      </c>
      <c r="Y51" s="33" t="s">
        <v>8525</v>
      </c>
      <c r="Z51" s="33" t="s">
        <v>8525</v>
      </c>
      <c r="AA51" s="33" t="s">
        <v>8500</v>
      </c>
      <c r="AB51" s="33" t="s">
        <v>8500</v>
      </c>
      <c r="AC51" s="33"/>
      <c r="AD51" s="33" t="s">
        <v>8501</v>
      </c>
      <c r="AE51" s="33" t="s">
        <v>8502</v>
      </c>
      <c r="AF51" s="33" t="s">
        <v>9061</v>
      </c>
      <c r="AG51" s="33"/>
      <c r="AH51" s="33" t="s">
        <v>8527</v>
      </c>
      <c r="AI51" s="33"/>
      <c r="AJ51" s="33"/>
      <c r="AK51" s="33"/>
      <c r="AL51" s="33" t="s">
        <v>8546</v>
      </c>
      <c r="AM51" s="33" t="s">
        <v>8564</v>
      </c>
      <c r="AN51" s="33" t="s">
        <v>8814</v>
      </c>
      <c r="AO51" s="33" t="s">
        <v>8815</v>
      </c>
      <c r="AP51" s="33">
        <v>1</v>
      </c>
      <c r="AQ51" s="5" t="s">
        <v>10037</v>
      </c>
      <c r="AR51" s="33"/>
      <c r="AS51" s="33" t="s">
        <v>81</v>
      </c>
      <c r="AT51" s="33" t="s">
        <v>8801</v>
      </c>
      <c r="AU51" s="33" t="s">
        <v>8802</v>
      </c>
      <c r="AV51" s="33" t="s">
        <v>8803</v>
      </c>
      <c r="AW51" s="33" t="s">
        <v>8804</v>
      </c>
      <c r="AX51" s="33" t="s">
        <v>8805</v>
      </c>
      <c r="AY51" s="33" t="s">
        <v>8806</v>
      </c>
      <c r="AZ51" s="33" t="s">
        <v>8806</v>
      </c>
      <c r="BA51" s="33" t="s">
        <v>8570</v>
      </c>
      <c r="BB51" s="33" t="s">
        <v>8571</v>
      </c>
      <c r="BC51" s="33" t="s">
        <v>8807</v>
      </c>
      <c r="BD51" s="33" t="s">
        <v>9060</v>
      </c>
      <c r="BE51" s="33"/>
      <c r="BF51" s="33"/>
      <c r="BG51" s="33" t="s">
        <v>8571</v>
      </c>
      <c r="BH51" s="33"/>
      <c r="BI51" s="33"/>
      <c r="BJ51" s="33"/>
      <c r="BK51" s="33" t="s">
        <v>8809</v>
      </c>
      <c r="BL51" s="33" t="s">
        <v>8810</v>
      </c>
      <c r="BM51" s="33" t="s">
        <v>8811</v>
      </c>
      <c r="BN51" s="33" t="s">
        <v>8812</v>
      </c>
      <c r="BO51" s="33" t="s">
        <v>8525</v>
      </c>
      <c r="BP51" s="33" t="s">
        <v>8525</v>
      </c>
      <c r="BQ51" s="33" t="s">
        <v>8500</v>
      </c>
      <c r="BR51" s="33" t="s">
        <v>8500</v>
      </c>
      <c r="BS51" s="33"/>
      <c r="BT51" s="33"/>
      <c r="BU51" s="33" t="s">
        <v>8502</v>
      </c>
      <c r="BV51" s="33" t="s">
        <v>9061</v>
      </c>
      <c r="BW51" s="33"/>
      <c r="BX51" s="33" t="s">
        <v>8527</v>
      </c>
      <c r="BY51" s="33"/>
      <c r="BZ51" s="33"/>
      <c r="CA51" s="33"/>
      <c r="CB51" s="33" t="s">
        <v>8546</v>
      </c>
      <c r="CC51" s="33" t="s">
        <v>8564</v>
      </c>
      <c r="CD51" s="33" t="s">
        <v>8814</v>
      </c>
      <c r="CE51" s="33" t="s">
        <v>8815</v>
      </c>
      <c r="CF51" s="33">
        <v>2</v>
      </c>
      <c r="CG51" s="5" t="s">
        <v>10037</v>
      </c>
      <c r="CH51" s="33">
        <f t="shared" si="20"/>
        <v>0</v>
      </c>
      <c r="CI51" s="33">
        <f t="shared" si="20"/>
        <v>0</v>
      </c>
      <c r="CJ51" s="33">
        <f t="shared" si="20"/>
        <v>0</v>
      </c>
      <c r="CK51" s="33">
        <f t="shared" si="20"/>
        <v>0</v>
      </c>
      <c r="CL51" s="33">
        <f t="shared" si="20"/>
        <v>0</v>
      </c>
      <c r="CM51" s="33">
        <f t="shared" si="20"/>
        <v>0</v>
      </c>
      <c r="CN51" s="33">
        <f t="shared" si="20"/>
        <v>0</v>
      </c>
      <c r="CO51" s="33">
        <f t="shared" si="20"/>
        <v>0</v>
      </c>
      <c r="CP51" s="33">
        <f t="shared" si="20"/>
        <v>0</v>
      </c>
      <c r="CQ51" s="33">
        <f t="shared" si="20"/>
        <v>0</v>
      </c>
      <c r="CR51" s="33">
        <f t="shared" si="20"/>
        <v>0</v>
      </c>
      <c r="CS51" s="33">
        <f t="shared" si="20"/>
        <v>0</v>
      </c>
      <c r="CT51" s="33">
        <f t="shared" si="20"/>
        <v>0</v>
      </c>
      <c r="CU51" s="33">
        <f t="shared" si="20"/>
        <v>0</v>
      </c>
      <c r="CV51" s="33">
        <f t="shared" si="20"/>
        <v>0</v>
      </c>
      <c r="CW51" s="33">
        <f t="shared" ref="CW51:DB105" si="23">+IF(R51=BH51,0,1)</f>
        <v>0</v>
      </c>
      <c r="CX51" s="33">
        <f t="shared" si="22"/>
        <v>0</v>
      </c>
      <c r="CY51" s="33">
        <f t="shared" si="22"/>
        <v>0</v>
      </c>
      <c r="CZ51" s="33">
        <f t="shared" si="22"/>
        <v>0</v>
      </c>
      <c r="DA51" s="33">
        <f t="shared" si="22"/>
        <v>0</v>
      </c>
      <c r="DB51" s="33">
        <f t="shared" si="22"/>
        <v>0</v>
      </c>
      <c r="DC51" s="33">
        <f t="shared" si="22"/>
        <v>0</v>
      </c>
      <c r="DD51" s="33">
        <f t="shared" si="22"/>
        <v>0</v>
      </c>
      <c r="DE51" s="33">
        <f t="shared" si="22"/>
        <v>0</v>
      </c>
      <c r="DF51" s="33">
        <f t="shared" si="22"/>
        <v>0</v>
      </c>
      <c r="DG51" s="33">
        <f t="shared" si="22"/>
        <v>0</v>
      </c>
      <c r="DH51" s="33">
        <f t="shared" si="22"/>
        <v>0</v>
      </c>
      <c r="DI51" s="33">
        <f t="shared" si="22"/>
        <v>1</v>
      </c>
      <c r="DJ51" s="33">
        <f t="shared" si="22"/>
        <v>0</v>
      </c>
      <c r="DK51" s="33">
        <f t="shared" si="22"/>
        <v>0</v>
      </c>
      <c r="DL51" s="33">
        <f t="shared" si="21"/>
        <v>0</v>
      </c>
      <c r="DM51" s="33">
        <f t="shared" si="21"/>
        <v>0</v>
      </c>
      <c r="DN51" s="33">
        <f t="shared" si="19"/>
        <v>0</v>
      </c>
      <c r="DO51" s="33">
        <f t="shared" si="3"/>
        <v>0</v>
      </c>
      <c r="DP51" s="50">
        <f t="shared" si="10"/>
        <v>0</v>
      </c>
      <c r="DQ51" s="50">
        <f t="shared" si="11"/>
        <v>0</v>
      </c>
      <c r="DR51" s="33">
        <f t="shared" si="4"/>
        <v>0</v>
      </c>
      <c r="DS51" s="50">
        <f t="shared" si="12"/>
        <v>0</v>
      </c>
      <c r="DT51" s="50">
        <f t="shared" si="13"/>
        <v>0</v>
      </c>
      <c r="DU51" s="33">
        <f t="shared" si="5"/>
        <v>0</v>
      </c>
      <c r="DV51" s="33">
        <f t="shared" si="5"/>
        <v>0</v>
      </c>
      <c r="DW51" s="33">
        <f t="shared" si="5"/>
        <v>0</v>
      </c>
      <c r="DX51" s="33">
        <f t="shared" si="5"/>
        <v>0</v>
      </c>
      <c r="DY51" s="35">
        <f t="shared" si="14"/>
        <v>1</v>
      </c>
      <c r="DZ51" s="33">
        <f t="shared" si="15"/>
        <v>10</v>
      </c>
      <c r="EA51" s="33">
        <f t="shared" si="16"/>
        <v>11</v>
      </c>
      <c r="EB51" s="33" t="str">
        <f t="shared" si="17"/>
        <v>AUX 1 COM + CAMPOS PREENC OU IGUAL</v>
      </c>
      <c r="EC51" s="33" t="s">
        <v>10034</v>
      </c>
    </row>
    <row r="52" spans="2:133" x14ac:dyDescent="0.25">
      <c r="B52" s="33" t="s">
        <v>9062</v>
      </c>
      <c r="C52" s="33" t="s">
        <v>45</v>
      </c>
      <c r="D52" s="33" t="s">
        <v>9063</v>
      </c>
      <c r="E52" s="33" t="s">
        <v>9064</v>
      </c>
      <c r="F52" s="33" t="s">
        <v>9065</v>
      </c>
      <c r="G52" s="33" t="s">
        <v>9066</v>
      </c>
      <c r="H52" s="33" t="s">
        <v>9067</v>
      </c>
      <c r="I52" s="33" t="s">
        <v>9068</v>
      </c>
      <c r="J52" s="33" t="s">
        <v>9068</v>
      </c>
      <c r="K52" s="33" t="s">
        <v>9069</v>
      </c>
      <c r="L52" s="33" t="s">
        <v>9070</v>
      </c>
      <c r="M52" s="33" t="s">
        <v>9071</v>
      </c>
      <c r="N52" s="33" t="s">
        <v>8620</v>
      </c>
      <c r="O52" s="33"/>
      <c r="P52" s="33"/>
      <c r="Q52" s="33" t="s">
        <v>9070</v>
      </c>
      <c r="R52" s="33"/>
      <c r="S52" s="33"/>
      <c r="T52" s="33"/>
      <c r="U52" s="33" t="s">
        <v>9072</v>
      </c>
      <c r="V52" s="33" t="s">
        <v>9073</v>
      </c>
      <c r="W52" s="33" t="s">
        <v>9074</v>
      </c>
      <c r="X52" s="33"/>
      <c r="Y52" s="33" t="s">
        <v>8500</v>
      </c>
      <c r="Z52" s="33" t="s">
        <v>8500</v>
      </c>
      <c r="AA52" s="33" t="s">
        <v>8500</v>
      </c>
      <c r="AB52" s="33" t="s">
        <v>8525</v>
      </c>
      <c r="AC52" s="33"/>
      <c r="AD52" s="33"/>
      <c r="AE52" s="33"/>
      <c r="AF52" s="33" t="s">
        <v>9075</v>
      </c>
      <c r="AG52" s="33"/>
      <c r="AH52" s="33" t="s">
        <v>8723</v>
      </c>
      <c r="AI52" s="33"/>
      <c r="AJ52" s="33"/>
      <c r="AK52" s="33"/>
      <c r="AL52" s="33" t="s">
        <v>8507</v>
      </c>
      <c r="AM52" s="33" t="s">
        <v>8640</v>
      </c>
      <c r="AN52" s="33" t="s">
        <v>9076</v>
      </c>
      <c r="AO52" s="33" t="s">
        <v>9077</v>
      </c>
      <c r="AP52" s="33">
        <v>1</v>
      </c>
      <c r="AQ52" s="5" t="s">
        <v>10037</v>
      </c>
      <c r="AR52" s="33"/>
      <c r="AS52" s="33" t="s">
        <v>45</v>
      </c>
      <c r="AT52" s="33" t="s">
        <v>9063</v>
      </c>
      <c r="AU52" s="33" t="s">
        <v>9064</v>
      </c>
      <c r="AV52" s="33" t="s">
        <v>9065</v>
      </c>
      <c r="AW52" s="33" t="s">
        <v>9066</v>
      </c>
      <c r="AX52" s="33" t="s">
        <v>9067</v>
      </c>
      <c r="AY52" s="33" t="s">
        <v>9068</v>
      </c>
      <c r="AZ52" s="33" t="s">
        <v>9068</v>
      </c>
      <c r="BA52" s="33" t="s">
        <v>9069</v>
      </c>
      <c r="BB52" s="33" t="s">
        <v>9070</v>
      </c>
      <c r="BC52" s="33" t="s">
        <v>9071</v>
      </c>
      <c r="BD52" s="33" t="s">
        <v>8620</v>
      </c>
      <c r="BE52" s="33"/>
      <c r="BF52" s="33"/>
      <c r="BG52" s="33" t="s">
        <v>9070</v>
      </c>
      <c r="BH52" s="33"/>
      <c r="BI52" s="33"/>
      <c r="BJ52" s="33"/>
      <c r="BK52" s="33" t="s">
        <v>9072</v>
      </c>
      <c r="BL52" s="33" t="s">
        <v>9073</v>
      </c>
      <c r="BM52" s="33" t="s">
        <v>9074</v>
      </c>
      <c r="BN52" s="33"/>
      <c r="BO52" s="33" t="s">
        <v>8500</v>
      </c>
      <c r="BP52" s="33" t="s">
        <v>8500</v>
      </c>
      <c r="BQ52" s="33" t="s">
        <v>8500</v>
      </c>
      <c r="BR52" s="33" t="s">
        <v>8525</v>
      </c>
      <c r="BS52" s="33"/>
      <c r="BT52" s="33"/>
      <c r="BU52" s="33"/>
      <c r="BV52" s="33" t="s">
        <v>9075</v>
      </c>
      <c r="BW52" s="33"/>
      <c r="BX52" s="33" t="s">
        <v>8723</v>
      </c>
      <c r="BY52" s="33"/>
      <c r="BZ52" s="33"/>
      <c r="CA52" s="33"/>
      <c r="CB52" s="33" t="s">
        <v>8507</v>
      </c>
      <c r="CC52" s="33" t="s">
        <v>8640</v>
      </c>
      <c r="CD52" s="33" t="s">
        <v>9076</v>
      </c>
      <c r="CE52" s="33" t="s">
        <v>9077</v>
      </c>
      <c r="CF52" s="33">
        <v>2</v>
      </c>
      <c r="CG52" s="5" t="s">
        <v>10037</v>
      </c>
      <c r="CH52" s="33">
        <f t="shared" ref="CH52:CV68" si="24">+IF(C52=AS52,0,1)</f>
        <v>0</v>
      </c>
      <c r="CI52" s="33">
        <f t="shared" si="24"/>
        <v>0</v>
      </c>
      <c r="CJ52" s="33">
        <f t="shared" si="24"/>
        <v>0</v>
      </c>
      <c r="CK52" s="33">
        <f t="shared" si="24"/>
        <v>0</v>
      </c>
      <c r="CL52" s="33">
        <f t="shared" si="24"/>
        <v>0</v>
      </c>
      <c r="CM52" s="33">
        <f t="shared" si="24"/>
        <v>0</v>
      </c>
      <c r="CN52" s="33">
        <f t="shared" si="24"/>
        <v>0</v>
      </c>
      <c r="CO52" s="33">
        <f t="shared" si="24"/>
        <v>0</v>
      </c>
      <c r="CP52" s="33">
        <f t="shared" si="24"/>
        <v>0</v>
      </c>
      <c r="CQ52" s="33">
        <f t="shared" si="24"/>
        <v>0</v>
      </c>
      <c r="CR52" s="33">
        <f t="shared" si="24"/>
        <v>0</v>
      </c>
      <c r="CS52" s="33">
        <f t="shared" si="24"/>
        <v>0</v>
      </c>
      <c r="CT52" s="33">
        <f t="shared" si="24"/>
        <v>0</v>
      </c>
      <c r="CU52" s="33">
        <f t="shared" si="24"/>
        <v>0</v>
      </c>
      <c r="CV52" s="33">
        <f t="shared" si="24"/>
        <v>0</v>
      </c>
      <c r="CW52" s="33">
        <f t="shared" si="23"/>
        <v>0</v>
      </c>
      <c r="CX52" s="33">
        <f t="shared" si="22"/>
        <v>0</v>
      </c>
      <c r="CY52" s="33">
        <f t="shared" si="22"/>
        <v>0</v>
      </c>
      <c r="CZ52" s="33">
        <f t="shared" si="22"/>
        <v>0</v>
      </c>
      <c r="DA52" s="33">
        <f t="shared" si="22"/>
        <v>0</v>
      </c>
      <c r="DB52" s="33">
        <f t="shared" si="22"/>
        <v>0</v>
      </c>
      <c r="DC52" s="33">
        <f t="shared" si="22"/>
        <v>0</v>
      </c>
      <c r="DD52" s="33">
        <f t="shared" si="22"/>
        <v>0</v>
      </c>
      <c r="DE52" s="33">
        <f t="shared" si="22"/>
        <v>0</v>
      </c>
      <c r="DF52" s="33">
        <f t="shared" si="22"/>
        <v>0</v>
      </c>
      <c r="DG52" s="33">
        <f t="shared" si="22"/>
        <v>0</v>
      </c>
      <c r="DH52" s="33">
        <f t="shared" si="22"/>
        <v>0</v>
      </c>
      <c r="DI52" s="33">
        <f t="shared" si="22"/>
        <v>0</v>
      </c>
      <c r="DJ52" s="33">
        <f t="shared" si="22"/>
        <v>0</v>
      </c>
      <c r="DK52" s="33">
        <f t="shared" si="22"/>
        <v>0</v>
      </c>
      <c r="DL52" s="33">
        <f t="shared" si="21"/>
        <v>0</v>
      </c>
      <c r="DM52" s="33">
        <f t="shared" si="21"/>
        <v>0</v>
      </c>
      <c r="DN52" s="33">
        <f t="shared" si="19"/>
        <v>0</v>
      </c>
      <c r="DO52" s="33">
        <f t="shared" si="3"/>
        <v>0</v>
      </c>
      <c r="DP52" s="50">
        <f t="shared" si="10"/>
        <v>0</v>
      </c>
      <c r="DQ52" s="50">
        <f t="shared" si="11"/>
        <v>0</v>
      </c>
      <c r="DR52" s="33">
        <f t="shared" si="4"/>
        <v>0</v>
      </c>
      <c r="DS52" s="50">
        <f t="shared" si="12"/>
        <v>0</v>
      </c>
      <c r="DT52" s="50">
        <f t="shared" si="13"/>
        <v>0</v>
      </c>
      <c r="DU52" s="33">
        <f t="shared" si="5"/>
        <v>0</v>
      </c>
      <c r="DV52" s="33">
        <f t="shared" si="5"/>
        <v>0</v>
      </c>
      <c r="DW52" s="33">
        <f t="shared" si="5"/>
        <v>0</v>
      </c>
      <c r="DX52" s="33">
        <f t="shared" si="5"/>
        <v>0</v>
      </c>
      <c r="DY52" s="35">
        <f t="shared" si="14"/>
        <v>0</v>
      </c>
      <c r="DZ52" s="33">
        <f t="shared" si="15"/>
        <v>13</v>
      </c>
      <c r="EA52" s="33">
        <f t="shared" si="16"/>
        <v>13</v>
      </c>
      <c r="EB52" s="33" t="str">
        <f t="shared" si="17"/>
        <v>IGUAL CAMPOS PREENCH</v>
      </c>
      <c r="EC52" s="33" t="s">
        <v>10035</v>
      </c>
    </row>
    <row r="53" spans="2:133" x14ac:dyDescent="0.25">
      <c r="B53" s="33"/>
      <c r="C53" s="33" t="s">
        <v>113</v>
      </c>
      <c r="D53" s="33" t="s">
        <v>8829</v>
      </c>
      <c r="E53" s="33" t="s">
        <v>8830</v>
      </c>
      <c r="F53" s="33" t="s">
        <v>9078</v>
      </c>
      <c r="G53" s="33" t="s">
        <v>9079</v>
      </c>
      <c r="H53" s="33" t="s">
        <v>9080</v>
      </c>
      <c r="I53" s="33" t="s">
        <v>9081</v>
      </c>
      <c r="J53" s="33" t="s">
        <v>9082</v>
      </c>
      <c r="K53" s="33" t="s">
        <v>8570</v>
      </c>
      <c r="L53" s="33" t="s">
        <v>8571</v>
      </c>
      <c r="M53" s="33" t="s">
        <v>9083</v>
      </c>
      <c r="N53" s="33" t="s">
        <v>8653</v>
      </c>
      <c r="O53" s="33"/>
      <c r="P53" s="33"/>
      <c r="Q53" s="33" t="s">
        <v>8571</v>
      </c>
      <c r="R53" s="33" t="s">
        <v>9084</v>
      </c>
      <c r="S53" s="33"/>
      <c r="T53" s="33"/>
      <c r="U53" s="33" t="s">
        <v>9085</v>
      </c>
      <c r="V53" s="33" t="s">
        <v>9086</v>
      </c>
      <c r="W53" s="33" t="s">
        <v>9087</v>
      </c>
      <c r="X53" s="33" t="s">
        <v>9088</v>
      </c>
      <c r="Y53" s="33" t="s">
        <v>8525</v>
      </c>
      <c r="Z53" s="33" t="s">
        <v>8500</v>
      </c>
      <c r="AA53" s="33" t="s">
        <v>8525</v>
      </c>
      <c r="AB53" s="33" t="s">
        <v>8500</v>
      </c>
      <c r="AC53" s="33"/>
      <c r="AD53" s="33"/>
      <c r="AE53" s="33"/>
      <c r="AF53" s="33" t="s">
        <v>8638</v>
      </c>
      <c r="AG53" s="33" t="s">
        <v>9089</v>
      </c>
      <c r="AH53" s="33" t="s">
        <v>8527</v>
      </c>
      <c r="AI53" s="33"/>
      <c r="AJ53" s="33" t="s">
        <v>8545</v>
      </c>
      <c r="AK53" s="33" t="s">
        <v>9090</v>
      </c>
      <c r="AL53" s="33" t="s">
        <v>8528</v>
      </c>
      <c r="AM53" s="33" t="s">
        <v>8545</v>
      </c>
      <c r="AN53" s="33" t="s">
        <v>8858</v>
      </c>
      <c r="AO53" s="33" t="s">
        <v>8859</v>
      </c>
      <c r="AP53" s="33">
        <v>1</v>
      </c>
      <c r="AQ53" s="5" t="s">
        <v>10037</v>
      </c>
      <c r="AR53" s="33"/>
      <c r="AS53" s="33" t="s">
        <v>113</v>
      </c>
      <c r="AT53" s="33" t="s">
        <v>8829</v>
      </c>
      <c r="AU53" s="33" t="s">
        <v>8830</v>
      </c>
      <c r="AV53" s="33" t="s">
        <v>9078</v>
      </c>
      <c r="AW53" s="33" t="s">
        <v>9079</v>
      </c>
      <c r="AX53" s="33" t="s">
        <v>9080</v>
      </c>
      <c r="AY53" s="33" t="s">
        <v>9081</v>
      </c>
      <c r="AZ53" s="33" t="s">
        <v>9082</v>
      </c>
      <c r="BA53" s="33" t="s">
        <v>8570</v>
      </c>
      <c r="BB53" s="33" t="s">
        <v>8571</v>
      </c>
      <c r="BC53" s="33" t="s">
        <v>9083</v>
      </c>
      <c r="BD53" s="33" t="s">
        <v>8653</v>
      </c>
      <c r="BE53" s="33"/>
      <c r="BF53" s="33"/>
      <c r="BG53" s="33" t="s">
        <v>8571</v>
      </c>
      <c r="BH53" s="33" t="s">
        <v>9084</v>
      </c>
      <c r="BI53" s="33"/>
      <c r="BJ53" s="33"/>
      <c r="BK53" s="33" t="s">
        <v>9085</v>
      </c>
      <c r="BL53" s="33" t="s">
        <v>9086</v>
      </c>
      <c r="BM53" s="33" t="s">
        <v>9087</v>
      </c>
      <c r="BN53" s="33" t="s">
        <v>9088</v>
      </c>
      <c r="BO53" s="33" t="s">
        <v>8525</v>
      </c>
      <c r="BP53" s="33" t="s">
        <v>8500</v>
      </c>
      <c r="BQ53" s="33" t="s">
        <v>8525</v>
      </c>
      <c r="BR53" s="33" t="s">
        <v>8500</v>
      </c>
      <c r="BS53" s="33" t="s">
        <v>9091</v>
      </c>
      <c r="BT53" s="33" t="s">
        <v>9092</v>
      </c>
      <c r="BU53" s="33" t="s">
        <v>9093</v>
      </c>
      <c r="BV53" s="33" t="s">
        <v>8638</v>
      </c>
      <c r="BW53" s="33" t="s">
        <v>9089</v>
      </c>
      <c r="BX53" s="33" t="s">
        <v>8527</v>
      </c>
      <c r="BY53" s="33"/>
      <c r="BZ53" s="33"/>
      <c r="CA53" s="33"/>
      <c r="CB53" s="33" t="s">
        <v>8528</v>
      </c>
      <c r="CC53" s="33" t="s">
        <v>8545</v>
      </c>
      <c r="CD53" s="33" t="s">
        <v>8858</v>
      </c>
      <c r="CE53" s="33" t="s">
        <v>8859</v>
      </c>
      <c r="CF53" s="33">
        <v>2</v>
      </c>
      <c r="CG53" s="5" t="s">
        <v>10037</v>
      </c>
      <c r="CH53" s="33">
        <f t="shared" si="24"/>
        <v>0</v>
      </c>
      <c r="CI53" s="33">
        <f t="shared" si="24"/>
        <v>0</v>
      </c>
      <c r="CJ53" s="33">
        <f t="shared" si="24"/>
        <v>0</v>
      </c>
      <c r="CK53" s="33">
        <f t="shared" si="24"/>
        <v>0</v>
      </c>
      <c r="CL53" s="33">
        <f t="shared" si="24"/>
        <v>0</v>
      </c>
      <c r="CM53" s="33">
        <f t="shared" si="24"/>
        <v>0</v>
      </c>
      <c r="CN53" s="33">
        <f t="shared" si="24"/>
        <v>0</v>
      </c>
      <c r="CO53" s="33">
        <f t="shared" si="24"/>
        <v>0</v>
      </c>
      <c r="CP53" s="33">
        <f t="shared" si="24"/>
        <v>0</v>
      </c>
      <c r="CQ53" s="33">
        <f t="shared" si="24"/>
        <v>0</v>
      </c>
      <c r="CR53" s="33">
        <f t="shared" si="24"/>
        <v>0</v>
      </c>
      <c r="CS53" s="33">
        <f t="shared" si="24"/>
        <v>0</v>
      </c>
      <c r="CT53" s="33">
        <f t="shared" si="24"/>
        <v>0</v>
      </c>
      <c r="CU53" s="33">
        <f t="shared" si="24"/>
        <v>0</v>
      </c>
      <c r="CV53" s="33">
        <f t="shared" si="24"/>
        <v>0</v>
      </c>
      <c r="CW53" s="33">
        <f t="shared" si="23"/>
        <v>0</v>
      </c>
      <c r="CX53" s="33">
        <f t="shared" si="22"/>
        <v>0</v>
      </c>
      <c r="CY53" s="33">
        <f t="shared" si="22"/>
        <v>0</v>
      </c>
      <c r="CZ53" s="33">
        <f t="shared" si="22"/>
        <v>0</v>
      </c>
      <c r="DA53" s="33">
        <f t="shared" si="22"/>
        <v>0</v>
      </c>
      <c r="DB53" s="33">
        <f t="shared" si="22"/>
        <v>0</v>
      </c>
      <c r="DC53" s="33">
        <f t="shared" si="22"/>
        <v>0</v>
      </c>
      <c r="DD53" s="33">
        <f t="shared" si="22"/>
        <v>0</v>
      </c>
      <c r="DE53" s="33">
        <f t="shared" si="22"/>
        <v>0</v>
      </c>
      <c r="DF53" s="33">
        <f t="shared" si="22"/>
        <v>0</v>
      </c>
      <c r="DG53" s="33">
        <f t="shared" si="22"/>
        <v>0</v>
      </c>
      <c r="DH53" s="33">
        <f t="shared" si="22"/>
        <v>1</v>
      </c>
      <c r="DI53" s="33">
        <f t="shared" si="22"/>
        <v>1</v>
      </c>
      <c r="DJ53" s="33">
        <f t="shared" si="22"/>
        <v>1</v>
      </c>
      <c r="DK53" s="33">
        <f t="shared" si="22"/>
        <v>0</v>
      </c>
      <c r="DL53" s="33">
        <f t="shared" si="21"/>
        <v>0</v>
      </c>
      <c r="DM53" s="33">
        <f t="shared" si="21"/>
        <v>0</v>
      </c>
      <c r="DN53" s="33">
        <f t="shared" si="19"/>
        <v>0</v>
      </c>
      <c r="DO53" s="33">
        <f t="shared" si="3"/>
        <v>1</v>
      </c>
      <c r="DP53" s="50" t="str">
        <f t="shared" si="10"/>
        <v>D</v>
      </c>
      <c r="DQ53" s="50">
        <f t="shared" si="11"/>
        <v>0</v>
      </c>
      <c r="DR53" s="33">
        <f t="shared" si="4"/>
        <v>1</v>
      </c>
      <c r="DS53" s="50" t="str">
        <f t="shared" si="12"/>
        <v>6-BAJA</v>
      </c>
      <c r="DT53" s="50">
        <f t="shared" si="13"/>
        <v>0</v>
      </c>
      <c r="DU53" s="33">
        <f t="shared" si="5"/>
        <v>0</v>
      </c>
      <c r="DV53" s="33">
        <f t="shared" si="5"/>
        <v>0</v>
      </c>
      <c r="DW53" s="33">
        <f t="shared" si="5"/>
        <v>0</v>
      </c>
      <c r="DX53" s="33">
        <f t="shared" si="5"/>
        <v>0</v>
      </c>
      <c r="DY53" s="35">
        <f t="shared" si="14"/>
        <v>5</v>
      </c>
      <c r="DZ53" s="33">
        <f t="shared" si="15"/>
        <v>8</v>
      </c>
      <c r="EA53" s="33">
        <f t="shared" si="16"/>
        <v>7</v>
      </c>
      <c r="EB53" s="33" t="str">
        <f t="shared" si="17"/>
        <v>AUX 2 COM + CAMPOS PREENC</v>
      </c>
      <c r="EC53" s="33" t="s">
        <v>10034</v>
      </c>
    </row>
    <row r="54" spans="2:133" x14ac:dyDescent="0.25">
      <c r="B54" s="33" t="s">
        <v>9094</v>
      </c>
      <c r="C54" s="33" t="s">
        <v>125</v>
      </c>
      <c r="D54" s="33" t="s">
        <v>8513</v>
      </c>
      <c r="E54" s="33" t="s">
        <v>8514</v>
      </c>
      <c r="F54" s="33" t="s">
        <v>8750</v>
      </c>
      <c r="G54" s="33" t="s">
        <v>8751</v>
      </c>
      <c r="H54" s="33" t="s">
        <v>8752</v>
      </c>
      <c r="I54" s="33" t="s">
        <v>8751</v>
      </c>
      <c r="J54" s="33" t="s">
        <v>9095</v>
      </c>
      <c r="K54" s="33" t="s">
        <v>8536</v>
      </c>
      <c r="L54" s="33" t="s">
        <v>8537</v>
      </c>
      <c r="M54" s="33" t="s">
        <v>9096</v>
      </c>
      <c r="N54" s="33" t="s">
        <v>9097</v>
      </c>
      <c r="O54" s="33" t="s">
        <v>9097</v>
      </c>
      <c r="P54" s="33"/>
      <c r="Q54" s="33" t="s">
        <v>9098</v>
      </c>
      <c r="R54" s="33"/>
      <c r="S54" s="33"/>
      <c r="T54" s="33"/>
      <c r="U54" s="33" t="s">
        <v>8756</v>
      </c>
      <c r="V54" s="33" t="s">
        <v>8743</v>
      </c>
      <c r="W54" s="33" t="s">
        <v>9099</v>
      </c>
      <c r="X54" s="33"/>
      <c r="Y54" s="33" t="s">
        <v>8525</v>
      </c>
      <c r="Z54" s="33" t="s">
        <v>8500</v>
      </c>
      <c r="AA54" s="33" t="s">
        <v>8500</v>
      </c>
      <c r="AB54" s="33" t="s">
        <v>8500</v>
      </c>
      <c r="AC54" s="33"/>
      <c r="AD54" s="33"/>
      <c r="AE54" s="33"/>
      <c r="AF54" s="33" t="s">
        <v>9100</v>
      </c>
      <c r="AG54" s="33"/>
      <c r="AH54" s="33" t="s">
        <v>8527</v>
      </c>
      <c r="AI54" s="33"/>
      <c r="AJ54" s="33" t="s">
        <v>8506</v>
      </c>
      <c r="AK54" s="33" t="s">
        <v>8528</v>
      </c>
      <c r="AL54" s="33" t="s">
        <v>8528</v>
      </c>
      <c r="AM54" s="33" t="s">
        <v>8577</v>
      </c>
      <c r="AN54" s="33" t="s">
        <v>9101</v>
      </c>
      <c r="AO54" s="33" t="s">
        <v>9102</v>
      </c>
      <c r="AP54" s="33">
        <v>1</v>
      </c>
      <c r="AQ54" s="5" t="s">
        <v>10037</v>
      </c>
      <c r="AR54" s="33"/>
      <c r="AS54" s="33" t="s">
        <v>125</v>
      </c>
      <c r="AT54" s="33" t="s">
        <v>8513</v>
      </c>
      <c r="AU54" s="33" t="s">
        <v>8514</v>
      </c>
      <c r="AV54" s="33" t="s">
        <v>8750</v>
      </c>
      <c r="AW54" s="33" t="s">
        <v>8751</v>
      </c>
      <c r="AX54" s="33" t="s">
        <v>8752</v>
      </c>
      <c r="AY54" s="33" t="s">
        <v>8751</v>
      </c>
      <c r="AZ54" s="33" t="s">
        <v>9095</v>
      </c>
      <c r="BA54" s="33" t="s">
        <v>8536</v>
      </c>
      <c r="BB54" s="33" t="s">
        <v>8537</v>
      </c>
      <c r="BC54" s="33" t="s">
        <v>9096</v>
      </c>
      <c r="BD54" s="33" t="s">
        <v>9097</v>
      </c>
      <c r="BE54" s="33" t="s">
        <v>9097</v>
      </c>
      <c r="BF54" s="33"/>
      <c r="BG54" s="33" t="s">
        <v>9098</v>
      </c>
      <c r="BH54" s="33"/>
      <c r="BI54" s="33"/>
      <c r="BJ54" s="33"/>
      <c r="BK54" s="33" t="s">
        <v>8756</v>
      </c>
      <c r="BL54" s="33" t="s">
        <v>8743</v>
      </c>
      <c r="BM54" s="33" t="s">
        <v>9099</v>
      </c>
      <c r="BN54" s="33"/>
      <c r="BO54" s="33" t="s">
        <v>8525</v>
      </c>
      <c r="BP54" s="33" t="s">
        <v>8500</v>
      </c>
      <c r="BQ54" s="33" t="s">
        <v>8500</v>
      </c>
      <c r="BR54" s="33" t="s">
        <v>8500</v>
      </c>
      <c r="BS54" s="33"/>
      <c r="BT54" s="33"/>
      <c r="BU54" s="33"/>
      <c r="BV54" s="33" t="s">
        <v>9100</v>
      </c>
      <c r="BW54" s="33"/>
      <c r="BX54" s="33" t="s">
        <v>8527</v>
      </c>
      <c r="BY54" s="33"/>
      <c r="BZ54" s="33" t="s">
        <v>8506</v>
      </c>
      <c r="CA54" s="33" t="s">
        <v>8528</v>
      </c>
      <c r="CB54" s="33" t="s">
        <v>8528</v>
      </c>
      <c r="CC54" s="33" t="s">
        <v>8577</v>
      </c>
      <c r="CD54" s="33" t="s">
        <v>9101</v>
      </c>
      <c r="CE54" s="33" t="s">
        <v>9102</v>
      </c>
      <c r="CF54" s="33">
        <v>2</v>
      </c>
      <c r="CG54" s="5" t="s">
        <v>10037</v>
      </c>
      <c r="CH54" s="33">
        <f t="shared" si="24"/>
        <v>0</v>
      </c>
      <c r="CI54" s="33">
        <f t="shared" si="24"/>
        <v>0</v>
      </c>
      <c r="CJ54" s="33">
        <f t="shared" si="24"/>
        <v>0</v>
      </c>
      <c r="CK54" s="33">
        <f t="shared" si="24"/>
        <v>0</v>
      </c>
      <c r="CL54" s="33">
        <f t="shared" si="24"/>
        <v>0</v>
      </c>
      <c r="CM54" s="33">
        <f t="shared" si="24"/>
        <v>0</v>
      </c>
      <c r="CN54" s="33">
        <f t="shared" si="24"/>
        <v>0</v>
      </c>
      <c r="CO54" s="33">
        <f t="shared" si="24"/>
        <v>0</v>
      </c>
      <c r="CP54" s="33">
        <f t="shared" si="24"/>
        <v>0</v>
      </c>
      <c r="CQ54" s="33">
        <f t="shared" si="24"/>
        <v>0</v>
      </c>
      <c r="CR54" s="33">
        <f t="shared" si="24"/>
        <v>0</v>
      </c>
      <c r="CS54" s="33">
        <f t="shared" si="24"/>
        <v>0</v>
      </c>
      <c r="CT54" s="33">
        <f t="shared" si="24"/>
        <v>0</v>
      </c>
      <c r="CU54" s="33">
        <f t="shared" si="24"/>
        <v>0</v>
      </c>
      <c r="CV54" s="33">
        <f t="shared" si="24"/>
        <v>0</v>
      </c>
      <c r="CW54" s="33">
        <f t="shared" si="23"/>
        <v>0</v>
      </c>
      <c r="CX54" s="33">
        <f t="shared" si="22"/>
        <v>0</v>
      </c>
      <c r="CY54" s="33">
        <f t="shared" si="22"/>
        <v>0</v>
      </c>
      <c r="CZ54" s="33">
        <f t="shared" si="22"/>
        <v>0</v>
      </c>
      <c r="DA54" s="33">
        <f t="shared" si="22"/>
        <v>0</v>
      </c>
      <c r="DB54" s="33">
        <f t="shared" si="22"/>
        <v>0</v>
      </c>
      <c r="DC54" s="33">
        <f t="shared" si="22"/>
        <v>0</v>
      </c>
      <c r="DD54" s="33">
        <f t="shared" si="22"/>
        <v>0</v>
      </c>
      <c r="DE54" s="33">
        <f t="shared" si="22"/>
        <v>0</v>
      </c>
      <c r="DF54" s="33">
        <f t="shared" si="22"/>
        <v>0</v>
      </c>
      <c r="DG54" s="33">
        <f t="shared" si="22"/>
        <v>0</v>
      </c>
      <c r="DH54" s="33">
        <f t="shared" si="22"/>
        <v>0</v>
      </c>
      <c r="DI54" s="33">
        <f t="shared" si="22"/>
        <v>0</v>
      </c>
      <c r="DJ54" s="33">
        <f t="shared" si="22"/>
        <v>0</v>
      </c>
      <c r="DK54" s="33">
        <f t="shared" si="22"/>
        <v>0</v>
      </c>
      <c r="DL54" s="33">
        <f t="shared" si="21"/>
        <v>0</v>
      </c>
      <c r="DM54" s="33">
        <f t="shared" si="21"/>
        <v>0</v>
      </c>
      <c r="DN54" s="33">
        <f t="shared" si="19"/>
        <v>0</v>
      </c>
      <c r="DO54" s="33">
        <f t="shared" si="3"/>
        <v>0</v>
      </c>
      <c r="DP54" s="50" t="str">
        <f t="shared" si="10"/>
        <v>C</v>
      </c>
      <c r="DQ54" s="50" t="str">
        <f t="shared" si="11"/>
        <v>C</v>
      </c>
      <c r="DR54" s="33">
        <f t="shared" si="4"/>
        <v>0</v>
      </c>
      <c r="DS54" s="50" t="str">
        <f t="shared" si="12"/>
        <v>5-MEDIA BAJA</v>
      </c>
      <c r="DT54" s="50" t="str">
        <f t="shared" si="13"/>
        <v>5-MEDIA BAJA</v>
      </c>
      <c r="DU54" s="33">
        <f t="shared" si="5"/>
        <v>0</v>
      </c>
      <c r="DV54" s="33">
        <f t="shared" si="5"/>
        <v>0</v>
      </c>
      <c r="DW54" s="33">
        <f t="shared" si="5"/>
        <v>0</v>
      </c>
      <c r="DX54" s="33">
        <f t="shared" si="5"/>
        <v>0</v>
      </c>
      <c r="DY54" s="35">
        <f t="shared" si="14"/>
        <v>0</v>
      </c>
      <c r="DZ54" s="33">
        <f t="shared" si="15"/>
        <v>10</v>
      </c>
      <c r="EA54" s="33">
        <f t="shared" si="16"/>
        <v>10</v>
      </c>
      <c r="EB54" s="33" t="str">
        <f t="shared" si="17"/>
        <v>IGUAL CAMPOS PREENCH</v>
      </c>
      <c r="EC54" s="33" t="s">
        <v>10035</v>
      </c>
    </row>
    <row r="55" spans="2:133" x14ac:dyDescent="0.25">
      <c r="B55" s="33"/>
      <c r="C55" s="33" t="s">
        <v>56</v>
      </c>
      <c r="D55" s="33" t="s">
        <v>8486</v>
      </c>
      <c r="E55" s="33" t="s">
        <v>8487</v>
      </c>
      <c r="F55" s="33" t="s">
        <v>8488</v>
      </c>
      <c r="G55" s="33" t="s">
        <v>8487</v>
      </c>
      <c r="H55" s="33" t="s">
        <v>8727</v>
      </c>
      <c r="I55" s="33" t="s">
        <v>8728</v>
      </c>
      <c r="J55" s="33" t="s">
        <v>8729</v>
      </c>
      <c r="K55" s="33" t="s">
        <v>8570</v>
      </c>
      <c r="L55" s="33" t="s">
        <v>8571</v>
      </c>
      <c r="M55" s="33" t="s">
        <v>9103</v>
      </c>
      <c r="N55" s="33" t="s">
        <v>9104</v>
      </c>
      <c r="O55" s="33"/>
      <c r="P55" s="33"/>
      <c r="Q55" s="33" t="s">
        <v>8571</v>
      </c>
      <c r="R55" s="33"/>
      <c r="S55" s="33"/>
      <c r="T55" s="33"/>
      <c r="U55" s="33" t="s">
        <v>8732</v>
      </c>
      <c r="V55" s="33" t="s">
        <v>8733</v>
      </c>
      <c r="W55" s="33" t="s">
        <v>8524</v>
      </c>
      <c r="X55" s="33"/>
      <c r="Y55" s="33" t="s">
        <v>8500</v>
      </c>
      <c r="Z55" s="33" t="s">
        <v>8500</v>
      </c>
      <c r="AA55" s="33" t="s">
        <v>8500</v>
      </c>
      <c r="AB55" s="33" t="s">
        <v>8525</v>
      </c>
      <c r="AC55" s="33"/>
      <c r="AD55" s="33"/>
      <c r="AE55" s="33"/>
      <c r="AF55" s="33" t="s">
        <v>9105</v>
      </c>
      <c r="AG55" s="33"/>
      <c r="AH55" s="33" t="s">
        <v>8606</v>
      </c>
      <c r="AI55" s="33"/>
      <c r="AJ55" s="33"/>
      <c r="AK55" s="33"/>
      <c r="AL55" s="33" t="s">
        <v>8528</v>
      </c>
      <c r="AM55" s="33" t="s">
        <v>8506</v>
      </c>
      <c r="AN55" s="33" t="s">
        <v>8735</v>
      </c>
      <c r="AO55" s="33" t="s">
        <v>8736</v>
      </c>
      <c r="AP55" s="33">
        <v>1</v>
      </c>
      <c r="AQ55" s="5" t="s">
        <v>10037</v>
      </c>
      <c r="AR55" s="33" t="s">
        <v>9106</v>
      </c>
      <c r="AS55" s="33" t="s">
        <v>56</v>
      </c>
      <c r="AT55" s="33" t="s">
        <v>8486</v>
      </c>
      <c r="AU55" s="33" t="s">
        <v>8487</v>
      </c>
      <c r="AV55" s="33" t="s">
        <v>8488</v>
      </c>
      <c r="AW55" s="33" t="s">
        <v>8487</v>
      </c>
      <c r="AX55" s="33" t="s">
        <v>8727</v>
      </c>
      <c r="AY55" s="33" t="s">
        <v>8728</v>
      </c>
      <c r="AZ55" s="33" t="s">
        <v>8729</v>
      </c>
      <c r="BA55" s="33" t="s">
        <v>8570</v>
      </c>
      <c r="BB55" s="33" t="s">
        <v>8571</v>
      </c>
      <c r="BC55" s="33" t="s">
        <v>9103</v>
      </c>
      <c r="BD55" s="33" t="s">
        <v>9104</v>
      </c>
      <c r="BE55" s="33"/>
      <c r="BF55" s="33"/>
      <c r="BG55" s="33" t="s">
        <v>8571</v>
      </c>
      <c r="BH55" s="33"/>
      <c r="BI55" s="33"/>
      <c r="BJ55" s="33"/>
      <c r="BK55" s="33" t="s">
        <v>8732</v>
      </c>
      <c r="BL55" s="33" t="s">
        <v>8733</v>
      </c>
      <c r="BM55" s="33" t="s">
        <v>8524</v>
      </c>
      <c r="BN55" s="33"/>
      <c r="BO55" s="33" t="s">
        <v>8500</v>
      </c>
      <c r="BP55" s="33" t="s">
        <v>8500</v>
      </c>
      <c r="BQ55" s="33" t="s">
        <v>8500</v>
      </c>
      <c r="BR55" s="33" t="s">
        <v>8525</v>
      </c>
      <c r="BS55" s="33"/>
      <c r="BT55" s="33"/>
      <c r="BU55" s="33"/>
      <c r="BV55" s="33" t="s">
        <v>9105</v>
      </c>
      <c r="BW55" s="33"/>
      <c r="BX55" s="33" t="s">
        <v>8606</v>
      </c>
      <c r="BY55" s="33"/>
      <c r="BZ55" s="33" t="s">
        <v>8545</v>
      </c>
      <c r="CA55" s="33" t="s">
        <v>8528</v>
      </c>
      <c r="CB55" s="33" t="s">
        <v>8528</v>
      </c>
      <c r="CC55" s="33" t="s">
        <v>8506</v>
      </c>
      <c r="CD55" s="33" t="s">
        <v>8735</v>
      </c>
      <c r="CE55" s="33" t="s">
        <v>8736</v>
      </c>
      <c r="CF55" s="33">
        <v>2</v>
      </c>
      <c r="CG55" s="5" t="s">
        <v>10037</v>
      </c>
      <c r="CH55" s="33">
        <f t="shared" si="24"/>
        <v>0</v>
      </c>
      <c r="CI55" s="33">
        <f t="shared" si="24"/>
        <v>0</v>
      </c>
      <c r="CJ55" s="33">
        <f t="shared" si="24"/>
        <v>0</v>
      </c>
      <c r="CK55" s="33">
        <f t="shared" si="24"/>
        <v>0</v>
      </c>
      <c r="CL55" s="33">
        <f t="shared" si="24"/>
        <v>0</v>
      </c>
      <c r="CM55" s="33">
        <f t="shared" si="24"/>
        <v>0</v>
      </c>
      <c r="CN55" s="33">
        <f t="shared" si="24"/>
        <v>0</v>
      </c>
      <c r="CO55" s="33">
        <f t="shared" si="24"/>
        <v>0</v>
      </c>
      <c r="CP55" s="33">
        <f t="shared" si="24"/>
        <v>0</v>
      </c>
      <c r="CQ55" s="33">
        <f t="shared" si="24"/>
        <v>0</v>
      </c>
      <c r="CR55" s="33">
        <f t="shared" si="24"/>
        <v>0</v>
      </c>
      <c r="CS55" s="33">
        <f t="shared" si="24"/>
        <v>0</v>
      </c>
      <c r="CT55" s="33">
        <f t="shared" si="24"/>
        <v>0</v>
      </c>
      <c r="CU55" s="33">
        <f t="shared" si="24"/>
        <v>0</v>
      </c>
      <c r="CV55" s="33">
        <f t="shared" si="24"/>
        <v>0</v>
      </c>
      <c r="CW55" s="33">
        <f t="shared" si="23"/>
        <v>0</v>
      </c>
      <c r="CX55" s="33">
        <f t="shared" si="22"/>
        <v>0</v>
      </c>
      <c r="CY55" s="33">
        <f t="shared" si="22"/>
        <v>0</v>
      </c>
      <c r="CZ55" s="33">
        <f t="shared" si="22"/>
        <v>0</v>
      </c>
      <c r="DA55" s="33">
        <f t="shared" ref="DA55:DK78" si="25">+IF(V55=BL55,0,1)</f>
        <v>0</v>
      </c>
      <c r="DB55" s="33">
        <f t="shared" si="25"/>
        <v>0</v>
      </c>
      <c r="DC55" s="33">
        <f t="shared" si="25"/>
        <v>0</v>
      </c>
      <c r="DD55" s="33">
        <f t="shared" si="25"/>
        <v>0</v>
      </c>
      <c r="DE55" s="33">
        <f t="shared" si="25"/>
        <v>0</v>
      </c>
      <c r="DF55" s="33">
        <f t="shared" si="25"/>
        <v>0</v>
      </c>
      <c r="DG55" s="33">
        <f t="shared" si="25"/>
        <v>0</v>
      </c>
      <c r="DH55" s="33">
        <f t="shared" si="25"/>
        <v>0</v>
      </c>
      <c r="DI55" s="33">
        <f t="shared" si="25"/>
        <v>0</v>
      </c>
      <c r="DJ55" s="33">
        <f t="shared" si="25"/>
        <v>0</v>
      </c>
      <c r="DK55" s="33">
        <f t="shared" si="25"/>
        <v>0</v>
      </c>
      <c r="DL55" s="33">
        <f t="shared" si="21"/>
        <v>0</v>
      </c>
      <c r="DM55" s="33">
        <f t="shared" si="21"/>
        <v>0</v>
      </c>
      <c r="DN55" s="33">
        <f t="shared" si="19"/>
        <v>0</v>
      </c>
      <c r="DO55" s="33">
        <f t="shared" si="3"/>
        <v>1</v>
      </c>
      <c r="DP55" s="50">
        <f t="shared" si="10"/>
        <v>0</v>
      </c>
      <c r="DQ55" s="50" t="str">
        <f t="shared" si="11"/>
        <v>D</v>
      </c>
      <c r="DR55" s="33">
        <f t="shared" si="4"/>
        <v>1</v>
      </c>
      <c r="DS55" s="50">
        <f t="shared" si="12"/>
        <v>0</v>
      </c>
      <c r="DT55" s="50" t="str">
        <f t="shared" si="13"/>
        <v>5-MEDIA BAJA</v>
      </c>
      <c r="DU55" s="33">
        <f t="shared" si="5"/>
        <v>0</v>
      </c>
      <c r="DV55" s="33">
        <f t="shared" si="5"/>
        <v>0</v>
      </c>
      <c r="DW55" s="33">
        <f t="shared" si="5"/>
        <v>0</v>
      </c>
      <c r="DX55" s="33">
        <f t="shared" si="5"/>
        <v>0</v>
      </c>
      <c r="DY55" s="35">
        <f t="shared" si="14"/>
        <v>2</v>
      </c>
      <c r="DZ55" s="33">
        <f t="shared" si="15"/>
        <v>13</v>
      </c>
      <c r="EA55" s="33">
        <f t="shared" si="16"/>
        <v>11</v>
      </c>
      <c r="EB55" s="33" t="str">
        <f t="shared" si="17"/>
        <v>AUX 2 COM + CAMPOS PREENC</v>
      </c>
      <c r="EC55" s="33" t="s">
        <v>10034</v>
      </c>
    </row>
    <row r="56" spans="2:133" x14ac:dyDescent="0.25">
      <c r="B56" s="33"/>
      <c r="C56" s="33" t="s">
        <v>69</v>
      </c>
      <c r="D56" s="33" t="s">
        <v>8788</v>
      </c>
      <c r="E56" s="33" t="s">
        <v>8789</v>
      </c>
      <c r="F56" s="33" t="s">
        <v>8790</v>
      </c>
      <c r="G56" s="33" t="s">
        <v>8789</v>
      </c>
      <c r="H56" s="33" t="s">
        <v>9107</v>
      </c>
      <c r="I56" s="33" t="s">
        <v>9108</v>
      </c>
      <c r="J56" s="33" t="s">
        <v>8789</v>
      </c>
      <c r="K56" s="33" t="s">
        <v>8570</v>
      </c>
      <c r="L56" s="33" t="s">
        <v>8571</v>
      </c>
      <c r="M56" s="33" t="s">
        <v>9109</v>
      </c>
      <c r="N56" s="33" t="s">
        <v>9110</v>
      </c>
      <c r="O56" s="33"/>
      <c r="P56" s="33"/>
      <c r="Q56" s="33" t="s">
        <v>8571</v>
      </c>
      <c r="R56" s="33" t="s">
        <v>9111</v>
      </c>
      <c r="S56" s="33"/>
      <c r="T56" s="33"/>
      <c r="U56" s="33" t="s">
        <v>9112</v>
      </c>
      <c r="V56" s="33" t="s">
        <v>9113</v>
      </c>
      <c r="W56" s="33" t="s">
        <v>9114</v>
      </c>
      <c r="X56" s="33" t="s">
        <v>8705</v>
      </c>
      <c r="Y56" s="33" t="s">
        <v>8525</v>
      </c>
      <c r="Z56" s="33" t="s">
        <v>8525</v>
      </c>
      <c r="AA56" s="33" t="s">
        <v>8500</v>
      </c>
      <c r="AB56" s="33" t="s">
        <v>8500</v>
      </c>
      <c r="AC56" s="33"/>
      <c r="AD56" s="33"/>
      <c r="AE56" s="33"/>
      <c r="AF56" s="33"/>
      <c r="AG56" s="33"/>
      <c r="AH56" s="33" t="s">
        <v>8527</v>
      </c>
      <c r="AI56" s="33"/>
      <c r="AJ56" s="33"/>
      <c r="AK56" s="33"/>
      <c r="AL56" s="33" t="s">
        <v>8508</v>
      </c>
      <c r="AM56" s="33" t="s">
        <v>8506</v>
      </c>
      <c r="AN56" s="33" t="s">
        <v>9115</v>
      </c>
      <c r="AO56" s="33" t="s">
        <v>9116</v>
      </c>
      <c r="AP56" s="33">
        <v>1</v>
      </c>
      <c r="AQ56" s="5" t="s">
        <v>10037</v>
      </c>
      <c r="AR56" s="33" t="s">
        <v>9117</v>
      </c>
      <c r="AS56" s="33" t="s">
        <v>69</v>
      </c>
      <c r="AT56" s="33" t="s">
        <v>8788</v>
      </c>
      <c r="AU56" s="33" t="s">
        <v>8789</v>
      </c>
      <c r="AV56" s="33" t="s">
        <v>8790</v>
      </c>
      <c r="AW56" s="33" t="s">
        <v>8789</v>
      </c>
      <c r="AX56" s="33" t="s">
        <v>9107</v>
      </c>
      <c r="AY56" s="33" t="s">
        <v>9108</v>
      </c>
      <c r="AZ56" s="33" t="s">
        <v>8789</v>
      </c>
      <c r="BA56" s="33" t="s">
        <v>8570</v>
      </c>
      <c r="BB56" s="33" t="s">
        <v>8571</v>
      </c>
      <c r="BC56" s="33" t="s">
        <v>9109</v>
      </c>
      <c r="BD56" s="33" t="s">
        <v>9110</v>
      </c>
      <c r="BE56" s="33"/>
      <c r="BF56" s="33"/>
      <c r="BG56" s="33" t="s">
        <v>8571</v>
      </c>
      <c r="BH56" s="33" t="s">
        <v>9111</v>
      </c>
      <c r="BI56" s="33"/>
      <c r="BJ56" s="33"/>
      <c r="BK56" s="33" t="s">
        <v>9112</v>
      </c>
      <c r="BL56" s="33" t="s">
        <v>9113</v>
      </c>
      <c r="BM56" s="33" t="s">
        <v>9114</v>
      </c>
      <c r="BN56" s="33" t="s">
        <v>8705</v>
      </c>
      <c r="BO56" s="33" t="s">
        <v>8525</v>
      </c>
      <c r="BP56" s="33" t="s">
        <v>8525</v>
      </c>
      <c r="BQ56" s="33" t="s">
        <v>8500</v>
      </c>
      <c r="BR56" s="33" t="s">
        <v>8500</v>
      </c>
      <c r="BS56" s="33"/>
      <c r="BT56" s="33"/>
      <c r="BU56" s="33"/>
      <c r="BV56" s="33"/>
      <c r="BW56" s="33"/>
      <c r="BX56" s="33" t="s">
        <v>8527</v>
      </c>
      <c r="BY56" s="33"/>
      <c r="BZ56" s="33"/>
      <c r="CA56" s="33"/>
      <c r="CB56" s="33" t="s">
        <v>8508</v>
      </c>
      <c r="CC56" s="33" t="s">
        <v>8506</v>
      </c>
      <c r="CD56" s="33" t="s">
        <v>9115</v>
      </c>
      <c r="CE56" s="33" t="s">
        <v>9116</v>
      </c>
      <c r="CF56" s="33">
        <v>2</v>
      </c>
      <c r="CG56" s="5" t="s">
        <v>10037</v>
      </c>
      <c r="CH56" s="33">
        <f t="shared" si="24"/>
        <v>0</v>
      </c>
      <c r="CI56" s="33">
        <f t="shared" si="24"/>
        <v>0</v>
      </c>
      <c r="CJ56" s="33">
        <f t="shared" si="24"/>
        <v>0</v>
      </c>
      <c r="CK56" s="33">
        <f t="shared" si="24"/>
        <v>0</v>
      </c>
      <c r="CL56" s="33">
        <f t="shared" si="24"/>
        <v>0</v>
      </c>
      <c r="CM56" s="33">
        <f t="shared" si="24"/>
        <v>0</v>
      </c>
      <c r="CN56" s="33">
        <f t="shared" si="24"/>
        <v>0</v>
      </c>
      <c r="CO56" s="33">
        <f t="shared" si="24"/>
        <v>0</v>
      </c>
      <c r="CP56" s="33">
        <f t="shared" si="24"/>
        <v>0</v>
      </c>
      <c r="CQ56" s="33">
        <f t="shared" si="24"/>
        <v>0</v>
      </c>
      <c r="CR56" s="33">
        <f t="shared" si="24"/>
        <v>0</v>
      </c>
      <c r="CS56" s="33">
        <f t="shared" si="24"/>
        <v>0</v>
      </c>
      <c r="CT56" s="33">
        <f t="shared" si="24"/>
        <v>0</v>
      </c>
      <c r="CU56" s="33">
        <f t="shared" si="24"/>
        <v>0</v>
      </c>
      <c r="CV56" s="33">
        <f t="shared" si="24"/>
        <v>0</v>
      </c>
      <c r="CW56" s="33">
        <f t="shared" si="23"/>
        <v>0</v>
      </c>
      <c r="CX56" s="33">
        <f t="shared" si="23"/>
        <v>0</v>
      </c>
      <c r="CY56" s="33">
        <f t="shared" si="23"/>
        <v>0</v>
      </c>
      <c r="CZ56" s="33">
        <f t="shared" si="23"/>
        <v>0</v>
      </c>
      <c r="DA56" s="33">
        <f t="shared" si="25"/>
        <v>0</v>
      </c>
      <c r="DB56" s="33">
        <f t="shared" si="25"/>
        <v>0</v>
      </c>
      <c r="DC56" s="33">
        <f t="shared" si="25"/>
        <v>0</v>
      </c>
      <c r="DD56" s="33">
        <f t="shared" si="25"/>
        <v>0</v>
      </c>
      <c r="DE56" s="33">
        <f t="shared" si="25"/>
        <v>0</v>
      </c>
      <c r="DF56" s="33">
        <f t="shared" si="25"/>
        <v>0</v>
      </c>
      <c r="DG56" s="33">
        <f t="shared" si="25"/>
        <v>0</v>
      </c>
      <c r="DH56" s="33">
        <f t="shared" si="25"/>
        <v>0</v>
      </c>
      <c r="DI56" s="33">
        <f t="shared" si="25"/>
        <v>0</v>
      </c>
      <c r="DJ56" s="33">
        <f t="shared" si="25"/>
        <v>0</v>
      </c>
      <c r="DK56" s="33">
        <f t="shared" si="25"/>
        <v>0</v>
      </c>
      <c r="DL56" s="33">
        <f t="shared" si="21"/>
        <v>0</v>
      </c>
      <c r="DM56" s="33">
        <f t="shared" si="21"/>
        <v>0</v>
      </c>
      <c r="DN56" s="33">
        <f t="shared" si="19"/>
        <v>0</v>
      </c>
      <c r="DO56" s="33">
        <f t="shared" si="3"/>
        <v>0</v>
      </c>
      <c r="DP56" s="50">
        <f t="shared" si="10"/>
        <v>0</v>
      </c>
      <c r="DQ56" s="50">
        <f t="shared" si="11"/>
        <v>0</v>
      </c>
      <c r="DR56" s="33">
        <f t="shared" si="4"/>
        <v>0</v>
      </c>
      <c r="DS56" s="50">
        <f t="shared" si="12"/>
        <v>0</v>
      </c>
      <c r="DT56" s="50">
        <f t="shared" si="13"/>
        <v>0</v>
      </c>
      <c r="DU56" s="33">
        <f t="shared" si="5"/>
        <v>0</v>
      </c>
      <c r="DV56" s="33">
        <f t="shared" si="5"/>
        <v>0</v>
      </c>
      <c r="DW56" s="33">
        <f t="shared" si="5"/>
        <v>0</v>
      </c>
      <c r="DX56" s="33">
        <f t="shared" si="5"/>
        <v>0</v>
      </c>
      <c r="DY56" s="35">
        <f t="shared" si="14"/>
        <v>0</v>
      </c>
      <c r="DZ56" s="33">
        <f t="shared" si="15"/>
        <v>12</v>
      </c>
      <c r="EA56" s="33">
        <f t="shared" si="16"/>
        <v>12</v>
      </c>
      <c r="EB56" s="33" t="str">
        <f t="shared" si="17"/>
        <v>IGUAL CAMPOS PREENCH</v>
      </c>
      <c r="EC56" s="33" t="s">
        <v>10035</v>
      </c>
    </row>
    <row r="57" spans="2:133" x14ac:dyDescent="0.25">
      <c r="B57" s="33"/>
      <c r="C57" s="33" t="s">
        <v>39</v>
      </c>
      <c r="D57" s="33" t="s">
        <v>9118</v>
      </c>
      <c r="E57" s="33"/>
      <c r="F57" s="33" t="s">
        <v>9119</v>
      </c>
      <c r="G57" s="33"/>
      <c r="H57" s="33" t="s">
        <v>9120</v>
      </c>
      <c r="I57" s="33"/>
      <c r="J57" s="33" t="s">
        <v>9121</v>
      </c>
      <c r="K57" s="33" t="s">
        <v>8570</v>
      </c>
      <c r="L57" s="33" t="s">
        <v>8571</v>
      </c>
      <c r="M57" s="33" t="s">
        <v>9122</v>
      </c>
      <c r="N57" s="33" t="s">
        <v>8653</v>
      </c>
      <c r="O57" s="33"/>
      <c r="P57" s="33"/>
      <c r="Q57" s="33" t="s">
        <v>8571</v>
      </c>
      <c r="R57" s="33" t="s">
        <v>9123</v>
      </c>
      <c r="S57" s="33"/>
      <c r="T57" s="33"/>
      <c r="U57" s="33" t="s">
        <v>9124</v>
      </c>
      <c r="V57" s="33" t="s">
        <v>9125</v>
      </c>
      <c r="W57" s="33" t="s">
        <v>9126</v>
      </c>
      <c r="X57" s="33" t="s">
        <v>9127</v>
      </c>
      <c r="Y57" s="33" t="s">
        <v>8500</v>
      </c>
      <c r="Z57" s="33" t="s">
        <v>8500</v>
      </c>
      <c r="AA57" s="33" t="s">
        <v>8500</v>
      </c>
      <c r="AB57" s="33" t="s">
        <v>8500</v>
      </c>
      <c r="AC57" s="33" t="s">
        <v>9128</v>
      </c>
      <c r="AD57" s="33" t="s">
        <v>9129</v>
      </c>
      <c r="AE57" s="33" t="s">
        <v>9130</v>
      </c>
      <c r="AF57" s="33" t="s">
        <v>9131</v>
      </c>
      <c r="AG57" s="33"/>
      <c r="AH57" s="33" t="s">
        <v>8505</v>
      </c>
      <c r="AI57" s="33"/>
      <c r="AJ57" s="33"/>
      <c r="AK57" s="33"/>
      <c r="AL57" s="33" t="s">
        <v>8528</v>
      </c>
      <c r="AM57" s="33" t="s">
        <v>8545</v>
      </c>
      <c r="AN57" s="33" t="s">
        <v>9132</v>
      </c>
      <c r="AO57" s="33" t="s">
        <v>9133</v>
      </c>
      <c r="AP57" s="33">
        <v>1</v>
      </c>
      <c r="AQ57" s="5" t="s">
        <v>10037</v>
      </c>
      <c r="AR57" s="33" t="s">
        <v>9134</v>
      </c>
      <c r="AS57" s="33" t="s">
        <v>39</v>
      </c>
      <c r="AT57" s="33" t="s">
        <v>9118</v>
      </c>
      <c r="AU57" s="33"/>
      <c r="AV57" s="33" t="s">
        <v>9119</v>
      </c>
      <c r="AW57" s="33"/>
      <c r="AX57" s="33" t="s">
        <v>9120</v>
      </c>
      <c r="AY57" s="33"/>
      <c r="AZ57" s="33" t="s">
        <v>9121</v>
      </c>
      <c r="BA57" s="33" t="s">
        <v>8570</v>
      </c>
      <c r="BB57" s="33" t="s">
        <v>8571</v>
      </c>
      <c r="BC57" s="33" t="s">
        <v>9122</v>
      </c>
      <c r="BD57" s="33" t="s">
        <v>8653</v>
      </c>
      <c r="BE57" s="33"/>
      <c r="BF57" s="33"/>
      <c r="BG57" s="33" t="s">
        <v>8571</v>
      </c>
      <c r="BH57" s="33" t="s">
        <v>9123</v>
      </c>
      <c r="BI57" s="33"/>
      <c r="BJ57" s="33"/>
      <c r="BK57" s="33" t="s">
        <v>9124</v>
      </c>
      <c r="BL57" s="33" t="s">
        <v>9125</v>
      </c>
      <c r="BM57" s="33" t="s">
        <v>9126</v>
      </c>
      <c r="BN57" s="33" t="s">
        <v>9127</v>
      </c>
      <c r="BO57" s="33" t="s">
        <v>8500</v>
      </c>
      <c r="BP57" s="33" t="s">
        <v>8500</v>
      </c>
      <c r="BQ57" s="33" t="s">
        <v>8500</v>
      </c>
      <c r="BR57" s="33" t="s">
        <v>8500</v>
      </c>
      <c r="BS57" s="33" t="s">
        <v>9128</v>
      </c>
      <c r="BT57" s="33" t="s">
        <v>9129</v>
      </c>
      <c r="BU57" s="33"/>
      <c r="BV57" s="33" t="s">
        <v>9131</v>
      </c>
      <c r="BW57" s="33"/>
      <c r="BX57" s="33" t="s">
        <v>8505</v>
      </c>
      <c r="BY57" s="33"/>
      <c r="BZ57" s="33" t="s">
        <v>8545</v>
      </c>
      <c r="CA57" s="33" t="s">
        <v>9090</v>
      </c>
      <c r="CB57" s="33" t="s">
        <v>8528</v>
      </c>
      <c r="CC57" s="33" t="s">
        <v>8545</v>
      </c>
      <c r="CD57" s="33" t="s">
        <v>9132</v>
      </c>
      <c r="CE57" s="33" t="s">
        <v>9133</v>
      </c>
      <c r="CF57" s="33">
        <v>2</v>
      </c>
      <c r="CG57" s="5" t="s">
        <v>10037</v>
      </c>
      <c r="CH57" s="33">
        <f t="shared" si="24"/>
        <v>0</v>
      </c>
      <c r="CI57" s="33">
        <f t="shared" si="24"/>
        <v>0</v>
      </c>
      <c r="CJ57" s="33">
        <f t="shared" si="24"/>
        <v>0</v>
      </c>
      <c r="CK57" s="33">
        <f t="shared" si="24"/>
        <v>0</v>
      </c>
      <c r="CL57" s="33">
        <f t="shared" si="24"/>
        <v>0</v>
      </c>
      <c r="CM57" s="33">
        <f t="shared" si="24"/>
        <v>0</v>
      </c>
      <c r="CN57" s="33">
        <f t="shared" si="24"/>
        <v>0</v>
      </c>
      <c r="CO57" s="33">
        <f t="shared" si="24"/>
        <v>0</v>
      </c>
      <c r="CP57" s="33">
        <f t="shared" si="24"/>
        <v>0</v>
      </c>
      <c r="CQ57" s="33">
        <f t="shared" si="24"/>
        <v>0</v>
      </c>
      <c r="CR57" s="33">
        <f t="shared" si="24"/>
        <v>0</v>
      </c>
      <c r="CS57" s="33">
        <f t="shared" si="24"/>
        <v>0</v>
      </c>
      <c r="CT57" s="33">
        <f t="shared" si="24"/>
        <v>0</v>
      </c>
      <c r="CU57" s="33">
        <f t="shared" si="24"/>
        <v>0</v>
      </c>
      <c r="CV57" s="33">
        <f t="shared" si="24"/>
        <v>0</v>
      </c>
      <c r="CW57" s="33">
        <f t="shared" si="23"/>
        <v>0</v>
      </c>
      <c r="CX57" s="33">
        <f t="shared" si="23"/>
        <v>0</v>
      </c>
      <c r="CY57" s="33">
        <f t="shared" si="23"/>
        <v>0</v>
      </c>
      <c r="CZ57" s="33">
        <f t="shared" si="23"/>
        <v>0</v>
      </c>
      <c r="DA57" s="33">
        <f t="shared" si="25"/>
        <v>0</v>
      </c>
      <c r="DB57" s="33">
        <f t="shared" si="25"/>
        <v>0</v>
      </c>
      <c r="DC57" s="33">
        <f t="shared" si="25"/>
        <v>0</v>
      </c>
      <c r="DD57" s="33">
        <f t="shared" si="25"/>
        <v>0</v>
      </c>
      <c r="DE57" s="33">
        <f t="shared" si="25"/>
        <v>0</v>
      </c>
      <c r="DF57" s="33">
        <f t="shared" si="25"/>
        <v>0</v>
      </c>
      <c r="DG57" s="33">
        <f t="shared" si="25"/>
        <v>0</v>
      </c>
      <c r="DH57" s="33">
        <f t="shared" si="25"/>
        <v>0</v>
      </c>
      <c r="DI57" s="33">
        <f t="shared" si="25"/>
        <v>0</v>
      </c>
      <c r="DJ57" s="33">
        <f t="shared" si="25"/>
        <v>1</v>
      </c>
      <c r="DK57" s="33">
        <f t="shared" si="25"/>
        <v>0</v>
      </c>
      <c r="DL57" s="33">
        <f t="shared" si="21"/>
        <v>0</v>
      </c>
      <c r="DM57" s="33">
        <f t="shared" si="21"/>
        <v>0</v>
      </c>
      <c r="DN57" s="33">
        <f t="shared" si="19"/>
        <v>0</v>
      </c>
      <c r="DO57" s="33">
        <f t="shared" si="3"/>
        <v>1</v>
      </c>
      <c r="DP57" s="50">
        <f t="shared" si="10"/>
        <v>0</v>
      </c>
      <c r="DQ57" s="50" t="str">
        <f t="shared" si="11"/>
        <v>D</v>
      </c>
      <c r="DR57" s="33">
        <f t="shared" si="4"/>
        <v>1</v>
      </c>
      <c r="DS57" s="50">
        <f t="shared" si="12"/>
        <v>0</v>
      </c>
      <c r="DT57" s="50" t="str">
        <f t="shared" si="13"/>
        <v>6-BAJA</v>
      </c>
      <c r="DU57" s="33">
        <f t="shared" si="5"/>
        <v>0</v>
      </c>
      <c r="DV57" s="33">
        <f t="shared" si="5"/>
        <v>0</v>
      </c>
      <c r="DW57" s="33">
        <f t="shared" si="5"/>
        <v>0</v>
      </c>
      <c r="DX57" s="33">
        <f t="shared" si="5"/>
        <v>0</v>
      </c>
      <c r="DY57" s="35">
        <f t="shared" si="14"/>
        <v>3</v>
      </c>
      <c r="DZ57" s="33">
        <f t="shared" si="15"/>
        <v>11</v>
      </c>
      <c r="EA57" s="33">
        <f t="shared" si="16"/>
        <v>10</v>
      </c>
      <c r="EB57" s="33" t="str">
        <f t="shared" si="17"/>
        <v>AUX 2 COM + CAMPOS PREENC</v>
      </c>
      <c r="EC57" s="33" t="s">
        <v>10034</v>
      </c>
    </row>
    <row r="58" spans="2:133" x14ac:dyDescent="0.25">
      <c r="B58" s="33" t="s">
        <v>9135</v>
      </c>
      <c r="C58" s="33" t="s">
        <v>164</v>
      </c>
      <c r="D58" s="33" t="s">
        <v>8829</v>
      </c>
      <c r="E58" s="33" t="s">
        <v>8830</v>
      </c>
      <c r="F58" s="33" t="s">
        <v>8831</v>
      </c>
      <c r="G58" s="33" t="s">
        <v>8832</v>
      </c>
      <c r="H58" s="33" t="s">
        <v>8833</v>
      </c>
      <c r="I58" s="33" t="s">
        <v>8834</v>
      </c>
      <c r="J58" s="33" t="s">
        <v>9136</v>
      </c>
      <c r="K58" s="33" t="s">
        <v>8570</v>
      </c>
      <c r="L58" s="33" t="s">
        <v>8571</v>
      </c>
      <c r="M58" s="33" t="s">
        <v>8835</v>
      </c>
      <c r="N58" s="33" t="s">
        <v>8653</v>
      </c>
      <c r="O58" s="33"/>
      <c r="P58" s="33"/>
      <c r="Q58" s="33"/>
      <c r="R58" s="33" t="s">
        <v>9137</v>
      </c>
      <c r="S58" s="33"/>
      <c r="T58" s="33"/>
      <c r="U58" s="33" t="s">
        <v>8837</v>
      </c>
      <c r="V58" s="33"/>
      <c r="W58" s="33" t="s">
        <v>9138</v>
      </c>
      <c r="X58" s="33" t="s">
        <v>8840</v>
      </c>
      <c r="Y58" s="33" t="s">
        <v>8500</v>
      </c>
      <c r="Z58" s="33" t="s">
        <v>8500</v>
      </c>
      <c r="AA58" s="33" t="s">
        <v>8500</v>
      </c>
      <c r="AB58" s="33" t="s">
        <v>8500</v>
      </c>
      <c r="AC58" s="33"/>
      <c r="AD58" s="33"/>
      <c r="AE58" s="33"/>
      <c r="AF58" s="33" t="s">
        <v>9139</v>
      </c>
      <c r="AG58" s="33"/>
      <c r="AH58" s="33"/>
      <c r="AI58" s="33"/>
      <c r="AJ58" s="33" t="s">
        <v>8545</v>
      </c>
      <c r="AK58" s="33" t="s">
        <v>8528</v>
      </c>
      <c r="AL58" s="33" t="s">
        <v>8528</v>
      </c>
      <c r="AM58" s="33" t="s">
        <v>8545</v>
      </c>
      <c r="AN58" s="33" t="s">
        <v>8784</v>
      </c>
      <c r="AO58" s="33" t="s">
        <v>8785</v>
      </c>
      <c r="AP58" s="33">
        <v>1</v>
      </c>
      <c r="AQ58" s="5" t="s">
        <v>10037</v>
      </c>
      <c r="AR58" s="33"/>
      <c r="AS58" s="33" t="s">
        <v>164</v>
      </c>
      <c r="AT58" s="33" t="s">
        <v>8829</v>
      </c>
      <c r="AU58" s="33" t="s">
        <v>8830</v>
      </c>
      <c r="AV58" s="33" t="s">
        <v>8831</v>
      </c>
      <c r="AW58" s="33" t="s">
        <v>8832</v>
      </c>
      <c r="AX58" s="33" t="s">
        <v>8833</v>
      </c>
      <c r="AY58" s="33" t="s">
        <v>8834</v>
      </c>
      <c r="AZ58" s="33" t="s">
        <v>9136</v>
      </c>
      <c r="BA58" s="33" t="s">
        <v>8570</v>
      </c>
      <c r="BB58" s="33" t="s">
        <v>8571</v>
      </c>
      <c r="BC58" s="33" t="s">
        <v>8835</v>
      </c>
      <c r="BD58" s="33" t="s">
        <v>8653</v>
      </c>
      <c r="BE58" s="33"/>
      <c r="BF58" s="33"/>
      <c r="BG58" s="33"/>
      <c r="BH58" s="33" t="s">
        <v>9137</v>
      </c>
      <c r="BI58" s="33"/>
      <c r="BJ58" s="33"/>
      <c r="BK58" s="33" t="s">
        <v>8837</v>
      </c>
      <c r="BL58" s="33"/>
      <c r="BM58" s="33" t="s">
        <v>9138</v>
      </c>
      <c r="BN58" s="33" t="s">
        <v>8840</v>
      </c>
      <c r="BO58" s="33" t="s">
        <v>8500</v>
      </c>
      <c r="BP58" s="33" t="s">
        <v>8500</v>
      </c>
      <c r="BQ58" s="33" t="s">
        <v>8500</v>
      </c>
      <c r="BR58" s="33" t="s">
        <v>8500</v>
      </c>
      <c r="BS58" s="33"/>
      <c r="BT58" s="33"/>
      <c r="BU58" s="33"/>
      <c r="BV58" s="33" t="s">
        <v>9139</v>
      </c>
      <c r="BW58" s="33"/>
      <c r="BX58" s="33"/>
      <c r="BY58" s="33"/>
      <c r="BZ58" s="33" t="s">
        <v>8545</v>
      </c>
      <c r="CA58" s="33" t="s">
        <v>8528</v>
      </c>
      <c r="CB58" s="33" t="s">
        <v>8528</v>
      </c>
      <c r="CC58" s="33" t="s">
        <v>8545</v>
      </c>
      <c r="CD58" s="33" t="s">
        <v>8784</v>
      </c>
      <c r="CE58" s="33" t="s">
        <v>8785</v>
      </c>
      <c r="CF58" s="33">
        <v>2</v>
      </c>
      <c r="CG58" s="5" t="s">
        <v>10037</v>
      </c>
      <c r="CH58" s="33">
        <f t="shared" si="24"/>
        <v>0</v>
      </c>
      <c r="CI58" s="33">
        <f t="shared" si="24"/>
        <v>0</v>
      </c>
      <c r="CJ58" s="33">
        <f t="shared" si="24"/>
        <v>0</v>
      </c>
      <c r="CK58" s="33">
        <f t="shared" si="24"/>
        <v>0</v>
      </c>
      <c r="CL58" s="33">
        <f t="shared" si="24"/>
        <v>0</v>
      </c>
      <c r="CM58" s="33">
        <f t="shared" si="24"/>
        <v>0</v>
      </c>
      <c r="CN58" s="33">
        <f t="shared" si="24"/>
        <v>0</v>
      </c>
      <c r="CO58" s="33">
        <f t="shared" si="24"/>
        <v>0</v>
      </c>
      <c r="CP58" s="33">
        <f t="shared" si="24"/>
        <v>0</v>
      </c>
      <c r="CQ58" s="33">
        <f t="shared" si="24"/>
        <v>0</v>
      </c>
      <c r="CR58" s="33">
        <f t="shared" si="24"/>
        <v>0</v>
      </c>
      <c r="CS58" s="33">
        <f t="shared" si="24"/>
        <v>0</v>
      </c>
      <c r="CT58" s="33">
        <f t="shared" si="24"/>
        <v>0</v>
      </c>
      <c r="CU58" s="33">
        <f t="shared" si="24"/>
        <v>0</v>
      </c>
      <c r="CV58" s="33">
        <f t="shared" si="24"/>
        <v>0</v>
      </c>
      <c r="CW58" s="33">
        <f t="shared" si="23"/>
        <v>0</v>
      </c>
      <c r="CX58" s="33">
        <f t="shared" si="23"/>
        <v>0</v>
      </c>
      <c r="CY58" s="33">
        <f t="shared" si="23"/>
        <v>0</v>
      </c>
      <c r="CZ58" s="33">
        <f t="shared" si="23"/>
        <v>0</v>
      </c>
      <c r="DA58" s="33">
        <f t="shared" si="25"/>
        <v>0</v>
      </c>
      <c r="DB58" s="33">
        <f t="shared" si="25"/>
        <v>0</v>
      </c>
      <c r="DC58" s="33">
        <f t="shared" si="25"/>
        <v>0</v>
      </c>
      <c r="DD58" s="33">
        <f t="shared" si="25"/>
        <v>0</v>
      </c>
      <c r="DE58" s="33">
        <f t="shared" si="25"/>
        <v>0</v>
      </c>
      <c r="DF58" s="33">
        <f t="shared" si="25"/>
        <v>0</v>
      </c>
      <c r="DG58" s="33">
        <f t="shared" si="25"/>
        <v>0</v>
      </c>
      <c r="DH58" s="33">
        <f t="shared" si="25"/>
        <v>0</v>
      </c>
      <c r="DI58" s="33">
        <f t="shared" si="25"/>
        <v>0</v>
      </c>
      <c r="DJ58" s="33">
        <f t="shared" si="25"/>
        <v>0</v>
      </c>
      <c r="DK58" s="33">
        <f t="shared" si="25"/>
        <v>0</v>
      </c>
      <c r="DL58" s="33">
        <f t="shared" si="21"/>
        <v>0</v>
      </c>
      <c r="DM58" s="33">
        <f t="shared" si="21"/>
        <v>0</v>
      </c>
      <c r="DN58" s="33">
        <f t="shared" si="19"/>
        <v>0</v>
      </c>
      <c r="DO58" s="33">
        <f t="shared" si="3"/>
        <v>0</v>
      </c>
      <c r="DP58" s="50" t="str">
        <f t="shared" si="10"/>
        <v>D</v>
      </c>
      <c r="DQ58" s="50" t="str">
        <f t="shared" si="11"/>
        <v>D</v>
      </c>
      <c r="DR58" s="33">
        <f t="shared" si="4"/>
        <v>0</v>
      </c>
      <c r="DS58" s="50" t="str">
        <f t="shared" si="12"/>
        <v>5-MEDIA BAJA</v>
      </c>
      <c r="DT58" s="50" t="str">
        <f t="shared" si="13"/>
        <v>5-MEDIA BAJA</v>
      </c>
      <c r="DU58" s="33">
        <f t="shared" si="5"/>
        <v>0</v>
      </c>
      <c r="DV58" s="33">
        <f t="shared" si="5"/>
        <v>0</v>
      </c>
      <c r="DW58" s="33">
        <f t="shared" si="5"/>
        <v>0</v>
      </c>
      <c r="DX58" s="33">
        <f t="shared" si="5"/>
        <v>0</v>
      </c>
      <c r="DY58" s="35">
        <f t="shared" si="14"/>
        <v>0</v>
      </c>
      <c r="DZ58" s="33">
        <f t="shared" si="15"/>
        <v>12</v>
      </c>
      <c r="EA58" s="33">
        <f t="shared" si="16"/>
        <v>12</v>
      </c>
      <c r="EB58" s="33" t="str">
        <f t="shared" si="17"/>
        <v>IGUAL CAMPOS PREENCH</v>
      </c>
      <c r="EC58" s="33" t="s">
        <v>10035</v>
      </c>
    </row>
    <row r="59" spans="2:133" x14ac:dyDescent="0.25">
      <c r="B59" s="33" t="s">
        <v>9140</v>
      </c>
      <c r="C59" s="33" t="s">
        <v>173</v>
      </c>
      <c r="D59" s="33" t="s">
        <v>8763</v>
      </c>
      <c r="E59" s="33" t="s">
        <v>8764</v>
      </c>
      <c r="F59" s="33" t="s">
        <v>8765</v>
      </c>
      <c r="G59" s="33" t="s">
        <v>8764</v>
      </c>
      <c r="H59" s="33" t="s">
        <v>9141</v>
      </c>
      <c r="I59" s="33" t="s">
        <v>9142</v>
      </c>
      <c r="J59" s="33" t="s">
        <v>8767</v>
      </c>
      <c r="K59" s="33"/>
      <c r="L59" s="33"/>
      <c r="M59" s="33"/>
      <c r="N59" s="33"/>
      <c r="O59" s="33"/>
      <c r="P59" s="33"/>
      <c r="Q59" s="33"/>
      <c r="R59" s="33" t="s">
        <v>9143</v>
      </c>
      <c r="S59" s="33"/>
      <c r="T59" s="33"/>
      <c r="U59" s="33" t="s">
        <v>8768</v>
      </c>
      <c r="V59" s="33"/>
      <c r="W59" s="33" t="s">
        <v>9144</v>
      </c>
      <c r="X59" s="33" t="s">
        <v>8499</v>
      </c>
      <c r="Y59" s="33" t="s">
        <v>8500</v>
      </c>
      <c r="Z59" s="33" t="s">
        <v>8500</v>
      </c>
      <c r="AA59" s="33" t="s">
        <v>8500</v>
      </c>
      <c r="AB59" s="33" t="s">
        <v>8525</v>
      </c>
      <c r="AC59" s="33"/>
      <c r="AD59" s="33"/>
      <c r="AE59" s="33"/>
      <c r="AF59" s="33" t="s">
        <v>9145</v>
      </c>
      <c r="AG59" s="33"/>
      <c r="AH59" s="33" t="s">
        <v>8560</v>
      </c>
      <c r="AI59" s="33"/>
      <c r="AJ59" s="33" t="s">
        <v>8545</v>
      </c>
      <c r="AK59" s="33" t="s">
        <v>8528</v>
      </c>
      <c r="AL59" s="33" t="s">
        <v>8528</v>
      </c>
      <c r="AM59" s="33" t="s">
        <v>8545</v>
      </c>
      <c r="AN59" s="33" t="s">
        <v>8845</v>
      </c>
      <c r="AO59" s="33" t="s">
        <v>8846</v>
      </c>
      <c r="AP59" s="33">
        <v>1</v>
      </c>
      <c r="AQ59" s="5" t="s">
        <v>10037</v>
      </c>
      <c r="AR59" s="33"/>
      <c r="AS59" s="33" t="s">
        <v>173</v>
      </c>
      <c r="AT59" s="33" t="s">
        <v>8763</v>
      </c>
      <c r="AU59" s="33" t="s">
        <v>8764</v>
      </c>
      <c r="AV59" s="33" t="s">
        <v>8765</v>
      </c>
      <c r="AW59" s="33" t="s">
        <v>8764</v>
      </c>
      <c r="AX59" s="33" t="s">
        <v>9141</v>
      </c>
      <c r="AY59" s="33" t="s">
        <v>9142</v>
      </c>
      <c r="AZ59" s="33" t="s">
        <v>8767</v>
      </c>
      <c r="BA59" s="33"/>
      <c r="BB59" s="33"/>
      <c r="BC59" s="33"/>
      <c r="BD59" s="33"/>
      <c r="BE59" s="33"/>
      <c r="BF59" s="33"/>
      <c r="BG59" s="33"/>
      <c r="BH59" s="33" t="s">
        <v>9143</v>
      </c>
      <c r="BI59" s="33"/>
      <c r="BJ59" s="33"/>
      <c r="BK59" s="33" t="s">
        <v>8768</v>
      </c>
      <c r="BL59" s="33"/>
      <c r="BM59" s="33" t="s">
        <v>9144</v>
      </c>
      <c r="BN59" s="33" t="s">
        <v>8499</v>
      </c>
      <c r="BO59" s="33" t="s">
        <v>8500</v>
      </c>
      <c r="BP59" s="33" t="s">
        <v>8500</v>
      </c>
      <c r="BQ59" s="33" t="s">
        <v>8500</v>
      </c>
      <c r="BR59" s="33" t="s">
        <v>8525</v>
      </c>
      <c r="BS59" s="33"/>
      <c r="BT59" s="33"/>
      <c r="BU59" s="33"/>
      <c r="BV59" s="33" t="s">
        <v>9145</v>
      </c>
      <c r="BW59" s="33"/>
      <c r="BX59" s="33" t="s">
        <v>8560</v>
      </c>
      <c r="BY59" s="33"/>
      <c r="BZ59" s="33"/>
      <c r="CA59" s="33"/>
      <c r="CB59" s="33" t="s">
        <v>8528</v>
      </c>
      <c r="CC59" s="33" t="s">
        <v>8545</v>
      </c>
      <c r="CD59" s="33" t="s">
        <v>8845</v>
      </c>
      <c r="CE59" s="33" t="s">
        <v>8846</v>
      </c>
      <c r="CF59" s="33">
        <v>2</v>
      </c>
      <c r="CG59" s="5" t="s">
        <v>10037</v>
      </c>
      <c r="CH59" s="33">
        <f t="shared" si="24"/>
        <v>0</v>
      </c>
      <c r="CI59" s="33">
        <f t="shared" si="24"/>
        <v>0</v>
      </c>
      <c r="CJ59" s="33">
        <f t="shared" si="24"/>
        <v>0</v>
      </c>
      <c r="CK59" s="33">
        <f t="shared" si="24"/>
        <v>0</v>
      </c>
      <c r="CL59" s="33">
        <f t="shared" si="24"/>
        <v>0</v>
      </c>
      <c r="CM59" s="33">
        <f t="shared" si="24"/>
        <v>0</v>
      </c>
      <c r="CN59" s="33">
        <f t="shared" si="24"/>
        <v>0</v>
      </c>
      <c r="CO59" s="33">
        <f t="shared" si="24"/>
        <v>0</v>
      </c>
      <c r="CP59" s="33">
        <f t="shared" si="24"/>
        <v>0</v>
      </c>
      <c r="CQ59" s="33">
        <f t="shared" si="24"/>
        <v>0</v>
      </c>
      <c r="CR59" s="33">
        <f t="shared" si="24"/>
        <v>0</v>
      </c>
      <c r="CS59" s="33">
        <f t="shared" si="24"/>
        <v>0</v>
      </c>
      <c r="CT59" s="33">
        <f t="shared" si="24"/>
        <v>0</v>
      </c>
      <c r="CU59" s="33">
        <f t="shared" si="24"/>
        <v>0</v>
      </c>
      <c r="CV59" s="33">
        <f t="shared" si="24"/>
        <v>0</v>
      </c>
      <c r="CW59" s="33">
        <f t="shared" si="23"/>
        <v>0</v>
      </c>
      <c r="CX59" s="33">
        <f t="shared" si="23"/>
        <v>0</v>
      </c>
      <c r="CY59" s="33">
        <f t="shared" si="23"/>
        <v>0</v>
      </c>
      <c r="CZ59" s="33">
        <f t="shared" si="23"/>
        <v>0</v>
      </c>
      <c r="DA59" s="33">
        <f t="shared" si="25"/>
        <v>0</v>
      </c>
      <c r="DB59" s="33">
        <f t="shared" si="25"/>
        <v>0</v>
      </c>
      <c r="DC59" s="33">
        <f t="shared" si="25"/>
        <v>0</v>
      </c>
      <c r="DD59" s="33">
        <f t="shared" si="25"/>
        <v>0</v>
      </c>
      <c r="DE59" s="33">
        <f t="shared" si="25"/>
        <v>0</v>
      </c>
      <c r="DF59" s="33">
        <f t="shared" si="25"/>
        <v>0</v>
      </c>
      <c r="DG59" s="33">
        <f t="shared" si="25"/>
        <v>0</v>
      </c>
      <c r="DH59" s="33">
        <f t="shared" si="25"/>
        <v>0</v>
      </c>
      <c r="DI59" s="33">
        <f t="shared" si="25"/>
        <v>0</v>
      </c>
      <c r="DJ59" s="33">
        <f t="shared" si="25"/>
        <v>0</v>
      </c>
      <c r="DK59" s="33">
        <f t="shared" si="25"/>
        <v>0</v>
      </c>
      <c r="DL59" s="33">
        <f t="shared" si="21"/>
        <v>0</v>
      </c>
      <c r="DM59" s="33">
        <f t="shared" si="21"/>
        <v>0</v>
      </c>
      <c r="DN59" s="33">
        <f t="shared" si="19"/>
        <v>0</v>
      </c>
      <c r="DO59" s="33">
        <f t="shared" si="3"/>
        <v>1</v>
      </c>
      <c r="DP59" s="50" t="str">
        <f t="shared" si="10"/>
        <v>D</v>
      </c>
      <c r="DQ59" s="50">
        <f t="shared" si="11"/>
        <v>0</v>
      </c>
      <c r="DR59" s="33">
        <f t="shared" si="4"/>
        <v>1</v>
      </c>
      <c r="DS59" s="50" t="str">
        <f t="shared" si="12"/>
        <v>5-MEDIA BAJA</v>
      </c>
      <c r="DT59" s="50">
        <f t="shared" si="13"/>
        <v>0</v>
      </c>
      <c r="DU59" s="33">
        <f t="shared" si="5"/>
        <v>0</v>
      </c>
      <c r="DV59" s="33">
        <f t="shared" si="5"/>
        <v>0</v>
      </c>
      <c r="DW59" s="33">
        <f t="shared" si="5"/>
        <v>0</v>
      </c>
      <c r="DX59" s="33">
        <f t="shared" si="5"/>
        <v>0</v>
      </c>
      <c r="DY59" s="35">
        <f t="shared" si="14"/>
        <v>2</v>
      </c>
      <c r="DZ59" s="33">
        <f t="shared" si="15"/>
        <v>15</v>
      </c>
      <c r="EA59" s="33">
        <f t="shared" si="16"/>
        <v>17</v>
      </c>
      <c r="EB59" s="33" t="str">
        <f t="shared" si="17"/>
        <v>AUX 1 COM + CAMPOS PREENC OU IGUAL</v>
      </c>
      <c r="EC59" s="33" t="s">
        <v>10034</v>
      </c>
    </row>
    <row r="60" spans="2:133" x14ac:dyDescent="0.25">
      <c r="B60" s="33"/>
      <c r="C60" s="33" t="s">
        <v>67</v>
      </c>
      <c r="D60" s="33" t="s">
        <v>8645</v>
      </c>
      <c r="E60" s="33" t="s">
        <v>8646</v>
      </c>
      <c r="F60" s="33" t="s">
        <v>9146</v>
      </c>
      <c r="G60" s="33" t="s">
        <v>9147</v>
      </c>
      <c r="H60" s="33" t="s">
        <v>9148</v>
      </c>
      <c r="I60" s="33" t="s">
        <v>9147</v>
      </c>
      <c r="J60" s="33" t="s">
        <v>9147</v>
      </c>
      <c r="K60" s="33" t="s">
        <v>8819</v>
      </c>
      <c r="L60" s="33" t="s">
        <v>8820</v>
      </c>
      <c r="M60" s="33" t="s">
        <v>9149</v>
      </c>
      <c r="N60" s="33" t="s">
        <v>9150</v>
      </c>
      <c r="O60" s="33"/>
      <c r="P60" s="33"/>
      <c r="Q60" s="33" t="s">
        <v>8820</v>
      </c>
      <c r="R60" s="33" t="s">
        <v>8500</v>
      </c>
      <c r="S60" s="33"/>
      <c r="T60" s="33"/>
      <c r="U60" s="33" t="s">
        <v>9151</v>
      </c>
      <c r="V60" s="33" t="s">
        <v>8782</v>
      </c>
      <c r="W60" s="33" t="s">
        <v>9152</v>
      </c>
      <c r="X60" s="33" t="s">
        <v>9153</v>
      </c>
      <c r="Y60" s="33" t="s">
        <v>8500</v>
      </c>
      <c r="Z60" s="33" t="s">
        <v>8500</v>
      </c>
      <c r="AA60" s="33" t="s">
        <v>8500</v>
      </c>
      <c r="AB60" s="33" t="s">
        <v>8525</v>
      </c>
      <c r="AC60" s="33"/>
      <c r="AD60" s="33"/>
      <c r="AE60" s="33"/>
      <c r="AF60" s="33" t="s">
        <v>9154</v>
      </c>
      <c r="AG60" s="33"/>
      <c r="AH60" s="33" t="s">
        <v>8606</v>
      </c>
      <c r="AI60" s="33"/>
      <c r="AJ60" s="33" t="s">
        <v>8545</v>
      </c>
      <c r="AK60" s="33" t="s">
        <v>8507</v>
      </c>
      <c r="AL60" s="33" t="s">
        <v>8528</v>
      </c>
      <c r="AM60" s="33" t="s">
        <v>8577</v>
      </c>
      <c r="AN60" s="33" t="s">
        <v>9155</v>
      </c>
      <c r="AO60" s="33" t="s">
        <v>9156</v>
      </c>
      <c r="AP60" s="33">
        <v>1</v>
      </c>
      <c r="AQ60" s="5" t="s">
        <v>10037</v>
      </c>
      <c r="AR60" s="33"/>
      <c r="AS60" s="33" t="s">
        <v>67</v>
      </c>
      <c r="AT60" s="33" t="s">
        <v>8645</v>
      </c>
      <c r="AU60" s="33" t="s">
        <v>8646</v>
      </c>
      <c r="AV60" s="33" t="s">
        <v>9146</v>
      </c>
      <c r="AW60" s="33" t="s">
        <v>9147</v>
      </c>
      <c r="AX60" s="33" t="s">
        <v>9148</v>
      </c>
      <c r="AY60" s="33" t="s">
        <v>9147</v>
      </c>
      <c r="AZ60" s="33" t="s">
        <v>9147</v>
      </c>
      <c r="BA60" s="33" t="s">
        <v>8819</v>
      </c>
      <c r="BB60" s="33" t="s">
        <v>8820</v>
      </c>
      <c r="BC60" s="33" t="s">
        <v>9149</v>
      </c>
      <c r="BD60" s="33" t="s">
        <v>9150</v>
      </c>
      <c r="BE60" s="33"/>
      <c r="BF60" s="33"/>
      <c r="BG60" s="33" t="s">
        <v>8820</v>
      </c>
      <c r="BH60" s="33" t="s">
        <v>8500</v>
      </c>
      <c r="BI60" s="33"/>
      <c r="BJ60" s="33"/>
      <c r="BK60" s="33" t="s">
        <v>9151</v>
      </c>
      <c r="BL60" s="33" t="s">
        <v>8782</v>
      </c>
      <c r="BM60" s="33" t="s">
        <v>9152</v>
      </c>
      <c r="BN60" s="33" t="s">
        <v>9153</v>
      </c>
      <c r="BO60" s="33" t="s">
        <v>8500</v>
      </c>
      <c r="BP60" s="33" t="s">
        <v>8500</v>
      </c>
      <c r="BQ60" s="33" t="s">
        <v>8500</v>
      </c>
      <c r="BR60" s="33" t="s">
        <v>8525</v>
      </c>
      <c r="BS60" s="33"/>
      <c r="BT60" s="33"/>
      <c r="BU60" s="33"/>
      <c r="BV60" s="33" t="s">
        <v>9154</v>
      </c>
      <c r="BW60" s="33"/>
      <c r="BX60" s="33" t="s">
        <v>8606</v>
      </c>
      <c r="BY60" s="33"/>
      <c r="BZ60" s="33"/>
      <c r="CA60" s="33"/>
      <c r="CB60" s="33" t="s">
        <v>8528</v>
      </c>
      <c r="CC60" s="33" t="s">
        <v>8577</v>
      </c>
      <c r="CD60" s="33" t="s">
        <v>9155</v>
      </c>
      <c r="CE60" s="33" t="s">
        <v>9156</v>
      </c>
      <c r="CF60" s="33">
        <v>2</v>
      </c>
      <c r="CG60" s="5" t="s">
        <v>10037</v>
      </c>
      <c r="CH60" s="33">
        <f t="shared" si="24"/>
        <v>0</v>
      </c>
      <c r="CI60" s="33">
        <f t="shared" si="24"/>
        <v>0</v>
      </c>
      <c r="CJ60" s="33">
        <f t="shared" si="24"/>
        <v>0</v>
      </c>
      <c r="CK60" s="33">
        <f t="shared" si="24"/>
        <v>0</v>
      </c>
      <c r="CL60" s="33">
        <f t="shared" si="24"/>
        <v>0</v>
      </c>
      <c r="CM60" s="33">
        <f t="shared" si="24"/>
        <v>0</v>
      </c>
      <c r="CN60" s="33">
        <f t="shared" si="24"/>
        <v>0</v>
      </c>
      <c r="CO60" s="33">
        <f t="shared" si="24"/>
        <v>0</v>
      </c>
      <c r="CP60" s="33">
        <f t="shared" si="24"/>
        <v>0</v>
      </c>
      <c r="CQ60" s="33">
        <f t="shared" si="24"/>
        <v>0</v>
      </c>
      <c r="CR60" s="33">
        <f t="shared" si="24"/>
        <v>0</v>
      </c>
      <c r="CS60" s="33">
        <f t="shared" si="24"/>
        <v>0</v>
      </c>
      <c r="CT60" s="33">
        <f t="shared" si="24"/>
        <v>0</v>
      </c>
      <c r="CU60" s="33">
        <f t="shared" si="24"/>
        <v>0</v>
      </c>
      <c r="CV60" s="33">
        <f t="shared" si="24"/>
        <v>0</v>
      </c>
      <c r="CW60" s="33">
        <f t="shared" si="23"/>
        <v>0</v>
      </c>
      <c r="CX60" s="33">
        <f t="shared" si="23"/>
        <v>0</v>
      </c>
      <c r="CY60" s="33">
        <f t="shared" si="23"/>
        <v>0</v>
      </c>
      <c r="CZ60" s="33">
        <f t="shared" si="23"/>
        <v>0</v>
      </c>
      <c r="DA60" s="33">
        <f t="shared" si="25"/>
        <v>0</v>
      </c>
      <c r="DB60" s="33">
        <f t="shared" si="25"/>
        <v>0</v>
      </c>
      <c r="DC60" s="33">
        <f t="shared" si="25"/>
        <v>0</v>
      </c>
      <c r="DD60" s="33">
        <f t="shared" si="25"/>
        <v>0</v>
      </c>
      <c r="DE60" s="33">
        <f t="shared" si="25"/>
        <v>0</v>
      </c>
      <c r="DF60" s="33">
        <f t="shared" si="25"/>
        <v>0</v>
      </c>
      <c r="DG60" s="33">
        <f t="shared" si="25"/>
        <v>0</v>
      </c>
      <c r="DH60" s="33">
        <f t="shared" si="25"/>
        <v>0</v>
      </c>
      <c r="DI60" s="33">
        <f t="shared" si="25"/>
        <v>0</v>
      </c>
      <c r="DJ60" s="33">
        <f t="shared" si="25"/>
        <v>0</v>
      </c>
      <c r="DK60" s="33">
        <f t="shared" si="25"/>
        <v>0</v>
      </c>
      <c r="DL60" s="33">
        <f t="shared" si="21"/>
        <v>0</v>
      </c>
      <c r="DM60" s="33">
        <f t="shared" si="21"/>
        <v>0</v>
      </c>
      <c r="DN60" s="33">
        <f t="shared" si="19"/>
        <v>0</v>
      </c>
      <c r="DO60" s="33">
        <f t="shared" si="3"/>
        <v>1</v>
      </c>
      <c r="DP60" s="50" t="str">
        <f t="shared" si="10"/>
        <v>D</v>
      </c>
      <c r="DQ60" s="50">
        <f t="shared" si="11"/>
        <v>0</v>
      </c>
      <c r="DR60" s="33">
        <f t="shared" si="4"/>
        <v>1</v>
      </c>
      <c r="DS60" s="50" t="str">
        <f t="shared" si="12"/>
        <v>4-MEDIA</v>
      </c>
      <c r="DT60" s="50">
        <f t="shared" si="13"/>
        <v>0</v>
      </c>
      <c r="DU60" s="33">
        <f t="shared" si="5"/>
        <v>0</v>
      </c>
      <c r="DV60" s="33">
        <f t="shared" si="5"/>
        <v>0</v>
      </c>
      <c r="DW60" s="33">
        <f t="shared" si="5"/>
        <v>0</v>
      </c>
      <c r="DX60" s="33">
        <f t="shared" si="5"/>
        <v>0</v>
      </c>
      <c r="DY60" s="35">
        <f t="shared" si="14"/>
        <v>2</v>
      </c>
      <c r="DZ60" s="33">
        <f t="shared" si="15"/>
        <v>9</v>
      </c>
      <c r="EA60" s="33">
        <f t="shared" si="16"/>
        <v>11</v>
      </c>
      <c r="EB60" s="33" t="str">
        <f t="shared" si="17"/>
        <v>AUX 1 COM + CAMPOS PREENC OU IGUAL</v>
      </c>
      <c r="EC60" s="33" t="s">
        <v>10034</v>
      </c>
    </row>
    <row r="61" spans="2:133" x14ac:dyDescent="0.25">
      <c r="B61" s="33"/>
      <c r="C61" s="33" t="s">
        <v>73</v>
      </c>
      <c r="D61" s="33" t="s">
        <v>8763</v>
      </c>
      <c r="E61" s="33" t="s">
        <v>8764</v>
      </c>
      <c r="F61" s="33" t="s">
        <v>8765</v>
      </c>
      <c r="G61" s="33" t="s">
        <v>8764</v>
      </c>
      <c r="H61" s="33" t="s">
        <v>8766</v>
      </c>
      <c r="I61" s="33" t="s">
        <v>8764</v>
      </c>
      <c r="J61" s="33" t="s">
        <v>8767</v>
      </c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 t="s">
        <v>8768</v>
      </c>
      <c r="V61" s="33"/>
      <c r="W61" s="33" t="s">
        <v>8721</v>
      </c>
      <c r="X61" s="33" t="s">
        <v>8499</v>
      </c>
      <c r="Y61" s="33" t="s">
        <v>8500</v>
      </c>
      <c r="Z61" s="33" t="s">
        <v>8500</v>
      </c>
      <c r="AA61" s="33" t="s">
        <v>8500</v>
      </c>
      <c r="AB61" s="33" t="s">
        <v>8525</v>
      </c>
      <c r="AC61" s="33"/>
      <c r="AD61" s="33"/>
      <c r="AE61" s="33"/>
      <c r="AF61" s="33" t="s">
        <v>9157</v>
      </c>
      <c r="AG61" s="33"/>
      <c r="AH61" s="33" t="s">
        <v>8560</v>
      </c>
      <c r="AI61" s="33"/>
      <c r="AJ61" s="33"/>
      <c r="AK61" s="33"/>
      <c r="AL61" s="33" t="s">
        <v>8528</v>
      </c>
      <c r="AM61" s="33" t="s">
        <v>8545</v>
      </c>
      <c r="AN61" s="33" t="s">
        <v>8845</v>
      </c>
      <c r="AO61" s="33" t="s">
        <v>8846</v>
      </c>
      <c r="AP61" s="33">
        <v>1</v>
      </c>
      <c r="AQ61" s="5" t="s">
        <v>10037</v>
      </c>
      <c r="AR61" s="33" t="s">
        <v>9158</v>
      </c>
      <c r="AS61" s="33" t="s">
        <v>73</v>
      </c>
      <c r="AT61" s="33" t="s">
        <v>8763</v>
      </c>
      <c r="AU61" s="33" t="s">
        <v>8764</v>
      </c>
      <c r="AV61" s="33" t="s">
        <v>8765</v>
      </c>
      <c r="AW61" s="33" t="s">
        <v>8764</v>
      </c>
      <c r="AX61" s="33" t="s">
        <v>8766</v>
      </c>
      <c r="AY61" s="33" t="s">
        <v>8764</v>
      </c>
      <c r="AZ61" s="33" t="s">
        <v>8767</v>
      </c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 t="s">
        <v>8768</v>
      </c>
      <c r="BL61" s="33"/>
      <c r="BM61" s="33" t="s">
        <v>8721</v>
      </c>
      <c r="BN61" s="33" t="s">
        <v>8499</v>
      </c>
      <c r="BO61" s="33" t="s">
        <v>8500</v>
      </c>
      <c r="BP61" s="33" t="s">
        <v>8500</v>
      </c>
      <c r="BQ61" s="33" t="s">
        <v>8500</v>
      </c>
      <c r="BR61" s="33" t="s">
        <v>8525</v>
      </c>
      <c r="BS61" s="33"/>
      <c r="BT61" s="33"/>
      <c r="BU61" s="33"/>
      <c r="BV61" s="33" t="s">
        <v>9157</v>
      </c>
      <c r="BW61" s="33"/>
      <c r="BX61" s="33" t="s">
        <v>8560</v>
      </c>
      <c r="BY61" s="33"/>
      <c r="BZ61" s="33" t="s">
        <v>8545</v>
      </c>
      <c r="CA61" s="33" t="s">
        <v>8528</v>
      </c>
      <c r="CB61" s="33" t="s">
        <v>8528</v>
      </c>
      <c r="CC61" s="33" t="s">
        <v>8545</v>
      </c>
      <c r="CD61" s="33" t="s">
        <v>8845</v>
      </c>
      <c r="CE61" s="33" t="s">
        <v>8846</v>
      </c>
      <c r="CF61" s="33">
        <v>2</v>
      </c>
      <c r="CG61" s="5" t="s">
        <v>10037</v>
      </c>
      <c r="CH61" s="33">
        <f t="shared" si="24"/>
        <v>0</v>
      </c>
      <c r="CI61" s="33">
        <f t="shared" si="24"/>
        <v>0</v>
      </c>
      <c r="CJ61" s="33">
        <f t="shared" si="24"/>
        <v>0</v>
      </c>
      <c r="CK61" s="33">
        <f t="shared" si="24"/>
        <v>0</v>
      </c>
      <c r="CL61" s="33">
        <f t="shared" si="24"/>
        <v>0</v>
      </c>
      <c r="CM61" s="33">
        <f t="shared" si="24"/>
        <v>0</v>
      </c>
      <c r="CN61" s="33">
        <f t="shared" si="24"/>
        <v>0</v>
      </c>
      <c r="CO61" s="33">
        <f t="shared" si="24"/>
        <v>0</v>
      </c>
      <c r="CP61" s="33">
        <f t="shared" si="24"/>
        <v>0</v>
      </c>
      <c r="CQ61" s="33">
        <f t="shared" si="24"/>
        <v>0</v>
      </c>
      <c r="CR61" s="33">
        <f t="shared" si="24"/>
        <v>0</v>
      </c>
      <c r="CS61" s="33">
        <f t="shared" si="24"/>
        <v>0</v>
      </c>
      <c r="CT61" s="33">
        <f t="shared" si="24"/>
        <v>0</v>
      </c>
      <c r="CU61" s="33">
        <f t="shared" si="24"/>
        <v>0</v>
      </c>
      <c r="CV61" s="33">
        <f t="shared" si="24"/>
        <v>0</v>
      </c>
      <c r="CW61" s="33">
        <f t="shared" si="23"/>
        <v>0</v>
      </c>
      <c r="CX61" s="33">
        <f t="shared" si="23"/>
        <v>0</v>
      </c>
      <c r="CY61" s="33">
        <f t="shared" si="23"/>
        <v>0</v>
      </c>
      <c r="CZ61" s="33">
        <f t="shared" si="23"/>
        <v>0</v>
      </c>
      <c r="DA61" s="33">
        <f t="shared" si="25"/>
        <v>0</v>
      </c>
      <c r="DB61" s="33">
        <f t="shared" si="25"/>
        <v>0</v>
      </c>
      <c r="DC61" s="33">
        <f t="shared" si="25"/>
        <v>0</v>
      </c>
      <c r="DD61" s="33">
        <f t="shared" si="25"/>
        <v>0</v>
      </c>
      <c r="DE61" s="33">
        <f t="shared" si="25"/>
        <v>0</v>
      </c>
      <c r="DF61" s="33">
        <f t="shared" si="25"/>
        <v>0</v>
      </c>
      <c r="DG61" s="33">
        <f t="shared" si="25"/>
        <v>0</v>
      </c>
      <c r="DH61" s="33">
        <f t="shared" si="25"/>
        <v>0</v>
      </c>
      <c r="DI61" s="33">
        <f t="shared" si="25"/>
        <v>0</v>
      </c>
      <c r="DJ61" s="33">
        <f t="shared" si="25"/>
        <v>0</v>
      </c>
      <c r="DK61" s="33">
        <f t="shared" si="25"/>
        <v>0</v>
      </c>
      <c r="DL61" s="33">
        <f t="shared" si="21"/>
        <v>0</v>
      </c>
      <c r="DM61" s="33">
        <f t="shared" si="21"/>
        <v>0</v>
      </c>
      <c r="DN61" s="33">
        <f t="shared" si="19"/>
        <v>0</v>
      </c>
      <c r="DO61" s="33">
        <f t="shared" si="3"/>
        <v>1</v>
      </c>
      <c r="DP61" s="50">
        <f t="shared" si="10"/>
        <v>0</v>
      </c>
      <c r="DQ61" s="50" t="str">
        <f t="shared" si="11"/>
        <v>D</v>
      </c>
      <c r="DR61" s="33">
        <f t="shared" si="4"/>
        <v>1</v>
      </c>
      <c r="DS61" s="50">
        <f t="shared" si="12"/>
        <v>0</v>
      </c>
      <c r="DT61" s="50" t="str">
        <f t="shared" si="13"/>
        <v>5-MEDIA BAJA</v>
      </c>
      <c r="DU61" s="33">
        <f t="shared" si="5"/>
        <v>0</v>
      </c>
      <c r="DV61" s="33">
        <f t="shared" si="5"/>
        <v>0</v>
      </c>
      <c r="DW61" s="33">
        <f t="shared" si="5"/>
        <v>0</v>
      </c>
      <c r="DX61" s="33">
        <f t="shared" si="5"/>
        <v>0</v>
      </c>
      <c r="DY61" s="35">
        <f t="shared" si="14"/>
        <v>2</v>
      </c>
      <c r="DZ61" s="33">
        <f t="shared" si="15"/>
        <v>18</v>
      </c>
      <c r="EA61" s="33">
        <f t="shared" si="16"/>
        <v>16</v>
      </c>
      <c r="EB61" s="33" t="str">
        <f t="shared" si="17"/>
        <v>AUX 2 COM + CAMPOS PREENC</v>
      </c>
      <c r="EC61" s="33" t="s">
        <v>10034</v>
      </c>
    </row>
    <row r="62" spans="2:133" x14ac:dyDescent="0.25">
      <c r="B62" s="33" t="s">
        <v>9159</v>
      </c>
      <c r="C62" s="33" t="s">
        <v>100</v>
      </c>
      <c r="D62" s="33" t="s">
        <v>8645</v>
      </c>
      <c r="E62" s="33" t="s">
        <v>8646</v>
      </c>
      <c r="F62" s="33" t="s">
        <v>8647</v>
      </c>
      <c r="G62" s="33" t="s">
        <v>8648</v>
      </c>
      <c r="H62" s="33" t="s">
        <v>9160</v>
      </c>
      <c r="I62" s="33" t="s">
        <v>9161</v>
      </c>
      <c r="J62" s="33" t="s">
        <v>8648</v>
      </c>
      <c r="K62" s="33" t="s">
        <v>8570</v>
      </c>
      <c r="L62" s="33" t="s">
        <v>8571</v>
      </c>
      <c r="M62" s="33" t="s">
        <v>9162</v>
      </c>
      <c r="N62" s="33" t="s">
        <v>8653</v>
      </c>
      <c r="O62" s="33"/>
      <c r="P62" s="33"/>
      <c r="Q62" s="33" t="s">
        <v>8571</v>
      </c>
      <c r="R62" s="33" t="s">
        <v>9163</v>
      </c>
      <c r="S62" s="33"/>
      <c r="T62" s="33"/>
      <c r="U62" s="33" t="s">
        <v>8822</v>
      </c>
      <c r="V62" s="33" t="s">
        <v>8501</v>
      </c>
      <c r="W62" s="33" t="s">
        <v>9164</v>
      </c>
      <c r="X62" s="33" t="s">
        <v>9165</v>
      </c>
      <c r="Y62" s="33" t="s">
        <v>8500</v>
      </c>
      <c r="Z62" s="33" t="s">
        <v>8500</v>
      </c>
      <c r="AA62" s="33" t="s">
        <v>8500</v>
      </c>
      <c r="AB62" s="33" t="s">
        <v>8500</v>
      </c>
      <c r="AC62" s="33" t="s">
        <v>9166</v>
      </c>
      <c r="AD62" s="33" t="s">
        <v>9167</v>
      </c>
      <c r="AE62" s="33" t="s">
        <v>9163</v>
      </c>
      <c r="AF62" s="33" t="s">
        <v>9168</v>
      </c>
      <c r="AG62" s="33"/>
      <c r="AH62" s="33" t="s">
        <v>8505</v>
      </c>
      <c r="AI62" s="33"/>
      <c r="AJ62" s="33" t="s">
        <v>8506</v>
      </c>
      <c r="AK62" s="33" t="s">
        <v>8507</v>
      </c>
      <c r="AL62" s="33" t="s">
        <v>8507</v>
      </c>
      <c r="AM62" s="33" t="s">
        <v>8564</v>
      </c>
      <c r="AN62" s="33" t="s">
        <v>9169</v>
      </c>
      <c r="AO62" s="33" t="s">
        <v>9170</v>
      </c>
      <c r="AP62" s="33">
        <v>1</v>
      </c>
      <c r="AQ62" s="5" t="s">
        <v>10037</v>
      </c>
      <c r="AR62" s="33"/>
      <c r="AS62" s="33" t="s">
        <v>100</v>
      </c>
      <c r="AT62" s="33" t="s">
        <v>8645</v>
      </c>
      <c r="AU62" s="33" t="s">
        <v>8646</v>
      </c>
      <c r="AV62" s="33" t="s">
        <v>8647</v>
      </c>
      <c r="AW62" s="33" t="s">
        <v>8648</v>
      </c>
      <c r="AX62" s="33" t="s">
        <v>9160</v>
      </c>
      <c r="AY62" s="33" t="s">
        <v>9161</v>
      </c>
      <c r="AZ62" s="33" t="s">
        <v>8648</v>
      </c>
      <c r="BA62" s="33" t="s">
        <v>8570</v>
      </c>
      <c r="BB62" s="33" t="s">
        <v>8571</v>
      </c>
      <c r="BC62" s="33" t="s">
        <v>9162</v>
      </c>
      <c r="BD62" s="33" t="s">
        <v>8653</v>
      </c>
      <c r="BE62" s="33"/>
      <c r="BF62" s="33"/>
      <c r="BG62" s="33" t="s">
        <v>8571</v>
      </c>
      <c r="BH62" s="33" t="s">
        <v>9163</v>
      </c>
      <c r="BI62" s="33"/>
      <c r="BJ62" s="33"/>
      <c r="BK62" s="33" t="s">
        <v>8822</v>
      </c>
      <c r="BL62" s="33" t="s">
        <v>8501</v>
      </c>
      <c r="BM62" s="33" t="s">
        <v>9164</v>
      </c>
      <c r="BN62" s="33" t="s">
        <v>9165</v>
      </c>
      <c r="BO62" s="33" t="s">
        <v>8500</v>
      </c>
      <c r="BP62" s="33" t="s">
        <v>8500</v>
      </c>
      <c r="BQ62" s="33" t="s">
        <v>8500</v>
      </c>
      <c r="BR62" s="33" t="s">
        <v>8500</v>
      </c>
      <c r="BS62" s="33" t="s">
        <v>9166</v>
      </c>
      <c r="BT62" s="33" t="s">
        <v>9167</v>
      </c>
      <c r="BU62" s="33" t="s">
        <v>9163</v>
      </c>
      <c r="BV62" s="33" t="s">
        <v>9168</v>
      </c>
      <c r="BW62" s="33"/>
      <c r="BX62" s="33" t="s">
        <v>8505</v>
      </c>
      <c r="BY62" s="33"/>
      <c r="BZ62" s="33"/>
      <c r="CA62" s="33"/>
      <c r="CB62" s="33" t="s">
        <v>8507</v>
      </c>
      <c r="CC62" s="33" t="s">
        <v>8564</v>
      </c>
      <c r="CD62" s="33" t="s">
        <v>9169</v>
      </c>
      <c r="CE62" s="33" t="s">
        <v>9170</v>
      </c>
      <c r="CF62" s="33">
        <v>2</v>
      </c>
      <c r="CG62" s="5" t="s">
        <v>10037</v>
      </c>
      <c r="CH62" s="33">
        <f t="shared" si="24"/>
        <v>0</v>
      </c>
      <c r="CI62" s="33">
        <f t="shared" si="24"/>
        <v>0</v>
      </c>
      <c r="CJ62" s="33">
        <f t="shared" si="24"/>
        <v>0</v>
      </c>
      <c r="CK62" s="33">
        <f t="shared" si="24"/>
        <v>0</v>
      </c>
      <c r="CL62" s="33">
        <f t="shared" si="24"/>
        <v>0</v>
      </c>
      <c r="CM62" s="33">
        <f t="shared" si="24"/>
        <v>0</v>
      </c>
      <c r="CN62" s="33">
        <f t="shared" si="24"/>
        <v>0</v>
      </c>
      <c r="CO62" s="33">
        <f t="shared" si="24"/>
        <v>0</v>
      </c>
      <c r="CP62" s="33">
        <f t="shared" si="24"/>
        <v>0</v>
      </c>
      <c r="CQ62" s="33">
        <f t="shared" si="24"/>
        <v>0</v>
      </c>
      <c r="CR62" s="33">
        <f t="shared" si="24"/>
        <v>0</v>
      </c>
      <c r="CS62" s="33">
        <f t="shared" si="24"/>
        <v>0</v>
      </c>
      <c r="CT62" s="33">
        <f t="shared" si="24"/>
        <v>0</v>
      </c>
      <c r="CU62" s="33">
        <f t="shared" si="24"/>
        <v>0</v>
      </c>
      <c r="CV62" s="33">
        <f t="shared" si="24"/>
        <v>0</v>
      </c>
      <c r="CW62" s="33">
        <f t="shared" si="23"/>
        <v>0</v>
      </c>
      <c r="CX62" s="33">
        <f t="shared" si="23"/>
        <v>0</v>
      </c>
      <c r="CY62" s="33">
        <f t="shared" si="23"/>
        <v>0</v>
      </c>
      <c r="CZ62" s="33">
        <f t="shared" si="23"/>
        <v>0</v>
      </c>
      <c r="DA62" s="33">
        <f t="shared" si="25"/>
        <v>0</v>
      </c>
      <c r="DB62" s="33">
        <f t="shared" si="25"/>
        <v>0</v>
      </c>
      <c r="DC62" s="33">
        <f t="shared" si="25"/>
        <v>0</v>
      </c>
      <c r="DD62" s="33">
        <f t="shared" si="25"/>
        <v>0</v>
      </c>
      <c r="DE62" s="33">
        <f t="shared" si="25"/>
        <v>0</v>
      </c>
      <c r="DF62" s="33">
        <f t="shared" si="25"/>
        <v>0</v>
      </c>
      <c r="DG62" s="33">
        <f t="shared" si="25"/>
        <v>0</v>
      </c>
      <c r="DH62" s="33">
        <f t="shared" si="25"/>
        <v>0</v>
      </c>
      <c r="DI62" s="33">
        <f t="shared" si="25"/>
        <v>0</v>
      </c>
      <c r="DJ62" s="33">
        <f t="shared" si="25"/>
        <v>0</v>
      </c>
      <c r="DK62" s="33">
        <f t="shared" si="25"/>
        <v>0</v>
      </c>
      <c r="DL62" s="33">
        <f t="shared" si="21"/>
        <v>0</v>
      </c>
      <c r="DM62" s="33">
        <f t="shared" si="21"/>
        <v>0</v>
      </c>
      <c r="DN62" s="33">
        <f t="shared" si="19"/>
        <v>0</v>
      </c>
      <c r="DO62" s="33">
        <f t="shared" si="3"/>
        <v>1</v>
      </c>
      <c r="DP62" s="50" t="str">
        <f t="shared" si="10"/>
        <v>C</v>
      </c>
      <c r="DQ62" s="50">
        <f t="shared" si="11"/>
        <v>0</v>
      </c>
      <c r="DR62" s="33">
        <f t="shared" si="4"/>
        <v>1</v>
      </c>
      <c r="DS62" s="50" t="str">
        <f t="shared" si="12"/>
        <v>4-MEDIA</v>
      </c>
      <c r="DT62" s="50">
        <f t="shared" si="13"/>
        <v>0</v>
      </c>
      <c r="DU62" s="33">
        <f t="shared" si="5"/>
        <v>0</v>
      </c>
      <c r="DV62" s="33">
        <f t="shared" si="5"/>
        <v>0</v>
      </c>
      <c r="DW62" s="33">
        <f t="shared" si="5"/>
        <v>0</v>
      </c>
      <c r="DX62" s="33">
        <f t="shared" si="5"/>
        <v>0</v>
      </c>
      <c r="DY62" s="35">
        <f t="shared" si="14"/>
        <v>2</v>
      </c>
      <c r="DZ62" s="33">
        <f t="shared" si="15"/>
        <v>6</v>
      </c>
      <c r="EA62" s="33">
        <f t="shared" si="16"/>
        <v>8</v>
      </c>
      <c r="EB62" s="33" t="str">
        <f t="shared" si="17"/>
        <v>AUX 1 COM + CAMPOS PREENC OU IGUAL</v>
      </c>
      <c r="EC62" s="33" t="s">
        <v>10034</v>
      </c>
    </row>
    <row r="63" spans="2:133" x14ac:dyDescent="0.25">
      <c r="B63" s="33"/>
      <c r="C63" s="33" t="s">
        <v>111</v>
      </c>
      <c r="D63" s="33" t="s">
        <v>8829</v>
      </c>
      <c r="E63" s="33" t="s">
        <v>8830</v>
      </c>
      <c r="F63" s="33" t="s">
        <v>8831</v>
      </c>
      <c r="G63" s="33" t="s">
        <v>8832</v>
      </c>
      <c r="H63" s="33" t="s">
        <v>8895</v>
      </c>
      <c r="I63" s="33" t="s">
        <v>8896</v>
      </c>
      <c r="J63" s="33" t="s">
        <v>8897</v>
      </c>
      <c r="K63" s="33" t="s">
        <v>8570</v>
      </c>
      <c r="L63" s="33" t="s">
        <v>8571</v>
      </c>
      <c r="M63" s="33" t="s">
        <v>8897</v>
      </c>
      <c r="N63" s="33" t="s">
        <v>8653</v>
      </c>
      <c r="O63" s="33"/>
      <c r="P63" s="33"/>
      <c r="Q63" s="33" t="s">
        <v>8571</v>
      </c>
      <c r="R63" s="33" t="s">
        <v>9171</v>
      </c>
      <c r="S63" s="33"/>
      <c r="T63" s="33"/>
      <c r="U63" s="33" t="s">
        <v>8837</v>
      </c>
      <c r="V63" s="33" t="s">
        <v>8838</v>
      </c>
      <c r="W63" s="33" t="s">
        <v>9172</v>
      </c>
      <c r="X63" s="33" t="s">
        <v>8840</v>
      </c>
      <c r="Y63" s="33" t="s">
        <v>8500</v>
      </c>
      <c r="Z63" s="33" t="s">
        <v>8500</v>
      </c>
      <c r="AA63" s="33" t="s">
        <v>8500</v>
      </c>
      <c r="AB63" s="33" t="s">
        <v>8500</v>
      </c>
      <c r="AC63" s="33"/>
      <c r="AD63" s="33"/>
      <c r="AE63" s="33"/>
      <c r="AF63" s="33" t="s">
        <v>9173</v>
      </c>
      <c r="AG63" s="33"/>
      <c r="AH63" s="33" t="s">
        <v>8505</v>
      </c>
      <c r="AI63" s="33"/>
      <c r="AJ63" s="33"/>
      <c r="AK63" s="33"/>
      <c r="AL63" s="33" t="s">
        <v>8528</v>
      </c>
      <c r="AM63" s="33" t="s">
        <v>8545</v>
      </c>
      <c r="AN63" s="33" t="s">
        <v>8784</v>
      </c>
      <c r="AO63" s="33" t="s">
        <v>8785</v>
      </c>
      <c r="AP63" s="33">
        <v>1</v>
      </c>
      <c r="AQ63" s="5" t="s">
        <v>10037</v>
      </c>
      <c r="AR63" s="33" t="s">
        <v>9174</v>
      </c>
      <c r="AS63" s="33" t="s">
        <v>111</v>
      </c>
      <c r="AT63" s="33" t="s">
        <v>8829</v>
      </c>
      <c r="AU63" s="33" t="s">
        <v>8830</v>
      </c>
      <c r="AV63" s="33" t="s">
        <v>8831</v>
      </c>
      <c r="AW63" s="33" t="s">
        <v>8832</v>
      </c>
      <c r="AX63" s="33" t="s">
        <v>8895</v>
      </c>
      <c r="AY63" s="33" t="s">
        <v>8896</v>
      </c>
      <c r="AZ63" s="33" t="s">
        <v>8897</v>
      </c>
      <c r="BA63" s="33" t="s">
        <v>8570</v>
      </c>
      <c r="BB63" s="33" t="s">
        <v>8571</v>
      </c>
      <c r="BC63" s="33" t="s">
        <v>8897</v>
      </c>
      <c r="BD63" s="33" t="s">
        <v>8653</v>
      </c>
      <c r="BE63" s="33"/>
      <c r="BF63" s="33"/>
      <c r="BG63" s="33" t="s">
        <v>8571</v>
      </c>
      <c r="BH63" s="33" t="s">
        <v>9171</v>
      </c>
      <c r="BI63" s="33"/>
      <c r="BJ63" s="33"/>
      <c r="BK63" s="33" t="s">
        <v>8837</v>
      </c>
      <c r="BL63" s="33" t="s">
        <v>8838</v>
      </c>
      <c r="BM63" s="33" t="s">
        <v>9172</v>
      </c>
      <c r="BN63" s="33" t="s">
        <v>8840</v>
      </c>
      <c r="BO63" s="33" t="s">
        <v>8500</v>
      </c>
      <c r="BP63" s="33" t="s">
        <v>8500</v>
      </c>
      <c r="BQ63" s="33" t="s">
        <v>8500</v>
      </c>
      <c r="BR63" s="33" t="s">
        <v>8500</v>
      </c>
      <c r="BS63" s="33"/>
      <c r="BT63" s="33"/>
      <c r="BU63" s="33"/>
      <c r="BV63" s="33" t="s">
        <v>9173</v>
      </c>
      <c r="BW63" s="33"/>
      <c r="BX63" s="33" t="s">
        <v>8505</v>
      </c>
      <c r="BY63" s="33"/>
      <c r="BZ63" s="33" t="s">
        <v>8545</v>
      </c>
      <c r="CA63" s="33" t="s">
        <v>8528</v>
      </c>
      <c r="CB63" s="33" t="s">
        <v>8528</v>
      </c>
      <c r="CC63" s="33" t="s">
        <v>8545</v>
      </c>
      <c r="CD63" s="33" t="s">
        <v>8784</v>
      </c>
      <c r="CE63" s="33" t="s">
        <v>8785</v>
      </c>
      <c r="CF63" s="33">
        <v>2</v>
      </c>
      <c r="CG63" s="5" t="s">
        <v>10037</v>
      </c>
      <c r="CH63" s="33">
        <f t="shared" si="24"/>
        <v>0</v>
      </c>
      <c r="CI63" s="33">
        <f t="shared" si="24"/>
        <v>0</v>
      </c>
      <c r="CJ63" s="33">
        <f t="shared" si="24"/>
        <v>0</v>
      </c>
      <c r="CK63" s="33">
        <f t="shared" si="24"/>
        <v>0</v>
      </c>
      <c r="CL63" s="33">
        <f t="shared" si="24"/>
        <v>0</v>
      </c>
      <c r="CM63" s="33">
        <f t="shared" si="24"/>
        <v>0</v>
      </c>
      <c r="CN63" s="33">
        <f t="shared" si="24"/>
        <v>0</v>
      </c>
      <c r="CO63" s="33">
        <f t="shared" si="24"/>
        <v>0</v>
      </c>
      <c r="CP63" s="33">
        <f t="shared" si="24"/>
        <v>0</v>
      </c>
      <c r="CQ63" s="33">
        <f t="shared" si="24"/>
        <v>0</v>
      </c>
      <c r="CR63" s="33">
        <f t="shared" si="24"/>
        <v>0</v>
      </c>
      <c r="CS63" s="33">
        <f t="shared" si="24"/>
        <v>0</v>
      </c>
      <c r="CT63" s="33">
        <f t="shared" si="24"/>
        <v>0</v>
      </c>
      <c r="CU63" s="33">
        <f t="shared" si="24"/>
        <v>0</v>
      </c>
      <c r="CV63" s="33">
        <f t="shared" si="24"/>
        <v>0</v>
      </c>
      <c r="CW63" s="33">
        <f t="shared" si="23"/>
        <v>0</v>
      </c>
      <c r="CX63" s="33">
        <f t="shared" si="23"/>
        <v>0</v>
      </c>
      <c r="CY63" s="33">
        <f t="shared" si="23"/>
        <v>0</v>
      </c>
      <c r="CZ63" s="33">
        <f t="shared" si="23"/>
        <v>0</v>
      </c>
      <c r="DA63" s="33">
        <f t="shared" si="25"/>
        <v>0</v>
      </c>
      <c r="DB63" s="33">
        <f t="shared" si="25"/>
        <v>0</v>
      </c>
      <c r="DC63" s="33">
        <f t="shared" si="25"/>
        <v>0</v>
      </c>
      <c r="DD63" s="33">
        <f t="shared" si="25"/>
        <v>0</v>
      </c>
      <c r="DE63" s="33">
        <f t="shared" si="25"/>
        <v>0</v>
      </c>
      <c r="DF63" s="33">
        <f t="shared" si="25"/>
        <v>0</v>
      </c>
      <c r="DG63" s="33">
        <f t="shared" si="25"/>
        <v>0</v>
      </c>
      <c r="DH63" s="33">
        <f t="shared" si="25"/>
        <v>0</v>
      </c>
      <c r="DI63" s="33">
        <f t="shared" si="25"/>
        <v>0</v>
      </c>
      <c r="DJ63" s="33">
        <f t="shared" si="25"/>
        <v>0</v>
      </c>
      <c r="DK63" s="33">
        <f t="shared" si="25"/>
        <v>0</v>
      </c>
      <c r="DL63" s="33">
        <f t="shared" si="21"/>
        <v>0</v>
      </c>
      <c r="DM63" s="33">
        <f t="shared" si="21"/>
        <v>0</v>
      </c>
      <c r="DN63" s="33">
        <f t="shared" si="19"/>
        <v>0</v>
      </c>
      <c r="DO63" s="33">
        <f t="shared" si="3"/>
        <v>1</v>
      </c>
      <c r="DP63" s="50">
        <f t="shared" si="10"/>
        <v>0</v>
      </c>
      <c r="DQ63" s="50" t="str">
        <f t="shared" si="11"/>
        <v>D</v>
      </c>
      <c r="DR63" s="33">
        <f t="shared" si="4"/>
        <v>1</v>
      </c>
      <c r="DS63" s="50">
        <f t="shared" si="12"/>
        <v>0</v>
      </c>
      <c r="DT63" s="50" t="str">
        <f t="shared" si="13"/>
        <v>5-MEDIA BAJA</v>
      </c>
      <c r="DU63" s="33">
        <f t="shared" si="5"/>
        <v>0</v>
      </c>
      <c r="DV63" s="33">
        <f t="shared" si="5"/>
        <v>0</v>
      </c>
      <c r="DW63" s="33">
        <f t="shared" si="5"/>
        <v>0</v>
      </c>
      <c r="DX63" s="33">
        <f t="shared" si="5"/>
        <v>0</v>
      </c>
      <c r="DY63" s="35">
        <f t="shared" si="14"/>
        <v>2</v>
      </c>
      <c r="DZ63" s="33">
        <f t="shared" si="15"/>
        <v>11</v>
      </c>
      <c r="EA63" s="33">
        <f t="shared" si="16"/>
        <v>9</v>
      </c>
      <c r="EB63" s="33" t="str">
        <f t="shared" si="17"/>
        <v>AUX 2 COM + CAMPOS PREENC</v>
      </c>
      <c r="EC63" s="33" t="s">
        <v>10034</v>
      </c>
    </row>
    <row r="64" spans="2:133" x14ac:dyDescent="0.25">
      <c r="B64" s="33"/>
      <c r="C64" s="33" t="s">
        <v>44</v>
      </c>
      <c r="D64" s="33" t="s">
        <v>8486</v>
      </c>
      <c r="E64" s="33" t="s">
        <v>8487</v>
      </c>
      <c r="F64" s="33" t="s">
        <v>9175</v>
      </c>
      <c r="G64" s="33" t="s">
        <v>9176</v>
      </c>
      <c r="H64" s="33" t="s">
        <v>9177</v>
      </c>
      <c r="I64" s="33" t="s">
        <v>9178</v>
      </c>
      <c r="J64" s="33" t="s">
        <v>9176</v>
      </c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 t="s">
        <v>9179</v>
      </c>
      <c r="V64" s="33"/>
      <c r="W64" s="33" t="s">
        <v>9180</v>
      </c>
      <c r="X64" s="33" t="s">
        <v>9181</v>
      </c>
      <c r="Y64" s="33" t="s">
        <v>8500</v>
      </c>
      <c r="Z64" s="33" t="s">
        <v>8500</v>
      </c>
      <c r="AA64" s="33" t="s">
        <v>8500</v>
      </c>
      <c r="AB64" s="33" t="s">
        <v>8525</v>
      </c>
      <c r="AC64" s="33"/>
      <c r="AD64" s="33"/>
      <c r="AE64" s="33" t="s">
        <v>8502</v>
      </c>
      <c r="AF64" s="33" t="s">
        <v>9182</v>
      </c>
      <c r="AG64" s="33"/>
      <c r="AH64" s="33" t="s">
        <v>8606</v>
      </c>
      <c r="AI64" s="33"/>
      <c r="AJ64" s="33"/>
      <c r="AK64" s="33"/>
      <c r="AL64" s="33" t="s">
        <v>8528</v>
      </c>
      <c r="AM64" s="33" t="s">
        <v>8506</v>
      </c>
      <c r="AN64" s="33" t="s">
        <v>9183</v>
      </c>
      <c r="AO64" s="33" t="s">
        <v>9184</v>
      </c>
      <c r="AP64" s="33">
        <v>1</v>
      </c>
      <c r="AQ64" s="5" t="s">
        <v>10037</v>
      </c>
      <c r="AR64" s="33" t="s">
        <v>9185</v>
      </c>
      <c r="AS64" s="33" t="s">
        <v>44</v>
      </c>
      <c r="AT64" s="33" t="s">
        <v>8486</v>
      </c>
      <c r="AU64" s="33" t="s">
        <v>8487</v>
      </c>
      <c r="AV64" s="33" t="s">
        <v>9175</v>
      </c>
      <c r="AW64" s="33" t="s">
        <v>9176</v>
      </c>
      <c r="AX64" s="33" t="s">
        <v>9177</v>
      </c>
      <c r="AY64" s="33" t="s">
        <v>9178</v>
      </c>
      <c r="AZ64" s="33" t="s">
        <v>9176</v>
      </c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 t="s">
        <v>9179</v>
      </c>
      <c r="BL64" s="33"/>
      <c r="BM64" s="33" t="s">
        <v>9180</v>
      </c>
      <c r="BN64" s="33" t="s">
        <v>9181</v>
      </c>
      <c r="BO64" s="33" t="s">
        <v>8500</v>
      </c>
      <c r="BP64" s="33" t="s">
        <v>8500</v>
      </c>
      <c r="BQ64" s="33" t="s">
        <v>8500</v>
      </c>
      <c r="BR64" s="33" t="s">
        <v>8525</v>
      </c>
      <c r="BS64" s="33"/>
      <c r="BT64" s="33"/>
      <c r="BU64" s="33" t="s">
        <v>8502</v>
      </c>
      <c r="BV64" s="33" t="s">
        <v>9182</v>
      </c>
      <c r="BW64" s="33"/>
      <c r="BX64" s="33" t="s">
        <v>8606</v>
      </c>
      <c r="BY64" s="33"/>
      <c r="BZ64" s="33"/>
      <c r="CA64" s="33"/>
      <c r="CB64" s="33" t="s">
        <v>8528</v>
      </c>
      <c r="CC64" s="33" t="s">
        <v>8506</v>
      </c>
      <c r="CD64" s="33" t="s">
        <v>9183</v>
      </c>
      <c r="CE64" s="33" t="s">
        <v>9184</v>
      </c>
      <c r="CF64" s="33">
        <v>2</v>
      </c>
      <c r="CG64" s="5" t="s">
        <v>10037</v>
      </c>
      <c r="CH64" s="33">
        <f t="shared" si="24"/>
        <v>0</v>
      </c>
      <c r="CI64" s="33">
        <f t="shared" si="24"/>
        <v>0</v>
      </c>
      <c r="CJ64" s="33">
        <f t="shared" si="24"/>
        <v>0</v>
      </c>
      <c r="CK64" s="33">
        <f t="shared" si="24"/>
        <v>0</v>
      </c>
      <c r="CL64" s="33">
        <f t="shared" si="24"/>
        <v>0</v>
      </c>
      <c r="CM64" s="33">
        <f t="shared" si="24"/>
        <v>0</v>
      </c>
      <c r="CN64" s="33">
        <f t="shared" si="24"/>
        <v>0</v>
      </c>
      <c r="CO64" s="33">
        <f t="shared" si="24"/>
        <v>0</v>
      </c>
      <c r="CP64" s="33">
        <f t="shared" si="24"/>
        <v>0</v>
      </c>
      <c r="CQ64" s="33">
        <f t="shared" si="24"/>
        <v>0</v>
      </c>
      <c r="CR64" s="33">
        <f t="shared" si="24"/>
        <v>0</v>
      </c>
      <c r="CS64" s="33">
        <f t="shared" si="24"/>
        <v>0</v>
      </c>
      <c r="CT64" s="33">
        <f t="shared" si="24"/>
        <v>0</v>
      </c>
      <c r="CU64" s="33">
        <f t="shared" si="24"/>
        <v>0</v>
      </c>
      <c r="CV64" s="33">
        <f t="shared" si="24"/>
        <v>0</v>
      </c>
      <c r="CW64" s="33">
        <f t="shared" si="23"/>
        <v>0</v>
      </c>
      <c r="CX64" s="33">
        <f t="shared" si="23"/>
        <v>0</v>
      </c>
      <c r="CY64" s="33">
        <f t="shared" si="23"/>
        <v>0</v>
      </c>
      <c r="CZ64" s="33">
        <f t="shared" si="23"/>
        <v>0</v>
      </c>
      <c r="DA64" s="33">
        <f t="shared" si="25"/>
        <v>0</v>
      </c>
      <c r="DB64" s="33">
        <f t="shared" si="25"/>
        <v>0</v>
      </c>
      <c r="DC64" s="33">
        <f t="shared" si="25"/>
        <v>0</v>
      </c>
      <c r="DD64" s="33">
        <f t="shared" si="25"/>
        <v>0</v>
      </c>
      <c r="DE64" s="33">
        <f t="shared" si="25"/>
        <v>0</v>
      </c>
      <c r="DF64" s="33">
        <f t="shared" si="25"/>
        <v>0</v>
      </c>
      <c r="DG64" s="33">
        <f t="shared" si="25"/>
        <v>0</v>
      </c>
      <c r="DH64" s="33">
        <f t="shared" si="25"/>
        <v>0</v>
      </c>
      <c r="DI64" s="33">
        <f t="shared" si="25"/>
        <v>0</v>
      </c>
      <c r="DJ64" s="33">
        <f t="shared" si="25"/>
        <v>0</v>
      </c>
      <c r="DK64" s="33">
        <f t="shared" si="25"/>
        <v>0</v>
      </c>
      <c r="DL64" s="33">
        <f t="shared" si="21"/>
        <v>0</v>
      </c>
      <c r="DM64" s="33">
        <f t="shared" si="21"/>
        <v>0</v>
      </c>
      <c r="DN64" s="33">
        <f t="shared" si="19"/>
        <v>0</v>
      </c>
      <c r="DO64" s="33">
        <f t="shared" si="3"/>
        <v>0</v>
      </c>
      <c r="DP64" s="50">
        <f t="shared" si="10"/>
        <v>0</v>
      </c>
      <c r="DQ64" s="50">
        <f t="shared" si="11"/>
        <v>0</v>
      </c>
      <c r="DR64" s="33">
        <f t="shared" si="4"/>
        <v>0</v>
      </c>
      <c r="DS64" s="50">
        <f t="shared" si="12"/>
        <v>0</v>
      </c>
      <c r="DT64" s="50">
        <f t="shared" si="13"/>
        <v>0</v>
      </c>
      <c r="DU64" s="33">
        <f t="shared" si="5"/>
        <v>0</v>
      </c>
      <c r="DV64" s="33">
        <f t="shared" si="5"/>
        <v>0</v>
      </c>
      <c r="DW64" s="33">
        <f t="shared" si="5"/>
        <v>0</v>
      </c>
      <c r="DX64" s="33">
        <f t="shared" si="5"/>
        <v>0</v>
      </c>
      <c r="DY64" s="35">
        <f t="shared" si="14"/>
        <v>0</v>
      </c>
      <c r="DZ64" s="33">
        <f t="shared" si="15"/>
        <v>17</v>
      </c>
      <c r="EA64" s="33">
        <f t="shared" si="16"/>
        <v>17</v>
      </c>
      <c r="EB64" s="33" t="str">
        <f t="shared" si="17"/>
        <v>IGUAL CAMPOS PREENCH</v>
      </c>
      <c r="EC64" s="33" t="s">
        <v>10035</v>
      </c>
    </row>
    <row r="65" spans="2:133" x14ac:dyDescent="0.25">
      <c r="B65" s="33"/>
      <c r="C65" s="33" t="s">
        <v>95</v>
      </c>
      <c r="D65" s="33" t="s">
        <v>8763</v>
      </c>
      <c r="E65" s="33" t="s">
        <v>8764</v>
      </c>
      <c r="F65" s="33" t="s">
        <v>8765</v>
      </c>
      <c r="G65" s="33" t="s">
        <v>8764</v>
      </c>
      <c r="H65" s="33" t="s">
        <v>8766</v>
      </c>
      <c r="I65" s="33" t="s">
        <v>8764</v>
      </c>
      <c r="J65" s="33" t="s">
        <v>8767</v>
      </c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 t="s">
        <v>8768</v>
      </c>
      <c r="V65" s="33"/>
      <c r="W65" s="33" t="s">
        <v>9186</v>
      </c>
      <c r="X65" s="33" t="s">
        <v>8499</v>
      </c>
      <c r="Y65" s="33" t="s">
        <v>8500</v>
      </c>
      <c r="Z65" s="33" t="s">
        <v>8500</v>
      </c>
      <c r="AA65" s="33" t="s">
        <v>8500</v>
      </c>
      <c r="AB65" s="33" t="s">
        <v>8525</v>
      </c>
      <c r="AC65" s="33"/>
      <c r="AD65" s="33"/>
      <c r="AE65" s="33"/>
      <c r="AF65" s="33" t="s">
        <v>9187</v>
      </c>
      <c r="AG65" s="33"/>
      <c r="AH65" s="33" t="s">
        <v>8560</v>
      </c>
      <c r="AI65" s="33"/>
      <c r="AJ65" s="33"/>
      <c r="AK65" s="33"/>
      <c r="AL65" s="33" t="s">
        <v>8528</v>
      </c>
      <c r="AM65" s="33" t="s">
        <v>8545</v>
      </c>
      <c r="AN65" s="33" t="s">
        <v>8845</v>
      </c>
      <c r="AO65" s="33" t="s">
        <v>8846</v>
      </c>
      <c r="AP65" s="33">
        <v>1</v>
      </c>
      <c r="AQ65" s="5" t="s">
        <v>10037</v>
      </c>
      <c r="AR65" s="33" t="s">
        <v>9188</v>
      </c>
      <c r="AS65" s="33" t="s">
        <v>95</v>
      </c>
      <c r="AT65" s="33" t="s">
        <v>8763</v>
      </c>
      <c r="AU65" s="33" t="s">
        <v>8764</v>
      </c>
      <c r="AV65" s="33" t="s">
        <v>8765</v>
      </c>
      <c r="AW65" s="33" t="s">
        <v>8764</v>
      </c>
      <c r="AX65" s="33" t="s">
        <v>8766</v>
      </c>
      <c r="AY65" s="33" t="s">
        <v>8764</v>
      </c>
      <c r="AZ65" s="33" t="s">
        <v>8767</v>
      </c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 t="s">
        <v>8768</v>
      </c>
      <c r="BL65" s="33"/>
      <c r="BM65" s="33" t="s">
        <v>9186</v>
      </c>
      <c r="BN65" s="33" t="s">
        <v>8499</v>
      </c>
      <c r="BO65" s="33" t="s">
        <v>8500</v>
      </c>
      <c r="BP65" s="33" t="s">
        <v>8500</v>
      </c>
      <c r="BQ65" s="33" t="s">
        <v>8500</v>
      </c>
      <c r="BR65" s="33" t="s">
        <v>8525</v>
      </c>
      <c r="BS65" s="33"/>
      <c r="BT65" s="33"/>
      <c r="BU65" s="33"/>
      <c r="BV65" s="33" t="s">
        <v>9187</v>
      </c>
      <c r="BW65" s="33"/>
      <c r="BX65" s="33" t="s">
        <v>8560</v>
      </c>
      <c r="BY65" s="33"/>
      <c r="BZ65" s="33" t="s">
        <v>8545</v>
      </c>
      <c r="CA65" s="33" t="s">
        <v>8528</v>
      </c>
      <c r="CB65" s="33" t="s">
        <v>8528</v>
      </c>
      <c r="CC65" s="33" t="s">
        <v>8545</v>
      </c>
      <c r="CD65" s="33" t="s">
        <v>8845</v>
      </c>
      <c r="CE65" s="33" t="s">
        <v>8846</v>
      </c>
      <c r="CF65" s="33">
        <v>2</v>
      </c>
      <c r="CG65" s="5" t="s">
        <v>10037</v>
      </c>
      <c r="CH65" s="33">
        <f t="shared" si="24"/>
        <v>0</v>
      </c>
      <c r="CI65" s="33">
        <f t="shared" si="24"/>
        <v>0</v>
      </c>
      <c r="CJ65" s="33">
        <f t="shared" si="24"/>
        <v>0</v>
      </c>
      <c r="CK65" s="33">
        <f t="shared" si="24"/>
        <v>0</v>
      </c>
      <c r="CL65" s="33">
        <f t="shared" si="24"/>
        <v>0</v>
      </c>
      <c r="CM65" s="33">
        <f t="shared" si="24"/>
        <v>0</v>
      </c>
      <c r="CN65" s="33">
        <f t="shared" si="24"/>
        <v>0</v>
      </c>
      <c r="CO65" s="33">
        <f t="shared" si="24"/>
        <v>0</v>
      </c>
      <c r="CP65" s="33">
        <f t="shared" si="24"/>
        <v>0</v>
      </c>
      <c r="CQ65" s="33">
        <f t="shared" si="24"/>
        <v>0</v>
      </c>
      <c r="CR65" s="33">
        <f t="shared" si="24"/>
        <v>0</v>
      </c>
      <c r="CS65" s="33">
        <f t="shared" si="24"/>
        <v>0</v>
      </c>
      <c r="CT65" s="33">
        <f t="shared" si="24"/>
        <v>0</v>
      </c>
      <c r="CU65" s="33">
        <f t="shared" si="24"/>
        <v>0</v>
      </c>
      <c r="CV65" s="33">
        <f t="shared" si="24"/>
        <v>0</v>
      </c>
      <c r="CW65" s="33">
        <f t="shared" si="23"/>
        <v>0</v>
      </c>
      <c r="CX65" s="33">
        <f t="shared" si="23"/>
        <v>0</v>
      </c>
      <c r="CY65" s="33">
        <f t="shared" si="23"/>
        <v>0</v>
      </c>
      <c r="CZ65" s="33">
        <f t="shared" si="23"/>
        <v>0</v>
      </c>
      <c r="DA65" s="33">
        <f t="shared" si="25"/>
        <v>0</v>
      </c>
      <c r="DB65" s="33">
        <f t="shared" si="25"/>
        <v>0</v>
      </c>
      <c r="DC65" s="33">
        <f t="shared" si="25"/>
        <v>0</v>
      </c>
      <c r="DD65" s="33">
        <f t="shared" si="25"/>
        <v>0</v>
      </c>
      <c r="DE65" s="33">
        <f t="shared" si="25"/>
        <v>0</v>
      </c>
      <c r="DF65" s="33">
        <f t="shared" si="25"/>
        <v>0</v>
      </c>
      <c r="DG65" s="33">
        <f t="shared" si="25"/>
        <v>0</v>
      </c>
      <c r="DH65" s="33">
        <f t="shared" si="25"/>
        <v>0</v>
      </c>
      <c r="DI65" s="33">
        <f t="shared" si="25"/>
        <v>0</v>
      </c>
      <c r="DJ65" s="33">
        <f t="shared" si="25"/>
        <v>0</v>
      </c>
      <c r="DK65" s="33">
        <f t="shared" si="25"/>
        <v>0</v>
      </c>
      <c r="DL65" s="33">
        <f t="shared" si="21"/>
        <v>0</v>
      </c>
      <c r="DM65" s="33">
        <f t="shared" si="21"/>
        <v>0</v>
      </c>
      <c r="DN65" s="33">
        <f t="shared" si="19"/>
        <v>0</v>
      </c>
      <c r="DO65" s="33">
        <f t="shared" si="3"/>
        <v>1</v>
      </c>
      <c r="DP65" s="50">
        <f t="shared" si="10"/>
        <v>0</v>
      </c>
      <c r="DQ65" s="50" t="str">
        <f t="shared" si="11"/>
        <v>D</v>
      </c>
      <c r="DR65" s="33">
        <f t="shared" si="4"/>
        <v>1</v>
      </c>
      <c r="DS65" s="50">
        <f t="shared" si="12"/>
        <v>0</v>
      </c>
      <c r="DT65" s="50" t="str">
        <f t="shared" si="13"/>
        <v>5-MEDIA BAJA</v>
      </c>
      <c r="DU65" s="33">
        <f t="shared" si="5"/>
        <v>0</v>
      </c>
      <c r="DV65" s="33">
        <f t="shared" si="5"/>
        <v>0</v>
      </c>
      <c r="DW65" s="33">
        <f t="shared" si="5"/>
        <v>0</v>
      </c>
      <c r="DX65" s="33">
        <f t="shared" si="5"/>
        <v>0</v>
      </c>
      <c r="DY65" s="35">
        <f t="shared" si="14"/>
        <v>2</v>
      </c>
      <c r="DZ65" s="33">
        <f t="shared" si="15"/>
        <v>18</v>
      </c>
      <c r="EA65" s="33">
        <f t="shared" si="16"/>
        <v>16</v>
      </c>
      <c r="EB65" s="33" t="str">
        <f t="shared" si="17"/>
        <v>AUX 2 COM + CAMPOS PREENC</v>
      </c>
      <c r="EC65" s="33" t="s">
        <v>10034</v>
      </c>
    </row>
    <row r="66" spans="2:133" x14ac:dyDescent="0.25">
      <c r="B66" s="33"/>
      <c r="C66" s="33" t="s">
        <v>51</v>
      </c>
      <c r="D66" s="33" t="s">
        <v>8486</v>
      </c>
      <c r="E66" s="33" t="s">
        <v>8487</v>
      </c>
      <c r="F66" s="33" t="s">
        <v>8488</v>
      </c>
      <c r="G66" s="33" t="s">
        <v>8487</v>
      </c>
      <c r="H66" s="33" t="s">
        <v>9189</v>
      </c>
      <c r="I66" s="33" t="s">
        <v>9190</v>
      </c>
      <c r="J66" s="33" t="s">
        <v>8487</v>
      </c>
      <c r="K66" s="33" t="s">
        <v>8570</v>
      </c>
      <c r="L66" s="33" t="s">
        <v>8571</v>
      </c>
      <c r="M66" s="33" t="s">
        <v>9191</v>
      </c>
      <c r="N66" s="33" t="s">
        <v>9192</v>
      </c>
      <c r="O66" s="33"/>
      <c r="P66" s="33"/>
      <c r="Q66" s="33" t="s">
        <v>8571</v>
      </c>
      <c r="R66" s="33"/>
      <c r="S66" s="33"/>
      <c r="T66" s="33"/>
      <c r="U66" s="33" t="s">
        <v>9193</v>
      </c>
      <c r="V66" s="33" t="s">
        <v>9194</v>
      </c>
      <c r="W66" s="33" t="s">
        <v>9195</v>
      </c>
      <c r="X66" s="33" t="s">
        <v>8658</v>
      </c>
      <c r="Y66" s="33" t="s">
        <v>8525</v>
      </c>
      <c r="Z66" s="33" t="s">
        <v>8525</v>
      </c>
      <c r="AA66" s="33" t="s">
        <v>8500</v>
      </c>
      <c r="AB66" s="33" t="s">
        <v>8500</v>
      </c>
      <c r="AC66" s="33"/>
      <c r="AD66" s="33"/>
      <c r="AE66" s="33"/>
      <c r="AF66" s="33" t="s">
        <v>9196</v>
      </c>
      <c r="AG66" s="33"/>
      <c r="AH66" s="33" t="s">
        <v>8527</v>
      </c>
      <c r="AI66" s="33"/>
      <c r="AJ66" s="33"/>
      <c r="AK66" s="33"/>
      <c r="AL66" s="33" t="s">
        <v>8546</v>
      </c>
      <c r="AM66" s="33" t="s">
        <v>8506</v>
      </c>
      <c r="AN66" s="33" t="s">
        <v>9197</v>
      </c>
      <c r="AO66" s="33" t="s">
        <v>9198</v>
      </c>
      <c r="AP66" s="33">
        <v>1</v>
      </c>
      <c r="AQ66" s="5" t="s">
        <v>10037</v>
      </c>
      <c r="AR66" s="33" t="s">
        <v>9199</v>
      </c>
      <c r="AS66" s="33" t="s">
        <v>51</v>
      </c>
      <c r="AT66" s="33" t="s">
        <v>8486</v>
      </c>
      <c r="AU66" s="33" t="s">
        <v>8487</v>
      </c>
      <c r="AV66" s="33" t="s">
        <v>8488</v>
      </c>
      <c r="AW66" s="33" t="s">
        <v>8487</v>
      </c>
      <c r="AX66" s="33" t="s">
        <v>9189</v>
      </c>
      <c r="AY66" s="33" t="s">
        <v>9190</v>
      </c>
      <c r="AZ66" s="33" t="s">
        <v>8487</v>
      </c>
      <c r="BA66" s="33" t="s">
        <v>8570</v>
      </c>
      <c r="BB66" s="33" t="s">
        <v>8571</v>
      </c>
      <c r="BC66" s="33" t="s">
        <v>9191</v>
      </c>
      <c r="BD66" s="33" t="s">
        <v>9192</v>
      </c>
      <c r="BE66" s="33"/>
      <c r="BF66" s="33"/>
      <c r="BG66" s="33" t="s">
        <v>8571</v>
      </c>
      <c r="BH66" s="33"/>
      <c r="BI66" s="33"/>
      <c r="BJ66" s="33"/>
      <c r="BK66" s="33" t="s">
        <v>9193</v>
      </c>
      <c r="BL66" s="33" t="s">
        <v>9194</v>
      </c>
      <c r="BM66" s="33" t="s">
        <v>9195</v>
      </c>
      <c r="BN66" s="33" t="s">
        <v>8658</v>
      </c>
      <c r="BO66" s="33" t="s">
        <v>8525</v>
      </c>
      <c r="BP66" s="33" t="s">
        <v>8525</v>
      </c>
      <c r="BQ66" s="33" t="s">
        <v>8500</v>
      </c>
      <c r="BR66" s="33" t="s">
        <v>8500</v>
      </c>
      <c r="BS66" s="33"/>
      <c r="BT66" s="33"/>
      <c r="BU66" s="33"/>
      <c r="BV66" s="33" t="s">
        <v>9196</v>
      </c>
      <c r="BW66" s="33"/>
      <c r="BX66" s="33" t="s">
        <v>8527</v>
      </c>
      <c r="BY66" s="33"/>
      <c r="BZ66" s="33"/>
      <c r="CA66" s="33"/>
      <c r="CB66" s="33" t="s">
        <v>8546</v>
      </c>
      <c r="CC66" s="33" t="s">
        <v>8506</v>
      </c>
      <c r="CD66" s="33" t="s">
        <v>9197</v>
      </c>
      <c r="CE66" s="33" t="s">
        <v>9198</v>
      </c>
      <c r="CF66" s="33">
        <v>2</v>
      </c>
      <c r="CG66" s="5" t="s">
        <v>10037</v>
      </c>
      <c r="CH66" s="33">
        <f t="shared" si="24"/>
        <v>0</v>
      </c>
      <c r="CI66" s="33">
        <f t="shared" si="24"/>
        <v>0</v>
      </c>
      <c r="CJ66" s="33">
        <f t="shared" si="24"/>
        <v>0</v>
      </c>
      <c r="CK66" s="33">
        <f t="shared" si="24"/>
        <v>0</v>
      </c>
      <c r="CL66" s="33">
        <f t="shared" si="24"/>
        <v>0</v>
      </c>
      <c r="CM66" s="33">
        <f t="shared" si="24"/>
        <v>0</v>
      </c>
      <c r="CN66" s="33">
        <f t="shared" si="24"/>
        <v>0</v>
      </c>
      <c r="CO66" s="33">
        <f t="shared" si="24"/>
        <v>0</v>
      </c>
      <c r="CP66" s="33">
        <f t="shared" si="24"/>
        <v>0</v>
      </c>
      <c r="CQ66" s="33">
        <f t="shared" si="24"/>
        <v>0</v>
      </c>
      <c r="CR66" s="33">
        <f t="shared" si="24"/>
        <v>0</v>
      </c>
      <c r="CS66" s="33">
        <f t="shared" si="24"/>
        <v>0</v>
      </c>
      <c r="CT66" s="33">
        <f t="shared" si="24"/>
        <v>0</v>
      </c>
      <c r="CU66" s="33">
        <f t="shared" si="24"/>
        <v>0</v>
      </c>
      <c r="CV66" s="33">
        <f t="shared" si="24"/>
        <v>0</v>
      </c>
      <c r="CW66" s="33">
        <f t="shared" si="23"/>
        <v>0</v>
      </c>
      <c r="CX66" s="33">
        <f t="shared" si="23"/>
        <v>0</v>
      </c>
      <c r="CY66" s="33">
        <f t="shared" si="23"/>
        <v>0</v>
      </c>
      <c r="CZ66" s="33">
        <f t="shared" si="23"/>
        <v>0</v>
      </c>
      <c r="DA66" s="33">
        <f t="shared" si="25"/>
        <v>0</v>
      </c>
      <c r="DB66" s="33">
        <f t="shared" si="25"/>
        <v>0</v>
      </c>
      <c r="DC66" s="33">
        <f t="shared" si="25"/>
        <v>0</v>
      </c>
      <c r="DD66" s="33">
        <f t="shared" si="25"/>
        <v>0</v>
      </c>
      <c r="DE66" s="33">
        <f t="shared" si="25"/>
        <v>0</v>
      </c>
      <c r="DF66" s="33">
        <f t="shared" si="25"/>
        <v>0</v>
      </c>
      <c r="DG66" s="33">
        <f t="shared" si="25"/>
        <v>0</v>
      </c>
      <c r="DH66" s="33">
        <f t="shared" si="25"/>
        <v>0</v>
      </c>
      <c r="DI66" s="33">
        <f t="shared" si="25"/>
        <v>0</v>
      </c>
      <c r="DJ66" s="33">
        <f t="shared" si="25"/>
        <v>0</v>
      </c>
      <c r="DK66" s="33">
        <f t="shared" si="25"/>
        <v>0</v>
      </c>
      <c r="DL66" s="33">
        <f t="shared" si="21"/>
        <v>0</v>
      </c>
      <c r="DM66" s="33">
        <f t="shared" si="21"/>
        <v>0</v>
      </c>
      <c r="DN66" s="33">
        <f t="shared" si="19"/>
        <v>0</v>
      </c>
      <c r="DO66" s="33">
        <f t="shared" si="3"/>
        <v>0</v>
      </c>
      <c r="DP66" s="50">
        <f t="shared" si="10"/>
        <v>0</v>
      </c>
      <c r="DQ66" s="50">
        <f t="shared" si="11"/>
        <v>0</v>
      </c>
      <c r="DR66" s="33">
        <f t="shared" si="4"/>
        <v>0</v>
      </c>
      <c r="DS66" s="50">
        <f t="shared" si="12"/>
        <v>0</v>
      </c>
      <c r="DT66" s="50">
        <f t="shared" si="13"/>
        <v>0</v>
      </c>
      <c r="DU66" s="33">
        <f t="shared" si="5"/>
        <v>0</v>
      </c>
      <c r="DV66" s="33">
        <f t="shared" si="5"/>
        <v>0</v>
      </c>
      <c r="DW66" s="33">
        <f t="shared" si="5"/>
        <v>0</v>
      </c>
      <c r="DX66" s="33">
        <f t="shared" si="5"/>
        <v>0</v>
      </c>
      <c r="DY66" s="35">
        <f t="shared" si="14"/>
        <v>0</v>
      </c>
      <c r="DZ66" s="33">
        <f t="shared" si="15"/>
        <v>12</v>
      </c>
      <c r="EA66" s="33">
        <f t="shared" si="16"/>
        <v>12</v>
      </c>
      <c r="EB66" s="33" t="str">
        <f t="shared" si="17"/>
        <v>IGUAL CAMPOS PREENCH</v>
      </c>
      <c r="EC66" s="33" t="s">
        <v>10035</v>
      </c>
    </row>
    <row r="67" spans="2:133" x14ac:dyDescent="0.25">
      <c r="B67" s="33"/>
      <c r="C67" s="33" t="s">
        <v>25</v>
      </c>
      <c r="D67" s="33" t="s">
        <v>8829</v>
      </c>
      <c r="E67" s="33" t="s">
        <v>8830</v>
      </c>
      <c r="F67" s="33" t="s">
        <v>8831</v>
      </c>
      <c r="G67" s="33" t="s">
        <v>8832</v>
      </c>
      <c r="H67" s="33" t="s">
        <v>8833</v>
      </c>
      <c r="I67" s="33" t="s">
        <v>8834</v>
      </c>
      <c r="J67" s="33" t="s">
        <v>8834</v>
      </c>
      <c r="K67" s="33" t="s">
        <v>8570</v>
      </c>
      <c r="L67" s="33" t="s">
        <v>8571</v>
      </c>
      <c r="M67" s="33" t="s">
        <v>8854</v>
      </c>
      <c r="N67" s="33" t="s">
        <v>8653</v>
      </c>
      <c r="O67" s="33"/>
      <c r="P67" s="33"/>
      <c r="Q67" s="33" t="s">
        <v>8571</v>
      </c>
      <c r="R67" s="33" t="s">
        <v>9200</v>
      </c>
      <c r="S67" s="33"/>
      <c r="T67" s="33"/>
      <c r="U67" s="33" t="s">
        <v>8837</v>
      </c>
      <c r="V67" s="33" t="s">
        <v>8838</v>
      </c>
      <c r="W67" s="33" t="s">
        <v>9201</v>
      </c>
      <c r="X67" s="33" t="s">
        <v>8840</v>
      </c>
      <c r="Y67" s="33" t="s">
        <v>8500</v>
      </c>
      <c r="Z67" s="33" t="s">
        <v>8500</v>
      </c>
      <c r="AA67" s="33" t="s">
        <v>8500</v>
      </c>
      <c r="AB67" s="33" t="s">
        <v>8500</v>
      </c>
      <c r="AC67" s="33"/>
      <c r="AD67" s="33"/>
      <c r="AE67" s="33"/>
      <c r="AF67" s="33" t="s">
        <v>9202</v>
      </c>
      <c r="AG67" s="33"/>
      <c r="AH67" s="33" t="s">
        <v>8505</v>
      </c>
      <c r="AI67" s="33"/>
      <c r="AJ67" s="33"/>
      <c r="AK67" s="33"/>
      <c r="AL67" s="33" t="s">
        <v>8528</v>
      </c>
      <c r="AM67" s="33" t="s">
        <v>8545</v>
      </c>
      <c r="AN67" s="33" t="s">
        <v>8784</v>
      </c>
      <c r="AO67" s="33" t="s">
        <v>8785</v>
      </c>
      <c r="AP67" s="33">
        <v>1</v>
      </c>
      <c r="AQ67" s="5" t="s">
        <v>10037</v>
      </c>
      <c r="AR67" s="33" t="s">
        <v>9203</v>
      </c>
      <c r="AS67" s="33" t="s">
        <v>25</v>
      </c>
      <c r="AT67" s="33" t="s">
        <v>8829</v>
      </c>
      <c r="AU67" s="33" t="s">
        <v>8830</v>
      </c>
      <c r="AV67" s="33" t="s">
        <v>8831</v>
      </c>
      <c r="AW67" s="33" t="s">
        <v>8832</v>
      </c>
      <c r="AX67" s="33" t="s">
        <v>8833</v>
      </c>
      <c r="AY67" s="33" t="s">
        <v>8834</v>
      </c>
      <c r="AZ67" s="33" t="s">
        <v>8834</v>
      </c>
      <c r="BA67" s="33" t="s">
        <v>8570</v>
      </c>
      <c r="BB67" s="33" t="s">
        <v>8571</v>
      </c>
      <c r="BC67" s="33" t="s">
        <v>8854</v>
      </c>
      <c r="BD67" s="33" t="s">
        <v>8653</v>
      </c>
      <c r="BE67" s="33"/>
      <c r="BF67" s="33"/>
      <c r="BG67" s="33" t="s">
        <v>8571</v>
      </c>
      <c r="BH67" s="33" t="s">
        <v>9200</v>
      </c>
      <c r="BI67" s="33"/>
      <c r="BJ67" s="33"/>
      <c r="BK67" s="33" t="s">
        <v>8837</v>
      </c>
      <c r="BL67" s="33" t="s">
        <v>8838</v>
      </c>
      <c r="BM67" s="33" t="s">
        <v>9201</v>
      </c>
      <c r="BN67" s="33" t="s">
        <v>8840</v>
      </c>
      <c r="BO67" s="33" t="s">
        <v>8500</v>
      </c>
      <c r="BP67" s="33" t="s">
        <v>8500</v>
      </c>
      <c r="BQ67" s="33" t="s">
        <v>8500</v>
      </c>
      <c r="BR67" s="33" t="s">
        <v>8500</v>
      </c>
      <c r="BS67" s="33"/>
      <c r="BT67" s="33"/>
      <c r="BU67" s="33"/>
      <c r="BV67" s="33" t="s">
        <v>9202</v>
      </c>
      <c r="BW67" s="33"/>
      <c r="BX67" s="33" t="s">
        <v>8505</v>
      </c>
      <c r="BY67" s="33"/>
      <c r="BZ67" s="33" t="s">
        <v>8545</v>
      </c>
      <c r="CA67" s="33" t="s">
        <v>8528</v>
      </c>
      <c r="CB67" s="33" t="s">
        <v>8528</v>
      </c>
      <c r="CC67" s="33" t="s">
        <v>8545</v>
      </c>
      <c r="CD67" s="33" t="s">
        <v>8784</v>
      </c>
      <c r="CE67" s="33" t="s">
        <v>8785</v>
      </c>
      <c r="CF67" s="33">
        <v>2</v>
      </c>
      <c r="CG67" s="5" t="s">
        <v>10037</v>
      </c>
      <c r="CH67" s="33">
        <f t="shared" si="24"/>
        <v>0</v>
      </c>
      <c r="CI67" s="33">
        <f t="shared" si="24"/>
        <v>0</v>
      </c>
      <c r="CJ67" s="33">
        <f t="shared" si="24"/>
        <v>0</v>
      </c>
      <c r="CK67" s="33">
        <f t="shared" si="24"/>
        <v>0</v>
      </c>
      <c r="CL67" s="33">
        <f t="shared" si="24"/>
        <v>0</v>
      </c>
      <c r="CM67" s="33">
        <f t="shared" si="24"/>
        <v>0</v>
      </c>
      <c r="CN67" s="33">
        <f t="shared" si="24"/>
        <v>0</v>
      </c>
      <c r="CO67" s="33">
        <f t="shared" si="24"/>
        <v>0</v>
      </c>
      <c r="CP67" s="33">
        <f t="shared" si="24"/>
        <v>0</v>
      </c>
      <c r="CQ67" s="33">
        <f t="shared" si="24"/>
        <v>0</v>
      </c>
      <c r="CR67" s="33">
        <f t="shared" si="24"/>
        <v>0</v>
      </c>
      <c r="CS67" s="33">
        <f t="shared" si="24"/>
        <v>0</v>
      </c>
      <c r="CT67" s="33">
        <f t="shared" si="24"/>
        <v>0</v>
      </c>
      <c r="CU67" s="33">
        <f t="shared" si="24"/>
        <v>0</v>
      </c>
      <c r="CV67" s="33">
        <f t="shared" si="24"/>
        <v>0</v>
      </c>
      <c r="CW67" s="33">
        <f t="shared" si="23"/>
        <v>0</v>
      </c>
      <c r="CX67" s="33">
        <f t="shared" si="23"/>
        <v>0</v>
      </c>
      <c r="CY67" s="33">
        <f t="shared" si="23"/>
        <v>0</v>
      </c>
      <c r="CZ67" s="33">
        <f t="shared" si="23"/>
        <v>0</v>
      </c>
      <c r="DA67" s="33">
        <f t="shared" si="25"/>
        <v>0</v>
      </c>
      <c r="DB67" s="33">
        <f t="shared" si="25"/>
        <v>0</v>
      </c>
      <c r="DC67" s="33">
        <f t="shared" si="25"/>
        <v>0</v>
      </c>
      <c r="DD67" s="33">
        <f t="shared" si="25"/>
        <v>0</v>
      </c>
      <c r="DE67" s="33">
        <f t="shared" si="25"/>
        <v>0</v>
      </c>
      <c r="DF67" s="33">
        <f t="shared" si="25"/>
        <v>0</v>
      </c>
      <c r="DG67" s="33">
        <f t="shared" si="25"/>
        <v>0</v>
      </c>
      <c r="DH67" s="33">
        <f t="shared" si="25"/>
        <v>0</v>
      </c>
      <c r="DI67" s="33">
        <f t="shared" si="25"/>
        <v>0</v>
      </c>
      <c r="DJ67" s="33">
        <f t="shared" si="25"/>
        <v>0</v>
      </c>
      <c r="DK67" s="33">
        <f t="shared" si="25"/>
        <v>0</v>
      </c>
      <c r="DL67" s="33">
        <f t="shared" si="21"/>
        <v>0</v>
      </c>
      <c r="DM67" s="33">
        <f t="shared" si="21"/>
        <v>0</v>
      </c>
      <c r="DN67" s="33">
        <f t="shared" si="19"/>
        <v>0</v>
      </c>
      <c r="DO67" s="33">
        <f t="shared" si="3"/>
        <v>1</v>
      </c>
      <c r="DP67" s="50">
        <f t="shared" si="10"/>
        <v>0</v>
      </c>
      <c r="DQ67" s="50" t="str">
        <f t="shared" si="11"/>
        <v>D</v>
      </c>
      <c r="DR67" s="33">
        <f t="shared" si="4"/>
        <v>1</v>
      </c>
      <c r="DS67" s="50">
        <f t="shared" si="12"/>
        <v>0</v>
      </c>
      <c r="DT67" s="50" t="str">
        <f t="shared" si="13"/>
        <v>5-MEDIA BAJA</v>
      </c>
      <c r="DU67" s="33">
        <f t="shared" si="5"/>
        <v>0</v>
      </c>
      <c r="DV67" s="33">
        <f t="shared" si="5"/>
        <v>0</v>
      </c>
      <c r="DW67" s="33">
        <f t="shared" si="5"/>
        <v>0</v>
      </c>
      <c r="DX67" s="33">
        <f t="shared" si="5"/>
        <v>0</v>
      </c>
      <c r="DY67" s="35">
        <f t="shared" si="14"/>
        <v>2</v>
      </c>
      <c r="DZ67" s="33">
        <f t="shared" si="15"/>
        <v>11</v>
      </c>
      <c r="EA67" s="33">
        <f t="shared" si="16"/>
        <v>9</v>
      </c>
      <c r="EB67" s="33" t="str">
        <f t="shared" si="17"/>
        <v>AUX 2 COM + CAMPOS PREENC</v>
      </c>
      <c r="EC67" s="33" t="s">
        <v>10034</v>
      </c>
    </row>
    <row r="68" spans="2:133" x14ac:dyDescent="0.25">
      <c r="B68" s="33" t="s">
        <v>9204</v>
      </c>
      <c r="C68" s="33" t="s">
        <v>90</v>
      </c>
      <c r="D68" s="33" t="s">
        <v>8550</v>
      </c>
      <c r="E68" s="33" t="s">
        <v>8551</v>
      </c>
      <c r="F68" s="33" t="s">
        <v>8629</v>
      </c>
      <c r="G68" s="33" t="s">
        <v>8630</v>
      </c>
      <c r="H68" s="33" t="s">
        <v>9205</v>
      </c>
      <c r="I68" s="33" t="s">
        <v>9206</v>
      </c>
      <c r="J68" s="33" t="s">
        <v>9206</v>
      </c>
      <c r="K68" s="33" t="s">
        <v>8570</v>
      </c>
      <c r="L68" s="33" t="s">
        <v>8571</v>
      </c>
      <c r="M68" s="33" t="s">
        <v>9207</v>
      </c>
      <c r="N68" s="33" t="s">
        <v>9208</v>
      </c>
      <c r="O68" s="33"/>
      <c r="P68" s="33"/>
      <c r="Q68" s="33" t="s">
        <v>8571</v>
      </c>
      <c r="R68" s="33"/>
      <c r="S68" s="33"/>
      <c r="T68" s="33"/>
      <c r="U68" s="33" t="s">
        <v>9209</v>
      </c>
      <c r="V68" s="33" t="s">
        <v>9210</v>
      </c>
      <c r="W68" s="33" t="s">
        <v>9211</v>
      </c>
      <c r="X68" s="33" t="s">
        <v>9212</v>
      </c>
      <c r="Y68" s="33" t="s">
        <v>8500</v>
      </c>
      <c r="Z68" s="33" t="s">
        <v>8500</v>
      </c>
      <c r="AA68" s="33" t="s">
        <v>8500</v>
      </c>
      <c r="AB68" s="33" t="s">
        <v>8525</v>
      </c>
      <c r="AC68" s="33"/>
      <c r="AD68" s="33"/>
      <c r="AE68" s="33" t="s">
        <v>8502</v>
      </c>
      <c r="AF68" s="33" t="s">
        <v>9213</v>
      </c>
      <c r="AG68" s="33"/>
      <c r="AH68" s="33" t="s">
        <v>8560</v>
      </c>
      <c r="AI68" s="33"/>
      <c r="AJ68" s="33" t="s">
        <v>8545</v>
      </c>
      <c r="AK68" s="33" t="s">
        <v>8528</v>
      </c>
      <c r="AL68" s="33" t="s">
        <v>8528</v>
      </c>
      <c r="AM68" s="33" t="s">
        <v>8545</v>
      </c>
      <c r="AN68" s="33" t="s">
        <v>9214</v>
      </c>
      <c r="AO68" s="33" t="s">
        <v>9215</v>
      </c>
      <c r="AP68" s="33">
        <v>1</v>
      </c>
      <c r="AQ68" s="5" t="s">
        <v>10037</v>
      </c>
      <c r="AR68" s="33"/>
      <c r="AS68" s="33" t="s">
        <v>90</v>
      </c>
      <c r="AT68" s="33" t="s">
        <v>8550</v>
      </c>
      <c r="AU68" s="33" t="s">
        <v>8551</v>
      </c>
      <c r="AV68" s="33" t="s">
        <v>8629</v>
      </c>
      <c r="AW68" s="33" t="s">
        <v>8630</v>
      </c>
      <c r="AX68" s="33" t="s">
        <v>9205</v>
      </c>
      <c r="AY68" s="33" t="s">
        <v>9206</v>
      </c>
      <c r="AZ68" s="33" t="s">
        <v>9206</v>
      </c>
      <c r="BA68" s="33" t="s">
        <v>8570</v>
      </c>
      <c r="BB68" s="33" t="s">
        <v>8571</v>
      </c>
      <c r="BC68" s="33" t="s">
        <v>9207</v>
      </c>
      <c r="BD68" s="33" t="s">
        <v>9208</v>
      </c>
      <c r="BE68" s="33"/>
      <c r="BF68" s="33"/>
      <c r="BG68" s="33" t="s">
        <v>8571</v>
      </c>
      <c r="BH68" s="33"/>
      <c r="BI68" s="33"/>
      <c r="BJ68" s="33"/>
      <c r="BK68" s="33" t="s">
        <v>9209</v>
      </c>
      <c r="BL68" s="33" t="s">
        <v>9210</v>
      </c>
      <c r="BM68" s="33" t="s">
        <v>9211</v>
      </c>
      <c r="BN68" s="33" t="s">
        <v>9212</v>
      </c>
      <c r="BO68" s="33" t="s">
        <v>8500</v>
      </c>
      <c r="BP68" s="33" t="s">
        <v>8500</v>
      </c>
      <c r="BQ68" s="33" t="s">
        <v>8500</v>
      </c>
      <c r="BR68" s="33" t="s">
        <v>8525</v>
      </c>
      <c r="BS68" s="33"/>
      <c r="BT68" s="33"/>
      <c r="BU68" s="33" t="s">
        <v>8502</v>
      </c>
      <c r="BV68" s="33" t="s">
        <v>9213</v>
      </c>
      <c r="BW68" s="33"/>
      <c r="BX68" s="33" t="s">
        <v>8560</v>
      </c>
      <c r="BY68" s="33"/>
      <c r="BZ68" s="33"/>
      <c r="CA68" s="33"/>
      <c r="CB68" s="33" t="s">
        <v>8528</v>
      </c>
      <c r="CC68" s="33" t="s">
        <v>8545</v>
      </c>
      <c r="CD68" s="33" t="s">
        <v>9214</v>
      </c>
      <c r="CE68" s="33" t="s">
        <v>9215</v>
      </c>
      <c r="CF68" s="33">
        <v>2</v>
      </c>
      <c r="CG68" s="5" t="s">
        <v>10037</v>
      </c>
      <c r="CH68" s="33">
        <f t="shared" si="24"/>
        <v>0</v>
      </c>
      <c r="CI68" s="33">
        <f t="shared" si="24"/>
        <v>0</v>
      </c>
      <c r="CJ68" s="33">
        <f t="shared" si="24"/>
        <v>0</v>
      </c>
      <c r="CK68" s="33">
        <f t="shared" si="24"/>
        <v>0</v>
      </c>
      <c r="CL68" s="33">
        <f t="shared" si="24"/>
        <v>0</v>
      </c>
      <c r="CM68" s="33">
        <f t="shared" si="24"/>
        <v>0</v>
      </c>
      <c r="CN68" s="33">
        <f t="shared" si="24"/>
        <v>0</v>
      </c>
      <c r="CO68" s="33">
        <f t="shared" si="24"/>
        <v>0</v>
      </c>
      <c r="CP68" s="33">
        <f t="shared" si="24"/>
        <v>0</v>
      </c>
      <c r="CQ68" s="33">
        <f t="shared" si="24"/>
        <v>0</v>
      </c>
      <c r="CR68" s="33">
        <f t="shared" si="24"/>
        <v>0</v>
      </c>
      <c r="CS68" s="33">
        <f t="shared" si="24"/>
        <v>0</v>
      </c>
      <c r="CT68" s="33">
        <f t="shared" si="24"/>
        <v>0</v>
      </c>
      <c r="CU68" s="33">
        <f t="shared" si="24"/>
        <v>0</v>
      </c>
      <c r="CV68" s="33">
        <f t="shared" si="24"/>
        <v>0</v>
      </c>
      <c r="CW68" s="33">
        <f t="shared" si="23"/>
        <v>0</v>
      </c>
      <c r="CX68" s="33">
        <f t="shared" si="23"/>
        <v>0</v>
      </c>
      <c r="CY68" s="33">
        <f t="shared" si="23"/>
        <v>0</v>
      </c>
      <c r="CZ68" s="33">
        <f t="shared" si="23"/>
        <v>0</v>
      </c>
      <c r="DA68" s="33">
        <f t="shared" si="25"/>
        <v>0</v>
      </c>
      <c r="DB68" s="33">
        <f t="shared" si="25"/>
        <v>0</v>
      </c>
      <c r="DC68" s="33">
        <f t="shared" si="25"/>
        <v>0</v>
      </c>
      <c r="DD68" s="33">
        <f t="shared" si="25"/>
        <v>0</v>
      </c>
      <c r="DE68" s="33">
        <f t="shared" si="25"/>
        <v>0</v>
      </c>
      <c r="DF68" s="33">
        <f t="shared" si="25"/>
        <v>0</v>
      </c>
      <c r="DG68" s="33">
        <f t="shared" si="25"/>
        <v>0</v>
      </c>
      <c r="DH68" s="33">
        <f t="shared" si="25"/>
        <v>0</v>
      </c>
      <c r="DI68" s="33">
        <f t="shared" si="25"/>
        <v>0</v>
      </c>
      <c r="DJ68" s="33">
        <f t="shared" si="25"/>
        <v>0</v>
      </c>
      <c r="DK68" s="33">
        <f t="shared" si="25"/>
        <v>0</v>
      </c>
      <c r="DL68" s="33">
        <f t="shared" si="21"/>
        <v>0</v>
      </c>
      <c r="DM68" s="33">
        <f t="shared" si="21"/>
        <v>0</v>
      </c>
      <c r="DN68" s="33">
        <f t="shared" si="19"/>
        <v>0</v>
      </c>
      <c r="DO68" s="33">
        <f t="shared" si="3"/>
        <v>1</v>
      </c>
      <c r="DP68" s="50" t="str">
        <f t="shared" si="10"/>
        <v>D</v>
      </c>
      <c r="DQ68" s="50">
        <f t="shared" si="11"/>
        <v>0</v>
      </c>
      <c r="DR68" s="33">
        <f t="shared" si="4"/>
        <v>1</v>
      </c>
      <c r="DS68" s="50" t="str">
        <f t="shared" si="12"/>
        <v>5-MEDIA BAJA</v>
      </c>
      <c r="DT68" s="50">
        <f t="shared" si="13"/>
        <v>0</v>
      </c>
      <c r="DU68" s="33">
        <f t="shared" si="5"/>
        <v>0</v>
      </c>
      <c r="DV68" s="33">
        <f t="shared" si="5"/>
        <v>0</v>
      </c>
      <c r="DW68" s="33">
        <f t="shared" si="5"/>
        <v>0</v>
      </c>
      <c r="DX68" s="33">
        <f t="shared" ref="DX68:DX131" si="26">+IF(AO68=CE68,0,1)</f>
        <v>0</v>
      </c>
      <c r="DY68" s="35">
        <f t="shared" si="14"/>
        <v>2</v>
      </c>
      <c r="DZ68" s="33">
        <f t="shared" si="15"/>
        <v>9</v>
      </c>
      <c r="EA68" s="33">
        <f t="shared" si="16"/>
        <v>11</v>
      </c>
      <c r="EB68" s="33" t="str">
        <f t="shared" si="17"/>
        <v>AUX 1 COM + CAMPOS PREENC OU IGUAL</v>
      </c>
      <c r="EC68" s="33" t="s">
        <v>10034</v>
      </c>
    </row>
    <row r="69" spans="2:133" x14ac:dyDescent="0.25">
      <c r="B69" s="33" t="s">
        <v>9216</v>
      </c>
      <c r="C69" s="33" t="s">
        <v>131</v>
      </c>
      <c r="D69" s="33" t="s">
        <v>8513</v>
      </c>
      <c r="E69" s="33" t="s">
        <v>8514</v>
      </c>
      <c r="F69" s="33" t="s">
        <v>9217</v>
      </c>
      <c r="G69" s="33" t="s">
        <v>9218</v>
      </c>
      <c r="H69" s="33" t="s">
        <v>9219</v>
      </c>
      <c r="I69" s="33" t="s">
        <v>9218</v>
      </c>
      <c r="J69" s="33" t="s">
        <v>9220</v>
      </c>
      <c r="K69" s="33" t="s">
        <v>8570</v>
      </c>
      <c r="L69" s="33" t="s">
        <v>8571</v>
      </c>
      <c r="M69" s="33" t="s">
        <v>9221</v>
      </c>
      <c r="N69" s="33" t="s">
        <v>9222</v>
      </c>
      <c r="O69" s="33"/>
      <c r="P69" s="33"/>
      <c r="Q69" s="33" t="s">
        <v>8571</v>
      </c>
      <c r="R69" s="33" t="s">
        <v>9223</v>
      </c>
      <c r="S69" s="33"/>
      <c r="T69" s="33"/>
      <c r="U69" s="33" t="s">
        <v>9224</v>
      </c>
      <c r="V69" s="33" t="s">
        <v>9225</v>
      </c>
      <c r="W69" s="33" t="s">
        <v>9226</v>
      </c>
      <c r="X69" s="33" t="s">
        <v>9227</v>
      </c>
      <c r="Y69" s="33" t="s">
        <v>8500</v>
      </c>
      <c r="Z69" s="33" t="s">
        <v>8500</v>
      </c>
      <c r="AA69" s="33" t="s">
        <v>8500</v>
      </c>
      <c r="AB69" s="33" t="s">
        <v>8525</v>
      </c>
      <c r="AC69" s="33"/>
      <c r="AD69" s="33"/>
      <c r="AE69" s="33"/>
      <c r="AF69" s="33" t="s">
        <v>9228</v>
      </c>
      <c r="AG69" s="33"/>
      <c r="AH69" s="33" t="s">
        <v>8606</v>
      </c>
      <c r="AI69" s="33"/>
      <c r="AJ69" s="33" t="s">
        <v>8545</v>
      </c>
      <c r="AK69" s="33" t="s">
        <v>8528</v>
      </c>
      <c r="AL69" s="33" t="s">
        <v>8507</v>
      </c>
      <c r="AM69" s="33" t="s">
        <v>8506</v>
      </c>
      <c r="AN69" s="33" t="s">
        <v>9229</v>
      </c>
      <c r="AO69" s="33" t="s">
        <v>9230</v>
      </c>
      <c r="AP69" s="33">
        <v>1</v>
      </c>
      <c r="AQ69" s="5" t="s">
        <v>10037</v>
      </c>
      <c r="AR69" s="33"/>
      <c r="AS69" s="33" t="s">
        <v>131</v>
      </c>
      <c r="AT69" s="33" t="s">
        <v>8513</v>
      </c>
      <c r="AU69" s="33" t="s">
        <v>8514</v>
      </c>
      <c r="AV69" s="33" t="s">
        <v>9217</v>
      </c>
      <c r="AW69" s="33" t="s">
        <v>9218</v>
      </c>
      <c r="AX69" s="33" t="s">
        <v>9219</v>
      </c>
      <c r="AY69" s="33" t="s">
        <v>9218</v>
      </c>
      <c r="AZ69" s="33" t="s">
        <v>9220</v>
      </c>
      <c r="BA69" s="33" t="s">
        <v>8570</v>
      </c>
      <c r="BB69" s="33" t="s">
        <v>8571</v>
      </c>
      <c r="BC69" s="33" t="s">
        <v>9221</v>
      </c>
      <c r="BD69" s="33" t="s">
        <v>9222</v>
      </c>
      <c r="BE69" s="33"/>
      <c r="BF69" s="33"/>
      <c r="BG69" s="33" t="s">
        <v>8571</v>
      </c>
      <c r="BH69" s="33" t="s">
        <v>9223</v>
      </c>
      <c r="BI69" s="33"/>
      <c r="BJ69" s="33"/>
      <c r="BK69" s="33" t="s">
        <v>9224</v>
      </c>
      <c r="BL69" s="33" t="s">
        <v>9225</v>
      </c>
      <c r="BM69" s="33" t="s">
        <v>9226</v>
      </c>
      <c r="BN69" s="33" t="s">
        <v>9227</v>
      </c>
      <c r="BO69" s="33" t="s">
        <v>8500</v>
      </c>
      <c r="BP69" s="33" t="s">
        <v>8500</v>
      </c>
      <c r="BQ69" s="33" t="s">
        <v>8500</v>
      </c>
      <c r="BR69" s="33" t="s">
        <v>8525</v>
      </c>
      <c r="BS69" s="33"/>
      <c r="BT69" s="33"/>
      <c r="BU69" s="33"/>
      <c r="BV69" s="33" t="s">
        <v>9228</v>
      </c>
      <c r="BW69" s="33"/>
      <c r="BX69" s="33" t="s">
        <v>8606</v>
      </c>
      <c r="BY69" s="33"/>
      <c r="BZ69" s="33"/>
      <c r="CA69" s="33"/>
      <c r="CB69" s="33" t="s">
        <v>8507</v>
      </c>
      <c r="CC69" s="33" t="s">
        <v>8506</v>
      </c>
      <c r="CD69" s="33" t="s">
        <v>9229</v>
      </c>
      <c r="CE69" s="33" t="s">
        <v>9230</v>
      </c>
      <c r="CF69" s="33">
        <v>2</v>
      </c>
      <c r="CG69" s="5" t="s">
        <v>10037</v>
      </c>
      <c r="CH69" s="33">
        <f t="shared" ref="CH69:CV85" si="27">+IF(C69=AS69,0,1)</f>
        <v>0</v>
      </c>
      <c r="CI69" s="33">
        <f t="shared" si="27"/>
        <v>0</v>
      </c>
      <c r="CJ69" s="33">
        <f t="shared" si="27"/>
        <v>0</v>
      </c>
      <c r="CK69" s="33">
        <f t="shared" si="27"/>
        <v>0</v>
      </c>
      <c r="CL69" s="33">
        <f t="shared" si="27"/>
        <v>0</v>
      </c>
      <c r="CM69" s="33">
        <f t="shared" si="27"/>
        <v>0</v>
      </c>
      <c r="CN69" s="33">
        <f t="shared" si="27"/>
        <v>0</v>
      </c>
      <c r="CO69" s="33">
        <f t="shared" si="27"/>
        <v>0</v>
      </c>
      <c r="CP69" s="33">
        <f t="shared" si="27"/>
        <v>0</v>
      </c>
      <c r="CQ69" s="33">
        <f t="shared" si="27"/>
        <v>0</v>
      </c>
      <c r="CR69" s="33">
        <f t="shared" si="27"/>
        <v>0</v>
      </c>
      <c r="CS69" s="33">
        <f t="shared" si="27"/>
        <v>0</v>
      </c>
      <c r="CT69" s="33">
        <f t="shared" si="27"/>
        <v>0</v>
      </c>
      <c r="CU69" s="33">
        <f t="shared" si="27"/>
        <v>0</v>
      </c>
      <c r="CV69" s="33">
        <f t="shared" si="27"/>
        <v>0</v>
      </c>
      <c r="CW69" s="33">
        <f t="shared" si="23"/>
        <v>0</v>
      </c>
      <c r="CX69" s="33">
        <f t="shared" si="23"/>
        <v>0</v>
      </c>
      <c r="CY69" s="33">
        <f t="shared" si="23"/>
        <v>0</v>
      </c>
      <c r="CZ69" s="33">
        <f t="shared" si="23"/>
        <v>0</v>
      </c>
      <c r="DA69" s="33">
        <f t="shared" si="25"/>
        <v>0</v>
      </c>
      <c r="DB69" s="33">
        <f t="shared" si="25"/>
        <v>0</v>
      </c>
      <c r="DC69" s="33">
        <f t="shared" si="25"/>
        <v>0</v>
      </c>
      <c r="DD69" s="33">
        <f t="shared" si="25"/>
        <v>0</v>
      </c>
      <c r="DE69" s="33">
        <f t="shared" si="25"/>
        <v>0</v>
      </c>
      <c r="DF69" s="33">
        <f t="shared" si="25"/>
        <v>0</v>
      </c>
      <c r="DG69" s="33">
        <f t="shared" si="25"/>
        <v>0</v>
      </c>
      <c r="DH69" s="33">
        <f t="shared" si="25"/>
        <v>0</v>
      </c>
      <c r="DI69" s="33">
        <f t="shared" si="25"/>
        <v>0</v>
      </c>
      <c r="DJ69" s="33">
        <f t="shared" si="25"/>
        <v>0</v>
      </c>
      <c r="DK69" s="33">
        <f t="shared" si="25"/>
        <v>0</v>
      </c>
      <c r="DL69" s="33">
        <f t="shared" si="21"/>
        <v>0</v>
      </c>
      <c r="DM69" s="33">
        <f t="shared" si="21"/>
        <v>0</v>
      </c>
      <c r="DN69" s="33">
        <f t="shared" si="19"/>
        <v>0</v>
      </c>
      <c r="DO69" s="33">
        <f t="shared" si="19"/>
        <v>1</v>
      </c>
      <c r="DP69" s="50" t="str">
        <f t="shared" si="10"/>
        <v>D</v>
      </c>
      <c r="DQ69" s="50">
        <f t="shared" si="11"/>
        <v>0</v>
      </c>
      <c r="DR69" s="33">
        <f t="shared" ref="DR69:DR132" si="28">+IF(AK69=CA69,0,1)</f>
        <v>1</v>
      </c>
      <c r="DS69" s="50" t="str">
        <f t="shared" si="12"/>
        <v>5-MEDIA BAJA</v>
      </c>
      <c r="DT69" s="50">
        <f t="shared" si="13"/>
        <v>0</v>
      </c>
      <c r="DU69" s="33">
        <f t="shared" ref="DU69:DX132" si="29">+IF(AL69=CB69,0,1)</f>
        <v>0</v>
      </c>
      <c r="DV69" s="33">
        <f t="shared" si="29"/>
        <v>0</v>
      </c>
      <c r="DW69" s="33">
        <f t="shared" si="29"/>
        <v>0</v>
      </c>
      <c r="DX69" s="33">
        <f t="shared" si="26"/>
        <v>0</v>
      </c>
      <c r="DY69" s="35">
        <f t="shared" si="14"/>
        <v>2</v>
      </c>
      <c r="DZ69" s="33">
        <f t="shared" si="15"/>
        <v>9</v>
      </c>
      <c r="EA69" s="33">
        <f t="shared" si="16"/>
        <v>11</v>
      </c>
      <c r="EB69" s="33" t="str">
        <f t="shared" si="17"/>
        <v>AUX 1 COM + CAMPOS PREENC OU IGUAL</v>
      </c>
      <c r="EC69" s="33" t="s">
        <v>10034</v>
      </c>
    </row>
    <row r="70" spans="2:133" x14ac:dyDescent="0.25">
      <c r="B70" s="33" t="s">
        <v>9231</v>
      </c>
      <c r="C70" s="33" t="s">
        <v>163</v>
      </c>
      <c r="D70" s="33" t="s">
        <v>8611</v>
      </c>
      <c r="E70" s="33" t="s">
        <v>8612</v>
      </c>
      <c r="F70" s="33" t="s">
        <v>9232</v>
      </c>
      <c r="G70" s="33" t="s">
        <v>9233</v>
      </c>
      <c r="H70" s="33" t="s">
        <v>9234</v>
      </c>
      <c r="I70" s="33" t="s">
        <v>9235</v>
      </c>
      <c r="J70" s="33" t="s">
        <v>9236</v>
      </c>
      <c r="K70" s="33" t="s">
        <v>8570</v>
      </c>
      <c r="L70" s="33" t="s">
        <v>8571</v>
      </c>
      <c r="M70" s="33" t="s">
        <v>9237</v>
      </c>
      <c r="N70" s="33" t="s">
        <v>9238</v>
      </c>
      <c r="O70" s="33"/>
      <c r="P70" s="33"/>
      <c r="Q70" s="33" t="s">
        <v>8492</v>
      </c>
      <c r="R70" s="33"/>
      <c r="S70" s="33"/>
      <c r="T70" s="33"/>
      <c r="U70" s="33" t="s">
        <v>9239</v>
      </c>
      <c r="V70" s="33"/>
      <c r="W70" s="33" t="s">
        <v>9240</v>
      </c>
      <c r="X70" s="33" t="s">
        <v>9165</v>
      </c>
      <c r="Y70" s="33" t="s">
        <v>8500</v>
      </c>
      <c r="Z70" s="33" t="s">
        <v>8500</v>
      </c>
      <c r="AA70" s="33" t="s">
        <v>8500</v>
      </c>
      <c r="AB70" s="33" t="s">
        <v>8500</v>
      </c>
      <c r="AC70" s="33"/>
      <c r="AD70" s="33"/>
      <c r="AE70" s="33"/>
      <c r="AF70" s="33" t="s">
        <v>9241</v>
      </c>
      <c r="AG70" s="33"/>
      <c r="AH70" s="33" t="s">
        <v>8505</v>
      </c>
      <c r="AI70" s="33"/>
      <c r="AJ70" s="33" t="s">
        <v>8577</v>
      </c>
      <c r="AK70" s="33" t="s">
        <v>8507</v>
      </c>
      <c r="AL70" s="33" t="s">
        <v>8507</v>
      </c>
      <c r="AM70" s="33" t="s">
        <v>8577</v>
      </c>
      <c r="AN70" s="33" t="s">
        <v>9242</v>
      </c>
      <c r="AO70" s="33" t="s">
        <v>9243</v>
      </c>
      <c r="AP70" s="33">
        <v>1</v>
      </c>
      <c r="AQ70" s="5" t="s">
        <v>10037</v>
      </c>
      <c r="AR70" s="33"/>
      <c r="AS70" s="33" t="s">
        <v>163</v>
      </c>
      <c r="AT70" s="33" t="s">
        <v>8611</v>
      </c>
      <c r="AU70" s="33" t="s">
        <v>8612</v>
      </c>
      <c r="AV70" s="33" t="s">
        <v>9232</v>
      </c>
      <c r="AW70" s="33" t="s">
        <v>9233</v>
      </c>
      <c r="AX70" s="33" t="s">
        <v>9234</v>
      </c>
      <c r="AY70" s="33" t="s">
        <v>9235</v>
      </c>
      <c r="AZ70" s="33" t="s">
        <v>9236</v>
      </c>
      <c r="BA70" s="33" t="s">
        <v>8570</v>
      </c>
      <c r="BB70" s="33" t="s">
        <v>8571</v>
      </c>
      <c r="BC70" s="33" t="s">
        <v>9237</v>
      </c>
      <c r="BD70" s="33" t="s">
        <v>9238</v>
      </c>
      <c r="BE70" s="33"/>
      <c r="BF70" s="33"/>
      <c r="BG70" s="33" t="s">
        <v>8492</v>
      </c>
      <c r="BH70" s="33"/>
      <c r="BI70" s="33"/>
      <c r="BJ70" s="33"/>
      <c r="BK70" s="33" t="s">
        <v>9239</v>
      </c>
      <c r="BL70" s="33"/>
      <c r="BM70" s="33" t="s">
        <v>9240</v>
      </c>
      <c r="BN70" s="33" t="s">
        <v>9165</v>
      </c>
      <c r="BO70" s="33" t="s">
        <v>8500</v>
      </c>
      <c r="BP70" s="33" t="s">
        <v>8500</v>
      </c>
      <c r="BQ70" s="33" t="s">
        <v>8500</v>
      </c>
      <c r="BR70" s="33" t="s">
        <v>8500</v>
      </c>
      <c r="BS70" s="33"/>
      <c r="BT70" s="33"/>
      <c r="BU70" s="33"/>
      <c r="BV70" s="33" t="s">
        <v>9241</v>
      </c>
      <c r="BW70" s="33"/>
      <c r="BX70" s="33" t="s">
        <v>8505</v>
      </c>
      <c r="BY70" s="33"/>
      <c r="BZ70" s="33" t="s">
        <v>8577</v>
      </c>
      <c r="CA70" s="33" t="s">
        <v>8507</v>
      </c>
      <c r="CB70" s="33" t="s">
        <v>8507</v>
      </c>
      <c r="CC70" s="33" t="s">
        <v>8577</v>
      </c>
      <c r="CD70" s="33" t="s">
        <v>9242</v>
      </c>
      <c r="CE70" s="33" t="s">
        <v>9243</v>
      </c>
      <c r="CF70" s="33">
        <v>2</v>
      </c>
      <c r="CG70" s="5" t="s">
        <v>10037</v>
      </c>
      <c r="CH70" s="33">
        <f t="shared" si="27"/>
        <v>0</v>
      </c>
      <c r="CI70" s="33">
        <f t="shared" si="27"/>
        <v>0</v>
      </c>
      <c r="CJ70" s="33">
        <f t="shared" si="27"/>
        <v>0</v>
      </c>
      <c r="CK70" s="33">
        <f t="shared" si="27"/>
        <v>0</v>
      </c>
      <c r="CL70" s="33">
        <f t="shared" si="27"/>
        <v>0</v>
      </c>
      <c r="CM70" s="33">
        <f t="shared" si="27"/>
        <v>0</v>
      </c>
      <c r="CN70" s="33">
        <f t="shared" si="27"/>
        <v>0</v>
      </c>
      <c r="CO70" s="33">
        <f t="shared" si="27"/>
        <v>0</v>
      </c>
      <c r="CP70" s="33">
        <f t="shared" si="27"/>
        <v>0</v>
      </c>
      <c r="CQ70" s="33">
        <f t="shared" si="27"/>
        <v>0</v>
      </c>
      <c r="CR70" s="33">
        <f t="shared" si="27"/>
        <v>0</v>
      </c>
      <c r="CS70" s="33">
        <f t="shared" si="27"/>
        <v>0</v>
      </c>
      <c r="CT70" s="33">
        <f t="shared" si="27"/>
        <v>0</v>
      </c>
      <c r="CU70" s="33">
        <f t="shared" si="27"/>
        <v>0</v>
      </c>
      <c r="CV70" s="33">
        <f t="shared" si="27"/>
        <v>0</v>
      </c>
      <c r="CW70" s="33">
        <f t="shared" si="23"/>
        <v>0</v>
      </c>
      <c r="CX70" s="33">
        <f t="shared" si="23"/>
        <v>0</v>
      </c>
      <c r="CY70" s="33">
        <f t="shared" si="23"/>
        <v>0</v>
      </c>
      <c r="CZ70" s="33">
        <f t="shared" si="23"/>
        <v>0</v>
      </c>
      <c r="DA70" s="33">
        <f t="shared" si="25"/>
        <v>0</v>
      </c>
      <c r="DB70" s="33">
        <f t="shared" si="25"/>
        <v>0</v>
      </c>
      <c r="DC70" s="33">
        <f t="shared" si="25"/>
        <v>0</v>
      </c>
      <c r="DD70" s="33">
        <f t="shared" si="25"/>
        <v>0</v>
      </c>
      <c r="DE70" s="33">
        <f t="shared" si="25"/>
        <v>0</v>
      </c>
      <c r="DF70" s="33">
        <f t="shared" si="25"/>
        <v>0</v>
      </c>
      <c r="DG70" s="33">
        <f t="shared" si="25"/>
        <v>0</v>
      </c>
      <c r="DH70" s="33">
        <f t="shared" si="25"/>
        <v>0</v>
      </c>
      <c r="DI70" s="33">
        <f t="shared" si="25"/>
        <v>0</v>
      </c>
      <c r="DJ70" s="33">
        <f t="shared" si="25"/>
        <v>0</v>
      </c>
      <c r="DK70" s="33">
        <f t="shared" si="25"/>
        <v>0</v>
      </c>
      <c r="DL70" s="33">
        <f t="shared" si="21"/>
        <v>0</v>
      </c>
      <c r="DM70" s="33">
        <f t="shared" si="21"/>
        <v>0</v>
      </c>
      <c r="DN70" s="33">
        <f t="shared" si="19"/>
        <v>0</v>
      </c>
      <c r="DO70" s="33">
        <f t="shared" si="19"/>
        <v>0</v>
      </c>
      <c r="DP70" s="50" t="str">
        <f t="shared" ref="DP70:DP133" si="30">+AJ70</f>
        <v>E</v>
      </c>
      <c r="DQ70" s="50" t="str">
        <f t="shared" ref="DQ70:DQ133" si="31">+BZ70</f>
        <v>E</v>
      </c>
      <c r="DR70" s="33">
        <f t="shared" si="28"/>
        <v>0</v>
      </c>
      <c r="DS70" s="50" t="str">
        <f t="shared" ref="DS70:DS133" si="32">+AK70</f>
        <v>4-MEDIA</v>
      </c>
      <c r="DT70" s="50" t="str">
        <f t="shared" ref="DT70:DT133" si="33">+CA70</f>
        <v>4-MEDIA</v>
      </c>
      <c r="DU70" s="33">
        <f t="shared" si="29"/>
        <v>0</v>
      </c>
      <c r="DV70" s="33">
        <f t="shared" si="29"/>
        <v>0</v>
      </c>
      <c r="DW70" s="33">
        <f t="shared" si="29"/>
        <v>0</v>
      </c>
      <c r="DX70" s="33">
        <f t="shared" si="26"/>
        <v>0</v>
      </c>
      <c r="DY70" s="35">
        <f t="shared" ref="DY70:DY133" si="34">+SUM(CH70:DO70,DR70,DU70:DX70)</f>
        <v>0</v>
      </c>
      <c r="DZ70" s="33">
        <f t="shared" si="15"/>
        <v>11</v>
      </c>
      <c r="EA70" s="33">
        <f t="shared" si="16"/>
        <v>11</v>
      </c>
      <c r="EB70" s="33" t="str">
        <f t="shared" si="17"/>
        <v>IGUAL CAMPOS PREENCH</v>
      </c>
      <c r="EC70" s="33" t="s">
        <v>10035</v>
      </c>
    </row>
    <row r="71" spans="2:133" x14ac:dyDescent="0.25">
      <c r="B71" s="33" t="s">
        <v>9244</v>
      </c>
      <c r="C71" s="33" t="s">
        <v>55</v>
      </c>
      <c r="D71" s="33" t="s">
        <v>8550</v>
      </c>
      <c r="E71" s="33" t="s">
        <v>8551</v>
      </c>
      <c r="F71" s="33" t="s">
        <v>9245</v>
      </c>
      <c r="G71" s="33" t="s">
        <v>9246</v>
      </c>
      <c r="H71" s="33" t="s">
        <v>9247</v>
      </c>
      <c r="I71" s="33" t="s">
        <v>9248</v>
      </c>
      <c r="J71" s="33" t="s">
        <v>9246</v>
      </c>
      <c r="K71" s="33" t="s">
        <v>8588</v>
      </c>
      <c r="L71" s="33" t="s">
        <v>8589</v>
      </c>
      <c r="M71" s="33" t="s">
        <v>9249</v>
      </c>
      <c r="N71" s="33" t="s">
        <v>9250</v>
      </c>
      <c r="O71" s="33"/>
      <c r="P71" s="33"/>
      <c r="Q71" s="33" t="s">
        <v>8589</v>
      </c>
      <c r="R71" s="33"/>
      <c r="S71" s="33"/>
      <c r="T71" s="33"/>
      <c r="U71" s="33" t="s">
        <v>9251</v>
      </c>
      <c r="V71" s="33" t="s">
        <v>9252</v>
      </c>
      <c r="W71" s="33" t="s">
        <v>9253</v>
      </c>
      <c r="X71" s="33" t="s">
        <v>9254</v>
      </c>
      <c r="Y71" s="33" t="s">
        <v>8500</v>
      </c>
      <c r="Z71" s="33" t="s">
        <v>8500</v>
      </c>
      <c r="AA71" s="33" t="s">
        <v>8500</v>
      </c>
      <c r="AB71" s="33" t="s">
        <v>8525</v>
      </c>
      <c r="AC71" s="33"/>
      <c r="AD71" s="33"/>
      <c r="AE71" s="33"/>
      <c r="AF71" s="33" t="s">
        <v>9255</v>
      </c>
      <c r="AG71" s="33"/>
      <c r="AH71" s="33" t="s">
        <v>8560</v>
      </c>
      <c r="AI71" s="33"/>
      <c r="AJ71" s="33"/>
      <c r="AK71" s="33"/>
      <c r="AL71" s="33" t="s">
        <v>8528</v>
      </c>
      <c r="AM71" s="33" t="s">
        <v>8577</v>
      </c>
      <c r="AN71" s="33" t="s">
        <v>9256</v>
      </c>
      <c r="AO71" s="33" t="s">
        <v>9257</v>
      </c>
      <c r="AP71" s="33">
        <v>1</v>
      </c>
      <c r="AQ71" s="5" t="s">
        <v>10037</v>
      </c>
      <c r="AR71" s="33"/>
      <c r="AS71" s="33" t="s">
        <v>55</v>
      </c>
      <c r="AT71" s="33" t="s">
        <v>8550</v>
      </c>
      <c r="AU71" s="33" t="s">
        <v>8551</v>
      </c>
      <c r="AV71" s="33" t="s">
        <v>9245</v>
      </c>
      <c r="AW71" s="33" t="s">
        <v>9246</v>
      </c>
      <c r="AX71" s="33" t="s">
        <v>9247</v>
      </c>
      <c r="AY71" s="33" t="s">
        <v>9248</v>
      </c>
      <c r="AZ71" s="33" t="s">
        <v>9246</v>
      </c>
      <c r="BA71" s="33" t="s">
        <v>8588</v>
      </c>
      <c r="BB71" s="33" t="s">
        <v>8589</v>
      </c>
      <c r="BC71" s="33" t="s">
        <v>9249</v>
      </c>
      <c r="BD71" s="33" t="s">
        <v>9250</v>
      </c>
      <c r="BE71" s="33"/>
      <c r="BF71" s="33"/>
      <c r="BG71" s="33" t="s">
        <v>8589</v>
      </c>
      <c r="BH71" s="33"/>
      <c r="BI71" s="33"/>
      <c r="BJ71" s="33"/>
      <c r="BK71" s="33" t="s">
        <v>9251</v>
      </c>
      <c r="BL71" s="33" t="s">
        <v>9252</v>
      </c>
      <c r="BM71" s="33" t="s">
        <v>9253</v>
      </c>
      <c r="BN71" s="33" t="s">
        <v>9254</v>
      </c>
      <c r="BO71" s="33" t="s">
        <v>8500</v>
      </c>
      <c r="BP71" s="33" t="s">
        <v>8500</v>
      </c>
      <c r="BQ71" s="33" t="s">
        <v>8500</v>
      </c>
      <c r="BR71" s="33" t="s">
        <v>8525</v>
      </c>
      <c r="BS71" s="33"/>
      <c r="BT71" s="33"/>
      <c r="BU71" s="33"/>
      <c r="BV71" s="33" t="s">
        <v>9255</v>
      </c>
      <c r="BW71" s="33"/>
      <c r="BX71" s="33" t="s">
        <v>8560</v>
      </c>
      <c r="BY71" s="33"/>
      <c r="BZ71" s="33"/>
      <c r="CA71" s="33"/>
      <c r="CB71" s="33" t="s">
        <v>8528</v>
      </c>
      <c r="CC71" s="33" t="s">
        <v>8577</v>
      </c>
      <c r="CD71" s="33" t="s">
        <v>9256</v>
      </c>
      <c r="CE71" s="33" t="s">
        <v>9257</v>
      </c>
      <c r="CF71" s="33">
        <v>2</v>
      </c>
      <c r="CG71" s="5" t="s">
        <v>10037</v>
      </c>
      <c r="CH71" s="33">
        <f t="shared" si="27"/>
        <v>0</v>
      </c>
      <c r="CI71" s="33">
        <f t="shared" si="27"/>
        <v>0</v>
      </c>
      <c r="CJ71" s="33">
        <f t="shared" si="27"/>
        <v>0</v>
      </c>
      <c r="CK71" s="33">
        <f t="shared" si="27"/>
        <v>0</v>
      </c>
      <c r="CL71" s="33">
        <f t="shared" si="27"/>
        <v>0</v>
      </c>
      <c r="CM71" s="33">
        <f t="shared" si="27"/>
        <v>0</v>
      </c>
      <c r="CN71" s="33">
        <f t="shared" si="27"/>
        <v>0</v>
      </c>
      <c r="CO71" s="33">
        <f t="shared" si="27"/>
        <v>0</v>
      </c>
      <c r="CP71" s="33">
        <f t="shared" si="27"/>
        <v>0</v>
      </c>
      <c r="CQ71" s="33">
        <f t="shared" si="27"/>
        <v>0</v>
      </c>
      <c r="CR71" s="33">
        <f t="shared" si="27"/>
        <v>0</v>
      </c>
      <c r="CS71" s="33">
        <f t="shared" si="27"/>
        <v>0</v>
      </c>
      <c r="CT71" s="33">
        <f t="shared" si="27"/>
        <v>0</v>
      </c>
      <c r="CU71" s="33">
        <f t="shared" si="27"/>
        <v>0</v>
      </c>
      <c r="CV71" s="33">
        <f t="shared" si="27"/>
        <v>0</v>
      </c>
      <c r="CW71" s="33">
        <f t="shared" si="23"/>
        <v>0</v>
      </c>
      <c r="CX71" s="33">
        <f t="shared" si="23"/>
        <v>0</v>
      </c>
      <c r="CY71" s="33">
        <f t="shared" si="23"/>
        <v>0</v>
      </c>
      <c r="CZ71" s="33">
        <f t="shared" si="23"/>
        <v>0</v>
      </c>
      <c r="DA71" s="33">
        <f t="shared" si="25"/>
        <v>0</v>
      </c>
      <c r="DB71" s="33">
        <f t="shared" si="25"/>
        <v>0</v>
      </c>
      <c r="DC71" s="33">
        <f t="shared" si="25"/>
        <v>0</v>
      </c>
      <c r="DD71" s="33">
        <f t="shared" si="25"/>
        <v>0</v>
      </c>
      <c r="DE71" s="33">
        <f t="shared" si="25"/>
        <v>0</v>
      </c>
      <c r="DF71" s="33">
        <f t="shared" si="25"/>
        <v>0</v>
      </c>
      <c r="DG71" s="33">
        <f t="shared" si="25"/>
        <v>0</v>
      </c>
      <c r="DH71" s="33">
        <f t="shared" si="25"/>
        <v>0</v>
      </c>
      <c r="DI71" s="33">
        <f t="shared" si="25"/>
        <v>0</v>
      </c>
      <c r="DJ71" s="33">
        <f t="shared" si="25"/>
        <v>0</v>
      </c>
      <c r="DK71" s="33">
        <f t="shared" si="25"/>
        <v>0</v>
      </c>
      <c r="DL71" s="33">
        <f t="shared" si="21"/>
        <v>0</v>
      </c>
      <c r="DM71" s="33">
        <f t="shared" si="21"/>
        <v>0</v>
      </c>
      <c r="DN71" s="33">
        <f t="shared" si="19"/>
        <v>0</v>
      </c>
      <c r="DO71" s="33">
        <f t="shared" si="19"/>
        <v>0</v>
      </c>
      <c r="DP71" s="50">
        <f t="shared" si="30"/>
        <v>0</v>
      </c>
      <c r="DQ71" s="50">
        <f t="shared" si="31"/>
        <v>0</v>
      </c>
      <c r="DR71" s="33">
        <f t="shared" si="28"/>
        <v>0</v>
      </c>
      <c r="DS71" s="50">
        <f t="shared" si="32"/>
        <v>0</v>
      </c>
      <c r="DT71" s="50">
        <f t="shared" si="33"/>
        <v>0</v>
      </c>
      <c r="DU71" s="33">
        <f t="shared" si="29"/>
        <v>0</v>
      </c>
      <c r="DV71" s="33">
        <f t="shared" si="29"/>
        <v>0</v>
      </c>
      <c r="DW71" s="33">
        <f t="shared" si="29"/>
        <v>0</v>
      </c>
      <c r="DX71" s="33">
        <f t="shared" si="26"/>
        <v>0</v>
      </c>
      <c r="DY71" s="35">
        <f t="shared" si="34"/>
        <v>0</v>
      </c>
      <c r="DZ71" s="33">
        <f t="shared" ref="DZ71:DZ134" si="35">+COUNTBLANK(C71:AO71)</f>
        <v>12</v>
      </c>
      <c r="EA71" s="33">
        <f t="shared" ref="EA71:EA134" si="36">+COUNTBLANK(AS71:CE71)</f>
        <v>12</v>
      </c>
      <c r="EB71" s="33" t="str">
        <f t="shared" ref="EB71:EB134" si="37">+IF(AND(DZ71=EA71,DY71=0),"IGUAL CAMPOS PREENCH",IF(DZ71&lt;=EA71,"AUX 1 COM + CAMPOS PREENC OU IGUAL","AUX 2 COM + CAMPOS PREENC"))</f>
        <v>IGUAL CAMPOS PREENCH</v>
      </c>
      <c r="EC71" s="33" t="s">
        <v>10035</v>
      </c>
    </row>
    <row r="72" spans="2:133" x14ac:dyDescent="0.25">
      <c r="B72" s="33" t="s">
        <v>9258</v>
      </c>
      <c r="C72" s="33" t="s">
        <v>116</v>
      </c>
      <c r="D72" s="33" t="s">
        <v>8486</v>
      </c>
      <c r="E72" s="33" t="s">
        <v>8487</v>
      </c>
      <c r="F72" s="33" t="s">
        <v>8488</v>
      </c>
      <c r="G72" s="33" t="s">
        <v>8487</v>
      </c>
      <c r="H72" s="33" t="s">
        <v>9259</v>
      </c>
      <c r="I72" s="33" t="s">
        <v>9260</v>
      </c>
      <c r="J72" s="33" t="s">
        <v>8487</v>
      </c>
      <c r="K72" s="33" t="s">
        <v>8570</v>
      </c>
      <c r="L72" s="33" t="s">
        <v>8571</v>
      </c>
      <c r="M72" s="33" t="s">
        <v>9261</v>
      </c>
      <c r="N72" s="33" t="s">
        <v>9262</v>
      </c>
      <c r="O72" s="33"/>
      <c r="P72" s="33"/>
      <c r="Q72" s="33" t="s">
        <v>8571</v>
      </c>
      <c r="R72" s="33"/>
      <c r="S72" s="33"/>
      <c r="T72" s="33"/>
      <c r="U72" s="33" t="s">
        <v>8744</v>
      </c>
      <c r="V72" s="33" t="s">
        <v>8743</v>
      </c>
      <c r="W72" s="33" t="s">
        <v>9263</v>
      </c>
      <c r="X72" s="33"/>
      <c r="Y72" s="33" t="s">
        <v>8500</v>
      </c>
      <c r="Z72" s="33" t="s">
        <v>8500</v>
      </c>
      <c r="AA72" s="33" t="s">
        <v>8500</v>
      </c>
      <c r="AB72" s="33" t="s">
        <v>8500</v>
      </c>
      <c r="AC72" s="33"/>
      <c r="AD72" s="33"/>
      <c r="AE72" s="33"/>
      <c r="AF72" s="33" t="s">
        <v>9264</v>
      </c>
      <c r="AG72" s="33"/>
      <c r="AH72" s="33" t="s">
        <v>8505</v>
      </c>
      <c r="AI72" s="33"/>
      <c r="AJ72" s="33"/>
      <c r="AK72" s="33"/>
      <c r="AL72" s="33" t="s">
        <v>8508</v>
      </c>
      <c r="AM72" s="33" t="s">
        <v>8577</v>
      </c>
      <c r="AN72" s="33" t="s">
        <v>9265</v>
      </c>
      <c r="AO72" s="33" t="s">
        <v>9266</v>
      </c>
      <c r="AP72" s="33">
        <v>1</v>
      </c>
      <c r="AQ72" s="5" t="s">
        <v>10037</v>
      </c>
      <c r="AR72" s="33"/>
      <c r="AS72" s="33" t="s">
        <v>116</v>
      </c>
      <c r="AT72" s="33" t="s">
        <v>8486</v>
      </c>
      <c r="AU72" s="33" t="s">
        <v>8487</v>
      </c>
      <c r="AV72" s="33" t="s">
        <v>8488</v>
      </c>
      <c r="AW72" s="33" t="s">
        <v>8487</v>
      </c>
      <c r="AX72" s="33" t="s">
        <v>9259</v>
      </c>
      <c r="AY72" s="33" t="s">
        <v>9260</v>
      </c>
      <c r="AZ72" s="33" t="s">
        <v>8487</v>
      </c>
      <c r="BA72" s="33" t="s">
        <v>8570</v>
      </c>
      <c r="BB72" s="33" t="s">
        <v>8571</v>
      </c>
      <c r="BC72" s="33" t="s">
        <v>9261</v>
      </c>
      <c r="BD72" s="33" t="s">
        <v>9262</v>
      </c>
      <c r="BE72" s="33"/>
      <c r="BF72" s="33"/>
      <c r="BG72" s="33" t="s">
        <v>8571</v>
      </c>
      <c r="BH72" s="33"/>
      <c r="BI72" s="33"/>
      <c r="BJ72" s="33"/>
      <c r="BK72" s="33" t="s">
        <v>8744</v>
      </c>
      <c r="BL72" s="33" t="s">
        <v>8743</v>
      </c>
      <c r="BM72" s="33" t="s">
        <v>9263</v>
      </c>
      <c r="BN72" s="33"/>
      <c r="BO72" s="33" t="s">
        <v>8500</v>
      </c>
      <c r="BP72" s="33" t="s">
        <v>8500</v>
      </c>
      <c r="BQ72" s="33" t="s">
        <v>8500</v>
      </c>
      <c r="BR72" s="33" t="s">
        <v>8500</v>
      </c>
      <c r="BS72" s="33"/>
      <c r="BT72" s="33"/>
      <c r="BU72" s="33"/>
      <c r="BV72" s="33" t="s">
        <v>9264</v>
      </c>
      <c r="BW72" s="33"/>
      <c r="BX72" s="33" t="s">
        <v>8505</v>
      </c>
      <c r="BY72" s="33"/>
      <c r="BZ72" s="33"/>
      <c r="CA72" s="33"/>
      <c r="CB72" s="33" t="s">
        <v>8508</v>
      </c>
      <c r="CC72" s="33" t="s">
        <v>8577</v>
      </c>
      <c r="CD72" s="33" t="s">
        <v>9265</v>
      </c>
      <c r="CE72" s="33" t="s">
        <v>9266</v>
      </c>
      <c r="CF72" s="33">
        <v>2</v>
      </c>
      <c r="CG72" s="5" t="s">
        <v>10037</v>
      </c>
      <c r="CH72" s="33">
        <f t="shared" si="27"/>
        <v>0</v>
      </c>
      <c r="CI72" s="33">
        <f t="shared" si="27"/>
        <v>0</v>
      </c>
      <c r="CJ72" s="33">
        <f t="shared" si="27"/>
        <v>0</v>
      </c>
      <c r="CK72" s="33">
        <f t="shared" si="27"/>
        <v>0</v>
      </c>
      <c r="CL72" s="33">
        <f t="shared" si="27"/>
        <v>0</v>
      </c>
      <c r="CM72" s="33">
        <f t="shared" si="27"/>
        <v>0</v>
      </c>
      <c r="CN72" s="33">
        <f t="shared" si="27"/>
        <v>0</v>
      </c>
      <c r="CO72" s="33">
        <f t="shared" si="27"/>
        <v>0</v>
      </c>
      <c r="CP72" s="33">
        <f t="shared" si="27"/>
        <v>0</v>
      </c>
      <c r="CQ72" s="33">
        <f t="shared" si="27"/>
        <v>0</v>
      </c>
      <c r="CR72" s="33">
        <f t="shared" si="27"/>
        <v>0</v>
      </c>
      <c r="CS72" s="33">
        <f t="shared" si="27"/>
        <v>0</v>
      </c>
      <c r="CT72" s="33">
        <f t="shared" si="27"/>
        <v>0</v>
      </c>
      <c r="CU72" s="33">
        <f t="shared" si="27"/>
        <v>0</v>
      </c>
      <c r="CV72" s="33">
        <f t="shared" si="27"/>
        <v>0</v>
      </c>
      <c r="CW72" s="33">
        <f t="shared" si="23"/>
        <v>0</v>
      </c>
      <c r="CX72" s="33">
        <f t="shared" si="23"/>
        <v>0</v>
      </c>
      <c r="CY72" s="33">
        <f t="shared" si="23"/>
        <v>0</v>
      </c>
      <c r="CZ72" s="33">
        <f t="shared" si="23"/>
        <v>0</v>
      </c>
      <c r="DA72" s="33">
        <f t="shared" si="25"/>
        <v>0</v>
      </c>
      <c r="DB72" s="33">
        <f t="shared" si="25"/>
        <v>0</v>
      </c>
      <c r="DC72" s="33">
        <f t="shared" si="25"/>
        <v>0</v>
      </c>
      <c r="DD72" s="33">
        <f t="shared" si="25"/>
        <v>0</v>
      </c>
      <c r="DE72" s="33">
        <f t="shared" si="25"/>
        <v>0</v>
      </c>
      <c r="DF72" s="33">
        <f t="shared" si="25"/>
        <v>0</v>
      </c>
      <c r="DG72" s="33">
        <f t="shared" si="25"/>
        <v>0</v>
      </c>
      <c r="DH72" s="33">
        <f t="shared" si="25"/>
        <v>0</v>
      </c>
      <c r="DI72" s="33">
        <f t="shared" si="25"/>
        <v>0</v>
      </c>
      <c r="DJ72" s="33">
        <f t="shared" si="25"/>
        <v>0</v>
      </c>
      <c r="DK72" s="33">
        <f t="shared" si="25"/>
        <v>0</v>
      </c>
      <c r="DL72" s="33">
        <f t="shared" si="21"/>
        <v>0</v>
      </c>
      <c r="DM72" s="33">
        <f t="shared" si="21"/>
        <v>0</v>
      </c>
      <c r="DN72" s="33">
        <f t="shared" si="19"/>
        <v>0</v>
      </c>
      <c r="DO72" s="33">
        <f t="shared" si="19"/>
        <v>0</v>
      </c>
      <c r="DP72" s="50">
        <f t="shared" si="30"/>
        <v>0</v>
      </c>
      <c r="DQ72" s="50">
        <f t="shared" si="31"/>
        <v>0</v>
      </c>
      <c r="DR72" s="33">
        <f t="shared" si="28"/>
        <v>0</v>
      </c>
      <c r="DS72" s="50">
        <f t="shared" si="32"/>
        <v>0</v>
      </c>
      <c r="DT72" s="50">
        <f t="shared" si="33"/>
        <v>0</v>
      </c>
      <c r="DU72" s="33">
        <f t="shared" si="29"/>
        <v>0</v>
      </c>
      <c r="DV72" s="33">
        <f t="shared" si="29"/>
        <v>0</v>
      </c>
      <c r="DW72" s="33">
        <f t="shared" si="29"/>
        <v>0</v>
      </c>
      <c r="DX72" s="33">
        <f t="shared" si="26"/>
        <v>0</v>
      </c>
      <c r="DY72" s="35">
        <f t="shared" si="34"/>
        <v>0</v>
      </c>
      <c r="DZ72" s="33">
        <f t="shared" si="35"/>
        <v>13</v>
      </c>
      <c r="EA72" s="33">
        <f t="shared" si="36"/>
        <v>13</v>
      </c>
      <c r="EB72" s="33" t="str">
        <f t="shared" si="37"/>
        <v>IGUAL CAMPOS PREENCH</v>
      </c>
      <c r="EC72" s="33" t="s">
        <v>10035</v>
      </c>
    </row>
    <row r="73" spans="2:133" x14ac:dyDescent="0.25">
      <c r="B73" s="33"/>
      <c r="C73" s="33" t="s">
        <v>144</v>
      </c>
      <c r="D73" s="33" t="s">
        <v>8565</v>
      </c>
      <c r="E73" s="33" t="s">
        <v>8566</v>
      </c>
      <c r="F73" s="33" t="s">
        <v>8567</v>
      </c>
      <c r="G73" s="33" t="s">
        <v>8566</v>
      </c>
      <c r="H73" s="33" t="s">
        <v>9267</v>
      </c>
      <c r="I73" s="33" t="s">
        <v>9268</v>
      </c>
      <c r="J73" s="33" t="s">
        <v>8566</v>
      </c>
      <c r="K73" s="33" t="s">
        <v>8570</v>
      </c>
      <c r="L73" s="33" t="s">
        <v>8571</v>
      </c>
      <c r="M73" s="33" t="s">
        <v>9269</v>
      </c>
      <c r="N73" s="33" t="s">
        <v>9270</v>
      </c>
      <c r="O73" s="33"/>
      <c r="P73" s="33"/>
      <c r="Q73" s="33" t="s">
        <v>8571</v>
      </c>
      <c r="R73" s="33" t="s">
        <v>9271</v>
      </c>
      <c r="S73" s="33"/>
      <c r="T73" s="33"/>
      <c r="U73" s="33" t="s">
        <v>8573</v>
      </c>
      <c r="V73" s="33" t="s">
        <v>9272</v>
      </c>
      <c r="W73" s="33" t="s">
        <v>9167</v>
      </c>
      <c r="X73" s="33" t="s">
        <v>9273</v>
      </c>
      <c r="Y73" s="33" t="s">
        <v>8500</v>
      </c>
      <c r="Z73" s="33" t="s">
        <v>8500</v>
      </c>
      <c r="AA73" s="33" t="s">
        <v>8500</v>
      </c>
      <c r="AB73" s="33" t="s">
        <v>8525</v>
      </c>
      <c r="AC73" s="33"/>
      <c r="AD73" s="33"/>
      <c r="AE73" s="33"/>
      <c r="AF73" s="33"/>
      <c r="AG73" s="33"/>
      <c r="AH73" s="33" t="s">
        <v>8606</v>
      </c>
      <c r="AI73" s="33"/>
      <c r="AJ73" s="33"/>
      <c r="AK73" s="33"/>
      <c r="AL73" s="33" t="s">
        <v>8507</v>
      </c>
      <c r="AM73" s="33" t="s">
        <v>8506</v>
      </c>
      <c r="AN73" s="33" t="s">
        <v>9274</v>
      </c>
      <c r="AO73" s="33" t="s">
        <v>9275</v>
      </c>
      <c r="AP73" s="33">
        <v>1</v>
      </c>
      <c r="AQ73" s="5" t="s">
        <v>10037</v>
      </c>
      <c r="AR73" s="33" t="s">
        <v>9276</v>
      </c>
      <c r="AS73" s="33" t="s">
        <v>144</v>
      </c>
      <c r="AT73" s="33" t="s">
        <v>8565</v>
      </c>
      <c r="AU73" s="33" t="s">
        <v>8566</v>
      </c>
      <c r="AV73" s="33" t="s">
        <v>8567</v>
      </c>
      <c r="AW73" s="33" t="s">
        <v>8566</v>
      </c>
      <c r="AX73" s="33" t="s">
        <v>9267</v>
      </c>
      <c r="AY73" s="33" t="s">
        <v>9268</v>
      </c>
      <c r="AZ73" s="33" t="s">
        <v>8566</v>
      </c>
      <c r="BA73" s="33" t="s">
        <v>8570</v>
      </c>
      <c r="BB73" s="33" t="s">
        <v>8571</v>
      </c>
      <c r="BC73" s="33" t="s">
        <v>9269</v>
      </c>
      <c r="BD73" s="33" t="s">
        <v>9270</v>
      </c>
      <c r="BE73" s="33"/>
      <c r="BF73" s="33"/>
      <c r="BG73" s="33" t="s">
        <v>8571</v>
      </c>
      <c r="BH73" s="33" t="s">
        <v>9271</v>
      </c>
      <c r="BI73" s="33"/>
      <c r="BJ73" s="33"/>
      <c r="BK73" s="33" t="s">
        <v>8573</v>
      </c>
      <c r="BL73" s="33" t="s">
        <v>9272</v>
      </c>
      <c r="BM73" s="33" t="s">
        <v>9167</v>
      </c>
      <c r="BN73" s="33" t="s">
        <v>9273</v>
      </c>
      <c r="BO73" s="33" t="s">
        <v>8500</v>
      </c>
      <c r="BP73" s="33" t="s">
        <v>8500</v>
      </c>
      <c r="BQ73" s="33" t="s">
        <v>8500</v>
      </c>
      <c r="BR73" s="33" t="s">
        <v>8525</v>
      </c>
      <c r="BS73" s="33"/>
      <c r="BT73" s="33"/>
      <c r="BU73" s="33"/>
      <c r="BV73" s="33"/>
      <c r="BW73" s="33"/>
      <c r="BX73" s="33" t="s">
        <v>8606</v>
      </c>
      <c r="BY73" s="33"/>
      <c r="BZ73" s="33"/>
      <c r="CA73" s="33"/>
      <c r="CB73" s="33" t="s">
        <v>8507</v>
      </c>
      <c r="CC73" s="33" t="s">
        <v>8506</v>
      </c>
      <c r="CD73" s="33" t="s">
        <v>9274</v>
      </c>
      <c r="CE73" s="33" t="s">
        <v>9275</v>
      </c>
      <c r="CF73" s="33">
        <v>2</v>
      </c>
      <c r="CG73" s="5" t="s">
        <v>10037</v>
      </c>
      <c r="CH73" s="33">
        <f t="shared" si="27"/>
        <v>0</v>
      </c>
      <c r="CI73" s="33">
        <f t="shared" si="27"/>
        <v>0</v>
      </c>
      <c r="CJ73" s="33">
        <f t="shared" si="27"/>
        <v>0</v>
      </c>
      <c r="CK73" s="33">
        <f t="shared" si="27"/>
        <v>0</v>
      </c>
      <c r="CL73" s="33">
        <f t="shared" si="27"/>
        <v>0</v>
      </c>
      <c r="CM73" s="33">
        <f t="shared" si="27"/>
        <v>0</v>
      </c>
      <c r="CN73" s="33">
        <f t="shared" si="27"/>
        <v>0</v>
      </c>
      <c r="CO73" s="33">
        <f t="shared" si="27"/>
        <v>0</v>
      </c>
      <c r="CP73" s="33">
        <f t="shared" si="27"/>
        <v>0</v>
      </c>
      <c r="CQ73" s="33">
        <f t="shared" si="27"/>
        <v>0</v>
      </c>
      <c r="CR73" s="33">
        <f t="shared" si="27"/>
        <v>0</v>
      </c>
      <c r="CS73" s="33">
        <f t="shared" si="27"/>
        <v>0</v>
      </c>
      <c r="CT73" s="33">
        <f t="shared" si="27"/>
        <v>0</v>
      </c>
      <c r="CU73" s="33">
        <f t="shared" si="27"/>
        <v>0</v>
      </c>
      <c r="CV73" s="33">
        <f t="shared" si="27"/>
        <v>0</v>
      </c>
      <c r="CW73" s="33">
        <f t="shared" si="23"/>
        <v>0</v>
      </c>
      <c r="CX73" s="33">
        <f t="shared" si="23"/>
        <v>0</v>
      </c>
      <c r="CY73" s="33">
        <f t="shared" si="23"/>
        <v>0</v>
      </c>
      <c r="CZ73" s="33">
        <f t="shared" si="23"/>
        <v>0</v>
      </c>
      <c r="DA73" s="33">
        <f t="shared" si="25"/>
        <v>0</v>
      </c>
      <c r="DB73" s="33">
        <f t="shared" si="25"/>
        <v>0</v>
      </c>
      <c r="DC73" s="33">
        <f t="shared" si="25"/>
        <v>0</v>
      </c>
      <c r="DD73" s="33">
        <f t="shared" si="25"/>
        <v>0</v>
      </c>
      <c r="DE73" s="33">
        <f t="shared" si="25"/>
        <v>0</v>
      </c>
      <c r="DF73" s="33">
        <f t="shared" si="25"/>
        <v>0</v>
      </c>
      <c r="DG73" s="33">
        <f t="shared" si="25"/>
        <v>0</v>
      </c>
      <c r="DH73" s="33">
        <f t="shared" si="25"/>
        <v>0</v>
      </c>
      <c r="DI73" s="33">
        <f t="shared" si="25"/>
        <v>0</v>
      </c>
      <c r="DJ73" s="33">
        <f t="shared" si="25"/>
        <v>0</v>
      </c>
      <c r="DK73" s="33">
        <f t="shared" si="25"/>
        <v>0</v>
      </c>
      <c r="DL73" s="33">
        <f t="shared" si="21"/>
        <v>0</v>
      </c>
      <c r="DM73" s="33">
        <f t="shared" si="21"/>
        <v>0</v>
      </c>
      <c r="DN73" s="33">
        <f t="shared" si="19"/>
        <v>0</v>
      </c>
      <c r="DO73" s="33">
        <f t="shared" si="19"/>
        <v>0</v>
      </c>
      <c r="DP73" s="50">
        <f t="shared" si="30"/>
        <v>0</v>
      </c>
      <c r="DQ73" s="50">
        <f t="shared" si="31"/>
        <v>0</v>
      </c>
      <c r="DR73" s="33">
        <f t="shared" si="28"/>
        <v>0</v>
      </c>
      <c r="DS73" s="50">
        <f t="shared" si="32"/>
        <v>0</v>
      </c>
      <c r="DT73" s="50">
        <f t="shared" si="33"/>
        <v>0</v>
      </c>
      <c r="DU73" s="33">
        <f t="shared" si="29"/>
        <v>0</v>
      </c>
      <c r="DV73" s="33">
        <f t="shared" si="29"/>
        <v>0</v>
      </c>
      <c r="DW73" s="33">
        <f t="shared" si="29"/>
        <v>0</v>
      </c>
      <c r="DX73" s="33">
        <f t="shared" si="26"/>
        <v>0</v>
      </c>
      <c r="DY73" s="35">
        <f t="shared" si="34"/>
        <v>0</v>
      </c>
      <c r="DZ73" s="33">
        <f t="shared" si="35"/>
        <v>12</v>
      </c>
      <c r="EA73" s="33">
        <f t="shared" si="36"/>
        <v>12</v>
      </c>
      <c r="EB73" s="33" t="str">
        <f t="shared" si="37"/>
        <v>IGUAL CAMPOS PREENCH</v>
      </c>
      <c r="EC73" s="33" t="s">
        <v>10035</v>
      </c>
    </row>
    <row r="74" spans="2:133" x14ac:dyDescent="0.25">
      <c r="B74" s="33"/>
      <c r="C74" s="33" t="s">
        <v>151</v>
      </c>
      <c r="D74" s="33" t="s">
        <v>8904</v>
      </c>
      <c r="E74" s="33" t="s">
        <v>8905</v>
      </c>
      <c r="F74" s="33" t="s">
        <v>9277</v>
      </c>
      <c r="G74" s="33" t="s">
        <v>9278</v>
      </c>
      <c r="H74" s="33" t="s">
        <v>9279</v>
      </c>
      <c r="I74" s="33" t="s">
        <v>9280</v>
      </c>
      <c r="J74" s="33" t="s">
        <v>9280</v>
      </c>
      <c r="K74" s="33" t="s">
        <v>9069</v>
      </c>
      <c r="L74" s="33" t="s">
        <v>9070</v>
      </c>
      <c r="M74" s="33" t="s">
        <v>9281</v>
      </c>
      <c r="N74" s="33" t="s">
        <v>8525</v>
      </c>
      <c r="O74" s="33" t="s">
        <v>8525</v>
      </c>
      <c r="P74" s="33"/>
      <c r="Q74" s="33" t="s">
        <v>9070</v>
      </c>
      <c r="R74" s="33" t="s">
        <v>9282</v>
      </c>
      <c r="S74" s="33"/>
      <c r="T74" s="33"/>
      <c r="U74" s="33" t="s">
        <v>9283</v>
      </c>
      <c r="V74" s="33" t="s">
        <v>9284</v>
      </c>
      <c r="W74" s="33" t="s">
        <v>9285</v>
      </c>
      <c r="X74" s="33" t="s">
        <v>9286</v>
      </c>
      <c r="Y74" s="33" t="s">
        <v>8500</v>
      </c>
      <c r="Z74" s="33" t="s">
        <v>8500</v>
      </c>
      <c r="AA74" s="33" t="s">
        <v>8500</v>
      </c>
      <c r="AB74" s="33" t="s">
        <v>8525</v>
      </c>
      <c r="AC74" s="33"/>
      <c r="AD74" s="33"/>
      <c r="AE74" s="33"/>
      <c r="AF74" s="33"/>
      <c r="AG74" s="33"/>
      <c r="AH74" s="33" t="s">
        <v>8606</v>
      </c>
      <c r="AI74" s="33"/>
      <c r="AJ74" s="33"/>
      <c r="AK74" s="33"/>
      <c r="AL74" s="33" t="s">
        <v>8507</v>
      </c>
      <c r="AM74" s="33" t="s">
        <v>8506</v>
      </c>
      <c r="AN74" s="33" t="s">
        <v>9287</v>
      </c>
      <c r="AO74" s="33" t="s">
        <v>9288</v>
      </c>
      <c r="AP74" s="33">
        <v>1</v>
      </c>
      <c r="AQ74" s="5" t="s">
        <v>10037</v>
      </c>
      <c r="AR74" s="33" t="s">
        <v>9289</v>
      </c>
      <c r="AS74" s="33" t="s">
        <v>151</v>
      </c>
      <c r="AT74" s="33" t="s">
        <v>8904</v>
      </c>
      <c r="AU74" s="33" t="s">
        <v>8905</v>
      </c>
      <c r="AV74" s="33" t="s">
        <v>9277</v>
      </c>
      <c r="AW74" s="33" t="s">
        <v>9278</v>
      </c>
      <c r="AX74" s="33" t="s">
        <v>9279</v>
      </c>
      <c r="AY74" s="33" t="s">
        <v>9280</v>
      </c>
      <c r="AZ74" s="33" t="s">
        <v>9280</v>
      </c>
      <c r="BA74" s="33" t="s">
        <v>9069</v>
      </c>
      <c r="BB74" s="33" t="s">
        <v>9070</v>
      </c>
      <c r="BC74" s="33" t="s">
        <v>9281</v>
      </c>
      <c r="BD74" s="33" t="s">
        <v>8525</v>
      </c>
      <c r="BE74" s="33" t="s">
        <v>8525</v>
      </c>
      <c r="BF74" s="33"/>
      <c r="BG74" s="33" t="s">
        <v>9070</v>
      </c>
      <c r="BH74" s="33" t="s">
        <v>9282</v>
      </c>
      <c r="BI74" s="33"/>
      <c r="BJ74" s="33"/>
      <c r="BK74" s="33" t="s">
        <v>9283</v>
      </c>
      <c r="BL74" s="33" t="s">
        <v>9284</v>
      </c>
      <c r="BM74" s="33" t="s">
        <v>9285</v>
      </c>
      <c r="BN74" s="33" t="s">
        <v>9286</v>
      </c>
      <c r="BO74" s="33" t="s">
        <v>8500</v>
      </c>
      <c r="BP74" s="33" t="s">
        <v>8500</v>
      </c>
      <c r="BQ74" s="33" t="s">
        <v>8500</v>
      </c>
      <c r="BR74" s="33" t="s">
        <v>8525</v>
      </c>
      <c r="BS74" s="33"/>
      <c r="BT74" s="33"/>
      <c r="BU74" s="33"/>
      <c r="BV74" s="33"/>
      <c r="BW74" s="33"/>
      <c r="BX74" s="33" t="s">
        <v>8606</v>
      </c>
      <c r="BY74" s="33"/>
      <c r="BZ74" s="33"/>
      <c r="CA74" s="33"/>
      <c r="CB74" s="33" t="s">
        <v>8507</v>
      </c>
      <c r="CC74" s="33" t="s">
        <v>8506</v>
      </c>
      <c r="CD74" s="33" t="s">
        <v>9287</v>
      </c>
      <c r="CE74" s="33" t="s">
        <v>9288</v>
      </c>
      <c r="CF74" s="33">
        <v>2</v>
      </c>
      <c r="CG74" s="5" t="s">
        <v>10037</v>
      </c>
      <c r="CH74" s="33">
        <f t="shared" si="27"/>
        <v>0</v>
      </c>
      <c r="CI74" s="33">
        <f t="shared" si="27"/>
        <v>0</v>
      </c>
      <c r="CJ74" s="33">
        <f t="shared" si="27"/>
        <v>0</v>
      </c>
      <c r="CK74" s="33">
        <f t="shared" si="27"/>
        <v>0</v>
      </c>
      <c r="CL74" s="33">
        <f t="shared" si="27"/>
        <v>0</v>
      </c>
      <c r="CM74" s="33">
        <f t="shared" si="27"/>
        <v>0</v>
      </c>
      <c r="CN74" s="33">
        <f t="shared" si="27"/>
        <v>0</v>
      </c>
      <c r="CO74" s="33">
        <f t="shared" si="27"/>
        <v>0</v>
      </c>
      <c r="CP74" s="33">
        <f t="shared" si="27"/>
        <v>0</v>
      </c>
      <c r="CQ74" s="33">
        <f t="shared" si="27"/>
        <v>0</v>
      </c>
      <c r="CR74" s="33">
        <f t="shared" si="27"/>
        <v>0</v>
      </c>
      <c r="CS74" s="33">
        <f t="shared" si="27"/>
        <v>0</v>
      </c>
      <c r="CT74" s="33">
        <f t="shared" si="27"/>
        <v>0</v>
      </c>
      <c r="CU74" s="33">
        <f t="shared" si="27"/>
        <v>0</v>
      </c>
      <c r="CV74" s="33">
        <f t="shared" si="27"/>
        <v>0</v>
      </c>
      <c r="CW74" s="33">
        <f t="shared" si="23"/>
        <v>0</v>
      </c>
      <c r="CX74" s="33">
        <f t="shared" si="23"/>
        <v>0</v>
      </c>
      <c r="CY74" s="33">
        <f t="shared" si="23"/>
        <v>0</v>
      </c>
      <c r="CZ74" s="33">
        <f t="shared" si="23"/>
        <v>0</v>
      </c>
      <c r="DA74" s="33">
        <f t="shared" si="25"/>
        <v>0</v>
      </c>
      <c r="DB74" s="33">
        <f t="shared" si="25"/>
        <v>0</v>
      </c>
      <c r="DC74" s="33">
        <f t="shared" si="25"/>
        <v>0</v>
      </c>
      <c r="DD74" s="33">
        <f t="shared" si="25"/>
        <v>0</v>
      </c>
      <c r="DE74" s="33">
        <f t="shared" si="25"/>
        <v>0</v>
      </c>
      <c r="DF74" s="33">
        <f t="shared" si="25"/>
        <v>0</v>
      </c>
      <c r="DG74" s="33">
        <f t="shared" si="25"/>
        <v>0</v>
      </c>
      <c r="DH74" s="33">
        <f t="shared" si="25"/>
        <v>0</v>
      </c>
      <c r="DI74" s="33">
        <f t="shared" si="25"/>
        <v>0</v>
      </c>
      <c r="DJ74" s="33">
        <f t="shared" si="25"/>
        <v>0</v>
      </c>
      <c r="DK74" s="33">
        <f t="shared" si="25"/>
        <v>0</v>
      </c>
      <c r="DL74" s="33">
        <f t="shared" si="21"/>
        <v>0</v>
      </c>
      <c r="DM74" s="33">
        <f t="shared" si="21"/>
        <v>0</v>
      </c>
      <c r="DN74" s="33">
        <f t="shared" si="19"/>
        <v>0</v>
      </c>
      <c r="DO74" s="33">
        <f t="shared" si="19"/>
        <v>0</v>
      </c>
      <c r="DP74" s="50">
        <f t="shared" si="30"/>
        <v>0</v>
      </c>
      <c r="DQ74" s="50">
        <f t="shared" si="31"/>
        <v>0</v>
      </c>
      <c r="DR74" s="33">
        <f t="shared" si="28"/>
        <v>0</v>
      </c>
      <c r="DS74" s="50">
        <f t="shared" si="32"/>
        <v>0</v>
      </c>
      <c r="DT74" s="50">
        <f t="shared" si="33"/>
        <v>0</v>
      </c>
      <c r="DU74" s="33">
        <f t="shared" si="29"/>
        <v>0</v>
      </c>
      <c r="DV74" s="33">
        <f t="shared" si="29"/>
        <v>0</v>
      </c>
      <c r="DW74" s="33">
        <f t="shared" si="29"/>
        <v>0</v>
      </c>
      <c r="DX74" s="33">
        <f t="shared" si="26"/>
        <v>0</v>
      </c>
      <c r="DY74" s="35">
        <f t="shared" si="34"/>
        <v>0</v>
      </c>
      <c r="DZ74" s="33">
        <f t="shared" si="35"/>
        <v>11</v>
      </c>
      <c r="EA74" s="33">
        <f t="shared" si="36"/>
        <v>11</v>
      </c>
      <c r="EB74" s="33" t="str">
        <f t="shared" si="37"/>
        <v>IGUAL CAMPOS PREENCH</v>
      </c>
      <c r="EC74" s="33" t="s">
        <v>10035</v>
      </c>
    </row>
    <row r="75" spans="2:133" x14ac:dyDescent="0.25">
      <c r="B75" s="33" t="s">
        <v>9290</v>
      </c>
      <c r="C75" s="33" t="s">
        <v>92</v>
      </c>
      <c r="D75" s="33" t="s">
        <v>8788</v>
      </c>
      <c r="E75" s="33" t="s">
        <v>8789</v>
      </c>
      <c r="F75" s="33" t="s">
        <v>9291</v>
      </c>
      <c r="G75" s="33" t="s">
        <v>9292</v>
      </c>
      <c r="H75" s="33" t="s">
        <v>9293</v>
      </c>
      <c r="I75" s="33" t="s">
        <v>9294</v>
      </c>
      <c r="J75" s="33" t="s">
        <v>9295</v>
      </c>
      <c r="K75" s="33" t="s">
        <v>8570</v>
      </c>
      <c r="L75" s="33" t="s">
        <v>8571</v>
      </c>
      <c r="M75" s="33" t="s">
        <v>9296</v>
      </c>
      <c r="N75" s="33" t="s">
        <v>9297</v>
      </c>
      <c r="O75" s="33"/>
      <c r="P75" s="33"/>
      <c r="Q75" s="33" t="s">
        <v>8571</v>
      </c>
      <c r="R75" s="33"/>
      <c r="S75" s="33"/>
      <c r="T75" s="33"/>
      <c r="U75" s="33" t="s">
        <v>9298</v>
      </c>
      <c r="V75" s="33" t="s">
        <v>9299</v>
      </c>
      <c r="W75" s="33" t="s">
        <v>9300</v>
      </c>
      <c r="X75" s="33"/>
      <c r="Y75" s="33" t="s">
        <v>8500</v>
      </c>
      <c r="Z75" s="33" t="s">
        <v>8500</v>
      </c>
      <c r="AA75" s="33" t="s">
        <v>8500</v>
      </c>
      <c r="AB75" s="33" t="s">
        <v>8500</v>
      </c>
      <c r="AC75" s="33"/>
      <c r="AD75" s="33"/>
      <c r="AE75" s="33"/>
      <c r="AF75" s="33" t="s">
        <v>9301</v>
      </c>
      <c r="AG75" s="33"/>
      <c r="AH75" s="33" t="s">
        <v>8505</v>
      </c>
      <c r="AI75" s="33"/>
      <c r="AJ75" s="33" t="s">
        <v>8564</v>
      </c>
      <c r="AK75" s="33" t="s">
        <v>8528</v>
      </c>
      <c r="AL75" s="33" t="s">
        <v>8528</v>
      </c>
      <c r="AM75" s="33" t="s">
        <v>8640</v>
      </c>
      <c r="AN75" s="33" t="s">
        <v>9302</v>
      </c>
      <c r="AO75" s="33" t="s">
        <v>9303</v>
      </c>
      <c r="AP75" s="33">
        <v>1</v>
      </c>
      <c r="AQ75" s="5" t="s">
        <v>10037</v>
      </c>
      <c r="AR75" s="33"/>
      <c r="AS75" s="33" t="s">
        <v>92</v>
      </c>
      <c r="AT75" s="33" t="s">
        <v>8788</v>
      </c>
      <c r="AU75" s="33" t="s">
        <v>8789</v>
      </c>
      <c r="AV75" s="33" t="s">
        <v>9291</v>
      </c>
      <c r="AW75" s="33" t="s">
        <v>9292</v>
      </c>
      <c r="AX75" s="33" t="s">
        <v>9293</v>
      </c>
      <c r="AY75" s="33" t="s">
        <v>9294</v>
      </c>
      <c r="AZ75" s="33" t="s">
        <v>9295</v>
      </c>
      <c r="BA75" s="33" t="s">
        <v>8570</v>
      </c>
      <c r="BB75" s="33" t="s">
        <v>8571</v>
      </c>
      <c r="BC75" s="33" t="s">
        <v>9296</v>
      </c>
      <c r="BD75" s="33" t="s">
        <v>9297</v>
      </c>
      <c r="BE75" s="33"/>
      <c r="BF75" s="33"/>
      <c r="BG75" s="33" t="s">
        <v>8571</v>
      </c>
      <c r="BH75" s="33"/>
      <c r="BI75" s="33"/>
      <c r="BJ75" s="33"/>
      <c r="BK75" s="33" t="s">
        <v>9298</v>
      </c>
      <c r="BL75" s="33" t="s">
        <v>9299</v>
      </c>
      <c r="BM75" s="33" t="s">
        <v>9300</v>
      </c>
      <c r="BN75" s="33"/>
      <c r="BO75" s="33" t="s">
        <v>8500</v>
      </c>
      <c r="BP75" s="33" t="s">
        <v>8500</v>
      </c>
      <c r="BQ75" s="33" t="s">
        <v>8500</v>
      </c>
      <c r="BR75" s="33" t="s">
        <v>8500</v>
      </c>
      <c r="BS75" s="33"/>
      <c r="BT75" s="33"/>
      <c r="BU75" s="33"/>
      <c r="BV75" s="33" t="s">
        <v>9301</v>
      </c>
      <c r="BW75" s="33"/>
      <c r="BX75" s="33" t="s">
        <v>8505</v>
      </c>
      <c r="BY75" s="33"/>
      <c r="BZ75" s="33" t="s">
        <v>8564</v>
      </c>
      <c r="CA75" s="33" t="s">
        <v>8528</v>
      </c>
      <c r="CB75" s="33" t="s">
        <v>8528</v>
      </c>
      <c r="CC75" s="33" t="s">
        <v>8640</v>
      </c>
      <c r="CD75" s="33" t="s">
        <v>9302</v>
      </c>
      <c r="CE75" s="33" t="s">
        <v>9303</v>
      </c>
      <c r="CF75" s="33">
        <v>2</v>
      </c>
      <c r="CG75" s="5" t="s">
        <v>10037</v>
      </c>
      <c r="CH75" s="33">
        <f t="shared" si="27"/>
        <v>0</v>
      </c>
      <c r="CI75" s="33">
        <f t="shared" si="27"/>
        <v>0</v>
      </c>
      <c r="CJ75" s="33">
        <f t="shared" si="27"/>
        <v>0</v>
      </c>
      <c r="CK75" s="33">
        <f t="shared" si="27"/>
        <v>0</v>
      </c>
      <c r="CL75" s="33">
        <f t="shared" si="27"/>
        <v>0</v>
      </c>
      <c r="CM75" s="33">
        <f t="shared" si="27"/>
        <v>0</v>
      </c>
      <c r="CN75" s="33">
        <f t="shared" si="27"/>
        <v>0</v>
      </c>
      <c r="CO75" s="33">
        <f t="shared" si="27"/>
        <v>0</v>
      </c>
      <c r="CP75" s="33">
        <f t="shared" si="27"/>
        <v>0</v>
      </c>
      <c r="CQ75" s="33">
        <f t="shared" si="27"/>
        <v>0</v>
      </c>
      <c r="CR75" s="33">
        <f t="shared" si="27"/>
        <v>0</v>
      </c>
      <c r="CS75" s="33">
        <f t="shared" si="27"/>
        <v>0</v>
      </c>
      <c r="CT75" s="33">
        <f t="shared" si="27"/>
        <v>0</v>
      </c>
      <c r="CU75" s="33">
        <f t="shared" si="27"/>
        <v>0</v>
      </c>
      <c r="CV75" s="33">
        <f t="shared" si="27"/>
        <v>0</v>
      </c>
      <c r="CW75" s="33">
        <f t="shared" si="23"/>
        <v>0</v>
      </c>
      <c r="CX75" s="33">
        <f t="shared" si="23"/>
        <v>0</v>
      </c>
      <c r="CY75" s="33">
        <f t="shared" si="23"/>
        <v>0</v>
      </c>
      <c r="CZ75" s="33">
        <f t="shared" si="23"/>
        <v>0</v>
      </c>
      <c r="DA75" s="33">
        <f t="shared" si="25"/>
        <v>0</v>
      </c>
      <c r="DB75" s="33">
        <f t="shared" si="25"/>
        <v>0</v>
      </c>
      <c r="DC75" s="33">
        <f t="shared" si="25"/>
        <v>0</v>
      </c>
      <c r="DD75" s="33">
        <f t="shared" si="25"/>
        <v>0</v>
      </c>
      <c r="DE75" s="33">
        <f t="shared" si="25"/>
        <v>0</v>
      </c>
      <c r="DF75" s="33">
        <f t="shared" si="25"/>
        <v>0</v>
      </c>
      <c r="DG75" s="33">
        <f t="shared" si="25"/>
        <v>0</v>
      </c>
      <c r="DH75" s="33">
        <f t="shared" si="25"/>
        <v>0</v>
      </c>
      <c r="DI75" s="33">
        <f t="shared" si="25"/>
        <v>0</v>
      </c>
      <c r="DJ75" s="33">
        <f t="shared" si="25"/>
        <v>0</v>
      </c>
      <c r="DK75" s="33">
        <f t="shared" si="25"/>
        <v>0</v>
      </c>
      <c r="DL75" s="33">
        <f t="shared" si="21"/>
        <v>0</v>
      </c>
      <c r="DM75" s="33">
        <f t="shared" si="21"/>
        <v>0</v>
      </c>
      <c r="DN75" s="33">
        <f t="shared" si="19"/>
        <v>0</v>
      </c>
      <c r="DO75" s="33">
        <f t="shared" si="19"/>
        <v>0</v>
      </c>
      <c r="DP75" s="50" t="str">
        <f t="shared" si="30"/>
        <v>F</v>
      </c>
      <c r="DQ75" s="50" t="str">
        <f t="shared" si="31"/>
        <v>F</v>
      </c>
      <c r="DR75" s="33">
        <f t="shared" si="28"/>
        <v>0</v>
      </c>
      <c r="DS75" s="50" t="str">
        <f t="shared" si="32"/>
        <v>5-MEDIA BAJA</v>
      </c>
      <c r="DT75" s="50" t="str">
        <f t="shared" si="33"/>
        <v>5-MEDIA BAJA</v>
      </c>
      <c r="DU75" s="33">
        <f t="shared" si="29"/>
        <v>0</v>
      </c>
      <c r="DV75" s="33">
        <f t="shared" si="29"/>
        <v>0</v>
      </c>
      <c r="DW75" s="33">
        <f t="shared" si="29"/>
        <v>0</v>
      </c>
      <c r="DX75" s="33">
        <f t="shared" si="26"/>
        <v>0</v>
      </c>
      <c r="DY75" s="35">
        <f t="shared" si="34"/>
        <v>0</v>
      </c>
      <c r="DZ75" s="33">
        <f t="shared" si="35"/>
        <v>11</v>
      </c>
      <c r="EA75" s="33">
        <f t="shared" si="36"/>
        <v>11</v>
      </c>
      <c r="EB75" s="33" t="str">
        <f t="shared" si="37"/>
        <v>IGUAL CAMPOS PREENCH</v>
      </c>
      <c r="EC75" s="33" t="s">
        <v>10035</v>
      </c>
    </row>
    <row r="76" spans="2:133" x14ac:dyDescent="0.25">
      <c r="B76" s="33" t="s">
        <v>9304</v>
      </c>
      <c r="C76" s="33" t="s">
        <v>159</v>
      </c>
      <c r="D76" s="33" t="s">
        <v>8486</v>
      </c>
      <c r="E76" s="33" t="s">
        <v>8487</v>
      </c>
      <c r="F76" s="33" t="s">
        <v>9305</v>
      </c>
      <c r="G76" s="33" t="s">
        <v>9306</v>
      </c>
      <c r="H76" s="33" t="s">
        <v>9307</v>
      </c>
      <c r="I76" s="33" t="s">
        <v>9308</v>
      </c>
      <c r="J76" s="33" t="s">
        <v>9309</v>
      </c>
      <c r="K76" s="33" t="s">
        <v>8570</v>
      </c>
      <c r="L76" s="33" t="s">
        <v>8571</v>
      </c>
      <c r="M76" s="33" t="s">
        <v>9310</v>
      </c>
      <c r="N76" s="33" t="s">
        <v>9311</v>
      </c>
      <c r="O76" s="33"/>
      <c r="P76" s="33"/>
      <c r="Q76" s="33" t="s">
        <v>8571</v>
      </c>
      <c r="R76" s="33"/>
      <c r="S76" s="33"/>
      <c r="T76" s="33"/>
      <c r="U76" s="33" t="s">
        <v>9312</v>
      </c>
      <c r="V76" s="33" t="s">
        <v>9313</v>
      </c>
      <c r="W76" s="33" t="s">
        <v>9314</v>
      </c>
      <c r="X76" s="33" t="s">
        <v>9212</v>
      </c>
      <c r="Y76" s="33" t="s">
        <v>8525</v>
      </c>
      <c r="Z76" s="33" t="s">
        <v>8500</v>
      </c>
      <c r="AA76" s="33" t="s">
        <v>8500</v>
      </c>
      <c r="AB76" s="33" t="s">
        <v>8500</v>
      </c>
      <c r="AC76" s="33"/>
      <c r="AD76" s="33"/>
      <c r="AE76" s="33"/>
      <c r="AF76" s="33" t="s">
        <v>9315</v>
      </c>
      <c r="AG76" s="33"/>
      <c r="AH76" s="33" t="s">
        <v>8707</v>
      </c>
      <c r="AI76" s="33"/>
      <c r="AJ76" s="33"/>
      <c r="AK76" s="33"/>
      <c r="AL76" s="33" t="s">
        <v>8507</v>
      </c>
      <c r="AM76" s="33" t="s">
        <v>8545</v>
      </c>
      <c r="AN76" s="33" t="s">
        <v>9316</v>
      </c>
      <c r="AO76" s="33" t="s">
        <v>9317</v>
      </c>
      <c r="AP76" s="33">
        <v>1</v>
      </c>
      <c r="AQ76" s="5" t="s">
        <v>10037</v>
      </c>
      <c r="AR76" s="33"/>
      <c r="AS76" s="33" t="s">
        <v>159</v>
      </c>
      <c r="AT76" s="33" t="s">
        <v>8486</v>
      </c>
      <c r="AU76" s="33" t="s">
        <v>8487</v>
      </c>
      <c r="AV76" s="33" t="s">
        <v>9305</v>
      </c>
      <c r="AW76" s="33" t="s">
        <v>9306</v>
      </c>
      <c r="AX76" s="33" t="s">
        <v>9307</v>
      </c>
      <c r="AY76" s="33" t="s">
        <v>9308</v>
      </c>
      <c r="AZ76" s="33" t="s">
        <v>9309</v>
      </c>
      <c r="BA76" s="33" t="s">
        <v>8570</v>
      </c>
      <c r="BB76" s="33" t="s">
        <v>8571</v>
      </c>
      <c r="BC76" s="33" t="s">
        <v>9310</v>
      </c>
      <c r="BD76" s="33" t="s">
        <v>9311</v>
      </c>
      <c r="BE76" s="33"/>
      <c r="BF76" s="33"/>
      <c r="BG76" s="33" t="s">
        <v>8571</v>
      </c>
      <c r="BH76" s="33"/>
      <c r="BI76" s="33"/>
      <c r="BJ76" s="33"/>
      <c r="BK76" s="33" t="s">
        <v>9312</v>
      </c>
      <c r="BL76" s="33" t="s">
        <v>9313</v>
      </c>
      <c r="BM76" s="33" t="s">
        <v>9314</v>
      </c>
      <c r="BN76" s="33" t="s">
        <v>9212</v>
      </c>
      <c r="BO76" s="33" t="s">
        <v>8525</v>
      </c>
      <c r="BP76" s="33" t="s">
        <v>8500</v>
      </c>
      <c r="BQ76" s="33" t="s">
        <v>8500</v>
      </c>
      <c r="BR76" s="33" t="s">
        <v>8500</v>
      </c>
      <c r="BS76" s="33"/>
      <c r="BT76" s="33"/>
      <c r="BU76" s="33"/>
      <c r="BV76" s="33" t="s">
        <v>9315</v>
      </c>
      <c r="BW76" s="33"/>
      <c r="BX76" s="33" t="s">
        <v>8707</v>
      </c>
      <c r="BY76" s="33"/>
      <c r="BZ76" s="33"/>
      <c r="CA76" s="33"/>
      <c r="CB76" s="33" t="s">
        <v>8507</v>
      </c>
      <c r="CC76" s="33" t="s">
        <v>8545</v>
      </c>
      <c r="CD76" s="33" t="s">
        <v>9316</v>
      </c>
      <c r="CE76" s="33" t="s">
        <v>9317</v>
      </c>
      <c r="CF76" s="33">
        <v>2</v>
      </c>
      <c r="CG76" s="5" t="s">
        <v>10037</v>
      </c>
      <c r="CH76" s="33">
        <f t="shared" si="27"/>
        <v>0</v>
      </c>
      <c r="CI76" s="33">
        <f t="shared" si="27"/>
        <v>0</v>
      </c>
      <c r="CJ76" s="33">
        <f t="shared" si="27"/>
        <v>0</v>
      </c>
      <c r="CK76" s="33">
        <f t="shared" si="27"/>
        <v>0</v>
      </c>
      <c r="CL76" s="33">
        <f t="shared" si="27"/>
        <v>0</v>
      </c>
      <c r="CM76" s="33">
        <f t="shared" si="27"/>
        <v>0</v>
      </c>
      <c r="CN76" s="33">
        <f t="shared" si="27"/>
        <v>0</v>
      </c>
      <c r="CO76" s="33">
        <f t="shared" si="27"/>
        <v>0</v>
      </c>
      <c r="CP76" s="33">
        <f t="shared" si="27"/>
        <v>0</v>
      </c>
      <c r="CQ76" s="33">
        <f t="shared" si="27"/>
        <v>0</v>
      </c>
      <c r="CR76" s="33">
        <f t="shared" si="27"/>
        <v>0</v>
      </c>
      <c r="CS76" s="33">
        <f t="shared" si="27"/>
        <v>0</v>
      </c>
      <c r="CT76" s="33">
        <f t="shared" si="27"/>
        <v>0</v>
      </c>
      <c r="CU76" s="33">
        <f t="shared" si="27"/>
        <v>0</v>
      </c>
      <c r="CV76" s="33">
        <f t="shared" si="27"/>
        <v>0</v>
      </c>
      <c r="CW76" s="33">
        <f t="shared" si="23"/>
        <v>0</v>
      </c>
      <c r="CX76" s="33">
        <f t="shared" si="23"/>
        <v>0</v>
      </c>
      <c r="CY76" s="33">
        <f t="shared" si="23"/>
        <v>0</v>
      </c>
      <c r="CZ76" s="33">
        <f t="shared" si="23"/>
        <v>0</v>
      </c>
      <c r="DA76" s="33">
        <f t="shared" si="25"/>
        <v>0</v>
      </c>
      <c r="DB76" s="33">
        <f t="shared" si="25"/>
        <v>0</v>
      </c>
      <c r="DC76" s="33">
        <f t="shared" si="25"/>
        <v>0</v>
      </c>
      <c r="DD76" s="33">
        <f t="shared" si="25"/>
        <v>0</v>
      </c>
      <c r="DE76" s="33">
        <f t="shared" si="25"/>
        <v>0</v>
      </c>
      <c r="DF76" s="33">
        <f t="shared" si="25"/>
        <v>0</v>
      </c>
      <c r="DG76" s="33">
        <f t="shared" si="25"/>
        <v>0</v>
      </c>
      <c r="DH76" s="33">
        <f t="shared" si="25"/>
        <v>0</v>
      </c>
      <c r="DI76" s="33">
        <f t="shared" si="25"/>
        <v>0</v>
      </c>
      <c r="DJ76" s="33">
        <f t="shared" si="25"/>
        <v>0</v>
      </c>
      <c r="DK76" s="33">
        <f t="shared" si="25"/>
        <v>0</v>
      </c>
      <c r="DL76" s="33">
        <f t="shared" si="21"/>
        <v>0</v>
      </c>
      <c r="DM76" s="33">
        <f t="shared" si="21"/>
        <v>0</v>
      </c>
      <c r="DN76" s="33">
        <f t="shared" si="19"/>
        <v>0</v>
      </c>
      <c r="DO76" s="33">
        <f t="shared" si="19"/>
        <v>0</v>
      </c>
      <c r="DP76" s="50">
        <f t="shared" si="30"/>
        <v>0</v>
      </c>
      <c r="DQ76" s="50">
        <f t="shared" si="31"/>
        <v>0</v>
      </c>
      <c r="DR76" s="33">
        <f t="shared" si="28"/>
        <v>0</v>
      </c>
      <c r="DS76" s="50">
        <f t="shared" si="32"/>
        <v>0</v>
      </c>
      <c r="DT76" s="50">
        <f t="shared" si="33"/>
        <v>0</v>
      </c>
      <c r="DU76" s="33">
        <f t="shared" si="29"/>
        <v>0</v>
      </c>
      <c r="DV76" s="33">
        <f t="shared" si="29"/>
        <v>0</v>
      </c>
      <c r="DW76" s="33">
        <f t="shared" si="29"/>
        <v>0</v>
      </c>
      <c r="DX76" s="33">
        <f t="shared" si="26"/>
        <v>0</v>
      </c>
      <c r="DY76" s="35">
        <f t="shared" si="34"/>
        <v>0</v>
      </c>
      <c r="DZ76" s="33">
        <f t="shared" si="35"/>
        <v>12</v>
      </c>
      <c r="EA76" s="33">
        <f t="shared" si="36"/>
        <v>12</v>
      </c>
      <c r="EB76" s="33" t="str">
        <f t="shared" si="37"/>
        <v>IGUAL CAMPOS PREENCH</v>
      </c>
      <c r="EC76" s="33" t="s">
        <v>10035</v>
      </c>
    </row>
    <row r="77" spans="2:133" x14ac:dyDescent="0.25">
      <c r="B77" s="33"/>
      <c r="C77" s="33" t="s">
        <v>107</v>
      </c>
      <c r="D77" s="33" t="s">
        <v>8711</v>
      </c>
      <c r="E77" s="33" t="s">
        <v>8712</v>
      </c>
      <c r="F77" s="33" t="s">
        <v>8713</v>
      </c>
      <c r="G77" s="33" t="s">
        <v>8714</v>
      </c>
      <c r="H77" s="33" t="s">
        <v>9318</v>
      </c>
      <c r="I77" s="33" t="s">
        <v>9319</v>
      </c>
      <c r="J77" s="33" t="s">
        <v>8714</v>
      </c>
      <c r="K77" s="33" t="s">
        <v>8570</v>
      </c>
      <c r="L77" s="33" t="s">
        <v>8571</v>
      </c>
      <c r="M77" s="33" t="s">
        <v>9320</v>
      </c>
      <c r="N77" s="33" t="s">
        <v>9321</v>
      </c>
      <c r="O77" s="33"/>
      <c r="P77" s="33"/>
      <c r="Q77" s="33" t="s">
        <v>8571</v>
      </c>
      <c r="R77" s="33"/>
      <c r="S77" s="33"/>
      <c r="T77" s="33"/>
      <c r="U77" s="33" t="s">
        <v>9322</v>
      </c>
      <c r="V77" s="33" t="s">
        <v>9323</v>
      </c>
      <c r="W77" s="33" t="s">
        <v>9324</v>
      </c>
      <c r="X77" s="33"/>
      <c r="Y77" s="33" t="s">
        <v>8525</v>
      </c>
      <c r="Z77" s="33" t="s">
        <v>8500</v>
      </c>
      <c r="AA77" s="33" t="s">
        <v>8500</v>
      </c>
      <c r="AB77" s="33" t="s">
        <v>8500</v>
      </c>
      <c r="AC77" s="33"/>
      <c r="AD77" s="33"/>
      <c r="AE77" s="33"/>
      <c r="AF77" s="33" t="s">
        <v>9325</v>
      </c>
      <c r="AG77" s="33"/>
      <c r="AH77" s="33" t="s">
        <v>8527</v>
      </c>
      <c r="AI77" s="33"/>
      <c r="AJ77" s="33"/>
      <c r="AK77" s="33"/>
      <c r="AL77" s="33" t="s">
        <v>8546</v>
      </c>
      <c r="AM77" s="33" t="s">
        <v>8545</v>
      </c>
      <c r="AN77" s="33" t="s">
        <v>9326</v>
      </c>
      <c r="AO77" s="33" t="s">
        <v>9327</v>
      </c>
      <c r="AP77" s="33">
        <v>1</v>
      </c>
      <c r="AQ77" s="5" t="s">
        <v>10037</v>
      </c>
      <c r="AR77" s="33" t="s">
        <v>9328</v>
      </c>
      <c r="AS77" s="33" t="s">
        <v>107</v>
      </c>
      <c r="AT77" s="33" t="s">
        <v>8711</v>
      </c>
      <c r="AU77" s="33" t="s">
        <v>8712</v>
      </c>
      <c r="AV77" s="33" t="s">
        <v>8713</v>
      </c>
      <c r="AW77" s="33" t="s">
        <v>8714</v>
      </c>
      <c r="AX77" s="33" t="s">
        <v>9318</v>
      </c>
      <c r="AY77" s="33" t="s">
        <v>9319</v>
      </c>
      <c r="AZ77" s="33" t="s">
        <v>8714</v>
      </c>
      <c r="BA77" s="33" t="s">
        <v>8570</v>
      </c>
      <c r="BB77" s="33" t="s">
        <v>8571</v>
      </c>
      <c r="BC77" s="33" t="s">
        <v>9320</v>
      </c>
      <c r="BD77" s="33" t="s">
        <v>9321</v>
      </c>
      <c r="BE77" s="33"/>
      <c r="BF77" s="33"/>
      <c r="BG77" s="33" t="s">
        <v>8571</v>
      </c>
      <c r="BH77" s="33"/>
      <c r="BI77" s="33"/>
      <c r="BJ77" s="33"/>
      <c r="BK77" s="33" t="s">
        <v>9322</v>
      </c>
      <c r="BL77" s="33" t="s">
        <v>9323</v>
      </c>
      <c r="BM77" s="33" t="s">
        <v>9324</v>
      </c>
      <c r="BN77" s="33"/>
      <c r="BO77" s="33" t="s">
        <v>8525</v>
      </c>
      <c r="BP77" s="33" t="s">
        <v>8500</v>
      </c>
      <c r="BQ77" s="33" t="s">
        <v>8500</v>
      </c>
      <c r="BR77" s="33" t="s">
        <v>8500</v>
      </c>
      <c r="BS77" s="33"/>
      <c r="BT77" s="33"/>
      <c r="BU77" s="33"/>
      <c r="BV77" s="33" t="s">
        <v>9325</v>
      </c>
      <c r="BW77" s="33"/>
      <c r="BX77" s="33" t="s">
        <v>8527</v>
      </c>
      <c r="BY77" s="33"/>
      <c r="BZ77" s="33"/>
      <c r="CA77" s="33"/>
      <c r="CB77" s="33" t="s">
        <v>8546</v>
      </c>
      <c r="CC77" s="33" t="s">
        <v>8545</v>
      </c>
      <c r="CD77" s="33" t="s">
        <v>9326</v>
      </c>
      <c r="CE77" s="33" t="s">
        <v>9327</v>
      </c>
      <c r="CF77" s="33">
        <v>2</v>
      </c>
      <c r="CG77" s="5" t="s">
        <v>10037</v>
      </c>
      <c r="CH77" s="33">
        <f t="shared" si="27"/>
        <v>0</v>
      </c>
      <c r="CI77" s="33">
        <f t="shared" si="27"/>
        <v>0</v>
      </c>
      <c r="CJ77" s="33">
        <f t="shared" si="27"/>
        <v>0</v>
      </c>
      <c r="CK77" s="33">
        <f t="shared" si="27"/>
        <v>0</v>
      </c>
      <c r="CL77" s="33">
        <f t="shared" si="27"/>
        <v>0</v>
      </c>
      <c r="CM77" s="33">
        <f t="shared" si="27"/>
        <v>0</v>
      </c>
      <c r="CN77" s="33">
        <f t="shared" si="27"/>
        <v>0</v>
      </c>
      <c r="CO77" s="33">
        <f t="shared" si="27"/>
        <v>0</v>
      </c>
      <c r="CP77" s="33">
        <f t="shared" si="27"/>
        <v>0</v>
      </c>
      <c r="CQ77" s="33">
        <f t="shared" si="27"/>
        <v>0</v>
      </c>
      <c r="CR77" s="33">
        <f t="shared" si="27"/>
        <v>0</v>
      </c>
      <c r="CS77" s="33">
        <f t="shared" si="27"/>
        <v>0</v>
      </c>
      <c r="CT77" s="33">
        <f t="shared" si="27"/>
        <v>0</v>
      </c>
      <c r="CU77" s="33">
        <f t="shared" si="27"/>
        <v>0</v>
      </c>
      <c r="CV77" s="33">
        <f t="shared" si="27"/>
        <v>0</v>
      </c>
      <c r="CW77" s="33">
        <f t="shared" si="23"/>
        <v>0</v>
      </c>
      <c r="CX77" s="33">
        <f t="shared" si="23"/>
        <v>0</v>
      </c>
      <c r="CY77" s="33">
        <f t="shared" si="23"/>
        <v>0</v>
      </c>
      <c r="CZ77" s="33">
        <f t="shared" si="23"/>
        <v>0</v>
      </c>
      <c r="DA77" s="33">
        <f t="shared" si="25"/>
        <v>0</v>
      </c>
      <c r="DB77" s="33">
        <f t="shared" si="25"/>
        <v>0</v>
      </c>
      <c r="DC77" s="33">
        <f t="shared" si="25"/>
        <v>0</v>
      </c>
      <c r="DD77" s="33">
        <f t="shared" si="25"/>
        <v>0</v>
      </c>
      <c r="DE77" s="33">
        <f t="shared" si="25"/>
        <v>0</v>
      </c>
      <c r="DF77" s="33">
        <f t="shared" si="25"/>
        <v>0</v>
      </c>
      <c r="DG77" s="33">
        <f t="shared" si="25"/>
        <v>0</v>
      </c>
      <c r="DH77" s="33">
        <f t="shared" si="25"/>
        <v>0</v>
      </c>
      <c r="DI77" s="33">
        <f t="shared" si="25"/>
        <v>0</v>
      </c>
      <c r="DJ77" s="33">
        <f t="shared" si="25"/>
        <v>0</v>
      </c>
      <c r="DK77" s="33">
        <f t="shared" si="25"/>
        <v>0</v>
      </c>
      <c r="DL77" s="33">
        <f t="shared" si="21"/>
        <v>0</v>
      </c>
      <c r="DM77" s="33">
        <f t="shared" si="21"/>
        <v>0</v>
      </c>
      <c r="DN77" s="33">
        <f t="shared" si="19"/>
        <v>0</v>
      </c>
      <c r="DO77" s="33">
        <f t="shared" si="19"/>
        <v>0</v>
      </c>
      <c r="DP77" s="50">
        <f t="shared" si="30"/>
        <v>0</v>
      </c>
      <c r="DQ77" s="50">
        <f t="shared" si="31"/>
        <v>0</v>
      </c>
      <c r="DR77" s="33">
        <f t="shared" si="28"/>
        <v>0</v>
      </c>
      <c r="DS77" s="50">
        <f t="shared" si="32"/>
        <v>0</v>
      </c>
      <c r="DT77" s="50">
        <f t="shared" si="33"/>
        <v>0</v>
      </c>
      <c r="DU77" s="33">
        <f t="shared" si="29"/>
        <v>0</v>
      </c>
      <c r="DV77" s="33">
        <f t="shared" si="29"/>
        <v>0</v>
      </c>
      <c r="DW77" s="33">
        <f t="shared" si="29"/>
        <v>0</v>
      </c>
      <c r="DX77" s="33">
        <f t="shared" si="26"/>
        <v>0</v>
      </c>
      <c r="DY77" s="35">
        <f t="shared" si="34"/>
        <v>0</v>
      </c>
      <c r="DZ77" s="33">
        <f t="shared" si="35"/>
        <v>13</v>
      </c>
      <c r="EA77" s="33">
        <f t="shared" si="36"/>
        <v>13</v>
      </c>
      <c r="EB77" s="33" t="str">
        <f t="shared" si="37"/>
        <v>IGUAL CAMPOS PREENCH</v>
      </c>
      <c r="EC77" s="33" t="s">
        <v>10035</v>
      </c>
    </row>
    <row r="78" spans="2:133" x14ac:dyDescent="0.25">
      <c r="B78" s="33"/>
      <c r="C78" s="33" t="s">
        <v>77</v>
      </c>
      <c r="D78" s="33" t="s">
        <v>8763</v>
      </c>
      <c r="E78" s="33" t="s">
        <v>8764</v>
      </c>
      <c r="F78" s="33" t="s">
        <v>8765</v>
      </c>
      <c r="G78" s="33" t="s">
        <v>8764</v>
      </c>
      <c r="H78" s="33" t="s">
        <v>8766</v>
      </c>
      <c r="I78" s="33" t="s">
        <v>8764</v>
      </c>
      <c r="J78" s="33" t="s">
        <v>8767</v>
      </c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 t="s">
        <v>8768</v>
      </c>
      <c r="V78" s="33"/>
      <c r="W78" s="33" t="s">
        <v>9329</v>
      </c>
      <c r="X78" s="33" t="s">
        <v>8499</v>
      </c>
      <c r="Y78" s="33" t="s">
        <v>8500</v>
      </c>
      <c r="Z78" s="33" t="s">
        <v>8500</v>
      </c>
      <c r="AA78" s="33" t="s">
        <v>8500</v>
      </c>
      <c r="AB78" s="33" t="s">
        <v>8525</v>
      </c>
      <c r="AC78" s="33"/>
      <c r="AD78" s="33"/>
      <c r="AE78" s="33"/>
      <c r="AF78" s="33" t="s">
        <v>9330</v>
      </c>
      <c r="AG78" s="33"/>
      <c r="AH78" s="33" t="s">
        <v>8560</v>
      </c>
      <c r="AI78" s="33"/>
      <c r="AJ78" s="33"/>
      <c r="AK78" s="33"/>
      <c r="AL78" s="33" t="s">
        <v>8528</v>
      </c>
      <c r="AM78" s="33" t="s">
        <v>8545</v>
      </c>
      <c r="AN78" s="33" t="s">
        <v>8845</v>
      </c>
      <c r="AO78" s="33" t="s">
        <v>8846</v>
      </c>
      <c r="AP78" s="33">
        <v>1</v>
      </c>
      <c r="AQ78" s="5" t="s">
        <v>10037</v>
      </c>
      <c r="AR78" s="33" t="s">
        <v>9331</v>
      </c>
      <c r="AS78" s="33" t="s">
        <v>77</v>
      </c>
      <c r="AT78" s="33" t="s">
        <v>8763</v>
      </c>
      <c r="AU78" s="33" t="s">
        <v>8764</v>
      </c>
      <c r="AV78" s="33" t="s">
        <v>8765</v>
      </c>
      <c r="AW78" s="33" t="s">
        <v>8764</v>
      </c>
      <c r="AX78" s="33" t="s">
        <v>8766</v>
      </c>
      <c r="AY78" s="33" t="s">
        <v>8764</v>
      </c>
      <c r="AZ78" s="33" t="s">
        <v>8767</v>
      </c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 t="s">
        <v>8768</v>
      </c>
      <c r="BL78" s="33"/>
      <c r="BM78" s="33" t="s">
        <v>9329</v>
      </c>
      <c r="BN78" s="33" t="s">
        <v>8499</v>
      </c>
      <c r="BO78" s="33" t="s">
        <v>8500</v>
      </c>
      <c r="BP78" s="33" t="s">
        <v>8500</v>
      </c>
      <c r="BQ78" s="33" t="s">
        <v>8500</v>
      </c>
      <c r="BR78" s="33" t="s">
        <v>8525</v>
      </c>
      <c r="BS78" s="33"/>
      <c r="BT78" s="33"/>
      <c r="BU78" s="33"/>
      <c r="BV78" s="33" t="s">
        <v>9330</v>
      </c>
      <c r="BW78" s="33"/>
      <c r="BX78" s="33" t="s">
        <v>8560</v>
      </c>
      <c r="BY78" s="33"/>
      <c r="BZ78" s="33" t="s">
        <v>8545</v>
      </c>
      <c r="CA78" s="33" t="s">
        <v>8528</v>
      </c>
      <c r="CB78" s="33" t="s">
        <v>8528</v>
      </c>
      <c r="CC78" s="33" t="s">
        <v>8545</v>
      </c>
      <c r="CD78" s="33" t="s">
        <v>8845</v>
      </c>
      <c r="CE78" s="33" t="s">
        <v>8846</v>
      </c>
      <c r="CF78" s="33">
        <v>2</v>
      </c>
      <c r="CG78" s="5" t="s">
        <v>10037</v>
      </c>
      <c r="CH78" s="33">
        <f t="shared" si="27"/>
        <v>0</v>
      </c>
      <c r="CI78" s="33">
        <f t="shared" si="27"/>
        <v>0</v>
      </c>
      <c r="CJ78" s="33">
        <f t="shared" si="27"/>
        <v>0</v>
      </c>
      <c r="CK78" s="33">
        <f t="shared" si="27"/>
        <v>0</v>
      </c>
      <c r="CL78" s="33">
        <f t="shared" si="27"/>
        <v>0</v>
      </c>
      <c r="CM78" s="33">
        <f t="shared" si="27"/>
        <v>0</v>
      </c>
      <c r="CN78" s="33">
        <f t="shared" si="27"/>
        <v>0</v>
      </c>
      <c r="CO78" s="33">
        <f t="shared" si="27"/>
        <v>0</v>
      </c>
      <c r="CP78" s="33">
        <f t="shared" si="27"/>
        <v>0</v>
      </c>
      <c r="CQ78" s="33">
        <f t="shared" si="27"/>
        <v>0</v>
      </c>
      <c r="CR78" s="33">
        <f t="shared" si="27"/>
        <v>0</v>
      </c>
      <c r="CS78" s="33">
        <f t="shared" si="27"/>
        <v>0</v>
      </c>
      <c r="CT78" s="33">
        <f t="shared" si="27"/>
        <v>0</v>
      </c>
      <c r="CU78" s="33">
        <f t="shared" si="27"/>
        <v>0</v>
      </c>
      <c r="CV78" s="33">
        <f t="shared" si="27"/>
        <v>0</v>
      </c>
      <c r="CW78" s="33">
        <f t="shared" si="23"/>
        <v>0</v>
      </c>
      <c r="CX78" s="33">
        <f t="shared" si="23"/>
        <v>0</v>
      </c>
      <c r="CY78" s="33">
        <f t="shared" si="23"/>
        <v>0</v>
      </c>
      <c r="CZ78" s="33">
        <f t="shared" si="23"/>
        <v>0</v>
      </c>
      <c r="DA78" s="33">
        <f t="shared" si="25"/>
        <v>0</v>
      </c>
      <c r="DB78" s="33">
        <f t="shared" si="25"/>
        <v>0</v>
      </c>
      <c r="DC78" s="33">
        <f t="shared" ref="DC78:DO104" si="38">+IF(X78=BN78,0,1)</f>
        <v>0</v>
      </c>
      <c r="DD78" s="33">
        <f t="shared" si="38"/>
        <v>0</v>
      </c>
      <c r="DE78" s="33">
        <f t="shared" si="38"/>
        <v>0</v>
      </c>
      <c r="DF78" s="33">
        <f t="shared" si="38"/>
        <v>0</v>
      </c>
      <c r="DG78" s="33">
        <f t="shared" si="38"/>
        <v>0</v>
      </c>
      <c r="DH78" s="33">
        <f t="shared" si="38"/>
        <v>0</v>
      </c>
      <c r="DI78" s="33">
        <f t="shared" si="38"/>
        <v>0</v>
      </c>
      <c r="DJ78" s="33">
        <f t="shared" si="38"/>
        <v>0</v>
      </c>
      <c r="DK78" s="33">
        <f t="shared" si="38"/>
        <v>0</v>
      </c>
      <c r="DL78" s="33">
        <f t="shared" si="21"/>
        <v>0</v>
      </c>
      <c r="DM78" s="33">
        <f t="shared" si="21"/>
        <v>0</v>
      </c>
      <c r="DN78" s="33">
        <f t="shared" si="19"/>
        <v>0</v>
      </c>
      <c r="DO78" s="33">
        <f t="shared" si="19"/>
        <v>1</v>
      </c>
      <c r="DP78" s="50">
        <f t="shared" si="30"/>
        <v>0</v>
      </c>
      <c r="DQ78" s="50" t="str">
        <f t="shared" si="31"/>
        <v>D</v>
      </c>
      <c r="DR78" s="33">
        <f t="shared" si="28"/>
        <v>1</v>
      </c>
      <c r="DS78" s="50">
        <f t="shared" si="32"/>
        <v>0</v>
      </c>
      <c r="DT78" s="50" t="str">
        <f t="shared" si="33"/>
        <v>5-MEDIA BAJA</v>
      </c>
      <c r="DU78" s="33">
        <f t="shared" si="29"/>
        <v>0</v>
      </c>
      <c r="DV78" s="33">
        <f t="shared" si="29"/>
        <v>0</v>
      </c>
      <c r="DW78" s="33">
        <f t="shared" si="29"/>
        <v>0</v>
      </c>
      <c r="DX78" s="33">
        <f t="shared" si="26"/>
        <v>0</v>
      </c>
      <c r="DY78" s="35">
        <f t="shared" si="34"/>
        <v>2</v>
      </c>
      <c r="DZ78" s="33">
        <f t="shared" si="35"/>
        <v>18</v>
      </c>
      <c r="EA78" s="33">
        <f t="shared" si="36"/>
        <v>16</v>
      </c>
      <c r="EB78" s="33" t="str">
        <f t="shared" si="37"/>
        <v>AUX 2 COM + CAMPOS PREENC</v>
      </c>
      <c r="EC78" s="33" t="s">
        <v>10034</v>
      </c>
    </row>
    <row r="79" spans="2:133" x14ac:dyDescent="0.25">
      <c r="B79" s="33"/>
      <c r="C79" s="33" t="s">
        <v>147</v>
      </c>
      <c r="D79" s="33" t="s">
        <v>8763</v>
      </c>
      <c r="E79" s="33" t="s">
        <v>8764</v>
      </c>
      <c r="F79" s="33" t="s">
        <v>8765</v>
      </c>
      <c r="G79" s="33" t="s">
        <v>8764</v>
      </c>
      <c r="H79" s="33" t="s">
        <v>8766</v>
      </c>
      <c r="I79" s="33" t="s">
        <v>8764</v>
      </c>
      <c r="J79" s="33" t="s">
        <v>8767</v>
      </c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 t="s">
        <v>8768</v>
      </c>
      <c r="V79" s="33"/>
      <c r="W79" s="33" t="s">
        <v>9332</v>
      </c>
      <c r="X79" s="33" t="s">
        <v>8499</v>
      </c>
      <c r="Y79" s="33" t="s">
        <v>8500</v>
      </c>
      <c r="Z79" s="33" t="s">
        <v>8500</v>
      </c>
      <c r="AA79" s="33" t="s">
        <v>8500</v>
      </c>
      <c r="AB79" s="33" t="s">
        <v>8525</v>
      </c>
      <c r="AC79" s="33"/>
      <c r="AD79" s="33"/>
      <c r="AE79" s="33"/>
      <c r="AF79" s="33" t="s">
        <v>9333</v>
      </c>
      <c r="AG79" s="33"/>
      <c r="AH79" s="33" t="s">
        <v>8560</v>
      </c>
      <c r="AI79" s="33"/>
      <c r="AJ79" s="33"/>
      <c r="AK79" s="33"/>
      <c r="AL79" s="33" t="s">
        <v>8528</v>
      </c>
      <c r="AM79" s="33" t="s">
        <v>8545</v>
      </c>
      <c r="AN79" s="33" t="s">
        <v>8771</v>
      </c>
      <c r="AO79" s="33" t="s">
        <v>8772</v>
      </c>
      <c r="AP79" s="33">
        <v>1</v>
      </c>
      <c r="AQ79" s="5" t="s">
        <v>10037</v>
      </c>
      <c r="AR79" s="33" t="s">
        <v>9334</v>
      </c>
      <c r="AS79" s="33" t="s">
        <v>147</v>
      </c>
      <c r="AT79" s="33" t="s">
        <v>8763</v>
      </c>
      <c r="AU79" s="33" t="s">
        <v>8764</v>
      </c>
      <c r="AV79" s="33" t="s">
        <v>8765</v>
      </c>
      <c r="AW79" s="33" t="s">
        <v>8764</v>
      </c>
      <c r="AX79" s="33" t="s">
        <v>8766</v>
      </c>
      <c r="AY79" s="33" t="s">
        <v>8764</v>
      </c>
      <c r="AZ79" s="33" t="s">
        <v>8767</v>
      </c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 t="s">
        <v>8768</v>
      </c>
      <c r="BL79" s="33"/>
      <c r="BM79" s="33" t="s">
        <v>9332</v>
      </c>
      <c r="BN79" s="33" t="s">
        <v>8499</v>
      </c>
      <c r="BO79" s="33" t="s">
        <v>8500</v>
      </c>
      <c r="BP79" s="33" t="s">
        <v>8500</v>
      </c>
      <c r="BQ79" s="33" t="s">
        <v>8500</v>
      </c>
      <c r="BR79" s="33" t="s">
        <v>8525</v>
      </c>
      <c r="BS79" s="33"/>
      <c r="BT79" s="33"/>
      <c r="BU79" s="33"/>
      <c r="BV79" s="33" t="s">
        <v>9333</v>
      </c>
      <c r="BW79" s="33"/>
      <c r="BX79" s="33" t="s">
        <v>8560</v>
      </c>
      <c r="BY79" s="33"/>
      <c r="BZ79" s="33" t="s">
        <v>8545</v>
      </c>
      <c r="CA79" s="33" t="s">
        <v>8528</v>
      </c>
      <c r="CB79" s="33" t="s">
        <v>8528</v>
      </c>
      <c r="CC79" s="33" t="s">
        <v>8545</v>
      </c>
      <c r="CD79" s="33" t="s">
        <v>8771</v>
      </c>
      <c r="CE79" s="33" t="s">
        <v>8772</v>
      </c>
      <c r="CF79" s="33">
        <v>2</v>
      </c>
      <c r="CG79" s="5" t="s">
        <v>10037</v>
      </c>
      <c r="CH79" s="33">
        <f t="shared" si="27"/>
        <v>0</v>
      </c>
      <c r="CI79" s="33">
        <f t="shared" si="27"/>
        <v>0</v>
      </c>
      <c r="CJ79" s="33">
        <f t="shared" si="27"/>
        <v>0</v>
      </c>
      <c r="CK79" s="33">
        <f t="shared" si="27"/>
        <v>0</v>
      </c>
      <c r="CL79" s="33">
        <f t="shared" si="27"/>
        <v>0</v>
      </c>
      <c r="CM79" s="33">
        <f t="shared" si="27"/>
        <v>0</v>
      </c>
      <c r="CN79" s="33">
        <f t="shared" si="27"/>
        <v>0</v>
      </c>
      <c r="CO79" s="33">
        <f t="shared" si="27"/>
        <v>0</v>
      </c>
      <c r="CP79" s="33">
        <f t="shared" si="27"/>
        <v>0</v>
      </c>
      <c r="CQ79" s="33">
        <f t="shared" si="27"/>
        <v>0</v>
      </c>
      <c r="CR79" s="33">
        <f t="shared" si="27"/>
        <v>0</v>
      </c>
      <c r="CS79" s="33">
        <f t="shared" si="27"/>
        <v>0</v>
      </c>
      <c r="CT79" s="33">
        <f t="shared" si="27"/>
        <v>0</v>
      </c>
      <c r="CU79" s="33">
        <f t="shared" si="27"/>
        <v>0</v>
      </c>
      <c r="CV79" s="33">
        <f t="shared" si="27"/>
        <v>0</v>
      </c>
      <c r="CW79" s="33">
        <f t="shared" si="23"/>
        <v>0</v>
      </c>
      <c r="CX79" s="33">
        <f t="shared" si="23"/>
        <v>0</v>
      </c>
      <c r="CY79" s="33">
        <f t="shared" si="23"/>
        <v>0</v>
      </c>
      <c r="CZ79" s="33">
        <f t="shared" si="23"/>
        <v>0</v>
      </c>
      <c r="DA79" s="33">
        <f t="shared" si="23"/>
        <v>0</v>
      </c>
      <c r="DB79" s="33">
        <f t="shared" si="23"/>
        <v>0</v>
      </c>
      <c r="DC79" s="33">
        <f t="shared" si="38"/>
        <v>0</v>
      </c>
      <c r="DD79" s="33">
        <f t="shared" si="38"/>
        <v>0</v>
      </c>
      <c r="DE79" s="33">
        <f t="shared" si="38"/>
        <v>0</v>
      </c>
      <c r="DF79" s="33">
        <f t="shared" si="38"/>
        <v>0</v>
      </c>
      <c r="DG79" s="33">
        <f t="shared" si="38"/>
        <v>0</v>
      </c>
      <c r="DH79" s="33">
        <f t="shared" si="38"/>
        <v>0</v>
      </c>
      <c r="DI79" s="33">
        <f t="shared" si="38"/>
        <v>0</v>
      </c>
      <c r="DJ79" s="33">
        <f t="shared" si="38"/>
        <v>0</v>
      </c>
      <c r="DK79" s="33">
        <f t="shared" si="38"/>
        <v>0</v>
      </c>
      <c r="DL79" s="33">
        <f t="shared" si="21"/>
        <v>0</v>
      </c>
      <c r="DM79" s="33">
        <f t="shared" si="21"/>
        <v>0</v>
      </c>
      <c r="DN79" s="33">
        <f t="shared" si="19"/>
        <v>0</v>
      </c>
      <c r="DO79" s="33">
        <f t="shared" si="19"/>
        <v>1</v>
      </c>
      <c r="DP79" s="50">
        <f t="shared" si="30"/>
        <v>0</v>
      </c>
      <c r="DQ79" s="50" t="str">
        <f t="shared" si="31"/>
        <v>D</v>
      </c>
      <c r="DR79" s="33">
        <f t="shared" si="28"/>
        <v>1</v>
      </c>
      <c r="DS79" s="50">
        <f t="shared" si="32"/>
        <v>0</v>
      </c>
      <c r="DT79" s="50" t="str">
        <f t="shared" si="33"/>
        <v>5-MEDIA BAJA</v>
      </c>
      <c r="DU79" s="33">
        <f t="shared" si="29"/>
        <v>0</v>
      </c>
      <c r="DV79" s="33">
        <f t="shared" si="29"/>
        <v>0</v>
      </c>
      <c r="DW79" s="33">
        <f t="shared" si="29"/>
        <v>0</v>
      </c>
      <c r="DX79" s="33">
        <f t="shared" si="26"/>
        <v>0</v>
      </c>
      <c r="DY79" s="35">
        <f t="shared" si="34"/>
        <v>2</v>
      </c>
      <c r="DZ79" s="33">
        <f t="shared" si="35"/>
        <v>18</v>
      </c>
      <c r="EA79" s="33">
        <f t="shared" si="36"/>
        <v>16</v>
      </c>
      <c r="EB79" s="33" t="str">
        <f t="shared" si="37"/>
        <v>AUX 2 COM + CAMPOS PREENC</v>
      </c>
      <c r="EC79" s="33" t="s">
        <v>10034</v>
      </c>
    </row>
    <row r="80" spans="2:133" x14ac:dyDescent="0.25">
      <c r="B80" s="33"/>
      <c r="C80" s="33" t="s">
        <v>133</v>
      </c>
      <c r="D80" s="33" t="s">
        <v>8829</v>
      </c>
      <c r="E80" s="33" t="s">
        <v>8830</v>
      </c>
      <c r="F80" s="33" t="s">
        <v>8831</v>
      </c>
      <c r="G80" s="33" t="s">
        <v>8832</v>
      </c>
      <c r="H80" s="33" t="s">
        <v>8833</v>
      </c>
      <c r="I80" s="33" t="s">
        <v>8834</v>
      </c>
      <c r="J80" s="33" t="s">
        <v>8834</v>
      </c>
      <c r="K80" s="33" t="s">
        <v>8570</v>
      </c>
      <c r="L80" s="33" t="s">
        <v>8571</v>
      </c>
      <c r="M80" s="33" t="s">
        <v>9335</v>
      </c>
      <c r="N80" s="33" t="s">
        <v>8653</v>
      </c>
      <c r="O80" s="33"/>
      <c r="P80" s="33"/>
      <c r="Q80" s="33" t="s">
        <v>8571</v>
      </c>
      <c r="R80" s="33" t="s">
        <v>9336</v>
      </c>
      <c r="S80" s="33"/>
      <c r="T80" s="33"/>
      <c r="U80" s="33" t="s">
        <v>8837</v>
      </c>
      <c r="V80" s="33" t="s">
        <v>8838</v>
      </c>
      <c r="W80" s="33" t="s">
        <v>9337</v>
      </c>
      <c r="X80" s="33" t="s">
        <v>8840</v>
      </c>
      <c r="Y80" s="33" t="s">
        <v>8500</v>
      </c>
      <c r="Z80" s="33" t="s">
        <v>8500</v>
      </c>
      <c r="AA80" s="33" t="s">
        <v>8500</v>
      </c>
      <c r="AB80" s="33" t="s">
        <v>8500</v>
      </c>
      <c r="AC80" s="33"/>
      <c r="AD80" s="33"/>
      <c r="AE80" s="33"/>
      <c r="AF80" s="33" t="s">
        <v>9338</v>
      </c>
      <c r="AG80" s="33"/>
      <c r="AH80" s="33" t="s">
        <v>8505</v>
      </c>
      <c r="AI80" s="33"/>
      <c r="AJ80" s="33"/>
      <c r="AK80" s="33"/>
      <c r="AL80" s="33" t="s">
        <v>8528</v>
      </c>
      <c r="AM80" s="33" t="s">
        <v>8545</v>
      </c>
      <c r="AN80" s="33" t="s">
        <v>8784</v>
      </c>
      <c r="AO80" s="33" t="s">
        <v>8785</v>
      </c>
      <c r="AP80" s="33">
        <v>1</v>
      </c>
      <c r="AQ80" s="5" t="s">
        <v>10037</v>
      </c>
      <c r="AR80" s="33" t="s">
        <v>9339</v>
      </c>
      <c r="AS80" s="33" t="s">
        <v>133</v>
      </c>
      <c r="AT80" s="33" t="s">
        <v>8829</v>
      </c>
      <c r="AU80" s="33" t="s">
        <v>8830</v>
      </c>
      <c r="AV80" s="33" t="s">
        <v>8831</v>
      </c>
      <c r="AW80" s="33" t="s">
        <v>8832</v>
      </c>
      <c r="AX80" s="33" t="s">
        <v>8833</v>
      </c>
      <c r="AY80" s="33" t="s">
        <v>8834</v>
      </c>
      <c r="AZ80" s="33" t="s">
        <v>8834</v>
      </c>
      <c r="BA80" s="33" t="s">
        <v>8570</v>
      </c>
      <c r="BB80" s="33" t="s">
        <v>8571</v>
      </c>
      <c r="BC80" s="33" t="s">
        <v>9335</v>
      </c>
      <c r="BD80" s="33" t="s">
        <v>8653</v>
      </c>
      <c r="BE80" s="33"/>
      <c r="BF80" s="33"/>
      <c r="BG80" s="33" t="s">
        <v>8571</v>
      </c>
      <c r="BH80" s="33" t="s">
        <v>9336</v>
      </c>
      <c r="BI80" s="33"/>
      <c r="BJ80" s="33"/>
      <c r="BK80" s="33" t="s">
        <v>8837</v>
      </c>
      <c r="BL80" s="33" t="s">
        <v>8838</v>
      </c>
      <c r="BM80" s="33" t="s">
        <v>9337</v>
      </c>
      <c r="BN80" s="33" t="s">
        <v>8840</v>
      </c>
      <c r="BO80" s="33" t="s">
        <v>8500</v>
      </c>
      <c r="BP80" s="33" t="s">
        <v>8500</v>
      </c>
      <c r="BQ80" s="33" t="s">
        <v>8500</v>
      </c>
      <c r="BR80" s="33" t="s">
        <v>8500</v>
      </c>
      <c r="BS80" s="33"/>
      <c r="BT80" s="33"/>
      <c r="BU80" s="33"/>
      <c r="BV80" s="33" t="s">
        <v>9338</v>
      </c>
      <c r="BW80" s="33"/>
      <c r="BX80" s="33" t="s">
        <v>8505</v>
      </c>
      <c r="BY80" s="33"/>
      <c r="BZ80" s="33" t="s">
        <v>8545</v>
      </c>
      <c r="CA80" s="33" t="s">
        <v>8528</v>
      </c>
      <c r="CB80" s="33" t="s">
        <v>8528</v>
      </c>
      <c r="CC80" s="33" t="s">
        <v>8545</v>
      </c>
      <c r="CD80" s="33" t="s">
        <v>8784</v>
      </c>
      <c r="CE80" s="33" t="s">
        <v>8785</v>
      </c>
      <c r="CF80" s="33">
        <v>2</v>
      </c>
      <c r="CG80" s="5" t="s">
        <v>10037</v>
      </c>
      <c r="CH80" s="33">
        <f t="shared" si="27"/>
        <v>0</v>
      </c>
      <c r="CI80" s="33">
        <f t="shared" si="27"/>
        <v>0</v>
      </c>
      <c r="CJ80" s="33">
        <f t="shared" si="27"/>
        <v>0</v>
      </c>
      <c r="CK80" s="33">
        <f t="shared" si="27"/>
        <v>0</v>
      </c>
      <c r="CL80" s="33">
        <f t="shared" si="27"/>
        <v>0</v>
      </c>
      <c r="CM80" s="33">
        <f t="shared" si="27"/>
        <v>0</v>
      </c>
      <c r="CN80" s="33">
        <f t="shared" si="27"/>
        <v>0</v>
      </c>
      <c r="CO80" s="33">
        <f t="shared" si="27"/>
        <v>0</v>
      </c>
      <c r="CP80" s="33">
        <f t="shared" si="27"/>
        <v>0</v>
      </c>
      <c r="CQ80" s="33">
        <f t="shared" si="27"/>
        <v>0</v>
      </c>
      <c r="CR80" s="33">
        <f t="shared" si="27"/>
        <v>0</v>
      </c>
      <c r="CS80" s="33">
        <f t="shared" si="27"/>
        <v>0</v>
      </c>
      <c r="CT80" s="33">
        <f t="shared" si="27"/>
        <v>0</v>
      </c>
      <c r="CU80" s="33">
        <f t="shared" si="27"/>
        <v>0</v>
      </c>
      <c r="CV80" s="33">
        <f t="shared" si="27"/>
        <v>0</v>
      </c>
      <c r="CW80" s="33">
        <f t="shared" si="23"/>
        <v>0</v>
      </c>
      <c r="CX80" s="33">
        <f t="shared" si="23"/>
        <v>0</v>
      </c>
      <c r="CY80" s="33">
        <f t="shared" si="23"/>
        <v>0</v>
      </c>
      <c r="CZ80" s="33">
        <f t="shared" si="23"/>
        <v>0</v>
      </c>
      <c r="DA80" s="33">
        <f t="shared" si="23"/>
        <v>0</v>
      </c>
      <c r="DB80" s="33">
        <f t="shared" si="23"/>
        <v>0</v>
      </c>
      <c r="DC80" s="33">
        <f t="shared" si="38"/>
        <v>0</v>
      </c>
      <c r="DD80" s="33">
        <f t="shared" si="38"/>
        <v>0</v>
      </c>
      <c r="DE80" s="33">
        <f t="shared" si="38"/>
        <v>0</v>
      </c>
      <c r="DF80" s="33">
        <f t="shared" si="38"/>
        <v>0</v>
      </c>
      <c r="DG80" s="33">
        <f t="shared" si="38"/>
        <v>0</v>
      </c>
      <c r="DH80" s="33">
        <f t="shared" si="38"/>
        <v>0</v>
      </c>
      <c r="DI80" s="33">
        <f t="shared" si="38"/>
        <v>0</v>
      </c>
      <c r="DJ80" s="33">
        <f t="shared" si="38"/>
        <v>0</v>
      </c>
      <c r="DK80" s="33">
        <f t="shared" si="38"/>
        <v>0</v>
      </c>
      <c r="DL80" s="33">
        <f t="shared" si="21"/>
        <v>0</v>
      </c>
      <c r="DM80" s="33">
        <f t="shared" si="21"/>
        <v>0</v>
      </c>
      <c r="DN80" s="33">
        <f t="shared" si="19"/>
        <v>0</v>
      </c>
      <c r="DO80" s="33">
        <f t="shared" si="19"/>
        <v>1</v>
      </c>
      <c r="DP80" s="50">
        <f t="shared" si="30"/>
        <v>0</v>
      </c>
      <c r="DQ80" s="50" t="str">
        <f t="shared" si="31"/>
        <v>D</v>
      </c>
      <c r="DR80" s="33">
        <f t="shared" si="28"/>
        <v>1</v>
      </c>
      <c r="DS80" s="50">
        <f t="shared" si="32"/>
        <v>0</v>
      </c>
      <c r="DT80" s="50" t="str">
        <f t="shared" si="33"/>
        <v>5-MEDIA BAJA</v>
      </c>
      <c r="DU80" s="33">
        <f t="shared" si="29"/>
        <v>0</v>
      </c>
      <c r="DV80" s="33">
        <f t="shared" si="29"/>
        <v>0</v>
      </c>
      <c r="DW80" s="33">
        <f t="shared" si="29"/>
        <v>0</v>
      </c>
      <c r="DX80" s="33">
        <f t="shared" si="26"/>
        <v>0</v>
      </c>
      <c r="DY80" s="35">
        <f t="shared" si="34"/>
        <v>2</v>
      </c>
      <c r="DZ80" s="33">
        <f t="shared" si="35"/>
        <v>11</v>
      </c>
      <c r="EA80" s="33">
        <f t="shared" si="36"/>
        <v>9</v>
      </c>
      <c r="EB80" s="33" t="str">
        <f t="shared" si="37"/>
        <v>AUX 2 COM + CAMPOS PREENC</v>
      </c>
      <c r="EC80" s="33" t="s">
        <v>10034</v>
      </c>
    </row>
    <row r="81" spans="2:133" x14ac:dyDescent="0.25">
      <c r="B81" s="33" t="s">
        <v>9340</v>
      </c>
      <c r="C81" s="33" t="s">
        <v>154</v>
      </c>
      <c r="D81" s="33" t="s">
        <v>8486</v>
      </c>
      <c r="E81" s="33" t="s">
        <v>8487</v>
      </c>
      <c r="F81" s="33" t="s">
        <v>8976</v>
      </c>
      <c r="G81" s="33" t="s">
        <v>8977</v>
      </c>
      <c r="H81" s="33" t="s">
        <v>9341</v>
      </c>
      <c r="I81" s="33" t="s">
        <v>9342</v>
      </c>
      <c r="J81" s="33" t="s">
        <v>9343</v>
      </c>
      <c r="K81" s="33" t="s">
        <v>8570</v>
      </c>
      <c r="L81" s="33" t="s">
        <v>8571</v>
      </c>
      <c r="M81" s="33" t="s">
        <v>9344</v>
      </c>
      <c r="N81" s="33" t="s">
        <v>9345</v>
      </c>
      <c r="O81" s="33" t="s">
        <v>9345</v>
      </c>
      <c r="P81" s="33"/>
      <c r="Q81" s="33" t="s">
        <v>8571</v>
      </c>
      <c r="R81" s="33"/>
      <c r="S81" s="33"/>
      <c r="T81" s="33"/>
      <c r="U81" s="33" t="s">
        <v>9346</v>
      </c>
      <c r="V81" s="33" t="s">
        <v>9347</v>
      </c>
      <c r="W81" s="33" t="s">
        <v>9348</v>
      </c>
      <c r="X81" s="33"/>
      <c r="Y81" s="33" t="s">
        <v>8525</v>
      </c>
      <c r="Z81" s="33" t="s">
        <v>8525</v>
      </c>
      <c r="AA81" s="33" t="s">
        <v>8500</v>
      </c>
      <c r="AB81" s="33" t="s">
        <v>8500</v>
      </c>
      <c r="AC81" s="33"/>
      <c r="AD81" s="33"/>
      <c r="AE81" s="33"/>
      <c r="AF81" s="33" t="s">
        <v>9349</v>
      </c>
      <c r="AG81" s="33"/>
      <c r="AH81" s="33" t="s">
        <v>8527</v>
      </c>
      <c r="AI81" s="33"/>
      <c r="AJ81" s="33" t="s">
        <v>8506</v>
      </c>
      <c r="AK81" s="33" t="s">
        <v>8528</v>
      </c>
      <c r="AL81" s="33" t="s">
        <v>8528</v>
      </c>
      <c r="AM81" s="33" t="s">
        <v>8602</v>
      </c>
      <c r="AN81" s="33" t="s">
        <v>9350</v>
      </c>
      <c r="AO81" s="33" t="s">
        <v>9351</v>
      </c>
      <c r="AP81" s="33">
        <v>1</v>
      </c>
      <c r="AQ81" s="5" t="s">
        <v>10037</v>
      </c>
      <c r="AR81" s="33"/>
      <c r="AS81" s="33" t="s">
        <v>154</v>
      </c>
      <c r="AT81" s="33" t="s">
        <v>8486</v>
      </c>
      <c r="AU81" s="33" t="s">
        <v>8487</v>
      </c>
      <c r="AV81" s="33" t="s">
        <v>8976</v>
      </c>
      <c r="AW81" s="33" t="s">
        <v>8977</v>
      </c>
      <c r="AX81" s="33" t="s">
        <v>9341</v>
      </c>
      <c r="AY81" s="33" t="s">
        <v>9342</v>
      </c>
      <c r="AZ81" s="33" t="s">
        <v>9343</v>
      </c>
      <c r="BA81" s="33" t="s">
        <v>8570</v>
      </c>
      <c r="BB81" s="33" t="s">
        <v>8571</v>
      </c>
      <c r="BC81" s="33" t="s">
        <v>9344</v>
      </c>
      <c r="BD81" s="33" t="s">
        <v>9345</v>
      </c>
      <c r="BE81" s="33" t="s">
        <v>9345</v>
      </c>
      <c r="BF81" s="33"/>
      <c r="BG81" s="33" t="s">
        <v>8571</v>
      </c>
      <c r="BH81" s="33"/>
      <c r="BI81" s="33"/>
      <c r="BJ81" s="33"/>
      <c r="BK81" s="33" t="s">
        <v>9346</v>
      </c>
      <c r="BL81" s="33" t="s">
        <v>9347</v>
      </c>
      <c r="BM81" s="33" t="s">
        <v>9348</v>
      </c>
      <c r="BN81" s="33"/>
      <c r="BO81" s="33" t="s">
        <v>8525</v>
      </c>
      <c r="BP81" s="33" t="s">
        <v>8525</v>
      </c>
      <c r="BQ81" s="33" t="s">
        <v>8500</v>
      </c>
      <c r="BR81" s="33" t="s">
        <v>8500</v>
      </c>
      <c r="BS81" s="33"/>
      <c r="BT81" s="33"/>
      <c r="BU81" s="33"/>
      <c r="BV81" s="33" t="s">
        <v>9349</v>
      </c>
      <c r="BW81" s="33"/>
      <c r="BX81" s="33" t="s">
        <v>8527</v>
      </c>
      <c r="BY81" s="33"/>
      <c r="BZ81" s="33"/>
      <c r="CA81" s="33"/>
      <c r="CB81" s="33" t="s">
        <v>8528</v>
      </c>
      <c r="CC81" s="33" t="s">
        <v>8602</v>
      </c>
      <c r="CD81" s="33" t="s">
        <v>9350</v>
      </c>
      <c r="CE81" s="33" t="s">
        <v>9351</v>
      </c>
      <c r="CF81" s="33">
        <v>2</v>
      </c>
      <c r="CG81" s="5" t="s">
        <v>10037</v>
      </c>
      <c r="CH81" s="33">
        <f t="shared" si="27"/>
        <v>0</v>
      </c>
      <c r="CI81" s="33">
        <f t="shared" si="27"/>
        <v>0</v>
      </c>
      <c r="CJ81" s="33">
        <f t="shared" si="27"/>
        <v>0</v>
      </c>
      <c r="CK81" s="33">
        <f t="shared" si="27"/>
        <v>0</v>
      </c>
      <c r="CL81" s="33">
        <f t="shared" si="27"/>
        <v>0</v>
      </c>
      <c r="CM81" s="33">
        <f t="shared" si="27"/>
        <v>0</v>
      </c>
      <c r="CN81" s="33">
        <f t="shared" si="27"/>
        <v>0</v>
      </c>
      <c r="CO81" s="33">
        <f t="shared" si="27"/>
        <v>0</v>
      </c>
      <c r="CP81" s="33">
        <f t="shared" si="27"/>
        <v>0</v>
      </c>
      <c r="CQ81" s="33">
        <f t="shared" si="27"/>
        <v>0</v>
      </c>
      <c r="CR81" s="33">
        <f t="shared" si="27"/>
        <v>0</v>
      </c>
      <c r="CS81" s="33">
        <f t="shared" si="27"/>
        <v>0</v>
      </c>
      <c r="CT81" s="33">
        <f t="shared" si="27"/>
        <v>0</v>
      </c>
      <c r="CU81" s="33">
        <f t="shared" si="27"/>
        <v>0</v>
      </c>
      <c r="CV81" s="33">
        <f t="shared" si="27"/>
        <v>0</v>
      </c>
      <c r="CW81" s="33">
        <f t="shared" si="23"/>
        <v>0</v>
      </c>
      <c r="CX81" s="33">
        <f t="shared" si="23"/>
        <v>0</v>
      </c>
      <c r="CY81" s="33">
        <f t="shared" si="23"/>
        <v>0</v>
      </c>
      <c r="CZ81" s="33">
        <f t="shared" si="23"/>
        <v>0</v>
      </c>
      <c r="DA81" s="33">
        <f t="shared" si="23"/>
        <v>0</v>
      </c>
      <c r="DB81" s="33">
        <f t="shared" si="23"/>
        <v>0</v>
      </c>
      <c r="DC81" s="33">
        <f t="shared" si="38"/>
        <v>0</v>
      </c>
      <c r="DD81" s="33">
        <f t="shared" si="38"/>
        <v>0</v>
      </c>
      <c r="DE81" s="33">
        <f t="shared" si="38"/>
        <v>0</v>
      </c>
      <c r="DF81" s="33">
        <f t="shared" si="38"/>
        <v>0</v>
      </c>
      <c r="DG81" s="33">
        <f t="shared" si="38"/>
        <v>0</v>
      </c>
      <c r="DH81" s="33">
        <f t="shared" si="38"/>
        <v>0</v>
      </c>
      <c r="DI81" s="33">
        <f t="shared" si="38"/>
        <v>0</v>
      </c>
      <c r="DJ81" s="33">
        <f t="shared" si="38"/>
        <v>0</v>
      </c>
      <c r="DK81" s="33">
        <f t="shared" si="38"/>
        <v>0</v>
      </c>
      <c r="DL81" s="33">
        <f t="shared" si="21"/>
        <v>0</v>
      </c>
      <c r="DM81" s="33">
        <f t="shared" si="21"/>
        <v>0</v>
      </c>
      <c r="DN81" s="33">
        <f t="shared" si="19"/>
        <v>0</v>
      </c>
      <c r="DO81" s="33">
        <f t="shared" si="19"/>
        <v>1</v>
      </c>
      <c r="DP81" s="50" t="str">
        <f t="shared" si="30"/>
        <v>C</v>
      </c>
      <c r="DQ81" s="50">
        <f t="shared" si="31"/>
        <v>0</v>
      </c>
      <c r="DR81" s="33">
        <f t="shared" si="28"/>
        <v>1</v>
      </c>
      <c r="DS81" s="50" t="str">
        <f t="shared" si="32"/>
        <v>5-MEDIA BAJA</v>
      </c>
      <c r="DT81" s="50">
        <f t="shared" si="33"/>
        <v>0</v>
      </c>
      <c r="DU81" s="33">
        <f t="shared" si="29"/>
        <v>0</v>
      </c>
      <c r="DV81" s="33">
        <f t="shared" si="29"/>
        <v>0</v>
      </c>
      <c r="DW81" s="33">
        <f t="shared" si="29"/>
        <v>0</v>
      </c>
      <c r="DX81" s="33">
        <f t="shared" si="26"/>
        <v>0</v>
      </c>
      <c r="DY81" s="35">
        <f t="shared" si="34"/>
        <v>2</v>
      </c>
      <c r="DZ81" s="33">
        <f t="shared" si="35"/>
        <v>10</v>
      </c>
      <c r="EA81" s="33">
        <f t="shared" si="36"/>
        <v>12</v>
      </c>
      <c r="EB81" s="33" t="str">
        <f t="shared" si="37"/>
        <v>AUX 1 COM + CAMPOS PREENC OU IGUAL</v>
      </c>
      <c r="EC81" s="33" t="s">
        <v>10034</v>
      </c>
    </row>
    <row r="82" spans="2:133" x14ac:dyDescent="0.25">
      <c r="B82" s="33"/>
      <c r="C82" s="33" t="s">
        <v>96</v>
      </c>
      <c r="D82" s="33" t="s">
        <v>8645</v>
      </c>
      <c r="E82" s="33" t="s">
        <v>8646</v>
      </c>
      <c r="F82" s="33" t="s">
        <v>8647</v>
      </c>
      <c r="G82" s="33" t="s">
        <v>8648</v>
      </c>
      <c r="H82" s="33" t="s">
        <v>9352</v>
      </c>
      <c r="I82" s="33" t="s">
        <v>9353</v>
      </c>
      <c r="J82" s="33" t="s">
        <v>9354</v>
      </c>
      <c r="K82" s="33" t="s">
        <v>8570</v>
      </c>
      <c r="L82" s="33" t="s">
        <v>8571</v>
      </c>
      <c r="M82" s="33" t="s">
        <v>9355</v>
      </c>
      <c r="N82" s="33" t="s">
        <v>8653</v>
      </c>
      <c r="O82" s="33"/>
      <c r="P82" s="33"/>
      <c r="Q82" s="33" t="s">
        <v>8571</v>
      </c>
      <c r="R82" s="33" t="s">
        <v>9356</v>
      </c>
      <c r="S82" s="33"/>
      <c r="T82" s="33"/>
      <c r="U82" s="33" t="s">
        <v>8822</v>
      </c>
      <c r="V82" s="33" t="s">
        <v>8501</v>
      </c>
      <c r="W82" s="33" t="s">
        <v>9357</v>
      </c>
      <c r="X82" s="33" t="s">
        <v>9273</v>
      </c>
      <c r="Y82" s="33" t="s">
        <v>8500</v>
      </c>
      <c r="Z82" s="33" t="s">
        <v>8500</v>
      </c>
      <c r="AA82" s="33" t="s">
        <v>8500</v>
      </c>
      <c r="AB82" s="33" t="s">
        <v>8525</v>
      </c>
      <c r="AC82" s="33"/>
      <c r="AD82" s="33"/>
      <c r="AE82" s="33"/>
      <c r="AF82" s="33" t="s">
        <v>9358</v>
      </c>
      <c r="AG82" s="33"/>
      <c r="AH82" s="33" t="s">
        <v>8560</v>
      </c>
      <c r="AI82" s="33"/>
      <c r="AJ82" s="33"/>
      <c r="AK82" s="33"/>
      <c r="AL82" s="33" t="s">
        <v>8507</v>
      </c>
      <c r="AM82" s="33" t="s">
        <v>8602</v>
      </c>
      <c r="AN82" s="33" t="s">
        <v>9359</v>
      </c>
      <c r="AO82" s="33" t="s">
        <v>9360</v>
      </c>
      <c r="AP82" s="33">
        <v>1</v>
      </c>
      <c r="AQ82" s="5" t="s">
        <v>10037</v>
      </c>
      <c r="AR82" s="33" t="s">
        <v>9361</v>
      </c>
      <c r="AS82" s="33" t="s">
        <v>96</v>
      </c>
      <c r="AT82" s="33" t="s">
        <v>8645</v>
      </c>
      <c r="AU82" s="33" t="s">
        <v>8646</v>
      </c>
      <c r="AV82" s="33" t="s">
        <v>8647</v>
      </c>
      <c r="AW82" s="33" t="s">
        <v>8648</v>
      </c>
      <c r="AX82" s="33" t="s">
        <v>9352</v>
      </c>
      <c r="AY82" s="33" t="s">
        <v>9353</v>
      </c>
      <c r="AZ82" s="33" t="s">
        <v>9354</v>
      </c>
      <c r="BA82" s="33" t="s">
        <v>8570</v>
      </c>
      <c r="BB82" s="33" t="s">
        <v>8571</v>
      </c>
      <c r="BC82" s="33" t="s">
        <v>9355</v>
      </c>
      <c r="BD82" s="33" t="s">
        <v>8653</v>
      </c>
      <c r="BE82" s="33"/>
      <c r="BF82" s="33"/>
      <c r="BG82" s="33" t="s">
        <v>8571</v>
      </c>
      <c r="BH82" s="33" t="s">
        <v>9356</v>
      </c>
      <c r="BI82" s="33"/>
      <c r="BJ82" s="33"/>
      <c r="BK82" s="33" t="s">
        <v>8822</v>
      </c>
      <c r="BL82" s="33" t="s">
        <v>8501</v>
      </c>
      <c r="BM82" s="33" t="s">
        <v>9357</v>
      </c>
      <c r="BN82" s="33" t="s">
        <v>9273</v>
      </c>
      <c r="BO82" s="33" t="s">
        <v>8500</v>
      </c>
      <c r="BP82" s="33" t="s">
        <v>8500</v>
      </c>
      <c r="BQ82" s="33" t="s">
        <v>8500</v>
      </c>
      <c r="BR82" s="33" t="s">
        <v>8525</v>
      </c>
      <c r="BS82" s="33"/>
      <c r="BT82" s="33"/>
      <c r="BU82" s="33"/>
      <c r="BV82" s="33" t="s">
        <v>9358</v>
      </c>
      <c r="BW82" s="33"/>
      <c r="BX82" s="33" t="s">
        <v>8560</v>
      </c>
      <c r="BY82" s="33"/>
      <c r="BZ82" s="33" t="s">
        <v>8506</v>
      </c>
      <c r="CA82" s="33" t="s">
        <v>8528</v>
      </c>
      <c r="CB82" s="33" t="s">
        <v>8507</v>
      </c>
      <c r="CC82" s="33" t="s">
        <v>8602</v>
      </c>
      <c r="CD82" s="33" t="s">
        <v>9359</v>
      </c>
      <c r="CE82" s="33" t="s">
        <v>9360</v>
      </c>
      <c r="CF82" s="33">
        <v>2</v>
      </c>
      <c r="CG82" s="5" t="s">
        <v>10037</v>
      </c>
      <c r="CH82" s="33">
        <f t="shared" si="27"/>
        <v>0</v>
      </c>
      <c r="CI82" s="33">
        <f t="shared" si="27"/>
        <v>0</v>
      </c>
      <c r="CJ82" s="33">
        <f t="shared" si="27"/>
        <v>0</v>
      </c>
      <c r="CK82" s="33">
        <f t="shared" si="27"/>
        <v>0</v>
      </c>
      <c r="CL82" s="33">
        <f t="shared" si="27"/>
        <v>0</v>
      </c>
      <c r="CM82" s="33">
        <f t="shared" si="27"/>
        <v>0</v>
      </c>
      <c r="CN82" s="33">
        <f t="shared" si="27"/>
        <v>0</v>
      </c>
      <c r="CO82" s="33">
        <f t="shared" si="27"/>
        <v>0</v>
      </c>
      <c r="CP82" s="33">
        <f t="shared" si="27"/>
        <v>0</v>
      </c>
      <c r="CQ82" s="33">
        <f t="shared" si="27"/>
        <v>0</v>
      </c>
      <c r="CR82" s="33">
        <f t="shared" si="27"/>
        <v>0</v>
      </c>
      <c r="CS82" s="33">
        <f t="shared" si="27"/>
        <v>0</v>
      </c>
      <c r="CT82" s="33">
        <f t="shared" si="27"/>
        <v>0</v>
      </c>
      <c r="CU82" s="33">
        <f t="shared" si="27"/>
        <v>0</v>
      </c>
      <c r="CV82" s="33">
        <f t="shared" si="27"/>
        <v>0</v>
      </c>
      <c r="CW82" s="33">
        <f t="shared" si="23"/>
        <v>0</v>
      </c>
      <c r="CX82" s="33">
        <f t="shared" si="23"/>
        <v>0</v>
      </c>
      <c r="CY82" s="33">
        <f t="shared" si="23"/>
        <v>0</v>
      </c>
      <c r="CZ82" s="33">
        <f t="shared" si="23"/>
        <v>0</v>
      </c>
      <c r="DA82" s="33">
        <f t="shared" si="23"/>
        <v>0</v>
      </c>
      <c r="DB82" s="33">
        <f t="shared" si="23"/>
        <v>0</v>
      </c>
      <c r="DC82" s="33">
        <f t="shared" si="38"/>
        <v>0</v>
      </c>
      <c r="DD82" s="33">
        <f t="shared" si="38"/>
        <v>0</v>
      </c>
      <c r="DE82" s="33">
        <f t="shared" si="38"/>
        <v>0</v>
      </c>
      <c r="DF82" s="33">
        <f t="shared" si="38"/>
        <v>0</v>
      </c>
      <c r="DG82" s="33">
        <f t="shared" si="38"/>
        <v>0</v>
      </c>
      <c r="DH82" s="33">
        <f t="shared" si="38"/>
        <v>0</v>
      </c>
      <c r="DI82" s="33">
        <f t="shared" si="38"/>
        <v>0</v>
      </c>
      <c r="DJ82" s="33">
        <f t="shared" si="38"/>
        <v>0</v>
      </c>
      <c r="DK82" s="33">
        <f t="shared" si="38"/>
        <v>0</v>
      </c>
      <c r="DL82" s="33">
        <f t="shared" si="21"/>
        <v>0</v>
      </c>
      <c r="DM82" s="33">
        <f t="shared" si="21"/>
        <v>0</v>
      </c>
      <c r="DN82" s="33">
        <f t="shared" si="19"/>
        <v>0</v>
      </c>
      <c r="DO82" s="33">
        <f t="shared" si="19"/>
        <v>1</v>
      </c>
      <c r="DP82" s="50">
        <f t="shared" si="30"/>
        <v>0</v>
      </c>
      <c r="DQ82" s="50" t="str">
        <f t="shared" si="31"/>
        <v>C</v>
      </c>
      <c r="DR82" s="33">
        <f t="shared" si="28"/>
        <v>1</v>
      </c>
      <c r="DS82" s="50">
        <f t="shared" si="32"/>
        <v>0</v>
      </c>
      <c r="DT82" s="50" t="str">
        <f t="shared" si="33"/>
        <v>5-MEDIA BAJA</v>
      </c>
      <c r="DU82" s="33">
        <f t="shared" si="29"/>
        <v>0</v>
      </c>
      <c r="DV82" s="33">
        <f t="shared" si="29"/>
        <v>0</v>
      </c>
      <c r="DW82" s="33">
        <f t="shared" si="29"/>
        <v>0</v>
      </c>
      <c r="DX82" s="33">
        <f t="shared" si="26"/>
        <v>0</v>
      </c>
      <c r="DY82" s="35">
        <f t="shared" si="34"/>
        <v>2</v>
      </c>
      <c r="DZ82" s="33">
        <f t="shared" si="35"/>
        <v>11</v>
      </c>
      <c r="EA82" s="33">
        <f t="shared" si="36"/>
        <v>9</v>
      </c>
      <c r="EB82" s="33" t="str">
        <f t="shared" si="37"/>
        <v>AUX 2 COM + CAMPOS PREENC</v>
      </c>
      <c r="EC82" s="33" t="s">
        <v>10034</v>
      </c>
    </row>
    <row r="83" spans="2:133" x14ac:dyDescent="0.25">
      <c r="B83" s="33"/>
      <c r="C83" s="33" t="s">
        <v>168</v>
      </c>
      <c r="D83" s="33" t="s">
        <v>8829</v>
      </c>
      <c r="E83" s="33" t="s">
        <v>8830</v>
      </c>
      <c r="F83" s="33" t="s">
        <v>9078</v>
      </c>
      <c r="G83" s="33" t="s">
        <v>9079</v>
      </c>
      <c r="H83" s="33" t="s">
        <v>9080</v>
      </c>
      <c r="I83" s="33" t="s">
        <v>9081</v>
      </c>
      <c r="J83" s="33" t="s">
        <v>9082</v>
      </c>
      <c r="K83" s="33" t="s">
        <v>8570</v>
      </c>
      <c r="L83" s="33" t="s">
        <v>8571</v>
      </c>
      <c r="M83" s="33" t="s">
        <v>9362</v>
      </c>
      <c r="N83" s="33" t="s">
        <v>8653</v>
      </c>
      <c r="O83" s="33"/>
      <c r="P83" s="33"/>
      <c r="Q83" s="33" t="s">
        <v>8571</v>
      </c>
      <c r="R83" s="33" t="s">
        <v>9363</v>
      </c>
      <c r="S83" s="33"/>
      <c r="T83" s="33"/>
      <c r="U83" s="33" t="s">
        <v>9085</v>
      </c>
      <c r="V83" s="33" t="s">
        <v>9270</v>
      </c>
      <c r="W83" s="33" t="s">
        <v>8782</v>
      </c>
      <c r="X83" s="33" t="s">
        <v>9364</v>
      </c>
      <c r="Y83" s="33" t="s">
        <v>8525</v>
      </c>
      <c r="Z83" s="33" t="s">
        <v>8500</v>
      </c>
      <c r="AA83" s="33" t="s">
        <v>8525</v>
      </c>
      <c r="AB83" s="33" t="s">
        <v>8500</v>
      </c>
      <c r="AC83" s="33"/>
      <c r="AD83" s="33"/>
      <c r="AE83" s="33"/>
      <c r="AF83" s="33" t="s">
        <v>9365</v>
      </c>
      <c r="AG83" s="33"/>
      <c r="AH83" s="33" t="s">
        <v>8527</v>
      </c>
      <c r="AI83" s="33"/>
      <c r="AJ83" s="33"/>
      <c r="AK83" s="33"/>
      <c r="AL83" s="33" t="s">
        <v>8528</v>
      </c>
      <c r="AM83" s="33" t="s">
        <v>8545</v>
      </c>
      <c r="AN83" s="33" t="s">
        <v>8858</v>
      </c>
      <c r="AO83" s="33" t="s">
        <v>8859</v>
      </c>
      <c r="AP83" s="33">
        <v>1</v>
      </c>
      <c r="AQ83" s="5" t="s">
        <v>10037</v>
      </c>
      <c r="AR83" s="33" t="s">
        <v>9366</v>
      </c>
      <c r="AS83" s="33" t="s">
        <v>168</v>
      </c>
      <c r="AT83" s="33" t="s">
        <v>8829</v>
      </c>
      <c r="AU83" s="33" t="s">
        <v>8830</v>
      </c>
      <c r="AV83" s="33" t="s">
        <v>9078</v>
      </c>
      <c r="AW83" s="33" t="s">
        <v>9079</v>
      </c>
      <c r="AX83" s="33" t="s">
        <v>9080</v>
      </c>
      <c r="AY83" s="33" t="s">
        <v>9081</v>
      </c>
      <c r="AZ83" s="33" t="s">
        <v>9082</v>
      </c>
      <c r="BA83" s="33" t="s">
        <v>8570</v>
      </c>
      <c r="BB83" s="33" t="s">
        <v>8571</v>
      </c>
      <c r="BC83" s="33" t="s">
        <v>9362</v>
      </c>
      <c r="BD83" s="33" t="s">
        <v>8653</v>
      </c>
      <c r="BE83" s="33"/>
      <c r="BF83" s="33"/>
      <c r="BG83" s="33" t="s">
        <v>8571</v>
      </c>
      <c r="BH83" s="33" t="s">
        <v>9363</v>
      </c>
      <c r="BI83" s="33"/>
      <c r="BJ83" s="33"/>
      <c r="BK83" s="33" t="s">
        <v>9085</v>
      </c>
      <c r="BL83" s="33" t="s">
        <v>9270</v>
      </c>
      <c r="BM83" s="33" t="s">
        <v>8782</v>
      </c>
      <c r="BN83" s="33" t="s">
        <v>9364</v>
      </c>
      <c r="BO83" s="33" t="s">
        <v>8525</v>
      </c>
      <c r="BP83" s="33" t="s">
        <v>8500</v>
      </c>
      <c r="BQ83" s="33" t="s">
        <v>8525</v>
      </c>
      <c r="BR83" s="33" t="s">
        <v>8500</v>
      </c>
      <c r="BS83" s="33"/>
      <c r="BT83" s="33"/>
      <c r="BU83" s="33"/>
      <c r="BV83" s="33" t="s">
        <v>9365</v>
      </c>
      <c r="BW83" s="33"/>
      <c r="BX83" s="33" t="s">
        <v>8527</v>
      </c>
      <c r="BY83" s="33"/>
      <c r="BZ83" s="33" t="s">
        <v>8545</v>
      </c>
      <c r="CA83" s="33" t="s">
        <v>9090</v>
      </c>
      <c r="CB83" s="33" t="s">
        <v>8528</v>
      </c>
      <c r="CC83" s="33" t="s">
        <v>8545</v>
      </c>
      <c r="CD83" s="33" t="s">
        <v>8858</v>
      </c>
      <c r="CE83" s="33" t="s">
        <v>8859</v>
      </c>
      <c r="CF83" s="33">
        <v>2</v>
      </c>
      <c r="CG83" s="5" t="s">
        <v>10037</v>
      </c>
      <c r="CH83" s="33">
        <f t="shared" si="27"/>
        <v>0</v>
      </c>
      <c r="CI83" s="33">
        <f t="shared" si="27"/>
        <v>0</v>
      </c>
      <c r="CJ83" s="33">
        <f t="shared" si="27"/>
        <v>0</v>
      </c>
      <c r="CK83" s="33">
        <f t="shared" si="27"/>
        <v>0</v>
      </c>
      <c r="CL83" s="33">
        <f t="shared" si="27"/>
        <v>0</v>
      </c>
      <c r="CM83" s="33">
        <f t="shared" si="27"/>
        <v>0</v>
      </c>
      <c r="CN83" s="33">
        <f t="shared" si="27"/>
        <v>0</v>
      </c>
      <c r="CO83" s="33">
        <f t="shared" si="27"/>
        <v>0</v>
      </c>
      <c r="CP83" s="33">
        <f t="shared" si="27"/>
        <v>0</v>
      </c>
      <c r="CQ83" s="33">
        <f t="shared" si="27"/>
        <v>0</v>
      </c>
      <c r="CR83" s="33">
        <f t="shared" si="27"/>
        <v>0</v>
      </c>
      <c r="CS83" s="33">
        <f t="shared" si="27"/>
        <v>0</v>
      </c>
      <c r="CT83" s="33">
        <f t="shared" si="27"/>
        <v>0</v>
      </c>
      <c r="CU83" s="33">
        <f t="shared" si="27"/>
        <v>0</v>
      </c>
      <c r="CV83" s="33">
        <f t="shared" si="27"/>
        <v>0</v>
      </c>
      <c r="CW83" s="33">
        <f t="shared" si="23"/>
        <v>0</v>
      </c>
      <c r="CX83" s="33">
        <f t="shared" si="23"/>
        <v>0</v>
      </c>
      <c r="CY83" s="33">
        <f t="shared" si="23"/>
        <v>0</v>
      </c>
      <c r="CZ83" s="33">
        <f t="shared" si="23"/>
        <v>0</v>
      </c>
      <c r="DA83" s="33">
        <f t="shared" si="23"/>
        <v>0</v>
      </c>
      <c r="DB83" s="33">
        <f t="shared" si="23"/>
        <v>0</v>
      </c>
      <c r="DC83" s="33">
        <f t="shared" si="38"/>
        <v>0</v>
      </c>
      <c r="DD83" s="33">
        <f t="shared" si="38"/>
        <v>0</v>
      </c>
      <c r="DE83" s="33">
        <f t="shared" si="38"/>
        <v>0</v>
      </c>
      <c r="DF83" s="33">
        <f t="shared" si="38"/>
        <v>0</v>
      </c>
      <c r="DG83" s="33">
        <f t="shared" si="38"/>
        <v>0</v>
      </c>
      <c r="DH83" s="33">
        <f t="shared" si="38"/>
        <v>0</v>
      </c>
      <c r="DI83" s="33">
        <f t="shared" si="38"/>
        <v>0</v>
      </c>
      <c r="DJ83" s="33">
        <f t="shared" si="38"/>
        <v>0</v>
      </c>
      <c r="DK83" s="33">
        <f t="shared" si="38"/>
        <v>0</v>
      </c>
      <c r="DL83" s="33">
        <f t="shared" si="21"/>
        <v>0</v>
      </c>
      <c r="DM83" s="33">
        <f t="shared" si="21"/>
        <v>0</v>
      </c>
      <c r="DN83" s="33">
        <f t="shared" si="19"/>
        <v>0</v>
      </c>
      <c r="DO83" s="33">
        <f t="shared" si="19"/>
        <v>1</v>
      </c>
      <c r="DP83" s="50">
        <f t="shared" si="30"/>
        <v>0</v>
      </c>
      <c r="DQ83" s="50" t="str">
        <f t="shared" si="31"/>
        <v>D</v>
      </c>
      <c r="DR83" s="33">
        <f t="shared" si="28"/>
        <v>1</v>
      </c>
      <c r="DS83" s="50">
        <f t="shared" si="32"/>
        <v>0</v>
      </c>
      <c r="DT83" s="50" t="str">
        <f t="shared" si="33"/>
        <v>6-BAJA</v>
      </c>
      <c r="DU83" s="33">
        <f t="shared" si="29"/>
        <v>0</v>
      </c>
      <c r="DV83" s="33">
        <f t="shared" si="29"/>
        <v>0</v>
      </c>
      <c r="DW83" s="33">
        <f t="shared" si="29"/>
        <v>0</v>
      </c>
      <c r="DX83" s="33">
        <f t="shared" si="26"/>
        <v>0</v>
      </c>
      <c r="DY83" s="35">
        <f t="shared" si="34"/>
        <v>2</v>
      </c>
      <c r="DZ83" s="33">
        <f t="shared" si="35"/>
        <v>11</v>
      </c>
      <c r="EA83" s="33">
        <f t="shared" si="36"/>
        <v>9</v>
      </c>
      <c r="EB83" s="33" t="str">
        <f t="shared" si="37"/>
        <v>AUX 2 COM + CAMPOS PREENC</v>
      </c>
      <c r="EC83" s="33" t="s">
        <v>10034</v>
      </c>
    </row>
    <row r="84" spans="2:133" x14ac:dyDescent="0.25">
      <c r="B84" s="33" t="s">
        <v>9367</v>
      </c>
      <c r="C84" s="33" t="s">
        <v>49</v>
      </c>
      <c r="D84" s="33" t="s">
        <v>8788</v>
      </c>
      <c r="E84" s="33" t="s">
        <v>8789</v>
      </c>
      <c r="F84" s="33" t="s">
        <v>8790</v>
      </c>
      <c r="G84" s="33" t="s">
        <v>8789</v>
      </c>
      <c r="H84" s="33" t="s">
        <v>9368</v>
      </c>
      <c r="I84" s="33" t="s">
        <v>9369</v>
      </c>
      <c r="J84" s="33" t="s">
        <v>8789</v>
      </c>
      <c r="K84" s="33" t="s">
        <v>8570</v>
      </c>
      <c r="L84" s="33" t="s">
        <v>8571</v>
      </c>
      <c r="M84" s="33" t="s">
        <v>9370</v>
      </c>
      <c r="N84" s="33" t="s">
        <v>9069</v>
      </c>
      <c r="O84" s="33"/>
      <c r="P84" s="33"/>
      <c r="Q84" s="33" t="s">
        <v>8571</v>
      </c>
      <c r="R84" s="33"/>
      <c r="S84" s="33"/>
      <c r="T84" s="33"/>
      <c r="U84" s="33" t="s">
        <v>9371</v>
      </c>
      <c r="V84" s="33" t="s">
        <v>9372</v>
      </c>
      <c r="W84" s="33" t="s">
        <v>9373</v>
      </c>
      <c r="X84" s="33"/>
      <c r="Y84" s="33" t="s">
        <v>8500</v>
      </c>
      <c r="Z84" s="33" t="s">
        <v>8500</v>
      </c>
      <c r="AA84" s="33" t="s">
        <v>8500</v>
      </c>
      <c r="AB84" s="33" t="s">
        <v>8525</v>
      </c>
      <c r="AC84" s="33"/>
      <c r="AD84" s="33"/>
      <c r="AE84" s="33"/>
      <c r="AF84" s="33" t="s">
        <v>9374</v>
      </c>
      <c r="AG84" s="33"/>
      <c r="AH84" s="33" t="s">
        <v>8606</v>
      </c>
      <c r="AI84" s="33"/>
      <c r="AJ84" s="33" t="s">
        <v>8545</v>
      </c>
      <c r="AK84" s="33" t="s">
        <v>8528</v>
      </c>
      <c r="AL84" s="33" t="s">
        <v>9375</v>
      </c>
      <c r="AM84" s="33" t="s">
        <v>8640</v>
      </c>
      <c r="AN84" s="33" t="s">
        <v>9376</v>
      </c>
      <c r="AO84" s="33" t="s">
        <v>9377</v>
      </c>
      <c r="AP84" s="33">
        <v>1</v>
      </c>
      <c r="AQ84" s="5" t="s">
        <v>10037</v>
      </c>
      <c r="AR84" s="33"/>
      <c r="AS84" s="33" t="s">
        <v>49</v>
      </c>
      <c r="AT84" s="33" t="s">
        <v>8788</v>
      </c>
      <c r="AU84" s="33" t="s">
        <v>8789</v>
      </c>
      <c r="AV84" s="33" t="s">
        <v>8790</v>
      </c>
      <c r="AW84" s="33" t="s">
        <v>8789</v>
      </c>
      <c r="AX84" s="33" t="s">
        <v>9368</v>
      </c>
      <c r="AY84" s="33" t="s">
        <v>9369</v>
      </c>
      <c r="AZ84" s="33" t="s">
        <v>8789</v>
      </c>
      <c r="BA84" s="33" t="s">
        <v>8570</v>
      </c>
      <c r="BB84" s="33" t="s">
        <v>8571</v>
      </c>
      <c r="BC84" s="33" t="s">
        <v>9370</v>
      </c>
      <c r="BD84" s="33" t="s">
        <v>9069</v>
      </c>
      <c r="BE84" s="33"/>
      <c r="BF84" s="33"/>
      <c r="BG84" s="33" t="s">
        <v>8571</v>
      </c>
      <c r="BH84" s="33"/>
      <c r="BI84" s="33"/>
      <c r="BJ84" s="33"/>
      <c r="BK84" s="33" t="s">
        <v>9371</v>
      </c>
      <c r="BL84" s="33" t="s">
        <v>9372</v>
      </c>
      <c r="BM84" s="33" t="s">
        <v>9373</v>
      </c>
      <c r="BN84" s="33"/>
      <c r="BO84" s="33" t="s">
        <v>8500</v>
      </c>
      <c r="BP84" s="33" t="s">
        <v>8500</v>
      </c>
      <c r="BQ84" s="33" t="s">
        <v>8500</v>
      </c>
      <c r="BR84" s="33" t="s">
        <v>8525</v>
      </c>
      <c r="BS84" s="33"/>
      <c r="BT84" s="33"/>
      <c r="BU84" s="33"/>
      <c r="BV84" s="33" t="s">
        <v>9374</v>
      </c>
      <c r="BW84" s="33"/>
      <c r="BX84" s="33" t="s">
        <v>8606</v>
      </c>
      <c r="BY84" s="33"/>
      <c r="BZ84" s="33"/>
      <c r="CA84" s="33"/>
      <c r="CB84" s="33" t="s">
        <v>9375</v>
      </c>
      <c r="CC84" s="33" t="s">
        <v>8640</v>
      </c>
      <c r="CD84" s="33" t="s">
        <v>9376</v>
      </c>
      <c r="CE84" s="33" t="s">
        <v>9377</v>
      </c>
      <c r="CF84" s="33">
        <v>2</v>
      </c>
      <c r="CG84" s="5" t="s">
        <v>10037</v>
      </c>
      <c r="CH84" s="33">
        <f t="shared" si="27"/>
        <v>0</v>
      </c>
      <c r="CI84" s="33">
        <f t="shared" si="27"/>
        <v>0</v>
      </c>
      <c r="CJ84" s="33">
        <f t="shared" si="27"/>
        <v>0</v>
      </c>
      <c r="CK84" s="33">
        <f t="shared" si="27"/>
        <v>0</v>
      </c>
      <c r="CL84" s="33">
        <f t="shared" si="27"/>
        <v>0</v>
      </c>
      <c r="CM84" s="33">
        <f t="shared" si="27"/>
        <v>0</v>
      </c>
      <c r="CN84" s="33">
        <f t="shared" si="27"/>
        <v>0</v>
      </c>
      <c r="CO84" s="33">
        <f t="shared" si="27"/>
        <v>0</v>
      </c>
      <c r="CP84" s="33">
        <f t="shared" si="27"/>
        <v>0</v>
      </c>
      <c r="CQ84" s="33">
        <f t="shared" si="27"/>
        <v>0</v>
      </c>
      <c r="CR84" s="33">
        <f t="shared" si="27"/>
        <v>0</v>
      </c>
      <c r="CS84" s="33">
        <f t="shared" si="27"/>
        <v>0</v>
      </c>
      <c r="CT84" s="33">
        <f t="shared" si="27"/>
        <v>0</v>
      </c>
      <c r="CU84" s="33">
        <f t="shared" si="27"/>
        <v>0</v>
      </c>
      <c r="CV84" s="33">
        <f t="shared" si="27"/>
        <v>0</v>
      </c>
      <c r="CW84" s="33">
        <f t="shared" si="23"/>
        <v>0</v>
      </c>
      <c r="CX84" s="33">
        <f t="shared" si="23"/>
        <v>0</v>
      </c>
      <c r="CY84" s="33">
        <f t="shared" si="23"/>
        <v>0</v>
      </c>
      <c r="CZ84" s="33">
        <f t="shared" si="23"/>
        <v>0</v>
      </c>
      <c r="DA84" s="33">
        <f t="shared" si="23"/>
        <v>0</v>
      </c>
      <c r="DB84" s="33">
        <f t="shared" si="23"/>
        <v>0</v>
      </c>
      <c r="DC84" s="33">
        <f t="shared" si="38"/>
        <v>0</v>
      </c>
      <c r="DD84" s="33">
        <f t="shared" si="38"/>
        <v>0</v>
      </c>
      <c r="DE84" s="33">
        <f t="shared" si="38"/>
        <v>0</v>
      </c>
      <c r="DF84" s="33">
        <f t="shared" si="38"/>
        <v>0</v>
      </c>
      <c r="DG84" s="33">
        <f t="shared" si="38"/>
        <v>0</v>
      </c>
      <c r="DH84" s="33">
        <f t="shared" si="38"/>
        <v>0</v>
      </c>
      <c r="DI84" s="33">
        <f t="shared" si="38"/>
        <v>0</v>
      </c>
      <c r="DJ84" s="33">
        <f t="shared" si="38"/>
        <v>0</v>
      </c>
      <c r="DK84" s="33">
        <f t="shared" si="38"/>
        <v>0</v>
      </c>
      <c r="DL84" s="33">
        <f t="shared" si="21"/>
        <v>0</v>
      </c>
      <c r="DM84" s="33">
        <f t="shared" si="21"/>
        <v>0</v>
      </c>
      <c r="DN84" s="33">
        <f t="shared" si="21"/>
        <v>0</v>
      </c>
      <c r="DO84" s="33">
        <f t="shared" si="21"/>
        <v>1</v>
      </c>
      <c r="DP84" s="50" t="str">
        <f t="shared" si="30"/>
        <v>D</v>
      </c>
      <c r="DQ84" s="50">
        <f t="shared" si="31"/>
        <v>0</v>
      </c>
      <c r="DR84" s="33">
        <f t="shared" si="28"/>
        <v>1</v>
      </c>
      <c r="DS84" s="50" t="str">
        <f t="shared" si="32"/>
        <v>5-MEDIA BAJA</v>
      </c>
      <c r="DT84" s="50">
        <f t="shared" si="33"/>
        <v>0</v>
      </c>
      <c r="DU84" s="33">
        <f t="shared" si="29"/>
        <v>0</v>
      </c>
      <c r="DV84" s="33">
        <f t="shared" si="29"/>
        <v>0</v>
      </c>
      <c r="DW84" s="33">
        <f t="shared" si="29"/>
        <v>0</v>
      </c>
      <c r="DX84" s="33">
        <f t="shared" si="26"/>
        <v>0</v>
      </c>
      <c r="DY84" s="35">
        <f t="shared" si="34"/>
        <v>2</v>
      </c>
      <c r="DZ84" s="33">
        <f t="shared" si="35"/>
        <v>11</v>
      </c>
      <c r="EA84" s="33">
        <f t="shared" si="36"/>
        <v>13</v>
      </c>
      <c r="EB84" s="33" t="str">
        <f t="shared" si="37"/>
        <v>AUX 1 COM + CAMPOS PREENC OU IGUAL</v>
      </c>
      <c r="EC84" s="33" t="s">
        <v>10034</v>
      </c>
    </row>
    <row r="85" spans="2:133" x14ac:dyDescent="0.25">
      <c r="B85" s="33" t="s">
        <v>9378</v>
      </c>
      <c r="C85" s="33" t="s">
        <v>114</v>
      </c>
      <c r="D85" s="33" t="s">
        <v>8486</v>
      </c>
      <c r="E85" s="33" t="s">
        <v>8487</v>
      </c>
      <c r="F85" s="33" t="s">
        <v>8598</v>
      </c>
      <c r="G85" s="33" t="s">
        <v>8599</v>
      </c>
      <c r="H85" s="33" t="s">
        <v>9379</v>
      </c>
      <c r="I85" s="33" t="s">
        <v>8599</v>
      </c>
      <c r="J85" s="33" t="s">
        <v>8599</v>
      </c>
      <c r="K85" s="33" t="s">
        <v>9380</v>
      </c>
      <c r="L85" s="33" t="s">
        <v>9098</v>
      </c>
      <c r="M85" s="33" t="s">
        <v>9381</v>
      </c>
      <c r="N85" s="33" t="s">
        <v>8539</v>
      </c>
      <c r="O85" s="33"/>
      <c r="P85" s="33"/>
      <c r="Q85" s="33" t="s">
        <v>9098</v>
      </c>
      <c r="R85" s="33" t="s">
        <v>9382</v>
      </c>
      <c r="S85" s="33"/>
      <c r="T85" s="33"/>
      <c r="U85" s="33" t="s">
        <v>9383</v>
      </c>
      <c r="V85" s="33" t="s">
        <v>9384</v>
      </c>
      <c r="W85" s="33" t="s">
        <v>9385</v>
      </c>
      <c r="X85" s="33" t="s">
        <v>8957</v>
      </c>
      <c r="Y85" s="33" t="s">
        <v>8500</v>
      </c>
      <c r="Z85" s="33" t="s">
        <v>8500</v>
      </c>
      <c r="AA85" s="33" t="s">
        <v>8500</v>
      </c>
      <c r="AB85" s="33" t="s">
        <v>8525</v>
      </c>
      <c r="AC85" s="33"/>
      <c r="AD85" s="33"/>
      <c r="AE85" s="33"/>
      <c r="AF85" s="33" t="s">
        <v>9386</v>
      </c>
      <c r="AG85" s="33"/>
      <c r="AH85" s="33" t="s">
        <v>8606</v>
      </c>
      <c r="AI85" s="33"/>
      <c r="AJ85" s="33"/>
      <c r="AK85" s="33"/>
      <c r="AL85" s="33" t="s">
        <v>9375</v>
      </c>
      <c r="AM85" s="33" t="s">
        <v>8640</v>
      </c>
      <c r="AN85" s="33" t="s">
        <v>9387</v>
      </c>
      <c r="AO85" s="33" t="s">
        <v>9388</v>
      </c>
      <c r="AP85" s="33">
        <v>1</v>
      </c>
      <c r="AQ85" s="5" t="s">
        <v>10037</v>
      </c>
      <c r="AR85" s="33"/>
      <c r="AS85" s="33" t="s">
        <v>114</v>
      </c>
      <c r="AT85" s="33" t="s">
        <v>8486</v>
      </c>
      <c r="AU85" s="33" t="s">
        <v>8487</v>
      </c>
      <c r="AV85" s="33" t="s">
        <v>8598</v>
      </c>
      <c r="AW85" s="33" t="s">
        <v>8599</v>
      </c>
      <c r="AX85" s="33" t="s">
        <v>9379</v>
      </c>
      <c r="AY85" s="33" t="s">
        <v>8599</v>
      </c>
      <c r="AZ85" s="33" t="s">
        <v>8599</v>
      </c>
      <c r="BA85" s="33" t="s">
        <v>9380</v>
      </c>
      <c r="BB85" s="33" t="s">
        <v>9098</v>
      </c>
      <c r="BC85" s="33" t="s">
        <v>9381</v>
      </c>
      <c r="BD85" s="33" t="s">
        <v>8539</v>
      </c>
      <c r="BE85" s="33"/>
      <c r="BF85" s="33"/>
      <c r="BG85" s="33" t="s">
        <v>9098</v>
      </c>
      <c r="BH85" s="33" t="s">
        <v>9382</v>
      </c>
      <c r="BI85" s="33"/>
      <c r="BJ85" s="33"/>
      <c r="BK85" s="33" t="s">
        <v>9383</v>
      </c>
      <c r="BL85" s="33" t="s">
        <v>9384</v>
      </c>
      <c r="BM85" s="33" t="s">
        <v>9385</v>
      </c>
      <c r="BN85" s="33" t="s">
        <v>8957</v>
      </c>
      <c r="BO85" s="33" t="s">
        <v>8500</v>
      </c>
      <c r="BP85" s="33" t="s">
        <v>8500</v>
      </c>
      <c r="BQ85" s="33" t="s">
        <v>8500</v>
      </c>
      <c r="BR85" s="33" t="s">
        <v>8525</v>
      </c>
      <c r="BS85" s="33"/>
      <c r="BT85" s="33"/>
      <c r="BU85" s="33"/>
      <c r="BV85" s="33" t="s">
        <v>9386</v>
      </c>
      <c r="BW85" s="33"/>
      <c r="BX85" s="33" t="s">
        <v>8606</v>
      </c>
      <c r="BY85" s="33"/>
      <c r="BZ85" s="33"/>
      <c r="CA85" s="33"/>
      <c r="CB85" s="33" t="s">
        <v>9375</v>
      </c>
      <c r="CC85" s="33" t="s">
        <v>8640</v>
      </c>
      <c r="CD85" s="33" t="s">
        <v>9387</v>
      </c>
      <c r="CE85" s="33" t="s">
        <v>9388</v>
      </c>
      <c r="CF85" s="33">
        <v>2</v>
      </c>
      <c r="CG85" s="5" t="s">
        <v>10037</v>
      </c>
      <c r="CH85" s="33">
        <f t="shared" si="27"/>
        <v>0</v>
      </c>
      <c r="CI85" s="33">
        <f t="shared" si="27"/>
        <v>0</v>
      </c>
      <c r="CJ85" s="33">
        <f t="shared" si="27"/>
        <v>0</v>
      </c>
      <c r="CK85" s="33">
        <f t="shared" si="27"/>
        <v>0</v>
      </c>
      <c r="CL85" s="33">
        <f t="shared" si="27"/>
        <v>0</v>
      </c>
      <c r="CM85" s="33">
        <f t="shared" si="27"/>
        <v>0</v>
      </c>
      <c r="CN85" s="33">
        <f t="shared" si="27"/>
        <v>0</v>
      </c>
      <c r="CO85" s="33">
        <f t="shared" si="27"/>
        <v>0</v>
      </c>
      <c r="CP85" s="33">
        <f t="shared" si="27"/>
        <v>0</v>
      </c>
      <c r="CQ85" s="33">
        <f t="shared" si="27"/>
        <v>0</v>
      </c>
      <c r="CR85" s="33">
        <f t="shared" si="27"/>
        <v>0</v>
      </c>
      <c r="CS85" s="33">
        <f t="shared" si="27"/>
        <v>0</v>
      </c>
      <c r="CT85" s="33">
        <f t="shared" si="27"/>
        <v>0</v>
      </c>
      <c r="CU85" s="33">
        <f t="shared" si="27"/>
        <v>0</v>
      </c>
      <c r="CV85" s="33">
        <f t="shared" si="27"/>
        <v>0</v>
      </c>
      <c r="CW85" s="33">
        <f t="shared" si="23"/>
        <v>0</v>
      </c>
      <c r="CX85" s="33">
        <f t="shared" si="23"/>
        <v>0</v>
      </c>
      <c r="CY85" s="33">
        <f t="shared" si="23"/>
        <v>0</v>
      </c>
      <c r="CZ85" s="33">
        <f t="shared" si="23"/>
        <v>0</v>
      </c>
      <c r="DA85" s="33">
        <f t="shared" si="23"/>
        <v>0</v>
      </c>
      <c r="DB85" s="33">
        <f t="shared" si="23"/>
        <v>0</v>
      </c>
      <c r="DC85" s="33">
        <f t="shared" si="38"/>
        <v>0</v>
      </c>
      <c r="DD85" s="33">
        <f t="shared" si="38"/>
        <v>0</v>
      </c>
      <c r="DE85" s="33">
        <f t="shared" si="38"/>
        <v>0</v>
      </c>
      <c r="DF85" s="33">
        <f t="shared" si="38"/>
        <v>0</v>
      </c>
      <c r="DG85" s="33">
        <f t="shared" si="38"/>
        <v>0</v>
      </c>
      <c r="DH85" s="33">
        <f t="shared" si="38"/>
        <v>0</v>
      </c>
      <c r="DI85" s="33">
        <f t="shared" si="38"/>
        <v>0</v>
      </c>
      <c r="DJ85" s="33">
        <f t="shared" si="38"/>
        <v>0</v>
      </c>
      <c r="DK85" s="33">
        <f t="shared" si="38"/>
        <v>0</v>
      </c>
      <c r="DL85" s="33">
        <f t="shared" si="21"/>
        <v>0</v>
      </c>
      <c r="DM85" s="33">
        <f t="shared" si="21"/>
        <v>0</v>
      </c>
      <c r="DN85" s="33">
        <f t="shared" si="21"/>
        <v>0</v>
      </c>
      <c r="DO85" s="33">
        <f t="shared" si="21"/>
        <v>0</v>
      </c>
      <c r="DP85" s="50">
        <f t="shared" si="30"/>
        <v>0</v>
      </c>
      <c r="DQ85" s="50">
        <f t="shared" si="31"/>
        <v>0</v>
      </c>
      <c r="DR85" s="33">
        <f t="shared" si="28"/>
        <v>0</v>
      </c>
      <c r="DS85" s="50">
        <f t="shared" si="32"/>
        <v>0</v>
      </c>
      <c r="DT85" s="50">
        <f t="shared" si="33"/>
        <v>0</v>
      </c>
      <c r="DU85" s="33">
        <f t="shared" si="29"/>
        <v>0</v>
      </c>
      <c r="DV85" s="33">
        <f t="shared" si="29"/>
        <v>0</v>
      </c>
      <c r="DW85" s="33">
        <f t="shared" si="29"/>
        <v>0</v>
      </c>
      <c r="DX85" s="33">
        <f t="shared" si="26"/>
        <v>0</v>
      </c>
      <c r="DY85" s="35">
        <f t="shared" si="34"/>
        <v>0</v>
      </c>
      <c r="DZ85" s="33">
        <f t="shared" si="35"/>
        <v>11</v>
      </c>
      <c r="EA85" s="33">
        <f t="shared" si="36"/>
        <v>11</v>
      </c>
      <c r="EB85" s="33" t="str">
        <f t="shared" si="37"/>
        <v>IGUAL CAMPOS PREENCH</v>
      </c>
      <c r="EC85" s="33" t="s">
        <v>10035</v>
      </c>
    </row>
    <row r="86" spans="2:133" x14ac:dyDescent="0.25">
      <c r="B86" s="33"/>
      <c r="C86" s="33" t="s">
        <v>149</v>
      </c>
      <c r="D86" s="33" t="s">
        <v>8513</v>
      </c>
      <c r="E86" s="33" t="s">
        <v>8514</v>
      </c>
      <c r="F86" s="33" t="s">
        <v>9389</v>
      </c>
      <c r="G86" s="33" t="s">
        <v>9390</v>
      </c>
      <c r="H86" s="33" t="s">
        <v>9391</v>
      </c>
      <c r="I86" s="33" t="s">
        <v>9392</v>
      </c>
      <c r="J86" s="33" t="s">
        <v>9393</v>
      </c>
      <c r="K86" s="33" t="s">
        <v>9050</v>
      </c>
      <c r="L86" s="33" t="s">
        <v>9051</v>
      </c>
      <c r="M86" s="33" t="s">
        <v>9394</v>
      </c>
      <c r="N86" s="33" t="s">
        <v>9395</v>
      </c>
      <c r="O86" s="33" t="s">
        <v>9395</v>
      </c>
      <c r="P86" s="33"/>
      <c r="Q86" s="33" t="s">
        <v>9051</v>
      </c>
      <c r="R86" s="33"/>
      <c r="S86" s="33"/>
      <c r="T86" s="33"/>
      <c r="U86" s="33" t="s">
        <v>9396</v>
      </c>
      <c r="V86" s="33" t="s">
        <v>8782</v>
      </c>
      <c r="W86" s="33" t="s">
        <v>9397</v>
      </c>
      <c r="X86" s="33" t="s">
        <v>9398</v>
      </c>
      <c r="Y86" s="33" t="s">
        <v>8500</v>
      </c>
      <c r="Z86" s="33" t="s">
        <v>8500</v>
      </c>
      <c r="AA86" s="33" t="s">
        <v>8500</v>
      </c>
      <c r="AB86" s="33" t="s">
        <v>8525</v>
      </c>
      <c r="AC86" s="33"/>
      <c r="AD86" s="33"/>
      <c r="AE86" s="33"/>
      <c r="AF86" s="33" t="s">
        <v>9399</v>
      </c>
      <c r="AG86" s="33"/>
      <c r="AH86" s="33" t="s">
        <v>8560</v>
      </c>
      <c r="AI86" s="33"/>
      <c r="AJ86" s="33"/>
      <c r="AK86" s="33"/>
      <c r="AL86" s="33" t="s">
        <v>8507</v>
      </c>
      <c r="AM86" s="33" t="s">
        <v>8640</v>
      </c>
      <c r="AN86" s="33" t="s">
        <v>9400</v>
      </c>
      <c r="AO86" s="33" t="s">
        <v>9401</v>
      </c>
      <c r="AP86" s="33">
        <v>1</v>
      </c>
      <c r="AQ86" s="5" t="s">
        <v>10037</v>
      </c>
      <c r="AR86" s="33" t="s">
        <v>9402</v>
      </c>
      <c r="AS86" s="33" t="s">
        <v>149</v>
      </c>
      <c r="AT86" s="33" t="s">
        <v>8513</v>
      </c>
      <c r="AU86" s="33" t="s">
        <v>8514</v>
      </c>
      <c r="AV86" s="33" t="s">
        <v>9389</v>
      </c>
      <c r="AW86" s="33" t="s">
        <v>9390</v>
      </c>
      <c r="AX86" s="33" t="s">
        <v>9391</v>
      </c>
      <c r="AY86" s="33" t="s">
        <v>9392</v>
      </c>
      <c r="AZ86" s="33" t="s">
        <v>9393</v>
      </c>
      <c r="BA86" s="33" t="s">
        <v>9050</v>
      </c>
      <c r="BB86" s="33" t="s">
        <v>9051</v>
      </c>
      <c r="BC86" s="33" t="s">
        <v>9394</v>
      </c>
      <c r="BD86" s="33" t="s">
        <v>9395</v>
      </c>
      <c r="BE86" s="33" t="s">
        <v>9395</v>
      </c>
      <c r="BF86" s="33"/>
      <c r="BG86" s="33" t="s">
        <v>9051</v>
      </c>
      <c r="BH86" s="33"/>
      <c r="BI86" s="33"/>
      <c r="BJ86" s="33"/>
      <c r="BK86" s="33" t="s">
        <v>9396</v>
      </c>
      <c r="BL86" s="33" t="s">
        <v>8782</v>
      </c>
      <c r="BM86" s="33" t="s">
        <v>9397</v>
      </c>
      <c r="BN86" s="33" t="s">
        <v>9398</v>
      </c>
      <c r="BO86" s="33" t="s">
        <v>8500</v>
      </c>
      <c r="BP86" s="33" t="s">
        <v>8500</v>
      </c>
      <c r="BQ86" s="33" t="s">
        <v>8500</v>
      </c>
      <c r="BR86" s="33" t="s">
        <v>8525</v>
      </c>
      <c r="BS86" s="33"/>
      <c r="BT86" s="33"/>
      <c r="BU86" s="33"/>
      <c r="BV86" s="33" t="s">
        <v>9399</v>
      </c>
      <c r="BW86" s="33"/>
      <c r="BX86" s="33" t="s">
        <v>8560</v>
      </c>
      <c r="BY86" s="33"/>
      <c r="BZ86" s="33"/>
      <c r="CA86" s="33"/>
      <c r="CB86" s="33" t="s">
        <v>8507</v>
      </c>
      <c r="CC86" s="33" t="s">
        <v>8640</v>
      </c>
      <c r="CD86" s="33" t="s">
        <v>9400</v>
      </c>
      <c r="CE86" s="33" t="s">
        <v>9401</v>
      </c>
      <c r="CF86" s="33">
        <v>2</v>
      </c>
      <c r="CG86" s="5" t="s">
        <v>10037</v>
      </c>
      <c r="CH86" s="33">
        <f t="shared" ref="CH86:CV102" si="39">+IF(C86=AS86,0,1)</f>
        <v>0</v>
      </c>
      <c r="CI86" s="33">
        <f t="shared" si="39"/>
        <v>0</v>
      </c>
      <c r="CJ86" s="33">
        <f t="shared" si="39"/>
        <v>0</v>
      </c>
      <c r="CK86" s="33">
        <f t="shared" si="39"/>
        <v>0</v>
      </c>
      <c r="CL86" s="33">
        <f t="shared" si="39"/>
        <v>0</v>
      </c>
      <c r="CM86" s="33">
        <f t="shared" si="39"/>
        <v>0</v>
      </c>
      <c r="CN86" s="33">
        <f t="shared" si="39"/>
        <v>0</v>
      </c>
      <c r="CO86" s="33">
        <f t="shared" si="39"/>
        <v>0</v>
      </c>
      <c r="CP86" s="33">
        <f t="shared" si="39"/>
        <v>0</v>
      </c>
      <c r="CQ86" s="33">
        <f t="shared" si="39"/>
        <v>0</v>
      </c>
      <c r="CR86" s="33">
        <f t="shared" si="39"/>
        <v>0</v>
      </c>
      <c r="CS86" s="33">
        <f t="shared" si="39"/>
        <v>0</v>
      </c>
      <c r="CT86" s="33">
        <f t="shared" si="39"/>
        <v>0</v>
      </c>
      <c r="CU86" s="33">
        <f t="shared" si="39"/>
        <v>0</v>
      </c>
      <c r="CV86" s="33">
        <f t="shared" si="39"/>
        <v>0</v>
      </c>
      <c r="CW86" s="33">
        <f t="shared" si="23"/>
        <v>0</v>
      </c>
      <c r="CX86" s="33">
        <f t="shared" si="23"/>
        <v>0</v>
      </c>
      <c r="CY86" s="33">
        <f t="shared" si="23"/>
        <v>0</v>
      </c>
      <c r="CZ86" s="33">
        <f t="shared" si="23"/>
        <v>0</v>
      </c>
      <c r="DA86" s="33">
        <f t="shared" si="23"/>
        <v>0</v>
      </c>
      <c r="DB86" s="33">
        <f t="shared" si="23"/>
        <v>0</v>
      </c>
      <c r="DC86" s="33">
        <f t="shared" si="38"/>
        <v>0</v>
      </c>
      <c r="DD86" s="33">
        <f t="shared" si="38"/>
        <v>0</v>
      </c>
      <c r="DE86" s="33">
        <f t="shared" si="38"/>
        <v>0</v>
      </c>
      <c r="DF86" s="33">
        <f t="shared" si="38"/>
        <v>0</v>
      </c>
      <c r="DG86" s="33">
        <f t="shared" si="38"/>
        <v>0</v>
      </c>
      <c r="DH86" s="33">
        <f t="shared" si="38"/>
        <v>0</v>
      </c>
      <c r="DI86" s="33">
        <f t="shared" si="38"/>
        <v>0</v>
      </c>
      <c r="DJ86" s="33">
        <f t="shared" si="38"/>
        <v>0</v>
      </c>
      <c r="DK86" s="33">
        <f t="shared" si="38"/>
        <v>0</v>
      </c>
      <c r="DL86" s="33">
        <f t="shared" si="21"/>
        <v>0</v>
      </c>
      <c r="DM86" s="33">
        <f t="shared" si="21"/>
        <v>0</v>
      </c>
      <c r="DN86" s="33">
        <f t="shared" si="21"/>
        <v>0</v>
      </c>
      <c r="DO86" s="33">
        <f t="shared" si="21"/>
        <v>0</v>
      </c>
      <c r="DP86" s="50">
        <f t="shared" si="30"/>
        <v>0</v>
      </c>
      <c r="DQ86" s="50">
        <f t="shared" si="31"/>
        <v>0</v>
      </c>
      <c r="DR86" s="33">
        <f t="shared" si="28"/>
        <v>0</v>
      </c>
      <c r="DS86" s="50">
        <f t="shared" si="32"/>
        <v>0</v>
      </c>
      <c r="DT86" s="50">
        <f t="shared" si="33"/>
        <v>0</v>
      </c>
      <c r="DU86" s="33">
        <f t="shared" si="29"/>
        <v>0</v>
      </c>
      <c r="DV86" s="33">
        <f t="shared" si="29"/>
        <v>0</v>
      </c>
      <c r="DW86" s="33">
        <f t="shared" si="29"/>
        <v>0</v>
      </c>
      <c r="DX86" s="33">
        <f t="shared" si="26"/>
        <v>0</v>
      </c>
      <c r="DY86" s="35">
        <f t="shared" si="34"/>
        <v>0</v>
      </c>
      <c r="DZ86" s="33">
        <f t="shared" si="35"/>
        <v>11</v>
      </c>
      <c r="EA86" s="33">
        <f t="shared" si="36"/>
        <v>11</v>
      </c>
      <c r="EB86" s="33" t="str">
        <f t="shared" si="37"/>
        <v>IGUAL CAMPOS PREENCH</v>
      </c>
      <c r="EC86" s="33" t="s">
        <v>10035</v>
      </c>
    </row>
    <row r="87" spans="2:133" x14ac:dyDescent="0.25">
      <c r="B87" s="33" t="s">
        <v>9403</v>
      </c>
      <c r="C87" s="33" t="s">
        <v>42</v>
      </c>
      <c r="D87" s="33" t="s">
        <v>8788</v>
      </c>
      <c r="E87" s="33" t="s">
        <v>8789</v>
      </c>
      <c r="F87" s="33" t="s">
        <v>8790</v>
      </c>
      <c r="G87" s="33" t="s">
        <v>8789</v>
      </c>
      <c r="H87" s="33" t="s">
        <v>9404</v>
      </c>
      <c r="I87" s="33" t="s">
        <v>9405</v>
      </c>
      <c r="J87" s="33" t="s">
        <v>9406</v>
      </c>
      <c r="K87" s="33" t="s">
        <v>8570</v>
      </c>
      <c r="L87" s="33" t="s">
        <v>8571</v>
      </c>
      <c r="M87" s="33" t="s">
        <v>9407</v>
      </c>
      <c r="N87" s="33" t="s">
        <v>9408</v>
      </c>
      <c r="O87" s="33"/>
      <c r="P87" s="33"/>
      <c r="Q87" s="33" t="s">
        <v>8571</v>
      </c>
      <c r="R87" s="33" t="s">
        <v>9409</v>
      </c>
      <c r="S87" s="33"/>
      <c r="T87" s="33"/>
      <c r="U87" s="33" t="s">
        <v>9410</v>
      </c>
      <c r="V87" s="33" t="s">
        <v>9411</v>
      </c>
      <c r="W87" s="33" t="s">
        <v>9412</v>
      </c>
      <c r="X87" s="33" t="s">
        <v>9413</v>
      </c>
      <c r="Y87" s="33" t="s">
        <v>8525</v>
      </c>
      <c r="Z87" s="33" t="s">
        <v>8525</v>
      </c>
      <c r="AA87" s="33" t="s">
        <v>8500</v>
      </c>
      <c r="AB87" s="33" t="s">
        <v>8500</v>
      </c>
      <c r="AC87" s="33"/>
      <c r="AD87" s="33"/>
      <c r="AE87" s="33"/>
      <c r="AF87" s="33" t="s">
        <v>9414</v>
      </c>
      <c r="AG87" s="33"/>
      <c r="AH87" s="33" t="s">
        <v>8527</v>
      </c>
      <c r="AI87" s="33"/>
      <c r="AJ87" s="33"/>
      <c r="AK87" s="33"/>
      <c r="AL87" s="33" t="s">
        <v>8528</v>
      </c>
      <c r="AM87" s="33" t="s">
        <v>8564</v>
      </c>
      <c r="AN87" s="33" t="s">
        <v>9415</v>
      </c>
      <c r="AO87" s="33" t="s">
        <v>9416</v>
      </c>
      <c r="AP87" s="33">
        <v>1</v>
      </c>
      <c r="AQ87" s="5" t="s">
        <v>10037</v>
      </c>
      <c r="AR87" s="33"/>
      <c r="AS87" s="33" t="s">
        <v>42</v>
      </c>
      <c r="AT87" s="33" t="s">
        <v>8788</v>
      </c>
      <c r="AU87" s="33" t="s">
        <v>8789</v>
      </c>
      <c r="AV87" s="33" t="s">
        <v>8790</v>
      </c>
      <c r="AW87" s="33" t="s">
        <v>8789</v>
      </c>
      <c r="AX87" s="33" t="s">
        <v>9404</v>
      </c>
      <c r="AY87" s="33" t="s">
        <v>9405</v>
      </c>
      <c r="AZ87" s="33" t="s">
        <v>9406</v>
      </c>
      <c r="BA87" s="33" t="s">
        <v>8570</v>
      </c>
      <c r="BB87" s="33" t="s">
        <v>8571</v>
      </c>
      <c r="BC87" s="33" t="s">
        <v>9407</v>
      </c>
      <c r="BD87" s="33" t="s">
        <v>9408</v>
      </c>
      <c r="BE87" s="33"/>
      <c r="BF87" s="33"/>
      <c r="BG87" s="33" t="s">
        <v>8571</v>
      </c>
      <c r="BH87" s="33" t="s">
        <v>9409</v>
      </c>
      <c r="BI87" s="33"/>
      <c r="BJ87" s="33"/>
      <c r="BK87" s="33" t="s">
        <v>9410</v>
      </c>
      <c r="BL87" s="33" t="s">
        <v>9411</v>
      </c>
      <c r="BM87" s="33" t="s">
        <v>9412</v>
      </c>
      <c r="BN87" s="33" t="s">
        <v>9413</v>
      </c>
      <c r="BO87" s="33" t="s">
        <v>8525</v>
      </c>
      <c r="BP87" s="33" t="s">
        <v>8525</v>
      </c>
      <c r="BQ87" s="33" t="s">
        <v>8500</v>
      </c>
      <c r="BR87" s="33" t="s">
        <v>8500</v>
      </c>
      <c r="BS87" s="33"/>
      <c r="BT87" s="33"/>
      <c r="BU87" s="33"/>
      <c r="BV87" s="33" t="s">
        <v>9414</v>
      </c>
      <c r="BW87" s="33"/>
      <c r="BX87" s="33" t="s">
        <v>8527</v>
      </c>
      <c r="BY87" s="33"/>
      <c r="BZ87" s="33"/>
      <c r="CA87" s="33"/>
      <c r="CB87" s="33" t="s">
        <v>8528</v>
      </c>
      <c r="CC87" s="33" t="s">
        <v>8564</v>
      </c>
      <c r="CD87" s="33" t="s">
        <v>9415</v>
      </c>
      <c r="CE87" s="33" t="s">
        <v>9416</v>
      </c>
      <c r="CF87" s="33">
        <v>2</v>
      </c>
      <c r="CG87" s="5" t="s">
        <v>10037</v>
      </c>
      <c r="CH87" s="33">
        <f t="shared" si="39"/>
        <v>0</v>
      </c>
      <c r="CI87" s="33">
        <f t="shared" si="39"/>
        <v>0</v>
      </c>
      <c r="CJ87" s="33">
        <f t="shared" si="39"/>
        <v>0</v>
      </c>
      <c r="CK87" s="33">
        <f t="shared" si="39"/>
        <v>0</v>
      </c>
      <c r="CL87" s="33">
        <f t="shared" si="39"/>
        <v>0</v>
      </c>
      <c r="CM87" s="33">
        <f t="shared" si="39"/>
        <v>0</v>
      </c>
      <c r="CN87" s="33">
        <f t="shared" si="39"/>
        <v>0</v>
      </c>
      <c r="CO87" s="33">
        <f t="shared" si="39"/>
        <v>0</v>
      </c>
      <c r="CP87" s="33">
        <f t="shared" si="39"/>
        <v>0</v>
      </c>
      <c r="CQ87" s="33">
        <f t="shared" si="39"/>
        <v>0</v>
      </c>
      <c r="CR87" s="33">
        <f t="shared" si="39"/>
        <v>0</v>
      </c>
      <c r="CS87" s="33">
        <f t="shared" si="39"/>
        <v>0</v>
      </c>
      <c r="CT87" s="33">
        <f t="shared" si="39"/>
        <v>0</v>
      </c>
      <c r="CU87" s="33">
        <f t="shared" si="39"/>
        <v>0</v>
      </c>
      <c r="CV87" s="33">
        <f t="shared" si="39"/>
        <v>0</v>
      </c>
      <c r="CW87" s="33">
        <f t="shared" si="23"/>
        <v>0</v>
      </c>
      <c r="CX87" s="33">
        <f t="shared" si="23"/>
        <v>0</v>
      </c>
      <c r="CY87" s="33">
        <f t="shared" si="23"/>
        <v>0</v>
      </c>
      <c r="CZ87" s="33">
        <f t="shared" si="23"/>
        <v>0</v>
      </c>
      <c r="DA87" s="33">
        <f t="shared" si="23"/>
        <v>0</v>
      </c>
      <c r="DB87" s="33">
        <f t="shared" si="23"/>
        <v>0</v>
      </c>
      <c r="DC87" s="33">
        <f t="shared" si="38"/>
        <v>0</v>
      </c>
      <c r="DD87" s="33">
        <f t="shared" si="38"/>
        <v>0</v>
      </c>
      <c r="DE87" s="33">
        <f t="shared" si="38"/>
        <v>0</v>
      </c>
      <c r="DF87" s="33">
        <f t="shared" si="38"/>
        <v>0</v>
      </c>
      <c r="DG87" s="33">
        <f t="shared" si="38"/>
        <v>0</v>
      </c>
      <c r="DH87" s="33">
        <f t="shared" si="38"/>
        <v>0</v>
      </c>
      <c r="DI87" s="33">
        <f t="shared" si="38"/>
        <v>0</v>
      </c>
      <c r="DJ87" s="33">
        <f t="shared" si="38"/>
        <v>0</v>
      </c>
      <c r="DK87" s="33">
        <f t="shared" si="38"/>
        <v>0</v>
      </c>
      <c r="DL87" s="33">
        <f t="shared" si="21"/>
        <v>0</v>
      </c>
      <c r="DM87" s="33">
        <f t="shared" si="21"/>
        <v>0</v>
      </c>
      <c r="DN87" s="33">
        <f t="shared" si="21"/>
        <v>0</v>
      </c>
      <c r="DO87" s="33">
        <f t="shared" si="21"/>
        <v>0</v>
      </c>
      <c r="DP87" s="50">
        <f t="shared" si="30"/>
        <v>0</v>
      </c>
      <c r="DQ87" s="50">
        <f t="shared" si="31"/>
        <v>0</v>
      </c>
      <c r="DR87" s="33">
        <f t="shared" si="28"/>
        <v>0</v>
      </c>
      <c r="DS87" s="50">
        <f t="shared" si="32"/>
        <v>0</v>
      </c>
      <c r="DT87" s="50">
        <f t="shared" si="33"/>
        <v>0</v>
      </c>
      <c r="DU87" s="33">
        <f t="shared" si="29"/>
        <v>0</v>
      </c>
      <c r="DV87" s="33">
        <f t="shared" si="29"/>
        <v>0</v>
      </c>
      <c r="DW87" s="33">
        <f t="shared" si="29"/>
        <v>0</v>
      </c>
      <c r="DX87" s="33">
        <f t="shared" si="26"/>
        <v>0</v>
      </c>
      <c r="DY87" s="35">
        <f t="shared" si="34"/>
        <v>0</v>
      </c>
      <c r="DZ87" s="33">
        <f t="shared" si="35"/>
        <v>11</v>
      </c>
      <c r="EA87" s="33">
        <f t="shared" si="36"/>
        <v>11</v>
      </c>
      <c r="EB87" s="33" t="str">
        <f t="shared" si="37"/>
        <v>IGUAL CAMPOS PREENCH</v>
      </c>
      <c r="EC87" s="33" t="s">
        <v>10035</v>
      </c>
    </row>
    <row r="88" spans="2:133" x14ac:dyDescent="0.25">
      <c r="B88" s="33"/>
      <c r="C88" s="33" t="s">
        <v>36</v>
      </c>
      <c r="D88" s="33" t="s">
        <v>8788</v>
      </c>
      <c r="E88" s="33" t="s">
        <v>8789</v>
      </c>
      <c r="F88" s="33" t="s">
        <v>9417</v>
      </c>
      <c r="G88" s="33" t="s">
        <v>9418</v>
      </c>
      <c r="H88" s="33" t="s">
        <v>9419</v>
      </c>
      <c r="I88" s="33" t="s">
        <v>9420</v>
      </c>
      <c r="J88" s="33" t="s">
        <v>9420</v>
      </c>
      <c r="K88" s="33" t="s">
        <v>8570</v>
      </c>
      <c r="L88" s="33" t="s">
        <v>8571</v>
      </c>
      <c r="M88" s="33" t="s">
        <v>9421</v>
      </c>
      <c r="N88" s="33" t="s">
        <v>9208</v>
      </c>
      <c r="O88" s="33"/>
      <c r="P88" s="33"/>
      <c r="Q88" s="33" t="s">
        <v>8571</v>
      </c>
      <c r="R88" s="33" t="s">
        <v>9422</v>
      </c>
      <c r="S88" s="33"/>
      <c r="T88" s="33"/>
      <c r="U88" s="33" t="s">
        <v>9423</v>
      </c>
      <c r="V88" s="33" t="s">
        <v>9424</v>
      </c>
      <c r="W88" s="33" t="s">
        <v>9425</v>
      </c>
      <c r="X88" s="33"/>
      <c r="Y88" s="33" t="s">
        <v>8500</v>
      </c>
      <c r="Z88" s="33" t="s">
        <v>8500</v>
      </c>
      <c r="AA88" s="33" t="s">
        <v>8500</v>
      </c>
      <c r="AB88" s="33" t="s">
        <v>8525</v>
      </c>
      <c r="AC88" s="33"/>
      <c r="AD88" s="33"/>
      <c r="AE88" s="33"/>
      <c r="AF88" s="33" t="s">
        <v>9426</v>
      </c>
      <c r="AG88" s="33"/>
      <c r="AH88" s="33" t="s">
        <v>8606</v>
      </c>
      <c r="AI88" s="33"/>
      <c r="AJ88" s="33"/>
      <c r="AK88" s="33"/>
      <c r="AL88" s="33" t="s">
        <v>9375</v>
      </c>
      <c r="AM88" s="33" t="s">
        <v>8640</v>
      </c>
      <c r="AN88" s="33" t="s">
        <v>9427</v>
      </c>
      <c r="AO88" s="33" t="s">
        <v>9428</v>
      </c>
      <c r="AP88" s="33">
        <v>1</v>
      </c>
      <c r="AQ88" s="5" t="s">
        <v>10037</v>
      </c>
      <c r="AR88" s="33" t="s">
        <v>9429</v>
      </c>
      <c r="AS88" s="33" t="s">
        <v>36</v>
      </c>
      <c r="AT88" s="33" t="s">
        <v>8788</v>
      </c>
      <c r="AU88" s="33" t="s">
        <v>8789</v>
      </c>
      <c r="AV88" s="33" t="s">
        <v>9417</v>
      </c>
      <c r="AW88" s="33" t="s">
        <v>9418</v>
      </c>
      <c r="AX88" s="33" t="s">
        <v>9419</v>
      </c>
      <c r="AY88" s="33" t="s">
        <v>9420</v>
      </c>
      <c r="AZ88" s="33" t="s">
        <v>9420</v>
      </c>
      <c r="BA88" s="33" t="s">
        <v>8570</v>
      </c>
      <c r="BB88" s="33" t="s">
        <v>8571</v>
      </c>
      <c r="BC88" s="33" t="s">
        <v>9421</v>
      </c>
      <c r="BD88" s="33" t="s">
        <v>9208</v>
      </c>
      <c r="BE88" s="33"/>
      <c r="BF88" s="33"/>
      <c r="BG88" s="33" t="s">
        <v>8571</v>
      </c>
      <c r="BH88" s="33" t="s">
        <v>9422</v>
      </c>
      <c r="BI88" s="33"/>
      <c r="BJ88" s="33"/>
      <c r="BK88" s="33" t="s">
        <v>9423</v>
      </c>
      <c r="BL88" s="33" t="s">
        <v>9424</v>
      </c>
      <c r="BM88" s="33" t="s">
        <v>9425</v>
      </c>
      <c r="BN88" s="33"/>
      <c r="BO88" s="33" t="s">
        <v>8500</v>
      </c>
      <c r="BP88" s="33" t="s">
        <v>8500</v>
      </c>
      <c r="BQ88" s="33" t="s">
        <v>8500</v>
      </c>
      <c r="BR88" s="33" t="s">
        <v>8525</v>
      </c>
      <c r="BS88" s="33"/>
      <c r="BT88" s="33"/>
      <c r="BU88" s="33"/>
      <c r="BV88" s="33" t="s">
        <v>9426</v>
      </c>
      <c r="BW88" s="33"/>
      <c r="BX88" s="33" t="s">
        <v>8606</v>
      </c>
      <c r="BY88" s="33"/>
      <c r="BZ88" s="33" t="s">
        <v>8545</v>
      </c>
      <c r="CA88" s="33" t="s">
        <v>8507</v>
      </c>
      <c r="CB88" s="33" t="s">
        <v>9375</v>
      </c>
      <c r="CC88" s="33" t="s">
        <v>8640</v>
      </c>
      <c r="CD88" s="33" t="s">
        <v>9427</v>
      </c>
      <c r="CE88" s="33" t="s">
        <v>9428</v>
      </c>
      <c r="CF88" s="33">
        <v>2</v>
      </c>
      <c r="CG88" s="5" t="s">
        <v>10037</v>
      </c>
      <c r="CH88" s="33">
        <f t="shared" si="39"/>
        <v>0</v>
      </c>
      <c r="CI88" s="33">
        <f t="shared" si="39"/>
        <v>0</v>
      </c>
      <c r="CJ88" s="33">
        <f t="shared" si="39"/>
        <v>0</v>
      </c>
      <c r="CK88" s="33">
        <f t="shared" si="39"/>
        <v>0</v>
      </c>
      <c r="CL88" s="33">
        <f t="shared" si="39"/>
        <v>0</v>
      </c>
      <c r="CM88" s="33">
        <f t="shared" si="39"/>
        <v>0</v>
      </c>
      <c r="CN88" s="33">
        <f t="shared" si="39"/>
        <v>0</v>
      </c>
      <c r="CO88" s="33">
        <f t="shared" si="39"/>
        <v>0</v>
      </c>
      <c r="CP88" s="33">
        <f t="shared" si="39"/>
        <v>0</v>
      </c>
      <c r="CQ88" s="33">
        <f t="shared" si="39"/>
        <v>0</v>
      </c>
      <c r="CR88" s="33">
        <f t="shared" si="39"/>
        <v>0</v>
      </c>
      <c r="CS88" s="33">
        <f t="shared" si="39"/>
        <v>0</v>
      </c>
      <c r="CT88" s="33">
        <f t="shared" si="39"/>
        <v>0</v>
      </c>
      <c r="CU88" s="33">
        <f t="shared" si="39"/>
        <v>0</v>
      </c>
      <c r="CV88" s="33">
        <f t="shared" si="39"/>
        <v>0</v>
      </c>
      <c r="CW88" s="33">
        <f t="shared" si="23"/>
        <v>0</v>
      </c>
      <c r="CX88" s="33">
        <f t="shared" si="23"/>
        <v>0</v>
      </c>
      <c r="CY88" s="33">
        <f t="shared" si="23"/>
        <v>0</v>
      </c>
      <c r="CZ88" s="33">
        <f t="shared" si="23"/>
        <v>0</v>
      </c>
      <c r="DA88" s="33">
        <f t="shared" si="23"/>
        <v>0</v>
      </c>
      <c r="DB88" s="33">
        <f t="shared" si="23"/>
        <v>0</v>
      </c>
      <c r="DC88" s="33">
        <f t="shared" si="38"/>
        <v>0</v>
      </c>
      <c r="DD88" s="33">
        <f t="shared" si="38"/>
        <v>0</v>
      </c>
      <c r="DE88" s="33">
        <f t="shared" si="38"/>
        <v>0</v>
      </c>
      <c r="DF88" s="33">
        <f t="shared" si="38"/>
        <v>0</v>
      </c>
      <c r="DG88" s="33">
        <f t="shared" si="38"/>
        <v>0</v>
      </c>
      <c r="DH88" s="33">
        <f t="shared" si="38"/>
        <v>0</v>
      </c>
      <c r="DI88" s="33">
        <f t="shared" si="38"/>
        <v>0</v>
      </c>
      <c r="DJ88" s="33">
        <f t="shared" si="38"/>
        <v>0</v>
      </c>
      <c r="DK88" s="33">
        <f t="shared" si="38"/>
        <v>0</v>
      </c>
      <c r="DL88" s="33">
        <f t="shared" si="21"/>
        <v>0</v>
      </c>
      <c r="DM88" s="33">
        <f t="shared" si="21"/>
        <v>0</v>
      </c>
      <c r="DN88" s="33">
        <f t="shared" si="21"/>
        <v>0</v>
      </c>
      <c r="DO88" s="33">
        <f t="shared" si="21"/>
        <v>1</v>
      </c>
      <c r="DP88" s="50">
        <f t="shared" si="30"/>
        <v>0</v>
      </c>
      <c r="DQ88" s="50" t="str">
        <f t="shared" si="31"/>
        <v>D</v>
      </c>
      <c r="DR88" s="33">
        <f t="shared" si="28"/>
        <v>1</v>
      </c>
      <c r="DS88" s="50">
        <f t="shared" si="32"/>
        <v>0</v>
      </c>
      <c r="DT88" s="50" t="str">
        <f t="shared" si="33"/>
        <v>4-MEDIA</v>
      </c>
      <c r="DU88" s="33">
        <f t="shared" si="29"/>
        <v>0</v>
      </c>
      <c r="DV88" s="33">
        <f t="shared" si="29"/>
        <v>0</v>
      </c>
      <c r="DW88" s="33">
        <f t="shared" si="29"/>
        <v>0</v>
      </c>
      <c r="DX88" s="33">
        <f t="shared" si="26"/>
        <v>0</v>
      </c>
      <c r="DY88" s="35">
        <f t="shared" si="34"/>
        <v>2</v>
      </c>
      <c r="DZ88" s="33">
        <f t="shared" si="35"/>
        <v>12</v>
      </c>
      <c r="EA88" s="33">
        <f t="shared" si="36"/>
        <v>10</v>
      </c>
      <c r="EB88" s="33" t="str">
        <f t="shared" si="37"/>
        <v>AUX 2 COM + CAMPOS PREENC</v>
      </c>
      <c r="EC88" s="33" t="s">
        <v>10034</v>
      </c>
    </row>
    <row r="89" spans="2:133" x14ac:dyDescent="0.25">
      <c r="B89" s="33"/>
      <c r="C89" s="33" t="s">
        <v>166</v>
      </c>
      <c r="D89" s="33" t="s">
        <v>8645</v>
      </c>
      <c r="E89" s="33" t="s">
        <v>8646</v>
      </c>
      <c r="F89" s="33" t="s">
        <v>9146</v>
      </c>
      <c r="G89" s="33" t="s">
        <v>9147</v>
      </c>
      <c r="H89" s="33" t="s">
        <v>9148</v>
      </c>
      <c r="I89" s="33" t="s">
        <v>9147</v>
      </c>
      <c r="J89" s="33" t="s">
        <v>9147</v>
      </c>
      <c r="K89" s="33" t="s">
        <v>8819</v>
      </c>
      <c r="L89" s="33" t="s">
        <v>8820</v>
      </c>
      <c r="M89" s="33" t="s">
        <v>9149</v>
      </c>
      <c r="N89" s="33" t="s">
        <v>9430</v>
      </c>
      <c r="O89" s="33"/>
      <c r="P89" s="33"/>
      <c r="Q89" s="33" t="s">
        <v>8820</v>
      </c>
      <c r="R89" s="33" t="s">
        <v>8525</v>
      </c>
      <c r="S89" s="33"/>
      <c r="T89" s="33"/>
      <c r="U89" s="33" t="s">
        <v>9151</v>
      </c>
      <c r="V89" s="33" t="s">
        <v>8782</v>
      </c>
      <c r="W89" s="33" t="s">
        <v>9431</v>
      </c>
      <c r="X89" s="33" t="s">
        <v>9153</v>
      </c>
      <c r="Y89" s="33" t="s">
        <v>8500</v>
      </c>
      <c r="Z89" s="33" t="s">
        <v>8500</v>
      </c>
      <c r="AA89" s="33" t="s">
        <v>8500</v>
      </c>
      <c r="AB89" s="33" t="s">
        <v>8525</v>
      </c>
      <c r="AC89" s="33" t="s">
        <v>9432</v>
      </c>
      <c r="AD89" s="33" t="s">
        <v>9433</v>
      </c>
      <c r="AE89" s="33" t="s">
        <v>9434</v>
      </c>
      <c r="AF89" s="33" t="s">
        <v>9435</v>
      </c>
      <c r="AG89" s="33" t="s">
        <v>9436</v>
      </c>
      <c r="AH89" s="33" t="s">
        <v>8606</v>
      </c>
      <c r="AI89" s="33"/>
      <c r="AJ89" s="33"/>
      <c r="AK89" s="33"/>
      <c r="AL89" s="33" t="s">
        <v>8528</v>
      </c>
      <c r="AM89" s="33" t="s">
        <v>8577</v>
      </c>
      <c r="AN89" s="33" t="s">
        <v>9437</v>
      </c>
      <c r="AO89" s="33" t="s">
        <v>9438</v>
      </c>
      <c r="AP89" s="33">
        <v>1</v>
      </c>
      <c r="AQ89" s="5" t="s">
        <v>10037</v>
      </c>
      <c r="AR89" s="33"/>
      <c r="AS89" s="33" t="s">
        <v>166</v>
      </c>
      <c r="AT89" s="33" t="s">
        <v>8645</v>
      </c>
      <c r="AU89" s="33" t="s">
        <v>8646</v>
      </c>
      <c r="AV89" s="33" t="s">
        <v>9146</v>
      </c>
      <c r="AW89" s="33" t="s">
        <v>9147</v>
      </c>
      <c r="AX89" s="33" t="s">
        <v>9148</v>
      </c>
      <c r="AY89" s="33" t="s">
        <v>9147</v>
      </c>
      <c r="AZ89" s="33" t="s">
        <v>9147</v>
      </c>
      <c r="BA89" s="33" t="s">
        <v>8819</v>
      </c>
      <c r="BB89" s="33" t="s">
        <v>8820</v>
      </c>
      <c r="BC89" s="33" t="s">
        <v>9149</v>
      </c>
      <c r="BD89" s="33" t="s">
        <v>9430</v>
      </c>
      <c r="BE89" s="33"/>
      <c r="BF89" s="33"/>
      <c r="BG89" s="33" t="s">
        <v>8820</v>
      </c>
      <c r="BH89" s="33" t="s">
        <v>8525</v>
      </c>
      <c r="BI89" s="33"/>
      <c r="BJ89" s="33"/>
      <c r="BK89" s="33" t="s">
        <v>9151</v>
      </c>
      <c r="BL89" s="33" t="s">
        <v>8782</v>
      </c>
      <c r="BM89" s="33" t="s">
        <v>9431</v>
      </c>
      <c r="BN89" s="33" t="s">
        <v>9153</v>
      </c>
      <c r="BO89" s="33" t="s">
        <v>8500</v>
      </c>
      <c r="BP89" s="33" t="s">
        <v>8500</v>
      </c>
      <c r="BQ89" s="33" t="s">
        <v>8500</v>
      </c>
      <c r="BR89" s="33" t="s">
        <v>8525</v>
      </c>
      <c r="BS89" s="33" t="s">
        <v>9432</v>
      </c>
      <c r="BT89" s="33" t="s">
        <v>9433</v>
      </c>
      <c r="BU89" s="33" t="s">
        <v>9434</v>
      </c>
      <c r="BV89" s="33" t="s">
        <v>9435</v>
      </c>
      <c r="BW89" s="33" t="s">
        <v>9436</v>
      </c>
      <c r="BX89" s="33" t="s">
        <v>8606</v>
      </c>
      <c r="BY89" s="33"/>
      <c r="BZ89" s="33" t="s">
        <v>8545</v>
      </c>
      <c r="CA89" s="33" t="s">
        <v>8507</v>
      </c>
      <c r="CB89" s="33" t="s">
        <v>8528</v>
      </c>
      <c r="CC89" s="33" t="s">
        <v>8577</v>
      </c>
      <c r="CD89" s="33" t="s">
        <v>9437</v>
      </c>
      <c r="CE89" s="33" t="s">
        <v>9438</v>
      </c>
      <c r="CF89" s="33">
        <v>2</v>
      </c>
      <c r="CG89" s="5" t="s">
        <v>10037</v>
      </c>
      <c r="CH89" s="33">
        <f t="shared" si="39"/>
        <v>0</v>
      </c>
      <c r="CI89" s="33">
        <f t="shared" si="39"/>
        <v>0</v>
      </c>
      <c r="CJ89" s="33">
        <f t="shared" si="39"/>
        <v>0</v>
      </c>
      <c r="CK89" s="33">
        <f t="shared" si="39"/>
        <v>0</v>
      </c>
      <c r="CL89" s="33">
        <f t="shared" si="39"/>
        <v>0</v>
      </c>
      <c r="CM89" s="33">
        <f t="shared" si="39"/>
        <v>0</v>
      </c>
      <c r="CN89" s="33">
        <f t="shared" si="39"/>
        <v>0</v>
      </c>
      <c r="CO89" s="33">
        <f t="shared" si="39"/>
        <v>0</v>
      </c>
      <c r="CP89" s="33">
        <f t="shared" si="39"/>
        <v>0</v>
      </c>
      <c r="CQ89" s="33">
        <f t="shared" si="39"/>
        <v>0</v>
      </c>
      <c r="CR89" s="33">
        <f t="shared" si="39"/>
        <v>0</v>
      </c>
      <c r="CS89" s="33">
        <f t="shared" si="39"/>
        <v>0</v>
      </c>
      <c r="CT89" s="33">
        <f t="shared" si="39"/>
        <v>0</v>
      </c>
      <c r="CU89" s="33">
        <f t="shared" si="39"/>
        <v>0</v>
      </c>
      <c r="CV89" s="33">
        <f t="shared" si="39"/>
        <v>0</v>
      </c>
      <c r="CW89" s="33">
        <f t="shared" si="23"/>
        <v>0</v>
      </c>
      <c r="CX89" s="33">
        <f t="shared" si="23"/>
        <v>0</v>
      </c>
      <c r="CY89" s="33">
        <f t="shared" si="23"/>
        <v>0</v>
      </c>
      <c r="CZ89" s="33">
        <f t="shared" si="23"/>
        <v>0</v>
      </c>
      <c r="DA89" s="33">
        <f t="shared" si="23"/>
        <v>0</v>
      </c>
      <c r="DB89" s="33">
        <f t="shared" si="23"/>
        <v>0</v>
      </c>
      <c r="DC89" s="33">
        <f t="shared" si="38"/>
        <v>0</v>
      </c>
      <c r="DD89" s="33">
        <f t="shared" si="38"/>
        <v>0</v>
      </c>
      <c r="DE89" s="33">
        <f t="shared" si="38"/>
        <v>0</v>
      </c>
      <c r="DF89" s="33">
        <f t="shared" si="38"/>
        <v>0</v>
      </c>
      <c r="DG89" s="33">
        <f t="shared" si="38"/>
        <v>0</v>
      </c>
      <c r="DH89" s="33">
        <f t="shared" si="38"/>
        <v>0</v>
      </c>
      <c r="DI89" s="33">
        <f t="shared" si="38"/>
        <v>0</v>
      </c>
      <c r="DJ89" s="33">
        <f t="shared" si="38"/>
        <v>0</v>
      </c>
      <c r="DK89" s="33">
        <f t="shared" si="38"/>
        <v>0</v>
      </c>
      <c r="DL89" s="33">
        <f t="shared" si="21"/>
        <v>0</v>
      </c>
      <c r="DM89" s="33">
        <f t="shared" si="21"/>
        <v>0</v>
      </c>
      <c r="DN89" s="33">
        <f t="shared" si="21"/>
        <v>0</v>
      </c>
      <c r="DO89" s="33">
        <f t="shared" si="21"/>
        <v>1</v>
      </c>
      <c r="DP89" s="50">
        <f t="shared" si="30"/>
        <v>0</v>
      </c>
      <c r="DQ89" s="50" t="str">
        <f t="shared" si="31"/>
        <v>D</v>
      </c>
      <c r="DR89" s="33">
        <f t="shared" si="28"/>
        <v>1</v>
      </c>
      <c r="DS89" s="50">
        <f t="shared" si="32"/>
        <v>0</v>
      </c>
      <c r="DT89" s="50" t="str">
        <f t="shared" si="33"/>
        <v>4-MEDIA</v>
      </c>
      <c r="DU89" s="33">
        <f t="shared" si="29"/>
        <v>0</v>
      </c>
      <c r="DV89" s="33">
        <f t="shared" si="29"/>
        <v>0</v>
      </c>
      <c r="DW89" s="33">
        <f t="shared" si="29"/>
        <v>0</v>
      </c>
      <c r="DX89" s="33">
        <f t="shared" si="26"/>
        <v>0</v>
      </c>
      <c r="DY89" s="35">
        <f t="shared" si="34"/>
        <v>2</v>
      </c>
      <c r="DZ89" s="33">
        <f t="shared" si="35"/>
        <v>7</v>
      </c>
      <c r="EA89" s="33">
        <f t="shared" si="36"/>
        <v>5</v>
      </c>
      <c r="EB89" s="33" t="str">
        <f t="shared" si="37"/>
        <v>AUX 2 COM + CAMPOS PREENC</v>
      </c>
      <c r="EC89" s="33" t="s">
        <v>10034</v>
      </c>
    </row>
    <row r="90" spans="2:133" x14ac:dyDescent="0.25">
      <c r="B90" s="33" t="s">
        <v>9439</v>
      </c>
      <c r="C90" s="33" t="s">
        <v>94</v>
      </c>
      <c r="D90" s="33" t="s">
        <v>8788</v>
      </c>
      <c r="E90" s="33" t="s">
        <v>8789</v>
      </c>
      <c r="F90" s="33" t="s">
        <v>8790</v>
      </c>
      <c r="G90" s="33" t="s">
        <v>8789</v>
      </c>
      <c r="H90" s="33" t="s">
        <v>9368</v>
      </c>
      <c r="I90" s="33" t="s">
        <v>9369</v>
      </c>
      <c r="J90" s="33" t="s">
        <v>8789</v>
      </c>
      <c r="K90" s="33" t="s">
        <v>8570</v>
      </c>
      <c r="L90" s="33" t="s">
        <v>8571</v>
      </c>
      <c r="M90" s="33" t="s">
        <v>9440</v>
      </c>
      <c r="N90" s="33" t="s">
        <v>9441</v>
      </c>
      <c r="O90" s="33"/>
      <c r="P90" s="33"/>
      <c r="Q90" s="33" t="s">
        <v>8571</v>
      </c>
      <c r="R90" s="33"/>
      <c r="S90" s="33"/>
      <c r="T90" s="33"/>
      <c r="U90" s="33" t="s">
        <v>9442</v>
      </c>
      <c r="V90" s="33" t="s">
        <v>9443</v>
      </c>
      <c r="W90" s="33" t="s">
        <v>9444</v>
      </c>
      <c r="X90" s="33" t="s">
        <v>9445</v>
      </c>
      <c r="Y90" s="33" t="s">
        <v>8500</v>
      </c>
      <c r="Z90" s="33" t="s">
        <v>8500</v>
      </c>
      <c r="AA90" s="33" t="s">
        <v>8500</v>
      </c>
      <c r="AB90" s="33" t="s">
        <v>8525</v>
      </c>
      <c r="AC90" s="33"/>
      <c r="AD90" s="33"/>
      <c r="AE90" s="33"/>
      <c r="AF90" s="33" t="s">
        <v>9446</v>
      </c>
      <c r="AG90" s="33"/>
      <c r="AH90" s="33" t="s">
        <v>8606</v>
      </c>
      <c r="AI90" s="33"/>
      <c r="AJ90" s="33"/>
      <c r="AK90" s="33"/>
      <c r="AL90" s="33" t="s">
        <v>8507</v>
      </c>
      <c r="AM90" s="33" t="s">
        <v>8506</v>
      </c>
      <c r="AN90" s="33" t="s">
        <v>9447</v>
      </c>
      <c r="AO90" s="33" t="s">
        <v>9448</v>
      </c>
      <c r="AP90" s="33">
        <v>1</v>
      </c>
      <c r="AQ90" s="5" t="s">
        <v>10037</v>
      </c>
      <c r="AR90" s="33"/>
      <c r="AS90" s="33" t="s">
        <v>94</v>
      </c>
      <c r="AT90" s="33" t="s">
        <v>8788</v>
      </c>
      <c r="AU90" s="33" t="s">
        <v>8789</v>
      </c>
      <c r="AV90" s="33" t="s">
        <v>8790</v>
      </c>
      <c r="AW90" s="33" t="s">
        <v>8789</v>
      </c>
      <c r="AX90" s="33" t="s">
        <v>9368</v>
      </c>
      <c r="AY90" s="33" t="s">
        <v>9369</v>
      </c>
      <c r="AZ90" s="33" t="s">
        <v>8789</v>
      </c>
      <c r="BA90" s="33" t="s">
        <v>8570</v>
      </c>
      <c r="BB90" s="33" t="s">
        <v>8571</v>
      </c>
      <c r="BC90" s="33" t="s">
        <v>9440</v>
      </c>
      <c r="BD90" s="33" t="s">
        <v>9441</v>
      </c>
      <c r="BE90" s="33"/>
      <c r="BF90" s="33"/>
      <c r="BG90" s="33" t="s">
        <v>8571</v>
      </c>
      <c r="BH90" s="33"/>
      <c r="BI90" s="33"/>
      <c r="BJ90" s="33"/>
      <c r="BK90" s="33" t="s">
        <v>9442</v>
      </c>
      <c r="BL90" s="33" t="s">
        <v>9443</v>
      </c>
      <c r="BM90" s="33" t="s">
        <v>9444</v>
      </c>
      <c r="BN90" s="33" t="s">
        <v>9445</v>
      </c>
      <c r="BO90" s="33" t="s">
        <v>8500</v>
      </c>
      <c r="BP90" s="33" t="s">
        <v>8500</v>
      </c>
      <c r="BQ90" s="33" t="s">
        <v>8500</v>
      </c>
      <c r="BR90" s="33" t="s">
        <v>8525</v>
      </c>
      <c r="BS90" s="33"/>
      <c r="BT90" s="33"/>
      <c r="BU90" s="33"/>
      <c r="BV90" s="33" t="s">
        <v>9446</v>
      </c>
      <c r="BW90" s="33"/>
      <c r="BX90" s="33" t="s">
        <v>8606</v>
      </c>
      <c r="BY90" s="33"/>
      <c r="BZ90" s="33"/>
      <c r="CA90" s="33"/>
      <c r="CB90" s="33" t="s">
        <v>8507</v>
      </c>
      <c r="CC90" s="33" t="s">
        <v>8506</v>
      </c>
      <c r="CD90" s="33" t="s">
        <v>9447</v>
      </c>
      <c r="CE90" s="33" t="s">
        <v>9448</v>
      </c>
      <c r="CF90" s="33">
        <v>2</v>
      </c>
      <c r="CG90" s="5" t="s">
        <v>10037</v>
      </c>
      <c r="CH90" s="33">
        <f t="shared" si="39"/>
        <v>0</v>
      </c>
      <c r="CI90" s="33">
        <f t="shared" si="39"/>
        <v>0</v>
      </c>
      <c r="CJ90" s="33">
        <f t="shared" si="39"/>
        <v>0</v>
      </c>
      <c r="CK90" s="33">
        <f t="shared" si="39"/>
        <v>0</v>
      </c>
      <c r="CL90" s="33">
        <f t="shared" si="39"/>
        <v>0</v>
      </c>
      <c r="CM90" s="33">
        <f t="shared" si="39"/>
        <v>0</v>
      </c>
      <c r="CN90" s="33">
        <f t="shared" si="39"/>
        <v>0</v>
      </c>
      <c r="CO90" s="33">
        <f t="shared" si="39"/>
        <v>0</v>
      </c>
      <c r="CP90" s="33">
        <f t="shared" si="39"/>
        <v>0</v>
      </c>
      <c r="CQ90" s="33">
        <f t="shared" si="39"/>
        <v>0</v>
      </c>
      <c r="CR90" s="33">
        <f t="shared" si="39"/>
        <v>0</v>
      </c>
      <c r="CS90" s="33">
        <f t="shared" si="39"/>
        <v>0</v>
      </c>
      <c r="CT90" s="33">
        <f t="shared" si="39"/>
        <v>0</v>
      </c>
      <c r="CU90" s="33">
        <f t="shared" si="39"/>
        <v>0</v>
      </c>
      <c r="CV90" s="33">
        <f t="shared" si="39"/>
        <v>0</v>
      </c>
      <c r="CW90" s="33">
        <f t="shared" si="23"/>
        <v>0</v>
      </c>
      <c r="CX90" s="33">
        <f t="shared" si="23"/>
        <v>0</v>
      </c>
      <c r="CY90" s="33">
        <f t="shared" si="23"/>
        <v>0</v>
      </c>
      <c r="CZ90" s="33">
        <f t="shared" si="23"/>
        <v>0</v>
      </c>
      <c r="DA90" s="33">
        <f t="shared" si="23"/>
        <v>0</v>
      </c>
      <c r="DB90" s="33">
        <f t="shared" si="23"/>
        <v>0</v>
      </c>
      <c r="DC90" s="33">
        <f t="shared" si="38"/>
        <v>0</v>
      </c>
      <c r="DD90" s="33">
        <f t="shared" si="38"/>
        <v>0</v>
      </c>
      <c r="DE90" s="33">
        <f t="shared" si="38"/>
        <v>0</v>
      </c>
      <c r="DF90" s="33">
        <f t="shared" si="38"/>
        <v>0</v>
      </c>
      <c r="DG90" s="33">
        <f t="shared" si="38"/>
        <v>0</v>
      </c>
      <c r="DH90" s="33">
        <f t="shared" si="38"/>
        <v>0</v>
      </c>
      <c r="DI90" s="33">
        <f t="shared" si="38"/>
        <v>0</v>
      </c>
      <c r="DJ90" s="33">
        <f t="shared" si="38"/>
        <v>0</v>
      </c>
      <c r="DK90" s="33">
        <f t="shared" si="38"/>
        <v>0</v>
      </c>
      <c r="DL90" s="33">
        <f t="shared" si="21"/>
        <v>0</v>
      </c>
      <c r="DM90" s="33">
        <f t="shared" si="21"/>
        <v>0</v>
      </c>
      <c r="DN90" s="33">
        <f t="shared" si="21"/>
        <v>0</v>
      </c>
      <c r="DO90" s="33">
        <f t="shared" si="21"/>
        <v>0</v>
      </c>
      <c r="DP90" s="50">
        <f t="shared" si="30"/>
        <v>0</v>
      </c>
      <c r="DQ90" s="50">
        <f t="shared" si="31"/>
        <v>0</v>
      </c>
      <c r="DR90" s="33">
        <f t="shared" si="28"/>
        <v>0</v>
      </c>
      <c r="DS90" s="50">
        <f t="shared" si="32"/>
        <v>0</v>
      </c>
      <c r="DT90" s="50">
        <f t="shared" si="33"/>
        <v>0</v>
      </c>
      <c r="DU90" s="33">
        <f t="shared" si="29"/>
        <v>0</v>
      </c>
      <c r="DV90" s="33">
        <f t="shared" si="29"/>
        <v>0</v>
      </c>
      <c r="DW90" s="33">
        <f t="shared" si="29"/>
        <v>0</v>
      </c>
      <c r="DX90" s="33">
        <f t="shared" si="26"/>
        <v>0</v>
      </c>
      <c r="DY90" s="35">
        <f t="shared" si="34"/>
        <v>0</v>
      </c>
      <c r="DZ90" s="33">
        <f t="shared" si="35"/>
        <v>12</v>
      </c>
      <c r="EA90" s="33">
        <f t="shared" si="36"/>
        <v>12</v>
      </c>
      <c r="EB90" s="33" t="str">
        <f t="shared" si="37"/>
        <v>IGUAL CAMPOS PREENCH</v>
      </c>
      <c r="EC90" s="33" t="s">
        <v>10035</v>
      </c>
    </row>
    <row r="91" spans="2:133" x14ac:dyDescent="0.25">
      <c r="B91" s="33"/>
      <c r="C91" s="33" t="s">
        <v>165</v>
      </c>
      <c r="D91" s="33" t="s">
        <v>8763</v>
      </c>
      <c r="E91" s="33" t="s">
        <v>8764</v>
      </c>
      <c r="F91" s="33" t="s">
        <v>8765</v>
      </c>
      <c r="G91" s="33" t="s">
        <v>8764</v>
      </c>
      <c r="H91" s="33" t="s">
        <v>8766</v>
      </c>
      <c r="I91" s="33" t="s">
        <v>8764</v>
      </c>
      <c r="J91" s="33" t="s">
        <v>8767</v>
      </c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 t="s">
        <v>8768</v>
      </c>
      <c r="V91" s="33"/>
      <c r="W91" s="33" t="s">
        <v>9449</v>
      </c>
      <c r="X91" s="33" t="s">
        <v>8499</v>
      </c>
      <c r="Y91" s="33" t="s">
        <v>8500</v>
      </c>
      <c r="Z91" s="33" t="s">
        <v>8500</v>
      </c>
      <c r="AA91" s="33" t="s">
        <v>8500</v>
      </c>
      <c r="AB91" s="33" t="s">
        <v>8525</v>
      </c>
      <c r="AC91" s="33"/>
      <c r="AD91" s="33"/>
      <c r="AE91" s="33"/>
      <c r="AF91" s="33" t="s">
        <v>9450</v>
      </c>
      <c r="AG91" s="33"/>
      <c r="AH91" s="33" t="s">
        <v>8560</v>
      </c>
      <c r="AI91" s="33"/>
      <c r="AJ91" s="33"/>
      <c r="AK91" s="33"/>
      <c r="AL91" s="33" t="s">
        <v>8528</v>
      </c>
      <c r="AM91" s="33" t="s">
        <v>8545</v>
      </c>
      <c r="AN91" s="33" t="s">
        <v>9451</v>
      </c>
      <c r="AO91" s="33" t="s">
        <v>9452</v>
      </c>
      <c r="AP91" s="33">
        <v>1</v>
      </c>
      <c r="AQ91" s="5" t="s">
        <v>10037</v>
      </c>
      <c r="AR91" s="33" t="s">
        <v>9453</v>
      </c>
      <c r="AS91" s="33" t="s">
        <v>165</v>
      </c>
      <c r="AT91" s="33" t="s">
        <v>8763</v>
      </c>
      <c r="AU91" s="33" t="s">
        <v>8764</v>
      </c>
      <c r="AV91" s="33" t="s">
        <v>8765</v>
      </c>
      <c r="AW91" s="33" t="s">
        <v>8764</v>
      </c>
      <c r="AX91" s="33" t="s">
        <v>8766</v>
      </c>
      <c r="AY91" s="33" t="s">
        <v>8764</v>
      </c>
      <c r="AZ91" s="33" t="s">
        <v>8767</v>
      </c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 t="s">
        <v>8768</v>
      </c>
      <c r="BL91" s="33"/>
      <c r="BM91" s="33" t="s">
        <v>9449</v>
      </c>
      <c r="BN91" s="33" t="s">
        <v>8499</v>
      </c>
      <c r="BO91" s="33" t="s">
        <v>8500</v>
      </c>
      <c r="BP91" s="33" t="s">
        <v>8500</v>
      </c>
      <c r="BQ91" s="33" t="s">
        <v>8500</v>
      </c>
      <c r="BR91" s="33" t="s">
        <v>8525</v>
      </c>
      <c r="BS91" s="33"/>
      <c r="BT91" s="33"/>
      <c r="BU91" s="33"/>
      <c r="BV91" s="33" t="s">
        <v>9450</v>
      </c>
      <c r="BW91" s="33"/>
      <c r="BX91" s="33" t="s">
        <v>8560</v>
      </c>
      <c r="BY91" s="33"/>
      <c r="BZ91" s="33" t="s">
        <v>8545</v>
      </c>
      <c r="CA91" s="33" t="s">
        <v>8528</v>
      </c>
      <c r="CB91" s="33" t="s">
        <v>8528</v>
      </c>
      <c r="CC91" s="33" t="s">
        <v>8545</v>
      </c>
      <c r="CD91" s="33" t="s">
        <v>9451</v>
      </c>
      <c r="CE91" s="33" t="s">
        <v>9452</v>
      </c>
      <c r="CF91" s="33">
        <v>2</v>
      </c>
      <c r="CG91" s="5" t="s">
        <v>10037</v>
      </c>
      <c r="CH91" s="33">
        <f t="shared" si="39"/>
        <v>0</v>
      </c>
      <c r="CI91" s="33">
        <f t="shared" si="39"/>
        <v>0</v>
      </c>
      <c r="CJ91" s="33">
        <f t="shared" si="39"/>
        <v>0</v>
      </c>
      <c r="CK91" s="33">
        <f t="shared" si="39"/>
        <v>0</v>
      </c>
      <c r="CL91" s="33">
        <f t="shared" si="39"/>
        <v>0</v>
      </c>
      <c r="CM91" s="33">
        <f t="shared" si="39"/>
        <v>0</v>
      </c>
      <c r="CN91" s="33">
        <f t="shared" si="39"/>
        <v>0</v>
      </c>
      <c r="CO91" s="33">
        <f t="shared" si="39"/>
        <v>0</v>
      </c>
      <c r="CP91" s="33">
        <f t="shared" si="39"/>
        <v>0</v>
      </c>
      <c r="CQ91" s="33">
        <f t="shared" si="39"/>
        <v>0</v>
      </c>
      <c r="CR91" s="33">
        <f t="shared" si="39"/>
        <v>0</v>
      </c>
      <c r="CS91" s="33">
        <f t="shared" si="39"/>
        <v>0</v>
      </c>
      <c r="CT91" s="33">
        <f t="shared" si="39"/>
        <v>0</v>
      </c>
      <c r="CU91" s="33">
        <f t="shared" si="39"/>
        <v>0</v>
      </c>
      <c r="CV91" s="33">
        <f t="shared" si="39"/>
        <v>0</v>
      </c>
      <c r="CW91" s="33">
        <f t="shared" si="23"/>
        <v>0</v>
      </c>
      <c r="CX91" s="33">
        <f t="shared" si="23"/>
        <v>0</v>
      </c>
      <c r="CY91" s="33">
        <f t="shared" si="23"/>
        <v>0</v>
      </c>
      <c r="CZ91" s="33">
        <f t="shared" si="23"/>
        <v>0</v>
      </c>
      <c r="DA91" s="33">
        <f t="shared" si="23"/>
        <v>0</v>
      </c>
      <c r="DB91" s="33">
        <f t="shared" si="23"/>
        <v>0</v>
      </c>
      <c r="DC91" s="33">
        <f t="shared" si="38"/>
        <v>0</v>
      </c>
      <c r="DD91" s="33">
        <f t="shared" si="38"/>
        <v>0</v>
      </c>
      <c r="DE91" s="33">
        <f t="shared" si="38"/>
        <v>0</v>
      </c>
      <c r="DF91" s="33">
        <f t="shared" si="38"/>
        <v>0</v>
      </c>
      <c r="DG91" s="33">
        <f t="shared" si="38"/>
        <v>0</v>
      </c>
      <c r="DH91" s="33">
        <f t="shared" si="38"/>
        <v>0</v>
      </c>
      <c r="DI91" s="33">
        <f t="shared" si="38"/>
        <v>0</v>
      </c>
      <c r="DJ91" s="33">
        <f t="shared" si="38"/>
        <v>0</v>
      </c>
      <c r="DK91" s="33">
        <f t="shared" si="38"/>
        <v>0</v>
      </c>
      <c r="DL91" s="33">
        <f t="shared" si="21"/>
        <v>0</v>
      </c>
      <c r="DM91" s="33">
        <f t="shared" si="21"/>
        <v>0</v>
      </c>
      <c r="DN91" s="33">
        <f t="shared" si="21"/>
        <v>0</v>
      </c>
      <c r="DO91" s="33">
        <f t="shared" si="21"/>
        <v>1</v>
      </c>
      <c r="DP91" s="50">
        <f t="shared" si="30"/>
        <v>0</v>
      </c>
      <c r="DQ91" s="50" t="str">
        <f t="shared" si="31"/>
        <v>D</v>
      </c>
      <c r="DR91" s="33">
        <f t="shared" si="28"/>
        <v>1</v>
      </c>
      <c r="DS91" s="50">
        <f t="shared" si="32"/>
        <v>0</v>
      </c>
      <c r="DT91" s="50" t="str">
        <f t="shared" si="33"/>
        <v>5-MEDIA BAJA</v>
      </c>
      <c r="DU91" s="33">
        <f t="shared" si="29"/>
        <v>0</v>
      </c>
      <c r="DV91" s="33">
        <f t="shared" si="29"/>
        <v>0</v>
      </c>
      <c r="DW91" s="33">
        <f t="shared" si="29"/>
        <v>0</v>
      </c>
      <c r="DX91" s="33">
        <f t="shared" si="26"/>
        <v>0</v>
      </c>
      <c r="DY91" s="35">
        <f t="shared" si="34"/>
        <v>2</v>
      </c>
      <c r="DZ91" s="33">
        <f t="shared" si="35"/>
        <v>18</v>
      </c>
      <c r="EA91" s="33">
        <f t="shared" si="36"/>
        <v>16</v>
      </c>
      <c r="EB91" s="33" t="str">
        <f t="shared" si="37"/>
        <v>AUX 2 COM + CAMPOS PREENC</v>
      </c>
      <c r="EC91" s="33" t="s">
        <v>10034</v>
      </c>
    </row>
    <row r="92" spans="2:133" x14ac:dyDescent="0.25">
      <c r="B92" s="33" t="s">
        <v>9454</v>
      </c>
      <c r="C92" s="33" t="s">
        <v>28</v>
      </c>
      <c r="D92" s="33" t="s">
        <v>8801</v>
      </c>
      <c r="E92" s="33" t="s">
        <v>8802</v>
      </c>
      <c r="F92" s="33" t="s">
        <v>9455</v>
      </c>
      <c r="G92" s="33" t="s">
        <v>9456</v>
      </c>
      <c r="H92" s="33" t="s">
        <v>9457</v>
      </c>
      <c r="I92" s="33" t="s">
        <v>9458</v>
      </c>
      <c r="J92" s="33" t="s">
        <v>9459</v>
      </c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 t="s">
        <v>9460</v>
      </c>
      <c r="V92" s="33"/>
      <c r="W92" s="33" t="s">
        <v>9461</v>
      </c>
      <c r="X92" s="33" t="s">
        <v>9462</v>
      </c>
      <c r="Y92" s="33" t="s">
        <v>8500</v>
      </c>
      <c r="Z92" s="33" t="s">
        <v>8500</v>
      </c>
      <c r="AA92" s="33" t="s">
        <v>8500</v>
      </c>
      <c r="AB92" s="33" t="s">
        <v>8500</v>
      </c>
      <c r="AC92" s="33"/>
      <c r="AD92" s="33"/>
      <c r="AE92" s="33"/>
      <c r="AF92" s="33" t="s">
        <v>9463</v>
      </c>
      <c r="AG92" s="33"/>
      <c r="AH92" s="33" t="s">
        <v>8505</v>
      </c>
      <c r="AI92" s="33"/>
      <c r="AJ92" s="33"/>
      <c r="AK92" s="33"/>
      <c r="AL92" s="33" t="s">
        <v>8528</v>
      </c>
      <c r="AM92" s="33" t="s">
        <v>8564</v>
      </c>
      <c r="AN92" s="33" t="s">
        <v>9464</v>
      </c>
      <c r="AO92" s="33" t="s">
        <v>9465</v>
      </c>
      <c r="AP92" s="33">
        <v>1</v>
      </c>
      <c r="AQ92" s="5" t="s">
        <v>10037</v>
      </c>
      <c r="AR92" s="33"/>
      <c r="AS92" s="33" t="s">
        <v>28</v>
      </c>
      <c r="AT92" s="33" t="s">
        <v>8801</v>
      </c>
      <c r="AU92" s="33" t="s">
        <v>8802</v>
      </c>
      <c r="AV92" s="33" t="s">
        <v>9455</v>
      </c>
      <c r="AW92" s="33" t="s">
        <v>9456</v>
      </c>
      <c r="AX92" s="33" t="s">
        <v>9457</v>
      </c>
      <c r="AY92" s="33" t="s">
        <v>9458</v>
      </c>
      <c r="AZ92" s="33" t="s">
        <v>9459</v>
      </c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 t="s">
        <v>9460</v>
      </c>
      <c r="BL92" s="33"/>
      <c r="BM92" s="33" t="s">
        <v>9461</v>
      </c>
      <c r="BN92" s="33" t="s">
        <v>9462</v>
      </c>
      <c r="BO92" s="33" t="s">
        <v>8500</v>
      </c>
      <c r="BP92" s="33" t="s">
        <v>8500</v>
      </c>
      <c r="BQ92" s="33" t="s">
        <v>8500</v>
      </c>
      <c r="BR92" s="33" t="s">
        <v>8500</v>
      </c>
      <c r="BS92" s="33"/>
      <c r="BT92" s="33"/>
      <c r="BU92" s="33"/>
      <c r="BV92" s="33" t="s">
        <v>9463</v>
      </c>
      <c r="BW92" s="33"/>
      <c r="BX92" s="33" t="s">
        <v>8505</v>
      </c>
      <c r="BY92" s="33"/>
      <c r="BZ92" s="33"/>
      <c r="CA92" s="33"/>
      <c r="CB92" s="33" t="s">
        <v>8528</v>
      </c>
      <c r="CC92" s="33" t="s">
        <v>8564</v>
      </c>
      <c r="CD92" s="33" t="s">
        <v>9464</v>
      </c>
      <c r="CE92" s="33" t="s">
        <v>9465</v>
      </c>
      <c r="CF92" s="33">
        <v>2</v>
      </c>
      <c r="CG92" s="5" t="s">
        <v>10037</v>
      </c>
      <c r="CH92" s="33">
        <f t="shared" si="39"/>
        <v>0</v>
      </c>
      <c r="CI92" s="33">
        <f t="shared" si="39"/>
        <v>0</v>
      </c>
      <c r="CJ92" s="33">
        <f t="shared" si="39"/>
        <v>0</v>
      </c>
      <c r="CK92" s="33">
        <f t="shared" si="39"/>
        <v>0</v>
      </c>
      <c r="CL92" s="33">
        <f t="shared" si="39"/>
        <v>0</v>
      </c>
      <c r="CM92" s="33">
        <f t="shared" si="39"/>
        <v>0</v>
      </c>
      <c r="CN92" s="33">
        <f t="shared" si="39"/>
        <v>0</v>
      </c>
      <c r="CO92" s="33">
        <f t="shared" si="39"/>
        <v>0</v>
      </c>
      <c r="CP92" s="33">
        <f t="shared" si="39"/>
        <v>0</v>
      </c>
      <c r="CQ92" s="33">
        <f t="shared" si="39"/>
        <v>0</v>
      </c>
      <c r="CR92" s="33">
        <f t="shared" si="39"/>
        <v>0</v>
      </c>
      <c r="CS92" s="33">
        <f t="shared" si="39"/>
        <v>0</v>
      </c>
      <c r="CT92" s="33">
        <f t="shared" si="39"/>
        <v>0</v>
      </c>
      <c r="CU92" s="33">
        <f t="shared" si="39"/>
        <v>0</v>
      </c>
      <c r="CV92" s="33">
        <f t="shared" si="39"/>
        <v>0</v>
      </c>
      <c r="CW92" s="33">
        <f t="shared" si="23"/>
        <v>0</v>
      </c>
      <c r="CX92" s="33">
        <f t="shared" si="23"/>
        <v>0</v>
      </c>
      <c r="CY92" s="33">
        <f t="shared" si="23"/>
        <v>0</v>
      </c>
      <c r="CZ92" s="33">
        <f t="shared" si="23"/>
        <v>0</v>
      </c>
      <c r="DA92" s="33">
        <f t="shared" si="23"/>
        <v>0</v>
      </c>
      <c r="DB92" s="33">
        <f t="shared" si="23"/>
        <v>0</v>
      </c>
      <c r="DC92" s="33">
        <f t="shared" si="38"/>
        <v>0</v>
      </c>
      <c r="DD92" s="33">
        <f t="shared" si="38"/>
        <v>0</v>
      </c>
      <c r="DE92" s="33">
        <f t="shared" si="38"/>
        <v>0</v>
      </c>
      <c r="DF92" s="33">
        <f t="shared" si="38"/>
        <v>0</v>
      </c>
      <c r="DG92" s="33">
        <f t="shared" si="38"/>
        <v>0</v>
      </c>
      <c r="DH92" s="33">
        <f t="shared" si="38"/>
        <v>0</v>
      </c>
      <c r="DI92" s="33">
        <f t="shared" si="38"/>
        <v>0</v>
      </c>
      <c r="DJ92" s="33">
        <f t="shared" si="38"/>
        <v>0</v>
      </c>
      <c r="DK92" s="33">
        <f t="shared" si="38"/>
        <v>0</v>
      </c>
      <c r="DL92" s="33">
        <f t="shared" si="21"/>
        <v>0</v>
      </c>
      <c r="DM92" s="33">
        <f t="shared" si="21"/>
        <v>0</v>
      </c>
      <c r="DN92" s="33">
        <f t="shared" si="21"/>
        <v>0</v>
      </c>
      <c r="DO92" s="33">
        <f t="shared" si="21"/>
        <v>0</v>
      </c>
      <c r="DP92" s="50">
        <f t="shared" si="30"/>
        <v>0</v>
      </c>
      <c r="DQ92" s="50">
        <f t="shared" si="31"/>
        <v>0</v>
      </c>
      <c r="DR92" s="33">
        <f t="shared" si="28"/>
        <v>0</v>
      </c>
      <c r="DS92" s="50">
        <f t="shared" si="32"/>
        <v>0</v>
      </c>
      <c r="DT92" s="50">
        <f t="shared" si="33"/>
        <v>0</v>
      </c>
      <c r="DU92" s="33">
        <f t="shared" si="29"/>
        <v>0</v>
      </c>
      <c r="DV92" s="33">
        <f t="shared" si="29"/>
        <v>0</v>
      </c>
      <c r="DW92" s="33">
        <f t="shared" si="29"/>
        <v>0</v>
      </c>
      <c r="DX92" s="33">
        <f t="shared" si="26"/>
        <v>0</v>
      </c>
      <c r="DY92" s="35">
        <f t="shared" si="34"/>
        <v>0</v>
      </c>
      <c r="DZ92" s="33">
        <f t="shared" si="35"/>
        <v>18</v>
      </c>
      <c r="EA92" s="33">
        <f t="shared" si="36"/>
        <v>18</v>
      </c>
      <c r="EB92" s="33" t="str">
        <f t="shared" si="37"/>
        <v>IGUAL CAMPOS PREENCH</v>
      </c>
      <c r="EC92" s="33" t="s">
        <v>10035</v>
      </c>
    </row>
    <row r="93" spans="2:133" x14ac:dyDescent="0.25">
      <c r="B93" s="33" t="s">
        <v>9466</v>
      </c>
      <c r="C93" s="33" t="s">
        <v>106</v>
      </c>
      <c r="D93" s="33" t="s">
        <v>8788</v>
      </c>
      <c r="E93" s="33" t="s">
        <v>8789</v>
      </c>
      <c r="F93" s="33" t="s">
        <v>8921</v>
      </c>
      <c r="G93" s="33" t="s">
        <v>8922</v>
      </c>
      <c r="H93" s="33" t="s">
        <v>9467</v>
      </c>
      <c r="I93" s="33" t="s">
        <v>9468</v>
      </c>
      <c r="J93" s="33" t="s">
        <v>9468</v>
      </c>
      <c r="K93" s="33" t="s">
        <v>8570</v>
      </c>
      <c r="L93" s="33" t="s">
        <v>8571</v>
      </c>
      <c r="M93" s="33" t="s">
        <v>9469</v>
      </c>
      <c r="N93" s="33" t="s">
        <v>8509</v>
      </c>
      <c r="O93" s="33" t="s">
        <v>8509</v>
      </c>
      <c r="P93" s="33"/>
      <c r="Q93" s="33" t="s">
        <v>8571</v>
      </c>
      <c r="R93" s="33"/>
      <c r="S93" s="33"/>
      <c r="T93" s="33"/>
      <c r="U93" s="33" t="s">
        <v>9470</v>
      </c>
      <c r="V93" s="33" t="s">
        <v>9471</v>
      </c>
      <c r="W93" s="33" t="s">
        <v>9472</v>
      </c>
      <c r="X93" s="33"/>
      <c r="Y93" s="33" t="s">
        <v>8500</v>
      </c>
      <c r="Z93" s="33" t="s">
        <v>8500</v>
      </c>
      <c r="AA93" s="33" t="s">
        <v>8500</v>
      </c>
      <c r="AB93" s="33" t="s">
        <v>8525</v>
      </c>
      <c r="AC93" s="33"/>
      <c r="AD93" s="33"/>
      <c r="AE93" s="33"/>
      <c r="AF93" s="33" t="s">
        <v>9473</v>
      </c>
      <c r="AG93" s="33"/>
      <c r="AH93" s="33" t="s">
        <v>9474</v>
      </c>
      <c r="AI93" s="33"/>
      <c r="AJ93" s="33"/>
      <c r="AK93" s="33"/>
      <c r="AL93" s="33" t="s">
        <v>8528</v>
      </c>
      <c r="AM93" s="33" t="s">
        <v>8545</v>
      </c>
      <c r="AN93" s="33" t="s">
        <v>9475</v>
      </c>
      <c r="AO93" s="33" t="s">
        <v>9476</v>
      </c>
      <c r="AP93" s="33">
        <v>1</v>
      </c>
      <c r="AQ93" s="5" t="s">
        <v>10037</v>
      </c>
      <c r="AR93" s="33"/>
      <c r="AS93" s="33" t="s">
        <v>106</v>
      </c>
      <c r="AT93" s="33" t="s">
        <v>8788</v>
      </c>
      <c r="AU93" s="33" t="s">
        <v>8789</v>
      </c>
      <c r="AV93" s="33" t="s">
        <v>8921</v>
      </c>
      <c r="AW93" s="33" t="s">
        <v>8922</v>
      </c>
      <c r="AX93" s="33" t="s">
        <v>9467</v>
      </c>
      <c r="AY93" s="33" t="s">
        <v>9468</v>
      </c>
      <c r="AZ93" s="33" t="s">
        <v>9468</v>
      </c>
      <c r="BA93" s="33" t="s">
        <v>8570</v>
      </c>
      <c r="BB93" s="33" t="s">
        <v>8571</v>
      </c>
      <c r="BC93" s="33" t="s">
        <v>9469</v>
      </c>
      <c r="BD93" s="33" t="s">
        <v>8509</v>
      </c>
      <c r="BE93" s="33" t="s">
        <v>8509</v>
      </c>
      <c r="BF93" s="33"/>
      <c r="BG93" s="33" t="s">
        <v>8571</v>
      </c>
      <c r="BH93" s="33"/>
      <c r="BI93" s="33"/>
      <c r="BJ93" s="33"/>
      <c r="BK93" s="33" t="s">
        <v>9470</v>
      </c>
      <c r="BL93" s="33" t="s">
        <v>9471</v>
      </c>
      <c r="BM93" s="33" t="s">
        <v>9472</v>
      </c>
      <c r="BN93" s="33"/>
      <c r="BO93" s="33" t="s">
        <v>8500</v>
      </c>
      <c r="BP93" s="33" t="s">
        <v>8500</v>
      </c>
      <c r="BQ93" s="33" t="s">
        <v>8500</v>
      </c>
      <c r="BR93" s="33" t="s">
        <v>8525</v>
      </c>
      <c r="BS93" s="33"/>
      <c r="BT93" s="33"/>
      <c r="BU93" s="33"/>
      <c r="BV93" s="33" t="s">
        <v>9473</v>
      </c>
      <c r="BW93" s="33"/>
      <c r="BX93" s="33" t="s">
        <v>9474</v>
      </c>
      <c r="BY93" s="33"/>
      <c r="BZ93" s="33"/>
      <c r="CA93" s="33"/>
      <c r="CB93" s="33" t="s">
        <v>8528</v>
      </c>
      <c r="CC93" s="33" t="s">
        <v>8545</v>
      </c>
      <c r="CD93" s="33" t="s">
        <v>9475</v>
      </c>
      <c r="CE93" s="33" t="s">
        <v>9476</v>
      </c>
      <c r="CF93" s="33">
        <v>2</v>
      </c>
      <c r="CG93" s="5" t="s">
        <v>10037</v>
      </c>
      <c r="CH93" s="33">
        <f t="shared" si="39"/>
        <v>0</v>
      </c>
      <c r="CI93" s="33">
        <f t="shared" si="39"/>
        <v>0</v>
      </c>
      <c r="CJ93" s="33">
        <f t="shared" si="39"/>
        <v>0</v>
      </c>
      <c r="CK93" s="33">
        <f t="shared" si="39"/>
        <v>0</v>
      </c>
      <c r="CL93" s="33">
        <f t="shared" si="39"/>
        <v>0</v>
      </c>
      <c r="CM93" s="33">
        <f t="shared" si="39"/>
        <v>0</v>
      </c>
      <c r="CN93" s="33">
        <f t="shared" si="39"/>
        <v>0</v>
      </c>
      <c r="CO93" s="33">
        <f t="shared" si="39"/>
        <v>0</v>
      </c>
      <c r="CP93" s="33">
        <f t="shared" si="39"/>
        <v>0</v>
      </c>
      <c r="CQ93" s="33">
        <f t="shared" si="39"/>
        <v>0</v>
      </c>
      <c r="CR93" s="33">
        <f t="shared" si="39"/>
        <v>0</v>
      </c>
      <c r="CS93" s="33">
        <f t="shared" si="39"/>
        <v>0</v>
      </c>
      <c r="CT93" s="33">
        <f t="shared" si="39"/>
        <v>0</v>
      </c>
      <c r="CU93" s="33">
        <f t="shared" si="39"/>
        <v>0</v>
      </c>
      <c r="CV93" s="33">
        <f t="shared" si="39"/>
        <v>0</v>
      </c>
      <c r="CW93" s="33">
        <f t="shared" si="23"/>
        <v>0</v>
      </c>
      <c r="CX93" s="33">
        <f t="shared" si="23"/>
        <v>0</v>
      </c>
      <c r="CY93" s="33">
        <f t="shared" si="23"/>
        <v>0</v>
      </c>
      <c r="CZ93" s="33">
        <f t="shared" si="23"/>
        <v>0</v>
      </c>
      <c r="DA93" s="33">
        <f t="shared" si="23"/>
        <v>0</v>
      </c>
      <c r="DB93" s="33">
        <f t="shared" si="23"/>
        <v>0</v>
      </c>
      <c r="DC93" s="33">
        <f t="shared" si="38"/>
        <v>0</v>
      </c>
      <c r="DD93" s="33">
        <f t="shared" si="38"/>
        <v>0</v>
      </c>
      <c r="DE93" s="33">
        <f t="shared" si="38"/>
        <v>0</v>
      </c>
      <c r="DF93" s="33">
        <f t="shared" si="38"/>
        <v>0</v>
      </c>
      <c r="DG93" s="33">
        <f t="shared" si="38"/>
        <v>0</v>
      </c>
      <c r="DH93" s="33">
        <f t="shared" si="38"/>
        <v>0</v>
      </c>
      <c r="DI93" s="33">
        <f t="shared" si="38"/>
        <v>0</v>
      </c>
      <c r="DJ93" s="33">
        <f t="shared" si="38"/>
        <v>0</v>
      </c>
      <c r="DK93" s="33">
        <f t="shared" si="38"/>
        <v>0</v>
      </c>
      <c r="DL93" s="33">
        <f t="shared" si="21"/>
        <v>0</v>
      </c>
      <c r="DM93" s="33">
        <f t="shared" si="21"/>
        <v>0</v>
      </c>
      <c r="DN93" s="33">
        <f t="shared" si="21"/>
        <v>0</v>
      </c>
      <c r="DO93" s="33">
        <f t="shared" si="21"/>
        <v>0</v>
      </c>
      <c r="DP93" s="50">
        <f t="shared" si="30"/>
        <v>0</v>
      </c>
      <c r="DQ93" s="50">
        <f t="shared" si="31"/>
        <v>0</v>
      </c>
      <c r="DR93" s="33">
        <f t="shared" si="28"/>
        <v>0</v>
      </c>
      <c r="DS93" s="50">
        <f t="shared" si="32"/>
        <v>0</v>
      </c>
      <c r="DT93" s="50">
        <f t="shared" si="33"/>
        <v>0</v>
      </c>
      <c r="DU93" s="33">
        <f t="shared" si="29"/>
        <v>0</v>
      </c>
      <c r="DV93" s="33">
        <f t="shared" si="29"/>
        <v>0</v>
      </c>
      <c r="DW93" s="33">
        <f t="shared" si="29"/>
        <v>0</v>
      </c>
      <c r="DX93" s="33">
        <f t="shared" si="26"/>
        <v>0</v>
      </c>
      <c r="DY93" s="35">
        <f t="shared" si="34"/>
        <v>0</v>
      </c>
      <c r="DZ93" s="33">
        <f t="shared" si="35"/>
        <v>12</v>
      </c>
      <c r="EA93" s="33">
        <f t="shared" si="36"/>
        <v>12</v>
      </c>
      <c r="EB93" s="33" t="str">
        <f t="shared" si="37"/>
        <v>IGUAL CAMPOS PREENCH</v>
      </c>
      <c r="EC93" s="33" t="s">
        <v>10035</v>
      </c>
    </row>
    <row r="94" spans="2:133" x14ac:dyDescent="0.25">
      <c r="B94" s="33" t="s">
        <v>9477</v>
      </c>
      <c r="C94" s="33" t="s">
        <v>97</v>
      </c>
      <c r="D94" s="33" t="s">
        <v>8788</v>
      </c>
      <c r="E94" s="33" t="s">
        <v>8789</v>
      </c>
      <c r="F94" s="33" t="s">
        <v>8790</v>
      </c>
      <c r="G94" s="33" t="s">
        <v>8789</v>
      </c>
      <c r="H94" s="33" t="s">
        <v>9107</v>
      </c>
      <c r="I94" s="33" t="s">
        <v>9108</v>
      </c>
      <c r="J94" s="33" t="s">
        <v>9478</v>
      </c>
      <c r="K94" s="33" t="s">
        <v>8570</v>
      </c>
      <c r="L94" s="33" t="s">
        <v>8571</v>
      </c>
      <c r="M94" s="33" t="s">
        <v>9479</v>
      </c>
      <c r="N94" s="33" t="s">
        <v>9480</v>
      </c>
      <c r="O94" s="33"/>
      <c r="P94" s="33"/>
      <c r="Q94" s="33" t="s">
        <v>8571</v>
      </c>
      <c r="R94" s="33" t="s">
        <v>9481</v>
      </c>
      <c r="S94" s="33"/>
      <c r="T94" s="33"/>
      <c r="U94" s="33" t="s">
        <v>9482</v>
      </c>
      <c r="V94" s="33" t="s">
        <v>9483</v>
      </c>
      <c r="W94" s="33" t="s">
        <v>9484</v>
      </c>
      <c r="X94" s="33" t="s">
        <v>9165</v>
      </c>
      <c r="Y94" s="33" t="s">
        <v>8525</v>
      </c>
      <c r="Z94" s="33" t="s">
        <v>8525</v>
      </c>
      <c r="AA94" s="33" t="s">
        <v>8500</v>
      </c>
      <c r="AB94" s="33" t="s">
        <v>8500</v>
      </c>
      <c r="AC94" s="33"/>
      <c r="AD94" s="33"/>
      <c r="AE94" s="33"/>
      <c r="AF94" s="33" t="s">
        <v>9485</v>
      </c>
      <c r="AG94" s="33"/>
      <c r="AH94" s="33" t="s">
        <v>8527</v>
      </c>
      <c r="AI94" s="33"/>
      <c r="AJ94" s="33"/>
      <c r="AK94" s="33"/>
      <c r="AL94" s="33" t="s">
        <v>9375</v>
      </c>
      <c r="AM94" s="33" t="s">
        <v>8506</v>
      </c>
      <c r="AN94" s="33" t="s">
        <v>9486</v>
      </c>
      <c r="AO94" s="33" t="s">
        <v>9487</v>
      </c>
      <c r="AP94" s="33">
        <v>1</v>
      </c>
      <c r="AQ94" s="5" t="s">
        <v>10037</v>
      </c>
      <c r="AR94" s="33"/>
      <c r="AS94" s="33" t="s">
        <v>97</v>
      </c>
      <c r="AT94" s="33" t="s">
        <v>8788</v>
      </c>
      <c r="AU94" s="33" t="s">
        <v>8789</v>
      </c>
      <c r="AV94" s="33" t="s">
        <v>8790</v>
      </c>
      <c r="AW94" s="33" t="s">
        <v>8789</v>
      </c>
      <c r="AX94" s="33" t="s">
        <v>9107</v>
      </c>
      <c r="AY94" s="33" t="s">
        <v>9108</v>
      </c>
      <c r="AZ94" s="33" t="s">
        <v>9478</v>
      </c>
      <c r="BA94" s="33" t="s">
        <v>8570</v>
      </c>
      <c r="BB94" s="33" t="s">
        <v>8571</v>
      </c>
      <c r="BC94" s="33" t="s">
        <v>9479</v>
      </c>
      <c r="BD94" s="33" t="s">
        <v>9480</v>
      </c>
      <c r="BE94" s="33"/>
      <c r="BF94" s="33"/>
      <c r="BG94" s="33" t="s">
        <v>8571</v>
      </c>
      <c r="BH94" s="33" t="s">
        <v>9481</v>
      </c>
      <c r="BI94" s="33"/>
      <c r="BJ94" s="33"/>
      <c r="BK94" s="33" t="s">
        <v>9482</v>
      </c>
      <c r="BL94" s="33" t="s">
        <v>9483</v>
      </c>
      <c r="BM94" s="33" t="s">
        <v>9484</v>
      </c>
      <c r="BN94" s="33" t="s">
        <v>9165</v>
      </c>
      <c r="BO94" s="33" t="s">
        <v>8525</v>
      </c>
      <c r="BP94" s="33" t="s">
        <v>8525</v>
      </c>
      <c r="BQ94" s="33" t="s">
        <v>8500</v>
      </c>
      <c r="BR94" s="33" t="s">
        <v>8500</v>
      </c>
      <c r="BS94" s="33"/>
      <c r="BT94" s="33"/>
      <c r="BU94" s="33"/>
      <c r="BV94" s="33" t="s">
        <v>9485</v>
      </c>
      <c r="BW94" s="33"/>
      <c r="BX94" s="33" t="s">
        <v>8527</v>
      </c>
      <c r="BY94" s="33"/>
      <c r="BZ94" s="33"/>
      <c r="CA94" s="33"/>
      <c r="CB94" s="33" t="s">
        <v>9375</v>
      </c>
      <c r="CC94" s="33" t="s">
        <v>8506</v>
      </c>
      <c r="CD94" s="33" t="s">
        <v>9486</v>
      </c>
      <c r="CE94" s="33" t="s">
        <v>9487</v>
      </c>
      <c r="CF94" s="33">
        <v>2</v>
      </c>
      <c r="CG94" s="5" t="s">
        <v>10037</v>
      </c>
      <c r="CH94" s="33">
        <f t="shared" si="39"/>
        <v>0</v>
      </c>
      <c r="CI94" s="33">
        <f t="shared" si="39"/>
        <v>0</v>
      </c>
      <c r="CJ94" s="33">
        <f t="shared" si="39"/>
        <v>0</v>
      </c>
      <c r="CK94" s="33">
        <f t="shared" si="39"/>
        <v>0</v>
      </c>
      <c r="CL94" s="33">
        <f t="shared" si="39"/>
        <v>0</v>
      </c>
      <c r="CM94" s="33">
        <f t="shared" si="39"/>
        <v>0</v>
      </c>
      <c r="CN94" s="33">
        <f t="shared" si="39"/>
        <v>0</v>
      </c>
      <c r="CO94" s="33">
        <f t="shared" si="39"/>
        <v>0</v>
      </c>
      <c r="CP94" s="33">
        <f t="shared" si="39"/>
        <v>0</v>
      </c>
      <c r="CQ94" s="33">
        <f t="shared" si="39"/>
        <v>0</v>
      </c>
      <c r="CR94" s="33">
        <f t="shared" si="39"/>
        <v>0</v>
      </c>
      <c r="CS94" s="33">
        <f t="shared" si="39"/>
        <v>0</v>
      </c>
      <c r="CT94" s="33">
        <f t="shared" si="39"/>
        <v>0</v>
      </c>
      <c r="CU94" s="33">
        <f t="shared" si="39"/>
        <v>0</v>
      </c>
      <c r="CV94" s="33">
        <f t="shared" si="39"/>
        <v>0</v>
      </c>
      <c r="CW94" s="33">
        <f t="shared" si="23"/>
        <v>0</v>
      </c>
      <c r="CX94" s="33">
        <f t="shared" si="23"/>
        <v>0</v>
      </c>
      <c r="CY94" s="33">
        <f t="shared" si="23"/>
        <v>0</v>
      </c>
      <c r="CZ94" s="33">
        <f t="shared" si="23"/>
        <v>0</v>
      </c>
      <c r="DA94" s="33">
        <f t="shared" si="23"/>
        <v>0</v>
      </c>
      <c r="DB94" s="33">
        <f t="shared" si="23"/>
        <v>0</v>
      </c>
      <c r="DC94" s="33">
        <f t="shared" si="38"/>
        <v>0</v>
      </c>
      <c r="DD94" s="33">
        <f t="shared" si="38"/>
        <v>0</v>
      </c>
      <c r="DE94" s="33">
        <f t="shared" si="38"/>
        <v>0</v>
      </c>
      <c r="DF94" s="33">
        <f t="shared" si="38"/>
        <v>0</v>
      </c>
      <c r="DG94" s="33">
        <f t="shared" si="38"/>
        <v>0</v>
      </c>
      <c r="DH94" s="33">
        <f t="shared" si="38"/>
        <v>0</v>
      </c>
      <c r="DI94" s="33">
        <f t="shared" si="38"/>
        <v>0</v>
      </c>
      <c r="DJ94" s="33">
        <f t="shared" si="38"/>
        <v>0</v>
      </c>
      <c r="DK94" s="33">
        <f t="shared" si="38"/>
        <v>0</v>
      </c>
      <c r="DL94" s="33">
        <f t="shared" si="21"/>
        <v>0</v>
      </c>
      <c r="DM94" s="33">
        <f t="shared" si="21"/>
        <v>0</v>
      </c>
      <c r="DN94" s="33">
        <f t="shared" si="21"/>
        <v>0</v>
      </c>
      <c r="DO94" s="33">
        <f t="shared" si="21"/>
        <v>0</v>
      </c>
      <c r="DP94" s="50">
        <f t="shared" si="30"/>
        <v>0</v>
      </c>
      <c r="DQ94" s="50">
        <f t="shared" si="31"/>
        <v>0</v>
      </c>
      <c r="DR94" s="33">
        <f t="shared" si="28"/>
        <v>0</v>
      </c>
      <c r="DS94" s="50">
        <f t="shared" si="32"/>
        <v>0</v>
      </c>
      <c r="DT94" s="50">
        <f t="shared" si="33"/>
        <v>0</v>
      </c>
      <c r="DU94" s="33">
        <f t="shared" si="29"/>
        <v>0</v>
      </c>
      <c r="DV94" s="33">
        <f t="shared" si="29"/>
        <v>0</v>
      </c>
      <c r="DW94" s="33">
        <f t="shared" si="29"/>
        <v>0</v>
      </c>
      <c r="DX94" s="33">
        <f t="shared" si="26"/>
        <v>0</v>
      </c>
      <c r="DY94" s="35">
        <f t="shared" si="34"/>
        <v>0</v>
      </c>
      <c r="DZ94" s="33">
        <f t="shared" si="35"/>
        <v>11</v>
      </c>
      <c r="EA94" s="33">
        <f t="shared" si="36"/>
        <v>11</v>
      </c>
      <c r="EB94" s="33" t="str">
        <f t="shared" si="37"/>
        <v>IGUAL CAMPOS PREENCH</v>
      </c>
      <c r="EC94" s="33" t="s">
        <v>10035</v>
      </c>
    </row>
    <row r="95" spans="2:133" x14ac:dyDescent="0.25">
      <c r="B95" s="33" t="s">
        <v>9488</v>
      </c>
      <c r="C95" s="33" t="s">
        <v>172</v>
      </c>
      <c r="D95" s="33" t="s">
        <v>8645</v>
      </c>
      <c r="E95" s="33" t="s">
        <v>8646</v>
      </c>
      <c r="F95" s="33" t="s">
        <v>8647</v>
      </c>
      <c r="G95" s="33" t="s">
        <v>8648</v>
      </c>
      <c r="H95" s="33" t="s">
        <v>9352</v>
      </c>
      <c r="I95" s="33" t="s">
        <v>9353</v>
      </c>
      <c r="J95" s="33" t="s">
        <v>8648</v>
      </c>
      <c r="K95" s="33" t="s">
        <v>9489</v>
      </c>
      <c r="L95" s="33" t="s">
        <v>8540</v>
      </c>
      <c r="M95" s="33" t="s">
        <v>9490</v>
      </c>
      <c r="N95" s="33" t="s">
        <v>9491</v>
      </c>
      <c r="O95" s="33"/>
      <c r="P95" s="33"/>
      <c r="Q95" s="33" t="s">
        <v>8540</v>
      </c>
      <c r="R95" s="33"/>
      <c r="S95" s="33"/>
      <c r="T95" s="33"/>
      <c r="U95" s="33" t="s">
        <v>9492</v>
      </c>
      <c r="V95" s="33" t="s">
        <v>9493</v>
      </c>
      <c r="W95" s="33" t="s">
        <v>8731</v>
      </c>
      <c r="X95" s="33"/>
      <c r="Y95" s="33" t="s">
        <v>8500</v>
      </c>
      <c r="Z95" s="33" t="s">
        <v>8500</v>
      </c>
      <c r="AA95" s="33" t="s">
        <v>8500</v>
      </c>
      <c r="AB95" s="33" t="s">
        <v>8525</v>
      </c>
      <c r="AC95" s="33"/>
      <c r="AD95" s="33"/>
      <c r="AE95" s="33"/>
      <c r="AF95" s="33"/>
      <c r="AG95" s="33"/>
      <c r="AH95" s="33" t="s">
        <v>8606</v>
      </c>
      <c r="AI95" s="33"/>
      <c r="AJ95" s="33"/>
      <c r="AK95" s="33"/>
      <c r="AL95" s="33" t="s">
        <v>8507</v>
      </c>
      <c r="AM95" s="33" t="s">
        <v>8506</v>
      </c>
      <c r="AN95" s="33" t="s">
        <v>9494</v>
      </c>
      <c r="AO95" s="33" t="s">
        <v>9495</v>
      </c>
      <c r="AP95" s="33">
        <v>1</v>
      </c>
      <c r="AQ95" s="5" t="s">
        <v>10037</v>
      </c>
      <c r="AR95" s="33"/>
      <c r="AS95" s="33" t="s">
        <v>172</v>
      </c>
      <c r="AT95" s="33" t="s">
        <v>8645</v>
      </c>
      <c r="AU95" s="33" t="s">
        <v>8646</v>
      </c>
      <c r="AV95" s="33" t="s">
        <v>8647</v>
      </c>
      <c r="AW95" s="33" t="s">
        <v>8648</v>
      </c>
      <c r="AX95" s="33" t="s">
        <v>9352</v>
      </c>
      <c r="AY95" s="33" t="s">
        <v>9353</v>
      </c>
      <c r="AZ95" s="33" t="s">
        <v>8648</v>
      </c>
      <c r="BA95" s="33" t="s">
        <v>9489</v>
      </c>
      <c r="BB95" s="33" t="s">
        <v>8540</v>
      </c>
      <c r="BC95" s="33" t="s">
        <v>9490</v>
      </c>
      <c r="BD95" s="33" t="s">
        <v>9491</v>
      </c>
      <c r="BE95" s="33"/>
      <c r="BF95" s="33"/>
      <c r="BG95" s="33" t="s">
        <v>8540</v>
      </c>
      <c r="BH95" s="33"/>
      <c r="BI95" s="33"/>
      <c r="BJ95" s="33"/>
      <c r="BK95" s="33" t="s">
        <v>9492</v>
      </c>
      <c r="BL95" s="33" t="s">
        <v>9493</v>
      </c>
      <c r="BM95" s="33" t="s">
        <v>8731</v>
      </c>
      <c r="BN95" s="33"/>
      <c r="BO95" s="33" t="s">
        <v>8500</v>
      </c>
      <c r="BP95" s="33" t="s">
        <v>8500</v>
      </c>
      <c r="BQ95" s="33" t="s">
        <v>8500</v>
      </c>
      <c r="BR95" s="33" t="s">
        <v>8525</v>
      </c>
      <c r="BS95" s="33"/>
      <c r="BT95" s="33"/>
      <c r="BU95" s="33"/>
      <c r="BV95" s="33"/>
      <c r="BW95" s="33"/>
      <c r="BX95" s="33" t="s">
        <v>8606</v>
      </c>
      <c r="BY95" s="33"/>
      <c r="BZ95" s="33"/>
      <c r="CA95" s="33"/>
      <c r="CB95" s="33" t="s">
        <v>8507</v>
      </c>
      <c r="CC95" s="33" t="s">
        <v>8506</v>
      </c>
      <c r="CD95" s="33" t="s">
        <v>9494</v>
      </c>
      <c r="CE95" s="33" t="s">
        <v>9495</v>
      </c>
      <c r="CF95" s="33">
        <v>2</v>
      </c>
      <c r="CG95" s="5" t="s">
        <v>10037</v>
      </c>
      <c r="CH95" s="33">
        <f t="shared" si="39"/>
        <v>0</v>
      </c>
      <c r="CI95" s="33">
        <f t="shared" si="39"/>
        <v>0</v>
      </c>
      <c r="CJ95" s="33">
        <f t="shared" si="39"/>
        <v>0</v>
      </c>
      <c r="CK95" s="33">
        <f t="shared" si="39"/>
        <v>0</v>
      </c>
      <c r="CL95" s="33">
        <f t="shared" si="39"/>
        <v>0</v>
      </c>
      <c r="CM95" s="33">
        <f t="shared" si="39"/>
        <v>0</v>
      </c>
      <c r="CN95" s="33">
        <f t="shared" si="39"/>
        <v>0</v>
      </c>
      <c r="CO95" s="33">
        <f t="shared" si="39"/>
        <v>0</v>
      </c>
      <c r="CP95" s="33">
        <f t="shared" si="39"/>
        <v>0</v>
      </c>
      <c r="CQ95" s="33">
        <f t="shared" si="39"/>
        <v>0</v>
      </c>
      <c r="CR95" s="33">
        <f t="shared" si="39"/>
        <v>0</v>
      </c>
      <c r="CS95" s="33">
        <f t="shared" si="39"/>
        <v>0</v>
      </c>
      <c r="CT95" s="33">
        <f t="shared" si="39"/>
        <v>0</v>
      </c>
      <c r="CU95" s="33">
        <f t="shared" si="39"/>
        <v>0</v>
      </c>
      <c r="CV95" s="33">
        <f t="shared" si="39"/>
        <v>0</v>
      </c>
      <c r="CW95" s="33">
        <f t="shared" si="23"/>
        <v>0</v>
      </c>
      <c r="CX95" s="33">
        <f t="shared" si="23"/>
        <v>0</v>
      </c>
      <c r="CY95" s="33">
        <f t="shared" si="23"/>
        <v>0</v>
      </c>
      <c r="CZ95" s="33">
        <f t="shared" si="23"/>
        <v>0</v>
      </c>
      <c r="DA95" s="33">
        <f t="shared" si="23"/>
        <v>0</v>
      </c>
      <c r="DB95" s="33">
        <f t="shared" si="23"/>
        <v>0</v>
      </c>
      <c r="DC95" s="33">
        <f t="shared" si="38"/>
        <v>0</v>
      </c>
      <c r="DD95" s="33">
        <f t="shared" si="38"/>
        <v>0</v>
      </c>
      <c r="DE95" s="33">
        <f t="shared" si="38"/>
        <v>0</v>
      </c>
      <c r="DF95" s="33">
        <f t="shared" si="38"/>
        <v>0</v>
      </c>
      <c r="DG95" s="33">
        <f t="shared" si="38"/>
        <v>0</v>
      </c>
      <c r="DH95" s="33">
        <f t="shared" si="38"/>
        <v>0</v>
      </c>
      <c r="DI95" s="33">
        <f t="shared" si="38"/>
        <v>0</v>
      </c>
      <c r="DJ95" s="33">
        <f t="shared" si="38"/>
        <v>0</v>
      </c>
      <c r="DK95" s="33">
        <f t="shared" si="38"/>
        <v>0</v>
      </c>
      <c r="DL95" s="33">
        <f t="shared" si="21"/>
        <v>0</v>
      </c>
      <c r="DM95" s="33">
        <f t="shared" si="21"/>
        <v>0</v>
      </c>
      <c r="DN95" s="33">
        <f t="shared" si="21"/>
        <v>0</v>
      </c>
      <c r="DO95" s="33">
        <f t="shared" si="21"/>
        <v>0</v>
      </c>
      <c r="DP95" s="50">
        <f t="shared" si="30"/>
        <v>0</v>
      </c>
      <c r="DQ95" s="50">
        <f t="shared" si="31"/>
        <v>0</v>
      </c>
      <c r="DR95" s="33">
        <f t="shared" si="28"/>
        <v>0</v>
      </c>
      <c r="DS95" s="50">
        <f t="shared" si="32"/>
        <v>0</v>
      </c>
      <c r="DT95" s="50">
        <f t="shared" si="33"/>
        <v>0</v>
      </c>
      <c r="DU95" s="33">
        <f t="shared" si="29"/>
        <v>0</v>
      </c>
      <c r="DV95" s="33">
        <f t="shared" si="29"/>
        <v>0</v>
      </c>
      <c r="DW95" s="33">
        <f t="shared" si="29"/>
        <v>0</v>
      </c>
      <c r="DX95" s="33">
        <f t="shared" si="26"/>
        <v>0</v>
      </c>
      <c r="DY95" s="35">
        <f t="shared" si="34"/>
        <v>0</v>
      </c>
      <c r="DZ95" s="33">
        <f t="shared" si="35"/>
        <v>14</v>
      </c>
      <c r="EA95" s="33">
        <f t="shared" si="36"/>
        <v>14</v>
      </c>
      <c r="EB95" s="33" t="str">
        <f t="shared" si="37"/>
        <v>IGUAL CAMPOS PREENCH</v>
      </c>
      <c r="EC95" s="33" t="s">
        <v>10035</v>
      </c>
    </row>
    <row r="96" spans="2:133" x14ac:dyDescent="0.25">
      <c r="B96" s="33" t="s">
        <v>9496</v>
      </c>
      <c r="C96" s="33" t="s">
        <v>80</v>
      </c>
      <c r="D96" s="33" t="s">
        <v>8680</v>
      </c>
      <c r="E96" s="33" t="s">
        <v>8681</v>
      </c>
      <c r="F96" s="33" t="s">
        <v>9497</v>
      </c>
      <c r="G96" s="33" t="s">
        <v>9498</v>
      </c>
      <c r="H96" s="33" t="s">
        <v>9499</v>
      </c>
      <c r="I96" s="33" t="s">
        <v>9500</v>
      </c>
      <c r="J96" s="33" t="s">
        <v>9500</v>
      </c>
      <c r="K96" s="33" t="s">
        <v>8519</v>
      </c>
      <c r="L96" s="33" t="s">
        <v>8520</v>
      </c>
      <c r="M96" s="33" t="s">
        <v>8968</v>
      </c>
      <c r="N96" s="33" t="s">
        <v>8521</v>
      </c>
      <c r="O96" s="33"/>
      <c r="P96" s="33"/>
      <c r="Q96" s="33" t="s">
        <v>8520</v>
      </c>
      <c r="R96" s="33"/>
      <c r="S96" s="33"/>
      <c r="T96" s="33"/>
      <c r="U96" s="33" t="s">
        <v>9501</v>
      </c>
      <c r="V96" s="33" t="s">
        <v>9502</v>
      </c>
      <c r="W96" s="33" t="s">
        <v>9073</v>
      </c>
      <c r="X96" s="33" t="s">
        <v>8840</v>
      </c>
      <c r="Y96" s="33" t="s">
        <v>8525</v>
      </c>
      <c r="Z96" s="33" t="s">
        <v>8500</v>
      </c>
      <c r="AA96" s="33" t="s">
        <v>8525</v>
      </c>
      <c r="AB96" s="33" t="s">
        <v>8500</v>
      </c>
      <c r="AC96" s="33"/>
      <c r="AD96" s="33"/>
      <c r="AE96" s="33"/>
      <c r="AF96" s="33" t="s">
        <v>9503</v>
      </c>
      <c r="AG96" s="33"/>
      <c r="AH96" s="33" t="s">
        <v>8527</v>
      </c>
      <c r="AI96" s="33"/>
      <c r="AJ96" s="33" t="s">
        <v>8509</v>
      </c>
      <c r="AK96" s="33" t="s">
        <v>8507</v>
      </c>
      <c r="AL96" s="33" t="s">
        <v>8507</v>
      </c>
      <c r="AM96" s="33" t="s">
        <v>8509</v>
      </c>
      <c r="AN96" s="33" t="s">
        <v>9504</v>
      </c>
      <c r="AO96" s="33" t="s">
        <v>9505</v>
      </c>
      <c r="AP96" s="33">
        <v>1</v>
      </c>
      <c r="AQ96" s="5" t="s">
        <v>10037</v>
      </c>
      <c r="AR96" s="33"/>
      <c r="AS96" s="33" t="s">
        <v>80</v>
      </c>
      <c r="AT96" s="33" t="s">
        <v>8680</v>
      </c>
      <c r="AU96" s="33" t="s">
        <v>8681</v>
      </c>
      <c r="AV96" s="33" t="s">
        <v>9497</v>
      </c>
      <c r="AW96" s="33" t="s">
        <v>9498</v>
      </c>
      <c r="AX96" s="33" t="s">
        <v>9499</v>
      </c>
      <c r="AY96" s="33" t="s">
        <v>9500</v>
      </c>
      <c r="AZ96" s="33" t="s">
        <v>9500</v>
      </c>
      <c r="BA96" s="33" t="s">
        <v>8519</v>
      </c>
      <c r="BB96" s="33" t="s">
        <v>8520</v>
      </c>
      <c r="BC96" s="33" t="s">
        <v>8968</v>
      </c>
      <c r="BD96" s="33" t="s">
        <v>8521</v>
      </c>
      <c r="BE96" s="33"/>
      <c r="BF96" s="33"/>
      <c r="BG96" s="33" t="s">
        <v>8520</v>
      </c>
      <c r="BH96" s="33"/>
      <c r="BI96" s="33"/>
      <c r="BJ96" s="33"/>
      <c r="BK96" s="33" t="s">
        <v>9501</v>
      </c>
      <c r="BL96" s="33" t="s">
        <v>9502</v>
      </c>
      <c r="BM96" s="33" t="s">
        <v>9073</v>
      </c>
      <c r="BN96" s="33" t="s">
        <v>8840</v>
      </c>
      <c r="BO96" s="33" t="s">
        <v>8525</v>
      </c>
      <c r="BP96" s="33" t="s">
        <v>8500</v>
      </c>
      <c r="BQ96" s="33" t="s">
        <v>8525</v>
      </c>
      <c r="BR96" s="33" t="s">
        <v>8500</v>
      </c>
      <c r="BS96" s="33"/>
      <c r="BT96" s="33"/>
      <c r="BU96" s="33"/>
      <c r="BV96" s="33" t="s">
        <v>9503</v>
      </c>
      <c r="BW96" s="33"/>
      <c r="BX96" s="33" t="s">
        <v>8527</v>
      </c>
      <c r="BY96" s="33"/>
      <c r="BZ96" s="33"/>
      <c r="CA96" s="33"/>
      <c r="CB96" s="33" t="s">
        <v>8507</v>
      </c>
      <c r="CC96" s="33" t="s">
        <v>8509</v>
      </c>
      <c r="CD96" s="33" t="s">
        <v>9504</v>
      </c>
      <c r="CE96" s="33" t="s">
        <v>9505</v>
      </c>
      <c r="CF96" s="33">
        <v>2</v>
      </c>
      <c r="CG96" s="5" t="s">
        <v>10037</v>
      </c>
      <c r="CH96" s="33">
        <f t="shared" si="39"/>
        <v>0</v>
      </c>
      <c r="CI96" s="33">
        <f t="shared" si="39"/>
        <v>0</v>
      </c>
      <c r="CJ96" s="33">
        <f t="shared" si="39"/>
        <v>0</v>
      </c>
      <c r="CK96" s="33">
        <f t="shared" si="39"/>
        <v>0</v>
      </c>
      <c r="CL96" s="33">
        <f t="shared" si="39"/>
        <v>0</v>
      </c>
      <c r="CM96" s="33">
        <f t="shared" si="39"/>
        <v>0</v>
      </c>
      <c r="CN96" s="33">
        <f t="shared" si="39"/>
        <v>0</v>
      </c>
      <c r="CO96" s="33">
        <f t="shared" si="39"/>
        <v>0</v>
      </c>
      <c r="CP96" s="33">
        <f t="shared" si="39"/>
        <v>0</v>
      </c>
      <c r="CQ96" s="33">
        <f t="shared" si="39"/>
        <v>0</v>
      </c>
      <c r="CR96" s="33">
        <f t="shared" si="39"/>
        <v>0</v>
      </c>
      <c r="CS96" s="33">
        <f t="shared" si="39"/>
        <v>0</v>
      </c>
      <c r="CT96" s="33">
        <f t="shared" si="39"/>
        <v>0</v>
      </c>
      <c r="CU96" s="33">
        <f t="shared" si="39"/>
        <v>0</v>
      </c>
      <c r="CV96" s="33">
        <f t="shared" si="39"/>
        <v>0</v>
      </c>
      <c r="CW96" s="33">
        <f t="shared" si="23"/>
        <v>0</v>
      </c>
      <c r="CX96" s="33">
        <f t="shared" si="23"/>
        <v>0</v>
      </c>
      <c r="CY96" s="33">
        <f t="shared" si="23"/>
        <v>0</v>
      </c>
      <c r="CZ96" s="33">
        <f t="shared" si="23"/>
        <v>0</v>
      </c>
      <c r="DA96" s="33">
        <f t="shared" si="23"/>
        <v>0</v>
      </c>
      <c r="DB96" s="33">
        <f t="shared" si="23"/>
        <v>0</v>
      </c>
      <c r="DC96" s="33">
        <f t="shared" si="38"/>
        <v>0</v>
      </c>
      <c r="DD96" s="33">
        <f t="shared" si="38"/>
        <v>0</v>
      </c>
      <c r="DE96" s="33">
        <f t="shared" si="38"/>
        <v>0</v>
      </c>
      <c r="DF96" s="33">
        <f t="shared" si="38"/>
        <v>0</v>
      </c>
      <c r="DG96" s="33">
        <f t="shared" si="38"/>
        <v>0</v>
      </c>
      <c r="DH96" s="33">
        <f t="shared" si="38"/>
        <v>0</v>
      </c>
      <c r="DI96" s="33">
        <f t="shared" si="38"/>
        <v>0</v>
      </c>
      <c r="DJ96" s="33">
        <f t="shared" si="38"/>
        <v>0</v>
      </c>
      <c r="DK96" s="33">
        <f t="shared" si="38"/>
        <v>0</v>
      </c>
      <c r="DL96" s="33">
        <f t="shared" si="21"/>
        <v>0</v>
      </c>
      <c r="DM96" s="33">
        <f t="shared" si="21"/>
        <v>0</v>
      </c>
      <c r="DN96" s="33">
        <f t="shared" si="21"/>
        <v>0</v>
      </c>
      <c r="DO96" s="33">
        <f t="shared" si="21"/>
        <v>1</v>
      </c>
      <c r="DP96" s="50" t="str">
        <f t="shared" si="30"/>
        <v>A</v>
      </c>
      <c r="DQ96" s="50">
        <f t="shared" si="31"/>
        <v>0</v>
      </c>
      <c r="DR96" s="33">
        <f t="shared" si="28"/>
        <v>1</v>
      </c>
      <c r="DS96" s="50" t="str">
        <f t="shared" si="32"/>
        <v>4-MEDIA</v>
      </c>
      <c r="DT96" s="50">
        <f t="shared" si="33"/>
        <v>0</v>
      </c>
      <c r="DU96" s="33">
        <f t="shared" si="29"/>
        <v>0</v>
      </c>
      <c r="DV96" s="33">
        <f t="shared" si="29"/>
        <v>0</v>
      </c>
      <c r="DW96" s="33">
        <f t="shared" si="29"/>
        <v>0</v>
      </c>
      <c r="DX96" s="33">
        <f t="shared" si="26"/>
        <v>0</v>
      </c>
      <c r="DY96" s="35">
        <f t="shared" si="34"/>
        <v>2</v>
      </c>
      <c r="DZ96" s="33">
        <f t="shared" si="35"/>
        <v>10</v>
      </c>
      <c r="EA96" s="33">
        <f t="shared" si="36"/>
        <v>12</v>
      </c>
      <c r="EB96" s="33" t="str">
        <f t="shared" si="37"/>
        <v>AUX 1 COM + CAMPOS PREENC OU IGUAL</v>
      </c>
      <c r="EC96" s="33" t="s">
        <v>10034</v>
      </c>
    </row>
    <row r="97" spans="2:133" x14ac:dyDescent="0.25">
      <c r="B97" s="33" t="s">
        <v>9506</v>
      </c>
      <c r="C97" s="33" t="s">
        <v>143</v>
      </c>
      <c r="D97" s="33" t="s">
        <v>8611</v>
      </c>
      <c r="E97" s="33" t="s">
        <v>8612</v>
      </c>
      <c r="F97" s="33" t="s">
        <v>9507</v>
      </c>
      <c r="G97" s="33" t="s">
        <v>9508</v>
      </c>
      <c r="H97" s="33" t="s">
        <v>9509</v>
      </c>
      <c r="I97" s="33" t="s">
        <v>9508</v>
      </c>
      <c r="J97" s="33" t="s">
        <v>9508</v>
      </c>
      <c r="K97" s="33" t="s">
        <v>9510</v>
      </c>
      <c r="L97" s="33" t="s">
        <v>9511</v>
      </c>
      <c r="M97" s="33" t="s">
        <v>9512</v>
      </c>
      <c r="N97" s="33" t="s">
        <v>175</v>
      </c>
      <c r="O97" s="33" t="s">
        <v>175</v>
      </c>
      <c r="P97" s="33"/>
      <c r="Q97" s="33" t="s">
        <v>9511</v>
      </c>
      <c r="R97" s="33"/>
      <c r="S97" s="33"/>
      <c r="T97" s="33"/>
      <c r="U97" s="33" t="s">
        <v>9513</v>
      </c>
      <c r="V97" s="33" t="s">
        <v>8783</v>
      </c>
      <c r="W97" s="33" t="s">
        <v>9514</v>
      </c>
      <c r="X97" s="33" t="s">
        <v>9212</v>
      </c>
      <c r="Y97" s="33" t="s">
        <v>8500</v>
      </c>
      <c r="Z97" s="33" t="s">
        <v>8500</v>
      </c>
      <c r="AA97" s="33" t="s">
        <v>8500</v>
      </c>
      <c r="AB97" s="33" t="s">
        <v>8525</v>
      </c>
      <c r="AC97" s="33"/>
      <c r="AD97" s="33"/>
      <c r="AE97" s="33"/>
      <c r="AF97" s="33" t="s">
        <v>9515</v>
      </c>
      <c r="AG97" s="33"/>
      <c r="AH97" s="33" t="s">
        <v>8723</v>
      </c>
      <c r="AI97" s="33"/>
      <c r="AJ97" s="33"/>
      <c r="AK97" s="33"/>
      <c r="AL97" s="33" t="s">
        <v>8528</v>
      </c>
      <c r="AM97" s="33" t="s">
        <v>8564</v>
      </c>
      <c r="AN97" s="33" t="s">
        <v>9516</v>
      </c>
      <c r="AO97" s="33" t="s">
        <v>9517</v>
      </c>
      <c r="AP97" s="33">
        <v>1</v>
      </c>
      <c r="AQ97" s="5" t="s">
        <v>10037</v>
      </c>
      <c r="AR97" s="33"/>
      <c r="AS97" s="33" t="s">
        <v>143</v>
      </c>
      <c r="AT97" s="33" t="s">
        <v>8611</v>
      </c>
      <c r="AU97" s="33" t="s">
        <v>8612</v>
      </c>
      <c r="AV97" s="33" t="s">
        <v>9507</v>
      </c>
      <c r="AW97" s="33" t="s">
        <v>9508</v>
      </c>
      <c r="AX97" s="33" t="s">
        <v>9509</v>
      </c>
      <c r="AY97" s="33" t="s">
        <v>9508</v>
      </c>
      <c r="AZ97" s="33" t="s">
        <v>9508</v>
      </c>
      <c r="BA97" s="33" t="s">
        <v>9510</v>
      </c>
      <c r="BB97" s="33" t="s">
        <v>9511</v>
      </c>
      <c r="BC97" s="33" t="s">
        <v>9512</v>
      </c>
      <c r="BD97" s="33" t="s">
        <v>175</v>
      </c>
      <c r="BE97" s="33" t="s">
        <v>175</v>
      </c>
      <c r="BF97" s="33"/>
      <c r="BG97" s="33" t="s">
        <v>9511</v>
      </c>
      <c r="BH97" s="33"/>
      <c r="BI97" s="33"/>
      <c r="BJ97" s="33"/>
      <c r="BK97" s="33" t="s">
        <v>9513</v>
      </c>
      <c r="BL97" s="33" t="s">
        <v>8783</v>
      </c>
      <c r="BM97" s="33" t="s">
        <v>9514</v>
      </c>
      <c r="BN97" s="33" t="s">
        <v>9212</v>
      </c>
      <c r="BO97" s="33" t="s">
        <v>8500</v>
      </c>
      <c r="BP97" s="33" t="s">
        <v>8500</v>
      </c>
      <c r="BQ97" s="33" t="s">
        <v>8500</v>
      </c>
      <c r="BR97" s="33" t="s">
        <v>8525</v>
      </c>
      <c r="BS97" s="33"/>
      <c r="BT97" s="33"/>
      <c r="BU97" s="33"/>
      <c r="BV97" s="33" t="s">
        <v>9515</v>
      </c>
      <c r="BW97" s="33"/>
      <c r="BX97" s="33" t="s">
        <v>8723</v>
      </c>
      <c r="BY97" s="33"/>
      <c r="BZ97" s="33"/>
      <c r="CA97" s="33"/>
      <c r="CB97" s="33" t="s">
        <v>8528</v>
      </c>
      <c r="CC97" s="33" t="s">
        <v>8564</v>
      </c>
      <c r="CD97" s="33" t="s">
        <v>9516</v>
      </c>
      <c r="CE97" s="33" t="s">
        <v>9517</v>
      </c>
      <c r="CF97" s="33">
        <v>2</v>
      </c>
      <c r="CG97" s="5" t="s">
        <v>10037</v>
      </c>
      <c r="CH97" s="33">
        <f t="shared" si="39"/>
        <v>0</v>
      </c>
      <c r="CI97" s="33">
        <f t="shared" si="39"/>
        <v>0</v>
      </c>
      <c r="CJ97" s="33">
        <f t="shared" si="39"/>
        <v>0</v>
      </c>
      <c r="CK97" s="33">
        <f t="shared" si="39"/>
        <v>0</v>
      </c>
      <c r="CL97" s="33">
        <f t="shared" si="39"/>
        <v>0</v>
      </c>
      <c r="CM97" s="33">
        <f t="shared" si="39"/>
        <v>0</v>
      </c>
      <c r="CN97" s="33">
        <f t="shared" si="39"/>
        <v>0</v>
      </c>
      <c r="CO97" s="33">
        <f t="shared" si="39"/>
        <v>0</v>
      </c>
      <c r="CP97" s="33">
        <f t="shared" si="39"/>
        <v>0</v>
      </c>
      <c r="CQ97" s="33">
        <f t="shared" si="39"/>
        <v>0</v>
      </c>
      <c r="CR97" s="33">
        <f t="shared" si="39"/>
        <v>0</v>
      </c>
      <c r="CS97" s="33">
        <f t="shared" si="39"/>
        <v>0</v>
      </c>
      <c r="CT97" s="33">
        <f t="shared" si="39"/>
        <v>0</v>
      </c>
      <c r="CU97" s="33">
        <f t="shared" si="39"/>
        <v>0</v>
      </c>
      <c r="CV97" s="33">
        <f t="shared" si="39"/>
        <v>0</v>
      </c>
      <c r="CW97" s="33">
        <f t="shared" si="23"/>
        <v>0</v>
      </c>
      <c r="CX97" s="33">
        <f t="shared" si="23"/>
        <v>0</v>
      </c>
      <c r="CY97" s="33">
        <f t="shared" si="23"/>
        <v>0</v>
      </c>
      <c r="CZ97" s="33">
        <f t="shared" si="23"/>
        <v>0</v>
      </c>
      <c r="DA97" s="33">
        <f t="shared" si="23"/>
        <v>0</v>
      </c>
      <c r="DB97" s="33">
        <f t="shared" si="23"/>
        <v>0</v>
      </c>
      <c r="DC97" s="33">
        <f t="shared" si="38"/>
        <v>0</v>
      </c>
      <c r="DD97" s="33">
        <f t="shared" si="38"/>
        <v>0</v>
      </c>
      <c r="DE97" s="33">
        <f t="shared" si="38"/>
        <v>0</v>
      </c>
      <c r="DF97" s="33">
        <f t="shared" si="38"/>
        <v>0</v>
      </c>
      <c r="DG97" s="33">
        <f t="shared" si="38"/>
        <v>0</v>
      </c>
      <c r="DH97" s="33">
        <f t="shared" si="38"/>
        <v>0</v>
      </c>
      <c r="DI97" s="33">
        <f t="shared" si="38"/>
        <v>0</v>
      </c>
      <c r="DJ97" s="33">
        <f t="shared" si="38"/>
        <v>0</v>
      </c>
      <c r="DK97" s="33">
        <f t="shared" si="38"/>
        <v>0</v>
      </c>
      <c r="DL97" s="33">
        <f t="shared" si="21"/>
        <v>0</v>
      </c>
      <c r="DM97" s="33">
        <f t="shared" si="21"/>
        <v>0</v>
      </c>
      <c r="DN97" s="33">
        <f t="shared" si="21"/>
        <v>0</v>
      </c>
      <c r="DO97" s="33">
        <f t="shared" si="21"/>
        <v>0</v>
      </c>
      <c r="DP97" s="50">
        <f t="shared" si="30"/>
        <v>0</v>
      </c>
      <c r="DQ97" s="50">
        <f t="shared" si="31"/>
        <v>0</v>
      </c>
      <c r="DR97" s="33">
        <f t="shared" si="28"/>
        <v>0</v>
      </c>
      <c r="DS97" s="50">
        <f t="shared" si="32"/>
        <v>0</v>
      </c>
      <c r="DT97" s="50">
        <f t="shared" si="33"/>
        <v>0</v>
      </c>
      <c r="DU97" s="33">
        <f t="shared" si="29"/>
        <v>0</v>
      </c>
      <c r="DV97" s="33">
        <f t="shared" si="29"/>
        <v>0</v>
      </c>
      <c r="DW97" s="33">
        <f t="shared" si="29"/>
        <v>0</v>
      </c>
      <c r="DX97" s="33">
        <f t="shared" si="26"/>
        <v>0</v>
      </c>
      <c r="DY97" s="35">
        <f t="shared" si="34"/>
        <v>0</v>
      </c>
      <c r="DZ97" s="33">
        <f t="shared" si="35"/>
        <v>11</v>
      </c>
      <c r="EA97" s="33">
        <f t="shared" si="36"/>
        <v>11</v>
      </c>
      <c r="EB97" s="33" t="str">
        <f t="shared" si="37"/>
        <v>IGUAL CAMPOS PREENCH</v>
      </c>
      <c r="EC97" s="33" t="s">
        <v>10035</v>
      </c>
    </row>
    <row r="98" spans="2:133" x14ac:dyDescent="0.25">
      <c r="B98" s="33" t="s">
        <v>9518</v>
      </c>
      <c r="C98" s="33" t="s">
        <v>43</v>
      </c>
      <c r="D98" s="33" t="s">
        <v>8829</v>
      </c>
      <c r="E98" s="33" t="s">
        <v>8830</v>
      </c>
      <c r="F98" s="33" t="s">
        <v>8831</v>
      </c>
      <c r="G98" s="33" t="s">
        <v>8832</v>
      </c>
      <c r="H98" s="33" t="s">
        <v>8833</v>
      </c>
      <c r="I98" s="33" t="s">
        <v>8834</v>
      </c>
      <c r="J98" s="33" t="s">
        <v>8835</v>
      </c>
      <c r="K98" s="33" t="s">
        <v>8570</v>
      </c>
      <c r="L98" s="33" t="s">
        <v>8571</v>
      </c>
      <c r="M98" s="33" t="s">
        <v>9519</v>
      </c>
      <c r="N98" s="33" t="s">
        <v>8653</v>
      </c>
      <c r="O98" s="33"/>
      <c r="P98" s="33"/>
      <c r="Q98" s="33" t="s">
        <v>8571</v>
      </c>
      <c r="R98" s="33" t="s">
        <v>9520</v>
      </c>
      <c r="S98" s="33"/>
      <c r="T98" s="33"/>
      <c r="U98" s="33" t="s">
        <v>8837</v>
      </c>
      <c r="V98" s="33" t="s">
        <v>8838</v>
      </c>
      <c r="W98" s="33" t="s">
        <v>8935</v>
      </c>
      <c r="X98" s="33" t="s">
        <v>8840</v>
      </c>
      <c r="Y98" s="33" t="s">
        <v>8500</v>
      </c>
      <c r="Z98" s="33" t="s">
        <v>8500</v>
      </c>
      <c r="AA98" s="33" t="s">
        <v>8500</v>
      </c>
      <c r="AB98" s="33" t="s">
        <v>8500</v>
      </c>
      <c r="AC98" s="33"/>
      <c r="AD98" s="33"/>
      <c r="AE98" s="33"/>
      <c r="AF98" s="33" t="s">
        <v>9521</v>
      </c>
      <c r="AG98" s="33"/>
      <c r="AH98" s="33" t="s">
        <v>8505</v>
      </c>
      <c r="AI98" s="33"/>
      <c r="AJ98" s="33" t="s">
        <v>8545</v>
      </c>
      <c r="AK98" s="33" t="s">
        <v>8528</v>
      </c>
      <c r="AL98" s="33" t="s">
        <v>8528</v>
      </c>
      <c r="AM98" s="33" t="s">
        <v>8545</v>
      </c>
      <c r="AN98" s="33" t="s">
        <v>8784</v>
      </c>
      <c r="AO98" s="33" t="s">
        <v>8785</v>
      </c>
      <c r="AP98" s="33">
        <v>1</v>
      </c>
      <c r="AQ98" s="5" t="s">
        <v>10037</v>
      </c>
      <c r="AR98" s="33"/>
      <c r="AS98" s="33" t="s">
        <v>43</v>
      </c>
      <c r="AT98" s="33" t="s">
        <v>8829</v>
      </c>
      <c r="AU98" s="33" t="s">
        <v>8830</v>
      </c>
      <c r="AV98" s="33" t="s">
        <v>8831</v>
      </c>
      <c r="AW98" s="33" t="s">
        <v>8832</v>
      </c>
      <c r="AX98" s="33" t="s">
        <v>8833</v>
      </c>
      <c r="AY98" s="33" t="s">
        <v>8834</v>
      </c>
      <c r="AZ98" s="33" t="s">
        <v>8835</v>
      </c>
      <c r="BA98" s="33" t="s">
        <v>8570</v>
      </c>
      <c r="BB98" s="33" t="s">
        <v>8571</v>
      </c>
      <c r="BC98" s="33" t="s">
        <v>9519</v>
      </c>
      <c r="BD98" s="33" t="s">
        <v>8653</v>
      </c>
      <c r="BE98" s="33"/>
      <c r="BF98" s="33"/>
      <c r="BG98" s="33" t="s">
        <v>8571</v>
      </c>
      <c r="BH98" s="33" t="s">
        <v>9520</v>
      </c>
      <c r="BI98" s="33"/>
      <c r="BJ98" s="33"/>
      <c r="BK98" s="33" t="s">
        <v>8837</v>
      </c>
      <c r="BL98" s="33" t="s">
        <v>8838</v>
      </c>
      <c r="BM98" s="33" t="s">
        <v>8935</v>
      </c>
      <c r="BN98" s="33" t="s">
        <v>8840</v>
      </c>
      <c r="BO98" s="33" t="s">
        <v>8500</v>
      </c>
      <c r="BP98" s="33" t="s">
        <v>8500</v>
      </c>
      <c r="BQ98" s="33" t="s">
        <v>8500</v>
      </c>
      <c r="BR98" s="33" t="s">
        <v>8500</v>
      </c>
      <c r="BS98" s="33"/>
      <c r="BT98" s="33"/>
      <c r="BU98" s="33"/>
      <c r="BV98" s="33" t="s">
        <v>9521</v>
      </c>
      <c r="BW98" s="33"/>
      <c r="BX98" s="33" t="s">
        <v>8505</v>
      </c>
      <c r="BY98" s="33"/>
      <c r="BZ98" s="33"/>
      <c r="CA98" s="33"/>
      <c r="CB98" s="33" t="s">
        <v>8528</v>
      </c>
      <c r="CC98" s="33" t="s">
        <v>8545</v>
      </c>
      <c r="CD98" s="33" t="s">
        <v>8784</v>
      </c>
      <c r="CE98" s="33" t="s">
        <v>8785</v>
      </c>
      <c r="CF98" s="33">
        <v>2</v>
      </c>
      <c r="CG98" s="5" t="s">
        <v>10037</v>
      </c>
      <c r="CH98" s="33">
        <f t="shared" si="39"/>
        <v>0</v>
      </c>
      <c r="CI98" s="33">
        <f t="shared" si="39"/>
        <v>0</v>
      </c>
      <c r="CJ98" s="33">
        <f t="shared" si="39"/>
        <v>0</v>
      </c>
      <c r="CK98" s="33">
        <f t="shared" si="39"/>
        <v>0</v>
      </c>
      <c r="CL98" s="33">
        <f t="shared" si="39"/>
        <v>0</v>
      </c>
      <c r="CM98" s="33">
        <f t="shared" si="39"/>
        <v>0</v>
      </c>
      <c r="CN98" s="33">
        <f t="shared" si="39"/>
        <v>0</v>
      </c>
      <c r="CO98" s="33">
        <f t="shared" si="39"/>
        <v>0</v>
      </c>
      <c r="CP98" s="33">
        <f t="shared" si="39"/>
        <v>0</v>
      </c>
      <c r="CQ98" s="33">
        <f t="shared" si="39"/>
        <v>0</v>
      </c>
      <c r="CR98" s="33">
        <f t="shared" si="39"/>
        <v>0</v>
      </c>
      <c r="CS98" s="33">
        <f t="shared" si="39"/>
        <v>0</v>
      </c>
      <c r="CT98" s="33">
        <f t="shared" si="39"/>
        <v>0</v>
      </c>
      <c r="CU98" s="33">
        <f t="shared" si="39"/>
        <v>0</v>
      </c>
      <c r="CV98" s="33">
        <f t="shared" si="39"/>
        <v>0</v>
      </c>
      <c r="CW98" s="33">
        <f t="shared" si="23"/>
        <v>0</v>
      </c>
      <c r="CX98" s="33">
        <f t="shared" si="23"/>
        <v>0</v>
      </c>
      <c r="CY98" s="33">
        <f t="shared" si="23"/>
        <v>0</v>
      </c>
      <c r="CZ98" s="33">
        <f t="shared" si="23"/>
        <v>0</v>
      </c>
      <c r="DA98" s="33">
        <f t="shared" si="23"/>
        <v>0</v>
      </c>
      <c r="DB98" s="33">
        <f t="shared" si="23"/>
        <v>0</v>
      </c>
      <c r="DC98" s="33">
        <f t="shared" si="38"/>
        <v>0</v>
      </c>
      <c r="DD98" s="33">
        <f t="shared" si="38"/>
        <v>0</v>
      </c>
      <c r="DE98" s="33">
        <f t="shared" si="38"/>
        <v>0</v>
      </c>
      <c r="DF98" s="33">
        <f t="shared" si="38"/>
        <v>0</v>
      </c>
      <c r="DG98" s="33">
        <f t="shared" si="38"/>
        <v>0</v>
      </c>
      <c r="DH98" s="33">
        <f t="shared" si="38"/>
        <v>0</v>
      </c>
      <c r="DI98" s="33">
        <f t="shared" si="38"/>
        <v>0</v>
      </c>
      <c r="DJ98" s="33">
        <f t="shared" si="38"/>
        <v>0</v>
      </c>
      <c r="DK98" s="33">
        <f t="shared" si="38"/>
        <v>0</v>
      </c>
      <c r="DL98" s="33">
        <f t="shared" si="21"/>
        <v>0</v>
      </c>
      <c r="DM98" s="33">
        <f t="shared" si="21"/>
        <v>0</v>
      </c>
      <c r="DN98" s="33">
        <f t="shared" si="21"/>
        <v>0</v>
      </c>
      <c r="DO98" s="33">
        <f t="shared" si="21"/>
        <v>1</v>
      </c>
      <c r="DP98" s="50" t="str">
        <f t="shared" si="30"/>
        <v>D</v>
      </c>
      <c r="DQ98" s="50">
        <f t="shared" si="31"/>
        <v>0</v>
      </c>
      <c r="DR98" s="33">
        <f t="shared" si="28"/>
        <v>1</v>
      </c>
      <c r="DS98" s="50" t="str">
        <f t="shared" si="32"/>
        <v>5-MEDIA BAJA</v>
      </c>
      <c r="DT98" s="50">
        <f t="shared" si="33"/>
        <v>0</v>
      </c>
      <c r="DU98" s="33">
        <f t="shared" si="29"/>
        <v>0</v>
      </c>
      <c r="DV98" s="33">
        <f t="shared" si="29"/>
        <v>0</v>
      </c>
      <c r="DW98" s="33">
        <f t="shared" si="29"/>
        <v>0</v>
      </c>
      <c r="DX98" s="33">
        <f t="shared" si="26"/>
        <v>0</v>
      </c>
      <c r="DY98" s="35">
        <f t="shared" si="34"/>
        <v>2</v>
      </c>
      <c r="DZ98" s="33">
        <f t="shared" si="35"/>
        <v>9</v>
      </c>
      <c r="EA98" s="33">
        <f t="shared" si="36"/>
        <v>11</v>
      </c>
      <c r="EB98" s="33" t="str">
        <f t="shared" si="37"/>
        <v>AUX 1 COM + CAMPOS PREENC OU IGUAL</v>
      </c>
      <c r="EC98" s="33" t="s">
        <v>10034</v>
      </c>
    </row>
    <row r="99" spans="2:133" x14ac:dyDescent="0.25">
      <c r="B99" s="33"/>
      <c r="C99" s="33" t="s">
        <v>29</v>
      </c>
      <c r="D99" s="33" t="s">
        <v>8711</v>
      </c>
      <c r="E99" s="33" t="s">
        <v>8712</v>
      </c>
      <c r="F99" s="33" t="s">
        <v>8737</v>
      </c>
      <c r="G99" s="33" t="s">
        <v>8712</v>
      </c>
      <c r="H99" s="33" t="s">
        <v>9522</v>
      </c>
      <c r="I99" s="33" t="s">
        <v>9523</v>
      </c>
      <c r="J99" s="33" t="s">
        <v>9523</v>
      </c>
      <c r="K99" s="33" t="s">
        <v>8519</v>
      </c>
      <c r="L99" s="33" t="s">
        <v>8520</v>
      </c>
      <c r="M99" s="33" t="s">
        <v>9524</v>
      </c>
      <c r="N99" s="33" t="s">
        <v>9525</v>
      </c>
      <c r="O99" s="33" t="s">
        <v>9525</v>
      </c>
      <c r="P99" s="33"/>
      <c r="Q99" s="33" t="s">
        <v>8520</v>
      </c>
      <c r="R99" s="33"/>
      <c r="S99" s="33"/>
      <c r="T99" s="33"/>
      <c r="U99" s="33" t="s">
        <v>8742</v>
      </c>
      <c r="V99" s="33" t="s">
        <v>9526</v>
      </c>
      <c r="W99" s="33" t="s">
        <v>9527</v>
      </c>
      <c r="X99" s="33" t="s">
        <v>8705</v>
      </c>
      <c r="Y99" s="33" t="s">
        <v>8500</v>
      </c>
      <c r="Z99" s="33" t="s">
        <v>8500</v>
      </c>
      <c r="AA99" s="33" t="s">
        <v>8500</v>
      </c>
      <c r="AB99" s="33" t="s">
        <v>8525</v>
      </c>
      <c r="AC99" s="33"/>
      <c r="AD99" s="33"/>
      <c r="AE99" s="33"/>
      <c r="AF99" s="33"/>
      <c r="AG99" s="33"/>
      <c r="AH99" s="33" t="s">
        <v>8606</v>
      </c>
      <c r="AI99" s="33"/>
      <c r="AJ99" s="33"/>
      <c r="AK99" s="33"/>
      <c r="AL99" s="33" t="s">
        <v>8528</v>
      </c>
      <c r="AM99" s="33" t="s">
        <v>8506</v>
      </c>
      <c r="AN99" s="33" t="s">
        <v>8747</v>
      </c>
      <c r="AO99" s="33" t="s">
        <v>8748</v>
      </c>
      <c r="AP99" s="33">
        <v>1</v>
      </c>
      <c r="AQ99" s="5" t="s">
        <v>10037</v>
      </c>
      <c r="AR99" s="33" t="s">
        <v>9528</v>
      </c>
      <c r="AS99" s="33" t="s">
        <v>29</v>
      </c>
      <c r="AT99" s="33" t="s">
        <v>8711</v>
      </c>
      <c r="AU99" s="33" t="s">
        <v>8712</v>
      </c>
      <c r="AV99" s="33" t="s">
        <v>8737</v>
      </c>
      <c r="AW99" s="33" t="s">
        <v>8712</v>
      </c>
      <c r="AX99" s="33" t="s">
        <v>9522</v>
      </c>
      <c r="AY99" s="33" t="s">
        <v>9523</v>
      </c>
      <c r="AZ99" s="33" t="s">
        <v>9523</v>
      </c>
      <c r="BA99" s="33" t="s">
        <v>8519</v>
      </c>
      <c r="BB99" s="33" t="s">
        <v>8520</v>
      </c>
      <c r="BC99" s="33" t="s">
        <v>9524</v>
      </c>
      <c r="BD99" s="33" t="s">
        <v>9525</v>
      </c>
      <c r="BE99" s="33" t="s">
        <v>9525</v>
      </c>
      <c r="BF99" s="33"/>
      <c r="BG99" s="33" t="s">
        <v>8520</v>
      </c>
      <c r="BH99" s="33"/>
      <c r="BI99" s="33"/>
      <c r="BJ99" s="33"/>
      <c r="BK99" s="33" t="s">
        <v>8742</v>
      </c>
      <c r="BL99" s="33" t="s">
        <v>9526</v>
      </c>
      <c r="BM99" s="33" t="s">
        <v>9527</v>
      </c>
      <c r="BN99" s="33" t="s">
        <v>8705</v>
      </c>
      <c r="BO99" s="33" t="s">
        <v>8500</v>
      </c>
      <c r="BP99" s="33" t="s">
        <v>8500</v>
      </c>
      <c r="BQ99" s="33" t="s">
        <v>8500</v>
      </c>
      <c r="BR99" s="33" t="s">
        <v>8525</v>
      </c>
      <c r="BS99" s="33"/>
      <c r="BT99" s="33"/>
      <c r="BU99" s="33"/>
      <c r="BV99" s="33"/>
      <c r="BW99" s="33"/>
      <c r="BX99" s="33" t="s">
        <v>8606</v>
      </c>
      <c r="BY99" s="33"/>
      <c r="BZ99" s="33"/>
      <c r="CA99" s="33"/>
      <c r="CB99" s="33" t="s">
        <v>8528</v>
      </c>
      <c r="CC99" s="33" t="s">
        <v>8506</v>
      </c>
      <c r="CD99" s="33" t="s">
        <v>8747</v>
      </c>
      <c r="CE99" s="33" t="s">
        <v>8748</v>
      </c>
      <c r="CF99" s="33">
        <v>2</v>
      </c>
      <c r="CG99" s="5" t="s">
        <v>10037</v>
      </c>
      <c r="CH99" s="33">
        <f t="shared" si="39"/>
        <v>0</v>
      </c>
      <c r="CI99" s="33">
        <f t="shared" si="39"/>
        <v>0</v>
      </c>
      <c r="CJ99" s="33">
        <f t="shared" si="39"/>
        <v>0</v>
      </c>
      <c r="CK99" s="33">
        <f t="shared" si="39"/>
        <v>0</v>
      </c>
      <c r="CL99" s="33">
        <f t="shared" si="39"/>
        <v>0</v>
      </c>
      <c r="CM99" s="33">
        <f t="shared" si="39"/>
        <v>0</v>
      </c>
      <c r="CN99" s="33">
        <f t="shared" si="39"/>
        <v>0</v>
      </c>
      <c r="CO99" s="33">
        <f t="shared" si="39"/>
        <v>0</v>
      </c>
      <c r="CP99" s="33">
        <f t="shared" si="39"/>
        <v>0</v>
      </c>
      <c r="CQ99" s="33">
        <f t="shared" si="39"/>
        <v>0</v>
      </c>
      <c r="CR99" s="33">
        <f t="shared" si="39"/>
        <v>0</v>
      </c>
      <c r="CS99" s="33">
        <f t="shared" si="39"/>
        <v>0</v>
      </c>
      <c r="CT99" s="33">
        <f t="shared" si="39"/>
        <v>0</v>
      </c>
      <c r="CU99" s="33">
        <f t="shared" si="39"/>
        <v>0</v>
      </c>
      <c r="CV99" s="33">
        <f t="shared" si="39"/>
        <v>0</v>
      </c>
      <c r="CW99" s="33">
        <f t="shared" si="23"/>
        <v>0</v>
      </c>
      <c r="CX99" s="33">
        <f t="shared" si="23"/>
        <v>0</v>
      </c>
      <c r="CY99" s="33">
        <f t="shared" si="23"/>
        <v>0</v>
      </c>
      <c r="CZ99" s="33">
        <f t="shared" si="23"/>
        <v>0</v>
      </c>
      <c r="DA99" s="33">
        <f t="shared" si="23"/>
        <v>0</v>
      </c>
      <c r="DB99" s="33">
        <f t="shared" si="23"/>
        <v>0</v>
      </c>
      <c r="DC99" s="33">
        <f t="shared" si="38"/>
        <v>0</v>
      </c>
      <c r="DD99" s="33">
        <f t="shared" si="38"/>
        <v>0</v>
      </c>
      <c r="DE99" s="33">
        <f t="shared" si="38"/>
        <v>0</v>
      </c>
      <c r="DF99" s="33">
        <f t="shared" si="38"/>
        <v>0</v>
      </c>
      <c r="DG99" s="33">
        <f t="shared" si="38"/>
        <v>0</v>
      </c>
      <c r="DH99" s="33">
        <f t="shared" si="38"/>
        <v>0</v>
      </c>
      <c r="DI99" s="33">
        <f t="shared" si="38"/>
        <v>0</v>
      </c>
      <c r="DJ99" s="33">
        <f t="shared" si="38"/>
        <v>0</v>
      </c>
      <c r="DK99" s="33">
        <f t="shared" si="38"/>
        <v>0</v>
      </c>
      <c r="DL99" s="33">
        <f t="shared" si="21"/>
        <v>0</v>
      </c>
      <c r="DM99" s="33">
        <f t="shared" si="21"/>
        <v>0</v>
      </c>
      <c r="DN99" s="33">
        <f t="shared" si="21"/>
        <v>0</v>
      </c>
      <c r="DO99" s="33">
        <f t="shared" si="21"/>
        <v>0</v>
      </c>
      <c r="DP99" s="50">
        <f t="shared" si="30"/>
        <v>0</v>
      </c>
      <c r="DQ99" s="50">
        <f t="shared" si="31"/>
        <v>0</v>
      </c>
      <c r="DR99" s="33">
        <f t="shared" si="28"/>
        <v>0</v>
      </c>
      <c r="DS99" s="50">
        <f t="shared" si="32"/>
        <v>0</v>
      </c>
      <c r="DT99" s="50">
        <f t="shared" si="33"/>
        <v>0</v>
      </c>
      <c r="DU99" s="33">
        <f t="shared" si="29"/>
        <v>0</v>
      </c>
      <c r="DV99" s="33">
        <f t="shared" si="29"/>
        <v>0</v>
      </c>
      <c r="DW99" s="33">
        <f t="shared" si="29"/>
        <v>0</v>
      </c>
      <c r="DX99" s="33">
        <f t="shared" si="26"/>
        <v>0</v>
      </c>
      <c r="DY99" s="35">
        <f t="shared" si="34"/>
        <v>0</v>
      </c>
      <c r="DZ99" s="33">
        <f t="shared" si="35"/>
        <v>12</v>
      </c>
      <c r="EA99" s="33">
        <f t="shared" si="36"/>
        <v>12</v>
      </c>
      <c r="EB99" s="33" t="str">
        <f t="shared" si="37"/>
        <v>IGUAL CAMPOS PREENCH</v>
      </c>
      <c r="EC99" s="33" t="s">
        <v>10035</v>
      </c>
    </row>
    <row r="100" spans="2:133" x14ac:dyDescent="0.25">
      <c r="B100" s="33" t="s">
        <v>9529</v>
      </c>
      <c r="C100" s="33" t="s">
        <v>89</v>
      </c>
      <c r="D100" s="33" t="s">
        <v>8486</v>
      </c>
      <c r="E100" s="33" t="s">
        <v>8487</v>
      </c>
      <c r="F100" s="33" t="s">
        <v>9530</v>
      </c>
      <c r="G100" s="33" t="s">
        <v>9531</v>
      </c>
      <c r="H100" s="33" t="s">
        <v>9532</v>
      </c>
      <c r="I100" s="33" t="s">
        <v>9533</v>
      </c>
      <c r="J100" s="33" t="s">
        <v>9531</v>
      </c>
      <c r="K100" s="33" t="s">
        <v>8519</v>
      </c>
      <c r="L100" s="33" t="s">
        <v>8520</v>
      </c>
      <c r="M100" s="33" t="s">
        <v>9534</v>
      </c>
      <c r="N100" s="33" t="s">
        <v>9535</v>
      </c>
      <c r="O100" s="33" t="s">
        <v>9535</v>
      </c>
      <c r="P100" s="33"/>
      <c r="Q100" s="33" t="s">
        <v>8520</v>
      </c>
      <c r="R100" s="33"/>
      <c r="S100" s="33"/>
      <c r="T100" s="33"/>
      <c r="U100" s="33" t="s">
        <v>9536</v>
      </c>
      <c r="V100" s="33" t="s">
        <v>8656</v>
      </c>
      <c r="W100" s="33" t="s">
        <v>9537</v>
      </c>
      <c r="X100" s="33"/>
      <c r="Y100" s="33" t="s">
        <v>8500</v>
      </c>
      <c r="Z100" s="33" t="s">
        <v>8500</v>
      </c>
      <c r="AA100" s="33" t="s">
        <v>8500</v>
      </c>
      <c r="AB100" s="33" t="s">
        <v>8525</v>
      </c>
      <c r="AC100" s="33"/>
      <c r="AD100" s="33"/>
      <c r="AE100" s="33"/>
      <c r="AF100" s="33" t="s">
        <v>9538</v>
      </c>
      <c r="AG100" s="33"/>
      <c r="AH100" s="33" t="s">
        <v>8606</v>
      </c>
      <c r="AI100" s="33"/>
      <c r="AJ100" s="33"/>
      <c r="AK100" s="33"/>
      <c r="AL100" s="33" t="s">
        <v>8507</v>
      </c>
      <c r="AM100" s="33" t="s">
        <v>8506</v>
      </c>
      <c r="AN100" s="33" t="s">
        <v>9539</v>
      </c>
      <c r="AO100" s="33" t="s">
        <v>9540</v>
      </c>
      <c r="AP100" s="33">
        <v>1</v>
      </c>
      <c r="AQ100" s="5" t="s">
        <v>10037</v>
      </c>
      <c r="AR100" s="33"/>
      <c r="AS100" s="33" t="s">
        <v>89</v>
      </c>
      <c r="AT100" s="33" t="s">
        <v>8486</v>
      </c>
      <c r="AU100" s="33" t="s">
        <v>8487</v>
      </c>
      <c r="AV100" s="33" t="s">
        <v>9530</v>
      </c>
      <c r="AW100" s="33" t="s">
        <v>9531</v>
      </c>
      <c r="AX100" s="33" t="s">
        <v>9532</v>
      </c>
      <c r="AY100" s="33" t="s">
        <v>9533</v>
      </c>
      <c r="AZ100" s="33" t="s">
        <v>9531</v>
      </c>
      <c r="BA100" s="33" t="s">
        <v>8519</v>
      </c>
      <c r="BB100" s="33" t="s">
        <v>8520</v>
      </c>
      <c r="BC100" s="33" t="s">
        <v>9534</v>
      </c>
      <c r="BD100" s="33" t="s">
        <v>9535</v>
      </c>
      <c r="BE100" s="33" t="s">
        <v>9535</v>
      </c>
      <c r="BF100" s="33"/>
      <c r="BG100" s="33" t="s">
        <v>8520</v>
      </c>
      <c r="BH100" s="33"/>
      <c r="BI100" s="33"/>
      <c r="BJ100" s="33"/>
      <c r="BK100" s="33" t="s">
        <v>9536</v>
      </c>
      <c r="BL100" s="33" t="s">
        <v>8656</v>
      </c>
      <c r="BM100" s="33" t="s">
        <v>9537</v>
      </c>
      <c r="BN100" s="33"/>
      <c r="BO100" s="33" t="s">
        <v>8500</v>
      </c>
      <c r="BP100" s="33" t="s">
        <v>8500</v>
      </c>
      <c r="BQ100" s="33" t="s">
        <v>8500</v>
      </c>
      <c r="BR100" s="33" t="s">
        <v>8525</v>
      </c>
      <c r="BS100" s="33"/>
      <c r="BT100" s="33"/>
      <c r="BU100" s="33"/>
      <c r="BV100" s="33" t="s">
        <v>9538</v>
      </c>
      <c r="BW100" s="33"/>
      <c r="BX100" s="33" t="s">
        <v>8606</v>
      </c>
      <c r="BY100" s="33"/>
      <c r="BZ100" s="33"/>
      <c r="CA100" s="33"/>
      <c r="CB100" s="33" t="s">
        <v>8507</v>
      </c>
      <c r="CC100" s="33" t="s">
        <v>8506</v>
      </c>
      <c r="CD100" s="33" t="s">
        <v>9539</v>
      </c>
      <c r="CE100" s="33" t="s">
        <v>9540</v>
      </c>
      <c r="CF100" s="33">
        <v>2</v>
      </c>
      <c r="CG100" s="5" t="s">
        <v>10037</v>
      </c>
      <c r="CH100" s="33">
        <f t="shared" si="39"/>
        <v>0</v>
      </c>
      <c r="CI100" s="33">
        <f t="shared" si="39"/>
        <v>0</v>
      </c>
      <c r="CJ100" s="33">
        <f t="shared" si="39"/>
        <v>0</v>
      </c>
      <c r="CK100" s="33">
        <f t="shared" si="39"/>
        <v>0</v>
      </c>
      <c r="CL100" s="33">
        <f t="shared" si="39"/>
        <v>0</v>
      </c>
      <c r="CM100" s="33">
        <f t="shared" si="39"/>
        <v>0</v>
      </c>
      <c r="CN100" s="33">
        <f t="shared" si="39"/>
        <v>0</v>
      </c>
      <c r="CO100" s="33">
        <f t="shared" si="39"/>
        <v>0</v>
      </c>
      <c r="CP100" s="33">
        <f t="shared" si="39"/>
        <v>0</v>
      </c>
      <c r="CQ100" s="33">
        <f t="shared" si="39"/>
        <v>0</v>
      </c>
      <c r="CR100" s="33">
        <f t="shared" si="39"/>
        <v>0</v>
      </c>
      <c r="CS100" s="33">
        <f t="shared" si="39"/>
        <v>0</v>
      </c>
      <c r="CT100" s="33">
        <f t="shared" si="39"/>
        <v>0</v>
      </c>
      <c r="CU100" s="33">
        <f t="shared" si="39"/>
        <v>0</v>
      </c>
      <c r="CV100" s="33">
        <f t="shared" si="39"/>
        <v>0</v>
      </c>
      <c r="CW100" s="33">
        <f t="shared" si="23"/>
        <v>0</v>
      </c>
      <c r="CX100" s="33">
        <f t="shared" si="23"/>
        <v>0</v>
      </c>
      <c r="CY100" s="33">
        <f t="shared" si="23"/>
        <v>0</v>
      </c>
      <c r="CZ100" s="33">
        <f t="shared" si="23"/>
        <v>0</v>
      </c>
      <c r="DA100" s="33">
        <f t="shared" si="23"/>
        <v>0</v>
      </c>
      <c r="DB100" s="33">
        <f t="shared" si="23"/>
        <v>0</v>
      </c>
      <c r="DC100" s="33">
        <f t="shared" si="38"/>
        <v>0</v>
      </c>
      <c r="DD100" s="33">
        <f t="shared" si="38"/>
        <v>0</v>
      </c>
      <c r="DE100" s="33">
        <f t="shared" si="38"/>
        <v>0</v>
      </c>
      <c r="DF100" s="33">
        <f t="shared" si="38"/>
        <v>0</v>
      </c>
      <c r="DG100" s="33">
        <f t="shared" si="38"/>
        <v>0</v>
      </c>
      <c r="DH100" s="33">
        <f t="shared" si="38"/>
        <v>0</v>
      </c>
      <c r="DI100" s="33">
        <f t="shared" si="38"/>
        <v>0</v>
      </c>
      <c r="DJ100" s="33">
        <f t="shared" si="38"/>
        <v>0</v>
      </c>
      <c r="DK100" s="33">
        <f t="shared" si="38"/>
        <v>0</v>
      </c>
      <c r="DL100" s="33">
        <f t="shared" si="38"/>
        <v>0</v>
      </c>
      <c r="DM100" s="33">
        <f t="shared" si="38"/>
        <v>0</v>
      </c>
      <c r="DN100" s="33">
        <f t="shared" si="38"/>
        <v>0</v>
      </c>
      <c r="DO100" s="33">
        <f t="shared" si="38"/>
        <v>0</v>
      </c>
      <c r="DP100" s="50">
        <f t="shared" si="30"/>
        <v>0</v>
      </c>
      <c r="DQ100" s="50">
        <f t="shared" si="31"/>
        <v>0</v>
      </c>
      <c r="DR100" s="33">
        <f t="shared" si="28"/>
        <v>0</v>
      </c>
      <c r="DS100" s="50">
        <f t="shared" si="32"/>
        <v>0</v>
      </c>
      <c r="DT100" s="50">
        <f t="shared" si="33"/>
        <v>0</v>
      </c>
      <c r="DU100" s="33">
        <f t="shared" si="29"/>
        <v>0</v>
      </c>
      <c r="DV100" s="33">
        <f t="shared" si="29"/>
        <v>0</v>
      </c>
      <c r="DW100" s="33">
        <f t="shared" si="29"/>
        <v>0</v>
      </c>
      <c r="DX100" s="33">
        <f t="shared" si="26"/>
        <v>0</v>
      </c>
      <c r="DY100" s="35">
        <f t="shared" si="34"/>
        <v>0</v>
      </c>
      <c r="DZ100" s="33">
        <f t="shared" si="35"/>
        <v>12</v>
      </c>
      <c r="EA100" s="33">
        <f t="shared" si="36"/>
        <v>12</v>
      </c>
      <c r="EB100" s="33" t="str">
        <f t="shared" si="37"/>
        <v>IGUAL CAMPOS PREENCH</v>
      </c>
      <c r="EC100" s="33" t="s">
        <v>10035</v>
      </c>
    </row>
    <row r="101" spans="2:133" x14ac:dyDescent="0.25">
      <c r="B101" s="33" t="s">
        <v>9541</v>
      </c>
      <c r="C101" s="33" t="s">
        <v>108</v>
      </c>
      <c r="D101" s="33" t="s">
        <v>8565</v>
      </c>
      <c r="E101" s="33" t="s">
        <v>8566</v>
      </c>
      <c r="F101" s="33" t="s">
        <v>8567</v>
      </c>
      <c r="G101" s="33" t="s">
        <v>8566</v>
      </c>
      <c r="H101" s="33" t="s">
        <v>9542</v>
      </c>
      <c r="I101" s="33" t="s">
        <v>9543</v>
      </c>
      <c r="J101" s="33" t="s">
        <v>8566</v>
      </c>
      <c r="K101" s="33" t="s">
        <v>8570</v>
      </c>
      <c r="L101" s="33" t="s">
        <v>8571</v>
      </c>
      <c r="M101" s="33" t="s">
        <v>9544</v>
      </c>
      <c r="N101" s="33" t="s">
        <v>9545</v>
      </c>
      <c r="O101" s="33"/>
      <c r="P101" s="33"/>
      <c r="Q101" s="33" t="s">
        <v>8571</v>
      </c>
      <c r="R101" s="33"/>
      <c r="S101" s="33"/>
      <c r="T101" s="33"/>
      <c r="U101" s="33" t="s">
        <v>8573</v>
      </c>
      <c r="V101" s="33" t="s">
        <v>9210</v>
      </c>
      <c r="W101" s="33" t="s">
        <v>9546</v>
      </c>
      <c r="X101" s="33"/>
      <c r="Y101" s="33" t="s">
        <v>8525</v>
      </c>
      <c r="Z101" s="33" t="s">
        <v>8500</v>
      </c>
      <c r="AA101" s="33" t="s">
        <v>8500</v>
      </c>
      <c r="AB101" s="33" t="s">
        <v>8500</v>
      </c>
      <c r="AC101" s="33"/>
      <c r="AD101" s="33"/>
      <c r="AE101" s="33"/>
      <c r="AF101" s="33" t="s">
        <v>9547</v>
      </c>
      <c r="AG101" s="33"/>
      <c r="AH101" s="33" t="s">
        <v>8527</v>
      </c>
      <c r="AI101" s="33"/>
      <c r="AJ101" s="33"/>
      <c r="AK101" s="33"/>
      <c r="AL101" s="33" t="s">
        <v>8508</v>
      </c>
      <c r="AM101" s="33" t="s">
        <v>8545</v>
      </c>
      <c r="AN101" s="33" t="s">
        <v>9548</v>
      </c>
      <c r="AO101" s="33" t="s">
        <v>9549</v>
      </c>
      <c r="AP101" s="33">
        <v>1</v>
      </c>
      <c r="AQ101" s="5" t="s">
        <v>10037</v>
      </c>
      <c r="AR101" s="33"/>
      <c r="AS101" s="33" t="s">
        <v>108</v>
      </c>
      <c r="AT101" s="33" t="s">
        <v>8565</v>
      </c>
      <c r="AU101" s="33" t="s">
        <v>8566</v>
      </c>
      <c r="AV101" s="33" t="s">
        <v>8567</v>
      </c>
      <c r="AW101" s="33" t="s">
        <v>8566</v>
      </c>
      <c r="AX101" s="33" t="s">
        <v>9542</v>
      </c>
      <c r="AY101" s="33" t="s">
        <v>9543</v>
      </c>
      <c r="AZ101" s="33" t="s">
        <v>8566</v>
      </c>
      <c r="BA101" s="33" t="s">
        <v>8570</v>
      </c>
      <c r="BB101" s="33" t="s">
        <v>8571</v>
      </c>
      <c r="BC101" s="33" t="s">
        <v>9544</v>
      </c>
      <c r="BD101" s="33" t="s">
        <v>9545</v>
      </c>
      <c r="BE101" s="33"/>
      <c r="BF101" s="33"/>
      <c r="BG101" s="33" t="s">
        <v>8571</v>
      </c>
      <c r="BH101" s="33"/>
      <c r="BI101" s="33"/>
      <c r="BJ101" s="33"/>
      <c r="BK101" s="33" t="s">
        <v>8573</v>
      </c>
      <c r="BL101" s="33" t="s">
        <v>9210</v>
      </c>
      <c r="BM101" s="33" t="s">
        <v>9546</v>
      </c>
      <c r="BN101" s="33"/>
      <c r="BO101" s="33" t="s">
        <v>8525</v>
      </c>
      <c r="BP101" s="33" t="s">
        <v>8500</v>
      </c>
      <c r="BQ101" s="33" t="s">
        <v>8500</v>
      </c>
      <c r="BR101" s="33" t="s">
        <v>8500</v>
      </c>
      <c r="BS101" s="33"/>
      <c r="BT101" s="33"/>
      <c r="BU101" s="33"/>
      <c r="BV101" s="33" t="s">
        <v>9547</v>
      </c>
      <c r="BW101" s="33"/>
      <c r="BX101" s="33" t="s">
        <v>8527</v>
      </c>
      <c r="BY101" s="33"/>
      <c r="BZ101" s="33"/>
      <c r="CA101" s="33"/>
      <c r="CB101" s="33" t="s">
        <v>8508</v>
      </c>
      <c r="CC101" s="33" t="s">
        <v>8545</v>
      </c>
      <c r="CD101" s="33" t="s">
        <v>9548</v>
      </c>
      <c r="CE101" s="33" t="s">
        <v>9549</v>
      </c>
      <c r="CF101" s="33">
        <v>2</v>
      </c>
      <c r="CG101" s="5" t="s">
        <v>10037</v>
      </c>
      <c r="CH101" s="33">
        <f t="shared" si="39"/>
        <v>0</v>
      </c>
      <c r="CI101" s="33">
        <f t="shared" si="39"/>
        <v>0</v>
      </c>
      <c r="CJ101" s="33">
        <f t="shared" si="39"/>
        <v>0</v>
      </c>
      <c r="CK101" s="33">
        <f t="shared" si="39"/>
        <v>0</v>
      </c>
      <c r="CL101" s="33">
        <f t="shared" si="39"/>
        <v>0</v>
      </c>
      <c r="CM101" s="33">
        <f t="shared" si="39"/>
        <v>0</v>
      </c>
      <c r="CN101" s="33">
        <f t="shared" si="39"/>
        <v>0</v>
      </c>
      <c r="CO101" s="33">
        <f t="shared" si="39"/>
        <v>0</v>
      </c>
      <c r="CP101" s="33">
        <f t="shared" si="39"/>
        <v>0</v>
      </c>
      <c r="CQ101" s="33">
        <f t="shared" si="39"/>
        <v>0</v>
      </c>
      <c r="CR101" s="33">
        <f t="shared" si="39"/>
        <v>0</v>
      </c>
      <c r="CS101" s="33">
        <f t="shared" si="39"/>
        <v>0</v>
      </c>
      <c r="CT101" s="33">
        <f t="shared" si="39"/>
        <v>0</v>
      </c>
      <c r="CU101" s="33">
        <f t="shared" si="39"/>
        <v>0</v>
      </c>
      <c r="CV101" s="33">
        <f t="shared" si="39"/>
        <v>0</v>
      </c>
      <c r="CW101" s="33">
        <f t="shared" si="23"/>
        <v>0</v>
      </c>
      <c r="CX101" s="33">
        <f t="shared" si="23"/>
        <v>0</v>
      </c>
      <c r="CY101" s="33">
        <f t="shared" si="23"/>
        <v>0</v>
      </c>
      <c r="CZ101" s="33">
        <f t="shared" si="23"/>
        <v>0</v>
      </c>
      <c r="DA101" s="33">
        <f t="shared" si="23"/>
        <v>0</v>
      </c>
      <c r="DB101" s="33">
        <f t="shared" si="23"/>
        <v>0</v>
      </c>
      <c r="DC101" s="33">
        <f t="shared" si="38"/>
        <v>0</v>
      </c>
      <c r="DD101" s="33">
        <f t="shared" si="38"/>
        <v>0</v>
      </c>
      <c r="DE101" s="33">
        <f t="shared" si="38"/>
        <v>0</v>
      </c>
      <c r="DF101" s="33">
        <f t="shared" si="38"/>
        <v>0</v>
      </c>
      <c r="DG101" s="33">
        <f t="shared" si="38"/>
        <v>0</v>
      </c>
      <c r="DH101" s="33">
        <f t="shared" si="38"/>
        <v>0</v>
      </c>
      <c r="DI101" s="33">
        <f t="shared" si="38"/>
        <v>0</v>
      </c>
      <c r="DJ101" s="33">
        <f t="shared" si="38"/>
        <v>0</v>
      </c>
      <c r="DK101" s="33">
        <f t="shared" si="38"/>
        <v>0</v>
      </c>
      <c r="DL101" s="33">
        <f t="shared" si="38"/>
        <v>0</v>
      </c>
      <c r="DM101" s="33">
        <f t="shared" si="38"/>
        <v>0</v>
      </c>
      <c r="DN101" s="33">
        <f t="shared" si="38"/>
        <v>0</v>
      </c>
      <c r="DO101" s="33">
        <f t="shared" si="38"/>
        <v>0</v>
      </c>
      <c r="DP101" s="50">
        <f t="shared" si="30"/>
        <v>0</v>
      </c>
      <c r="DQ101" s="50">
        <f t="shared" si="31"/>
        <v>0</v>
      </c>
      <c r="DR101" s="33">
        <f t="shared" si="28"/>
        <v>0</v>
      </c>
      <c r="DS101" s="50">
        <f t="shared" si="32"/>
        <v>0</v>
      </c>
      <c r="DT101" s="50">
        <f t="shared" si="33"/>
        <v>0</v>
      </c>
      <c r="DU101" s="33">
        <f t="shared" si="29"/>
        <v>0</v>
      </c>
      <c r="DV101" s="33">
        <f t="shared" si="29"/>
        <v>0</v>
      </c>
      <c r="DW101" s="33">
        <f t="shared" si="29"/>
        <v>0</v>
      </c>
      <c r="DX101" s="33">
        <f t="shared" si="26"/>
        <v>0</v>
      </c>
      <c r="DY101" s="35">
        <f t="shared" si="34"/>
        <v>0</v>
      </c>
      <c r="DZ101" s="33">
        <f t="shared" si="35"/>
        <v>13</v>
      </c>
      <c r="EA101" s="33">
        <f t="shared" si="36"/>
        <v>13</v>
      </c>
      <c r="EB101" s="33" t="str">
        <f t="shared" si="37"/>
        <v>IGUAL CAMPOS PREENCH</v>
      </c>
      <c r="EC101" s="33" t="s">
        <v>10035</v>
      </c>
    </row>
    <row r="102" spans="2:133" x14ac:dyDescent="0.25">
      <c r="B102" s="33"/>
      <c r="C102" s="33" t="s">
        <v>59</v>
      </c>
      <c r="D102" s="33" t="s">
        <v>8788</v>
      </c>
      <c r="E102" s="33" t="s">
        <v>8789</v>
      </c>
      <c r="F102" s="33" t="s">
        <v>8790</v>
      </c>
      <c r="G102" s="33" t="s">
        <v>8789</v>
      </c>
      <c r="H102" s="33" t="s">
        <v>9550</v>
      </c>
      <c r="I102" s="33" t="s">
        <v>9406</v>
      </c>
      <c r="J102" s="33" t="s">
        <v>8789</v>
      </c>
      <c r="K102" s="33" t="s">
        <v>8570</v>
      </c>
      <c r="L102" s="33" t="s">
        <v>8571</v>
      </c>
      <c r="M102" s="33" t="s">
        <v>9551</v>
      </c>
      <c r="N102" s="33" t="s">
        <v>9552</v>
      </c>
      <c r="O102" s="33"/>
      <c r="P102" s="33"/>
      <c r="Q102" s="33" t="s">
        <v>8571</v>
      </c>
      <c r="R102" s="33"/>
      <c r="S102" s="33"/>
      <c r="T102" s="33"/>
      <c r="U102" s="33" t="s">
        <v>9410</v>
      </c>
      <c r="V102" s="33" t="s">
        <v>9553</v>
      </c>
      <c r="W102" s="33" t="s">
        <v>8543</v>
      </c>
      <c r="X102" s="33" t="s">
        <v>9554</v>
      </c>
      <c r="Y102" s="33" t="s">
        <v>8500</v>
      </c>
      <c r="Z102" s="33" t="s">
        <v>8500</v>
      </c>
      <c r="AA102" s="33" t="s">
        <v>8500</v>
      </c>
      <c r="AB102" s="33" t="s">
        <v>8525</v>
      </c>
      <c r="AC102" s="33"/>
      <c r="AD102" s="33"/>
      <c r="AE102" s="33"/>
      <c r="AF102" s="33" t="s">
        <v>9555</v>
      </c>
      <c r="AG102" s="33"/>
      <c r="AH102" s="33" t="s">
        <v>9474</v>
      </c>
      <c r="AI102" s="33"/>
      <c r="AJ102" s="33"/>
      <c r="AK102" s="33"/>
      <c r="AL102" s="33" t="s">
        <v>9375</v>
      </c>
      <c r="AM102" s="33" t="s">
        <v>8506</v>
      </c>
      <c r="AN102" s="33" t="s">
        <v>9556</v>
      </c>
      <c r="AO102" s="33" t="s">
        <v>9557</v>
      </c>
      <c r="AP102" s="33">
        <v>1</v>
      </c>
      <c r="AQ102" s="5" t="s">
        <v>10037</v>
      </c>
      <c r="AR102" s="33" t="s">
        <v>9558</v>
      </c>
      <c r="AS102" s="33" t="s">
        <v>59</v>
      </c>
      <c r="AT102" s="33" t="s">
        <v>8788</v>
      </c>
      <c r="AU102" s="33" t="s">
        <v>8789</v>
      </c>
      <c r="AV102" s="33" t="s">
        <v>8790</v>
      </c>
      <c r="AW102" s="33" t="s">
        <v>8789</v>
      </c>
      <c r="AX102" s="33" t="s">
        <v>9550</v>
      </c>
      <c r="AY102" s="33" t="s">
        <v>9406</v>
      </c>
      <c r="AZ102" s="33" t="s">
        <v>8789</v>
      </c>
      <c r="BA102" s="33" t="s">
        <v>8570</v>
      </c>
      <c r="BB102" s="33" t="s">
        <v>8571</v>
      </c>
      <c r="BC102" s="33" t="s">
        <v>9551</v>
      </c>
      <c r="BD102" s="33" t="s">
        <v>9552</v>
      </c>
      <c r="BE102" s="33"/>
      <c r="BF102" s="33"/>
      <c r="BG102" s="33" t="s">
        <v>8571</v>
      </c>
      <c r="BH102" s="33"/>
      <c r="BI102" s="33"/>
      <c r="BJ102" s="33"/>
      <c r="BK102" s="33" t="s">
        <v>9410</v>
      </c>
      <c r="BL102" s="33" t="s">
        <v>9553</v>
      </c>
      <c r="BM102" s="33" t="s">
        <v>8543</v>
      </c>
      <c r="BN102" s="33" t="s">
        <v>9554</v>
      </c>
      <c r="BO102" s="33" t="s">
        <v>8500</v>
      </c>
      <c r="BP102" s="33" t="s">
        <v>8500</v>
      </c>
      <c r="BQ102" s="33" t="s">
        <v>8500</v>
      </c>
      <c r="BR102" s="33" t="s">
        <v>8525</v>
      </c>
      <c r="BS102" s="33"/>
      <c r="BT102" s="33"/>
      <c r="BU102" s="33"/>
      <c r="BV102" s="33" t="s">
        <v>9555</v>
      </c>
      <c r="BW102" s="33"/>
      <c r="BX102" s="33" t="s">
        <v>9474</v>
      </c>
      <c r="BY102" s="33"/>
      <c r="BZ102" s="33"/>
      <c r="CA102" s="33"/>
      <c r="CB102" s="33" t="s">
        <v>9375</v>
      </c>
      <c r="CC102" s="33" t="s">
        <v>8506</v>
      </c>
      <c r="CD102" s="33" t="s">
        <v>9556</v>
      </c>
      <c r="CE102" s="33" t="s">
        <v>9557</v>
      </c>
      <c r="CF102" s="33">
        <v>2</v>
      </c>
      <c r="CG102" s="5" t="s">
        <v>10037</v>
      </c>
      <c r="CH102" s="33">
        <f t="shared" si="39"/>
        <v>0</v>
      </c>
      <c r="CI102" s="33">
        <f t="shared" si="39"/>
        <v>0</v>
      </c>
      <c r="CJ102" s="33">
        <f t="shared" si="39"/>
        <v>0</v>
      </c>
      <c r="CK102" s="33">
        <f t="shared" si="39"/>
        <v>0</v>
      </c>
      <c r="CL102" s="33">
        <f t="shared" si="39"/>
        <v>0</v>
      </c>
      <c r="CM102" s="33">
        <f t="shared" si="39"/>
        <v>0</v>
      </c>
      <c r="CN102" s="33">
        <f t="shared" si="39"/>
        <v>0</v>
      </c>
      <c r="CO102" s="33">
        <f t="shared" si="39"/>
        <v>0</v>
      </c>
      <c r="CP102" s="33">
        <f t="shared" si="39"/>
        <v>0</v>
      </c>
      <c r="CQ102" s="33">
        <f t="shared" si="39"/>
        <v>0</v>
      </c>
      <c r="CR102" s="33">
        <f t="shared" si="39"/>
        <v>0</v>
      </c>
      <c r="CS102" s="33">
        <f t="shared" si="39"/>
        <v>0</v>
      </c>
      <c r="CT102" s="33">
        <f t="shared" si="39"/>
        <v>0</v>
      </c>
      <c r="CU102" s="33">
        <f t="shared" si="39"/>
        <v>0</v>
      </c>
      <c r="CV102" s="33">
        <f t="shared" si="39"/>
        <v>0</v>
      </c>
      <c r="CW102" s="33">
        <f t="shared" si="23"/>
        <v>0</v>
      </c>
      <c r="CX102" s="33">
        <f t="shared" si="23"/>
        <v>0</v>
      </c>
      <c r="CY102" s="33">
        <f t="shared" si="23"/>
        <v>0</v>
      </c>
      <c r="CZ102" s="33">
        <f t="shared" si="23"/>
        <v>0</v>
      </c>
      <c r="DA102" s="33">
        <f t="shared" si="23"/>
        <v>0</v>
      </c>
      <c r="DB102" s="33">
        <f t="shared" si="23"/>
        <v>0</v>
      </c>
      <c r="DC102" s="33">
        <f t="shared" si="38"/>
        <v>0</v>
      </c>
      <c r="DD102" s="33">
        <f t="shared" si="38"/>
        <v>0</v>
      </c>
      <c r="DE102" s="33">
        <f t="shared" si="38"/>
        <v>0</v>
      </c>
      <c r="DF102" s="33">
        <f t="shared" si="38"/>
        <v>0</v>
      </c>
      <c r="DG102" s="33">
        <f t="shared" si="38"/>
        <v>0</v>
      </c>
      <c r="DH102" s="33">
        <f t="shared" si="38"/>
        <v>0</v>
      </c>
      <c r="DI102" s="33">
        <f t="shared" si="38"/>
        <v>0</v>
      </c>
      <c r="DJ102" s="33">
        <f t="shared" si="38"/>
        <v>0</v>
      </c>
      <c r="DK102" s="33">
        <f t="shared" si="38"/>
        <v>0</v>
      </c>
      <c r="DL102" s="33">
        <f t="shared" si="38"/>
        <v>0</v>
      </c>
      <c r="DM102" s="33">
        <f t="shared" si="38"/>
        <v>0</v>
      </c>
      <c r="DN102" s="33">
        <f t="shared" si="38"/>
        <v>0</v>
      </c>
      <c r="DO102" s="33">
        <f t="shared" si="38"/>
        <v>0</v>
      </c>
      <c r="DP102" s="50">
        <f t="shared" si="30"/>
        <v>0</v>
      </c>
      <c r="DQ102" s="50">
        <f t="shared" si="31"/>
        <v>0</v>
      </c>
      <c r="DR102" s="33">
        <f t="shared" si="28"/>
        <v>0</v>
      </c>
      <c r="DS102" s="50">
        <f t="shared" si="32"/>
        <v>0</v>
      </c>
      <c r="DT102" s="50">
        <f t="shared" si="33"/>
        <v>0</v>
      </c>
      <c r="DU102" s="33">
        <f t="shared" si="29"/>
        <v>0</v>
      </c>
      <c r="DV102" s="33">
        <f t="shared" si="29"/>
        <v>0</v>
      </c>
      <c r="DW102" s="33">
        <f t="shared" si="29"/>
        <v>0</v>
      </c>
      <c r="DX102" s="33">
        <f t="shared" si="26"/>
        <v>0</v>
      </c>
      <c r="DY102" s="35">
        <f t="shared" si="34"/>
        <v>0</v>
      </c>
      <c r="DZ102" s="33">
        <f t="shared" si="35"/>
        <v>12</v>
      </c>
      <c r="EA102" s="33">
        <f t="shared" si="36"/>
        <v>12</v>
      </c>
      <c r="EB102" s="33" t="str">
        <f t="shared" si="37"/>
        <v>IGUAL CAMPOS PREENCH</v>
      </c>
      <c r="EC102" s="33" t="s">
        <v>10035</v>
      </c>
    </row>
    <row r="103" spans="2:133" x14ac:dyDescent="0.25">
      <c r="B103" s="33" t="s">
        <v>9559</v>
      </c>
      <c r="C103" s="33" t="s">
        <v>110</v>
      </c>
      <c r="D103" s="33" t="s">
        <v>8945</v>
      </c>
      <c r="E103" s="33" t="s">
        <v>8946</v>
      </c>
      <c r="F103" s="33" t="s">
        <v>9560</v>
      </c>
      <c r="G103" s="33" t="s">
        <v>9561</v>
      </c>
      <c r="H103" s="33" t="s">
        <v>9562</v>
      </c>
      <c r="I103" s="33" t="s">
        <v>9563</v>
      </c>
      <c r="J103" s="33" t="s">
        <v>9563</v>
      </c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 t="s">
        <v>9564</v>
      </c>
      <c r="V103" s="33"/>
      <c r="W103" s="33" t="s">
        <v>9565</v>
      </c>
      <c r="X103" s="33" t="s">
        <v>8758</v>
      </c>
      <c r="Y103" s="33" t="s">
        <v>8525</v>
      </c>
      <c r="Z103" s="33" t="s">
        <v>8500</v>
      </c>
      <c r="AA103" s="33" t="s">
        <v>8525</v>
      </c>
      <c r="AB103" s="33" t="s">
        <v>8500</v>
      </c>
      <c r="AC103" s="33"/>
      <c r="AD103" s="33"/>
      <c r="AE103" s="33"/>
      <c r="AF103" s="33" t="s">
        <v>9566</v>
      </c>
      <c r="AG103" s="33"/>
      <c r="AH103" s="33" t="s">
        <v>8527</v>
      </c>
      <c r="AI103" s="33"/>
      <c r="AJ103" s="33"/>
      <c r="AK103" s="33"/>
      <c r="AL103" s="33" t="s">
        <v>8528</v>
      </c>
      <c r="AM103" s="33" t="s">
        <v>8506</v>
      </c>
      <c r="AN103" s="33" t="s">
        <v>9567</v>
      </c>
      <c r="AO103" s="33" t="s">
        <v>9568</v>
      </c>
      <c r="AP103" s="33">
        <v>1</v>
      </c>
      <c r="AQ103" s="5" t="s">
        <v>10037</v>
      </c>
      <c r="AR103" s="33"/>
      <c r="AS103" s="33" t="s">
        <v>110</v>
      </c>
      <c r="AT103" s="33" t="s">
        <v>8945</v>
      </c>
      <c r="AU103" s="33" t="s">
        <v>8946</v>
      </c>
      <c r="AV103" s="33" t="s">
        <v>9560</v>
      </c>
      <c r="AW103" s="33" t="s">
        <v>9561</v>
      </c>
      <c r="AX103" s="33" t="s">
        <v>9562</v>
      </c>
      <c r="AY103" s="33" t="s">
        <v>9563</v>
      </c>
      <c r="AZ103" s="33" t="s">
        <v>9563</v>
      </c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 t="s">
        <v>9564</v>
      </c>
      <c r="BL103" s="33"/>
      <c r="BM103" s="33" t="s">
        <v>9565</v>
      </c>
      <c r="BN103" s="33" t="s">
        <v>8758</v>
      </c>
      <c r="BO103" s="33" t="s">
        <v>8525</v>
      </c>
      <c r="BP103" s="33" t="s">
        <v>8500</v>
      </c>
      <c r="BQ103" s="33" t="s">
        <v>8525</v>
      </c>
      <c r="BR103" s="33" t="s">
        <v>8500</v>
      </c>
      <c r="BS103" s="33"/>
      <c r="BT103" s="33"/>
      <c r="BU103" s="33"/>
      <c r="BV103" s="33" t="s">
        <v>9566</v>
      </c>
      <c r="BW103" s="33"/>
      <c r="BX103" s="33" t="s">
        <v>8527</v>
      </c>
      <c r="BY103" s="33"/>
      <c r="BZ103" s="33"/>
      <c r="CA103" s="33"/>
      <c r="CB103" s="33" t="s">
        <v>8528</v>
      </c>
      <c r="CC103" s="33" t="s">
        <v>8506</v>
      </c>
      <c r="CD103" s="33" t="s">
        <v>9567</v>
      </c>
      <c r="CE103" s="33" t="s">
        <v>9568</v>
      </c>
      <c r="CF103" s="33">
        <v>2</v>
      </c>
      <c r="CG103" s="5" t="s">
        <v>10037</v>
      </c>
      <c r="CH103" s="33">
        <f t="shared" ref="CH103:CW119" si="40">+IF(C103=AS103,0,1)</f>
        <v>0</v>
      </c>
      <c r="CI103" s="33">
        <f t="shared" si="40"/>
        <v>0</v>
      </c>
      <c r="CJ103" s="33">
        <f t="shared" si="40"/>
        <v>0</v>
      </c>
      <c r="CK103" s="33">
        <f t="shared" si="40"/>
        <v>0</v>
      </c>
      <c r="CL103" s="33">
        <f t="shared" si="40"/>
        <v>0</v>
      </c>
      <c r="CM103" s="33">
        <f t="shared" si="40"/>
        <v>0</v>
      </c>
      <c r="CN103" s="33">
        <f t="shared" si="40"/>
        <v>0</v>
      </c>
      <c r="CO103" s="33">
        <f t="shared" si="40"/>
        <v>0</v>
      </c>
      <c r="CP103" s="33">
        <f t="shared" si="40"/>
        <v>0</v>
      </c>
      <c r="CQ103" s="33">
        <f t="shared" si="40"/>
        <v>0</v>
      </c>
      <c r="CR103" s="33">
        <f t="shared" si="40"/>
        <v>0</v>
      </c>
      <c r="CS103" s="33">
        <f t="shared" si="40"/>
        <v>0</v>
      </c>
      <c r="CT103" s="33">
        <f t="shared" si="40"/>
        <v>0</v>
      </c>
      <c r="CU103" s="33">
        <f t="shared" si="40"/>
        <v>0</v>
      </c>
      <c r="CV103" s="33">
        <f t="shared" si="40"/>
        <v>0</v>
      </c>
      <c r="CW103" s="33">
        <f t="shared" si="23"/>
        <v>0</v>
      </c>
      <c r="CX103" s="33">
        <f t="shared" si="23"/>
        <v>0</v>
      </c>
      <c r="CY103" s="33">
        <f t="shared" si="23"/>
        <v>0</v>
      </c>
      <c r="CZ103" s="33">
        <f t="shared" si="23"/>
        <v>0</v>
      </c>
      <c r="DA103" s="33">
        <f t="shared" si="23"/>
        <v>0</v>
      </c>
      <c r="DB103" s="33">
        <f t="shared" si="23"/>
        <v>0</v>
      </c>
      <c r="DC103" s="33">
        <f t="shared" si="38"/>
        <v>0</v>
      </c>
      <c r="DD103" s="33">
        <f t="shared" si="38"/>
        <v>0</v>
      </c>
      <c r="DE103" s="33">
        <f t="shared" si="38"/>
        <v>0</v>
      </c>
      <c r="DF103" s="33">
        <f t="shared" si="38"/>
        <v>0</v>
      </c>
      <c r="DG103" s="33">
        <f t="shared" si="38"/>
        <v>0</v>
      </c>
      <c r="DH103" s="33">
        <f t="shared" si="38"/>
        <v>0</v>
      </c>
      <c r="DI103" s="33">
        <f t="shared" si="38"/>
        <v>0</v>
      </c>
      <c r="DJ103" s="33">
        <f t="shared" si="38"/>
        <v>0</v>
      </c>
      <c r="DK103" s="33">
        <f t="shared" si="38"/>
        <v>0</v>
      </c>
      <c r="DL103" s="33">
        <f t="shared" si="38"/>
        <v>0</v>
      </c>
      <c r="DM103" s="33">
        <f t="shared" si="38"/>
        <v>0</v>
      </c>
      <c r="DN103" s="33">
        <f t="shared" si="38"/>
        <v>0</v>
      </c>
      <c r="DO103" s="33">
        <f t="shared" si="38"/>
        <v>0</v>
      </c>
      <c r="DP103" s="50">
        <f t="shared" si="30"/>
        <v>0</v>
      </c>
      <c r="DQ103" s="50">
        <f t="shared" si="31"/>
        <v>0</v>
      </c>
      <c r="DR103" s="33">
        <f t="shared" si="28"/>
        <v>0</v>
      </c>
      <c r="DS103" s="50">
        <f t="shared" si="32"/>
        <v>0</v>
      </c>
      <c r="DT103" s="50">
        <f t="shared" si="33"/>
        <v>0</v>
      </c>
      <c r="DU103" s="33">
        <f t="shared" si="29"/>
        <v>0</v>
      </c>
      <c r="DV103" s="33">
        <f t="shared" si="29"/>
        <v>0</v>
      </c>
      <c r="DW103" s="33">
        <f t="shared" si="29"/>
        <v>0</v>
      </c>
      <c r="DX103" s="33">
        <f t="shared" si="26"/>
        <v>0</v>
      </c>
      <c r="DY103" s="35">
        <f t="shared" si="34"/>
        <v>0</v>
      </c>
      <c r="DZ103" s="33">
        <f t="shared" si="35"/>
        <v>18</v>
      </c>
      <c r="EA103" s="33">
        <f t="shared" si="36"/>
        <v>18</v>
      </c>
      <c r="EB103" s="33" t="str">
        <f t="shared" si="37"/>
        <v>IGUAL CAMPOS PREENCH</v>
      </c>
      <c r="EC103" s="33" t="s">
        <v>10035</v>
      </c>
    </row>
    <row r="104" spans="2:133" x14ac:dyDescent="0.25">
      <c r="B104" s="33" t="s">
        <v>9569</v>
      </c>
      <c r="C104" s="33" t="s">
        <v>65</v>
      </c>
      <c r="D104" s="33" t="s">
        <v>8711</v>
      </c>
      <c r="E104" s="33" t="s">
        <v>8712</v>
      </c>
      <c r="F104" s="33" t="s">
        <v>8737</v>
      </c>
      <c r="G104" s="33" t="s">
        <v>8712</v>
      </c>
      <c r="H104" s="33" t="s">
        <v>9570</v>
      </c>
      <c r="I104" s="33" t="s">
        <v>9571</v>
      </c>
      <c r="J104" s="33" t="s">
        <v>9571</v>
      </c>
      <c r="K104" s="33" t="s">
        <v>8570</v>
      </c>
      <c r="L104" s="33" t="s">
        <v>8571</v>
      </c>
      <c r="M104" s="33" t="s">
        <v>8740</v>
      </c>
      <c r="N104" s="33" t="s">
        <v>9572</v>
      </c>
      <c r="O104" s="33"/>
      <c r="P104" s="33"/>
      <c r="Q104" s="33" t="s">
        <v>8571</v>
      </c>
      <c r="R104" s="33"/>
      <c r="S104" s="33"/>
      <c r="T104" s="33"/>
      <c r="U104" s="33" t="s">
        <v>8742</v>
      </c>
      <c r="V104" s="33" t="s">
        <v>8743</v>
      </c>
      <c r="W104" s="33" t="s">
        <v>9573</v>
      </c>
      <c r="X104" s="33" t="s">
        <v>8745</v>
      </c>
      <c r="Y104" s="33" t="s">
        <v>8500</v>
      </c>
      <c r="Z104" s="33" t="s">
        <v>8500</v>
      </c>
      <c r="AA104" s="33" t="s">
        <v>8500</v>
      </c>
      <c r="AB104" s="33" t="s">
        <v>8525</v>
      </c>
      <c r="AC104" s="33"/>
      <c r="AD104" s="33"/>
      <c r="AE104" s="33"/>
      <c r="AF104" s="33" t="s">
        <v>9574</v>
      </c>
      <c r="AG104" s="33"/>
      <c r="AH104" s="33" t="s">
        <v>8560</v>
      </c>
      <c r="AI104" s="33"/>
      <c r="AJ104" s="33" t="s">
        <v>8506</v>
      </c>
      <c r="AK104" s="33" t="s">
        <v>8528</v>
      </c>
      <c r="AL104" s="33" t="s">
        <v>8507</v>
      </c>
      <c r="AM104" s="33" t="s">
        <v>8506</v>
      </c>
      <c r="AN104" s="33" t="s">
        <v>8747</v>
      </c>
      <c r="AO104" s="33" t="s">
        <v>8748</v>
      </c>
      <c r="AP104" s="33">
        <v>1</v>
      </c>
      <c r="AQ104" s="5" t="s">
        <v>10037</v>
      </c>
      <c r="AR104" s="33"/>
      <c r="AS104" s="33" t="s">
        <v>65</v>
      </c>
      <c r="AT104" s="33" t="s">
        <v>8711</v>
      </c>
      <c r="AU104" s="33" t="s">
        <v>8712</v>
      </c>
      <c r="AV104" s="33" t="s">
        <v>8737</v>
      </c>
      <c r="AW104" s="33" t="s">
        <v>8712</v>
      </c>
      <c r="AX104" s="33" t="s">
        <v>9570</v>
      </c>
      <c r="AY104" s="33" t="s">
        <v>9571</v>
      </c>
      <c r="AZ104" s="33" t="s">
        <v>9571</v>
      </c>
      <c r="BA104" s="33" t="s">
        <v>8570</v>
      </c>
      <c r="BB104" s="33" t="s">
        <v>8571</v>
      </c>
      <c r="BC104" s="33" t="s">
        <v>8740</v>
      </c>
      <c r="BD104" s="33" t="s">
        <v>9572</v>
      </c>
      <c r="BE104" s="33"/>
      <c r="BF104" s="33"/>
      <c r="BG104" s="33" t="s">
        <v>8571</v>
      </c>
      <c r="BH104" s="33"/>
      <c r="BI104" s="33"/>
      <c r="BJ104" s="33"/>
      <c r="BK104" s="33" t="s">
        <v>8742</v>
      </c>
      <c r="BL104" s="33" t="s">
        <v>8743</v>
      </c>
      <c r="BM104" s="33" t="s">
        <v>9573</v>
      </c>
      <c r="BN104" s="33" t="s">
        <v>8705</v>
      </c>
      <c r="BO104" s="33" t="s">
        <v>8500</v>
      </c>
      <c r="BP104" s="33" t="s">
        <v>8500</v>
      </c>
      <c r="BQ104" s="33" t="s">
        <v>8500</v>
      </c>
      <c r="BR104" s="33" t="s">
        <v>8525</v>
      </c>
      <c r="BS104" s="33"/>
      <c r="BT104" s="33"/>
      <c r="BU104" s="33"/>
      <c r="BV104" s="33" t="s">
        <v>9574</v>
      </c>
      <c r="BW104" s="33"/>
      <c r="BX104" s="33" t="s">
        <v>8560</v>
      </c>
      <c r="BY104" s="33"/>
      <c r="BZ104" s="33"/>
      <c r="CA104" s="33"/>
      <c r="CB104" s="33" t="s">
        <v>8507</v>
      </c>
      <c r="CC104" s="33" t="s">
        <v>8506</v>
      </c>
      <c r="CD104" s="33" t="s">
        <v>8747</v>
      </c>
      <c r="CE104" s="33" t="s">
        <v>8748</v>
      </c>
      <c r="CF104" s="33">
        <v>2</v>
      </c>
      <c r="CG104" s="5" t="s">
        <v>10037</v>
      </c>
      <c r="CH104" s="33">
        <f t="shared" si="40"/>
        <v>0</v>
      </c>
      <c r="CI104" s="33">
        <f t="shared" si="40"/>
        <v>0</v>
      </c>
      <c r="CJ104" s="33">
        <f t="shared" si="40"/>
        <v>0</v>
      </c>
      <c r="CK104" s="33">
        <f t="shared" si="40"/>
        <v>0</v>
      </c>
      <c r="CL104" s="33">
        <f t="shared" si="40"/>
        <v>0</v>
      </c>
      <c r="CM104" s="33">
        <f t="shared" si="40"/>
        <v>0</v>
      </c>
      <c r="CN104" s="33">
        <f t="shared" si="40"/>
        <v>0</v>
      </c>
      <c r="CO104" s="33">
        <f t="shared" si="40"/>
        <v>0</v>
      </c>
      <c r="CP104" s="33">
        <f t="shared" si="40"/>
        <v>0</v>
      </c>
      <c r="CQ104" s="33">
        <f t="shared" si="40"/>
        <v>0</v>
      </c>
      <c r="CR104" s="33">
        <f t="shared" si="40"/>
        <v>0</v>
      </c>
      <c r="CS104" s="33">
        <f t="shared" si="40"/>
        <v>0</v>
      </c>
      <c r="CT104" s="33">
        <f t="shared" si="40"/>
        <v>0</v>
      </c>
      <c r="CU104" s="33">
        <f t="shared" si="40"/>
        <v>0</v>
      </c>
      <c r="CV104" s="33">
        <f t="shared" si="40"/>
        <v>0</v>
      </c>
      <c r="CW104" s="33">
        <f t="shared" si="23"/>
        <v>0</v>
      </c>
      <c r="CX104" s="33">
        <f t="shared" si="23"/>
        <v>0</v>
      </c>
      <c r="CY104" s="33">
        <f t="shared" si="23"/>
        <v>0</v>
      </c>
      <c r="CZ104" s="33">
        <f t="shared" si="23"/>
        <v>0</v>
      </c>
      <c r="DA104" s="33">
        <f t="shared" si="23"/>
        <v>0</v>
      </c>
      <c r="DB104" s="33">
        <f t="shared" si="23"/>
        <v>0</v>
      </c>
      <c r="DC104" s="33">
        <f t="shared" si="38"/>
        <v>1</v>
      </c>
      <c r="DD104" s="33">
        <f t="shared" si="38"/>
        <v>0</v>
      </c>
      <c r="DE104" s="33">
        <f t="shared" si="38"/>
        <v>0</v>
      </c>
      <c r="DF104" s="33">
        <f t="shared" si="38"/>
        <v>0</v>
      </c>
      <c r="DG104" s="33">
        <f t="shared" si="38"/>
        <v>0</v>
      </c>
      <c r="DH104" s="33">
        <f t="shared" ref="DH104:DO135" si="41">+IF(AC104=BS104,0,1)</f>
        <v>0</v>
      </c>
      <c r="DI104" s="33">
        <f t="shared" si="41"/>
        <v>0</v>
      </c>
      <c r="DJ104" s="33">
        <f t="shared" si="41"/>
        <v>0</v>
      </c>
      <c r="DK104" s="33">
        <f t="shared" si="41"/>
        <v>0</v>
      </c>
      <c r="DL104" s="33">
        <f t="shared" si="41"/>
        <v>0</v>
      </c>
      <c r="DM104" s="33">
        <f t="shared" si="41"/>
        <v>0</v>
      </c>
      <c r="DN104" s="33">
        <f t="shared" si="41"/>
        <v>0</v>
      </c>
      <c r="DO104" s="33">
        <f t="shared" si="41"/>
        <v>1</v>
      </c>
      <c r="DP104" s="50" t="str">
        <f t="shared" si="30"/>
        <v>C</v>
      </c>
      <c r="DQ104" s="50">
        <f t="shared" si="31"/>
        <v>0</v>
      </c>
      <c r="DR104" s="33">
        <f t="shared" si="28"/>
        <v>1</v>
      </c>
      <c r="DS104" s="50" t="str">
        <f t="shared" si="32"/>
        <v>5-MEDIA BAJA</v>
      </c>
      <c r="DT104" s="50">
        <f t="shared" si="33"/>
        <v>0</v>
      </c>
      <c r="DU104" s="33">
        <f t="shared" si="29"/>
        <v>0</v>
      </c>
      <c r="DV104" s="33">
        <f t="shared" si="29"/>
        <v>0</v>
      </c>
      <c r="DW104" s="33">
        <f t="shared" si="29"/>
        <v>0</v>
      </c>
      <c r="DX104" s="33">
        <f t="shared" si="26"/>
        <v>0</v>
      </c>
      <c r="DY104" s="35">
        <f t="shared" si="34"/>
        <v>3</v>
      </c>
      <c r="DZ104" s="33">
        <f t="shared" si="35"/>
        <v>10</v>
      </c>
      <c r="EA104" s="33">
        <f t="shared" si="36"/>
        <v>12</v>
      </c>
      <c r="EB104" s="33" t="str">
        <f t="shared" si="37"/>
        <v>AUX 1 COM + CAMPOS PREENC OU IGUAL</v>
      </c>
      <c r="EC104" s="33" t="s">
        <v>10034</v>
      </c>
    </row>
    <row r="105" spans="2:133" x14ac:dyDescent="0.25">
      <c r="B105" s="33"/>
      <c r="C105" s="33" t="s">
        <v>72</v>
      </c>
      <c r="D105" s="33" t="s">
        <v>8645</v>
      </c>
      <c r="E105" s="33" t="s">
        <v>8646</v>
      </c>
      <c r="F105" s="33" t="s">
        <v>8647</v>
      </c>
      <c r="G105" s="33" t="s">
        <v>8648</v>
      </c>
      <c r="H105" s="33" t="s">
        <v>8649</v>
      </c>
      <c r="I105" s="33" t="s">
        <v>8650</v>
      </c>
      <c r="J105" s="33" t="s">
        <v>9575</v>
      </c>
      <c r="K105" s="33" t="s">
        <v>8570</v>
      </c>
      <c r="L105" s="33" t="s">
        <v>8571</v>
      </c>
      <c r="M105" s="33" t="s">
        <v>9576</v>
      </c>
      <c r="N105" s="33" t="s">
        <v>9250</v>
      </c>
      <c r="O105" s="33"/>
      <c r="P105" s="33"/>
      <c r="Q105" s="33" t="s">
        <v>8571</v>
      </c>
      <c r="R105" s="33"/>
      <c r="S105" s="33"/>
      <c r="T105" s="33"/>
      <c r="U105" s="33" t="s">
        <v>8655</v>
      </c>
      <c r="V105" s="33" t="s">
        <v>9577</v>
      </c>
      <c r="W105" s="33" t="s">
        <v>9578</v>
      </c>
      <c r="X105" s="33"/>
      <c r="Y105" s="33" t="s">
        <v>8500</v>
      </c>
      <c r="Z105" s="33" t="s">
        <v>8500</v>
      </c>
      <c r="AA105" s="33" t="s">
        <v>8500</v>
      </c>
      <c r="AB105" s="33" t="s">
        <v>8500</v>
      </c>
      <c r="AC105" s="33"/>
      <c r="AD105" s="33"/>
      <c r="AE105" s="33"/>
      <c r="AF105" s="33" t="s">
        <v>9579</v>
      </c>
      <c r="AG105" s="33"/>
      <c r="AH105" s="33" t="s">
        <v>8505</v>
      </c>
      <c r="AI105" s="33"/>
      <c r="AJ105" s="33"/>
      <c r="AK105" s="33"/>
      <c r="AL105" s="33" t="s">
        <v>8507</v>
      </c>
      <c r="AM105" s="33" t="s">
        <v>8506</v>
      </c>
      <c r="AN105" s="33" t="s">
        <v>8825</v>
      </c>
      <c r="AO105" s="33" t="s">
        <v>8826</v>
      </c>
      <c r="AP105" s="33">
        <v>1</v>
      </c>
      <c r="AQ105" s="5" t="s">
        <v>10037</v>
      </c>
      <c r="AR105" s="33"/>
      <c r="AS105" s="33" t="s">
        <v>72</v>
      </c>
      <c r="AT105" s="33" t="s">
        <v>8645</v>
      </c>
      <c r="AU105" s="33" t="s">
        <v>8646</v>
      </c>
      <c r="AV105" s="33" t="s">
        <v>8647</v>
      </c>
      <c r="AW105" s="33" t="s">
        <v>8648</v>
      </c>
      <c r="AX105" s="33" t="s">
        <v>8649</v>
      </c>
      <c r="AY105" s="33" t="s">
        <v>8650</v>
      </c>
      <c r="AZ105" s="33" t="s">
        <v>9575</v>
      </c>
      <c r="BA105" s="33" t="s">
        <v>8525</v>
      </c>
      <c r="BB105" s="33" t="s">
        <v>8571</v>
      </c>
      <c r="BC105" s="33" t="s">
        <v>9576</v>
      </c>
      <c r="BD105" s="33" t="s">
        <v>9250</v>
      </c>
      <c r="BE105" s="33"/>
      <c r="BF105" s="33"/>
      <c r="BG105" s="33" t="s">
        <v>8571</v>
      </c>
      <c r="BH105" s="33"/>
      <c r="BI105" s="33"/>
      <c r="BJ105" s="33"/>
      <c r="BK105" s="33" t="s">
        <v>8655</v>
      </c>
      <c r="BL105" s="33" t="s">
        <v>9577</v>
      </c>
      <c r="BM105" s="33" t="s">
        <v>9578</v>
      </c>
      <c r="BN105" s="33"/>
      <c r="BO105" s="33" t="s">
        <v>8500</v>
      </c>
      <c r="BP105" s="33" t="s">
        <v>8500</v>
      </c>
      <c r="BQ105" s="33" t="s">
        <v>8500</v>
      </c>
      <c r="BR105" s="33" t="s">
        <v>8500</v>
      </c>
      <c r="BS105" s="33"/>
      <c r="BT105" s="33"/>
      <c r="BU105" s="33" t="s">
        <v>9580</v>
      </c>
      <c r="BV105" s="33"/>
      <c r="BW105" s="33"/>
      <c r="BX105" s="33" t="s">
        <v>8505</v>
      </c>
      <c r="BY105" s="33"/>
      <c r="BZ105" s="33"/>
      <c r="CA105" s="33"/>
      <c r="CB105" s="33" t="s">
        <v>8507</v>
      </c>
      <c r="CC105" s="33" t="s">
        <v>8506</v>
      </c>
      <c r="CD105" s="33" t="s">
        <v>8825</v>
      </c>
      <c r="CE105" s="33" t="s">
        <v>8826</v>
      </c>
      <c r="CF105" s="33">
        <v>2</v>
      </c>
      <c r="CG105" s="5" t="s">
        <v>10037</v>
      </c>
      <c r="CH105" s="33">
        <f t="shared" si="40"/>
        <v>0</v>
      </c>
      <c r="CI105" s="33">
        <f t="shared" si="40"/>
        <v>0</v>
      </c>
      <c r="CJ105" s="33">
        <f t="shared" si="40"/>
        <v>0</v>
      </c>
      <c r="CK105" s="33">
        <f t="shared" si="40"/>
        <v>0</v>
      </c>
      <c r="CL105" s="33">
        <f t="shared" si="40"/>
        <v>0</v>
      </c>
      <c r="CM105" s="33">
        <f t="shared" si="40"/>
        <v>0</v>
      </c>
      <c r="CN105" s="33">
        <f t="shared" si="40"/>
        <v>0</v>
      </c>
      <c r="CO105" s="33">
        <f t="shared" si="40"/>
        <v>0</v>
      </c>
      <c r="CP105" s="33">
        <f t="shared" si="40"/>
        <v>1</v>
      </c>
      <c r="CQ105" s="33">
        <f t="shared" si="40"/>
        <v>0</v>
      </c>
      <c r="CR105" s="33">
        <f t="shared" si="40"/>
        <v>0</v>
      </c>
      <c r="CS105" s="33">
        <f t="shared" si="40"/>
        <v>0</v>
      </c>
      <c r="CT105" s="33">
        <f t="shared" si="40"/>
        <v>0</v>
      </c>
      <c r="CU105" s="33">
        <f t="shared" si="40"/>
        <v>0</v>
      </c>
      <c r="CV105" s="33">
        <f t="shared" si="40"/>
        <v>0</v>
      </c>
      <c r="CW105" s="33">
        <f t="shared" si="23"/>
        <v>0</v>
      </c>
      <c r="CX105" s="33">
        <f t="shared" si="23"/>
        <v>0</v>
      </c>
      <c r="CY105" s="33">
        <f t="shared" ref="CY105:DG133" si="42">+IF(T105=BJ105,0,1)</f>
        <v>0</v>
      </c>
      <c r="CZ105" s="33">
        <f t="shared" si="42"/>
        <v>0</v>
      </c>
      <c r="DA105" s="33">
        <f t="shared" si="42"/>
        <v>0</v>
      </c>
      <c r="DB105" s="33">
        <f t="shared" si="42"/>
        <v>0</v>
      </c>
      <c r="DC105" s="33">
        <f t="shared" si="42"/>
        <v>0</v>
      </c>
      <c r="DD105" s="33">
        <f t="shared" si="42"/>
        <v>0</v>
      </c>
      <c r="DE105" s="33">
        <f t="shared" si="42"/>
        <v>0</v>
      </c>
      <c r="DF105" s="33">
        <f t="shared" si="42"/>
        <v>0</v>
      </c>
      <c r="DG105" s="33">
        <f t="shared" si="42"/>
        <v>0</v>
      </c>
      <c r="DH105" s="33">
        <f t="shared" si="41"/>
        <v>0</v>
      </c>
      <c r="DI105" s="33">
        <f t="shared" si="41"/>
        <v>0</v>
      </c>
      <c r="DJ105" s="33">
        <f t="shared" si="41"/>
        <v>1</v>
      </c>
      <c r="DK105" s="33">
        <f t="shared" si="41"/>
        <v>1</v>
      </c>
      <c r="DL105" s="33">
        <f t="shared" si="41"/>
        <v>0</v>
      </c>
      <c r="DM105" s="33">
        <f t="shared" si="41"/>
        <v>0</v>
      </c>
      <c r="DN105" s="33">
        <f t="shared" si="41"/>
        <v>0</v>
      </c>
      <c r="DO105" s="33">
        <f t="shared" si="41"/>
        <v>0</v>
      </c>
      <c r="DP105" s="50">
        <f t="shared" si="30"/>
        <v>0</v>
      </c>
      <c r="DQ105" s="50">
        <f t="shared" si="31"/>
        <v>0</v>
      </c>
      <c r="DR105" s="33">
        <f t="shared" si="28"/>
        <v>0</v>
      </c>
      <c r="DS105" s="50">
        <f t="shared" si="32"/>
        <v>0</v>
      </c>
      <c r="DT105" s="50">
        <f t="shared" si="33"/>
        <v>0</v>
      </c>
      <c r="DU105" s="33">
        <f t="shared" si="29"/>
        <v>0</v>
      </c>
      <c r="DV105" s="33">
        <f t="shared" si="29"/>
        <v>0</v>
      </c>
      <c r="DW105" s="33">
        <f t="shared" si="29"/>
        <v>0</v>
      </c>
      <c r="DX105" s="33">
        <f t="shared" si="26"/>
        <v>0</v>
      </c>
      <c r="DY105" s="35">
        <f t="shared" si="34"/>
        <v>3</v>
      </c>
      <c r="DZ105" s="33">
        <f t="shared" si="35"/>
        <v>13</v>
      </c>
      <c r="EA105" s="33">
        <f t="shared" si="36"/>
        <v>13</v>
      </c>
      <c r="EB105" s="33" t="str">
        <f t="shared" si="37"/>
        <v>AUX 1 COM + CAMPOS PREENC OU IGUAL</v>
      </c>
      <c r="EC105" s="33" t="s">
        <v>10034</v>
      </c>
    </row>
    <row r="106" spans="2:133" x14ac:dyDescent="0.25">
      <c r="B106" s="33"/>
      <c r="C106" s="33" t="s">
        <v>124</v>
      </c>
      <c r="D106" s="33" t="s">
        <v>8763</v>
      </c>
      <c r="E106" s="33" t="s">
        <v>8764</v>
      </c>
      <c r="F106" s="33" t="s">
        <v>8765</v>
      </c>
      <c r="G106" s="33" t="s">
        <v>8764</v>
      </c>
      <c r="H106" s="33" t="s">
        <v>8766</v>
      </c>
      <c r="I106" s="33" t="s">
        <v>8764</v>
      </c>
      <c r="J106" s="33" t="s">
        <v>8767</v>
      </c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 t="s">
        <v>8768</v>
      </c>
      <c r="V106" s="33"/>
      <c r="W106" s="33" t="s">
        <v>9581</v>
      </c>
      <c r="X106" s="33" t="s">
        <v>8499</v>
      </c>
      <c r="Y106" s="33" t="s">
        <v>8500</v>
      </c>
      <c r="Z106" s="33" t="s">
        <v>8500</v>
      </c>
      <c r="AA106" s="33" t="s">
        <v>8500</v>
      </c>
      <c r="AB106" s="33" t="s">
        <v>8525</v>
      </c>
      <c r="AC106" s="33"/>
      <c r="AD106" s="33"/>
      <c r="AE106" s="33"/>
      <c r="AF106" s="33" t="s">
        <v>9582</v>
      </c>
      <c r="AG106" s="33"/>
      <c r="AH106" s="33" t="s">
        <v>8560</v>
      </c>
      <c r="AI106" s="33"/>
      <c r="AJ106" s="33"/>
      <c r="AK106" s="33"/>
      <c r="AL106" s="33" t="s">
        <v>8528</v>
      </c>
      <c r="AM106" s="33" t="s">
        <v>8545</v>
      </c>
      <c r="AN106" s="33" t="s">
        <v>8771</v>
      </c>
      <c r="AO106" s="33" t="s">
        <v>8772</v>
      </c>
      <c r="AP106" s="33">
        <v>1</v>
      </c>
      <c r="AQ106" s="5" t="s">
        <v>10037</v>
      </c>
      <c r="AR106" s="33" t="s">
        <v>9583</v>
      </c>
      <c r="AS106" s="33" t="s">
        <v>124</v>
      </c>
      <c r="AT106" s="33" t="s">
        <v>8763</v>
      </c>
      <c r="AU106" s="33" t="s">
        <v>8764</v>
      </c>
      <c r="AV106" s="33" t="s">
        <v>8765</v>
      </c>
      <c r="AW106" s="33" t="s">
        <v>8764</v>
      </c>
      <c r="AX106" s="33" t="s">
        <v>8766</v>
      </c>
      <c r="AY106" s="33" t="s">
        <v>8764</v>
      </c>
      <c r="AZ106" s="33" t="s">
        <v>8767</v>
      </c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 t="s">
        <v>8768</v>
      </c>
      <c r="BL106" s="33"/>
      <c r="BM106" s="33" t="s">
        <v>9581</v>
      </c>
      <c r="BN106" s="33" t="s">
        <v>8499</v>
      </c>
      <c r="BO106" s="33" t="s">
        <v>8500</v>
      </c>
      <c r="BP106" s="33" t="s">
        <v>8500</v>
      </c>
      <c r="BQ106" s="33" t="s">
        <v>8500</v>
      </c>
      <c r="BR106" s="33" t="s">
        <v>8525</v>
      </c>
      <c r="BS106" s="33"/>
      <c r="BT106" s="33"/>
      <c r="BU106" s="33"/>
      <c r="BV106" s="33" t="s">
        <v>9582</v>
      </c>
      <c r="BW106" s="33"/>
      <c r="BX106" s="33" t="s">
        <v>8560</v>
      </c>
      <c r="BY106" s="33"/>
      <c r="BZ106" s="33" t="s">
        <v>8545</v>
      </c>
      <c r="CA106" s="33" t="s">
        <v>8528</v>
      </c>
      <c r="CB106" s="33" t="s">
        <v>8528</v>
      </c>
      <c r="CC106" s="33" t="s">
        <v>8545</v>
      </c>
      <c r="CD106" s="33" t="s">
        <v>8771</v>
      </c>
      <c r="CE106" s="33" t="s">
        <v>8772</v>
      </c>
      <c r="CF106" s="33">
        <v>2</v>
      </c>
      <c r="CG106" s="5" t="s">
        <v>10037</v>
      </c>
      <c r="CH106" s="33">
        <f t="shared" si="40"/>
        <v>0</v>
      </c>
      <c r="CI106" s="33">
        <f t="shared" si="40"/>
        <v>0</v>
      </c>
      <c r="CJ106" s="33">
        <f t="shared" si="40"/>
        <v>0</v>
      </c>
      <c r="CK106" s="33">
        <f t="shared" si="40"/>
        <v>0</v>
      </c>
      <c r="CL106" s="33">
        <f t="shared" si="40"/>
        <v>0</v>
      </c>
      <c r="CM106" s="33">
        <f t="shared" si="40"/>
        <v>0</v>
      </c>
      <c r="CN106" s="33">
        <f t="shared" si="40"/>
        <v>0</v>
      </c>
      <c r="CO106" s="33">
        <f t="shared" si="40"/>
        <v>0</v>
      </c>
      <c r="CP106" s="33">
        <f t="shared" si="40"/>
        <v>0</v>
      </c>
      <c r="CQ106" s="33">
        <f t="shared" si="40"/>
        <v>0</v>
      </c>
      <c r="CR106" s="33">
        <f t="shared" si="40"/>
        <v>0</v>
      </c>
      <c r="CS106" s="33">
        <f t="shared" si="40"/>
        <v>0</v>
      </c>
      <c r="CT106" s="33">
        <f t="shared" si="40"/>
        <v>0</v>
      </c>
      <c r="CU106" s="33">
        <f t="shared" si="40"/>
        <v>0</v>
      </c>
      <c r="CV106" s="33">
        <f t="shared" si="40"/>
        <v>0</v>
      </c>
      <c r="CW106" s="33">
        <f t="shared" si="40"/>
        <v>0</v>
      </c>
      <c r="CX106" s="33">
        <f t="shared" ref="CX106:DD156" si="43">+IF(S106=BI106,0,1)</f>
        <v>0</v>
      </c>
      <c r="CY106" s="33">
        <f t="shared" si="42"/>
        <v>0</v>
      </c>
      <c r="CZ106" s="33">
        <f t="shared" si="42"/>
        <v>0</v>
      </c>
      <c r="DA106" s="33">
        <f t="shared" si="42"/>
        <v>0</v>
      </c>
      <c r="DB106" s="33">
        <f t="shared" si="42"/>
        <v>0</v>
      </c>
      <c r="DC106" s="33">
        <f t="shared" si="42"/>
        <v>0</v>
      </c>
      <c r="DD106" s="33">
        <f t="shared" si="42"/>
        <v>0</v>
      </c>
      <c r="DE106" s="33">
        <f t="shared" si="42"/>
        <v>0</v>
      </c>
      <c r="DF106" s="33">
        <f t="shared" si="42"/>
        <v>0</v>
      </c>
      <c r="DG106" s="33">
        <f t="shared" si="42"/>
        <v>0</v>
      </c>
      <c r="DH106" s="33">
        <f t="shared" si="41"/>
        <v>0</v>
      </c>
      <c r="DI106" s="33">
        <f t="shared" si="41"/>
        <v>0</v>
      </c>
      <c r="DJ106" s="33">
        <f t="shared" si="41"/>
        <v>0</v>
      </c>
      <c r="DK106" s="33">
        <f t="shared" si="41"/>
        <v>0</v>
      </c>
      <c r="DL106" s="33">
        <f t="shared" si="41"/>
        <v>0</v>
      </c>
      <c r="DM106" s="33">
        <f t="shared" si="41"/>
        <v>0</v>
      </c>
      <c r="DN106" s="33">
        <f t="shared" si="41"/>
        <v>0</v>
      </c>
      <c r="DO106" s="33">
        <f t="shared" si="41"/>
        <v>1</v>
      </c>
      <c r="DP106" s="50">
        <f t="shared" si="30"/>
        <v>0</v>
      </c>
      <c r="DQ106" s="50" t="str">
        <f t="shared" si="31"/>
        <v>D</v>
      </c>
      <c r="DR106" s="33">
        <f t="shared" si="28"/>
        <v>1</v>
      </c>
      <c r="DS106" s="50">
        <f t="shared" si="32"/>
        <v>0</v>
      </c>
      <c r="DT106" s="50" t="str">
        <f t="shared" si="33"/>
        <v>5-MEDIA BAJA</v>
      </c>
      <c r="DU106" s="33">
        <f t="shared" si="29"/>
        <v>0</v>
      </c>
      <c r="DV106" s="33">
        <f t="shared" si="29"/>
        <v>0</v>
      </c>
      <c r="DW106" s="33">
        <f t="shared" si="29"/>
        <v>0</v>
      </c>
      <c r="DX106" s="33">
        <f t="shared" si="26"/>
        <v>0</v>
      </c>
      <c r="DY106" s="35">
        <f t="shared" si="34"/>
        <v>2</v>
      </c>
      <c r="DZ106" s="33">
        <f t="shared" si="35"/>
        <v>18</v>
      </c>
      <c r="EA106" s="33">
        <f t="shared" si="36"/>
        <v>16</v>
      </c>
      <c r="EB106" s="33" t="str">
        <f t="shared" si="37"/>
        <v>AUX 2 COM + CAMPOS PREENC</v>
      </c>
      <c r="EC106" s="33" t="s">
        <v>10034</v>
      </c>
    </row>
    <row r="107" spans="2:133" x14ac:dyDescent="0.25">
      <c r="B107" s="33"/>
      <c r="C107" s="33" t="s">
        <v>139</v>
      </c>
      <c r="D107" s="33" t="s">
        <v>8788</v>
      </c>
      <c r="E107" s="33" t="s">
        <v>8789</v>
      </c>
      <c r="F107" s="33" t="s">
        <v>8790</v>
      </c>
      <c r="G107" s="33" t="s">
        <v>8789</v>
      </c>
      <c r="H107" s="33" t="s">
        <v>8791</v>
      </c>
      <c r="I107" s="33" t="s">
        <v>8792</v>
      </c>
      <c r="J107" s="33" t="s">
        <v>8789</v>
      </c>
      <c r="K107" s="33" t="s">
        <v>8570</v>
      </c>
      <c r="L107" s="33" t="s">
        <v>8571</v>
      </c>
      <c r="M107" s="33" t="s">
        <v>9584</v>
      </c>
      <c r="N107" s="33" t="s">
        <v>9585</v>
      </c>
      <c r="O107" s="33"/>
      <c r="P107" s="33"/>
      <c r="Q107" s="33" t="s">
        <v>8571</v>
      </c>
      <c r="R107" s="33"/>
      <c r="S107" s="33"/>
      <c r="T107" s="33"/>
      <c r="U107" s="33" t="s">
        <v>9442</v>
      </c>
      <c r="V107" s="33" t="s">
        <v>9586</v>
      </c>
      <c r="W107" s="33" t="s">
        <v>9587</v>
      </c>
      <c r="X107" s="33"/>
      <c r="Y107" s="33" t="s">
        <v>8525</v>
      </c>
      <c r="Z107" s="33" t="s">
        <v>8500</v>
      </c>
      <c r="AA107" s="33" t="s">
        <v>8500</v>
      </c>
      <c r="AB107" s="33" t="s">
        <v>8500</v>
      </c>
      <c r="AC107" s="33"/>
      <c r="AD107" s="33"/>
      <c r="AE107" s="33"/>
      <c r="AF107" s="33" t="s">
        <v>9588</v>
      </c>
      <c r="AG107" s="33"/>
      <c r="AH107" s="33" t="s">
        <v>8527</v>
      </c>
      <c r="AI107" s="33"/>
      <c r="AJ107" s="33"/>
      <c r="AK107" s="33"/>
      <c r="AL107" s="33" t="s">
        <v>8507</v>
      </c>
      <c r="AM107" s="33" t="s">
        <v>8506</v>
      </c>
      <c r="AN107" s="33" t="s">
        <v>9589</v>
      </c>
      <c r="AO107" s="33" t="s">
        <v>9590</v>
      </c>
      <c r="AP107" s="33">
        <v>1</v>
      </c>
      <c r="AQ107" s="5" t="s">
        <v>10037</v>
      </c>
      <c r="AR107" s="33" t="s">
        <v>9591</v>
      </c>
      <c r="AS107" s="33" t="s">
        <v>139</v>
      </c>
      <c r="AT107" s="33" t="s">
        <v>8788</v>
      </c>
      <c r="AU107" s="33" t="s">
        <v>8789</v>
      </c>
      <c r="AV107" s="33" t="s">
        <v>8790</v>
      </c>
      <c r="AW107" s="33" t="s">
        <v>8789</v>
      </c>
      <c r="AX107" s="33" t="s">
        <v>8791</v>
      </c>
      <c r="AY107" s="33" t="s">
        <v>8792</v>
      </c>
      <c r="AZ107" s="33" t="s">
        <v>8789</v>
      </c>
      <c r="BA107" s="33" t="s">
        <v>8570</v>
      </c>
      <c r="BB107" s="33" t="s">
        <v>8571</v>
      </c>
      <c r="BC107" s="33" t="s">
        <v>9584</v>
      </c>
      <c r="BD107" s="33" t="s">
        <v>9585</v>
      </c>
      <c r="BE107" s="33"/>
      <c r="BF107" s="33"/>
      <c r="BG107" s="33" t="s">
        <v>8571</v>
      </c>
      <c r="BH107" s="33"/>
      <c r="BI107" s="33"/>
      <c r="BJ107" s="33"/>
      <c r="BK107" s="33" t="s">
        <v>9442</v>
      </c>
      <c r="BL107" s="33" t="s">
        <v>9586</v>
      </c>
      <c r="BM107" s="33" t="s">
        <v>9587</v>
      </c>
      <c r="BN107" s="33"/>
      <c r="BO107" s="33" t="s">
        <v>8525</v>
      </c>
      <c r="BP107" s="33" t="s">
        <v>8500</v>
      </c>
      <c r="BQ107" s="33" t="s">
        <v>8500</v>
      </c>
      <c r="BR107" s="33" t="s">
        <v>8500</v>
      </c>
      <c r="BS107" s="33"/>
      <c r="BT107" s="33"/>
      <c r="BU107" s="33"/>
      <c r="BV107" s="33" t="s">
        <v>9588</v>
      </c>
      <c r="BW107" s="33"/>
      <c r="BX107" s="33" t="s">
        <v>8527</v>
      </c>
      <c r="BY107" s="33"/>
      <c r="BZ107" s="33"/>
      <c r="CA107" s="33"/>
      <c r="CB107" s="33" t="s">
        <v>8507</v>
      </c>
      <c r="CC107" s="33" t="s">
        <v>8506</v>
      </c>
      <c r="CD107" s="33" t="s">
        <v>9589</v>
      </c>
      <c r="CE107" s="33" t="s">
        <v>9590</v>
      </c>
      <c r="CF107" s="33">
        <v>2</v>
      </c>
      <c r="CG107" s="5" t="s">
        <v>10037</v>
      </c>
      <c r="CH107" s="33">
        <f t="shared" si="40"/>
        <v>0</v>
      </c>
      <c r="CI107" s="33">
        <f t="shared" si="40"/>
        <v>0</v>
      </c>
      <c r="CJ107" s="33">
        <f t="shared" si="40"/>
        <v>0</v>
      </c>
      <c r="CK107" s="33">
        <f t="shared" si="40"/>
        <v>0</v>
      </c>
      <c r="CL107" s="33">
        <f t="shared" si="40"/>
        <v>0</v>
      </c>
      <c r="CM107" s="33">
        <f t="shared" si="40"/>
        <v>0</v>
      </c>
      <c r="CN107" s="33">
        <f t="shared" si="40"/>
        <v>0</v>
      </c>
      <c r="CO107" s="33">
        <f t="shared" si="40"/>
        <v>0</v>
      </c>
      <c r="CP107" s="33">
        <f t="shared" si="40"/>
        <v>0</v>
      </c>
      <c r="CQ107" s="33">
        <f t="shared" si="40"/>
        <v>0</v>
      </c>
      <c r="CR107" s="33">
        <f t="shared" si="40"/>
        <v>0</v>
      </c>
      <c r="CS107" s="33">
        <f t="shared" si="40"/>
        <v>0</v>
      </c>
      <c r="CT107" s="33">
        <f t="shared" si="40"/>
        <v>0</v>
      </c>
      <c r="CU107" s="33">
        <f t="shared" si="40"/>
        <v>0</v>
      </c>
      <c r="CV107" s="33">
        <f t="shared" si="40"/>
        <v>0</v>
      </c>
      <c r="CW107" s="33">
        <f t="shared" si="40"/>
        <v>0</v>
      </c>
      <c r="CX107" s="33">
        <f t="shared" si="43"/>
        <v>0</v>
      </c>
      <c r="CY107" s="33">
        <f t="shared" si="42"/>
        <v>0</v>
      </c>
      <c r="CZ107" s="33">
        <f t="shared" si="42"/>
        <v>0</v>
      </c>
      <c r="DA107" s="33">
        <f t="shared" si="42"/>
        <v>0</v>
      </c>
      <c r="DB107" s="33">
        <f t="shared" si="42"/>
        <v>0</v>
      </c>
      <c r="DC107" s="33">
        <f t="shared" si="42"/>
        <v>0</v>
      </c>
      <c r="DD107" s="33">
        <f t="shared" si="42"/>
        <v>0</v>
      </c>
      <c r="DE107" s="33">
        <f t="shared" si="42"/>
        <v>0</v>
      </c>
      <c r="DF107" s="33">
        <f t="shared" si="42"/>
        <v>0</v>
      </c>
      <c r="DG107" s="33">
        <f t="shared" si="42"/>
        <v>0</v>
      </c>
      <c r="DH107" s="33">
        <f t="shared" si="41"/>
        <v>0</v>
      </c>
      <c r="DI107" s="33">
        <f t="shared" si="41"/>
        <v>0</v>
      </c>
      <c r="DJ107" s="33">
        <f t="shared" si="41"/>
        <v>0</v>
      </c>
      <c r="DK107" s="33">
        <f t="shared" si="41"/>
        <v>0</v>
      </c>
      <c r="DL107" s="33">
        <f t="shared" si="41"/>
        <v>0</v>
      </c>
      <c r="DM107" s="33">
        <f t="shared" si="41"/>
        <v>0</v>
      </c>
      <c r="DN107" s="33">
        <f t="shared" si="41"/>
        <v>0</v>
      </c>
      <c r="DO107" s="33">
        <f t="shared" si="41"/>
        <v>0</v>
      </c>
      <c r="DP107" s="50">
        <f t="shared" si="30"/>
        <v>0</v>
      </c>
      <c r="DQ107" s="50">
        <f t="shared" si="31"/>
        <v>0</v>
      </c>
      <c r="DR107" s="33">
        <f t="shared" si="28"/>
        <v>0</v>
      </c>
      <c r="DS107" s="50">
        <f t="shared" si="32"/>
        <v>0</v>
      </c>
      <c r="DT107" s="50">
        <f t="shared" si="33"/>
        <v>0</v>
      </c>
      <c r="DU107" s="33">
        <f t="shared" si="29"/>
        <v>0</v>
      </c>
      <c r="DV107" s="33">
        <f t="shared" si="29"/>
        <v>0</v>
      </c>
      <c r="DW107" s="33">
        <f t="shared" si="29"/>
        <v>0</v>
      </c>
      <c r="DX107" s="33">
        <f t="shared" si="26"/>
        <v>0</v>
      </c>
      <c r="DY107" s="35">
        <f t="shared" si="34"/>
        <v>0</v>
      </c>
      <c r="DZ107" s="33">
        <f t="shared" si="35"/>
        <v>13</v>
      </c>
      <c r="EA107" s="33">
        <f t="shared" si="36"/>
        <v>13</v>
      </c>
      <c r="EB107" s="33" t="str">
        <f t="shared" si="37"/>
        <v>IGUAL CAMPOS PREENCH</v>
      </c>
      <c r="EC107" s="33" t="s">
        <v>10035</v>
      </c>
    </row>
    <row r="108" spans="2:133" x14ac:dyDescent="0.25">
      <c r="B108" s="33" t="s">
        <v>9592</v>
      </c>
      <c r="C108" s="33" t="s">
        <v>101</v>
      </c>
      <c r="D108" s="33" t="s">
        <v>8513</v>
      </c>
      <c r="E108" s="33" t="s">
        <v>8514</v>
      </c>
      <c r="F108" s="33" t="s">
        <v>8750</v>
      </c>
      <c r="G108" s="33" t="s">
        <v>8751</v>
      </c>
      <c r="H108" s="33" t="s">
        <v>8752</v>
      </c>
      <c r="I108" s="33" t="s">
        <v>8751</v>
      </c>
      <c r="J108" s="33" t="s">
        <v>8751</v>
      </c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 t="s">
        <v>8756</v>
      </c>
      <c r="V108" s="33"/>
      <c r="W108" s="33" t="s">
        <v>9593</v>
      </c>
      <c r="X108" s="33" t="s">
        <v>9594</v>
      </c>
      <c r="Y108" s="33" t="s">
        <v>8525</v>
      </c>
      <c r="Z108" s="33" t="s">
        <v>8525</v>
      </c>
      <c r="AA108" s="33" t="s">
        <v>8500</v>
      </c>
      <c r="AB108" s="33" t="s">
        <v>8500</v>
      </c>
      <c r="AC108" s="33"/>
      <c r="AD108" s="33"/>
      <c r="AE108" s="33" t="s">
        <v>8502</v>
      </c>
      <c r="AF108" s="33" t="s">
        <v>9595</v>
      </c>
      <c r="AG108" s="33"/>
      <c r="AH108" s="33" t="s">
        <v>8527</v>
      </c>
      <c r="AI108" s="33"/>
      <c r="AJ108" s="33"/>
      <c r="AK108" s="33"/>
      <c r="AL108" s="33" t="s">
        <v>8528</v>
      </c>
      <c r="AM108" s="33" t="s">
        <v>8577</v>
      </c>
      <c r="AN108" s="33" t="s">
        <v>9596</v>
      </c>
      <c r="AO108" s="33" t="s">
        <v>9597</v>
      </c>
      <c r="AP108" s="33">
        <v>1</v>
      </c>
      <c r="AQ108" s="5" t="s">
        <v>10037</v>
      </c>
      <c r="AR108" s="33"/>
      <c r="AS108" s="33" t="s">
        <v>101</v>
      </c>
      <c r="AT108" s="33" t="s">
        <v>8513</v>
      </c>
      <c r="AU108" s="33" t="s">
        <v>8514</v>
      </c>
      <c r="AV108" s="33" t="s">
        <v>8750</v>
      </c>
      <c r="AW108" s="33" t="s">
        <v>8751</v>
      </c>
      <c r="AX108" s="33" t="s">
        <v>8752</v>
      </c>
      <c r="AY108" s="33" t="s">
        <v>8751</v>
      </c>
      <c r="AZ108" s="33" t="s">
        <v>8751</v>
      </c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 t="s">
        <v>8756</v>
      </c>
      <c r="BL108" s="33"/>
      <c r="BM108" s="33" t="s">
        <v>9593</v>
      </c>
      <c r="BN108" s="33" t="s">
        <v>9594</v>
      </c>
      <c r="BO108" s="33" t="s">
        <v>8525</v>
      </c>
      <c r="BP108" s="33" t="s">
        <v>8525</v>
      </c>
      <c r="BQ108" s="33" t="s">
        <v>8500</v>
      </c>
      <c r="BR108" s="33" t="s">
        <v>8500</v>
      </c>
      <c r="BS108" s="33"/>
      <c r="BT108" s="33"/>
      <c r="BU108" s="33" t="s">
        <v>8502</v>
      </c>
      <c r="BV108" s="33" t="s">
        <v>9595</v>
      </c>
      <c r="BW108" s="33"/>
      <c r="BX108" s="33" t="s">
        <v>8527</v>
      </c>
      <c r="BY108" s="33"/>
      <c r="BZ108" s="33"/>
      <c r="CA108" s="33"/>
      <c r="CB108" s="33" t="s">
        <v>8528</v>
      </c>
      <c r="CC108" s="33" t="s">
        <v>8577</v>
      </c>
      <c r="CD108" s="33" t="s">
        <v>9596</v>
      </c>
      <c r="CE108" s="33" t="s">
        <v>9597</v>
      </c>
      <c r="CF108" s="33">
        <v>2</v>
      </c>
      <c r="CG108" s="5" t="s">
        <v>10037</v>
      </c>
      <c r="CH108" s="33">
        <f t="shared" si="40"/>
        <v>0</v>
      </c>
      <c r="CI108" s="33">
        <f t="shared" si="40"/>
        <v>0</v>
      </c>
      <c r="CJ108" s="33">
        <f t="shared" si="40"/>
        <v>0</v>
      </c>
      <c r="CK108" s="33">
        <f t="shared" si="40"/>
        <v>0</v>
      </c>
      <c r="CL108" s="33">
        <f t="shared" si="40"/>
        <v>0</v>
      </c>
      <c r="CM108" s="33">
        <f t="shared" si="40"/>
        <v>0</v>
      </c>
      <c r="CN108" s="33">
        <f t="shared" si="40"/>
        <v>0</v>
      </c>
      <c r="CO108" s="33">
        <f t="shared" si="40"/>
        <v>0</v>
      </c>
      <c r="CP108" s="33">
        <f t="shared" si="40"/>
        <v>0</v>
      </c>
      <c r="CQ108" s="33">
        <f t="shared" si="40"/>
        <v>0</v>
      </c>
      <c r="CR108" s="33">
        <f t="shared" si="40"/>
        <v>0</v>
      </c>
      <c r="CS108" s="33">
        <f t="shared" si="40"/>
        <v>0</v>
      </c>
      <c r="CT108" s="33">
        <f t="shared" si="40"/>
        <v>0</v>
      </c>
      <c r="CU108" s="33">
        <f t="shared" si="40"/>
        <v>0</v>
      </c>
      <c r="CV108" s="33">
        <f t="shared" si="40"/>
        <v>0</v>
      </c>
      <c r="CW108" s="33">
        <f t="shared" si="40"/>
        <v>0</v>
      </c>
      <c r="CX108" s="33">
        <f t="shared" si="43"/>
        <v>0</v>
      </c>
      <c r="CY108" s="33">
        <f t="shared" si="42"/>
        <v>0</v>
      </c>
      <c r="CZ108" s="33">
        <f t="shared" si="42"/>
        <v>0</v>
      </c>
      <c r="DA108" s="33">
        <f t="shared" si="42"/>
        <v>0</v>
      </c>
      <c r="DB108" s="33">
        <f t="shared" si="42"/>
        <v>0</v>
      </c>
      <c r="DC108" s="33">
        <f t="shared" si="42"/>
        <v>0</v>
      </c>
      <c r="DD108" s="33">
        <f t="shared" si="42"/>
        <v>0</v>
      </c>
      <c r="DE108" s="33">
        <f t="shared" si="42"/>
        <v>0</v>
      </c>
      <c r="DF108" s="33">
        <f t="shared" si="42"/>
        <v>0</v>
      </c>
      <c r="DG108" s="33">
        <f t="shared" si="42"/>
        <v>0</v>
      </c>
      <c r="DH108" s="33">
        <f t="shared" si="41"/>
        <v>0</v>
      </c>
      <c r="DI108" s="33">
        <f t="shared" si="41"/>
        <v>0</v>
      </c>
      <c r="DJ108" s="33">
        <f t="shared" si="41"/>
        <v>0</v>
      </c>
      <c r="DK108" s="33">
        <f t="shared" si="41"/>
        <v>0</v>
      </c>
      <c r="DL108" s="33">
        <f t="shared" si="41"/>
        <v>0</v>
      </c>
      <c r="DM108" s="33">
        <f t="shared" si="41"/>
        <v>0</v>
      </c>
      <c r="DN108" s="33">
        <f t="shared" si="41"/>
        <v>0</v>
      </c>
      <c r="DO108" s="33">
        <f t="shared" si="41"/>
        <v>0</v>
      </c>
      <c r="DP108" s="50">
        <f t="shared" si="30"/>
        <v>0</v>
      </c>
      <c r="DQ108" s="50">
        <f t="shared" si="31"/>
        <v>0</v>
      </c>
      <c r="DR108" s="33">
        <f t="shared" si="28"/>
        <v>0</v>
      </c>
      <c r="DS108" s="50">
        <f t="shared" si="32"/>
        <v>0</v>
      </c>
      <c r="DT108" s="50">
        <f t="shared" si="33"/>
        <v>0</v>
      </c>
      <c r="DU108" s="33">
        <f t="shared" si="29"/>
        <v>0</v>
      </c>
      <c r="DV108" s="33">
        <f t="shared" si="29"/>
        <v>0</v>
      </c>
      <c r="DW108" s="33">
        <f t="shared" si="29"/>
        <v>0</v>
      </c>
      <c r="DX108" s="33">
        <f t="shared" si="26"/>
        <v>0</v>
      </c>
      <c r="DY108" s="35">
        <f t="shared" si="34"/>
        <v>0</v>
      </c>
      <c r="DZ108" s="33">
        <f t="shared" si="35"/>
        <v>17</v>
      </c>
      <c r="EA108" s="33">
        <f t="shared" si="36"/>
        <v>17</v>
      </c>
      <c r="EB108" s="33" t="str">
        <f t="shared" si="37"/>
        <v>IGUAL CAMPOS PREENCH</v>
      </c>
      <c r="EC108" s="33" t="s">
        <v>10035</v>
      </c>
    </row>
    <row r="109" spans="2:133" x14ac:dyDescent="0.25">
      <c r="B109" s="33"/>
      <c r="C109" s="33" t="s">
        <v>87</v>
      </c>
      <c r="D109" s="33" t="s">
        <v>8513</v>
      </c>
      <c r="E109" s="33"/>
      <c r="F109" s="33" t="s">
        <v>9598</v>
      </c>
      <c r="G109" s="33"/>
      <c r="H109" s="33" t="s">
        <v>9599</v>
      </c>
      <c r="I109" s="33"/>
      <c r="J109" s="33" t="s">
        <v>9600</v>
      </c>
      <c r="K109" s="33" t="s">
        <v>8525</v>
      </c>
      <c r="L109" s="33" t="s">
        <v>8571</v>
      </c>
      <c r="M109" s="33" t="s">
        <v>8521</v>
      </c>
      <c r="N109" s="33" t="s">
        <v>8521</v>
      </c>
      <c r="O109" s="33"/>
      <c r="P109" s="33"/>
      <c r="Q109" s="33" t="s">
        <v>8571</v>
      </c>
      <c r="R109" s="33"/>
      <c r="S109" s="33"/>
      <c r="T109" s="33"/>
      <c r="U109" s="33" t="s">
        <v>9601</v>
      </c>
      <c r="V109" s="33" t="s">
        <v>8743</v>
      </c>
      <c r="W109" s="33" t="s">
        <v>9602</v>
      </c>
      <c r="X109" s="33"/>
      <c r="Y109" s="33" t="s">
        <v>8500</v>
      </c>
      <c r="Z109" s="33" t="s">
        <v>8500</v>
      </c>
      <c r="AA109" s="33" t="s">
        <v>8500</v>
      </c>
      <c r="AB109" s="33" t="s">
        <v>8500</v>
      </c>
      <c r="AC109" s="33"/>
      <c r="AD109" s="33"/>
      <c r="AE109" s="33"/>
      <c r="AF109" s="33"/>
      <c r="AG109" s="33"/>
      <c r="AH109" s="33" t="s">
        <v>8505</v>
      </c>
      <c r="AI109" s="33"/>
      <c r="AJ109" s="33"/>
      <c r="AK109" s="33"/>
      <c r="AL109" s="33" t="s">
        <v>8507</v>
      </c>
      <c r="AM109" s="33" t="s">
        <v>8506</v>
      </c>
      <c r="AN109" s="33" t="s">
        <v>9603</v>
      </c>
      <c r="AO109" s="33" t="s">
        <v>9604</v>
      </c>
      <c r="AP109" s="33">
        <v>1</v>
      </c>
      <c r="AQ109" s="5" t="s">
        <v>10037</v>
      </c>
      <c r="AR109" s="33"/>
      <c r="AS109" s="33" t="s">
        <v>87</v>
      </c>
      <c r="AT109" s="33" t="s">
        <v>8513</v>
      </c>
      <c r="AU109" s="33" t="s">
        <v>8514</v>
      </c>
      <c r="AV109" s="33" t="s">
        <v>9598</v>
      </c>
      <c r="AW109" s="33" t="s">
        <v>9600</v>
      </c>
      <c r="AX109" s="33" t="s">
        <v>9599</v>
      </c>
      <c r="AY109" s="33" t="s">
        <v>9605</v>
      </c>
      <c r="AZ109" s="33" t="s">
        <v>9600</v>
      </c>
      <c r="BA109" s="33" t="s">
        <v>8570</v>
      </c>
      <c r="BB109" s="33" t="s">
        <v>8571</v>
      </c>
      <c r="BC109" s="33" t="s">
        <v>8521</v>
      </c>
      <c r="BD109" s="33" t="s">
        <v>8521</v>
      </c>
      <c r="BE109" s="33"/>
      <c r="BF109" s="33"/>
      <c r="BG109" s="33" t="s">
        <v>8571</v>
      </c>
      <c r="BH109" s="33"/>
      <c r="BI109" s="33"/>
      <c r="BJ109" s="33"/>
      <c r="BK109" s="33" t="s">
        <v>9601</v>
      </c>
      <c r="BL109" s="33" t="s">
        <v>8743</v>
      </c>
      <c r="BM109" s="33" t="s">
        <v>9602</v>
      </c>
      <c r="BN109" s="33" t="s">
        <v>9462</v>
      </c>
      <c r="BO109" s="33" t="s">
        <v>8500</v>
      </c>
      <c r="BP109" s="33" t="s">
        <v>8500</v>
      </c>
      <c r="BQ109" s="33" t="s">
        <v>8500</v>
      </c>
      <c r="BR109" s="33" t="s">
        <v>8500</v>
      </c>
      <c r="BS109" s="33"/>
      <c r="BT109" s="33"/>
      <c r="BU109" s="33" t="s">
        <v>8502</v>
      </c>
      <c r="BV109" s="33" t="s">
        <v>9606</v>
      </c>
      <c r="BW109" s="33" t="s">
        <v>9607</v>
      </c>
      <c r="BX109" s="33" t="s">
        <v>8505</v>
      </c>
      <c r="BY109" s="33"/>
      <c r="BZ109" s="33"/>
      <c r="CA109" s="33"/>
      <c r="CB109" s="33" t="s">
        <v>8507</v>
      </c>
      <c r="CC109" s="33" t="s">
        <v>8506</v>
      </c>
      <c r="CD109" s="33" t="s">
        <v>9608</v>
      </c>
      <c r="CE109" s="33" t="s">
        <v>9609</v>
      </c>
      <c r="CF109" s="33">
        <v>2</v>
      </c>
      <c r="CG109" s="5" t="s">
        <v>10037</v>
      </c>
      <c r="CH109" s="33">
        <f t="shared" si="40"/>
        <v>0</v>
      </c>
      <c r="CI109" s="33">
        <f t="shared" si="40"/>
        <v>0</v>
      </c>
      <c r="CJ109" s="33">
        <f t="shared" si="40"/>
        <v>1</v>
      </c>
      <c r="CK109" s="33">
        <f t="shared" si="40"/>
        <v>0</v>
      </c>
      <c r="CL109" s="33">
        <f t="shared" si="40"/>
        <v>1</v>
      </c>
      <c r="CM109" s="33">
        <f t="shared" si="40"/>
        <v>0</v>
      </c>
      <c r="CN109" s="33">
        <f t="shared" si="40"/>
        <v>1</v>
      </c>
      <c r="CO109" s="33">
        <f t="shared" si="40"/>
        <v>0</v>
      </c>
      <c r="CP109" s="33">
        <f t="shared" si="40"/>
        <v>1</v>
      </c>
      <c r="CQ109" s="33">
        <f t="shared" si="40"/>
        <v>0</v>
      </c>
      <c r="CR109" s="33">
        <f t="shared" si="40"/>
        <v>0</v>
      </c>
      <c r="CS109" s="33">
        <f t="shared" si="40"/>
        <v>0</v>
      </c>
      <c r="CT109" s="33">
        <f t="shared" si="40"/>
        <v>0</v>
      </c>
      <c r="CU109" s="33">
        <f t="shared" si="40"/>
        <v>0</v>
      </c>
      <c r="CV109" s="33">
        <f t="shared" si="40"/>
        <v>0</v>
      </c>
      <c r="CW109" s="33">
        <f t="shared" si="40"/>
        <v>0</v>
      </c>
      <c r="CX109" s="33">
        <f t="shared" si="43"/>
        <v>0</v>
      </c>
      <c r="CY109" s="33">
        <f t="shared" si="42"/>
        <v>0</v>
      </c>
      <c r="CZ109" s="33">
        <f t="shared" si="42"/>
        <v>0</v>
      </c>
      <c r="DA109" s="33">
        <f t="shared" si="42"/>
        <v>0</v>
      </c>
      <c r="DB109" s="33">
        <f t="shared" si="42"/>
        <v>0</v>
      </c>
      <c r="DC109" s="33">
        <f t="shared" si="42"/>
        <v>1</v>
      </c>
      <c r="DD109" s="33">
        <f t="shared" si="42"/>
        <v>0</v>
      </c>
      <c r="DE109" s="33">
        <f t="shared" si="42"/>
        <v>0</v>
      </c>
      <c r="DF109" s="33">
        <f t="shared" si="42"/>
        <v>0</v>
      </c>
      <c r="DG109" s="33">
        <f t="shared" si="42"/>
        <v>0</v>
      </c>
      <c r="DH109" s="33">
        <f t="shared" si="41"/>
        <v>0</v>
      </c>
      <c r="DI109" s="33">
        <f t="shared" si="41"/>
        <v>0</v>
      </c>
      <c r="DJ109" s="33">
        <f t="shared" si="41"/>
        <v>1</v>
      </c>
      <c r="DK109" s="33">
        <f t="shared" si="41"/>
        <v>1</v>
      </c>
      <c r="DL109" s="33">
        <f t="shared" si="41"/>
        <v>1</v>
      </c>
      <c r="DM109" s="33">
        <f t="shared" si="41"/>
        <v>0</v>
      </c>
      <c r="DN109" s="33">
        <f t="shared" si="41"/>
        <v>0</v>
      </c>
      <c r="DO109" s="33">
        <f t="shared" si="41"/>
        <v>0</v>
      </c>
      <c r="DP109" s="50">
        <f t="shared" si="30"/>
        <v>0</v>
      </c>
      <c r="DQ109" s="50">
        <f t="shared" si="31"/>
        <v>0</v>
      </c>
      <c r="DR109" s="33">
        <f t="shared" si="28"/>
        <v>0</v>
      </c>
      <c r="DS109" s="50">
        <f t="shared" si="32"/>
        <v>0</v>
      </c>
      <c r="DT109" s="50">
        <f t="shared" si="33"/>
        <v>0</v>
      </c>
      <c r="DU109" s="33">
        <f t="shared" si="29"/>
        <v>0</v>
      </c>
      <c r="DV109" s="33">
        <f t="shared" si="29"/>
        <v>0</v>
      </c>
      <c r="DW109" s="33">
        <f t="shared" si="29"/>
        <v>1</v>
      </c>
      <c r="DX109" s="33">
        <f t="shared" si="26"/>
        <v>1</v>
      </c>
      <c r="DY109" s="35">
        <f t="shared" si="34"/>
        <v>10</v>
      </c>
      <c r="DZ109" s="33">
        <f t="shared" si="35"/>
        <v>17</v>
      </c>
      <c r="EA109" s="33">
        <f t="shared" si="36"/>
        <v>10</v>
      </c>
      <c r="EB109" s="33" t="str">
        <f t="shared" si="37"/>
        <v>AUX 2 COM + CAMPOS PREENC</v>
      </c>
      <c r="EC109" s="33" t="s">
        <v>10036</v>
      </c>
    </row>
    <row r="110" spans="2:133" x14ac:dyDescent="0.25">
      <c r="B110" s="33"/>
      <c r="C110" s="33" t="s">
        <v>93</v>
      </c>
      <c r="D110" s="33" t="s">
        <v>8645</v>
      </c>
      <c r="E110" s="33" t="s">
        <v>8646</v>
      </c>
      <c r="F110" s="33" t="s">
        <v>8647</v>
      </c>
      <c r="G110" s="33" t="s">
        <v>8648</v>
      </c>
      <c r="H110" s="33" t="s">
        <v>9160</v>
      </c>
      <c r="I110" s="33" t="s">
        <v>9161</v>
      </c>
      <c r="J110" s="33" t="s">
        <v>9354</v>
      </c>
      <c r="K110" s="33" t="s">
        <v>8570</v>
      </c>
      <c r="L110" s="33" t="s">
        <v>8571</v>
      </c>
      <c r="M110" s="33" t="s">
        <v>9610</v>
      </c>
      <c r="N110" s="33" t="s">
        <v>8653</v>
      </c>
      <c r="O110" s="33"/>
      <c r="P110" s="33"/>
      <c r="Q110" s="33" t="s">
        <v>8571</v>
      </c>
      <c r="R110" s="33" t="s">
        <v>9611</v>
      </c>
      <c r="S110" s="33"/>
      <c r="T110" s="33"/>
      <c r="U110" s="33" t="s">
        <v>8655</v>
      </c>
      <c r="V110" s="33" t="s">
        <v>9612</v>
      </c>
      <c r="W110" s="33" t="s">
        <v>9613</v>
      </c>
      <c r="X110" s="33" t="s">
        <v>8957</v>
      </c>
      <c r="Y110" s="33" t="s">
        <v>8500</v>
      </c>
      <c r="Z110" s="33" t="s">
        <v>8500</v>
      </c>
      <c r="AA110" s="33" t="s">
        <v>8500</v>
      </c>
      <c r="AB110" s="33" t="s">
        <v>8500</v>
      </c>
      <c r="AC110" s="33" t="s">
        <v>9166</v>
      </c>
      <c r="AD110" s="33" t="s">
        <v>9167</v>
      </c>
      <c r="AE110" s="33" t="s">
        <v>9611</v>
      </c>
      <c r="AF110" s="33" t="s">
        <v>9614</v>
      </c>
      <c r="AG110" s="33" t="s">
        <v>8676</v>
      </c>
      <c r="AH110" s="33" t="s">
        <v>8505</v>
      </c>
      <c r="AI110" s="33"/>
      <c r="AJ110" s="33"/>
      <c r="AK110" s="33"/>
      <c r="AL110" s="33" t="s">
        <v>8528</v>
      </c>
      <c r="AM110" s="33" t="s">
        <v>8577</v>
      </c>
      <c r="AN110" s="33" t="s">
        <v>9615</v>
      </c>
      <c r="AO110" s="33" t="s">
        <v>9516</v>
      </c>
      <c r="AP110" s="33">
        <v>1</v>
      </c>
      <c r="AQ110" s="5" t="s">
        <v>10037</v>
      </c>
      <c r="AR110" s="33" t="s">
        <v>9616</v>
      </c>
      <c r="AS110" s="33" t="s">
        <v>93</v>
      </c>
      <c r="AT110" s="33" t="s">
        <v>8645</v>
      </c>
      <c r="AU110" s="33" t="s">
        <v>8646</v>
      </c>
      <c r="AV110" s="33" t="s">
        <v>8647</v>
      </c>
      <c r="AW110" s="33" t="s">
        <v>8648</v>
      </c>
      <c r="AX110" s="33" t="s">
        <v>9160</v>
      </c>
      <c r="AY110" s="33" t="s">
        <v>9161</v>
      </c>
      <c r="AZ110" s="33" t="s">
        <v>9354</v>
      </c>
      <c r="BA110" s="33" t="s">
        <v>8570</v>
      </c>
      <c r="BB110" s="33" t="s">
        <v>8571</v>
      </c>
      <c r="BC110" s="33" t="s">
        <v>9610</v>
      </c>
      <c r="BD110" s="33" t="s">
        <v>8653</v>
      </c>
      <c r="BE110" s="33"/>
      <c r="BF110" s="33"/>
      <c r="BG110" s="33" t="s">
        <v>8571</v>
      </c>
      <c r="BH110" s="33" t="s">
        <v>9611</v>
      </c>
      <c r="BI110" s="33"/>
      <c r="BJ110" s="33"/>
      <c r="BK110" s="33" t="s">
        <v>8655</v>
      </c>
      <c r="BL110" s="33" t="s">
        <v>9612</v>
      </c>
      <c r="BM110" s="33" t="s">
        <v>9613</v>
      </c>
      <c r="BN110" s="33" t="s">
        <v>8957</v>
      </c>
      <c r="BO110" s="33" t="s">
        <v>8500</v>
      </c>
      <c r="BP110" s="33" t="s">
        <v>8500</v>
      </c>
      <c r="BQ110" s="33" t="s">
        <v>8500</v>
      </c>
      <c r="BR110" s="33" t="s">
        <v>8500</v>
      </c>
      <c r="BS110" s="33" t="s">
        <v>9166</v>
      </c>
      <c r="BT110" s="33" t="s">
        <v>9167</v>
      </c>
      <c r="BU110" s="33"/>
      <c r="BV110" s="33" t="s">
        <v>9614</v>
      </c>
      <c r="BW110" s="33" t="s">
        <v>8676</v>
      </c>
      <c r="BX110" s="33" t="s">
        <v>8505</v>
      </c>
      <c r="BY110" s="33"/>
      <c r="BZ110" s="33" t="s">
        <v>8545</v>
      </c>
      <c r="CA110" s="33" t="s">
        <v>8528</v>
      </c>
      <c r="CB110" s="33" t="s">
        <v>8528</v>
      </c>
      <c r="CC110" s="33" t="s">
        <v>8577</v>
      </c>
      <c r="CD110" s="33" t="s">
        <v>9615</v>
      </c>
      <c r="CE110" s="33" t="s">
        <v>9516</v>
      </c>
      <c r="CF110" s="33">
        <v>2</v>
      </c>
      <c r="CG110" s="5" t="s">
        <v>10037</v>
      </c>
      <c r="CH110" s="33">
        <f t="shared" si="40"/>
        <v>0</v>
      </c>
      <c r="CI110" s="33">
        <f t="shared" si="40"/>
        <v>0</v>
      </c>
      <c r="CJ110" s="33">
        <f t="shared" si="40"/>
        <v>0</v>
      </c>
      <c r="CK110" s="33">
        <f t="shared" si="40"/>
        <v>0</v>
      </c>
      <c r="CL110" s="33">
        <f t="shared" si="40"/>
        <v>0</v>
      </c>
      <c r="CM110" s="33">
        <f t="shared" si="40"/>
        <v>0</v>
      </c>
      <c r="CN110" s="33">
        <f t="shared" si="40"/>
        <v>0</v>
      </c>
      <c r="CO110" s="33">
        <f t="shared" si="40"/>
        <v>0</v>
      </c>
      <c r="CP110" s="33">
        <f t="shared" si="40"/>
        <v>0</v>
      </c>
      <c r="CQ110" s="33">
        <f t="shared" si="40"/>
        <v>0</v>
      </c>
      <c r="CR110" s="33">
        <f t="shared" si="40"/>
        <v>0</v>
      </c>
      <c r="CS110" s="33">
        <f t="shared" si="40"/>
        <v>0</v>
      </c>
      <c r="CT110" s="33">
        <f t="shared" si="40"/>
        <v>0</v>
      </c>
      <c r="CU110" s="33">
        <f t="shared" si="40"/>
        <v>0</v>
      </c>
      <c r="CV110" s="33">
        <f t="shared" si="40"/>
        <v>0</v>
      </c>
      <c r="CW110" s="33">
        <f t="shared" si="40"/>
        <v>0</v>
      </c>
      <c r="CX110" s="33">
        <f t="shared" si="43"/>
        <v>0</v>
      </c>
      <c r="CY110" s="33">
        <f t="shared" si="42"/>
        <v>0</v>
      </c>
      <c r="CZ110" s="33">
        <f t="shared" si="42"/>
        <v>0</v>
      </c>
      <c r="DA110" s="33">
        <f t="shared" si="42"/>
        <v>0</v>
      </c>
      <c r="DB110" s="33">
        <f t="shared" si="42"/>
        <v>0</v>
      </c>
      <c r="DC110" s="33">
        <f t="shared" si="42"/>
        <v>0</v>
      </c>
      <c r="DD110" s="33">
        <f t="shared" si="42"/>
        <v>0</v>
      </c>
      <c r="DE110" s="33">
        <f t="shared" si="42"/>
        <v>0</v>
      </c>
      <c r="DF110" s="33">
        <f t="shared" si="42"/>
        <v>0</v>
      </c>
      <c r="DG110" s="33">
        <f t="shared" si="42"/>
        <v>0</v>
      </c>
      <c r="DH110" s="33">
        <f t="shared" si="41"/>
        <v>0</v>
      </c>
      <c r="DI110" s="33">
        <f t="shared" si="41"/>
        <v>0</v>
      </c>
      <c r="DJ110" s="33">
        <f t="shared" si="41"/>
        <v>1</v>
      </c>
      <c r="DK110" s="33">
        <f t="shared" si="41"/>
        <v>0</v>
      </c>
      <c r="DL110" s="33">
        <f t="shared" si="41"/>
        <v>0</v>
      </c>
      <c r="DM110" s="33">
        <f t="shared" si="41"/>
        <v>0</v>
      </c>
      <c r="DN110" s="33">
        <f t="shared" si="41"/>
        <v>0</v>
      </c>
      <c r="DO110" s="33">
        <f t="shared" si="41"/>
        <v>1</v>
      </c>
      <c r="DP110" s="50">
        <f t="shared" si="30"/>
        <v>0</v>
      </c>
      <c r="DQ110" s="50" t="str">
        <f t="shared" si="31"/>
        <v>D</v>
      </c>
      <c r="DR110" s="33">
        <f t="shared" si="28"/>
        <v>1</v>
      </c>
      <c r="DS110" s="50">
        <f t="shared" si="32"/>
        <v>0</v>
      </c>
      <c r="DT110" s="50" t="str">
        <f t="shared" si="33"/>
        <v>5-MEDIA BAJA</v>
      </c>
      <c r="DU110" s="33">
        <f t="shared" si="29"/>
        <v>0</v>
      </c>
      <c r="DV110" s="33">
        <f t="shared" si="29"/>
        <v>0</v>
      </c>
      <c r="DW110" s="33">
        <f t="shared" si="29"/>
        <v>0</v>
      </c>
      <c r="DX110" s="33">
        <f t="shared" si="26"/>
        <v>0</v>
      </c>
      <c r="DY110" s="35">
        <f t="shared" si="34"/>
        <v>3</v>
      </c>
      <c r="DZ110" s="33">
        <f t="shared" si="35"/>
        <v>7</v>
      </c>
      <c r="EA110" s="33">
        <f t="shared" si="36"/>
        <v>6</v>
      </c>
      <c r="EB110" s="33" t="str">
        <f t="shared" si="37"/>
        <v>AUX 2 COM + CAMPOS PREENC</v>
      </c>
      <c r="EC110" s="33" t="s">
        <v>10034</v>
      </c>
    </row>
    <row r="111" spans="2:133" x14ac:dyDescent="0.25">
      <c r="B111" s="33"/>
      <c r="C111" s="33" t="s">
        <v>37</v>
      </c>
      <c r="D111" s="33" t="s">
        <v>8645</v>
      </c>
      <c r="E111" s="33" t="s">
        <v>8646</v>
      </c>
      <c r="F111" s="33" t="s">
        <v>8647</v>
      </c>
      <c r="G111" s="33" t="s">
        <v>8648</v>
      </c>
      <c r="H111" s="33" t="s">
        <v>8817</v>
      </c>
      <c r="I111" s="33" t="s">
        <v>8818</v>
      </c>
      <c r="J111" s="33" t="s">
        <v>9617</v>
      </c>
      <c r="K111" s="33" t="s">
        <v>8588</v>
      </c>
      <c r="L111" s="33" t="s">
        <v>8589</v>
      </c>
      <c r="M111" s="33" t="s">
        <v>9618</v>
      </c>
      <c r="N111" s="33"/>
      <c r="O111" s="33"/>
      <c r="P111" s="33"/>
      <c r="Q111" s="33" t="s">
        <v>8571</v>
      </c>
      <c r="R111" s="33"/>
      <c r="S111" s="33"/>
      <c r="T111" s="33"/>
      <c r="U111" s="33" t="s">
        <v>8822</v>
      </c>
      <c r="V111" s="33" t="s">
        <v>9619</v>
      </c>
      <c r="W111" s="33" t="s">
        <v>9620</v>
      </c>
      <c r="X111" s="33"/>
      <c r="Y111" s="33" t="s">
        <v>8525</v>
      </c>
      <c r="Z111" s="33" t="s">
        <v>8525</v>
      </c>
      <c r="AA111" s="33" t="s">
        <v>8500</v>
      </c>
      <c r="AB111" s="33" t="s">
        <v>8500</v>
      </c>
      <c r="AC111" s="33"/>
      <c r="AD111" s="33"/>
      <c r="AE111" s="33"/>
      <c r="AF111" s="33"/>
      <c r="AG111" s="33"/>
      <c r="AH111" s="33" t="s">
        <v>8527</v>
      </c>
      <c r="AI111" s="33"/>
      <c r="AJ111" s="33" t="s">
        <v>8506</v>
      </c>
      <c r="AK111" s="33" t="s">
        <v>8507</v>
      </c>
      <c r="AL111" s="33" t="s">
        <v>8507</v>
      </c>
      <c r="AM111" s="33" t="s">
        <v>8545</v>
      </c>
      <c r="AN111" s="33" t="s">
        <v>9621</v>
      </c>
      <c r="AO111" s="33" t="s">
        <v>9622</v>
      </c>
      <c r="AP111" s="33">
        <v>1</v>
      </c>
      <c r="AQ111" s="5" t="s">
        <v>10037</v>
      </c>
      <c r="AR111" s="33" t="s">
        <v>9623</v>
      </c>
      <c r="AS111" s="33" t="s">
        <v>37</v>
      </c>
      <c r="AT111" s="33" t="s">
        <v>8645</v>
      </c>
      <c r="AU111" s="33" t="s">
        <v>8646</v>
      </c>
      <c r="AV111" s="33" t="s">
        <v>8647</v>
      </c>
      <c r="AW111" s="33" t="s">
        <v>8648</v>
      </c>
      <c r="AX111" s="33" t="s">
        <v>8817</v>
      </c>
      <c r="AY111" s="33" t="s">
        <v>8818</v>
      </c>
      <c r="AZ111" s="33" t="s">
        <v>9617</v>
      </c>
      <c r="BA111" s="33" t="s">
        <v>8588</v>
      </c>
      <c r="BB111" s="33" t="s">
        <v>8589</v>
      </c>
      <c r="BC111" s="33" t="s">
        <v>9618</v>
      </c>
      <c r="BD111" s="33"/>
      <c r="BE111" s="33"/>
      <c r="BF111" s="33"/>
      <c r="BG111" s="33" t="s">
        <v>8571</v>
      </c>
      <c r="BH111" s="33"/>
      <c r="BI111" s="33"/>
      <c r="BJ111" s="33"/>
      <c r="BK111" s="33" t="s">
        <v>8822</v>
      </c>
      <c r="BL111" s="33" t="s">
        <v>9619</v>
      </c>
      <c r="BM111" s="33" t="s">
        <v>9620</v>
      </c>
      <c r="BN111" s="33"/>
      <c r="BO111" s="33" t="s">
        <v>8525</v>
      </c>
      <c r="BP111" s="33" t="s">
        <v>8525</v>
      </c>
      <c r="BQ111" s="33" t="s">
        <v>8500</v>
      </c>
      <c r="BR111" s="33" t="s">
        <v>8500</v>
      </c>
      <c r="BS111" s="33"/>
      <c r="BT111" s="33"/>
      <c r="BU111" s="33"/>
      <c r="BV111" s="33"/>
      <c r="BW111" s="33"/>
      <c r="BX111" s="33" t="s">
        <v>8527</v>
      </c>
      <c r="BY111" s="33"/>
      <c r="BZ111" s="33" t="s">
        <v>8506</v>
      </c>
      <c r="CA111" s="33" t="s">
        <v>8507</v>
      </c>
      <c r="CB111" s="33" t="s">
        <v>8507</v>
      </c>
      <c r="CC111" s="33" t="s">
        <v>8545</v>
      </c>
      <c r="CD111" s="33" t="s">
        <v>9621</v>
      </c>
      <c r="CE111" s="33" t="s">
        <v>9622</v>
      </c>
      <c r="CF111" s="33">
        <v>2</v>
      </c>
      <c r="CG111" s="5" t="s">
        <v>10037</v>
      </c>
      <c r="CH111" s="33">
        <f t="shared" si="40"/>
        <v>0</v>
      </c>
      <c r="CI111" s="33">
        <f t="shared" si="40"/>
        <v>0</v>
      </c>
      <c r="CJ111" s="33">
        <f t="shared" si="40"/>
        <v>0</v>
      </c>
      <c r="CK111" s="33">
        <f t="shared" si="40"/>
        <v>0</v>
      </c>
      <c r="CL111" s="33">
        <f t="shared" si="40"/>
        <v>0</v>
      </c>
      <c r="CM111" s="33">
        <f t="shared" si="40"/>
        <v>0</v>
      </c>
      <c r="CN111" s="33">
        <f t="shared" si="40"/>
        <v>0</v>
      </c>
      <c r="CO111" s="33">
        <f t="shared" si="40"/>
        <v>0</v>
      </c>
      <c r="CP111" s="33">
        <f t="shared" si="40"/>
        <v>0</v>
      </c>
      <c r="CQ111" s="33">
        <f t="shared" si="40"/>
        <v>0</v>
      </c>
      <c r="CR111" s="33">
        <f t="shared" si="40"/>
        <v>0</v>
      </c>
      <c r="CS111" s="33">
        <f t="shared" si="40"/>
        <v>0</v>
      </c>
      <c r="CT111" s="33">
        <f t="shared" si="40"/>
        <v>0</v>
      </c>
      <c r="CU111" s="33">
        <f t="shared" si="40"/>
        <v>0</v>
      </c>
      <c r="CV111" s="33">
        <f t="shared" si="40"/>
        <v>0</v>
      </c>
      <c r="CW111" s="33">
        <f t="shared" si="40"/>
        <v>0</v>
      </c>
      <c r="CX111" s="33">
        <f t="shared" si="43"/>
        <v>0</v>
      </c>
      <c r="CY111" s="33">
        <f t="shared" si="42"/>
        <v>0</v>
      </c>
      <c r="CZ111" s="33">
        <f t="shared" si="42"/>
        <v>0</v>
      </c>
      <c r="DA111" s="33">
        <f t="shared" si="42"/>
        <v>0</v>
      </c>
      <c r="DB111" s="33">
        <f t="shared" si="42"/>
        <v>0</v>
      </c>
      <c r="DC111" s="33">
        <f t="shared" si="42"/>
        <v>0</v>
      </c>
      <c r="DD111" s="33">
        <f t="shared" si="42"/>
        <v>0</v>
      </c>
      <c r="DE111" s="33">
        <f t="shared" si="42"/>
        <v>0</v>
      </c>
      <c r="DF111" s="33">
        <f t="shared" si="42"/>
        <v>0</v>
      </c>
      <c r="DG111" s="33">
        <f t="shared" si="42"/>
        <v>0</v>
      </c>
      <c r="DH111" s="33">
        <f t="shared" si="41"/>
        <v>0</v>
      </c>
      <c r="DI111" s="33">
        <f t="shared" si="41"/>
        <v>0</v>
      </c>
      <c r="DJ111" s="33">
        <f t="shared" si="41"/>
        <v>0</v>
      </c>
      <c r="DK111" s="33">
        <f t="shared" si="41"/>
        <v>0</v>
      </c>
      <c r="DL111" s="33">
        <f t="shared" si="41"/>
        <v>0</v>
      </c>
      <c r="DM111" s="33">
        <f t="shared" si="41"/>
        <v>0</v>
      </c>
      <c r="DN111" s="33">
        <f t="shared" si="41"/>
        <v>0</v>
      </c>
      <c r="DO111" s="33">
        <f t="shared" si="41"/>
        <v>0</v>
      </c>
      <c r="DP111" s="50" t="str">
        <f t="shared" si="30"/>
        <v>C</v>
      </c>
      <c r="DQ111" s="50" t="str">
        <f t="shared" si="31"/>
        <v>C</v>
      </c>
      <c r="DR111" s="33">
        <f t="shared" si="28"/>
        <v>0</v>
      </c>
      <c r="DS111" s="50" t="str">
        <f t="shared" si="32"/>
        <v>4-MEDIA</v>
      </c>
      <c r="DT111" s="50" t="str">
        <f t="shared" si="33"/>
        <v>4-MEDIA</v>
      </c>
      <c r="DU111" s="33">
        <f t="shared" si="29"/>
        <v>0</v>
      </c>
      <c r="DV111" s="33">
        <f t="shared" si="29"/>
        <v>0</v>
      </c>
      <c r="DW111" s="33">
        <f t="shared" si="29"/>
        <v>0</v>
      </c>
      <c r="DX111" s="33">
        <f t="shared" si="26"/>
        <v>0</v>
      </c>
      <c r="DY111" s="35">
        <f t="shared" si="34"/>
        <v>0</v>
      </c>
      <c r="DZ111" s="33">
        <f t="shared" si="35"/>
        <v>13</v>
      </c>
      <c r="EA111" s="33">
        <f t="shared" si="36"/>
        <v>13</v>
      </c>
      <c r="EB111" s="33" t="str">
        <f t="shared" si="37"/>
        <v>IGUAL CAMPOS PREENCH</v>
      </c>
      <c r="EC111" s="33" t="s">
        <v>10035</v>
      </c>
    </row>
    <row r="112" spans="2:133" x14ac:dyDescent="0.25">
      <c r="B112" s="33" t="s">
        <v>9624</v>
      </c>
      <c r="C112" s="33" t="s">
        <v>162</v>
      </c>
      <c r="D112" s="33" t="s">
        <v>8829</v>
      </c>
      <c r="E112" s="33" t="s">
        <v>8830</v>
      </c>
      <c r="F112" s="33" t="s">
        <v>8831</v>
      </c>
      <c r="G112" s="33" t="s">
        <v>8832</v>
      </c>
      <c r="H112" s="33" t="s">
        <v>8895</v>
      </c>
      <c r="I112" s="33" t="s">
        <v>8896</v>
      </c>
      <c r="J112" s="33" t="s">
        <v>8897</v>
      </c>
      <c r="K112" s="33" t="s">
        <v>8570</v>
      </c>
      <c r="L112" s="33" t="s">
        <v>8571</v>
      </c>
      <c r="M112" s="33" t="s">
        <v>8897</v>
      </c>
      <c r="N112" s="33" t="s">
        <v>8653</v>
      </c>
      <c r="O112" s="33"/>
      <c r="P112" s="33"/>
      <c r="Q112" s="33" t="s">
        <v>8571</v>
      </c>
      <c r="R112" s="33" t="s">
        <v>9625</v>
      </c>
      <c r="S112" s="33"/>
      <c r="T112" s="33"/>
      <c r="U112" s="33" t="s">
        <v>8837</v>
      </c>
      <c r="V112" s="33" t="s">
        <v>8838</v>
      </c>
      <c r="W112" s="33" t="s">
        <v>9626</v>
      </c>
      <c r="X112" s="33" t="s">
        <v>8840</v>
      </c>
      <c r="Y112" s="33" t="s">
        <v>8500</v>
      </c>
      <c r="Z112" s="33" t="s">
        <v>8500</v>
      </c>
      <c r="AA112" s="33" t="s">
        <v>8500</v>
      </c>
      <c r="AB112" s="33" t="s">
        <v>8500</v>
      </c>
      <c r="AC112" s="33"/>
      <c r="AD112" s="33"/>
      <c r="AE112" s="33"/>
      <c r="AF112" s="33" t="s">
        <v>9627</v>
      </c>
      <c r="AG112" s="33"/>
      <c r="AH112" s="33" t="s">
        <v>8505</v>
      </c>
      <c r="AI112" s="33"/>
      <c r="AJ112" s="33" t="s">
        <v>8545</v>
      </c>
      <c r="AK112" s="33" t="s">
        <v>8528</v>
      </c>
      <c r="AL112" s="33" t="s">
        <v>8528</v>
      </c>
      <c r="AM112" s="33" t="s">
        <v>8545</v>
      </c>
      <c r="AN112" s="33" t="s">
        <v>8784</v>
      </c>
      <c r="AO112" s="33" t="s">
        <v>8785</v>
      </c>
      <c r="AP112" s="33">
        <v>1</v>
      </c>
      <c r="AQ112" s="5" t="s">
        <v>10037</v>
      </c>
      <c r="AR112" s="33"/>
      <c r="AS112" s="33" t="s">
        <v>162</v>
      </c>
      <c r="AT112" s="33" t="s">
        <v>8829</v>
      </c>
      <c r="AU112" s="33" t="s">
        <v>8830</v>
      </c>
      <c r="AV112" s="33" t="s">
        <v>8831</v>
      </c>
      <c r="AW112" s="33" t="s">
        <v>8832</v>
      </c>
      <c r="AX112" s="33" t="s">
        <v>8895</v>
      </c>
      <c r="AY112" s="33" t="s">
        <v>8896</v>
      </c>
      <c r="AZ112" s="33" t="s">
        <v>8897</v>
      </c>
      <c r="BA112" s="33" t="s">
        <v>8570</v>
      </c>
      <c r="BB112" s="33" t="s">
        <v>8571</v>
      </c>
      <c r="BC112" s="33" t="s">
        <v>8897</v>
      </c>
      <c r="BD112" s="33" t="s">
        <v>8653</v>
      </c>
      <c r="BE112" s="33"/>
      <c r="BF112" s="33"/>
      <c r="BG112" s="33" t="s">
        <v>8571</v>
      </c>
      <c r="BH112" s="33" t="s">
        <v>9625</v>
      </c>
      <c r="BI112" s="33"/>
      <c r="BJ112" s="33"/>
      <c r="BK112" s="33" t="s">
        <v>8837</v>
      </c>
      <c r="BL112" s="33" t="s">
        <v>8838</v>
      </c>
      <c r="BM112" s="33" t="s">
        <v>9626</v>
      </c>
      <c r="BN112" s="33" t="s">
        <v>8840</v>
      </c>
      <c r="BO112" s="33" t="s">
        <v>8500</v>
      </c>
      <c r="BP112" s="33" t="s">
        <v>8500</v>
      </c>
      <c r="BQ112" s="33" t="s">
        <v>8500</v>
      </c>
      <c r="BR112" s="33" t="s">
        <v>8500</v>
      </c>
      <c r="BS112" s="33"/>
      <c r="BT112" s="33"/>
      <c r="BU112" s="33"/>
      <c r="BV112" s="33" t="s">
        <v>9627</v>
      </c>
      <c r="BW112" s="33"/>
      <c r="BX112" s="33" t="s">
        <v>8505</v>
      </c>
      <c r="BY112" s="33"/>
      <c r="BZ112" s="33"/>
      <c r="CA112" s="33"/>
      <c r="CB112" s="33" t="s">
        <v>8528</v>
      </c>
      <c r="CC112" s="33" t="s">
        <v>8545</v>
      </c>
      <c r="CD112" s="33" t="s">
        <v>8784</v>
      </c>
      <c r="CE112" s="33" t="s">
        <v>8785</v>
      </c>
      <c r="CF112" s="33">
        <v>2</v>
      </c>
      <c r="CG112" s="5" t="s">
        <v>10037</v>
      </c>
      <c r="CH112" s="33">
        <f t="shared" si="40"/>
        <v>0</v>
      </c>
      <c r="CI112" s="33">
        <f t="shared" si="40"/>
        <v>0</v>
      </c>
      <c r="CJ112" s="33">
        <f t="shared" si="40"/>
        <v>0</v>
      </c>
      <c r="CK112" s="33">
        <f t="shared" si="40"/>
        <v>0</v>
      </c>
      <c r="CL112" s="33">
        <f t="shared" si="40"/>
        <v>0</v>
      </c>
      <c r="CM112" s="33">
        <f t="shared" si="40"/>
        <v>0</v>
      </c>
      <c r="CN112" s="33">
        <f t="shared" si="40"/>
        <v>0</v>
      </c>
      <c r="CO112" s="33">
        <f t="shared" si="40"/>
        <v>0</v>
      </c>
      <c r="CP112" s="33">
        <f t="shared" si="40"/>
        <v>0</v>
      </c>
      <c r="CQ112" s="33">
        <f t="shared" si="40"/>
        <v>0</v>
      </c>
      <c r="CR112" s="33">
        <f t="shared" si="40"/>
        <v>0</v>
      </c>
      <c r="CS112" s="33">
        <f t="shared" si="40"/>
        <v>0</v>
      </c>
      <c r="CT112" s="33">
        <f t="shared" si="40"/>
        <v>0</v>
      </c>
      <c r="CU112" s="33">
        <f t="shared" si="40"/>
        <v>0</v>
      </c>
      <c r="CV112" s="33">
        <f t="shared" si="40"/>
        <v>0</v>
      </c>
      <c r="CW112" s="33">
        <f t="shared" si="40"/>
        <v>0</v>
      </c>
      <c r="CX112" s="33">
        <f t="shared" si="43"/>
        <v>0</v>
      </c>
      <c r="CY112" s="33">
        <f t="shared" si="42"/>
        <v>0</v>
      </c>
      <c r="CZ112" s="33">
        <f t="shared" si="42"/>
        <v>0</v>
      </c>
      <c r="DA112" s="33">
        <f t="shared" si="42"/>
        <v>0</v>
      </c>
      <c r="DB112" s="33">
        <f t="shared" si="42"/>
        <v>0</v>
      </c>
      <c r="DC112" s="33">
        <f t="shared" si="42"/>
        <v>0</v>
      </c>
      <c r="DD112" s="33">
        <f t="shared" si="42"/>
        <v>0</v>
      </c>
      <c r="DE112" s="33">
        <f t="shared" si="42"/>
        <v>0</v>
      </c>
      <c r="DF112" s="33">
        <f t="shared" si="42"/>
        <v>0</v>
      </c>
      <c r="DG112" s="33">
        <f t="shared" si="42"/>
        <v>0</v>
      </c>
      <c r="DH112" s="33">
        <f t="shared" si="41"/>
        <v>0</v>
      </c>
      <c r="DI112" s="33">
        <f t="shared" si="41"/>
        <v>0</v>
      </c>
      <c r="DJ112" s="33">
        <f t="shared" si="41"/>
        <v>0</v>
      </c>
      <c r="DK112" s="33">
        <f t="shared" si="41"/>
        <v>0</v>
      </c>
      <c r="DL112" s="33">
        <f t="shared" si="41"/>
        <v>0</v>
      </c>
      <c r="DM112" s="33">
        <f t="shared" si="41"/>
        <v>0</v>
      </c>
      <c r="DN112" s="33">
        <f t="shared" si="41"/>
        <v>0</v>
      </c>
      <c r="DO112" s="33">
        <f t="shared" si="41"/>
        <v>1</v>
      </c>
      <c r="DP112" s="50" t="str">
        <f t="shared" si="30"/>
        <v>D</v>
      </c>
      <c r="DQ112" s="50">
        <f t="shared" si="31"/>
        <v>0</v>
      </c>
      <c r="DR112" s="33">
        <f t="shared" si="28"/>
        <v>1</v>
      </c>
      <c r="DS112" s="50" t="str">
        <f t="shared" si="32"/>
        <v>5-MEDIA BAJA</v>
      </c>
      <c r="DT112" s="50">
        <f t="shared" si="33"/>
        <v>0</v>
      </c>
      <c r="DU112" s="33">
        <f t="shared" si="29"/>
        <v>0</v>
      </c>
      <c r="DV112" s="33">
        <f t="shared" si="29"/>
        <v>0</v>
      </c>
      <c r="DW112" s="33">
        <f t="shared" si="29"/>
        <v>0</v>
      </c>
      <c r="DX112" s="33">
        <f t="shared" si="26"/>
        <v>0</v>
      </c>
      <c r="DY112" s="35">
        <f t="shared" si="34"/>
        <v>2</v>
      </c>
      <c r="DZ112" s="33">
        <f t="shared" si="35"/>
        <v>9</v>
      </c>
      <c r="EA112" s="33">
        <f t="shared" si="36"/>
        <v>11</v>
      </c>
      <c r="EB112" s="33" t="str">
        <f t="shared" si="37"/>
        <v>AUX 1 COM + CAMPOS PREENC OU IGUAL</v>
      </c>
      <c r="EC112" s="33" t="s">
        <v>10034</v>
      </c>
    </row>
    <row r="113" spans="2:133" x14ac:dyDescent="0.25">
      <c r="B113" s="33"/>
      <c r="C113" s="33" t="s">
        <v>70</v>
      </c>
      <c r="D113" s="33" t="s">
        <v>8513</v>
      </c>
      <c r="E113" s="33" t="s">
        <v>8514</v>
      </c>
      <c r="F113" s="33" t="s">
        <v>8531</v>
      </c>
      <c r="G113" s="33" t="s">
        <v>8532</v>
      </c>
      <c r="H113" s="33" t="s">
        <v>8533</v>
      </c>
      <c r="I113" s="33" t="s">
        <v>8534</v>
      </c>
      <c r="J113" s="33" t="s">
        <v>8535</v>
      </c>
      <c r="K113" s="33" t="s">
        <v>8536</v>
      </c>
      <c r="L113" s="33" t="s">
        <v>8537</v>
      </c>
      <c r="M113" s="33" t="s">
        <v>9628</v>
      </c>
      <c r="N113" s="33" t="s">
        <v>9629</v>
      </c>
      <c r="O113" s="33" t="s">
        <v>9629</v>
      </c>
      <c r="P113" s="33"/>
      <c r="Q113" s="33" t="s">
        <v>8540</v>
      </c>
      <c r="R113" s="33" t="s">
        <v>9630</v>
      </c>
      <c r="S113" s="33"/>
      <c r="T113" s="33"/>
      <c r="U113" s="33" t="s">
        <v>8542</v>
      </c>
      <c r="V113" s="33"/>
      <c r="W113" s="33" t="s">
        <v>9631</v>
      </c>
      <c r="X113" s="33"/>
      <c r="Y113" s="33" t="s">
        <v>8525</v>
      </c>
      <c r="Z113" s="33" t="s">
        <v>8500</v>
      </c>
      <c r="AA113" s="33" t="s">
        <v>8500</v>
      </c>
      <c r="AB113" s="33" t="s">
        <v>8500</v>
      </c>
      <c r="AC113" s="33"/>
      <c r="AD113" s="33"/>
      <c r="AE113" s="33"/>
      <c r="AF113" s="33" t="s">
        <v>9632</v>
      </c>
      <c r="AG113" s="33"/>
      <c r="AH113" s="33" t="s">
        <v>8527</v>
      </c>
      <c r="AI113" s="33"/>
      <c r="AJ113" s="33" t="s">
        <v>8545</v>
      </c>
      <c r="AK113" s="33" t="s">
        <v>8528</v>
      </c>
      <c r="AL113" s="33" t="s">
        <v>8507</v>
      </c>
      <c r="AM113" s="33" t="s">
        <v>8545</v>
      </c>
      <c r="AN113" s="33" t="s">
        <v>9633</v>
      </c>
      <c r="AO113" s="33" t="s">
        <v>9634</v>
      </c>
      <c r="AP113" s="33">
        <v>1</v>
      </c>
      <c r="AQ113" s="5" t="s">
        <v>10037</v>
      </c>
      <c r="AR113" s="33" t="s">
        <v>9635</v>
      </c>
      <c r="AS113" s="33" t="s">
        <v>70</v>
      </c>
      <c r="AT113" s="33" t="s">
        <v>8513</v>
      </c>
      <c r="AU113" s="33" t="s">
        <v>8514</v>
      </c>
      <c r="AV113" s="33" t="s">
        <v>8531</v>
      </c>
      <c r="AW113" s="33" t="s">
        <v>8532</v>
      </c>
      <c r="AX113" s="33" t="s">
        <v>8533</v>
      </c>
      <c r="AY113" s="33" t="s">
        <v>8534</v>
      </c>
      <c r="AZ113" s="33" t="s">
        <v>8535</v>
      </c>
      <c r="BA113" s="33" t="s">
        <v>8536</v>
      </c>
      <c r="BB113" s="33" t="s">
        <v>8537</v>
      </c>
      <c r="BC113" s="33" t="s">
        <v>9628</v>
      </c>
      <c r="BD113" s="33" t="s">
        <v>9629</v>
      </c>
      <c r="BE113" s="33" t="s">
        <v>9629</v>
      </c>
      <c r="BF113" s="33"/>
      <c r="BG113" s="33" t="s">
        <v>8540</v>
      </c>
      <c r="BH113" s="33" t="s">
        <v>9630</v>
      </c>
      <c r="BI113" s="33"/>
      <c r="BJ113" s="33"/>
      <c r="BK113" s="33" t="s">
        <v>8542</v>
      </c>
      <c r="BL113" s="33"/>
      <c r="BM113" s="33" t="s">
        <v>9631</v>
      </c>
      <c r="BN113" s="33"/>
      <c r="BO113" s="33" t="s">
        <v>8525</v>
      </c>
      <c r="BP113" s="33" t="s">
        <v>8500</v>
      </c>
      <c r="BQ113" s="33" t="s">
        <v>8500</v>
      </c>
      <c r="BR113" s="33" t="s">
        <v>8500</v>
      </c>
      <c r="BS113" s="33"/>
      <c r="BT113" s="33"/>
      <c r="BU113" s="33"/>
      <c r="BV113" s="33" t="s">
        <v>9632</v>
      </c>
      <c r="BW113" s="33"/>
      <c r="BX113" s="33" t="s">
        <v>8527</v>
      </c>
      <c r="BY113" s="33"/>
      <c r="BZ113" s="33" t="s">
        <v>8545</v>
      </c>
      <c r="CA113" s="33" t="s">
        <v>8528</v>
      </c>
      <c r="CB113" s="33" t="s">
        <v>8507</v>
      </c>
      <c r="CC113" s="33" t="s">
        <v>8545</v>
      </c>
      <c r="CD113" s="33" t="s">
        <v>9633</v>
      </c>
      <c r="CE113" s="33" t="s">
        <v>9634</v>
      </c>
      <c r="CF113" s="33">
        <v>2</v>
      </c>
      <c r="CG113" s="5" t="s">
        <v>10037</v>
      </c>
      <c r="CH113" s="33">
        <f t="shared" si="40"/>
        <v>0</v>
      </c>
      <c r="CI113" s="33">
        <f t="shared" si="40"/>
        <v>0</v>
      </c>
      <c r="CJ113" s="33">
        <f t="shared" si="40"/>
        <v>0</v>
      </c>
      <c r="CK113" s="33">
        <f t="shared" si="40"/>
        <v>0</v>
      </c>
      <c r="CL113" s="33">
        <f t="shared" si="40"/>
        <v>0</v>
      </c>
      <c r="CM113" s="33">
        <f t="shared" si="40"/>
        <v>0</v>
      </c>
      <c r="CN113" s="33">
        <f t="shared" si="40"/>
        <v>0</v>
      </c>
      <c r="CO113" s="33">
        <f t="shared" si="40"/>
        <v>0</v>
      </c>
      <c r="CP113" s="33">
        <f t="shared" si="40"/>
        <v>0</v>
      </c>
      <c r="CQ113" s="33">
        <f t="shared" si="40"/>
        <v>0</v>
      </c>
      <c r="CR113" s="33">
        <f t="shared" si="40"/>
        <v>0</v>
      </c>
      <c r="CS113" s="33">
        <f t="shared" si="40"/>
        <v>0</v>
      </c>
      <c r="CT113" s="33">
        <f t="shared" si="40"/>
        <v>0</v>
      </c>
      <c r="CU113" s="33">
        <f t="shared" si="40"/>
        <v>0</v>
      </c>
      <c r="CV113" s="33">
        <f t="shared" si="40"/>
        <v>0</v>
      </c>
      <c r="CW113" s="33">
        <f t="shared" si="40"/>
        <v>0</v>
      </c>
      <c r="CX113" s="33">
        <f t="shared" si="43"/>
        <v>0</v>
      </c>
      <c r="CY113" s="33">
        <f t="shared" si="42"/>
        <v>0</v>
      </c>
      <c r="CZ113" s="33">
        <f t="shared" si="42"/>
        <v>0</v>
      </c>
      <c r="DA113" s="33">
        <f t="shared" si="42"/>
        <v>0</v>
      </c>
      <c r="DB113" s="33">
        <f t="shared" si="42"/>
        <v>0</v>
      </c>
      <c r="DC113" s="33">
        <f t="shared" si="42"/>
        <v>0</v>
      </c>
      <c r="DD113" s="33">
        <f t="shared" si="42"/>
        <v>0</v>
      </c>
      <c r="DE113" s="33">
        <f t="shared" si="42"/>
        <v>0</v>
      </c>
      <c r="DF113" s="33">
        <f t="shared" si="42"/>
        <v>0</v>
      </c>
      <c r="DG113" s="33">
        <f t="shared" si="42"/>
        <v>0</v>
      </c>
      <c r="DH113" s="33">
        <f t="shared" si="41"/>
        <v>0</v>
      </c>
      <c r="DI113" s="33">
        <f t="shared" si="41"/>
        <v>0</v>
      </c>
      <c r="DJ113" s="33">
        <f t="shared" si="41"/>
        <v>0</v>
      </c>
      <c r="DK113" s="33">
        <f t="shared" si="41"/>
        <v>0</v>
      </c>
      <c r="DL113" s="33">
        <f t="shared" si="41"/>
        <v>0</v>
      </c>
      <c r="DM113" s="33">
        <f t="shared" si="41"/>
        <v>0</v>
      </c>
      <c r="DN113" s="33">
        <f t="shared" si="41"/>
        <v>0</v>
      </c>
      <c r="DO113" s="33">
        <f t="shared" si="41"/>
        <v>0</v>
      </c>
      <c r="DP113" s="50" t="str">
        <f t="shared" si="30"/>
        <v>D</v>
      </c>
      <c r="DQ113" s="50" t="str">
        <f t="shared" si="31"/>
        <v>D</v>
      </c>
      <c r="DR113" s="33">
        <f t="shared" si="28"/>
        <v>0</v>
      </c>
      <c r="DS113" s="50" t="str">
        <f t="shared" si="32"/>
        <v>5-MEDIA BAJA</v>
      </c>
      <c r="DT113" s="50" t="str">
        <f t="shared" si="33"/>
        <v>5-MEDIA BAJA</v>
      </c>
      <c r="DU113" s="33">
        <f t="shared" si="29"/>
        <v>0</v>
      </c>
      <c r="DV113" s="33">
        <f t="shared" si="29"/>
        <v>0</v>
      </c>
      <c r="DW113" s="33">
        <f t="shared" si="29"/>
        <v>0</v>
      </c>
      <c r="DX113" s="33">
        <f t="shared" si="26"/>
        <v>0</v>
      </c>
      <c r="DY113" s="35">
        <f t="shared" si="34"/>
        <v>0</v>
      </c>
      <c r="DZ113" s="33">
        <f t="shared" si="35"/>
        <v>10</v>
      </c>
      <c r="EA113" s="33">
        <f t="shared" si="36"/>
        <v>10</v>
      </c>
      <c r="EB113" s="33" t="str">
        <f t="shared" si="37"/>
        <v>IGUAL CAMPOS PREENCH</v>
      </c>
      <c r="EC113" s="33" t="s">
        <v>10035</v>
      </c>
    </row>
    <row r="114" spans="2:133" x14ac:dyDescent="0.25">
      <c r="B114" s="33" t="s">
        <v>9636</v>
      </c>
      <c r="C114" s="33" t="s">
        <v>161</v>
      </c>
      <c r="D114" s="33" t="s">
        <v>8962</v>
      </c>
      <c r="E114" s="33" t="s">
        <v>8963</v>
      </c>
      <c r="F114" s="33" t="s">
        <v>9637</v>
      </c>
      <c r="G114" s="33" t="s">
        <v>9638</v>
      </c>
      <c r="H114" s="33" t="s">
        <v>9639</v>
      </c>
      <c r="I114" s="33" t="s">
        <v>9640</v>
      </c>
      <c r="J114" s="33" t="s">
        <v>9641</v>
      </c>
      <c r="K114" s="33" t="s">
        <v>8570</v>
      </c>
      <c r="L114" s="33" t="s">
        <v>8571</v>
      </c>
      <c r="M114" s="33" t="s">
        <v>9642</v>
      </c>
      <c r="N114" s="33" t="s">
        <v>8928</v>
      </c>
      <c r="O114" s="33"/>
      <c r="P114" s="33"/>
      <c r="Q114" s="33" t="s">
        <v>8571</v>
      </c>
      <c r="R114" s="33"/>
      <c r="S114" s="33"/>
      <c r="T114" s="33"/>
      <c r="U114" s="33" t="s">
        <v>9643</v>
      </c>
      <c r="V114" s="33" t="s">
        <v>9444</v>
      </c>
      <c r="W114" s="33" t="s">
        <v>9314</v>
      </c>
      <c r="X114" s="33"/>
      <c r="Y114" s="33" t="s">
        <v>8525</v>
      </c>
      <c r="Z114" s="33" t="s">
        <v>8500</v>
      </c>
      <c r="AA114" s="33" t="s">
        <v>8525</v>
      </c>
      <c r="AB114" s="33" t="s">
        <v>8500</v>
      </c>
      <c r="AC114" s="33"/>
      <c r="AD114" s="33"/>
      <c r="AE114" s="33"/>
      <c r="AF114" s="33" t="s">
        <v>9644</v>
      </c>
      <c r="AG114" s="33"/>
      <c r="AH114" s="33" t="s">
        <v>8527</v>
      </c>
      <c r="AI114" s="33"/>
      <c r="AJ114" s="33"/>
      <c r="AK114" s="33"/>
      <c r="AL114" s="33" t="s">
        <v>8528</v>
      </c>
      <c r="AM114" s="33" t="s">
        <v>8602</v>
      </c>
      <c r="AN114" s="33" t="s">
        <v>9645</v>
      </c>
      <c r="AO114" s="33" t="s">
        <v>9646</v>
      </c>
      <c r="AP114" s="33">
        <v>1</v>
      </c>
      <c r="AQ114" s="5" t="s">
        <v>10037</v>
      </c>
      <c r="AR114" s="33"/>
      <c r="AS114" s="33" t="s">
        <v>161</v>
      </c>
      <c r="AT114" s="33" t="s">
        <v>8962</v>
      </c>
      <c r="AU114" s="33" t="s">
        <v>8963</v>
      </c>
      <c r="AV114" s="33" t="s">
        <v>9637</v>
      </c>
      <c r="AW114" s="33" t="s">
        <v>9638</v>
      </c>
      <c r="AX114" s="33" t="s">
        <v>9639</v>
      </c>
      <c r="AY114" s="33" t="s">
        <v>9640</v>
      </c>
      <c r="AZ114" s="33" t="s">
        <v>9641</v>
      </c>
      <c r="BA114" s="33" t="s">
        <v>8570</v>
      </c>
      <c r="BB114" s="33" t="s">
        <v>8571</v>
      </c>
      <c r="BC114" s="33" t="s">
        <v>9642</v>
      </c>
      <c r="BD114" s="33" t="s">
        <v>8928</v>
      </c>
      <c r="BE114" s="33"/>
      <c r="BF114" s="33"/>
      <c r="BG114" s="33" t="s">
        <v>8571</v>
      </c>
      <c r="BH114" s="33"/>
      <c r="BI114" s="33"/>
      <c r="BJ114" s="33"/>
      <c r="BK114" s="33" t="s">
        <v>9643</v>
      </c>
      <c r="BL114" s="33" t="s">
        <v>9444</v>
      </c>
      <c r="BM114" s="33" t="s">
        <v>9314</v>
      </c>
      <c r="BN114" s="33"/>
      <c r="BO114" s="33" t="s">
        <v>8525</v>
      </c>
      <c r="BP114" s="33" t="s">
        <v>8500</v>
      </c>
      <c r="BQ114" s="33" t="s">
        <v>8525</v>
      </c>
      <c r="BR114" s="33" t="s">
        <v>8500</v>
      </c>
      <c r="BS114" s="33"/>
      <c r="BT114" s="33"/>
      <c r="BU114" s="33"/>
      <c r="BV114" s="33" t="s">
        <v>9644</v>
      </c>
      <c r="BW114" s="33"/>
      <c r="BX114" s="33" t="s">
        <v>8527</v>
      </c>
      <c r="BY114" s="33"/>
      <c r="BZ114" s="33"/>
      <c r="CA114" s="33"/>
      <c r="CB114" s="33" t="s">
        <v>8528</v>
      </c>
      <c r="CC114" s="33" t="s">
        <v>8602</v>
      </c>
      <c r="CD114" s="33" t="s">
        <v>9645</v>
      </c>
      <c r="CE114" s="33" t="s">
        <v>9646</v>
      </c>
      <c r="CF114" s="33">
        <v>2</v>
      </c>
      <c r="CG114" s="5" t="s">
        <v>10037</v>
      </c>
      <c r="CH114" s="33">
        <f t="shared" si="40"/>
        <v>0</v>
      </c>
      <c r="CI114" s="33">
        <f t="shared" si="40"/>
        <v>0</v>
      </c>
      <c r="CJ114" s="33">
        <f t="shared" si="40"/>
        <v>0</v>
      </c>
      <c r="CK114" s="33">
        <f t="shared" si="40"/>
        <v>0</v>
      </c>
      <c r="CL114" s="33">
        <f t="shared" si="40"/>
        <v>0</v>
      </c>
      <c r="CM114" s="33">
        <f t="shared" si="40"/>
        <v>0</v>
      </c>
      <c r="CN114" s="33">
        <f t="shared" si="40"/>
        <v>0</v>
      </c>
      <c r="CO114" s="33">
        <f t="shared" si="40"/>
        <v>0</v>
      </c>
      <c r="CP114" s="33">
        <f t="shared" si="40"/>
        <v>0</v>
      </c>
      <c r="CQ114" s="33">
        <f t="shared" si="40"/>
        <v>0</v>
      </c>
      <c r="CR114" s="33">
        <f t="shared" si="40"/>
        <v>0</v>
      </c>
      <c r="CS114" s="33">
        <f t="shared" si="40"/>
        <v>0</v>
      </c>
      <c r="CT114" s="33">
        <f t="shared" si="40"/>
        <v>0</v>
      </c>
      <c r="CU114" s="33">
        <f t="shared" si="40"/>
        <v>0</v>
      </c>
      <c r="CV114" s="33">
        <f t="shared" si="40"/>
        <v>0</v>
      </c>
      <c r="CW114" s="33">
        <f t="shared" si="40"/>
        <v>0</v>
      </c>
      <c r="CX114" s="33">
        <f t="shared" si="43"/>
        <v>0</v>
      </c>
      <c r="CY114" s="33">
        <f t="shared" si="42"/>
        <v>0</v>
      </c>
      <c r="CZ114" s="33">
        <f t="shared" si="42"/>
        <v>0</v>
      </c>
      <c r="DA114" s="33">
        <f t="shared" si="42"/>
        <v>0</v>
      </c>
      <c r="DB114" s="33">
        <f t="shared" si="42"/>
        <v>0</v>
      </c>
      <c r="DC114" s="33">
        <f t="shared" si="42"/>
        <v>0</v>
      </c>
      <c r="DD114" s="33">
        <f t="shared" si="42"/>
        <v>0</v>
      </c>
      <c r="DE114" s="33">
        <f t="shared" si="42"/>
        <v>0</v>
      </c>
      <c r="DF114" s="33">
        <f t="shared" si="42"/>
        <v>0</v>
      </c>
      <c r="DG114" s="33">
        <f t="shared" si="42"/>
        <v>0</v>
      </c>
      <c r="DH114" s="33">
        <f t="shared" si="41"/>
        <v>0</v>
      </c>
      <c r="DI114" s="33">
        <f t="shared" si="41"/>
        <v>0</v>
      </c>
      <c r="DJ114" s="33">
        <f t="shared" si="41"/>
        <v>0</v>
      </c>
      <c r="DK114" s="33">
        <f t="shared" si="41"/>
        <v>0</v>
      </c>
      <c r="DL114" s="33">
        <f t="shared" si="41"/>
        <v>0</v>
      </c>
      <c r="DM114" s="33">
        <f t="shared" si="41"/>
        <v>0</v>
      </c>
      <c r="DN114" s="33">
        <f t="shared" si="41"/>
        <v>0</v>
      </c>
      <c r="DO114" s="33">
        <f t="shared" si="41"/>
        <v>0</v>
      </c>
      <c r="DP114" s="50">
        <f t="shared" si="30"/>
        <v>0</v>
      </c>
      <c r="DQ114" s="50">
        <f t="shared" si="31"/>
        <v>0</v>
      </c>
      <c r="DR114" s="33">
        <f t="shared" si="28"/>
        <v>0</v>
      </c>
      <c r="DS114" s="50">
        <f t="shared" si="32"/>
        <v>0</v>
      </c>
      <c r="DT114" s="50">
        <f t="shared" si="33"/>
        <v>0</v>
      </c>
      <c r="DU114" s="33">
        <f t="shared" si="29"/>
        <v>0</v>
      </c>
      <c r="DV114" s="33">
        <f t="shared" si="29"/>
        <v>0</v>
      </c>
      <c r="DW114" s="33">
        <f t="shared" si="29"/>
        <v>0</v>
      </c>
      <c r="DX114" s="33">
        <f t="shared" si="26"/>
        <v>0</v>
      </c>
      <c r="DY114" s="35">
        <f t="shared" si="34"/>
        <v>0</v>
      </c>
      <c r="DZ114" s="33">
        <f t="shared" si="35"/>
        <v>13</v>
      </c>
      <c r="EA114" s="33">
        <f t="shared" si="36"/>
        <v>13</v>
      </c>
      <c r="EB114" s="33" t="str">
        <f t="shared" si="37"/>
        <v>IGUAL CAMPOS PREENCH</v>
      </c>
      <c r="EC114" s="33" t="s">
        <v>10035</v>
      </c>
    </row>
    <row r="115" spans="2:133" x14ac:dyDescent="0.25">
      <c r="B115" s="33"/>
      <c r="C115" s="33" t="s">
        <v>66</v>
      </c>
      <c r="D115" s="33" t="s">
        <v>8945</v>
      </c>
      <c r="E115" s="33" t="s">
        <v>8946</v>
      </c>
      <c r="F115" s="33" t="s">
        <v>9647</v>
      </c>
      <c r="G115" s="33" t="s">
        <v>8946</v>
      </c>
      <c r="H115" s="33" t="s">
        <v>9648</v>
      </c>
      <c r="I115" s="33" t="s">
        <v>9649</v>
      </c>
      <c r="J115" s="33" t="s">
        <v>8946</v>
      </c>
      <c r="K115" s="33" t="s">
        <v>8491</v>
      </c>
      <c r="L115" s="33" t="s">
        <v>8492</v>
      </c>
      <c r="M115" s="33" t="s">
        <v>9650</v>
      </c>
      <c r="N115" s="33" t="s">
        <v>9651</v>
      </c>
      <c r="O115" s="33"/>
      <c r="P115" s="33"/>
      <c r="Q115" s="33" t="s">
        <v>8492</v>
      </c>
      <c r="R115" s="33" t="s">
        <v>9652</v>
      </c>
      <c r="S115" s="33"/>
      <c r="T115" s="33"/>
      <c r="U115" s="33" t="s">
        <v>9038</v>
      </c>
      <c r="V115" s="33" t="s">
        <v>9653</v>
      </c>
      <c r="W115" s="33" t="s">
        <v>9654</v>
      </c>
      <c r="X115" s="33" t="s">
        <v>9127</v>
      </c>
      <c r="Y115" s="33" t="s">
        <v>8500</v>
      </c>
      <c r="Z115" s="33" t="s">
        <v>8500</v>
      </c>
      <c r="AA115" s="33" t="s">
        <v>8500</v>
      </c>
      <c r="AB115" s="33" t="s">
        <v>8525</v>
      </c>
      <c r="AC115" s="33"/>
      <c r="AD115" s="33"/>
      <c r="AE115" s="33"/>
      <c r="AF115" s="33" t="s">
        <v>9655</v>
      </c>
      <c r="AG115" s="33"/>
      <c r="AH115" s="33" t="s">
        <v>9474</v>
      </c>
      <c r="AI115" s="33"/>
      <c r="AJ115" s="33"/>
      <c r="AK115" s="33"/>
      <c r="AL115" s="33" t="s">
        <v>8546</v>
      </c>
      <c r="AM115" s="33" t="s">
        <v>8506</v>
      </c>
      <c r="AN115" s="33" t="s">
        <v>9656</v>
      </c>
      <c r="AO115" s="33" t="s">
        <v>9657</v>
      </c>
      <c r="AP115" s="33">
        <v>1</v>
      </c>
      <c r="AQ115" s="5" t="s">
        <v>10037</v>
      </c>
      <c r="AR115" s="33" t="s">
        <v>9658</v>
      </c>
      <c r="AS115" s="33" t="s">
        <v>66</v>
      </c>
      <c r="AT115" s="33" t="s">
        <v>8945</v>
      </c>
      <c r="AU115" s="33" t="s">
        <v>8946</v>
      </c>
      <c r="AV115" s="33" t="s">
        <v>9647</v>
      </c>
      <c r="AW115" s="33" t="s">
        <v>8946</v>
      </c>
      <c r="AX115" s="33" t="s">
        <v>9648</v>
      </c>
      <c r="AY115" s="33" t="s">
        <v>9649</v>
      </c>
      <c r="AZ115" s="33" t="s">
        <v>8946</v>
      </c>
      <c r="BA115" s="33" t="s">
        <v>8491</v>
      </c>
      <c r="BB115" s="33" t="s">
        <v>8492</v>
      </c>
      <c r="BC115" s="33" t="s">
        <v>9650</v>
      </c>
      <c r="BD115" s="33" t="s">
        <v>9651</v>
      </c>
      <c r="BE115" s="33"/>
      <c r="BF115" s="33"/>
      <c r="BG115" s="33" t="s">
        <v>8492</v>
      </c>
      <c r="BH115" s="33" t="s">
        <v>9652</v>
      </c>
      <c r="BI115" s="33"/>
      <c r="BJ115" s="33"/>
      <c r="BK115" s="33" t="s">
        <v>9038</v>
      </c>
      <c r="BL115" s="33" t="s">
        <v>9653</v>
      </c>
      <c r="BM115" s="33" t="s">
        <v>9654</v>
      </c>
      <c r="BN115" s="33" t="s">
        <v>9127</v>
      </c>
      <c r="BO115" s="33" t="s">
        <v>8500</v>
      </c>
      <c r="BP115" s="33" t="s">
        <v>8500</v>
      </c>
      <c r="BQ115" s="33" t="s">
        <v>8500</v>
      </c>
      <c r="BR115" s="33" t="s">
        <v>8525</v>
      </c>
      <c r="BS115" s="33"/>
      <c r="BT115" s="33"/>
      <c r="BU115" s="33"/>
      <c r="BV115" s="33" t="s">
        <v>9655</v>
      </c>
      <c r="BW115" s="33"/>
      <c r="BX115" s="33" t="s">
        <v>9474</v>
      </c>
      <c r="BY115" s="33"/>
      <c r="BZ115" s="33"/>
      <c r="CA115" s="33"/>
      <c r="CB115" s="33" t="s">
        <v>8546</v>
      </c>
      <c r="CC115" s="33" t="s">
        <v>8506</v>
      </c>
      <c r="CD115" s="33" t="s">
        <v>9656</v>
      </c>
      <c r="CE115" s="33" t="s">
        <v>9657</v>
      </c>
      <c r="CF115" s="33">
        <v>2</v>
      </c>
      <c r="CG115" s="5" t="s">
        <v>10037</v>
      </c>
      <c r="CH115" s="33">
        <f t="shared" si="40"/>
        <v>0</v>
      </c>
      <c r="CI115" s="33">
        <f t="shared" si="40"/>
        <v>0</v>
      </c>
      <c r="CJ115" s="33">
        <f t="shared" si="40"/>
        <v>0</v>
      </c>
      <c r="CK115" s="33">
        <f t="shared" si="40"/>
        <v>0</v>
      </c>
      <c r="CL115" s="33">
        <f t="shared" si="40"/>
        <v>0</v>
      </c>
      <c r="CM115" s="33">
        <f t="shared" si="40"/>
        <v>0</v>
      </c>
      <c r="CN115" s="33">
        <f t="shared" si="40"/>
        <v>0</v>
      </c>
      <c r="CO115" s="33">
        <f t="shared" si="40"/>
        <v>0</v>
      </c>
      <c r="CP115" s="33">
        <f t="shared" si="40"/>
        <v>0</v>
      </c>
      <c r="CQ115" s="33">
        <f t="shared" si="40"/>
        <v>0</v>
      </c>
      <c r="CR115" s="33">
        <f t="shared" si="40"/>
        <v>0</v>
      </c>
      <c r="CS115" s="33">
        <f t="shared" si="40"/>
        <v>0</v>
      </c>
      <c r="CT115" s="33">
        <f t="shared" si="40"/>
        <v>0</v>
      </c>
      <c r="CU115" s="33">
        <f t="shared" si="40"/>
        <v>0</v>
      </c>
      <c r="CV115" s="33">
        <f t="shared" si="40"/>
        <v>0</v>
      </c>
      <c r="CW115" s="33">
        <f t="shared" si="40"/>
        <v>0</v>
      </c>
      <c r="CX115" s="33">
        <f t="shared" si="43"/>
        <v>0</v>
      </c>
      <c r="CY115" s="33">
        <f t="shared" si="42"/>
        <v>0</v>
      </c>
      <c r="CZ115" s="33">
        <f t="shared" si="42"/>
        <v>0</v>
      </c>
      <c r="DA115" s="33">
        <f t="shared" si="42"/>
        <v>0</v>
      </c>
      <c r="DB115" s="33">
        <f t="shared" si="42"/>
        <v>0</v>
      </c>
      <c r="DC115" s="33">
        <f t="shared" si="42"/>
        <v>0</v>
      </c>
      <c r="DD115" s="33">
        <f t="shared" si="42"/>
        <v>0</v>
      </c>
      <c r="DE115" s="33">
        <f t="shared" si="42"/>
        <v>0</v>
      </c>
      <c r="DF115" s="33">
        <f t="shared" si="42"/>
        <v>0</v>
      </c>
      <c r="DG115" s="33">
        <f t="shared" si="42"/>
        <v>0</v>
      </c>
      <c r="DH115" s="33">
        <f t="shared" si="41"/>
        <v>0</v>
      </c>
      <c r="DI115" s="33">
        <f t="shared" si="41"/>
        <v>0</v>
      </c>
      <c r="DJ115" s="33">
        <f t="shared" si="41"/>
        <v>0</v>
      </c>
      <c r="DK115" s="33">
        <f t="shared" si="41"/>
        <v>0</v>
      </c>
      <c r="DL115" s="33">
        <f t="shared" si="41"/>
        <v>0</v>
      </c>
      <c r="DM115" s="33">
        <f t="shared" si="41"/>
        <v>0</v>
      </c>
      <c r="DN115" s="33">
        <f t="shared" si="41"/>
        <v>0</v>
      </c>
      <c r="DO115" s="33">
        <f t="shared" si="41"/>
        <v>0</v>
      </c>
      <c r="DP115" s="50">
        <f t="shared" si="30"/>
        <v>0</v>
      </c>
      <c r="DQ115" s="50">
        <f t="shared" si="31"/>
        <v>0</v>
      </c>
      <c r="DR115" s="33">
        <f t="shared" si="28"/>
        <v>0</v>
      </c>
      <c r="DS115" s="50">
        <f t="shared" si="32"/>
        <v>0</v>
      </c>
      <c r="DT115" s="50">
        <f t="shared" si="33"/>
        <v>0</v>
      </c>
      <c r="DU115" s="33">
        <f t="shared" si="29"/>
        <v>0</v>
      </c>
      <c r="DV115" s="33">
        <f t="shared" si="29"/>
        <v>0</v>
      </c>
      <c r="DW115" s="33">
        <f t="shared" si="29"/>
        <v>0</v>
      </c>
      <c r="DX115" s="33">
        <f t="shared" si="26"/>
        <v>0</v>
      </c>
      <c r="DY115" s="35">
        <f t="shared" si="34"/>
        <v>0</v>
      </c>
      <c r="DZ115" s="33">
        <f t="shared" si="35"/>
        <v>11</v>
      </c>
      <c r="EA115" s="33">
        <f t="shared" si="36"/>
        <v>11</v>
      </c>
      <c r="EB115" s="33" t="str">
        <f t="shared" si="37"/>
        <v>IGUAL CAMPOS PREENCH</v>
      </c>
      <c r="EC115" s="33" t="s">
        <v>10035</v>
      </c>
    </row>
    <row r="116" spans="2:133" x14ac:dyDescent="0.25">
      <c r="B116" s="33"/>
      <c r="C116" s="33" t="s">
        <v>102</v>
      </c>
      <c r="D116" s="33" t="s">
        <v>8486</v>
      </c>
      <c r="E116" s="33" t="s">
        <v>8487</v>
      </c>
      <c r="F116" s="33" t="s">
        <v>8488</v>
      </c>
      <c r="G116" s="33" t="s">
        <v>8487</v>
      </c>
      <c r="H116" s="33" t="s">
        <v>9659</v>
      </c>
      <c r="I116" s="33" t="s">
        <v>9660</v>
      </c>
      <c r="J116" s="33" t="s">
        <v>8487</v>
      </c>
      <c r="K116" s="33" t="s">
        <v>8570</v>
      </c>
      <c r="L116" s="33" t="s">
        <v>8571</v>
      </c>
      <c r="M116" s="33" t="s">
        <v>9661</v>
      </c>
      <c r="N116" s="33" t="s">
        <v>9662</v>
      </c>
      <c r="O116" s="33"/>
      <c r="P116" s="33"/>
      <c r="Q116" s="33" t="s">
        <v>8571</v>
      </c>
      <c r="R116" s="33"/>
      <c r="S116" s="33"/>
      <c r="T116" s="33"/>
      <c r="U116" s="33" t="s">
        <v>9663</v>
      </c>
      <c r="V116" s="33" t="s">
        <v>9664</v>
      </c>
      <c r="W116" s="33" t="s">
        <v>9665</v>
      </c>
      <c r="X116" s="33" t="s">
        <v>9666</v>
      </c>
      <c r="Y116" s="33" t="s">
        <v>8500</v>
      </c>
      <c r="Z116" s="33" t="s">
        <v>8500</v>
      </c>
      <c r="AA116" s="33" t="s">
        <v>8500</v>
      </c>
      <c r="AB116" s="33" t="s">
        <v>8500</v>
      </c>
      <c r="AC116" s="33"/>
      <c r="AD116" s="33"/>
      <c r="AE116" s="33" t="s">
        <v>8502</v>
      </c>
      <c r="AF116" s="33" t="s">
        <v>9667</v>
      </c>
      <c r="AG116" s="33"/>
      <c r="AH116" s="33" t="s">
        <v>8505</v>
      </c>
      <c r="AI116" s="33"/>
      <c r="AJ116" s="33"/>
      <c r="AK116" s="33"/>
      <c r="AL116" s="33" t="s">
        <v>8507</v>
      </c>
      <c r="AM116" s="33" t="s">
        <v>8545</v>
      </c>
      <c r="AN116" s="33" t="s">
        <v>9668</v>
      </c>
      <c r="AO116" s="33" t="s">
        <v>9669</v>
      </c>
      <c r="AP116" s="33">
        <v>1</v>
      </c>
      <c r="AQ116" s="5" t="s">
        <v>10037</v>
      </c>
      <c r="AR116" s="33" t="s">
        <v>9670</v>
      </c>
      <c r="AS116" s="33" t="s">
        <v>102</v>
      </c>
      <c r="AT116" s="33" t="s">
        <v>8486</v>
      </c>
      <c r="AU116" s="33" t="s">
        <v>8487</v>
      </c>
      <c r="AV116" s="33" t="s">
        <v>8488</v>
      </c>
      <c r="AW116" s="33" t="s">
        <v>8487</v>
      </c>
      <c r="AX116" s="33" t="s">
        <v>9659</v>
      </c>
      <c r="AY116" s="33" t="s">
        <v>9660</v>
      </c>
      <c r="AZ116" s="33" t="s">
        <v>8487</v>
      </c>
      <c r="BA116" s="33" t="s">
        <v>8570</v>
      </c>
      <c r="BB116" s="33" t="s">
        <v>8571</v>
      </c>
      <c r="BC116" s="33" t="s">
        <v>9661</v>
      </c>
      <c r="BD116" s="33" t="s">
        <v>9662</v>
      </c>
      <c r="BE116" s="33"/>
      <c r="BF116" s="33"/>
      <c r="BG116" s="33" t="s">
        <v>8571</v>
      </c>
      <c r="BH116" s="33"/>
      <c r="BI116" s="33"/>
      <c r="BJ116" s="33"/>
      <c r="BK116" s="33" t="s">
        <v>9663</v>
      </c>
      <c r="BL116" s="33" t="s">
        <v>9664</v>
      </c>
      <c r="BM116" s="33" t="s">
        <v>9665</v>
      </c>
      <c r="BN116" s="33" t="s">
        <v>9666</v>
      </c>
      <c r="BO116" s="33" t="s">
        <v>8500</v>
      </c>
      <c r="BP116" s="33" t="s">
        <v>8500</v>
      </c>
      <c r="BQ116" s="33" t="s">
        <v>8500</v>
      </c>
      <c r="BR116" s="33" t="s">
        <v>8500</v>
      </c>
      <c r="BS116" s="33"/>
      <c r="BT116" s="33"/>
      <c r="BU116" s="33" t="s">
        <v>8502</v>
      </c>
      <c r="BV116" s="33" t="s">
        <v>9667</v>
      </c>
      <c r="BW116" s="33"/>
      <c r="BX116" s="33" t="s">
        <v>8505</v>
      </c>
      <c r="BY116" s="33"/>
      <c r="BZ116" s="33" t="s">
        <v>8545</v>
      </c>
      <c r="CA116" s="33" t="s">
        <v>8507</v>
      </c>
      <c r="CB116" s="33" t="s">
        <v>8507</v>
      </c>
      <c r="CC116" s="33" t="s">
        <v>8545</v>
      </c>
      <c r="CD116" s="33" t="s">
        <v>9668</v>
      </c>
      <c r="CE116" s="33" t="s">
        <v>9669</v>
      </c>
      <c r="CF116" s="33">
        <v>2</v>
      </c>
      <c r="CG116" s="5" t="s">
        <v>10037</v>
      </c>
      <c r="CH116" s="33">
        <f t="shared" si="40"/>
        <v>0</v>
      </c>
      <c r="CI116" s="33">
        <f t="shared" si="40"/>
        <v>0</v>
      </c>
      <c r="CJ116" s="33">
        <f t="shared" si="40"/>
        <v>0</v>
      </c>
      <c r="CK116" s="33">
        <f t="shared" si="40"/>
        <v>0</v>
      </c>
      <c r="CL116" s="33">
        <f t="shared" si="40"/>
        <v>0</v>
      </c>
      <c r="CM116" s="33">
        <f t="shared" si="40"/>
        <v>0</v>
      </c>
      <c r="CN116" s="33">
        <f t="shared" si="40"/>
        <v>0</v>
      </c>
      <c r="CO116" s="33">
        <f t="shared" si="40"/>
        <v>0</v>
      </c>
      <c r="CP116" s="33">
        <f t="shared" si="40"/>
        <v>0</v>
      </c>
      <c r="CQ116" s="33">
        <f t="shared" si="40"/>
        <v>0</v>
      </c>
      <c r="CR116" s="33">
        <f t="shared" si="40"/>
        <v>0</v>
      </c>
      <c r="CS116" s="33">
        <f t="shared" si="40"/>
        <v>0</v>
      </c>
      <c r="CT116" s="33">
        <f t="shared" si="40"/>
        <v>0</v>
      </c>
      <c r="CU116" s="33">
        <f t="shared" si="40"/>
        <v>0</v>
      </c>
      <c r="CV116" s="33">
        <f t="shared" si="40"/>
        <v>0</v>
      </c>
      <c r="CW116" s="33">
        <f t="shared" si="40"/>
        <v>0</v>
      </c>
      <c r="CX116" s="33">
        <f t="shared" si="43"/>
        <v>0</v>
      </c>
      <c r="CY116" s="33">
        <f t="shared" si="42"/>
        <v>0</v>
      </c>
      <c r="CZ116" s="33">
        <f t="shared" si="42"/>
        <v>0</v>
      </c>
      <c r="DA116" s="33">
        <f t="shared" si="42"/>
        <v>0</v>
      </c>
      <c r="DB116" s="33">
        <f t="shared" si="42"/>
        <v>0</v>
      </c>
      <c r="DC116" s="33">
        <f t="shared" si="42"/>
        <v>0</v>
      </c>
      <c r="DD116" s="33">
        <f t="shared" si="42"/>
        <v>0</v>
      </c>
      <c r="DE116" s="33">
        <f t="shared" si="42"/>
        <v>0</v>
      </c>
      <c r="DF116" s="33">
        <f t="shared" si="42"/>
        <v>0</v>
      </c>
      <c r="DG116" s="33">
        <f t="shared" si="42"/>
        <v>0</v>
      </c>
      <c r="DH116" s="33">
        <f t="shared" si="41"/>
        <v>0</v>
      </c>
      <c r="DI116" s="33">
        <f t="shared" si="41"/>
        <v>0</v>
      </c>
      <c r="DJ116" s="33">
        <f t="shared" si="41"/>
        <v>0</v>
      </c>
      <c r="DK116" s="33">
        <f t="shared" si="41"/>
        <v>0</v>
      </c>
      <c r="DL116" s="33">
        <f t="shared" si="41"/>
        <v>0</v>
      </c>
      <c r="DM116" s="33">
        <f t="shared" si="41"/>
        <v>0</v>
      </c>
      <c r="DN116" s="33">
        <f t="shared" si="41"/>
        <v>0</v>
      </c>
      <c r="DO116" s="33">
        <f t="shared" si="41"/>
        <v>1</v>
      </c>
      <c r="DP116" s="50">
        <f t="shared" si="30"/>
        <v>0</v>
      </c>
      <c r="DQ116" s="50" t="str">
        <f t="shared" si="31"/>
        <v>D</v>
      </c>
      <c r="DR116" s="33">
        <f t="shared" si="28"/>
        <v>1</v>
      </c>
      <c r="DS116" s="50">
        <f t="shared" si="32"/>
        <v>0</v>
      </c>
      <c r="DT116" s="50" t="str">
        <f t="shared" si="33"/>
        <v>4-MEDIA</v>
      </c>
      <c r="DU116" s="33">
        <f t="shared" si="29"/>
        <v>0</v>
      </c>
      <c r="DV116" s="33">
        <f t="shared" si="29"/>
        <v>0</v>
      </c>
      <c r="DW116" s="33">
        <f t="shared" si="29"/>
        <v>0</v>
      </c>
      <c r="DX116" s="33">
        <f t="shared" si="26"/>
        <v>0</v>
      </c>
      <c r="DY116" s="35">
        <f t="shared" si="34"/>
        <v>2</v>
      </c>
      <c r="DZ116" s="33">
        <f t="shared" si="35"/>
        <v>11</v>
      </c>
      <c r="EA116" s="33">
        <f t="shared" si="36"/>
        <v>9</v>
      </c>
      <c r="EB116" s="33" t="str">
        <f t="shared" si="37"/>
        <v>AUX 2 COM + CAMPOS PREENC</v>
      </c>
      <c r="EC116" s="33" t="s">
        <v>10034</v>
      </c>
    </row>
    <row r="117" spans="2:133" x14ac:dyDescent="0.25">
      <c r="B117" s="33"/>
      <c r="C117" s="33" t="s">
        <v>75</v>
      </c>
      <c r="D117" s="33" t="s">
        <v>8829</v>
      </c>
      <c r="E117" s="33" t="s">
        <v>8830</v>
      </c>
      <c r="F117" s="33" t="s">
        <v>8831</v>
      </c>
      <c r="G117" s="33" t="s">
        <v>8832</v>
      </c>
      <c r="H117" s="33" t="s">
        <v>8833</v>
      </c>
      <c r="I117" s="33" t="s">
        <v>8834</v>
      </c>
      <c r="J117" s="33" t="s">
        <v>9671</v>
      </c>
      <c r="K117" s="33" t="s">
        <v>8570</v>
      </c>
      <c r="L117" s="33" t="s">
        <v>8571</v>
      </c>
      <c r="M117" s="33" t="s">
        <v>9672</v>
      </c>
      <c r="N117" s="33" t="s">
        <v>8653</v>
      </c>
      <c r="O117" s="33"/>
      <c r="P117" s="33"/>
      <c r="Q117" s="33" t="s">
        <v>8571</v>
      </c>
      <c r="R117" s="33" t="s">
        <v>9673</v>
      </c>
      <c r="S117" s="33"/>
      <c r="T117" s="33"/>
      <c r="U117" s="33" t="s">
        <v>8837</v>
      </c>
      <c r="V117" s="33" t="s">
        <v>9674</v>
      </c>
      <c r="W117" s="33" t="s">
        <v>9675</v>
      </c>
      <c r="X117" s="33" t="s">
        <v>8840</v>
      </c>
      <c r="Y117" s="33" t="s">
        <v>8500</v>
      </c>
      <c r="Z117" s="33" t="s">
        <v>8500</v>
      </c>
      <c r="AA117" s="33" t="s">
        <v>8500</v>
      </c>
      <c r="AB117" s="33" t="s">
        <v>8500</v>
      </c>
      <c r="AC117" s="33"/>
      <c r="AD117" s="33"/>
      <c r="AE117" s="33"/>
      <c r="AF117" s="33" t="s">
        <v>9676</v>
      </c>
      <c r="AG117" s="33"/>
      <c r="AH117" s="33" t="s">
        <v>8505</v>
      </c>
      <c r="AI117" s="33"/>
      <c r="AJ117" s="33"/>
      <c r="AK117" s="33"/>
      <c r="AL117" s="33" t="s">
        <v>8528</v>
      </c>
      <c r="AM117" s="33" t="s">
        <v>8545</v>
      </c>
      <c r="AN117" s="33" t="s">
        <v>8784</v>
      </c>
      <c r="AO117" s="33" t="s">
        <v>8785</v>
      </c>
      <c r="AP117" s="33">
        <v>1</v>
      </c>
      <c r="AQ117" s="5" t="s">
        <v>10037</v>
      </c>
      <c r="AR117" s="33" t="s">
        <v>9677</v>
      </c>
      <c r="AS117" s="33" t="s">
        <v>75</v>
      </c>
      <c r="AT117" s="33" t="s">
        <v>8829</v>
      </c>
      <c r="AU117" s="33" t="s">
        <v>8830</v>
      </c>
      <c r="AV117" s="33" t="s">
        <v>8831</v>
      </c>
      <c r="AW117" s="33" t="s">
        <v>8832</v>
      </c>
      <c r="AX117" s="33" t="s">
        <v>8833</v>
      </c>
      <c r="AY117" s="33" t="s">
        <v>8834</v>
      </c>
      <c r="AZ117" s="33" t="s">
        <v>9671</v>
      </c>
      <c r="BA117" s="33" t="s">
        <v>8570</v>
      </c>
      <c r="BB117" s="33" t="s">
        <v>8571</v>
      </c>
      <c r="BC117" s="33" t="s">
        <v>9672</v>
      </c>
      <c r="BD117" s="33" t="s">
        <v>8653</v>
      </c>
      <c r="BE117" s="33"/>
      <c r="BF117" s="33"/>
      <c r="BG117" s="33" t="s">
        <v>8571</v>
      </c>
      <c r="BH117" s="33" t="s">
        <v>9673</v>
      </c>
      <c r="BI117" s="33"/>
      <c r="BJ117" s="33"/>
      <c r="BK117" s="33" t="s">
        <v>8837</v>
      </c>
      <c r="BL117" s="33" t="s">
        <v>9674</v>
      </c>
      <c r="BM117" s="33" t="s">
        <v>9675</v>
      </c>
      <c r="BN117" s="33" t="s">
        <v>8840</v>
      </c>
      <c r="BO117" s="33" t="s">
        <v>8500</v>
      </c>
      <c r="BP117" s="33" t="s">
        <v>8500</v>
      </c>
      <c r="BQ117" s="33" t="s">
        <v>8500</v>
      </c>
      <c r="BR117" s="33" t="s">
        <v>8500</v>
      </c>
      <c r="BS117" s="33"/>
      <c r="BT117" s="33"/>
      <c r="BU117" s="33"/>
      <c r="BV117" s="33" t="s">
        <v>9676</v>
      </c>
      <c r="BW117" s="33"/>
      <c r="BX117" s="33" t="s">
        <v>8505</v>
      </c>
      <c r="BY117" s="33"/>
      <c r="BZ117" s="33" t="s">
        <v>8545</v>
      </c>
      <c r="CA117" s="33" t="s">
        <v>8528</v>
      </c>
      <c r="CB117" s="33" t="s">
        <v>8528</v>
      </c>
      <c r="CC117" s="33" t="s">
        <v>8545</v>
      </c>
      <c r="CD117" s="33" t="s">
        <v>8784</v>
      </c>
      <c r="CE117" s="33" t="s">
        <v>8785</v>
      </c>
      <c r="CF117" s="33">
        <v>2</v>
      </c>
      <c r="CG117" s="5" t="s">
        <v>10037</v>
      </c>
      <c r="CH117" s="33">
        <f t="shared" si="40"/>
        <v>0</v>
      </c>
      <c r="CI117" s="33">
        <f t="shared" si="40"/>
        <v>0</v>
      </c>
      <c r="CJ117" s="33">
        <f t="shared" si="40"/>
        <v>0</v>
      </c>
      <c r="CK117" s="33">
        <f t="shared" si="40"/>
        <v>0</v>
      </c>
      <c r="CL117" s="33">
        <f t="shared" si="40"/>
        <v>0</v>
      </c>
      <c r="CM117" s="33">
        <f t="shared" si="40"/>
        <v>0</v>
      </c>
      <c r="CN117" s="33">
        <f t="shared" si="40"/>
        <v>0</v>
      </c>
      <c r="CO117" s="33">
        <f t="shared" si="40"/>
        <v>0</v>
      </c>
      <c r="CP117" s="33">
        <f t="shared" si="40"/>
        <v>0</v>
      </c>
      <c r="CQ117" s="33">
        <f t="shared" si="40"/>
        <v>0</v>
      </c>
      <c r="CR117" s="33">
        <f t="shared" si="40"/>
        <v>0</v>
      </c>
      <c r="CS117" s="33">
        <f t="shared" si="40"/>
        <v>0</v>
      </c>
      <c r="CT117" s="33">
        <f t="shared" si="40"/>
        <v>0</v>
      </c>
      <c r="CU117" s="33">
        <f t="shared" si="40"/>
        <v>0</v>
      </c>
      <c r="CV117" s="33">
        <f t="shared" si="40"/>
        <v>0</v>
      </c>
      <c r="CW117" s="33">
        <f t="shared" si="40"/>
        <v>0</v>
      </c>
      <c r="CX117" s="33">
        <f t="shared" si="43"/>
        <v>0</v>
      </c>
      <c r="CY117" s="33">
        <f t="shared" si="42"/>
        <v>0</v>
      </c>
      <c r="CZ117" s="33">
        <f t="shared" si="42"/>
        <v>0</v>
      </c>
      <c r="DA117" s="33">
        <f t="shared" si="42"/>
        <v>0</v>
      </c>
      <c r="DB117" s="33">
        <f t="shared" si="42"/>
        <v>0</v>
      </c>
      <c r="DC117" s="33">
        <f t="shared" si="42"/>
        <v>0</v>
      </c>
      <c r="DD117" s="33">
        <f t="shared" si="42"/>
        <v>0</v>
      </c>
      <c r="DE117" s="33">
        <f t="shared" si="42"/>
        <v>0</v>
      </c>
      <c r="DF117" s="33">
        <f t="shared" si="42"/>
        <v>0</v>
      </c>
      <c r="DG117" s="33">
        <f t="shared" si="42"/>
        <v>0</v>
      </c>
      <c r="DH117" s="33">
        <f t="shared" si="41"/>
        <v>0</v>
      </c>
      <c r="DI117" s="33">
        <f t="shared" si="41"/>
        <v>0</v>
      </c>
      <c r="DJ117" s="33">
        <f t="shared" si="41"/>
        <v>0</v>
      </c>
      <c r="DK117" s="33">
        <f t="shared" si="41"/>
        <v>0</v>
      </c>
      <c r="DL117" s="33">
        <f t="shared" si="41"/>
        <v>0</v>
      </c>
      <c r="DM117" s="33">
        <f t="shared" si="41"/>
        <v>0</v>
      </c>
      <c r="DN117" s="33">
        <f t="shared" si="41"/>
        <v>0</v>
      </c>
      <c r="DO117" s="33">
        <f t="shared" si="41"/>
        <v>1</v>
      </c>
      <c r="DP117" s="50">
        <f t="shared" si="30"/>
        <v>0</v>
      </c>
      <c r="DQ117" s="50" t="str">
        <f t="shared" si="31"/>
        <v>D</v>
      </c>
      <c r="DR117" s="33">
        <f t="shared" si="28"/>
        <v>1</v>
      </c>
      <c r="DS117" s="50">
        <f t="shared" si="32"/>
        <v>0</v>
      </c>
      <c r="DT117" s="50" t="str">
        <f t="shared" si="33"/>
        <v>5-MEDIA BAJA</v>
      </c>
      <c r="DU117" s="33">
        <f t="shared" si="29"/>
        <v>0</v>
      </c>
      <c r="DV117" s="33">
        <f t="shared" si="29"/>
        <v>0</v>
      </c>
      <c r="DW117" s="33">
        <f t="shared" si="29"/>
        <v>0</v>
      </c>
      <c r="DX117" s="33">
        <f t="shared" si="26"/>
        <v>0</v>
      </c>
      <c r="DY117" s="35">
        <f t="shared" si="34"/>
        <v>2</v>
      </c>
      <c r="DZ117" s="33">
        <f t="shared" si="35"/>
        <v>11</v>
      </c>
      <c r="EA117" s="33">
        <f t="shared" si="36"/>
        <v>9</v>
      </c>
      <c r="EB117" s="33" t="str">
        <f t="shared" si="37"/>
        <v>AUX 2 COM + CAMPOS PREENC</v>
      </c>
      <c r="EC117" s="33" t="s">
        <v>10034</v>
      </c>
    </row>
    <row r="118" spans="2:133" x14ac:dyDescent="0.25">
      <c r="B118" s="33" t="s">
        <v>9678</v>
      </c>
      <c r="C118" s="33" t="s">
        <v>99</v>
      </c>
      <c r="D118" s="33" t="s">
        <v>8788</v>
      </c>
      <c r="E118" s="33" t="s">
        <v>8789</v>
      </c>
      <c r="F118" s="33" t="s">
        <v>9417</v>
      </c>
      <c r="G118" s="33" t="s">
        <v>9418</v>
      </c>
      <c r="H118" s="33" t="s">
        <v>9419</v>
      </c>
      <c r="I118" s="33" t="s">
        <v>9420</v>
      </c>
      <c r="J118" s="33" t="s">
        <v>9420</v>
      </c>
      <c r="K118" s="33" t="s">
        <v>8570</v>
      </c>
      <c r="L118" s="33" t="s">
        <v>8571</v>
      </c>
      <c r="M118" s="33" t="s">
        <v>9679</v>
      </c>
      <c r="N118" s="33" t="s">
        <v>9680</v>
      </c>
      <c r="O118" s="33"/>
      <c r="P118" s="33"/>
      <c r="Q118" s="33" t="s">
        <v>8571</v>
      </c>
      <c r="R118" s="33"/>
      <c r="S118" s="33"/>
      <c r="T118" s="33"/>
      <c r="U118" s="33" t="s">
        <v>9423</v>
      </c>
      <c r="V118" s="33" t="s">
        <v>9424</v>
      </c>
      <c r="W118" s="33" t="s">
        <v>9681</v>
      </c>
      <c r="X118" s="33" t="s">
        <v>9127</v>
      </c>
      <c r="Y118" s="33" t="s">
        <v>8500</v>
      </c>
      <c r="Z118" s="33" t="s">
        <v>8500</v>
      </c>
      <c r="AA118" s="33" t="s">
        <v>8500</v>
      </c>
      <c r="AB118" s="33" t="s">
        <v>8525</v>
      </c>
      <c r="AC118" s="33"/>
      <c r="AD118" s="33"/>
      <c r="AE118" s="33"/>
      <c r="AF118" s="33" t="s">
        <v>9682</v>
      </c>
      <c r="AG118" s="33"/>
      <c r="AH118" s="33" t="s">
        <v>8560</v>
      </c>
      <c r="AI118" s="33"/>
      <c r="AJ118" s="33" t="s">
        <v>8545</v>
      </c>
      <c r="AK118" s="33" t="s">
        <v>8507</v>
      </c>
      <c r="AL118" s="33" t="s">
        <v>8507</v>
      </c>
      <c r="AM118" s="33" t="s">
        <v>8506</v>
      </c>
      <c r="AN118" s="33" t="s">
        <v>9683</v>
      </c>
      <c r="AO118" s="33" t="s">
        <v>9684</v>
      </c>
      <c r="AP118" s="33">
        <v>1</v>
      </c>
      <c r="AQ118" s="5" t="s">
        <v>10037</v>
      </c>
      <c r="AR118" s="33"/>
      <c r="AS118" s="33" t="s">
        <v>99</v>
      </c>
      <c r="AT118" s="33" t="s">
        <v>8788</v>
      </c>
      <c r="AU118" s="33" t="s">
        <v>8789</v>
      </c>
      <c r="AV118" s="33" t="s">
        <v>9417</v>
      </c>
      <c r="AW118" s="33" t="s">
        <v>9418</v>
      </c>
      <c r="AX118" s="33" t="s">
        <v>9419</v>
      </c>
      <c r="AY118" s="33" t="s">
        <v>9420</v>
      </c>
      <c r="AZ118" s="33" t="s">
        <v>9420</v>
      </c>
      <c r="BA118" s="33" t="s">
        <v>8570</v>
      </c>
      <c r="BB118" s="33" t="s">
        <v>8571</v>
      </c>
      <c r="BC118" s="33" t="s">
        <v>9679</v>
      </c>
      <c r="BD118" s="33" t="s">
        <v>9680</v>
      </c>
      <c r="BE118" s="33"/>
      <c r="BF118" s="33"/>
      <c r="BG118" s="33" t="s">
        <v>8571</v>
      </c>
      <c r="BH118" s="33"/>
      <c r="BI118" s="33"/>
      <c r="BJ118" s="33"/>
      <c r="BK118" s="33" t="s">
        <v>9423</v>
      </c>
      <c r="BL118" s="33" t="s">
        <v>9424</v>
      </c>
      <c r="BM118" s="33" t="s">
        <v>9681</v>
      </c>
      <c r="BN118" s="33" t="s">
        <v>9127</v>
      </c>
      <c r="BO118" s="33" t="s">
        <v>8500</v>
      </c>
      <c r="BP118" s="33" t="s">
        <v>8500</v>
      </c>
      <c r="BQ118" s="33" t="s">
        <v>8500</v>
      </c>
      <c r="BR118" s="33" t="s">
        <v>8525</v>
      </c>
      <c r="BS118" s="33"/>
      <c r="BT118" s="33"/>
      <c r="BU118" s="33"/>
      <c r="BV118" s="33" t="s">
        <v>9682</v>
      </c>
      <c r="BW118" s="33"/>
      <c r="BX118" s="33" t="s">
        <v>8560</v>
      </c>
      <c r="BY118" s="33"/>
      <c r="BZ118" s="33"/>
      <c r="CA118" s="33"/>
      <c r="CB118" s="33" t="s">
        <v>8507</v>
      </c>
      <c r="CC118" s="33" t="s">
        <v>8506</v>
      </c>
      <c r="CD118" s="33" t="s">
        <v>9683</v>
      </c>
      <c r="CE118" s="33" t="s">
        <v>9684</v>
      </c>
      <c r="CF118" s="33">
        <v>2</v>
      </c>
      <c r="CG118" s="5" t="s">
        <v>10037</v>
      </c>
      <c r="CH118" s="33">
        <f t="shared" si="40"/>
        <v>0</v>
      </c>
      <c r="CI118" s="33">
        <f t="shared" si="40"/>
        <v>0</v>
      </c>
      <c r="CJ118" s="33">
        <f t="shared" si="40"/>
        <v>0</v>
      </c>
      <c r="CK118" s="33">
        <f t="shared" si="40"/>
        <v>0</v>
      </c>
      <c r="CL118" s="33">
        <f t="shared" si="40"/>
        <v>0</v>
      </c>
      <c r="CM118" s="33">
        <f t="shared" si="40"/>
        <v>0</v>
      </c>
      <c r="CN118" s="33">
        <f t="shared" si="40"/>
        <v>0</v>
      </c>
      <c r="CO118" s="33">
        <f t="shared" si="40"/>
        <v>0</v>
      </c>
      <c r="CP118" s="33">
        <f t="shared" si="40"/>
        <v>0</v>
      </c>
      <c r="CQ118" s="33">
        <f t="shared" si="40"/>
        <v>0</v>
      </c>
      <c r="CR118" s="33">
        <f t="shared" si="40"/>
        <v>0</v>
      </c>
      <c r="CS118" s="33">
        <f t="shared" si="40"/>
        <v>0</v>
      </c>
      <c r="CT118" s="33">
        <f t="shared" si="40"/>
        <v>0</v>
      </c>
      <c r="CU118" s="33">
        <f t="shared" si="40"/>
        <v>0</v>
      </c>
      <c r="CV118" s="33">
        <f t="shared" si="40"/>
        <v>0</v>
      </c>
      <c r="CW118" s="33">
        <f t="shared" si="40"/>
        <v>0</v>
      </c>
      <c r="CX118" s="33">
        <f t="shared" si="43"/>
        <v>0</v>
      </c>
      <c r="CY118" s="33">
        <f t="shared" si="42"/>
        <v>0</v>
      </c>
      <c r="CZ118" s="33">
        <f t="shared" si="42"/>
        <v>0</v>
      </c>
      <c r="DA118" s="33">
        <f t="shared" si="42"/>
        <v>0</v>
      </c>
      <c r="DB118" s="33">
        <f t="shared" si="42"/>
        <v>0</v>
      </c>
      <c r="DC118" s="33">
        <f t="shared" si="42"/>
        <v>0</v>
      </c>
      <c r="DD118" s="33">
        <f t="shared" si="42"/>
        <v>0</v>
      </c>
      <c r="DE118" s="33">
        <f t="shared" si="42"/>
        <v>0</v>
      </c>
      <c r="DF118" s="33">
        <f t="shared" si="42"/>
        <v>0</v>
      </c>
      <c r="DG118" s="33">
        <f t="shared" si="42"/>
        <v>0</v>
      </c>
      <c r="DH118" s="33">
        <f t="shared" si="41"/>
        <v>0</v>
      </c>
      <c r="DI118" s="33">
        <f t="shared" si="41"/>
        <v>0</v>
      </c>
      <c r="DJ118" s="33">
        <f t="shared" si="41"/>
        <v>0</v>
      </c>
      <c r="DK118" s="33">
        <f t="shared" si="41"/>
        <v>0</v>
      </c>
      <c r="DL118" s="33">
        <f t="shared" si="41"/>
        <v>0</v>
      </c>
      <c r="DM118" s="33">
        <f t="shared" si="41"/>
        <v>0</v>
      </c>
      <c r="DN118" s="33">
        <f t="shared" si="41"/>
        <v>0</v>
      </c>
      <c r="DO118" s="33">
        <f t="shared" si="41"/>
        <v>1</v>
      </c>
      <c r="DP118" s="50" t="str">
        <f t="shared" si="30"/>
        <v>D</v>
      </c>
      <c r="DQ118" s="50">
        <f t="shared" si="31"/>
        <v>0</v>
      </c>
      <c r="DR118" s="33">
        <f t="shared" si="28"/>
        <v>1</v>
      </c>
      <c r="DS118" s="50" t="str">
        <f t="shared" si="32"/>
        <v>4-MEDIA</v>
      </c>
      <c r="DT118" s="50">
        <f t="shared" si="33"/>
        <v>0</v>
      </c>
      <c r="DU118" s="33">
        <f t="shared" si="29"/>
        <v>0</v>
      </c>
      <c r="DV118" s="33">
        <f t="shared" si="29"/>
        <v>0</v>
      </c>
      <c r="DW118" s="33">
        <f t="shared" si="29"/>
        <v>0</v>
      </c>
      <c r="DX118" s="33">
        <f t="shared" si="26"/>
        <v>0</v>
      </c>
      <c r="DY118" s="35">
        <f t="shared" si="34"/>
        <v>2</v>
      </c>
      <c r="DZ118" s="33">
        <f t="shared" si="35"/>
        <v>10</v>
      </c>
      <c r="EA118" s="33">
        <f t="shared" si="36"/>
        <v>12</v>
      </c>
      <c r="EB118" s="33" t="str">
        <f t="shared" si="37"/>
        <v>AUX 1 COM + CAMPOS PREENC OU IGUAL</v>
      </c>
      <c r="EC118" s="33" t="s">
        <v>10034</v>
      </c>
    </row>
    <row r="119" spans="2:133" x14ac:dyDescent="0.25">
      <c r="B119" s="33"/>
      <c r="C119" s="33" t="s">
        <v>31</v>
      </c>
      <c r="D119" s="33" t="s">
        <v>8486</v>
      </c>
      <c r="E119" s="33" t="s">
        <v>8487</v>
      </c>
      <c r="F119" s="33" t="s">
        <v>8488</v>
      </c>
      <c r="G119" s="33" t="s">
        <v>8487</v>
      </c>
      <c r="H119" s="33" t="s">
        <v>8698</v>
      </c>
      <c r="I119" s="33" t="s">
        <v>8699</v>
      </c>
      <c r="J119" s="33" t="s">
        <v>8700</v>
      </c>
      <c r="K119" s="33" t="s">
        <v>8570</v>
      </c>
      <c r="L119" s="33" t="s">
        <v>8571</v>
      </c>
      <c r="M119" s="33" t="s">
        <v>8701</v>
      </c>
      <c r="N119" s="33" t="s">
        <v>175</v>
      </c>
      <c r="O119" s="33"/>
      <c r="P119" s="33"/>
      <c r="Q119" s="33" t="s">
        <v>8571</v>
      </c>
      <c r="R119" s="33" t="s">
        <v>9685</v>
      </c>
      <c r="S119" s="33"/>
      <c r="T119" s="33"/>
      <c r="U119" s="33" t="s">
        <v>8702</v>
      </c>
      <c r="V119" s="33" t="s">
        <v>8703</v>
      </c>
      <c r="W119" s="33" t="s">
        <v>9686</v>
      </c>
      <c r="X119" s="33" t="s">
        <v>8705</v>
      </c>
      <c r="Y119" s="33" t="s">
        <v>8525</v>
      </c>
      <c r="Z119" s="33" t="s">
        <v>8525</v>
      </c>
      <c r="AA119" s="33" t="s">
        <v>8500</v>
      </c>
      <c r="AB119" s="33" t="s">
        <v>8500</v>
      </c>
      <c r="AC119" s="33"/>
      <c r="AD119" s="33" t="s">
        <v>8501</v>
      </c>
      <c r="AE119" s="33" t="s">
        <v>8502</v>
      </c>
      <c r="AF119" s="33" t="s">
        <v>9687</v>
      </c>
      <c r="AG119" s="33" t="s">
        <v>9688</v>
      </c>
      <c r="AH119" s="33" t="s">
        <v>8527</v>
      </c>
      <c r="AI119" s="33"/>
      <c r="AJ119" s="33" t="s">
        <v>8506</v>
      </c>
      <c r="AK119" s="33" t="s">
        <v>8528</v>
      </c>
      <c r="AL119" s="33" t="s">
        <v>8508</v>
      </c>
      <c r="AM119" s="33" t="s">
        <v>8577</v>
      </c>
      <c r="AN119" s="33" t="s">
        <v>9689</v>
      </c>
      <c r="AO119" s="33" t="s">
        <v>9690</v>
      </c>
      <c r="AP119" s="33">
        <v>1</v>
      </c>
      <c r="AQ119" s="5" t="s">
        <v>10037</v>
      </c>
      <c r="AR119" s="33"/>
      <c r="AS119" s="33" t="s">
        <v>31</v>
      </c>
      <c r="AT119" s="33" t="s">
        <v>8486</v>
      </c>
      <c r="AU119" s="33" t="s">
        <v>8487</v>
      </c>
      <c r="AV119" s="33" t="s">
        <v>8488</v>
      </c>
      <c r="AW119" s="33" t="s">
        <v>8487</v>
      </c>
      <c r="AX119" s="33" t="s">
        <v>8698</v>
      </c>
      <c r="AY119" s="33" t="s">
        <v>8699</v>
      </c>
      <c r="AZ119" s="33" t="s">
        <v>8700</v>
      </c>
      <c r="BA119" s="33" t="s">
        <v>8570</v>
      </c>
      <c r="BB119" s="33" t="s">
        <v>8571</v>
      </c>
      <c r="BC119" s="33" t="s">
        <v>8701</v>
      </c>
      <c r="BD119" s="33" t="s">
        <v>175</v>
      </c>
      <c r="BE119" s="33"/>
      <c r="BF119" s="33"/>
      <c r="BG119" s="33" t="s">
        <v>8571</v>
      </c>
      <c r="BH119" s="33" t="s">
        <v>9685</v>
      </c>
      <c r="BI119" s="33"/>
      <c r="BJ119" s="33"/>
      <c r="BK119" s="33" t="s">
        <v>8702</v>
      </c>
      <c r="BL119" s="33" t="s">
        <v>8703</v>
      </c>
      <c r="BM119" s="33" t="s">
        <v>9686</v>
      </c>
      <c r="BN119" s="33" t="s">
        <v>8705</v>
      </c>
      <c r="BO119" s="33" t="s">
        <v>8525</v>
      </c>
      <c r="BP119" s="33" t="s">
        <v>8525</v>
      </c>
      <c r="BQ119" s="33" t="s">
        <v>8500</v>
      </c>
      <c r="BR119" s="33" t="s">
        <v>8500</v>
      </c>
      <c r="BS119" s="33"/>
      <c r="BT119" s="33"/>
      <c r="BU119" s="33" t="s">
        <v>8502</v>
      </c>
      <c r="BV119" s="33" t="s">
        <v>9687</v>
      </c>
      <c r="BW119" s="33" t="s">
        <v>9688</v>
      </c>
      <c r="BX119" s="33" t="s">
        <v>8527</v>
      </c>
      <c r="BY119" s="33"/>
      <c r="BZ119" s="33"/>
      <c r="CA119" s="33"/>
      <c r="CB119" s="33" t="s">
        <v>8508</v>
      </c>
      <c r="CC119" s="33" t="s">
        <v>8577</v>
      </c>
      <c r="CD119" s="33" t="s">
        <v>9689</v>
      </c>
      <c r="CE119" s="33" t="s">
        <v>9690</v>
      </c>
      <c r="CF119" s="33">
        <v>2</v>
      </c>
      <c r="CG119" s="5" t="s">
        <v>10037</v>
      </c>
      <c r="CH119" s="33">
        <f t="shared" si="40"/>
        <v>0</v>
      </c>
      <c r="CI119" s="33">
        <f t="shared" si="40"/>
        <v>0</v>
      </c>
      <c r="CJ119" s="33">
        <f t="shared" ref="CJ119:CW137" si="44">+IF(E119=AU119,0,1)</f>
        <v>0</v>
      </c>
      <c r="CK119" s="33">
        <f t="shared" si="44"/>
        <v>0</v>
      </c>
      <c r="CL119" s="33">
        <f t="shared" si="44"/>
        <v>0</v>
      </c>
      <c r="CM119" s="33">
        <f t="shared" si="44"/>
        <v>0</v>
      </c>
      <c r="CN119" s="33">
        <f t="shared" si="44"/>
        <v>0</v>
      </c>
      <c r="CO119" s="33">
        <f t="shared" si="44"/>
        <v>0</v>
      </c>
      <c r="CP119" s="33">
        <f t="shared" si="44"/>
        <v>0</v>
      </c>
      <c r="CQ119" s="33">
        <f t="shared" si="44"/>
        <v>0</v>
      </c>
      <c r="CR119" s="33">
        <f t="shared" si="44"/>
        <v>0</v>
      </c>
      <c r="CS119" s="33">
        <f t="shared" si="44"/>
        <v>0</v>
      </c>
      <c r="CT119" s="33">
        <f t="shared" si="44"/>
        <v>0</v>
      </c>
      <c r="CU119" s="33">
        <f t="shared" si="44"/>
        <v>0</v>
      </c>
      <c r="CV119" s="33">
        <f t="shared" si="44"/>
        <v>0</v>
      </c>
      <c r="CW119" s="33">
        <f t="shared" si="44"/>
        <v>0</v>
      </c>
      <c r="CX119" s="33">
        <f t="shared" si="43"/>
        <v>0</v>
      </c>
      <c r="CY119" s="33">
        <f t="shared" si="42"/>
        <v>0</v>
      </c>
      <c r="CZ119" s="33">
        <f t="shared" si="42"/>
        <v>0</v>
      </c>
      <c r="DA119" s="33">
        <f t="shared" si="42"/>
        <v>0</v>
      </c>
      <c r="DB119" s="33">
        <f t="shared" si="42"/>
        <v>0</v>
      </c>
      <c r="DC119" s="33">
        <f t="shared" si="42"/>
        <v>0</v>
      </c>
      <c r="DD119" s="33">
        <f t="shared" si="42"/>
        <v>0</v>
      </c>
      <c r="DE119" s="33">
        <f t="shared" si="42"/>
        <v>0</v>
      </c>
      <c r="DF119" s="33">
        <f t="shared" si="42"/>
        <v>0</v>
      </c>
      <c r="DG119" s="33">
        <f t="shared" si="42"/>
        <v>0</v>
      </c>
      <c r="DH119" s="33">
        <f t="shared" si="41"/>
        <v>0</v>
      </c>
      <c r="DI119" s="33">
        <f t="shared" si="41"/>
        <v>1</v>
      </c>
      <c r="DJ119" s="33">
        <f t="shared" si="41"/>
        <v>0</v>
      </c>
      <c r="DK119" s="33">
        <f t="shared" si="41"/>
        <v>0</v>
      </c>
      <c r="DL119" s="33">
        <f t="shared" si="41"/>
        <v>0</v>
      </c>
      <c r="DM119" s="33">
        <f t="shared" si="41"/>
        <v>0</v>
      </c>
      <c r="DN119" s="33">
        <f t="shared" si="41"/>
        <v>0</v>
      </c>
      <c r="DO119" s="33">
        <f t="shared" si="41"/>
        <v>1</v>
      </c>
      <c r="DP119" s="50" t="str">
        <f t="shared" si="30"/>
        <v>C</v>
      </c>
      <c r="DQ119" s="50">
        <f t="shared" si="31"/>
        <v>0</v>
      </c>
      <c r="DR119" s="33">
        <f t="shared" si="28"/>
        <v>1</v>
      </c>
      <c r="DS119" s="50" t="str">
        <f t="shared" si="32"/>
        <v>5-MEDIA BAJA</v>
      </c>
      <c r="DT119" s="50">
        <f t="shared" si="33"/>
        <v>0</v>
      </c>
      <c r="DU119" s="33">
        <f t="shared" si="29"/>
        <v>0</v>
      </c>
      <c r="DV119" s="33">
        <f t="shared" si="29"/>
        <v>0</v>
      </c>
      <c r="DW119" s="33">
        <f t="shared" si="29"/>
        <v>0</v>
      </c>
      <c r="DX119" s="33">
        <f t="shared" si="26"/>
        <v>0</v>
      </c>
      <c r="DY119" s="35">
        <f t="shared" si="34"/>
        <v>3</v>
      </c>
      <c r="DZ119" s="33">
        <f t="shared" si="35"/>
        <v>6</v>
      </c>
      <c r="EA119" s="33">
        <f t="shared" si="36"/>
        <v>9</v>
      </c>
      <c r="EB119" s="33" t="str">
        <f t="shared" si="37"/>
        <v>AUX 1 COM + CAMPOS PREENC OU IGUAL</v>
      </c>
      <c r="EC119" s="33" t="s">
        <v>10034</v>
      </c>
    </row>
    <row r="120" spans="2:133" x14ac:dyDescent="0.25">
      <c r="B120" s="33"/>
      <c r="C120" s="33" t="s">
        <v>167</v>
      </c>
      <c r="D120" s="33" t="s">
        <v>8486</v>
      </c>
      <c r="E120" s="33" t="s">
        <v>8487</v>
      </c>
      <c r="F120" s="33" t="s">
        <v>9305</v>
      </c>
      <c r="G120" s="33" t="s">
        <v>9306</v>
      </c>
      <c r="H120" s="33" t="s">
        <v>9691</v>
      </c>
      <c r="I120" s="33" t="s">
        <v>9692</v>
      </c>
      <c r="J120" s="33" t="s">
        <v>9693</v>
      </c>
      <c r="K120" s="33" t="s">
        <v>8491</v>
      </c>
      <c r="L120" s="33" t="s">
        <v>8492</v>
      </c>
      <c r="M120" s="33" t="s">
        <v>9694</v>
      </c>
      <c r="N120" s="33" t="s">
        <v>9695</v>
      </c>
      <c r="O120" s="33"/>
      <c r="P120" s="33"/>
      <c r="Q120" s="33" t="s">
        <v>8492</v>
      </c>
      <c r="R120" s="33" t="s">
        <v>9696</v>
      </c>
      <c r="S120" s="33"/>
      <c r="T120" s="33"/>
      <c r="U120" s="33" t="s">
        <v>9697</v>
      </c>
      <c r="V120" s="33" t="s">
        <v>8914</v>
      </c>
      <c r="W120" s="33" t="s">
        <v>9285</v>
      </c>
      <c r="X120" s="33" t="s">
        <v>9698</v>
      </c>
      <c r="Y120" s="33" t="s">
        <v>8500</v>
      </c>
      <c r="Z120" s="33" t="s">
        <v>8500</v>
      </c>
      <c r="AA120" s="33" t="s">
        <v>8500</v>
      </c>
      <c r="AB120" s="33" t="s">
        <v>8525</v>
      </c>
      <c r="AC120" s="33"/>
      <c r="AD120" s="33"/>
      <c r="AE120" s="33"/>
      <c r="AF120" s="33"/>
      <c r="AG120" s="33"/>
      <c r="AH120" s="33" t="s">
        <v>8606</v>
      </c>
      <c r="AI120" s="33"/>
      <c r="AJ120" s="33"/>
      <c r="AK120" s="33"/>
      <c r="AL120" s="33" t="s">
        <v>8528</v>
      </c>
      <c r="AM120" s="33" t="s">
        <v>8506</v>
      </c>
      <c r="AN120" s="33" t="s">
        <v>9699</v>
      </c>
      <c r="AO120" s="33" t="s">
        <v>9700</v>
      </c>
      <c r="AP120" s="33">
        <v>1</v>
      </c>
      <c r="AQ120" s="5" t="s">
        <v>10037</v>
      </c>
      <c r="AR120" s="33" t="s">
        <v>9701</v>
      </c>
      <c r="AS120" s="33" t="s">
        <v>167</v>
      </c>
      <c r="AT120" s="33" t="s">
        <v>8486</v>
      </c>
      <c r="AU120" s="33" t="s">
        <v>8487</v>
      </c>
      <c r="AV120" s="33" t="s">
        <v>9305</v>
      </c>
      <c r="AW120" s="33" t="s">
        <v>9306</v>
      </c>
      <c r="AX120" s="33" t="s">
        <v>9691</v>
      </c>
      <c r="AY120" s="33" t="s">
        <v>9692</v>
      </c>
      <c r="AZ120" s="33" t="s">
        <v>9693</v>
      </c>
      <c r="BA120" s="33" t="s">
        <v>8491</v>
      </c>
      <c r="BB120" s="33" t="s">
        <v>8492</v>
      </c>
      <c r="BC120" s="33" t="s">
        <v>9694</v>
      </c>
      <c r="BD120" s="33" t="s">
        <v>9695</v>
      </c>
      <c r="BE120" s="33"/>
      <c r="BF120" s="33"/>
      <c r="BG120" s="33" t="s">
        <v>8492</v>
      </c>
      <c r="BH120" s="33" t="s">
        <v>9696</v>
      </c>
      <c r="BI120" s="33"/>
      <c r="BJ120" s="33"/>
      <c r="BK120" s="33" t="s">
        <v>9697</v>
      </c>
      <c r="BL120" s="33" t="s">
        <v>8914</v>
      </c>
      <c r="BM120" s="33" t="s">
        <v>9285</v>
      </c>
      <c r="BN120" s="33" t="s">
        <v>9698</v>
      </c>
      <c r="BO120" s="33" t="s">
        <v>8500</v>
      </c>
      <c r="BP120" s="33" t="s">
        <v>8500</v>
      </c>
      <c r="BQ120" s="33" t="s">
        <v>8500</v>
      </c>
      <c r="BR120" s="33" t="s">
        <v>8525</v>
      </c>
      <c r="BS120" s="33"/>
      <c r="BT120" s="33"/>
      <c r="BU120" s="33"/>
      <c r="BV120" s="33"/>
      <c r="BW120" s="33"/>
      <c r="BX120" s="33" t="s">
        <v>8606</v>
      </c>
      <c r="BY120" s="33"/>
      <c r="BZ120" s="33"/>
      <c r="CA120" s="33"/>
      <c r="CB120" s="33" t="s">
        <v>8528</v>
      </c>
      <c r="CC120" s="33" t="s">
        <v>8506</v>
      </c>
      <c r="CD120" s="33" t="s">
        <v>9699</v>
      </c>
      <c r="CE120" s="33" t="s">
        <v>9700</v>
      </c>
      <c r="CF120" s="33">
        <v>2</v>
      </c>
      <c r="CG120" s="5" t="s">
        <v>10037</v>
      </c>
      <c r="CH120" s="33">
        <f t="shared" ref="CH120:CL156" si="45">+IF(C120=AS120,0,1)</f>
        <v>0</v>
      </c>
      <c r="CI120" s="33">
        <f t="shared" si="45"/>
        <v>0</v>
      </c>
      <c r="CJ120" s="33">
        <f t="shared" si="44"/>
        <v>0</v>
      </c>
      <c r="CK120" s="33">
        <f t="shared" si="44"/>
        <v>0</v>
      </c>
      <c r="CL120" s="33">
        <f t="shared" si="44"/>
        <v>0</v>
      </c>
      <c r="CM120" s="33">
        <f t="shared" si="44"/>
        <v>0</v>
      </c>
      <c r="CN120" s="33">
        <f t="shared" si="44"/>
        <v>0</v>
      </c>
      <c r="CO120" s="33">
        <f t="shared" si="44"/>
        <v>0</v>
      </c>
      <c r="CP120" s="33">
        <f t="shared" si="44"/>
        <v>0</v>
      </c>
      <c r="CQ120" s="33">
        <f t="shared" si="44"/>
        <v>0</v>
      </c>
      <c r="CR120" s="33">
        <f t="shared" si="44"/>
        <v>0</v>
      </c>
      <c r="CS120" s="33">
        <f t="shared" si="44"/>
        <v>0</v>
      </c>
      <c r="CT120" s="33">
        <f t="shared" si="44"/>
        <v>0</v>
      </c>
      <c r="CU120" s="33">
        <f t="shared" si="44"/>
        <v>0</v>
      </c>
      <c r="CV120" s="33">
        <f t="shared" si="44"/>
        <v>0</v>
      </c>
      <c r="CW120" s="33">
        <f t="shared" si="44"/>
        <v>0</v>
      </c>
      <c r="CX120" s="33">
        <f t="shared" si="43"/>
        <v>0</v>
      </c>
      <c r="CY120" s="33">
        <f t="shared" si="42"/>
        <v>0</v>
      </c>
      <c r="CZ120" s="33">
        <f t="shared" si="42"/>
        <v>0</v>
      </c>
      <c r="DA120" s="33">
        <f t="shared" si="42"/>
        <v>0</v>
      </c>
      <c r="DB120" s="33">
        <f t="shared" si="42"/>
        <v>0</v>
      </c>
      <c r="DC120" s="33">
        <f t="shared" si="42"/>
        <v>0</v>
      </c>
      <c r="DD120" s="33">
        <f t="shared" si="42"/>
        <v>0</v>
      </c>
      <c r="DE120" s="33">
        <f t="shared" si="42"/>
        <v>0</v>
      </c>
      <c r="DF120" s="33">
        <f t="shared" si="42"/>
        <v>0</v>
      </c>
      <c r="DG120" s="33">
        <f t="shared" si="42"/>
        <v>0</v>
      </c>
      <c r="DH120" s="33">
        <f t="shared" si="41"/>
        <v>0</v>
      </c>
      <c r="DI120" s="33">
        <f t="shared" si="41"/>
        <v>0</v>
      </c>
      <c r="DJ120" s="33">
        <f t="shared" si="41"/>
        <v>0</v>
      </c>
      <c r="DK120" s="33">
        <f t="shared" si="41"/>
        <v>0</v>
      </c>
      <c r="DL120" s="33">
        <f t="shared" si="41"/>
        <v>0</v>
      </c>
      <c r="DM120" s="33">
        <f t="shared" si="41"/>
        <v>0</v>
      </c>
      <c r="DN120" s="33">
        <f t="shared" si="41"/>
        <v>0</v>
      </c>
      <c r="DO120" s="33">
        <f t="shared" si="41"/>
        <v>0</v>
      </c>
      <c r="DP120" s="50">
        <f t="shared" si="30"/>
        <v>0</v>
      </c>
      <c r="DQ120" s="50">
        <f t="shared" si="31"/>
        <v>0</v>
      </c>
      <c r="DR120" s="33">
        <f t="shared" si="28"/>
        <v>0</v>
      </c>
      <c r="DS120" s="50">
        <f t="shared" si="32"/>
        <v>0</v>
      </c>
      <c r="DT120" s="50">
        <f t="shared" si="33"/>
        <v>0</v>
      </c>
      <c r="DU120" s="33">
        <f t="shared" si="29"/>
        <v>0</v>
      </c>
      <c r="DV120" s="33">
        <f t="shared" si="29"/>
        <v>0</v>
      </c>
      <c r="DW120" s="33">
        <f t="shared" si="29"/>
        <v>0</v>
      </c>
      <c r="DX120" s="33">
        <f t="shared" si="26"/>
        <v>0</v>
      </c>
      <c r="DY120" s="35">
        <f t="shared" si="34"/>
        <v>0</v>
      </c>
      <c r="DZ120" s="33">
        <f t="shared" si="35"/>
        <v>12</v>
      </c>
      <c r="EA120" s="33">
        <f t="shared" si="36"/>
        <v>12</v>
      </c>
      <c r="EB120" s="33" t="str">
        <f t="shared" si="37"/>
        <v>IGUAL CAMPOS PREENCH</v>
      </c>
      <c r="EC120" s="33" t="s">
        <v>10035</v>
      </c>
    </row>
    <row r="121" spans="2:133" x14ac:dyDescent="0.25">
      <c r="B121" s="33" t="s">
        <v>9702</v>
      </c>
      <c r="C121" s="33" t="s">
        <v>78</v>
      </c>
      <c r="D121" s="33" t="s">
        <v>8763</v>
      </c>
      <c r="E121" s="33" t="s">
        <v>8764</v>
      </c>
      <c r="F121" s="33" t="s">
        <v>9703</v>
      </c>
      <c r="G121" s="33" t="s">
        <v>9704</v>
      </c>
      <c r="H121" s="33" t="s">
        <v>9705</v>
      </c>
      <c r="I121" s="33" t="s">
        <v>9706</v>
      </c>
      <c r="J121" s="33" t="s">
        <v>9706</v>
      </c>
      <c r="K121" s="33" t="s">
        <v>8570</v>
      </c>
      <c r="L121" s="33" t="s">
        <v>8571</v>
      </c>
      <c r="M121" s="33" t="s">
        <v>9707</v>
      </c>
      <c r="N121" s="33" t="s">
        <v>9250</v>
      </c>
      <c r="O121" s="33" t="s">
        <v>9250</v>
      </c>
      <c r="P121" s="33"/>
      <c r="Q121" s="33" t="s">
        <v>8571</v>
      </c>
      <c r="R121" s="33" t="s">
        <v>9708</v>
      </c>
      <c r="S121" s="33"/>
      <c r="T121" s="33"/>
      <c r="U121" s="33" t="s">
        <v>9709</v>
      </c>
      <c r="V121" s="33" t="s">
        <v>9710</v>
      </c>
      <c r="W121" s="33" t="s">
        <v>8523</v>
      </c>
      <c r="X121" s="33" t="s">
        <v>9165</v>
      </c>
      <c r="Y121" s="33" t="s">
        <v>8500</v>
      </c>
      <c r="Z121" s="33" t="s">
        <v>8500</v>
      </c>
      <c r="AA121" s="33" t="s">
        <v>8500</v>
      </c>
      <c r="AB121" s="33" t="s">
        <v>8525</v>
      </c>
      <c r="AC121" s="33"/>
      <c r="AD121" s="33"/>
      <c r="AE121" s="33"/>
      <c r="AF121" s="33" t="s">
        <v>9586</v>
      </c>
      <c r="AG121" s="33"/>
      <c r="AH121" s="33" t="s">
        <v>8560</v>
      </c>
      <c r="AI121" s="33"/>
      <c r="AJ121" s="33"/>
      <c r="AK121" s="33"/>
      <c r="AL121" s="33" t="s">
        <v>8507</v>
      </c>
      <c r="AM121" s="33" t="s">
        <v>8506</v>
      </c>
      <c r="AN121" s="33" t="s">
        <v>9711</v>
      </c>
      <c r="AO121" s="33" t="s">
        <v>9712</v>
      </c>
      <c r="AP121" s="33">
        <v>1</v>
      </c>
      <c r="AQ121" s="5" t="s">
        <v>10037</v>
      </c>
      <c r="AR121" s="33"/>
      <c r="AS121" s="33" t="s">
        <v>78</v>
      </c>
      <c r="AT121" s="33" t="s">
        <v>8763</v>
      </c>
      <c r="AU121" s="33" t="s">
        <v>8764</v>
      </c>
      <c r="AV121" s="33" t="s">
        <v>9703</v>
      </c>
      <c r="AW121" s="33" t="s">
        <v>9704</v>
      </c>
      <c r="AX121" s="33" t="s">
        <v>9705</v>
      </c>
      <c r="AY121" s="33" t="s">
        <v>9706</v>
      </c>
      <c r="AZ121" s="33" t="s">
        <v>9706</v>
      </c>
      <c r="BA121" s="33" t="s">
        <v>8570</v>
      </c>
      <c r="BB121" s="33" t="s">
        <v>8571</v>
      </c>
      <c r="BC121" s="33" t="s">
        <v>9707</v>
      </c>
      <c r="BD121" s="33" t="s">
        <v>9250</v>
      </c>
      <c r="BE121" s="33" t="s">
        <v>9250</v>
      </c>
      <c r="BF121" s="33"/>
      <c r="BG121" s="33" t="s">
        <v>8571</v>
      </c>
      <c r="BH121" s="33" t="s">
        <v>9708</v>
      </c>
      <c r="BI121" s="33"/>
      <c r="BJ121" s="33"/>
      <c r="BK121" s="33" t="s">
        <v>9709</v>
      </c>
      <c r="BL121" s="33" t="s">
        <v>9710</v>
      </c>
      <c r="BM121" s="33" t="s">
        <v>8523</v>
      </c>
      <c r="BN121" s="33" t="s">
        <v>9165</v>
      </c>
      <c r="BO121" s="33" t="s">
        <v>8500</v>
      </c>
      <c r="BP121" s="33" t="s">
        <v>8500</v>
      </c>
      <c r="BQ121" s="33" t="s">
        <v>8500</v>
      </c>
      <c r="BR121" s="33" t="s">
        <v>8525</v>
      </c>
      <c r="BS121" s="33"/>
      <c r="BT121" s="33"/>
      <c r="BU121" s="33"/>
      <c r="BV121" s="33" t="s">
        <v>9586</v>
      </c>
      <c r="BW121" s="33"/>
      <c r="BX121" s="33" t="s">
        <v>8560</v>
      </c>
      <c r="BY121" s="33"/>
      <c r="BZ121" s="33"/>
      <c r="CA121" s="33"/>
      <c r="CB121" s="33" t="s">
        <v>8507</v>
      </c>
      <c r="CC121" s="33" t="s">
        <v>8506</v>
      </c>
      <c r="CD121" s="33" t="s">
        <v>9711</v>
      </c>
      <c r="CE121" s="33" t="s">
        <v>9712</v>
      </c>
      <c r="CF121" s="33">
        <v>2</v>
      </c>
      <c r="CG121" s="5" t="s">
        <v>10037</v>
      </c>
      <c r="CH121" s="33">
        <f t="shared" si="45"/>
        <v>0</v>
      </c>
      <c r="CI121" s="33">
        <f t="shared" si="45"/>
        <v>0</v>
      </c>
      <c r="CJ121" s="33">
        <f t="shared" si="44"/>
        <v>0</v>
      </c>
      <c r="CK121" s="33">
        <f t="shared" si="44"/>
        <v>0</v>
      </c>
      <c r="CL121" s="33">
        <f t="shared" si="44"/>
        <v>0</v>
      </c>
      <c r="CM121" s="33">
        <f t="shared" si="44"/>
        <v>0</v>
      </c>
      <c r="CN121" s="33">
        <f t="shared" si="44"/>
        <v>0</v>
      </c>
      <c r="CO121" s="33">
        <f t="shared" si="44"/>
        <v>0</v>
      </c>
      <c r="CP121" s="33">
        <f t="shared" si="44"/>
        <v>0</v>
      </c>
      <c r="CQ121" s="33">
        <f t="shared" si="44"/>
        <v>0</v>
      </c>
      <c r="CR121" s="33">
        <f t="shared" si="44"/>
        <v>0</v>
      </c>
      <c r="CS121" s="33">
        <f t="shared" si="44"/>
        <v>0</v>
      </c>
      <c r="CT121" s="33">
        <f t="shared" si="44"/>
        <v>0</v>
      </c>
      <c r="CU121" s="33">
        <f t="shared" si="44"/>
        <v>0</v>
      </c>
      <c r="CV121" s="33">
        <f t="shared" si="44"/>
        <v>0</v>
      </c>
      <c r="CW121" s="33">
        <f t="shared" si="44"/>
        <v>0</v>
      </c>
      <c r="CX121" s="33">
        <f t="shared" si="43"/>
        <v>0</v>
      </c>
      <c r="CY121" s="33">
        <f t="shared" si="42"/>
        <v>0</v>
      </c>
      <c r="CZ121" s="33">
        <f t="shared" si="42"/>
        <v>0</v>
      </c>
      <c r="DA121" s="33">
        <f t="shared" si="42"/>
        <v>0</v>
      </c>
      <c r="DB121" s="33">
        <f t="shared" si="42"/>
        <v>0</v>
      </c>
      <c r="DC121" s="33">
        <f t="shared" si="42"/>
        <v>0</v>
      </c>
      <c r="DD121" s="33">
        <f t="shared" si="42"/>
        <v>0</v>
      </c>
      <c r="DE121" s="33">
        <f t="shared" si="42"/>
        <v>0</v>
      </c>
      <c r="DF121" s="33">
        <f t="shared" si="42"/>
        <v>0</v>
      </c>
      <c r="DG121" s="33">
        <f t="shared" si="42"/>
        <v>0</v>
      </c>
      <c r="DH121" s="33">
        <f t="shared" si="41"/>
        <v>0</v>
      </c>
      <c r="DI121" s="33">
        <f t="shared" si="41"/>
        <v>0</v>
      </c>
      <c r="DJ121" s="33">
        <f t="shared" si="41"/>
        <v>0</v>
      </c>
      <c r="DK121" s="33">
        <f t="shared" si="41"/>
        <v>0</v>
      </c>
      <c r="DL121" s="33">
        <f t="shared" si="41"/>
        <v>0</v>
      </c>
      <c r="DM121" s="33">
        <f t="shared" si="41"/>
        <v>0</v>
      </c>
      <c r="DN121" s="33">
        <f t="shared" si="41"/>
        <v>0</v>
      </c>
      <c r="DO121" s="33">
        <f t="shared" si="41"/>
        <v>0</v>
      </c>
      <c r="DP121" s="50">
        <f t="shared" si="30"/>
        <v>0</v>
      </c>
      <c r="DQ121" s="50">
        <f t="shared" si="31"/>
        <v>0</v>
      </c>
      <c r="DR121" s="33">
        <f t="shared" si="28"/>
        <v>0</v>
      </c>
      <c r="DS121" s="50">
        <f t="shared" si="32"/>
        <v>0</v>
      </c>
      <c r="DT121" s="50">
        <f t="shared" si="33"/>
        <v>0</v>
      </c>
      <c r="DU121" s="33">
        <f t="shared" si="29"/>
        <v>0</v>
      </c>
      <c r="DV121" s="33">
        <f t="shared" si="29"/>
        <v>0</v>
      </c>
      <c r="DW121" s="33">
        <f t="shared" si="29"/>
        <v>0</v>
      </c>
      <c r="DX121" s="33">
        <f t="shared" si="26"/>
        <v>0</v>
      </c>
      <c r="DY121" s="35">
        <f t="shared" si="34"/>
        <v>0</v>
      </c>
      <c r="DZ121" s="33">
        <f t="shared" si="35"/>
        <v>10</v>
      </c>
      <c r="EA121" s="33">
        <f t="shared" si="36"/>
        <v>10</v>
      </c>
      <c r="EB121" s="33" t="str">
        <f t="shared" si="37"/>
        <v>IGUAL CAMPOS PREENCH</v>
      </c>
      <c r="EC121" s="33" t="s">
        <v>10035</v>
      </c>
    </row>
    <row r="122" spans="2:133" x14ac:dyDescent="0.25">
      <c r="B122" s="33" t="s">
        <v>9713</v>
      </c>
      <c r="C122" s="33" t="s">
        <v>129</v>
      </c>
      <c r="D122" s="33" t="s">
        <v>8611</v>
      </c>
      <c r="E122" s="33" t="s">
        <v>8612</v>
      </c>
      <c r="F122" s="33" t="s">
        <v>9714</v>
      </c>
      <c r="G122" s="33" t="s">
        <v>9715</v>
      </c>
      <c r="H122" s="33" t="s">
        <v>9716</v>
      </c>
      <c r="I122" s="33" t="s">
        <v>9715</v>
      </c>
      <c r="J122" s="33" t="s">
        <v>9715</v>
      </c>
      <c r="K122" s="33" t="s">
        <v>9717</v>
      </c>
      <c r="L122" s="33" t="s">
        <v>9718</v>
      </c>
      <c r="M122" s="33" t="s">
        <v>9719</v>
      </c>
      <c r="N122" s="33" t="s">
        <v>175</v>
      </c>
      <c r="O122" s="33"/>
      <c r="P122" s="33" t="s">
        <v>9720</v>
      </c>
      <c r="Q122" s="33" t="s">
        <v>9718</v>
      </c>
      <c r="R122" s="33" t="s">
        <v>9422</v>
      </c>
      <c r="S122" s="33"/>
      <c r="T122" s="33"/>
      <c r="U122" s="33" t="s">
        <v>9721</v>
      </c>
      <c r="V122" s="33" t="s">
        <v>9619</v>
      </c>
      <c r="W122" s="33" t="s">
        <v>9722</v>
      </c>
      <c r="X122" s="33"/>
      <c r="Y122" s="33" t="s">
        <v>8500</v>
      </c>
      <c r="Z122" s="33" t="s">
        <v>8500</v>
      </c>
      <c r="AA122" s="33" t="s">
        <v>8500</v>
      </c>
      <c r="AB122" s="33" t="s">
        <v>8525</v>
      </c>
      <c r="AC122" s="33"/>
      <c r="AD122" s="33"/>
      <c r="AE122" s="33"/>
      <c r="AF122" s="33" t="s">
        <v>9723</v>
      </c>
      <c r="AG122" s="33"/>
      <c r="AH122" s="33" t="s">
        <v>8606</v>
      </c>
      <c r="AI122" s="33"/>
      <c r="AJ122" s="33"/>
      <c r="AK122" s="33"/>
      <c r="AL122" s="33" t="s">
        <v>8546</v>
      </c>
      <c r="AM122" s="33" t="s">
        <v>8506</v>
      </c>
      <c r="AN122" s="33" t="s">
        <v>9724</v>
      </c>
      <c r="AO122" s="33" t="s">
        <v>9725</v>
      </c>
      <c r="AP122" s="33">
        <v>1</v>
      </c>
      <c r="AQ122" s="5" t="s">
        <v>10037</v>
      </c>
      <c r="AR122" s="33"/>
      <c r="AS122" s="33" t="s">
        <v>129</v>
      </c>
      <c r="AT122" s="33" t="s">
        <v>8611</v>
      </c>
      <c r="AU122" s="33" t="s">
        <v>8612</v>
      </c>
      <c r="AV122" s="33" t="s">
        <v>9714</v>
      </c>
      <c r="AW122" s="33" t="s">
        <v>9715</v>
      </c>
      <c r="AX122" s="33" t="s">
        <v>9716</v>
      </c>
      <c r="AY122" s="33" t="s">
        <v>9715</v>
      </c>
      <c r="AZ122" s="33" t="s">
        <v>9715</v>
      </c>
      <c r="BA122" s="33" t="s">
        <v>9717</v>
      </c>
      <c r="BB122" s="33" t="s">
        <v>9718</v>
      </c>
      <c r="BC122" s="33" t="s">
        <v>9719</v>
      </c>
      <c r="BD122" s="33" t="s">
        <v>175</v>
      </c>
      <c r="BE122" s="33"/>
      <c r="BF122" s="33" t="s">
        <v>9720</v>
      </c>
      <c r="BG122" s="33" t="s">
        <v>9718</v>
      </c>
      <c r="BH122" s="33" t="s">
        <v>9422</v>
      </c>
      <c r="BI122" s="33"/>
      <c r="BJ122" s="33"/>
      <c r="BK122" s="33" t="s">
        <v>9721</v>
      </c>
      <c r="BL122" s="33" t="s">
        <v>9619</v>
      </c>
      <c r="BM122" s="33" t="s">
        <v>9722</v>
      </c>
      <c r="BN122" s="33"/>
      <c r="BO122" s="33" t="s">
        <v>8500</v>
      </c>
      <c r="BP122" s="33" t="s">
        <v>8500</v>
      </c>
      <c r="BQ122" s="33" t="s">
        <v>8500</v>
      </c>
      <c r="BR122" s="33" t="s">
        <v>8525</v>
      </c>
      <c r="BS122" s="33"/>
      <c r="BT122" s="33"/>
      <c r="BU122" s="33"/>
      <c r="BV122" s="33" t="s">
        <v>9723</v>
      </c>
      <c r="BW122" s="33"/>
      <c r="BX122" s="33" t="s">
        <v>8606</v>
      </c>
      <c r="BY122" s="33"/>
      <c r="BZ122" s="33"/>
      <c r="CA122" s="33"/>
      <c r="CB122" s="33" t="s">
        <v>8546</v>
      </c>
      <c r="CC122" s="33" t="s">
        <v>8506</v>
      </c>
      <c r="CD122" s="33" t="s">
        <v>9724</v>
      </c>
      <c r="CE122" s="33" t="s">
        <v>9725</v>
      </c>
      <c r="CF122" s="33">
        <v>2</v>
      </c>
      <c r="CG122" s="5" t="s">
        <v>10037</v>
      </c>
      <c r="CH122" s="33">
        <f t="shared" si="45"/>
        <v>0</v>
      </c>
      <c r="CI122" s="33">
        <f t="shared" si="45"/>
        <v>0</v>
      </c>
      <c r="CJ122" s="33">
        <f t="shared" si="44"/>
        <v>0</v>
      </c>
      <c r="CK122" s="33">
        <f t="shared" si="44"/>
        <v>0</v>
      </c>
      <c r="CL122" s="33">
        <f t="shared" si="44"/>
        <v>0</v>
      </c>
      <c r="CM122" s="33">
        <f t="shared" si="44"/>
        <v>0</v>
      </c>
      <c r="CN122" s="33">
        <f t="shared" si="44"/>
        <v>0</v>
      </c>
      <c r="CO122" s="33">
        <f t="shared" si="44"/>
        <v>0</v>
      </c>
      <c r="CP122" s="33">
        <f t="shared" si="44"/>
        <v>0</v>
      </c>
      <c r="CQ122" s="33">
        <f t="shared" si="44"/>
        <v>0</v>
      </c>
      <c r="CR122" s="33">
        <f t="shared" si="44"/>
        <v>0</v>
      </c>
      <c r="CS122" s="33">
        <f t="shared" si="44"/>
        <v>0</v>
      </c>
      <c r="CT122" s="33">
        <f t="shared" si="44"/>
        <v>0</v>
      </c>
      <c r="CU122" s="33">
        <f t="shared" si="44"/>
        <v>0</v>
      </c>
      <c r="CV122" s="33">
        <f t="shared" si="44"/>
        <v>0</v>
      </c>
      <c r="CW122" s="33">
        <f t="shared" si="44"/>
        <v>0</v>
      </c>
      <c r="CX122" s="33">
        <f t="shared" si="43"/>
        <v>0</v>
      </c>
      <c r="CY122" s="33">
        <f t="shared" si="42"/>
        <v>0</v>
      </c>
      <c r="CZ122" s="33">
        <f t="shared" si="42"/>
        <v>0</v>
      </c>
      <c r="DA122" s="33">
        <f t="shared" si="42"/>
        <v>0</v>
      </c>
      <c r="DB122" s="33">
        <f t="shared" si="42"/>
        <v>0</v>
      </c>
      <c r="DC122" s="33">
        <f t="shared" si="42"/>
        <v>0</v>
      </c>
      <c r="DD122" s="33">
        <f t="shared" si="42"/>
        <v>0</v>
      </c>
      <c r="DE122" s="33">
        <f t="shared" si="42"/>
        <v>0</v>
      </c>
      <c r="DF122" s="33">
        <f t="shared" si="42"/>
        <v>0</v>
      </c>
      <c r="DG122" s="33">
        <f t="shared" si="42"/>
        <v>0</v>
      </c>
      <c r="DH122" s="33">
        <f t="shared" si="41"/>
        <v>0</v>
      </c>
      <c r="DI122" s="33">
        <f t="shared" si="41"/>
        <v>0</v>
      </c>
      <c r="DJ122" s="33">
        <f t="shared" si="41"/>
        <v>0</v>
      </c>
      <c r="DK122" s="33">
        <f t="shared" si="41"/>
        <v>0</v>
      </c>
      <c r="DL122" s="33">
        <f t="shared" si="41"/>
        <v>0</v>
      </c>
      <c r="DM122" s="33">
        <f t="shared" si="41"/>
        <v>0</v>
      </c>
      <c r="DN122" s="33">
        <f t="shared" si="41"/>
        <v>0</v>
      </c>
      <c r="DO122" s="33">
        <f t="shared" si="41"/>
        <v>0</v>
      </c>
      <c r="DP122" s="50">
        <f t="shared" si="30"/>
        <v>0</v>
      </c>
      <c r="DQ122" s="50">
        <f t="shared" si="31"/>
        <v>0</v>
      </c>
      <c r="DR122" s="33">
        <f t="shared" si="28"/>
        <v>0</v>
      </c>
      <c r="DS122" s="50">
        <f t="shared" si="32"/>
        <v>0</v>
      </c>
      <c r="DT122" s="50">
        <f t="shared" si="33"/>
        <v>0</v>
      </c>
      <c r="DU122" s="33">
        <f t="shared" si="29"/>
        <v>0</v>
      </c>
      <c r="DV122" s="33">
        <f t="shared" si="29"/>
        <v>0</v>
      </c>
      <c r="DW122" s="33">
        <f t="shared" si="29"/>
        <v>0</v>
      </c>
      <c r="DX122" s="33">
        <f t="shared" si="26"/>
        <v>0</v>
      </c>
      <c r="DY122" s="35">
        <f t="shared" si="34"/>
        <v>0</v>
      </c>
      <c r="DZ122" s="33">
        <f t="shared" si="35"/>
        <v>11</v>
      </c>
      <c r="EA122" s="33">
        <f t="shared" si="36"/>
        <v>11</v>
      </c>
      <c r="EB122" s="33" t="str">
        <f t="shared" si="37"/>
        <v>IGUAL CAMPOS PREENCH</v>
      </c>
      <c r="EC122" s="33" t="s">
        <v>10035</v>
      </c>
    </row>
    <row r="123" spans="2:133" x14ac:dyDescent="0.25">
      <c r="B123" s="33" t="s">
        <v>9726</v>
      </c>
      <c r="C123" s="33" t="s">
        <v>47</v>
      </c>
      <c r="D123" s="33" t="s">
        <v>8513</v>
      </c>
      <c r="E123" s="33" t="s">
        <v>8514</v>
      </c>
      <c r="F123" s="33" t="s">
        <v>9727</v>
      </c>
      <c r="G123" s="33" t="s">
        <v>8514</v>
      </c>
      <c r="H123" s="33" t="s">
        <v>9728</v>
      </c>
      <c r="I123" s="33" t="s">
        <v>9729</v>
      </c>
      <c r="J123" s="33" t="s">
        <v>8514</v>
      </c>
      <c r="K123" s="33" t="s">
        <v>8570</v>
      </c>
      <c r="L123" s="33" t="s">
        <v>8571</v>
      </c>
      <c r="M123" s="33" t="s">
        <v>9730</v>
      </c>
      <c r="N123" s="33" t="s">
        <v>8500</v>
      </c>
      <c r="O123" s="33"/>
      <c r="P123" s="33"/>
      <c r="Q123" s="33" t="s">
        <v>8571</v>
      </c>
      <c r="R123" s="33" t="s">
        <v>9422</v>
      </c>
      <c r="S123" s="33"/>
      <c r="T123" s="33"/>
      <c r="U123" s="33" t="s">
        <v>9731</v>
      </c>
      <c r="V123" s="33" t="s">
        <v>9732</v>
      </c>
      <c r="W123" s="33" t="s">
        <v>9733</v>
      </c>
      <c r="X123" s="33" t="s">
        <v>9413</v>
      </c>
      <c r="Y123" s="33" t="s">
        <v>8500</v>
      </c>
      <c r="Z123" s="33" t="s">
        <v>8500</v>
      </c>
      <c r="AA123" s="33" t="s">
        <v>8500</v>
      </c>
      <c r="AB123" s="33" t="s">
        <v>8525</v>
      </c>
      <c r="AC123" s="33"/>
      <c r="AD123" s="33"/>
      <c r="AE123" s="33"/>
      <c r="AF123" s="33" t="s">
        <v>9734</v>
      </c>
      <c r="AG123" s="33"/>
      <c r="AH123" s="33" t="s">
        <v>8606</v>
      </c>
      <c r="AI123" s="33"/>
      <c r="AJ123" s="33"/>
      <c r="AK123" s="33"/>
      <c r="AL123" s="33" t="s">
        <v>8507</v>
      </c>
      <c r="AM123" s="33" t="s">
        <v>8506</v>
      </c>
      <c r="AN123" s="33" t="s">
        <v>9735</v>
      </c>
      <c r="AO123" s="33" t="s">
        <v>9736</v>
      </c>
      <c r="AP123" s="33">
        <v>1</v>
      </c>
      <c r="AQ123" s="5" t="s">
        <v>10037</v>
      </c>
      <c r="AR123" s="33"/>
      <c r="AS123" s="33" t="s">
        <v>47</v>
      </c>
      <c r="AT123" s="33" t="s">
        <v>8513</v>
      </c>
      <c r="AU123" s="33" t="s">
        <v>8514</v>
      </c>
      <c r="AV123" s="33" t="s">
        <v>9727</v>
      </c>
      <c r="AW123" s="33" t="s">
        <v>8514</v>
      </c>
      <c r="AX123" s="33" t="s">
        <v>9728</v>
      </c>
      <c r="AY123" s="33" t="s">
        <v>9729</v>
      </c>
      <c r="AZ123" s="33" t="s">
        <v>8514</v>
      </c>
      <c r="BA123" s="33" t="s">
        <v>8570</v>
      </c>
      <c r="BB123" s="33" t="s">
        <v>8571</v>
      </c>
      <c r="BC123" s="33" t="s">
        <v>9730</v>
      </c>
      <c r="BD123" s="33" t="s">
        <v>8500</v>
      </c>
      <c r="BE123" s="33"/>
      <c r="BF123" s="33"/>
      <c r="BG123" s="33" t="s">
        <v>8571</v>
      </c>
      <c r="BH123" s="33" t="s">
        <v>9422</v>
      </c>
      <c r="BI123" s="33"/>
      <c r="BJ123" s="33"/>
      <c r="BK123" s="33" t="s">
        <v>9731</v>
      </c>
      <c r="BL123" s="33" t="s">
        <v>9732</v>
      </c>
      <c r="BM123" s="33" t="s">
        <v>9733</v>
      </c>
      <c r="BN123" s="33" t="s">
        <v>9413</v>
      </c>
      <c r="BO123" s="33" t="s">
        <v>8500</v>
      </c>
      <c r="BP123" s="33" t="s">
        <v>8500</v>
      </c>
      <c r="BQ123" s="33" t="s">
        <v>8500</v>
      </c>
      <c r="BR123" s="33" t="s">
        <v>8525</v>
      </c>
      <c r="BS123" s="33"/>
      <c r="BT123" s="33"/>
      <c r="BU123" s="33"/>
      <c r="BV123" s="33" t="s">
        <v>9734</v>
      </c>
      <c r="BW123" s="33"/>
      <c r="BX123" s="33" t="s">
        <v>8606</v>
      </c>
      <c r="BY123" s="33"/>
      <c r="BZ123" s="33"/>
      <c r="CA123" s="33"/>
      <c r="CB123" s="33" t="s">
        <v>8507</v>
      </c>
      <c r="CC123" s="33" t="s">
        <v>8506</v>
      </c>
      <c r="CD123" s="33" t="s">
        <v>9735</v>
      </c>
      <c r="CE123" s="33" t="s">
        <v>9736</v>
      </c>
      <c r="CF123" s="33">
        <v>2</v>
      </c>
      <c r="CG123" s="5" t="s">
        <v>10037</v>
      </c>
      <c r="CH123" s="33">
        <f t="shared" si="45"/>
        <v>0</v>
      </c>
      <c r="CI123" s="33">
        <f t="shared" si="45"/>
        <v>0</v>
      </c>
      <c r="CJ123" s="33">
        <f t="shared" si="44"/>
        <v>0</v>
      </c>
      <c r="CK123" s="33">
        <f t="shared" si="44"/>
        <v>0</v>
      </c>
      <c r="CL123" s="33">
        <f t="shared" si="44"/>
        <v>0</v>
      </c>
      <c r="CM123" s="33">
        <f t="shared" si="44"/>
        <v>0</v>
      </c>
      <c r="CN123" s="33">
        <f t="shared" si="44"/>
        <v>0</v>
      </c>
      <c r="CO123" s="33">
        <f t="shared" si="44"/>
        <v>0</v>
      </c>
      <c r="CP123" s="33">
        <f t="shared" si="44"/>
        <v>0</v>
      </c>
      <c r="CQ123" s="33">
        <f t="shared" si="44"/>
        <v>0</v>
      </c>
      <c r="CR123" s="33">
        <f t="shared" si="44"/>
        <v>0</v>
      </c>
      <c r="CS123" s="33">
        <f t="shared" si="44"/>
        <v>0</v>
      </c>
      <c r="CT123" s="33">
        <f t="shared" si="44"/>
        <v>0</v>
      </c>
      <c r="CU123" s="33">
        <f t="shared" si="44"/>
        <v>0</v>
      </c>
      <c r="CV123" s="33">
        <f t="shared" si="44"/>
        <v>0</v>
      </c>
      <c r="CW123" s="33">
        <f t="shared" si="44"/>
        <v>0</v>
      </c>
      <c r="CX123" s="33">
        <f t="shared" si="43"/>
        <v>0</v>
      </c>
      <c r="CY123" s="33">
        <f t="shared" si="42"/>
        <v>0</v>
      </c>
      <c r="CZ123" s="33">
        <f t="shared" si="42"/>
        <v>0</v>
      </c>
      <c r="DA123" s="33">
        <f t="shared" si="42"/>
        <v>0</v>
      </c>
      <c r="DB123" s="33">
        <f t="shared" si="42"/>
        <v>0</v>
      </c>
      <c r="DC123" s="33">
        <f t="shared" si="42"/>
        <v>0</v>
      </c>
      <c r="DD123" s="33">
        <f t="shared" si="42"/>
        <v>0</v>
      </c>
      <c r="DE123" s="33">
        <f t="shared" si="42"/>
        <v>0</v>
      </c>
      <c r="DF123" s="33">
        <f t="shared" si="42"/>
        <v>0</v>
      </c>
      <c r="DG123" s="33">
        <f t="shared" si="42"/>
        <v>0</v>
      </c>
      <c r="DH123" s="33">
        <f t="shared" si="41"/>
        <v>0</v>
      </c>
      <c r="DI123" s="33">
        <f t="shared" si="41"/>
        <v>0</v>
      </c>
      <c r="DJ123" s="33">
        <f t="shared" si="41"/>
        <v>0</v>
      </c>
      <c r="DK123" s="33">
        <f t="shared" si="41"/>
        <v>0</v>
      </c>
      <c r="DL123" s="33">
        <f t="shared" si="41"/>
        <v>0</v>
      </c>
      <c r="DM123" s="33">
        <f t="shared" si="41"/>
        <v>0</v>
      </c>
      <c r="DN123" s="33">
        <f t="shared" si="41"/>
        <v>0</v>
      </c>
      <c r="DO123" s="33">
        <f t="shared" si="41"/>
        <v>0</v>
      </c>
      <c r="DP123" s="50">
        <f t="shared" si="30"/>
        <v>0</v>
      </c>
      <c r="DQ123" s="50">
        <f t="shared" si="31"/>
        <v>0</v>
      </c>
      <c r="DR123" s="33">
        <f t="shared" si="28"/>
        <v>0</v>
      </c>
      <c r="DS123" s="50">
        <f t="shared" si="32"/>
        <v>0</v>
      </c>
      <c r="DT123" s="50">
        <f t="shared" si="33"/>
        <v>0</v>
      </c>
      <c r="DU123" s="33">
        <f t="shared" si="29"/>
        <v>0</v>
      </c>
      <c r="DV123" s="33">
        <f t="shared" si="29"/>
        <v>0</v>
      </c>
      <c r="DW123" s="33">
        <f t="shared" si="29"/>
        <v>0</v>
      </c>
      <c r="DX123" s="33">
        <f t="shared" si="26"/>
        <v>0</v>
      </c>
      <c r="DY123" s="35">
        <f t="shared" si="34"/>
        <v>0</v>
      </c>
      <c r="DZ123" s="33">
        <f t="shared" si="35"/>
        <v>11</v>
      </c>
      <c r="EA123" s="33">
        <f t="shared" si="36"/>
        <v>11</v>
      </c>
      <c r="EB123" s="33" t="str">
        <f t="shared" si="37"/>
        <v>IGUAL CAMPOS PREENCH</v>
      </c>
      <c r="EC123" s="33" t="s">
        <v>10035</v>
      </c>
    </row>
    <row r="124" spans="2:133" x14ac:dyDescent="0.25">
      <c r="B124" s="33"/>
      <c r="C124" s="33" t="s">
        <v>105</v>
      </c>
      <c r="D124" s="33" t="s">
        <v>8801</v>
      </c>
      <c r="E124" s="33" t="s">
        <v>8802</v>
      </c>
      <c r="F124" s="33" t="s">
        <v>9455</v>
      </c>
      <c r="G124" s="33" t="s">
        <v>9456</v>
      </c>
      <c r="H124" s="33" t="s">
        <v>9457</v>
      </c>
      <c r="I124" s="33" t="s">
        <v>9458</v>
      </c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 t="s">
        <v>9737</v>
      </c>
      <c r="V124" s="33" t="s">
        <v>8501</v>
      </c>
      <c r="W124" s="33" t="s">
        <v>8671</v>
      </c>
      <c r="X124" s="33" t="s">
        <v>9462</v>
      </c>
      <c r="Y124" s="33" t="s">
        <v>8500</v>
      </c>
      <c r="Z124" s="33" t="s">
        <v>8500</v>
      </c>
      <c r="AA124" s="33" t="s">
        <v>8500</v>
      </c>
      <c r="AB124" s="33" t="s">
        <v>8500</v>
      </c>
      <c r="AC124" s="33"/>
      <c r="AD124" s="33"/>
      <c r="AE124" s="33"/>
      <c r="AF124" s="33" t="s">
        <v>9738</v>
      </c>
      <c r="AG124" s="33"/>
      <c r="AH124" s="33" t="s">
        <v>8505</v>
      </c>
      <c r="AI124" s="33"/>
      <c r="AJ124" s="33"/>
      <c r="AK124" s="33"/>
      <c r="AL124" s="33" t="s">
        <v>8528</v>
      </c>
      <c r="AM124" s="33" t="s">
        <v>8545</v>
      </c>
      <c r="AN124" s="33" t="s">
        <v>9739</v>
      </c>
      <c r="AO124" s="33" t="s">
        <v>9740</v>
      </c>
      <c r="AP124" s="33">
        <v>1</v>
      </c>
      <c r="AQ124" s="5" t="s">
        <v>10037</v>
      </c>
      <c r="AR124" s="33" t="s">
        <v>9741</v>
      </c>
      <c r="AS124" s="33" t="s">
        <v>105</v>
      </c>
      <c r="AT124" s="33" t="s">
        <v>8801</v>
      </c>
      <c r="AU124" s="33" t="s">
        <v>8802</v>
      </c>
      <c r="AV124" s="33" t="s">
        <v>9455</v>
      </c>
      <c r="AW124" s="33" t="s">
        <v>9456</v>
      </c>
      <c r="AX124" s="33" t="s">
        <v>9457</v>
      </c>
      <c r="AY124" s="33" t="s">
        <v>9458</v>
      </c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 t="s">
        <v>9737</v>
      </c>
      <c r="BL124" s="33" t="s">
        <v>8501</v>
      </c>
      <c r="BM124" s="33" t="s">
        <v>8671</v>
      </c>
      <c r="BN124" s="33" t="s">
        <v>9462</v>
      </c>
      <c r="BO124" s="33" t="s">
        <v>8500</v>
      </c>
      <c r="BP124" s="33" t="s">
        <v>8500</v>
      </c>
      <c r="BQ124" s="33" t="s">
        <v>8500</v>
      </c>
      <c r="BR124" s="33" t="s">
        <v>8500</v>
      </c>
      <c r="BS124" s="33"/>
      <c r="BT124" s="33"/>
      <c r="BU124" s="33"/>
      <c r="BV124" s="33" t="s">
        <v>9738</v>
      </c>
      <c r="BW124" s="33"/>
      <c r="BX124" s="33" t="s">
        <v>8505</v>
      </c>
      <c r="BY124" s="33"/>
      <c r="BZ124" s="33"/>
      <c r="CA124" s="33"/>
      <c r="CB124" s="33" t="s">
        <v>8528</v>
      </c>
      <c r="CC124" s="33" t="s">
        <v>8545</v>
      </c>
      <c r="CD124" s="33" t="s">
        <v>9739</v>
      </c>
      <c r="CE124" s="33" t="s">
        <v>9740</v>
      </c>
      <c r="CF124" s="33">
        <v>2</v>
      </c>
      <c r="CG124" s="5" t="s">
        <v>10037</v>
      </c>
      <c r="CH124" s="33">
        <f t="shared" si="45"/>
        <v>0</v>
      </c>
      <c r="CI124" s="33">
        <f t="shared" si="45"/>
        <v>0</v>
      </c>
      <c r="CJ124" s="33">
        <f t="shared" si="44"/>
        <v>0</v>
      </c>
      <c r="CK124" s="33">
        <f t="shared" si="44"/>
        <v>0</v>
      </c>
      <c r="CL124" s="33">
        <f t="shared" si="44"/>
        <v>0</v>
      </c>
      <c r="CM124" s="33">
        <f t="shared" si="44"/>
        <v>0</v>
      </c>
      <c r="CN124" s="33">
        <f t="shared" si="44"/>
        <v>0</v>
      </c>
      <c r="CO124" s="33">
        <f t="shared" si="44"/>
        <v>0</v>
      </c>
      <c r="CP124" s="33">
        <f t="shared" si="44"/>
        <v>0</v>
      </c>
      <c r="CQ124" s="33">
        <f t="shared" si="44"/>
        <v>0</v>
      </c>
      <c r="CR124" s="33">
        <f t="shared" si="44"/>
        <v>0</v>
      </c>
      <c r="CS124" s="33">
        <f t="shared" si="44"/>
        <v>0</v>
      </c>
      <c r="CT124" s="33">
        <f t="shared" si="44"/>
        <v>0</v>
      </c>
      <c r="CU124" s="33">
        <f t="shared" si="44"/>
        <v>0</v>
      </c>
      <c r="CV124" s="33">
        <f t="shared" si="44"/>
        <v>0</v>
      </c>
      <c r="CW124" s="33">
        <f t="shared" si="44"/>
        <v>0</v>
      </c>
      <c r="CX124" s="33">
        <f t="shared" si="43"/>
        <v>0</v>
      </c>
      <c r="CY124" s="33">
        <f t="shared" si="42"/>
        <v>0</v>
      </c>
      <c r="CZ124" s="33">
        <f t="shared" si="42"/>
        <v>0</v>
      </c>
      <c r="DA124" s="33">
        <f t="shared" si="42"/>
        <v>0</v>
      </c>
      <c r="DB124" s="33">
        <f t="shared" si="42"/>
        <v>0</v>
      </c>
      <c r="DC124" s="33">
        <f t="shared" si="42"/>
        <v>0</v>
      </c>
      <c r="DD124" s="33">
        <f t="shared" si="42"/>
        <v>0</v>
      </c>
      <c r="DE124" s="33">
        <f t="shared" si="42"/>
        <v>0</v>
      </c>
      <c r="DF124" s="33">
        <f t="shared" si="42"/>
        <v>0</v>
      </c>
      <c r="DG124" s="33">
        <f t="shared" si="42"/>
        <v>0</v>
      </c>
      <c r="DH124" s="33">
        <f t="shared" si="41"/>
        <v>0</v>
      </c>
      <c r="DI124" s="33">
        <f t="shared" si="41"/>
        <v>0</v>
      </c>
      <c r="DJ124" s="33">
        <f t="shared" si="41"/>
        <v>0</v>
      </c>
      <c r="DK124" s="33">
        <f t="shared" si="41"/>
        <v>0</v>
      </c>
      <c r="DL124" s="33">
        <f t="shared" si="41"/>
        <v>0</v>
      </c>
      <c r="DM124" s="33">
        <f t="shared" si="41"/>
        <v>0</v>
      </c>
      <c r="DN124" s="33">
        <f t="shared" si="41"/>
        <v>0</v>
      </c>
      <c r="DO124" s="33">
        <f t="shared" si="41"/>
        <v>0</v>
      </c>
      <c r="DP124" s="50">
        <f t="shared" si="30"/>
        <v>0</v>
      </c>
      <c r="DQ124" s="50">
        <f t="shared" si="31"/>
        <v>0</v>
      </c>
      <c r="DR124" s="33">
        <f t="shared" si="28"/>
        <v>0</v>
      </c>
      <c r="DS124" s="50">
        <f t="shared" si="32"/>
        <v>0</v>
      </c>
      <c r="DT124" s="50">
        <f t="shared" si="33"/>
        <v>0</v>
      </c>
      <c r="DU124" s="33">
        <f t="shared" si="29"/>
        <v>0</v>
      </c>
      <c r="DV124" s="33">
        <f t="shared" si="29"/>
        <v>0</v>
      </c>
      <c r="DW124" s="33">
        <f t="shared" si="29"/>
        <v>0</v>
      </c>
      <c r="DX124" s="33">
        <f t="shared" si="26"/>
        <v>0</v>
      </c>
      <c r="DY124" s="35">
        <f t="shared" si="34"/>
        <v>0</v>
      </c>
      <c r="DZ124" s="33">
        <f t="shared" si="35"/>
        <v>18</v>
      </c>
      <c r="EA124" s="33">
        <f t="shared" si="36"/>
        <v>18</v>
      </c>
      <c r="EB124" s="33" t="str">
        <f t="shared" si="37"/>
        <v>IGUAL CAMPOS PREENCH</v>
      </c>
      <c r="EC124" s="33" t="s">
        <v>10035</v>
      </c>
    </row>
    <row r="125" spans="2:133" x14ac:dyDescent="0.25">
      <c r="B125" s="33"/>
      <c r="C125" s="33" t="s">
        <v>148</v>
      </c>
      <c r="D125" s="33" t="s">
        <v>8645</v>
      </c>
      <c r="E125" s="33" t="s">
        <v>8646</v>
      </c>
      <c r="F125" s="33" t="s">
        <v>8647</v>
      </c>
      <c r="G125" s="33" t="s">
        <v>8648</v>
      </c>
      <c r="H125" s="33" t="s">
        <v>8649</v>
      </c>
      <c r="I125" s="33" t="s">
        <v>8650</v>
      </c>
      <c r="J125" s="33" t="s">
        <v>8651</v>
      </c>
      <c r="K125" s="33" t="s">
        <v>8570</v>
      </c>
      <c r="L125" s="33" t="s">
        <v>8571</v>
      </c>
      <c r="M125" s="33" t="s">
        <v>9742</v>
      </c>
      <c r="N125" s="33" t="s">
        <v>8653</v>
      </c>
      <c r="O125" s="33"/>
      <c r="P125" s="33"/>
      <c r="Q125" s="33" t="s">
        <v>8571</v>
      </c>
      <c r="R125" s="33" t="s">
        <v>9743</v>
      </c>
      <c r="S125" s="33"/>
      <c r="T125" s="33"/>
      <c r="U125" s="33" t="s">
        <v>8655</v>
      </c>
      <c r="V125" s="33" t="s">
        <v>8656</v>
      </c>
      <c r="W125" s="33" t="s">
        <v>9744</v>
      </c>
      <c r="X125" s="33" t="s">
        <v>9745</v>
      </c>
      <c r="Y125" s="33" t="s">
        <v>8500</v>
      </c>
      <c r="Z125" s="33" t="s">
        <v>8500</v>
      </c>
      <c r="AA125" s="33" t="s">
        <v>8500</v>
      </c>
      <c r="AB125" s="33" t="s">
        <v>8525</v>
      </c>
      <c r="AC125" s="33"/>
      <c r="AD125" s="33"/>
      <c r="AE125" s="33"/>
      <c r="AF125" s="33" t="s">
        <v>9746</v>
      </c>
      <c r="AG125" s="33"/>
      <c r="AH125" s="33" t="s">
        <v>8606</v>
      </c>
      <c r="AI125" s="33"/>
      <c r="AJ125" s="33"/>
      <c r="AK125" s="33"/>
      <c r="AL125" s="33" t="s">
        <v>8528</v>
      </c>
      <c r="AM125" s="33" t="s">
        <v>8577</v>
      </c>
      <c r="AN125" s="33" t="s">
        <v>8660</v>
      </c>
      <c r="AO125" s="33" t="s">
        <v>8661</v>
      </c>
      <c r="AP125" s="33">
        <v>1</v>
      </c>
      <c r="AQ125" s="5" t="s">
        <v>10037</v>
      </c>
      <c r="AR125" s="33" t="s">
        <v>9747</v>
      </c>
      <c r="AS125" s="33" t="s">
        <v>148</v>
      </c>
      <c r="AT125" s="33" t="s">
        <v>8645</v>
      </c>
      <c r="AU125" s="33" t="s">
        <v>8646</v>
      </c>
      <c r="AV125" s="33" t="s">
        <v>8647</v>
      </c>
      <c r="AW125" s="33" t="s">
        <v>8648</v>
      </c>
      <c r="AX125" s="33" t="s">
        <v>8649</v>
      </c>
      <c r="AY125" s="33" t="s">
        <v>8650</v>
      </c>
      <c r="AZ125" s="33" t="s">
        <v>8651</v>
      </c>
      <c r="BA125" s="33" t="s">
        <v>8570</v>
      </c>
      <c r="BB125" s="33" t="s">
        <v>8571</v>
      </c>
      <c r="BC125" s="33" t="s">
        <v>9742</v>
      </c>
      <c r="BD125" s="33" t="s">
        <v>8653</v>
      </c>
      <c r="BE125" s="33"/>
      <c r="BF125" s="33"/>
      <c r="BG125" s="33" t="s">
        <v>8571</v>
      </c>
      <c r="BH125" s="33" t="s">
        <v>9743</v>
      </c>
      <c r="BI125" s="33"/>
      <c r="BJ125" s="33"/>
      <c r="BK125" s="33" t="s">
        <v>8655</v>
      </c>
      <c r="BL125" s="33" t="s">
        <v>8656</v>
      </c>
      <c r="BM125" s="33" t="s">
        <v>9744</v>
      </c>
      <c r="BN125" s="33" t="s">
        <v>9745</v>
      </c>
      <c r="BO125" s="33" t="s">
        <v>8500</v>
      </c>
      <c r="BP125" s="33" t="s">
        <v>8500</v>
      </c>
      <c r="BQ125" s="33" t="s">
        <v>8500</v>
      </c>
      <c r="BR125" s="33" t="s">
        <v>8525</v>
      </c>
      <c r="BS125" s="33"/>
      <c r="BT125" s="33"/>
      <c r="BU125" s="33"/>
      <c r="BV125" s="33" t="s">
        <v>9746</v>
      </c>
      <c r="BW125" s="33"/>
      <c r="BX125" s="33" t="s">
        <v>8606</v>
      </c>
      <c r="BY125" s="33"/>
      <c r="BZ125" s="33" t="s">
        <v>8545</v>
      </c>
      <c r="CA125" s="33" t="s">
        <v>8528</v>
      </c>
      <c r="CB125" s="33" t="s">
        <v>8528</v>
      </c>
      <c r="CC125" s="33" t="s">
        <v>8577</v>
      </c>
      <c r="CD125" s="33" t="s">
        <v>8660</v>
      </c>
      <c r="CE125" s="33" t="s">
        <v>8661</v>
      </c>
      <c r="CF125" s="33">
        <v>2</v>
      </c>
      <c r="CG125" s="5" t="s">
        <v>10037</v>
      </c>
      <c r="CH125" s="33">
        <f t="shared" si="45"/>
        <v>0</v>
      </c>
      <c r="CI125" s="33">
        <f t="shared" si="45"/>
        <v>0</v>
      </c>
      <c r="CJ125" s="33">
        <f t="shared" si="44"/>
        <v>0</v>
      </c>
      <c r="CK125" s="33">
        <f t="shared" si="44"/>
        <v>0</v>
      </c>
      <c r="CL125" s="33">
        <f t="shared" si="44"/>
        <v>0</v>
      </c>
      <c r="CM125" s="33">
        <f t="shared" si="44"/>
        <v>0</v>
      </c>
      <c r="CN125" s="33">
        <f t="shared" si="44"/>
        <v>0</v>
      </c>
      <c r="CO125" s="33">
        <f t="shared" si="44"/>
        <v>0</v>
      </c>
      <c r="CP125" s="33">
        <f t="shared" si="44"/>
        <v>0</v>
      </c>
      <c r="CQ125" s="33">
        <f t="shared" si="44"/>
        <v>0</v>
      </c>
      <c r="CR125" s="33">
        <f t="shared" si="44"/>
        <v>0</v>
      </c>
      <c r="CS125" s="33">
        <f t="shared" si="44"/>
        <v>0</v>
      </c>
      <c r="CT125" s="33">
        <f t="shared" si="44"/>
        <v>0</v>
      </c>
      <c r="CU125" s="33">
        <f t="shared" si="44"/>
        <v>0</v>
      </c>
      <c r="CV125" s="33">
        <f t="shared" si="44"/>
        <v>0</v>
      </c>
      <c r="CW125" s="33">
        <f t="shared" si="44"/>
        <v>0</v>
      </c>
      <c r="CX125" s="33">
        <f t="shared" si="43"/>
        <v>0</v>
      </c>
      <c r="CY125" s="33">
        <f t="shared" si="42"/>
        <v>0</v>
      </c>
      <c r="CZ125" s="33">
        <f t="shared" si="42"/>
        <v>0</v>
      </c>
      <c r="DA125" s="33">
        <f t="shared" si="42"/>
        <v>0</v>
      </c>
      <c r="DB125" s="33">
        <f t="shared" si="42"/>
        <v>0</v>
      </c>
      <c r="DC125" s="33">
        <f t="shared" si="42"/>
        <v>0</v>
      </c>
      <c r="DD125" s="33">
        <f t="shared" si="42"/>
        <v>0</v>
      </c>
      <c r="DE125" s="33">
        <f t="shared" si="42"/>
        <v>0</v>
      </c>
      <c r="DF125" s="33">
        <f t="shared" si="42"/>
        <v>0</v>
      </c>
      <c r="DG125" s="33">
        <f t="shared" si="42"/>
        <v>0</v>
      </c>
      <c r="DH125" s="33">
        <f t="shared" si="41"/>
        <v>0</v>
      </c>
      <c r="DI125" s="33">
        <f t="shared" si="41"/>
        <v>0</v>
      </c>
      <c r="DJ125" s="33">
        <f t="shared" si="41"/>
        <v>0</v>
      </c>
      <c r="DK125" s="33">
        <f t="shared" si="41"/>
        <v>0</v>
      </c>
      <c r="DL125" s="33">
        <f t="shared" si="41"/>
        <v>0</v>
      </c>
      <c r="DM125" s="33">
        <f t="shared" si="41"/>
        <v>0</v>
      </c>
      <c r="DN125" s="33">
        <f t="shared" si="41"/>
        <v>0</v>
      </c>
      <c r="DO125" s="33">
        <f t="shared" si="41"/>
        <v>1</v>
      </c>
      <c r="DP125" s="50">
        <f t="shared" si="30"/>
        <v>0</v>
      </c>
      <c r="DQ125" s="50" t="str">
        <f t="shared" si="31"/>
        <v>D</v>
      </c>
      <c r="DR125" s="33">
        <f t="shared" si="28"/>
        <v>1</v>
      </c>
      <c r="DS125" s="50">
        <f t="shared" si="32"/>
        <v>0</v>
      </c>
      <c r="DT125" s="50" t="str">
        <f t="shared" si="33"/>
        <v>5-MEDIA BAJA</v>
      </c>
      <c r="DU125" s="33">
        <f t="shared" si="29"/>
        <v>0</v>
      </c>
      <c r="DV125" s="33">
        <f t="shared" si="29"/>
        <v>0</v>
      </c>
      <c r="DW125" s="33">
        <f t="shared" si="29"/>
        <v>0</v>
      </c>
      <c r="DX125" s="33">
        <f t="shared" si="26"/>
        <v>0</v>
      </c>
      <c r="DY125" s="35">
        <f t="shared" si="34"/>
        <v>2</v>
      </c>
      <c r="DZ125" s="33">
        <f t="shared" si="35"/>
        <v>11</v>
      </c>
      <c r="EA125" s="33">
        <f t="shared" si="36"/>
        <v>9</v>
      </c>
      <c r="EB125" s="33" t="str">
        <f t="shared" si="37"/>
        <v>AUX 2 COM + CAMPOS PREENC</v>
      </c>
      <c r="EC125" s="33" t="s">
        <v>10034</v>
      </c>
    </row>
    <row r="126" spans="2:133" x14ac:dyDescent="0.25">
      <c r="B126" s="33" t="s">
        <v>9748</v>
      </c>
      <c r="C126" s="33" t="s">
        <v>112</v>
      </c>
      <c r="D126" s="33" t="s">
        <v>8788</v>
      </c>
      <c r="E126" s="33" t="s">
        <v>8789</v>
      </c>
      <c r="F126" s="33" t="s">
        <v>9291</v>
      </c>
      <c r="G126" s="33" t="s">
        <v>9292</v>
      </c>
      <c r="H126" s="33" t="s">
        <v>9749</v>
      </c>
      <c r="I126" s="33" t="s">
        <v>9081</v>
      </c>
      <c r="J126" s="33" t="s">
        <v>9750</v>
      </c>
      <c r="K126" s="33" t="s">
        <v>8570</v>
      </c>
      <c r="L126" s="33" t="s">
        <v>8571</v>
      </c>
      <c r="M126" s="33" t="s">
        <v>9751</v>
      </c>
      <c r="N126" s="33" t="s">
        <v>9316</v>
      </c>
      <c r="O126" s="33"/>
      <c r="P126" s="33"/>
      <c r="Q126" s="33" t="s">
        <v>8571</v>
      </c>
      <c r="R126" s="33" t="s">
        <v>8525</v>
      </c>
      <c r="S126" s="33"/>
      <c r="T126" s="33"/>
      <c r="U126" s="33" t="s">
        <v>9752</v>
      </c>
      <c r="V126" s="33" t="s">
        <v>9753</v>
      </c>
      <c r="W126" s="33" t="s">
        <v>9754</v>
      </c>
      <c r="X126" s="33" t="s">
        <v>8499</v>
      </c>
      <c r="Y126" s="33" t="s">
        <v>8525</v>
      </c>
      <c r="Z126" s="33" t="s">
        <v>8525</v>
      </c>
      <c r="AA126" s="33" t="s">
        <v>8500</v>
      </c>
      <c r="AB126" s="33" t="s">
        <v>8500</v>
      </c>
      <c r="AC126" s="33"/>
      <c r="AD126" s="33"/>
      <c r="AE126" s="33"/>
      <c r="AF126" s="33" t="s">
        <v>9755</v>
      </c>
      <c r="AG126" s="33"/>
      <c r="AH126" s="33" t="s">
        <v>8527</v>
      </c>
      <c r="AI126" s="33"/>
      <c r="AJ126" s="33"/>
      <c r="AK126" s="33"/>
      <c r="AL126" s="33" t="s">
        <v>8507</v>
      </c>
      <c r="AM126" s="33" t="s">
        <v>8602</v>
      </c>
      <c r="AN126" s="33" t="s">
        <v>9756</v>
      </c>
      <c r="AO126" s="33" t="s">
        <v>9757</v>
      </c>
      <c r="AP126" s="33">
        <v>1</v>
      </c>
      <c r="AQ126" s="5" t="s">
        <v>10037</v>
      </c>
      <c r="AR126" s="33"/>
      <c r="AS126" s="33" t="s">
        <v>112</v>
      </c>
      <c r="AT126" s="33" t="s">
        <v>8788</v>
      </c>
      <c r="AU126" s="33" t="s">
        <v>8789</v>
      </c>
      <c r="AV126" s="33" t="s">
        <v>9291</v>
      </c>
      <c r="AW126" s="33" t="s">
        <v>9292</v>
      </c>
      <c r="AX126" s="33" t="s">
        <v>9749</v>
      </c>
      <c r="AY126" s="33" t="s">
        <v>9081</v>
      </c>
      <c r="AZ126" s="33" t="s">
        <v>9750</v>
      </c>
      <c r="BA126" s="33" t="s">
        <v>8570</v>
      </c>
      <c r="BB126" s="33" t="s">
        <v>8571</v>
      </c>
      <c r="BC126" s="33" t="s">
        <v>9751</v>
      </c>
      <c r="BD126" s="33" t="s">
        <v>9316</v>
      </c>
      <c r="BE126" s="33"/>
      <c r="BF126" s="33"/>
      <c r="BG126" s="33" t="s">
        <v>8571</v>
      </c>
      <c r="BH126" s="33" t="s">
        <v>8525</v>
      </c>
      <c r="BI126" s="33"/>
      <c r="BJ126" s="33"/>
      <c r="BK126" s="33" t="s">
        <v>9752</v>
      </c>
      <c r="BL126" s="33" t="s">
        <v>9753</v>
      </c>
      <c r="BM126" s="33" t="s">
        <v>9754</v>
      </c>
      <c r="BN126" s="33" t="s">
        <v>8499</v>
      </c>
      <c r="BO126" s="33" t="s">
        <v>8525</v>
      </c>
      <c r="BP126" s="33" t="s">
        <v>8525</v>
      </c>
      <c r="BQ126" s="33" t="s">
        <v>8500</v>
      </c>
      <c r="BR126" s="33" t="s">
        <v>8500</v>
      </c>
      <c r="BS126" s="33"/>
      <c r="BT126" s="33"/>
      <c r="BU126" s="33"/>
      <c r="BV126" s="33" t="s">
        <v>9755</v>
      </c>
      <c r="BW126" s="33"/>
      <c r="BX126" s="33" t="s">
        <v>8527</v>
      </c>
      <c r="BY126" s="33"/>
      <c r="BZ126" s="33"/>
      <c r="CA126" s="33"/>
      <c r="CB126" s="33" t="s">
        <v>8507</v>
      </c>
      <c r="CC126" s="33" t="s">
        <v>8602</v>
      </c>
      <c r="CD126" s="33" t="s">
        <v>9756</v>
      </c>
      <c r="CE126" s="33" t="s">
        <v>9757</v>
      </c>
      <c r="CF126" s="33">
        <v>2</v>
      </c>
      <c r="CG126" s="5" t="s">
        <v>10037</v>
      </c>
      <c r="CH126" s="33">
        <f t="shared" si="45"/>
        <v>0</v>
      </c>
      <c r="CI126" s="33">
        <f t="shared" si="45"/>
        <v>0</v>
      </c>
      <c r="CJ126" s="33">
        <f t="shared" si="44"/>
        <v>0</v>
      </c>
      <c r="CK126" s="33">
        <f t="shared" si="44"/>
        <v>0</v>
      </c>
      <c r="CL126" s="33">
        <f t="shared" si="44"/>
        <v>0</v>
      </c>
      <c r="CM126" s="33">
        <f t="shared" si="44"/>
        <v>0</v>
      </c>
      <c r="CN126" s="33">
        <f t="shared" si="44"/>
        <v>0</v>
      </c>
      <c r="CO126" s="33">
        <f t="shared" si="44"/>
        <v>0</v>
      </c>
      <c r="CP126" s="33">
        <f t="shared" si="44"/>
        <v>0</v>
      </c>
      <c r="CQ126" s="33">
        <f t="shared" si="44"/>
        <v>0</v>
      </c>
      <c r="CR126" s="33">
        <f t="shared" si="44"/>
        <v>0</v>
      </c>
      <c r="CS126" s="33">
        <f t="shared" si="44"/>
        <v>0</v>
      </c>
      <c r="CT126" s="33">
        <f t="shared" si="44"/>
        <v>0</v>
      </c>
      <c r="CU126" s="33">
        <f t="shared" si="44"/>
        <v>0</v>
      </c>
      <c r="CV126" s="33">
        <f t="shared" si="44"/>
        <v>0</v>
      </c>
      <c r="CW126" s="33">
        <f t="shared" si="44"/>
        <v>0</v>
      </c>
      <c r="CX126" s="33">
        <f t="shared" si="43"/>
        <v>0</v>
      </c>
      <c r="CY126" s="33">
        <f t="shared" si="42"/>
        <v>0</v>
      </c>
      <c r="CZ126" s="33">
        <f t="shared" si="42"/>
        <v>0</v>
      </c>
      <c r="DA126" s="33">
        <f t="shared" si="42"/>
        <v>0</v>
      </c>
      <c r="DB126" s="33">
        <f t="shared" si="42"/>
        <v>0</v>
      </c>
      <c r="DC126" s="33">
        <f t="shared" si="42"/>
        <v>0</v>
      </c>
      <c r="DD126" s="33">
        <f t="shared" si="42"/>
        <v>0</v>
      </c>
      <c r="DE126" s="33">
        <f t="shared" si="42"/>
        <v>0</v>
      </c>
      <c r="DF126" s="33">
        <f t="shared" si="42"/>
        <v>0</v>
      </c>
      <c r="DG126" s="33">
        <f t="shared" si="42"/>
        <v>0</v>
      </c>
      <c r="DH126" s="33">
        <f t="shared" si="41"/>
        <v>0</v>
      </c>
      <c r="DI126" s="33">
        <f t="shared" si="41"/>
        <v>0</v>
      </c>
      <c r="DJ126" s="33">
        <f t="shared" si="41"/>
        <v>0</v>
      </c>
      <c r="DK126" s="33">
        <f t="shared" si="41"/>
        <v>0</v>
      </c>
      <c r="DL126" s="33">
        <f t="shared" si="41"/>
        <v>0</v>
      </c>
      <c r="DM126" s="33">
        <f t="shared" si="41"/>
        <v>0</v>
      </c>
      <c r="DN126" s="33">
        <f t="shared" si="41"/>
        <v>0</v>
      </c>
      <c r="DO126" s="33">
        <f t="shared" si="41"/>
        <v>0</v>
      </c>
      <c r="DP126" s="50">
        <f t="shared" si="30"/>
        <v>0</v>
      </c>
      <c r="DQ126" s="50">
        <f t="shared" si="31"/>
        <v>0</v>
      </c>
      <c r="DR126" s="33">
        <f t="shared" si="28"/>
        <v>0</v>
      </c>
      <c r="DS126" s="50">
        <f t="shared" si="32"/>
        <v>0</v>
      </c>
      <c r="DT126" s="50">
        <f t="shared" si="33"/>
        <v>0</v>
      </c>
      <c r="DU126" s="33">
        <f t="shared" si="29"/>
        <v>0</v>
      </c>
      <c r="DV126" s="33">
        <f t="shared" si="29"/>
        <v>0</v>
      </c>
      <c r="DW126" s="33">
        <f t="shared" si="29"/>
        <v>0</v>
      </c>
      <c r="DX126" s="33">
        <f t="shared" si="26"/>
        <v>0</v>
      </c>
      <c r="DY126" s="35">
        <f t="shared" si="34"/>
        <v>0</v>
      </c>
      <c r="DZ126" s="33">
        <f t="shared" si="35"/>
        <v>11</v>
      </c>
      <c r="EA126" s="33">
        <f t="shared" si="36"/>
        <v>11</v>
      </c>
      <c r="EB126" s="33" t="str">
        <f t="shared" si="37"/>
        <v>IGUAL CAMPOS PREENCH</v>
      </c>
      <c r="EC126" s="33" t="s">
        <v>10035</v>
      </c>
    </row>
    <row r="127" spans="2:133" x14ac:dyDescent="0.25">
      <c r="B127" s="33"/>
      <c r="C127" s="33" t="s">
        <v>120</v>
      </c>
      <c r="D127" s="33" t="s">
        <v>8645</v>
      </c>
      <c r="E127" s="33" t="s">
        <v>8646</v>
      </c>
      <c r="F127" s="33" t="s">
        <v>9146</v>
      </c>
      <c r="G127" s="33" t="s">
        <v>9147</v>
      </c>
      <c r="H127" s="33" t="s">
        <v>9148</v>
      </c>
      <c r="I127" s="33" t="s">
        <v>9147</v>
      </c>
      <c r="J127" s="33" t="s">
        <v>9147</v>
      </c>
      <c r="K127" s="33" t="s">
        <v>8819</v>
      </c>
      <c r="L127" s="33" t="s">
        <v>8820</v>
      </c>
      <c r="M127" s="33" t="s">
        <v>9149</v>
      </c>
      <c r="N127" s="33" t="s">
        <v>9758</v>
      </c>
      <c r="O127" s="33"/>
      <c r="P127" s="33"/>
      <c r="Q127" s="33" t="s">
        <v>8820</v>
      </c>
      <c r="R127" s="33" t="s">
        <v>8500</v>
      </c>
      <c r="S127" s="33"/>
      <c r="T127" s="33"/>
      <c r="U127" s="33" t="s">
        <v>9151</v>
      </c>
      <c r="V127" s="33" t="s">
        <v>8782</v>
      </c>
      <c r="W127" s="33" t="s">
        <v>9759</v>
      </c>
      <c r="X127" s="33" t="s">
        <v>9153</v>
      </c>
      <c r="Y127" s="33" t="s">
        <v>8500</v>
      </c>
      <c r="Z127" s="33" t="s">
        <v>8500</v>
      </c>
      <c r="AA127" s="33" t="s">
        <v>8500</v>
      </c>
      <c r="AB127" s="33" t="s">
        <v>8525</v>
      </c>
      <c r="AC127" s="33"/>
      <c r="AD127" s="33"/>
      <c r="AE127" s="33"/>
      <c r="AF127" s="33" t="s">
        <v>9760</v>
      </c>
      <c r="AG127" s="33"/>
      <c r="AH127" s="33" t="s">
        <v>8606</v>
      </c>
      <c r="AI127" s="33"/>
      <c r="AJ127" s="33"/>
      <c r="AK127" s="33"/>
      <c r="AL127" s="33" t="s">
        <v>8528</v>
      </c>
      <c r="AM127" s="33" t="s">
        <v>8577</v>
      </c>
      <c r="AN127" s="33" t="s">
        <v>9155</v>
      </c>
      <c r="AO127" s="33" t="s">
        <v>9156</v>
      </c>
      <c r="AP127" s="33">
        <v>1</v>
      </c>
      <c r="AQ127" s="5" t="s">
        <v>10037</v>
      </c>
      <c r="AR127" s="33"/>
      <c r="AS127" s="33" t="s">
        <v>120</v>
      </c>
      <c r="AT127" s="33" t="s">
        <v>8645</v>
      </c>
      <c r="AU127" s="33" t="s">
        <v>8646</v>
      </c>
      <c r="AV127" s="33" t="s">
        <v>9146</v>
      </c>
      <c r="AW127" s="33" t="s">
        <v>9147</v>
      </c>
      <c r="AX127" s="33" t="s">
        <v>9148</v>
      </c>
      <c r="AY127" s="33" t="s">
        <v>9147</v>
      </c>
      <c r="AZ127" s="33" t="s">
        <v>9147</v>
      </c>
      <c r="BA127" s="33" t="s">
        <v>8819</v>
      </c>
      <c r="BB127" s="33" t="s">
        <v>8820</v>
      </c>
      <c r="BC127" s="33" t="s">
        <v>9149</v>
      </c>
      <c r="BD127" s="33" t="s">
        <v>9758</v>
      </c>
      <c r="BE127" s="33"/>
      <c r="BF127" s="33"/>
      <c r="BG127" s="33" t="s">
        <v>8820</v>
      </c>
      <c r="BH127" s="33" t="s">
        <v>8500</v>
      </c>
      <c r="BI127" s="33"/>
      <c r="BJ127" s="33"/>
      <c r="BK127" s="33" t="s">
        <v>9151</v>
      </c>
      <c r="BL127" s="33" t="s">
        <v>8782</v>
      </c>
      <c r="BM127" s="33" t="s">
        <v>9759</v>
      </c>
      <c r="BN127" s="33" t="s">
        <v>9153</v>
      </c>
      <c r="BO127" s="33" t="s">
        <v>8500</v>
      </c>
      <c r="BP127" s="33" t="s">
        <v>8500</v>
      </c>
      <c r="BQ127" s="33" t="s">
        <v>8500</v>
      </c>
      <c r="BR127" s="33" t="s">
        <v>8525</v>
      </c>
      <c r="BS127" s="33"/>
      <c r="BT127" s="33"/>
      <c r="BU127" s="33"/>
      <c r="BV127" s="33" t="s">
        <v>9760</v>
      </c>
      <c r="BW127" s="33"/>
      <c r="BX127" s="33" t="s">
        <v>8606</v>
      </c>
      <c r="BY127" s="33"/>
      <c r="BZ127" s="33" t="s">
        <v>8545</v>
      </c>
      <c r="CA127" s="33" t="s">
        <v>8507</v>
      </c>
      <c r="CB127" s="33" t="s">
        <v>8528</v>
      </c>
      <c r="CC127" s="33" t="s">
        <v>8577</v>
      </c>
      <c r="CD127" s="33" t="s">
        <v>9155</v>
      </c>
      <c r="CE127" s="33" t="s">
        <v>9156</v>
      </c>
      <c r="CF127" s="33">
        <v>2</v>
      </c>
      <c r="CG127" s="5" t="s">
        <v>10037</v>
      </c>
      <c r="CH127" s="33">
        <f t="shared" si="45"/>
        <v>0</v>
      </c>
      <c r="CI127" s="33">
        <f t="shared" si="45"/>
        <v>0</v>
      </c>
      <c r="CJ127" s="33">
        <f t="shared" si="44"/>
        <v>0</v>
      </c>
      <c r="CK127" s="33">
        <f t="shared" si="44"/>
        <v>0</v>
      </c>
      <c r="CL127" s="33">
        <f t="shared" si="44"/>
        <v>0</v>
      </c>
      <c r="CM127" s="33">
        <f t="shared" si="44"/>
        <v>0</v>
      </c>
      <c r="CN127" s="33">
        <f t="shared" si="44"/>
        <v>0</v>
      </c>
      <c r="CO127" s="33">
        <f t="shared" si="44"/>
        <v>0</v>
      </c>
      <c r="CP127" s="33">
        <f t="shared" si="44"/>
        <v>0</v>
      </c>
      <c r="CQ127" s="33">
        <f t="shared" si="44"/>
        <v>0</v>
      </c>
      <c r="CR127" s="33">
        <f t="shared" si="44"/>
        <v>0</v>
      </c>
      <c r="CS127" s="33">
        <f t="shared" si="44"/>
        <v>0</v>
      </c>
      <c r="CT127" s="33">
        <f t="shared" si="44"/>
        <v>0</v>
      </c>
      <c r="CU127" s="33">
        <f t="shared" si="44"/>
        <v>0</v>
      </c>
      <c r="CV127" s="33">
        <f t="shared" si="44"/>
        <v>0</v>
      </c>
      <c r="CW127" s="33">
        <f t="shared" si="44"/>
        <v>0</v>
      </c>
      <c r="CX127" s="33">
        <f t="shared" si="43"/>
        <v>0</v>
      </c>
      <c r="CY127" s="33">
        <f t="shared" si="42"/>
        <v>0</v>
      </c>
      <c r="CZ127" s="33">
        <f t="shared" si="42"/>
        <v>0</v>
      </c>
      <c r="DA127" s="33">
        <f t="shared" si="42"/>
        <v>0</v>
      </c>
      <c r="DB127" s="33">
        <f t="shared" si="42"/>
        <v>0</v>
      </c>
      <c r="DC127" s="33">
        <f t="shared" si="42"/>
        <v>0</v>
      </c>
      <c r="DD127" s="33">
        <f t="shared" si="42"/>
        <v>0</v>
      </c>
      <c r="DE127" s="33">
        <f t="shared" si="42"/>
        <v>0</v>
      </c>
      <c r="DF127" s="33">
        <f t="shared" si="42"/>
        <v>0</v>
      </c>
      <c r="DG127" s="33">
        <f t="shared" si="42"/>
        <v>0</v>
      </c>
      <c r="DH127" s="33">
        <f t="shared" si="41"/>
        <v>0</v>
      </c>
      <c r="DI127" s="33">
        <f t="shared" si="41"/>
        <v>0</v>
      </c>
      <c r="DJ127" s="33">
        <f t="shared" si="41"/>
        <v>0</v>
      </c>
      <c r="DK127" s="33">
        <f t="shared" si="41"/>
        <v>0</v>
      </c>
      <c r="DL127" s="33">
        <f t="shared" si="41"/>
        <v>0</v>
      </c>
      <c r="DM127" s="33">
        <f t="shared" si="41"/>
        <v>0</v>
      </c>
      <c r="DN127" s="33">
        <f t="shared" si="41"/>
        <v>0</v>
      </c>
      <c r="DO127" s="33">
        <f t="shared" si="41"/>
        <v>1</v>
      </c>
      <c r="DP127" s="50">
        <f t="shared" si="30"/>
        <v>0</v>
      </c>
      <c r="DQ127" s="50" t="str">
        <f t="shared" si="31"/>
        <v>D</v>
      </c>
      <c r="DR127" s="33">
        <f t="shared" si="28"/>
        <v>1</v>
      </c>
      <c r="DS127" s="50">
        <f t="shared" si="32"/>
        <v>0</v>
      </c>
      <c r="DT127" s="50" t="str">
        <f t="shared" si="33"/>
        <v>4-MEDIA</v>
      </c>
      <c r="DU127" s="33">
        <f t="shared" si="29"/>
        <v>0</v>
      </c>
      <c r="DV127" s="33">
        <f t="shared" si="29"/>
        <v>0</v>
      </c>
      <c r="DW127" s="33">
        <f t="shared" si="29"/>
        <v>0</v>
      </c>
      <c r="DX127" s="33">
        <f t="shared" si="26"/>
        <v>0</v>
      </c>
      <c r="DY127" s="35">
        <f t="shared" si="34"/>
        <v>2</v>
      </c>
      <c r="DZ127" s="33">
        <f t="shared" si="35"/>
        <v>11</v>
      </c>
      <c r="EA127" s="33">
        <f t="shared" si="36"/>
        <v>9</v>
      </c>
      <c r="EB127" s="33" t="str">
        <f t="shared" si="37"/>
        <v>AUX 2 COM + CAMPOS PREENC</v>
      </c>
      <c r="EC127" s="33" t="s">
        <v>10034</v>
      </c>
    </row>
    <row r="128" spans="2:133" x14ac:dyDescent="0.25">
      <c r="B128" s="33"/>
      <c r="C128" s="33" t="s">
        <v>104</v>
      </c>
      <c r="D128" s="33" t="s">
        <v>8962</v>
      </c>
      <c r="E128" s="33" t="s">
        <v>8963</v>
      </c>
      <c r="F128" s="33" t="s">
        <v>8964</v>
      </c>
      <c r="G128" s="33" t="s">
        <v>8965</v>
      </c>
      <c r="H128" s="33" t="s">
        <v>9761</v>
      </c>
      <c r="I128" s="33" t="s">
        <v>9762</v>
      </c>
      <c r="J128" s="33" t="s">
        <v>9762</v>
      </c>
      <c r="K128" s="33" t="s">
        <v>8519</v>
      </c>
      <c r="L128" s="33" t="s">
        <v>8520</v>
      </c>
      <c r="M128" s="33" t="s">
        <v>9763</v>
      </c>
      <c r="N128" s="33" t="s">
        <v>8620</v>
      </c>
      <c r="O128" s="33"/>
      <c r="P128" s="33"/>
      <c r="Q128" s="33" t="s">
        <v>8520</v>
      </c>
      <c r="R128" s="33"/>
      <c r="S128" s="33"/>
      <c r="T128" s="33"/>
      <c r="U128" s="33" t="s">
        <v>8970</v>
      </c>
      <c r="V128" s="33" t="s">
        <v>9764</v>
      </c>
      <c r="W128" s="33" t="s">
        <v>9765</v>
      </c>
      <c r="X128" s="33"/>
      <c r="Y128" s="33" t="s">
        <v>8500</v>
      </c>
      <c r="Z128" s="33" t="s">
        <v>8500</v>
      </c>
      <c r="AA128" s="33" t="s">
        <v>8500</v>
      </c>
      <c r="AB128" s="33" t="s">
        <v>8500</v>
      </c>
      <c r="AC128" s="33"/>
      <c r="AD128" s="33"/>
      <c r="AE128" s="33"/>
      <c r="AF128" s="33" t="s">
        <v>9766</v>
      </c>
      <c r="AG128" s="33"/>
      <c r="AH128" s="33" t="s">
        <v>8505</v>
      </c>
      <c r="AI128" s="33"/>
      <c r="AJ128" s="33"/>
      <c r="AK128" s="33"/>
      <c r="AL128" s="33" t="s">
        <v>8507</v>
      </c>
      <c r="AM128" s="33" t="s">
        <v>8564</v>
      </c>
      <c r="AN128" s="33" t="s">
        <v>9767</v>
      </c>
      <c r="AO128" s="33" t="s">
        <v>9768</v>
      </c>
      <c r="AP128" s="33">
        <v>1</v>
      </c>
      <c r="AQ128" s="5" t="s">
        <v>10037</v>
      </c>
      <c r="AR128" s="33" t="s">
        <v>9769</v>
      </c>
      <c r="AS128" s="33" t="s">
        <v>104</v>
      </c>
      <c r="AT128" s="33" t="s">
        <v>8962</v>
      </c>
      <c r="AU128" s="33" t="s">
        <v>8963</v>
      </c>
      <c r="AV128" s="33" t="s">
        <v>8964</v>
      </c>
      <c r="AW128" s="33" t="s">
        <v>8965</v>
      </c>
      <c r="AX128" s="33" t="s">
        <v>9761</v>
      </c>
      <c r="AY128" s="33" t="s">
        <v>9762</v>
      </c>
      <c r="AZ128" s="33" t="s">
        <v>9762</v>
      </c>
      <c r="BA128" s="33" t="s">
        <v>8519</v>
      </c>
      <c r="BB128" s="33" t="s">
        <v>8520</v>
      </c>
      <c r="BC128" s="33" t="s">
        <v>9763</v>
      </c>
      <c r="BD128" s="33" t="s">
        <v>8620</v>
      </c>
      <c r="BE128" s="33"/>
      <c r="BF128" s="33"/>
      <c r="BG128" s="33" t="s">
        <v>8520</v>
      </c>
      <c r="BH128" s="33"/>
      <c r="BI128" s="33"/>
      <c r="BJ128" s="33"/>
      <c r="BK128" s="33" t="s">
        <v>8970</v>
      </c>
      <c r="BL128" s="33" t="s">
        <v>9764</v>
      </c>
      <c r="BM128" s="33" t="s">
        <v>9765</v>
      </c>
      <c r="BN128" s="33"/>
      <c r="BO128" s="33" t="s">
        <v>8500</v>
      </c>
      <c r="BP128" s="33" t="s">
        <v>8500</v>
      </c>
      <c r="BQ128" s="33" t="s">
        <v>8500</v>
      </c>
      <c r="BR128" s="33" t="s">
        <v>8500</v>
      </c>
      <c r="BS128" s="33"/>
      <c r="BT128" s="33"/>
      <c r="BU128" s="33"/>
      <c r="BV128" s="33" t="s">
        <v>9766</v>
      </c>
      <c r="BW128" s="33"/>
      <c r="BX128" s="33" t="s">
        <v>8505</v>
      </c>
      <c r="BY128" s="33"/>
      <c r="BZ128" s="33"/>
      <c r="CA128" s="33"/>
      <c r="CB128" s="33" t="s">
        <v>8507</v>
      </c>
      <c r="CC128" s="33" t="s">
        <v>8564</v>
      </c>
      <c r="CD128" s="33" t="s">
        <v>9767</v>
      </c>
      <c r="CE128" s="33" t="s">
        <v>9768</v>
      </c>
      <c r="CF128" s="33">
        <v>2</v>
      </c>
      <c r="CG128" s="5" t="s">
        <v>10037</v>
      </c>
      <c r="CH128" s="33">
        <f t="shared" si="45"/>
        <v>0</v>
      </c>
      <c r="CI128" s="33">
        <f t="shared" si="45"/>
        <v>0</v>
      </c>
      <c r="CJ128" s="33">
        <f t="shared" si="44"/>
        <v>0</v>
      </c>
      <c r="CK128" s="33">
        <f t="shared" si="44"/>
        <v>0</v>
      </c>
      <c r="CL128" s="33">
        <f t="shared" si="44"/>
        <v>0</v>
      </c>
      <c r="CM128" s="33">
        <f t="shared" si="44"/>
        <v>0</v>
      </c>
      <c r="CN128" s="33">
        <f t="shared" si="44"/>
        <v>0</v>
      </c>
      <c r="CO128" s="33">
        <f t="shared" si="44"/>
        <v>0</v>
      </c>
      <c r="CP128" s="33">
        <f t="shared" si="44"/>
        <v>0</v>
      </c>
      <c r="CQ128" s="33">
        <f t="shared" si="44"/>
        <v>0</v>
      </c>
      <c r="CR128" s="33">
        <f t="shared" si="44"/>
        <v>0</v>
      </c>
      <c r="CS128" s="33">
        <f t="shared" si="44"/>
        <v>0</v>
      </c>
      <c r="CT128" s="33">
        <f t="shared" si="44"/>
        <v>0</v>
      </c>
      <c r="CU128" s="33">
        <f t="shared" si="44"/>
        <v>0</v>
      </c>
      <c r="CV128" s="33">
        <f t="shared" si="44"/>
        <v>0</v>
      </c>
      <c r="CW128" s="33">
        <f t="shared" si="44"/>
        <v>0</v>
      </c>
      <c r="CX128" s="33">
        <f t="shared" si="43"/>
        <v>0</v>
      </c>
      <c r="CY128" s="33">
        <f t="shared" si="42"/>
        <v>0</v>
      </c>
      <c r="CZ128" s="33">
        <f t="shared" si="42"/>
        <v>0</v>
      </c>
      <c r="DA128" s="33">
        <f t="shared" si="42"/>
        <v>0</v>
      </c>
      <c r="DB128" s="33">
        <f t="shared" si="42"/>
        <v>0</v>
      </c>
      <c r="DC128" s="33">
        <f t="shared" si="42"/>
        <v>0</v>
      </c>
      <c r="DD128" s="33">
        <f t="shared" si="42"/>
        <v>0</v>
      </c>
      <c r="DE128" s="33">
        <f t="shared" si="42"/>
        <v>0</v>
      </c>
      <c r="DF128" s="33">
        <f t="shared" si="42"/>
        <v>0</v>
      </c>
      <c r="DG128" s="33">
        <f t="shared" si="42"/>
        <v>0</v>
      </c>
      <c r="DH128" s="33">
        <f t="shared" si="41"/>
        <v>0</v>
      </c>
      <c r="DI128" s="33">
        <f t="shared" si="41"/>
        <v>0</v>
      </c>
      <c r="DJ128" s="33">
        <f t="shared" si="41"/>
        <v>0</v>
      </c>
      <c r="DK128" s="33">
        <f t="shared" si="41"/>
        <v>0</v>
      </c>
      <c r="DL128" s="33">
        <f t="shared" si="41"/>
        <v>0</v>
      </c>
      <c r="DM128" s="33">
        <f t="shared" si="41"/>
        <v>0</v>
      </c>
      <c r="DN128" s="33">
        <f t="shared" si="41"/>
        <v>0</v>
      </c>
      <c r="DO128" s="33">
        <f t="shared" si="41"/>
        <v>0</v>
      </c>
      <c r="DP128" s="50">
        <f t="shared" si="30"/>
        <v>0</v>
      </c>
      <c r="DQ128" s="50">
        <f t="shared" si="31"/>
        <v>0</v>
      </c>
      <c r="DR128" s="33">
        <f t="shared" si="28"/>
        <v>0</v>
      </c>
      <c r="DS128" s="50">
        <f t="shared" si="32"/>
        <v>0</v>
      </c>
      <c r="DT128" s="50">
        <f t="shared" si="33"/>
        <v>0</v>
      </c>
      <c r="DU128" s="33">
        <f t="shared" si="29"/>
        <v>0</v>
      </c>
      <c r="DV128" s="33">
        <f t="shared" si="29"/>
        <v>0</v>
      </c>
      <c r="DW128" s="33">
        <f t="shared" si="29"/>
        <v>0</v>
      </c>
      <c r="DX128" s="33">
        <f t="shared" si="26"/>
        <v>0</v>
      </c>
      <c r="DY128" s="35">
        <f t="shared" si="34"/>
        <v>0</v>
      </c>
      <c r="DZ128" s="33">
        <f t="shared" si="35"/>
        <v>13</v>
      </c>
      <c r="EA128" s="33">
        <f t="shared" si="36"/>
        <v>13</v>
      </c>
      <c r="EB128" s="33" t="str">
        <f t="shared" si="37"/>
        <v>IGUAL CAMPOS PREENCH</v>
      </c>
      <c r="EC128" s="33" t="s">
        <v>10035</v>
      </c>
    </row>
    <row r="129" spans="2:133" x14ac:dyDescent="0.25">
      <c r="B129" s="33"/>
      <c r="C129" s="33" t="s">
        <v>88</v>
      </c>
      <c r="D129" s="33" t="s">
        <v>8550</v>
      </c>
      <c r="E129" s="33" t="s">
        <v>8551</v>
      </c>
      <c r="F129" s="33" t="s">
        <v>9770</v>
      </c>
      <c r="G129" s="33" t="s">
        <v>9771</v>
      </c>
      <c r="H129" s="33" t="s">
        <v>9772</v>
      </c>
      <c r="I129" s="33" t="s">
        <v>9771</v>
      </c>
      <c r="J129" s="33" t="s">
        <v>9773</v>
      </c>
      <c r="K129" s="33" t="s">
        <v>8570</v>
      </c>
      <c r="L129" s="33" t="s">
        <v>8571</v>
      </c>
      <c r="M129" s="33" t="s">
        <v>9774</v>
      </c>
      <c r="N129" s="33" t="s">
        <v>9775</v>
      </c>
      <c r="O129" s="33"/>
      <c r="P129" s="33"/>
      <c r="Q129" s="33" t="s">
        <v>8571</v>
      </c>
      <c r="R129" s="33"/>
      <c r="S129" s="33"/>
      <c r="T129" s="33"/>
      <c r="U129" s="33" t="s">
        <v>9776</v>
      </c>
      <c r="V129" s="33" t="s">
        <v>8865</v>
      </c>
      <c r="W129" s="33" t="s">
        <v>9167</v>
      </c>
      <c r="X129" s="33" t="s">
        <v>9777</v>
      </c>
      <c r="Y129" s="33" t="s">
        <v>8525</v>
      </c>
      <c r="Z129" s="33" t="s">
        <v>8500</v>
      </c>
      <c r="AA129" s="33" t="s">
        <v>8525</v>
      </c>
      <c r="AB129" s="33" t="s">
        <v>8500</v>
      </c>
      <c r="AC129" s="33"/>
      <c r="AD129" s="33"/>
      <c r="AE129" s="33"/>
      <c r="AF129" s="33" t="s">
        <v>9778</v>
      </c>
      <c r="AG129" s="33"/>
      <c r="AH129" s="33" t="s">
        <v>8527</v>
      </c>
      <c r="AI129" s="33"/>
      <c r="AJ129" s="33"/>
      <c r="AK129" s="33"/>
      <c r="AL129" s="33" t="s">
        <v>9375</v>
      </c>
      <c r="AM129" s="33" t="s">
        <v>8564</v>
      </c>
      <c r="AN129" s="33" t="s">
        <v>9779</v>
      </c>
      <c r="AO129" s="33" t="s">
        <v>9780</v>
      </c>
      <c r="AP129" s="33">
        <v>1</v>
      </c>
      <c r="AQ129" s="5" t="s">
        <v>10037</v>
      </c>
      <c r="AR129" s="33" t="s">
        <v>9781</v>
      </c>
      <c r="AS129" s="33" t="s">
        <v>88</v>
      </c>
      <c r="AT129" s="33" t="s">
        <v>8550</v>
      </c>
      <c r="AU129" s="33" t="s">
        <v>8551</v>
      </c>
      <c r="AV129" s="33" t="s">
        <v>9770</v>
      </c>
      <c r="AW129" s="33" t="s">
        <v>9771</v>
      </c>
      <c r="AX129" s="33" t="s">
        <v>9772</v>
      </c>
      <c r="AY129" s="33" t="s">
        <v>9771</v>
      </c>
      <c r="AZ129" s="33" t="s">
        <v>9773</v>
      </c>
      <c r="BA129" s="33" t="s">
        <v>8570</v>
      </c>
      <c r="BB129" s="33" t="s">
        <v>8571</v>
      </c>
      <c r="BC129" s="33" t="s">
        <v>9774</v>
      </c>
      <c r="BD129" s="33" t="s">
        <v>9775</v>
      </c>
      <c r="BE129" s="33"/>
      <c r="BF129" s="33"/>
      <c r="BG129" s="33" t="s">
        <v>8571</v>
      </c>
      <c r="BH129" s="33"/>
      <c r="BI129" s="33"/>
      <c r="BJ129" s="33"/>
      <c r="BK129" s="33" t="s">
        <v>9776</v>
      </c>
      <c r="BL129" s="33" t="s">
        <v>8865</v>
      </c>
      <c r="BM129" s="33" t="s">
        <v>9167</v>
      </c>
      <c r="BN129" s="33" t="s">
        <v>9777</v>
      </c>
      <c r="BO129" s="33" t="s">
        <v>8525</v>
      </c>
      <c r="BP129" s="33" t="s">
        <v>8500</v>
      </c>
      <c r="BQ129" s="33" t="s">
        <v>8525</v>
      </c>
      <c r="BR129" s="33" t="s">
        <v>8500</v>
      </c>
      <c r="BS129" s="33"/>
      <c r="BT129" s="33"/>
      <c r="BU129" s="33"/>
      <c r="BV129" s="33" t="s">
        <v>9778</v>
      </c>
      <c r="BW129" s="33"/>
      <c r="BX129" s="33" t="s">
        <v>8527</v>
      </c>
      <c r="BY129" s="33"/>
      <c r="BZ129" s="33" t="s">
        <v>8545</v>
      </c>
      <c r="CA129" s="33" t="s">
        <v>8507</v>
      </c>
      <c r="CB129" s="33" t="s">
        <v>9375</v>
      </c>
      <c r="CC129" s="33" t="s">
        <v>8564</v>
      </c>
      <c r="CD129" s="33" t="s">
        <v>9779</v>
      </c>
      <c r="CE129" s="33" t="s">
        <v>9780</v>
      </c>
      <c r="CF129" s="33">
        <v>2</v>
      </c>
      <c r="CG129" s="5" t="s">
        <v>10037</v>
      </c>
      <c r="CH129" s="33">
        <f t="shared" si="45"/>
        <v>0</v>
      </c>
      <c r="CI129" s="33">
        <f t="shared" si="45"/>
        <v>0</v>
      </c>
      <c r="CJ129" s="33">
        <f t="shared" si="44"/>
        <v>0</v>
      </c>
      <c r="CK129" s="33">
        <f t="shared" si="44"/>
        <v>0</v>
      </c>
      <c r="CL129" s="33">
        <f t="shared" si="44"/>
        <v>0</v>
      </c>
      <c r="CM129" s="33">
        <f t="shared" si="44"/>
        <v>0</v>
      </c>
      <c r="CN129" s="33">
        <f t="shared" si="44"/>
        <v>0</v>
      </c>
      <c r="CO129" s="33">
        <f t="shared" si="44"/>
        <v>0</v>
      </c>
      <c r="CP129" s="33">
        <f t="shared" si="44"/>
        <v>0</v>
      </c>
      <c r="CQ129" s="33">
        <f t="shared" si="44"/>
        <v>0</v>
      </c>
      <c r="CR129" s="33">
        <f t="shared" si="44"/>
        <v>0</v>
      </c>
      <c r="CS129" s="33">
        <f t="shared" si="44"/>
        <v>0</v>
      </c>
      <c r="CT129" s="33">
        <f t="shared" si="44"/>
        <v>0</v>
      </c>
      <c r="CU129" s="33">
        <f t="shared" si="44"/>
        <v>0</v>
      </c>
      <c r="CV129" s="33">
        <f t="shared" si="44"/>
        <v>0</v>
      </c>
      <c r="CW129" s="33">
        <f t="shared" si="44"/>
        <v>0</v>
      </c>
      <c r="CX129" s="33">
        <f t="shared" si="43"/>
        <v>0</v>
      </c>
      <c r="CY129" s="33">
        <f t="shared" si="42"/>
        <v>0</v>
      </c>
      <c r="CZ129" s="33">
        <f t="shared" si="42"/>
        <v>0</v>
      </c>
      <c r="DA129" s="33">
        <f t="shared" si="42"/>
        <v>0</v>
      </c>
      <c r="DB129" s="33">
        <f t="shared" si="42"/>
        <v>0</v>
      </c>
      <c r="DC129" s="33">
        <f t="shared" si="42"/>
        <v>0</v>
      </c>
      <c r="DD129" s="33">
        <f t="shared" si="42"/>
        <v>0</v>
      </c>
      <c r="DE129" s="33">
        <f t="shared" si="42"/>
        <v>0</v>
      </c>
      <c r="DF129" s="33">
        <f t="shared" si="42"/>
        <v>0</v>
      </c>
      <c r="DG129" s="33">
        <f t="shared" si="42"/>
        <v>0</v>
      </c>
      <c r="DH129" s="33">
        <f t="shared" si="41"/>
        <v>0</v>
      </c>
      <c r="DI129" s="33">
        <f t="shared" si="41"/>
        <v>0</v>
      </c>
      <c r="DJ129" s="33">
        <f t="shared" si="41"/>
        <v>0</v>
      </c>
      <c r="DK129" s="33">
        <f t="shared" si="41"/>
        <v>0</v>
      </c>
      <c r="DL129" s="33">
        <f t="shared" si="41"/>
        <v>0</v>
      </c>
      <c r="DM129" s="33">
        <f t="shared" si="41"/>
        <v>0</v>
      </c>
      <c r="DN129" s="33">
        <f t="shared" si="41"/>
        <v>0</v>
      </c>
      <c r="DO129" s="33">
        <f t="shared" si="41"/>
        <v>1</v>
      </c>
      <c r="DP129" s="50">
        <f t="shared" si="30"/>
        <v>0</v>
      </c>
      <c r="DQ129" s="50" t="str">
        <f t="shared" si="31"/>
        <v>D</v>
      </c>
      <c r="DR129" s="33">
        <f t="shared" si="28"/>
        <v>1</v>
      </c>
      <c r="DS129" s="50">
        <f t="shared" si="32"/>
        <v>0</v>
      </c>
      <c r="DT129" s="50" t="str">
        <f t="shared" si="33"/>
        <v>4-MEDIA</v>
      </c>
      <c r="DU129" s="33">
        <f t="shared" si="29"/>
        <v>0</v>
      </c>
      <c r="DV129" s="33">
        <f t="shared" si="29"/>
        <v>0</v>
      </c>
      <c r="DW129" s="33">
        <f t="shared" si="29"/>
        <v>0</v>
      </c>
      <c r="DX129" s="33">
        <f t="shared" si="26"/>
        <v>0</v>
      </c>
      <c r="DY129" s="35">
        <f t="shared" si="34"/>
        <v>2</v>
      </c>
      <c r="DZ129" s="33">
        <f t="shared" si="35"/>
        <v>12</v>
      </c>
      <c r="EA129" s="33">
        <f t="shared" si="36"/>
        <v>10</v>
      </c>
      <c r="EB129" s="33" t="str">
        <f t="shared" si="37"/>
        <v>AUX 2 COM + CAMPOS PREENC</v>
      </c>
      <c r="EC129" s="33" t="s">
        <v>10034</v>
      </c>
    </row>
    <row r="130" spans="2:133" x14ac:dyDescent="0.25">
      <c r="B130" s="33"/>
      <c r="C130" s="33" t="s">
        <v>122</v>
      </c>
      <c r="D130" s="33" t="s">
        <v>8513</v>
      </c>
      <c r="E130" s="33" t="s">
        <v>8514</v>
      </c>
      <c r="F130" s="33" t="s">
        <v>8750</v>
      </c>
      <c r="G130" s="33" t="s">
        <v>8751</v>
      </c>
      <c r="H130" s="33" t="s">
        <v>8752</v>
      </c>
      <c r="I130" s="33" t="s">
        <v>8751</v>
      </c>
      <c r="J130" s="33" t="s">
        <v>8751</v>
      </c>
      <c r="K130" s="33" t="s">
        <v>8491</v>
      </c>
      <c r="L130" s="33" t="s">
        <v>8492</v>
      </c>
      <c r="M130" s="33" t="s">
        <v>9782</v>
      </c>
      <c r="N130" s="33" t="s">
        <v>8653</v>
      </c>
      <c r="O130" s="33"/>
      <c r="P130" s="33"/>
      <c r="Q130" s="33" t="s">
        <v>8492</v>
      </c>
      <c r="R130" s="33" t="s">
        <v>9783</v>
      </c>
      <c r="S130" s="33"/>
      <c r="T130" s="33"/>
      <c r="U130" s="33" t="s">
        <v>8756</v>
      </c>
      <c r="V130" s="33" t="s">
        <v>8501</v>
      </c>
      <c r="W130" s="33" t="s">
        <v>9784</v>
      </c>
      <c r="X130" s="33" t="s">
        <v>8758</v>
      </c>
      <c r="Y130" s="33" t="s">
        <v>8500</v>
      </c>
      <c r="Z130" s="33" t="s">
        <v>8500</v>
      </c>
      <c r="AA130" s="33" t="s">
        <v>8500</v>
      </c>
      <c r="AB130" s="33" t="s">
        <v>8500</v>
      </c>
      <c r="AC130" s="33" t="s">
        <v>9785</v>
      </c>
      <c r="AD130" s="33" t="s">
        <v>9786</v>
      </c>
      <c r="AE130" s="33" t="s">
        <v>9787</v>
      </c>
      <c r="AF130" s="33"/>
      <c r="AG130" s="33" t="s">
        <v>8676</v>
      </c>
      <c r="AH130" s="33" t="s">
        <v>8505</v>
      </c>
      <c r="AI130" s="33"/>
      <c r="AJ130" s="33"/>
      <c r="AK130" s="33"/>
      <c r="AL130" s="33" t="s">
        <v>8507</v>
      </c>
      <c r="AM130" s="33" t="s">
        <v>8545</v>
      </c>
      <c r="AN130" s="33" t="s">
        <v>9788</v>
      </c>
      <c r="AO130" s="33" t="s">
        <v>9789</v>
      </c>
      <c r="AP130" s="33">
        <v>1</v>
      </c>
      <c r="AQ130" s="5" t="s">
        <v>10037</v>
      </c>
      <c r="AR130" s="33" t="s">
        <v>9790</v>
      </c>
      <c r="AS130" s="33" t="s">
        <v>122</v>
      </c>
      <c r="AT130" s="33" t="s">
        <v>8513</v>
      </c>
      <c r="AU130" s="33" t="s">
        <v>8514</v>
      </c>
      <c r="AV130" s="33" t="s">
        <v>8750</v>
      </c>
      <c r="AW130" s="33" t="s">
        <v>8751</v>
      </c>
      <c r="AX130" s="33" t="s">
        <v>8752</v>
      </c>
      <c r="AY130" s="33" t="s">
        <v>8751</v>
      </c>
      <c r="AZ130" s="33" t="s">
        <v>8751</v>
      </c>
      <c r="BA130" s="33" t="s">
        <v>8491</v>
      </c>
      <c r="BB130" s="33" t="s">
        <v>8492</v>
      </c>
      <c r="BC130" s="33" t="s">
        <v>9782</v>
      </c>
      <c r="BD130" s="33" t="s">
        <v>8653</v>
      </c>
      <c r="BE130" s="33"/>
      <c r="BF130" s="33"/>
      <c r="BG130" s="33" t="s">
        <v>8492</v>
      </c>
      <c r="BH130" s="33" t="s">
        <v>9783</v>
      </c>
      <c r="BI130" s="33"/>
      <c r="BJ130" s="33"/>
      <c r="BK130" s="33" t="s">
        <v>8756</v>
      </c>
      <c r="BL130" s="33" t="s">
        <v>8501</v>
      </c>
      <c r="BM130" s="33" t="s">
        <v>9784</v>
      </c>
      <c r="BN130" s="33" t="s">
        <v>8758</v>
      </c>
      <c r="BO130" s="33" t="s">
        <v>8500</v>
      </c>
      <c r="BP130" s="33" t="s">
        <v>8500</v>
      </c>
      <c r="BQ130" s="33" t="s">
        <v>8500</v>
      </c>
      <c r="BR130" s="33" t="s">
        <v>8500</v>
      </c>
      <c r="BS130" s="33" t="s">
        <v>9785</v>
      </c>
      <c r="BT130" s="33" t="s">
        <v>9786</v>
      </c>
      <c r="BU130" s="33"/>
      <c r="BV130" s="33"/>
      <c r="BW130" s="33" t="s">
        <v>8676</v>
      </c>
      <c r="BX130" s="33" t="s">
        <v>8505</v>
      </c>
      <c r="BY130" s="33"/>
      <c r="BZ130" s="33" t="s">
        <v>8545</v>
      </c>
      <c r="CA130" s="33" t="s">
        <v>8546</v>
      </c>
      <c r="CB130" s="33" t="s">
        <v>8507</v>
      </c>
      <c r="CC130" s="33" t="s">
        <v>8545</v>
      </c>
      <c r="CD130" s="33" t="s">
        <v>9788</v>
      </c>
      <c r="CE130" s="33" t="s">
        <v>9789</v>
      </c>
      <c r="CF130" s="33">
        <v>2</v>
      </c>
      <c r="CG130" s="5" t="s">
        <v>10037</v>
      </c>
      <c r="CH130" s="33">
        <f t="shared" si="45"/>
        <v>0</v>
      </c>
      <c r="CI130" s="33">
        <f t="shared" si="45"/>
        <v>0</v>
      </c>
      <c r="CJ130" s="33">
        <f t="shared" si="44"/>
        <v>0</v>
      </c>
      <c r="CK130" s="33">
        <f t="shared" si="44"/>
        <v>0</v>
      </c>
      <c r="CL130" s="33">
        <f t="shared" si="44"/>
        <v>0</v>
      </c>
      <c r="CM130" s="33">
        <f t="shared" si="44"/>
        <v>0</v>
      </c>
      <c r="CN130" s="33">
        <f t="shared" si="44"/>
        <v>0</v>
      </c>
      <c r="CO130" s="33">
        <f t="shared" si="44"/>
        <v>0</v>
      </c>
      <c r="CP130" s="33">
        <f t="shared" si="44"/>
        <v>0</v>
      </c>
      <c r="CQ130" s="33">
        <f t="shared" si="44"/>
        <v>0</v>
      </c>
      <c r="CR130" s="33">
        <f t="shared" si="44"/>
        <v>0</v>
      </c>
      <c r="CS130" s="33">
        <f t="shared" si="44"/>
        <v>0</v>
      </c>
      <c r="CT130" s="33">
        <f t="shared" si="44"/>
        <v>0</v>
      </c>
      <c r="CU130" s="33">
        <f t="shared" si="44"/>
        <v>0</v>
      </c>
      <c r="CV130" s="33">
        <f t="shared" si="44"/>
        <v>0</v>
      </c>
      <c r="CW130" s="33">
        <f t="shared" si="44"/>
        <v>0</v>
      </c>
      <c r="CX130" s="33">
        <f t="shared" si="43"/>
        <v>0</v>
      </c>
      <c r="CY130" s="33">
        <f t="shared" si="42"/>
        <v>0</v>
      </c>
      <c r="CZ130" s="33">
        <f t="shared" si="42"/>
        <v>0</v>
      </c>
      <c r="DA130" s="33">
        <f t="shared" si="42"/>
        <v>0</v>
      </c>
      <c r="DB130" s="33">
        <f t="shared" si="42"/>
        <v>0</v>
      </c>
      <c r="DC130" s="33">
        <f t="shared" si="42"/>
        <v>0</v>
      </c>
      <c r="DD130" s="33">
        <f t="shared" si="42"/>
        <v>0</v>
      </c>
      <c r="DE130" s="33">
        <f t="shared" si="42"/>
        <v>0</v>
      </c>
      <c r="DF130" s="33">
        <f t="shared" si="42"/>
        <v>0</v>
      </c>
      <c r="DG130" s="33">
        <f t="shared" si="42"/>
        <v>0</v>
      </c>
      <c r="DH130" s="33">
        <f t="shared" si="41"/>
        <v>0</v>
      </c>
      <c r="DI130" s="33">
        <f t="shared" si="41"/>
        <v>0</v>
      </c>
      <c r="DJ130" s="33">
        <f t="shared" si="41"/>
        <v>1</v>
      </c>
      <c r="DK130" s="33">
        <f t="shared" si="41"/>
        <v>0</v>
      </c>
      <c r="DL130" s="33">
        <f t="shared" si="41"/>
        <v>0</v>
      </c>
      <c r="DM130" s="33">
        <f t="shared" si="41"/>
        <v>0</v>
      </c>
      <c r="DN130" s="33">
        <f t="shared" si="41"/>
        <v>0</v>
      </c>
      <c r="DO130" s="33">
        <f t="shared" si="41"/>
        <v>1</v>
      </c>
      <c r="DP130" s="50">
        <f t="shared" si="30"/>
        <v>0</v>
      </c>
      <c r="DQ130" s="50" t="str">
        <f t="shared" si="31"/>
        <v>D</v>
      </c>
      <c r="DR130" s="33">
        <f t="shared" si="28"/>
        <v>1</v>
      </c>
      <c r="DS130" s="50">
        <f t="shared" si="32"/>
        <v>0</v>
      </c>
      <c r="DT130" s="50" t="str">
        <f t="shared" si="33"/>
        <v>3-ALTA</v>
      </c>
      <c r="DU130" s="33">
        <f t="shared" si="29"/>
        <v>0</v>
      </c>
      <c r="DV130" s="33">
        <f t="shared" si="29"/>
        <v>0</v>
      </c>
      <c r="DW130" s="33">
        <f t="shared" si="29"/>
        <v>0</v>
      </c>
      <c r="DX130" s="33">
        <f t="shared" si="26"/>
        <v>0</v>
      </c>
      <c r="DY130" s="35">
        <f t="shared" si="34"/>
        <v>3</v>
      </c>
      <c r="DZ130" s="33">
        <f t="shared" si="35"/>
        <v>8</v>
      </c>
      <c r="EA130" s="33">
        <f t="shared" si="36"/>
        <v>7</v>
      </c>
      <c r="EB130" s="33" t="str">
        <f t="shared" si="37"/>
        <v>AUX 2 COM + CAMPOS PREENC</v>
      </c>
      <c r="EC130" s="33" t="s">
        <v>10034</v>
      </c>
    </row>
    <row r="131" spans="2:133" x14ac:dyDescent="0.25">
      <c r="B131" s="33" t="s">
        <v>9791</v>
      </c>
      <c r="C131" s="33" t="s">
        <v>76</v>
      </c>
      <c r="D131" s="33" t="s">
        <v>8513</v>
      </c>
      <c r="E131" s="33" t="s">
        <v>8514</v>
      </c>
      <c r="F131" s="33" t="s">
        <v>8750</v>
      </c>
      <c r="G131" s="33" t="s">
        <v>8751</v>
      </c>
      <c r="H131" s="33" t="s">
        <v>8752</v>
      </c>
      <c r="I131" s="33" t="s">
        <v>8751</v>
      </c>
      <c r="J131" s="33" t="s">
        <v>8751</v>
      </c>
      <c r="K131" s="33" t="s">
        <v>8491</v>
      </c>
      <c r="L131" s="33" t="s">
        <v>8492</v>
      </c>
      <c r="M131" s="33" t="s">
        <v>9792</v>
      </c>
      <c r="N131" s="33" t="s">
        <v>8653</v>
      </c>
      <c r="O131" s="33"/>
      <c r="P131" s="33"/>
      <c r="Q131" s="33" t="s">
        <v>8492</v>
      </c>
      <c r="R131" s="33" t="s">
        <v>9793</v>
      </c>
      <c r="S131" s="33"/>
      <c r="T131" s="33"/>
      <c r="U131" s="33" t="s">
        <v>8756</v>
      </c>
      <c r="V131" s="33" t="s">
        <v>9794</v>
      </c>
      <c r="W131" s="33" t="s">
        <v>9050</v>
      </c>
      <c r="X131" s="33" t="s">
        <v>9777</v>
      </c>
      <c r="Y131" s="33" t="s">
        <v>8525</v>
      </c>
      <c r="Z131" s="33" t="s">
        <v>8525</v>
      </c>
      <c r="AA131" s="33" t="s">
        <v>8500</v>
      </c>
      <c r="AB131" s="33" t="s">
        <v>8500</v>
      </c>
      <c r="AC131" s="33"/>
      <c r="AD131" s="33"/>
      <c r="AE131" s="33"/>
      <c r="AF131" s="33" t="s">
        <v>9795</v>
      </c>
      <c r="AG131" s="33"/>
      <c r="AH131" s="33" t="s">
        <v>8527</v>
      </c>
      <c r="AI131" s="33"/>
      <c r="AJ131" s="33" t="s">
        <v>8506</v>
      </c>
      <c r="AK131" s="33" t="s">
        <v>8507</v>
      </c>
      <c r="AL131" s="33" t="s">
        <v>8507</v>
      </c>
      <c r="AM131" s="33" t="s">
        <v>8577</v>
      </c>
      <c r="AN131" s="33" t="s">
        <v>9796</v>
      </c>
      <c r="AO131" s="33" t="s">
        <v>9797</v>
      </c>
      <c r="AP131" s="33">
        <v>1</v>
      </c>
      <c r="AQ131" s="5" t="s">
        <v>10037</v>
      </c>
      <c r="AR131" s="33"/>
      <c r="AS131" s="33" t="s">
        <v>76</v>
      </c>
      <c r="AT131" s="33" t="s">
        <v>8513</v>
      </c>
      <c r="AU131" s="33" t="s">
        <v>8514</v>
      </c>
      <c r="AV131" s="33" t="s">
        <v>8750</v>
      </c>
      <c r="AW131" s="33" t="s">
        <v>8751</v>
      </c>
      <c r="AX131" s="33" t="s">
        <v>8752</v>
      </c>
      <c r="AY131" s="33" t="s">
        <v>8751</v>
      </c>
      <c r="AZ131" s="33" t="s">
        <v>8751</v>
      </c>
      <c r="BA131" s="33" t="s">
        <v>8491</v>
      </c>
      <c r="BB131" s="33" t="s">
        <v>8492</v>
      </c>
      <c r="BC131" s="33" t="s">
        <v>9792</v>
      </c>
      <c r="BD131" s="33" t="s">
        <v>8653</v>
      </c>
      <c r="BE131" s="33"/>
      <c r="BF131" s="33"/>
      <c r="BG131" s="33" t="s">
        <v>8492</v>
      </c>
      <c r="BH131" s="33" t="s">
        <v>9793</v>
      </c>
      <c r="BI131" s="33"/>
      <c r="BJ131" s="33"/>
      <c r="BK131" s="33" t="s">
        <v>8756</v>
      </c>
      <c r="BL131" s="33" t="s">
        <v>9794</v>
      </c>
      <c r="BM131" s="33" t="s">
        <v>9050</v>
      </c>
      <c r="BN131" s="33" t="s">
        <v>9777</v>
      </c>
      <c r="BO131" s="33" t="s">
        <v>8525</v>
      </c>
      <c r="BP131" s="33" t="s">
        <v>8525</v>
      </c>
      <c r="BQ131" s="33" t="s">
        <v>8500</v>
      </c>
      <c r="BR131" s="33" t="s">
        <v>8500</v>
      </c>
      <c r="BS131" s="33"/>
      <c r="BT131" s="33"/>
      <c r="BU131" s="33"/>
      <c r="BV131" s="33" t="s">
        <v>9795</v>
      </c>
      <c r="BW131" s="33"/>
      <c r="BX131" s="33" t="s">
        <v>8527</v>
      </c>
      <c r="BY131" s="33"/>
      <c r="BZ131" s="33"/>
      <c r="CA131" s="33"/>
      <c r="CB131" s="33" t="s">
        <v>8507</v>
      </c>
      <c r="CC131" s="33" t="s">
        <v>8577</v>
      </c>
      <c r="CD131" s="33" t="s">
        <v>9796</v>
      </c>
      <c r="CE131" s="33" t="s">
        <v>9797</v>
      </c>
      <c r="CF131" s="33">
        <v>2</v>
      </c>
      <c r="CG131" s="5" t="s">
        <v>10037</v>
      </c>
      <c r="CH131" s="33">
        <f t="shared" si="45"/>
        <v>0</v>
      </c>
      <c r="CI131" s="33">
        <f t="shared" si="45"/>
        <v>0</v>
      </c>
      <c r="CJ131" s="33">
        <f t="shared" si="44"/>
        <v>0</v>
      </c>
      <c r="CK131" s="33">
        <f t="shared" si="44"/>
        <v>0</v>
      </c>
      <c r="CL131" s="33">
        <f t="shared" si="44"/>
        <v>0</v>
      </c>
      <c r="CM131" s="33">
        <f t="shared" si="44"/>
        <v>0</v>
      </c>
      <c r="CN131" s="33">
        <f t="shared" si="44"/>
        <v>0</v>
      </c>
      <c r="CO131" s="33">
        <f t="shared" si="44"/>
        <v>0</v>
      </c>
      <c r="CP131" s="33">
        <f t="shared" si="44"/>
        <v>0</v>
      </c>
      <c r="CQ131" s="33">
        <f t="shared" si="44"/>
        <v>0</v>
      </c>
      <c r="CR131" s="33">
        <f t="shared" si="44"/>
        <v>0</v>
      </c>
      <c r="CS131" s="33">
        <f t="shared" si="44"/>
        <v>0</v>
      </c>
      <c r="CT131" s="33">
        <f t="shared" si="44"/>
        <v>0</v>
      </c>
      <c r="CU131" s="33">
        <f t="shared" si="44"/>
        <v>0</v>
      </c>
      <c r="CV131" s="33">
        <f t="shared" si="44"/>
        <v>0</v>
      </c>
      <c r="CW131" s="33">
        <f t="shared" si="44"/>
        <v>0</v>
      </c>
      <c r="CX131" s="33">
        <f t="shared" si="43"/>
        <v>0</v>
      </c>
      <c r="CY131" s="33">
        <f t="shared" si="42"/>
        <v>0</v>
      </c>
      <c r="CZ131" s="33">
        <f t="shared" si="42"/>
        <v>0</v>
      </c>
      <c r="DA131" s="33">
        <f t="shared" si="42"/>
        <v>0</v>
      </c>
      <c r="DB131" s="33">
        <f t="shared" si="42"/>
        <v>0</v>
      </c>
      <c r="DC131" s="33">
        <f t="shared" si="42"/>
        <v>0</v>
      </c>
      <c r="DD131" s="33">
        <f t="shared" si="42"/>
        <v>0</v>
      </c>
      <c r="DE131" s="33">
        <f t="shared" si="42"/>
        <v>0</v>
      </c>
      <c r="DF131" s="33">
        <f t="shared" si="42"/>
        <v>0</v>
      </c>
      <c r="DG131" s="33">
        <f t="shared" si="42"/>
        <v>0</v>
      </c>
      <c r="DH131" s="33">
        <f t="shared" si="41"/>
        <v>0</v>
      </c>
      <c r="DI131" s="33">
        <f t="shared" si="41"/>
        <v>0</v>
      </c>
      <c r="DJ131" s="33">
        <f t="shared" si="41"/>
        <v>0</v>
      </c>
      <c r="DK131" s="33">
        <f t="shared" si="41"/>
        <v>0</v>
      </c>
      <c r="DL131" s="33">
        <f t="shared" si="41"/>
        <v>0</v>
      </c>
      <c r="DM131" s="33">
        <f t="shared" si="41"/>
        <v>0</v>
      </c>
      <c r="DN131" s="33">
        <f t="shared" si="41"/>
        <v>0</v>
      </c>
      <c r="DO131" s="33">
        <f t="shared" si="41"/>
        <v>1</v>
      </c>
      <c r="DP131" s="50" t="str">
        <f t="shared" si="30"/>
        <v>C</v>
      </c>
      <c r="DQ131" s="50">
        <f t="shared" si="31"/>
        <v>0</v>
      </c>
      <c r="DR131" s="33">
        <f t="shared" si="28"/>
        <v>1</v>
      </c>
      <c r="DS131" s="50" t="str">
        <f t="shared" si="32"/>
        <v>4-MEDIA</v>
      </c>
      <c r="DT131" s="50">
        <f t="shared" si="33"/>
        <v>0</v>
      </c>
      <c r="DU131" s="33">
        <f t="shared" si="29"/>
        <v>0</v>
      </c>
      <c r="DV131" s="33">
        <f t="shared" si="29"/>
        <v>0</v>
      </c>
      <c r="DW131" s="33">
        <f t="shared" si="29"/>
        <v>0</v>
      </c>
      <c r="DX131" s="33">
        <f t="shared" si="26"/>
        <v>0</v>
      </c>
      <c r="DY131" s="35">
        <f t="shared" si="34"/>
        <v>2</v>
      </c>
      <c r="DZ131" s="33">
        <f t="shared" si="35"/>
        <v>9</v>
      </c>
      <c r="EA131" s="33">
        <f t="shared" si="36"/>
        <v>11</v>
      </c>
      <c r="EB131" s="33" t="str">
        <f t="shared" si="37"/>
        <v>AUX 1 COM + CAMPOS PREENC OU IGUAL</v>
      </c>
      <c r="EC131" s="33" t="s">
        <v>10034</v>
      </c>
    </row>
    <row r="132" spans="2:133" x14ac:dyDescent="0.25">
      <c r="B132" s="33" t="s">
        <v>9798</v>
      </c>
      <c r="C132" s="33" t="s">
        <v>121</v>
      </c>
      <c r="D132" s="33" t="s">
        <v>8788</v>
      </c>
      <c r="E132" s="33" t="s">
        <v>8789</v>
      </c>
      <c r="F132" s="33" t="s">
        <v>8790</v>
      </c>
      <c r="G132" s="33" t="s">
        <v>8789</v>
      </c>
      <c r="H132" s="33" t="s">
        <v>9799</v>
      </c>
      <c r="I132" s="33" t="s">
        <v>9800</v>
      </c>
      <c r="J132" s="33" t="s">
        <v>9801</v>
      </c>
      <c r="K132" s="33" t="s">
        <v>8570</v>
      </c>
      <c r="L132" s="33" t="s">
        <v>8571</v>
      </c>
      <c r="M132" s="33" t="s">
        <v>9802</v>
      </c>
      <c r="N132" s="33" t="s">
        <v>8521</v>
      </c>
      <c r="O132" s="33"/>
      <c r="P132" s="33"/>
      <c r="Q132" s="33" t="s">
        <v>8571</v>
      </c>
      <c r="R132" s="33"/>
      <c r="S132" s="33"/>
      <c r="T132" s="33"/>
      <c r="U132" s="33" t="s">
        <v>9803</v>
      </c>
      <c r="V132" s="33" t="s">
        <v>9804</v>
      </c>
      <c r="W132" s="33" t="s">
        <v>9805</v>
      </c>
      <c r="X132" s="33"/>
      <c r="Y132" s="33" t="s">
        <v>8525</v>
      </c>
      <c r="Z132" s="33" t="s">
        <v>8525</v>
      </c>
      <c r="AA132" s="33" t="s">
        <v>8500</v>
      </c>
      <c r="AB132" s="33" t="s">
        <v>8500</v>
      </c>
      <c r="AC132" s="33"/>
      <c r="AD132" s="33"/>
      <c r="AE132" s="33"/>
      <c r="AF132" s="33" t="s">
        <v>9806</v>
      </c>
      <c r="AG132" s="33"/>
      <c r="AH132" s="33" t="s">
        <v>8527</v>
      </c>
      <c r="AI132" s="33"/>
      <c r="AJ132" s="33" t="s">
        <v>8577</v>
      </c>
      <c r="AK132" s="33" t="s">
        <v>8528</v>
      </c>
      <c r="AL132" s="33" t="s">
        <v>8507</v>
      </c>
      <c r="AM132" s="33" t="s">
        <v>8577</v>
      </c>
      <c r="AN132" s="33" t="s">
        <v>9807</v>
      </c>
      <c r="AO132" s="33" t="s">
        <v>9808</v>
      </c>
      <c r="AP132" s="33">
        <v>1</v>
      </c>
      <c r="AQ132" s="5" t="s">
        <v>10037</v>
      </c>
      <c r="AR132" s="33"/>
      <c r="AS132" s="33" t="s">
        <v>121</v>
      </c>
      <c r="AT132" s="33" t="s">
        <v>8788</v>
      </c>
      <c r="AU132" s="33" t="s">
        <v>8789</v>
      </c>
      <c r="AV132" s="33" t="s">
        <v>8790</v>
      </c>
      <c r="AW132" s="33" t="s">
        <v>8789</v>
      </c>
      <c r="AX132" s="33" t="s">
        <v>9799</v>
      </c>
      <c r="AY132" s="33" t="s">
        <v>9800</v>
      </c>
      <c r="AZ132" s="33" t="s">
        <v>9801</v>
      </c>
      <c r="BA132" s="33" t="s">
        <v>8570</v>
      </c>
      <c r="BB132" s="33" t="s">
        <v>8571</v>
      </c>
      <c r="BC132" s="33" t="s">
        <v>9802</v>
      </c>
      <c r="BD132" s="33" t="s">
        <v>8521</v>
      </c>
      <c r="BE132" s="33"/>
      <c r="BF132" s="33"/>
      <c r="BG132" s="33" t="s">
        <v>8571</v>
      </c>
      <c r="BH132" s="33"/>
      <c r="BI132" s="33"/>
      <c r="BJ132" s="33"/>
      <c r="BK132" s="33" t="s">
        <v>9803</v>
      </c>
      <c r="BL132" s="33" t="s">
        <v>9804</v>
      </c>
      <c r="BM132" s="33" t="s">
        <v>9805</v>
      </c>
      <c r="BN132" s="33"/>
      <c r="BO132" s="33" t="s">
        <v>8525</v>
      </c>
      <c r="BP132" s="33" t="s">
        <v>8525</v>
      </c>
      <c r="BQ132" s="33" t="s">
        <v>8500</v>
      </c>
      <c r="BR132" s="33" t="s">
        <v>8500</v>
      </c>
      <c r="BS132" s="33"/>
      <c r="BT132" s="33"/>
      <c r="BU132" s="33"/>
      <c r="BV132" s="33" t="s">
        <v>9806</v>
      </c>
      <c r="BW132" s="33"/>
      <c r="BX132" s="33" t="s">
        <v>8527</v>
      </c>
      <c r="BY132" s="33"/>
      <c r="BZ132" s="33"/>
      <c r="CA132" s="33"/>
      <c r="CB132" s="33" t="s">
        <v>8507</v>
      </c>
      <c r="CC132" s="33" t="s">
        <v>8577</v>
      </c>
      <c r="CD132" s="33" t="s">
        <v>9807</v>
      </c>
      <c r="CE132" s="33" t="s">
        <v>9808</v>
      </c>
      <c r="CF132" s="33">
        <v>2</v>
      </c>
      <c r="CG132" s="5" t="s">
        <v>10037</v>
      </c>
      <c r="CH132" s="33">
        <f t="shared" si="45"/>
        <v>0</v>
      </c>
      <c r="CI132" s="33">
        <f t="shared" si="45"/>
        <v>0</v>
      </c>
      <c r="CJ132" s="33">
        <f t="shared" si="44"/>
        <v>0</v>
      </c>
      <c r="CK132" s="33">
        <f t="shared" si="44"/>
        <v>0</v>
      </c>
      <c r="CL132" s="33">
        <f t="shared" si="44"/>
        <v>0</v>
      </c>
      <c r="CM132" s="33">
        <f t="shared" si="44"/>
        <v>0</v>
      </c>
      <c r="CN132" s="33">
        <f t="shared" si="44"/>
        <v>0</v>
      </c>
      <c r="CO132" s="33">
        <f t="shared" si="44"/>
        <v>0</v>
      </c>
      <c r="CP132" s="33">
        <f t="shared" si="44"/>
        <v>0</v>
      </c>
      <c r="CQ132" s="33">
        <f t="shared" si="44"/>
        <v>0</v>
      </c>
      <c r="CR132" s="33">
        <f t="shared" si="44"/>
        <v>0</v>
      </c>
      <c r="CS132" s="33">
        <f t="shared" si="44"/>
        <v>0</v>
      </c>
      <c r="CT132" s="33">
        <f t="shared" si="44"/>
        <v>0</v>
      </c>
      <c r="CU132" s="33">
        <f t="shared" si="44"/>
        <v>0</v>
      </c>
      <c r="CV132" s="33">
        <f t="shared" si="44"/>
        <v>0</v>
      </c>
      <c r="CW132" s="33">
        <f t="shared" si="44"/>
        <v>0</v>
      </c>
      <c r="CX132" s="33">
        <f t="shared" si="43"/>
        <v>0</v>
      </c>
      <c r="CY132" s="33">
        <f t="shared" si="42"/>
        <v>0</v>
      </c>
      <c r="CZ132" s="33">
        <f t="shared" si="42"/>
        <v>0</v>
      </c>
      <c r="DA132" s="33">
        <f t="shared" si="42"/>
        <v>0</v>
      </c>
      <c r="DB132" s="33">
        <f t="shared" si="42"/>
        <v>0</v>
      </c>
      <c r="DC132" s="33">
        <f t="shared" si="42"/>
        <v>0</v>
      </c>
      <c r="DD132" s="33">
        <f t="shared" si="42"/>
        <v>0</v>
      </c>
      <c r="DE132" s="33">
        <f t="shared" si="42"/>
        <v>0</v>
      </c>
      <c r="DF132" s="33">
        <f t="shared" si="42"/>
        <v>0</v>
      </c>
      <c r="DG132" s="33">
        <f t="shared" si="42"/>
        <v>0</v>
      </c>
      <c r="DH132" s="33">
        <f t="shared" si="41"/>
        <v>0</v>
      </c>
      <c r="DI132" s="33">
        <f t="shared" si="41"/>
        <v>0</v>
      </c>
      <c r="DJ132" s="33">
        <f t="shared" si="41"/>
        <v>0</v>
      </c>
      <c r="DK132" s="33">
        <f t="shared" si="41"/>
        <v>0</v>
      </c>
      <c r="DL132" s="33">
        <f t="shared" si="41"/>
        <v>0</v>
      </c>
      <c r="DM132" s="33">
        <f t="shared" si="41"/>
        <v>0</v>
      </c>
      <c r="DN132" s="33">
        <f t="shared" si="41"/>
        <v>0</v>
      </c>
      <c r="DO132" s="33">
        <f t="shared" si="41"/>
        <v>1</v>
      </c>
      <c r="DP132" s="50" t="str">
        <f t="shared" si="30"/>
        <v>E</v>
      </c>
      <c r="DQ132" s="50">
        <f t="shared" si="31"/>
        <v>0</v>
      </c>
      <c r="DR132" s="33">
        <f t="shared" si="28"/>
        <v>1</v>
      </c>
      <c r="DS132" s="50" t="str">
        <f t="shared" si="32"/>
        <v>5-MEDIA BAJA</v>
      </c>
      <c r="DT132" s="50">
        <f t="shared" si="33"/>
        <v>0</v>
      </c>
      <c r="DU132" s="33">
        <f t="shared" si="29"/>
        <v>0</v>
      </c>
      <c r="DV132" s="33">
        <f t="shared" si="29"/>
        <v>0</v>
      </c>
      <c r="DW132" s="33">
        <f t="shared" si="29"/>
        <v>0</v>
      </c>
      <c r="DX132" s="33">
        <f t="shared" si="29"/>
        <v>0</v>
      </c>
      <c r="DY132" s="35">
        <f t="shared" si="34"/>
        <v>2</v>
      </c>
      <c r="DZ132" s="33">
        <f t="shared" si="35"/>
        <v>11</v>
      </c>
      <c r="EA132" s="33">
        <f t="shared" si="36"/>
        <v>13</v>
      </c>
      <c r="EB132" s="33" t="str">
        <f t="shared" si="37"/>
        <v>AUX 1 COM + CAMPOS PREENC OU IGUAL</v>
      </c>
      <c r="EC132" s="33" t="s">
        <v>10034</v>
      </c>
    </row>
    <row r="133" spans="2:133" x14ac:dyDescent="0.25">
      <c r="B133" s="33"/>
      <c r="C133" s="33" t="s">
        <v>145</v>
      </c>
      <c r="D133" s="33" t="s">
        <v>8486</v>
      </c>
      <c r="E133" s="33" t="s">
        <v>8487</v>
      </c>
      <c r="F133" s="33" t="s">
        <v>9175</v>
      </c>
      <c r="G133" s="33" t="s">
        <v>9176</v>
      </c>
      <c r="H133" s="33" t="s">
        <v>9809</v>
      </c>
      <c r="I133" s="33" t="s">
        <v>9810</v>
      </c>
      <c r="J133" s="33" t="s">
        <v>9811</v>
      </c>
      <c r="K133" s="33" t="s">
        <v>8536</v>
      </c>
      <c r="L133" s="33" t="s">
        <v>8537</v>
      </c>
      <c r="M133" s="33" t="s">
        <v>9811</v>
      </c>
      <c r="N133" s="33" t="s">
        <v>9812</v>
      </c>
      <c r="O133" s="33" t="s">
        <v>9812</v>
      </c>
      <c r="P133" s="33"/>
      <c r="Q133" s="33" t="s">
        <v>8537</v>
      </c>
      <c r="R133" s="33"/>
      <c r="S133" s="33"/>
      <c r="T133" s="33"/>
      <c r="U133" s="33" t="s">
        <v>9179</v>
      </c>
      <c r="V133" s="33" t="s">
        <v>9813</v>
      </c>
      <c r="W133" s="33" t="s">
        <v>9814</v>
      </c>
      <c r="X133" s="33"/>
      <c r="Y133" s="33" t="s">
        <v>8500</v>
      </c>
      <c r="Z133" s="33" t="s">
        <v>8500</v>
      </c>
      <c r="AA133" s="33" t="s">
        <v>8500</v>
      </c>
      <c r="AB133" s="33" t="s">
        <v>8525</v>
      </c>
      <c r="AC133" s="33"/>
      <c r="AD133" s="33"/>
      <c r="AE133" s="33"/>
      <c r="AF133" s="33" t="s">
        <v>9815</v>
      </c>
      <c r="AG133" s="33"/>
      <c r="AH133" s="33" t="s">
        <v>8560</v>
      </c>
      <c r="AI133" s="33"/>
      <c r="AJ133" s="33"/>
      <c r="AK133" s="33"/>
      <c r="AL133" s="33" t="s">
        <v>8528</v>
      </c>
      <c r="AM133" s="33" t="s">
        <v>8506</v>
      </c>
      <c r="AN133" s="33" t="s">
        <v>9816</v>
      </c>
      <c r="AO133" s="33" t="s">
        <v>9817</v>
      </c>
      <c r="AP133" s="33">
        <v>1</v>
      </c>
      <c r="AQ133" s="5" t="s">
        <v>10037</v>
      </c>
      <c r="AR133" s="33" t="s">
        <v>9818</v>
      </c>
      <c r="AS133" s="33" t="s">
        <v>145</v>
      </c>
      <c r="AT133" s="33" t="s">
        <v>8486</v>
      </c>
      <c r="AU133" s="33" t="s">
        <v>8487</v>
      </c>
      <c r="AV133" s="33" t="s">
        <v>9175</v>
      </c>
      <c r="AW133" s="33" t="s">
        <v>9176</v>
      </c>
      <c r="AX133" s="33" t="s">
        <v>9809</v>
      </c>
      <c r="AY133" s="33" t="s">
        <v>9810</v>
      </c>
      <c r="AZ133" s="33" t="s">
        <v>9811</v>
      </c>
      <c r="BA133" s="33" t="s">
        <v>8536</v>
      </c>
      <c r="BB133" s="33" t="s">
        <v>8537</v>
      </c>
      <c r="BC133" s="33" t="s">
        <v>9811</v>
      </c>
      <c r="BD133" s="33" t="s">
        <v>9812</v>
      </c>
      <c r="BE133" s="33" t="s">
        <v>9812</v>
      </c>
      <c r="BF133" s="33"/>
      <c r="BG133" s="33" t="s">
        <v>8537</v>
      </c>
      <c r="BH133" s="33"/>
      <c r="BI133" s="33"/>
      <c r="BJ133" s="33"/>
      <c r="BK133" s="33" t="s">
        <v>9179</v>
      </c>
      <c r="BL133" s="33" t="s">
        <v>9813</v>
      </c>
      <c r="BM133" s="33" t="s">
        <v>9814</v>
      </c>
      <c r="BN133" s="33"/>
      <c r="BO133" s="33" t="s">
        <v>8500</v>
      </c>
      <c r="BP133" s="33" t="s">
        <v>8500</v>
      </c>
      <c r="BQ133" s="33" t="s">
        <v>8500</v>
      </c>
      <c r="BR133" s="33" t="s">
        <v>8525</v>
      </c>
      <c r="BS133" s="33"/>
      <c r="BT133" s="33"/>
      <c r="BU133" s="33"/>
      <c r="BV133" s="33" t="s">
        <v>9815</v>
      </c>
      <c r="BW133" s="33"/>
      <c r="BX133" s="33" t="s">
        <v>8560</v>
      </c>
      <c r="BY133" s="33"/>
      <c r="BZ133" s="33"/>
      <c r="CA133" s="33"/>
      <c r="CB133" s="33" t="s">
        <v>8528</v>
      </c>
      <c r="CC133" s="33" t="s">
        <v>8506</v>
      </c>
      <c r="CD133" s="33" t="s">
        <v>9816</v>
      </c>
      <c r="CE133" s="33" t="s">
        <v>9817</v>
      </c>
      <c r="CF133" s="33">
        <v>2</v>
      </c>
      <c r="CG133" s="5" t="s">
        <v>10037</v>
      </c>
      <c r="CH133" s="33">
        <f t="shared" si="45"/>
        <v>0</v>
      </c>
      <c r="CI133" s="33">
        <f t="shared" si="45"/>
        <v>0</v>
      </c>
      <c r="CJ133" s="33">
        <f t="shared" si="44"/>
        <v>0</v>
      </c>
      <c r="CK133" s="33">
        <f t="shared" si="44"/>
        <v>0</v>
      </c>
      <c r="CL133" s="33">
        <f t="shared" si="44"/>
        <v>0</v>
      </c>
      <c r="CM133" s="33">
        <f t="shared" si="44"/>
        <v>0</v>
      </c>
      <c r="CN133" s="33">
        <f t="shared" si="44"/>
        <v>0</v>
      </c>
      <c r="CO133" s="33">
        <f t="shared" si="44"/>
        <v>0</v>
      </c>
      <c r="CP133" s="33">
        <f t="shared" si="44"/>
        <v>0</v>
      </c>
      <c r="CQ133" s="33">
        <f t="shared" si="44"/>
        <v>0</v>
      </c>
      <c r="CR133" s="33">
        <f t="shared" si="44"/>
        <v>0</v>
      </c>
      <c r="CS133" s="33">
        <f t="shared" si="44"/>
        <v>0</v>
      </c>
      <c r="CT133" s="33">
        <f t="shared" si="44"/>
        <v>0</v>
      </c>
      <c r="CU133" s="33">
        <f t="shared" si="44"/>
        <v>0</v>
      </c>
      <c r="CV133" s="33">
        <f t="shared" si="44"/>
        <v>0</v>
      </c>
      <c r="CW133" s="33">
        <f t="shared" si="44"/>
        <v>0</v>
      </c>
      <c r="CX133" s="33">
        <f t="shared" si="43"/>
        <v>0</v>
      </c>
      <c r="CY133" s="33">
        <f t="shared" si="42"/>
        <v>0</v>
      </c>
      <c r="CZ133" s="33">
        <f t="shared" si="42"/>
        <v>0</v>
      </c>
      <c r="DA133" s="33">
        <f t="shared" si="42"/>
        <v>0</v>
      </c>
      <c r="DB133" s="33">
        <f t="shared" ref="DB133:DN154" si="46">+IF(W133=BM133,0,1)</f>
        <v>0</v>
      </c>
      <c r="DC133" s="33">
        <f t="shared" si="46"/>
        <v>0</v>
      </c>
      <c r="DD133" s="33">
        <f t="shared" si="46"/>
        <v>0</v>
      </c>
      <c r="DE133" s="33">
        <f t="shared" si="46"/>
        <v>0</v>
      </c>
      <c r="DF133" s="33">
        <f t="shared" si="46"/>
        <v>0</v>
      </c>
      <c r="DG133" s="33">
        <f t="shared" si="46"/>
        <v>0</v>
      </c>
      <c r="DH133" s="33">
        <f t="shared" si="41"/>
        <v>0</v>
      </c>
      <c r="DI133" s="33">
        <f t="shared" si="41"/>
        <v>0</v>
      </c>
      <c r="DJ133" s="33">
        <f t="shared" si="41"/>
        <v>0</v>
      </c>
      <c r="DK133" s="33">
        <f t="shared" si="41"/>
        <v>0</v>
      </c>
      <c r="DL133" s="33">
        <f t="shared" si="41"/>
        <v>0</v>
      </c>
      <c r="DM133" s="33">
        <f t="shared" si="41"/>
        <v>0</v>
      </c>
      <c r="DN133" s="33">
        <f t="shared" si="41"/>
        <v>0</v>
      </c>
      <c r="DO133" s="33">
        <f t="shared" si="41"/>
        <v>0</v>
      </c>
      <c r="DP133" s="50">
        <f t="shared" si="30"/>
        <v>0</v>
      </c>
      <c r="DQ133" s="50">
        <f t="shared" si="31"/>
        <v>0</v>
      </c>
      <c r="DR133" s="33">
        <f t="shared" ref="DR133:DR156" si="47">+IF(AK133=CA133,0,1)</f>
        <v>0</v>
      </c>
      <c r="DS133" s="50">
        <f t="shared" si="32"/>
        <v>0</v>
      </c>
      <c r="DT133" s="50">
        <f t="shared" si="33"/>
        <v>0</v>
      </c>
      <c r="DU133" s="33">
        <f t="shared" ref="DU133:DX156" si="48">+IF(AL133=CB133,0,1)</f>
        <v>0</v>
      </c>
      <c r="DV133" s="33">
        <f t="shared" si="48"/>
        <v>0</v>
      </c>
      <c r="DW133" s="33">
        <f t="shared" si="48"/>
        <v>0</v>
      </c>
      <c r="DX133" s="33">
        <f t="shared" si="48"/>
        <v>0</v>
      </c>
      <c r="DY133" s="35">
        <f t="shared" si="34"/>
        <v>0</v>
      </c>
      <c r="DZ133" s="33">
        <f t="shared" si="35"/>
        <v>12</v>
      </c>
      <c r="EA133" s="33">
        <f t="shared" si="36"/>
        <v>12</v>
      </c>
      <c r="EB133" s="33" t="str">
        <f t="shared" si="37"/>
        <v>IGUAL CAMPOS PREENCH</v>
      </c>
      <c r="EC133" s="33" t="s">
        <v>10035</v>
      </c>
    </row>
    <row r="134" spans="2:133" x14ac:dyDescent="0.25">
      <c r="B134" s="33"/>
      <c r="C134" s="33" t="s">
        <v>83</v>
      </c>
      <c r="D134" s="33" t="s">
        <v>8763</v>
      </c>
      <c r="E134" s="33" t="s">
        <v>8764</v>
      </c>
      <c r="F134" s="33" t="s">
        <v>8765</v>
      </c>
      <c r="G134" s="33" t="s">
        <v>8764</v>
      </c>
      <c r="H134" s="33" t="s">
        <v>8766</v>
      </c>
      <c r="I134" s="33" t="s">
        <v>8764</v>
      </c>
      <c r="J134" s="33" t="s">
        <v>8767</v>
      </c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 t="s">
        <v>8768</v>
      </c>
      <c r="V134" s="33"/>
      <c r="W134" s="33" t="s">
        <v>9819</v>
      </c>
      <c r="X134" s="33" t="s">
        <v>8499</v>
      </c>
      <c r="Y134" s="33" t="s">
        <v>8500</v>
      </c>
      <c r="Z134" s="33" t="s">
        <v>8500</v>
      </c>
      <c r="AA134" s="33" t="s">
        <v>8500</v>
      </c>
      <c r="AB134" s="33" t="s">
        <v>8525</v>
      </c>
      <c r="AC134" s="33"/>
      <c r="AD134" s="33"/>
      <c r="AE134" s="33"/>
      <c r="AF134" s="33" t="s">
        <v>9820</v>
      </c>
      <c r="AG134" s="33"/>
      <c r="AH134" s="33" t="s">
        <v>8560</v>
      </c>
      <c r="AI134" s="33"/>
      <c r="AJ134" s="33"/>
      <c r="AK134" s="33"/>
      <c r="AL134" s="33" t="s">
        <v>8528</v>
      </c>
      <c r="AM134" s="33" t="s">
        <v>8545</v>
      </c>
      <c r="AN134" s="33" t="s">
        <v>8845</v>
      </c>
      <c r="AO134" s="33" t="s">
        <v>8846</v>
      </c>
      <c r="AP134" s="33">
        <v>1</v>
      </c>
      <c r="AQ134" s="5" t="s">
        <v>10037</v>
      </c>
      <c r="AR134" s="33" t="s">
        <v>9821</v>
      </c>
      <c r="AS134" s="33" t="s">
        <v>83</v>
      </c>
      <c r="AT134" s="33" t="s">
        <v>8763</v>
      </c>
      <c r="AU134" s="33" t="s">
        <v>8764</v>
      </c>
      <c r="AV134" s="33" t="s">
        <v>8765</v>
      </c>
      <c r="AW134" s="33" t="s">
        <v>8764</v>
      </c>
      <c r="AX134" s="33" t="s">
        <v>8766</v>
      </c>
      <c r="AY134" s="33" t="s">
        <v>8764</v>
      </c>
      <c r="AZ134" s="33" t="s">
        <v>8767</v>
      </c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 t="s">
        <v>8768</v>
      </c>
      <c r="BL134" s="33"/>
      <c r="BM134" s="33" t="s">
        <v>9819</v>
      </c>
      <c r="BN134" s="33" t="s">
        <v>8499</v>
      </c>
      <c r="BO134" s="33" t="s">
        <v>8500</v>
      </c>
      <c r="BP134" s="33" t="s">
        <v>8500</v>
      </c>
      <c r="BQ134" s="33" t="s">
        <v>8500</v>
      </c>
      <c r="BR134" s="33" t="s">
        <v>8525</v>
      </c>
      <c r="BS134" s="33"/>
      <c r="BT134" s="33"/>
      <c r="BU134" s="33"/>
      <c r="BV134" s="33" t="s">
        <v>9820</v>
      </c>
      <c r="BW134" s="33"/>
      <c r="BX134" s="33" t="s">
        <v>8560</v>
      </c>
      <c r="BY134" s="33"/>
      <c r="BZ134" s="33" t="s">
        <v>8545</v>
      </c>
      <c r="CA134" s="33" t="s">
        <v>8528</v>
      </c>
      <c r="CB134" s="33" t="s">
        <v>8528</v>
      </c>
      <c r="CC134" s="33" t="s">
        <v>8545</v>
      </c>
      <c r="CD134" s="33" t="s">
        <v>8845</v>
      </c>
      <c r="CE134" s="33" t="s">
        <v>8846</v>
      </c>
      <c r="CF134" s="33">
        <v>2</v>
      </c>
      <c r="CG134" s="5" t="s">
        <v>10037</v>
      </c>
      <c r="CH134" s="33">
        <f t="shared" si="45"/>
        <v>0</v>
      </c>
      <c r="CI134" s="33">
        <f t="shared" si="45"/>
        <v>0</v>
      </c>
      <c r="CJ134" s="33">
        <f t="shared" si="44"/>
        <v>0</v>
      </c>
      <c r="CK134" s="33">
        <f t="shared" si="44"/>
        <v>0</v>
      </c>
      <c r="CL134" s="33">
        <f t="shared" si="44"/>
        <v>0</v>
      </c>
      <c r="CM134" s="33">
        <f t="shared" si="44"/>
        <v>0</v>
      </c>
      <c r="CN134" s="33">
        <f t="shared" si="44"/>
        <v>0</v>
      </c>
      <c r="CO134" s="33">
        <f t="shared" si="44"/>
        <v>0</v>
      </c>
      <c r="CP134" s="33">
        <f t="shared" si="44"/>
        <v>0</v>
      </c>
      <c r="CQ134" s="33">
        <f t="shared" si="44"/>
        <v>0</v>
      </c>
      <c r="CR134" s="33">
        <f t="shared" si="44"/>
        <v>0</v>
      </c>
      <c r="CS134" s="33">
        <f t="shared" si="44"/>
        <v>0</v>
      </c>
      <c r="CT134" s="33">
        <f t="shared" si="44"/>
        <v>0</v>
      </c>
      <c r="CU134" s="33">
        <f t="shared" si="44"/>
        <v>0</v>
      </c>
      <c r="CV134" s="33">
        <f t="shared" si="44"/>
        <v>0</v>
      </c>
      <c r="CW134" s="33">
        <f t="shared" si="44"/>
        <v>0</v>
      </c>
      <c r="CX134" s="33">
        <f t="shared" si="43"/>
        <v>0</v>
      </c>
      <c r="CY134" s="33">
        <f t="shared" si="43"/>
        <v>0</v>
      </c>
      <c r="CZ134" s="33">
        <f t="shared" si="43"/>
        <v>0</v>
      </c>
      <c r="DA134" s="33">
        <f t="shared" si="43"/>
        <v>0</v>
      </c>
      <c r="DB134" s="33">
        <f t="shared" si="46"/>
        <v>0</v>
      </c>
      <c r="DC134" s="33">
        <f t="shared" si="46"/>
        <v>0</v>
      </c>
      <c r="DD134" s="33">
        <f t="shared" si="46"/>
        <v>0</v>
      </c>
      <c r="DE134" s="33">
        <f t="shared" si="46"/>
        <v>0</v>
      </c>
      <c r="DF134" s="33">
        <f t="shared" si="46"/>
        <v>0</v>
      </c>
      <c r="DG134" s="33">
        <f t="shared" si="46"/>
        <v>0</v>
      </c>
      <c r="DH134" s="33">
        <f t="shared" si="41"/>
        <v>0</v>
      </c>
      <c r="DI134" s="33">
        <f t="shared" si="41"/>
        <v>0</v>
      </c>
      <c r="DJ134" s="33">
        <f t="shared" si="41"/>
        <v>0</v>
      </c>
      <c r="DK134" s="33">
        <f t="shared" si="41"/>
        <v>0</v>
      </c>
      <c r="DL134" s="33">
        <f t="shared" si="41"/>
        <v>0</v>
      </c>
      <c r="DM134" s="33">
        <f t="shared" si="41"/>
        <v>0</v>
      </c>
      <c r="DN134" s="33">
        <f t="shared" si="41"/>
        <v>0</v>
      </c>
      <c r="DO134" s="33">
        <f t="shared" si="41"/>
        <v>1</v>
      </c>
      <c r="DP134" s="50">
        <f t="shared" ref="DP134:DP156" si="49">+AJ134</f>
        <v>0</v>
      </c>
      <c r="DQ134" s="50" t="str">
        <f t="shared" ref="DQ134:DQ156" si="50">+BZ134</f>
        <v>D</v>
      </c>
      <c r="DR134" s="33">
        <f t="shared" si="47"/>
        <v>1</v>
      </c>
      <c r="DS134" s="50">
        <f t="shared" ref="DS134:DS156" si="51">+AK134</f>
        <v>0</v>
      </c>
      <c r="DT134" s="50" t="str">
        <f t="shared" ref="DT134:DT156" si="52">+CA134</f>
        <v>5-MEDIA BAJA</v>
      </c>
      <c r="DU134" s="33">
        <f t="shared" si="48"/>
        <v>0</v>
      </c>
      <c r="DV134" s="33">
        <f t="shared" si="48"/>
        <v>0</v>
      </c>
      <c r="DW134" s="33">
        <f t="shared" si="48"/>
        <v>0</v>
      </c>
      <c r="DX134" s="33">
        <f t="shared" si="48"/>
        <v>0</v>
      </c>
      <c r="DY134" s="35">
        <f t="shared" ref="DY134:DY156" si="53">+SUM(CH134:DO134,DR134,DU134:DX134)</f>
        <v>2</v>
      </c>
      <c r="DZ134" s="33">
        <f t="shared" si="35"/>
        <v>18</v>
      </c>
      <c r="EA134" s="33">
        <f t="shared" si="36"/>
        <v>16</v>
      </c>
      <c r="EB134" s="33" t="str">
        <f t="shared" si="37"/>
        <v>AUX 2 COM + CAMPOS PREENC</v>
      </c>
      <c r="EC134" s="33" t="s">
        <v>10034</v>
      </c>
    </row>
    <row r="135" spans="2:133" x14ac:dyDescent="0.25">
      <c r="B135" s="33"/>
      <c r="C135" s="33" t="s">
        <v>46</v>
      </c>
      <c r="D135" s="33" t="s">
        <v>8513</v>
      </c>
      <c r="E135" s="33" t="s">
        <v>8514</v>
      </c>
      <c r="F135" s="33" t="s">
        <v>9389</v>
      </c>
      <c r="G135" s="33" t="s">
        <v>9390</v>
      </c>
      <c r="H135" s="33" t="s">
        <v>9822</v>
      </c>
      <c r="I135" s="33" t="s">
        <v>9823</v>
      </c>
      <c r="J135" s="33" t="s">
        <v>9823</v>
      </c>
      <c r="K135" s="33" t="s">
        <v>8819</v>
      </c>
      <c r="L135" s="33" t="s">
        <v>8820</v>
      </c>
      <c r="M135" s="33" t="s">
        <v>9824</v>
      </c>
      <c r="N135" s="33" t="s">
        <v>8718</v>
      </c>
      <c r="O135" s="33"/>
      <c r="P135" s="33"/>
      <c r="Q135" s="33" t="s">
        <v>8820</v>
      </c>
      <c r="R135" s="33"/>
      <c r="S135" s="33"/>
      <c r="T135" s="33"/>
      <c r="U135" s="33" t="s">
        <v>9825</v>
      </c>
      <c r="V135" s="33" t="s">
        <v>9826</v>
      </c>
      <c r="W135" s="33" t="s">
        <v>9827</v>
      </c>
      <c r="X135" s="33"/>
      <c r="Y135" s="33" t="s">
        <v>8500</v>
      </c>
      <c r="Z135" s="33" t="s">
        <v>8500</v>
      </c>
      <c r="AA135" s="33" t="s">
        <v>8500</v>
      </c>
      <c r="AB135" s="33" t="s">
        <v>8500</v>
      </c>
      <c r="AC135" s="33"/>
      <c r="AD135" s="33"/>
      <c r="AE135" s="33"/>
      <c r="AF135" s="33" t="s">
        <v>9828</v>
      </c>
      <c r="AG135" s="33"/>
      <c r="AH135" s="33" t="s">
        <v>8505</v>
      </c>
      <c r="AI135" s="33"/>
      <c r="AJ135" s="33"/>
      <c r="AK135" s="33"/>
      <c r="AL135" s="33" t="s">
        <v>8507</v>
      </c>
      <c r="AM135" s="33" t="s">
        <v>8577</v>
      </c>
      <c r="AN135" s="33" t="s">
        <v>9829</v>
      </c>
      <c r="AO135" s="33" t="s">
        <v>9830</v>
      </c>
      <c r="AP135" s="33">
        <v>1</v>
      </c>
      <c r="AQ135" s="5" t="s">
        <v>10037</v>
      </c>
      <c r="AR135" s="33" t="s">
        <v>9831</v>
      </c>
      <c r="AS135" s="33" t="s">
        <v>46</v>
      </c>
      <c r="AT135" s="33" t="s">
        <v>8513</v>
      </c>
      <c r="AU135" s="33" t="s">
        <v>8514</v>
      </c>
      <c r="AV135" s="33" t="s">
        <v>9389</v>
      </c>
      <c r="AW135" s="33" t="s">
        <v>9390</v>
      </c>
      <c r="AX135" s="33" t="s">
        <v>9822</v>
      </c>
      <c r="AY135" s="33" t="s">
        <v>9823</v>
      </c>
      <c r="AZ135" s="33" t="s">
        <v>9823</v>
      </c>
      <c r="BA135" s="33" t="s">
        <v>8819</v>
      </c>
      <c r="BB135" s="33" t="s">
        <v>8820</v>
      </c>
      <c r="BC135" s="33" t="s">
        <v>9824</v>
      </c>
      <c r="BD135" s="33" t="s">
        <v>8718</v>
      </c>
      <c r="BE135" s="33"/>
      <c r="BF135" s="33"/>
      <c r="BG135" s="33" t="s">
        <v>8820</v>
      </c>
      <c r="BH135" s="33"/>
      <c r="BI135" s="33"/>
      <c r="BJ135" s="33"/>
      <c r="BK135" s="33" t="s">
        <v>9825</v>
      </c>
      <c r="BL135" s="33" t="s">
        <v>9826</v>
      </c>
      <c r="BM135" s="33" t="s">
        <v>9827</v>
      </c>
      <c r="BN135" s="33"/>
      <c r="BO135" s="33" t="s">
        <v>8500</v>
      </c>
      <c r="BP135" s="33" t="s">
        <v>8500</v>
      </c>
      <c r="BQ135" s="33" t="s">
        <v>8500</v>
      </c>
      <c r="BR135" s="33" t="s">
        <v>8500</v>
      </c>
      <c r="BS135" s="33"/>
      <c r="BT135" s="33"/>
      <c r="BU135" s="33"/>
      <c r="BV135" s="33" t="s">
        <v>9828</v>
      </c>
      <c r="BW135" s="33"/>
      <c r="BX135" s="33" t="s">
        <v>8505</v>
      </c>
      <c r="BY135" s="33"/>
      <c r="BZ135" s="33"/>
      <c r="CA135" s="33"/>
      <c r="CB135" s="33" t="s">
        <v>8507</v>
      </c>
      <c r="CC135" s="33" t="s">
        <v>8577</v>
      </c>
      <c r="CD135" s="33" t="s">
        <v>9829</v>
      </c>
      <c r="CE135" s="33" t="s">
        <v>9830</v>
      </c>
      <c r="CF135" s="33">
        <v>2</v>
      </c>
      <c r="CG135" s="5" t="s">
        <v>10037</v>
      </c>
      <c r="CH135" s="33">
        <f t="shared" si="45"/>
        <v>0</v>
      </c>
      <c r="CI135" s="33">
        <f t="shared" si="45"/>
        <v>0</v>
      </c>
      <c r="CJ135" s="33">
        <f t="shared" si="44"/>
        <v>0</v>
      </c>
      <c r="CK135" s="33">
        <f t="shared" si="44"/>
        <v>0</v>
      </c>
      <c r="CL135" s="33">
        <f t="shared" si="44"/>
        <v>0</v>
      </c>
      <c r="CM135" s="33">
        <f t="shared" si="44"/>
        <v>0</v>
      </c>
      <c r="CN135" s="33">
        <f t="shared" si="44"/>
        <v>0</v>
      </c>
      <c r="CO135" s="33">
        <f t="shared" si="44"/>
        <v>0</v>
      </c>
      <c r="CP135" s="33">
        <f t="shared" si="44"/>
        <v>0</v>
      </c>
      <c r="CQ135" s="33">
        <f t="shared" si="44"/>
        <v>0</v>
      </c>
      <c r="CR135" s="33">
        <f t="shared" si="44"/>
        <v>0</v>
      </c>
      <c r="CS135" s="33">
        <f t="shared" si="44"/>
        <v>0</v>
      </c>
      <c r="CT135" s="33">
        <f t="shared" si="44"/>
        <v>0</v>
      </c>
      <c r="CU135" s="33">
        <f t="shared" si="44"/>
        <v>0</v>
      </c>
      <c r="CV135" s="33">
        <f t="shared" si="44"/>
        <v>0</v>
      </c>
      <c r="CW135" s="33">
        <f t="shared" si="44"/>
        <v>0</v>
      </c>
      <c r="CX135" s="33">
        <f t="shared" si="43"/>
        <v>0</v>
      </c>
      <c r="CY135" s="33">
        <f t="shared" si="43"/>
        <v>0</v>
      </c>
      <c r="CZ135" s="33">
        <f t="shared" si="43"/>
        <v>0</v>
      </c>
      <c r="DA135" s="33">
        <f t="shared" si="43"/>
        <v>0</v>
      </c>
      <c r="DB135" s="33">
        <f t="shared" si="46"/>
        <v>0</v>
      </c>
      <c r="DC135" s="33">
        <f t="shared" si="46"/>
        <v>0</v>
      </c>
      <c r="DD135" s="33">
        <f t="shared" si="46"/>
        <v>0</v>
      </c>
      <c r="DE135" s="33">
        <f t="shared" si="46"/>
        <v>0</v>
      </c>
      <c r="DF135" s="33">
        <f t="shared" si="46"/>
        <v>0</v>
      </c>
      <c r="DG135" s="33">
        <f t="shared" si="46"/>
        <v>0</v>
      </c>
      <c r="DH135" s="33">
        <f t="shared" si="41"/>
        <v>0</v>
      </c>
      <c r="DI135" s="33">
        <f t="shared" si="41"/>
        <v>0</v>
      </c>
      <c r="DJ135" s="33">
        <f t="shared" si="41"/>
        <v>0</v>
      </c>
      <c r="DK135" s="33">
        <f t="shared" si="41"/>
        <v>0</v>
      </c>
      <c r="DL135" s="33">
        <f t="shared" si="41"/>
        <v>0</v>
      </c>
      <c r="DM135" s="33">
        <f t="shared" si="41"/>
        <v>0</v>
      </c>
      <c r="DN135" s="33">
        <f t="shared" si="41"/>
        <v>0</v>
      </c>
      <c r="DO135" s="33">
        <f t="shared" ref="DO135:DO156" si="54">+IF(AJ135=BZ135,0,1)</f>
        <v>0</v>
      </c>
      <c r="DP135" s="50">
        <f t="shared" si="49"/>
        <v>0</v>
      </c>
      <c r="DQ135" s="50">
        <f t="shared" si="50"/>
        <v>0</v>
      </c>
      <c r="DR135" s="33">
        <f t="shared" si="47"/>
        <v>0</v>
      </c>
      <c r="DS135" s="50">
        <f t="shared" si="51"/>
        <v>0</v>
      </c>
      <c r="DT135" s="50">
        <f t="shared" si="52"/>
        <v>0</v>
      </c>
      <c r="DU135" s="33">
        <f t="shared" si="48"/>
        <v>0</v>
      </c>
      <c r="DV135" s="33">
        <f t="shared" si="48"/>
        <v>0</v>
      </c>
      <c r="DW135" s="33">
        <f t="shared" si="48"/>
        <v>0</v>
      </c>
      <c r="DX135" s="33">
        <f t="shared" si="48"/>
        <v>0</v>
      </c>
      <c r="DY135" s="35">
        <f t="shared" si="53"/>
        <v>0</v>
      </c>
      <c r="DZ135" s="33">
        <f t="shared" ref="DZ135:DZ156" si="55">+COUNTBLANK(C135:AO135)</f>
        <v>13</v>
      </c>
      <c r="EA135" s="33">
        <f t="shared" ref="EA135:EA156" si="56">+COUNTBLANK(AS135:CE135)</f>
        <v>13</v>
      </c>
      <c r="EB135" s="33" t="str">
        <f t="shared" ref="EB135:EB156" si="57">+IF(AND(DZ135=EA135,DY135=0),"IGUAL CAMPOS PREENCH",IF(DZ135&lt;=EA135,"AUX 1 COM + CAMPOS PREENC OU IGUAL","AUX 2 COM + CAMPOS PREENC"))</f>
        <v>IGUAL CAMPOS PREENCH</v>
      </c>
      <c r="EC135" s="33" t="s">
        <v>10035</v>
      </c>
    </row>
    <row r="136" spans="2:133" x14ac:dyDescent="0.25">
      <c r="B136" s="33" t="s">
        <v>9832</v>
      </c>
      <c r="C136" s="33" t="s">
        <v>54</v>
      </c>
      <c r="D136" s="33" t="s">
        <v>8801</v>
      </c>
      <c r="E136" s="33" t="s">
        <v>8802</v>
      </c>
      <c r="F136" s="33" t="s">
        <v>9455</v>
      </c>
      <c r="G136" s="33" t="s">
        <v>9456</v>
      </c>
      <c r="H136" s="33" t="s">
        <v>9457</v>
      </c>
      <c r="I136" s="33" t="s">
        <v>9458</v>
      </c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 t="s">
        <v>9737</v>
      </c>
      <c r="V136" s="33" t="s">
        <v>8501</v>
      </c>
      <c r="W136" s="33" t="s">
        <v>9833</v>
      </c>
      <c r="X136" s="33" t="s">
        <v>9462</v>
      </c>
      <c r="Y136" s="33" t="s">
        <v>8500</v>
      </c>
      <c r="Z136" s="33" t="s">
        <v>8500</v>
      </c>
      <c r="AA136" s="33" t="s">
        <v>8500</v>
      </c>
      <c r="AB136" s="33" t="s">
        <v>8500</v>
      </c>
      <c r="AC136" s="33"/>
      <c r="AD136" s="33"/>
      <c r="AE136" s="33"/>
      <c r="AF136" s="33" t="s">
        <v>9834</v>
      </c>
      <c r="AG136" s="33"/>
      <c r="AH136" s="33" t="s">
        <v>8505</v>
      </c>
      <c r="AI136" s="33"/>
      <c r="AJ136" s="33"/>
      <c r="AK136" s="33"/>
      <c r="AL136" s="33" t="s">
        <v>8528</v>
      </c>
      <c r="AM136" s="33" t="s">
        <v>8545</v>
      </c>
      <c r="AN136" s="33" t="s">
        <v>9739</v>
      </c>
      <c r="AO136" s="33" t="s">
        <v>9740</v>
      </c>
      <c r="AP136" s="33">
        <v>1</v>
      </c>
      <c r="AQ136" s="5" t="s">
        <v>10037</v>
      </c>
      <c r="AR136" s="33"/>
      <c r="AS136" s="33" t="s">
        <v>54</v>
      </c>
      <c r="AT136" s="33" t="s">
        <v>8801</v>
      </c>
      <c r="AU136" s="33" t="s">
        <v>8802</v>
      </c>
      <c r="AV136" s="33" t="s">
        <v>9455</v>
      </c>
      <c r="AW136" s="33" t="s">
        <v>9456</v>
      </c>
      <c r="AX136" s="33" t="s">
        <v>9457</v>
      </c>
      <c r="AY136" s="33" t="s">
        <v>9458</v>
      </c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 t="s">
        <v>9737</v>
      </c>
      <c r="BL136" s="33" t="s">
        <v>8501</v>
      </c>
      <c r="BM136" s="33" t="s">
        <v>9833</v>
      </c>
      <c r="BN136" s="33" t="s">
        <v>9462</v>
      </c>
      <c r="BO136" s="33" t="s">
        <v>8500</v>
      </c>
      <c r="BP136" s="33" t="s">
        <v>8500</v>
      </c>
      <c r="BQ136" s="33" t="s">
        <v>8500</v>
      </c>
      <c r="BR136" s="33" t="s">
        <v>8500</v>
      </c>
      <c r="BS136" s="33"/>
      <c r="BT136" s="33"/>
      <c r="BU136" s="33"/>
      <c r="BV136" s="33" t="s">
        <v>9834</v>
      </c>
      <c r="BW136" s="33"/>
      <c r="BX136" s="33" t="s">
        <v>8505</v>
      </c>
      <c r="BY136" s="33"/>
      <c r="BZ136" s="33"/>
      <c r="CA136" s="33"/>
      <c r="CB136" s="33" t="s">
        <v>8528</v>
      </c>
      <c r="CC136" s="33" t="s">
        <v>8545</v>
      </c>
      <c r="CD136" s="33" t="s">
        <v>9739</v>
      </c>
      <c r="CE136" s="33" t="s">
        <v>9740</v>
      </c>
      <c r="CF136" s="33">
        <v>2</v>
      </c>
      <c r="CG136" s="5" t="s">
        <v>10037</v>
      </c>
      <c r="CH136" s="33">
        <f t="shared" si="45"/>
        <v>0</v>
      </c>
      <c r="CI136" s="33">
        <f t="shared" si="45"/>
        <v>0</v>
      </c>
      <c r="CJ136" s="33">
        <f t="shared" si="44"/>
        <v>0</v>
      </c>
      <c r="CK136" s="33">
        <f t="shared" si="44"/>
        <v>0</v>
      </c>
      <c r="CL136" s="33">
        <f t="shared" si="44"/>
        <v>0</v>
      </c>
      <c r="CM136" s="33">
        <f t="shared" si="44"/>
        <v>0</v>
      </c>
      <c r="CN136" s="33">
        <f t="shared" si="44"/>
        <v>0</v>
      </c>
      <c r="CO136" s="33">
        <f t="shared" si="44"/>
        <v>0</v>
      </c>
      <c r="CP136" s="33">
        <f t="shared" si="44"/>
        <v>0</v>
      </c>
      <c r="CQ136" s="33">
        <f t="shared" si="44"/>
        <v>0</v>
      </c>
      <c r="CR136" s="33">
        <f t="shared" si="44"/>
        <v>0</v>
      </c>
      <c r="CS136" s="33">
        <f t="shared" si="44"/>
        <v>0</v>
      </c>
      <c r="CT136" s="33">
        <f t="shared" si="44"/>
        <v>0</v>
      </c>
      <c r="CU136" s="33">
        <f t="shared" si="44"/>
        <v>0</v>
      </c>
      <c r="CV136" s="33">
        <f t="shared" si="44"/>
        <v>0</v>
      </c>
      <c r="CW136" s="33">
        <f t="shared" si="44"/>
        <v>0</v>
      </c>
      <c r="CX136" s="33">
        <f t="shared" si="43"/>
        <v>0</v>
      </c>
      <c r="CY136" s="33">
        <f t="shared" si="43"/>
        <v>0</v>
      </c>
      <c r="CZ136" s="33">
        <f t="shared" si="43"/>
        <v>0</v>
      </c>
      <c r="DA136" s="33">
        <f t="shared" si="43"/>
        <v>0</v>
      </c>
      <c r="DB136" s="33">
        <f t="shared" si="46"/>
        <v>0</v>
      </c>
      <c r="DC136" s="33">
        <f t="shared" si="46"/>
        <v>0</v>
      </c>
      <c r="DD136" s="33">
        <f t="shared" si="46"/>
        <v>0</v>
      </c>
      <c r="DE136" s="33">
        <f t="shared" si="46"/>
        <v>0</v>
      </c>
      <c r="DF136" s="33">
        <f t="shared" si="46"/>
        <v>0</v>
      </c>
      <c r="DG136" s="33">
        <f t="shared" si="46"/>
        <v>0</v>
      </c>
      <c r="DH136" s="33">
        <f t="shared" si="46"/>
        <v>0</v>
      </c>
      <c r="DI136" s="33">
        <f t="shared" si="46"/>
        <v>0</v>
      </c>
      <c r="DJ136" s="33">
        <f t="shared" si="46"/>
        <v>0</v>
      </c>
      <c r="DK136" s="33">
        <f t="shared" si="46"/>
        <v>0</v>
      </c>
      <c r="DL136" s="33">
        <f t="shared" si="46"/>
        <v>0</v>
      </c>
      <c r="DM136" s="33">
        <f t="shared" si="46"/>
        <v>0</v>
      </c>
      <c r="DN136" s="33">
        <f t="shared" si="46"/>
        <v>0</v>
      </c>
      <c r="DO136" s="33">
        <f t="shared" si="54"/>
        <v>0</v>
      </c>
      <c r="DP136" s="50">
        <f t="shared" si="49"/>
        <v>0</v>
      </c>
      <c r="DQ136" s="50">
        <f t="shared" si="50"/>
        <v>0</v>
      </c>
      <c r="DR136" s="33">
        <f t="shared" si="47"/>
        <v>0</v>
      </c>
      <c r="DS136" s="50">
        <f t="shared" si="51"/>
        <v>0</v>
      </c>
      <c r="DT136" s="50">
        <f t="shared" si="52"/>
        <v>0</v>
      </c>
      <c r="DU136" s="33">
        <f t="shared" si="48"/>
        <v>0</v>
      </c>
      <c r="DV136" s="33">
        <f t="shared" si="48"/>
        <v>0</v>
      </c>
      <c r="DW136" s="33">
        <f t="shared" si="48"/>
        <v>0</v>
      </c>
      <c r="DX136" s="33">
        <f t="shared" si="48"/>
        <v>0</v>
      </c>
      <c r="DY136" s="35">
        <f t="shared" si="53"/>
        <v>0</v>
      </c>
      <c r="DZ136" s="33">
        <f t="shared" si="55"/>
        <v>18</v>
      </c>
      <c r="EA136" s="33">
        <f t="shared" si="56"/>
        <v>18</v>
      </c>
      <c r="EB136" s="33" t="str">
        <f t="shared" si="57"/>
        <v>IGUAL CAMPOS PREENCH</v>
      </c>
      <c r="EC136" s="33" t="s">
        <v>10035</v>
      </c>
    </row>
    <row r="137" spans="2:133" x14ac:dyDescent="0.25">
      <c r="B137" s="33"/>
      <c r="C137" s="33" t="s">
        <v>71</v>
      </c>
      <c r="D137" s="33" t="s">
        <v>8565</v>
      </c>
      <c r="E137" s="33" t="s">
        <v>8566</v>
      </c>
      <c r="F137" s="33" t="s">
        <v>9835</v>
      </c>
      <c r="G137" s="33" t="s">
        <v>9836</v>
      </c>
      <c r="H137" s="33" t="s">
        <v>9837</v>
      </c>
      <c r="I137" s="33" t="s">
        <v>9838</v>
      </c>
      <c r="J137" s="33" t="s">
        <v>9838</v>
      </c>
      <c r="K137" s="33" t="s">
        <v>8570</v>
      </c>
      <c r="L137" s="33" t="s">
        <v>8571</v>
      </c>
      <c r="M137" s="33" t="s">
        <v>9839</v>
      </c>
      <c r="N137" s="33" t="s">
        <v>9840</v>
      </c>
      <c r="O137" s="33"/>
      <c r="P137" s="33"/>
      <c r="Q137" s="33" t="s">
        <v>8571</v>
      </c>
      <c r="R137" s="33"/>
      <c r="S137" s="33"/>
      <c r="T137" s="33"/>
      <c r="U137" s="33" t="s">
        <v>9841</v>
      </c>
      <c r="V137" s="33" t="s">
        <v>9842</v>
      </c>
      <c r="W137" s="33" t="s">
        <v>9843</v>
      </c>
      <c r="X137" s="33" t="s">
        <v>9844</v>
      </c>
      <c r="Y137" s="33" t="s">
        <v>8525</v>
      </c>
      <c r="Z137" s="33" t="s">
        <v>8500</v>
      </c>
      <c r="AA137" s="33" t="s">
        <v>8525</v>
      </c>
      <c r="AB137" s="33" t="s">
        <v>8500</v>
      </c>
      <c r="AC137" s="33"/>
      <c r="AD137" s="33"/>
      <c r="AE137" s="33"/>
      <c r="AF137" s="33" t="s">
        <v>9845</v>
      </c>
      <c r="AG137" s="33"/>
      <c r="AH137" s="33" t="s">
        <v>8527</v>
      </c>
      <c r="AI137" s="33"/>
      <c r="AJ137" s="33"/>
      <c r="AK137" s="33"/>
      <c r="AL137" s="33" t="s">
        <v>8528</v>
      </c>
      <c r="AM137" s="33" t="s">
        <v>8506</v>
      </c>
      <c r="AN137" s="33" t="s">
        <v>9846</v>
      </c>
      <c r="AO137" s="33" t="s">
        <v>9847</v>
      </c>
      <c r="AP137" s="33">
        <v>1</v>
      </c>
      <c r="AQ137" s="5" t="s">
        <v>10037</v>
      </c>
      <c r="AR137" s="33" t="s">
        <v>9848</v>
      </c>
      <c r="AS137" s="33" t="s">
        <v>71</v>
      </c>
      <c r="AT137" s="33" t="s">
        <v>8565</v>
      </c>
      <c r="AU137" s="33" t="s">
        <v>8566</v>
      </c>
      <c r="AV137" s="33" t="s">
        <v>9835</v>
      </c>
      <c r="AW137" s="33" t="s">
        <v>9836</v>
      </c>
      <c r="AX137" s="33" t="s">
        <v>9837</v>
      </c>
      <c r="AY137" s="33" t="s">
        <v>9838</v>
      </c>
      <c r="AZ137" s="33" t="s">
        <v>9838</v>
      </c>
      <c r="BA137" s="33" t="s">
        <v>8570</v>
      </c>
      <c r="BB137" s="33" t="s">
        <v>8571</v>
      </c>
      <c r="BC137" s="33" t="s">
        <v>9839</v>
      </c>
      <c r="BD137" s="33" t="s">
        <v>9840</v>
      </c>
      <c r="BE137" s="33"/>
      <c r="BF137" s="33"/>
      <c r="BG137" s="33" t="s">
        <v>8571</v>
      </c>
      <c r="BH137" s="33"/>
      <c r="BI137" s="33"/>
      <c r="BJ137" s="33"/>
      <c r="BK137" s="33" t="s">
        <v>9841</v>
      </c>
      <c r="BL137" s="33" t="s">
        <v>9842</v>
      </c>
      <c r="BM137" s="33" t="s">
        <v>9843</v>
      </c>
      <c r="BN137" s="33" t="s">
        <v>9844</v>
      </c>
      <c r="BO137" s="33" t="s">
        <v>8525</v>
      </c>
      <c r="BP137" s="33" t="s">
        <v>8500</v>
      </c>
      <c r="BQ137" s="33" t="s">
        <v>8525</v>
      </c>
      <c r="BR137" s="33" t="s">
        <v>8500</v>
      </c>
      <c r="BS137" s="33"/>
      <c r="BT137" s="33"/>
      <c r="BU137" s="33"/>
      <c r="BV137" s="33" t="s">
        <v>9845</v>
      </c>
      <c r="BW137" s="33"/>
      <c r="BX137" s="33" t="s">
        <v>8527</v>
      </c>
      <c r="BY137" s="33"/>
      <c r="BZ137" s="33" t="s">
        <v>8545</v>
      </c>
      <c r="CA137" s="33" t="s">
        <v>8528</v>
      </c>
      <c r="CB137" s="33" t="s">
        <v>8528</v>
      </c>
      <c r="CC137" s="33" t="s">
        <v>8506</v>
      </c>
      <c r="CD137" s="33" t="s">
        <v>9846</v>
      </c>
      <c r="CE137" s="33" t="s">
        <v>9847</v>
      </c>
      <c r="CF137" s="33">
        <v>2</v>
      </c>
      <c r="CG137" s="5" t="s">
        <v>10037</v>
      </c>
      <c r="CH137" s="33">
        <f t="shared" si="45"/>
        <v>0</v>
      </c>
      <c r="CI137" s="33">
        <f t="shared" si="45"/>
        <v>0</v>
      </c>
      <c r="CJ137" s="33">
        <f t="shared" si="44"/>
        <v>0</v>
      </c>
      <c r="CK137" s="33">
        <f t="shared" si="44"/>
        <v>0</v>
      </c>
      <c r="CL137" s="33">
        <f t="shared" si="44"/>
        <v>0</v>
      </c>
      <c r="CM137" s="33">
        <f t="shared" ref="CM137:CW156" si="58">+IF(H137=AX137,0,1)</f>
        <v>0</v>
      </c>
      <c r="CN137" s="33">
        <f t="shared" si="58"/>
        <v>0</v>
      </c>
      <c r="CO137" s="33">
        <f t="shared" si="58"/>
        <v>0</v>
      </c>
      <c r="CP137" s="33">
        <f t="shared" si="58"/>
        <v>0</v>
      </c>
      <c r="CQ137" s="33">
        <f t="shared" si="58"/>
        <v>0</v>
      </c>
      <c r="CR137" s="33">
        <f t="shared" si="58"/>
        <v>0</v>
      </c>
      <c r="CS137" s="33">
        <f t="shared" si="58"/>
        <v>0</v>
      </c>
      <c r="CT137" s="33">
        <f t="shared" si="58"/>
        <v>0</v>
      </c>
      <c r="CU137" s="33">
        <f t="shared" si="58"/>
        <v>0</v>
      </c>
      <c r="CV137" s="33">
        <f t="shared" si="58"/>
        <v>0</v>
      </c>
      <c r="CW137" s="33">
        <f t="shared" si="58"/>
        <v>0</v>
      </c>
      <c r="CX137" s="33">
        <f t="shared" si="43"/>
        <v>0</v>
      </c>
      <c r="CY137" s="33">
        <f t="shared" si="43"/>
        <v>0</v>
      </c>
      <c r="CZ137" s="33">
        <f t="shared" si="43"/>
        <v>0</v>
      </c>
      <c r="DA137" s="33">
        <f t="shared" si="43"/>
        <v>0</v>
      </c>
      <c r="DB137" s="33">
        <f t="shared" si="46"/>
        <v>0</v>
      </c>
      <c r="DC137" s="33">
        <f t="shared" si="46"/>
        <v>0</v>
      </c>
      <c r="DD137" s="33">
        <f t="shared" si="46"/>
        <v>0</v>
      </c>
      <c r="DE137" s="33">
        <f t="shared" si="46"/>
        <v>0</v>
      </c>
      <c r="DF137" s="33">
        <f t="shared" si="46"/>
        <v>0</v>
      </c>
      <c r="DG137" s="33">
        <f t="shared" si="46"/>
        <v>0</v>
      </c>
      <c r="DH137" s="33">
        <f t="shared" si="46"/>
        <v>0</v>
      </c>
      <c r="DI137" s="33">
        <f t="shared" si="46"/>
        <v>0</v>
      </c>
      <c r="DJ137" s="33">
        <f t="shared" si="46"/>
        <v>0</v>
      </c>
      <c r="DK137" s="33">
        <f t="shared" si="46"/>
        <v>0</v>
      </c>
      <c r="DL137" s="33">
        <f t="shared" si="46"/>
        <v>0</v>
      </c>
      <c r="DM137" s="33">
        <f t="shared" si="46"/>
        <v>0</v>
      </c>
      <c r="DN137" s="33">
        <f t="shared" si="46"/>
        <v>0</v>
      </c>
      <c r="DO137" s="33">
        <f t="shared" si="54"/>
        <v>1</v>
      </c>
      <c r="DP137" s="50">
        <f t="shared" si="49"/>
        <v>0</v>
      </c>
      <c r="DQ137" s="50" t="str">
        <f t="shared" si="50"/>
        <v>D</v>
      </c>
      <c r="DR137" s="33">
        <f t="shared" si="47"/>
        <v>1</v>
      </c>
      <c r="DS137" s="50">
        <f t="shared" si="51"/>
        <v>0</v>
      </c>
      <c r="DT137" s="50" t="str">
        <f t="shared" si="52"/>
        <v>5-MEDIA BAJA</v>
      </c>
      <c r="DU137" s="33">
        <f t="shared" si="48"/>
        <v>0</v>
      </c>
      <c r="DV137" s="33">
        <f t="shared" si="48"/>
        <v>0</v>
      </c>
      <c r="DW137" s="33">
        <f t="shared" si="48"/>
        <v>0</v>
      </c>
      <c r="DX137" s="33">
        <f t="shared" si="48"/>
        <v>0</v>
      </c>
      <c r="DY137" s="35">
        <f t="shared" si="53"/>
        <v>2</v>
      </c>
      <c r="DZ137" s="33">
        <f t="shared" si="55"/>
        <v>12</v>
      </c>
      <c r="EA137" s="33">
        <f t="shared" si="56"/>
        <v>10</v>
      </c>
      <c r="EB137" s="33" t="str">
        <f t="shared" si="57"/>
        <v>AUX 2 COM + CAMPOS PREENC</v>
      </c>
      <c r="EC137" s="33" t="s">
        <v>10034</v>
      </c>
    </row>
    <row r="138" spans="2:133" x14ac:dyDescent="0.25">
      <c r="B138" s="33"/>
      <c r="C138" s="33" t="s">
        <v>33</v>
      </c>
      <c r="D138" s="33" t="s">
        <v>8763</v>
      </c>
      <c r="E138" s="33" t="s">
        <v>8764</v>
      </c>
      <c r="F138" s="33" t="s">
        <v>8765</v>
      </c>
      <c r="G138" s="33" t="s">
        <v>8764</v>
      </c>
      <c r="H138" s="33" t="s">
        <v>8766</v>
      </c>
      <c r="I138" s="33" t="s">
        <v>8764</v>
      </c>
      <c r="J138" s="33" t="s">
        <v>8767</v>
      </c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 t="s">
        <v>8768</v>
      </c>
      <c r="V138" s="33"/>
      <c r="W138" s="33" t="s">
        <v>9849</v>
      </c>
      <c r="X138" s="33" t="s">
        <v>8499</v>
      </c>
      <c r="Y138" s="33" t="s">
        <v>8500</v>
      </c>
      <c r="Z138" s="33" t="s">
        <v>8500</v>
      </c>
      <c r="AA138" s="33" t="s">
        <v>8500</v>
      </c>
      <c r="AB138" s="33" t="s">
        <v>8525</v>
      </c>
      <c r="AC138" s="33"/>
      <c r="AD138" s="33"/>
      <c r="AE138" s="33"/>
      <c r="AF138" s="33" t="s">
        <v>9850</v>
      </c>
      <c r="AG138" s="33"/>
      <c r="AH138" s="33" t="s">
        <v>8560</v>
      </c>
      <c r="AI138" s="33"/>
      <c r="AJ138" s="33"/>
      <c r="AK138" s="33"/>
      <c r="AL138" s="33" t="s">
        <v>8528</v>
      </c>
      <c r="AM138" s="33" t="s">
        <v>8545</v>
      </c>
      <c r="AN138" s="33" t="s">
        <v>8845</v>
      </c>
      <c r="AO138" s="33" t="s">
        <v>8846</v>
      </c>
      <c r="AP138" s="33">
        <v>1</v>
      </c>
      <c r="AQ138" s="5" t="s">
        <v>10037</v>
      </c>
      <c r="AR138" s="33" t="s">
        <v>9851</v>
      </c>
      <c r="AS138" s="33" t="s">
        <v>33</v>
      </c>
      <c r="AT138" s="33" t="s">
        <v>8763</v>
      </c>
      <c r="AU138" s="33" t="s">
        <v>8764</v>
      </c>
      <c r="AV138" s="33" t="s">
        <v>8765</v>
      </c>
      <c r="AW138" s="33" t="s">
        <v>8764</v>
      </c>
      <c r="AX138" s="33" t="s">
        <v>8766</v>
      </c>
      <c r="AY138" s="33" t="s">
        <v>8764</v>
      </c>
      <c r="AZ138" s="33" t="s">
        <v>8767</v>
      </c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 t="s">
        <v>8768</v>
      </c>
      <c r="BL138" s="33"/>
      <c r="BM138" s="33" t="s">
        <v>9849</v>
      </c>
      <c r="BN138" s="33" t="s">
        <v>8499</v>
      </c>
      <c r="BO138" s="33" t="s">
        <v>8500</v>
      </c>
      <c r="BP138" s="33" t="s">
        <v>8500</v>
      </c>
      <c r="BQ138" s="33" t="s">
        <v>8500</v>
      </c>
      <c r="BR138" s="33" t="s">
        <v>8525</v>
      </c>
      <c r="BS138" s="33"/>
      <c r="BT138" s="33"/>
      <c r="BU138" s="33"/>
      <c r="BV138" s="33" t="s">
        <v>9850</v>
      </c>
      <c r="BW138" s="33"/>
      <c r="BX138" s="33" t="s">
        <v>8560</v>
      </c>
      <c r="BY138" s="33"/>
      <c r="BZ138" s="33" t="s">
        <v>8545</v>
      </c>
      <c r="CA138" s="33" t="s">
        <v>8528</v>
      </c>
      <c r="CB138" s="33" t="s">
        <v>8528</v>
      </c>
      <c r="CC138" s="33" t="s">
        <v>8545</v>
      </c>
      <c r="CD138" s="33" t="s">
        <v>8845</v>
      </c>
      <c r="CE138" s="33" t="s">
        <v>8846</v>
      </c>
      <c r="CF138" s="33">
        <v>2</v>
      </c>
      <c r="CG138" s="5" t="s">
        <v>10037</v>
      </c>
      <c r="CH138" s="33">
        <f t="shared" si="45"/>
        <v>0</v>
      </c>
      <c r="CI138" s="33">
        <f t="shared" si="45"/>
        <v>0</v>
      </c>
      <c r="CJ138" s="33">
        <f t="shared" si="45"/>
        <v>0</v>
      </c>
      <c r="CK138" s="33">
        <f t="shared" si="45"/>
        <v>0</v>
      </c>
      <c r="CL138" s="33">
        <f t="shared" si="45"/>
        <v>0</v>
      </c>
      <c r="CM138" s="33">
        <f t="shared" si="58"/>
        <v>0</v>
      </c>
      <c r="CN138" s="33">
        <f t="shared" si="58"/>
        <v>0</v>
      </c>
      <c r="CO138" s="33">
        <f t="shared" si="58"/>
        <v>0</v>
      </c>
      <c r="CP138" s="33">
        <f t="shared" si="58"/>
        <v>0</v>
      </c>
      <c r="CQ138" s="33">
        <f t="shared" si="58"/>
        <v>0</v>
      </c>
      <c r="CR138" s="33">
        <f t="shared" si="58"/>
        <v>0</v>
      </c>
      <c r="CS138" s="33">
        <f t="shared" si="58"/>
        <v>0</v>
      </c>
      <c r="CT138" s="33">
        <f t="shared" si="58"/>
        <v>0</v>
      </c>
      <c r="CU138" s="33">
        <f t="shared" si="58"/>
        <v>0</v>
      </c>
      <c r="CV138" s="33">
        <f t="shared" si="58"/>
        <v>0</v>
      </c>
      <c r="CW138" s="33">
        <f t="shared" si="58"/>
        <v>0</v>
      </c>
      <c r="CX138" s="33">
        <f t="shared" si="43"/>
        <v>0</v>
      </c>
      <c r="CY138" s="33">
        <f t="shared" si="43"/>
        <v>0</v>
      </c>
      <c r="CZ138" s="33">
        <f t="shared" si="43"/>
        <v>0</v>
      </c>
      <c r="DA138" s="33">
        <f t="shared" si="43"/>
        <v>0</v>
      </c>
      <c r="DB138" s="33">
        <f t="shared" si="46"/>
        <v>0</v>
      </c>
      <c r="DC138" s="33">
        <f t="shared" si="46"/>
        <v>0</v>
      </c>
      <c r="DD138" s="33">
        <f t="shared" si="46"/>
        <v>0</v>
      </c>
      <c r="DE138" s="33">
        <f t="shared" si="46"/>
        <v>0</v>
      </c>
      <c r="DF138" s="33">
        <f t="shared" si="46"/>
        <v>0</v>
      </c>
      <c r="DG138" s="33">
        <f t="shared" si="46"/>
        <v>0</v>
      </c>
      <c r="DH138" s="33">
        <f t="shared" si="46"/>
        <v>0</v>
      </c>
      <c r="DI138" s="33">
        <f t="shared" si="46"/>
        <v>0</v>
      </c>
      <c r="DJ138" s="33">
        <f t="shared" si="46"/>
        <v>0</v>
      </c>
      <c r="DK138" s="33">
        <f t="shared" si="46"/>
        <v>0</v>
      </c>
      <c r="DL138" s="33">
        <f t="shared" si="46"/>
        <v>0</v>
      </c>
      <c r="DM138" s="33">
        <f t="shared" si="46"/>
        <v>0</v>
      </c>
      <c r="DN138" s="33">
        <f t="shared" si="46"/>
        <v>0</v>
      </c>
      <c r="DO138" s="33">
        <f t="shared" si="54"/>
        <v>1</v>
      </c>
      <c r="DP138" s="50">
        <f t="shared" si="49"/>
        <v>0</v>
      </c>
      <c r="DQ138" s="50" t="str">
        <f t="shared" si="50"/>
        <v>D</v>
      </c>
      <c r="DR138" s="33">
        <f t="shared" si="47"/>
        <v>1</v>
      </c>
      <c r="DS138" s="50">
        <f t="shared" si="51"/>
        <v>0</v>
      </c>
      <c r="DT138" s="50" t="str">
        <f t="shared" si="52"/>
        <v>5-MEDIA BAJA</v>
      </c>
      <c r="DU138" s="33">
        <f t="shared" si="48"/>
        <v>0</v>
      </c>
      <c r="DV138" s="33">
        <f t="shared" si="48"/>
        <v>0</v>
      </c>
      <c r="DW138" s="33">
        <f t="shared" si="48"/>
        <v>0</v>
      </c>
      <c r="DX138" s="33">
        <f t="shared" si="48"/>
        <v>0</v>
      </c>
      <c r="DY138" s="35">
        <f t="shared" si="53"/>
        <v>2</v>
      </c>
      <c r="DZ138" s="33">
        <f t="shared" si="55"/>
        <v>18</v>
      </c>
      <c r="EA138" s="33">
        <f t="shared" si="56"/>
        <v>16</v>
      </c>
      <c r="EB138" s="33" t="str">
        <f t="shared" si="57"/>
        <v>AUX 2 COM + CAMPOS PREENC</v>
      </c>
      <c r="EC138" s="33" t="s">
        <v>10034</v>
      </c>
    </row>
    <row r="139" spans="2:133" x14ac:dyDescent="0.25">
      <c r="B139" s="33" t="s">
        <v>9852</v>
      </c>
      <c r="C139" s="33" t="s">
        <v>171</v>
      </c>
      <c r="D139" s="33" t="s">
        <v>8801</v>
      </c>
      <c r="E139" s="33" t="s">
        <v>8802</v>
      </c>
      <c r="F139" s="33" t="s">
        <v>9455</v>
      </c>
      <c r="G139" s="33" t="s">
        <v>9456</v>
      </c>
      <c r="H139" s="33" t="s">
        <v>9457</v>
      </c>
      <c r="I139" s="33" t="s">
        <v>9458</v>
      </c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 t="s">
        <v>9737</v>
      </c>
      <c r="V139" s="33" t="s">
        <v>8501</v>
      </c>
      <c r="W139" s="33" t="s">
        <v>8671</v>
      </c>
      <c r="X139" s="33" t="s">
        <v>9462</v>
      </c>
      <c r="Y139" s="33" t="s">
        <v>8500</v>
      </c>
      <c r="Z139" s="33" t="s">
        <v>8500</v>
      </c>
      <c r="AA139" s="33" t="s">
        <v>8500</v>
      </c>
      <c r="AB139" s="33" t="s">
        <v>8500</v>
      </c>
      <c r="AC139" s="33"/>
      <c r="AD139" s="33"/>
      <c r="AE139" s="33"/>
      <c r="AF139" s="33" t="s">
        <v>9853</v>
      </c>
      <c r="AG139" s="33"/>
      <c r="AH139" s="33" t="s">
        <v>8505</v>
      </c>
      <c r="AI139" s="33"/>
      <c r="AJ139" s="33"/>
      <c r="AK139" s="33"/>
      <c r="AL139" s="33" t="s">
        <v>8528</v>
      </c>
      <c r="AM139" s="33" t="s">
        <v>8545</v>
      </c>
      <c r="AN139" s="33" t="s">
        <v>9739</v>
      </c>
      <c r="AO139" s="33" t="s">
        <v>9740</v>
      </c>
      <c r="AP139" s="33">
        <v>1</v>
      </c>
      <c r="AQ139" s="5" t="s">
        <v>10037</v>
      </c>
      <c r="AR139" s="33"/>
      <c r="AS139" s="33" t="s">
        <v>171</v>
      </c>
      <c r="AT139" s="33" t="s">
        <v>8801</v>
      </c>
      <c r="AU139" s="33" t="s">
        <v>8802</v>
      </c>
      <c r="AV139" s="33" t="s">
        <v>9455</v>
      </c>
      <c r="AW139" s="33" t="s">
        <v>9456</v>
      </c>
      <c r="AX139" s="33" t="s">
        <v>9457</v>
      </c>
      <c r="AY139" s="33" t="s">
        <v>9458</v>
      </c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 t="s">
        <v>9737</v>
      </c>
      <c r="BL139" s="33" t="s">
        <v>8501</v>
      </c>
      <c r="BM139" s="33" t="s">
        <v>8671</v>
      </c>
      <c r="BN139" s="33" t="s">
        <v>9462</v>
      </c>
      <c r="BO139" s="33" t="s">
        <v>8500</v>
      </c>
      <c r="BP139" s="33" t="s">
        <v>8500</v>
      </c>
      <c r="BQ139" s="33" t="s">
        <v>8500</v>
      </c>
      <c r="BR139" s="33" t="s">
        <v>8500</v>
      </c>
      <c r="BS139" s="33"/>
      <c r="BT139" s="33"/>
      <c r="BU139" s="33"/>
      <c r="BV139" s="33" t="s">
        <v>9853</v>
      </c>
      <c r="BW139" s="33"/>
      <c r="BX139" s="33" t="s">
        <v>8505</v>
      </c>
      <c r="BY139" s="33"/>
      <c r="BZ139" s="33"/>
      <c r="CA139" s="33"/>
      <c r="CB139" s="33" t="s">
        <v>8528</v>
      </c>
      <c r="CC139" s="33" t="s">
        <v>8545</v>
      </c>
      <c r="CD139" s="33" t="s">
        <v>9739</v>
      </c>
      <c r="CE139" s="33" t="s">
        <v>9740</v>
      </c>
      <c r="CF139" s="33">
        <v>2</v>
      </c>
      <c r="CG139" s="5" t="s">
        <v>10037</v>
      </c>
      <c r="CH139" s="33">
        <f t="shared" si="45"/>
        <v>0</v>
      </c>
      <c r="CI139" s="33">
        <f t="shared" si="45"/>
        <v>0</v>
      </c>
      <c r="CJ139" s="33">
        <f t="shared" si="45"/>
        <v>0</v>
      </c>
      <c r="CK139" s="33">
        <f t="shared" si="45"/>
        <v>0</v>
      </c>
      <c r="CL139" s="33">
        <f t="shared" si="45"/>
        <v>0</v>
      </c>
      <c r="CM139" s="33">
        <f t="shared" si="58"/>
        <v>0</v>
      </c>
      <c r="CN139" s="33">
        <f t="shared" si="58"/>
        <v>0</v>
      </c>
      <c r="CO139" s="33">
        <f t="shared" si="58"/>
        <v>0</v>
      </c>
      <c r="CP139" s="33">
        <f t="shared" si="58"/>
        <v>0</v>
      </c>
      <c r="CQ139" s="33">
        <f t="shared" si="58"/>
        <v>0</v>
      </c>
      <c r="CR139" s="33">
        <f t="shared" si="58"/>
        <v>0</v>
      </c>
      <c r="CS139" s="33">
        <f t="shared" si="58"/>
        <v>0</v>
      </c>
      <c r="CT139" s="33">
        <f t="shared" si="58"/>
        <v>0</v>
      </c>
      <c r="CU139" s="33">
        <f t="shared" si="58"/>
        <v>0</v>
      </c>
      <c r="CV139" s="33">
        <f t="shared" si="58"/>
        <v>0</v>
      </c>
      <c r="CW139" s="33">
        <f t="shared" si="58"/>
        <v>0</v>
      </c>
      <c r="CX139" s="33">
        <f t="shared" si="43"/>
        <v>0</v>
      </c>
      <c r="CY139" s="33">
        <f t="shared" si="43"/>
        <v>0</v>
      </c>
      <c r="CZ139" s="33">
        <f t="shared" si="43"/>
        <v>0</v>
      </c>
      <c r="DA139" s="33">
        <f t="shared" si="43"/>
        <v>0</v>
      </c>
      <c r="DB139" s="33">
        <f t="shared" si="46"/>
        <v>0</v>
      </c>
      <c r="DC139" s="33">
        <f t="shared" si="46"/>
        <v>0</v>
      </c>
      <c r="DD139" s="33">
        <f t="shared" si="46"/>
        <v>0</v>
      </c>
      <c r="DE139" s="33">
        <f t="shared" si="46"/>
        <v>0</v>
      </c>
      <c r="DF139" s="33">
        <f t="shared" si="46"/>
        <v>0</v>
      </c>
      <c r="DG139" s="33">
        <f t="shared" si="46"/>
        <v>0</v>
      </c>
      <c r="DH139" s="33">
        <f t="shared" si="46"/>
        <v>0</v>
      </c>
      <c r="DI139" s="33">
        <f t="shared" si="46"/>
        <v>0</v>
      </c>
      <c r="DJ139" s="33">
        <f t="shared" si="46"/>
        <v>0</v>
      </c>
      <c r="DK139" s="33">
        <f t="shared" si="46"/>
        <v>0</v>
      </c>
      <c r="DL139" s="33">
        <f t="shared" si="46"/>
        <v>0</v>
      </c>
      <c r="DM139" s="33">
        <f t="shared" si="46"/>
        <v>0</v>
      </c>
      <c r="DN139" s="33">
        <f t="shared" si="46"/>
        <v>0</v>
      </c>
      <c r="DO139" s="33">
        <f t="shared" si="54"/>
        <v>0</v>
      </c>
      <c r="DP139" s="50">
        <f t="shared" si="49"/>
        <v>0</v>
      </c>
      <c r="DQ139" s="50">
        <f t="shared" si="50"/>
        <v>0</v>
      </c>
      <c r="DR139" s="33">
        <f t="shared" si="47"/>
        <v>0</v>
      </c>
      <c r="DS139" s="50">
        <f t="shared" si="51"/>
        <v>0</v>
      </c>
      <c r="DT139" s="50">
        <f t="shared" si="52"/>
        <v>0</v>
      </c>
      <c r="DU139" s="33">
        <f t="shared" si="48"/>
        <v>0</v>
      </c>
      <c r="DV139" s="33">
        <f t="shared" si="48"/>
        <v>0</v>
      </c>
      <c r="DW139" s="33">
        <f t="shared" si="48"/>
        <v>0</v>
      </c>
      <c r="DX139" s="33">
        <f t="shared" si="48"/>
        <v>0</v>
      </c>
      <c r="DY139" s="35">
        <f t="shared" si="53"/>
        <v>0</v>
      </c>
      <c r="DZ139" s="33">
        <f t="shared" si="55"/>
        <v>18</v>
      </c>
      <c r="EA139" s="33">
        <f t="shared" si="56"/>
        <v>18</v>
      </c>
      <c r="EB139" s="33" t="str">
        <f t="shared" si="57"/>
        <v>IGUAL CAMPOS PREENCH</v>
      </c>
      <c r="EC139" s="33" t="s">
        <v>10035</v>
      </c>
    </row>
    <row r="140" spans="2:133" x14ac:dyDescent="0.25">
      <c r="B140" s="33"/>
      <c r="C140" s="33" t="s">
        <v>169</v>
      </c>
      <c r="D140" s="33" t="s">
        <v>8550</v>
      </c>
      <c r="E140" s="33" t="s">
        <v>8551</v>
      </c>
      <c r="F140" s="33" t="s">
        <v>9854</v>
      </c>
      <c r="G140" s="33" t="s">
        <v>9855</v>
      </c>
      <c r="H140" s="33" t="s">
        <v>9856</v>
      </c>
      <c r="I140" s="33" t="s">
        <v>9855</v>
      </c>
      <c r="J140" s="33" t="s">
        <v>9855</v>
      </c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 t="s">
        <v>8843</v>
      </c>
      <c r="V140" s="33"/>
      <c r="W140" s="33" t="s">
        <v>9857</v>
      </c>
      <c r="X140" s="33" t="s">
        <v>9127</v>
      </c>
      <c r="Y140" s="33" t="s">
        <v>8500</v>
      </c>
      <c r="Z140" s="33" t="s">
        <v>8500</v>
      </c>
      <c r="AA140" s="33" t="s">
        <v>8500</v>
      </c>
      <c r="AB140" s="33" t="s">
        <v>8525</v>
      </c>
      <c r="AC140" s="33"/>
      <c r="AD140" s="33" t="s">
        <v>8501</v>
      </c>
      <c r="AE140" s="33" t="s">
        <v>8502</v>
      </c>
      <c r="AF140" s="33" t="s">
        <v>9858</v>
      </c>
      <c r="AG140" s="33"/>
      <c r="AH140" s="33" t="s">
        <v>8560</v>
      </c>
      <c r="AI140" s="33"/>
      <c r="AJ140" s="33" t="s">
        <v>8545</v>
      </c>
      <c r="AK140" s="33" t="s">
        <v>8528</v>
      </c>
      <c r="AL140" s="33" t="s">
        <v>8528</v>
      </c>
      <c r="AM140" s="33" t="s">
        <v>8506</v>
      </c>
      <c r="AN140" s="33" t="s">
        <v>9859</v>
      </c>
      <c r="AO140" s="33" t="s">
        <v>9860</v>
      </c>
      <c r="AP140" s="33">
        <v>1</v>
      </c>
      <c r="AQ140" s="5" t="s">
        <v>10037</v>
      </c>
      <c r="AR140" s="33"/>
      <c r="AS140" s="33" t="s">
        <v>169</v>
      </c>
      <c r="AT140" s="33" t="s">
        <v>8550</v>
      </c>
      <c r="AU140" s="33" t="s">
        <v>8551</v>
      </c>
      <c r="AV140" s="33" t="s">
        <v>9854</v>
      </c>
      <c r="AW140" s="33" t="s">
        <v>9855</v>
      </c>
      <c r="AX140" s="33" t="s">
        <v>9856</v>
      </c>
      <c r="AY140" s="33" t="s">
        <v>9855</v>
      </c>
      <c r="AZ140" s="33" t="s">
        <v>9855</v>
      </c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 t="s">
        <v>8843</v>
      </c>
      <c r="BL140" s="33"/>
      <c r="BM140" s="33" t="s">
        <v>9857</v>
      </c>
      <c r="BN140" s="33" t="s">
        <v>9127</v>
      </c>
      <c r="BO140" s="33" t="s">
        <v>8500</v>
      </c>
      <c r="BP140" s="33" t="s">
        <v>8500</v>
      </c>
      <c r="BQ140" s="33" t="s">
        <v>8500</v>
      </c>
      <c r="BR140" s="33" t="s">
        <v>8525</v>
      </c>
      <c r="BS140" s="33"/>
      <c r="BT140" s="33"/>
      <c r="BU140" s="33" t="s">
        <v>8502</v>
      </c>
      <c r="BV140" s="33" t="s">
        <v>9858</v>
      </c>
      <c r="BW140" s="33"/>
      <c r="BX140" s="33" t="s">
        <v>8560</v>
      </c>
      <c r="BY140" s="33"/>
      <c r="BZ140" s="33"/>
      <c r="CA140" s="33"/>
      <c r="CB140" s="33" t="s">
        <v>8528</v>
      </c>
      <c r="CC140" s="33" t="s">
        <v>8506</v>
      </c>
      <c r="CD140" s="33" t="s">
        <v>9859</v>
      </c>
      <c r="CE140" s="33" t="s">
        <v>9860</v>
      </c>
      <c r="CF140" s="33">
        <v>2</v>
      </c>
      <c r="CG140" s="5" t="s">
        <v>10037</v>
      </c>
      <c r="CH140" s="33">
        <f t="shared" si="45"/>
        <v>0</v>
      </c>
      <c r="CI140" s="33">
        <f t="shared" si="45"/>
        <v>0</v>
      </c>
      <c r="CJ140" s="33">
        <f t="shared" si="45"/>
        <v>0</v>
      </c>
      <c r="CK140" s="33">
        <f t="shared" si="45"/>
        <v>0</v>
      </c>
      <c r="CL140" s="33">
        <f t="shared" si="45"/>
        <v>0</v>
      </c>
      <c r="CM140" s="33">
        <f t="shared" si="58"/>
        <v>0</v>
      </c>
      <c r="CN140" s="33">
        <f t="shared" si="58"/>
        <v>0</v>
      </c>
      <c r="CO140" s="33">
        <f t="shared" si="58"/>
        <v>0</v>
      </c>
      <c r="CP140" s="33">
        <f t="shared" si="58"/>
        <v>0</v>
      </c>
      <c r="CQ140" s="33">
        <f t="shared" si="58"/>
        <v>0</v>
      </c>
      <c r="CR140" s="33">
        <f t="shared" si="58"/>
        <v>0</v>
      </c>
      <c r="CS140" s="33">
        <f t="shared" si="58"/>
        <v>0</v>
      </c>
      <c r="CT140" s="33">
        <f t="shared" si="58"/>
        <v>0</v>
      </c>
      <c r="CU140" s="33">
        <f t="shared" si="58"/>
        <v>0</v>
      </c>
      <c r="CV140" s="33">
        <f t="shared" si="58"/>
        <v>0</v>
      </c>
      <c r="CW140" s="33">
        <f t="shared" si="58"/>
        <v>0</v>
      </c>
      <c r="CX140" s="33">
        <f t="shared" si="43"/>
        <v>0</v>
      </c>
      <c r="CY140" s="33">
        <f t="shared" si="43"/>
        <v>0</v>
      </c>
      <c r="CZ140" s="33">
        <f t="shared" si="43"/>
        <v>0</v>
      </c>
      <c r="DA140" s="33">
        <f t="shared" si="43"/>
        <v>0</v>
      </c>
      <c r="DB140" s="33">
        <f t="shared" si="46"/>
        <v>0</v>
      </c>
      <c r="DC140" s="33">
        <f t="shared" si="46"/>
        <v>0</v>
      </c>
      <c r="DD140" s="33">
        <f t="shared" si="46"/>
        <v>0</v>
      </c>
      <c r="DE140" s="33">
        <f t="shared" si="46"/>
        <v>0</v>
      </c>
      <c r="DF140" s="33">
        <f t="shared" si="46"/>
        <v>0</v>
      </c>
      <c r="DG140" s="33">
        <f t="shared" si="46"/>
        <v>0</v>
      </c>
      <c r="DH140" s="33">
        <f t="shared" si="46"/>
        <v>0</v>
      </c>
      <c r="DI140" s="33">
        <f t="shared" si="46"/>
        <v>1</v>
      </c>
      <c r="DJ140" s="33">
        <f t="shared" si="46"/>
        <v>0</v>
      </c>
      <c r="DK140" s="33">
        <f t="shared" si="46"/>
        <v>0</v>
      </c>
      <c r="DL140" s="33">
        <f t="shared" si="46"/>
        <v>0</v>
      </c>
      <c r="DM140" s="33">
        <f t="shared" si="46"/>
        <v>0</v>
      </c>
      <c r="DN140" s="33">
        <f t="shared" si="46"/>
        <v>0</v>
      </c>
      <c r="DO140" s="33">
        <f t="shared" si="54"/>
        <v>1</v>
      </c>
      <c r="DP140" s="50" t="str">
        <f t="shared" si="49"/>
        <v>D</v>
      </c>
      <c r="DQ140" s="50">
        <f t="shared" si="50"/>
        <v>0</v>
      </c>
      <c r="DR140" s="33">
        <f t="shared" si="47"/>
        <v>1</v>
      </c>
      <c r="DS140" s="50" t="str">
        <f t="shared" si="51"/>
        <v>5-MEDIA BAJA</v>
      </c>
      <c r="DT140" s="50">
        <f t="shared" si="52"/>
        <v>0</v>
      </c>
      <c r="DU140" s="33">
        <f t="shared" si="48"/>
        <v>0</v>
      </c>
      <c r="DV140" s="33">
        <f t="shared" si="48"/>
        <v>0</v>
      </c>
      <c r="DW140" s="33">
        <f t="shared" si="48"/>
        <v>0</v>
      </c>
      <c r="DX140" s="33">
        <f t="shared" si="48"/>
        <v>0</v>
      </c>
      <c r="DY140" s="35">
        <f t="shared" si="53"/>
        <v>3</v>
      </c>
      <c r="DZ140" s="33">
        <f t="shared" si="55"/>
        <v>14</v>
      </c>
      <c r="EA140" s="33">
        <f t="shared" si="56"/>
        <v>17</v>
      </c>
      <c r="EB140" s="33" t="str">
        <f t="shared" si="57"/>
        <v>AUX 1 COM + CAMPOS PREENC OU IGUAL</v>
      </c>
      <c r="EC140" s="33" t="s">
        <v>10034</v>
      </c>
    </row>
    <row r="141" spans="2:133" x14ac:dyDescent="0.25">
      <c r="B141" s="33" t="s">
        <v>9861</v>
      </c>
      <c r="C141" s="33" t="s">
        <v>118</v>
      </c>
      <c r="D141" s="33" t="s">
        <v>8486</v>
      </c>
      <c r="E141" s="33" t="s">
        <v>8487</v>
      </c>
      <c r="F141" s="33" t="s">
        <v>8488</v>
      </c>
      <c r="G141" s="33" t="s">
        <v>8487</v>
      </c>
      <c r="H141" s="33" t="s">
        <v>8727</v>
      </c>
      <c r="I141" s="33" t="s">
        <v>8728</v>
      </c>
      <c r="J141" s="33" t="s">
        <v>8729</v>
      </c>
      <c r="K141" s="33" t="s">
        <v>8570</v>
      </c>
      <c r="L141" s="33" t="s">
        <v>8571</v>
      </c>
      <c r="M141" s="33" t="s">
        <v>8730</v>
      </c>
      <c r="N141" s="33" t="s">
        <v>9593</v>
      </c>
      <c r="O141" s="33"/>
      <c r="P141" s="33"/>
      <c r="Q141" s="33" t="s">
        <v>8571</v>
      </c>
      <c r="R141" s="33"/>
      <c r="S141" s="33"/>
      <c r="T141" s="33"/>
      <c r="U141" s="33" t="s">
        <v>8732</v>
      </c>
      <c r="V141" s="33" t="s">
        <v>8733</v>
      </c>
      <c r="W141" s="33" t="s">
        <v>9862</v>
      </c>
      <c r="X141" s="33"/>
      <c r="Y141" s="33" t="s">
        <v>8500</v>
      </c>
      <c r="Z141" s="33" t="s">
        <v>8500</v>
      </c>
      <c r="AA141" s="33" t="s">
        <v>8500</v>
      </c>
      <c r="AB141" s="33" t="s">
        <v>8525</v>
      </c>
      <c r="AC141" s="33"/>
      <c r="AD141" s="33"/>
      <c r="AE141" s="33"/>
      <c r="AF141" s="33" t="s">
        <v>9863</v>
      </c>
      <c r="AG141" s="33"/>
      <c r="AH141" s="33" t="s">
        <v>8606</v>
      </c>
      <c r="AI141" s="33"/>
      <c r="AJ141" s="33" t="s">
        <v>8545</v>
      </c>
      <c r="AK141" s="33" t="s">
        <v>8528</v>
      </c>
      <c r="AL141" s="33" t="s">
        <v>8528</v>
      </c>
      <c r="AM141" s="33" t="s">
        <v>8506</v>
      </c>
      <c r="AN141" s="33" t="s">
        <v>8735</v>
      </c>
      <c r="AO141" s="33" t="s">
        <v>8736</v>
      </c>
      <c r="AP141" s="33">
        <v>1</v>
      </c>
      <c r="AQ141" s="5" t="s">
        <v>10037</v>
      </c>
      <c r="AR141" s="33"/>
      <c r="AS141" s="33" t="s">
        <v>118</v>
      </c>
      <c r="AT141" s="33" t="s">
        <v>8486</v>
      </c>
      <c r="AU141" s="33" t="s">
        <v>8487</v>
      </c>
      <c r="AV141" s="33" t="s">
        <v>8488</v>
      </c>
      <c r="AW141" s="33" t="s">
        <v>8487</v>
      </c>
      <c r="AX141" s="33" t="s">
        <v>8727</v>
      </c>
      <c r="AY141" s="33" t="s">
        <v>8728</v>
      </c>
      <c r="AZ141" s="33" t="s">
        <v>8729</v>
      </c>
      <c r="BA141" s="33" t="s">
        <v>8570</v>
      </c>
      <c r="BB141" s="33" t="s">
        <v>8571</v>
      </c>
      <c r="BC141" s="33" t="s">
        <v>8730</v>
      </c>
      <c r="BD141" s="33" t="s">
        <v>9593</v>
      </c>
      <c r="BE141" s="33"/>
      <c r="BF141" s="33"/>
      <c r="BG141" s="33" t="s">
        <v>8571</v>
      </c>
      <c r="BH141" s="33"/>
      <c r="BI141" s="33"/>
      <c r="BJ141" s="33"/>
      <c r="BK141" s="33" t="s">
        <v>8732</v>
      </c>
      <c r="BL141" s="33" t="s">
        <v>8733</v>
      </c>
      <c r="BM141" s="33" t="s">
        <v>9862</v>
      </c>
      <c r="BN141" s="33"/>
      <c r="BO141" s="33" t="s">
        <v>8500</v>
      </c>
      <c r="BP141" s="33" t="s">
        <v>8500</v>
      </c>
      <c r="BQ141" s="33" t="s">
        <v>8500</v>
      </c>
      <c r="BR141" s="33" t="s">
        <v>8525</v>
      </c>
      <c r="BS141" s="33"/>
      <c r="BT141" s="33"/>
      <c r="BU141" s="33"/>
      <c r="BV141" s="33" t="s">
        <v>9863</v>
      </c>
      <c r="BW141" s="33"/>
      <c r="BX141" s="33" t="s">
        <v>8606</v>
      </c>
      <c r="BY141" s="33"/>
      <c r="BZ141" s="33"/>
      <c r="CA141" s="33"/>
      <c r="CB141" s="33" t="s">
        <v>8528</v>
      </c>
      <c r="CC141" s="33" t="s">
        <v>8506</v>
      </c>
      <c r="CD141" s="33" t="s">
        <v>8735</v>
      </c>
      <c r="CE141" s="33" t="s">
        <v>8736</v>
      </c>
      <c r="CF141" s="33">
        <v>2</v>
      </c>
      <c r="CG141" s="5" t="s">
        <v>10037</v>
      </c>
      <c r="CH141" s="33">
        <f t="shared" si="45"/>
        <v>0</v>
      </c>
      <c r="CI141" s="33">
        <f t="shared" si="45"/>
        <v>0</v>
      </c>
      <c r="CJ141" s="33">
        <f t="shared" si="45"/>
        <v>0</v>
      </c>
      <c r="CK141" s="33">
        <f t="shared" si="45"/>
        <v>0</v>
      </c>
      <c r="CL141" s="33">
        <f t="shared" si="45"/>
        <v>0</v>
      </c>
      <c r="CM141" s="33">
        <f t="shared" si="58"/>
        <v>0</v>
      </c>
      <c r="CN141" s="33">
        <f t="shared" si="58"/>
        <v>0</v>
      </c>
      <c r="CO141" s="33">
        <f t="shared" si="58"/>
        <v>0</v>
      </c>
      <c r="CP141" s="33">
        <f t="shared" si="58"/>
        <v>0</v>
      </c>
      <c r="CQ141" s="33">
        <f t="shared" si="58"/>
        <v>0</v>
      </c>
      <c r="CR141" s="33">
        <f t="shared" si="58"/>
        <v>0</v>
      </c>
      <c r="CS141" s="33">
        <f t="shared" si="58"/>
        <v>0</v>
      </c>
      <c r="CT141" s="33">
        <f t="shared" si="58"/>
        <v>0</v>
      </c>
      <c r="CU141" s="33">
        <f t="shared" si="58"/>
        <v>0</v>
      </c>
      <c r="CV141" s="33">
        <f t="shared" si="58"/>
        <v>0</v>
      </c>
      <c r="CW141" s="33">
        <f t="shared" si="58"/>
        <v>0</v>
      </c>
      <c r="CX141" s="33">
        <f t="shared" si="43"/>
        <v>0</v>
      </c>
      <c r="CY141" s="33">
        <f t="shared" si="43"/>
        <v>0</v>
      </c>
      <c r="CZ141" s="33">
        <f t="shared" si="43"/>
        <v>0</v>
      </c>
      <c r="DA141" s="33">
        <f t="shared" si="43"/>
        <v>0</v>
      </c>
      <c r="DB141" s="33">
        <f t="shared" si="46"/>
        <v>0</v>
      </c>
      <c r="DC141" s="33">
        <f t="shared" si="46"/>
        <v>0</v>
      </c>
      <c r="DD141" s="33">
        <f t="shared" si="46"/>
        <v>0</v>
      </c>
      <c r="DE141" s="33">
        <f t="shared" si="46"/>
        <v>0</v>
      </c>
      <c r="DF141" s="33">
        <f t="shared" si="46"/>
        <v>0</v>
      </c>
      <c r="DG141" s="33">
        <f t="shared" si="46"/>
        <v>0</v>
      </c>
      <c r="DH141" s="33">
        <f t="shared" si="46"/>
        <v>0</v>
      </c>
      <c r="DI141" s="33">
        <f t="shared" si="46"/>
        <v>0</v>
      </c>
      <c r="DJ141" s="33">
        <f t="shared" si="46"/>
        <v>0</v>
      </c>
      <c r="DK141" s="33">
        <f t="shared" si="46"/>
        <v>0</v>
      </c>
      <c r="DL141" s="33">
        <f t="shared" si="46"/>
        <v>0</v>
      </c>
      <c r="DM141" s="33">
        <f t="shared" si="46"/>
        <v>0</v>
      </c>
      <c r="DN141" s="33">
        <f t="shared" si="46"/>
        <v>0</v>
      </c>
      <c r="DO141" s="33">
        <f t="shared" si="54"/>
        <v>1</v>
      </c>
      <c r="DP141" s="50" t="str">
        <f t="shared" si="49"/>
        <v>D</v>
      </c>
      <c r="DQ141" s="50">
        <f t="shared" si="50"/>
        <v>0</v>
      </c>
      <c r="DR141" s="33">
        <f t="shared" si="47"/>
        <v>1</v>
      </c>
      <c r="DS141" s="50" t="str">
        <f t="shared" si="51"/>
        <v>5-MEDIA BAJA</v>
      </c>
      <c r="DT141" s="50">
        <f t="shared" si="52"/>
        <v>0</v>
      </c>
      <c r="DU141" s="33">
        <f t="shared" si="48"/>
        <v>0</v>
      </c>
      <c r="DV141" s="33">
        <f t="shared" si="48"/>
        <v>0</v>
      </c>
      <c r="DW141" s="33">
        <f t="shared" si="48"/>
        <v>0</v>
      </c>
      <c r="DX141" s="33">
        <f t="shared" si="48"/>
        <v>0</v>
      </c>
      <c r="DY141" s="35">
        <f t="shared" si="53"/>
        <v>2</v>
      </c>
      <c r="DZ141" s="33">
        <f t="shared" si="55"/>
        <v>11</v>
      </c>
      <c r="EA141" s="33">
        <f t="shared" si="56"/>
        <v>13</v>
      </c>
      <c r="EB141" s="33" t="str">
        <f t="shared" si="57"/>
        <v>AUX 1 COM + CAMPOS PREENC OU IGUAL</v>
      </c>
      <c r="EC141" s="33" t="s">
        <v>10034</v>
      </c>
    </row>
    <row r="142" spans="2:133" x14ac:dyDescent="0.25">
      <c r="B142" s="33"/>
      <c r="C142" s="33" t="s">
        <v>152</v>
      </c>
      <c r="D142" s="33" t="s">
        <v>8829</v>
      </c>
      <c r="E142" s="33" t="s">
        <v>8830</v>
      </c>
      <c r="F142" s="33" t="s">
        <v>9078</v>
      </c>
      <c r="G142" s="33" t="s">
        <v>9079</v>
      </c>
      <c r="H142" s="33" t="s">
        <v>9864</v>
      </c>
      <c r="I142" s="33" t="s">
        <v>9865</v>
      </c>
      <c r="J142" s="33" t="s">
        <v>9079</v>
      </c>
      <c r="K142" s="33" t="s">
        <v>8570</v>
      </c>
      <c r="L142" s="33" t="s">
        <v>8571</v>
      </c>
      <c r="M142" s="33" t="s">
        <v>9866</v>
      </c>
      <c r="N142" s="33" t="s">
        <v>9867</v>
      </c>
      <c r="O142" s="33"/>
      <c r="P142" s="33"/>
      <c r="Q142" s="33" t="s">
        <v>8571</v>
      </c>
      <c r="R142" s="33" t="s">
        <v>9868</v>
      </c>
      <c r="S142" s="33"/>
      <c r="T142" s="33"/>
      <c r="U142" s="33" t="s">
        <v>9869</v>
      </c>
      <c r="V142" s="33" t="s">
        <v>9870</v>
      </c>
      <c r="W142" s="33" t="s">
        <v>9871</v>
      </c>
      <c r="X142" s="33" t="s">
        <v>8499</v>
      </c>
      <c r="Y142" s="33" t="s">
        <v>8500</v>
      </c>
      <c r="Z142" s="33" t="s">
        <v>8500</v>
      </c>
      <c r="AA142" s="33" t="s">
        <v>8500</v>
      </c>
      <c r="AB142" s="33" t="s">
        <v>8525</v>
      </c>
      <c r="AC142" s="33"/>
      <c r="AD142" s="33"/>
      <c r="AE142" s="33"/>
      <c r="AF142" s="33"/>
      <c r="AG142" s="33"/>
      <c r="AH142" s="33" t="s">
        <v>8606</v>
      </c>
      <c r="AI142" s="33"/>
      <c r="AJ142" s="33"/>
      <c r="AK142" s="33"/>
      <c r="AL142" s="33" t="s">
        <v>8528</v>
      </c>
      <c r="AM142" s="33" t="s">
        <v>8545</v>
      </c>
      <c r="AN142" s="33" t="s">
        <v>9872</v>
      </c>
      <c r="AO142" s="33" t="s">
        <v>9873</v>
      </c>
      <c r="AP142" s="33">
        <v>1</v>
      </c>
      <c r="AQ142" s="5" t="s">
        <v>10037</v>
      </c>
      <c r="AR142" s="33" t="s">
        <v>9874</v>
      </c>
      <c r="AS142" s="33" t="s">
        <v>152</v>
      </c>
      <c r="AT142" s="33" t="s">
        <v>8829</v>
      </c>
      <c r="AU142" s="33" t="s">
        <v>8830</v>
      </c>
      <c r="AV142" s="33" t="s">
        <v>9078</v>
      </c>
      <c r="AW142" s="33" t="s">
        <v>9079</v>
      </c>
      <c r="AX142" s="33" t="s">
        <v>9864</v>
      </c>
      <c r="AY142" s="33" t="s">
        <v>9865</v>
      </c>
      <c r="AZ142" s="33" t="s">
        <v>9079</v>
      </c>
      <c r="BA142" s="33" t="s">
        <v>8570</v>
      </c>
      <c r="BB142" s="33" t="s">
        <v>8571</v>
      </c>
      <c r="BC142" s="33" t="s">
        <v>9866</v>
      </c>
      <c r="BD142" s="33" t="s">
        <v>9867</v>
      </c>
      <c r="BE142" s="33"/>
      <c r="BF142" s="33"/>
      <c r="BG142" s="33" t="s">
        <v>8571</v>
      </c>
      <c r="BH142" s="33" t="s">
        <v>9868</v>
      </c>
      <c r="BI142" s="33"/>
      <c r="BJ142" s="33"/>
      <c r="BK142" s="33" t="s">
        <v>9869</v>
      </c>
      <c r="BL142" s="33" t="s">
        <v>9870</v>
      </c>
      <c r="BM142" s="33" t="s">
        <v>9871</v>
      </c>
      <c r="BN142" s="33" t="s">
        <v>8499</v>
      </c>
      <c r="BO142" s="33" t="s">
        <v>8500</v>
      </c>
      <c r="BP142" s="33" t="s">
        <v>8500</v>
      </c>
      <c r="BQ142" s="33" t="s">
        <v>8500</v>
      </c>
      <c r="BR142" s="33" t="s">
        <v>8525</v>
      </c>
      <c r="BS142" s="33"/>
      <c r="BT142" s="33"/>
      <c r="BU142" s="33"/>
      <c r="BV142" s="33"/>
      <c r="BW142" s="33"/>
      <c r="BX142" s="33" t="s">
        <v>8606</v>
      </c>
      <c r="BY142" s="33"/>
      <c r="BZ142" s="33"/>
      <c r="CA142" s="33"/>
      <c r="CB142" s="33" t="s">
        <v>8528</v>
      </c>
      <c r="CC142" s="33" t="s">
        <v>8545</v>
      </c>
      <c r="CD142" s="33" t="s">
        <v>9872</v>
      </c>
      <c r="CE142" s="33" t="s">
        <v>9873</v>
      </c>
      <c r="CF142" s="33">
        <v>2</v>
      </c>
      <c r="CG142" s="5" t="s">
        <v>10037</v>
      </c>
      <c r="CH142" s="33">
        <f t="shared" si="45"/>
        <v>0</v>
      </c>
      <c r="CI142" s="33">
        <f t="shared" si="45"/>
        <v>0</v>
      </c>
      <c r="CJ142" s="33">
        <f t="shared" si="45"/>
        <v>0</v>
      </c>
      <c r="CK142" s="33">
        <f t="shared" si="45"/>
        <v>0</v>
      </c>
      <c r="CL142" s="33">
        <f t="shared" si="45"/>
        <v>0</v>
      </c>
      <c r="CM142" s="33">
        <f t="shared" si="58"/>
        <v>0</v>
      </c>
      <c r="CN142" s="33">
        <f t="shared" si="58"/>
        <v>0</v>
      </c>
      <c r="CO142" s="33">
        <f t="shared" si="58"/>
        <v>0</v>
      </c>
      <c r="CP142" s="33">
        <f t="shared" si="58"/>
        <v>0</v>
      </c>
      <c r="CQ142" s="33">
        <f t="shared" si="58"/>
        <v>0</v>
      </c>
      <c r="CR142" s="33">
        <f t="shared" si="58"/>
        <v>0</v>
      </c>
      <c r="CS142" s="33">
        <f t="shared" si="58"/>
        <v>0</v>
      </c>
      <c r="CT142" s="33">
        <f t="shared" si="58"/>
        <v>0</v>
      </c>
      <c r="CU142" s="33">
        <f t="shared" si="58"/>
        <v>0</v>
      </c>
      <c r="CV142" s="33">
        <f t="shared" si="58"/>
        <v>0</v>
      </c>
      <c r="CW142" s="33">
        <f t="shared" si="58"/>
        <v>0</v>
      </c>
      <c r="CX142" s="33">
        <f t="shared" si="43"/>
        <v>0</v>
      </c>
      <c r="CY142" s="33">
        <f t="shared" si="43"/>
        <v>0</v>
      </c>
      <c r="CZ142" s="33">
        <f t="shared" si="43"/>
        <v>0</v>
      </c>
      <c r="DA142" s="33">
        <f t="shared" si="43"/>
        <v>0</v>
      </c>
      <c r="DB142" s="33">
        <f t="shared" si="46"/>
        <v>0</v>
      </c>
      <c r="DC142" s="33">
        <f t="shared" si="46"/>
        <v>0</v>
      </c>
      <c r="DD142" s="33">
        <f t="shared" si="46"/>
        <v>0</v>
      </c>
      <c r="DE142" s="33">
        <f t="shared" si="46"/>
        <v>0</v>
      </c>
      <c r="DF142" s="33">
        <f t="shared" si="46"/>
        <v>0</v>
      </c>
      <c r="DG142" s="33">
        <f t="shared" si="46"/>
        <v>0</v>
      </c>
      <c r="DH142" s="33">
        <f t="shared" si="46"/>
        <v>0</v>
      </c>
      <c r="DI142" s="33">
        <f t="shared" si="46"/>
        <v>0</v>
      </c>
      <c r="DJ142" s="33">
        <f t="shared" si="46"/>
        <v>0</v>
      </c>
      <c r="DK142" s="33">
        <f t="shared" si="46"/>
        <v>0</v>
      </c>
      <c r="DL142" s="33">
        <f t="shared" si="46"/>
        <v>0</v>
      </c>
      <c r="DM142" s="33">
        <f t="shared" si="46"/>
        <v>0</v>
      </c>
      <c r="DN142" s="33">
        <f t="shared" si="46"/>
        <v>0</v>
      </c>
      <c r="DO142" s="33">
        <f t="shared" si="54"/>
        <v>0</v>
      </c>
      <c r="DP142" s="50">
        <f t="shared" si="49"/>
        <v>0</v>
      </c>
      <c r="DQ142" s="50">
        <f t="shared" si="50"/>
        <v>0</v>
      </c>
      <c r="DR142" s="33">
        <f t="shared" si="47"/>
        <v>0</v>
      </c>
      <c r="DS142" s="50">
        <f t="shared" si="51"/>
        <v>0</v>
      </c>
      <c r="DT142" s="50">
        <f t="shared" si="52"/>
        <v>0</v>
      </c>
      <c r="DU142" s="33">
        <f t="shared" si="48"/>
        <v>0</v>
      </c>
      <c r="DV142" s="33">
        <f t="shared" si="48"/>
        <v>0</v>
      </c>
      <c r="DW142" s="33">
        <f t="shared" si="48"/>
        <v>0</v>
      </c>
      <c r="DX142" s="33">
        <f t="shared" si="48"/>
        <v>0</v>
      </c>
      <c r="DY142" s="35">
        <f t="shared" si="53"/>
        <v>0</v>
      </c>
      <c r="DZ142" s="33">
        <f t="shared" si="55"/>
        <v>12</v>
      </c>
      <c r="EA142" s="33">
        <f t="shared" si="56"/>
        <v>12</v>
      </c>
      <c r="EB142" s="33" t="str">
        <f t="shared" si="57"/>
        <v>IGUAL CAMPOS PREENCH</v>
      </c>
      <c r="EC142" s="33" t="s">
        <v>10035</v>
      </c>
    </row>
    <row r="143" spans="2:133" x14ac:dyDescent="0.25">
      <c r="B143" s="33"/>
      <c r="C143" s="33" t="s">
        <v>91</v>
      </c>
      <c r="D143" s="33" t="s">
        <v>8645</v>
      </c>
      <c r="E143" s="33" t="s">
        <v>8646</v>
      </c>
      <c r="F143" s="33" t="s">
        <v>9875</v>
      </c>
      <c r="G143" s="33" t="s">
        <v>9876</v>
      </c>
      <c r="H143" s="33" t="s">
        <v>9877</v>
      </c>
      <c r="I143" s="33" t="s">
        <v>9878</v>
      </c>
      <c r="J143" s="33" t="s">
        <v>9878</v>
      </c>
      <c r="K143" s="33" t="s">
        <v>9879</v>
      </c>
      <c r="L143" s="33" t="s">
        <v>9880</v>
      </c>
      <c r="M143" s="33" t="s">
        <v>9881</v>
      </c>
      <c r="N143" s="33" t="s">
        <v>8525</v>
      </c>
      <c r="O143" s="33"/>
      <c r="P143" s="33"/>
      <c r="Q143" s="33" t="s">
        <v>9880</v>
      </c>
      <c r="R143" s="33"/>
      <c r="S143" s="33"/>
      <c r="T143" s="33"/>
      <c r="U143" s="33" t="s">
        <v>9882</v>
      </c>
      <c r="V143" s="33" t="s">
        <v>9883</v>
      </c>
      <c r="W143" s="33" t="s">
        <v>8500</v>
      </c>
      <c r="X143" s="33"/>
      <c r="Y143" s="33" t="s">
        <v>8500</v>
      </c>
      <c r="Z143" s="33" t="s">
        <v>8500</v>
      </c>
      <c r="AA143" s="33" t="s">
        <v>8500</v>
      </c>
      <c r="AB143" s="33" t="s">
        <v>8500</v>
      </c>
      <c r="AC143" s="33"/>
      <c r="AD143" s="33"/>
      <c r="AE143" s="33"/>
      <c r="AF143" s="33" t="s">
        <v>9884</v>
      </c>
      <c r="AG143" s="33"/>
      <c r="AH143" s="33" t="s">
        <v>8505</v>
      </c>
      <c r="AI143" s="33"/>
      <c r="AJ143" s="33"/>
      <c r="AK143" s="33"/>
      <c r="AL143" s="33" t="s">
        <v>9375</v>
      </c>
      <c r="AM143" s="33" t="s">
        <v>8545</v>
      </c>
      <c r="AN143" s="33" t="s">
        <v>9885</v>
      </c>
      <c r="AO143" s="33" t="s">
        <v>9886</v>
      </c>
      <c r="AP143" s="33">
        <v>1</v>
      </c>
      <c r="AQ143" s="5" t="s">
        <v>10037</v>
      </c>
      <c r="AR143" s="33" t="s">
        <v>9887</v>
      </c>
      <c r="AS143" s="33" t="s">
        <v>91</v>
      </c>
      <c r="AT143" s="33" t="s">
        <v>8645</v>
      </c>
      <c r="AU143" s="33" t="s">
        <v>8646</v>
      </c>
      <c r="AV143" s="33" t="s">
        <v>9875</v>
      </c>
      <c r="AW143" s="33" t="s">
        <v>9876</v>
      </c>
      <c r="AX143" s="33" t="s">
        <v>9877</v>
      </c>
      <c r="AY143" s="33" t="s">
        <v>9878</v>
      </c>
      <c r="AZ143" s="33" t="s">
        <v>9878</v>
      </c>
      <c r="BA143" s="33" t="s">
        <v>9879</v>
      </c>
      <c r="BB143" s="33" t="s">
        <v>9880</v>
      </c>
      <c r="BC143" s="33" t="s">
        <v>9881</v>
      </c>
      <c r="BD143" s="33" t="s">
        <v>8525</v>
      </c>
      <c r="BE143" s="33"/>
      <c r="BF143" s="33"/>
      <c r="BG143" s="33" t="s">
        <v>9880</v>
      </c>
      <c r="BH143" s="33"/>
      <c r="BI143" s="33"/>
      <c r="BJ143" s="33"/>
      <c r="BK143" s="33" t="s">
        <v>9882</v>
      </c>
      <c r="BL143" s="33" t="s">
        <v>9883</v>
      </c>
      <c r="BM143" s="33" t="s">
        <v>8500</v>
      </c>
      <c r="BN143" s="33"/>
      <c r="BO143" s="33" t="s">
        <v>8500</v>
      </c>
      <c r="BP143" s="33" t="s">
        <v>8500</v>
      </c>
      <c r="BQ143" s="33" t="s">
        <v>8500</v>
      </c>
      <c r="BR143" s="33" t="s">
        <v>8500</v>
      </c>
      <c r="BS143" s="33"/>
      <c r="BT143" s="33"/>
      <c r="BU143" s="33"/>
      <c r="BV143" s="33" t="s">
        <v>9884</v>
      </c>
      <c r="BW143" s="33"/>
      <c r="BX143" s="33" t="s">
        <v>8505</v>
      </c>
      <c r="BY143" s="33"/>
      <c r="BZ143" s="33"/>
      <c r="CA143" s="33"/>
      <c r="CB143" s="33" t="s">
        <v>9375</v>
      </c>
      <c r="CC143" s="33" t="s">
        <v>8545</v>
      </c>
      <c r="CD143" s="33" t="s">
        <v>9885</v>
      </c>
      <c r="CE143" s="33" t="s">
        <v>9886</v>
      </c>
      <c r="CF143" s="33">
        <v>2</v>
      </c>
      <c r="CG143" s="5" t="s">
        <v>10037</v>
      </c>
      <c r="CH143" s="33">
        <f t="shared" si="45"/>
        <v>0</v>
      </c>
      <c r="CI143" s="33">
        <f t="shared" si="45"/>
        <v>0</v>
      </c>
      <c r="CJ143" s="33">
        <f t="shared" si="45"/>
        <v>0</v>
      </c>
      <c r="CK143" s="33">
        <f t="shared" si="45"/>
        <v>0</v>
      </c>
      <c r="CL143" s="33">
        <f t="shared" si="45"/>
        <v>0</v>
      </c>
      <c r="CM143" s="33">
        <f t="shared" si="58"/>
        <v>0</v>
      </c>
      <c r="CN143" s="33">
        <f t="shared" si="58"/>
        <v>0</v>
      </c>
      <c r="CO143" s="33">
        <f t="shared" si="58"/>
        <v>0</v>
      </c>
      <c r="CP143" s="33">
        <f t="shared" si="58"/>
        <v>0</v>
      </c>
      <c r="CQ143" s="33">
        <f t="shared" si="58"/>
        <v>0</v>
      </c>
      <c r="CR143" s="33">
        <f t="shared" si="58"/>
        <v>0</v>
      </c>
      <c r="CS143" s="33">
        <f t="shared" si="58"/>
        <v>0</v>
      </c>
      <c r="CT143" s="33">
        <f t="shared" si="58"/>
        <v>0</v>
      </c>
      <c r="CU143" s="33">
        <f t="shared" si="58"/>
        <v>0</v>
      </c>
      <c r="CV143" s="33">
        <f t="shared" si="58"/>
        <v>0</v>
      </c>
      <c r="CW143" s="33">
        <f t="shared" si="58"/>
        <v>0</v>
      </c>
      <c r="CX143" s="33">
        <f t="shared" si="43"/>
        <v>0</v>
      </c>
      <c r="CY143" s="33">
        <f t="shared" si="43"/>
        <v>0</v>
      </c>
      <c r="CZ143" s="33">
        <f t="shared" si="43"/>
        <v>0</v>
      </c>
      <c r="DA143" s="33">
        <f t="shared" si="43"/>
        <v>0</v>
      </c>
      <c r="DB143" s="33">
        <f t="shared" si="46"/>
        <v>0</v>
      </c>
      <c r="DC143" s="33">
        <f t="shared" si="46"/>
        <v>0</v>
      </c>
      <c r="DD143" s="33">
        <f t="shared" si="46"/>
        <v>0</v>
      </c>
      <c r="DE143" s="33">
        <f t="shared" si="46"/>
        <v>0</v>
      </c>
      <c r="DF143" s="33">
        <f t="shared" si="46"/>
        <v>0</v>
      </c>
      <c r="DG143" s="33">
        <f t="shared" si="46"/>
        <v>0</v>
      </c>
      <c r="DH143" s="33">
        <f t="shared" si="46"/>
        <v>0</v>
      </c>
      <c r="DI143" s="33">
        <f t="shared" si="46"/>
        <v>0</v>
      </c>
      <c r="DJ143" s="33">
        <f t="shared" si="46"/>
        <v>0</v>
      </c>
      <c r="DK143" s="33">
        <f t="shared" si="46"/>
        <v>0</v>
      </c>
      <c r="DL143" s="33">
        <f t="shared" si="46"/>
        <v>0</v>
      </c>
      <c r="DM143" s="33">
        <f t="shared" si="46"/>
        <v>0</v>
      </c>
      <c r="DN143" s="33">
        <f t="shared" si="46"/>
        <v>0</v>
      </c>
      <c r="DO143" s="33">
        <f t="shared" si="54"/>
        <v>0</v>
      </c>
      <c r="DP143" s="50">
        <f t="shared" si="49"/>
        <v>0</v>
      </c>
      <c r="DQ143" s="50">
        <f t="shared" si="50"/>
        <v>0</v>
      </c>
      <c r="DR143" s="33">
        <f t="shared" si="47"/>
        <v>0</v>
      </c>
      <c r="DS143" s="50">
        <f t="shared" si="51"/>
        <v>0</v>
      </c>
      <c r="DT143" s="50">
        <f t="shared" si="52"/>
        <v>0</v>
      </c>
      <c r="DU143" s="33">
        <f t="shared" si="48"/>
        <v>0</v>
      </c>
      <c r="DV143" s="33">
        <f t="shared" si="48"/>
        <v>0</v>
      </c>
      <c r="DW143" s="33">
        <f t="shared" si="48"/>
        <v>0</v>
      </c>
      <c r="DX143" s="33">
        <f t="shared" si="48"/>
        <v>0</v>
      </c>
      <c r="DY143" s="35">
        <f t="shared" si="53"/>
        <v>0</v>
      </c>
      <c r="DZ143" s="33">
        <f t="shared" si="55"/>
        <v>13</v>
      </c>
      <c r="EA143" s="33">
        <f t="shared" si="56"/>
        <v>13</v>
      </c>
      <c r="EB143" s="33" t="str">
        <f t="shared" si="57"/>
        <v>IGUAL CAMPOS PREENCH</v>
      </c>
      <c r="EC143" s="33" t="s">
        <v>10035</v>
      </c>
    </row>
    <row r="144" spans="2:133" x14ac:dyDescent="0.25">
      <c r="B144" s="33" t="s">
        <v>9888</v>
      </c>
      <c r="C144" s="33" t="s">
        <v>40</v>
      </c>
      <c r="D144" s="33" t="s">
        <v>8486</v>
      </c>
      <c r="E144" s="33" t="s">
        <v>8487</v>
      </c>
      <c r="F144" s="33" t="s">
        <v>8976</v>
      </c>
      <c r="G144" s="33" t="s">
        <v>8977</v>
      </c>
      <c r="H144" s="33" t="s">
        <v>9889</v>
      </c>
      <c r="I144" s="33" t="s">
        <v>8977</v>
      </c>
      <c r="J144" s="33" t="s">
        <v>8977</v>
      </c>
      <c r="K144" s="33" t="s">
        <v>8491</v>
      </c>
      <c r="L144" s="33" t="s">
        <v>8492</v>
      </c>
      <c r="M144" s="33" t="s">
        <v>9890</v>
      </c>
      <c r="N144" s="33" t="s">
        <v>9891</v>
      </c>
      <c r="O144" s="33"/>
      <c r="P144" s="33"/>
      <c r="Q144" s="33" t="s">
        <v>8492</v>
      </c>
      <c r="R144" s="33"/>
      <c r="S144" s="33"/>
      <c r="T144" s="33"/>
      <c r="U144" s="33" t="s">
        <v>9892</v>
      </c>
      <c r="V144" s="33" t="s">
        <v>9893</v>
      </c>
      <c r="W144" s="33" t="s">
        <v>9894</v>
      </c>
      <c r="X144" s="33"/>
      <c r="Y144" s="33" t="s">
        <v>8525</v>
      </c>
      <c r="Z144" s="33" t="s">
        <v>8500</v>
      </c>
      <c r="AA144" s="33" t="s">
        <v>8525</v>
      </c>
      <c r="AB144" s="33" t="s">
        <v>8500</v>
      </c>
      <c r="AC144" s="33"/>
      <c r="AD144" s="33"/>
      <c r="AE144" s="33"/>
      <c r="AF144" s="33" t="s">
        <v>9895</v>
      </c>
      <c r="AG144" s="33"/>
      <c r="AH144" s="33" t="s">
        <v>8505</v>
      </c>
      <c r="AI144" s="33"/>
      <c r="AJ144" s="33" t="s">
        <v>8545</v>
      </c>
      <c r="AK144" s="33" t="s">
        <v>9375</v>
      </c>
      <c r="AL144" s="33" t="s">
        <v>9375</v>
      </c>
      <c r="AM144" s="33" t="s">
        <v>8545</v>
      </c>
      <c r="AN144" s="33" t="s">
        <v>9896</v>
      </c>
      <c r="AO144" s="33" t="s">
        <v>9897</v>
      </c>
      <c r="AP144" s="33">
        <v>1</v>
      </c>
      <c r="AQ144" s="5" t="s">
        <v>10037</v>
      </c>
      <c r="AR144" s="33"/>
      <c r="AS144" s="33" t="s">
        <v>40</v>
      </c>
      <c r="AT144" s="33" t="s">
        <v>8486</v>
      </c>
      <c r="AU144" s="33" t="s">
        <v>8487</v>
      </c>
      <c r="AV144" s="33" t="s">
        <v>8976</v>
      </c>
      <c r="AW144" s="33" t="s">
        <v>8977</v>
      </c>
      <c r="AX144" s="33" t="s">
        <v>9889</v>
      </c>
      <c r="AY144" s="33" t="s">
        <v>8977</v>
      </c>
      <c r="AZ144" s="33" t="s">
        <v>8977</v>
      </c>
      <c r="BA144" s="33" t="s">
        <v>8491</v>
      </c>
      <c r="BB144" s="33" t="s">
        <v>8492</v>
      </c>
      <c r="BC144" s="33" t="s">
        <v>9890</v>
      </c>
      <c r="BD144" s="33" t="s">
        <v>9891</v>
      </c>
      <c r="BE144" s="33"/>
      <c r="BF144" s="33"/>
      <c r="BG144" s="33" t="s">
        <v>8492</v>
      </c>
      <c r="BH144" s="33"/>
      <c r="BI144" s="33"/>
      <c r="BJ144" s="33"/>
      <c r="BK144" s="33" t="s">
        <v>9892</v>
      </c>
      <c r="BL144" s="33" t="s">
        <v>9893</v>
      </c>
      <c r="BM144" s="33" t="s">
        <v>9894</v>
      </c>
      <c r="BN144" s="33"/>
      <c r="BO144" s="33" t="s">
        <v>8525</v>
      </c>
      <c r="BP144" s="33" t="s">
        <v>8500</v>
      </c>
      <c r="BQ144" s="33" t="s">
        <v>8525</v>
      </c>
      <c r="BR144" s="33" t="s">
        <v>8500</v>
      </c>
      <c r="BS144" s="33"/>
      <c r="BT144" s="33"/>
      <c r="BU144" s="33"/>
      <c r="BV144" s="33" t="s">
        <v>9895</v>
      </c>
      <c r="BW144" s="33"/>
      <c r="BX144" s="33" t="s">
        <v>8505</v>
      </c>
      <c r="BY144" s="33"/>
      <c r="BZ144" s="33"/>
      <c r="CA144" s="33"/>
      <c r="CB144" s="33" t="s">
        <v>9375</v>
      </c>
      <c r="CC144" s="33" t="s">
        <v>8545</v>
      </c>
      <c r="CD144" s="33" t="s">
        <v>9896</v>
      </c>
      <c r="CE144" s="33" t="s">
        <v>9897</v>
      </c>
      <c r="CF144" s="33">
        <v>2</v>
      </c>
      <c r="CG144" s="5" t="s">
        <v>10037</v>
      </c>
      <c r="CH144" s="33">
        <f t="shared" si="45"/>
        <v>0</v>
      </c>
      <c r="CI144" s="33">
        <f t="shared" si="45"/>
        <v>0</v>
      </c>
      <c r="CJ144" s="33">
        <f t="shared" si="45"/>
        <v>0</v>
      </c>
      <c r="CK144" s="33">
        <f t="shared" si="45"/>
        <v>0</v>
      </c>
      <c r="CL144" s="33">
        <f t="shared" si="45"/>
        <v>0</v>
      </c>
      <c r="CM144" s="33">
        <f t="shared" si="58"/>
        <v>0</v>
      </c>
      <c r="CN144" s="33">
        <f t="shared" si="58"/>
        <v>0</v>
      </c>
      <c r="CO144" s="33">
        <f t="shared" si="58"/>
        <v>0</v>
      </c>
      <c r="CP144" s="33">
        <f t="shared" si="58"/>
        <v>0</v>
      </c>
      <c r="CQ144" s="33">
        <f t="shared" si="58"/>
        <v>0</v>
      </c>
      <c r="CR144" s="33">
        <f t="shared" si="58"/>
        <v>0</v>
      </c>
      <c r="CS144" s="33">
        <f t="shared" si="58"/>
        <v>0</v>
      </c>
      <c r="CT144" s="33">
        <f t="shared" si="58"/>
        <v>0</v>
      </c>
      <c r="CU144" s="33">
        <f t="shared" si="58"/>
        <v>0</v>
      </c>
      <c r="CV144" s="33">
        <f t="shared" si="58"/>
        <v>0</v>
      </c>
      <c r="CW144" s="33">
        <f t="shared" si="58"/>
        <v>0</v>
      </c>
      <c r="CX144" s="33">
        <f t="shared" si="43"/>
        <v>0</v>
      </c>
      <c r="CY144" s="33">
        <f t="shared" si="43"/>
        <v>0</v>
      </c>
      <c r="CZ144" s="33">
        <f t="shared" si="43"/>
        <v>0</v>
      </c>
      <c r="DA144" s="33">
        <f t="shared" si="43"/>
        <v>0</v>
      </c>
      <c r="DB144" s="33">
        <f t="shared" si="46"/>
        <v>0</v>
      </c>
      <c r="DC144" s="33">
        <f t="shared" si="46"/>
        <v>0</v>
      </c>
      <c r="DD144" s="33">
        <f t="shared" si="46"/>
        <v>0</v>
      </c>
      <c r="DE144" s="33">
        <f t="shared" si="46"/>
        <v>0</v>
      </c>
      <c r="DF144" s="33">
        <f t="shared" si="46"/>
        <v>0</v>
      </c>
      <c r="DG144" s="33">
        <f t="shared" si="46"/>
        <v>0</v>
      </c>
      <c r="DH144" s="33">
        <f t="shared" si="46"/>
        <v>0</v>
      </c>
      <c r="DI144" s="33">
        <f t="shared" si="46"/>
        <v>0</v>
      </c>
      <c r="DJ144" s="33">
        <f t="shared" si="46"/>
        <v>0</v>
      </c>
      <c r="DK144" s="33">
        <f t="shared" si="46"/>
        <v>0</v>
      </c>
      <c r="DL144" s="33">
        <f t="shared" si="46"/>
        <v>0</v>
      </c>
      <c r="DM144" s="33">
        <f t="shared" si="46"/>
        <v>0</v>
      </c>
      <c r="DN144" s="33">
        <f t="shared" si="46"/>
        <v>0</v>
      </c>
      <c r="DO144" s="33">
        <f t="shared" si="54"/>
        <v>1</v>
      </c>
      <c r="DP144" s="50" t="str">
        <f t="shared" si="49"/>
        <v>D</v>
      </c>
      <c r="DQ144" s="50">
        <f t="shared" si="50"/>
        <v>0</v>
      </c>
      <c r="DR144" s="33">
        <f t="shared" si="47"/>
        <v>1</v>
      </c>
      <c r="DS144" s="50" t="str">
        <f t="shared" si="51"/>
        <v>1-REAL</v>
      </c>
      <c r="DT144" s="50">
        <f t="shared" si="52"/>
        <v>0</v>
      </c>
      <c r="DU144" s="33">
        <f t="shared" si="48"/>
        <v>0</v>
      </c>
      <c r="DV144" s="33">
        <f t="shared" si="48"/>
        <v>0</v>
      </c>
      <c r="DW144" s="33">
        <f t="shared" si="48"/>
        <v>0</v>
      </c>
      <c r="DX144" s="33">
        <f t="shared" si="48"/>
        <v>0</v>
      </c>
      <c r="DY144" s="35">
        <f t="shared" si="53"/>
        <v>2</v>
      </c>
      <c r="DZ144" s="33">
        <f t="shared" si="55"/>
        <v>11</v>
      </c>
      <c r="EA144" s="33">
        <f t="shared" si="56"/>
        <v>13</v>
      </c>
      <c r="EB144" s="33" t="str">
        <f t="shared" si="57"/>
        <v>AUX 1 COM + CAMPOS PREENC OU IGUAL</v>
      </c>
      <c r="EC144" s="33" t="s">
        <v>10034</v>
      </c>
    </row>
    <row r="145" spans="2:133" x14ac:dyDescent="0.25">
      <c r="B145" s="33"/>
      <c r="C145" s="33" t="s">
        <v>53</v>
      </c>
      <c r="D145" s="33" t="s">
        <v>8829</v>
      </c>
      <c r="E145" s="33" t="s">
        <v>8830</v>
      </c>
      <c r="F145" s="33" t="s">
        <v>8831</v>
      </c>
      <c r="G145" s="33" t="s">
        <v>8832</v>
      </c>
      <c r="H145" s="33" t="s">
        <v>8833</v>
      </c>
      <c r="I145" s="33" t="s">
        <v>8834</v>
      </c>
      <c r="J145" s="33" t="s">
        <v>9898</v>
      </c>
      <c r="K145" s="33" t="s">
        <v>9572</v>
      </c>
      <c r="L145" s="33" t="s">
        <v>9899</v>
      </c>
      <c r="M145" s="33" t="s">
        <v>9900</v>
      </c>
      <c r="N145" s="33" t="s">
        <v>8653</v>
      </c>
      <c r="O145" s="33"/>
      <c r="P145" s="33"/>
      <c r="Q145" s="33" t="s">
        <v>9899</v>
      </c>
      <c r="R145" s="33" t="s">
        <v>9901</v>
      </c>
      <c r="S145" s="33"/>
      <c r="T145" s="33"/>
      <c r="U145" s="33" t="s">
        <v>8837</v>
      </c>
      <c r="V145" s="33" t="s">
        <v>8838</v>
      </c>
      <c r="W145" s="33" t="s">
        <v>9902</v>
      </c>
      <c r="X145" s="33" t="s">
        <v>8840</v>
      </c>
      <c r="Y145" s="33" t="s">
        <v>8500</v>
      </c>
      <c r="Z145" s="33" t="s">
        <v>8500</v>
      </c>
      <c r="AA145" s="33" t="s">
        <v>8500</v>
      </c>
      <c r="AB145" s="33" t="s">
        <v>8500</v>
      </c>
      <c r="AC145" s="33"/>
      <c r="AD145" s="33"/>
      <c r="AE145" s="33"/>
      <c r="AF145" s="33" t="s">
        <v>9903</v>
      </c>
      <c r="AG145" s="33"/>
      <c r="AH145" s="33" t="s">
        <v>8505</v>
      </c>
      <c r="AI145" s="33"/>
      <c r="AJ145" s="33"/>
      <c r="AK145" s="33"/>
      <c r="AL145" s="33" t="s">
        <v>8528</v>
      </c>
      <c r="AM145" s="33" t="s">
        <v>8545</v>
      </c>
      <c r="AN145" s="33" t="s">
        <v>8784</v>
      </c>
      <c r="AO145" s="33" t="s">
        <v>8785</v>
      </c>
      <c r="AP145" s="33">
        <v>1</v>
      </c>
      <c r="AQ145" s="5" t="s">
        <v>10037</v>
      </c>
      <c r="AR145" s="33" t="s">
        <v>9904</v>
      </c>
      <c r="AS145" s="33" t="s">
        <v>53</v>
      </c>
      <c r="AT145" s="33" t="s">
        <v>8829</v>
      </c>
      <c r="AU145" s="33" t="s">
        <v>8830</v>
      </c>
      <c r="AV145" s="33" t="s">
        <v>8831</v>
      </c>
      <c r="AW145" s="33" t="s">
        <v>8832</v>
      </c>
      <c r="AX145" s="33" t="s">
        <v>8833</v>
      </c>
      <c r="AY145" s="33" t="s">
        <v>8834</v>
      </c>
      <c r="AZ145" s="33" t="s">
        <v>9898</v>
      </c>
      <c r="BA145" s="33" t="s">
        <v>9572</v>
      </c>
      <c r="BB145" s="33" t="s">
        <v>9899</v>
      </c>
      <c r="BC145" s="33" t="s">
        <v>9900</v>
      </c>
      <c r="BD145" s="33" t="s">
        <v>8653</v>
      </c>
      <c r="BE145" s="33"/>
      <c r="BF145" s="33"/>
      <c r="BG145" s="33" t="s">
        <v>9899</v>
      </c>
      <c r="BH145" s="33" t="s">
        <v>9901</v>
      </c>
      <c r="BI145" s="33"/>
      <c r="BJ145" s="33"/>
      <c r="BK145" s="33" t="s">
        <v>8837</v>
      </c>
      <c r="BL145" s="33" t="s">
        <v>8838</v>
      </c>
      <c r="BM145" s="33" t="s">
        <v>9902</v>
      </c>
      <c r="BN145" s="33" t="s">
        <v>8840</v>
      </c>
      <c r="BO145" s="33" t="s">
        <v>8500</v>
      </c>
      <c r="BP145" s="33" t="s">
        <v>8500</v>
      </c>
      <c r="BQ145" s="33" t="s">
        <v>8500</v>
      </c>
      <c r="BR145" s="33" t="s">
        <v>8500</v>
      </c>
      <c r="BS145" s="33"/>
      <c r="BT145" s="33"/>
      <c r="BU145" s="33"/>
      <c r="BV145" s="33" t="s">
        <v>9903</v>
      </c>
      <c r="BW145" s="33"/>
      <c r="BX145" s="33" t="s">
        <v>8505</v>
      </c>
      <c r="BY145" s="33"/>
      <c r="BZ145" s="33" t="s">
        <v>8545</v>
      </c>
      <c r="CA145" s="33" t="s">
        <v>8528</v>
      </c>
      <c r="CB145" s="33" t="s">
        <v>8528</v>
      </c>
      <c r="CC145" s="33" t="s">
        <v>8545</v>
      </c>
      <c r="CD145" s="33" t="s">
        <v>8784</v>
      </c>
      <c r="CE145" s="33" t="s">
        <v>8785</v>
      </c>
      <c r="CF145" s="33">
        <v>2</v>
      </c>
      <c r="CG145" s="5" t="s">
        <v>10037</v>
      </c>
      <c r="CH145" s="33">
        <f t="shared" si="45"/>
        <v>0</v>
      </c>
      <c r="CI145" s="33">
        <f t="shared" si="45"/>
        <v>0</v>
      </c>
      <c r="CJ145" s="33">
        <f t="shared" si="45"/>
        <v>0</v>
      </c>
      <c r="CK145" s="33">
        <f t="shared" si="45"/>
        <v>0</v>
      </c>
      <c r="CL145" s="33">
        <f t="shared" si="45"/>
        <v>0</v>
      </c>
      <c r="CM145" s="33">
        <f t="shared" si="58"/>
        <v>0</v>
      </c>
      <c r="CN145" s="33">
        <f t="shared" si="58"/>
        <v>0</v>
      </c>
      <c r="CO145" s="33">
        <f t="shared" si="58"/>
        <v>0</v>
      </c>
      <c r="CP145" s="33">
        <f t="shared" si="58"/>
        <v>0</v>
      </c>
      <c r="CQ145" s="33">
        <f t="shared" si="58"/>
        <v>0</v>
      </c>
      <c r="CR145" s="33">
        <f t="shared" si="58"/>
        <v>0</v>
      </c>
      <c r="CS145" s="33">
        <f t="shared" si="58"/>
        <v>0</v>
      </c>
      <c r="CT145" s="33">
        <f t="shared" si="58"/>
        <v>0</v>
      </c>
      <c r="CU145" s="33">
        <f t="shared" si="58"/>
        <v>0</v>
      </c>
      <c r="CV145" s="33">
        <f t="shared" si="58"/>
        <v>0</v>
      </c>
      <c r="CW145" s="33">
        <f t="shared" si="58"/>
        <v>0</v>
      </c>
      <c r="CX145" s="33">
        <f t="shared" si="43"/>
        <v>0</v>
      </c>
      <c r="CY145" s="33">
        <f t="shared" si="43"/>
        <v>0</v>
      </c>
      <c r="CZ145" s="33">
        <f t="shared" si="43"/>
        <v>0</v>
      </c>
      <c r="DA145" s="33">
        <f t="shared" si="43"/>
        <v>0</v>
      </c>
      <c r="DB145" s="33">
        <f t="shared" si="46"/>
        <v>0</v>
      </c>
      <c r="DC145" s="33">
        <f t="shared" si="46"/>
        <v>0</v>
      </c>
      <c r="DD145" s="33">
        <f t="shared" si="46"/>
        <v>0</v>
      </c>
      <c r="DE145" s="33">
        <f t="shared" si="46"/>
        <v>0</v>
      </c>
      <c r="DF145" s="33">
        <f t="shared" si="46"/>
        <v>0</v>
      </c>
      <c r="DG145" s="33">
        <f t="shared" si="46"/>
        <v>0</v>
      </c>
      <c r="DH145" s="33">
        <f t="shared" si="46"/>
        <v>0</v>
      </c>
      <c r="DI145" s="33">
        <f t="shared" si="46"/>
        <v>0</v>
      </c>
      <c r="DJ145" s="33">
        <f t="shared" si="46"/>
        <v>0</v>
      </c>
      <c r="DK145" s="33">
        <f t="shared" si="46"/>
        <v>0</v>
      </c>
      <c r="DL145" s="33">
        <f t="shared" si="46"/>
        <v>0</v>
      </c>
      <c r="DM145" s="33">
        <f t="shared" si="46"/>
        <v>0</v>
      </c>
      <c r="DN145" s="33">
        <f t="shared" si="46"/>
        <v>0</v>
      </c>
      <c r="DO145" s="33">
        <f t="shared" si="54"/>
        <v>1</v>
      </c>
      <c r="DP145" s="50">
        <f t="shared" si="49"/>
        <v>0</v>
      </c>
      <c r="DQ145" s="50" t="str">
        <f t="shared" si="50"/>
        <v>D</v>
      </c>
      <c r="DR145" s="33">
        <f t="shared" si="47"/>
        <v>1</v>
      </c>
      <c r="DS145" s="50">
        <f t="shared" si="51"/>
        <v>0</v>
      </c>
      <c r="DT145" s="50" t="str">
        <f t="shared" si="52"/>
        <v>5-MEDIA BAJA</v>
      </c>
      <c r="DU145" s="33">
        <f t="shared" si="48"/>
        <v>0</v>
      </c>
      <c r="DV145" s="33">
        <f t="shared" si="48"/>
        <v>0</v>
      </c>
      <c r="DW145" s="33">
        <f t="shared" si="48"/>
        <v>0</v>
      </c>
      <c r="DX145" s="33">
        <f t="shared" si="48"/>
        <v>0</v>
      </c>
      <c r="DY145" s="35">
        <f t="shared" si="53"/>
        <v>2</v>
      </c>
      <c r="DZ145" s="33">
        <f t="shared" si="55"/>
        <v>11</v>
      </c>
      <c r="EA145" s="33">
        <f t="shared" si="56"/>
        <v>9</v>
      </c>
      <c r="EB145" s="33" t="str">
        <f t="shared" si="57"/>
        <v>AUX 2 COM + CAMPOS PREENC</v>
      </c>
      <c r="EC145" s="33" t="s">
        <v>10034</v>
      </c>
    </row>
    <row r="146" spans="2:133" x14ac:dyDescent="0.25">
      <c r="B146" s="33"/>
      <c r="C146" s="33" t="s">
        <v>62</v>
      </c>
      <c r="D146" s="33" t="s">
        <v>8763</v>
      </c>
      <c r="E146" s="33" t="s">
        <v>8764</v>
      </c>
      <c r="F146" s="33" t="s">
        <v>8765</v>
      </c>
      <c r="G146" s="33" t="s">
        <v>8764</v>
      </c>
      <c r="H146" s="33" t="s">
        <v>9905</v>
      </c>
      <c r="I146" s="33" t="s">
        <v>9906</v>
      </c>
      <c r="J146" s="33" t="s">
        <v>9907</v>
      </c>
      <c r="K146" s="33" t="s">
        <v>8570</v>
      </c>
      <c r="L146" s="33" t="s">
        <v>8571</v>
      </c>
      <c r="M146" s="33" t="s">
        <v>9908</v>
      </c>
      <c r="N146" s="33" t="s">
        <v>9909</v>
      </c>
      <c r="O146" s="33"/>
      <c r="P146" s="33"/>
      <c r="Q146" s="33" t="s">
        <v>8571</v>
      </c>
      <c r="R146" s="33"/>
      <c r="S146" s="33"/>
      <c r="T146" s="33"/>
      <c r="U146" s="33" t="s">
        <v>9910</v>
      </c>
      <c r="V146" s="33" t="s">
        <v>9911</v>
      </c>
      <c r="W146" s="33" t="s">
        <v>9912</v>
      </c>
      <c r="X146" s="33"/>
      <c r="Y146" s="33" t="s">
        <v>8500</v>
      </c>
      <c r="Z146" s="33" t="s">
        <v>8500</v>
      </c>
      <c r="AA146" s="33" t="s">
        <v>8500</v>
      </c>
      <c r="AB146" s="33" t="s">
        <v>8525</v>
      </c>
      <c r="AC146" s="33"/>
      <c r="AD146" s="33"/>
      <c r="AE146" s="33"/>
      <c r="AF146" s="33" t="s">
        <v>9913</v>
      </c>
      <c r="AG146" s="33"/>
      <c r="AH146" s="33" t="s">
        <v>8606</v>
      </c>
      <c r="AI146" s="33"/>
      <c r="AJ146" s="33"/>
      <c r="AK146" s="33"/>
      <c r="AL146" s="33" t="s">
        <v>8528</v>
      </c>
      <c r="AM146" s="33" t="s">
        <v>8506</v>
      </c>
      <c r="AN146" s="33" t="s">
        <v>9914</v>
      </c>
      <c r="AO146" s="33" t="s">
        <v>9915</v>
      </c>
      <c r="AP146" s="33">
        <v>1</v>
      </c>
      <c r="AQ146" s="5" t="s">
        <v>10037</v>
      </c>
      <c r="AR146" s="33" t="s">
        <v>9916</v>
      </c>
      <c r="AS146" s="33" t="s">
        <v>62</v>
      </c>
      <c r="AT146" s="33" t="s">
        <v>8763</v>
      </c>
      <c r="AU146" s="33" t="s">
        <v>8764</v>
      </c>
      <c r="AV146" s="33" t="s">
        <v>8765</v>
      </c>
      <c r="AW146" s="33" t="s">
        <v>8764</v>
      </c>
      <c r="AX146" s="33" t="s">
        <v>9905</v>
      </c>
      <c r="AY146" s="33" t="s">
        <v>9906</v>
      </c>
      <c r="AZ146" s="33" t="s">
        <v>9907</v>
      </c>
      <c r="BA146" s="33" t="s">
        <v>8570</v>
      </c>
      <c r="BB146" s="33" t="s">
        <v>8571</v>
      </c>
      <c r="BC146" s="33" t="s">
        <v>9908</v>
      </c>
      <c r="BD146" s="33" t="s">
        <v>9909</v>
      </c>
      <c r="BE146" s="33"/>
      <c r="BF146" s="33"/>
      <c r="BG146" s="33" t="s">
        <v>8571</v>
      </c>
      <c r="BH146" s="33"/>
      <c r="BI146" s="33"/>
      <c r="BJ146" s="33"/>
      <c r="BK146" s="33" t="s">
        <v>9910</v>
      </c>
      <c r="BL146" s="33" t="s">
        <v>9911</v>
      </c>
      <c r="BM146" s="33" t="s">
        <v>9912</v>
      </c>
      <c r="BN146" s="33"/>
      <c r="BO146" s="33" t="s">
        <v>8500</v>
      </c>
      <c r="BP146" s="33" t="s">
        <v>8500</v>
      </c>
      <c r="BQ146" s="33" t="s">
        <v>8500</v>
      </c>
      <c r="BR146" s="33" t="s">
        <v>8525</v>
      </c>
      <c r="BS146" s="33"/>
      <c r="BT146" s="33"/>
      <c r="BU146" s="33"/>
      <c r="BV146" s="33" t="s">
        <v>9913</v>
      </c>
      <c r="BW146" s="33"/>
      <c r="BX146" s="33" t="s">
        <v>8606</v>
      </c>
      <c r="BY146" s="33"/>
      <c r="BZ146" s="33"/>
      <c r="CA146" s="33"/>
      <c r="CB146" s="33" t="s">
        <v>8528</v>
      </c>
      <c r="CC146" s="33" t="s">
        <v>8506</v>
      </c>
      <c r="CD146" s="33" t="s">
        <v>9914</v>
      </c>
      <c r="CE146" s="33" t="s">
        <v>9915</v>
      </c>
      <c r="CF146" s="33">
        <v>2</v>
      </c>
      <c r="CG146" s="5" t="s">
        <v>10037</v>
      </c>
      <c r="CH146" s="33">
        <f t="shared" si="45"/>
        <v>0</v>
      </c>
      <c r="CI146" s="33">
        <f t="shared" si="45"/>
        <v>0</v>
      </c>
      <c r="CJ146" s="33">
        <f t="shared" si="45"/>
        <v>0</v>
      </c>
      <c r="CK146" s="33">
        <f t="shared" si="45"/>
        <v>0</v>
      </c>
      <c r="CL146" s="33">
        <f t="shared" si="45"/>
        <v>0</v>
      </c>
      <c r="CM146" s="33">
        <f t="shared" si="58"/>
        <v>0</v>
      </c>
      <c r="CN146" s="33">
        <f t="shared" si="58"/>
        <v>0</v>
      </c>
      <c r="CO146" s="33">
        <f t="shared" si="58"/>
        <v>0</v>
      </c>
      <c r="CP146" s="33">
        <f t="shared" si="58"/>
        <v>0</v>
      </c>
      <c r="CQ146" s="33">
        <f t="shared" si="58"/>
        <v>0</v>
      </c>
      <c r="CR146" s="33">
        <f t="shared" si="58"/>
        <v>0</v>
      </c>
      <c r="CS146" s="33">
        <f t="shared" si="58"/>
        <v>0</v>
      </c>
      <c r="CT146" s="33">
        <f t="shared" si="58"/>
        <v>0</v>
      </c>
      <c r="CU146" s="33">
        <f t="shared" si="58"/>
        <v>0</v>
      </c>
      <c r="CV146" s="33">
        <f t="shared" si="58"/>
        <v>0</v>
      </c>
      <c r="CW146" s="33">
        <f t="shared" si="58"/>
        <v>0</v>
      </c>
      <c r="CX146" s="33">
        <f t="shared" si="43"/>
        <v>0</v>
      </c>
      <c r="CY146" s="33">
        <f t="shared" si="43"/>
        <v>0</v>
      </c>
      <c r="CZ146" s="33">
        <f t="shared" si="43"/>
        <v>0</v>
      </c>
      <c r="DA146" s="33">
        <f t="shared" si="43"/>
        <v>0</v>
      </c>
      <c r="DB146" s="33">
        <f t="shared" si="46"/>
        <v>0</v>
      </c>
      <c r="DC146" s="33">
        <f t="shared" si="46"/>
        <v>0</v>
      </c>
      <c r="DD146" s="33">
        <f t="shared" si="46"/>
        <v>0</v>
      </c>
      <c r="DE146" s="33">
        <f t="shared" si="46"/>
        <v>0</v>
      </c>
      <c r="DF146" s="33">
        <f t="shared" si="46"/>
        <v>0</v>
      </c>
      <c r="DG146" s="33">
        <f t="shared" si="46"/>
        <v>0</v>
      </c>
      <c r="DH146" s="33">
        <f t="shared" si="46"/>
        <v>0</v>
      </c>
      <c r="DI146" s="33">
        <f t="shared" si="46"/>
        <v>0</v>
      </c>
      <c r="DJ146" s="33">
        <f t="shared" si="46"/>
        <v>0</v>
      </c>
      <c r="DK146" s="33">
        <f t="shared" si="46"/>
        <v>0</v>
      </c>
      <c r="DL146" s="33">
        <f t="shared" si="46"/>
        <v>0</v>
      </c>
      <c r="DM146" s="33">
        <f t="shared" si="46"/>
        <v>0</v>
      </c>
      <c r="DN146" s="33">
        <f t="shared" si="46"/>
        <v>0</v>
      </c>
      <c r="DO146" s="33">
        <f t="shared" si="54"/>
        <v>0</v>
      </c>
      <c r="DP146" s="50">
        <f t="shared" si="49"/>
        <v>0</v>
      </c>
      <c r="DQ146" s="50">
        <f t="shared" si="50"/>
        <v>0</v>
      </c>
      <c r="DR146" s="33">
        <f t="shared" si="47"/>
        <v>0</v>
      </c>
      <c r="DS146" s="50">
        <f t="shared" si="51"/>
        <v>0</v>
      </c>
      <c r="DT146" s="50">
        <f t="shared" si="52"/>
        <v>0</v>
      </c>
      <c r="DU146" s="33">
        <f t="shared" si="48"/>
        <v>0</v>
      </c>
      <c r="DV146" s="33">
        <f t="shared" si="48"/>
        <v>0</v>
      </c>
      <c r="DW146" s="33">
        <f t="shared" si="48"/>
        <v>0</v>
      </c>
      <c r="DX146" s="33">
        <f t="shared" si="48"/>
        <v>0</v>
      </c>
      <c r="DY146" s="35">
        <f t="shared" si="53"/>
        <v>0</v>
      </c>
      <c r="DZ146" s="33">
        <f t="shared" si="55"/>
        <v>13</v>
      </c>
      <c r="EA146" s="33">
        <f t="shared" si="56"/>
        <v>13</v>
      </c>
      <c r="EB146" s="33" t="str">
        <f t="shared" si="57"/>
        <v>IGUAL CAMPOS PREENCH</v>
      </c>
      <c r="EC146" s="33" t="s">
        <v>10035</v>
      </c>
    </row>
    <row r="147" spans="2:133" x14ac:dyDescent="0.25">
      <c r="B147" s="33"/>
      <c r="C147" s="33" t="s">
        <v>170</v>
      </c>
      <c r="D147" s="33" t="s">
        <v>8513</v>
      </c>
      <c r="E147" s="33" t="s">
        <v>8514</v>
      </c>
      <c r="F147" s="33" t="s">
        <v>9917</v>
      </c>
      <c r="G147" s="33" t="s">
        <v>9918</v>
      </c>
      <c r="H147" s="33" t="s">
        <v>9919</v>
      </c>
      <c r="I147" s="33" t="s">
        <v>9918</v>
      </c>
      <c r="J147" s="33" t="s">
        <v>9918</v>
      </c>
      <c r="K147" s="33" t="s">
        <v>9069</v>
      </c>
      <c r="L147" s="33" t="s">
        <v>9070</v>
      </c>
      <c r="M147" s="33" t="s">
        <v>9920</v>
      </c>
      <c r="N147" s="33" t="s">
        <v>8521</v>
      </c>
      <c r="O147" s="33"/>
      <c r="P147" s="33"/>
      <c r="Q147" s="33" t="s">
        <v>9070</v>
      </c>
      <c r="R147" s="33"/>
      <c r="S147" s="33"/>
      <c r="T147" s="33"/>
      <c r="U147" s="33" t="s">
        <v>9921</v>
      </c>
      <c r="V147" s="33" t="s">
        <v>8743</v>
      </c>
      <c r="W147" s="33" t="s">
        <v>9922</v>
      </c>
      <c r="X147" s="33"/>
      <c r="Y147" s="33" t="s">
        <v>8500</v>
      </c>
      <c r="Z147" s="33" t="s">
        <v>8500</v>
      </c>
      <c r="AA147" s="33" t="s">
        <v>8500</v>
      </c>
      <c r="AB147" s="33" t="s">
        <v>8500</v>
      </c>
      <c r="AC147" s="33"/>
      <c r="AD147" s="33"/>
      <c r="AE147" s="33"/>
      <c r="AF147" s="33" t="s">
        <v>9923</v>
      </c>
      <c r="AG147" s="33"/>
      <c r="AH147" s="33" t="s">
        <v>8505</v>
      </c>
      <c r="AI147" s="33"/>
      <c r="AJ147" s="33"/>
      <c r="AK147" s="33"/>
      <c r="AL147" s="33" t="s">
        <v>8528</v>
      </c>
      <c r="AM147" s="33" t="s">
        <v>8693</v>
      </c>
      <c r="AN147" s="33" t="s">
        <v>9924</v>
      </c>
      <c r="AO147" s="33" t="s">
        <v>9925</v>
      </c>
      <c r="AP147" s="33">
        <v>1</v>
      </c>
      <c r="AQ147" s="5" t="s">
        <v>10037</v>
      </c>
      <c r="AR147" s="33" t="s">
        <v>9926</v>
      </c>
      <c r="AS147" s="33" t="s">
        <v>170</v>
      </c>
      <c r="AT147" s="33" t="s">
        <v>8513</v>
      </c>
      <c r="AU147" s="33" t="s">
        <v>8514</v>
      </c>
      <c r="AV147" s="33" t="s">
        <v>9917</v>
      </c>
      <c r="AW147" s="33" t="s">
        <v>9918</v>
      </c>
      <c r="AX147" s="33" t="s">
        <v>9919</v>
      </c>
      <c r="AY147" s="33" t="s">
        <v>9918</v>
      </c>
      <c r="AZ147" s="33" t="s">
        <v>9918</v>
      </c>
      <c r="BA147" s="33" t="s">
        <v>9069</v>
      </c>
      <c r="BB147" s="33" t="s">
        <v>9070</v>
      </c>
      <c r="BC147" s="33" t="s">
        <v>9920</v>
      </c>
      <c r="BD147" s="33" t="s">
        <v>8521</v>
      </c>
      <c r="BE147" s="33"/>
      <c r="BF147" s="33"/>
      <c r="BG147" s="33" t="s">
        <v>9070</v>
      </c>
      <c r="BH147" s="33"/>
      <c r="BI147" s="33"/>
      <c r="BJ147" s="33"/>
      <c r="BK147" s="33" t="s">
        <v>9921</v>
      </c>
      <c r="BL147" s="33" t="s">
        <v>8743</v>
      </c>
      <c r="BM147" s="33" t="s">
        <v>9922</v>
      </c>
      <c r="BN147" s="33"/>
      <c r="BO147" s="33" t="s">
        <v>8500</v>
      </c>
      <c r="BP147" s="33" t="s">
        <v>8500</v>
      </c>
      <c r="BQ147" s="33" t="s">
        <v>8500</v>
      </c>
      <c r="BR147" s="33" t="s">
        <v>8500</v>
      </c>
      <c r="BS147" s="33"/>
      <c r="BT147" s="33"/>
      <c r="BU147" s="33"/>
      <c r="BV147" s="33" t="s">
        <v>9923</v>
      </c>
      <c r="BW147" s="33"/>
      <c r="BX147" s="33" t="s">
        <v>8505</v>
      </c>
      <c r="BY147" s="33"/>
      <c r="BZ147" s="33" t="s">
        <v>8509</v>
      </c>
      <c r="CA147" s="33" t="s">
        <v>8528</v>
      </c>
      <c r="CB147" s="33" t="s">
        <v>8528</v>
      </c>
      <c r="CC147" s="33" t="s">
        <v>8693</v>
      </c>
      <c r="CD147" s="33" t="s">
        <v>9924</v>
      </c>
      <c r="CE147" s="33" t="s">
        <v>9925</v>
      </c>
      <c r="CF147" s="33">
        <v>2</v>
      </c>
      <c r="CG147" s="5" t="s">
        <v>10037</v>
      </c>
      <c r="CH147" s="33">
        <f t="shared" si="45"/>
        <v>0</v>
      </c>
      <c r="CI147" s="33">
        <f t="shared" si="45"/>
        <v>0</v>
      </c>
      <c r="CJ147" s="33">
        <f t="shared" si="45"/>
        <v>0</v>
      </c>
      <c r="CK147" s="33">
        <f t="shared" si="45"/>
        <v>0</v>
      </c>
      <c r="CL147" s="33">
        <f t="shared" si="45"/>
        <v>0</v>
      </c>
      <c r="CM147" s="33">
        <f t="shared" si="58"/>
        <v>0</v>
      </c>
      <c r="CN147" s="33">
        <f t="shared" si="58"/>
        <v>0</v>
      </c>
      <c r="CO147" s="33">
        <f t="shared" si="58"/>
        <v>0</v>
      </c>
      <c r="CP147" s="33">
        <f t="shared" si="58"/>
        <v>0</v>
      </c>
      <c r="CQ147" s="33">
        <f t="shared" si="58"/>
        <v>0</v>
      </c>
      <c r="CR147" s="33">
        <f t="shared" si="58"/>
        <v>0</v>
      </c>
      <c r="CS147" s="33">
        <f t="shared" si="58"/>
        <v>0</v>
      </c>
      <c r="CT147" s="33">
        <f t="shared" si="58"/>
        <v>0</v>
      </c>
      <c r="CU147" s="33">
        <f t="shared" si="58"/>
        <v>0</v>
      </c>
      <c r="CV147" s="33">
        <f t="shared" si="58"/>
        <v>0</v>
      </c>
      <c r="CW147" s="33">
        <f t="shared" si="58"/>
        <v>0</v>
      </c>
      <c r="CX147" s="33">
        <f t="shared" si="43"/>
        <v>0</v>
      </c>
      <c r="CY147" s="33">
        <f t="shared" si="43"/>
        <v>0</v>
      </c>
      <c r="CZ147" s="33">
        <f t="shared" si="43"/>
        <v>0</v>
      </c>
      <c r="DA147" s="33">
        <f t="shared" si="43"/>
        <v>0</v>
      </c>
      <c r="DB147" s="33">
        <f t="shared" si="46"/>
        <v>0</v>
      </c>
      <c r="DC147" s="33">
        <f t="shared" si="46"/>
        <v>0</v>
      </c>
      <c r="DD147" s="33">
        <f t="shared" si="46"/>
        <v>0</v>
      </c>
      <c r="DE147" s="33">
        <f t="shared" si="46"/>
        <v>0</v>
      </c>
      <c r="DF147" s="33">
        <f t="shared" si="46"/>
        <v>0</v>
      </c>
      <c r="DG147" s="33">
        <f t="shared" si="46"/>
        <v>0</v>
      </c>
      <c r="DH147" s="33">
        <f t="shared" si="46"/>
        <v>0</v>
      </c>
      <c r="DI147" s="33">
        <f t="shared" si="46"/>
        <v>0</v>
      </c>
      <c r="DJ147" s="33">
        <f t="shared" si="46"/>
        <v>0</v>
      </c>
      <c r="DK147" s="33">
        <f t="shared" si="46"/>
        <v>0</v>
      </c>
      <c r="DL147" s="33">
        <f t="shared" si="46"/>
        <v>0</v>
      </c>
      <c r="DM147" s="33">
        <f t="shared" si="46"/>
        <v>0</v>
      </c>
      <c r="DN147" s="33">
        <f t="shared" si="46"/>
        <v>0</v>
      </c>
      <c r="DO147" s="33">
        <f t="shared" si="54"/>
        <v>1</v>
      </c>
      <c r="DP147" s="50">
        <f t="shared" si="49"/>
        <v>0</v>
      </c>
      <c r="DQ147" s="50" t="str">
        <f t="shared" si="50"/>
        <v>A</v>
      </c>
      <c r="DR147" s="33">
        <f t="shared" si="47"/>
        <v>1</v>
      </c>
      <c r="DS147" s="50">
        <f t="shared" si="51"/>
        <v>0</v>
      </c>
      <c r="DT147" s="50" t="str">
        <f t="shared" si="52"/>
        <v>5-MEDIA BAJA</v>
      </c>
      <c r="DU147" s="33">
        <f t="shared" si="48"/>
        <v>0</v>
      </c>
      <c r="DV147" s="33">
        <f t="shared" si="48"/>
        <v>0</v>
      </c>
      <c r="DW147" s="33">
        <f t="shared" si="48"/>
        <v>0</v>
      </c>
      <c r="DX147" s="33">
        <f t="shared" si="48"/>
        <v>0</v>
      </c>
      <c r="DY147" s="35">
        <f t="shared" si="53"/>
        <v>2</v>
      </c>
      <c r="DZ147" s="33">
        <f t="shared" si="55"/>
        <v>13</v>
      </c>
      <c r="EA147" s="33">
        <f t="shared" si="56"/>
        <v>11</v>
      </c>
      <c r="EB147" s="33" t="str">
        <f t="shared" si="57"/>
        <v>AUX 2 COM + CAMPOS PREENC</v>
      </c>
      <c r="EC147" s="33" t="s">
        <v>10034</v>
      </c>
    </row>
    <row r="148" spans="2:133" x14ac:dyDescent="0.25">
      <c r="B148" s="33"/>
      <c r="C148" s="33" t="s">
        <v>30</v>
      </c>
      <c r="D148" s="33" t="s">
        <v>9927</v>
      </c>
      <c r="E148" s="33" t="s">
        <v>9928</v>
      </c>
      <c r="F148" s="33" t="s">
        <v>9929</v>
      </c>
      <c r="G148" s="33" t="s">
        <v>9930</v>
      </c>
      <c r="H148" s="33" t="s">
        <v>9931</v>
      </c>
      <c r="I148" s="33" t="s">
        <v>9930</v>
      </c>
      <c r="J148" s="33" t="s">
        <v>9930</v>
      </c>
      <c r="K148" s="33" t="s">
        <v>8570</v>
      </c>
      <c r="L148" s="33" t="s">
        <v>8571</v>
      </c>
      <c r="M148" s="33" t="s">
        <v>9932</v>
      </c>
      <c r="N148" s="33" t="s">
        <v>8521</v>
      </c>
      <c r="O148" s="33"/>
      <c r="P148" s="33"/>
      <c r="Q148" s="33" t="s">
        <v>8571</v>
      </c>
      <c r="R148" s="33"/>
      <c r="S148" s="33"/>
      <c r="T148" s="33"/>
      <c r="U148" s="33" t="s">
        <v>9933</v>
      </c>
      <c r="V148" s="33" t="s">
        <v>9934</v>
      </c>
      <c r="W148" s="33" t="s">
        <v>9935</v>
      </c>
      <c r="X148" s="33" t="s">
        <v>9936</v>
      </c>
      <c r="Y148" s="33" t="s">
        <v>8500</v>
      </c>
      <c r="Z148" s="33" t="s">
        <v>8500</v>
      </c>
      <c r="AA148" s="33" t="s">
        <v>8500</v>
      </c>
      <c r="AB148" s="33" t="s">
        <v>8500</v>
      </c>
      <c r="AC148" s="33"/>
      <c r="AD148" s="33"/>
      <c r="AE148" s="33"/>
      <c r="AF148" s="33" t="s">
        <v>9937</v>
      </c>
      <c r="AG148" s="33"/>
      <c r="AH148" s="33" t="s">
        <v>8505</v>
      </c>
      <c r="AI148" s="33"/>
      <c r="AJ148" s="33"/>
      <c r="AK148" s="33"/>
      <c r="AL148" s="33" t="s">
        <v>8528</v>
      </c>
      <c r="AM148" s="33" t="s">
        <v>8577</v>
      </c>
      <c r="AN148" s="33" t="s">
        <v>9938</v>
      </c>
      <c r="AO148" s="33" t="s">
        <v>9939</v>
      </c>
      <c r="AP148" s="33">
        <v>1</v>
      </c>
      <c r="AQ148" s="5" t="s">
        <v>10037</v>
      </c>
      <c r="AR148" s="33" t="s">
        <v>9940</v>
      </c>
      <c r="AS148" s="33" t="s">
        <v>30</v>
      </c>
      <c r="AT148" s="33" t="s">
        <v>9927</v>
      </c>
      <c r="AU148" s="33" t="s">
        <v>9928</v>
      </c>
      <c r="AV148" s="33" t="s">
        <v>9929</v>
      </c>
      <c r="AW148" s="33" t="s">
        <v>9930</v>
      </c>
      <c r="AX148" s="33" t="s">
        <v>9931</v>
      </c>
      <c r="AY148" s="33" t="s">
        <v>9930</v>
      </c>
      <c r="AZ148" s="33" t="s">
        <v>9930</v>
      </c>
      <c r="BA148" s="33" t="s">
        <v>8570</v>
      </c>
      <c r="BB148" s="33" t="s">
        <v>8571</v>
      </c>
      <c r="BC148" s="33" t="s">
        <v>9932</v>
      </c>
      <c r="BD148" s="33" t="s">
        <v>8521</v>
      </c>
      <c r="BE148" s="33"/>
      <c r="BF148" s="33"/>
      <c r="BG148" s="33" t="s">
        <v>8571</v>
      </c>
      <c r="BH148" s="33"/>
      <c r="BI148" s="33"/>
      <c r="BJ148" s="33"/>
      <c r="BK148" s="33" t="s">
        <v>9933</v>
      </c>
      <c r="BL148" s="33" t="s">
        <v>9934</v>
      </c>
      <c r="BM148" s="33" t="s">
        <v>9935</v>
      </c>
      <c r="BN148" s="33" t="s">
        <v>9936</v>
      </c>
      <c r="BO148" s="33" t="s">
        <v>8500</v>
      </c>
      <c r="BP148" s="33" t="s">
        <v>8500</v>
      </c>
      <c r="BQ148" s="33" t="s">
        <v>8500</v>
      </c>
      <c r="BR148" s="33" t="s">
        <v>8500</v>
      </c>
      <c r="BS148" s="33"/>
      <c r="BT148" s="33"/>
      <c r="BU148" s="33"/>
      <c r="BV148" s="33" t="s">
        <v>9937</v>
      </c>
      <c r="BW148" s="33"/>
      <c r="BX148" s="33" t="s">
        <v>8505</v>
      </c>
      <c r="BY148" s="33"/>
      <c r="BZ148" s="33"/>
      <c r="CA148" s="33"/>
      <c r="CB148" s="33" t="s">
        <v>8528</v>
      </c>
      <c r="CC148" s="33" t="s">
        <v>8577</v>
      </c>
      <c r="CD148" s="33" t="s">
        <v>9938</v>
      </c>
      <c r="CE148" s="33" t="s">
        <v>9939</v>
      </c>
      <c r="CF148" s="33">
        <v>2</v>
      </c>
      <c r="CG148" s="5" t="s">
        <v>10037</v>
      </c>
      <c r="CH148" s="33">
        <f t="shared" si="45"/>
        <v>0</v>
      </c>
      <c r="CI148" s="33">
        <f t="shared" si="45"/>
        <v>0</v>
      </c>
      <c r="CJ148" s="33">
        <f t="shared" si="45"/>
        <v>0</v>
      </c>
      <c r="CK148" s="33">
        <f t="shared" si="45"/>
        <v>0</v>
      </c>
      <c r="CL148" s="33">
        <f t="shared" si="45"/>
        <v>0</v>
      </c>
      <c r="CM148" s="33">
        <f t="shared" si="58"/>
        <v>0</v>
      </c>
      <c r="CN148" s="33">
        <f t="shared" si="58"/>
        <v>0</v>
      </c>
      <c r="CO148" s="33">
        <f t="shared" si="58"/>
        <v>0</v>
      </c>
      <c r="CP148" s="33">
        <f t="shared" si="58"/>
        <v>0</v>
      </c>
      <c r="CQ148" s="33">
        <f t="shared" si="58"/>
        <v>0</v>
      </c>
      <c r="CR148" s="33">
        <f t="shared" si="58"/>
        <v>0</v>
      </c>
      <c r="CS148" s="33">
        <f t="shared" si="58"/>
        <v>0</v>
      </c>
      <c r="CT148" s="33">
        <f t="shared" si="58"/>
        <v>0</v>
      </c>
      <c r="CU148" s="33">
        <f t="shared" si="58"/>
        <v>0</v>
      </c>
      <c r="CV148" s="33">
        <f t="shared" si="58"/>
        <v>0</v>
      </c>
      <c r="CW148" s="33">
        <f t="shared" si="58"/>
        <v>0</v>
      </c>
      <c r="CX148" s="33">
        <f t="shared" si="43"/>
        <v>0</v>
      </c>
      <c r="CY148" s="33">
        <f t="shared" si="43"/>
        <v>0</v>
      </c>
      <c r="CZ148" s="33">
        <f t="shared" si="43"/>
        <v>0</v>
      </c>
      <c r="DA148" s="33">
        <f t="shared" si="43"/>
        <v>0</v>
      </c>
      <c r="DB148" s="33">
        <f t="shared" si="46"/>
        <v>0</v>
      </c>
      <c r="DC148" s="33">
        <f t="shared" si="46"/>
        <v>0</v>
      </c>
      <c r="DD148" s="33">
        <f t="shared" si="46"/>
        <v>0</v>
      </c>
      <c r="DE148" s="33">
        <f t="shared" si="46"/>
        <v>0</v>
      </c>
      <c r="DF148" s="33">
        <f t="shared" si="46"/>
        <v>0</v>
      </c>
      <c r="DG148" s="33">
        <f t="shared" si="46"/>
        <v>0</v>
      </c>
      <c r="DH148" s="33">
        <f t="shared" si="46"/>
        <v>0</v>
      </c>
      <c r="DI148" s="33">
        <f t="shared" si="46"/>
        <v>0</v>
      </c>
      <c r="DJ148" s="33">
        <f t="shared" si="46"/>
        <v>0</v>
      </c>
      <c r="DK148" s="33">
        <f t="shared" si="46"/>
        <v>0</v>
      </c>
      <c r="DL148" s="33">
        <f t="shared" si="46"/>
        <v>0</v>
      </c>
      <c r="DM148" s="33">
        <f t="shared" si="46"/>
        <v>0</v>
      </c>
      <c r="DN148" s="33">
        <f t="shared" si="46"/>
        <v>0</v>
      </c>
      <c r="DO148" s="33">
        <f t="shared" si="54"/>
        <v>0</v>
      </c>
      <c r="DP148" s="50">
        <f t="shared" si="49"/>
        <v>0</v>
      </c>
      <c r="DQ148" s="50">
        <f t="shared" si="50"/>
        <v>0</v>
      </c>
      <c r="DR148" s="33">
        <f t="shared" si="47"/>
        <v>0</v>
      </c>
      <c r="DS148" s="50">
        <f t="shared" si="51"/>
        <v>0</v>
      </c>
      <c r="DT148" s="50">
        <f t="shared" si="52"/>
        <v>0</v>
      </c>
      <c r="DU148" s="33">
        <f t="shared" si="48"/>
        <v>0</v>
      </c>
      <c r="DV148" s="33">
        <f t="shared" si="48"/>
        <v>0</v>
      </c>
      <c r="DW148" s="33">
        <f t="shared" si="48"/>
        <v>0</v>
      </c>
      <c r="DX148" s="33">
        <f t="shared" si="48"/>
        <v>0</v>
      </c>
      <c r="DY148" s="35">
        <f t="shared" si="53"/>
        <v>0</v>
      </c>
      <c r="DZ148" s="33">
        <f t="shared" si="55"/>
        <v>12</v>
      </c>
      <c r="EA148" s="33">
        <f t="shared" si="56"/>
        <v>12</v>
      </c>
      <c r="EB148" s="33" t="str">
        <f t="shared" si="57"/>
        <v>IGUAL CAMPOS PREENCH</v>
      </c>
      <c r="EC148" s="33" t="s">
        <v>10035</v>
      </c>
    </row>
    <row r="149" spans="2:133" x14ac:dyDescent="0.25">
      <c r="B149" s="33"/>
      <c r="C149" s="33" t="s">
        <v>64</v>
      </c>
      <c r="D149" s="33" t="s">
        <v>8801</v>
      </c>
      <c r="E149" s="33" t="s">
        <v>8802</v>
      </c>
      <c r="F149" s="33" t="s">
        <v>9941</v>
      </c>
      <c r="G149" s="33" t="s">
        <v>8802</v>
      </c>
      <c r="H149" s="33" t="s">
        <v>9942</v>
      </c>
      <c r="I149" s="33" t="s">
        <v>9943</v>
      </c>
      <c r="J149" s="33" t="s">
        <v>8802</v>
      </c>
      <c r="K149" s="33" t="s">
        <v>8588</v>
      </c>
      <c r="L149" s="33" t="s">
        <v>8589</v>
      </c>
      <c r="M149" s="33" t="s">
        <v>9944</v>
      </c>
      <c r="N149" s="33" t="s">
        <v>9945</v>
      </c>
      <c r="O149" s="33" t="s">
        <v>9945</v>
      </c>
      <c r="P149" s="33"/>
      <c r="Q149" s="33" t="s">
        <v>8589</v>
      </c>
      <c r="R149" s="33"/>
      <c r="S149" s="33"/>
      <c r="T149" s="33"/>
      <c r="U149" s="33" t="s">
        <v>9946</v>
      </c>
      <c r="V149" s="33" t="s">
        <v>9947</v>
      </c>
      <c r="W149" s="33" t="s">
        <v>9948</v>
      </c>
      <c r="X149" s="33"/>
      <c r="Y149" s="33" t="s">
        <v>8525</v>
      </c>
      <c r="Z149" s="33" t="s">
        <v>8500</v>
      </c>
      <c r="AA149" s="33" t="s">
        <v>8500</v>
      </c>
      <c r="AB149" s="33" t="s">
        <v>8500</v>
      </c>
      <c r="AC149" s="33"/>
      <c r="AD149" s="33"/>
      <c r="AE149" s="33"/>
      <c r="AF149" s="33"/>
      <c r="AG149" s="33"/>
      <c r="AH149" s="33" t="s">
        <v>8527</v>
      </c>
      <c r="AI149" s="33"/>
      <c r="AJ149" s="33"/>
      <c r="AK149" s="33"/>
      <c r="AL149" s="33" t="s">
        <v>8507</v>
      </c>
      <c r="AM149" s="33" t="s">
        <v>8506</v>
      </c>
      <c r="AN149" s="33" t="s">
        <v>9949</v>
      </c>
      <c r="AO149" s="33" t="s">
        <v>9950</v>
      </c>
      <c r="AP149" s="33">
        <v>1</v>
      </c>
      <c r="AQ149" s="5" t="s">
        <v>10037</v>
      </c>
      <c r="AR149" s="33" t="s">
        <v>9951</v>
      </c>
      <c r="AS149" s="33" t="s">
        <v>64</v>
      </c>
      <c r="AT149" s="33" t="s">
        <v>8801</v>
      </c>
      <c r="AU149" s="33" t="s">
        <v>8802</v>
      </c>
      <c r="AV149" s="33" t="s">
        <v>9941</v>
      </c>
      <c r="AW149" s="33" t="s">
        <v>8802</v>
      </c>
      <c r="AX149" s="33" t="s">
        <v>9942</v>
      </c>
      <c r="AY149" s="33" t="s">
        <v>9943</v>
      </c>
      <c r="AZ149" s="33" t="s">
        <v>8802</v>
      </c>
      <c r="BA149" s="33" t="s">
        <v>8588</v>
      </c>
      <c r="BB149" s="33" t="s">
        <v>8589</v>
      </c>
      <c r="BC149" s="33" t="s">
        <v>9944</v>
      </c>
      <c r="BD149" s="33" t="s">
        <v>9945</v>
      </c>
      <c r="BE149" s="33" t="s">
        <v>9945</v>
      </c>
      <c r="BF149" s="33"/>
      <c r="BG149" s="33" t="s">
        <v>8589</v>
      </c>
      <c r="BH149" s="33"/>
      <c r="BI149" s="33"/>
      <c r="BJ149" s="33"/>
      <c r="BK149" s="33" t="s">
        <v>9946</v>
      </c>
      <c r="BL149" s="33" t="s">
        <v>9947</v>
      </c>
      <c r="BM149" s="33" t="s">
        <v>9948</v>
      </c>
      <c r="BN149" s="33"/>
      <c r="BO149" s="33" t="s">
        <v>8525</v>
      </c>
      <c r="BP149" s="33" t="s">
        <v>8500</v>
      </c>
      <c r="BQ149" s="33" t="s">
        <v>8500</v>
      </c>
      <c r="BR149" s="33" t="s">
        <v>8500</v>
      </c>
      <c r="BS149" s="33"/>
      <c r="BT149" s="33"/>
      <c r="BU149" s="33"/>
      <c r="BV149" s="33"/>
      <c r="BW149" s="33"/>
      <c r="BX149" s="33" t="s">
        <v>8527</v>
      </c>
      <c r="BY149" s="33"/>
      <c r="BZ149" s="33" t="s">
        <v>8545</v>
      </c>
      <c r="CA149" s="33" t="s">
        <v>8546</v>
      </c>
      <c r="CB149" s="33" t="s">
        <v>8507</v>
      </c>
      <c r="CC149" s="33" t="s">
        <v>8506</v>
      </c>
      <c r="CD149" s="33" t="s">
        <v>9949</v>
      </c>
      <c r="CE149" s="33" t="s">
        <v>9950</v>
      </c>
      <c r="CF149" s="33">
        <v>2</v>
      </c>
      <c r="CG149" s="5" t="s">
        <v>10037</v>
      </c>
      <c r="CH149" s="33">
        <f t="shared" si="45"/>
        <v>0</v>
      </c>
      <c r="CI149" s="33">
        <f t="shared" si="45"/>
        <v>0</v>
      </c>
      <c r="CJ149" s="33">
        <f t="shared" si="45"/>
        <v>0</v>
      </c>
      <c r="CK149" s="33">
        <f t="shared" si="45"/>
        <v>0</v>
      </c>
      <c r="CL149" s="33">
        <f t="shared" si="45"/>
        <v>0</v>
      </c>
      <c r="CM149" s="33">
        <f t="shared" si="58"/>
        <v>0</v>
      </c>
      <c r="CN149" s="33">
        <f t="shared" si="58"/>
        <v>0</v>
      </c>
      <c r="CO149" s="33">
        <f t="shared" si="58"/>
        <v>0</v>
      </c>
      <c r="CP149" s="33">
        <f t="shared" si="58"/>
        <v>0</v>
      </c>
      <c r="CQ149" s="33">
        <f t="shared" si="58"/>
        <v>0</v>
      </c>
      <c r="CR149" s="33">
        <f t="shared" si="58"/>
        <v>0</v>
      </c>
      <c r="CS149" s="33">
        <f t="shared" si="58"/>
        <v>0</v>
      </c>
      <c r="CT149" s="33">
        <f t="shared" si="58"/>
        <v>0</v>
      </c>
      <c r="CU149" s="33">
        <f t="shared" si="58"/>
        <v>0</v>
      </c>
      <c r="CV149" s="33">
        <f t="shared" si="58"/>
        <v>0</v>
      </c>
      <c r="CW149" s="33">
        <f t="shared" si="58"/>
        <v>0</v>
      </c>
      <c r="CX149" s="33">
        <f t="shared" si="43"/>
        <v>0</v>
      </c>
      <c r="CY149" s="33">
        <f t="shared" si="43"/>
        <v>0</v>
      </c>
      <c r="CZ149" s="33">
        <f t="shared" si="43"/>
        <v>0</v>
      </c>
      <c r="DA149" s="33">
        <f t="shared" si="43"/>
        <v>0</v>
      </c>
      <c r="DB149" s="33">
        <f t="shared" si="46"/>
        <v>0</v>
      </c>
      <c r="DC149" s="33">
        <f t="shared" si="46"/>
        <v>0</v>
      </c>
      <c r="DD149" s="33">
        <f t="shared" si="46"/>
        <v>0</v>
      </c>
      <c r="DE149" s="33">
        <f t="shared" si="46"/>
        <v>0</v>
      </c>
      <c r="DF149" s="33">
        <f t="shared" si="46"/>
        <v>0</v>
      </c>
      <c r="DG149" s="33">
        <f t="shared" si="46"/>
        <v>0</v>
      </c>
      <c r="DH149" s="33">
        <f t="shared" si="46"/>
        <v>0</v>
      </c>
      <c r="DI149" s="33">
        <f t="shared" si="46"/>
        <v>0</v>
      </c>
      <c r="DJ149" s="33">
        <f t="shared" si="46"/>
        <v>0</v>
      </c>
      <c r="DK149" s="33">
        <f t="shared" si="46"/>
        <v>0</v>
      </c>
      <c r="DL149" s="33">
        <f t="shared" si="46"/>
        <v>0</v>
      </c>
      <c r="DM149" s="33">
        <f t="shared" si="46"/>
        <v>0</v>
      </c>
      <c r="DN149" s="33">
        <f t="shared" si="46"/>
        <v>0</v>
      </c>
      <c r="DO149" s="33">
        <f t="shared" si="54"/>
        <v>1</v>
      </c>
      <c r="DP149" s="50">
        <f t="shared" si="49"/>
        <v>0</v>
      </c>
      <c r="DQ149" s="50" t="str">
        <f t="shared" si="50"/>
        <v>D</v>
      </c>
      <c r="DR149" s="33">
        <f t="shared" si="47"/>
        <v>1</v>
      </c>
      <c r="DS149" s="50">
        <f t="shared" si="51"/>
        <v>0</v>
      </c>
      <c r="DT149" s="50" t="str">
        <f t="shared" si="52"/>
        <v>3-ALTA</v>
      </c>
      <c r="DU149" s="33">
        <f t="shared" si="48"/>
        <v>0</v>
      </c>
      <c r="DV149" s="33">
        <f t="shared" si="48"/>
        <v>0</v>
      </c>
      <c r="DW149" s="33">
        <f t="shared" si="48"/>
        <v>0</v>
      </c>
      <c r="DX149" s="33">
        <f t="shared" si="48"/>
        <v>0</v>
      </c>
      <c r="DY149" s="35">
        <f t="shared" si="53"/>
        <v>2</v>
      </c>
      <c r="DZ149" s="33">
        <f t="shared" si="55"/>
        <v>13</v>
      </c>
      <c r="EA149" s="33">
        <f t="shared" si="56"/>
        <v>11</v>
      </c>
      <c r="EB149" s="33" t="str">
        <f t="shared" si="57"/>
        <v>AUX 2 COM + CAMPOS PREENC</v>
      </c>
      <c r="EC149" s="33" t="s">
        <v>10034</v>
      </c>
    </row>
    <row r="150" spans="2:133" x14ac:dyDescent="0.25">
      <c r="B150" s="33"/>
      <c r="C150" s="33" t="s">
        <v>32</v>
      </c>
      <c r="D150" s="33" t="s">
        <v>8486</v>
      </c>
      <c r="E150" s="33" t="s">
        <v>8487</v>
      </c>
      <c r="F150" s="33" t="s">
        <v>8488</v>
      </c>
      <c r="G150" s="33" t="s">
        <v>8487</v>
      </c>
      <c r="H150" s="33" t="s">
        <v>9952</v>
      </c>
      <c r="I150" s="33" t="s">
        <v>9953</v>
      </c>
      <c r="J150" s="33" t="s">
        <v>8487</v>
      </c>
      <c r="K150" s="33" t="s">
        <v>9954</v>
      </c>
      <c r="L150" s="33" t="s">
        <v>9955</v>
      </c>
      <c r="M150" s="33" t="s">
        <v>9956</v>
      </c>
      <c r="N150" s="33" t="s">
        <v>9957</v>
      </c>
      <c r="O150" s="33"/>
      <c r="P150" s="33"/>
      <c r="Q150" s="33" t="s">
        <v>9955</v>
      </c>
      <c r="R150" s="33"/>
      <c r="S150" s="33"/>
      <c r="T150" s="33"/>
      <c r="U150" s="33" t="s">
        <v>9663</v>
      </c>
      <c r="V150" s="33" t="s">
        <v>9958</v>
      </c>
      <c r="W150" s="33" t="s">
        <v>9959</v>
      </c>
      <c r="X150" s="33" t="s">
        <v>9960</v>
      </c>
      <c r="Y150" s="33" t="s">
        <v>8525</v>
      </c>
      <c r="Z150" s="33" t="s">
        <v>8500</v>
      </c>
      <c r="AA150" s="33" t="s">
        <v>8500</v>
      </c>
      <c r="AB150" s="33" t="s">
        <v>8500</v>
      </c>
      <c r="AC150" s="33"/>
      <c r="AD150" s="33"/>
      <c r="AE150" s="33"/>
      <c r="AF150" s="33" t="s">
        <v>9961</v>
      </c>
      <c r="AG150" s="33"/>
      <c r="AH150" s="33" t="s">
        <v>8527</v>
      </c>
      <c r="AI150" s="33"/>
      <c r="AJ150" s="33"/>
      <c r="AK150" s="33"/>
      <c r="AL150" s="33" t="s">
        <v>8507</v>
      </c>
      <c r="AM150" s="33" t="s">
        <v>8545</v>
      </c>
      <c r="AN150" s="33" t="s">
        <v>9962</v>
      </c>
      <c r="AO150" s="33" t="s">
        <v>9963</v>
      </c>
      <c r="AP150" s="33">
        <v>1</v>
      </c>
      <c r="AQ150" s="5" t="s">
        <v>10037</v>
      </c>
      <c r="AR150" s="33" t="s">
        <v>9964</v>
      </c>
      <c r="AS150" s="33" t="s">
        <v>32</v>
      </c>
      <c r="AT150" s="33" t="s">
        <v>8486</v>
      </c>
      <c r="AU150" s="33" t="s">
        <v>8487</v>
      </c>
      <c r="AV150" s="33" t="s">
        <v>8488</v>
      </c>
      <c r="AW150" s="33" t="s">
        <v>8487</v>
      </c>
      <c r="AX150" s="33" t="s">
        <v>9952</v>
      </c>
      <c r="AY150" s="33" t="s">
        <v>9953</v>
      </c>
      <c r="AZ150" s="33" t="s">
        <v>8487</v>
      </c>
      <c r="BA150" s="33" t="s">
        <v>9954</v>
      </c>
      <c r="BB150" s="33" t="s">
        <v>9955</v>
      </c>
      <c r="BC150" s="33" t="s">
        <v>9956</v>
      </c>
      <c r="BD150" s="33" t="s">
        <v>9957</v>
      </c>
      <c r="BE150" s="33"/>
      <c r="BF150" s="33"/>
      <c r="BG150" s="33" t="s">
        <v>9955</v>
      </c>
      <c r="BH150" s="33"/>
      <c r="BI150" s="33"/>
      <c r="BJ150" s="33"/>
      <c r="BK150" s="33" t="s">
        <v>9663</v>
      </c>
      <c r="BL150" s="33" t="s">
        <v>9958</v>
      </c>
      <c r="BM150" s="33" t="s">
        <v>9959</v>
      </c>
      <c r="BN150" s="33" t="s">
        <v>9960</v>
      </c>
      <c r="BO150" s="33" t="s">
        <v>8525</v>
      </c>
      <c r="BP150" s="33" t="s">
        <v>8500</v>
      </c>
      <c r="BQ150" s="33" t="s">
        <v>8500</v>
      </c>
      <c r="BR150" s="33" t="s">
        <v>8500</v>
      </c>
      <c r="BS150" s="33"/>
      <c r="BT150" s="33"/>
      <c r="BU150" s="33"/>
      <c r="BV150" s="33" t="s">
        <v>9961</v>
      </c>
      <c r="BW150" s="33"/>
      <c r="BX150" s="33" t="s">
        <v>8527</v>
      </c>
      <c r="BY150" s="33"/>
      <c r="BZ150" s="33"/>
      <c r="CA150" s="33"/>
      <c r="CB150" s="33" t="s">
        <v>8507</v>
      </c>
      <c r="CC150" s="33" t="s">
        <v>8545</v>
      </c>
      <c r="CD150" s="33" t="s">
        <v>9962</v>
      </c>
      <c r="CE150" s="33" t="s">
        <v>9963</v>
      </c>
      <c r="CF150" s="33">
        <v>2</v>
      </c>
      <c r="CG150" s="5" t="s">
        <v>10037</v>
      </c>
      <c r="CH150" s="33">
        <f t="shared" si="45"/>
        <v>0</v>
      </c>
      <c r="CI150" s="33">
        <f t="shared" si="45"/>
        <v>0</v>
      </c>
      <c r="CJ150" s="33">
        <f t="shared" si="45"/>
        <v>0</v>
      </c>
      <c r="CK150" s="33">
        <f t="shared" si="45"/>
        <v>0</v>
      </c>
      <c r="CL150" s="33">
        <f t="shared" si="45"/>
        <v>0</v>
      </c>
      <c r="CM150" s="33">
        <f t="shared" si="58"/>
        <v>0</v>
      </c>
      <c r="CN150" s="33">
        <f t="shared" si="58"/>
        <v>0</v>
      </c>
      <c r="CO150" s="33">
        <f t="shared" si="58"/>
        <v>0</v>
      </c>
      <c r="CP150" s="33">
        <f t="shared" si="58"/>
        <v>0</v>
      </c>
      <c r="CQ150" s="33">
        <f t="shared" si="58"/>
        <v>0</v>
      </c>
      <c r="CR150" s="33">
        <f t="shared" si="58"/>
        <v>0</v>
      </c>
      <c r="CS150" s="33">
        <f t="shared" si="58"/>
        <v>0</v>
      </c>
      <c r="CT150" s="33">
        <f t="shared" si="58"/>
        <v>0</v>
      </c>
      <c r="CU150" s="33">
        <f t="shared" si="58"/>
        <v>0</v>
      </c>
      <c r="CV150" s="33">
        <f t="shared" si="58"/>
        <v>0</v>
      </c>
      <c r="CW150" s="33">
        <f t="shared" si="58"/>
        <v>0</v>
      </c>
      <c r="CX150" s="33">
        <f t="shared" si="43"/>
        <v>0</v>
      </c>
      <c r="CY150" s="33">
        <f t="shared" si="43"/>
        <v>0</v>
      </c>
      <c r="CZ150" s="33">
        <f t="shared" si="43"/>
        <v>0</v>
      </c>
      <c r="DA150" s="33">
        <f t="shared" si="43"/>
        <v>0</v>
      </c>
      <c r="DB150" s="33">
        <f t="shared" si="46"/>
        <v>0</v>
      </c>
      <c r="DC150" s="33">
        <f t="shared" si="46"/>
        <v>0</v>
      </c>
      <c r="DD150" s="33">
        <f t="shared" si="46"/>
        <v>0</v>
      </c>
      <c r="DE150" s="33">
        <f t="shared" si="46"/>
        <v>0</v>
      </c>
      <c r="DF150" s="33">
        <f t="shared" si="46"/>
        <v>0</v>
      </c>
      <c r="DG150" s="33">
        <f t="shared" si="46"/>
        <v>0</v>
      </c>
      <c r="DH150" s="33">
        <f t="shared" si="46"/>
        <v>0</v>
      </c>
      <c r="DI150" s="33">
        <f t="shared" si="46"/>
        <v>0</v>
      </c>
      <c r="DJ150" s="33">
        <f t="shared" si="46"/>
        <v>0</v>
      </c>
      <c r="DK150" s="33">
        <f t="shared" si="46"/>
        <v>0</v>
      </c>
      <c r="DL150" s="33">
        <f t="shared" si="46"/>
        <v>0</v>
      </c>
      <c r="DM150" s="33">
        <f t="shared" si="46"/>
        <v>0</v>
      </c>
      <c r="DN150" s="33">
        <f t="shared" si="46"/>
        <v>0</v>
      </c>
      <c r="DO150" s="33">
        <f t="shared" si="54"/>
        <v>0</v>
      </c>
      <c r="DP150" s="50">
        <f t="shared" si="49"/>
        <v>0</v>
      </c>
      <c r="DQ150" s="50">
        <f t="shared" si="50"/>
        <v>0</v>
      </c>
      <c r="DR150" s="33">
        <f t="shared" si="47"/>
        <v>0</v>
      </c>
      <c r="DS150" s="50">
        <f t="shared" si="51"/>
        <v>0</v>
      </c>
      <c r="DT150" s="50">
        <f t="shared" si="52"/>
        <v>0</v>
      </c>
      <c r="DU150" s="33">
        <f t="shared" si="48"/>
        <v>0</v>
      </c>
      <c r="DV150" s="33">
        <f t="shared" si="48"/>
        <v>0</v>
      </c>
      <c r="DW150" s="33">
        <f t="shared" si="48"/>
        <v>0</v>
      </c>
      <c r="DX150" s="33">
        <f t="shared" si="48"/>
        <v>0</v>
      </c>
      <c r="DY150" s="35">
        <f t="shared" si="53"/>
        <v>0</v>
      </c>
      <c r="DZ150" s="33">
        <f t="shared" si="55"/>
        <v>12</v>
      </c>
      <c r="EA150" s="33">
        <f t="shared" si="56"/>
        <v>12</v>
      </c>
      <c r="EB150" s="33" t="str">
        <f t="shared" si="57"/>
        <v>IGUAL CAMPOS PREENCH</v>
      </c>
      <c r="EC150" s="33" t="s">
        <v>10035</v>
      </c>
    </row>
    <row r="151" spans="2:133" x14ac:dyDescent="0.25">
      <c r="B151" s="33" t="s">
        <v>9965</v>
      </c>
      <c r="C151" s="33" t="s">
        <v>130</v>
      </c>
      <c r="D151" s="33" t="s">
        <v>8645</v>
      </c>
      <c r="E151" s="33" t="s">
        <v>8646</v>
      </c>
      <c r="F151" s="33" t="s">
        <v>9966</v>
      </c>
      <c r="G151" s="33" t="s">
        <v>9967</v>
      </c>
      <c r="H151" s="33" t="s">
        <v>9968</v>
      </c>
      <c r="I151" s="33" t="s">
        <v>9969</v>
      </c>
      <c r="J151" s="33" t="s">
        <v>9970</v>
      </c>
      <c r="K151" s="33" t="s">
        <v>8570</v>
      </c>
      <c r="L151" s="33" t="s">
        <v>8571</v>
      </c>
      <c r="M151" s="33" t="s">
        <v>9971</v>
      </c>
      <c r="N151" s="33" t="s">
        <v>8521</v>
      </c>
      <c r="O151" s="33" t="s">
        <v>8521</v>
      </c>
      <c r="P151" s="33"/>
      <c r="Q151" s="33" t="s">
        <v>8571</v>
      </c>
      <c r="R151" s="33"/>
      <c r="S151" s="33"/>
      <c r="T151" s="33"/>
      <c r="U151" s="33" t="s">
        <v>9972</v>
      </c>
      <c r="V151" s="33" t="s">
        <v>8876</v>
      </c>
      <c r="W151" s="33" t="s">
        <v>9973</v>
      </c>
      <c r="X151" s="33"/>
      <c r="Y151" s="33" t="s">
        <v>8500</v>
      </c>
      <c r="Z151" s="33" t="s">
        <v>8500</v>
      </c>
      <c r="AA151" s="33" t="s">
        <v>8500</v>
      </c>
      <c r="AB151" s="33" t="s">
        <v>8525</v>
      </c>
      <c r="AC151" s="33"/>
      <c r="AD151" s="33"/>
      <c r="AE151" s="33" t="s">
        <v>9974</v>
      </c>
      <c r="AF151" s="33" t="s">
        <v>9975</v>
      </c>
      <c r="AG151" s="33"/>
      <c r="AH151" s="33" t="s">
        <v>8560</v>
      </c>
      <c r="AI151" s="33"/>
      <c r="AJ151" s="33"/>
      <c r="AK151" s="33"/>
      <c r="AL151" s="33" t="s">
        <v>8528</v>
      </c>
      <c r="AM151" s="33" t="s">
        <v>8506</v>
      </c>
      <c r="AN151" s="33" t="s">
        <v>9976</v>
      </c>
      <c r="AO151" s="33" t="s">
        <v>9977</v>
      </c>
      <c r="AP151" s="33">
        <v>1</v>
      </c>
      <c r="AQ151" s="5" t="s">
        <v>10037</v>
      </c>
      <c r="AR151" s="33"/>
      <c r="AS151" s="33" t="s">
        <v>130</v>
      </c>
      <c r="AT151" s="33" t="s">
        <v>8645</v>
      </c>
      <c r="AU151" s="33" t="s">
        <v>8646</v>
      </c>
      <c r="AV151" s="33" t="s">
        <v>9966</v>
      </c>
      <c r="AW151" s="33" t="s">
        <v>9967</v>
      </c>
      <c r="AX151" s="33" t="s">
        <v>9968</v>
      </c>
      <c r="AY151" s="33" t="s">
        <v>9969</v>
      </c>
      <c r="AZ151" s="33" t="s">
        <v>9970</v>
      </c>
      <c r="BA151" s="33" t="s">
        <v>8570</v>
      </c>
      <c r="BB151" s="33" t="s">
        <v>8571</v>
      </c>
      <c r="BC151" s="33" t="s">
        <v>9971</v>
      </c>
      <c r="BD151" s="33" t="s">
        <v>8521</v>
      </c>
      <c r="BE151" s="33" t="s">
        <v>8521</v>
      </c>
      <c r="BF151" s="33"/>
      <c r="BG151" s="33" t="s">
        <v>8571</v>
      </c>
      <c r="BH151" s="33"/>
      <c r="BI151" s="33"/>
      <c r="BJ151" s="33"/>
      <c r="BK151" s="33" t="s">
        <v>9972</v>
      </c>
      <c r="BL151" s="33" t="s">
        <v>8876</v>
      </c>
      <c r="BM151" s="33" t="s">
        <v>9973</v>
      </c>
      <c r="BN151" s="33"/>
      <c r="BO151" s="33" t="s">
        <v>8500</v>
      </c>
      <c r="BP151" s="33" t="s">
        <v>8500</v>
      </c>
      <c r="BQ151" s="33" t="s">
        <v>8500</v>
      </c>
      <c r="BR151" s="33" t="s">
        <v>8525</v>
      </c>
      <c r="BS151" s="33"/>
      <c r="BT151" s="33"/>
      <c r="BU151" s="33" t="s">
        <v>9974</v>
      </c>
      <c r="BV151" s="33" t="s">
        <v>9975</v>
      </c>
      <c r="BW151" s="33"/>
      <c r="BX151" s="33" t="s">
        <v>8560</v>
      </c>
      <c r="BY151" s="33"/>
      <c r="BZ151" s="33"/>
      <c r="CA151" s="33"/>
      <c r="CB151" s="33" t="s">
        <v>8528</v>
      </c>
      <c r="CC151" s="33" t="s">
        <v>8506</v>
      </c>
      <c r="CD151" s="33" t="s">
        <v>9976</v>
      </c>
      <c r="CE151" s="33" t="s">
        <v>9977</v>
      </c>
      <c r="CF151" s="33">
        <v>2</v>
      </c>
      <c r="CG151" s="5" t="s">
        <v>10037</v>
      </c>
      <c r="CH151" s="33">
        <f t="shared" si="45"/>
        <v>0</v>
      </c>
      <c r="CI151" s="33">
        <f t="shared" si="45"/>
        <v>0</v>
      </c>
      <c r="CJ151" s="33">
        <f t="shared" si="45"/>
        <v>0</v>
      </c>
      <c r="CK151" s="33">
        <f t="shared" si="45"/>
        <v>0</v>
      </c>
      <c r="CL151" s="33">
        <f t="shared" si="45"/>
        <v>0</v>
      </c>
      <c r="CM151" s="33">
        <f t="shared" si="58"/>
        <v>0</v>
      </c>
      <c r="CN151" s="33">
        <f t="shared" si="58"/>
        <v>0</v>
      </c>
      <c r="CO151" s="33">
        <f t="shared" si="58"/>
        <v>0</v>
      </c>
      <c r="CP151" s="33">
        <f t="shared" si="58"/>
        <v>0</v>
      </c>
      <c r="CQ151" s="33">
        <f t="shared" si="58"/>
        <v>0</v>
      </c>
      <c r="CR151" s="33">
        <f t="shared" si="58"/>
        <v>0</v>
      </c>
      <c r="CS151" s="33">
        <f t="shared" si="58"/>
        <v>0</v>
      </c>
      <c r="CT151" s="33">
        <f t="shared" si="58"/>
        <v>0</v>
      </c>
      <c r="CU151" s="33">
        <f t="shared" si="58"/>
        <v>0</v>
      </c>
      <c r="CV151" s="33">
        <f t="shared" si="58"/>
        <v>0</v>
      </c>
      <c r="CW151" s="33">
        <f t="shared" si="58"/>
        <v>0</v>
      </c>
      <c r="CX151" s="33">
        <f t="shared" si="43"/>
        <v>0</v>
      </c>
      <c r="CY151" s="33">
        <f t="shared" si="43"/>
        <v>0</v>
      </c>
      <c r="CZ151" s="33">
        <f t="shared" si="43"/>
        <v>0</v>
      </c>
      <c r="DA151" s="33">
        <f t="shared" si="43"/>
        <v>0</v>
      </c>
      <c r="DB151" s="33">
        <f t="shared" si="46"/>
        <v>0</v>
      </c>
      <c r="DC151" s="33">
        <f t="shared" si="46"/>
        <v>0</v>
      </c>
      <c r="DD151" s="33">
        <f t="shared" si="46"/>
        <v>0</v>
      </c>
      <c r="DE151" s="33">
        <f t="shared" si="46"/>
        <v>0</v>
      </c>
      <c r="DF151" s="33">
        <f t="shared" si="46"/>
        <v>0</v>
      </c>
      <c r="DG151" s="33">
        <f t="shared" si="46"/>
        <v>0</v>
      </c>
      <c r="DH151" s="33">
        <f t="shared" si="46"/>
        <v>0</v>
      </c>
      <c r="DI151" s="33">
        <f t="shared" si="46"/>
        <v>0</v>
      </c>
      <c r="DJ151" s="33">
        <f t="shared" si="46"/>
        <v>0</v>
      </c>
      <c r="DK151" s="33">
        <f t="shared" si="46"/>
        <v>0</v>
      </c>
      <c r="DL151" s="33">
        <f t="shared" si="46"/>
        <v>0</v>
      </c>
      <c r="DM151" s="33">
        <f t="shared" si="46"/>
        <v>0</v>
      </c>
      <c r="DN151" s="33">
        <f t="shared" si="46"/>
        <v>0</v>
      </c>
      <c r="DO151" s="33">
        <f t="shared" si="54"/>
        <v>0</v>
      </c>
      <c r="DP151" s="50">
        <f t="shared" si="49"/>
        <v>0</v>
      </c>
      <c r="DQ151" s="50">
        <f t="shared" si="50"/>
        <v>0</v>
      </c>
      <c r="DR151" s="33">
        <f t="shared" si="47"/>
        <v>0</v>
      </c>
      <c r="DS151" s="50">
        <f t="shared" si="51"/>
        <v>0</v>
      </c>
      <c r="DT151" s="50">
        <f t="shared" si="52"/>
        <v>0</v>
      </c>
      <c r="DU151" s="33">
        <f t="shared" si="48"/>
        <v>0</v>
      </c>
      <c r="DV151" s="33">
        <f t="shared" si="48"/>
        <v>0</v>
      </c>
      <c r="DW151" s="33">
        <f t="shared" si="48"/>
        <v>0</v>
      </c>
      <c r="DX151" s="33">
        <f t="shared" si="48"/>
        <v>0</v>
      </c>
      <c r="DY151" s="35">
        <f t="shared" si="53"/>
        <v>0</v>
      </c>
      <c r="DZ151" s="33">
        <f t="shared" si="55"/>
        <v>11</v>
      </c>
      <c r="EA151" s="33">
        <f t="shared" si="56"/>
        <v>11</v>
      </c>
      <c r="EB151" s="33" t="str">
        <f t="shared" si="57"/>
        <v>IGUAL CAMPOS PREENCH</v>
      </c>
      <c r="EC151" s="33" t="s">
        <v>10035</v>
      </c>
    </row>
    <row r="152" spans="2:133" x14ac:dyDescent="0.25">
      <c r="B152" s="33" t="s">
        <v>9978</v>
      </c>
      <c r="C152" s="33" t="s">
        <v>48</v>
      </c>
      <c r="D152" s="33" t="s">
        <v>9118</v>
      </c>
      <c r="E152" s="33"/>
      <c r="F152" s="33" t="s">
        <v>9119</v>
      </c>
      <c r="G152" s="33"/>
      <c r="H152" s="33" t="s">
        <v>9120</v>
      </c>
      <c r="I152" s="33"/>
      <c r="J152" s="33" t="s">
        <v>9121</v>
      </c>
      <c r="K152" s="33" t="s">
        <v>8570</v>
      </c>
      <c r="L152" s="33" t="s">
        <v>8571</v>
      </c>
      <c r="M152" s="33" t="s">
        <v>9979</v>
      </c>
      <c r="N152" s="33" t="s">
        <v>8653</v>
      </c>
      <c r="O152" s="33"/>
      <c r="P152" s="33"/>
      <c r="Q152" s="33" t="s">
        <v>8571</v>
      </c>
      <c r="R152" s="33" t="s">
        <v>9980</v>
      </c>
      <c r="S152" s="33"/>
      <c r="T152" s="33"/>
      <c r="U152" s="33" t="s">
        <v>9124</v>
      </c>
      <c r="V152" s="33" t="s">
        <v>9125</v>
      </c>
      <c r="W152" s="33" t="s">
        <v>9981</v>
      </c>
      <c r="X152" s="33" t="s">
        <v>9982</v>
      </c>
      <c r="Y152" s="33" t="s">
        <v>8500</v>
      </c>
      <c r="Z152" s="33" t="s">
        <v>8500</v>
      </c>
      <c r="AA152" s="33" t="s">
        <v>8500</v>
      </c>
      <c r="AB152" s="33" t="s">
        <v>8500</v>
      </c>
      <c r="AC152" s="33"/>
      <c r="AD152" s="33"/>
      <c r="AE152" s="33"/>
      <c r="AF152" s="33" t="s">
        <v>9983</v>
      </c>
      <c r="AG152" s="33"/>
      <c r="AH152" s="33" t="s">
        <v>8505</v>
      </c>
      <c r="AI152" s="33"/>
      <c r="AJ152" s="33" t="s">
        <v>8545</v>
      </c>
      <c r="AK152" s="33" t="s">
        <v>9090</v>
      </c>
      <c r="AL152" s="33" t="s">
        <v>8528</v>
      </c>
      <c r="AM152" s="33" t="s">
        <v>8545</v>
      </c>
      <c r="AN152" s="33" t="s">
        <v>9984</v>
      </c>
      <c r="AO152" s="33" t="s">
        <v>9985</v>
      </c>
      <c r="AP152" s="33">
        <v>1</v>
      </c>
      <c r="AQ152" s="5" t="s">
        <v>10037</v>
      </c>
      <c r="AR152" s="33"/>
      <c r="AS152" s="33" t="s">
        <v>48</v>
      </c>
      <c r="AT152" s="33" t="s">
        <v>9118</v>
      </c>
      <c r="AU152" s="33"/>
      <c r="AV152" s="33" t="s">
        <v>9119</v>
      </c>
      <c r="AW152" s="33"/>
      <c r="AX152" s="33" t="s">
        <v>9120</v>
      </c>
      <c r="AY152" s="33"/>
      <c r="AZ152" s="33" t="s">
        <v>9121</v>
      </c>
      <c r="BA152" s="33" t="s">
        <v>8570</v>
      </c>
      <c r="BB152" s="33" t="s">
        <v>8571</v>
      </c>
      <c r="BC152" s="33" t="s">
        <v>9979</v>
      </c>
      <c r="BD152" s="33" t="s">
        <v>8653</v>
      </c>
      <c r="BE152" s="33"/>
      <c r="BF152" s="33"/>
      <c r="BG152" s="33" t="s">
        <v>8571</v>
      </c>
      <c r="BH152" s="33" t="s">
        <v>9980</v>
      </c>
      <c r="BI152" s="33"/>
      <c r="BJ152" s="33"/>
      <c r="BK152" s="33" t="s">
        <v>9124</v>
      </c>
      <c r="BL152" s="33" t="s">
        <v>9125</v>
      </c>
      <c r="BM152" s="33" t="s">
        <v>9981</v>
      </c>
      <c r="BN152" s="33" t="s">
        <v>9982</v>
      </c>
      <c r="BO152" s="33" t="s">
        <v>8500</v>
      </c>
      <c r="BP152" s="33" t="s">
        <v>8500</v>
      </c>
      <c r="BQ152" s="33" t="s">
        <v>8500</v>
      </c>
      <c r="BR152" s="33" t="s">
        <v>8500</v>
      </c>
      <c r="BS152" s="33"/>
      <c r="BT152" s="33"/>
      <c r="BU152" s="33"/>
      <c r="BV152" s="33" t="s">
        <v>9983</v>
      </c>
      <c r="BW152" s="33"/>
      <c r="BX152" s="33" t="s">
        <v>8505</v>
      </c>
      <c r="BY152" s="33"/>
      <c r="BZ152" s="33"/>
      <c r="CA152" s="33"/>
      <c r="CB152" s="33" t="s">
        <v>8528</v>
      </c>
      <c r="CC152" s="33" t="s">
        <v>8545</v>
      </c>
      <c r="CD152" s="33" t="s">
        <v>9984</v>
      </c>
      <c r="CE152" s="33" t="s">
        <v>9985</v>
      </c>
      <c r="CF152" s="33">
        <v>2</v>
      </c>
      <c r="CG152" s="5" t="s">
        <v>10037</v>
      </c>
      <c r="CH152" s="33">
        <f t="shared" si="45"/>
        <v>0</v>
      </c>
      <c r="CI152" s="33">
        <f t="shared" si="45"/>
        <v>0</v>
      </c>
      <c r="CJ152" s="33">
        <f t="shared" si="45"/>
        <v>0</v>
      </c>
      <c r="CK152" s="33">
        <f t="shared" si="45"/>
        <v>0</v>
      </c>
      <c r="CL152" s="33">
        <f t="shared" si="45"/>
        <v>0</v>
      </c>
      <c r="CM152" s="33">
        <f t="shared" si="58"/>
        <v>0</v>
      </c>
      <c r="CN152" s="33">
        <f t="shared" si="58"/>
        <v>0</v>
      </c>
      <c r="CO152" s="33">
        <f t="shared" si="58"/>
        <v>0</v>
      </c>
      <c r="CP152" s="33">
        <f t="shared" si="58"/>
        <v>0</v>
      </c>
      <c r="CQ152" s="33">
        <f t="shared" si="58"/>
        <v>0</v>
      </c>
      <c r="CR152" s="33">
        <f t="shared" si="58"/>
        <v>0</v>
      </c>
      <c r="CS152" s="33">
        <f t="shared" si="58"/>
        <v>0</v>
      </c>
      <c r="CT152" s="33">
        <f t="shared" si="58"/>
        <v>0</v>
      </c>
      <c r="CU152" s="33">
        <f t="shared" si="58"/>
        <v>0</v>
      </c>
      <c r="CV152" s="33">
        <f t="shared" si="58"/>
        <v>0</v>
      </c>
      <c r="CW152" s="33">
        <f t="shared" si="58"/>
        <v>0</v>
      </c>
      <c r="CX152" s="33">
        <f t="shared" si="43"/>
        <v>0</v>
      </c>
      <c r="CY152" s="33">
        <f t="shared" si="43"/>
        <v>0</v>
      </c>
      <c r="CZ152" s="33">
        <f t="shared" si="43"/>
        <v>0</v>
      </c>
      <c r="DA152" s="33">
        <f t="shared" si="43"/>
        <v>0</v>
      </c>
      <c r="DB152" s="33">
        <f t="shared" si="46"/>
        <v>0</v>
      </c>
      <c r="DC152" s="33">
        <f t="shared" si="46"/>
        <v>0</v>
      </c>
      <c r="DD152" s="33">
        <f t="shared" si="46"/>
        <v>0</v>
      </c>
      <c r="DE152" s="33">
        <f t="shared" si="46"/>
        <v>0</v>
      </c>
      <c r="DF152" s="33">
        <f t="shared" si="46"/>
        <v>0</v>
      </c>
      <c r="DG152" s="33">
        <f t="shared" si="46"/>
        <v>0</v>
      </c>
      <c r="DH152" s="33">
        <f t="shared" si="46"/>
        <v>0</v>
      </c>
      <c r="DI152" s="33">
        <f t="shared" si="46"/>
        <v>0</v>
      </c>
      <c r="DJ152" s="33">
        <f t="shared" si="46"/>
        <v>0</v>
      </c>
      <c r="DK152" s="33">
        <f t="shared" si="46"/>
        <v>0</v>
      </c>
      <c r="DL152" s="33">
        <f t="shared" si="46"/>
        <v>0</v>
      </c>
      <c r="DM152" s="33">
        <f t="shared" si="46"/>
        <v>0</v>
      </c>
      <c r="DN152" s="33">
        <f t="shared" si="46"/>
        <v>0</v>
      </c>
      <c r="DO152" s="33">
        <f t="shared" si="54"/>
        <v>1</v>
      </c>
      <c r="DP152" s="50" t="str">
        <f t="shared" si="49"/>
        <v>D</v>
      </c>
      <c r="DQ152" s="50">
        <f t="shared" si="50"/>
        <v>0</v>
      </c>
      <c r="DR152" s="33">
        <f t="shared" si="47"/>
        <v>1</v>
      </c>
      <c r="DS152" s="50" t="str">
        <f t="shared" si="51"/>
        <v>6-BAJA</v>
      </c>
      <c r="DT152" s="50">
        <f t="shared" si="52"/>
        <v>0</v>
      </c>
      <c r="DU152" s="33">
        <f t="shared" si="48"/>
        <v>0</v>
      </c>
      <c r="DV152" s="33">
        <f t="shared" si="48"/>
        <v>0</v>
      </c>
      <c r="DW152" s="33">
        <f t="shared" si="48"/>
        <v>0</v>
      </c>
      <c r="DX152" s="33">
        <f t="shared" si="48"/>
        <v>0</v>
      </c>
      <c r="DY152" s="35">
        <f t="shared" si="53"/>
        <v>2</v>
      </c>
      <c r="DZ152" s="33">
        <f t="shared" si="55"/>
        <v>12</v>
      </c>
      <c r="EA152" s="33">
        <f t="shared" si="56"/>
        <v>14</v>
      </c>
      <c r="EB152" s="33" t="str">
        <f t="shared" si="57"/>
        <v>AUX 1 COM + CAMPOS PREENC OU IGUAL</v>
      </c>
      <c r="EC152" s="33" t="s">
        <v>10034</v>
      </c>
    </row>
    <row r="153" spans="2:133" x14ac:dyDescent="0.25">
      <c r="B153" s="33" t="s">
        <v>9986</v>
      </c>
      <c r="C153" s="33" t="s">
        <v>135</v>
      </c>
      <c r="D153" s="33" t="s">
        <v>8904</v>
      </c>
      <c r="E153" s="33" t="s">
        <v>8905</v>
      </c>
      <c r="F153" s="33" t="s">
        <v>9987</v>
      </c>
      <c r="G153" s="33" t="s">
        <v>9988</v>
      </c>
      <c r="H153" s="33" t="s">
        <v>9989</v>
      </c>
      <c r="I153" s="33" t="s">
        <v>9990</v>
      </c>
      <c r="J153" s="33" t="s">
        <v>9990</v>
      </c>
      <c r="K153" s="33" t="s">
        <v>9608</v>
      </c>
      <c r="L153" s="33" t="s">
        <v>9991</v>
      </c>
      <c r="M153" s="33" t="s">
        <v>9992</v>
      </c>
      <c r="N153" s="33" t="s">
        <v>8591</v>
      </c>
      <c r="O153" s="33"/>
      <c r="P153" s="33"/>
      <c r="Q153" s="33" t="s">
        <v>9991</v>
      </c>
      <c r="R153" s="33"/>
      <c r="S153" s="33"/>
      <c r="T153" s="33"/>
      <c r="U153" s="33" t="s">
        <v>9993</v>
      </c>
      <c r="V153" s="33" t="s">
        <v>9994</v>
      </c>
      <c r="W153" s="33" t="s">
        <v>9995</v>
      </c>
      <c r="X153" s="33"/>
      <c r="Y153" s="33" t="s">
        <v>8500</v>
      </c>
      <c r="Z153" s="33" t="s">
        <v>8500</v>
      </c>
      <c r="AA153" s="33" t="s">
        <v>8500</v>
      </c>
      <c r="AB153" s="33" t="s">
        <v>8500</v>
      </c>
      <c r="AC153" s="33"/>
      <c r="AD153" s="33"/>
      <c r="AE153" s="33"/>
      <c r="AF153" s="33" t="s">
        <v>9996</v>
      </c>
      <c r="AG153" s="33"/>
      <c r="AH153" s="33" t="s">
        <v>8505</v>
      </c>
      <c r="AI153" s="33"/>
      <c r="AJ153" s="33" t="s">
        <v>8564</v>
      </c>
      <c r="AK153" s="33" t="s">
        <v>8528</v>
      </c>
      <c r="AL153" s="33" t="s">
        <v>8507</v>
      </c>
      <c r="AM153" s="33" t="s">
        <v>8577</v>
      </c>
      <c r="AN153" s="33" t="s">
        <v>9997</v>
      </c>
      <c r="AO153" s="33" t="s">
        <v>9998</v>
      </c>
      <c r="AP153" s="33">
        <v>1</v>
      </c>
      <c r="AQ153" s="5" t="s">
        <v>10037</v>
      </c>
      <c r="AR153" s="33"/>
      <c r="AS153" s="33" t="s">
        <v>135</v>
      </c>
      <c r="AT153" s="33" t="s">
        <v>8904</v>
      </c>
      <c r="AU153" s="33" t="s">
        <v>8905</v>
      </c>
      <c r="AV153" s="33" t="s">
        <v>9987</v>
      </c>
      <c r="AW153" s="33" t="s">
        <v>9988</v>
      </c>
      <c r="AX153" s="33" t="s">
        <v>9989</v>
      </c>
      <c r="AY153" s="33" t="s">
        <v>9990</v>
      </c>
      <c r="AZ153" s="33" t="s">
        <v>9990</v>
      </c>
      <c r="BA153" s="33" t="s">
        <v>9608</v>
      </c>
      <c r="BB153" s="33" t="s">
        <v>9991</v>
      </c>
      <c r="BC153" s="33" t="s">
        <v>9992</v>
      </c>
      <c r="BD153" s="33" t="s">
        <v>8591</v>
      </c>
      <c r="BE153" s="33"/>
      <c r="BF153" s="33"/>
      <c r="BG153" s="33" t="s">
        <v>9991</v>
      </c>
      <c r="BH153" s="33"/>
      <c r="BI153" s="33"/>
      <c r="BJ153" s="33"/>
      <c r="BK153" s="33" t="s">
        <v>9993</v>
      </c>
      <c r="BL153" s="33" t="s">
        <v>9994</v>
      </c>
      <c r="BM153" s="33" t="s">
        <v>9995</v>
      </c>
      <c r="BN153" s="33"/>
      <c r="BO153" s="33" t="s">
        <v>8500</v>
      </c>
      <c r="BP153" s="33" t="s">
        <v>8500</v>
      </c>
      <c r="BQ153" s="33" t="s">
        <v>8500</v>
      </c>
      <c r="BR153" s="33" t="s">
        <v>8500</v>
      </c>
      <c r="BS153" s="33"/>
      <c r="BT153" s="33"/>
      <c r="BU153" s="33"/>
      <c r="BV153" s="33" t="s">
        <v>9996</v>
      </c>
      <c r="BW153" s="33"/>
      <c r="BX153" s="33" t="s">
        <v>8505</v>
      </c>
      <c r="BY153" s="33"/>
      <c r="BZ153" s="33"/>
      <c r="CA153" s="33"/>
      <c r="CB153" s="33" t="s">
        <v>8507</v>
      </c>
      <c r="CC153" s="33" t="s">
        <v>8577</v>
      </c>
      <c r="CD153" s="33" t="s">
        <v>9997</v>
      </c>
      <c r="CE153" s="33" t="s">
        <v>9998</v>
      </c>
      <c r="CF153" s="33">
        <v>2</v>
      </c>
      <c r="CG153" s="5" t="s">
        <v>10037</v>
      </c>
      <c r="CH153" s="33">
        <f t="shared" si="45"/>
        <v>0</v>
      </c>
      <c r="CI153" s="33">
        <f t="shared" si="45"/>
        <v>0</v>
      </c>
      <c r="CJ153" s="33">
        <f t="shared" si="45"/>
        <v>0</v>
      </c>
      <c r="CK153" s="33">
        <f t="shared" si="45"/>
        <v>0</v>
      </c>
      <c r="CL153" s="33">
        <f t="shared" si="45"/>
        <v>0</v>
      </c>
      <c r="CM153" s="33">
        <f t="shared" si="58"/>
        <v>0</v>
      </c>
      <c r="CN153" s="33">
        <f t="shared" si="58"/>
        <v>0</v>
      </c>
      <c r="CO153" s="33">
        <f t="shared" si="58"/>
        <v>0</v>
      </c>
      <c r="CP153" s="33">
        <f t="shared" si="58"/>
        <v>0</v>
      </c>
      <c r="CQ153" s="33">
        <f t="shared" si="58"/>
        <v>0</v>
      </c>
      <c r="CR153" s="33">
        <f t="shared" si="58"/>
        <v>0</v>
      </c>
      <c r="CS153" s="33">
        <f t="shared" si="58"/>
        <v>0</v>
      </c>
      <c r="CT153" s="33">
        <f t="shared" si="58"/>
        <v>0</v>
      </c>
      <c r="CU153" s="33">
        <f t="shared" si="58"/>
        <v>0</v>
      </c>
      <c r="CV153" s="33">
        <f t="shared" si="58"/>
        <v>0</v>
      </c>
      <c r="CW153" s="33">
        <f t="shared" si="58"/>
        <v>0</v>
      </c>
      <c r="CX153" s="33">
        <f t="shared" si="43"/>
        <v>0</v>
      </c>
      <c r="CY153" s="33">
        <f t="shared" si="43"/>
        <v>0</v>
      </c>
      <c r="CZ153" s="33">
        <f t="shared" si="43"/>
        <v>0</v>
      </c>
      <c r="DA153" s="33">
        <f t="shared" si="43"/>
        <v>0</v>
      </c>
      <c r="DB153" s="33">
        <f t="shared" si="46"/>
        <v>0</v>
      </c>
      <c r="DC153" s="33">
        <f t="shared" si="46"/>
        <v>0</v>
      </c>
      <c r="DD153" s="33">
        <f t="shared" si="46"/>
        <v>0</v>
      </c>
      <c r="DE153" s="33">
        <f t="shared" si="46"/>
        <v>0</v>
      </c>
      <c r="DF153" s="33">
        <f t="shared" si="46"/>
        <v>0</v>
      </c>
      <c r="DG153" s="33">
        <f t="shared" si="46"/>
        <v>0</v>
      </c>
      <c r="DH153" s="33">
        <f t="shared" si="46"/>
        <v>0</v>
      </c>
      <c r="DI153" s="33">
        <f t="shared" si="46"/>
        <v>0</v>
      </c>
      <c r="DJ153" s="33">
        <f t="shared" si="46"/>
        <v>0</v>
      </c>
      <c r="DK153" s="33">
        <f t="shared" si="46"/>
        <v>0</v>
      </c>
      <c r="DL153" s="33">
        <f t="shared" si="46"/>
        <v>0</v>
      </c>
      <c r="DM153" s="33">
        <f t="shared" si="46"/>
        <v>0</v>
      </c>
      <c r="DN153" s="33">
        <f t="shared" si="46"/>
        <v>0</v>
      </c>
      <c r="DO153" s="33">
        <f t="shared" si="54"/>
        <v>1</v>
      </c>
      <c r="DP153" s="50" t="str">
        <f t="shared" si="49"/>
        <v>F</v>
      </c>
      <c r="DQ153" s="50">
        <f t="shared" si="50"/>
        <v>0</v>
      </c>
      <c r="DR153" s="33">
        <f t="shared" si="47"/>
        <v>1</v>
      </c>
      <c r="DS153" s="50" t="str">
        <f t="shared" si="51"/>
        <v>5-MEDIA BAJA</v>
      </c>
      <c r="DT153" s="50">
        <f t="shared" si="52"/>
        <v>0</v>
      </c>
      <c r="DU153" s="33">
        <f t="shared" si="48"/>
        <v>0</v>
      </c>
      <c r="DV153" s="33">
        <f t="shared" si="48"/>
        <v>0</v>
      </c>
      <c r="DW153" s="33">
        <f t="shared" si="48"/>
        <v>0</v>
      </c>
      <c r="DX153" s="33">
        <f t="shared" si="48"/>
        <v>0</v>
      </c>
      <c r="DY153" s="35">
        <f t="shared" si="53"/>
        <v>2</v>
      </c>
      <c r="DZ153" s="33">
        <f t="shared" si="55"/>
        <v>11</v>
      </c>
      <c r="EA153" s="33">
        <f t="shared" si="56"/>
        <v>13</v>
      </c>
      <c r="EB153" s="33" t="str">
        <f t="shared" si="57"/>
        <v>AUX 1 COM + CAMPOS PREENC OU IGUAL</v>
      </c>
      <c r="EC153" s="33" t="s">
        <v>10034</v>
      </c>
    </row>
    <row r="154" spans="2:133" x14ac:dyDescent="0.25">
      <c r="B154" s="33" t="s">
        <v>9999</v>
      </c>
      <c r="C154" s="33" t="s">
        <v>34</v>
      </c>
      <c r="D154" s="33" t="s">
        <v>8763</v>
      </c>
      <c r="E154" s="33" t="s">
        <v>8764</v>
      </c>
      <c r="F154" s="33" t="s">
        <v>10000</v>
      </c>
      <c r="G154" s="33" t="s">
        <v>10001</v>
      </c>
      <c r="H154" s="33" t="s">
        <v>10002</v>
      </c>
      <c r="I154" s="33" t="s">
        <v>10003</v>
      </c>
      <c r="J154" s="33" t="s">
        <v>10003</v>
      </c>
      <c r="K154" s="33" t="s">
        <v>8570</v>
      </c>
      <c r="L154" s="33" t="s">
        <v>8571</v>
      </c>
      <c r="M154" s="33" t="s">
        <v>10004</v>
      </c>
      <c r="N154" s="33" t="s">
        <v>8509</v>
      </c>
      <c r="O154" s="33"/>
      <c r="P154" s="33"/>
      <c r="Q154" s="33" t="s">
        <v>8571</v>
      </c>
      <c r="R154" s="33"/>
      <c r="S154" s="33"/>
      <c r="T154" s="33"/>
      <c r="U154" s="33" t="s">
        <v>10005</v>
      </c>
      <c r="V154" s="33" t="s">
        <v>10006</v>
      </c>
      <c r="W154" s="33" t="s">
        <v>9441</v>
      </c>
      <c r="X154" s="33" t="s">
        <v>10007</v>
      </c>
      <c r="Y154" s="33" t="s">
        <v>8500</v>
      </c>
      <c r="Z154" s="33" t="s">
        <v>8500</v>
      </c>
      <c r="AA154" s="33" t="s">
        <v>8500</v>
      </c>
      <c r="AB154" s="33" t="s">
        <v>8525</v>
      </c>
      <c r="AC154" s="33"/>
      <c r="AD154" s="33"/>
      <c r="AE154" s="33"/>
      <c r="AF154" s="33" t="s">
        <v>10008</v>
      </c>
      <c r="AG154" s="33"/>
      <c r="AH154" s="33" t="s">
        <v>8606</v>
      </c>
      <c r="AI154" s="33"/>
      <c r="AJ154" s="33"/>
      <c r="AK154" s="33"/>
      <c r="AL154" s="33" t="s">
        <v>8528</v>
      </c>
      <c r="AM154" s="33" t="s">
        <v>8545</v>
      </c>
      <c r="AN154" s="33" t="s">
        <v>10009</v>
      </c>
      <c r="AO154" s="33" t="s">
        <v>10010</v>
      </c>
      <c r="AP154" s="33">
        <v>1</v>
      </c>
      <c r="AQ154" s="5" t="s">
        <v>10037</v>
      </c>
      <c r="AR154" s="33"/>
      <c r="AS154" s="33" t="s">
        <v>34</v>
      </c>
      <c r="AT154" s="33" t="s">
        <v>8763</v>
      </c>
      <c r="AU154" s="33" t="s">
        <v>8764</v>
      </c>
      <c r="AV154" s="33" t="s">
        <v>10000</v>
      </c>
      <c r="AW154" s="33" t="s">
        <v>10001</v>
      </c>
      <c r="AX154" s="33" t="s">
        <v>10002</v>
      </c>
      <c r="AY154" s="33" t="s">
        <v>10003</v>
      </c>
      <c r="AZ154" s="33" t="s">
        <v>10003</v>
      </c>
      <c r="BA154" s="33" t="s">
        <v>8570</v>
      </c>
      <c r="BB154" s="33" t="s">
        <v>8571</v>
      </c>
      <c r="BC154" s="33" t="s">
        <v>10004</v>
      </c>
      <c r="BD154" s="33" t="s">
        <v>8509</v>
      </c>
      <c r="BE154" s="33"/>
      <c r="BF154" s="33"/>
      <c r="BG154" s="33" t="s">
        <v>8571</v>
      </c>
      <c r="BH154" s="33"/>
      <c r="BI154" s="33"/>
      <c r="BJ154" s="33"/>
      <c r="BK154" s="33" t="s">
        <v>10005</v>
      </c>
      <c r="BL154" s="33" t="s">
        <v>10006</v>
      </c>
      <c r="BM154" s="33" t="s">
        <v>9441</v>
      </c>
      <c r="BN154" s="33" t="s">
        <v>10007</v>
      </c>
      <c r="BO154" s="33" t="s">
        <v>8500</v>
      </c>
      <c r="BP154" s="33" t="s">
        <v>8500</v>
      </c>
      <c r="BQ154" s="33" t="s">
        <v>8500</v>
      </c>
      <c r="BR154" s="33" t="s">
        <v>8525</v>
      </c>
      <c r="BS154" s="33"/>
      <c r="BT154" s="33"/>
      <c r="BU154" s="33"/>
      <c r="BV154" s="33" t="s">
        <v>10008</v>
      </c>
      <c r="BW154" s="33"/>
      <c r="BX154" s="33" t="s">
        <v>8606</v>
      </c>
      <c r="BY154" s="33"/>
      <c r="BZ154" s="33"/>
      <c r="CA154" s="33"/>
      <c r="CB154" s="33" t="s">
        <v>8528</v>
      </c>
      <c r="CC154" s="33" t="s">
        <v>8545</v>
      </c>
      <c r="CD154" s="33" t="s">
        <v>10009</v>
      </c>
      <c r="CE154" s="33" t="s">
        <v>10010</v>
      </c>
      <c r="CF154" s="33">
        <v>2</v>
      </c>
      <c r="CG154" s="5" t="s">
        <v>10037</v>
      </c>
      <c r="CH154" s="33">
        <f t="shared" si="45"/>
        <v>0</v>
      </c>
      <c r="CI154" s="33">
        <f t="shared" si="45"/>
        <v>0</v>
      </c>
      <c r="CJ154" s="33">
        <f t="shared" si="45"/>
        <v>0</v>
      </c>
      <c r="CK154" s="33">
        <f t="shared" si="45"/>
        <v>0</v>
      </c>
      <c r="CL154" s="33">
        <f t="shared" si="45"/>
        <v>0</v>
      </c>
      <c r="CM154" s="33">
        <f t="shared" si="58"/>
        <v>0</v>
      </c>
      <c r="CN154" s="33">
        <f t="shared" si="58"/>
        <v>0</v>
      </c>
      <c r="CO154" s="33">
        <f t="shared" si="58"/>
        <v>0</v>
      </c>
      <c r="CP154" s="33">
        <f t="shared" si="58"/>
        <v>0</v>
      </c>
      <c r="CQ154" s="33">
        <f t="shared" si="58"/>
        <v>0</v>
      </c>
      <c r="CR154" s="33">
        <f t="shared" si="58"/>
        <v>0</v>
      </c>
      <c r="CS154" s="33">
        <f t="shared" si="58"/>
        <v>0</v>
      </c>
      <c r="CT154" s="33">
        <f t="shared" si="58"/>
        <v>0</v>
      </c>
      <c r="CU154" s="33">
        <f t="shared" si="58"/>
        <v>0</v>
      </c>
      <c r="CV154" s="33">
        <f t="shared" si="58"/>
        <v>0</v>
      </c>
      <c r="CW154" s="33">
        <f t="shared" si="58"/>
        <v>0</v>
      </c>
      <c r="CX154" s="33">
        <f t="shared" si="43"/>
        <v>0</v>
      </c>
      <c r="CY154" s="33">
        <f t="shared" si="43"/>
        <v>0</v>
      </c>
      <c r="CZ154" s="33">
        <f t="shared" si="43"/>
        <v>0</v>
      </c>
      <c r="DA154" s="33">
        <f t="shared" si="43"/>
        <v>0</v>
      </c>
      <c r="DB154" s="33">
        <f t="shared" si="46"/>
        <v>0</v>
      </c>
      <c r="DC154" s="33">
        <f t="shared" si="46"/>
        <v>0</v>
      </c>
      <c r="DD154" s="33">
        <f t="shared" si="46"/>
        <v>0</v>
      </c>
      <c r="DE154" s="33">
        <f t="shared" ref="DE154:DN156" si="59">+IF(Z154=BP154,0,1)</f>
        <v>0</v>
      </c>
      <c r="DF154" s="33">
        <f t="shared" si="59"/>
        <v>0</v>
      </c>
      <c r="DG154" s="33">
        <f t="shared" si="59"/>
        <v>0</v>
      </c>
      <c r="DH154" s="33">
        <f t="shared" si="59"/>
        <v>0</v>
      </c>
      <c r="DI154" s="33">
        <f t="shared" si="59"/>
        <v>0</v>
      </c>
      <c r="DJ154" s="33">
        <f t="shared" si="59"/>
        <v>0</v>
      </c>
      <c r="DK154" s="33">
        <f t="shared" si="59"/>
        <v>0</v>
      </c>
      <c r="DL154" s="33">
        <f t="shared" si="59"/>
        <v>0</v>
      </c>
      <c r="DM154" s="33">
        <f t="shared" si="59"/>
        <v>0</v>
      </c>
      <c r="DN154" s="33">
        <f t="shared" si="59"/>
        <v>0</v>
      </c>
      <c r="DO154" s="33">
        <f t="shared" si="54"/>
        <v>0</v>
      </c>
      <c r="DP154" s="50">
        <f t="shared" si="49"/>
        <v>0</v>
      </c>
      <c r="DQ154" s="50">
        <f t="shared" si="50"/>
        <v>0</v>
      </c>
      <c r="DR154" s="33">
        <f t="shared" si="47"/>
        <v>0</v>
      </c>
      <c r="DS154" s="50">
        <f t="shared" si="51"/>
        <v>0</v>
      </c>
      <c r="DT154" s="50">
        <f t="shared" si="52"/>
        <v>0</v>
      </c>
      <c r="DU154" s="33">
        <f t="shared" si="48"/>
        <v>0</v>
      </c>
      <c r="DV154" s="33">
        <f t="shared" si="48"/>
        <v>0</v>
      </c>
      <c r="DW154" s="33">
        <f t="shared" si="48"/>
        <v>0</v>
      </c>
      <c r="DX154" s="33">
        <f t="shared" si="48"/>
        <v>0</v>
      </c>
      <c r="DY154" s="35">
        <f t="shared" si="53"/>
        <v>0</v>
      </c>
      <c r="DZ154" s="33">
        <f t="shared" si="55"/>
        <v>12</v>
      </c>
      <c r="EA154" s="33">
        <f t="shared" si="56"/>
        <v>12</v>
      </c>
      <c r="EB154" s="33" t="str">
        <f t="shared" si="57"/>
        <v>IGUAL CAMPOS PREENCH</v>
      </c>
      <c r="EC154" s="33" t="s">
        <v>10035</v>
      </c>
    </row>
    <row r="155" spans="2:133" x14ac:dyDescent="0.25">
      <c r="B155" s="33" t="s">
        <v>10011</v>
      </c>
      <c r="C155" s="33" t="s">
        <v>85</v>
      </c>
      <c r="D155" s="33" t="s">
        <v>8711</v>
      </c>
      <c r="E155" s="33" t="s">
        <v>8712</v>
      </c>
      <c r="F155" s="33" t="s">
        <v>10012</v>
      </c>
      <c r="G155" s="33" t="s">
        <v>10013</v>
      </c>
      <c r="H155" s="33" t="s">
        <v>10014</v>
      </c>
      <c r="I155" s="33" t="s">
        <v>9081</v>
      </c>
      <c r="J155" s="33" t="s">
        <v>10015</v>
      </c>
      <c r="K155" s="33" t="s">
        <v>8570</v>
      </c>
      <c r="L155" s="33" t="s">
        <v>8571</v>
      </c>
      <c r="M155" s="33" t="s">
        <v>10016</v>
      </c>
      <c r="N155" s="33" t="s">
        <v>10017</v>
      </c>
      <c r="O155" s="33"/>
      <c r="P155" s="33"/>
      <c r="Q155" s="33" t="s">
        <v>8571</v>
      </c>
      <c r="R155" s="33"/>
      <c r="S155" s="33"/>
      <c r="T155" s="33"/>
      <c r="U155" s="33" t="s">
        <v>10018</v>
      </c>
      <c r="V155" s="33" t="s">
        <v>8743</v>
      </c>
      <c r="W155" s="33" t="s">
        <v>10019</v>
      </c>
      <c r="X155" s="33" t="s">
        <v>8745</v>
      </c>
      <c r="Y155" s="33" t="s">
        <v>8500</v>
      </c>
      <c r="Z155" s="33" t="s">
        <v>8500</v>
      </c>
      <c r="AA155" s="33" t="s">
        <v>8500</v>
      </c>
      <c r="AB155" s="33" t="s">
        <v>8525</v>
      </c>
      <c r="AC155" s="33"/>
      <c r="AD155" s="33"/>
      <c r="AE155" s="33"/>
      <c r="AF155" s="33" t="s">
        <v>10020</v>
      </c>
      <c r="AG155" s="33"/>
      <c r="AH155" s="33" t="s">
        <v>8560</v>
      </c>
      <c r="AI155" s="33"/>
      <c r="AJ155" s="33" t="s">
        <v>8564</v>
      </c>
      <c r="AK155" s="33" t="s">
        <v>8507</v>
      </c>
      <c r="AL155" s="33" t="s">
        <v>8507</v>
      </c>
      <c r="AM155" s="33" t="s">
        <v>8640</v>
      </c>
      <c r="AN155" s="33" t="s">
        <v>10021</v>
      </c>
      <c r="AO155" s="33" t="s">
        <v>10022</v>
      </c>
      <c r="AP155" s="33">
        <v>1</v>
      </c>
      <c r="AQ155" s="5" t="s">
        <v>10037</v>
      </c>
      <c r="AR155" s="33"/>
      <c r="AS155" s="33" t="s">
        <v>85</v>
      </c>
      <c r="AT155" s="33" t="s">
        <v>8711</v>
      </c>
      <c r="AU155" s="33" t="s">
        <v>8712</v>
      </c>
      <c r="AV155" s="33" t="s">
        <v>10012</v>
      </c>
      <c r="AW155" s="33" t="s">
        <v>10013</v>
      </c>
      <c r="AX155" s="33" t="s">
        <v>10014</v>
      </c>
      <c r="AY155" s="33" t="s">
        <v>9081</v>
      </c>
      <c r="AZ155" s="33" t="s">
        <v>10015</v>
      </c>
      <c r="BA155" s="33" t="s">
        <v>8570</v>
      </c>
      <c r="BB155" s="33" t="s">
        <v>8571</v>
      </c>
      <c r="BC155" s="33" t="s">
        <v>10016</v>
      </c>
      <c r="BD155" s="33" t="s">
        <v>10017</v>
      </c>
      <c r="BE155" s="33"/>
      <c r="BF155" s="33"/>
      <c r="BG155" s="33" t="s">
        <v>8571</v>
      </c>
      <c r="BH155" s="33"/>
      <c r="BI155" s="33"/>
      <c r="BJ155" s="33"/>
      <c r="BK155" s="33" t="s">
        <v>10018</v>
      </c>
      <c r="BL155" s="33" t="s">
        <v>8743</v>
      </c>
      <c r="BM155" s="33" t="s">
        <v>10019</v>
      </c>
      <c r="BN155" s="33" t="s">
        <v>8745</v>
      </c>
      <c r="BO155" s="33" t="s">
        <v>8500</v>
      </c>
      <c r="BP155" s="33" t="s">
        <v>8500</v>
      </c>
      <c r="BQ155" s="33" t="s">
        <v>8500</v>
      </c>
      <c r="BR155" s="33" t="s">
        <v>8525</v>
      </c>
      <c r="BS155" s="33"/>
      <c r="BT155" s="33"/>
      <c r="BU155" s="33"/>
      <c r="BV155" s="33" t="s">
        <v>10020</v>
      </c>
      <c r="BW155" s="33"/>
      <c r="BX155" s="33" t="s">
        <v>8560</v>
      </c>
      <c r="BY155" s="33"/>
      <c r="BZ155" s="33"/>
      <c r="CA155" s="33"/>
      <c r="CB155" s="33" t="s">
        <v>8507</v>
      </c>
      <c r="CC155" s="33" t="s">
        <v>8640</v>
      </c>
      <c r="CD155" s="33" t="s">
        <v>10021</v>
      </c>
      <c r="CE155" s="33" t="s">
        <v>10022</v>
      </c>
      <c r="CF155" s="33">
        <v>2</v>
      </c>
      <c r="CG155" s="5" t="s">
        <v>10037</v>
      </c>
      <c r="CH155" s="33">
        <f t="shared" si="45"/>
        <v>0</v>
      </c>
      <c r="CI155" s="33">
        <f t="shared" si="45"/>
        <v>0</v>
      </c>
      <c r="CJ155" s="33">
        <f t="shared" si="45"/>
        <v>0</v>
      </c>
      <c r="CK155" s="33">
        <f t="shared" si="45"/>
        <v>0</v>
      </c>
      <c r="CL155" s="33">
        <f t="shared" si="45"/>
        <v>0</v>
      </c>
      <c r="CM155" s="33">
        <f t="shared" si="58"/>
        <v>0</v>
      </c>
      <c r="CN155" s="33">
        <f t="shared" si="58"/>
        <v>0</v>
      </c>
      <c r="CO155" s="33">
        <f t="shared" si="58"/>
        <v>0</v>
      </c>
      <c r="CP155" s="33">
        <f t="shared" si="58"/>
        <v>0</v>
      </c>
      <c r="CQ155" s="33">
        <f t="shared" si="58"/>
        <v>0</v>
      </c>
      <c r="CR155" s="33">
        <f t="shared" si="58"/>
        <v>0</v>
      </c>
      <c r="CS155" s="33">
        <f t="shared" si="58"/>
        <v>0</v>
      </c>
      <c r="CT155" s="33">
        <f t="shared" si="58"/>
        <v>0</v>
      </c>
      <c r="CU155" s="33">
        <f t="shared" si="58"/>
        <v>0</v>
      </c>
      <c r="CV155" s="33">
        <f t="shared" si="58"/>
        <v>0</v>
      </c>
      <c r="CW155" s="33">
        <f t="shared" si="58"/>
        <v>0</v>
      </c>
      <c r="CX155" s="33">
        <f t="shared" si="43"/>
        <v>0</v>
      </c>
      <c r="CY155" s="33">
        <f t="shared" si="43"/>
        <v>0</v>
      </c>
      <c r="CZ155" s="33">
        <f t="shared" si="43"/>
        <v>0</v>
      </c>
      <c r="DA155" s="33">
        <f t="shared" si="43"/>
        <v>0</v>
      </c>
      <c r="DB155" s="33">
        <f t="shared" si="43"/>
        <v>0</v>
      </c>
      <c r="DC155" s="33">
        <f t="shared" si="43"/>
        <v>0</v>
      </c>
      <c r="DD155" s="33">
        <f t="shared" si="43"/>
        <v>0</v>
      </c>
      <c r="DE155" s="33">
        <f t="shared" si="59"/>
        <v>0</v>
      </c>
      <c r="DF155" s="33">
        <f t="shared" si="59"/>
        <v>0</v>
      </c>
      <c r="DG155" s="33">
        <f t="shared" si="59"/>
        <v>0</v>
      </c>
      <c r="DH155" s="33">
        <f t="shared" si="59"/>
        <v>0</v>
      </c>
      <c r="DI155" s="33">
        <f t="shared" si="59"/>
        <v>0</v>
      </c>
      <c r="DJ155" s="33">
        <f t="shared" si="59"/>
        <v>0</v>
      </c>
      <c r="DK155" s="33">
        <f t="shared" si="59"/>
        <v>0</v>
      </c>
      <c r="DL155" s="33">
        <f t="shared" si="59"/>
        <v>0</v>
      </c>
      <c r="DM155" s="33">
        <f t="shared" si="59"/>
        <v>0</v>
      </c>
      <c r="DN155" s="33">
        <f t="shared" si="59"/>
        <v>0</v>
      </c>
      <c r="DO155" s="33">
        <f t="shared" si="54"/>
        <v>1</v>
      </c>
      <c r="DP155" s="50" t="str">
        <f t="shared" si="49"/>
        <v>F</v>
      </c>
      <c r="DQ155" s="50">
        <f t="shared" si="50"/>
        <v>0</v>
      </c>
      <c r="DR155" s="33">
        <f t="shared" si="47"/>
        <v>1</v>
      </c>
      <c r="DS155" s="50" t="str">
        <f t="shared" si="51"/>
        <v>4-MEDIA</v>
      </c>
      <c r="DT155" s="50">
        <f t="shared" si="52"/>
        <v>0</v>
      </c>
      <c r="DU155" s="33">
        <f t="shared" si="48"/>
        <v>0</v>
      </c>
      <c r="DV155" s="33">
        <f t="shared" si="48"/>
        <v>0</v>
      </c>
      <c r="DW155" s="33">
        <f t="shared" si="48"/>
        <v>0</v>
      </c>
      <c r="DX155" s="33">
        <f t="shared" si="48"/>
        <v>0</v>
      </c>
      <c r="DY155" s="35">
        <f t="shared" si="53"/>
        <v>2</v>
      </c>
      <c r="DZ155" s="33">
        <f t="shared" si="55"/>
        <v>10</v>
      </c>
      <c r="EA155" s="33">
        <f t="shared" si="56"/>
        <v>12</v>
      </c>
      <c r="EB155" s="33" t="str">
        <f t="shared" si="57"/>
        <v>AUX 1 COM + CAMPOS PREENC OU IGUAL</v>
      </c>
      <c r="EC155" s="33" t="s">
        <v>10034</v>
      </c>
    </row>
    <row r="156" spans="2:133" x14ac:dyDescent="0.25">
      <c r="B156" s="33" t="s">
        <v>10023</v>
      </c>
      <c r="C156" s="33" t="s">
        <v>84</v>
      </c>
      <c r="D156" s="33" t="s">
        <v>8962</v>
      </c>
      <c r="E156" s="33" t="s">
        <v>8963</v>
      </c>
      <c r="F156" s="33" t="s">
        <v>10024</v>
      </c>
      <c r="G156" s="33" t="s">
        <v>8963</v>
      </c>
      <c r="H156" s="33" t="s">
        <v>10025</v>
      </c>
      <c r="I156" s="33" t="s">
        <v>10026</v>
      </c>
      <c r="J156" s="33" t="s">
        <v>8521</v>
      </c>
      <c r="K156" s="33" t="s">
        <v>8588</v>
      </c>
      <c r="L156" s="33" t="s">
        <v>8589</v>
      </c>
      <c r="M156" s="33" t="s">
        <v>10027</v>
      </c>
      <c r="N156" s="33" t="s">
        <v>8521</v>
      </c>
      <c r="O156" s="33"/>
      <c r="P156" s="33"/>
      <c r="Q156" s="33" t="s">
        <v>8589</v>
      </c>
      <c r="R156" s="33"/>
      <c r="S156" s="33"/>
      <c r="T156" s="33"/>
      <c r="U156" s="33" t="s">
        <v>10028</v>
      </c>
      <c r="V156" s="33" t="s">
        <v>10029</v>
      </c>
      <c r="W156" s="33" t="s">
        <v>10030</v>
      </c>
      <c r="X156" s="33"/>
      <c r="Y156" s="33" t="s">
        <v>8500</v>
      </c>
      <c r="Z156" s="33" t="s">
        <v>8500</v>
      </c>
      <c r="AA156" s="33" t="s">
        <v>8500</v>
      </c>
      <c r="AB156" s="33" t="s">
        <v>8500</v>
      </c>
      <c r="AC156" s="33"/>
      <c r="AD156" s="33"/>
      <c r="AE156" s="33"/>
      <c r="AF156" s="33"/>
      <c r="AG156" s="33"/>
      <c r="AH156" s="33" t="s">
        <v>8505</v>
      </c>
      <c r="AI156" s="33"/>
      <c r="AJ156" s="33" t="s">
        <v>8545</v>
      </c>
      <c r="AK156" s="33" t="s">
        <v>8507</v>
      </c>
      <c r="AL156" s="33" t="s">
        <v>8528</v>
      </c>
      <c r="AM156" s="33" t="s">
        <v>8693</v>
      </c>
      <c r="AN156" s="33" t="s">
        <v>10031</v>
      </c>
      <c r="AO156" s="33" t="s">
        <v>10032</v>
      </c>
      <c r="AP156" s="33">
        <v>1</v>
      </c>
      <c r="AQ156" s="5" t="s">
        <v>10037</v>
      </c>
      <c r="AR156" s="33"/>
      <c r="AS156" s="33" t="s">
        <v>84</v>
      </c>
      <c r="AT156" s="33" t="s">
        <v>8962</v>
      </c>
      <c r="AU156" s="33" t="s">
        <v>8963</v>
      </c>
      <c r="AV156" s="33" t="s">
        <v>10024</v>
      </c>
      <c r="AW156" s="33" t="s">
        <v>8963</v>
      </c>
      <c r="AX156" s="33" t="s">
        <v>10025</v>
      </c>
      <c r="AY156" s="33" t="s">
        <v>10026</v>
      </c>
      <c r="AZ156" s="33" t="s">
        <v>8521</v>
      </c>
      <c r="BA156" s="33" t="s">
        <v>8588</v>
      </c>
      <c r="BB156" s="33" t="s">
        <v>8589</v>
      </c>
      <c r="BC156" s="33" t="s">
        <v>10027</v>
      </c>
      <c r="BD156" s="33" t="s">
        <v>8521</v>
      </c>
      <c r="BE156" s="33"/>
      <c r="BF156" s="33"/>
      <c r="BG156" s="33" t="s">
        <v>8589</v>
      </c>
      <c r="BH156" s="33"/>
      <c r="BI156" s="33"/>
      <c r="BJ156" s="33"/>
      <c r="BK156" s="33" t="s">
        <v>10028</v>
      </c>
      <c r="BL156" s="33" t="s">
        <v>10029</v>
      </c>
      <c r="BM156" s="33" t="s">
        <v>10030</v>
      </c>
      <c r="BN156" s="33"/>
      <c r="BO156" s="33" t="s">
        <v>8500</v>
      </c>
      <c r="BP156" s="33" t="s">
        <v>8500</v>
      </c>
      <c r="BQ156" s="33" t="s">
        <v>8500</v>
      </c>
      <c r="BR156" s="33" t="s">
        <v>8500</v>
      </c>
      <c r="BS156" s="33"/>
      <c r="BT156" s="33"/>
      <c r="BU156" s="33"/>
      <c r="BV156" s="33"/>
      <c r="BW156" s="33"/>
      <c r="BX156" s="33" t="s">
        <v>8505</v>
      </c>
      <c r="BY156" s="33"/>
      <c r="BZ156" s="33"/>
      <c r="CA156" s="33"/>
      <c r="CB156" s="33" t="s">
        <v>8528</v>
      </c>
      <c r="CC156" s="33" t="s">
        <v>8693</v>
      </c>
      <c r="CD156" s="33" t="s">
        <v>10031</v>
      </c>
      <c r="CE156" s="33" t="s">
        <v>10032</v>
      </c>
      <c r="CF156" s="33">
        <v>2</v>
      </c>
      <c r="CG156" s="5" t="s">
        <v>10037</v>
      </c>
      <c r="CH156" s="33">
        <f t="shared" si="45"/>
        <v>0</v>
      </c>
      <c r="CI156" s="33">
        <f t="shared" si="45"/>
        <v>0</v>
      </c>
      <c r="CJ156" s="33">
        <f t="shared" si="45"/>
        <v>0</v>
      </c>
      <c r="CK156" s="33">
        <f t="shared" si="45"/>
        <v>0</v>
      </c>
      <c r="CL156" s="33">
        <f t="shared" si="45"/>
        <v>0</v>
      </c>
      <c r="CM156" s="33">
        <f t="shared" si="58"/>
        <v>0</v>
      </c>
      <c r="CN156" s="33">
        <f t="shared" si="58"/>
        <v>0</v>
      </c>
      <c r="CO156" s="33">
        <f t="shared" si="58"/>
        <v>0</v>
      </c>
      <c r="CP156" s="33">
        <f t="shared" si="58"/>
        <v>0</v>
      </c>
      <c r="CQ156" s="33">
        <f t="shared" si="58"/>
        <v>0</v>
      </c>
      <c r="CR156" s="33">
        <f t="shared" si="58"/>
        <v>0</v>
      </c>
      <c r="CS156" s="33">
        <f t="shared" si="58"/>
        <v>0</v>
      </c>
      <c r="CT156" s="33">
        <f t="shared" si="58"/>
        <v>0</v>
      </c>
      <c r="CU156" s="33">
        <f t="shared" si="58"/>
        <v>0</v>
      </c>
      <c r="CV156" s="33">
        <f t="shared" si="58"/>
        <v>0</v>
      </c>
      <c r="CW156" s="33">
        <f t="shared" si="58"/>
        <v>0</v>
      </c>
      <c r="CX156" s="33">
        <f t="shared" si="43"/>
        <v>0</v>
      </c>
      <c r="CY156" s="33">
        <f t="shared" si="43"/>
        <v>0</v>
      </c>
      <c r="CZ156" s="33">
        <f t="shared" si="43"/>
        <v>0</v>
      </c>
      <c r="DA156" s="33">
        <f t="shared" si="43"/>
        <v>0</v>
      </c>
      <c r="DB156" s="33">
        <f t="shared" si="43"/>
        <v>0</v>
      </c>
      <c r="DC156" s="33">
        <f t="shared" si="43"/>
        <v>0</v>
      </c>
      <c r="DD156" s="33">
        <f t="shared" si="43"/>
        <v>0</v>
      </c>
      <c r="DE156" s="33">
        <f t="shared" si="59"/>
        <v>0</v>
      </c>
      <c r="DF156" s="33">
        <f t="shared" si="59"/>
        <v>0</v>
      </c>
      <c r="DG156" s="33">
        <f t="shared" si="59"/>
        <v>0</v>
      </c>
      <c r="DH156" s="33">
        <f t="shared" si="59"/>
        <v>0</v>
      </c>
      <c r="DI156" s="33">
        <f t="shared" si="59"/>
        <v>0</v>
      </c>
      <c r="DJ156" s="33">
        <f t="shared" si="59"/>
        <v>0</v>
      </c>
      <c r="DK156" s="33">
        <f t="shared" si="59"/>
        <v>0</v>
      </c>
      <c r="DL156" s="33">
        <f t="shared" si="59"/>
        <v>0</v>
      </c>
      <c r="DM156" s="33">
        <f t="shared" si="59"/>
        <v>0</v>
      </c>
      <c r="DN156" s="33">
        <f t="shared" si="59"/>
        <v>0</v>
      </c>
      <c r="DO156" s="33">
        <f t="shared" si="54"/>
        <v>1</v>
      </c>
      <c r="DP156" s="50" t="str">
        <f t="shared" si="49"/>
        <v>D</v>
      </c>
      <c r="DQ156" s="50">
        <f t="shared" si="50"/>
        <v>0</v>
      </c>
      <c r="DR156" s="33">
        <f t="shared" si="47"/>
        <v>1</v>
      </c>
      <c r="DS156" s="50" t="str">
        <f t="shared" si="51"/>
        <v>4-MEDIA</v>
      </c>
      <c r="DT156" s="50">
        <f t="shared" si="52"/>
        <v>0</v>
      </c>
      <c r="DU156" s="33">
        <f t="shared" si="48"/>
        <v>0</v>
      </c>
      <c r="DV156" s="33">
        <f t="shared" si="48"/>
        <v>0</v>
      </c>
      <c r="DW156" s="33">
        <f t="shared" si="48"/>
        <v>0</v>
      </c>
      <c r="DX156" s="33">
        <f t="shared" si="48"/>
        <v>0</v>
      </c>
      <c r="DY156" s="35">
        <f t="shared" si="53"/>
        <v>2</v>
      </c>
      <c r="DZ156" s="33">
        <f t="shared" si="55"/>
        <v>12</v>
      </c>
      <c r="EA156" s="33">
        <f t="shared" si="56"/>
        <v>14</v>
      </c>
      <c r="EB156" s="33" t="str">
        <f t="shared" si="57"/>
        <v>AUX 1 COM + CAMPOS PREENC OU IGUAL</v>
      </c>
      <c r="EC156" s="33" t="s">
        <v>10034</v>
      </c>
    </row>
    <row r="157" spans="2:133" x14ac:dyDescent="0.25">
      <c r="AQ157" s="5"/>
    </row>
  </sheetData>
  <autoFilter ref="A4:EC157" xr:uid="{00000000-0009-0000-0000-000004000000}"/>
  <mergeCells count="3">
    <mergeCell ref="B2:AP3"/>
    <mergeCell ref="AR2:CF3"/>
    <mergeCell ref="CH2:DX2"/>
  </mergeCells>
  <conditionalFormatting sqref="CH3:DO3 DR3 DU3:DX3">
    <cfRule type="cellIs" dxfId="1" priority="1" operator="notEqual">
      <formula>0</formula>
    </cfRule>
    <cfRule type="cellIs" dxfId="0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E111"/>
  <sheetViews>
    <sheetView showGridLines="0" topLeftCell="A2" workbookViewId="0">
      <selection activeCell="B73" sqref="B73"/>
    </sheetView>
  </sheetViews>
  <sheetFormatPr defaultColWidth="0" defaultRowHeight="15" zeroHeight="1" x14ac:dyDescent="0.25"/>
  <cols>
    <col min="1" max="1" width="3.7109375" customWidth="1"/>
    <col min="2" max="2" width="73.28515625" bestFit="1" customWidth="1"/>
    <col min="3" max="3" width="14.85546875" bestFit="1" customWidth="1"/>
    <col min="4" max="4" width="15.28515625" bestFit="1" customWidth="1"/>
    <col min="5" max="5" width="3.7109375" customWidth="1"/>
    <col min="6" max="16384" width="9.140625" hidden="1"/>
  </cols>
  <sheetData>
    <row r="1" spans="2:4" x14ac:dyDescent="0.25"/>
    <row r="2" spans="2:4" x14ac:dyDescent="0.25">
      <c r="B2" s="34" t="s">
        <v>178</v>
      </c>
      <c r="C2" s="34" t="s">
        <v>297</v>
      </c>
      <c r="D2" s="34" t="s">
        <v>298</v>
      </c>
    </row>
    <row r="3" spans="2:4" hidden="1" x14ac:dyDescent="0.25">
      <c r="B3" s="32" t="s">
        <v>198</v>
      </c>
      <c r="C3" s="32" t="s">
        <v>292</v>
      </c>
      <c r="D3" s="32" t="s">
        <v>293</v>
      </c>
    </row>
    <row r="4" spans="2:4" hidden="1" x14ac:dyDescent="0.25">
      <c r="B4" s="32" t="s">
        <v>199</v>
      </c>
      <c r="C4" s="32" t="s">
        <v>293</v>
      </c>
      <c r="D4" s="32" t="s">
        <v>294</v>
      </c>
    </row>
    <row r="5" spans="2:4" hidden="1" x14ac:dyDescent="0.25">
      <c r="B5" s="32" t="s">
        <v>197</v>
      </c>
      <c r="C5" s="32" t="s">
        <v>293</v>
      </c>
      <c r="D5" s="32" t="s">
        <v>294</v>
      </c>
    </row>
    <row r="6" spans="2:4" hidden="1" x14ac:dyDescent="0.25">
      <c r="B6" s="32" t="s">
        <v>194</v>
      </c>
      <c r="C6" s="32" t="s">
        <v>292</v>
      </c>
      <c r="D6" s="32" t="s">
        <v>293</v>
      </c>
    </row>
    <row r="7" spans="2:4" hidden="1" x14ac:dyDescent="0.25">
      <c r="B7" s="32" t="s">
        <v>190</v>
      </c>
      <c r="C7" s="32" t="s">
        <v>292</v>
      </c>
      <c r="D7" s="32" t="s">
        <v>293</v>
      </c>
    </row>
    <row r="8" spans="2:4" hidden="1" x14ac:dyDescent="0.25">
      <c r="B8" s="32" t="s">
        <v>251</v>
      </c>
      <c r="C8" s="32" t="s">
        <v>292</v>
      </c>
      <c r="D8" s="32" t="s">
        <v>293</v>
      </c>
    </row>
    <row r="9" spans="2:4" hidden="1" x14ac:dyDescent="0.25">
      <c r="B9" s="32" t="s">
        <v>250</v>
      </c>
      <c r="C9" s="32" t="s">
        <v>292</v>
      </c>
      <c r="D9" s="32" t="s">
        <v>293</v>
      </c>
    </row>
    <row r="10" spans="2:4" hidden="1" x14ac:dyDescent="0.25">
      <c r="B10" s="32" t="s">
        <v>189</v>
      </c>
      <c r="C10" s="32" t="s">
        <v>292</v>
      </c>
      <c r="D10" s="32" t="s">
        <v>293</v>
      </c>
    </row>
    <row r="11" spans="2:4" hidden="1" x14ac:dyDescent="0.25">
      <c r="B11" s="32" t="s">
        <v>243</v>
      </c>
      <c r="C11" s="32" t="s">
        <v>292</v>
      </c>
      <c r="D11" s="32" t="s">
        <v>293</v>
      </c>
    </row>
    <row r="12" spans="2:4" hidden="1" x14ac:dyDescent="0.25">
      <c r="B12" s="32" t="s">
        <v>186</v>
      </c>
      <c r="C12" s="32" t="s">
        <v>292</v>
      </c>
      <c r="D12" s="32" t="s">
        <v>293</v>
      </c>
    </row>
    <row r="13" spans="2:4" hidden="1" x14ac:dyDescent="0.25">
      <c r="B13" s="32" t="s">
        <v>227</v>
      </c>
      <c r="C13" s="32" t="s">
        <v>292</v>
      </c>
      <c r="D13" s="32" t="s">
        <v>293</v>
      </c>
    </row>
    <row r="14" spans="2:4" hidden="1" x14ac:dyDescent="0.25">
      <c r="B14" s="32" t="s">
        <v>226</v>
      </c>
      <c r="C14" s="32" t="s">
        <v>292</v>
      </c>
      <c r="D14" s="32" t="s">
        <v>293</v>
      </c>
    </row>
    <row r="15" spans="2:4" hidden="1" x14ac:dyDescent="0.25">
      <c r="B15" s="32" t="s">
        <v>246</v>
      </c>
      <c r="C15" s="32" t="s">
        <v>292</v>
      </c>
      <c r="D15" s="32" t="s">
        <v>293</v>
      </c>
    </row>
    <row r="16" spans="2:4" hidden="1" x14ac:dyDescent="0.25">
      <c r="B16" s="32" t="s">
        <v>185</v>
      </c>
      <c r="C16" s="32" t="s">
        <v>292</v>
      </c>
      <c r="D16" s="32" t="s">
        <v>293</v>
      </c>
    </row>
    <row r="17" spans="2:4" hidden="1" x14ac:dyDescent="0.25">
      <c r="B17" s="32" t="s">
        <v>184</v>
      </c>
      <c r="C17" s="32" t="s">
        <v>292</v>
      </c>
      <c r="D17" s="32" t="s">
        <v>293</v>
      </c>
    </row>
    <row r="18" spans="2:4" hidden="1" x14ac:dyDescent="0.25">
      <c r="B18" s="32" t="s">
        <v>233</v>
      </c>
      <c r="C18" s="32" t="s">
        <v>292</v>
      </c>
      <c r="D18" s="32" t="s">
        <v>293</v>
      </c>
    </row>
    <row r="19" spans="2:4" hidden="1" x14ac:dyDescent="0.25">
      <c r="B19" s="32" t="s">
        <v>219</v>
      </c>
      <c r="C19" s="32" t="s">
        <v>292</v>
      </c>
      <c r="D19" s="32" t="s">
        <v>293</v>
      </c>
    </row>
    <row r="20" spans="2:4" hidden="1" x14ac:dyDescent="0.25">
      <c r="B20" s="32" t="s">
        <v>248</v>
      </c>
      <c r="C20" s="32" t="s">
        <v>292</v>
      </c>
      <c r="D20" s="32" t="s">
        <v>293</v>
      </c>
    </row>
    <row r="21" spans="2:4" hidden="1" x14ac:dyDescent="0.25">
      <c r="B21" s="32" t="s">
        <v>247</v>
      </c>
      <c r="C21" s="32" t="s">
        <v>292</v>
      </c>
      <c r="D21" s="32" t="s">
        <v>293</v>
      </c>
    </row>
    <row r="22" spans="2:4" hidden="1" x14ac:dyDescent="0.25">
      <c r="B22" s="32" t="s">
        <v>225</v>
      </c>
      <c r="C22" s="32" t="s">
        <v>293</v>
      </c>
      <c r="D22" s="32" t="s">
        <v>294</v>
      </c>
    </row>
    <row r="23" spans="2:4" hidden="1" x14ac:dyDescent="0.25">
      <c r="B23" s="32" t="s">
        <v>224</v>
      </c>
      <c r="C23" s="32" t="s">
        <v>292</v>
      </c>
      <c r="D23" s="32" t="s">
        <v>293</v>
      </c>
    </row>
    <row r="24" spans="2:4" hidden="1" x14ac:dyDescent="0.25">
      <c r="B24" s="32" t="s">
        <v>223</v>
      </c>
      <c r="C24" s="32" t="s">
        <v>292</v>
      </c>
      <c r="D24" s="32" t="s">
        <v>293</v>
      </c>
    </row>
    <row r="25" spans="2:4" hidden="1" x14ac:dyDescent="0.25">
      <c r="B25" s="32" t="s">
        <v>200</v>
      </c>
      <c r="C25" s="32" t="s">
        <v>292</v>
      </c>
      <c r="D25" s="32" t="s">
        <v>293</v>
      </c>
    </row>
    <row r="26" spans="2:4" hidden="1" x14ac:dyDescent="0.25">
      <c r="B26" s="32" t="s">
        <v>201</v>
      </c>
      <c r="C26" s="32" t="s">
        <v>292</v>
      </c>
      <c r="D26" s="32" t="s">
        <v>293</v>
      </c>
    </row>
    <row r="27" spans="2:4" hidden="1" x14ac:dyDescent="0.25">
      <c r="B27" s="32" t="s">
        <v>217</v>
      </c>
      <c r="C27" s="32" t="s">
        <v>293</v>
      </c>
      <c r="D27" s="32" t="s">
        <v>294</v>
      </c>
    </row>
    <row r="28" spans="2:4" hidden="1" x14ac:dyDescent="0.25">
      <c r="B28" s="32" t="s">
        <v>218</v>
      </c>
      <c r="C28" s="32" t="s">
        <v>292</v>
      </c>
      <c r="D28" s="32" t="s">
        <v>293</v>
      </c>
    </row>
    <row r="29" spans="2:4" hidden="1" x14ac:dyDescent="0.25">
      <c r="B29" s="32" t="s">
        <v>235</v>
      </c>
      <c r="C29" s="32" t="s">
        <v>292</v>
      </c>
      <c r="D29" s="32" t="s">
        <v>293</v>
      </c>
    </row>
    <row r="30" spans="2:4" hidden="1" x14ac:dyDescent="0.25">
      <c r="B30" s="32" t="s">
        <v>236</v>
      </c>
      <c r="C30" s="32" t="s">
        <v>292</v>
      </c>
      <c r="D30" s="32" t="s">
        <v>293</v>
      </c>
    </row>
    <row r="31" spans="2:4" hidden="1" x14ac:dyDescent="0.25">
      <c r="B31" s="32" t="s">
        <v>207</v>
      </c>
      <c r="C31" s="32" t="s">
        <v>292</v>
      </c>
      <c r="D31" s="32" t="s">
        <v>293</v>
      </c>
    </row>
    <row r="32" spans="2:4" hidden="1" x14ac:dyDescent="0.25">
      <c r="B32" s="32" t="s">
        <v>195</v>
      </c>
      <c r="C32" s="32" t="s">
        <v>293</v>
      </c>
      <c r="D32" s="32" t="s">
        <v>294</v>
      </c>
    </row>
    <row r="33" spans="2:4" hidden="1" x14ac:dyDescent="0.25">
      <c r="B33" s="32" t="s">
        <v>196</v>
      </c>
      <c r="C33" s="32" t="s">
        <v>292</v>
      </c>
      <c r="D33" s="32" t="s">
        <v>293</v>
      </c>
    </row>
    <row r="34" spans="2:4" hidden="1" x14ac:dyDescent="0.25">
      <c r="B34" s="32" t="s">
        <v>205</v>
      </c>
      <c r="C34" s="32" t="s">
        <v>292</v>
      </c>
      <c r="D34" s="32" t="s">
        <v>293</v>
      </c>
    </row>
    <row r="35" spans="2:4" hidden="1" x14ac:dyDescent="0.25">
      <c r="B35" s="32" t="s">
        <v>206</v>
      </c>
      <c r="C35" s="32" t="s">
        <v>292</v>
      </c>
      <c r="D35" s="32" t="s">
        <v>293</v>
      </c>
    </row>
    <row r="36" spans="2:4" hidden="1" x14ac:dyDescent="0.25">
      <c r="B36" s="32" t="s">
        <v>232</v>
      </c>
      <c r="C36" s="32" t="s">
        <v>292</v>
      </c>
      <c r="D36" s="32" t="s">
        <v>293</v>
      </c>
    </row>
    <row r="37" spans="2:4" hidden="1" x14ac:dyDescent="0.25">
      <c r="B37" s="32" t="s">
        <v>231</v>
      </c>
      <c r="C37" s="32" t="s">
        <v>293</v>
      </c>
      <c r="D37" s="32" t="s">
        <v>294</v>
      </c>
    </row>
    <row r="38" spans="2:4" hidden="1" x14ac:dyDescent="0.25">
      <c r="B38" s="32" t="s">
        <v>288</v>
      </c>
      <c r="C38" s="32" t="s">
        <v>292</v>
      </c>
      <c r="D38" s="32" t="s">
        <v>293</v>
      </c>
    </row>
    <row r="39" spans="2:4" hidden="1" x14ac:dyDescent="0.25">
      <c r="B39" s="32" t="s">
        <v>289</v>
      </c>
      <c r="C39" s="32" t="s">
        <v>293</v>
      </c>
      <c r="D39" s="32" t="s">
        <v>294</v>
      </c>
    </row>
    <row r="40" spans="2:4" hidden="1" x14ac:dyDescent="0.25">
      <c r="B40" s="32" t="s">
        <v>273</v>
      </c>
      <c r="C40" s="32" t="s">
        <v>292</v>
      </c>
      <c r="D40" s="32" t="s">
        <v>293</v>
      </c>
    </row>
    <row r="41" spans="2:4" hidden="1" x14ac:dyDescent="0.25">
      <c r="B41" s="32" t="s">
        <v>274</v>
      </c>
      <c r="C41" s="32" t="s">
        <v>292</v>
      </c>
      <c r="D41" s="32" t="s">
        <v>293</v>
      </c>
    </row>
    <row r="42" spans="2:4" hidden="1" x14ac:dyDescent="0.25">
      <c r="B42" s="32" t="s">
        <v>272</v>
      </c>
      <c r="C42" s="32" t="s">
        <v>292</v>
      </c>
      <c r="D42" s="32" t="s">
        <v>293</v>
      </c>
    </row>
    <row r="43" spans="2:4" hidden="1" x14ac:dyDescent="0.25">
      <c r="B43" s="32" t="s">
        <v>221</v>
      </c>
      <c r="C43" s="32" t="s">
        <v>293</v>
      </c>
      <c r="D43" s="32" t="s">
        <v>294</v>
      </c>
    </row>
    <row r="44" spans="2:4" hidden="1" x14ac:dyDescent="0.25">
      <c r="B44" s="32" t="s">
        <v>220</v>
      </c>
      <c r="C44" s="32" t="s">
        <v>292</v>
      </c>
      <c r="D44" s="32" t="s">
        <v>293</v>
      </c>
    </row>
    <row r="45" spans="2:4" hidden="1" x14ac:dyDescent="0.25">
      <c r="B45" s="32" t="s">
        <v>279</v>
      </c>
      <c r="C45" s="32" t="s">
        <v>292</v>
      </c>
      <c r="D45" s="32" t="s">
        <v>293</v>
      </c>
    </row>
    <row r="46" spans="2:4" hidden="1" x14ac:dyDescent="0.25">
      <c r="B46" s="32" t="s">
        <v>281</v>
      </c>
      <c r="C46" s="32" t="s">
        <v>292</v>
      </c>
      <c r="D46" s="32" t="s">
        <v>293</v>
      </c>
    </row>
    <row r="47" spans="2:4" hidden="1" x14ac:dyDescent="0.25">
      <c r="B47" s="32" t="s">
        <v>280</v>
      </c>
      <c r="C47" s="32" t="s">
        <v>293</v>
      </c>
      <c r="D47" s="32" t="s">
        <v>294</v>
      </c>
    </row>
    <row r="48" spans="2:4" hidden="1" x14ac:dyDescent="0.25">
      <c r="B48" s="32" t="s">
        <v>269</v>
      </c>
      <c r="C48" s="32" t="s">
        <v>292</v>
      </c>
      <c r="D48" s="32" t="s">
        <v>293</v>
      </c>
    </row>
    <row r="49" spans="2:4" hidden="1" x14ac:dyDescent="0.25">
      <c r="B49" s="32" t="s">
        <v>268</v>
      </c>
      <c r="C49" s="32" t="s">
        <v>293</v>
      </c>
      <c r="D49" s="32" t="s">
        <v>294</v>
      </c>
    </row>
    <row r="50" spans="2:4" hidden="1" x14ac:dyDescent="0.25">
      <c r="B50" s="32" t="s">
        <v>266</v>
      </c>
      <c r="C50" s="32" t="s">
        <v>292</v>
      </c>
      <c r="D50" s="32" t="s">
        <v>293</v>
      </c>
    </row>
    <row r="51" spans="2:4" hidden="1" x14ac:dyDescent="0.25">
      <c r="B51" s="32" t="s">
        <v>265</v>
      </c>
      <c r="C51" s="32" t="s">
        <v>292</v>
      </c>
      <c r="D51" s="32" t="s">
        <v>293</v>
      </c>
    </row>
    <row r="52" spans="2:4" hidden="1" x14ac:dyDescent="0.25">
      <c r="B52" s="32" t="s">
        <v>214</v>
      </c>
      <c r="C52" s="32" t="s">
        <v>292</v>
      </c>
      <c r="D52" s="32" t="s">
        <v>293</v>
      </c>
    </row>
    <row r="53" spans="2:4" hidden="1" x14ac:dyDescent="0.25">
      <c r="B53" s="32" t="s">
        <v>213</v>
      </c>
      <c r="C53" s="32" t="s">
        <v>292</v>
      </c>
      <c r="D53" s="32" t="s">
        <v>293</v>
      </c>
    </row>
    <row r="54" spans="2:4" hidden="1" x14ac:dyDescent="0.25">
      <c r="B54" s="32" t="s">
        <v>216</v>
      </c>
      <c r="C54" s="32" t="s">
        <v>292</v>
      </c>
      <c r="D54" s="32" t="s">
        <v>293</v>
      </c>
    </row>
    <row r="55" spans="2:4" hidden="1" x14ac:dyDescent="0.25">
      <c r="B55" s="32" t="s">
        <v>215</v>
      </c>
      <c r="C55" s="32" t="s">
        <v>292</v>
      </c>
      <c r="D55" s="32" t="s">
        <v>293</v>
      </c>
    </row>
    <row r="56" spans="2:4" hidden="1" x14ac:dyDescent="0.25">
      <c r="B56" s="32" t="s">
        <v>261</v>
      </c>
      <c r="C56" s="32" t="s">
        <v>292</v>
      </c>
      <c r="D56" s="32" t="s">
        <v>293</v>
      </c>
    </row>
    <row r="57" spans="2:4" hidden="1" x14ac:dyDescent="0.25">
      <c r="B57" s="32" t="s">
        <v>276</v>
      </c>
      <c r="C57" s="32" t="s">
        <v>293</v>
      </c>
      <c r="D57" s="32" t="s">
        <v>294</v>
      </c>
    </row>
    <row r="58" spans="2:4" hidden="1" x14ac:dyDescent="0.25">
      <c r="B58" s="32" t="s">
        <v>275</v>
      </c>
      <c r="C58" s="32" t="s">
        <v>292</v>
      </c>
      <c r="D58" s="32" t="s">
        <v>293</v>
      </c>
    </row>
    <row r="59" spans="2:4" hidden="1" x14ac:dyDescent="0.25">
      <c r="B59" s="32" t="s">
        <v>277</v>
      </c>
      <c r="C59" s="32" t="s">
        <v>292</v>
      </c>
      <c r="D59" s="32" t="s">
        <v>293</v>
      </c>
    </row>
    <row r="60" spans="2:4" hidden="1" x14ac:dyDescent="0.25">
      <c r="B60" s="32" t="s">
        <v>204</v>
      </c>
      <c r="C60" s="32" t="s">
        <v>292</v>
      </c>
      <c r="D60" s="32" t="s">
        <v>293</v>
      </c>
    </row>
    <row r="61" spans="2:4" hidden="1" x14ac:dyDescent="0.25">
      <c r="B61" s="32" t="s">
        <v>257</v>
      </c>
      <c r="C61" s="32" t="s">
        <v>292</v>
      </c>
      <c r="D61" s="32" t="s">
        <v>293</v>
      </c>
    </row>
    <row r="62" spans="2:4" hidden="1" x14ac:dyDescent="0.25">
      <c r="B62" s="32" t="s">
        <v>208</v>
      </c>
      <c r="C62" s="32" t="s">
        <v>292</v>
      </c>
      <c r="D62" s="32" t="s">
        <v>293</v>
      </c>
    </row>
    <row r="63" spans="2:4" hidden="1" x14ac:dyDescent="0.25">
      <c r="B63" s="32" t="s">
        <v>270</v>
      </c>
      <c r="C63" s="32" t="s">
        <v>293</v>
      </c>
      <c r="D63" s="32" t="s">
        <v>294</v>
      </c>
    </row>
    <row r="64" spans="2:4" hidden="1" x14ac:dyDescent="0.25">
      <c r="B64" s="32" t="s">
        <v>271</v>
      </c>
      <c r="C64" s="32" t="s">
        <v>293</v>
      </c>
      <c r="D64" s="32" t="s">
        <v>294</v>
      </c>
    </row>
    <row r="65" spans="2:4" hidden="1" x14ac:dyDescent="0.25">
      <c r="B65" s="32" t="s">
        <v>258</v>
      </c>
      <c r="C65" s="32" t="s">
        <v>292</v>
      </c>
      <c r="D65" s="32" t="s">
        <v>293</v>
      </c>
    </row>
    <row r="66" spans="2:4" hidden="1" x14ac:dyDescent="0.25">
      <c r="B66" s="32" t="s">
        <v>192</v>
      </c>
      <c r="C66" s="32" t="s">
        <v>292</v>
      </c>
      <c r="D66" s="32" t="s">
        <v>293</v>
      </c>
    </row>
    <row r="67" spans="2:4" hidden="1" x14ac:dyDescent="0.25">
      <c r="B67" s="32" t="s">
        <v>193</v>
      </c>
      <c r="C67" s="32" t="s">
        <v>292</v>
      </c>
      <c r="D67" s="32" t="s">
        <v>293</v>
      </c>
    </row>
    <row r="68" spans="2:4" hidden="1" x14ac:dyDescent="0.25">
      <c r="B68" s="32" t="s">
        <v>252</v>
      </c>
      <c r="C68" s="32" t="s">
        <v>292</v>
      </c>
      <c r="D68" s="32" t="s">
        <v>293</v>
      </c>
    </row>
    <row r="69" spans="2:4" hidden="1" x14ac:dyDescent="0.25">
      <c r="B69" s="32" t="s">
        <v>259</v>
      </c>
      <c r="C69" s="32" t="s">
        <v>292</v>
      </c>
      <c r="D69" s="32" t="s">
        <v>293</v>
      </c>
    </row>
    <row r="70" spans="2:4" hidden="1" x14ac:dyDescent="0.25">
      <c r="B70" s="32" t="s">
        <v>260</v>
      </c>
      <c r="C70" s="32" t="s">
        <v>292</v>
      </c>
      <c r="D70" s="32" t="s">
        <v>293</v>
      </c>
    </row>
    <row r="71" spans="2:4" hidden="1" x14ac:dyDescent="0.25">
      <c r="B71" s="32" t="s">
        <v>203</v>
      </c>
      <c r="C71" s="32" t="s">
        <v>292</v>
      </c>
      <c r="D71" s="32" t="s">
        <v>293</v>
      </c>
    </row>
    <row r="72" spans="2:4" hidden="1" x14ac:dyDescent="0.25">
      <c r="B72" s="32" t="s">
        <v>202</v>
      </c>
      <c r="C72" s="32" t="s">
        <v>292</v>
      </c>
      <c r="D72" s="32" t="s">
        <v>293</v>
      </c>
    </row>
    <row r="73" spans="2:4" x14ac:dyDescent="0.25">
      <c r="B73" s="32" t="s">
        <v>191</v>
      </c>
      <c r="C73" s="32" t="s">
        <v>295</v>
      </c>
      <c r="D73" s="32" t="s">
        <v>296</v>
      </c>
    </row>
    <row r="74" spans="2:4" hidden="1" x14ac:dyDescent="0.25">
      <c r="B74" s="32" t="s">
        <v>249</v>
      </c>
      <c r="C74" s="32" t="s">
        <v>293</v>
      </c>
      <c r="D74" s="32" t="s">
        <v>294</v>
      </c>
    </row>
    <row r="75" spans="2:4" hidden="1" x14ac:dyDescent="0.25">
      <c r="B75" s="32" t="s">
        <v>256</v>
      </c>
      <c r="C75" s="32" t="s">
        <v>292</v>
      </c>
      <c r="D75" s="32" t="s">
        <v>293</v>
      </c>
    </row>
    <row r="76" spans="2:4" hidden="1" x14ac:dyDescent="0.25">
      <c r="B76" s="32" t="s">
        <v>255</v>
      </c>
      <c r="C76" s="32" t="s">
        <v>292</v>
      </c>
      <c r="D76" s="32" t="s">
        <v>293</v>
      </c>
    </row>
    <row r="77" spans="2:4" hidden="1" x14ac:dyDescent="0.25">
      <c r="B77" s="32" t="s">
        <v>253</v>
      </c>
      <c r="C77" s="32" t="s">
        <v>292</v>
      </c>
      <c r="D77" s="32" t="s">
        <v>293</v>
      </c>
    </row>
    <row r="78" spans="2:4" hidden="1" x14ac:dyDescent="0.25">
      <c r="B78" s="32" t="s">
        <v>254</v>
      </c>
      <c r="C78" s="32" t="s">
        <v>292</v>
      </c>
      <c r="D78" s="32" t="s">
        <v>293</v>
      </c>
    </row>
    <row r="79" spans="2:4" hidden="1" x14ac:dyDescent="0.25">
      <c r="B79" s="32" t="s">
        <v>188</v>
      </c>
      <c r="C79" s="32" t="s">
        <v>292</v>
      </c>
      <c r="D79" s="32" t="s">
        <v>293</v>
      </c>
    </row>
    <row r="80" spans="2:4" hidden="1" x14ac:dyDescent="0.25">
      <c r="B80" s="32" t="s">
        <v>187</v>
      </c>
      <c r="C80" s="32" t="s">
        <v>292</v>
      </c>
      <c r="D80" s="32" t="s">
        <v>293</v>
      </c>
    </row>
    <row r="81" spans="2:4" hidden="1" x14ac:dyDescent="0.25">
      <c r="B81" s="32" t="s">
        <v>239</v>
      </c>
      <c r="C81" s="32" t="s">
        <v>292</v>
      </c>
      <c r="D81" s="32" t="s">
        <v>293</v>
      </c>
    </row>
    <row r="82" spans="2:4" hidden="1" x14ac:dyDescent="0.25">
      <c r="B82" s="32" t="s">
        <v>238</v>
      </c>
      <c r="C82" s="32" t="s">
        <v>292</v>
      </c>
      <c r="D82" s="32" t="s">
        <v>293</v>
      </c>
    </row>
    <row r="83" spans="2:4" hidden="1" x14ac:dyDescent="0.25">
      <c r="B83" s="32" t="s">
        <v>237</v>
      </c>
      <c r="C83" s="32" t="s">
        <v>293</v>
      </c>
      <c r="D83" s="32" t="s">
        <v>294</v>
      </c>
    </row>
    <row r="84" spans="2:4" hidden="1" x14ac:dyDescent="0.25">
      <c r="B84" s="32" t="s">
        <v>228</v>
      </c>
      <c r="C84" s="32" t="s">
        <v>293</v>
      </c>
      <c r="D84" s="32" t="s">
        <v>294</v>
      </c>
    </row>
    <row r="85" spans="2:4" hidden="1" x14ac:dyDescent="0.25">
      <c r="B85" s="32" t="s">
        <v>229</v>
      </c>
      <c r="C85" s="32" t="s">
        <v>292</v>
      </c>
      <c r="D85" s="32" t="s">
        <v>293</v>
      </c>
    </row>
    <row r="86" spans="2:4" hidden="1" x14ac:dyDescent="0.25">
      <c r="B86" s="32" t="s">
        <v>245</v>
      </c>
      <c r="C86" s="32" t="s">
        <v>292</v>
      </c>
      <c r="D86" s="32" t="s">
        <v>293</v>
      </c>
    </row>
    <row r="87" spans="2:4" hidden="1" x14ac:dyDescent="0.25">
      <c r="B87" s="32" t="s">
        <v>244</v>
      </c>
      <c r="C87" s="32" t="s">
        <v>292</v>
      </c>
      <c r="D87" s="32" t="s">
        <v>293</v>
      </c>
    </row>
    <row r="88" spans="2:4" hidden="1" x14ac:dyDescent="0.25">
      <c r="B88" s="32" t="s">
        <v>209</v>
      </c>
      <c r="C88" s="32" t="s">
        <v>292</v>
      </c>
      <c r="D88" s="32" t="s">
        <v>293</v>
      </c>
    </row>
    <row r="89" spans="2:4" hidden="1" x14ac:dyDescent="0.25">
      <c r="B89" s="32" t="s">
        <v>210</v>
      </c>
      <c r="C89" s="32" t="s">
        <v>292</v>
      </c>
      <c r="D89" s="32" t="s">
        <v>293</v>
      </c>
    </row>
    <row r="90" spans="2:4" hidden="1" x14ac:dyDescent="0.25">
      <c r="B90" s="32" t="s">
        <v>240</v>
      </c>
      <c r="C90" s="32" t="s">
        <v>293</v>
      </c>
      <c r="D90" s="32" t="s">
        <v>294</v>
      </c>
    </row>
    <row r="91" spans="2:4" hidden="1" x14ac:dyDescent="0.25">
      <c r="B91" s="32" t="s">
        <v>242</v>
      </c>
      <c r="C91" s="32" t="s">
        <v>293</v>
      </c>
      <c r="D91" s="32" t="s">
        <v>294</v>
      </c>
    </row>
    <row r="92" spans="2:4" hidden="1" x14ac:dyDescent="0.25">
      <c r="B92" s="32" t="s">
        <v>241</v>
      </c>
      <c r="C92" s="32" t="s">
        <v>292</v>
      </c>
      <c r="D92" s="32" t="s">
        <v>293</v>
      </c>
    </row>
    <row r="93" spans="2:4" hidden="1" x14ac:dyDescent="0.25">
      <c r="B93" s="32" t="s">
        <v>234</v>
      </c>
      <c r="C93" s="32" t="s">
        <v>292</v>
      </c>
      <c r="D93" s="32" t="s">
        <v>293</v>
      </c>
    </row>
    <row r="94" spans="2:4" hidden="1" x14ac:dyDescent="0.25">
      <c r="B94" s="32" t="s">
        <v>291</v>
      </c>
      <c r="C94" s="32" t="s">
        <v>292</v>
      </c>
      <c r="D94" s="32" t="s">
        <v>293</v>
      </c>
    </row>
    <row r="95" spans="2:4" hidden="1" x14ac:dyDescent="0.25">
      <c r="B95" s="32" t="s">
        <v>290</v>
      </c>
      <c r="C95" s="32" t="s">
        <v>292</v>
      </c>
      <c r="D95" s="32" t="s">
        <v>293</v>
      </c>
    </row>
    <row r="96" spans="2:4" hidden="1" x14ac:dyDescent="0.25">
      <c r="B96" s="32" t="s">
        <v>230</v>
      </c>
      <c r="C96" s="32" t="s">
        <v>292</v>
      </c>
      <c r="D96" s="32" t="s">
        <v>293</v>
      </c>
    </row>
    <row r="97" spans="2:4" hidden="1" x14ac:dyDescent="0.25">
      <c r="B97" s="32" t="s">
        <v>284</v>
      </c>
      <c r="C97" s="32" t="s">
        <v>292</v>
      </c>
      <c r="D97" s="32" t="s">
        <v>293</v>
      </c>
    </row>
    <row r="98" spans="2:4" hidden="1" x14ac:dyDescent="0.25">
      <c r="B98" s="32" t="s">
        <v>287</v>
      </c>
      <c r="C98" s="32" t="s">
        <v>292</v>
      </c>
      <c r="D98" s="32" t="s">
        <v>293</v>
      </c>
    </row>
    <row r="99" spans="2:4" hidden="1" x14ac:dyDescent="0.25">
      <c r="B99" s="32" t="s">
        <v>286</v>
      </c>
      <c r="C99" s="32" t="s">
        <v>292</v>
      </c>
      <c r="D99" s="32" t="s">
        <v>293</v>
      </c>
    </row>
    <row r="100" spans="2:4" hidden="1" x14ac:dyDescent="0.25">
      <c r="B100" s="32" t="s">
        <v>283</v>
      </c>
      <c r="C100" s="32" t="s">
        <v>292</v>
      </c>
      <c r="D100" s="32" t="s">
        <v>293</v>
      </c>
    </row>
    <row r="101" spans="2:4" hidden="1" x14ac:dyDescent="0.25">
      <c r="B101" s="32" t="s">
        <v>285</v>
      </c>
      <c r="C101" s="32" t="s">
        <v>292</v>
      </c>
      <c r="D101" s="32" t="s">
        <v>293</v>
      </c>
    </row>
    <row r="102" spans="2:4" hidden="1" x14ac:dyDescent="0.25">
      <c r="B102" s="32" t="s">
        <v>282</v>
      </c>
      <c r="C102" s="32" t="s">
        <v>292</v>
      </c>
      <c r="D102" s="32" t="s">
        <v>293</v>
      </c>
    </row>
    <row r="103" spans="2:4" hidden="1" x14ac:dyDescent="0.25">
      <c r="B103" s="32" t="s">
        <v>222</v>
      </c>
      <c r="C103" s="32" t="s">
        <v>292</v>
      </c>
      <c r="D103" s="32" t="s">
        <v>293</v>
      </c>
    </row>
    <row r="104" spans="2:4" hidden="1" x14ac:dyDescent="0.25">
      <c r="B104" s="32" t="s">
        <v>278</v>
      </c>
      <c r="C104" s="32" t="s">
        <v>292</v>
      </c>
      <c r="D104" s="32" t="s">
        <v>293</v>
      </c>
    </row>
    <row r="105" spans="2:4" hidden="1" x14ac:dyDescent="0.25">
      <c r="B105" s="32" t="s">
        <v>212</v>
      </c>
      <c r="C105" s="32" t="s">
        <v>292</v>
      </c>
      <c r="D105" s="32" t="s">
        <v>293</v>
      </c>
    </row>
    <row r="106" spans="2:4" hidden="1" x14ac:dyDescent="0.25">
      <c r="B106" s="32" t="s">
        <v>211</v>
      </c>
      <c r="C106" s="32" t="s">
        <v>292</v>
      </c>
      <c r="D106" s="32" t="s">
        <v>293</v>
      </c>
    </row>
    <row r="107" spans="2:4" hidden="1" x14ac:dyDescent="0.25">
      <c r="B107" s="32" t="s">
        <v>267</v>
      </c>
      <c r="C107" s="32" t="s">
        <v>292</v>
      </c>
      <c r="D107" s="32" t="s">
        <v>293</v>
      </c>
    </row>
    <row r="108" spans="2:4" hidden="1" x14ac:dyDescent="0.25">
      <c r="B108" s="32" t="s">
        <v>263</v>
      </c>
      <c r="C108" s="32" t="s">
        <v>292</v>
      </c>
      <c r="D108" s="32" t="s">
        <v>293</v>
      </c>
    </row>
    <row r="109" spans="2:4" hidden="1" x14ac:dyDescent="0.25">
      <c r="B109" s="32" t="s">
        <v>262</v>
      </c>
      <c r="C109" s="32" t="s">
        <v>292</v>
      </c>
      <c r="D109" s="32" t="s">
        <v>293</v>
      </c>
    </row>
    <row r="110" spans="2:4" hidden="1" x14ac:dyDescent="0.25">
      <c r="B110" s="32" t="s">
        <v>264</v>
      </c>
      <c r="C110" s="32" t="s">
        <v>293</v>
      </c>
      <c r="D110" s="32" t="s">
        <v>294</v>
      </c>
    </row>
    <row r="111" spans="2:4" x14ac:dyDescent="0.25"/>
  </sheetData>
  <autoFilter ref="B2:D110" xr:uid="{00000000-0009-0000-0000-000005000000}">
    <filterColumn colId="2">
      <filters>
        <filter val="2024-06-30"/>
      </filters>
    </filterColumn>
  </autoFilter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02"/>
  <sheetViews>
    <sheetView showGridLines="0" workbookViewId="0"/>
  </sheetViews>
  <sheetFormatPr defaultColWidth="0" defaultRowHeight="15" zeroHeight="1" x14ac:dyDescent="0.25"/>
  <cols>
    <col min="1" max="1" width="3.7109375" customWidth="1"/>
    <col min="2" max="2" width="15.28515625" bestFit="1" customWidth="1"/>
    <col min="3" max="3" width="73.28515625" bestFit="1" customWidth="1"/>
    <col min="4" max="4" width="72.5703125" bestFit="1" customWidth="1"/>
    <col min="5" max="5" width="3.7109375" customWidth="1"/>
    <col min="6" max="16384" width="9.140625" hidden="1"/>
  </cols>
  <sheetData>
    <row r="1" spans="2:4" x14ac:dyDescent="0.25"/>
    <row r="2" spans="2:4" x14ac:dyDescent="0.25">
      <c r="B2" s="34" t="s">
        <v>1377</v>
      </c>
      <c r="C2" s="34" t="s">
        <v>178</v>
      </c>
      <c r="D2" s="34" t="s">
        <v>1378</v>
      </c>
    </row>
    <row r="3" spans="2:4" x14ac:dyDescent="0.25">
      <c r="B3" s="32" t="s">
        <v>300</v>
      </c>
      <c r="C3" s="32" t="s">
        <v>301</v>
      </c>
      <c r="D3" s="32" t="s">
        <v>302</v>
      </c>
    </row>
    <row r="4" spans="2:4" x14ac:dyDescent="0.25">
      <c r="B4" s="32" t="s">
        <v>300</v>
      </c>
      <c r="C4" s="32" t="s">
        <v>303</v>
      </c>
      <c r="D4" s="32" t="s">
        <v>302</v>
      </c>
    </row>
    <row r="5" spans="2:4" x14ac:dyDescent="0.25">
      <c r="B5" s="32" t="s">
        <v>300</v>
      </c>
      <c r="C5" s="32" t="s">
        <v>304</v>
      </c>
      <c r="D5" s="32" t="s">
        <v>302</v>
      </c>
    </row>
    <row r="6" spans="2:4" x14ac:dyDescent="0.25">
      <c r="B6" s="32" t="s">
        <v>300</v>
      </c>
      <c r="C6" s="32" t="s">
        <v>305</v>
      </c>
      <c r="D6" s="32" t="s">
        <v>302</v>
      </c>
    </row>
    <row r="7" spans="2:4" x14ac:dyDescent="0.25">
      <c r="B7" s="32" t="s">
        <v>300</v>
      </c>
      <c r="C7" s="32" t="s">
        <v>306</v>
      </c>
      <c r="D7" s="32" t="s">
        <v>302</v>
      </c>
    </row>
    <row r="8" spans="2:4" x14ac:dyDescent="0.25">
      <c r="B8" s="32" t="s">
        <v>300</v>
      </c>
      <c r="C8" s="32" t="s">
        <v>307</v>
      </c>
      <c r="D8" s="32" t="s">
        <v>302</v>
      </c>
    </row>
    <row r="9" spans="2:4" x14ac:dyDescent="0.25">
      <c r="B9" s="32" t="s">
        <v>300</v>
      </c>
      <c r="C9" s="32" t="s">
        <v>308</v>
      </c>
      <c r="D9" s="32" t="s">
        <v>302</v>
      </c>
    </row>
    <row r="10" spans="2:4" x14ac:dyDescent="0.25">
      <c r="B10" s="32" t="s">
        <v>300</v>
      </c>
      <c r="C10" s="32" t="s">
        <v>309</v>
      </c>
      <c r="D10" s="32" t="s">
        <v>302</v>
      </c>
    </row>
    <row r="11" spans="2:4" x14ac:dyDescent="0.25">
      <c r="B11" s="32" t="s">
        <v>300</v>
      </c>
      <c r="C11" s="32" t="s">
        <v>310</v>
      </c>
      <c r="D11" s="32" t="s">
        <v>302</v>
      </c>
    </row>
    <row r="12" spans="2:4" x14ac:dyDescent="0.25">
      <c r="B12" s="32" t="s">
        <v>300</v>
      </c>
      <c r="C12" s="32" t="s">
        <v>311</v>
      </c>
      <c r="D12" s="32" t="s">
        <v>302</v>
      </c>
    </row>
    <row r="13" spans="2:4" x14ac:dyDescent="0.25">
      <c r="B13" s="32" t="s">
        <v>300</v>
      </c>
      <c r="C13" s="32" t="s">
        <v>312</v>
      </c>
      <c r="D13" s="32" t="s">
        <v>302</v>
      </c>
    </row>
    <row r="14" spans="2:4" x14ac:dyDescent="0.25">
      <c r="B14" s="32" t="s">
        <v>300</v>
      </c>
      <c r="C14" s="32" t="s">
        <v>313</v>
      </c>
      <c r="D14" s="32" t="s">
        <v>302</v>
      </c>
    </row>
    <row r="15" spans="2:4" x14ac:dyDescent="0.25">
      <c r="B15" s="32" t="s">
        <v>300</v>
      </c>
      <c r="C15" s="32" t="s">
        <v>314</v>
      </c>
      <c r="D15" s="32" t="s">
        <v>302</v>
      </c>
    </row>
    <row r="16" spans="2:4" x14ac:dyDescent="0.25">
      <c r="B16" s="32" t="s">
        <v>300</v>
      </c>
      <c r="C16" s="32" t="s">
        <v>315</v>
      </c>
      <c r="D16" s="32" t="s">
        <v>302</v>
      </c>
    </row>
    <row r="17" spans="2:4" x14ac:dyDescent="0.25">
      <c r="B17" s="32" t="s">
        <v>300</v>
      </c>
      <c r="C17" s="32" t="s">
        <v>316</v>
      </c>
      <c r="D17" s="32" t="s">
        <v>302</v>
      </c>
    </row>
    <row r="18" spans="2:4" x14ac:dyDescent="0.25">
      <c r="B18" s="32" t="s">
        <v>300</v>
      </c>
      <c r="C18" s="32" t="s">
        <v>317</v>
      </c>
      <c r="D18" s="32" t="s">
        <v>302</v>
      </c>
    </row>
    <row r="19" spans="2:4" x14ac:dyDescent="0.25">
      <c r="B19" s="32" t="s">
        <v>300</v>
      </c>
      <c r="C19" s="32" t="s">
        <v>318</v>
      </c>
      <c r="D19" s="32" t="s">
        <v>302</v>
      </c>
    </row>
    <row r="20" spans="2:4" x14ac:dyDescent="0.25">
      <c r="B20" s="32" t="s">
        <v>300</v>
      </c>
      <c r="C20" s="32" t="s">
        <v>319</v>
      </c>
      <c r="D20" s="32" t="s">
        <v>302</v>
      </c>
    </row>
    <row r="21" spans="2:4" x14ac:dyDescent="0.25">
      <c r="B21" s="32" t="s">
        <v>300</v>
      </c>
      <c r="C21" s="32" t="s">
        <v>320</v>
      </c>
      <c r="D21" s="32" t="s">
        <v>302</v>
      </c>
    </row>
    <row r="22" spans="2:4" x14ac:dyDescent="0.25">
      <c r="B22" s="32" t="s">
        <v>300</v>
      </c>
      <c r="C22" s="32" t="s">
        <v>321</v>
      </c>
      <c r="D22" s="32" t="s">
        <v>302</v>
      </c>
    </row>
    <row r="23" spans="2:4" x14ac:dyDescent="0.25">
      <c r="B23" s="32" t="s">
        <v>300</v>
      </c>
      <c r="C23" s="32" t="s">
        <v>322</v>
      </c>
      <c r="D23" s="32" t="s">
        <v>302</v>
      </c>
    </row>
    <row r="24" spans="2:4" x14ac:dyDescent="0.25">
      <c r="B24" s="32" t="s">
        <v>300</v>
      </c>
      <c r="C24" s="32" t="s">
        <v>323</v>
      </c>
      <c r="D24" s="32" t="s">
        <v>302</v>
      </c>
    </row>
    <row r="25" spans="2:4" x14ac:dyDescent="0.25">
      <c r="B25" s="32" t="s">
        <v>300</v>
      </c>
      <c r="C25" s="32" t="s">
        <v>324</v>
      </c>
      <c r="D25" s="32" t="s">
        <v>302</v>
      </c>
    </row>
    <row r="26" spans="2:4" x14ac:dyDescent="0.25">
      <c r="B26" s="32" t="s">
        <v>300</v>
      </c>
      <c r="C26" s="32" t="s">
        <v>325</v>
      </c>
      <c r="D26" s="32" t="s">
        <v>302</v>
      </c>
    </row>
    <row r="27" spans="2:4" x14ac:dyDescent="0.25">
      <c r="B27" s="32" t="s">
        <v>300</v>
      </c>
      <c r="C27" s="32" t="s">
        <v>326</v>
      </c>
      <c r="D27" s="32" t="s">
        <v>302</v>
      </c>
    </row>
    <row r="28" spans="2:4" x14ac:dyDescent="0.25">
      <c r="B28" s="32" t="s">
        <v>300</v>
      </c>
      <c r="C28" s="32" t="s">
        <v>327</v>
      </c>
      <c r="D28" s="32" t="s">
        <v>302</v>
      </c>
    </row>
    <row r="29" spans="2:4" x14ac:dyDescent="0.25">
      <c r="B29" s="32" t="s">
        <v>300</v>
      </c>
      <c r="C29" s="32" t="s">
        <v>328</v>
      </c>
      <c r="D29" s="32" t="s">
        <v>302</v>
      </c>
    </row>
    <row r="30" spans="2:4" x14ac:dyDescent="0.25">
      <c r="B30" s="32" t="s">
        <v>300</v>
      </c>
      <c r="C30" s="32" t="s">
        <v>329</v>
      </c>
      <c r="D30" s="32" t="s">
        <v>302</v>
      </c>
    </row>
    <row r="31" spans="2:4" x14ac:dyDescent="0.25">
      <c r="B31" s="32" t="s">
        <v>300</v>
      </c>
      <c r="C31" s="32" t="s">
        <v>330</v>
      </c>
      <c r="D31" s="32" t="s">
        <v>302</v>
      </c>
    </row>
    <row r="32" spans="2:4" x14ac:dyDescent="0.25">
      <c r="B32" s="32" t="s">
        <v>300</v>
      </c>
      <c r="C32" s="32" t="s">
        <v>331</v>
      </c>
      <c r="D32" s="32" t="s">
        <v>302</v>
      </c>
    </row>
    <row r="33" spans="2:4" x14ac:dyDescent="0.25">
      <c r="B33" s="32" t="s">
        <v>300</v>
      </c>
      <c r="C33" s="32" t="s">
        <v>332</v>
      </c>
      <c r="D33" s="32" t="s">
        <v>302</v>
      </c>
    </row>
    <row r="34" spans="2:4" x14ac:dyDescent="0.25">
      <c r="B34" s="32" t="s">
        <v>300</v>
      </c>
      <c r="C34" s="32" t="s">
        <v>333</v>
      </c>
      <c r="D34" s="32" t="s">
        <v>302</v>
      </c>
    </row>
    <row r="35" spans="2:4" x14ac:dyDescent="0.25">
      <c r="B35" s="32" t="s">
        <v>300</v>
      </c>
      <c r="C35" s="32" t="s">
        <v>334</v>
      </c>
      <c r="D35" s="32" t="s">
        <v>302</v>
      </c>
    </row>
    <row r="36" spans="2:4" x14ac:dyDescent="0.25">
      <c r="B36" s="32" t="s">
        <v>300</v>
      </c>
      <c r="C36" s="32" t="s">
        <v>335</v>
      </c>
      <c r="D36" s="32" t="s">
        <v>302</v>
      </c>
    </row>
    <row r="37" spans="2:4" x14ac:dyDescent="0.25">
      <c r="B37" s="32" t="s">
        <v>300</v>
      </c>
      <c r="C37" s="32" t="s">
        <v>336</v>
      </c>
      <c r="D37" s="32" t="s">
        <v>302</v>
      </c>
    </row>
    <row r="38" spans="2:4" x14ac:dyDescent="0.25">
      <c r="B38" s="32" t="s">
        <v>300</v>
      </c>
      <c r="C38" s="32" t="s">
        <v>337</v>
      </c>
      <c r="D38" s="32" t="s">
        <v>302</v>
      </c>
    </row>
    <row r="39" spans="2:4" x14ac:dyDescent="0.25">
      <c r="B39" s="32" t="s">
        <v>300</v>
      </c>
      <c r="C39" s="32" t="s">
        <v>338</v>
      </c>
      <c r="D39" s="32" t="s">
        <v>302</v>
      </c>
    </row>
    <row r="40" spans="2:4" x14ac:dyDescent="0.25">
      <c r="B40" s="32" t="s">
        <v>300</v>
      </c>
      <c r="C40" s="32" t="s">
        <v>339</v>
      </c>
      <c r="D40" s="32" t="s">
        <v>302</v>
      </c>
    </row>
    <row r="41" spans="2:4" x14ac:dyDescent="0.25">
      <c r="B41" s="32" t="s">
        <v>300</v>
      </c>
      <c r="C41" s="32" t="s">
        <v>340</v>
      </c>
      <c r="D41" s="32" t="s">
        <v>302</v>
      </c>
    </row>
    <row r="42" spans="2:4" x14ac:dyDescent="0.25">
      <c r="B42" s="32" t="s">
        <v>300</v>
      </c>
      <c r="C42" s="32" t="s">
        <v>341</v>
      </c>
      <c r="D42" s="32" t="s">
        <v>302</v>
      </c>
    </row>
    <row r="43" spans="2:4" x14ac:dyDescent="0.25">
      <c r="B43" s="32" t="s">
        <v>300</v>
      </c>
      <c r="C43" s="32" t="s">
        <v>342</v>
      </c>
      <c r="D43" s="32" t="s">
        <v>302</v>
      </c>
    </row>
    <row r="44" spans="2:4" x14ac:dyDescent="0.25">
      <c r="B44" s="32" t="s">
        <v>300</v>
      </c>
      <c r="C44" s="32" t="s">
        <v>343</v>
      </c>
      <c r="D44" s="32" t="s">
        <v>302</v>
      </c>
    </row>
    <row r="45" spans="2:4" x14ac:dyDescent="0.25">
      <c r="B45" s="32" t="s">
        <v>300</v>
      </c>
      <c r="C45" s="32" t="s">
        <v>344</v>
      </c>
      <c r="D45" s="32" t="s">
        <v>302</v>
      </c>
    </row>
    <row r="46" spans="2:4" x14ac:dyDescent="0.25">
      <c r="B46" s="32" t="s">
        <v>300</v>
      </c>
      <c r="C46" s="32" t="s">
        <v>345</v>
      </c>
      <c r="D46" s="32" t="s">
        <v>302</v>
      </c>
    </row>
    <row r="47" spans="2:4" x14ac:dyDescent="0.25">
      <c r="B47" s="32" t="s">
        <v>300</v>
      </c>
      <c r="C47" s="32" t="s">
        <v>346</v>
      </c>
      <c r="D47" s="32" t="s">
        <v>302</v>
      </c>
    </row>
    <row r="48" spans="2:4" x14ac:dyDescent="0.25">
      <c r="B48" s="32" t="s">
        <v>300</v>
      </c>
      <c r="C48" s="32" t="s">
        <v>347</v>
      </c>
      <c r="D48" s="32" t="s">
        <v>302</v>
      </c>
    </row>
    <row r="49" spans="2:4" x14ac:dyDescent="0.25">
      <c r="B49" s="32" t="s">
        <v>300</v>
      </c>
      <c r="C49" s="32" t="s">
        <v>348</v>
      </c>
      <c r="D49" s="32" t="s">
        <v>302</v>
      </c>
    </row>
    <row r="50" spans="2:4" x14ac:dyDescent="0.25">
      <c r="B50" s="32" t="s">
        <v>300</v>
      </c>
      <c r="C50" s="32" t="s">
        <v>349</v>
      </c>
      <c r="D50" s="32" t="s">
        <v>302</v>
      </c>
    </row>
    <row r="51" spans="2:4" x14ac:dyDescent="0.25">
      <c r="B51" s="32" t="s">
        <v>300</v>
      </c>
      <c r="C51" s="32" t="s">
        <v>350</v>
      </c>
      <c r="D51" s="32" t="s">
        <v>302</v>
      </c>
    </row>
    <row r="52" spans="2:4" x14ac:dyDescent="0.25">
      <c r="B52" s="32" t="s">
        <v>300</v>
      </c>
      <c r="C52" s="32" t="s">
        <v>351</v>
      </c>
      <c r="D52" s="32" t="s">
        <v>302</v>
      </c>
    </row>
    <row r="53" spans="2:4" x14ac:dyDescent="0.25">
      <c r="B53" s="32" t="s">
        <v>300</v>
      </c>
      <c r="C53" s="32" t="s">
        <v>352</v>
      </c>
      <c r="D53" s="32" t="s">
        <v>302</v>
      </c>
    </row>
    <row r="54" spans="2:4" x14ac:dyDescent="0.25">
      <c r="B54" s="32" t="s">
        <v>300</v>
      </c>
      <c r="C54" s="32" t="s">
        <v>353</v>
      </c>
      <c r="D54" s="32" t="s">
        <v>302</v>
      </c>
    </row>
    <row r="55" spans="2:4" x14ac:dyDescent="0.25">
      <c r="B55" s="32" t="s">
        <v>300</v>
      </c>
      <c r="C55" s="32" t="s">
        <v>354</v>
      </c>
      <c r="D55" s="32" t="s">
        <v>302</v>
      </c>
    </row>
    <row r="56" spans="2:4" x14ac:dyDescent="0.25">
      <c r="B56" s="32" t="s">
        <v>300</v>
      </c>
      <c r="C56" s="32" t="s">
        <v>355</v>
      </c>
      <c r="D56" s="32" t="s">
        <v>302</v>
      </c>
    </row>
    <row r="57" spans="2:4" x14ac:dyDescent="0.25">
      <c r="B57" s="32" t="s">
        <v>300</v>
      </c>
      <c r="C57" s="32" t="s">
        <v>356</v>
      </c>
      <c r="D57" s="32" t="s">
        <v>302</v>
      </c>
    </row>
    <row r="58" spans="2:4" x14ac:dyDescent="0.25">
      <c r="B58" s="32" t="s">
        <v>300</v>
      </c>
      <c r="C58" s="32" t="s">
        <v>357</v>
      </c>
      <c r="D58" s="32" t="s">
        <v>302</v>
      </c>
    </row>
    <row r="59" spans="2:4" x14ac:dyDescent="0.25">
      <c r="B59" s="32" t="s">
        <v>300</v>
      </c>
      <c r="C59" s="32" t="s">
        <v>358</v>
      </c>
      <c r="D59" s="32" t="s">
        <v>302</v>
      </c>
    </row>
    <row r="60" spans="2:4" x14ac:dyDescent="0.25">
      <c r="B60" s="32" t="s">
        <v>300</v>
      </c>
      <c r="C60" s="32" t="s">
        <v>359</v>
      </c>
      <c r="D60" s="32" t="s">
        <v>302</v>
      </c>
    </row>
    <row r="61" spans="2:4" x14ac:dyDescent="0.25">
      <c r="B61" s="32" t="s">
        <v>300</v>
      </c>
      <c r="C61" s="32" t="s">
        <v>360</v>
      </c>
      <c r="D61" s="32" t="s">
        <v>302</v>
      </c>
    </row>
    <row r="62" spans="2:4" x14ac:dyDescent="0.25">
      <c r="B62" s="32" t="s">
        <v>300</v>
      </c>
      <c r="C62" s="32" t="s">
        <v>361</v>
      </c>
      <c r="D62" s="32" t="s">
        <v>302</v>
      </c>
    </row>
    <row r="63" spans="2:4" x14ac:dyDescent="0.25">
      <c r="B63" s="32" t="s">
        <v>300</v>
      </c>
      <c r="C63" s="32" t="s">
        <v>362</v>
      </c>
      <c r="D63" s="32" t="s">
        <v>302</v>
      </c>
    </row>
    <row r="64" spans="2:4" x14ac:dyDescent="0.25">
      <c r="B64" s="32" t="s">
        <v>300</v>
      </c>
      <c r="C64" s="32" t="s">
        <v>363</v>
      </c>
      <c r="D64" s="32" t="s">
        <v>302</v>
      </c>
    </row>
    <row r="65" spans="2:4" x14ac:dyDescent="0.25">
      <c r="B65" s="32" t="s">
        <v>300</v>
      </c>
      <c r="C65" s="32" t="s">
        <v>364</v>
      </c>
      <c r="D65" s="32" t="s">
        <v>302</v>
      </c>
    </row>
    <row r="66" spans="2:4" x14ac:dyDescent="0.25">
      <c r="B66" s="32" t="s">
        <v>300</v>
      </c>
      <c r="C66" s="32" t="s">
        <v>365</v>
      </c>
      <c r="D66" s="32" t="s">
        <v>302</v>
      </c>
    </row>
    <row r="67" spans="2:4" x14ac:dyDescent="0.25">
      <c r="B67" s="32" t="s">
        <v>300</v>
      </c>
      <c r="C67" s="32" t="s">
        <v>366</v>
      </c>
      <c r="D67" s="32" t="s">
        <v>302</v>
      </c>
    </row>
    <row r="68" spans="2:4" x14ac:dyDescent="0.25">
      <c r="B68" s="32" t="s">
        <v>300</v>
      </c>
      <c r="C68" s="32" t="s">
        <v>367</v>
      </c>
      <c r="D68" s="32" t="s">
        <v>302</v>
      </c>
    </row>
    <row r="69" spans="2:4" x14ac:dyDescent="0.25">
      <c r="B69" s="32" t="s">
        <v>300</v>
      </c>
      <c r="C69" s="32" t="s">
        <v>368</v>
      </c>
      <c r="D69" s="32" t="s">
        <v>302</v>
      </c>
    </row>
    <row r="70" spans="2:4" x14ac:dyDescent="0.25">
      <c r="B70" s="32" t="s">
        <v>300</v>
      </c>
      <c r="C70" s="32" t="s">
        <v>369</v>
      </c>
      <c r="D70" s="32" t="s">
        <v>302</v>
      </c>
    </row>
    <row r="71" spans="2:4" x14ac:dyDescent="0.25">
      <c r="B71" s="32" t="s">
        <v>300</v>
      </c>
      <c r="C71" s="32" t="s">
        <v>370</v>
      </c>
      <c r="D71" s="32" t="s">
        <v>302</v>
      </c>
    </row>
    <row r="72" spans="2:4" x14ac:dyDescent="0.25">
      <c r="B72" s="32" t="s">
        <v>300</v>
      </c>
      <c r="C72" s="32" t="s">
        <v>371</v>
      </c>
      <c r="D72" s="32" t="s">
        <v>302</v>
      </c>
    </row>
    <row r="73" spans="2:4" x14ac:dyDescent="0.25">
      <c r="B73" s="32" t="s">
        <v>300</v>
      </c>
      <c r="C73" s="32" t="s">
        <v>372</v>
      </c>
      <c r="D73" s="32" t="s">
        <v>302</v>
      </c>
    </row>
    <row r="74" spans="2:4" x14ac:dyDescent="0.25">
      <c r="B74" s="32" t="s">
        <v>300</v>
      </c>
      <c r="C74" s="32" t="s">
        <v>373</v>
      </c>
      <c r="D74" s="32" t="s">
        <v>302</v>
      </c>
    </row>
    <row r="75" spans="2:4" x14ac:dyDescent="0.25">
      <c r="B75" s="32" t="s">
        <v>300</v>
      </c>
      <c r="C75" s="32" t="s">
        <v>374</v>
      </c>
      <c r="D75" s="32" t="s">
        <v>302</v>
      </c>
    </row>
    <row r="76" spans="2:4" x14ac:dyDescent="0.25">
      <c r="B76" s="32" t="s">
        <v>300</v>
      </c>
      <c r="C76" s="32" t="s">
        <v>375</v>
      </c>
      <c r="D76" s="32" t="s">
        <v>302</v>
      </c>
    </row>
    <row r="77" spans="2:4" x14ac:dyDescent="0.25">
      <c r="B77" s="32" t="s">
        <v>300</v>
      </c>
      <c r="C77" s="32" t="s">
        <v>376</v>
      </c>
      <c r="D77" s="32" t="s">
        <v>302</v>
      </c>
    </row>
    <row r="78" spans="2:4" x14ac:dyDescent="0.25">
      <c r="B78" s="32" t="s">
        <v>300</v>
      </c>
      <c r="C78" s="32" t="s">
        <v>377</v>
      </c>
      <c r="D78" s="32" t="s">
        <v>302</v>
      </c>
    </row>
    <row r="79" spans="2:4" x14ac:dyDescent="0.25">
      <c r="B79" s="32" t="s">
        <v>300</v>
      </c>
      <c r="C79" s="32" t="s">
        <v>378</v>
      </c>
      <c r="D79" s="32" t="s">
        <v>302</v>
      </c>
    </row>
    <row r="80" spans="2:4" x14ac:dyDescent="0.25">
      <c r="B80" s="32" t="s">
        <v>300</v>
      </c>
      <c r="C80" s="32" t="s">
        <v>379</v>
      </c>
      <c r="D80" s="32" t="s">
        <v>302</v>
      </c>
    </row>
    <row r="81" spans="2:4" x14ac:dyDescent="0.25">
      <c r="B81" s="32" t="s">
        <v>300</v>
      </c>
      <c r="C81" s="32" t="s">
        <v>380</v>
      </c>
      <c r="D81" s="32" t="s">
        <v>302</v>
      </c>
    </row>
    <row r="82" spans="2:4" x14ac:dyDescent="0.25">
      <c r="B82" s="32" t="s">
        <v>300</v>
      </c>
      <c r="C82" s="32" t="s">
        <v>381</v>
      </c>
      <c r="D82" s="32" t="s">
        <v>302</v>
      </c>
    </row>
    <row r="83" spans="2:4" x14ac:dyDescent="0.25">
      <c r="B83" s="32" t="s">
        <v>300</v>
      </c>
      <c r="C83" s="32" t="s">
        <v>382</v>
      </c>
      <c r="D83" s="32" t="s">
        <v>302</v>
      </c>
    </row>
    <row r="84" spans="2:4" x14ac:dyDescent="0.25">
      <c r="B84" s="32" t="s">
        <v>300</v>
      </c>
      <c r="C84" s="32" t="s">
        <v>383</v>
      </c>
      <c r="D84" s="32" t="s">
        <v>302</v>
      </c>
    </row>
    <row r="85" spans="2:4" x14ac:dyDescent="0.25">
      <c r="B85" s="32" t="s">
        <v>300</v>
      </c>
      <c r="C85" s="32" t="s">
        <v>384</v>
      </c>
      <c r="D85" s="32" t="s">
        <v>302</v>
      </c>
    </row>
    <row r="86" spans="2:4" x14ac:dyDescent="0.25">
      <c r="B86" s="32" t="s">
        <v>300</v>
      </c>
      <c r="C86" s="32" t="s">
        <v>385</v>
      </c>
      <c r="D86" s="32" t="s">
        <v>302</v>
      </c>
    </row>
    <row r="87" spans="2:4" x14ac:dyDescent="0.25">
      <c r="B87" s="32" t="s">
        <v>300</v>
      </c>
      <c r="C87" s="32" t="s">
        <v>386</v>
      </c>
      <c r="D87" s="32" t="s">
        <v>302</v>
      </c>
    </row>
    <row r="88" spans="2:4" x14ac:dyDescent="0.25">
      <c r="B88" s="32" t="s">
        <v>300</v>
      </c>
      <c r="C88" s="32" t="s">
        <v>387</v>
      </c>
      <c r="D88" s="32" t="s">
        <v>302</v>
      </c>
    </row>
    <row r="89" spans="2:4" x14ac:dyDescent="0.25">
      <c r="B89" s="32" t="s">
        <v>300</v>
      </c>
      <c r="C89" s="32" t="s">
        <v>388</v>
      </c>
      <c r="D89" s="32" t="s">
        <v>302</v>
      </c>
    </row>
    <row r="90" spans="2:4" x14ac:dyDescent="0.25">
      <c r="B90" s="32" t="s">
        <v>300</v>
      </c>
      <c r="C90" s="32" t="s">
        <v>389</v>
      </c>
      <c r="D90" s="32" t="s">
        <v>302</v>
      </c>
    </row>
    <row r="91" spans="2:4" x14ac:dyDescent="0.25">
      <c r="B91" s="32" t="s">
        <v>300</v>
      </c>
      <c r="C91" s="32" t="s">
        <v>390</v>
      </c>
      <c r="D91" s="32" t="s">
        <v>302</v>
      </c>
    </row>
    <row r="92" spans="2:4" x14ac:dyDescent="0.25">
      <c r="B92" s="32" t="s">
        <v>300</v>
      </c>
      <c r="C92" s="32" t="s">
        <v>391</v>
      </c>
      <c r="D92" s="32" t="s">
        <v>302</v>
      </c>
    </row>
    <row r="93" spans="2:4" x14ac:dyDescent="0.25">
      <c r="B93" s="32" t="s">
        <v>300</v>
      </c>
      <c r="C93" s="32" t="s">
        <v>392</v>
      </c>
      <c r="D93" s="32" t="s">
        <v>302</v>
      </c>
    </row>
    <row r="94" spans="2:4" x14ac:dyDescent="0.25">
      <c r="B94" s="32" t="s">
        <v>300</v>
      </c>
      <c r="C94" s="32" t="s">
        <v>393</v>
      </c>
      <c r="D94" s="32" t="s">
        <v>302</v>
      </c>
    </row>
    <row r="95" spans="2:4" x14ac:dyDescent="0.25">
      <c r="B95" s="32" t="s">
        <v>300</v>
      </c>
      <c r="C95" s="32" t="s">
        <v>394</v>
      </c>
      <c r="D95" s="32" t="s">
        <v>302</v>
      </c>
    </row>
    <row r="96" spans="2:4" x14ac:dyDescent="0.25">
      <c r="B96" s="32" t="s">
        <v>300</v>
      </c>
      <c r="C96" s="32" t="s">
        <v>395</v>
      </c>
      <c r="D96" s="32" t="s">
        <v>302</v>
      </c>
    </row>
    <row r="97" spans="2:4" x14ac:dyDescent="0.25">
      <c r="B97" s="32" t="s">
        <v>300</v>
      </c>
      <c r="C97" s="32" t="s">
        <v>396</v>
      </c>
      <c r="D97" s="32" t="s">
        <v>302</v>
      </c>
    </row>
    <row r="98" spans="2:4" x14ac:dyDescent="0.25">
      <c r="B98" s="32" t="s">
        <v>300</v>
      </c>
      <c r="C98" s="32" t="s">
        <v>397</v>
      </c>
      <c r="D98" s="32" t="s">
        <v>302</v>
      </c>
    </row>
    <row r="99" spans="2:4" x14ac:dyDescent="0.25">
      <c r="B99" s="32" t="s">
        <v>300</v>
      </c>
      <c r="C99" s="32" t="s">
        <v>398</v>
      </c>
      <c r="D99" s="32" t="s">
        <v>302</v>
      </c>
    </row>
    <row r="100" spans="2:4" x14ac:dyDescent="0.25">
      <c r="B100" s="32" t="s">
        <v>300</v>
      </c>
      <c r="C100" s="32" t="s">
        <v>399</v>
      </c>
      <c r="D100" s="32" t="s">
        <v>302</v>
      </c>
    </row>
    <row r="101" spans="2:4" x14ac:dyDescent="0.25">
      <c r="B101" s="32" t="s">
        <v>300</v>
      </c>
      <c r="C101" s="32" t="s">
        <v>400</v>
      </c>
      <c r="D101" s="32" t="s">
        <v>302</v>
      </c>
    </row>
    <row r="102" spans="2:4" x14ac:dyDescent="0.25">
      <c r="B102" s="32" t="s">
        <v>300</v>
      </c>
      <c r="C102" s="32" t="s">
        <v>401</v>
      </c>
      <c r="D102" s="32" t="s">
        <v>302</v>
      </c>
    </row>
    <row r="103" spans="2:4" x14ac:dyDescent="0.25">
      <c r="B103" s="32" t="s">
        <v>300</v>
      </c>
      <c r="C103" s="32" t="s">
        <v>402</v>
      </c>
      <c r="D103" s="32" t="s">
        <v>302</v>
      </c>
    </row>
    <row r="104" spans="2:4" x14ac:dyDescent="0.25">
      <c r="B104" s="32" t="s">
        <v>300</v>
      </c>
      <c r="C104" s="32" t="s">
        <v>403</v>
      </c>
      <c r="D104" s="32" t="s">
        <v>302</v>
      </c>
    </row>
    <row r="105" spans="2:4" x14ac:dyDescent="0.25">
      <c r="B105" s="32" t="s">
        <v>300</v>
      </c>
      <c r="C105" s="32" t="s">
        <v>404</v>
      </c>
      <c r="D105" s="32" t="s">
        <v>302</v>
      </c>
    </row>
    <row r="106" spans="2:4" x14ac:dyDescent="0.25">
      <c r="B106" s="32" t="s">
        <v>300</v>
      </c>
      <c r="C106" s="32" t="s">
        <v>405</v>
      </c>
      <c r="D106" s="32" t="s">
        <v>302</v>
      </c>
    </row>
    <row r="107" spans="2:4" x14ac:dyDescent="0.25">
      <c r="B107" s="32" t="s">
        <v>300</v>
      </c>
      <c r="C107" s="32" t="s">
        <v>406</v>
      </c>
      <c r="D107" s="32" t="s">
        <v>302</v>
      </c>
    </row>
    <row r="108" spans="2:4" x14ac:dyDescent="0.25">
      <c r="B108" s="32" t="s">
        <v>300</v>
      </c>
      <c r="C108" s="32" t="s">
        <v>407</v>
      </c>
      <c r="D108" s="32" t="s">
        <v>302</v>
      </c>
    </row>
    <row r="109" spans="2:4" x14ac:dyDescent="0.25">
      <c r="B109" s="32" t="s">
        <v>300</v>
      </c>
      <c r="C109" s="32" t="s">
        <v>408</v>
      </c>
      <c r="D109" s="32" t="s">
        <v>302</v>
      </c>
    </row>
    <row r="110" spans="2:4" x14ac:dyDescent="0.25">
      <c r="B110" s="32" t="s">
        <v>300</v>
      </c>
      <c r="C110" s="32" t="s">
        <v>409</v>
      </c>
      <c r="D110" s="32" t="s">
        <v>302</v>
      </c>
    </row>
    <row r="111" spans="2:4" x14ac:dyDescent="0.25">
      <c r="B111" s="32" t="s">
        <v>300</v>
      </c>
      <c r="C111" s="32" t="s">
        <v>410</v>
      </c>
      <c r="D111" s="32" t="s">
        <v>302</v>
      </c>
    </row>
    <row r="112" spans="2:4" x14ac:dyDescent="0.25">
      <c r="B112" s="32" t="s">
        <v>300</v>
      </c>
      <c r="C112" s="32" t="s">
        <v>411</v>
      </c>
      <c r="D112" s="32" t="s">
        <v>302</v>
      </c>
    </row>
    <row r="113" spans="2:4" x14ac:dyDescent="0.25">
      <c r="B113" s="32" t="s">
        <v>300</v>
      </c>
      <c r="C113" s="32" t="s">
        <v>412</v>
      </c>
      <c r="D113" s="32" t="s">
        <v>302</v>
      </c>
    </row>
    <row r="114" spans="2:4" x14ac:dyDescent="0.25">
      <c r="B114" s="32" t="s">
        <v>300</v>
      </c>
      <c r="C114" s="32" t="s">
        <v>413</v>
      </c>
      <c r="D114" s="32" t="s">
        <v>302</v>
      </c>
    </row>
    <row r="115" spans="2:4" x14ac:dyDescent="0.25">
      <c r="B115" s="32" t="s">
        <v>300</v>
      </c>
      <c r="C115" s="32" t="s">
        <v>414</v>
      </c>
      <c r="D115" s="32" t="s">
        <v>302</v>
      </c>
    </row>
    <row r="116" spans="2:4" x14ac:dyDescent="0.25">
      <c r="B116" s="32" t="s">
        <v>300</v>
      </c>
      <c r="C116" s="32" t="s">
        <v>415</v>
      </c>
      <c r="D116" s="32" t="s">
        <v>302</v>
      </c>
    </row>
    <row r="117" spans="2:4" x14ac:dyDescent="0.25">
      <c r="B117" s="32" t="s">
        <v>300</v>
      </c>
      <c r="C117" s="32" t="s">
        <v>416</v>
      </c>
      <c r="D117" s="32" t="s">
        <v>302</v>
      </c>
    </row>
    <row r="118" spans="2:4" x14ac:dyDescent="0.25">
      <c r="B118" s="32" t="s">
        <v>300</v>
      </c>
      <c r="C118" s="32" t="s">
        <v>417</v>
      </c>
      <c r="D118" s="32" t="s">
        <v>302</v>
      </c>
    </row>
    <row r="119" spans="2:4" x14ac:dyDescent="0.25">
      <c r="B119" s="32" t="s">
        <v>300</v>
      </c>
      <c r="C119" s="32" t="s">
        <v>418</v>
      </c>
      <c r="D119" s="32" t="s">
        <v>302</v>
      </c>
    </row>
    <row r="120" spans="2:4" x14ac:dyDescent="0.25">
      <c r="B120" s="32" t="s">
        <v>300</v>
      </c>
      <c r="C120" s="32" t="s">
        <v>419</v>
      </c>
      <c r="D120" s="32" t="s">
        <v>302</v>
      </c>
    </row>
    <row r="121" spans="2:4" x14ac:dyDescent="0.25">
      <c r="B121" s="32" t="s">
        <v>300</v>
      </c>
      <c r="C121" s="32" t="s">
        <v>420</v>
      </c>
      <c r="D121" s="32" t="s">
        <v>302</v>
      </c>
    </row>
    <row r="122" spans="2:4" x14ac:dyDescent="0.25">
      <c r="B122" s="32" t="s">
        <v>300</v>
      </c>
      <c r="C122" s="32" t="s">
        <v>421</v>
      </c>
      <c r="D122" s="32" t="s">
        <v>302</v>
      </c>
    </row>
    <row r="123" spans="2:4" x14ac:dyDescent="0.25">
      <c r="B123" s="32" t="s">
        <v>300</v>
      </c>
      <c r="C123" s="32" t="s">
        <v>422</v>
      </c>
      <c r="D123" s="32" t="s">
        <v>302</v>
      </c>
    </row>
    <row r="124" spans="2:4" x14ac:dyDescent="0.25">
      <c r="B124" s="32" t="s">
        <v>300</v>
      </c>
      <c r="C124" s="32" t="s">
        <v>423</v>
      </c>
      <c r="D124" s="32" t="s">
        <v>302</v>
      </c>
    </row>
    <row r="125" spans="2:4" x14ac:dyDescent="0.25">
      <c r="B125" s="32" t="s">
        <v>300</v>
      </c>
      <c r="C125" s="32" t="s">
        <v>424</v>
      </c>
      <c r="D125" s="32" t="s">
        <v>302</v>
      </c>
    </row>
    <row r="126" spans="2:4" x14ac:dyDescent="0.25">
      <c r="B126" s="32" t="s">
        <v>300</v>
      </c>
      <c r="C126" s="32" t="s">
        <v>425</v>
      </c>
      <c r="D126" s="32" t="s">
        <v>302</v>
      </c>
    </row>
    <row r="127" spans="2:4" x14ac:dyDescent="0.25">
      <c r="B127" s="32" t="s">
        <v>300</v>
      </c>
      <c r="C127" s="32" t="s">
        <v>426</v>
      </c>
      <c r="D127" s="32" t="s">
        <v>302</v>
      </c>
    </row>
    <row r="128" spans="2:4" x14ac:dyDescent="0.25">
      <c r="B128" s="32" t="s">
        <v>300</v>
      </c>
      <c r="C128" s="32" t="s">
        <v>427</v>
      </c>
      <c r="D128" s="32" t="s">
        <v>302</v>
      </c>
    </row>
    <row r="129" spans="2:4" x14ac:dyDescent="0.25">
      <c r="B129" s="32" t="s">
        <v>300</v>
      </c>
      <c r="C129" s="32" t="s">
        <v>428</v>
      </c>
      <c r="D129" s="32" t="s">
        <v>302</v>
      </c>
    </row>
    <row r="130" spans="2:4" x14ac:dyDescent="0.25">
      <c r="B130" s="32" t="s">
        <v>300</v>
      </c>
      <c r="C130" s="32" t="s">
        <v>429</v>
      </c>
      <c r="D130" s="32" t="s">
        <v>302</v>
      </c>
    </row>
    <row r="131" spans="2:4" x14ac:dyDescent="0.25">
      <c r="B131" s="32" t="s">
        <v>300</v>
      </c>
      <c r="C131" s="32" t="s">
        <v>430</v>
      </c>
      <c r="D131" s="32" t="s">
        <v>302</v>
      </c>
    </row>
    <row r="132" spans="2:4" x14ac:dyDescent="0.25">
      <c r="B132" s="32" t="s">
        <v>300</v>
      </c>
      <c r="C132" s="32" t="s">
        <v>431</v>
      </c>
      <c r="D132" s="32" t="s">
        <v>302</v>
      </c>
    </row>
    <row r="133" spans="2:4" x14ac:dyDescent="0.25">
      <c r="B133" s="32" t="s">
        <v>300</v>
      </c>
      <c r="C133" s="32" t="s">
        <v>432</v>
      </c>
      <c r="D133" s="32" t="s">
        <v>302</v>
      </c>
    </row>
    <row r="134" spans="2:4" x14ac:dyDescent="0.25">
      <c r="B134" s="32" t="s">
        <v>300</v>
      </c>
      <c r="C134" s="32" t="s">
        <v>433</v>
      </c>
      <c r="D134" s="32" t="s">
        <v>302</v>
      </c>
    </row>
    <row r="135" spans="2:4" x14ac:dyDescent="0.25">
      <c r="B135" s="32" t="s">
        <v>300</v>
      </c>
      <c r="C135" s="32" t="s">
        <v>434</v>
      </c>
      <c r="D135" s="32" t="s">
        <v>302</v>
      </c>
    </row>
    <row r="136" spans="2:4" x14ac:dyDescent="0.25">
      <c r="B136" s="32" t="s">
        <v>300</v>
      </c>
      <c r="C136" s="32" t="s">
        <v>435</v>
      </c>
      <c r="D136" s="32" t="s">
        <v>302</v>
      </c>
    </row>
    <row r="137" spans="2:4" x14ac:dyDescent="0.25">
      <c r="B137" s="32" t="s">
        <v>300</v>
      </c>
      <c r="C137" s="32" t="s">
        <v>436</v>
      </c>
      <c r="D137" s="32" t="s">
        <v>302</v>
      </c>
    </row>
    <row r="138" spans="2:4" x14ac:dyDescent="0.25">
      <c r="B138" s="32" t="s">
        <v>300</v>
      </c>
      <c r="C138" s="32" t="s">
        <v>437</v>
      </c>
      <c r="D138" s="32" t="s">
        <v>302</v>
      </c>
    </row>
    <row r="139" spans="2:4" x14ac:dyDescent="0.25">
      <c r="B139" s="32" t="s">
        <v>300</v>
      </c>
      <c r="C139" s="32" t="s">
        <v>438</v>
      </c>
      <c r="D139" s="32" t="s">
        <v>302</v>
      </c>
    </row>
    <row r="140" spans="2:4" x14ac:dyDescent="0.25">
      <c r="B140" s="32" t="s">
        <v>300</v>
      </c>
      <c r="C140" s="32" t="s">
        <v>439</v>
      </c>
      <c r="D140" s="32" t="s">
        <v>302</v>
      </c>
    </row>
    <row r="141" spans="2:4" x14ac:dyDescent="0.25">
      <c r="B141" s="32" t="s">
        <v>300</v>
      </c>
      <c r="C141" s="32" t="s">
        <v>440</v>
      </c>
      <c r="D141" s="32" t="s">
        <v>302</v>
      </c>
    </row>
    <row r="142" spans="2:4" x14ac:dyDescent="0.25">
      <c r="B142" s="32" t="s">
        <v>300</v>
      </c>
      <c r="C142" s="32" t="s">
        <v>441</v>
      </c>
      <c r="D142" s="32" t="s">
        <v>302</v>
      </c>
    </row>
    <row r="143" spans="2:4" x14ac:dyDescent="0.25">
      <c r="B143" s="32" t="s">
        <v>300</v>
      </c>
      <c r="C143" s="32" t="s">
        <v>442</v>
      </c>
      <c r="D143" s="32" t="s">
        <v>302</v>
      </c>
    </row>
    <row r="144" spans="2:4" x14ac:dyDescent="0.25">
      <c r="B144" s="32" t="s">
        <v>300</v>
      </c>
      <c r="C144" s="32" t="s">
        <v>443</v>
      </c>
      <c r="D144" s="32" t="s">
        <v>302</v>
      </c>
    </row>
    <row r="145" spans="2:4" x14ac:dyDescent="0.25">
      <c r="B145" s="32" t="s">
        <v>300</v>
      </c>
      <c r="C145" s="32" t="s">
        <v>444</v>
      </c>
      <c r="D145" s="32" t="s">
        <v>302</v>
      </c>
    </row>
    <row r="146" spans="2:4" x14ac:dyDescent="0.25">
      <c r="B146" s="32" t="s">
        <v>300</v>
      </c>
      <c r="C146" s="32" t="s">
        <v>445</v>
      </c>
      <c r="D146" s="32" t="s">
        <v>302</v>
      </c>
    </row>
    <row r="147" spans="2:4" x14ac:dyDescent="0.25">
      <c r="B147" s="32" t="s">
        <v>300</v>
      </c>
      <c r="C147" s="32" t="s">
        <v>446</v>
      </c>
      <c r="D147" s="32" t="s">
        <v>302</v>
      </c>
    </row>
    <row r="148" spans="2:4" x14ac:dyDescent="0.25">
      <c r="B148" s="32" t="s">
        <v>300</v>
      </c>
      <c r="C148" s="32" t="s">
        <v>447</v>
      </c>
      <c r="D148" s="32" t="s">
        <v>302</v>
      </c>
    </row>
    <row r="149" spans="2:4" x14ac:dyDescent="0.25">
      <c r="B149" s="32" t="s">
        <v>300</v>
      </c>
      <c r="C149" s="32" t="s">
        <v>448</v>
      </c>
      <c r="D149" s="32" t="s">
        <v>302</v>
      </c>
    </row>
    <row r="150" spans="2:4" x14ac:dyDescent="0.25">
      <c r="B150" s="32" t="s">
        <v>300</v>
      </c>
      <c r="C150" s="32" t="s">
        <v>449</v>
      </c>
      <c r="D150" s="32" t="s">
        <v>302</v>
      </c>
    </row>
    <row r="151" spans="2:4" x14ac:dyDescent="0.25">
      <c r="B151" s="32" t="s">
        <v>300</v>
      </c>
      <c r="C151" s="32" t="s">
        <v>450</v>
      </c>
      <c r="D151" s="32" t="s">
        <v>302</v>
      </c>
    </row>
    <row r="152" spans="2:4" x14ac:dyDescent="0.25">
      <c r="B152" s="32" t="s">
        <v>300</v>
      </c>
      <c r="C152" s="32" t="s">
        <v>451</v>
      </c>
      <c r="D152" s="32" t="s">
        <v>302</v>
      </c>
    </row>
    <row r="153" spans="2:4" x14ac:dyDescent="0.25">
      <c r="B153" s="32" t="s">
        <v>300</v>
      </c>
      <c r="C153" s="32" t="s">
        <v>452</v>
      </c>
      <c r="D153" s="32" t="s">
        <v>302</v>
      </c>
    </row>
    <row r="154" spans="2:4" x14ac:dyDescent="0.25">
      <c r="B154" s="32" t="s">
        <v>300</v>
      </c>
      <c r="C154" s="32" t="s">
        <v>453</v>
      </c>
      <c r="D154" s="32" t="s">
        <v>302</v>
      </c>
    </row>
    <row r="155" spans="2:4" x14ac:dyDescent="0.25">
      <c r="B155" s="32" t="s">
        <v>300</v>
      </c>
      <c r="C155" s="32" t="s">
        <v>454</v>
      </c>
      <c r="D155" s="32" t="s">
        <v>302</v>
      </c>
    </row>
    <row r="156" spans="2:4" x14ac:dyDescent="0.25">
      <c r="B156" s="32" t="s">
        <v>300</v>
      </c>
      <c r="C156" s="32" t="s">
        <v>455</v>
      </c>
      <c r="D156" s="32" t="s">
        <v>302</v>
      </c>
    </row>
    <row r="157" spans="2:4" x14ac:dyDescent="0.25">
      <c r="B157" s="32" t="s">
        <v>300</v>
      </c>
      <c r="C157" s="32" t="s">
        <v>456</v>
      </c>
      <c r="D157" s="32" t="s">
        <v>302</v>
      </c>
    </row>
    <row r="158" spans="2:4" x14ac:dyDescent="0.25">
      <c r="B158" s="32" t="s">
        <v>300</v>
      </c>
      <c r="C158" s="32" t="s">
        <v>457</v>
      </c>
      <c r="D158" s="32" t="s">
        <v>302</v>
      </c>
    </row>
    <row r="159" spans="2:4" x14ac:dyDescent="0.25">
      <c r="B159" s="32" t="s">
        <v>300</v>
      </c>
      <c r="C159" s="32" t="s">
        <v>458</v>
      </c>
      <c r="D159" s="32" t="s">
        <v>302</v>
      </c>
    </row>
    <row r="160" spans="2:4" x14ac:dyDescent="0.25">
      <c r="B160" s="32" t="s">
        <v>300</v>
      </c>
      <c r="C160" s="32" t="s">
        <v>459</v>
      </c>
      <c r="D160" s="32" t="s">
        <v>302</v>
      </c>
    </row>
    <row r="161" spans="2:4" x14ac:dyDescent="0.25">
      <c r="B161" s="32" t="s">
        <v>300</v>
      </c>
      <c r="C161" s="32" t="s">
        <v>460</v>
      </c>
      <c r="D161" s="32" t="s">
        <v>302</v>
      </c>
    </row>
    <row r="162" spans="2:4" x14ac:dyDescent="0.25">
      <c r="B162" s="32" t="s">
        <v>300</v>
      </c>
      <c r="C162" s="32" t="s">
        <v>461</v>
      </c>
      <c r="D162" s="32" t="s">
        <v>302</v>
      </c>
    </row>
    <row r="163" spans="2:4" x14ac:dyDescent="0.25">
      <c r="B163" s="32" t="s">
        <v>300</v>
      </c>
      <c r="C163" s="32" t="s">
        <v>462</v>
      </c>
      <c r="D163" s="32" t="s">
        <v>302</v>
      </c>
    </row>
    <row r="164" spans="2:4" x14ac:dyDescent="0.25">
      <c r="B164" s="32" t="s">
        <v>300</v>
      </c>
      <c r="C164" s="32" t="s">
        <v>463</v>
      </c>
      <c r="D164" s="32" t="s">
        <v>302</v>
      </c>
    </row>
    <row r="165" spans="2:4" x14ac:dyDescent="0.25">
      <c r="B165" s="32" t="s">
        <v>300</v>
      </c>
      <c r="C165" s="32" t="s">
        <v>464</v>
      </c>
      <c r="D165" s="32" t="s">
        <v>302</v>
      </c>
    </row>
    <row r="166" spans="2:4" x14ac:dyDescent="0.25">
      <c r="B166" s="32" t="s">
        <v>300</v>
      </c>
      <c r="C166" s="32" t="s">
        <v>465</v>
      </c>
      <c r="D166" s="32" t="s">
        <v>302</v>
      </c>
    </row>
    <row r="167" spans="2:4" x14ac:dyDescent="0.25">
      <c r="B167" s="32" t="s">
        <v>300</v>
      </c>
      <c r="C167" s="32" t="s">
        <v>466</v>
      </c>
      <c r="D167" s="32" t="s">
        <v>302</v>
      </c>
    </row>
    <row r="168" spans="2:4" x14ac:dyDescent="0.25">
      <c r="B168" s="32" t="s">
        <v>300</v>
      </c>
      <c r="C168" s="32" t="s">
        <v>467</v>
      </c>
      <c r="D168" s="32" t="s">
        <v>302</v>
      </c>
    </row>
    <row r="169" spans="2:4" x14ac:dyDescent="0.25">
      <c r="B169" s="32" t="s">
        <v>300</v>
      </c>
      <c r="C169" s="32" t="s">
        <v>468</v>
      </c>
      <c r="D169" s="32" t="s">
        <v>302</v>
      </c>
    </row>
    <row r="170" spans="2:4" x14ac:dyDescent="0.25">
      <c r="B170" s="32" t="s">
        <v>300</v>
      </c>
      <c r="C170" s="32" t="s">
        <v>469</v>
      </c>
      <c r="D170" s="32" t="s">
        <v>302</v>
      </c>
    </row>
    <row r="171" spans="2:4" x14ac:dyDescent="0.25">
      <c r="B171" s="32" t="s">
        <v>300</v>
      </c>
      <c r="C171" s="32" t="s">
        <v>470</v>
      </c>
      <c r="D171" s="32" t="s">
        <v>302</v>
      </c>
    </row>
    <row r="172" spans="2:4" x14ac:dyDescent="0.25">
      <c r="B172" s="32" t="s">
        <v>300</v>
      </c>
      <c r="C172" s="32" t="s">
        <v>471</v>
      </c>
      <c r="D172" s="32" t="s">
        <v>302</v>
      </c>
    </row>
    <row r="173" spans="2:4" x14ac:dyDescent="0.25">
      <c r="B173" s="32" t="s">
        <v>300</v>
      </c>
      <c r="C173" s="32" t="s">
        <v>472</v>
      </c>
      <c r="D173" s="32" t="s">
        <v>302</v>
      </c>
    </row>
    <row r="174" spans="2:4" x14ac:dyDescent="0.25">
      <c r="B174" s="32" t="s">
        <v>300</v>
      </c>
      <c r="C174" s="32" t="s">
        <v>473</v>
      </c>
      <c r="D174" s="32" t="s">
        <v>302</v>
      </c>
    </row>
    <row r="175" spans="2:4" x14ac:dyDescent="0.25">
      <c r="B175" s="32" t="s">
        <v>300</v>
      </c>
      <c r="C175" s="32" t="s">
        <v>474</v>
      </c>
      <c r="D175" s="32" t="s">
        <v>302</v>
      </c>
    </row>
    <row r="176" spans="2:4" x14ac:dyDescent="0.25">
      <c r="B176" s="32" t="s">
        <v>300</v>
      </c>
      <c r="C176" s="32" t="s">
        <v>475</v>
      </c>
      <c r="D176" s="32" t="s">
        <v>302</v>
      </c>
    </row>
    <row r="177" spans="2:4" x14ac:dyDescent="0.25">
      <c r="B177" s="32" t="s">
        <v>300</v>
      </c>
      <c r="C177" s="32" t="s">
        <v>476</v>
      </c>
      <c r="D177" s="32" t="s">
        <v>302</v>
      </c>
    </row>
    <row r="178" spans="2:4" x14ac:dyDescent="0.25">
      <c r="B178" s="32" t="s">
        <v>300</v>
      </c>
      <c r="C178" s="32" t="s">
        <v>477</v>
      </c>
      <c r="D178" s="32" t="s">
        <v>302</v>
      </c>
    </row>
    <row r="179" spans="2:4" x14ac:dyDescent="0.25">
      <c r="B179" s="32" t="s">
        <v>300</v>
      </c>
      <c r="C179" s="32" t="s">
        <v>478</v>
      </c>
      <c r="D179" s="32" t="s">
        <v>302</v>
      </c>
    </row>
    <row r="180" spans="2:4" x14ac:dyDescent="0.25">
      <c r="B180" s="32" t="s">
        <v>300</v>
      </c>
      <c r="C180" s="32" t="s">
        <v>479</v>
      </c>
      <c r="D180" s="32" t="s">
        <v>302</v>
      </c>
    </row>
    <row r="181" spans="2:4" x14ac:dyDescent="0.25">
      <c r="B181" s="32" t="s">
        <v>300</v>
      </c>
      <c r="C181" s="32" t="s">
        <v>480</v>
      </c>
      <c r="D181" s="32" t="s">
        <v>302</v>
      </c>
    </row>
    <row r="182" spans="2:4" x14ac:dyDescent="0.25">
      <c r="B182" s="32" t="s">
        <v>300</v>
      </c>
      <c r="C182" s="32" t="s">
        <v>481</v>
      </c>
      <c r="D182" s="32" t="s">
        <v>302</v>
      </c>
    </row>
    <row r="183" spans="2:4" x14ac:dyDescent="0.25">
      <c r="B183" s="32" t="s">
        <v>300</v>
      </c>
      <c r="C183" s="32" t="s">
        <v>482</v>
      </c>
      <c r="D183" s="32" t="s">
        <v>302</v>
      </c>
    </row>
    <row r="184" spans="2:4" x14ac:dyDescent="0.25">
      <c r="B184" s="32" t="s">
        <v>300</v>
      </c>
      <c r="C184" s="32" t="s">
        <v>483</v>
      </c>
      <c r="D184" s="32" t="s">
        <v>302</v>
      </c>
    </row>
    <row r="185" spans="2:4" x14ac:dyDescent="0.25">
      <c r="B185" s="32" t="s">
        <v>300</v>
      </c>
      <c r="C185" s="32" t="s">
        <v>484</v>
      </c>
      <c r="D185" s="32" t="s">
        <v>302</v>
      </c>
    </row>
    <row r="186" spans="2:4" x14ac:dyDescent="0.25">
      <c r="B186" s="32" t="s">
        <v>300</v>
      </c>
      <c r="C186" s="32" t="s">
        <v>485</v>
      </c>
      <c r="D186" s="32" t="s">
        <v>302</v>
      </c>
    </row>
    <row r="187" spans="2:4" x14ac:dyDescent="0.25">
      <c r="B187" s="32" t="s">
        <v>300</v>
      </c>
      <c r="C187" s="32" t="s">
        <v>486</v>
      </c>
      <c r="D187" s="32" t="s">
        <v>302</v>
      </c>
    </row>
    <row r="188" spans="2:4" x14ac:dyDescent="0.25">
      <c r="B188" s="32" t="s">
        <v>300</v>
      </c>
      <c r="C188" s="32" t="s">
        <v>487</v>
      </c>
      <c r="D188" s="32" t="s">
        <v>302</v>
      </c>
    </row>
    <row r="189" spans="2:4" x14ac:dyDescent="0.25">
      <c r="B189" s="32" t="s">
        <v>300</v>
      </c>
      <c r="C189" s="32" t="s">
        <v>488</v>
      </c>
      <c r="D189" s="32" t="s">
        <v>302</v>
      </c>
    </row>
    <row r="190" spans="2:4" x14ac:dyDescent="0.25">
      <c r="B190" s="32" t="s">
        <v>300</v>
      </c>
      <c r="C190" s="32" t="s">
        <v>489</v>
      </c>
      <c r="D190" s="32" t="s">
        <v>302</v>
      </c>
    </row>
    <row r="191" spans="2:4" x14ac:dyDescent="0.25">
      <c r="B191" s="32" t="s">
        <v>300</v>
      </c>
      <c r="C191" s="32" t="s">
        <v>490</v>
      </c>
      <c r="D191" s="32" t="s">
        <v>302</v>
      </c>
    </row>
    <row r="192" spans="2:4" x14ac:dyDescent="0.25">
      <c r="B192" s="32" t="s">
        <v>300</v>
      </c>
      <c r="C192" s="32" t="s">
        <v>491</v>
      </c>
      <c r="D192" s="32" t="s">
        <v>302</v>
      </c>
    </row>
    <row r="193" spans="2:4" x14ac:dyDescent="0.25">
      <c r="B193" s="32" t="s">
        <v>300</v>
      </c>
      <c r="C193" s="32" t="s">
        <v>492</v>
      </c>
      <c r="D193" s="32" t="s">
        <v>302</v>
      </c>
    </row>
    <row r="194" spans="2:4" x14ac:dyDescent="0.25">
      <c r="B194" s="32" t="s">
        <v>300</v>
      </c>
      <c r="C194" s="32" t="s">
        <v>493</v>
      </c>
      <c r="D194" s="32" t="s">
        <v>302</v>
      </c>
    </row>
    <row r="195" spans="2:4" x14ac:dyDescent="0.25">
      <c r="B195" s="32" t="s">
        <v>300</v>
      </c>
      <c r="C195" s="32" t="s">
        <v>494</v>
      </c>
      <c r="D195" s="32" t="s">
        <v>302</v>
      </c>
    </row>
    <row r="196" spans="2:4" x14ac:dyDescent="0.25">
      <c r="B196" s="32" t="s">
        <v>300</v>
      </c>
      <c r="C196" s="32" t="s">
        <v>495</v>
      </c>
      <c r="D196" s="32" t="s">
        <v>302</v>
      </c>
    </row>
    <row r="197" spans="2:4" x14ac:dyDescent="0.25">
      <c r="B197" s="32" t="s">
        <v>300</v>
      </c>
      <c r="C197" s="32" t="s">
        <v>496</v>
      </c>
      <c r="D197" s="32" t="s">
        <v>302</v>
      </c>
    </row>
    <row r="198" spans="2:4" x14ac:dyDescent="0.25">
      <c r="B198" s="32" t="s">
        <v>300</v>
      </c>
      <c r="C198" s="32" t="s">
        <v>497</v>
      </c>
      <c r="D198" s="32" t="s">
        <v>302</v>
      </c>
    </row>
    <row r="199" spans="2:4" x14ac:dyDescent="0.25">
      <c r="B199" s="32" t="s">
        <v>300</v>
      </c>
      <c r="C199" s="32" t="s">
        <v>498</v>
      </c>
      <c r="D199" s="32" t="s">
        <v>302</v>
      </c>
    </row>
    <row r="200" spans="2:4" x14ac:dyDescent="0.25">
      <c r="B200" s="32" t="s">
        <v>300</v>
      </c>
      <c r="C200" s="32" t="s">
        <v>499</v>
      </c>
      <c r="D200" s="32" t="s">
        <v>302</v>
      </c>
    </row>
    <row r="201" spans="2:4" x14ac:dyDescent="0.25">
      <c r="B201" s="32" t="s">
        <v>300</v>
      </c>
      <c r="C201" s="32" t="s">
        <v>500</v>
      </c>
      <c r="D201" s="32" t="s">
        <v>302</v>
      </c>
    </row>
    <row r="202" spans="2:4" x14ac:dyDescent="0.25">
      <c r="B202" s="32" t="s">
        <v>300</v>
      </c>
      <c r="C202" s="32" t="s">
        <v>501</v>
      </c>
      <c r="D202" s="32" t="s">
        <v>302</v>
      </c>
    </row>
    <row r="203" spans="2:4" x14ac:dyDescent="0.25">
      <c r="B203" s="32" t="s">
        <v>300</v>
      </c>
      <c r="C203" s="32" t="s">
        <v>502</v>
      </c>
      <c r="D203" s="32" t="s">
        <v>302</v>
      </c>
    </row>
    <row r="204" spans="2:4" x14ac:dyDescent="0.25">
      <c r="B204" s="32" t="s">
        <v>300</v>
      </c>
      <c r="C204" s="32" t="s">
        <v>503</v>
      </c>
      <c r="D204" s="32" t="s">
        <v>302</v>
      </c>
    </row>
    <row r="205" spans="2:4" x14ac:dyDescent="0.25">
      <c r="B205" s="32" t="s">
        <v>300</v>
      </c>
      <c r="C205" s="32" t="s">
        <v>504</v>
      </c>
      <c r="D205" s="32" t="s">
        <v>302</v>
      </c>
    </row>
    <row r="206" spans="2:4" x14ac:dyDescent="0.25">
      <c r="B206" s="32" t="s">
        <v>300</v>
      </c>
      <c r="C206" s="32" t="s">
        <v>505</v>
      </c>
      <c r="D206" s="32" t="s">
        <v>302</v>
      </c>
    </row>
    <row r="207" spans="2:4" x14ac:dyDescent="0.25">
      <c r="B207" s="32" t="s">
        <v>300</v>
      </c>
      <c r="C207" s="32" t="s">
        <v>506</v>
      </c>
      <c r="D207" s="32" t="s">
        <v>302</v>
      </c>
    </row>
    <row r="208" spans="2:4" x14ac:dyDescent="0.25">
      <c r="B208" s="32" t="s">
        <v>300</v>
      </c>
      <c r="C208" s="32" t="s">
        <v>507</v>
      </c>
      <c r="D208" s="32" t="s">
        <v>302</v>
      </c>
    </row>
    <row r="209" spans="2:4" x14ac:dyDescent="0.25">
      <c r="B209" s="32" t="s">
        <v>300</v>
      </c>
      <c r="C209" s="32" t="s">
        <v>508</v>
      </c>
      <c r="D209" s="32" t="s">
        <v>302</v>
      </c>
    </row>
    <row r="210" spans="2:4" x14ac:dyDescent="0.25">
      <c r="B210" s="32" t="s">
        <v>300</v>
      </c>
      <c r="C210" s="32" t="s">
        <v>509</v>
      </c>
      <c r="D210" s="32" t="s">
        <v>302</v>
      </c>
    </row>
    <row r="211" spans="2:4" x14ac:dyDescent="0.25">
      <c r="B211" s="32" t="s">
        <v>300</v>
      </c>
      <c r="C211" s="32" t="s">
        <v>510</v>
      </c>
      <c r="D211" s="32" t="s">
        <v>302</v>
      </c>
    </row>
    <row r="212" spans="2:4" x14ac:dyDescent="0.25">
      <c r="B212" s="32" t="s">
        <v>300</v>
      </c>
      <c r="C212" s="32" t="s">
        <v>511</v>
      </c>
      <c r="D212" s="32" t="s">
        <v>302</v>
      </c>
    </row>
    <row r="213" spans="2:4" x14ac:dyDescent="0.25">
      <c r="B213" s="32" t="s">
        <v>300</v>
      </c>
      <c r="C213" s="32" t="s">
        <v>512</v>
      </c>
      <c r="D213" s="32" t="s">
        <v>302</v>
      </c>
    </row>
    <row r="214" spans="2:4" x14ac:dyDescent="0.25">
      <c r="B214" s="32" t="s">
        <v>300</v>
      </c>
      <c r="C214" s="32" t="s">
        <v>513</v>
      </c>
      <c r="D214" s="32" t="s">
        <v>302</v>
      </c>
    </row>
    <row r="215" spans="2:4" x14ac:dyDescent="0.25">
      <c r="B215" s="32" t="s">
        <v>300</v>
      </c>
      <c r="C215" s="32" t="s">
        <v>514</v>
      </c>
      <c r="D215" s="32" t="s">
        <v>302</v>
      </c>
    </row>
    <row r="216" spans="2:4" x14ac:dyDescent="0.25">
      <c r="B216" s="32" t="s">
        <v>300</v>
      </c>
      <c r="C216" s="32" t="s">
        <v>515</v>
      </c>
      <c r="D216" s="32" t="s">
        <v>302</v>
      </c>
    </row>
    <row r="217" spans="2:4" x14ac:dyDescent="0.25">
      <c r="B217" s="32" t="s">
        <v>300</v>
      </c>
      <c r="C217" s="32" t="s">
        <v>516</v>
      </c>
      <c r="D217" s="32" t="s">
        <v>302</v>
      </c>
    </row>
    <row r="218" spans="2:4" x14ac:dyDescent="0.25">
      <c r="B218" s="32" t="s">
        <v>300</v>
      </c>
      <c r="C218" s="32" t="s">
        <v>517</v>
      </c>
      <c r="D218" s="32" t="s">
        <v>302</v>
      </c>
    </row>
    <row r="219" spans="2:4" x14ac:dyDescent="0.25">
      <c r="B219" s="32" t="s">
        <v>300</v>
      </c>
      <c r="C219" s="32" t="s">
        <v>518</v>
      </c>
      <c r="D219" s="32" t="s">
        <v>302</v>
      </c>
    </row>
    <row r="220" spans="2:4" x14ac:dyDescent="0.25">
      <c r="B220" s="32" t="s">
        <v>300</v>
      </c>
      <c r="C220" s="32" t="s">
        <v>519</v>
      </c>
      <c r="D220" s="32" t="s">
        <v>302</v>
      </c>
    </row>
    <row r="221" spans="2:4" x14ac:dyDescent="0.25">
      <c r="B221" s="32" t="s">
        <v>300</v>
      </c>
      <c r="C221" s="32" t="s">
        <v>520</v>
      </c>
      <c r="D221" s="32" t="s">
        <v>302</v>
      </c>
    </row>
    <row r="222" spans="2:4" x14ac:dyDescent="0.25">
      <c r="B222" s="32" t="s">
        <v>300</v>
      </c>
      <c r="C222" s="32" t="s">
        <v>521</v>
      </c>
      <c r="D222" s="32" t="s">
        <v>302</v>
      </c>
    </row>
    <row r="223" spans="2:4" x14ac:dyDescent="0.25">
      <c r="B223" s="32" t="s">
        <v>300</v>
      </c>
      <c r="C223" s="32" t="s">
        <v>522</v>
      </c>
      <c r="D223" s="32" t="s">
        <v>302</v>
      </c>
    </row>
    <row r="224" spans="2:4" x14ac:dyDescent="0.25">
      <c r="B224" s="32" t="s">
        <v>300</v>
      </c>
      <c r="C224" s="32" t="s">
        <v>523</v>
      </c>
      <c r="D224" s="32" t="s">
        <v>302</v>
      </c>
    </row>
    <row r="225" spans="2:4" x14ac:dyDescent="0.25">
      <c r="B225" s="32" t="s">
        <v>300</v>
      </c>
      <c r="C225" s="32" t="s">
        <v>524</v>
      </c>
      <c r="D225" s="32" t="s">
        <v>302</v>
      </c>
    </row>
    <row r="226" spans="2:4" x14ac:dyDescent="0.25">
      <c r="B226" s="32" t="s">
        <v>300</v>
      </c>
      <c r="C226" s="32" t="s">
        <v>525</v>
      </c>
      <c r="D226" s="32" t="s">
        <v>302</v>
      </c>
    </row>
    <row r="227" spans="2:4" x14ac:dyDescent="0.25">
      <c r="B227" s="32" t="s">
        <v>300</v>
      </c>
      <c r="C227" s="32" t="s">
        <v>526</v>
      </c>
      <c r="D227" s="32" t="s">
        <v>302</v>
      </c>
    </row>
    <row r="228" spans="2:4" x14ac:dyDescent="0.25">
      <c r="B228" s="32" t="s">
        <v>300</v>
      </c>
      <c r="C228" s="32" t="s">
        <v>527</v>
      </c>
      <c r="D228" s="32" t="s">
        <v>302</v>
      </c>
    </row>
    <row r="229" spans="2:4" x14ac:dyDescent="0.25">
      <c r="B229" s="32" t="s">
        <v>300</v>
      </c>
      <c r="C229" s="32" t="s">
        <v>528</v>
      </c>
      <c r="D229" s="32" t="s">
        <v>302</v>
      </c>
    </row>
    <row r="230" spans="2:4" x14ac:dyDescent="0.25">
      <c r="B230" s="32" t="s">
        <v>300</v>
      </c>
      <c r="C230" s="32" t="s">
        <v>529</v>
      </c>
      <c r="D230" s="32" t="s">
        <v>302</v>
      </c>
    </row>
    <row r="231" spans="2:4" x14ac:dyDescent="0.25">
      <c r="B231" s="32" t="s">
        <v>300</v>
      </c>
      <c r="C231" s="32" t="s">
        <v>530</v>
      </c>
      <c r="D231" s="32" t="s">
        <v>302</v>
      </c>
    </row>
    <row r="232" spans="2:4" x14ac:dyDescent="0.25">
      <c r="B232" s="32" t="s">
        <v>300</v>
      </c>
      <c r="C232" s="32" t="s">
        <v>531</v>
      </c>
      <c r="D232" s="32" t="s">
        <v>302</v>
      </c>
    </row>
    <row r="233" spans="2:4" x14ac:dyDescent="0.25">
      <c r="B233" s="32" t="s">
        <v>300</v>
      </c>
      <c r="C233" s="32" t="s">
        <v>532</v>
      </c>
      <c r="D233" s="32" t="s">
        <v>302</v>
      </c>
    </row>
    <row r="234" spans="2:4" x14ac:dyDescent="0.25">
      <c r="B234" s="32" t="s">
        <v>300</v>
      </c>
      <c r="C234" s="32" t="s">
        <v>533</v>
      </c>
      <c r="D234" s="32" t="s">
        <v>302</v>
      </c>
    </row>
    <row r="235" spans="2:4" x14ac:dyDescent="0.25">
      <c r="B235" s="32" t="s">
        <v>300</v>
      </c>
      <c r="C235" s="32" t="s">
        <v>534</v>
      </c>
      <c r="D235" s="32" t="s">
        <v>302</v>
      </c>
    </row>
    <row r="236" spans="2:4" x14ac:dyDescent="0.25">
      <c r="B236" s="32" t="s">
        <v>300</v>
      </c>
      <c r="C236" s="32" t="s">
        <v>535</v>
      </c>
      <c r="D236" s="32" t="s">
        <v>302</v>
      </c>
    </row>
    <row r="237" spans="2:4" x14ac:dyDescent="0.25">
      <c r="B237" s="32" t="s">
        <v>300</v>
      </c>
      <c r="C237" s="32" t="s">
        <v>536</v>
      </c>
      <c r="D237" s="32" t="s">
        <v>302</v>
      </c>
    </row>
    <row r="238" spans="2:4" x14ac:dyDescent="0.25">
      <c r="B238" s="32" t="s">
        <v>300</v>
      </c>
      <c r="C238" s="32" t="s">
        <v>537</v>
      </c>
      <c r="D238" s="32" t="s">
        <v>302</v>
      </c>
    </row>
    <row r="239" spans="2:4" x14ac:dyDescent="0.25">
      <c r="B239" s="32" t="s">
        <v>300</v>
      </c>
      <c r="C239" s="32" t="s">
        <v>538</v>
      </c>
      <c r="D239" s="32" t="s">
        <v>302</v>
      </c>
    </row>
    <row r="240" spans="2:4" x14ac:dyDescent="0.25">
      <c r="B240" s="32" t="s">
        <v>300</v>
      </c>
      <c r="C240" s="32" t="s">
        <v>539</v>
      </c>
      <c r="D240" s="32" t="s">
        <v>302</v>
      </c>
    </row>
    <row r="241" spans="2:4" x14ac:dyDescent="0.25">
      <c r="B241" s="32" t="s">
        <v>300</v>
      </c>
      <c r="C241" s="32" t="s">
        <v>540</v>
      </c>
      <c r="D241" s="32" t="s">
        <v>302</v>
      </c>
    </row>
    <row r="242" spans="2:4" x14ac:dyDescent="0.25">
      <c r="B242" s="32" t="s">
        <v>300</v>
      </c>
      <c r="C242" s="32" t="s">
        <v>541</v>
      </c>
      <c r="D242" s="32" t="s">
        <v>302</v>
      </c>
    </row>
    <row r="243" spans="2:4" x14ac:dyDescent="0.25">
      <c r="B243" s="32" t="s">
        <v>300</v>
      </c>
      <c r="C243" s="32" t="s">
        <v>542</v>
      </c>
      <c r="D243" s="32" t="s">
        <v>302</v>
      </c>
    </row>
    <row r="244" spans="2:4" x14ac:dyDescent="0.25">
      <c r="B244" s="32" t="s">
        <v>300</v>
      </c>
      <c r="C244" s="32" t="s">
        <v>543</v>
      </c>
      <c r="D244" s="32" t="s">
        <v>302</v>
      </c>
    </row>
    <row r="245" spans="2:4" x14ac:dyDescent="0.25">
      <c r="B245" s="32" t="s">
        <v>300</v>
      </c>
      <c r="C245" s="32" t="s">
        <v>544</v>
      </c>
      <c r="D245" s="32" t="s">
        <v>302</v>
      </c>
    </row>
    <row r="246" spans="2:4" x14ac:dyDescent="0.25">
      <c r="B246" s="32" t="s">
        <v>300</v>
      </c>
      <c r="C246" s="32" t="s">
        <v>545</v>
      </c>
      <c r="D246" s="32" t="s">
        <v>302</v>
      </c>
    </row>
    <row r="247" spans="2:4" x14ac:dyDescent="0.25">
      <c r="B247" s="32" t="s">
        <v>300</v>
      </c>
      <c r="C247" s="32" t="s">
        <v>546</v>
      </c>
      <c r="D247" s="32" t="s">
        <v>302</v>
      </c>
    </row>
    <row r="248" spans="2:4" x14ac:dyDescent="0.25">
      <c r="B248" s="32" t="s">
        <v>300</v>
      </c>
      <c r="C248" s="32" t="s">
        <v>547</v>
      </c>
      <c r="D248" s="32" t="s">
        <v>302</v>
      </c>
    </row>
    <row r="249" spans="2:4" x14ac:dyDescent="0.25">
      <c r="B249" s="32" t="s">
        <v>300</v>
      </c>
      <c r="C249" s="32" t="s">
        <v>548</v>
      </c>
      <c r="D249" s="32" t="s">
        <v>302</v>
      </c>
    </row>
    <row r="250" spans="2:4" x14ac:dyDescent="0.25">
      <c r="B250" s="32" t="s">
        <v>300</v>
      </c>
      <c r="C250" s="32" t="s">
        <v>549</v>
      </c>
      <c r="D250" s="32" t="s">
        <v>302</v>
      </c>
    </row>
    <row r="251" spans="2:4" x14ac:dyDescent="0.25">
      <c r="B251" s="32" t="s">
        <v>300</v>
      </c>
      <c r="C251" s="32" t="s">
        <v>550</v>
      </c>
      <c r="D251" s="32" t="s">
        <v>302</v>
      </c>
    </row>
    <row r="252" spans="2:4" x14ac:dyDescent="0.25">
      <c r="B252" s="32" t="s">
        <v>300</v>
      </c>
      <c r="C252" s="32" t="s">
        <v>551</v>
      </c>
      <c r="D252" s="32" t="s">
        <v>302</v>
      </c>
    </row>
    <row r="253" spans="2:4" x14ac:dyDescent="0.25">
      <c r="B253" s="32" t="s">
        <v>300</v>
      </c>
      <c r="C253" s="32" t="s">
        <v>552</v>
      </c>
      <c r="D253" s="32" t="s">
        <v>302</v>
      </c>
    </row>
    <row r="254" spans="2:4" x14ac:dyDescent="0.25">
      <c r="B254" s="32" t="s">
        <v>300</v>
      </c>
      <c r="C254" s="32" t="s">
        <v>553</v>
      </c>
      <c r="D254" s="32" t="s">
        <v>302</v>
      </c>
    </row>
    <row r="255" spans="2:4" x14ac:dyDescent="0.25">
      <c r="B255" s="32" t="s">
        <v>300</v>
      </c>
      <c r="C255" s="32" t="s">
        <v>554</v>
      </c>
      <c r="D255" s="32" t="s">
        <v>302</v>
      </c>
    </row>
    <row r="256" spans="2:4" x14ac:dyDescent="0.25">
      <c r="B256" s="32" t="s">
        <v>300</v>
      </c>
      <c r="C256" s="32" t="s">
        <v>555</v>
      </c>
      <c r="D256" s="32" t="s">
        <v>302</v>
      </c>
    </row>
    <row r="257" spans="2:4" x14ac:dyDescent="0.25">
      <c r="B257" s="32" t="s">
        <v>300</v>
      </c>
      <c r="C257" s="32" t="s">
        <v>556</v>
      </c>
      <c r="D257" s="32" t="s">
        <v>302</v>
      </c>
    </row>
    <row r="258" spans="2:4" x14ac:dyDescent="0.25">
      <c r="B258" s="32" t="s">
        <v>300</v>
      </c>
      <c r="C258" s="32" t="s">
        <v>557</v>
      </c>
      <c r="D258" s="32" t="s">
        <v>302</v>
      </c>
    </row>
    <row r="259" spans="2:4" x14ac:dyDescent="0.25">
      <c r="B259" s="32" t="s">
        <v>300</v>
      </c>
      <c r="C259" s="32" t="s">
        <v>558</v>
      </c>
      <c r="D259" s="32" t="s">
        <v>302</v>
      </c>
    </row>
    <row r="260" spans="2:4" x14ac:dyDescent="0.25">
      <c r="B260" s="32" t="s">
        <v>300</v>
      </c>
      <c r="C260" s="32" t="s">
        <v>559</v>
      </c>
      <c r="D260" s="32" t="s">
        <v>302</v>
      </c>
    </row>
    <row r="261" spans="2:4" x14ac:dyDescent="0.25">
      <c r="B261" s="32" t="s">
        <v>300</v>
      </c>
      <c r="C261" s="32" t="s">
        <v>560</v>
      </c>
      <c r="D261" s="32" t="s">
        <v>302</v>
      </c>
    </row>
    <row r="262" spans="2:4" x14ac:dyDescent="0.25">
      <c r="B262" s="32" t="s">
        <v>300</v>
      </c>
      <c r="C262" s="32" t="s">
        <v>561</v>
      </c>
      <c r="D262" s="32" t="s">
        <v>302</v>
      </c>
    </row>
    <row r="263" spans="2:4" x14ac:dyDescent="0.25">
      <c r="B263" s="32" t="s">
        <v>300</v>
      </c>
      <c r="C263" s="32" t="s">
        <v>562</v>
      </c>
      <c r="D263" s="32" t="s">
        <v>302</v>
      </c>
    </row>
    <row r="264" spans="2:4" x14ac:dyDescent="0.25">
      <c r="B264" s="32" t="s">
        <v>300</v>
      </c>
      <c r="C264" s="32" t="s">
        <v>563</v>
      </c>
      <c r="D264" s="32" t="s">
        <v>302</v>
      </c>
    </row>
    <row r="265" spans="2:4" x14ac:dyDescent="0.25">
      <c r="B265" s="32" t="s">
        <v>300</v>
      </c>
      <c r="C265" s="32" t="s">
        <v>564</v>
      </c>
      <c r="D265" s="32" t="s">
        <v>302</v>
      </c>
    </row>
    <row r="266" spans="2:4" x14ac:dyDescent="0.25">
      <c r="B266" s="32" t="s">
        <v>300</v>
      </c>
      <c r="C266" s="32" t="s">
        <v>565</v>
      </c>
      <c r="D266" s="32" t="s">
        <v>302</v>
      </c>
    </row>
    <row r="267" spans="2:4" x14ac:dyDescent="0.25">
      <c r="B267" s="32" t="s">
        <v>300</v>
      </c>
      <c r="C267" s="32" t="s">
        <v>566</v>
      </c>
      <c r="D267" s="32" t="s">
        <v>302</v>
      </c>
    </row>
    <row r="268" spans="2:4" x14ac:dyDescent="0.25">
      <c r="B268" s="32" t="s">
        <v>300</v>
      </c>
      <c r="C268" s="32" t="s">
        <v>567</v>
      </c>
      <c r="D268" s="32" t="s">
        <v>302</v>
      </c>
    </row>
    <row r="269" spans="2:4" x14ac:dyDescent="0.25">
      <c r="B269" s="32" t="s">
        <v>300</v>
      </c>
      <c r="C269" s="32" t="s">
        <v>568</v>
      </c>
      <c r="D269" s="32" t="s">
        <v>302</v>
      </c>
    </row>
    <row r="270" spans="2:4" x14ac:dyDescent="0.25">
      <c r="B270" s="32" t="s">
        <v>300</v>
      </c>
      <c r="C270" s="32" t="s">
        <v>569</v>
      </c>
      <c r="D270" s="32" t="s">
        <v>302</v>
      </c>
    </row>
    <row r="271" spans="2:4" x14ac:dyDescent="0.25">
      <c r="B271" s="32" t="s">
        <v>300</v>
      </c>
      <c r="C271" s="32" t="s">
        <v>570</v>
      </c>
      <c r="D271" s="32" t="s">
        <v>302</v>
      </c>
    </row>
    <row r="272" spans="2:4" x14ac:dyDescent="0.25">
      <c r="B272" s="32" t="s">
        <v>300</v>
      </c>
      <c r="C272" s="32" t="s">
        <v>571</v>
      </c>
      <c r="D272" s="32" t="s">
        <v>302</v>
      </c>
    </row>
    <row r="273" spans="2:4" x14ac:dyDescent="0.25">
      <c r="B273" s="32" t="s">
        <v>300</v>
      </c>
      <c r="C273" s="32" t="s">
        <v>572</v>
      </c>
      <c r="D273" s="32" t="s">
        <v>302</v>
      </c>
    </row>
    <row r="274" spans="2:4" x14ac:dyDescent="0.25">
      <c r="B274" s="32" t="s">
        <v>300</v>
      </c>
      <c r="C274" s="32" t="s">
        <v>573</v>
      </c>
      <c r="D274" s="32" t="s">
        <v>302</v>
      </c>
    </row>
    <row r="275" spans="2:4" x14ac:dyDescent="0.25">
      <c r="B275" s="32" t="s">
        <v>300</v>
      </c>
      <c r="C275" s="32" t="s">
        <v>574</v>
      </c>
      <c r="D275" s="32" t="s">
        <v>302</v>
      </c>
    </row>
    <row r="276" spans="2:4" x14ac:dyDescent="0.25">
      <c r="B276" s="32" t="s">
        <v>300</v>
      </c>
      <c r="C276" s="32" t="s">
        <v>575</v>
      </c>
      <c r="D276" s="32" t="s">
        <v>302</v>
      </c>
    </row>
    <row r="277" spans="2:4" x14ac:dyDescent="0.25">
      <c r="B277" s="32" t="s">
        <v>300</v>
      </c>
      <c r="C277" s="32" t="s">
        <v>576</v>
      </c>
      <c r="D277" s="32" t="s">
        <v>302</v>
      </c>
    </row>
    <row r="278" spans="2:4" x14ac:dyDescent="0.25">
      <c r="B278" s="32" t="s">
        <v>300</v>
      </c>
      <c r="C278" s="32" t="s">
        <v>577</v>
      </c>
      <c r="D278" s="32" t="s">
        <v>302</v>
      </c>
    </row>
    <row r="279" spans="2:4" x14ac:dyDescent="0.25">
      <c r="B279" s="32" t="s">
        <v>300</v>
      </c>
      <c r="C279" s="32" t="s">
        <v>578</v>
      </c>
      <c r="D279" s="32" t="s">
        <v>302</v>
      </c>
    </row>
    <row r="280" spans="2:4" x14ac:dyDescent="0.25">
      <c r="B280" s="32" t="s">
        <v>300</v>
      </c>
      <c r="C280" s="32" t="s">
        <v>579</v>
      </c>
      <c r="D280" s="32" t="s">
        <v>302</v>
      </c>
    </row>
    <row r="281" spans="2:4" x14ac:dyDescent="0.25">
      <c r="B281" s="32" t="s">
        <v>300</v>
      </c>
      <c r="C281" s="32" t="s">
        <v>580</v>
      </c>
      <c r="D281" s="32" t="s">
        <v>302</v>
      </c>
    </row>
    <row r="282" spans="2:4" x14ac:dyDescent="0.25">
      <c r="B282" s="32" t="s">
        <v>300</v>
      </c>
      <c r="C282" s="32" t="s">
        <v>581</v>
      </c>
      <c r="D282" s="32" t="s">
        <v>302</v>
      </c>
    </row>
    <row r="283" spans="2:4" x14ac:dyDescent="0.25">
      <c r="B283" s="32" t="s">
        <v>300</v>
      </c>
      <c r="C283" s="32" t="s">
        <v>582</v>
      </c>
      <c r="D283" s="32" t="s">
        <v>302</v>
      </c>
    </row>
    <row r="284" spans="2:4" x14ac:dyDescent="0.25">
      <c r="B284" s="32" t="s">
        <v>300</v>
      </c>
      <c r="C284" s="32" t="s">
        <v>583</v>
      </c>
      <c r="D284" s="32" t="s">
        <v>302</v>
      </c>
    </row>
    <row r="285" spans="2:4" x14ac:dyDescent="0.25">
      <c r="B285" s="32" t="s">
        <v>300</v>
      </c>
      <c r="C285" s="32" t="s">
        <v>584</v>
      </c>
      <c r="D285" s="32" t="s">
        <v>302</v>
      </c>
    </row>
    <row r="286" spans="2:4" x14ac:dyDescent="0.25">
      <c r="B286" s="32" t="s">
        <v>300</v>
      </c>
      <c r="C286" s="32" t="s">
        <v>585</v>
      </c>
      <c r="D286" s="32" t="s">
        <v>302</v>
      </c>
    </row>
    <row r="287" spans="2:4" x14ac:dyDescent="0.25">
      <c r="B287" s="32" t="s">
        <v>300</v>
      </c>
      <c r="C287" s="32" t="s">
        <v>586</v>
      </c>
      <c r="D287" s="32" t="s">
        <v>302</v>
      </c>
    </row>
    <row r="288" spans="2:4" x14ac:dyDescent="0.25">
      <c r="B288" s="32" t="s">
        <v>300</v>
      </c>
      <c r="C288" s="32" t="s">
        <v>587</v>
      </c>
      <c r="D288" s="32" t="s">
        <v>302</v>
      </c>
    </row>
    <row r="289" spans="2:4" x14ac:dyDescent="0.25">
      <c r="B289" s="32" t="s">
        <v>300</v>
      </c>
      <c r="C289" s="32" t="s">
        <v>588</v>
      </c>
      <c r="D289" s="32" t="s">
        <v>302</v>
      </c>
    </row>
    <row r="290" spans="2:4" x14ac:dyDescent="0.25">
      <c r="B290" s="32" t="s">
        <v>300</v>
      </c>
      <c r="C290" s="32" t="s">
        <v>589</v>
      </c>
      <c r="D290" s="32" t="s">
        <v>302</v>
      </c>
    </row>
    <row r="291" spans="2:4" x14ac:dyDescent="0.25">
      <c r="B291" s="32" t="s">
        <v>300</v>
      </c>
      <c r="C291" s="32" t="s">
        <v>590</v>
      </c>
      <c r="D291" s="32" t="s">
        <v>302</v>
      </c>
    </row>
    <row r="292" spans="2:4" x14ac:dyDescent="0.25">
      <c r="B292" s="32" t="s">
        <v>300</v>
      </c>
      <c r="C292" s="32" t="s">
        <v>591</v>
      </c>
      <c r="D292" s="32" t="s">
        <v>302</v>
      </c>
    </row>
    <row r="293" spans="2:4" x14ac:dyDescent="0.25">
      <c r="B293" s="32" t="s">
        <v>300</v>
      </c>
      <c r="C293" s="32" t="s">
        <v>592</v>
      </c>
      <c r="D293" s="32" t="s">
        <v>302</v>
      </c>
    </row>
    <row r="294" spans="2:4" x14ac:dyDescent="0.25">
      <c r="B294" s="32" t="s">
        <v>300</v>
      </c>
      <c r="C294" s="32" t="s">
        <v>593</v>
      </c>
      <c r="D294" s="32" t="s">
        <v>302</v>
      </c>
    </row>
    <row r="295" spans="2:4" x14ac:dyDescent="0.25">
      <c r="B295" s="32" t="s">
        <v>300</v>
      </c>
      <c r="C295" s="32" t="s">
        <v>594</v>
      </c>
      <c r="D295" s="32" t="s">
        <v>302</v>
      </c>
    </row>
    <row r="296" spans="2:4" x14ac:dyDescent="0.25">
      <c r="B296" s="32" t="s">
        <v>300</v>
      </c>
      <c r="C296" s="32" t="s">
        <v>595</v>
      </c>
      <c r="D296" s="32" t="s">
        <v>302</v>
      </c>
    </row>
    <row r="297" spans="2:4" x14ac:dyDescent="0.25">
      <c r="B297" s="32" t="s">
        <v>300</v>
      </c>
      <c r="C297" s="32" t="s">
        <v>596</v>
      </c>
      <c r="D297" s="32" t="s">
        <v>302</v>
      </c>
    </row>
    <row r="298" spans="2:4" x14ac:dyDescent="0.25">
      <c r="B298" s="32" t="s">
        <v>300</v>
      </c>
      <c r="C298" s="32" t="s">
        <v>597</v>
      </c>
      <c r="D298" s="32" t="s">
        <v>302</v>
      </c>
    </row>
    <row r="299" spans="2:4" x14ac:dyDescent="0.25">
      <c r="B299" s="32" t="s">
        <v>300</v>
      </c>
      <c r="C299" s="32" t="s">
        <v>598</v>
      </c>
      <c r="D299" s="32" t="s">
        <v>302</v>
      </c>
    </row>
    <row r="300" spans="2:4" x14ac:dyDescent="0.25">
      <c r="B300" s="32" t="s">
        <v>300</v>
      </c>
      <c r="C300" s="32" t="s">
        <v>599</v>
      </c>
      <c r="D300" s="32" t="s">
        <v>302</v>
      </c>
    </row>
    <row r="301" spans="2:4" x14ac:dyDescent="0.25">
      <c r="B301" s="32" t="s">
        <v>300</v>
      </c>
      <c r="C301" s="32" t="s">
        <v>600</v>
      </c>
      <c r="D301" s="32" t="s">
        <v>302</v>
      </c>
    </row>
    <row r="302" spans="2:4" x14ac:dyDescent="0.25">
      <c r="B302" s="32" t="s">
        <v>300</v>
      </c>
      <c r="C302" s="32" t="s">
        <v>601</v>
      </c>
      <c r="D302" s="32" t="s">
        <v>302</v>
      </c>
    </row>
    <row r="303" spans="2:4" x14ac:dyDescent="0.25">
      <c r="B303" s="32" t="s">
        <v>300</v>
      </c>
      <c r="C303" s="32" t="s">
        <v>602</v>
      </c>
      <c r="D303" s="32" t="s">
        <v>302</v>
      </c>
    </row>
    <row r="304" spans="2:4" x14ac:dyDescent="0.25">
      <c r="B304" s="32" t="s">
        <v>300</v>
      </c>
      <c r="C304" s="32" t="s">
        <v>603</v>
      </c>
      <c r="D304" s="32" t="s">
        <v>302</v>
      </c>
    </row>
    <row r="305" spans="2:4" x14ac:dyDescent="0.25">
      <c r="B305" s="32" t="s">
        <v>300</v>
      </c>
      <c r="C305" s="32" t="s">
        <v>604</v>
      </c>
      <c r="D305" s="32" t="s">
        <v>302</v>
      </c>
    </row>
    <row r="306" spans="2:4" x14ac:dyDescent="0.25">
      <c r="B306" s="32" t="s">
        <v>300</v>
      </c>
      <c r="C306" s="32" t="s">
        <v>605</v>
      </c>
      <c r="D306" s="32" t="s">
        <v>302</v>
      </c>
    </row>
    <row r="307" spans="2:4" x14ac:dyDescent="0.25">
      <c r="B307" s="32" t="s">
        <v>300</v>
      </c>
      <c r="C307" s="32" t="s">
        <v>606</v>
      </c>
      <c r="D307" s="32" t="s">
        <v>302</v>
      </c>
    </row>
    <row r="308" spans="2:4" x14ac:dyDescent="0.25">
      <c r="B308" s="32" t="s">
        <v>300</v>
      </c>
      <c r="C308" s="32" t="s">
        <v>607</v>
      </c>
      <c r="D308" s="32" t="s">
        <v>302</v>
      </c>
    </row>
    <row r="309" spans="2:4" x14ac:dyDescent="0.25">
      <c r="B309" s="32" t="s">
        <v>300</v>
      </c>
      <c r="C309" s="32" t="s">
        <v>608</v>
      </c>
      <c r="D309" s="32" t="s">
        <v>302</v>
      </c>
    </row>
    <row r="310" spans="2:4" x14ac:dyDescent="0.25">
      <c r="B310" s="32" t="s">
        <v>300</v>
      </c>
      <c r="C310" s="32" t="s">
        <v>609</v>
      </c>
      <c r="D310" s="32" t="s">
        <v>302</v>
      </c>
    </row>
    <row r="311" spans="2:4" x14ac:dyDescent="0.25">
      <c r="B311" s="32" t="s">
        <v>300</v>
      </c>
      <c r="C311" s="32" t="s">
        <v>610</v>
      </c>
      <c r="D311" s="32" t="s">
        <v>302</v>
      </c>
    </row>
    <row r="312" spans="2:4" x14ac:dyDescent="0.25">
      <c r="B312" s="32" t="s">
        <v>300</v>
      </c>
      <c r="C312" s="32" t="s">
        <v>611</v>
      </c>
      <c r="D312" s="32" t="s">
        <v>302</v>
      </c>
    </row>
    <row r="313" spans="2:4" x14ac:dyDescent="0.25">
      <c r="B313" s="32" t="s">
        <v>300</v>
      </c>
      <c r="C313" s="32" t="s">
        <v>612</v>
      </c>
      <c r="D313" s="32" t="s">
        <v>302</v>
      </c>
    </row>
    <row r="314" spans="2:4" x14ac:dyDescent="0.25">
      <c r="B314" s="32" t="s">
        <v>300</v>
      </c>
      <c r="C314" s="32" t="s">
        <v>613</v>
      </c>
      <c r="D314" s="32" t="s">
        <v>302</v>
      </c>
    </row>
    <row r="315" spans="2:4" x14ac:dyDescent="0.25">
      <c r="B315" s="32" t="s">
        <v>300</v>
      </c>
      <c r="C315" s="32" t="s">
        <v>614</v>
      </c>
      <c r="D315" s="32" t="s">
        <v>302</v>
      </c>
    </row>
    <row r="316" spans="2:4" x14ac:dyDescent="0.25">
      <c r="B316" s="32" t="s">
        <v>300</v>
      </c>
      <c r="C316" s="32" t="s">
        <v>615</v>
      </c>
      <c r="D316" s="32" t="s">
        <v>302</v>
      </c>
    </row>
    <row r="317" spans="2:4" x14ac:dyDescent="0.25">
      <c r="B317" s="32" t="s">
        <v>300</v>
      </c>
      <c r="C317" s="32" t="s">
        <v>616</v>
      </c>
      <c r="D317" s="32" t="s">
        <v>302</v>
      </c>
    </row>
    <row r="318" spans="2:4" x14ac:dyDescent="0.25">
      <c r="B318" s="32" t="s">
        <v>300</v>
      </c>
      <c r="C318" s="32" t="s">
        <v>617</v>
      </c>
      <c r="D318" s="32" t="s">
        <v>302</v>
      </c>
    </row>
    <row r="319" spans="2:4" x14ac:dyDescent="0.25">
      <c r="B319" s="32" t="s">
        <v>300</v>
      </c>
      <c r="C319" s="32" t="s">
        <v>618</v>
      </c>
      <c r="D319" s="32" t="s">
        <v>302</v>
      </c>
    </row>
    <row r="320" spans="2:4" x14ac:dyDescent="0.25">
      <c r="B320" s="32" t="s">
        <v>300</v>
      </c>
      <c r="C320" s="32" t="s">
        <v>619</v>
      </c>
      <c r="D320" s="32" t="s">
        <v>302</v>
      </c>
    </row>
    <row r="321" spans="2:4" x14ac:dyDescent="0.25">
      <c r="B321" s="32" t="s">
        <v>300</v>
      </c>
      <c r="C321" s="32" t="s">
        <v>620</v>
      </c>
      <c r="D321" s="32" t="s">
        <v>302</v>
      </c>
    </row>
    <row r="322" spans="2:4" x14ac:dyDescent="0.25">
      <c r="B322" s="32" t="s">
        <v>300</v>
      </c>
      <c r="C322" s="32" t="s">
        <v>621</v>
      </c>
      <c r="D322" s="32" t="s">
        <v>302</v>
      </c>
    </row>
    <row r="323" spans="2:4" x14ac:dyDescent="0.25">
      <c r="B323" s="32" t="s">
        <v>300</v>
      </c>
      <c r="C323" s="32" t="s">
        <v>622</v>
      </c>
      <c r="D323" s="32" t="s">
        <v>302</v>
      </c>
    </row>
    <row r="324" spans="2:4" x14ac:dyDescent="0.25">
      <c r="B324" s="32" t="s">
        <v>300</v>
      </c>
      <c r="C324" s="32" t="s">
        <v>623</v>
      </c>
      <c r="D324" s="32" t="s">
        <v>302</v>
      </c>
    </row>
    <row r="325" spans="2:4" x14ac:dyDescent="0.25">
      <c r="B325" s="32" t="s">
        <v>300</v>
      </c>
      <c r="C325" s="32" t="s">
        <v>624</v>
      </c>
      <c r="D325" s="32" t="s">
        <v>302</v>
      </c>
    </row>
    <row r="326" spans="2:4" x14ac:dyDescent="0.25">
      <c r="B326" s="32" t="s">
        <v>300</v>
      </c>
      <c r="C326" s="32" t="s">
        <v>625</v>
      </c>
      <c r="D326" s="32" t="s">
        <v>302</v>
      </c>
    </row>
    <row r="327" spans="2:4" x14ac:dyDescent="0.25">
      <c r="B327" s="32" t="s">
        <v>300</v>
      </c>
      <c r="C327" s="32" t="s">
        <v>626</v>
      </c>
      <c r="D327" s="32" t="s">
        <v>302</v>
      </c>
    </row>
    <row r="328" spans="2:4" x14ac:dyDescent="0.25">
      <c r="B328" s="32" t="s">
        <v>300</v>
      </c>
      <c r="C328" s="32" t="s">
        <v>627</v>
      </c>
      <c r="D328" s="32" t="s">
        <v>302</v>
      </c>
    </row>
    <row r="329" spans="2:4" x14ac:dyDescent="0.25">
      <c r="B329" s="32" t="s">
        <v>300</v>
      </c>
      <c r="C329" s="32" t="s">
        <v>628</v>
      </c>
      <c r="D329" s="32" t="s">
        <v>302</v>
      </c>
    </row>
    <row r="330" spans="2:4" x14ac:dyDescent="0.25">
      <c r="B330" s="32" t="s">
        <v>300</v>
      </c>
      <c r="C330" s="32" t="s">
        <v>629</v>
      </c>
      <c r="D330" s="32" t="s">
        <v>302</v>
      </c>
    </row>
    <row r="331" spans="2:4" x14ac:dyDescent="0.25">
      <c r="B331" s="32" t="s">
        <v>300</v>
      </c>
      <c r="C331" s="32" t="s">
        <v>630</v>
      </c>
      <c r="D331" s="32" t="s">
        <v>302</v>
      </c>
    </row>
    <row r="332" spans="2:4" x14ac:dyDescent="0.25">
      <c r="B332" s="32" t="s">
        <v>300</v>
      </c>
      <c r="C332" s="32" t="s">
        <v>631</v>
      </c>
      <c r="D332" s="32" t="s">
        <v>302</v>
      </c>
    </row>
    <row r="333" spans="2:4" x14ac:dyDescent="0.25">
      <c r="B333" s="32" t="s">
        <v>300</v>
      </c>
      <c r="C333" s="32" t="s">
        <v>632</v>
      </c>
      <c r="D333" s="32" t="s">
        <v>302</v>
      </c>
    </row>
    <row r="334" spans="2:4" x14ac:dyDescent="0.25">
      <c r="B334" s="32" t="s">
        <v>300</v>
      </c>
      <c r="C334" s="32" t="s">
        <v>633</v>
      </c>
      <c r="D334" s="32" t="s">
        <v>302</v>
      </c>
    </row>
    <row r="335" spans="2:4" x14ac:dyDescent="0.25">
      <c r="B335" s="32" t="s">
        <v>300</v>
      </c>
      <c r="C335" s="32" t="s">
        <v>634</v>
      </c>
      <c r="D335" s="32" t="s">
        <v>302</v>
      </c>
    </row>
    <row r="336" spans="2:4" x14ac:dyDescent="0.25">
      <c r="B336" s="32" t="s">
        <v>300</v>
      </c>
      <c r="C336" s="32" t="s">
        <v>635</v>
      </c>
      <c r="D336" s="32" t="s">
        <v>302</v>
      </c>
    </row>
    <row r="337" spans="2:4" x14ac:dyDescent="0.25">
      <c r="B337" s="32" t="s">
        <v>300</v>
      </c>
      <c r="C337" s="32" t="s">
        <v>636</v>
      </c>
      <c r="D337" s="32" t="s">
        <v>302</v>
      </c>
    </row>
    <row r="338" spans="2:4" x14ac:dyDescent="0.25">
      <c r="B338" s="32" t="s">
        <v>300</v>
      </c>
      <c r="C338" s="32" t="s">
        <v>637</v>
      </c>
      <c r="D338" s="32" t="s">
        <v>302</v>
      </c>
    </row>
    <row r="339" spans="2:4" x14ac:dyDescent="0.25">
      <c r="B339" s="32" t="s">
        <v>300</v>
      </c>
      <c r="C339" s="32" t="s">
        <v>638</v>
      </c>
      <c r="D339" s="32" t="s">
        <v>302</v>
      </c>
    </row>
    <row r="340" spans="2:4" x14ac:dyDescent="0.25">
      <c r="B340" s="32" t="s">
        <v>300</v>
      </c>
      <c r="C340" s="32" t="s">
        <v>639</v>
      </c>
      <c r="D340" s="32" t="s">
        <v>302</v>
      </c>
    </row>
    <row r="341" spans="2:4" x14ac:dyDescent="0.25">
      <c r="B341" s="32" t="s">
        <v>300</v>
      </c>
      <c r="C341" s="32" t="s">
        <v>640</v>
      </c>
      <c r="D341" s="32" t="s">
        <v>302</v>
      </c>
    </row>
    <row r="342" spans="2:4" x14ac:dyDescent="0.25">
      <c r="B342" s="32" t="s">
        <v>300</v>
      </c>
      <c r="C342" s="32" t="s">
        <v>641</v>
      </c>
      <c r="D342" s="32" t="s">
        <v>302</v>
      </c>
    </row>
    <row r="343" spans="2:4" x14ac:dyDescent="0.25">
      <c r="B343" s="32" t="s">
        <v>300</v>
      </c>
      <c r="C343" s="32" t="s">
        <v>642</v>
      </c>
      <c r="D343" s="32" t="s">
        <v>302</v>
      </c>
    </row>
    <row r="344" spans="2:4" x14ac:dyDescent="0.25">
      <c r="B344" s="32" t="s">
        <v>300</v>
      </c>
      <c r="C344" s="32" t="s">
        <v>643</v>
      </c>
      <c r="D344" s="32" t="s">
        <v>302</v>
      </c>
    </row>
    <row r="345" spans="2:4" x14ac:dyDescent="0.25">
      <c r="B345" s="32" t="s">
        <v>300</v>
      </c>
      <c r="C345" s="32" t="s">
        <v>644</v>
      </c>
      <c r="D345" s="32" t="s">
        <v>302</v>
      </c>
    </row>
    <row r="346" spans="2:4" x14ac:dyDescent="0.25">
      <c r="B346" s="32" t="s">
        <v>300</v>
      </c>
      <c r="C346" s="32" t="s">
        <v>645</v>
      </c>
      <c r="D346" s="32" t="s">
        <v>302</v>
      </c>
    </row>
    <row r="347" spans="2:4" x14ac:dyDescent="0.25">
      <c r="B347" s="32" t="s">
        <v>300</v>
      </c>
      <c r="C347" s="32" t="s">
        <v>646</v>
      </c>
      <c r="D347" s="32" t="s">
        <v>302</v>
      </c>
    </row>
    <row r="348" spans="2:4" x14ac:dyDescent="0.25">
      <c r="B348" s="32" t="s">
        <v>300</v>
      </c>
      <c r="C348" s="32" t="s">
        <v>647</v>
      </c>
      <c r="D348" s="32" t="s">
        <v>302</v>
      </c>
    </row>
    <row r="349" spans="2:4" x14ac:dyDescent="0.25">
      <c r="B349" s="32" t="s">
        <v>300</v>
      </c>
      <c r="C349" s="32" t="s">
        <v>648</v>
      </c>
      <c r="D349" s="32" t="s">
        <v>302</v>
      </c>
    </row>
    <row r="350" spans="2:4" x14ac:dyDescent="0.25">
      <c r="B350" s="32" t="s">
        <v>300</v>
      </c>
      <c r="C350" s="32" t="s">
        <v>649</v>
      </c>
      <c r="D350" s="32" t="s">
        <v>302</v>
      </c>
    </row>
    <row r="351" spans="2:4" x14ac:dyDescent="0.25">
      <c r="B351" s="32" t="s">
        <v>300</v>
      </c>
      <c r="C351" s="32" t="s">
        <v>650</v>
      </c>
      <c r="D351" s="32" t="s">
        <v>302</v>
      </c>
    </row>
    <row r="352" spans="2:4" x14ac:dyDescent="0.25">
      <c r="B352" s="32" t="s">
        <v>300</v>
      </c>
      <c r="C352" s="32" t="s">
        <v>651</v>
      </c>
      <c r="D352" s="32" t="s">
        <v>302</v>
      </c>
    </row>
    <row r="353" spans="2:4" x14ac:dyDescent="0.25">
      <c r="B353" s="32" t="s">
        <v>300</v>
      </c>
      <c r="C353" s="32" t="s">
        <v>652</v>
      </c>
      <c r="D353" s="32" t="s">
        <v>302</v>
      </c>
    </row>
    <row r="354" spans="2:4" x14ac:dyDescent="0.25">
      <c r="B354" s="32" t="s">
        <v>300</v>
      </c>
      <c r="C354" s="32" t="s">
        <v>653</v>
      </c>
      <c r="D354" s="32" t="s">
        <v>302</v>
      </c>
    </row>
    <row r="355" spans="2:4" x14ac:dyDescent="0.25">
      <c r="B355" s="32" t="s">
        <v>300</v>
      </c>
      <c r="C355" s="32" t="s">
        <v>654</v>
      </c>
      <c r="D355" s="32" t="s">
        <v>302</v>
      </c>
    </row>
    <row r="356" spans="2:4" x14ac:dyDescent="0.25">
      <c r="B356" s="32" t="s">
        <v>300</v>
      </c>
      <c r="C356" s="32" t="s">
        <v>655</v>
      </c>
      <c r="D356" s="32" t="s">
        <v>302</v>
      </c>
    </row>
    <row r="357" spans="2:4" x14ac:dyDescent="0.25">
      <c r="B357" s="32" t="s">
        <v>300</v>
      </c>
      <c r="C357" s="32" t="s">
        <v>656</v>
      </c>
      <c r="D357" s="32" t="s">
        <v>302</v>
      </c>
    </row>
    <row r="358" spans="2:4" x14ac:dyDescent="0.25">
      <c r="B358" s="32" t="s">
        <v>300</v>
      </c>
      <c r="C358" s="32" t="s">
        <v>657</v>
      </c>
      <c r="D358" s="32" t="s">
        <v>302</v>
      </c>
    </row>
    <row r="359" spans="2:4" x14ac:dyDescent="0.25">
      <c r="B359" s="32" t="s">
        <v>300</v>
      </c>
      <c r="C359" s="32" t="s">
        <v>658</v>
      </c>
      <c r="D359" s="32" t="s">
        <v>302</v>
      </c>
    </row>
    <row r="360" spans="2:4" x14ac:dyDescent="0.25">
      <c r="B360" s="32" t="s">
        <v>300</v>
      </c>
      <c r="C360" s="32" t="s">
        <v>659</v>
      </c>
      <c r="D360" s="32" t="s">
        <v>302</v>
      </c>
    </row>
    <row r="361" spans="2:4" x14ac:dyDescent="0.25">
      <c r="B361" s="32" t="s">
        <v>300</v>
      </c>
      <c r="C361" s="32" t="s">
        <v>660</v>
      </c>
      <c r="D361" s="32" t="s">
        <v>302</v>
      </c>
    </row>
    <row r="362" spans="2:4" x14ac:dyDescent="0.25">
      <c r="B362" s="32" t="s">
        <v>300</v>
      </c>
      <c r="C362" s="32" t="s">
        <v>661</v>
      </c>
      <c r="D362" s="32" t="s">
        <v>302</v>
      </c>
    </row>
    <row r="363" spans="2:4" x14ac:dyDescent="0.25">
      <c r="B363" s="32" t="s">
        <v>300</v>
      </c>
      <c r="C363" s="32" t="s">
        <v>662</v>
      </c>
      <c r="D363" s="32" t="s">
        <v>302</v>
      </c>
    </row>
    <row r="364" spans="2:4" x14ac:dyDescent="0.25">
      <c r="B364" s="32" t="s">
        <v>300</v>
      </c>
      <c r="C364" s="32" t="s">
        <v>663</v>
      </c>
      <c r="D364" s="32" t="s">
        <v>302</v>
      </c>
    </row>
    <row r="365" spans="2:4" x14ac:dyDescent="0.25">
      <c r="B365" s="32" t="s">
        <v>300</v>
      </c>
      <c r="C365" s="32" t="s">
        <v>664</v>
      </c>
      <c r="D365" s="32" t="s">
        <v>302</v>
      </c>
    </row>
    <row r="366" spans="2:4" x14ac:dyDescent="0.25">
      <c r="B366" s="32" t="s">
        <v>300</v>
      </c>
      <c r="C366" s="32" t="s">
        <v>665</v>
      </c>
      <c r="D366" s="32" t="s">
        <v>302</v>
      </c>
    </row>
    <row r="367" spans="2:4" x14ac:dyDescent="0.25">
      <c r="B367" s="32" t="s">
        <v>300</v>
      </c>
      <c r="C367" s="32" t="s">
        <v>666</v>
      </c>
      <c r="D367" s="32" t="s">
        <v>302</v>
      </c>
    </row>
    <row r="368" spans="2:4" x14ac:dyDescent="0.25">
      <c r="B368" s="32" t="s">
        <v>300</v>
      </c>
      <c r="C368" s="32" t="s">
        <v>667</v>
      </c>
      <c r="D368" s="32" t="s">
        <v>302</v>
      </c>
    </row>
    <row r="369" spans="2:4" x14ac:dyDescent="0.25">
      <c r="B369" s="32" t="s">
        <v>300</v>
      </c>
      <c r="C369" s="32" t="s">
        <v>668</v>
      </c>
      <c r="D369" s="32" t="s">
        <v>302</v>
      </c>
    </row>
    <row r="370" spans="2:4" x14ac:dyDescent="0.25">
      <c r="B370" s="32" t="s">
        <v>300</v>
      </c>
      <c r="C370" s="32" t="s">
        <v>669</v>
      </c>
      <c r="D370" s="32" t="s">
        <v>302</v>
      </c>
    </row>
    <row r="371" spans="2:4" x14ac:dyDescent="0.25">
      <c r="B371" s="32" t="s">
        <v>300</v>
      </c>
      <c r="C371" s="32" t="s">
        <v>670</v>
      </c>
      <c r="D371" s="32" t="s">
        <v>302</v>
      </c>
    </row>
    <row r="372" spans="2:4" x14ac:dyDescent="0.25">
      <c r="B372" s="32" t="s">
        <v>300</v>
      </c>
      <c r="C372" s="32" t="s">
        <v>671</v>
      </c>
      <c r="D372" s="32" t="s">
        <v>302</v>
      </c>
    </row>
    <row r="373" spans="2:4" x14ac:dyDescent="0.25">
      <c r="B373" s="32" t="s">
        <v>300</v>
      </c>
      <c r="C373" s="32" t="s">
        <v>672</v>
      </c>
      <c r="D373" s="32" t="s">
        <v>302</v>
      </c>
    </row>
    <row r="374" spans="2:4" x14ac:dyDescent="0.25">
      <c r="B374" s="32" t="s">
        <v>300</v>
      </c>
      <c r="C374" s="32" t="s">
        <v>673</v>
      </c>
      <c r="D374" s="32" t="s">
        <v>302</v>
      </c>
    </row>
    <row r="375" spans="2:4" x14ac:dyDescent="0.25">
      <c r="B375" s="32" t="s">
        <v>300</v>
      </c>
      <c r="C375" s="32" t="s">
        <v>674</v>
      </c>
      <c r="D375" s="32" t="s">
        <v>302</v>
      </c>
    </row>
    <row r="376" spans="2:4" x14ac:dyDescent="0.25">
      <c r="B376" s="32" t="s">
        <v>300</v>
      </c>
      <c r="C376" s="32" t="s">
        <v>675</v>
      </c>
      <c r="D376" s="32" t="s">
        <v>302</v>
      </c>
    </row>
    <row r="377" spans="2:4" x14ac:dyDescent="0.25">
      <c r="B377" s="32" t="s">
        <v>300</v>
      </c>
      <c r="C377" s="32" t="s">
        <v>676</v>
      </c>
      <c r="D377" s="32" t="s">
        <v>302</v>
      </c>
    </row>
    <row r="378" spans="2:4" x14ac:dyDescent="0.25">
      <c r="B378" s="32" t="s">
        <v>300</v>
      </c>
      <c r="C378" s="32" t="s">
        <v>677</v>
      </c>
      <c r="D378" s="32" t="s">
        <v>302</v>
      </c>
    </row>
    <row r="379" spans="2:4" x14ac:dyDescent="0.25">
      <c r="B379" s="32" t="s">
        <v>300</v>
      </c>
      <c r="C379" s="32" t="s">
        <v>678</v>
      </c>
      <c r="D379" s="32" t="s">
        <v>302</v>
      </c>
    </row>
    <row r="380" spans="2:4" x14ac:dyDescent="0.25">
      <c r="B380" s="32" t="s">
        <v>300</v>
      </c>
      <c r="C380" s="32" t="s">
        <v>679</v>
      </c>
      <c r="D380" s="32" t="s">
        <v>302</v>
      </c>
    </row>
    <row r="381" spans="2:4" x14ac:dyDescent="0.25">
      <c r="B381" s="32" t="s">
        <v>300</v>
      </c>
      <c r="C381" s="32" t="s">
        <v>680</v>
      </c>
      <c r="D381" s="32" t="s">
        <v>302</v>
      </c>
    </row>
    <row r="382" spans="2:4" x14ac:dyDescent="0.25">
      <c r="B382" s="32" t="s">
        <v>300</v>
      </c>
      <c r="C382" s="32" t="s">
        <v>681</v>
      </c>
      <c r="D382" s="32" t="s">
        <v>302</v>
      </c>
    </row>
    <row r="383" spans="2:4" x14ac:dyDescent="0.25">
      <c r="B383" s="32" t="s">
        <v>300</v>
      </c>
      <c r="C383" s="32" t="s">
        <v>682</v>
      </c>
      <c r="D383" s="32" t="s">
        <v>302</v>
      </c>
    </row>
    <row r="384" spans="2:4" x14ac:dyDescent="0.25">
      <c r="B384" s="32" t="s">
        <v>300</v>
      </c>
      <c r="C384" s="32" t="s">
        <v>683</v>
      </c>
      <c r="D384" s="32" t="s">
        <v>302</v>
      </c>
    </row>
    <row r="385" spans="2:4" x14ac:dyDescent="0.25">
      <c r="B385" s="32" t="s">
        <v>300</v>
      </c>
      <c r="C385" s="32" t="s">
        <v>684</v>
      </c>
      <c r="D385" s="32" t="s">
        <v>302</v>
      </c>
    </row>
    <row r="386" spans="2:4" x14ac:dyDescent="0.25">
      <c r="B386" s="32" t="s">
        <v>300</v>
      </c>
      <c r="C386" s="32" t="s">
        <v>685</v>
      </c>
      <c r="D386" s="32" t="s">
        <v>302</v>
      </c>
    </row>
    <row r="387" spans="2:4" x14ac:dyDescent="0.25">
      <c r="B387" s="32" t="s">
        <v>300</v>
      </c>
      <c r="C387" s="32" t="s">
        <v>686</v>
      </c>
      <c r="D387" s="32" t="s">
        <v>302</v>
      </c>
    </row>
    <row r="388" spans="2:4" x14ac:dyDescent="0.25">
      <c r="B388" s="32" t="s">
        <v>300</v>
      </c>
      <c r="C388" s="32" t="s">
        <v>687</v>
      </c>
      <c r="D388" s="32" t="s">
        <v>302</v>
      </c>
    </row>
    <row r="389" spans="2:4" x14ac:dyDescent="0.25">
      <c r="B389" s="32" t="s">
        <v>300</v>
      </c>
      <c r="C389" s="32" t="s">
        <v>688</v>
      </c>
      <c r="D389" s="32" t="s">
        <v>302</v>
      </c>
    </row>
    <row r="390" spans="2:4" x14ac:dyDescent="0.25">
      <c r="B390" s="32" t="s">
        <v>300</v>
      </c>
      <c r="C390" s="32" t="s">
        <v>689</v>
      </c>
      <c r="D390" s="32" t="s">
        <v>302</v>
      </c>
    </row>
    <row r="391" spans="2:4" x14ac:dyDescent="0.25">
      <c r="B391" s="32" t="s">
        <v>300</v>
      </c>
      <c r="C391" s="32" t="s">
        <v>690</v>
      </c>
      <c r="D391" s="32" t="s">
        <v>302</v>
      </c>
    </row>
    <row r="392" spans="2:4" x14ac:dyDescent="0.25">
      <c r="B392" s="32" t="s">
        <v>300</v>
      </c>
      <c r="C392" s="32" t="s">
        <v>691</v>
      </c>
      <c r="D392" s="32" t="s">
        <v>302</v>
      </c>
    </row>
    <row r="393" spans="2:4" x14ac:dyDescent="0.25">
      <c r="B393" s="32" t="s">
        <v>300</v>
      </c>
      <c r="C393" s="32" t="s">
        <v>692</v>
      </c>
      <c r="D393" s="32" t="s">
        <v>302</v>
      </c>
    </row>
    <row r="394" spans="2:4" x14ac:dyDescent="0.25">
      <c r="B394" s="32" t="s">
        <v>300</v>
      </c>
      <c r="C394" s="32" t="s">
        <v>693</v>
      </c>
      <c r="D394" s="32" t="s">
        <v>302</v>
      </c>
    </row>
    <row r="395" spans="2:4" x14ac:dyDescent="0.25">
      <c r="B395" s="32" t="s">
        <v>300</v>
      </c>
      <c r="C395" s="32" t="s">
        <v>694</v>
      </c>
      <c r="D395" s="32" t="s">
        <v>302</v>
      </c>
    </row>
    <row r="396" spans="2:4" x14ac:dyDescent="0.25">
      <c r="B396" s="32" t="s">
        <v>300</v>
      </c>
      <c r="C396" s="32" t="s">
        <v>695</v>
      </c>
      <c r="D396" s="32" t="s">
        <v>302</v>
      </c>
    </row>
    <row r="397" spans="2:4" x14ac:dyDescent="0.25">
      <c r="B397" s="32" t="s">
        <v>300</v>
      </c>
      <c r="C397" s="32" t="s">
        <v>696</v>
      </c>
      <c r="D397" s="32" t="s">
        <v>302</v>
      </c>
    </row>
    <row r="398" spans="2:4" x14ac:dyDescent="0.25">
      <c r="B398" s="32" t="s">
        <v>300</v>
      </c>
      <c r="C398" s="32" t="s">
        <v>697</v>
      </c>
      <c r="D398" s="32" t="s">
        <v>302</v>
      </c>
    </row>
    <row r="399" spans="2:4" x14ac:dyDescent="0.25">
      <c r="B399" s="32" t="s">
        <v>300</v>
      </c>
      <c r="C399" s="32" t="s">
        <v>698</v>
      </c>
      <c r="D399" s="32" t="s">
        <v>302</v>
      </c>
    </row>
    <row r="400" spans="2:4" x14ac:dyDescent="0.25">
      <c r="B400" s="32" t="s">
        <v>300</v>
      </c>
      <c r="C400" s="32" t="s">
        <v>699</v>
      </c>
      <c r="D400" s="32" t="s">
        <v>302</v>
      </c>
    </row>
    <row r="401" spans="2:4" x14ac:dyDescent="0.25">
      <c r="B401" s="32" t="s">
        <v>300</v>
      </c>
      <c r="C401" s="32" t="s">
        <v>700</v>
      </c>
      <c r="D401" s="32" t="s">
        <v>302</v>
      </c>
    </row>
    <row r="402" spans="2:4" x14ac:dyDescent="0.25">
      <c r="B402" s="32" t="s">
        <v>300</v>
      </c>
      <c r="C402" s="32" t="s">
        <v>701</v>
      </c>
      <c r="D402" s="32" t="s">
        <v>302</v>
      </c>
    </row>
    <row r="403" spans="2:4" x14ac:dyDescent="0.25">
      <c r="B403" s="32" t="s">
        <v>300</v>
      </c>
      <c r="C403" s="32" t="s">
        <v>702</v>
      </c>
      <c r="D403" s="32" t="s">
        <v>302</v>
      </c>
    </row>
    <row r="404" spans="2:4" x14ac:dyDescent="0.25">
      <c r="B404" s="32" t="s">
        <v>300</v>
      </c>
      <c r="C404" s="32" t="s">
        <v>703</v>
      </c>
      <c r="D404" s="32" t="s">
        <v>302</v>
      </c>
    </row>
    <row r="405" spans="2:4" x14ac:dyDescent="0.25">
      <c r="B405" s="32" t="s">
        <v>300</v>
      </c>
      <c r="C405" s="32" t="s">
        <v>704</v>
      </c>
      <c r="D405" s="32" t="s">
        <v>302</v>
      </c>
    </row>
    <row r="406" spans="2:4" x14ac:dyDescent="0.25">
      <c r="B406" s="32" t="s">
        <v>300</v>
      </c>
      <c r="C406" s="32" t="s">
        <v>705</v>
      </c>
      <c r="D406" s="32" t="s">
        <v>302</v>
      </c>
    </row>
    <row r="407" spans="2:4" x14ac:dyDescent="0.25">
      <c r="B407" s="32" t="s">
        <v>300</v>
      </c>
      <c r="C407" s="32" t="s">
        <v>706</v>
      </c>
      <c r="D407" s="32" t="s">
        <v>302</v>
      </c>
    </row>
    <row r="408" spans="2:4" x14ac:dyDescent="0.25">
      <c r="B408" s="32" t="s">
        <v>300</v>
      </c>
      <c r="C408" s="32" t="s">
        <v>707</v>
      </c>
      <c r="D408" s="32" t="s">
        <v>302</v>
      </c>
    </row>
    <row r="409" spans="2:4" x14ac:dyDescent="0.25">
      <c r="B409" s="32" t="s">
        <v>300</v>
      </c>
      <c r="C409" s="32" t="s">
        <v>708</v>
      </c>
      <c r="D409" s="32" t="s">
        <v>302</v>
      </c>
    </row>
    <row r="410" spans="2:4" x14ac:dyDescent="0.25">
      <c r="B410" s="32" t="s">
        <v>300</v>
      </c>
      <c r="C410" s="32" t="s">
        <v>709</v>
      </c>
      <c r="D410" s="32" t="s">
        <v>302</v>
      </c>
    </row>
    <row r="411" spans="2:4" x14ac:dyDescent="0.25">
      <c r="B411" s="32" t="s">
        <v>300</v>
      </c>
      <c r="C411" s="32" t="s">
        <v>710</v>
      </c>
      <c r="D411" s="32" t="s">
        <v>302</v>
      </c>
    </row>
    <row r="412" spans="2:4" x14ac:dyDescent="0.25">
      <c r="B412" s="32" t="s">
        <v>300</v>
      </c>
      <c r="C412" s="32" t="s">
        <v>711</v>
      </c>
      <c r="D412" s="32" t="s">
        <v>302</v>
      </c>
    </row>
    <row r="413" spans="2:4" x14ac:dyDescent="0.25">
      <c r="B413" s="32" t="s">
        <v>300</v>
      </c>
      <c r="C413" s="32" t="s">
        <v>712</v>
      </c>
      <c r="D413" s="32" t="s">
        <v>302</v>
      </c>
    </row>
    <row r="414" spans="2:4" x14ac:dyDescent="0.25">
      <c r="B414" s="32" t="s">
        <v>300</v>
      </c>
      <c r="C414" s="32" t="s">
        <v>713</v>
      </c>
      <c r="D414" s="32" t="s">
        <v>302</v>
      </c>
    </row>
    <row r="415" spans="2:4" x14ac:dyDescent="0.25">
      <c r="B415" s="32" t="s">
        <v>300</v>
      </c>
      <c r="C415" s="32" t="s">
        <v>714</v>
      </c>
      <c r="D415" s="32" t="s">
        <v>302</v>
      </c>
    </row>
    <row r="416" spans="2:4" x14ac:dyDescent="0.25">
      <c r="B416" s="32" t="s">
        <v>300</v>
      </c>
      <c r="C416" s="32" t="s">
        <v>715</v>
      </c>
      <c r="D416" s="32" t="s">
        <v>302</v>
      </c>
    </row>
    <row r="417" spans="2:4" x14ac:dyDescent="0.25">
      <c r="B417" s="32" t="s">
        <v>300</v>
      </c>
      <c r="C417" s="32" t="s">
        <v>716</v>
      </c>
      <c r="D417" s="32" t="s">
        <v>302</v>
      </c>
    </row>
    <row r="418" spans="2:4" x14ac:dyDescent="0.25">
      <c r="B418" s="32" t="s">
        <v>300</v>
      </c>
      <c r="C418" s="32" t="s">
        <v>717</v>
      </c>
      <c r="D418" s="32" t="s">
        <v>302</v>
      </c>
    </row>
    <row r="419" spans="2:4" x14ac:dyDescent="0.25">
      <c r="B419" s="32" t="s">
        <v>300</v>
      </c>
      <c r="C419" s="32" t="s">
        <v>718</v>
      </c>
      <c r="D419" s="32" t="s">
        <v>302</v>
      </c>
    </row>
    <row r="420" spans="2:4" x14ac:dyDescent="0.25">
      <c r="B420" s="32" t="s">
        <v>300</v>
      </c>
      <c r="C420" s="32" t="s">
        <v>719</v>
      </c>
      <c r="D420" s="32" t="s">
        <v>302</v>
      </c>
    </row>
    <row r="421" spans="2:4" x14ac:dyDescent="0.25">
      <c r="B421" s="32" t="s">
        <v>300</v>
      </c>
      <c r="C421" s="32" t="s">
        <v>720</v>
      </c>
      <c r="D421" s="32" t="s">
        <v>302</v>
      </c>
    </row>
    <row r="422" spans="2:4" x14ac:dyDescent="0.25">
      <c r="B422" s="32" t="s">
        <v>300</v>
      </c>
      <c r="C422" s="32" t="s">
        <v>721</v>
      </c>
      <c r="D422" s="32" t="s">
        <v>302</v>
      </c>
    </row>
    <row r="423" spans="2:4" x14ac:dyDescent="0.25">
      <c r="B423" s="32" t="s">
        <v>300</v>
      </c>
      <c r="C423" s="32" t="s">
        <v>722</v>
      </c>
      <c r="D423" s="32" t="s">
        <v>302</v>
      </c>
    </row>
    <row r="424" spans="2:4" x14ac:dyDescent="0.25">
      <c r="B424" s="32" t="s">
        <v>300</v>
      </c>
      <c r="C424" s="32" t="s">
        <v>723</v>
      </c>
      <c r="D424" s="32" t="s">
        <v>302</v>
      </c>
    </row>
    <row r="425" spans="2:4" x14ac:dyDescent="0.25">
      <c r="B425" s="32" t="s">
        <v>300</v>
      </c>
      <c r="C425" s="32" t="s">
        <v>724</v>
      </c>
      <c r="D425" s="32" t="s">
        <v>302</v>
      </c>
    </row>
    <row r="426" spans="2:4" x14ac:dyDescent="0.25">
      <c r="B426" s="32" t="s">
        <v>300</v>
      </c>
      <c r="C426" s="32" t="s">
        <v>725</v>
      </c>
      <c r="D426" s="32" t="s">
        <v>302</v>
      </c>
    </row>
    <row r="427" spans="2:4" x14ac:dyDescent="0.25">
      <c r="B427" s="32" t="s">
        <v>300</v>
      </c>
      <c r="C427" s="32" t="s">
        <v>726</v>
      </c>
      <c r="D427" s="32" t="s">
        <v>302</v>
      </c>
    </row>
    <row r="428" spans="2:4" x14ac:dyDescent="0.25">
      <c r="B428" s="32" t="s">
        <v>300</v>
      </c>
      <c r="C428" s="32" t="s">
        <v>727</v>
      </c>
      <c r="D428" s="32" t="s">
        <v>302</v>
      </c>
    </row>
    <row r="429" spans="2:4" x14ac:dyDescent="0.25">
      <c r="B429" s="32" t="s">
        <v>300</v>
      </c>
      <c r="C429" s="32" t="s">
        <v>728</v>
      </c>
      <c r="D429" s="32" t="s">
        <v>302</v>
      </c>
    </row>
    <row r="430" spans="2:4" x14ac:dyDescent="0.25">
      <c r="B430" s="32" t="s">
        <v>300</v>
      </c>
      <c r="C430" s="32" t="s">
        <v>729</v>
      </c>
      <c r="D430" s="32" t="s">
        <v>302</v>
      </c>
    </row>
    <row r="431" spans="2:4" x14ac:dyDescent="0.25">
      <c r="B431" s="32" t="s">
        <v>300</v>
      </c>
      <c r="C431" s="32" t="s">
        <v>730</v>
      </c>
      <c r="D431" s="32" t="s">
        <v>302</v>
      </c>
    </row>
    <row r="432" spans="2:4" x14ac:dyDescent="0.25">
      <c r="B432" s="32" t="s">
        <v>300</v>
      </c>
      <c r="C432" s="32" t="s">
        <v>731</v>
      </c>
      <c r="D432" s="32" t="s">
        <v>302</v>
      </c>
    </row>
    <row r="433" spans="2:4" x14ac:dyDescent="0.25">
      <c r="B433" s="32" t="s">
        <v>300</v>
      </c>
      <c r="C433" s="32" t="s">
        <v>732</v>
      </c>
      <c r="D433" s="32" t="s">
        <v>302</v>
      </c>
    </row>
    <row r="434" spans="2:4" x14ac:dyDescent="0.25">
      <c r="B434" s="32" t="s">
        <v>300</v>
      </c>
      <c r="C434" s="32" t="s">
        <v>733</v>
      </c>
      <c r="D434" s="32" t="s">
        <v>302</v>
      </c>
    </row>
    <row r="435" spans="2:4" x14ac:dyDescent="0.25">
      <c r="B435" s="32" t="s">
        <v>300</v>
      </c>
      <c r="C435" s="32" t="s">
        <v>734</v>
      </c>
      <c r="D435" s="32" t="s">
        <v>302</v>
      </c>
    </row>
    <row r="436" spans="2:4" x14ac:dyDescent="0.25">
      <c r="B436" s="32" t="s">
        <v>300</v>
      </c>
      <c r="C436" s="32" t="s">
        <v>735</v>
      </c>
      <c r="D436" s="32" t="s">
        <v>302</v>
      </c>
    </row>
    <row r="437" spans="2:4" x14ac:dyDescent="0.25">
      <c r="B437" s="32" t="s">
        <v>300</v>
      </c>
      <c r="C437" s="32" t="s">
        <v>736</v>
      </c>
      <c r="D437" s="32" t="s">
        <v>302</v>
      </c>
    </row>
    <row r="438" spans="2:4" x14ac:dyDescent="0.25">
      <c r="B438" s="32" t="s">
        <v>300</v>
      </c>
      <c r="C438" s="32" t="s">
        <v>737</v>
      </c>
      <c r="D438" s="32" t="s">
        <v>302</v>
      </c>
    </row>
    <row r="439" spans="2:4" x14ac:dyDescent="0.25">
      <c r="B439" s="32" t="s">
        <v>300</v>
      </c>
      <c r="C439" s="32" t="s">
        <v>738</v>
      </c>
      <c r="D439" s="32" t="s">
        <v>302</v>
      </c>
    </row>
    <row r="440" spans="2:4" x14ac:dyDescent="0.25">
      <c r="B440" s="32" t="s">
        <v>300</v>
      </c>
      <c r="C440" s="32" t="s">
        <v>739</v>
      </c>
      <c r="D440" s="32" t="s">
        <v>302</v>
      </c>
    </row>
    <row r="441" spans="2:4" x14ac:dyDescent="0.25">
      <c r="B441" s="32" t="s">
        <v>300</v>
      </c>
      <c r="C441" s="32" t="s">
        <v>740</v>
      </c>
      <c r="D441" s="32" t="s">
        <v>302</v>
      </c>
    </row>
    <row r="442" spans="2:4" x14ac:dyDescent="0.25">
      <c r="B442" s="32" t="s">
        <v>300</v>
      </c>
      <c r="C442" s="32" t="s">
        <v>741</v>
      </c>
      <c r="D442" s="32" t="s">
        <v>302</v>
      </c>
    </row>
    <row r="443" spans="2:4" x14ac:dyDescent="0.25">
      <c r="B443" s="32" t="s">
        <v>300</v>
      </c>
      <c r="C443" s="32" t="s">
        <v>742</v>
      </c>
      <c r="D443" s="32" t="s">
        <v>302</v>
      </c>
    </row>
    <row r="444" spans="2:4" x14ac:dyDescent="0.25">
      <c r="B444" s="32" t="s">
        <v>300</v>
      </c>
      <c r="C444" s="32" t="s">
        <v>743</v>
      </c>
      <c r="D444" s="32" t="s">
        <v>302</v>
      </c>
    </row>
    <row r="445" spans="2:4" x14ac:dyDescent="0.25">
      <c r="B445" s="32" t="s">
        <v>300</v>
      </c>
      <c r="C445" s="32" t="s">
        <v>744</v>
      </c>
      <c r="D445" s="32" t="s">
        <v>302</v>
      </c>
    </row>
    <row r="446" spans="2:4" x14ac:dyDescent="0.25">
      <c r="B446" s="32" t="s">
        <v>300</v>
      </c>
      <c r="C446" s="32" t="s">
        <v>745</v>
      </c>
      <c r="D446" s="32" t="s">
        <v>302</v>
      </c>
    </row>
    <row r="447" spans="2:4" x14ac:dyDescent="0.25">
      <c r="B447" s="32" t="s">
        <v>300</v>
      </c>
      <c r="C447" s="32" t="s">
        <v>746</v>
      </c>
      <c r="D447" s="32" t="s">
        <v>302</v>
      </c>
    </row>
    <row r="448" spans="2:4" x14ac:dyDescent="0.25">
      <c r="B448" s="32" t="s">
        <v>300</v>
      </c>
      <c r="C448" s="32" t="s">
        <v>747</v>
      </c>
      <c r="D448" s="32" t="s">
        <v>302</v>
      </c>
    </row>
    <row r="449" spans="2:4" x14ac:dyDescent="0.25">
      <c r="B449" s="32" t="s">
        <v>300</v>
      </c>
      <c r="C449" s="32" t="s">
        <v>748</v>
      </c>
      <c r="D449" s="32" t="s">
        <v>302</v>
      </c>
    </row>
    <row r="450" spans="2:4" x14ac:dyDescent="0.25">
      <c r="B450" s="32" t="s">
        <v>300</v>
      </c>
      <c r="C450" s="32" t="s">
        <v>749</v>
      </c>
      <c r="D450" s="32" t="s">
        <v>302</v>
      </c>
    </row>
    <row r="451" spans="2:4" x14ac:dyDescent="0.25">
      <c r="B451" s="32" t="s">
        <v>300</v>
      </c>
      <c r="C451" s="32" t="s">
        <v>750</v>
      </c>
      <c r="D451" s="32" t="s">
        <v>302</v>
      </c>
    </row>
    <row r="452" spans="2:4" x14ac:dyDescent="0.25">
      <c r="B452" s="32" t="s">
        <v>300</v>
      </c>
      <c r="C452" s="32" t="s">
        <v>751</v>
      </c>
      <c r="D452" s="32" t="s">
        <v>302</v>
      </c>
    </row>
    <row r="453" spans="2:4" x14ac:dyDescent="0.25">
      <c r="B453" s="32" t="s">
        <v>300</v>
      </c>
      <c r="C453" s="32" t="s">
        <v>752</v>
      </c>
      <c r="D453" s="32" t="s">
        <v>302</v>
      </c>
    </row>
    <row r="454" spans="2:4" x14ac:dyDescent="0.25">
      <c r="B454" s="32" t="s">
        <v>300</v>
      </c>
      <c r="C454" s="32" t="s">
        <v>753</v>
      </c>
      <c r="D454" s="32" t="s">
        <v>302</v>
      </c>
    </row>
    <row r="455" spans="2:4" x14ac:dyDescent="0.25">
      <c r="B455" s="32" t="s">
        <v>300</v>
      </c>
      <c r="C455" s="32" t="s">
        <v>754</v>
      </c>
      <c r="D455" s="32" t="s">
        <v>302</v>
      </c>
    </row>
    <row r="456" spans="2:4" x14ac:dyDescent="0.25">
      <c r="B456" s="32" t="s">
        <v>300</v>
      </c>
      <c r="C456" s="32" t="s">
        <v>755</v>
      </c>
      <c r="D456" s="32" t="s">
        <v>302</v>
      </c>
    </row>
    <row r="457" spans="2:4" x14ac:dyDescent="0.25">
      <c r="B457" s="32" t="s">
        <v>300</v>
      </c>
      <c r="C457" s="32" t="s">
        <v>756</v>
      </c>
      <c r="D457" s="32" t="s">
        <v>302</v>
      </c>
    </row>
    <row r="458" spans="2:4" x14ac:dyDescent="0.25">
      <c r="B458" s="32" t="s">
        <v>300</v>
      </c>
      <c r="C458" s="32" t="s">
        <v>757</v>
      </c>
      <c r="D458" s="32" t="s">
        <v>302</v>
      </c>
    </row>
    <row r="459" spans="2:4" x14ac:dyDescent="0.25">
      <c r="B459" s="32" t="s">
        <v>300</v>
      </c>
      <c r="C459" s="32" t="s">
        <v>758</v>
      </c>
      <c r="D459" s="32" t="s">
        <v>302</v>
      </c>
    </row>
    <row r="460" spans="2:4" x14ac:dyDescent="0.25">
      <c r="B460" s="32" t="s">
        <v>300</v>
      </c>
      <c r="C460" s="32" t="s">
        <v>759</v>
      </c>
      <c r="D460" s="32" t="s">
        <v>302</v>
      </c>
    </row>
    <row r="461" spans="2:4" x14ac:dyDescent="0.25">
      <c r="B461" s="32" t="s">
        <v>300</v>
      </c>
      <c r="C461" s="32" t="s">
        <v>760</v>
      </c>
      <c r="D461" s="32" t="s">
        <v>302</v>
      </c>
    </row>
    <row r="462" spans="2:4" x14ac:dyDescent="0.25">
      <c r="B462" s="32" t="s">
        <v>300</v>
      </c>
      <c r="C462" s="32" t="s">
        <v>761</v>
      </c>
      <c r="D462" s="32" t="s">
        <v>302</v>
      </c>
    </row>
    <row r="463" spans="2:4" x14ac:dyDescent="0.25">
      <c r="B463" s="32" t="s">
        <v>300</v>
      </c>
      <c r="C463" s="32" t="s">
        <v>762</v>
      </c>
      <c r="D463" s="32" t="s">
        <v>302</v>
      </c>
    </row>
    <row r="464" spans="2:4" x14ac:dyDescent="0.25">
      <c r="B464" s="32" t="s">
        <v>300</v>
      </c>
      <c r="C464" s="32" t="s">
        <v>763</v>
      </c>
      <c r="D464" s="32" t="s">
        <v>302</v>
      </c>
    </row>
    <row r="465" spans="2:4" x14ac:dyDescent="0.25">
      <c r="B465" s="32" t="s">
        <v>300</v>
      </c>
      <c r="C465" s="32" t="s">
        <v>764</v>
      </c>
      <c r="D465" s="32" t="s">
        <v>302</v>
      </c>
    </row>
    <row r="466" spans="2:4" x14ac:dyDescent="0.25">
      <c r="B466" s="32" t="s">
        <v>300</v>
      </c>
      <c r="C466" s="32" t="s">
        <v>765</v>
      </c>
      <c r="D466" s="32" t="s">
        <v>302</v>
      </c>
    </row>
    <row r="467" spans="2:4" x14ac:dyDescent="0.25">
      <c r="B467" s="32" t="s">
        <v>300</v>
      </c>
      <c r="C467" s="32" t="s">
        <v>766</v>
      </c>
      <c r="D467" s="32" t="s">
        <v>302</v>
      </c>
    </row>
    <row r="468" spans="2:4" x14ac:dyDescent="0.25">
      <c r="B468" s="32" t="s">
        <v>300</v>
      </c>
      <c r="C468" s="32" t="s">
        <v>767</v>
      </c>
      <c r="D468" s="32" t="s">
        <v>302</v>
      </c>
    </row>
    <row r="469" spans="2:4" x14ac:dyDescent="0.25">
      <c r="B469" s="32" t="s">
        <v>300</v>
      </c>
      <c r="C469" s="32" t="s">
        <v>768</v>
      </c>
      <c r="D469" s="32" t="s">
        <v>302</v>
      </c>
    </row>
    <row r="470" spans="2:4" x14ac:dyDescent="0.25">
      <c r="B470" s="32" t="s">
        <v>300</v>
      </c>
      <c r="C470" s="32" t="s">
        <v>769</v>
      </c>
      <c r="D470" s="32" t="s">
        <v>302</v>
      </c>
    </row>
    <row r="471" spans="2:4" x14ac:dyDescent="0.25">
      <c r="B471" s="32" t="s">
        <v>300</v>
      </c>
      <c r="C471" s="32" t="s">
        <v>770</v>
      </c>
      <c r="D471" s="32" t="s">
        <v>302</v>
      </c>
    </row>
    <row r="472" spans="2:4" x14ac:dyDescent="0.25">
      <c r="B472" s="32" t="s">
        <v>300</v>
      </c>
      <c r="C472" s="32" t="s">
        <v>771</v>
      </c>
      <c r="D472" s="32" t="s">
        <v>302</v>
      </c>
    </row>
    <row r="473" spans="2:4" x14ac:dyDescent="0.25">
      <c r="B473" s="32" t="s">
        <v>300</v>
      </c>
      <c r="C473" s="32" t="s">
        <v>772</v>
      </c>
      <c r="D473" s="32" t="s">
        <v>302</v>
      </c>
    </row>
    <row r="474" spans="2:4" x14ac:dyDescent="0.25">
      <c r="B474" s="32" t="s">
        <v>300</v>
      </c>
      <c r="C474" s="32" t="s">
        <v>773</v>
      </c>
      <c r="D474" s="32" t="s">
        <v>302</v>
      </c>
    </row>
    <row r="475" spans="2:4" x14ac:dyDescent="0.25">
      <c r="B475" s="32" t="s">
        <v>300</v>
      </c>
      <c r="C475" s="32" t="s">
        <v>774</v>
      </c>
      <c r="D475" s="32" t="s">
        <v>302</v>
      </c>
    </row>
    <row r="476" spans="2:4" x14ac:dyDescent="0.25">
      <c r="B476" s="32" t="s">
        <v>300</v>
      </c>
      <c r="C476" s="32" t="s">
        <v>775</v>
      </c>
      <c r="D476" s="32" t="s">
        <v>302</v>
      </c>
    </row>
    <row r="477" spans="2:4" x14ac:dyDescent="0.25">
      <c r="B477" s="32" t="s">
        <v>300</v>
      </c>
      <c r="C477" s="32" t="s">
        <v>776</v>
      </c>
      <c r="D477" s="32" t="s">
        <v>302</v>
      </c>
    </row>
    <row r="478" spans="2:4" x14ac:dyDescent="0.25">
      <c r="B478" s="32" t="s">
        <v>300</v>
      </c>
      <c r="C478" s="32" t="s">
        <v>777</v>
      </c>
      <c r="D478" s="32" t="s">
        <v>302</v>
      </c>
    </row>
    <row r="479" spans="2:4" x14ac:dyDescent="0.25">
      <c r="B479" s="32" t="s">
        <v>300</v>
      </c>
      <c r="C479" s="32" t="s">
        <v>778</v>
      </c>
      <c r="D479" s="32" t="s">
        <v>302</v>
      </c>
    </row>
    <row r="480" spans="2:4" x14ac:dyDescent="0.25">
      <c r="B480" s="32" t="s">
        <v>300</v>
      </c>
      <c r="C480" s="32" t="s">
        <v>779</v>
      </c>
      <c r="D480" s="32" t="s">
        <v>302</v>
      </c>
    </row>
    <row r="481" spans="2:4" x14ac:dyDescent="0.25">
      <c r="B481" s="32" t="s">
        <v>300</v>
      </c>
      <c r="C481" s="32" t="s">
        <v>780</v>
      </c>
      <c r="D481" s="32" t="s">
        <v>302</v>
      </c>
    </row>
    <row r="482" spans="2:4" x14ac:dyDescent="0.25">
      <c r="B482" s="32" t="s">
        <v>300</v>
      </c>
      <c r="C482" s="32" t="s">
        <v>781</v>
      </c>
      <c r="D482" s="32" t="s">
        <v>302</v>
      </c>
    </row>
    <row r="483" spans="2:4" x14ac:dyDescent="0.25">
      <c r="B483" s="32" t="s">
        <v>300</v>
      </c>
      <c r="C483" s="32" t="s">
        <v>782</v>
      </c>
      <c r="D483" s="32" t="s">
        <v>302</v>
      </c>
    </row>
    <row r="484" spans="2:4" x14ac:dyDescent="0.25">
      <c r="B484" s="32" t="s">
        <v>300</v>
      </c>
      <c r="C484" s="32" t="s">
        <v>783</v>
      </c>
      <c r="D484" s="32" t="s">
        <v>302</v>
      </c>
    </row>
    <row r="485" spans="2:4" x14ac:dyDescent="0.25">
      <c r="B485" s="32" t="s">
        <v>300</v>
      </c>
      <c r="C485" s="32" t="s">
        <v>784</v>
      </c>
      <c r="D485" s="32" t="s">
        <v>302</v>
      </c>
    </row>
    <row r="486" spans="2:4" x14ac:dyDescent="0.25">
      <c r="B486" s="32" t="s">
        <v>300</v>
      </c>
      <c r="C486" s="32" t="s">
        <v>785</v>
      </c>
      <c r="D486" s="32" t="s">
        <v>302</v>
      </c>
    </row>
    <row r="487" spans="2:4" x14ac:dyDescent="0.25">
      <c r="B487" s="32" t="s">
        <v>300</v>
      </c>
      <c r="C487" s="32" t="s">
        <v>786</v>
      </c>
      <c r="D487" s="32" t="s">
        <v>302</v>
      </c>
    </row>
    <row r="488" spans="2:4" x14ac:dyDescent="0.25">
      <c r="B488" s="32" t="s">
        <v>300</v>
      </c>
      <c r="C488" s="32" t="s">
        <v>787</v>
      </c>
      <c r="D488" s="32" t="s">
        <v>302</v>
      </c>
    </row>
    <row r="489" spans="2:4" x14ac:dyDescent="0.25">
      <c r="B489" s="32" t="s">
        <v>300</v>
      </c>
      <c r="C489" s="32" t="s">
        <v>788</v>
      </c>
      <c r="D489" s="32" t="s">
        <v>302</v>
      </c>
    </row>
    <row r="490" spans="2:4" x14ac:dyDescent="0.25">
      <c r="B490" s="32" t="s">
        <v>300</v>
      </c>
      <c r="C490" s="32" t="s">
        <v>789</v>
      </c>
      <c r="D490" s="32" t="s">
        <v>302</v>
      </c>
    </row>
    <row r="491" spans="2:4" x14ac:dyDescent="0.25">
      <c r="B491" s="32" t="s">
        <v>300</v>
      </c>
      <c r="C491" s="32" t="s">
        <v>790</v>
      </c>
      <c r="D491" s="32" t="s">
        <v>302</v>
      </c>
    </row>
    <row r="492" spans="2:4" x14ac:dyDescent="0.25">
      <c r="B492" s="32" t="s">
        <v>300</v>
      </c>
      <c r="C492" s="32" t="s">
        <v>791</v>
      </c>
      <c r="D492" s="32" t="s">
        <v>302</v>
      </c>
    </row>
    <row r="493" spans="2:4" x14ac:dyDescent="0.25">
      <c r="B493" s="32" t="s">
        <v>300</v>
      </c>
      <c r="C493" s="32" t="s">
        <v>792</v>
      </c>
      <c r="D493" s="32" t="s">
        <v>302</v>
      </c>
    </row>
    <row r="494" spans="2:4" x14ac:dyDescent="0.25">
      <c r="B494" s="32" t="s">
        <v>300</v>
      </c>
      <c r="C494" s="32" t="s">
        <v>793</v>
      </c>
      <c r="D494" s="32" t="s">
        <v>302</v>
      </c>
    </row>
    <row r="495" spans="2:4" x14ac:dyDescent="0.25">
      <c r="B495" s="32" t="s">
        <v>300</v>
      </c>
      <c r="C495" s="32" t="s">
        <v>794</v>
      </c>
      <c r="D495" s="32" t="s">
        <v>302</v>
      </c>
    </row>
    <row r="496" spans="2:4" x14ac:dyDescent="0.25">
      <c r="B496" s="32" t="s">
        <v>300</v>
      </c>
      <c r="C496" s="32" t="s">
        <v>795</v>
      </c>
      <c r="D496" s="32" t="s">
        <v>302</v>
      </c>
    </row>
    <row r="497" spans="2:4" x14ac:dyDescent="0.25">
      <c r="B497" s="32" t="s">
        <v>300</v>
      </c>
      <c r="C497" s="32" t="s">
        <v>796</v>
      </c>
      <c r="D497" s="32" t="s">
        <v>302</v>
      </c>
    </row>
    <row r="498" spans="2:4" x14ac:dyDescent="0.25">
      <c r="B498" s="32" t="s">
        <v>300</v>
      </c>
      <c r="C498" s="32" t="s">
        <v>797</v>
      </c>
      <c r="D498" s="32" t="s">
        <v>302</v>
      </c>
    </row>
    <row r="499" spans="2:4" x14ac:dyDescent="0.25">
      <c r="B499" s="32" t="s">
        <v>300</v>
      </c>
      <c r="C499" s="32" t="s">
        <v>798</v>
      </c>
      <c r="D499" s="32" t="s">
        <v>302</v>
      </c>
    </row>
    <row r="500" spans="2:4" x14ac:dyDescent="0.25">
      <c r="B500" s="32" t="s">
        <v>300</v>
      </c>
      <c r="C500" s="32" t="s">
        <v>799</v>
      </c>
      <c r="D500" s="32" t="s">
        <v>302</v>
      </c>
    </row>
    <row r="501" spans="2:4" x14ac:dyDescent="0.25">
      <c r="B501" s="32" t="s">
        <v>300</v>
      </c>
      <c r="C501" s="32" t="s">
        <v>800</v>
      </c>
      <c r="D501" s="32" t="s">
        <v>302</v>
      </c>
    </row>
    <row r="502" spans="2:4" x14ac:dyDescent="0.25">
      <c r="B502" s="32" t="s">
        <v>300</v>
      </c>
      <c r="C502" s="32" t="s">
        <v>801</v>
      </c>
      <c r="D502" s="32" t="s">
        <v>302</v>
      </c>
    </row>
    <row r="503" spans="2:4" x14ac:dyDescent="0.25">
      <c r="B503" s="32" t="s">
        <v>300</v>
      </c>
      <c r="C503" s="32" t="s">
        <v>802</v>
      </c>
      <c r="D503" s="32" t="s">
        <v>302</v>
      </c>
    </row>
    <row r="504" spans="2:4" x14ac:dyDescent="0.25">
      <c r="B504" s="32" t="s">
        <v>300</v>
      </c>
      <c r="C504" s="32" t="s">
        <v>803</v>
      </c>
      <c r="D504" s="32" t="s">
        <v>302</v>
      </c>
    </row>
    <row r="505" spans="2:4" x14ac:dyDescent="0.25">
      <c r="B505" s="32" t="s">
        <v>300</v>
      </c>
      <c r="C505" s="32" t="s">
        <v>804</v>
      </c>
      <c r="D505" s="32" t="s">
        <v>302</v>
      </c>
    </row>
    <row r="506" spans="2:4" x14ac:dyDescent="0.25">
      <c r="B506" s="32" t="s">
        <v>300</v>
      </c>
      <c r="C506" s="32" t="s">
        <v>805</v>
      </c>
      <c r="D506" s="32" t="s">
        <v>302</v>
      </c>
    </row>
    <row r="507" spans="2:4" x14ac:dyDescent="0.25">
      <c r="B507" s="32" t="s">
        <v>300</v>
      </c>
      <c r="C507" s="32" t="s">
        <v>806</v>
      </c>
      <c r="D507" s="32" t="s">
        <v>302</v>
      </c>
    </row>
    <row r="508" spans="2:4" x14ac:dyDescent="0.25">
      <c r="B508" s="32" t="s">
        <v>300</v>
      </c>
      <c r="C508" s="32" t="s">
        <v>807</v>
      </c>
      <c r="D508" s="32" t="s">
        <v>302</v>
      </c>
    </row>
    <row r="509" spans="2:4" x14ac:dyDescent="0.25">
      <c r="B509" s="32" t="s">
        <v>300</v>
      </c>
      <c r="C509" s="32" t="s">
        <v>808</v>
      </c>
      <c r="D509" s="32" t="s">
        <v>302</v>
      </c>
    </row>
    <row r="510" spans="2:4" x14ac:dyDescent="0.25">
      <c r="B510" s="32" t="s">
        <v>300</v>
      </c>
      <c r="C510" s="32" t="s">
        <v>809</v>
      </c>
      <c r="D510" s="32" t="s">
        <v>302</v>
      </c>
    </row>
    <row r="511" spans="2:4" x14ac:dyDescent="0.25">
      <c r="B511" s="32" t="s">
        <v>300</v>
      </c>
      <c r="C511" s="32" t="s">
        <v>810</v>
      </c>
      <c r="D511" s="32" t="s">
        <v>302</v>
      </c>
    </row>
    <row r="512" spans="2:4" x14ac:dyDescent="0.25">
      <c r="B512" s="32" t="s">
        <v>300</v>
      </c>
      <c r="C512" s="32" t="s">
        <v>811</v>
      </c>
      <c r="D512" s="32" t="s">
        <v>302</v>
      </c>
    </row>
    <row r="513" spans="2:4" x14ac:dyDescent="0.25">
      <c r="B513" s="32" t="s">
        <v>300</v>
      </c>
      <c r="C513" s="32" t="s">
        <v>812</v>
      </c>
      <c r="D513" s="32" t="s">
        <v>302</v>
      </c>
    </row>
    <row r="514" spans="2:4" x14ac:dyDescent="0.25">
      <c r="B514" s="32" t="s">
        <v>300</v>
      </c>
      <c r="C514" s="32" t="s">
        <v>813</v>
      </c>
      <c r="D514" s="32" t="s">
        <v>302</v>
      </c>
    </row>
    <row r="515" spans="2:4" x14ac:dyDescent="0.25">
      <c r="B515" s="32" t="s">
        <v>300</v>
      </c>
      <c r="C515" s="32" t="s">
        <v>814</v>
      </c>
      <c r="D515" s="32" t="s">
        <v>302</v>
      </c>
    </row>
    <row r="516" spans="2:4" x14ac:dyDescent="0.25">
      <c r="B516" s="32" t="s">
        <v>300</v>
      </c>
      <c r="C516" s="32" t="s">
        <v>815</v>
      </c>
      <c r="D516" s="32" t="s">
        <v>302</v>
      </c>
    </row>
    <row r="517" spans="2:4" x14ac:dyDescent="0.25">
      <c r="B517" s="32" t="s">
        <v>300</v>
      </c>
      <c r="C517" s="32" t="s">
        <v>816</v>
      </c>
      <c r="D517" s="32" t="s">
        <v>302</v>
      </c>
    </row>
    <row r="518" spans="2:4" x14ac:dyDescent="0.25">
      <c r="B518" s="32" t="s">
        <v>300</v>
      </c>
      <c r="C518" s="32" t="s">
        <v>817</v>
      </c>
      <c r="D518" s="32" t="s">
        <v>302</v>
      </c>
    </row>
    <row r="519" spans="2:4" x14ac:dyDescent="0.25">
      <c r="B519" s="32" t="s">
        <v>300</v>
      </c>
      <c r="C519" s="32" t="s">
        <v>818</v>
      </c>
      <c r="D519" s="32" t="s">
        <v>302</v>
      </c>
    </row>
    <row r="520" spans="2:4" x14ac:dyDescent="0.25">
      <c r="B520" s="32" t="s">
        <v>300</v>
      </c>
      <c r="C520" s="32" t="s">
        <v>819</v>
      </c>
      <c r="D520" s="32" t="s">
        <v>302</v>
      </c>
    </row>
    <row r="521" spans="2:4" x14ac:dyDescent="0.25">
      <c r="B521" s="32" t="s">
        <v>300</v>
      </c>
      <c r="C521" s="32" t="s">
        <v>820</v>
      </c>
      <c r="D521" s="32" t="s">
        <v>302</v>
      </c>
    </row>
    <row r="522" spans="2:4" x14ac:dyDescent="0.25">
      <c r="B522" s="32" t="s">
        <v>300</v>
      </c>
      <c r="C522" s="32" t="s">
        <v>821</v>
      </c>
      <c r="D522" s="32" t="s">
        <v>302</v>
      </c>
    </row>
    <row r="523" spans="2:4" x14ac:dyDescent="0.25">
      <c r="B523" s="32" t="s">
        <v>300</v>
      </c>
      <c r="C523" s="32" t="s">
        <v>822</v>
      </c>
      <c r="D523" s="32" t="s">
        <v>302</v>
      </c>
    </row>
    <row r="524" spans="2:4" x14ac:dyDescent="0.25">
      <c r="B524" s="32" t="s">
        <v>300</v>
      </c>
      <c r="C524" s="32" t="s">
        <v>823</v>
      </c>
      <c r="D524" s="32" t="s">
        <v>302</v>
      </c>
    </row>
    <row r="525" spans="2:4" x14ac:dyDescent="0.25">
      <c r="B525" s="32" t="s">
        <v>300</v>
      </c>
      <c r="C525" s="32" t="s">
        <v>824</v>
      </c>
      <c r="D525" s="32" t="s">
        <v>302</v>
      </c>
    </row>
    <row r="526" spans="2:4" x14ac:dyDescent="0.25">
      <c r="B526" s="32" t="s">
        <v>300</v>
      </c>
      <c r="C526" s="32" t="s">
        <v>825</v>
      </c>
      <c r="D526" s="32" t="s">
        <v>302</v>
      </c>
    </row>
    <row r="527" spans="2:4" x14ac:dyDescent="0.25">
      <c r="B527" s="32" t="s">
        <v>300</v>
      </c>
      <c r="C527" s="32" t="s">
        <v>826</v>
      </c>
      <c r="D527" s="32" t="s">
        <v>302</v>
      </c>
    </row>
    <row r="528" spans="2:4" x14ac:dyDescent="0.25">
      <c r="B528" s="32" t="s">
        <v>300</v>
      </c>
      <c r="C528" s="32" t="s">
        <v>827</v>
      </c>
      <c r="D528" s="32" t="s">
        <v>302</v>
      </c>
    </row>
    <row r="529" spans="2:4" x14ac:dyDescent="0.25">
      <c r="B529" s="32" t="s">
        <v>300</v>
      </c>
      <c r="C529" s="32" t="s">
        <v>828</v>
      </c>
      <c r="D529" s="32" t="s">
        <v>302</v>
      </c>
    </row>
    <row r="530" spans="2:4" x14ac:dyDescent="0.25">
      <c r="B530" s="32" t="s">
        <v>300</v>
      </c>
      <c r="C530" s="32" t="s">
        <v>829</v>
      </c>
      <c r="D530" s="32" t="s">
        <v>302</v>
      </c>
    </row>
    <row r="531" spans="2:4" x14ac:dyDescent="0.25">
      <c r="B531" s="32" t="s">
        <v>300</v>
      </c>
      <c r="C531" s="32" t="s">
        <v>830</v>
      </c>
      <c r="D531" s="32" t="s">
        <v>302</v>
      </c>
    </row>
    <row r="532" spans="2:4" x14ac:dyDescent="0.25">
      <c r="B532" s="32" t="s">
        <v>300</v>
      </c>
      <c r="C532" s="32" t="s">
        <v>831</v>
      </c>
      <c r="D532" s="32" t="s">
        <v>302</v>
      </c>
    </row>
    <row r="533" spans="2:4" x14ac:dyDescent="0.25">
      <c r="B533" s="32" t="s">
        <v>300</v>
      </c>
      <c r="C533" s="32" t="s">
        <v>832</v>
      </c>
      <c r="D533" s="32" t="s">
        <v>302</v>
      </c>
    </row>
    <row r="534" spans="2:4" x14ac:dyDescent="0.25">
      <c r="B534" s="32" t="s">
        <v>300</v>
      </c>
      <c r="C534" s="32" t="s">
        <v>833</v>
      </c>
      <c r="D534" s="32" t="s">
        <v>302</v>
      </c>
    </row>
    <row r="535" spans="2:4" x14ac:dyDescent="0.25">
      <c r="B535" s="32" t="s">
        <v>300</v>
      </c>
      <c r="C535" s="32" t="s">
        <v>834</v>
      </c>
      <c r="D535" s="32" t="s">
        <v>302</v>
      </c>
    </row>
    <row r="536" spans="2:4" x14ac:dyDescent="0.25">
      <c r="B536" s="32" t="s">
        <v>300</v>
      </c>
      <c r="C536" s="32" t="s">
        <v>835</v>
      </c>
      <c r="D536" s="32" t="s">
        <v>302</v>
      </c>
    </row>
    <row r="537" spans="2:4" x14ac:dyDescent="0.25">
      <c r="B537" s="32" t="s">
        <v>300</v>
      </c>
      <c r="C537" s="32" t="s">
        <v>836</v>
      </c>
      <c r="D537" s="32" t="s">
        <v>302</v>
      </c>
    </row>
    <row r="538" spans="2:4" x14ac:dyDescent="0.25">
      <c r="B538" s="32" t="s">
        <v>300</v>
      </c>
      <c r="C538" s="32" t="s">
        <v>837</v>
      </c>
      <c r="D538" s="32" t="s">
        <v>302</v>
      </c>
    </row>
    <row r="539" spans="2:4" x14ac:dyDescent="0.25">
      <c r="B539" s="32" t="s">
        <v>300</v>
      </c>
      <c r="C539" s="32" t="s">
        <v>838</v>
      </c>
      <c r="D539" s="32" t="s">
        <v>302</v>
      </c>
    </row>
    <row r="540" spans="2:4" x14ac:dyDescent="0.25">
      <c r="B540" s="32" t="s">
        <v>300</v>
      </c>
      <c r="C540" s="32" t="s">
        <v>839</v>
      </c>
      <c r="D540" s="32" t="s">
        <v>302</v>
      </c>
    </row>
    <row r="541" spans="2:4" x14ac:dyDescent="0.25">
      <c r="B541" s="32" t="s">
        <v>300</v>
      </c>
      <c r="C541" s="32" t="s">
        <v>840</v>
      </c>
      <c r="D541" s="32" t="s">
        <v>302</v>
      </c>
    </row>
    <row r="542" spans="2:4" x14ac:dyDescent="0.25">
      <c r="B542" s="32" t="s">
        <v>300</v>
      </c>
      <c r="C542" s="32" t="s">
        <v>841</v>
      </c>
      <c r="D542" s="32" t="s">
        <v>302</v>
      </c>
    </row>
    <row r="543" spans="2:4" x14ac:dyDescent="0.25">
      <c r="B543" s="32" t="s">
        <v>300</v>
      </c>
      <c r="C543" s="32" t="s">
        <v>842</v>
      </c>
      <c r="D543" s="32" t="s">
        <v>302</v>
      </c>
    </row>
    <row r="544" spans="2:4" x14ac:dyDescent="0.25">
      <c r="B544" s="32" t="s">
        <v>300</v>
      </c>
      <c r="C544" s="32" t="s">
        <v>843</v>
      </c>
      <c r="D544" s="32" t="s">
        <v>302</v>
      </c>
    </row>
    <row r="545" spans="2:4" x14ac:dyDescent="0.25">
      <c r="B545" s="32" t="s">
        <v>300</v>
      </c>
      <c r="C545" s="32" t="s">
        <v>844</v>
      </c>
      <c r="D545" s="32" t="s">
        <v>302</v>
      </c>
    </row>
    <row r="546" spans="2:4" x14ac:dyDescent="0.25">
      <c r="B546" s="32" t="s">
        <v>300</v>
      </c>
      <c r="C546" s="32" t="s">
        <v>845</v>
      </c>
      <c r="D546" s="32" t="s">
        <v>302</v>
      </c>
    </row>
    <row r="547" spans="2:4" x14ac:dyDescent="0.25">
      <c r="B547" s="32" t="s">
        <v>300</v>
      </c>
      <c r="C547" s="32" t="s">
        <v>846</v>
      </c>
      <c r="D547" s="32" t="s">
        <v>302</v>
      </c>
    </row>
    <row r="548" spans="2:4" x14ac:dyDescent="0.25">
      <c r="B548" s="32" t="s">
        <v>300</v>
      </c>
      <c r="C548" s="32" t="s">
        <v>847</v>
      </c>
      <c r="D548" s="32" t="s">
        <v>302</v>
      </c>
    </row>
    <row r="549" spans="2:4" x14ac:dyDescent="0.25">
      <c r="B549" s="32" t="s">
        <v>300</v>
      </c>
      <c r="C549" s="32" t="s">
        <v>848</v>
      </c>
      <c r="D549" s="32" t="s">
        <v>302</v>
      </c>
    </row>
    <row r="550" spans="2:4" x14ac:dyDescent="0.25">
      <c r="B550" s="32" t="s">
        <v>300</v>
      </c>
      <c r="C550" s="32" t="s">
        <v>849</v>
      </c>
      <c r="D550" s="32" t="s">
        <v>302</v>
      </c>
    </row>
    <row r="551" spans="2:4" x14ac:dyDescent="0.25">
      <c r="B551" s="32" t="s">
        <v>300</v>
      </c>
      <c r="C551" s="32" t="s">
        <v>850</v>
      </c>
      <c r="D551" s="32" t="s">
        <v>302</v>
      </c>
    </row>
    <row r="552" spans="2:4" x14ac:dyDescent="0.25">
      <c r="B552" s="32" t="s">
        <v>300</v>
      </c>
      <c r="C552" s="32" t="s">
        <v>851</v>
      </c>
      <c r="D552" s="32" t="s">
        <v>302</v>
      </c>
    </row>
    <row r="553" spans="2:4" x14ac:dyDescent="0.25">
      <c r="B553" s="32" t="s">
        <v>300</v>
      </c>
      <c r="C553" s="32" t="s">
        <v>852</v>
      </c>
      <c r="D553" s="32" t="s">
        <v>302</v>
      </c>
    </row>
    <row r="554" spans="2:4" x14ac:dyDescent="0.25">
      <c r="B554" s="32" t="s">
        <v>300</v>
      </c>
      <c r="C554" s="32" t="s">
        <v>853</v>
      </c>
      <c r="D554" s="32" t="s">
        <v>302</v>
      </c>
    </row>
    <row r="555" spans="2:4" x14ac:dyDescent="0.25">
      <c r="B555" s="32" t="s">
        <v>300</v>
      </c>
      <c r="C555" s="32" t="s">
        <v>854</v>
      </c>
      <c r="D555" s="32" t="s">
        <v>302</v>
      </c>
    </row>
    <row r="556" spans="2:4" x14ac:dyDescent="0.25">
      <c r="B556" s="32" t="s">
        <v>300</v>
      </c>
      <c r="C556" s="32" t="s">
        <v>855</v>
      </c>
      <c r="D556" s="32" t="s">
        <v>302</v>
      </c>
    </row>
    <row r="557" spans="2:4" x14ac:dyDescent="0.25">
      <c r="B557" s="32" t="s">
        <v>300</v>
      </c>
      <c r="C557" s="32" t="s">
        <v>856</v>
      </c>
      <c r="D557" s="32" t="s">
        <v>302</v>
      </c>
    </row>
    <row r="558" spans="2:4" x14ac:dyDescent="0.25">
      <c r="B558" s="32" t="s">
        <v>300</v>
      </c>
      <c r="C558" s="32" t="s">
        <v>857</v>
      </c>
      <c r="D558" s="32" t="s">
        <v>302</v>
      </c>
    </row>
    <row r="559" spans="2:4" x14ac:dyDescent="0.25">
      <c r="B559" s="32" t="s">
        <v>300</v>
      </c>
      <c r="C559" s="32" t="s">
        <v>858</v>
      </c>
      <c r="D559" s="32" t="s">
        <v>302</v>
      </c>
    </row>
    <row r="560" spans="2:4" x14ac:dyDescent="0.25">
      <c r="B560" s="32" t="s">
        <v>300</v>
      </c>
      <c r="C560" s="32" t="s">
        <v>859</v>
      </c>
      <c r="D560" s="32" t="s">
        <v>302</v>
      </c>
    </row>
    <row r="561" spans="2:4" x14ac:dyDescent="0.25">
      <c r="B561" s="32" t="s">
        <v>300</v>
      </c>
      <c r="C561" s="32" t="s">
        <v>860</v>
      </c>
      <c r="D561" s="32" t="s">
        <v>302</v>
      </c>
    </row>
    <row r="562" spans="2:4" x14ac:dyDescent="0.25">
      <c r="B562" s="32" t="s">
        <v>300</v>
      </c>
      <c r="C562" s="32" t="s">
        <v>861</v>
      </c>
      <c r="D562" s="32" t="s">
        <v>302</v>
      </c>
    </row>
    <row r="563" spans="2:4" x14ac:dyDescent="0.25">
      <c r="B563" s="32" t="s">
        <v>300</v>
      </c>
      <c r="C563" s="32" t="s">
        <v>862</v>
      </c>
      <c r="D563" s="32" t="s">
        <v>302</v>
      </c>
    </row>
    <row r="564" spans="2:4" x14ac:dyDescent="0.25">
      <c r="B564" s="32" t="s">
        <v>300</v>
      </c>
      <c r="C564" s="32" t="s">
        <v>863</v>
      </c>
      <c r="D564" s="32" t="s">
        <v>302</v>
      </c>
    </row>
    <row r="565" spans="2:4" x14ac:dyDescent="0.25">
      <c r="B565" s="32" t="s">
        <v>300</v>
      </c>
      <c r="C565" s="32" t="s">
        <v>864</v>
      </c>
      <c r="D565" s="32" t="s">
        <v>302</v>
      </c>
    </row>
    <row r="566" spans="2:4" x14ac:dyDescent="0.25">
      <c r="B566" s="32" t="s">
        <v>300</v>
      </c>
      <c r="C566" s="32" t="s">
        <v>865</v>
      </c>
      <c r="D566" s="32" t="s">
        <v>302</v>
      </c>
    </row>
    <row r="567" spans="2:4" x14ac:dyDescent="0.25">
      <c r="B567" s="32" t="s">
        <v>300</v>
      </c>
      <c r="C567" s="32" t="s">
        <v>866</v>
      </c>
      <c r="D567" s="32" t="s">
        <v>302</v>
      </c>
    </row>
    <row r="568" spans="2:4" x14ac:dyDescent="0.25">
      <c r="B568" s="32" t="s">
        <v>300</v>
      </c>
      <c r="C568" s="32" t="s">
        <v>867</v>
      </c>
      <c r="D568" s="32" t="s">
        <v>302</v>
      </c>
    </row>
    <row r="569" spans="2:4" x14ac:dyDescent="0.25">
      <c r="B569" s="32" t="s">
        <v>300</v>
      </c>
      <c r="C569" s="32" t="s">
        <v>868</v>
      </c>
      <c r="D569" s="32" t="s">
        <v>302</v>
      </c>
    </row>
    <row r="570" spans="2:4" x14ac:dyDescent="0.25">
      <c r="B570" s="32" t="s">
        <v>300</v>
      </c>
      <c r="C570" s="32" t="s">
        <v>869</v>
      </c>
      <c r="D570" s="32" t="s">
        <v>302</v>
      </c>
    </row>
    <row r="571" spans="2:4" x14ac:dyDescent="0.25">
      <c r="B571" s="32" t="s">
        <v>300</v>
      </c>
      <c r="C571" s="32" t="s">
        <v>870</v>
      </c>
      <c r="D571" s="32" t="s">
        <v>302</v>
      </c>
    </row>
    <row r="572" spans="2:4" x14ac:dyDescent="0.25">
      <c r="B572" s="32" t="s">
        <v>300</v>
      </c>
      <c r="C572" s="32" t="s">
        <v>871</v>
      </c>
      <c r="D572" s="32" t="s">
        <v>302</v>
      </c>
    </row>
    <row r="573" spans="2:4" x14ac:dyDescent="0.25">
      <c r="B573" s="32" t="s">
        <v>300</v>
      </c>
      <c r="C573" s="32" t="s">
        <v>872</v>
      </c>
      <c r="D573" s="32" t="s">
        <v>302</v>
      </c>
    </row>
    <row r="574" spans="2:4" x14ac:dyDescent="0.25">
      <c r="B574" s="32" t="s">
        <v>300</v>
      </c>
      <c r="C574" s="32" t="s">
        <v>873</v>
      </c>
      <c r="D574" s="32" t="s">
        <v>302</v>
      </c>
    </row>
    <row r="575" spans="2:4" x14ac:dyDescent="0.25">
      <c r="B575" s="32" t="s">
        <v>300</v>
      </c>
      <c r="C575" s="32" t="s">
        <v>874</v>
      </c>
      <c r="D575" s="32" t="s">
        <v>302</v>
      </c>
    </row>
    <row r="576" spans="2:4" x14ac:dyDescent="0.25">
      <c r="B576" s="32" t="s">
        <v>300</v>
      </c>
      <c r="C576" s="32" t="s">
        <v>875</v>
      </c>
      <c r="D576" s="32" t="s">
        <v>302</v>
      </c>
    </row>
    <row r="577" spans="2:4" x14ac:dyDescent="0.25">
      <c r="B577" s="32" t="s">
        <v>300</v>
      </c>
      <c r="C577" s="32" t="s">
        <v>876</v>
      </c>
      <c r="D577" s="32" t="s">
        <v>302</v>
      </c>
    </row>
    <row r="578" spans="2:4" x14ac:dyDescent="0.25">
      <c r="B578" s="32" t="s">
        <v>300</v>
      </c>
      <c r="C578" s="32" t="s">
        <v>877</v>
      </c>
      <c r="D578" s="32" t="s">
        <v>302</v>
      </c>
    </row>
    <row r="579" spans="2:4" x14ac:dyDescent="0.25">
      <c r="B579" s="32" t="s">
        <v>300</v>
      </c>
      <c r="C579" s="32" t="s">
        <v>878</v>
      </c>
      <c r="D579" s="32" t="s">
        <v>302</v>
      </c>
    </row>
    <row r="580" spans="2:4" x14ac:dyDescent="0.25">
      <c r="B580" s="32" t="s">
        <v>300</v>
      </c>
      <c r="C580" s="32" t="s">
        <v>879</v>
      </c>
      <c r="D580" s="32" t="s">
        <v>302</v>
      </c>
    </row>
    <row r="581" spans="2:4" x14ac:dyDescent="0.25">
      <c r="B581" s="32" t="s">
        <v>300</v>
      </c>
      <c r="C581" s="32" t="s">
        <v>880</v>
      </c>
      <c r="D581" s="32" t="s">
        <v>302</v>
      </c>
    </row>
    <row r="582" spans="2:4" x14ac:dyDescent="0.25">
      <c r="B582" s="32" t="s">
        <v>300</v>
      </c>
      <c r="C582" s="32" t="s">
        <v>881</v>
      </c>
      <c r="D582" s="32" t="s">
        <v>302</v>
      </c>
    </row>
    <row r="583" spans="2:4" x14ac:dyDescent="0.25">
      <c r="B583" s="32" t="s">
        <v>300</v>
      </c>
      <c r="C583" s="32" t="s">
        <v>882</v>
      </c>
      <c r="D583" s="32" t="s">
        <v>302</v>
      </c>
    </row>
    <row r="584" spans="2:4" x14ac:dyDescent="0.25">
      <c r="B584" s="32" t="s">
        <v>300</v>
      </c>
      <c r="C584" s="32" t="s">
        <v>883</v>
      </c>
      <c r="D584" s="32" t="s">
        <v>302</v>
      </c>
    </row>
    <row r="585" spans="2:4" x14ac:dyDescent="0.25">
      <c r="B585" s="32" t="s">
        <v>300</v>
      </c>
      <c r="C585" s="32" t="s">
        <v>884</v>
      </c>
      <c r="D585" s="32" t="s">
        <v>302</v>
      </c>
    </row>
    <row r="586" spans="2:4" x14ac:dyDescent="0.25">
      <c r="B586" s="32" t="s">
        <v>300</v>
      </c>
      <c r="C586" s="32" t="s">
        <v>885</v>
      </c>
      <c r="D586" s="32" t="s">
        <v>302</v>
      </c>
    </row>
    <row r="587" spans="2:4" x14ac:dyDescent="0.25">
      <c r="B587" s="32" t="s">
        <v>300</v>
      </c>
      <c r="C587" s="32" t="s">
        <v>886</v>
      </c>
      <c r="D587" s="32" t="s">
        <v>302</v>
      </c>
    </row>
    <row r="588" spans="2:4" x14ac:dyDescent="0.25">
      <c r="B588" s="32" t="s">
        <v>300</v>
      </c>
      <c r="C588" s="32" t="s">
        <v>887</v>
      </c>
      <c r="D588" s="32" t="s">
        <v>302</v>
      </c>
    </row>
    <row r="589" spans="2:4" x14ac:dyDescent="0.25">
      <c r="B589" s="32" t="s">
        <v>300</v>
      </c>
      <c r="C589" s="32" t="s">
        <v>888</v>
      </c>
      <c r="D589" s="32" t="s">
        <v>302</v>
      </c>
    </row>
    <row r="590" spans="2:4" x14ac:dyDescent="0.25">
      <c r="B590" s="32" t="s">
        <v>300</v>
      </c>
      <c r="C590" s="32" t="s">
        <v>889</v>
      </c>
      <c r="D590" s="32" t="s">
        <v>302</v>
      </c>
    </row>
    <row r="591" spans="2:4" x14ac:dyDescent="0.25">
      <c r="B591" s="32" t="s">
        <v>300</v>
      </c>
      <c r="C591" s="32" t="s">
        <v>890</v>
      </c>
      <c r="D591" s="32" t="s">
        <v>302</v>
      </c>
    </row>
    <row r="592" spans="2:4" x14ac:dyDescent="0.25">
      <c r="B592" s="32" t="s">
        <v>300</v>
      </c>
      <c r="C592" s="32" t="s">
        <v>891</v>
      </c>
      <c r="D592" s="32" t="s">
        <v>302</v>
      </c>
    </row>
    <row r="593" spans="2:4" x14ac:dyDescent="0.25">
      <c r="B593" s="32" t="s">
        <v>300</v>
      </c>
      <c r="C593" s="32" t="s">
        <v>892</v>
      </c>
      <c r="D593" s="32" t="s">
        <v>302</v>
      </c>
    </row>
    <row r="594" spans="2:4" x14ac:dyDescent="0.25">
      <c r="B594" s="32" t="s">
        <v>300</v>
      </c>
      <c r="C594" s="32" t="s">
        <v>893</v>
      </c>
      <c r="D594" s="32" t="s">
        <v>302</v>
      </c>
    </row>
    <row r="595" spans="2:4" x14ac:dyDescent="0.25">
      <c r="B595" s="32" t="s">
        <v>300</v>
      </c>
      <c r="C595" s="32" t="s">
        <v>894</v>
      </c>
      <c r="D595" s="32" t="s">
        <v>302</v>
      </c>
    </row>
    <row r="596" spans="2:4" x14ac:dyDescent="0.25">
      <c r="B596" s="32" t="s">
        <v>300</v>
      </c>
      <c r="C596" s="32" t="s">
        <v>895</v>
      </c>
      <c r="D596" s="32" t="s">
        <v>302</v>
      </c>
    </row>
    <row r="597" spans="2:4" x14ac:dyDescent="0.25">
      <c r="B597" s="32" t="s">
        <v>300</v>
      </c>
      <c r="C597" s="32" t="s">
        <v>896</v>
      </c>
      <c r="D597" s="32" t="s">
        <v>302</v>
      </c>
    </row>
    <row r="598" spans="2:4" x14ac:dyDescent="0.25">
      <c r="B598" s="32" t="s">
        <v>300</v>
      </c>
      <c r="C598" s="32" t="s">
        <v>897</v>
      </c>
      <c r="D598" s="32" t="s">
        <v>302</v>
      </c>
    </row>
    <row r="599" spans="2:4" x14ac:dyDescent="0.25">
      <c r="B599" s="32" t="s">
        <v>300</v>
      </c>
      <c r="C599" s="32" t="s">
        <v>898</v>
      </c>
      <c r="D599" s="32" t="s">
        <v>302</v>
      </c>
    </row>
    <row r="600" spans="2:4" x14ac:dyDescent="0.25">
      <c r="B600" s="32" t="s">
        <v>300</v>
      </c>
      <c r="C600" s="32" t="s">
        <v>899</v>
      </c>
      <c r="D600" s="32" t="s">
        <v>302</v>
      </c>
    </row>
    <row r="601" spans="2:4" x14ac:dyDescent="0.25">
      <c r="B601" s="32" t="s">
        <v>300</v>
      </c>
      <c r="C601" s="32" t="s">
        <v>900</v>
      </c>
      <c r="D601" s="32" t="s">
        <v>302</v>
      </c>
    </row>
    <row r="602" spans="2:4" x14ac:dyDescent="0.25">
      <c r="B602" s="32" t="s">
        <v>300</v>
      </c>
      <c r="C602" s="32" t="s">
        <v>901</v>
      </c>
      <c r="D602" s="32" t="s">
        <v>302</v>
      </c>
    </row>
    <row r="603" spans="2:4" x14ac:dyDescent="0.25">
      <c r="B603" s="32" t="s">
        <v>300</v>
      </c>
      <c r="C603" s="32" t="s">
        <v>902</v>
      </c>
      <c r="D603" s="32" t="s">
        <v>302</v>
      </c>
    </row>
    <row r="604" spans="2:4" x14ac:dyDescent="0.25">
      <c r="B604" s="32" t="s">
        <v>300</v>
      </c>
      <c r="C604" s="32" t="s">
        <v>903</v>
      </c>
      <c r="D604" s="32" t="s">
        <v>302</v>
      </c>
    </row>
    <row r="605" spans="2:4" x14ac:dyDescent="0.25">
      <c r="B605" s="32" t="s">
        <v>300</v>
      </c>
      <c r="C605" s="32" t="s">
        <v>904</v>
      </c>
      <c r="D605" s="32" t="s">
        <v>302</v>
      </c>
    </row>
    <row r="606" spans="2:4" x14ac:dyDescent="0.25">
      <c r="B606" s="32" t="s">
        <v>300</v>
      </c>
      <c r="C606" s="32" t="s">
        <v>905</v>
      </c>
      <c r="D606" s="32" t="s">
        <v>302</v>
      </c>
    </row>
    <row r="607" spans="2:4" x14ac:dyDescent="0.25">
      <c r="B607" s="32" t="s">
        <v>300</v>
      </c>
      <c r="C607" s="32" t="s">
        <v>906</v>
      </c>
      <c r="D607" s="32" t="s">
        <v>302</v>
      </c>
    </row>
    <row r="608" spans="2:4" x14ac:dyDescent="0.25">
      <c r="B608" s="32" t="s">
        <v>300</v>
      </c>
      <c r="C608" s="32" t="s">
        <v>907</v>
      </c>
      <c r="D608" s="32" t="s">
        <v>302</v>
      </c>
    </row>
    <row r="609" spans="2:4" x14ac:dyDescent="0.25">
      <c r="B609" s="32" t="s">
        <v>300</v>
      </c>
      <c r="C609" s="32" t="s">
        <v>908</v>
      </c>
      <c r="D609" s="32" t="s">
        <v>302</v>
      </c>
    </row>
    <row r="610" spans="2:4" x14ac:dyDescent="0.25">
      <c r="B610" s="32" t="s">
        <v>300</v>
      </c>
      <c r="C610" s="32" t="s">
        <v>909</v>
      </c>
      <c r="D610" s="32" t="s">
        <v>302</v>
      </c>
    </row>
    <row r="611" spans="2:4" x14ac:dyDescent="0.25">
      <c r="B611" s="32" t="s">
        <v>300</v>
      </c>
      <c r="C611" s="32" t="s">
        <v>910</v>
      </c>
      <c r="D611" s="32" t="s">
        <v>302</v>
      </c>
    </row>
    <row r="612" spans="2:4" x14ac:dyDescent="0.25">
      <c r="B612" s="32" t="s">
        <v>300</v>
      </c>
      <c r="C612" s="32" t="s">
        <v>911</v>
      </c>
      <c r="D612" s="32" t="s">
        <v>302</v>
      </c>
    </row>
    <row r="613" spans="2:4" x14ac:dyDescent="0.25">
      <c r="B613" s="32" t="s">
        <v>300</v>
      </c>
      <c r="C613" s="32" t="s">
        <v>912</v>
      </c>
      <c r="D613" s="32" t="s">
        <v>302</v>
      </c>
    </row>
    <row r="614" spans="2:4" x14ac:dyDescent="0.25">
      <c r="B614" s="32" t="s">
        <v>300</v>
      </c>
      <c r="C614" s="32" t="s">
        <v>913</v>
      </c>
      <c r="D614" s="32" t="s">
        <v>302</v>
      </c>
    </row>
    <row r="615" spans="2:4" x14ac:dyDescent="0.25">
      <c r="B615" s="32" t="s">
        <v>300</v>
      </c>
      <c r="C615" s="32" t="s">
        <v>914</v>
      </c>
      <c r="D615" s="32" t="s">
        <v>302</v>
      </c>
    </row>
    <row r="616" spans="2:4" x14ac:dyDescent="0.25">
      <c r="B616" s="32" t="s">
        <v>300</v>
      </c>
      <c r="C616" s="32" t="s">
        <v>915</v>
      </c>
      <c r="D616" s="32" t="s">
        <v>302</v>
      </c>
    </row>
    <row r="617" spans="2:4" x14ac:dyDescent="0.25">
      <c r="B617" s="32" t="s">
        <v>300</v>
      </c>
      <c r="C617" s="32" t="s">
        <v>916</v>
      </c>
      <c r="D617" s="32" t="s">
        <v>302</v>
      </c>
    </row>
    <row r="618" spans="2:4" x14ac:dyDescent="0.25">
      <c r="B618" s="32" t="s">
        <v>300</v>
      </c>
      <c r="C618" s="32" t="s">
        <v>917</v>
      </c>
      <c r="D618" s="32" t="s">
        <v>302</v>
      </c>
    </row>
    <row r="619" spans="2:4" x14ac:dyDescent="0.25">
      <c r="B619" s="32" t="s">
        <v>300</v>
      </c>
      <c r="C619" s="32" t="s">
        <v>918</v>
      </c>
      <c r="D619" s="32" t="s">
        <v>302</v>
      </c>
    </row>
    <row r="620" spans="2:4" x14ac:dyDescent="0.25">
      <c r="B620" s="32" t="s">
        <v>300</v>
      </c>
      <c r="C620" s="32" t="s">
        <v>919</v>
      </c>
      <c r="D620" s="32" t="s">
        <v>302</v>
      </c>
    </row>
    <row r="621" spans="2:4" x14ac:dyDescent="0.25">
      <c r="B621" s="32" t="s">
        <v>300</v>
      </c>
      <c r="C621" s="32" t="s">
        <v>920</v>
      </c>
      <c r="D621" s="32" t="s">
        <v>302</v>
      </c>
    </row>
    <row r="622" spans="2:4" x14ac:dyDescent="0.25">
      <c r="B622" s="32" t="s">
        <v>300</v>
      </c>
      <c r="C622" s="32" t="s">
        <v>921</v>
      </c>
      <c r="D622" s="32" t="s">
        <v>302</v>
      </c>
    </row>
    <row r="623" spans="2:4" x14ac:dyDescent="0.25">
      <c r="B623" s="32" t="s">
        <v>300</v>
      </c>
      <c r="C623" s="32" t="s">
        <v>922</v>
      </c>
      <c r="D623" s="32" t="s">
        <v>302</v>
      </c>
    </row>
    <row r="624" spans="2:4" x14ac:dyDescent="0.25">
      <c r="B624" s="32" t="s">
        <v>300</v>
      </c>
      <c r="C624" s="32" t="s">
        <v>923</v>
      </c>
      <c r="D624" s="32" t="s">
        <v>302</v>
      </c>
    </row>
    <row r="625" spans="2:4" x14ac:dyDescent="0.25">
      <c r="B625" s="32" t="s">
        <v>300</v>
      </c>
      <c r="C625" s="32" t="s">
        <v>924</v>
      </c>
      <c r="D625" s="32" t="s">
        <v>302</v>
      </c>
    </row>
    <row r="626" spans="2:4" x14ac:dyDescent="0.25">
      <c r="B626" s="32" t="s">
        <v>300</v>
      </c>
      <c r="C626" s="32" t="s">
        <v>925</v>
      </c>
      <c r="D626" s="32" t="s">
        <v>302</v>
      </c>
    </row>
    <row r="627" spans="2:4" x14ac:dyDescent="0.25">
      <c r="B627" s="32" t="s">
        <v>300</v>
      </c>
      <c r="C627" s="32" t="s">
        <v>926</v>
      </c>
      <c r="D627" s="32" t="s">
        <v>302</v>
      </c>
    </row>
    <row r="628" spans="2:4" x14ac:dyDescent="0.25">
      <c r="B628" s="32" t="s">
        <v>300</v>
      </c>
      <c r="C628" s="32" t="s">
        <v>927</v>
      </c>
      <c r="D628" s="32" t="s">
        <v>302</v>
      </c>
    </row>
    <row r="629" spans="2:4" x14ac:dyDescent="0.25">
      <c r="B629" s="32" t="s">
        <v>300</v>
      </c>
      <c r="C629" s="32" t="s">
        <v>928</v>
      </c>
      <c r="D629" s="32" t="s">
        <v>302</v>
      </c>
    </row>
    <row r="630" spans="2:4" x14ac:dyDescent="0.25">
      <c r="B630" s="32" t="s">
        <v>300</v>
      </c>
      <c r="C630" s="32" t="s">
        <v>929</v>
      </c>
      <c r="D630" s="32" t="s">
        <v>302</v>
      </c>
    </row>
    <row r="631" spans="2:4" x14ac:dyDescent="0.25">
      <c r="B631" s="32" t="s">
        <v>300</v>
      </c>
      <c r="C631" s="32" t="s">
        <v>930</v>
      </c>
      <c r="D631" s="32" t="s">
        <v>302</v>
      </c>
    </row>
    <row r="632" spans="2:4" x14ac:dyDescent="0.25">
      <c r="B632" s="32" t="s">
        <v>300</v>
      </c>
      <c r="C632" s="32" t="s">
        <v>931</v>
      </c>
      <c r="D632" s="32" t="s">
        <v>302</v>
      </c>
    </row>
    <row r="633" spans="2:4" x14ac:dyDescent="0.25">
      <c r="B633" s="32" t="s">
        <v>300</v>
      </c>
      <c r="C633" s="32" t="s">
        <v>932</v>
      </c>
      <c r="D633" s="32" t="s">
        <v>302</v>
      </c>
    </row>
    <row r="634" spans="2:4" x14ac:dyDescent="0.25">
      <c r="B634" s="32" t="s">
        <v>300</v>
      </c>
      <c r="C634" s="32" t="s">
        <v>933</v>
      </c>
      <c r="D634" s="32" t="s">
        <v>302</v>
      </c>
    </row>
    <row r="635" spans="2:4" x14ac:dyDescent="0.25">
      <c r="B635" s="32" t="s">
        <v>300</v>
      </c>
      <c r="C635" s="32" t="s">
        <v>934</v>
      </c>
      <c r="D635" s="32" t="s">
        <v>302</v>
      </c>
    </row>
    <row r="636" spans="2:4" x14ac:dyDescent="0.25">
      <c r="B636" s="32" t="s">
        <v>300</v>
      </c>
      <c r="C636" s="32" t="s">
        <v>935</v>
      </c>
      <c r="D636" s="32" t="s">
        <v>302</v>
      </c>
    </row>
    <row r="637" spans="2:4" x14ac:dyDescent="0.25">
      <c r="B637" s="32" t="s">
        <v>300</v>
      </c>
      <c r="C637" s="32" t="s">
        <v>936</v>
      </c>
      <c r="D637" s="32" t="s">
        <v>302</v>
      </c>
    </row>
    <row r="638" spans="2:4" x14ac:dyDescent="0.25">
      <c r="B638" s="32" t="s">
        <v>300</v>
      </c>
      <c r="C638" s="32" t="s">
        <v>937</v>
      </c>
      <c r="D638" s="32" t="s">
        <v>302</v>
      </c>
    </row>
    <row r="639" spans="2:4" x14ac:dyDescent="0.25">
      <c r="B639" s="32" t="s">
        <v>300</v>
      </c>
      <c r="C639" s="32" t="s">
        <v>938</v>
      </c>
      <c r="D639" s="32" t="s">
        <v>302</v>
      </c>
    </row>
    <row r="640" spans="2:4" x14ac:dyDescent="0.25">
      <c r="B640" s="32" t="s">
        <v>300</v>
      </c>
      <c r="C640" s="32" t="s">
        <v>939</v>
      </c>
      <c r="D640" s="32" t="s">
        <v>302</v>
      </c>
    </row>
    <row r="641" spans="2:4" x14ac:dyDescent="0.25">
      <c r="B641" s="32" t="s">
        <v>300</v>
      </c>
      <c r="C641" s="32" t="s">
        <v>940</v>
      </c>
      <c r="D641" s="32" t="s">
        <v>302</v>
      </c>
    </row>
    <row r="642" spans="2:4" x14ac:dyDescent="0.25">
      <c r="B642" s="32" t="s">
        <v>300</v>
      </c>
      <c r="C642" s="32" t="s">
        <v>941</v>
      </c>
      <c r="D642" s="32" t="s">
        <v>302</v>
      </c>
    </row>
    <row r="643" spans="2:4" x14ac:dyDescent="0.25">
      <c r="B643" s="32" t="s">
        <v>300</v>
      </c>
      <c r="C643" s="32" t="s">
        <v>942</v>
      </c>
      <c r="D643" s="32" t="s">
        <v>302</v>
      </c>
    </row>
    <row r="644" spans="2:4" x14ac:dyDescent="0.25">
      <c r="B644" s="32" t="s">
        <v>300</v>
      </c>
      <c r="C644" s="32" t="s">
        <v>943</v>
      </c>
      <c r="D644" s="32" t="s">
        <v>302</v>
      </c>
    </row>
    <row r="645" spans="2:4" x14ac:dyDescent="0.25">
      <c r="B645" s="32" t="s">
        <v>300</v>
      </c>
      <c r="C645" s="32" t="s">
        <v>944</v>
      </c>
      <c r="D645" s="32" t="s">
        <v>302</v>
      </c>
    </row>
    <row r="646" spans="2:4" x14ac:dyDescent="0.25">
      <c r="B646" s="32" t="s">
        <v>300</v>
      </c>
      <c r="C646" s="32" t="s">
        <v>945</v>
      </c>
      <c r="D646" s="32" t="s">
        <v>302</v>
      </c>
    </row>
    <row r="647" spans="2:4" x14ac:dyDescent="0.25">
      <c r="B647" s="32" t="s">
        <v>300</v>
      </c>
      <c r="C647" s="32" t="s">
        <v>946</v>
      </c>
      <c r="D647" s="32" t="s">
        <v>302</v>
      </c>
    </row>
    <row r="648" spans="2:4" x14ac:dyDescent="0.25">
      <c r="B648" s="32" t="s">
        <v>300</v>
      </c>
      <c r="C648" s="32" t="s">
        <v>947</v>
      </c>
      <c r="D648" s="32" t="s">
        <v>302</v>
      </c>
    </row>
    <row r="649" spans="2:4" x14ac:dyDescent="0.25">
      <c r="B649" s="32" t="s">
        <v>300</v>
      </c>
      <c r="C649" s="32" t="s">
        <v>948</v>
      </c>
      <c r="D649" s="32" t="s">
        <v>302</v>
      </c>
    </row>
    <row r="650" spans="2:4" x14ac:dyDescent="0.25">
      <c r="B650" s="32" t="s">
        <v>300</v>
      </c>
      <c r="C650" s="32" t="s">
        <v>949</v>
      </c>
      <c r="D650" s="32" t="s">
        <v>302</v>
      </c>
    </row>
    <row r="651" spans="2:4" x14ac:dyDescent="0.25">
      <c r="B651" s="32" t="s">
        <v>300</v>
      </c>
      <c r="C651" s="32" t="s">
        <v>950</v>
      </c>
      <c r="D651" s="32" t="s">
        <v>302</v>
      </c>
    </row>
    <row r="652" spans="2:4" x14ac:dyDescent="0.25">
      <c r="B652" s="32" t="s">
        <v>300</v>
      </c>
      <c r="C652" s="32" t="s">
        <v>951</v>
      </c>
      <c r="D652" s="32" t="s">
        <v>302</v>
      </c>
    </row>
    <row r="653" spans="2:4" x14ac:dyDescent="0.25">
      <c r="B653" s="32" t="s">
        <v>300</v>
      </c>
      <c r="C653" s="32" t="s">
        <v>952</v>
      </c>
      <c r="D653" s="32" t="s">
        <v>302</v>
      </c>
    </row>
    <row r="654" spans="2:4" x14ac:dyDescent="0.25">
      <c r="B654" s="32" t="s">
        <v>300</v>
      </c>
      <c r="C654" s="32" t="s">
        <v>953</v>
      </c>
      <c r="D654" s="32" t="s">
        <v>302</v>
      </c>
    </row>
    <row r="655" spans="2:4" x14ac:dyDescent="0.25">
      <c r="B655" s="32" t="s">
        <v>300</v>
      </c>
      <c r="C655" s="32" t="s">
        <v>954</v>
      </c>
      <c r="D655" s="32" t="s">
        <v>302</v>
      </c>
    </row>
    <row r="656" spans="2:4" x14ac:dyDescent="0.25">
      <c r="B656" s="32" t="s">
        <v>300</v>
      </c>
      <c r="C656" s="32" t="s">
        <v>955</v>
      </c>
      <c r="D656" s="32" t="s">
        <v>302</v>
      </c>
    </row>
    <row r="657" spans="2:4" x14ac:dyDescent="0.25">
      <c r="B657" s="32" t="s">
        <v>300</v>
      </c>
      <c r="C657" s="32" t="s">
        <v>956</v>
      </c>
      <c r="D657" s="32" t="s">
        <v>302</v>
      </c>
    </row>
    <row r="658" spans="2:4" x14ac:dyDescent="0.25">
      <c r="B658" s="32" t="s">
        <v>300</v>
      </c>
      <c r="C658" s="32" t="s">
        <v>957</v>
      </c>
      <c r="D658" s="32" t="s">
        <v>302</v>
      </c>
    </row>
    <row r="659" spans="2:4" x14ac:dyDescent="0.25">
      <c r="B659" s="32" t="s">
        <v>300</v>
      </c>
      <c r="C659" s="32" t="s">
        <v>958</v>
      </c>
      <c r="D659" s="32" t="s">
        <v>302</v>
      </c>
    </row>
    <row r="660" spans="2:4" x14ac:dyDescent="0.25">
      <c r="B660" s="32" t="s">
        <v>300</v>
      </c>
      <c r="C660" s="32" t="s">
        <v>959</v>
      </c>
      <c r="D660" s="32" t="s">
        <v>302</v>
      </c>
    </row>
    <row r="661" spans="2:4" x14ac:dyDescent="0.25">
      <c r="B661" s="32" t="s">
        <v>300</v>
      </c>
      <c r="C661" s="32" t="s">
        <v>960</v>
      </c>
      <c r="D661" s="32" t="s">
        <v>302</v>
      </c>
    </row>
    <row r="662" spans="2:4" x14ac:dyDescent="0.25">
      <c r="B662" s="32" t="s">
        <v>300</v>
      </c>
      <c r="C662" s="32" t="s">
        <v>961</v>
      </c>
      <c r="D662" s="32" t="s">
        <v>302</v>
      </c>
    </row>
    <row r="663" spans="2:4" x14ac:dyDescent="0.25">
      <c r="B663" s="32" t="s">
        <v>300</v>
      </c>
      <c r="C663" s="32" t="s">
        <v>962</v>
      </c>
      <c r="D663" s="32" t="s">
        <v>302</v>
      </c>
    </row>
    <row r="664" spans="2:4" x14ac:dyDescent="0.25">
      <c r="B664" s="32" t="s">
        <v>300</v>
      </c>
      <c r="C664" s="32" t="s">
        <v>963</v>
      </c>
      <c r="D664" s="32" t="s">
        <v>302</v>
      </c>
    </row>
    <row r="665" spans="2:4" x14ac:dyDescent="0.25">
      <c r="B665" s="32" t="s">
        <v>300</v>
      </c>
      <c r="C665" s="32" t="s">
        <v>964</v>
      </c>
      <c r="D665" s="32" t="s">
        <v>302</v>
      </c>
    </row>
    <row r="666" spans="2:4" x14ac:dyDescent="0.25">
      <c r="B666" s="32" t="s">
        <v>300</v>
      </c>
      <c r="C666" s="32" t="s">
        <v>965</v>
      </c>
      <c r="D666" s="32" t="s">
        <v>302</v>
      </c>
    </row>
    <row r="667" spans="2:4" x14ac:dyDescent="0.25">
      <c r="B667" s="32" t="s">
        <v>300</v>
      </c>
      <c r="C667" s="32" t="s">
        <v>966</v>
      </c>
      <c r="D667" s="32" t="s">
        <v>302</v>
      </c>
    </row>
    <row r="668" spans="2:4" x14ac:dyDescent="0.25">
      <c r="B668" s="32" t="s">
        <v>300</v>
      </c>
      <c r="C668" s="32" t="s">
        <v>967</v>
      </c>
      <c r="D668" s="32" t="s">
        <v>302</v>
      </c>
    </row>
    <row r="669" spans="2:4" x14ac:dyDescent="0.25">
      <c r="B669" s="32" t="s">
        <v>300</v>
      </c>
      <c r="C669" s="32" t="s">
        <v>968</v>
      </c>
      <c r="D669" s="32" t="s">
        <v>302</v>
      </c>
    </row>
    <row r="670" spans="2:4" x14ac:dyDescent="0.25">
      <c r="B670" s="32" t="s">
        <v>300</v>
      </c>
      <c r="C670" s="32" t="s">
        <v>969</v>
      </c>
      <c r="D670" s="32" t="s">
        <v>302</v>
      </c>
    </row>
    <row r="671" spans="2:4" x14ac:dyDescent="0.25">
      <c r="B671" s="32" t="s">
        <v>300</v>
      </c>
      <c r="C671" s="32" t="s">
        <v>970</v>
      </c>
      <c r="D671" s="32" t="s">
        <v>302</v>
      </c>
    </row>
    <row r="672" spans="2:4" x14ac:dyDescent="0.25">
      <c r="B672" s="32" t="s">
        <v>300</v>
      </c>
      <c r="C672" s="32" t="s">
        <v>971</v>
      </c>
      <c r="D672" s="32" t="s">
        <v>302</v>
      </c>
    </row>
    <row r="673" spans="2:4" x14ac:dyDescent="0.25">
      <c r="B673" s="32" t="s">
        <v>300</v>
      </c>
      <c r="C673" s="32" t="s">
        <v>972</v>
      </c>
      <c r="D673" s="32" t="s">
        <v>302</v>
      </c>
    </row>
    <row r="674" spans="2:4" x14ac:dyDescent="0.25">
      <c r="B674" s="32" t="s">
        <v>300</v>
      </c>
      <c r="C674" s="32" t="s">
        <v>973</v>
      </c>
      <c r="D674" s="32" t="s">
        <v>302</v>
      </c>
    </row>
    <row r="675" spans="2:4" x14ac:dyDescent="0.25">
      <c r="B675" s="32" t="s">
        <v>300</v>
      </c>
      <c r="C675" s="32" t="s">
        <v>974</v>
      </c>
      <c r="D675" s="32" t="s">
        <v>302</v>
      </c>
    </row>
    <row r="676" spans="2:4" x14ac:dyDescent="0.25">
      <c r="B676" s="32" t="s">
        <v>300</v>
      </c>
      <c r="C676" s="32" t="s">
        <v>975</v>
      </c>
      <c r="D676" s="32" t="s">
        <v>302</v>
      </c>
    </row>
    <row r="677" spans="2:4" x14ac:dyDescent="0.25">
      <c r="B677" s="32" t="s">
        <v>300</v>
      </c>
      <c r="C677" s="32" t="s">
        <v>976</v>
      </c>
      <c r="D677" s="32" t="s">
        <v>302</v>
      </c>
    </row>
    <row r="678" spans="2:4" x14ac:dyDescent="0.25">
      <c r="B678" s="32" t="s">
        <v>300</v>
      </c>
      <c r="C678" s="32" t="s">
        <v>977</v>
      </c>
      <c r="D678" s="32" t="s">
        <v>302</v>
      </c>
    </row>
    <row r="679" spans="2:4" x14ac:dyDescent="0.25">
      <c r="B679" s="32" t="s">
        <v>300</v>
      </c>
      <c r="C679" s="32" t="s">
        <v>978</v>
      </c>
      <c r="D679" s="32" t="s">
        <v>302</v>
      </c>
    </row>
    <row r="680" spans="2:4" x14ac:dyDescent="0.25">
      <c r="B680" s="32" t="s">
        <v>300</v>
      </c>
      <c r="C680" s="32" t="s">
        <v>979</v>
      </c>
      <c r="D680" s="32" t="s">
        <v>302</v>
      </c>
    </row>
    <row r="681" spans="2:4" x14ac:dyDescent="0.25">
      <c r="B681" s="32" t="s">
        <v>300</v>
      </c>
      <c r="C681" s="32" t="s">
        <v>980</v>
      </c>
      <c r="D681" s="32" t="s">
        <v>302</v>
      </c>
    </row>
    <row r="682" spans="2:4" x14ac:dyDescent="0.25">
      <c r="B682" s="32" t="s">
        <v>300</v>
      </c>
      <c r="C682" s="32" t="s">
        <v>981</v>
      </c>
      <c r="D682" s="32" t="s">
        <v>302</v>
      </c>
    </row>
    <row r="683" spans="2:4" x14ac:dyDescent="0.25">
      <c r="B683" s="32" t="s">
        <v>300</v>
      </c>
      <c r="C683" s="32" t="s">
        <v>982</v>
      </c>
      <c r="D683" s="32" t="s">
        <v>302</v>
      </c>
    </row>
    <row r="684" spans="2:4" x14ac:dyDescent="0.25">
      <c r="B684" s="32" t="s">
        <v>300</v>
      </c>
      <c r="C684" s="32" t="s">
        <v>983</v>
      </c>
      <c r="D684" s="32" t="s">
        <v>302</v>
      </c>
    </row>
    <row r="685" spans="2:4" x14ac:dyDescent="0.25">
      <c r="B685" s="32" t="s">
        <v>300</v>
      </c>
      <c r="C685" s="32" t="s">
        <v>984</v>
      </c>
      <c r="D685" s="32" t="s">
        <v>302</v>
      </c>
    </row>
    <row r="686" spans="2:4" x14ac:dyDescent="0.25">
      <c r="B686" s="32" t="s">
        <v>300</v>
      </c>
      <c r="C686" s="32" t="s">
        <v>985</v>
      </c>
      <c r="D686" s="32" t="s">
        <v>302</v>
      </c>
    </row>
    <row r="687" spans="2:4" x14ac:dyDescent="0.25">
      <c r="B687" s="32" t="s">
        <v>300</v>
      </c>
      <c r="C687" s="32" t="s">
        <v>986</v>
      </c>
      <c r="D687" s="32" t="s">
        <v>302</v>
      </c>
    </row>
    <row r="688" spans="2:4" x14ac:dyDescent="0.25">
      <c r="B688" s="32" t="s">
        <v>300</v>
      </c>
      <c r="C688" s="32" t="s">
        <v>987</v>
      </c>
      <c r="D688" s="32" t="s">
        <v>302</v>
      </c>
    </row>
    <row r="689" spans="2:4" x14ac:dyDescent="0.25">
      <c r="B689" s="32" t="s">
        <v>300</v>
      </c>
      <c r="C689" s="32" t="s">
        <v>988</v>
      </c>
      <c r="D689" s="32" t="s">
        <v>302</v>
      </c>
    </row>
    <row r="690" spans="2:4" x14ac:dyDescent="0.25">
      <c r="B690" s="32" t="s">
        <v>300</v>
      </c>
      <c r="C690" s="32" t="s">
        <v>989</v>
      </c>
      <c r="D690" s="32" t="s">
        <v>302</v>
      </c>
    </row>
    <row r="691" spans="2:4" x14ac:dyDescent="0.25">
      <c r="B691" s="32" t="s">
        <v>300</v>
      </c>
      <c r="C691" s="32" t="s">
        <v>990</v>
      </c>
      <c r="D691" s="32" t="s">
        <v>302</v>
      </c>
    </row>
    <row r="692" spans="2:4" x14ac:dyDescent="0.25">
      <c r="B692" s="32" t="s">
        <v>300</v>
      </c>
      <c r="C692" s="32" t="s">
        <v>991</v>
      </c>
      <c r="D692" s="32" t="s">
        <v>302</v>
      </c>
    </row>
    <row r="693" spans="2:4" x14ac:dyDescent="0.25">
      <c r="B693" s="32" t="s">
        <v>300</v>
      </c>
      <c r="C693" s="32" t="s">
        <v>992</v>
      </c>
      <c r="D693" s="32" t="s">
        <v>302</v>
      </c>
    </row>
    <row r="694" spans="2:4" x14ac:dyDescent="0.25">
      <c r="B694" s="32" t="s">
        <v>300</v>
      </c>
      <c r="C694" s="32" t="s">
        <v>993</v>
      </c>
      <c r="D694" s="32" t="s">
        <v>302</v>
      </c>
    </row>
    <row r="695" spans="2:4" x14ac:dyDescent="0.25">
      <c r="B695" s="32" t="s">
        <v>300</v>
      </c>
      <c r="C695" s="32" t="s">
        <v>994</v>
      </c>
      <c r="D695" s="32" t="s">
        <v>302</v>
      </c>
    </row>
    <row r="696" spans="2:4" x14ac:dyDescent="0.25">
      <c r="B696" s="32" t="s">
        <v>300</v>
      </c>
      <c r="C696" s="32" t="s">
        <v>995</v>
      </c>
      <c r="D696" s="32" t="s">
        <v>302</v>
      </c>
    </row>
    <row r="697" spans="2:4" x14ac:dyDescent="0.25">
      <c r="B697" s="32" t="s">
        <v>300</v>
      </c>
      <c r="C697" s="32" t="s">
        <v>996</v>
      </c>
      <c r="D697" s="32" t="s">
        <v>302</v>
      </c>
    </row>
    <row r="698" spans="2:4" x14ac:dyDescent="0.25">
      <c r="B698" s="32" t="s">
        <v>300</v>
      </c>
      <c r="C698" s="32" t="s">
        <v>997</v>
      </c>
      <c r="D698" s="32" t="s">
        <v>302</v>
      </c>
    </row>
    <row r="699" spans="2:4" x14ac:dyDescent="0.25">
      <c r="B699" s="32" t="s">
        <v>300</v>
      </c>
      <c r="C699" s="32" t="s">
        <v>998</v>
      </c>
      <c r="D699" s="32" t="s">
        <v>302</v>
      </c>
    </row>
    <row r="700" spans="2:4" x14ac:dyDescent="0.25">
      <c r="B700" s="32" t="s">
        <v>300</v>
      </c>
      <c r="C700" s="32" t="s">
        <v>999</v>
      </c>
      <c r="D700" s="32" t="s">
        <v>302</v>
      </c>
    </row>
    <row r="701" spans="2:4" x14ac:dyDescent="0.25">
      <c r="B701" s="32" t="s">
        <v>300</v>
      </c>
      <c r="C701" s="32" t="s">
        <v>1000</v>
      </c>
      <c r="D701" s="32" t="s">
        <v>302</v>
      </c>
    </row>
    <row r="702" spans="2:4" x14ac:dyDescent="0.25">
      <c r="B702" s="32" t="s">
        <v>300</v>
      </c>
      <c r="C702" s="32" t="s">
        <v>1001</v>
      </c>
      <c r="D702" s="32" t="s">
        <v>302</v>
      </c>
    </row>
    <row r="703" spans="2:4" x14ac:dyDescent="0.25">
      <c r="B703" s="32" t="s">
        <v>300</v>
      </c>
      <c r="C703" s="32" t="s">
        <v>1002</v>
      </c>
      <c r="D703" s="32" t="s">
        <v>302</v>
      </c>
    </row>
    <row r="704" spans="2:4" x14ac:dyDescent="0.25">
      <c r="B704" s="32" t="s">
        <v>300</v>
      </c>
      <c r="C704" s="32" t="s">
        <v>1003</v>
      </c>
      <c r="D704" s="32" t="s">
        <v>302</v>
      </c>
    </row>
    <row r="705" spans="2:4" x14ac:dyDescent="0.25">
      <c r="B705" s="32" t="s">
        <v>300</v>
      </c>
      <c r="C705" s="32" t="s">
        <v>1004</v>
      </c>
      <c r="D705" s="32" t="s">
        <v>302</v>
      </c>
    </row>
    <row r="706" spans="2:4" x14ac:dyDescent="0.25">
      <c r="B706" s="32" t="s">
        <v>300</v>
      </c>
      <c r="C706" s="32" t="s">
        <v>1005</v>
      </c>
      <c r="D706" s="32" t="s">
        <v>302</v>
      </c>
    </row>
    <row r="707" spans="2:4" x14ac:dyDescent="0.25">
      <c r="B707" s="32" t="s">
        <v>300</v>
      </c>
      <c r="C707" s="32" t="s">
        <v>1006</v>
      </c>
      <c r="D707" s="32" t="s">
        <v>302</v>
      </c>
    </row>
    <row r="708" spans="2:4" x14ac:dyDescent="0.25">
      <c r="B708" s="32" t="s">
        <v>300</v>
      </c>
      <c r="C708" s="32" t="s">
        <v>1007</v>
      </c>
      <c r="D708" s="32" t="s">
        <v>302</v>
      </c>
    </row>
    <row r="709" spans="2:4" x14ac:dyDescent="0.25">
      <c r="B709" s="32" t="s">
        <v>300</v>
      </c>
      <c r="C709" s="32" t="s">
        <v>1008</v>
      </c>
      <c r="D709" s="32" t="s">
        <v>302</v>
      </c>
    </row>
    <row r="710" spans="2:4" x14ac:dyDescent="0.25">
      <c r="B710" s="32" t="s">
        <v>300</v>
      </c>
      <c r="C710" s="32" t="s">
        <v>1009</v>
      </c>
      <c r="D710" s="32" t="s">
        <v>302</v>
      </c>
    </row>
    <row r="711" spans="2:4" x14ac:dyDescent="0.25">
      <c r="B711" s="32" t="s">
        <v>300</v>
      </c>
      <c r="C711" s="32" t="s">
        <v>1010</v>
      </c>
      <c r="D711" s="32" t="s">
        <v>302</v>
      </c>
    </row>
    <row r="712" spans="2:4" x14ac:dyDescent="0.25">
      <c r="B712" s="32" t="s">
        <v>300</v>
      </c>
      <c r="C712" s="32" t="s">
        <v>1011</v>
      </c>
      <c r="D712" s="32" t="s">
        <v>302</v>
      </c>
    </row>
    <row r="713" spans="2:4" x14ac:dyDescent="0.25">
      <c r="B713" s="32" t="s">
        <v>300</v>
      </c>
      <c r="C713" s="32" t="s">
        <v>1012</v>
      </c>
      <c r="D713" s="32" t="s">
        <v>302</v>
      </c>
    </row>
    <row r="714" spans="2:4" x14ac:dyDescent="0.25">
      <c r="B714" s="32" t="s">
        <v>300</v>
      </c>
      <c r="C714" s="32" t="s">
        <v>1013</v>
      </c>
      <c r="D714" s="32" t="s">
        <v>302</v>
      </c>
    </row>
    <row r="715" spans="2:4" x14ac:dyDescent="0.25">
      <c r="B715" s="32" t="s">
        <v>300</v>
      </c>
      <c r="C715" s="32" t="s">
        <v>1014</v>
      </c>
      <c r="D715" s="32" t="s">
        <v>302</v>
      </c>
    </row>
    <row r="716" spans="2:4" x14ac:dyDescent="0.25">
      <c r="B716" s="32" t="s">
        <v>300</v>
      </c>
      <c r="C716" s="32" t="s">
        <v>1015</v>
      </c>
      <c r="D716" s="32" t="s">
        <v>302</v>
      </c>
    </row>
    <row r="717" spans="2:4" x14ac:dyDescent="0.25">
      <c r="B717" s="32" t="s">
        <v>300</v>
      </c>
      <c r="C717" s="32" t="s">
        <v>1016</v>
      </c>
      <c r="D717" s="32" t="s">
        <v>302</v>
      </c>
    </row>
    <row r="718" spans="2:4" x14ac:dyDescent="0.25">
      <c r="B718" s="32" t="s">
        <v>300</v>
      </c>
      <c r="C718" s="32" t="s">
        <v>1017</v>
      </c>
      <c r="D718" s="32" t="s">
        <v>302</v>
      </c>
    </row>
    <row r="719" spans="2:4" x14ac:dyDescent="0.25">
      <c r="B719" s="32" t="s">
        <v>300</v>
      </c>
      <c r="C719" s="32" t="s">
        <v>1018</v>
      </c>
      <c r="D719" s="32" t="s">
        <v>302</v>
      </c>
    </row>
    <row r="720" spans="2:4" x14ac:dyDescent="0.25">
      <c r="B720" s="32" t="s">
        <v>300</v>
      </c>
      <c r="C720" s="32" t="s">
        <v>1019</v>
      </c>
      <c r="D720" s="32" t="s">
        <v>302</v>
      </c>
    </row>
    <row r="721" spans="2:4" x14ac:dyDescent="0.25">
      <c r="B721" s="32" t="s">
        <v>300</v>
      </c>
      <c r="C721" s="32" t="s">
        <v>1020</v>
      </c>
      <c r="D721" s="32" t="s">
        <v>302</v>
      </c>
    </row>
    <row r="722" spans="2:4" x14ac:dyDescent="0.25">
      <c r="B722" s="32" t="s">
        <v>300</v>
      </c>
      <c r="C722" s="32" t="s">
        <v>1021</v>
      </c>
      <c r="D722" s="32" t="s">
        <v>302</v>
      </c>
    </row>
    <row r="723" spans="2:4" x14ac:dyDescent="0.25">
      <c r="B723" s="32" t="s">
        <v>300</v>
      </c>
      <c r="C723" s="32" t="s">
        <v>1022</v>
      </c>
      <c r="D723" s="32" t="s">
        <v>302</v>
      </c>
    </row>
    <row r="724" spans="2:4" x14ac:dyDescent="0.25">
      <c r="B724" s="32" t="s">
        <v>300</v>
      </c>
      <c r="C724" s="32" t="s">
        <v>1023</v>
      </c>
      <c r="D724" s="32" t="s">
        <v>302</v>
      </c>
    </row>
    <row r="725" spans="2:4" x14ac:dyDescent="0.25">
      <c r="B725" s="32" t="s">
        <v>300</v>
      </c>
      <c r="C725" s="32" t="s">
        <v>1024</v>
      </c>
      <c r="D725" s="32" t="s">
        <v>302</v>
      </c>
    </row>
    <row r="726" spans="2:4" x14ac:dyDescent="0.25">
      <c r="B726" s="32" t="s">
        <v>300</v>
      </c>
      <c r="C726" s="32" t="s">
        <v>1025</v>
      </c>
      <c r="D726" s="32" t="s">
        <v>302</v>
      </c>
    </row>
    <row r="727" spans="2:4" x14ac:dyDescent="0.25">
      <c r="B727" s="32" t="s">
        <v>300</v>
      </c>
      <c r="C727" s="32" t="s">
        <v>1026</v>
      </c>
      <c r="D727" s="32" t="s">
        <v>302</v>
      </c>
    </row>
    <row r="728" spans="2:4" x14ac:dyDescent="0.25">
      <c r="B728" s="32" t="s">
        <v>300</v>
      </c>
      <c r="C728" s="32" t="s">
        <v>1027</v>
      </c>
      <c r="D728" s="32" t="s">
        <v>302</v>
      </c>
    </row>
    <row r="729" spans="2:4" x14ac:dyDescent="0.25">
      <c r="B729" s="32" t="s">
        <v>300</v>
      </c>
      <c r="C729" s="32" t="s">
        <v>1028</v>
      </c>
      <c r="D729" s="32" t="s">
        <v>302</v>
      </c>
    </row>
    <row r="730" spans="2:4" x14ac:dyDescent="0.25">
      <c r="B730" s="32" t="s">
        <v>300</v>
      </c>
      <c r="C730" s="32" t="s">
        <v>1029</v>
      </c>
      <c r="D730" s="32" t="s">
        <v>302</v>
      </c>
    </row>
    <row r="731" spans="2:4" x14ac:dyDescent="0.25">
      <c r="B731" s="32" t="s">
        <v>300</v>
      </c>
      <c r="C731" s="32" t="s">
        <v>1030</v>
      </c>
      <c r="D731" s="32" t="s">
        <v>302</v>
      </c>
    </row>
    <row r="732" spans="2:4" x14ac:dyDescent="0.25">
      <c r="B732" s="32" t="s">
        <v>300</v>
      </c>
      <c r="C732" s="32" t="s">
        <v>1031</v>
      </c>
      <c r="D732" s="32" t="s">
        <v>302</v>
      </c>
    </row>
    <row r="733" spans="2:4" x14ac:dyDescent="0.25">
      <c r="B733" s="32" t="s">
        <v>300</v>
      </c>
      <c r="C733" s="32" t="s">
        <v>1032</v>
      </c>
      <c r="D733" s="32" t="s">
        <v>302</v>
      </c>
    </row>
    <row r="734" spans="2:4" x14ac:dyDescent="0.25">
      <c r="B734" s="32" t="s">
        <v>300</v>
      </c>
      <c r="C734" s="32" t="s">
        <v>1033</v>
      </c>
      <c r="D734" s="32" t="s">
        <v>302</v>
      </c>
    </row>
    <row r="735" spans="2:4" x14ac:dyDescent="0.25">
      <c r="B735" s="32" t="s">
        <v>300</v>
      </c>
      <c r="C735" s="32" t="s">
        <v>1034</v>
      </c>
      <c r="D735" s="32" t="s">
        <v>302</v>
      </c>
    </row>
    <row r="736" spans="2:4" x14ac:dyDescent="0.25">
      <c r="B736" s="32" t="s">
        <v>300</v>
      </c>
      <c r="C736" s="32" t="s">
        <v>1035</v>
      </c>
      <c r="D736" s="32" t="s">
        <v>302</v>
      </c>
    </row>
    <row r="737" spans="2:4" x14ac:dyDescent="0.25">
      <c r="B737" s="32" t="s">
        <v>300</v>
      </c>
      <c r="C737" s="32" t="s">
        <v>1036</v>
      </c>
      <c r="D737" s="32" t="s">
        <v>302</v>
      </c>
    </row>
    <row r="738" spans="2:4" x14ac:dyDescent="0.25">
      <c r="B738" s="32" t="s">
        <v>300</v>
      </c>
      <c r="C738" s="32" t="s">
        <v>1037</v>
      </c>
      <c r="D738" s="32" t="s">
        <v>302</v>
      </c>
    </row>
    <row r="739" spans="2:4" x14ac:dyDescent="0.25">
      <c r="B739" s="32" t="s">
        <v>300</v>
      </c>
      <c r="C739" s="32" t="s">
        <v>1038</v>
      </c>
      <c r="D739" s="32" t="s">
        <v>302</v>
      </c>
    </row>
    <row r="740" spans="2:4" x14ac:dyDescent="0.25">
      <c r="B740" s="32" t="s">
        <v>300</v>
      </c>
      <c r="C740" s="32" t="s">
        <v>1039</v>
      </c>
      <c r="D740" s="32" t="s">
        <v>302</v>
      </c>
    </row>
    <row r="741" spans="2:4" x14ac:dyDescent="0.25">
      <c r="B741" s="32" t="s">
        <v>300</v>
      </c>
      <c r="C741" s="32" t="s">
        <v>1040</v>
      </c>
      <c r="D741" s="32" t="s">
        <v>302</v>
      </c>
    </row>
    <row r="742" spans="2:4" x14ac:dyDescent="0.25">
      <c r="B742" s="32" t="s">
        <v>300</v>
      </c>
      <c r="C742" s="32" t="s">
        <v>1041</v>
      </c>
      <c r="D742" s="32" t="s">
        <v>302</v>
      </c>
    </row>
    <row r="743" spans="2:4" x14ac:dyDescent="0.25">
      <c r="B743" s="32" t="s">
        <v>300</v>
      </c>
      <c r="C743" s="32" t="s">
        <v>1042</v>
      </c>
      <c r="D743" s="32" t="s">
        <v>302</v>
      </c>
    </row>
    <row r="744" spans="2:4" x14ac:dyDescent="0.25">
      <c r="B744" s="32" t="s">
        <v>300</v>
      </c>
      <c r="C744" s="32" t="s">
        <v>1043</v>
      </c>
      <c r="D744" s="32" t="s">
        <v>302</v>
      </c>
    </row>
    <row r="745" spans="2:4" x14ac:dyDescent="0.25">
      <c r="B745" s="32" t="s">
        <v>300</v>
      </c>
      <c r="C745" s="32" t="s">
        <v>1044</v>
      </c>
      <c r="D745" s="32" t="s">
        <v>302</v>
      </c>
    </row>
    <row r="746" spans="2:4" x14ac:dyDescent="0.25">
      <c r="B746" s="32" t="s">
        <v>300</v>
      </c>
      <c r="C746" s="32" t="s">
        <v>1045</v>
      </c>
      <c r="D746" s="32" t="s">
        <v>302</v>
      </c>
    </row>
    <row r="747" spans="2:4" x14ac:dyDescent="0.25">
      <c r="B747" s="32" t="s">
        <v>300</v>
      </c>
      <c r="C747" s="32" t="s">
        <v>1046</v>
      </c>
      <c r="D747" s="32" t="s">
        <v>302</v>
      </c>
    </row>
    <row r="748" spans="2:4" x14ac:dyDescent="0.25">
      <c r="B748" s="32" t="s">
        <v>300</v>
      </c>
      <c r="C748" s="32" t="s">
        <v>1047</v>
      </c>
      <c r="D748" s="32" t="s">
        <v>302</v>
      </c>
    </row>
    <row r="749" spans="2:4" x14ac:dyDescent="0.25">
      <c r="B749" s="32" t="s">
        <v>300</v>
      </c>
      <c r="C749" s="32" t="s">
        <v>1048</v>
      </c>
      <c r="D749" s="32" t="s">
        <v>302</v>
      </c>
    </row>
    <row r="750" spans="2:4" x14ac:dyDescent="0.25">
      <c r="B750" s="32" t="s">
        <v>300</v>
      </c>
      <c r="C750" s="32" t="s">
        <v>1049</v>
      </c>
      <c r="D750" s="32" t="s">
        <v>302</v>
      </c>
    </row>
    <row r="751" spans="2:4" x14ac:dyDescent="0.25">
      <c r="B751" s="32" t="s">
        <v>300</v>
      </c>
      <c r="C751" s="32" t="s">
        <v>1050</v>
      </c>
      <c r="D751" s="32" t="s">
        <v>302</v>
      </c>
    </row>
    <row r="752" spans="2:4" x14ac:dyDescent="0.25">
      <c r="B752" s="32" t="s">
        <v>300</v>
      </c>
      <c r="C752" s="32" t="s">
        <v>1051</v>
      </c>
      <c r="D752" s="32" t="s">
        <v>302</v>
      </c>
    </row>
    <row r="753" spans="2:4" x14ac:dyDescent="0.25">
      <c r="B753" s="32" t="s">
        <v>300</v>
      </c>
      <c r="C753" s="32" t="s">
        <v>1052</v>
      </c>
      <c r="D753" s="32" t="s">
        <v>302</v>
      </c>
    </row>
    <row r="754" spans="2:4" x14ac:dyDescent="0.25">
      <c r="B754" s="32" t="s">
        <v>300</v>
      </c>
      <c r="C754" s="32" t="s">
        <v>1053</v>
      </c>
      <c r="D754" s="32" t="s">
        <v>302</v>
      </c>
    </row>
    <row r="755" spans="2:4" x14ac:dyDescent="0.25">
      <c r="B755" s="32" t="s">
        <v>300</v>
      </c>
      <c r="C755" s="32" t="s">
        <v>1054</v>
      </c>
      <c r="D755" s="32" t="s">
        <v>302</v>
      </c>
    </row>
    <row r="756" spans="2:4" x14ac:dyDescent="0.25">
      <c r="B756" s="32" t="s">
        <v>300</v>
      </c>
      <c r="C756" s="32" t="s">
        <v>1055</v>
      </c>
      <c r="D756" s="32" t="s">
        <v>302</v>
      </c>
    </row>
    <row r="757" spans="2:4" x14ac:dyDescent="0.25">
      <c r="B757" s="32" t="s">
        <v>300</v>
      </c>
      <c r="C757" s="32" t="s">
        <v>1056</v>
      </c>
      <c r="D757" s="32" t="s">
        <v>302</v>
      </c>
    </row>
    <row r="758" spans="2:4" x14ac:dyDescent="0.25">
      <c r="B758" s="32" t="s">
        <v>300</v>
      </c>
      <c r="C758" s="32" t="s">
        <v>1057</v>
      </c>
      <c r="D758" s="32" t="s">
        <v>302</v>
      </c>
    </row>
    <row r="759" spans="2:4" x14ac:dyDescent="0.25">
      <c r="B759" s="32" t="s">
        <v>300</v>
      </c>
      <c r="C759" s="32" t="s">
        <v>1058</v>
      </c>
      <c r="D759" s="32" t="s">
        <v>302</v>
      </c>
    </row>
    <row r="760" spans="2:4" x14ac:dyDescent="0.25">
      <c r="B760" s="32" t="s">
        <v>300</v>
      </c>
      <c r="C760" s="32" t="s">
        <v>1059</v>
      </c>
      <c r="D760" s="32" t="s">
        <v>302</v>
      </c>
    </row>
    <row r="761" spans="2:4" x14ac:dyDescent="0.25">
      <c r="B761" s="32" t="s">
        <v>300</v>
      </c>
      <c r="C761" s="32" t="s">
        <v>1060</v>
      </c>
      <c r="D761" s="32" t="s">
        <v>302</v>
      </c>
    </row>
    <row r="762" spans="2:4" x14ac:dyDescent="0.25">
      <c r="B762" s="32" t="s">
        <v>300</v>
      </c>
      <c r="C762" s="32" t="s">
        <v>1061</v>
      </c>
      <c r="D762" s="32" t="s">
        <v>302</v>
      </c>
    </row>
    <row r="763" spans="2:4" x14ac:dyDescent="0.25">
      <c r="B763" s="32" t="s">
        <v>300</v>
      </c>
      <c r="C763" s="32" t="s">
        <v>1062</v>
      </c>
      <c r="D763" s="32" t="s">
        <v>302</v>
      </c>
    </row>
    <row r="764" spans="2:4" x14ac:dyDescent="0.25">
      <c r="B764" s="32" t="s">
        <v>300</v>
      </c>
      <c r="C764" s="32" t="s">
        <v>1063</v>
      </c>
      <c r="D764" s="32" t="s">
        <v>302</v>
      </c>
    </row>
    <row r="765" spans="2:4" x14ac:dyDescent="0.25">
      <c r="B765" s="32" t="s">
        <v>300</v>
      </c>
      <c r="C765" s="32" t="s">
        <v>1064</v>
      </c>
      <c r="D765" s="32" t="s">
        <v>302</v>
      </c>
    </row>
    <row r="766" spans="2:4" x14ac:dyDescent="0.25">
      <c r="B766" s="32" t="s">
        <v>300</v>
      </c>
      <c r="C766" s="32" t="s">
        <v>1065</v>
      </c>
      <c r="D766" s="32" t="s">
        <v>302</v>
      </c>
    </row>
    <row r="767" spans="2:4" x14ac:dyDescent="0.25">
      <c r="B767" s="32" t="s">
        <v>300</v>
      </c>
      <c r="C767" s="32" t="s">
        <v>1066</v>
      </c>
      <c r="D767" s="32" t="s">
        <v>302</v>
      </c>
    </row>
    <row r="768" spans="2:4" x14ac:dyDescent="0.25">
      <c r="B768" s="32" t="s">
        <v>300</v>
      </c>
      <c r="C768" s="32" t="s">
        <v>1067</v>
      </c>
      <c r="D768" s="32" t="s">
        <v>302</v>
      </c>
    </row>
    <row r="769" spans="2:4" x14ac:dyDescent="0.25">
      <c r="B769" s="32" t="s">
        <v>300</v>
      </c>
      <c r="C769" s="32" t="s">
        <v>1068</v>
      </c>
      <c r="D769" s="32" t="s">
        <v>302</v>
      </c>
    </row>
    <row r="770" spans="2:4" x14ac:dyDescent="0.25">
      <c r="B770" s="32" t="s">
        <v>300</v>
      </c>
      <c r="C770" s="32" t="s">
        <v>1069</v>
      </c>
      <c r="D770" s="32" t="s">
        <v>302</v>
      </c>
    </row>
    <row r="771" spans="2:4" x14ac:dyDescent="0.25">
      <c r="B771" s="32" t="s">
        <v>300</v>
      </c>
      <c r="C771" s="32" t="s">
        <v>1070</v>
      </c>
      <c r="D771" s="32" t="s">
        <v>302</v>
      </c>
    </row>
    <row r="772" spans="2:4" x14ac:dyDescent="0.25">
      <c r="B772" s="32" t="s">
        <v>300</v>
      </c>
      <c r="C772" s="32" t="s">
        <v>1071</v>
      </c>
      <c r="D772" s="32" t="s">
        <v>302</v>
      </c>
    </row>
    <row r="773" spans="2:4" x14ac:dyDescent="0.25">
      <c r="B773" s="32" t="s">
        <v>300</v>
      </c>
      <c r="C773" s="32" t="s">
        <v>1072</v>
      </c>
      <c r="D773" s="32" t="s">
        <v>302</v>
      </c>
    </row>
    <row r="774" spans="2:4" x14ac:dyDescent="0.25">
      <c r="B774" s="32" t="s">
        <v>300</v>
      </c>
      <c r="C774" s="32" t="s">
        <v>1073</v>
      </c>
      <c r="D774" s="32" t="s">
        <v>302</v>
      </c>
    </row>
    <row r="775" spans="2:4" x14ac:dyDescent="0.25">
      <c r="B775" s="32" t="s">
        <v>300</v>
      </c>
      <c r="C775" s="32" t="s">
        <v>1074</v>
      </c>
      <c r="D775" s="32" t="s">
        <v>302</v>
      </c>
    </row>
    <row r="776" spans="2:4" x14ac:dyDescent="0.25">
      <c r="B776" s="32" t="s">
        <v>300</v>
      </c>
      <c r="C776" s="32" t="s">
        <v>1075</v>
      </c>
      <c r="D776" s="32" t="s">
        <v>302</v>
      </c>
    </row>
    <row r="777" spans="2:4" x14ac:dyDescent="0.25">
      <c r="B777" s="32" t="s">
        <v>300</v>
      </c>
      <c r="C777" s="32" t="s">
        <v>1076</v>
      </c>
      <c r="D777" s="32" t="s">
        <v>302</v>
      </c>
    </row>
    <row r="778" spans="2:4" x14ac:dyDescent="0.25">
      <c r="B778" s="32" t="s">
        <v>300</v>
      </c>
      <c r="C778" s="32" t="s">
        <v>1077</v>
      </c>
      <c r="D778" s="32" t="s">
        <v>302</v>
      </c>
    </row>
    <row r="779" spans="2:4" x14ac:dyDescent="0.25">
      <c r="B779" s="32" t="s">
        <v>300</v>
      </c>
      <c r="C779" s="32" t="s">
        <v>1078</v>
      </c>
      <c r="D779" s="32" t="s">
        <v>302</v>
      </c>
    </row>
    <row r="780" spans="2:4" x14ac:dyDescent="0.25">
      <c r="B780" s="32" t="s">
        <v>300</v>
      </c>
      <c r="C780" s="32" t="s">
        <v>1079</v>
      </c>
      <c r="D780" s="32" t="s">
        <v>302</v>
      </c>
    </row>
    <row r="781" spans="2:4" x14ac:dyDescent="0.25">
      <c r="B781" s="32" t="s">
        <v>300</v>
      </c>
      <c r="C781" s="32" t="s">
        <v>1080</v>
      </c>
      <c r="D781" s="32" t="s">
        <v>302</v>
      </c>
    </row>
    <row r="782" spans="2:4" x14ac:dyDescent="0.25">
      <c r="B782" s="32" t="s">
        <v>300</v>
      </c>
      <c r="C782" s="32" t="s">
        <v>1081</v>
      </c>
      <c r="D782" s="32" t="s">
        <v>302</v>
      </c>
    </row>
    <row r="783" spans="2:4" x14ac:dyDescent="0.25">
      <c r="B783" s="32" t="s">
        <v>300</v>
      </c>
      <c r="C783" s="32" t="s">
        <v>1082</v>
      </c>
      <c r="D783" s="32" t="s">
        <v>302</v>
      </c>
    </row>
    <row r="784" spans="2:4" x14ac:dyDescent="0.25">
      <c r="B784" s="32" t="s">
        <v>300</v>
      </c>
      <c r="C784" s="32" t="s">
        <v>1083</v>
      </c>
      <c r="D784" s="32" t="s">
        <v>302</v>
      </c>
    </row>
    <row r="785" spans="2:4" x14ac:dyDescent="0.25">
      <c r="B785" s="32" t="s">
        <v>300</v>
      </c>
      <c r="C785" s="32" t="s">
        <v>1084</v>
      </c>
      <c r="D785" s="32" t="s">
        <v>302</v>
      </c>
    </row>
    <row r="786" spans="2:4" x14ac:dyDescent="0.25">
      <c r="B786" s="32" t="s">
        <v>300</v>
      </c>
      <c r="C786" s="32" t="s">
        <v>1085</v>
      </c>
      <c r="D786" s="32" t="s">
        <v>302</v>
      </c>
    </row>
    <row r="787" spans="2:4" x14ac:dyDescent="0.25">
      <c r="B787" s="32" t="s">
        <v>300</v>
      </c>
      <c r="C787" s="32" t="s">
        <v>1086</v>
      </c>
      <c r="D787" s="32" t="s">
        <v>302</v>
      </c>
    </row>
    <row r="788" spans="2:4" x14ac:dyDescent="0.25">
      <c r="B788" s="32" t="s">
        <v>300</v>
      </c>
      <c r="C788" s="32" t="s">
        <v>1087</v>
      </c>
      <c r="D788" s="32" t="s">
        <v>302</v>
      </c>
    </row>
    <row r="789" spans="2:4" x14ac:dyDescent="0.25">
      <c r="B789" s="32" t="s">
        <v>300</v>
      </c>
      <c r="C789" s="32" t="s">
        <v>1088</v>
      </c>
      <c r="D789" s="32" t="s">
        <v>302</v>
      </c>
    </row>
    <row r="790" spans="2:4" x14ac:dyDescent="0.25">
      <c r="B790" s="32" t="s">
        <v>300</v>
      </c>
      <c r="C790" s="32" t="s">
        <v>1089</v>
      </c>
      <c r="D790" s="32" t="s">
        <v>302</v>
      </c>
    </row>
    <row r="791" spans="2:4" x14ac:dyDescent="0.25">
      <c r="B791" s="32" t="s">
        <v>300</v>
      </c>
      <c r="C791" s="32" t="s">
        <v>1090</v>
      </c>
      <c r="D791" s="32" t="s">
        <v>302</v>
      </c>
    </row>
    <row r="792" spans="2:4" x14ac:dyDescent="0.25">
      <c r="B792" s="32" t="s">
        <v>300</v>
      </c>
      <c r="C792" s="32" t="s">
        <v>1091</v>
      </c>
      <c r="D792" s="32" t="s">
        <v>302</v>
      </c>
    </row>
    <row r="793" spans="2:4" x14ac:dyDescent="0.25">
      <c r="B793" s="32" t="s">
        <v>300</v>
      </c>
      <c r="C793" s="32" t="s">
        <v>1092</v>
      </c>
      <c r="D793" s="32" t="s">
        <v>302</v>
      </c>
    </row>
    <row r="794" spans="2:4" x14ac:dyDescent="0.25">
      <c r="B794" s="32" t="s">
        <v>300</v>
      </c>
      <c r="C794" s="32" t="s">
        <v>1093</v>
      </c>
      <c r="D794" s="32" t="s">
        <v>302</v>
      </c>
    </row>
    <row r="795" spans="2:4" x14ac:dyDescent="0.25">
      <c r="B795" s="32" t="s">
        <v>300</v>
      </c>
      <c r="C795" s="32" t="s">
        <v>1094</v>
      </c>
      <c r="D795" s="32" t="s">
        <v>302</v>
      </c>
    </row>
    <row r="796" spans="2:4" x14ac:dyDescent="0.25">
      <c r="B796" s="32" t="s">
        <v>300</v>
      </c>
      <c r="C796" s="32" t="s">
        <v>1095</v>
      </c>
      <c r="D796" s="32" t="s">
        <v>302</v>
      </c>
    </row>
    <row r="797" spans="2:4" x14ac:dyDescent="0.25">
      <c r="B797" s="32" t="s">
        <v>300</v>
      </c>
      <c r="C797" s="32" t="s">
        <v>1096</v>
      </c>
      <c r="D797" s="32" t="s">
        <v>302</v>
      </c>
    </row>
    <row r="798" spans="2:4" x14ac:dyDescent="0.25">
      <c r="B798" s="32" t="s">
        <v>300</v>
      </c>
      <c r="C798" s="32" t="s">
        <v>1097</v>
      </c>
      <c r="D798" s="32" t="s">
        <v>302</v>
      </c>
    </row>
    <row r="799" spans="2:4" x14ac:dyDescent="0.25">
      <c r="B799" s="32" t="s">
        <v>300</v>
      </c>
      <c r="C799" s="32" t="s">
        <v>1098</v>
      </c>
      <c r="D799" s="32" t="s">
        <v>302</v>
      </c>
    </row>
    <row r="800" spans="2:4" x14ac:dyDescent="0.25">
      <c r="B800" s="32" t="s">
        <v>300</v>
      </c>
      <c r="C800" s="32" t="s">
        <v>1099</v>
      </c>
      <c r="D800" s="32" t="s">
        <v>302</v>
      </c>
    </row>
    <row r="801" spans="2:4" x14ac:dyDescent="0.25">
      <c r="B801" s="32" t="s">
        <v>300</v>
      </c>
      <c r="C801" s="32" t="s">
        <v>1100</v>
      </c>
      <c r="D801" s="32" t="s">
        <v>302</v>
      </c>
    </row>
    <row r="802" spans="2:4" x14ac:dyDescent="0.25">
      <c r="B802" s="32" t="s">
        <v>300</v>
      </c>
      <c r="C802" s="32" t="s">
        <v>1101</v>
      </c>
      <c r="D802" s="32" t="s">
        <v>302</v>
      </c>
    </row>
    <row r="803" spans="2:4" x14ac:dyDescent="0.25">
      <c r="B803" s="32" t="s">
        <v>300</v>
      </c>
      <c r="C803" s="32" t="s">
        <v>1102</v>
      </c>
      <c r="D803" s="32" t="s">
        <v>302</v>
      </c>
    </row>
    <row r="804" spans="2:4" x14ac:dyDescent="0.25">
      <c r="B804" s="32" t="s">
        <v>300</v>
      </c>
      <c r="C804" s="32" t="s">
        <v>1103</v>
      </c>
      <c r="D804" s="32" t="s">
        <v>302</v>
      </c>
    </row>
    <row r="805" spans="2:4" x14ac:dyDescent="0.25">
      <c r="B805" s="32" t="s">
        <v>300</v>
      </c>
      <c r="C805" s="32" t="s">
        <v>1104</v>
      </c>
      <c r="D805" s="32" t="s">
        <v>302</v>
      </c>
    </row>
    <row r="806" spans="2:4" x14ac:dyDescent="0.25">
      <c r="B806" s="32" t="s">
        <v>300</v>
      </c>
      <c r="C806" s="32" t="s">
        <v>1105</v>
      </c>
      <c r="D806" s="32" t="s">
        <v>302</v>
      </c>
    </row>
    <row r="807" spans="2:4" x14ac:dyDescent="0.25">
      <c r="B807" s="32" t="s">
        <v>300</v>
      </c>
      <c r="C807" s="32" t="s">
        <v>1106</v>
      </c>
      <c r="D807" s="32" t="s">
        <v>302</v>
      </c>
    </row>
    <row r="808" spans="2:4" x14ac:dyDescent="0.25">
      <c r="B808" s="32" t="s">
        <v>300</v>
      </c>
      <c r="C808" s="32" t="s">
        <v>1107</v>
      </c>
      <c r="D808" s="32" t="s">
        <v>302</v>
      </c>
    </row>
    <row r="809" spans="2:4" x14ac:dyDescent="0.25">
      <c r="B809" s="32" t="s">
        <v>300</v>
      </c>
      <c r="C809" s="32" t="s">
        <v>1108</v>
      </c>
      <c r="D809" s="32" t="s">
        <v>302</v>
      </c>
    </row>
    <row r="810" spans="2:4" x14ac:dyDescent="0.25">
      <c r="B810" s="32" t="s">
        <v>300</v>
      </c>
      <c r="C810" s="32" t="s">
        <v>1109</v>
      </c>
      <c r="D810" s="32" t="s">
        <v>302</v>
      </c>
    </row>
    <row r="811" spans="2:4" x14ac:dyDescent="0.25">
      <c r="B811" s="32" t="s">
        <v>300</v>
      </c>
      <c r="C811" s="32" t="s">
        <v>1110</v>
      </c>
      <c r="D811" s="32" t="s">
        <v>302</v>
      </c>
    </row>
    <row r="812" spans="2:4" x14ac:dyDescent="0.25">
      <c r="B812" s="32" t="s">
        <v>300</v>
      </c>
      <c r="C812" s="32" t="s">
        <v>1111</v>
      </c>
      <c r="D812" s="32" t="s">
        <v>302</v>
      </c>
    </row>
    <row r="813" spans="2:4" x14ac:dyDescent="0.25">
      <c r="B813" s="32" t="s">
        <v>300</v>
      </c>
      <c r="C813" s="32" t="s">
        <v>1112</v>
      </c>
      <c r="D813" s="32" t="s">
        <v>302</v>
      </c>
    </row>
    <row r="814" spans="2:4" x14ac:dyDescent="0.25">
      <c r="B814" s="32" t="s">
        <v>300</v>
      </c>
      <c r="C814" s="32" t="s">
        <v>1113</v>
      </c>
      <c r="D814" s="32" t="s">
        <v>302</v>
      </c>
    </row>
    <row r="815" spans="2:4" x14ac:dyDescent="0.25">
      <c r="B815" s="32" t="s">
        <v>300</v>
      </c>
      <c r="C815" s="32" t="s">
        <v>1114</v>
      </c>
      <c r="D815" s="32" t="s">
        <v>302</v>
      </c>
    </row>
    <row r="816" spans="2:4" x14ac:dyDescent="0.25">
      <c r="B816" s="32" t="s">
        <v>300</v>
      </c>
      <c r="C816" s="32" t="s">
        <v>1115</v>
      </c>
      <c r="D816" s="32" t="s">
        <v>302</v>
      </c>
    </row>
    <row r="817" spans="2:4" x14ac:dyDescent="0.25">
      <c r="B817" s="32" t="s">
        <v>300</v>
      </c>
      <c r="C817" s="32" t="s">
        <v>1116</v>
      </c>
      <c r="D817" s="32" t="s">
        <v>302</v>
      </c>
    </row>
    <row r="818" spans="2:4" x14ac:dyDescent="0.25">
      <c r="B818" s="32" t="s">
        <v>300</v>
      </c>
      <c r="C818" s="32" t="s">
        <v>1117</v>
      </c>
      <c r="D818" s="32" t="s">
        <v>302</v>
      </c>
    </row>
    <row r="819" spans="2:4" x14ac:dyDescent="0.25">
      <c r="B819" s="32" t="s">
        <v>300</v>
      </c>
      <c r="C819" s="32" t="s">
        <v>1118</v>
      </c>
      <c r="D819" s="32" t="s">
        <v>302</v>
      </c>
    </row>
    <row r="820" spans="2:4" x14ac:dyDescent="0.25">
      <c r="B820" s="32" t="s">
        <v>300</v>
      </c>
      <c r="C820" s="32" t="s">
        <v>1119</v>
      </c>
      <c r="D820" s="32" t="s">
        <v>302</v>
      </c>
    </row>
    <row r="821" spans="2:4" x14ac:dyDescent="0.25">
      <c r="B821" s="32" t="s">
        <v>300</v>
      </c>
      <c r="C821" s="32" t="s">
        <v>1120</v>
      </c>
      <c r="D821" s="32" t="s">
        <v>302</v>
      </c>
    </row>
    <row r="822" spans="2:4" x14ac:dyDescent="0.25">
      <c r="B822" s="32" t="s">
        <v>300</v>
      </c>
      <c r="C822" s="32" t="s">
        <v>1121</v>
      </c>
      <c r="D822" s="32" t="s">
        <v>302</v>
      </c>
    </row>
    <row r="823" spans="2:4" x14ac:dyDescent="0.25">
      <c r="B823" s="32" t="s">
        <v>300</v>
      </c>
      <c r="C823" s="32" t="s">
        <v>1122</v>
      </c>
      <c r="D823" s="32" t="s">
        <v>302</v>
      </c>
    </row>
    <row r="824" spans="2:4" x14ac:dyDescent="0.25">
      <c r="B824" s="32" t="s">
        <v>300</v>
      </c>
      <c r="C824" s="32" t="s">
        <v>1123</v>
      </c>
      <c r="D824" s="32" t="s">
        <v>302</v>
      </c>
    </row>
    <row r="825" spans="2:4" x14ac:dyDescent="0.25">
      <c r="B825" s="32" t="s">
        <v>300</v>
      </c>
      <c r="C825" s="32" t="s">
        <v>1124</v>
      </c>
      <c r="D825" s="32" t="s">
        <v>302</v>
      </c>
    </row>
    <row r="826" spans="2:4" x14ac:dyDescent="0.25">
      <c r="B826" s="32" t="s">
        <v>300</v>
      </c>
      <c r="C826" s="32" t="s">
        <v>1125</v>
      </c>
      <c r="D826" s="32" t="s">
        <v>302</v>
      </c>
    </row>
    <row r="827" spans="2:4" x14ac:dyDescent="0.25">
      <c r="B827" s="32" t="s">
        <v>300</v>
      </c>
      <c r="C827" s="32" t="s">
        <v>1126</v>
      </c>
      <c r="D827" s="32" t="s">
        <v>302</v>
      </c>
    </row>
    <row r="828" spans="2:4" x14ac:dyDescent="0.25">
      <c r="B828" s="32" t="s">
        <v>300</v>
      </c>
      <c r="C828" s="32" t="s">
        <v>1127</v>
      </c>
      <c r="D828" s="32" t="s">
        <v>302</v>
      </c>
    </row>
    <row r="829" spans="2:4" x14ac:dyDescent="0.25">
      <c r="B829" s="32" t="s">
        <v>300</v>
      </c>
      <c r="C829" s="32" t="s">
        <v>1128</v>
      </c>
      <c r="D829" s="32" t="s">
        <v>302</v>
      </c>
    </row>
    <row r="830" spans="2:4" x14ac:dyDescent="0.25">
      <c r="B830" s="32" t="s">
        <v>300</v>
      </c>
      <c r="C830" s="32" t="s">
        <v>1129</v>
      </c>
      <c r="D830" s="32" t="s">
        <v>302</v>
      </c>
    </row>
    <row r="831" spans="2:4" x14ac:dyDescent="0.25">
      <c r="B831" s="32" t="s">
        <v>300</v>
      </c>
      <c r="C831" s="32" t="s">
        <v>1130</v>
      </c>
      <c r="D831" s="32" t="s">
        <v>302</v>
      </c>
    </row>
    <row r="832" spans="2:4" x14ac:dyDescent="0.25">
      <c r="B832" s="32" t="s">
        <v>300</v>
      </c>
      <c r="C832" s="32" t="s">
        <v>1131</v>
      </c>
      <c r="D832" s="32" t="s">
        <v>302</v>
      </c>
    </row>
    <row r="833" spans="2:4" x14ac:dyDescent="0.25">
      <c r="B833" s="32" t="s">
        <v>300</v>
      </c>
      <c r="C833" s="32" t="s">
        <v>1132</v>
      </c>
      <c r="D833" s="32" t="s">
        <v>302</v>
      </c>
    </row>
    <row r="834" spans="2:4" x14ac:dyDescent="0.25">
      <c r="B834" s="32" t="s">
        <v>300</v>
      </c>
      <c r="C834" s="32" t="s">
        <v>1133</v>
      </c>
      <c r="D834" s="32" t="s">
        <v>302</v>
      </c>
    </row>
    <row r="835" spans="2:4" x14ac:dyDescent="0.25">
      <c r="B835" s="32" t="s">
        <v>300</v>
      </c>
      <c r="C835" s="32" t="s">
        <v>1134</v>
      </c>
      <c r="D835" s="32" t="s">
        <v>302</v>
      </c>
    </row>
    <row r="836" spans="2:4" x14ac:dyDescent="0.25">
      <c r="B836" s="32" t="s">
        <v>300</v>
      </c>
      <c r="C836" s="32" t="s">
        <v>1135</v>
      </c>
      <c r="D836" s="32" t="s">
        <v>302</v>
      </c>
    </row>
    <row r="837" spans="2:4" x14ac:dyDescent="0.25">
      <c r="B837" s="32" t="s">
        <v>300</v>
      </c>
      <c r="C837" s="32" t="s">
        <v>1136</v>
      </c>
      <c r="D837" s="32" t="s">
        <v>302</v>
      </c>
    </row>
    <row r="838" spans="2:4" x14ac:dyDescent="0.25">
      <c r="B838" s="32" t="s">
        <v>300</v>
      </c>
      <c r="C838" s="32" t="s">
        <v>1137</v>
      </c>
      <c r="D838" s="32" t="s">
        <v>302</v>
      </c>
    </row>
    <row r="839" spans="2:4" x14ac:dyDescent="0.25">
      <c r="B839" s="32" t="s">
        <v>300</v>
      </c>
      <c r="C839" s="32" t="s">
        <v>1138</v>
      </c>
      <c r="D839" s="32" t="s">
        <v>302</v>
      </c>
    </row>
    <row r="840" spans="2:4" x14ac:dyDescent="0.25">
      <c r="B840" s="32" t="s">
        <v>300</v>
      </c>
      <c r="C840" s="32" t="s">
        <v>1139</v>
      </c>
      <c r="D840" s="32" t="s">
        <v>302</v>
      </c>
    </row>
    <row r="841" spans="2:4" x14ac:dyDescent="0.25">
      <c r="B841" s="32" t="s">
        <v>300</v>
      </c>
      <c r="C841" s="32" t="s">
        <v>1140</v>
      </c>
      <c r="D841" s="32" t="s">
        <v>302</v>
      </c>
    </row>
    <row r="842" spans="2:4" x14ac:dyDescent="0.25">
      <c r="B842" s="32" t="s">
        <v>300</v>
      </c>
      <c r="C842" s="32" t="s">
        <v>1141</v>
      </c>
      <c r="D842" s="32" t="s">
        <v>302</v>
      </c>
    </row>
    <row r="843" spans="2:4" x14ac:dyDescent="0.25">
      <c r="B843" s="32" t="s">
        <v>300</v>
      </c>
      <c r="C843" s="32" t="s">
        <v>1142</v>
      </c>
      <c r="D843" s="32" t="s">
        <v>302</v>
      </c>
    </row>
    <row r="844" spans="2:4" x14ac:dyDescent="0.25">
      <c r="B844" s="32" t="s">
        <v>300</v>
      </c>
      <c r="C844" s="32" t="s">
        <v>1143</v>
      </c>
      <c r="D844" s="32" t="s">
        <v>302</v>
      </c>
    </row>
    <row r="845" spans="2:4" x14ac:dyDescent="0.25">
      <c r="B845" s="32" t="s">
        <v>300</v>
      </c>
      <c r="C845" s="32" t="s">
        <v>1144</v>
      </c>
      <c r="D845" s="32" t="s">
        <v>302</v>
      </c>
    </row>
    <row r="846" spans="2:4" x14ac:dyDescent="0.25">
      <c r="B846" s="32" t="s">
        <v>300</v>
      </c>
      <c r="C846" s="32" t="s">
        <v>1145</v>
      </c>
      <c r="D846" s="32" t="s">
        <v>302</v>
      </c>
    </row>
    <row r="847" spans="2:4" x14ac:dyDescent="0.25">
      <c r="B847" s="32" t="s">
        <v>300</v>
      </c>
      <c r="C847" s="32" t="s">
        <v>1146</v>
      </c>
      <c r="D847" s="32" t="s">
        <v>302</v>
      </c>
    </row>
    <row r="848" spans="2:4" x14ac:dyDescent="0.25">
      <c r="B848" s="32" t="s">
        <v>300</v>
      </c>
      <c r="C848" s="32" t="s">
        <v>1147</v>
      </c>
      <c r="D848" s="32" t="s">
        <v>302</v>
      </c>
    </row>
    <row r="849" spans="2:4" x14ac:dyDescent="0.25">
      <c r="B849" s="32" t="s">
        <v>300</v>
      </c>
      <c r="C849" s="32" t="s">
        <v>1148</v>
      </c>
      <c r="D849" s="32" t="s">
        <v>302</v>
      </c>
    </row>
    <row r="850" spans="2:4" x14ac:dyDescent="0.25">
      <c r="B850" s="32" t="s">
        <v>300</v>
      </c>
      <c r="C850" s="32" t="s">
        <v>1149</v>
      </c>
      <c r="D850" s="32" t="s">
        <v>302</v>
      </c>
    </row>
    <row r="851" spans="2:4" x14ac:dyDescent="0.25">
      <c r="B851" s="32" t="s">
        <v>300</v>
      </c>
      <c r="C851" s="32" t="s">
        <v>1150</v>
      </c>
      <c r="D851" s="32" t="s">
        <v>302</v>
      </c>
    </row>
    <row r="852" spans="2:4" x14ac:dyDescent="0.25">
      <c r="B852" s="32" t="s">
        <v>300</v>
      </c>
      <c r="C852" s="32" t="s">
        <v>1151</v>
      </c>
      <c r="D852" s="32" t="s">
        <v>302</v>
      </c>
    </row>
    <row r="853" spans="2:4" x14ac:dyDescent="0.25">
      <c r="B853" s="32" t="s">
        <v>300</v>
      </c>
      <c r="C853" s="32" t="s">
        <v>1152</v>
      </c>
      <c r="D853" s="32" t="s">
        <v>302</v>
      </c>
    </row>
    <row r="854" spans="2:4" x14ac:dyDescent="0.25">
      <c r="B854" s="32" t="s">
        <v>300</v>
      </c>
      <c r="C854" s="32" t="s">
        <v>1153</v>
      </c>
      <c r="D854" s="32" t="s">
        <v>302</v>
      </c>
    </row>
    <row r="855" spans="2:4" x14ac:dyDescent="0.25">
      <c r="B855" s="32" t="s">
        <v>300</v>
      </c>
      <c r="C855" s="32" t="s">
        <v>1154</v>
      </c>
      <c r="D855" s="32" t="s">
        <v>302</v>
      </c>
    </row>
    <row r="856" spans="2:4" x14ac:dyDescent="0.25">
      <c r="B856" s="32" t="s">
        <v>300</v>
      </c>
      <c r="C856" s="32" t="s">
        <v>1155</v>
      </c>
      <c r="D856" s="32" t="s">
        <v>302</v>
      </c>
    </row>
    <row r="857" spans="2:4" x14ac:dyDescent="0.25">
      <c r="B857" s="32" t="s">
        <v>300</v>
      </c>
      <c r="C857" s="32" t="s">
        <v>1156</v>
      </c>
      <c r="D857" s="32" t="s">
        <v>302</v>
      </c>
    </row>
    <row r="858" spans="2:4" x14ac:dyDescent="0.25">
      <c r="B858" s="32" t="s">
        <v>300</v>
      </c>
      <c r="C858" s="32" t="s">
        <v>1157</v>
      </c>
      <c r="D858" s="32" t="s">
        <v>302</v>
      </c>
    </row>
    <row r="859" spans="2:4" x14ac:dyDescent="0.25">
      <c r="B859" s="32" t="s">
        <v>300</v>
      </c>
      <c r="C859" s="32" t="s">
        <v>1158</v>
      </c>
      <c r="D859" s="32" t="s">
        <v>302</v>
      </c>
    </row>
    <row r="860" spans="2:4" x14ac:dyDescent="0.25">
      <c r="B860" s="32" t="s">
        <v>300</v>
      </c>
      <c r="C860" s="32" t="s">
        <v>1159</v>
      </c>
      <c r="D860" s="32" t="s">
        <v>302</v>
      </c>
    </row>
    <row r="861" spans="2:4" x14ac:dyDescent="0.25">
      <c r="B861" s="32" t="s">
        <v>300</v>
      </c>
      <c r="C861" s="32" t="s">
        <v>1160</v>
      </c>
      <c r="D861" s="32" t="s">
        <v>302</v>
      </c>
    </row>
    <row r="862" spans="2:4" x14ac:dyDescent="0.25">
      <c r="B862" s="32" t="s">
        <v>300</v>
      </c>
      <c r="C862" s="32" t="s">
        <v>1161</v>
      </c>
      <c r="D862" s="32" t="s">
        <v>302</v>
      </c>
    </row>
    <row r="863" spans="2:4" x14ac:dyDescent="0.25">
      <c r="B863" s="32" t="s">
        <v>300</v>
      </c>
      <c r="C863" s="32" t="s">
        <v>1162</v>
      </c>
      <c r="D863" s="32" t="s">
        <v>302</v>
      </c>
    </row>
    <row r="864" spans="2:4" x14ac:dyDescent="0.25">
      <c r="B864" s="32" t="s">
        <v>300</v>
      </c>
      <c r="C864" s="32" t="s">
        <v>1163</v>
      </c>
      <c r="D864" s="32" t="s">
        <v>302</v>
      </c>
    </row>
    <row r="865" spans="2:4" x14ac:dyDescent="0.25">
      <c r="B865" s="32" t="s">
        <v>300</v>
      </c>
      <c r="C865" s="32" t="s">
        <v>1164</v>
      </c>
      <c r="D865" s="32" t="s">
        <v>302</v>
      </c>
    </row>
    <row r="866" spans="2:4" x14ac:dyDescent="0.25">
      <c r="B866" s="32" t="s">
        <v>300</v>
      </c>
      <c r="C866" s="32" t="s">
        <v>1165</v>
      </c>
      <c r="D866" s="32" t="s">
        <v>302</v>
      </c>
    </row>
    <row r="867" spans="2:4" x14ac:dyDescent="0.25">
      <c r="B867" s="32" t="s">
        <v>300</v>
      </c>
      <c r="C867" s="32" t="s">
        <v>1166</v>
      </c>
      <c r="D867" s="32" t="s">
        <v>302</v>
      </c>
    </row>
    <row r="868" spans="2:4" x14ac:dyDescent="0.25">
      <c r="B868" s="32" t="s">
        <v>300</v>
      </c>
      <c r="C868" s="32" t="s">
        <v>1167</v>
      </c>
      <c r="D868" s="32" t="s">
        <v>302</v>
      </c>
    </row>
    <row r="869" spans="2:4" x14ac:dyDescent="0.25">
      <c r="B869" s="32" t="s">
        <v>300</v>
      </c>
      <c r="C869" s="32" t="s">
        <v>1168</v>
      </c>
      <c r="D869" s="32" t="s">
        <v>302</v>
      </c>
    </row>
    <row r="870" spans="2:4" x14ac:dyDescent="0.25">
      <c r="B870" s="32" t="s">
        <v>300</v>
      </c>
      <c r="C870" s="32" t="s">
        <v>1169</v>
      </c>
      <c r="D870" s="32" t="s">
        <v>302</v>
      </c>
    </row>
    <row r="871" spans="2:4" x14ac:dyDescent="0.25">
      <c r="B871" s="32" t="s">
        <v>300</v>
      </c>
      <c r="C871" s="32" t="s">
        <v>1170</v>
      </c>
      <c r="D871" s="32" t="s">
        <v>302</v>
      </c>
    </row>
    <row r="872" spans="2:4" x14ac:dyDescent="0.25">
      <c r="B872" s="32" t="s">
        <v>300</v>
      </c>
      <c r="C872" s="32" t="s">
        <v>1171</v>
      </c>
      <c r="D872" s="32" t="s">
        <v>302</v>
      </c>
    </row>
    <row r="873" spans="2:4" x14ac:dyDescent="0.25">
      <c r="B873" s="32" t="s">
        <v>300</v>
      </c>
      <c r="C873" s="32" t="s">
        <v>1172</v>
      </c>
      <c r="D873" s="32" t="s">
        <v>302</v>
      </c>
    </row>
    <row r="874" spans="2:4" x14ac:dyDescent="0.25">
      <c r="B874" s="32" t="s">
        <v>300</v>
      </c>
      <c r="C874" s="32" t="s">
        <v>1173</v>
      </c>
      <c r="D874" s="32" t="s">
        <v>302</v>
      </c>
    </row>
    <row r="875" spans="2:4" x14ac:dyDescent="0.25">
      <c r="B875" s="32" t="s">
        <v>300</v>
      </c>
      <c r="C875" s="32" t="s">
        <v>1174</v>
      </c>
      <c r="D875" s="32" t="s">
        <v>302</v>
      </c>
    </row>
    <row r="876" spans="2:4" x14ac:dyDescent="0.25">
      <c r="B876" s="32" t="s">
        <v>300</v>
      </c>
      <c r="C876" s="32" t="s">
        <v>1175</v>
      </c>
      <c r="D876" s="32" t="s">
        <v>302</v>
      </c>
    </row>
    <row r="877" spans="2:4" x14ac:dyDescent="0.25">
      <c r="B877" s="32" t="s">
        <v>300</v>
      </c>
      <c r="C877" s="32" t="s">
        <v>1176</v>
      </c>
      <c r="D877" s="32" t="s">
        <v>302</v>
      </c>
    </row>
    <row r="878" spans="2:4" x14ac:dyDescent="0.25">
      <c r="B878" s="32" t="s">
        <v>300</v>
      </c>
      <c r="C878" s="32" t="s">
        <v>1177</v>
      </c>
      <c r="D878" s="32" t="s">
        <v>302</v>
      </c>
    </row>
    <row r="879" spans="2:4" x14ac:dyDescent="0.25">
      <c r="B879" s="32" t="s">
        <v>300</v>
      </c>
      <c r="C879" s="32" t="s">
        <v>1178</v>
      </c>
      <c r="D879" s="32" t="s">
        <v>302</v>
      </c>
    </row>
    <row r="880" spans="2:4" x14ac:dyDescent="0.25">
      <c r="B880" s="32" t="s">
        <v>300</v>
      </c>
      <c r="C880" s="32" t="s">
        <v>1179</v>
      </c>
      <c r="D880" s="32" t="s">
        <v>302</v>
      </c>
    </row>
    <row r="881" spans="2:4" x14ac:dyDescent="0.25">
      <c r="B881" s="32" t="s">
        <v>300</v>
      </c>
      <c r="C881" s="32" t="s">
        <v>1180</v>
      </c>
      <c r="D881" s="32" t="s">
        <v>302</v>
      </c>
    </row>
    <row r="882" spans="2:4" x14ac:dyDescent="0.25">
      <c r="B882" s="32" t="s">
        <v>300</v>
      </c>
      <c r="C882" s="32" t="s">
        <v>1181</v>
      </c>
      <c r="D882" s="32" t="s">
        <v>302</v>
      </c>
    </row>
    <row r="883" spans="2:4" x14ac:dyDescent="0.25">
      <c r="B883" s="32" t="s">
        <v>300</v>
      </c>
      <c r="C883" s="32" t="s">
        <v>1182</v>
      </c>
      <c r="D883" s="32" t="s">
        <v>302</v>
      </c>
    </row>
    <row r="884" spans="2:4" x14ac:dyDescent="0.25">
      <c r="B884" s="32" t="s">
        <v>300</v>
      </c>
      <c r="C884" s="32" t="s">
        <v>1183</v>
      </c>
      <c r="D884" s="32" t="s">
        <v>302</v>
      </c>
    </row>
    <row r="885" spans="2:4" x14ac:dyDescent="0.25">
      <c r="B885" s="32" t="s">
        <v>300</v>
      </c>
      <c r="C885" s="32" t="s">
        <v>1184</v>
      </c>
      <c r="D885" s="32" t="s">
        <v>302</v>
      </c>
    </row>
    <row r="886" spans="2:4" x14ac:dyDescent="0.25">
      <c r="B886" s="32" t="s">
        <v>300</v>
      </c>
      <c r="C886" s="32" t="s">
        <v>1185</v>
      </c>
      <c r="D886" s="32" t="s">
        <v>302</v>
      </c>
    </row>
    <row r="887" spans="2:4" x14ac:dyDescent="0.25">
      <c r="B887" s="32" t="s">
        <v>300</v>
      </c>
      <c r="C887" s="32" t="s">
        <v>1186</v>
      </c>
      <c r="D887" s="32" t="s">
        <v>302</v>
      </c>
    </row>
    <row r="888" spans="2:4" x14ac:dyDescent="0.25">
      <c r="B888" s="32" t="s">
        <v>300</v>
      </c>
      <c r="C888" s="32" t="s">
        <v>1187</v>
      </c>
      <c r="D888" s="32" t="s">
        <v>302</v>
      </c>
    </row>
    <row r="889" spans="2:4" x14ac:dyDescent="0.25">
      <c r="B889" s="32" t="s">
        <v>300</v>
      </c>
      <c r="C889" s="32" t="s">
        <v>1188</v>
      </c>
      <c r="D889" s="32" t="s">
        <v>302</v>
      </c>
    </row>
    <row r="890" spans="2:4" x14ac:dyDescent="0.25">
      <c r="B890" s="32" t="s">
        <v>300</v>
      </c>
      <c r="C890" s="32" t="s">
        <v>1189</v>
      </c>
      <c r="D890" s="32" t="s">
        <v>302</v>
      </c>
    </row>
    <row r="891" spans="2:4" x14ac:dyDescent="0.25">
      <c r="B891" s="32" t="s">
        <v>300</v>
      </c>
      <c r="C891" s="32" t="s">
        <v>1190</v>
      </c>
      <c r="D891" s="32" t="s">
        <v>302</v>
      </c>
    </row>
    <row r="892" spans="2:4" x14ac:dyDescent="0.25">
      <c r="B892" s="32" t="s">
        <v>300</v>
      </c>
      <c r="C892" s="32" t="s">
        <v>1191</v>
      </c>
      <c r="D892" s="32" t="s">
        <v>302</v>
      </c>
    </row>
    <row r="893" spans="2:4" x14ac:dyDescent="0.25">
      <c r="B893" s="32" t="s">
        <v>300</v>
      </c>
      <c r="C893" s="32" t="s">
        <v>1192</v>
      </c>
      <c r="D893" s="32" t="s">
        <v>302</v>
      </c>
    </row>
    <row r="894" spans="2:4" x14ac:dyDescent="0.25">
      <c r="B894" s="32" t="s">
        <v>300</v>
      </c>
      <c r="C894" s="32" t="s">
        <v>1193</v>
      </c>
      <c r="D894" s="32" t="s">
        <v>302</v>
      </c>
    </row>
    <row r="895" spans="2:4" x14ac:dyDescent="0.25">
      <c r="B895" s="32" t="s">
        <v>300</v>
      </c>
      <c r="C895" s="32" t="s">
        <v>1194</v>
      </c>
      <c r="D895" s="32" t="s">
        <v>302</v>
      </c>
    </row>
    <row r="896" spans="2:4" x14ac:dyDescent="0.25">
      <c r="B896" s="32" t="s">
        <v>300</v>
      </c>
      <c r="C896" s="32" t="s">
        <v>1195</v>
      </c>
      <c r="D896" s="32" t="s">
        <v>302</v>
      </c>
    </row>
    <row r="897" spans="2:4" x14ac:dyDescent="0.25">
      <c r="B897" s="32" t="s">
        <v>300</v>
      </c>
      <c r="C897" s="32" t="s">
        <v>1196</v>
      </c>
      <c r="D897" s="32" t="s">
        <v>302</v>
      </c>
    </row>
    <row r="898" spans="2:4" x14ac:dyDescent="0.25">
      <c r="B898" s="32" t="s">
        <v>300</v>
      </c>
      <c r="C898" s="32" t="s">
        <v>1197</v>
      </c>
      <c r="D898" s="32" t="s">
        <v>302</v>
      </c>
    </row>
    <row r="899" spans="2:4" x14ac:dyDescent="0.25">
      <c r="B899" s="32" t="s">
        <v>300</v>
      </c>
      <c r="C899" s="32" t="s">
        <v>1198</v>
      </c>
      <c r="D899" s="32" t="s">
        <v>302</v>
      </c>
    </row>
    <row r="900" spans="2:4" x14ac:dyDescent="0.25">
      <c r="B900" s="32" t="s">
        <v>300</v>
      </c>
      <c r="C900" s="32" t="s">
        <v>1199</v>
      </c>
      <c r="D900" s="32" t="s">
        <v>302</v>
      </c>
    </row>
    <row r="901" spans="2:4" x14ac:dyDescent="0.25">
      <c r="B901" s="32" t="s">
        <v>300</v>
      </c>
      <c r="C901" s="32" t="s">
        <v>1200</v>
      </c>
      <c r="D901" s="32" t="s">
        <v>302</v>
      </c>
    </row>
    <row r="902" spans="2:4" x14ac:dyDescent="0.25">
      <c r="B902" s="32" t="s">
        <v>300</v>
      </c>
      <c r="C902" s="32" t="s">
        <v>1201</v>
      </c>
      <c r="D902" s="32" t="s">
        <v>302</v>
      </c>
    </row>
    <row r="903" spans="2:4" x14ac:dyDescent="0.25">
      <c r="B903" s="32" t="s">
        <v>300</v>
      </c>
      <c r="C903" s="32" t="s">
        <v>1202</v>
      </c>
      <c r="D903" s="32" t="s">
        <v>302</v>
      </c>
    </row>
    <row r="904" spans="2:4" x14ac:dyDescent="0.25">
      <c r="B904" s="32" t="s">
        <v>300</v>
      </c>
      <c r="C904" s="32" t="s">
        <v>1203</v>
      </c>
      <c r="D904" s="32" t="s">
        <v>302</v>
      </c>
    </row>
    <row r="905" spans="2:4" x14ac:dyDescent="0.25">
      <c r="B905" s="32" t="s">
        <v>300</v>
      </c>
      <c r="C905" s="32" t="s">
        <v>1204</v>
      </c>
      <c r="D905" s="32" t="s">
        <v>302</v>
      </c>
    </row>
    <row r="906" spans="2:4" x14ac:dyDescent="0.25">
      <c r="B906" s="32" t="s">
        <v>300</v>
      </c>
      <c r="C906" s="32" t="s">
        <v>1205</v>
      </c>
      <c r="D906" s="32" t="s">
        <v>302</v>
      </c>
    </row>
    <row r="907" spans="2:4" x14ac:dyDescent="0.25">
      <c r="B907" s="32" t="s">
        <v>300</v>
      </c>
      <c r="C907" s="32" t="s">
        <v>1206</v>
      </c>
      <c r="D907" s="32" t="s">
        <v>302</v>
      </c>
    </row>
    <row r="908" spans="2:4" x14ac:dyDescent="0.25">
      <c r="B908" s="32" t="s">
        <v>300</v>
      </c>
      <c r="C908" s="32" t="s">
        <v>1207</v>
      </c>
      <c r="D908" s="32" t="s">
        <v>302</v>
      </c>
    </row>
    <row r="909" spans="2:4" x14ac:dyDescent="0.25">
      <c r="B909" s="32" t="s">
        <v>300</v>
      </c>
      <c r="C909" s="32" t="s">
        <v>1208</v>
      </c>
      <c r="D909" s="32" t="s">
        <v>302</v>
      </c>
    </row>
    <row r="910" spans="2:4" x14ac:dyDescent="0.25">
      <c r="B910" s="32" t="s">
        <v>300</v>
      </c>
      <c r="C910" s="32" t="s">
        <v>1209</v>
      </c>
      <c r="D910" s="32" t="s">
        <v>302</v>
      </c>
    </row>
    <row r="911" spans="2:4" x14ac:dyDescent="0.25">
      <c r="B911" s="32" t="s">
        <v>300</v>
      </c>
      <c r="C911" s="32" t="s">
        <v>1210</v>
      </c>
      <c r="D911" s="32" t="s">
        <v>302</v>
      </c>
    </row>
    <row r="912" spans="2:4" x14ac:dyDescent="0.25">
      <c r="B912" s="32" t="s">
        <v>300</v>
      </c>
      <c r="C912" s="32" t="s">
        <v>1211</v>
      </c>
      <c r="D912" s="32" t="s">
        <v>302</v>
      </c>
    </row>
    <row r="913" spans="2:4" x14ac:dyDescent="0.25">
      <c r="B913" s="32" t="s">
        <v>300</v>
      </c>
      <c r="C913" s="32" t="s">
        <v>1212</v>
      </c>
      <c r="D913" s="32" t="s">
        <v>302</v>
      </c>
    </row>
    <row r="914" spans="2:4" x14ac:dyDescent="0.25">
      <c r="B914" s="32" t="s">
        <v>300</v>
      </c>
      <c r="C914" s="32" t="s">
        <v>1213</v>
      </c>
      <c r="D914" s="32" t="s">
        <v>302</v>
      </c>
    </row>
    <row r="915" spans="2:4" x14ac:dyDescent="0.25">
      <c r="B915" s="32" t="s">
        <v>300</v>
      </c>
      <c r="C915" s="32" t="s">
        <v>1214</v>
      </c>
      <c r="D915" s="32" t="s">
        <v>302</v>
      </c>
    </row>
    <row r="916" spans="2:4" x14ac:dyDescent="0.25">
      <c r="B916" s="32" t="s">
        <v>300</v>
      </c>
      <c r="C916" s="32" t="s">
        <v>1215</v>
      </c>
      <c r="D916" s="32" t="s">
        <v>302</v>
      </c>
    </row>
    <row r="917" spans="2:4" x14ac:dyDescent="0.25">
      <c r="B917" s="32" t="s">
        <v>300</v>
      </c>
      <c r="C917" s="32" t="s">
        <v>1216</v>
      </c>
      <c r="D917" s="32" t="s">
        <v>302</v>
      </c>
    </row>
    <row r="918" spans="2:4" x14ac:dyDescent="0.25">
      <c r="B918" s="32" t="s">
        <v>300</v>
      </c>
      <c r="C918" s="32" t="s">
        <v>1217</v>
      </c>
      <c r="D918" s="32" t="s">
        <v>302</v>
      </c>
    </row>
    <row r="919" spans="2:4" x14ac:dyDescent="0.25">
      <c r="B919" s="32" t="s">
        <v>300</v>
      </c>
      <c r="C919" s="32" t="s">
        <v>1218</v>
      </c>
      <c r="D919" s="32" t="s">
        <v>302</v>
      </c>
    </row>
    <row r="920" spans="2:4" x14ac:dyDescent="0.25">
      <c r="B920" s="32" t="s">
        <v>300</v>
      </c>
      <c r="C920" s="32" t="s">
        <v>1219</v>
      </c>
      <c r="D920" s="32" t="s">
        <v>302</v>
      </c>
    </row>
    <row r="921" spans="2:4" x14ac:dyDescent="0.25">
      <c r="B921" s="32" t="s">
        <v>300</v>
      </c>
      <c r="C921" s="32" t="s">
        <v>1220</v>
      </c>
      <c r="D921" s="32" t="s">
        <v>302</v>
      </c>
    </row>
    <row r="922" spans="2:4" x14ac:dyDescent="0.25">
      <c r="B922" s="32" t="s">
        <v>300</v>
      </c>
      <c r="C922" s="32" t="s">
        <v>1221</v>
      </c>
      <c r="D922" s="32" t="s">
        <v>302</v>
      </c>
    </row>
    <row r="923" spans="2:4" x14ac:dyDescent="0.25">
      <c r="B923" s="32" t="s">
        <v>300</v>
      </c>
      <c r="C923" s="32" t="s">
        <v>1222</v>
      </c>
      <c r="D923" s="32" t="s">
        <v>302</v>
      </c>
    </row>
    <row r="924" spans="2:4" x14ac:dyDescent="0.25">
      <c r="B924" s="32" t="s">
        <v>300</v>
      </c>
      <c r="C924" s="32" t="s">
        <v>1223</v>
      </c>
      <c r="D924" s="32" t="s">
        <v>302</v>
      </c>
    </row>
    <row r="925" spans="2:4" x14ac:dyDescent="0.25">
      <c r="B925" s="32" t="s">
        <v>300</v>
      </c>
      <c r="C925" s="32" t="s">
        <v>1224</v>
      </c>
      <c r="D925" s="32" t="s">
        <v>302</v>
      </c>
    </row>
    <row r="926" spans="2:4" x14ac:dyDescent="0.25">
      <c r="B926" s="32" t="s">
        <v>300</v>
      </c>
      <c r="C926" s="32" t="s">
        <v>1225</v>
      </c>
      <c r="D926" s="32" t="s">
        <v>302</v>
      </c>
    </row>
    <row r="927" spans="2:4" x14ac:dyDescent="0.25">
      <c r="B927" s="32" t="s">
        <v>300</v>
      </c>
      <c r="C927" s="32" t="s">
        <v>1226</v>
      </c>
      <c r="D927" s="32" t="s">
        <v>302</v>
      </c>
    </row>
    <row r="928" spans="2:4" x14ac:dyDescent="0.25">
      <c r="B928" s="32" t="s">
        <v>300</v>
      </c>
      <c r="C928" s="32" t="s">
        <v>1227</v>
      </c>
      <c r="D928" s="32" t="s">
        <v>302</v>
      </c>
    </row>
    <row r="929" spans="2:4" x14ac:dyDescent="0.25">
      <c r="B929" s="32" t="s">
        <v>300</v>
      </c>
      <c r="C929" s="32" t="s">
        <v>1228</v>
      </c>
      <c r="D929" s="32" t="s">
        <v>302</v>
      </c>
    </row>
    <row r="930" spans="2:4" x14ac:dyDescent="0.25">
      <c r="B930" s="32" t="s">
        <v>300</v>
      </c>
      <c r="C930" s="32" t="s">
        <v>1229</v>
      </c>
      <c r="D930" s="32" t="s">
        <v>302</v>
      </c>
    </row>
    <row r="931" spans="2:4" x14ac:dyDescent="0.25">
      <c r="B931" s="32" t="s">
        <v>300</v>
      </c>
      <c r="C931" s="32" t="s">
        <v>1230</v>
      </c>
      <c r="D931" s="32" t="s">
        <v>302</v>
      </c>
    </row>
    <row r="932" spans="2:4" x14ac:dyDescent="0.25">
      <c r="B932" s="32" t="s">
        <v>300</v>
      </c>
      <c r="C932" s="32" t="s">
        <v>1231</v>
      </c>
      <c r="D932" s="32" t="s">
        <v>302</v>
      </c>
    </row>
    <row r="933" spans="2:4" x14ac:dyDescent="0.25">
      <c r="B933" s="32" t="s">
        <v>300</v>
      </c>
      <c r="C933" s="32" t="s">
        <v>1232</v>
      </c>
      <c r="D933" s="32" t="s">
        <v>302</v>
      </c>
    </row>
    <row r="934" spans="2:4" x14ac:dyDescent="0.25">
      <c r="B934" s="32" t="s">
        <v>300</v>
      </c>
      <c r="C934" s="32" t="s">
        <v>1233</v>
      </c>
      <c r="D934" s="32" t="s">
        <v>302</v>
      </c>
    </row>
    <row r="935" spans="2:4" x14ac:dyDescent="0.25">
      <c r="B935" s="32" t="s">
        <v>300</v>
      </c>
      <c r="C935" s="32" t="s">
        <v>1234</v>
      </c>
      <c r="D935" s="32" t="s">
        <v>302</v>
      </c>
    </row>
    <row r="936" spans="2:4" x14ac:dyDescent="0.25">
      <c r="B936" s="32" t="s">
        <v>300</v>
      </c>
      <c r="C936" s="32" t="s">
        <v>1235</v>
      </c>
      <c r="D936" s="32" t="s">
        <v>302</v>
      </c>
    </row>
    <row r="937" spans="2:4" x14ac:dyDescent="0.25">
      <c r="B937" s="32" t="s">
        <v>300</v>
      </c>
      <c r="C937" s="32" t="s">
        <v>1236</v>
      </c>
      <c r="D937" s="32" t="s">
        <v>302</v>
      </c>
    </row>
    <row r="938" spans="2:4" x14ac:dyDescent="0.25">
      <c r="B938" s="32" t="s">
        <v>300</v>
      </c>
      <c r="C938" s="32" t="s">
        <v>1237</v>
      </c>
      <c r="D938" s="32" t="s">
        <v>302</v>
      </c>
    </row>
    <row r="939" spans="2:4" x14ac:dyDescent="0.25">
      <c r="B939" s="32" t="s">
        <v>300</v>
      </c>
      <c r="C939" s="32" t="s">
        <v>1238</v>
      </c>
      <c r="D939" s="32" t="s">
        <v>302</v>
      </c>
    </row>
    <row r="940" spans="2:4" x14ac:dyDescent="0.25">
      <c r="B940" s="32" t="s">
        <v>300</v>
      </c>
      <c r="C940" s="32" t="s">
        <v>1239</v>
      </c>
      <c r="D940" s="32" t="s">
        <v>302</v>
      </c>
    </row>
    <row r="941" spans="2:4" x14ac:dyDescent="0.25">
      <c r="B941" s="32" t="s">
        <v>300</v>
      </c>
      <c r="C941" s="32" t="s">
        <v>1240</v>
      </c>
      <c r="D941" s="32" t="s">
        <v>302</v>
      </c>
    </row>
    <row r="942" spans="2:4" x14ac:dyDescent="0.25">
      <c r="B942" s="32" t="s">
        <v>300</v>
      </c>
      <c r="C942" s="32" t="s">
        <v>1241</v>
      </c>
      <c r="D942" s="32" t="s">
        <v>302</v>
      </c>
    </row>
    <row r="943" spans="2:4" x14ac:dyDescent="0.25">
      <c r="B943" s="32" t="s">
        <v>300</v>
      </c>
      <c r="C943" s="32" t="s">
        <v>1242</v>
      </c>
      <c r="D943" s="32" t="s">
        <v>302</v>
      </c>
    </row>
    <row r="944" spans="2:4" x14ac:dyDescent="0.25">
      <c r="B944" s="32" t="s">
        <v>300</v>
      </c>
      <c r="C944" s="32" t="s">
        <v>1243</v>
      </c>
      <c r="D944" s="32" t="s">
        <v>302</v>
      </c>
    </row>
    <row r="945" spans="2:4" x14ac:dyDescent="0.25">
      <c r="B945" s="32" t="s">
        <v>300</v>
      </c>
      <c r="C945" s="32" t="s">
        <v>1244</v>
      </c>
      <c r="D945" s="32" t="s">
        <v>302</v>
      </c>
    </row>
    <row r="946" spans="2:4" x14ac:dyDescent="0.25">
      <c r="B946" s="32" t="s">
        <v>300</v>
      </c>
      <c r="C946" s="32" t="s">
        <v>1245</v>
      </c>
      <c r="D946" s="32" t="s">
        <v>302</v>
      </c>
    </row>
    <row r="947" spans="2:4" x14ac:dyDescent="0.25">
      <c r="B947" s="32" t="s">
        <v>300</v>
      </c>
      <c r="C947" s="32" t="s">
        <v>1246</v>
      </c>
      <c r="D947" s="32" t="s">
        <v>302</v>
      </c>
    </row>
    <row r="948" spans="2:4" x14ac:dyDescent="0.25">
      <c r="B948" s="32" t="s">
        <v>300</v>
      </c>
      <c r="C948" s="32" t="s">
        <v>1247</v>
      </c>
      <c r="D948" s="32" t="s">
        <v>302</v>
      </c>
    </row>
    <row r="949" spans="2:4" x14ac:dyDescent="0.25">
      <c r="B949" s="32" t="s">
        <v>300</v>
      </c>
      <c r="C949" s="32" t="s">
        <v>1248</v>
      </c>
      <c r="D949" s="32" t="s">
        <v>302</v>
      </c>
    </row>
    <row r="950" spans="2:4" x14ac:dyDescent="0.25">
      <c r="B950" s="32" t="s">
        <v>300</v>
      </c>
      <c r="C950" s="32" t="s">
        <v>1249</v>
      </c>
      <c r="D950" s="32" t="s">
        <v>302</v>
      </c>
    </row>
    <row r="951" spans="2:4" x14ac:dyDescent="0.25">
      <c r="B951" s="32" t="s">
        <v>300</v>
      </c>
      <c r="C951" s="32" t="s">
        <v>1250</v>
      </c>
      <c r="D951" s="32" t="s">
        <v>302</v>
      </c>
    </row>
    <row r="952" spans="2:4" x14ac:dyDescent="0.25">
      <c r="B952" s="32" t="s">
        <v>300</v>
      </c>
      <c r="C952" s="32" t="s">
        <v>1251</v>
      </c>
      <c r="D952" s="32" t="s">
        <v>302</v>
      </c>
    </row>
    <row r="953" spans="2:4" x14ac:dyDescent="0.25">
      <c r="B953" s="32" t="s">
        <v>300</v>
      </c>
      <c r="C953" s="32" t="s">
        <v>1252</v>
      </c>
      <c r="D953" s="32" t="s">
        <v>302</v>
      </c>
    </row>
    <row r="954" spans="2:4" x14ac:dyDescent="0.25">
      <c r="B954" s="32" t="s">
        <v>300</v>
      </c>
      <c r="C954" s="32" t="s">
        <v>1253</v>
      </c>
      <c r="D954" s="32" t="s">
        <v>302</v>
      </c>
    </row>
    <row r="955" spans="2:4" x14ac:dyDescent="0.25">
      <c r="B955" s="32" t="s">
        <v>300</v>
      </c>
      <c r="C955" s="32" t="s">
        <v>1254</v>
      </c>
      <c r="D955" s="32" t="s">
        <v>302</v>
      </c>
    </row>
    <row r="956" spans="2:4" x14ac:dyDescent="0.25">
      <c r="B956" s="32" t="s">
        <v>300</v>
      </c>
      <c r="C956" s="32" t="s">
        <v>1255</v>
      </c>
      <c r="D956" s="32" t="s">
        <v>302</v>
      </c>
    </row>
    <row r="957" spans="2:4" x14ac:dyDescent="0.25">
      <c r="B957" s="32" t="s">
        <v>300</v>
      </c>
      <c r="C957" s="32" t="s">
        <v>1256</v>
      </c>
      <c r="D957" s="32" t="s">
        <v>302</v>
      </c>
    </row>
    <row r="958" spans="2:4" x14ac:dyDescent="0.25">
      <c r="B958" s="32" t="s">
        <v>300</v>
      </c>
      <c r="C958" s="32" t="s">
        <v>1257</v>
      </c>
      <c r="D958" s="32" t="s">
        <v>302</v>
      </c>
    </row>
    <row r="959" spans="2:4" x14ac:dyDescent="0.25">
      <c r="B959" s="32" t="s">
        <v>300</v>
      </c>
      <c r="C959" s="32" t="s">
        <v>1258</v>
      </c>
      <c r="D959" s="32" t="s">
        <v>302</v>
      </c>
    </row>
    <row r="960" spans="2:4" x14ac:dyDescent="0.25">
      <c r="B960" s="32" t="s">
        <v>300</v>
      </c>
      <c r="C960" s="32" t="s">
        <v>1259</v>
      </c>
      <c r="D960" s="32" t="s">
        <v>302</v>
      </c>
    </row>
    <row r="961" spans="2:4" x14ac:dyDescent="0.25">
      <c r="B961" s="32" t="s">
        <v>300</v>
      </c>
      <c r="C961" s="32" t="s">
        <v>1260</v>
      </c>
      <c r="D961" s="32" t="s">
        <v>302</v>
      </c>
    </row>
    <row r="962" spans="2:4" x14ac:dyDescent="0.25">
      <c r="B962" s="32" t="s">
        <v>300</v>
      </c>
      <c r="C962" s="32" t="s">
        <v>1261</v>
      </c>
      <c r="D962" s="32" t="s">
        <v>302</v>
      </c>
    </row>
    <row r="963" spans="2:4" x14ac:dyDescent="0.25">
      <c r="B963" s="32" t="s">
        <v>300</v>
      </c>
      <c r="C963" s="32" t="s">
        <v>1262</v>
      </c>
      <c r="D963" s="32" t="s">
        <v>302</v>
      </c>
    </row>
    <row r="964" spans="2:4" x14ac:dyDescent="0.25">
      <c r="B964" s="32" t="s">
        <v>300</v>
      </c>
      <c r="C964" s="32" t="s">
        <v>1263</v>
      </c>
      <c r="D964" s="32" t="s">
        <v>302</v>
      </c>
    </row>
    <row r="965" spans="2:4" x14ac:dyDescent="0.25">
      <c r="B965" s="32" t="s">
        <v>300</v>
      </c>
      <c r="C965" s="32" t="s">
        <v>1264</v>
      </c>
      <c r="D965" s="32" t="s">
        <v>302</v>
      </c>
    </row>
    <row r="966" spans="2:4" x14ac:dyDescent="0.25">
      <c r="B966" s="32" t="s">
        <v>300</v>
      </c>
      <c r="C966" s="32" t="s">
        <v>1265</v>
      </c>
      <c r="D966" s="32" t="s">
        <v>302</v>
      </c>
    </row>
    <row r="967" spans="2:4" x14ac:dyDescent="0.25">
      <c r="B967" s="32" t="s">
        <v>300</v>
      </c>
      <c r="C967" s="32" t="s">
        <v>1266</v>
      </c>
      <c r="D967" s="32" t="s">
        <v>302</v>
      </c>
    </row>
    <row r="968" spans="2:4" x14ac:dyDescent="0.25">
      <c r="B968" s="32" t="s">
        <v>300</v>
      </c>
      <c r="C968" s="32" t="s">
        <v>1267</v>
      </c>
      <c r="D968" s="32" t="s">
        <v>302</v>
      </c>
    </row>
    <row r="969" spans="2:4" x14ac:dyDescent="0.25">
      <c r="B969" s="32" t="s">
        <v>300</v>
      </c>
      <c r="C969" s="32" t="s">
        <v>1268</v>
      </c>
      <c r="D969" s="32" t="s">
        <v>302</v>
      </c>
    </row>
    <row r="970" spans="2:4" x14ac:dyDescent="0.25">
      <c r="B970" s="32" t="s">
        <v>300</v>
      </c>
      <c r="C970" s="32" t="s">
        <v>1269</v>
      </c>
      <c r="D970" s="32" t="s">
        <v>302</v>
      </c>
    </row>
    <row r="971" spans="2:4" x14ac:dyDescent="0.25">
      <c r="B971" s="32" t="s">
        <v>300</v>
      </c>
      <c r="C971" s="32" t="s">
        <v>1270</v>
      </c>
      <c r="D971" s="32" t="s">
        <v>302</v>
      </c>
    </row>
    <row r="972" spans="2:4" x14ac:dyDescent="0.25">
      <c r="B972" s="32" t="s">
        <v>300</v>
      </c>
      <c r="C972" s="32" t="s">
        <v>1271</v>
      </c>
      <c r="D972" s="32" t="s">
        <v>302</v>
      </c>
    </row>
    <row r="973" spans="2:4" x14ac:dyDescent="0.25">
      <c r="B973" s="32" t="s">
        <v>300</v>
      </c>
      <c r="C973" s="32" t="s">
        <v>1272</v>
      </c>
      <c r="D973" s="32" t="s">
        <v>302</v>
      </c>
    </row>
    <row r="974" spans="2:4" x14ac:dyDescent="0.25">
      <c r="B974" s="32" t="s">
        <v>300</v>
      </c>
      <c r="C974" s="32" t="s">
        <v>1273</v>
      </c>
      <c r="D974" s="32" t="s">
        <v>302</v>
      </c>
    </row>
    <row r="975" spans="2:4" x14ac:dyDescent="0.25">
      <c r="B975" s="32" t="s">
        <v>300</v>
      </c>
      <c r="C975" s="32" t="s">
        <v>1274</v>
      </c>
      <c r="D975" s="32" t="s">
        <v>302</v>
      </c>
    </row>
    <row r="976" spans="2:4" x14ac:dyDescent="0.25">
      <c r="B976" s="32" t="s">
        <v>300</v>
      </c>
      <c r="C976" s="32" t="s">
        <v>1275</v>
      </c>
      <c r="D976" s="32" t="s">
        <v>302</v>
      </c>
    </row>
    <row r="977" spans="2:4" x14ac:dyDescent="0.25">
      <c r="B977" s="32" t="s">
        <v>300</v>
      </c>
      <c r="C977" s="32" t="s">
        <v>1276</v>
      </c>
      <c r="D977" s="32" t="s">
        <v>302</v>
      </c>
    </row>
    <row r="978" spans="2:4" x14ac:dyDescent="0.25">
      <c r="B978" s="32" t="s">
        <v>300</v>
      </c>
      <c r="C978" s="32" t="s">
        <v>1277</v>
      </c>
      <c r="D978" s="32" t="s">
        <v>302</v>
      </c>
    </row>
    <row r="979" spans="2:4" x14ac:dyDescent="0.25">
      <c r="B979" s="32" t="s">
        <v>300</v>
      </c>
      <c r="C979" s="32" t="s">
        <v>1278</v>
      </c>
      <c r="D979" s="32" t="s">
        <v>302</v>
      </c>
    </row>
    <row r="980" spans="2:4" x14ac:dyDescent="0.25">
      <c r="B980" s="32" t="s">
        <v>300</v>
      </c>
      <c r="C980" s="32" t="s">
        <v>1279</v>
      </c>
      <c r="D980" s="32" t="s">
        <v>302</v>
      </c>
    </row>
    <row r="981" spans="2:4" x14ac:dyDescent="0.25">
      <c r="B981" s="32" t="s">
        <v>300</v>
      </c>
      <c r="C981" s="32" t="s">
        <v>1280</v>
      </c>
      <c r="D981" s="32" t="s">
        <v>302</v>
      </c>
    </row>
    <row r="982" spans="2:4" x14ac:dyDescent="0.25">
      <c r="B982" s="32" t="s">
        <v>300</v>
      </c>
      <c r="C982" s="32" t="s">
        <v>1281</v>
      </c>
      <c r="D982" s="32" t="s">
        <v>302</v>
      </c>
    </row>
    <row r="983" spans="2:4" x14ac:dyDescent="0.25">
      <c r="B983" s="32" t="s">
        <v>300</v>
      </c>
      <c r="C983" s="32" t="s">
        <v>1282</v>
      </c>
      <c r="D983" s="32" t="s">
        <v>302</v>
      </c>
    </row>
    <row r="984" spans="2:4" x14ac:dyDescent="0.25">
      <c r="B984" s="32" t="s">
        <v>300</v>
      </c>
      <c r="C984" s="32" t="s">
        <v>1283</v>
      </c>
      <c r="D984" s="32" t="s">
        <v>302</v>
      </c>
    </row>
    <row r="985" spans="2:4" x14ac:dyDescent="0.25">
      <c r="B985" s="32" t="s">
        <v>300</v>
      </c>
      <c r="C985" s="32" t="s">
        <v>1284</v>
      </c>
      <c r="D985" s="32" t="s">
        <v>302</v>
      </c>
    </row>
    <row r="986" spans="2:4" x14ac:dyDescent="0.25">
      <c r="B986" s="32" t="s">
        <v>300</v>
      </c>
      <c r="C986" s="32" t="s">
        <v>1285</v>
      </c>
      <c r="D986" s="32" t="s">
        <v>302</v>
      </c>
    </row>
    <row r="987" spans="2:4" x14ac:dyDescent="0.25">
      <c r="B987" s="32" t="s">
        <v>300</v>
      </c>
      <c r="C987" s="32" t="s">
        <v>1286</v>
      </c>
      <c r="D987" s="32" t="s">
        <v>302</v>
      </c>
    </row>
    <row r="988" spans="2:4" x14ac:dyDescent="0.25">
      <c r="B988" s="32" t="s">
        <v>300</v>
      </c>
      <c r="C988" s="32" t="s">
        <v>1287</v>
      </c>
      <c r="D988" s="32" t="s">
        <v>302</v>
      </c>
    </row>
    <row r="989" spans="2:4" x14ac:dyDescent="0.25">
      <c r="B989" s="32" t="s">
        <v>300</v>
      </c>
      <c r="C989" s="32" t="s">
        <v>1288</v>
      </c>
      <c r="D989" s="32" t="s">
        <v>302</v>
      </c>
    </row>
    <row r="990" spans="2:4" x14ac:dyDescent="0.25">
      <c r="B990" s="32" t="s">
        <v>300</v>
      </c>
      <c r="C990" s="32" t="s">
        <v>1289</v>
      </c>
      <c r="D990" s="32" t="s">
        <v>302</v>
      </c>
    </row>
    <row r="991" spans="2:4" x14ac:dyDescent="0.25">
      <c r="B991" s="32" t="s">
        <v>300</v>
      </c>
      <c r="C991" s="32" t="s">
        <v>1290</v>
      </c>
      <c r="D991" s="32" t="s">
        <v>302</v>
      </c>
    </row>
    <row r="992" spans="2:4" x14ac:dyDescent="0.25">
      <c r="B992" s="32" t="s">
        <v>300</v>
      </c>
      <c r="C992" s="32" t="s">
        <v>1291</v>
      </c>
      <c r="D992" s="32" t="s">
        <v>302</v>
      </c>
    </row>
    <row r="993" spans="2:4" x14ac:dyDescent="0.25">
      <c r="B993" s="32" t="s">
        <v>300</v>
      </c>
      <c r="C993" s="32" t="s">
        <v>1292</v>
      </c>
      <c r="D993" s="32" t="s">
        <v>302</v>
      </c>
    </row>
    <row r="994" spans="2:4" x14ac:dyDescent="0.25">
      <c r="B994" s="32" t="s">
        <v>300</v>
      </c>
      <c r="C994" s="32" t="s">
        <v>1293</v>
      </c>
      <c r="D994" s="32" t="s">
        <v>302</v>
      </c>
    </row>
    <row r="995" spans="2:4" x14ac:dyDescent="0.25">
      <c r="B995" s="32" t="s">
        <v>300</v>
      </c>
      <c r="C995" s="32" t="s">
        <v>1294</v>
      </c>
      <c r="D995" s="32" t="s">
        <v>302</v>
      </c>
    </row>
    <row r="996" spans="2:4" x14ac:dyDescent="0.25">
      <c r="B996" s="32" t="s">
        <v>300</v>
      </c>
      <c r="C996" s="32" t="s">
        <v>1295</v>
      </c>
      <c r="D996" s="32" t="s">
        <v>302</v>
      </c>
    </row>
    <row r="997" spans="2:4" x14ac:dyDescent="0.25">
      <c r="B997" s="32" t="s">
        <v>300</v>
      </c>
      <c r="C997" s="32" t="s">
        <v>1296</v>
      </c>
      <c r="D997" s="32" t="s">
        <v>302</v>
      </c>
    </row>
    <row r="998" spans="2:4" x14ac:dyDescent="0.25">
      <c r="B998" s="32" t="s">
        <v>300</v>
      </c>
      <c r="C998" s="32" t="s">
        <v>1297</v>
      </c>
      <c r="D998" s="32" t="s">
        <v>302</v>
      </c>
    </row>
    <row r="999" spans="2:4" x14ac:dyDescent="0.25">
      <c r="B999" s="32" t="s">
        <v>300</v>
      </c>
      <c r="C999" s="32" t="s">
        <v>1298</v>
      </c>
      <c r="D999" s="32" t="s">
        <v>302</v>
      </c>
    </row>
    <row r="1000" spans="2:4" x14ac:dyDescent="0.25">
      <c r="B1000" s="32" t="s">
        <v>300</v>
      </c>
      <c r="C1000" s="32" t="s">
        <v>1299</v>
      </c>
      <c r="D1000" s="32" t="s">
        <v>302</v>
      </c>
    </row>
    <row r="1001" spans="2:4" x14ac:dyDescent="0.25">
      <c r="B1001" s="32" t="s">
        <v>300</v>
      </c>
      <c r="C1001" s="32" t="s">
        <v>1300</v>
      </c>
      <c r="D1001" s="32" t="s">
        <v>302</v>
      </c>
    </row>
    <row r="1002" spans="2:4" x14ac:dyDescent="0.25">
      <c r="B1002" s="32" t="s">
        <v>300</v>
      </c>
      <c r="C1002" s="32" t="s">
        <v>1301</v>
      </c>
      <c r="D1002" s="32" t="s">
        <v>302</v>
      </c>
    </row>
    <row r="1003" spans="2:4" x14ac:dyDescent="0.25">
      <c r="B1003" s="32" t="s">
        <v>300</v>
      </c>
      <c r="C1003" s="32" t="s">
        <v>1302</v>
      </c>
      <c r="D1003" s="32" t="s">
        <v>302</v>
      </c>
    </row>
    <row r="1004" spans="2:4" x14ac:dyDescent="0.25">
      <c r="B1004" s="32" t="s">
        <v>300</v>
      </c>
      <c r="C1004" s="32" t="s">
        <v>1303</v>
      </c>
      <c r="D1004" s="32" t="s">
        <v>302</v>
      </c>
    </row>
    <row r="1005" spans="2:4" x14ac:dyDescent="0.25">
      <c r="B1005" s="32" t="s">
        <v>300</v>
      </c>
      <c r="C1005" s="32" t="s">
        <v>1304</v>
      </c>
      <c r="D1005" s="32" t="s">
        <v>302</v>
      </c>
    </row>
    <row r="1006" spans="2:4" x14ac:dyDescent="0.25">
      <c r="B1006" s="32" t="s">
        <v>300</v>
      </c>
      <c r="C1006" s="32" t="s">
        <v>1305</v>
      </c>
      <c r="D1006" s="32" t="s">
        <v>302</v>
      </c>
    </row>
    <row r="1007" spans="2:4" x14ac:dyDescent="0.25">
      <c r="B1007" s="32" t="s">
        <v>300</v>
      </c>
      <c r="C1007" s="32" t="s">
        <v>1306</v>
      </c>
      <c r="D1007" s="32" t="s">
        <v>302</v>
      </c>
    </row>
    <row r="1008" spans="2:4" x14ac:dyDescent="0.25">
      <c r="B1008" s="32" t="s">
        <v>300</v>
      </c>
      <c r="C1008" s="32" t="s">
        <v>1307</v>
      </c>
      <c r="D1008" s="32" t="s">
        <v>302</v>
      </c>
    </row>
    <row r="1009" spans="2:4" x14ac:dyDescent="0.25">
      <c r="B1009" s="32" t="s">
        <v>300</v>
      </c>
      <c r="C1009" s="32" t="s">
        <v>1308</v>
      </c>
      <c r="D1009" s="32" t="s">
        <v>302</v>
      </c>
    </row>
    <row r="1010" spans="2:4" x14ac:dyDescent="0.25">
      <c r="B1010" s="32" t="s">
        <v>300</v>
      </c>
      <c r="C1010" s="32" t="s">
        <v>1309</v>
      </c>
      <c r="D1010" s="32" t="s">
        <v>302</v>
      </c>
    </row>
    <row r="1011" spans="2:4" x14ac:dyDescent="0.25">
      <c r="B1011" s="32" t="s">
        <v>300</v>
      </c>
      <c r="C1011" s="32" t="s">
        <v>1310</v>
      </c>
      <c r="D1011" s="32" t="s">
        <v>302</v>
      </c>
    </row>
    <row r="1012" spans="2:4" x14ac:dyDescent="0.25">
      <c r="B1012" s="32" t="s">
        <v>300</v>
      </c>
      <c r="C1012" s="32" t="s">
        <v>1311</v>
      </c>
      <c r="D1012" s="32" t="s">
        <v>302</v>
      </c>
    </row>
    <row r="1013" spans="2:4" x14ac:dyDescent="0.25">
      <c r="B1013" s="32" t="s">
        <v>300</v>
      </c>
      <c r="C1013" s="32" t="s">
        <v>1312</v>
      </c>
      <c r="D1013" s="32" t="s">
        <v>302</v>
      </c>
    </row>
    <row r="1014" spans="2:4" x14ac:dyDescent="0.25">
      <c r="B1014" s="32" t="s">
        <v>300</v>
      </c>
      <c r="C1014" s="32" t="s">
        <v>1313</v>
      </c>
      <c r="D1014" s="32" t="s">
        <v>302</v>
      </c>
    </row>
    <row r="1015" spans="2:4" x14ac:dyDescent="0.25">
      <c r="B1015" s="32" t="s">
        <v>300</v>
      </c>
      <c r="C1015" s="32" t="s">
        <v>1314</v>
      </c>
      <c r="D1015" s="32" t="s">
        <v>302</v>
      </c>
    </row>
    <row r="1016" spans="2:4" x14ac:dyDescent="0.25">
      <c r="B1016" s="32" t="s">
        <v>300</v>
      </c>
      <c r="C1016" s="32" t="s">
        <v>1315</v>
      </c>
      <c r="D1016" s="32" t="s">
        <v>302</v>
      </c>
    </row>
    <row r="1017" spans="2:4" x14ac:dyDescent="0.25">
      <c r="B1017" s="32" t="s">
        <v>300</v>
      </c>
      <c r="C1017" s="32" t="s">
        <v>1316</v>
      </c>
      <c r="D1017" s="32" t="s">
        <v>302</v>
      </c>
    </row>
    <row r="1018" spans="2:4" x14ac:dyDescent="0.25">
      <c r="B1018" s="32" t="s">
        <v>300</v>
      </c>
      <c r="C1018" s="32" t="s">
        <v>1317</v>
      </c>
      <c r="D1018" s="32" t="s">
        <v>302</v>
      </c>
    </row>
    <row r="1019" spans="2:4" x14ac:dyDescent="0.25">
      <c r="B1019" s="32" t="s">
        <v>300</v>
      </c>
      <c r="C1019" s="32" t="s">
        <v>1318</v>
      </c>
      <c r="D1019" s="32" t="s">
        <v>302</v>
      </c>
    </row>
    <row r="1020" spans="2:4" x14ac:dyDescent="0.25">
      <c r="B1020" s="32" t="s">
        <v>300</v>
      </c>
      <c r="C1020" s="32" t="s">
        <v>1319</v>
      </c>
      <c r="D1020" s="32" t="s">
        <v>302</v>
      </c>
    </row>
    <row r="1021" spans="2:4" x14ac:dyDescent="0.25">
      <c r="B1021" s="32" t="s">
        <v>300</v>
      </c>
      <c r="C1021" s="32" t="s">
        <v>1320</v>
      </c>
      <c r="D1021" s="32" t="s">
        <v>302</v>
      </c>
    </row>
    <row r="1022" spans="2:4" x14ac:dyDescent="0.25">
      <c r="B1022" s="32" t="s">
        <v>300</v>
      </c>
      <c r="C1022" s="32" t="s">
        <v>1321</v>
      </c>
      <c r="D1022" s="32" t="s">
        <v>302</v>
      </c>
    </row>
    <row r="1023" spans="2:4" x14ac:dyDescent="0.25">
      <c r="B1023" s="32" t="s">
        <v>300</v>
      </c>
      <c r="C1023" s="32" t="s">
        <v>1322</v>
      </c>
      <c r="D1023" s="32" t="s">
        <v>302</v>
      </c>
    </row>
    <row r="1024" spans="2:4" x14ac:dyDescent="0.25">
      <c r="B1024" s="32" t="s">
        <v>300</v>
      </c>
      <c r="C1024" s="32" t="s">
        <v>1323</v>
      </c>
      <c r="D1024" s="32" t="s">
        <v>302</v>
      </c>
    </row>
    <row r="1025" spans="2:4" x14ac:dyDescent="0.25">
      <c r="B1025" s="32" t="s">
        <v>300</v>
      </c>
      <c r="C1025" s="32" t="s">
        <v>1324</v>
      </c>
      <c r="D1025" s="32" t="s">
        <v>302</v>
      </c>
    </row>
    <row r="1026" spans="2:4" x14ac:dyDescent="0.25">
      <c r="B1026" s="32" t="s">
        <v>300</v>
      </c>
      <c r="C1026" s="32" t="s">
        <v>1325</v>
      </c>
      <c r="D1026" s="32" t="s">
        <v>302</v>
      </c>
    </row>
    <row r="1027" spans="2:4" x14ac:dyDescent="0.25">
      <c r="B1027" s="32" t="s">
        <v>300</v>
      </c>
      <c r="C1027" s="32" t="s">
        <v>1326</v>
      </c>
      <c r="D1027" s="32" t="s">
        <v>302</v>
      </c>
    </row>
    <row r="1028" spans="2:4" x14ac:dyDescent="0.25">
      <c r="B1028" s="32" t="s">
        <v>300</v>
      </c>
      <c r="C1028" s="32" t="s">
        <v>1327</v>
      </c>
      <c r="D1028" s="32" t="s">
        <v>302</v>
      </c>
    </row>
    <row r="1029" spans="2:4" x14ac:dyDescent="0.25">
      <c r="B1029" s="32" t="s">
        <v>300</v>
      </c>
      <c r="C1029" s="32" t="s">
        <v>1328</v>
      </c>
      <c r="D1029" s="32" t="s">
        <v>302</v>
      </c>
    </row>
    <row r="1030" spans="2:4" x14ac:dyDescent="0.25">
      <c r="B1030" s="32" t="s">
        <v>300</v>
      </c>
      <c r="C1030" s="32" t="s">
        <v>1329</v>
      </c>
      <c r="D1030" s="32" t="s">
        <v>302</v>
      </c>
    </row>
    <row r="1031" spans="2:4" x14ac:dyDescent="0.25">
      <c r="B1031" s="32" t="s">
        <v>300</v>
      </c>
      <c r="C1031" s="32" t="s">
        <v>1330</v>
      </c>
      <c r="D1031" s="32" t="s">
        <v>302</v>
      </c>
    </row>
    <row r="1032" spans="2:4" x14ac:dyDescent="0.25">
      <c r="B1032" s="32" t="s">
        <v>300</v>
      </c>
      <c r="C1032" s="32" t="s">
        <v>1331</v>
      </c>
      <c r="D1032" s="32" t="s">
        <v>302</v>
      </c>
    </row>
    <row r="1033" spans="2:4" x14ac:dyDescent="0.25">
      <c r="B1033" s="32" t="s">
        <v>300</v>
      </c>
      <c r="C1033" s="32" t="s">
        <v>1332</v>
      </c>
      <c r="D1033" s="32" t="s">
        <v>302</v>
      </c>
    </row>
    <row r="1034" spans="2:4" x14ac:dyDescent="0.25">
      <c r="B1034" s="32" t="s">
        <v>300</v>
      </c>
      <c r="C1034" s="32" t="s">
        <v>1333</v>
      </c>
      <c r="D1034" s="32" t="s">
        <v>302</v>
      </c>
    </row>
    <row r="1035" spans="2:4" x14ac:dyDescent="0.25">
      <c r="B1035" s="32" t="s">
        <v>300</v>
      </c>
      <c r="C1035" s="32" t="s">
        <v>1334</v>
      </c>
      <c r="D1035" s="32" t="s">
        <v>302</v>
      </c>
    </row>
    <row r="1036" spans="2:4" x14ac:dyDescent="0.25">
      <c r="B1036" s="32" t="s">
        <v>300</v>
      </c>
      <c r="C1036" s="32" t="s">
        <v>1335</v>
      </c>
      <c r="D1036" s="32" t="s">
        <v>302</v>
      </c>
    </row>
    <row r="1037" spans="2:4" x14ac:dyDescent="0.25">
      <c r="B1037" s="32" t="s">
        <v>300</v>
      </c>
      <c r="C1037" s="32" t="s">
        <v>1336</v>
      </c>
      <c r="D1037" s="32" t="s">
        <v>302</v>
      </c>
    </row>
    <row r="1038" spans="2:4" x14ac:dyDescent="0.25">
      <c r="B1038" s="32" t="s">
        <v>300</v>
      </c>
      <c r="C1038" s="32" t="s">
        <v>1337</v>
      </c>
      <c r="D1038" s="32" t="s">
        <v>302</v>
      </c>
    </row>
    <row r="1039" spans="2:4" x14ac:dyDescent="0.25">
      <c r="B1039" s="32" t="s">
        <v>300</v>
      </c>
      <c r="C1039" s="32" t="s">
        <v>1338</v>
      </c>
      <c r="D1039" s="32" t="s">
        <v>302</v>
      </c>
    </row>
    <row r="1040" spans="2:4" x14ac:dyDescent="0.25">
      <c r="B1040" s="32" t="s">
        <v>300</v>
      </c>
      <c r="C1040" s="32" t="s">
        <v>1339</v>
      </c>
      <c r="D1040" s="32" t="s">
        <v>302</v>
      </c>
    </row>
    <row r="1041" spans="2:4" x14ac:dyDescent="0.25">
      <c r="B1041" s="32" t="s">
        <v>300</v>
      </c>
      <c r="C1041" s="32" t="s">
        <v>1340</v>
      </c>
      <c r="D1041" s="32" t="s">
        <v>302</v>
      </c>
    </row>
    <row r="1042" spans="2:4" x14ac:dyDescent="0.25">
      <c r="B1042" s="32" t="s">
        <v>300</v>
      </c>
      <c r="C1042" s="32" t="s">
        <v>1341</v>
      </c>
      <c r="D1042" s="32" t="s">
        <v>302</v>
      </c>
    </row>
    <row r="1043" spans="2:4" x14ac:dyDescent="0.25">
      <c r="B1043" s="32" t="s">
        <v>300</v>
      </c>
      <c r="C1043" s="32" t="s">
        <v>1342</v>
      </c>
      <c r="D1043" s="32" t="s">
        <v>302</v>
      </c>
    </row>
    <row r="1044" spans="2:4" x14ac:dyDescent="0.25">
      <c r="B1044" s="32" t="s">
        <v>300</v>
      </c>
      <c r="C1044" s="32" t="s">
        <v>1343</v>
      </c>
      <c r="D1044" s="32" t="s">
        <v>302</v>
      </c>
    </row>
    <row r="1045" spans="2:4" x14ac:dyDescent="0.25">
      <c r="B1045" s="32" t="s">
        <v>300</v>
      </c>
      <c r="C1045" s="32" t="s">
        <v>1344</v>
      </c>
      <c r="D1045" s="32" t="s">
        <v>302</v>
      </c>
    </row>
    <row r="1046" spans="2:4" x14ac:dyDescent="0.25">
      <c r="B1046" s="32" t="s">
        <v>300</v>
      </c>
      <c r="C1046" s="32" t="s">
        <v>1345</v>
      </c>
      <c r="D1046" s="32" t="s">
        <v>302</v>
      </c>
    </row>
    <row r="1047" spans="2:4" x14ac:dyDescent="0.25">
      <c r="B1047" s="32" t="s">
        <v>300</v>
      </c>
      <c r="C1047" s="32" t="s">
        <v>1346</v>
      </c>
      <c r="D1047" s="32" t="s">
        <v>302</v>
      </c>
    </row>
    <row r="1048" spans="2:4" x14ac:dyDescent="0.25">
      <c r="B1048" s="32" t="s">
        <v>300</v>
      </c>
      <c r="C1048" s="32" t="s">
        <v>1347</v>
      </c>
      <c r="D1048" s="32" t="s">
        <v>302</v>
      </c>
    </row>
    <row r="1049" spans="2:4" x14ac:dyDescent="0.25">
      <c r="B1049" s="32" t="s">
        <v>300</v>
      </c>
      <c r="C1049" s="32" t="s">
        <v>1348</v>
      </c>
      <c r="D1049" s="32" t="s">
        <v>302</v>
      </c>
    </row>
    <row r="1050" spans="2:4" x14ac:dyDescent="0.25">
      <c r="B1050" s="32" t="s">
        <v>300</v>
      </c>
      <c r="C1050" s="32" t="s">
        <v>1349</v>
      </c>
      <c r="D1050" s="32" t="s">
        <v>302</v>
      </c>
    </row>
    <row r="1051" spans="2:4" x14ac:dyDescent="0.25">
      <c r="B1051" s="32" t="s">
        <v>300</v>
      </c>
      <c r="C1051" s="32" t="s">
        <v>1350</v>
      </c>
      <c r="D1051" s="32" t="s">
        <v>302</v>
      </c>
    </row>
    <row r="1052" spans="2:4" x14ac:dyDescent="0.25">
      <c r="B1052" s="32" t="s">
        <v>300</v>
      </c>
      <c r="C1052" s="32" t="s">
        <v>1351</v>
      </c>
      <c r="D1052" s="32" t="s">
        <v>302</v>
      </c>
    </row>
    <row r="1053" spans="2:4" x14ac:dyDescent="0.25">
      <c r="B1053" s="32" t="s">
        <v>300</v>
      </c>
      <c r="C1053" s="32" t="s">
        <v>1352</v>
      </c>
      <c r="D1053" s="32" t="s">
        <v>302</v>
      </c>
    </row>
    <row r="1054" spans="2:4" x14ac:dyDescent="0.25">
      <c r="B1054" s="32" t="s">
        <v>300</v>
      </c>
      <c r="C1054" s="32" t="s">
        <v>1353</v>
      </c>
      <c r="D1054" s="32" t="s">
        <v>302</v>
      </c>
    </row>
    <row r="1055" spans="2:4" x14ac:dyDescent="0.25">
      <c r="B1055" s="32" t="s">
        <v>300</v>
      </c>
      <c r="C1055" s="32" t="s">
        <v>1354</v>
      </c>
      <c r="D1055" s="32" t="s">
        <v>302</v>
      </c>
    </row>
    <row r="1056" spans="2:4" x14ac:dyDescent="0.25">
      <c r="B1056" s="32" t="s">
        <v>300</v>
      </c>
      <c r="C1056" s="32" t="s">
        <v>1355</v>
      </c>
      <c r="D1056" s="32" t="s">
        <v>302</v>
      </c>
    </row>
    <row r="1057" spans="2:4" x14ac:dyDescent="0.25">
      <c r="B1057" s="32" t="s">
        <v>300</v>
      </c>
      <c r="C1057" s="32" t="s">
        <v>1356</v>
      </c>
      <c r="D1057" s="32" t="s">
        <v>302</v>
      </c>
    </row>
    <row r="1058" spans="2:4" x14ac:dyDescent="0.25">
      <c r="B1058" s="32" t="s">
        <v>300</v>
      </c>
      <c r="C1058" s="32" t="s">
        <v>1357</v>
      </c>
      <c r="D1058" s="32" t="s">
        <v>302</v>
      </c>
    </row>
    <row r="1059" spans="2:4" x14ac:dyDescent="0.25">
      <c r="B1059" s="32" t="s">
        <v>300</v>
      </c>
      <c r="C1059" s="32" t="s">
        <v>1358</v>
      </c>
      <c r="D1059" s="32" t="s">
        <v>302</v>
      </c>
    </row>
    <row r="1060" spans="2:4" x14ac:dyDescent="0.25">
      <c r="B1060" s="32" t="s">
        <v>300</v>
      </c>
      <c r="C1060" s="32" t="s">
        <v>1359</v>
      </c>
      <c r="D1060" s="32" t="s">
        <v>302</v>
      </c>
    </row>
    <row r="1061" spans="2:4" x14ac:dyDescent="0.25">
      <c r="B1061" s="32" t="s">
        <v>300</v>
      </c>
      <c r="C1061" s="32" t="s">
        <v>1360</v>
      </c>
      <c r="D1061" s="32" t="s">
        <v>302</v>
      </c>
    </row>
    <row r="1062" spans="2:4" x14ac:dyDescent="0.25">
      <c r="B1062" s="32" t="s">
        <v>300</v>
      </c>
      <c r="C1062" s="32" t="s">
        <v>1361</v>
      </c>
      <c r="D1062" s="32" t="s">
        <v>302</v>
      </c>
    </row>
    <row r="1063" spans="2:4" x14ac:dyDescent="0.25">
      <c r="B1063" s="32" t="s">
        <v>300</v>
      </c>
      <c r="C1063" s="32" t="s">
        <v>1362</v>
      </c>
      <c r="D1063" s="32" t="s">
        <v>302</v>
      </c>
    </row>
    <row r="1064" spans="2:4" x14ac:dyDescent="0.25">
      <c r="B1064" s="32" t="s">
        <v>300</v>
      </c>
      <c r="C1064" s="32" t="s">
        <v>1363</v>
      </c>
      <c r="D1064" s="32" t="s">
        <v>302</v>
      </c>
    </row>
    <row r="1065" spans="2:4" x14ac:dyDescent="0.25">
      <c r="B1065" s="32" t="s">
        <v>300</v>
      </c>
      <c r="C1065" s="32" t="s">
        <v>1364</v>
      </c>
      <c r="D1065" s="32" t="s">
        <v>302</v>
      </c>
    </row>
    <row r="1066" spans="2:4" x14ac:dyDescent="0.25">
      <c r="B1066" s="32" t="s">
        <v>300</v>
      </c>
      <c r="C1066" s="32" t="s">
        <v>1365</v>
      </c>
      <c r="D1066" s="32" t="s">
        <v>302</v>
      </c>
    </row>
    <row r="1067" spans="2:4" x14ac:dyDescent="0.25">
      <c r="B1067" s="32" t="s">
        <v>300</v>
      </c>
      <c r="C1067" s="32" t="s">
        <v>1366</v>
      </c>
      <c r="D1067" s="32" t="s">
        <v>302</v>
      </c>
    </row>
    <row r="1068" spans="2:4" x14ac:dyDescent="0.25">
      <c r="B1068" s="32" t="s">
        <v>300</v>
      </c>
      <c r="C1068" s="32" t="s">
        <v>1367</v>
      </c>
      <c r="D1068" s="32" t="s">
        <v>302</v>
      </c>
    </row>
    <row r="1069" spans="2:4" x14ac:dyDescent="0.25">
      <c r="B1069" s="32" t="s">
        <v>300</v>
      </c>
      <c r="C1069" s="32" t="s">
        <v>1368</v>
      </c>
      <c r="D1069" s="32" t="s">
        <v>302</v>
      </c>
    </row>
    <row r="1070" spans="2:4" x14ac:dyDescent="0.25">
      <c r="B1070" s="32" t="s">
        <v>300</v>
      </c>
      <c r="C1070" s="32" t="s">
        <v>1369</v>
      </c>
      <c r="D1070" s="32" t="s">
        <v>302</v>
      </c>
    </row>
    <row r="1071" spans="2:4" x14ac:dyDescent="0.25">
      <c r="B1071" s="32" t="s">
        <v>300</v>
      </c>
      <c r="C1071" s="32" t="s">
        <v>1370</v>
      </c>
      <c r="D1071" s="32" t="s">
        <v>302</v>
      </c>
    </row>
    <row r="1072" spans="2:4" x14ac:dyDescent="0.25">
      <c r="B1072" s="32" t="s">
        <v>300</v>
      </c>
      <c r="C1072" s="32" t="s">
        <v>1371</v>
      </c>
      <c r="D1072" s="32" t="s">
        <v>302</v>
      </c>
    </row>
    <row r="1073" spans="2:4" x14ac:dyDescent="0.25">
      <c r="B1073" s="32" t="s">
        <v>300</v>
      </c>
      <c r="C1073" s="32" t="s">
        <v>1372</v>
      </c>
      <c r="D1073" s="32" t="s">
        <v>302</v>
      </c>
    </row>
    <row r="1074" spans="2:4" x14ac:dyDescent="0.25">
      <c r="B1074" s="32" t="s">
        <v>300</v>
      </c>
      <c r="C1074" s="32" t="s">
        <v>1373</v>
      </c>
      <c r="D1074" s="32" t="s">
        <v>302</v>
      </c>
    </row>
    <row r="1075" spans="2:4" x14ac:dyDescent="0.25">
      <c r="B1075" s="32" t="s">
        <v>300</v>
      </c>
      <c r="C1075" s="32" t="s">
        <v>1374</v>
      </c>
      <c r="D1075" s="32" t="s">
        <v>302</v>
      </c>
    </row>
    <row r="1076" spans="2:4" x14ac:dyDescent="0.25">
      <c r="B1076" s="32" t="s">
        <v>300</v>
      </c>
      <c r="C1076" s="32" t="s">
        <v>1375</v>
      </c>
      <c r="D1076" s="32" t="s">
        <v>302</v>
      </c>
    </row>
    <row r="1077" spans="2:4" x14ac:dyDescent="0.25">
      <c r="B1077" s="32" t="s">
        <v>300</v>
      </c>
      <c r="C1077" s="32" t="s">
        <v>1376</v>
      </c>
      <c r="D1077" s="32" t="s">
        <v>302</v>
      </c>
    </row>
    <row r="1078" spans="2:4" x14ac:dyDescent="0.25">
      <c r="B1078" s="31"/>
      <c r="C1078" s="31"/>
      <c r="D1078" s="31"/>
    </row>
    <row r="1079" spans="2:4" hidden="1" x14ac:dyDescent="0.25">
      <c r="B1079" s="31"/>
      <c r="C1079" s="31"/>
      <c r="D1079" s="31"/>
    </row>
    <row r="1080" spans="2:4" hidden="1" x14ac:dyDescent="0.25">
      <c r="B1080" s="31"/>
      <c r="C1080" s="31"/>
      <c r="D1080" s="31"/>
    </row>
    <row r="1081" spans="2:4" hidden="1" x14ac:dyDescent="0.25">
      <c r="B1081" s="31"/>
      <c r="C1081" s="31"/>
      <c r="D1081" s="31"/>
    </row>
    <row r="1082" spans="2:4" hidden="1" x14ac:dyDescent="0.25">
      <c r="B1082" s="31"/>
      <c r="C1082" s="31"/>
      <c r="D1082" s="31"/>
    </row>
    <row r="1083" spans="2:4" hidden="1" x14ac:dyDescent="0.25">
      <c r="B1083" s="31"/>
      <c r="C1083" s="31"/>
      <c r="D1083" s="31"/>
    </row>
    <row r="1084" spans="2:4" hidden="1" x14ac:dyDescent="0.25">
      <c r="B1084" s="31"/>
      <c r="C1084" s="31"/>
      <c r="D1084" s="31"/>
    </row>
    <row r="1085" spans="2:4" hidden="1" x14ac:dyDescent="0.25">
      <c r="B1085" s="31"/>
      <c r="C1085" s="31"/>
      <c r="D1085" s="31"/>
    </row>
    <row r="1086" spans="2:4" hidden="1" x14ac:dyDescent="0.25">
      <c r="B1086" s="31"/>
      <c r="C1086" s="31"/>
      <c r="D1086" s="31"/>
    </row>
    <row r="1087" spans="2:4" hidden="1" x14ac:dyDescent="0.25">
      <c r="B1087" s="31"/>
      <c r="C1087" s="31"/>
      <c r="D1087" s="31"/>
    </row>
    <row r="1088" spans="2:4" hidden="1" x14ac:dyDescent="0.25">
      <c r="B1088" s="31"/>
      <c r="C1088" s="31"/>
      <c r="D1088" s="31"/>
    </row>
    <row r="1089" spans="2:4" hidden="1" x14ac:dyDescent="0.25">
      <c r="B1089" s="31"/>
      <c r="C1089" s="31"/>
      <c r="D1089" s="31"/>
    </row>
    <row r="1090" spans="2:4" hidden="1" x14ac:dyDescent="0.25">
      <c r="B1090" s="31"/>
      <c r="C1090" s="31"/>
      <c r="D1090" s="31"/>
    </row>
    <row r="1091" spans="2:4" hidden="1" x14ac:dyDescent="0.25">
      <c r="B1091" s="31"/>
      <c r="C1091" s="31"/>
      <c r="D1091" s="31"/>
    </row>
    <row r="1092" spans="2:4" hidden="1" x14ac:dyDescent="0.25">
      <c r="B1092" s="31"/>
      <c r="C1092" s="31"/>
      <c r="D1092" s="31"/>
    </row>
    <row r="1093" spans="2:4" hidden="1" x14ac:dyDescent="0.25">
      <c r="B1093" s="31"/>
      <c r="C1093" s="31"/>
      <c r="D1093" s="31"/>
    </row>
    <row r="1094" spans="2:4" hidden="1" x14ac:dyDescent="0.25">
      <c r="B1094" s="31"/>
      <c r="C1094" s="31"/>
      <c r="D1094" s="31"/>
    </row>
    <row r="1095" spans="2:4" hidden="1" x14ac:dyDescent="0.25">
      <c r="B1095" s="31"/>
      <c r="C1095" s="31"/>
      <c r="D1095" s="31"/>
    </row>
    <row r="1096" spans="2:4" hidden="1" x14ac:dyDescent="0.25">
      <c r="B1096" s="31"/>
      <c r="C1096" s="31"/>
      <c r="D1096" s="31"/>
    </row>
    <row r="1097" spans="2:4" hidden="1" x14ac:dyDescent="0.25">
      <c r="B1097" s="31"/>
      <c r="C1097" s="31"/>
      <c r="D1097" s="31"/>
    </row>
    <row r="1098" spans="2:4" hidden="1" x14ac:dyDescent="0.25">
      <c r="B1098" s="31"/>
      <c r="C1098" s="31"/>
      <c r="D1098" s="31"/>
    </row>
    <row r="1099" spans="2:4" hidden="1" x14ac:dyDescent="0.25">
      <c r="B1099" s="31"/>
      <c r="C1099" s="31"/>
      <c r="D1099" s="31"/>
    </row>
    <row r="1100" spans="2:4" hidden="1" x14ac:dyDescent="0.25">
      <c r="B1100" s="31"/>
      <c r="C1100" s="31"/>
      <c r="D1100" s="31"/>
    </row>
    <row r="1101" spans="2:4" hidden="1" x14ac:dyDescent="0.25">
      <c r="B1101" s="31"/>
      <c r="C1101" s="31"/>
      <c r="D1101" s="31"/>
    </row>
    <row r="1102" spans="2:4" hidden="1" x14ac:dyDescent="0.25">
      <c r="B1102" s="31"/>
      <c r="C1102" s="31"/>
      <c r="D1102" s="31"/>
    </row>
    <row r="1103" spans="2:4" hidden="1" x14ac:dyDescent="0.25">
      <c r="B1103" s="31"/>
      <c r="C1103" s="31"/>
      <c r="D1103" s="31"/>
    </row>
    <row r="1104" spans="2:4" hidden="1" x14ac:dyDescent="0.25">
      <c r="B1104" s="31"/>
      <c r="C1104" s="31"/>
      <c r="D1104" s="31"/>
    </row>
    <row r="1105" spans="2:4" hidden="1" x14ac:dyDescent="0.25">
      <c r="B1105" s="31"/>
      <c r="C1105" s="31"/>
      <c r="D1105" s="31"/>
    </row>
    <row r="1106" spans="2:4" hidden="1" x14ac:dyDescent="0.25">
      <c r="B1106" s="31"/>
      <c r="C1106" s="31"/>
      <c r="D1106" s="31"/>
    </row>
    <row r="1107" spans="2:4" hidden="1" x14ac:dyDescent="0.25">
      <c r="B1107" s="31"/>
      <c r="C1107" s="31"/>
      <c r="D1107" s="31"/>
    </row>
    <row r="1108" spans="2:4" hidden="1" x14ac:dyDescent="0.25">
      <c r="B1108" s="31"/>
      <c r="C1108" s="31"/>
      <c r="D1108" s="31"/>
    </row>
    <row r="1109" spans="2:4" hidden="1" x14ac:dyDescent="0.25">
      <c r="B1109" s="31"/>
      <c r="C1109" s="31"/>
      <c r="D1109" s="31"/>
    </row>
    <row r="1110" spans="2:4" hidden="1" x14ac:dyDescent="0.25">
      <c r="B1110" s="31"/>
      <c r="C1110" s="31"/>
      <c r="D1110" s="31"/>
    </row>
    <row r="1111" spans="2:4" hidden="1" x14ac:dyDescent="0.25">
      <c r="B1111" s="31"/>
      <c r="C1111" s="31"/>
      <c r="D1111" s="31"/>
    </row>
    <row r="1112" spans="2:4" hidden="1" x14ac:dyDescent="0.25">
      <c r="B1112" s="31"/>
      <c r="C1112" s="31"/>
      <c r="D1112" s="31"/>
    </row>
    <row r="1113" spans="2:4" hidden="1" x14ac:dyDescent="0.25">
      <c r="B1113" s="31"/>
      <c r="C1113" s="31"/>
      <c r="D1113" s="31"/>
    </row>
    <row r="1114" spans="2:4" hidden="1" x14ac:dyDescent="0.25">
      <c r="B1114" s="31"/>
      <c r="C1114" s="31"/>
      <c r="D1114" s="31"/>
    </row>
    <row r="1115" spans="2:4" hidden="1" x14ac:dyDescent="0.25">
      <c r="B1115" s="31"/>
      <c r="C1115" s="31"/>
      <c r="D1115" s="31"/>
    </row>
    <row r="1116" spans="2:4" hidden="1" x14ac:dyDescent="0.25">
      <c r="B1116" s="31"/>
      <c r="C1116" s="31"/>
      <c r="D1116" s="31"/>
    </row>
    <row r="1117" spans="2:4" hidden="1" x14ac:dyDescent="0.25">
      <c r="B1117" s="31"/>
      <c r="C1117" s="31"/>
      <c r="D1117" s="31"/>
    </row>
    <row r="1118" spans="2:4" hidden="1" x14ac:dyDescent="0.25">
      <c r="B1118" s="31"/>
      <c r="C1118" s="31"/>
      <c r="D1118" s="31"/>
    </row>
    <row r="1119" spans="2:4" hidden="1" x14ac:dyDescent="0.25">
      <c r="B1119" s="31"/>
      <c r="C1119" s="31"/>
      <c r="D1119" s="31"/>
    </row>
    <row r="1120" spans="2:4" hidden="1" x14ac:dyDescent="0.25">
      <c r="B1120" s="31"/>
      <c r="C1120" s="31"/>
      <c r="D1120" s="31"/>
    </row>
    <row r="1121" spans="2:4" hidden="1" x14ac:dyDescent="0.25">
      <c r="B1121" s="31"/>
      <c r="C1121" s="31"/>
      <c r="D1121" s="31"/>
    </row>
    <row r="1122" spans="2:4" hidden="1" x14ac:dyDescent="0.25">
      <c r="B1122" s="31"/>
      <c r="C1122" s="31"/>
      <c r="D1122" s="31"/>
    </row>
    <row r="1123" spans="2:4" hidden="1" x14ac:dyDescent="0.25">
      <c r="B1123" s="31"/>
      <c r="C1123" s="31"/>
      <c r="D1123" s="31"/>
    </row>
    <row r="1124" spans="2:4" hidden="1" x14ac:dyDescent="0.25">
      <c r="B1124" s="31"/>
      <c r="C1124" s="31"/>
      <c r="D1124" s="31"/>
    </row>
    <row r="1125" spans="2:4" hidden="1" x14ac:dyDescent="0.25">
      <c r="B1125" s="31"/>
      <c r="C1125" s="31"/>
      <c r="D1125" s="31"/>
    </row>
    <row r="1126" spans="2:4" hidden="1" x14ac:dyDescent="0.25">
      <c r="B1126" s="31"/>
      <c r="C1126" s="31"/>
      <c r="D1126" s="31"/>
    </row>
    <row r="1127" spans="2:4" hidden="1" x14ac:dyDescent="0.25">
      <c r="B1127" s="31"/>
      <c r="C1127" s="31"/>
      <c r="D1127" s="31"/>
    </row>
    <row r="1128" spans="2:4" hidden="1" x14ac:dyDescent="0.25">
      <c r="B1128" s="31"/>
      <c r="C1128" s="31"/>
      <c r="D1128" s="31"/>
    </row>
    <row r="1129" spans="2:4" hidden="1" x14ac:dyDescent="0.25">
      <c r="B1129" s="31"/>
      <c r="C1129" s="31"/>
      <c r="D1129" s="31"/>
    </row>
    <row r="1130" spans="2:4" hidden="1" x14ac:dyDescent="0.25">
      <c r="B1130" s="31"/>
      <c r="C1130" s="31"/>
      <c r="D1130" s="31"/>
    </row>
    <row r="1131" spans="2:4" hidden="1" x14ac:dyDescent="0.25">
      <c r="B1131" s="31"/>
      <c r="C1131" s="31"/>
      <c r="D1131" s="31"/>
    </row>
    <row r="1132" spans="2:4" hidden="1" x14ac:dyDescent="0.25">
      <c r="B1132" s="31"/>
      <c r="C1132" s="31"/>
      <c r="D1132" s="31"/>
    </row>
    <row r="1133" spans="2:4" hidden="1" x14ac:dyDescent="0.25">
      <c r="B1133" s="31"/>
      <c r="C1133" s="31"/>
      <c r="D1133" s="31"/>
    </row>
    <row r="1134" spans="2:4" hidden="1" x14ac:dyDescent="0.25">
      <c r="B1134" s="31"/>
      <c r="C1134" s="31"/>
      <c r="D1134" s="31"/>
    </row>
    <row r="1135" spans="2:4" hidden="1" x14ac:dyDescent="0.25">
      <c r="B1135" s="31"/>
      <c r="C1135" s="31"/>
      <c r="D1135" s="31"/>
    </row>
    <row r="1136" spans="2:4" hidden="1" x14ac:dyDescent="0.25">
      <c r="B1136" s="31"/>
      <c r="C1136" s="31"/>
      <c r="D1136" s="31"/>
    </row>
    <row r="1137" spans="2:4" hidden="1" x14ac:dyDescent="0.25">
      <c r="B1137" s="31"/>
      <c r="C1137" s="31"/>
      <c r="D1137" s="31"/>
    </row>
    <row r="1138" spans="2:4" hidden="1" x14ac:dyDescent="0.25">
      <c r="B1138" s="31"/>
      <c r="C1138" s="31"/>
      <c r="D1138" s="31"/>
    </row>
    <row r="1139" spans="2:4" hidden="1" x14ac:dyDescent="0.25">
      <c r="B1139" s="31"/>
      <c r="C1139" s="31"/>
      <c r="D1139" s="31"/>
    </row>
    <row r="1140" spans="2:4" hidden="1" x14ac:dyDescent="0.25">
      <c r="B1140" s="31"/>
      <c r="C1140" s="31"/>
      <c r="D1140" s="31"/>
    </row>
    <row r="1141" spans="2:4" hidden="1" x14ac:dyDescent="0.25">
      <c r="B1141" s="31"/>
      <c r="C1141" s="31"/>
      <c r="D1141" s="31"/>
    </row>
    <row r="1142" spans="2:4" hidden="1" x14ac:dyDescent="0.25">
      <c r="B1142" s="31"/>
      <c r="C1142" s="31"/>
      <c r="D1142" s="31"/>
    </row>
    <row r="1143" spans="2:4" hidden="1" x14ac:dyDescent="0.25">
      <c r="B1143" s="31"/>
      <c r="C1143" s="31"/>
      <c r="D1143" s="31"/>
    </row>
    <row r="1144" spans="2:4" hidden="1" x14ac:dyDescent="0.25">
      <c r="B1144" s="31"/>
      <c r="C1144" s="31"/>
      <c r="D1144" s="31"/>
    </row>
    <row r="1145" spans="2:4" hidden="1" x14ac:dyDescent="0.25">
      <c r="B1145" s="31"/>
      <c r="C1145" s="31"/>
      <c r="D1145" s="31"/>
    </row>
    <row r="1146" spans="2:4" hidden="1" x14ac:dyDescent="0.25">
      <c r="B1146" s="31"/>
      <c r="C1146" s="31"/>
      <c r="D1146" s="31"/>
    </row>
    <row r="1147" spans="2:4" hidden="1" x14ac:dyDescent="0.25">
      <c r="B1147" s="31"/>
      <c r="C1147" s="31"/>
      <c r="D1147" s="31"/>
    </row>
    <row r="1148" spans="2:4" hidden="1" x14ac:dyDescent="0.25">
      <c r="B1148" s="31"/>
      <c r="C1148" s="31"/>
      <c r="D1148" s="31"/>
    </row>
    <row r="1149" spans="2:4" hidden="1" x14ac:dyDescent="0.25">
      <c r="B1149" s="31"/>
      <c r="C1149" s="31"/>
      <c r="D1149" s="31"/>
    </row>
    <row r="1150" spans="2:4" hidden="1" x14ac:dyDescent="0.25">
      <c r="B1150" s="31"/>
      <c r="C1150" s="31"/>
      <c r="D1150" s="31"/>
    </row>
    <row r="1151" spans="2:4" hidden="1" x14ac:dyDescent="0.25">
      <c r="B1151" s="31"/>
      <c r="C1151" s="31"/>
      <c r="D1151" s="31"/>
    </row>
    <row r="1152" spans="2:4" hidden="1" x14ac:dyDescent="0.25">
      <c r="B1152" s="31"/>
      <c r="C1152" s="31"/>
      <c r="D1152" s="31"/>
    </row>
    <row r="1153" spans="2:4" hidden="1" x14ac:dyDescent="0.25">
      <c r="B1153" s="31"/>
      <c r="C1153" s="31"/>
      <c r="D1153" s="31"/>
    </row>
    <row r="1154" spans="2:4" hidden="1" x14ac:dyDescent="0.25">
      <c r="B1154" s="31"/>
      <c r="C1154" s="31"/>
      <c r="D1154" s="31"/>
    </row>
    <row r="1155" spans="2:4" hidden="1" x14ac:dyDescent="0.25">
      <c r="B1155" s="31"/>
      <c r="C1155" s="31"/>
      <c r="D1155" s="31"/>
    </row>
    <row r="1156" spans="2:4" hidden="1" x14ac:dyDescent="0.25">
      <c r="B1156" s="31"/>
      <c r="C1156" s="31"/>
      <c r="D1156" s="31"/>
    </row>
    <row r="1157" spans="2:4" hidden="1" x14ac:dyDescent="0.25">
      <c r="B1157" s="31"/>
      <c r="C1157" s="31"/>
      <c r="D1157" s="31"/>
    </row>
    <row r="1158" spans="2:4" hidden="1" x14ac:dyDescent="0.25">
      <c r="B1158" s="31"/>
      <c r="C1158" s="31"/>
      <c r="D1158" s="31"/>
    </row>
    <row r="1159" spans="2:4" hidden="1" x14ac:dyDescent="0.25">
      <c r="B1159" s="31"/>
      <c r="C1159" s="31"/>
      <c r="D1159" s="31"/>
    </row>
    <row r="1160" spans="2:4" hidden="1" x14ac:dyDescent="0.25">
      <c r="B1160" s="31"/>
      <c r="C1160" s="31"/>
      <c r="D1160" s="31"/>
    </row>
    <row r="1161" spans="2:4" hidden="1" x14ac:dyDescent="0.25">
      <c r="B1161" s="31"/>
      <c r="C1161" s="31"/>
      <c r="D1161" s="31"/>
    </row>
    <row r="1162" spans="2:4" hidden="1" x14ac:dyDescent="0.25">
      <c r="B1162" s="31"/>
      <c r="C1162" s="31"/>
      <c r="D1162" s="31"/>
    </row>
    <row r="1163" spans="2:4" hidden="1" x14ac:dyDescent="0.25">
      <c r="B1163" s="31"/>
      <c r="C1163" s="31"/>
      <c r="D1163" s="31"/>
    </row>
    <row r="1164" spans="2:4" hidden="1" x14ac:dyDescent="0.25">
      <c r="B1164" s="31"/>
      <c r="C1164" s="31"/>
      <c r="D1164" s="31"/>
    </row>
    <row r="1165" spans="2:4" hidden="1" x14ac:dyDescent="0.25">
      <c r="B1165" s="31"/>
      <c r="C1165" s="31"/>
      <c r="D1165" s="31"/>
    </row>
    <row r="1166" spans="2:4" hidden="1" x14ac:dyDescent="0.25">
      <c r="B1166" s="31"/>
      <c r="C1166" s="31"/>
      <c r="D1166" s="31"/>
    </row>
    <row r="1167" spans="2:4" hidden="1" x14ac:dyDescent="0.25">
      <c r="B1167" s="31"/>
      <c r="C1167" s="31"/>
      <c r="D1167" s="31"/>
    </row>
    <row r="1168" spans="2:4" hidden="1" x14ac:dyDescent="0.25">
      <c r="B1168" s="31"/>
      <c r="C1168" s="31"/>
      <c r="D1168" s="31"/>
    </row>
    <row r="1169" spans="2:4" hidden="1" x14ac:dyDescent="0.25">
      <c r="B1169" s="31"/>
      <c r="C1169" s="31"/>
      <c r="D1169" s="31"/>
    </row>
    <row r="1170" spans="2:4" hidden="1" x14ac:dyDescent="0.25">
      <c r="B1170" s="31"/>
      <c r="C1170" s="31"/>
      <c r="D1170" s="31"/>
    </row>
    <row r="1171" spans="2:4" hidden="1" x14ac:dyDescent="0.25">
      <c r="B1171" s="31"/>
      <c r="C1171" s="31"/>
      <c r="D1171" s="31"/>
    </row>
    <row r="1172" spans="2:4" hidden="1" x14ac:dyDescent="0.25">
      <c r="B1172" s="31"/>
      <c r="C1172" s="31"/>
      <c r="D1172" s="31"/>
    </row>
    <row r="1173" spans="2:4" hidden="1" x14ac:dyDescent="0.25">
      <c r="B1173" s="31"/>
      <c r="C1173" s="31"/>
      <c r="D1173" s="31"/>
    </row>
    <row r="1174" spans="2:4" hidden="1" x14ac:dyDescent="0.25">
      <c r="B1174" s="31"/>
      <c r="C1174" s="31"/>
      <c r="D1174" s="31"/>
    </row>
    <row r="1175" spans="2:4" hidden="1" x14ac:dyDescent="0.25">
      <c r="B1175" s="31"/>
      <c r="C1175" s="31"/>
      <c r="D1175" s="31"/>
    </row>
    <row r="1176" spans="2:4" hidden="1" x14ac:dyDescent="0.25">
      <c r="B1176" s="31"/>
      <c r="C1176" s="31"/>
      <c r="D1176" s="31"/>
    </row>
    <row r="1177" spans="2:4" hidden="1" x14ac:dyDescent="0.25">
      <c r="B1177" s="31"/>
      <c r="C1177" s="31"/>
      <c r="D1177" s="31"/>
    </row>
    <row r="1178" spans="2:4" hidden="1" x14ac:dyDescent="0.25">
      <c r="B1178" s="31"/>
      <c r="C1178" s="31"/>
      <c r="D1178" s="31"/>
    </row>
    <row r="1179" spans="2:4" hidden="1" x14ac:dyDescent="0.25">
      <c r="B1179" s="31"/>
      <c r="C1179" s="31"/>
      <c r="D1179" s="31"/>
    </row>
    <row r="1180" spans="2:4" hidden="1" x14ac:dyDescent="0.25">
      <c r="B1180" s="31"/>
      <c r="C1180" s="31"/>
      <c r="D1180" s="31"/>
    </row>
    <row r="1181" spans="2:4" hidden="1" x14ac:dyDescent="0.25">
      <c r="B1181" s="31"/>
      <c r="C1181" s="31"/>
      <c r="D1181" s="31"/>
    </row>
    <row r="1182" spans="2:4" hidden="1" x14ac:dyDescent="0.25">
      <c r="B1182" s="31"/>
      <c r="C1182" s="31"/>
      <c r="D1182" s="31"/>
    </row>
    <row r="1183" spans="2:4" hidden="1" x14ac:dyDescent="0.25">
      <c r="B1183" s="31"/>
      <c r="C1183" s="31"/>
      <c r="D1183" s="31"/>
    </row>
    <row r="1184" spans="2:4" hidden="1" x14ac:dyDescent="0.25">
      <c r="B1184" s="31"/>
      <c r="C1184" s="31"/>
      <c r="D1184" s="31"/>
    </row>
    <row r="1185" spans="2:4" hidden="1" x14ac:dyDescent="0.25">
      <c r="B1185" s="31"/>
      <c r="C1185" s="31"/>
      <c r="D1185" s="31"/>
    </row>
    <row r="1186" spans="2:4" hidden="1" x14ac:dyDescent="0.25">
      <c r="B1186" s="31"/>
      <c r="C1186" s="31"/>
      <c r="D1186" s="31"/>
    </row>
    <row r="1187" spans="2:4" hidden="1" x14ac:dyDescent="0.25">
      <c r="B1187" s="31"/>
      <c r="C1187" s="31"/>
      <c r="D1187" s="31"/>
    </row>
    <row r="1188" spans="2:4" hidden="1" x14ac:dyDescent="0.25">
      <c r="B1188" s="31"/>
      <c r="C1188" s="31"/>
      <c r="D1188" s="31"/>
    </row>
    <row r="1189" spans="2:4" hidden="1" x14ac:dyDescent="0.25">
      <c r="B1189" s="31"/>
      <c r="C1189" s="31"/>
      <c r="D1189" s="31"/>
    </row>
    <row r="1190" spans="2:4" hidden="1" x14ac:dyDescent="0.25">
      <c r="B1190" s="31"/>
      <c r="C1190" s="31"/>
      <c r="D1190" s="31"/>
    </row>
    <row r="1191" spans="2:4" hidden="1" x14ac:dyDescent="0.25">
      <c r="B1191" s="31"/>
      <c r="C1191" s="31"/>
      <c r="D1191" s="31"/>
    </row>
    <row r="1192" spans="2:4" hidden="1" x14ac:dyDescent="0.25">
      <c r="B1192" s="31"/>
      <c r="C1192" s="31"/>
      <c r="D1192" s="31"/>
    </row>
    <row r="1193" spans="2:4" hidden="1" x14ac:dyDescent="0.25">
      <c r="B1193" s="31"/>
      <c r="C1193" s="31"/>
      <c r="D1193" s="31"/>
    </row>
    <row r="1194" spans="2:4" hidden="1" x14ac:dyDescent="0.25">
      <c r="B1194" s="31"/>
      <c r="C1194" s="31"/>
      <c r="D1194" s="31"/>
    </row>
    <row r="1195" spans="2:4" hidden="1" x14ac:dyDescent="0.25">
      <c r="B1195" s="31"/>
      <c r="C1195" s="31"/>
      <c r="D1195" s="31"/>
    </row>
    <row r="1196" spans="2:4" hidden="1" x14ac:dyDescent="0.25">
      <c r="B1196" s="31"/>
      <c r="C1196" s="31"/>
      <c r="D1196" s="31"/>
    </row>
    <row r="1197" spans="2:4" hidden="1" x14ac:dyDescent="0.25">
      <c r="B1197" s="31"/>
      <c r="C1197" s="31"/>
      <c r="D1197" s="31"/>
    </row>
    <row r="1198" spans="2:4" hidden="1" x14ac:dyDescent="0.25">
      <c r="B1198" s="31"/>
      <c r="C1198" s="31"/>
      <c r="D1198" s="31"/>
    </row>
    <row r="1199" spans="2:4" hidden="1" x14ac:dyDescent="0.25">
      <c r="B1199" s="31"/>
      <c r="C1199" s="31"/>
      <c r="D1199" s="31"/>
    </row>
    <row r="1200" spans="2:4" hidden="1" x14ac:dyDescent="0.25">
      <c r="B1200" s="31"/>
      <c r="C1200" s="31"/>
      <c r="D1200" s="31"/>
    </row>
    <row r="1201" spans="2:4" hidden="1" x14ac:dyDescent="0.25">
      <c r="B1201" s="31"/>
      <c r="C1201" s="31"/>
      <c r="D1201" s="31"/>
    </row>
    <row r="1202" spans="2:4" hidden="1" x14ac:dyDescent="0.25">
      <c r="B1202" s="31"/>
      <c r="C1202" s="31"/>
      <c r="D1202" s="3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0"/>
  <sheetViews>
    <sheetView showGridLines="0" workbookViewId="0"/>
  </sheetViews>
  <sheetFormatPr defaultColWidth="0" defaultRowHeight="15" zeroHeight="1" x14ac:dyDescent="0.25"/>
  <cols>
    <col min="1" max="1" width="3.7109375" customWidth="1"/>
    <col min="2" max="2" width="31.7109375" bestFit="1" customWidth="1"/>
    <col min="3" max="3" width="73.28515625" bestFit="1" customWidth="1"/>
    <col min="4" max="4" width="14.85546875" bestFit="1" customWidth="1"/>
    <col min="5" max="5" width="15.28515625" bestFit="1" customWidth="1"/>
    <col min="6" max="6" width="31.85546875" bestFit="1" customWidth="1"/>
    <col min="7" max="7" width="3.7109375" customWidth="1"/>
    <col min="8" max="16384" width="9.140625" hidden="1"/>
  </cols>
  <sheetData>
    <row r="1" spans="2:6" x14ac:dyDescent="0.25"/>
    <row r="2" spans="2:6" x14ac:dyDescent="0.25">
      <c r="B2" s="34" t="s">
        <v>1490</v>
      </c>
      <c r="C2" s="34" t="s">
        <v>1378</v>
      </c>
      <c r="D2" s="34" t="s">
        <v>297</v>
      </c>
      <c r="E2" s="34" t="s">
        <v>298</v>
      </c>
      <c r="F2" s="34" t="s">
        <v>1489</v>
      </c>
    </row>
    <row r="3" spans="2:6" x14ac:dyDescent="0.25">
      <c r="B3" s="32" t="s">
        <v>1421</v>
      </c>
      <c r="C3" s="32" t="s">
        <v>225</v>
      </c>
      <c r="D3" s="32" t="s">
        <v>293</v>
      </c>
      <c r="E3" s="32" t="s">
        <v>294</v>
      </c>
      <c r="F3" s="33" t="str">
        <f>+IF(VLOOKUP(C3,'1A_Aux3'!B:B,1,FALSE)=C3,"Verificado na análise dos ficheiros","Não verificado na análise dos ficheiros")</f>
        <v>Verificado na análise dos ficheiros</v>
      </c>
    </row>
    <row r="4" spans="2:6" x14ac:dyDescent="0.25">
      <c r="B4" s="32" t="s">
        <v>1396</v>
      </c>
      <c r="C4" s="32" t="s">
        <v>199</v>
      </c>
      <c r="D4" s="32" t="s">
        <v>293</v>
      </c>
      <c r="E4" s="32" t="s">
        <v>294</v>
      </c>
      <c r="F4" s="33" t="str">
        <f>+IF(VLOOKUP(C4,'1A_Aux3'!B:B,1,FALSE)=C4,"Verificado na análise dos ficheiros","Não verificado na análise dos ficheiros")</f>
        <v>Verificado na análise dos ficheiros</v>
      </c>
    </row>
    <row r="5" spans="2:6" x14ac:dyDescent="0.25">
      <c r="B5" s="32" t="s">
        <v>1427</v>
      </c>
      <c r="C5" s="32" t="s">
        <v>237</v>
      </c>
      <c r="D5" s="32" t="s">
        <v>293</v>
      </c>
      <c r="E5" s="32" t="s">
        <v>294</v>
      </c>
      <c r="F5" s="33" t="str">
        <f>+IF(VLOOKUP(C5,'1A_Aux3'!B:B,1,FALSE)=C5,"Verificado na análise dos ficheiros","Não verificado na análise dos ficheiros")</f>
        <v>Verificado na análise dos ficheiros</v>
      </c>
    </row>
    <row r="6" spans="2:6" x14ac:dyDescent="0.25">
      <c r="B6" s="32" t="s">
        <v>1452</v>
      </c>
      <c r="C6" s="32" t="s">
        <v>270</v>
      </c>
      <c r="D6" s="32" t="s">
        <v>293</v>
      </c>
      <c r="E6" s="32" t="s">
        <v>294</v>
      </c>
      <c r="F6" s="33" t="str">
        <f>+IF(VLOOKUP(C6,'1A_Aux3'!B:B,1,FALSE)=C6,"Verificado na análise dos ficheiros","Não verificado na análise dos ficheiros")</f>
        <v>Verificado na análise dos ficheiros</v>
      </c>
    </row>
    <row r="7" spans="2:6" x14ac:dyDescent="0.25">
      <c r="B7" s="32" t="s">
        <v>1457</v>
      </c>
      <c r="C7" s="32" t="s">
        <v>242</v>
      </c>
      <c r="D7" s="32" t="s">
        <v>293</v>
      </c>
      <c r="E7" s="32" t="s">
        <v>294</v>
      </c>
      <c r="F7" s="33" t="str">
        <f>+IF(VLOOKUP(C7,'1A_Aux3'!B:B,1,FALSE)=C7,"Verificado na análise dos ficheiros","Não verificado na análise dos ficheiros")</f>
        <v>Verificado na análise dos ficheiros</v>
      </c>
    </row>
    <row r="8" spans="2:6" x14ac:dyDescent="0.25">
      <c r="B8" s="32" t="s">
        <v>1482</v>
      </c>
      <c r="C8" s="32" t="s">
        <v>228</v>
      </c>
      <c r="D8" s="32" t="s">
        <v>293</v>
      </c>
      <c r="E8" s="32" t="s">
        <v>294</v>
      </c>
      <c r="F8" s="33" t="str">
        <f>+IF(VLOOKUP(C8,'1A_Aux3'!B:B,1,FALSE)=C8,"Verificado na análise dos ficheiros","Não verificado na análise dos ficheiros")</f>
        <v>Verificado na análise dos ficheiros</v>
      </c>
    </row>
    <row r="9" spans="2:6" x14ac:dyDescent="0.25">
      <c r="B9" s="32" t="s">
        <v>1437</v>
      </c>
      <c r="C9" s="32" t="s">
        <v>217</v>
      </c>
      <c r="D9" s="32" t="s">
        <v>293</v>
      </c>
      <c r="E9" s="32" t="s">
        <v>294</v>
      </c>
      <c r="F9" s="33" t="str">
        <f>+IF(VLOOKUP(C9,'1A_Aux3'!B:B,1,FALSE)=C9,"Verificado na análise dos ficheiros","Não verificado na análise dos ficheiros")</f>
        <v>Verificado na análise dos ficheiros</v>
      </c>
    </row>
    <row r="10" spans="2:6" x14ac:dyDescent="0.25">
      <c r="B10" s="32" t="s">
        <v>1407</v>
      </c>
      <c r="C10" s="32" t="s">
        <v>280</v>
      </c>
      <c r="D10" s="32" t="s">
        <v>293</v>
      </c>
      <c r="E10" s="32" t="s">
        <v>294</v>
      </c>
      <c r="F10" s="33" t="str">
        <f>+IF(VLOOKUP(C10,'1A_Aux3'!B:B,1,FALSE)=C10,"Verificado na análise dos ficheiros","Não verificado na análise dos ficheiros")</f>
        <v>Verificado na análise dos ficheiros</v>
      </c>
    </row>
    <row r="11" spans="2:6" x14ac:dyDescent="0.25">
      <c r="B11" s="32" t="s">
        <v>1384</v>
      </c>
      <c r="C11" s="32" t="s">
        <v>264</v>
      </c>
      <c r="D11" s="32" t="s">
        <v>293</v>
      </c>
      <c r="E11" s="32" t="s">
        <v>294</v>
      </c>
      <c r="F11" s="33" t="str">
        <f>+IF(VLOOKUP(C11,'1A_Aux3'!B:B,1,FALSE)=C11,"Verificado na análise dos ficheiros","Não verificado na análise dos ficheiros")</f>
        <v>Verificado na análise dos ficheiros</v>
      </c>
    </row>
    <row r="12" spans="2:6" x14ac:dyDescent="0.25">
      <c r="B12" s="32" t="s">
        <v>1419</v>
      </c>
      <c r="C12" s="32" t="s">
        <v>240</v>
      </c>
      <c r="D12" s="32" t="s">
        <v>293</v>
      </c>
      <c r="E12" s="32" t="s">
        <v>294</v>
      </c>
      <c r="F12" s="33" t="str">
        <f>+IF(VLOOKUP(C12,'1A_Aux3'!B:B,1,FALSE)=C12,"Verificado na análise dos ficheiros","Não verificado na análise dos ficheiros")</f>
        <v>Verificado na análise dos ficheiros</v>
      </c>
    </row>
    <row r="13" spans="2:6" x14ac:dyDescent="0.25">
      <c r="B13" s="32" t="s">
        <v>1395</v>
      </c>
      <c r="C13" s="32" t="s">
        <v>249</v>
      </c>
      <c r="D13" s="32" t="s">
        <v>293</v>
      </c>
      <c r="E13" s="32" t="s">
        <v>294</v>
      </c>
      <c r="F13" s="33" t="str">
        <f>+IF(VLOOKUP(C13,'1A_Aux3'!B:B,1,FALSE)=C13,"Verificado na análise dos ficheiros","Não verificado na análise dos ficheiros")</f>
        <v>Verificado na análise dos ficheiros</v>
      </c>
    </row>
    <row r="14" spans="2:6" x14ac:dyDescent="0.25">
      <c r="B14" s="32" t="s">
        <v>1434</v>
      </c>
      <c r="C14" s="32" t="s">
        <v>276</v>
      </c>
      <c r="D14" s="32" t="s">
        <v>293</v>
      </c>
      <c r="E14" s="32" t="s">
        <v>294</v>
      </c>
      <c r="F14" s="33" t="str">
        <f>+IF(VLOOKUP(C14,'1A_Aux3'!B:B,1,FALSE)=C14,"Verificado na análise dos ficheiros","Não verificado na análise dos ficheiros")</f>
        <v>Verificado na análise dos ficheiros</v>
      </c>
    </row>
    <row r="15" spans="2:6" x14ac:dyDescent="0.25">
      <c r="B15" s="32" t="s">
        <v>1475</v>
      </c>
      <c r="C15" s="32" t="s">
        <v>271</v>
      </c>
      <c r="D15" s="32" t="s">
        <v>293</v>
      </c>
      <c r="E15" s="32" t="s">
        <v>294</v>
      </c>
      <c r="F15" s="33" t="str">
        <f>+IF(VLOOKUP(C15,'1A_Aux3'!B:B,1,FALSE)=C15,"Verificado na análise dos ficheiros","Não verificado na análise dos ficheiros")</f>
        <v>Verificado na análise dos ficheiros</v>
      </c>
    </row>
    <row r="16" spans="2:6" x14ac:dyDescent="0.25">
      <c r="B16" s="32" t="s">
        <v>1487</v>
      </c>
      <c r="C16" s="32" t="s">
        <v>221</v>
      </c>
      <c r="D16" s="32" t="s">
        <v>293</v>
      </c>
      <c r="E16" s="32" t="s">
        <v>294</v>
      </c>
      <c r="F16" s="33" t="str">
        <f>+IF(VLOOKUP(C16,'1A_Aux3'!B:B,1,FALSE)=C16,"Verificado na análise dos ficheiros","Não verificado na análise dos ficheiros")</f>
        <v>Verificado na análise dos ficheiros</v>
      </c>
    </row>
    <row r="17" spans="2:6" x14ac:dyDescent="0.25">
      <c r="B17" s="32" t="s">
        <v>1383</v>
      </c>
      <c r="C17" s="32" t="s">
        <v>289</v>
      </c>
      <c r="D17" s="32" t="s">
        <v>293</v>
      </c>
      <c r="E17" s="32" t="s">
        <v>294</v>
      </c>
      <c r="F17" s="33" t="str">
        <f>+IF(VLOOKUP(C17,'1A_Aux3'!B:B,1,FALSE)=C17,"Verificado na análise dos ficheiros","Não verificado na análise dos ficheiros")</f>
        <v>Verificado na análise dos ficheiros</v>
      </c>
    </row>
    <row r="18" spans="2:6" x14ac:dyDescent="0.25">
      <c r="B18" s="32" t="s">
        <v>1423</v>
      </c>
      <c r="C18" s="32" t="s">
        <v>268</v>
      </c>
      <c r="D18" s="32" t="s">
        <v>293</v>
      </c>
      <c r="E18" s="32" t="s">
        <v>294</v>
      </c>
      <c r="F18" s="33" t="str">
        <f>+IF(VLOOKUP(C18,'1A_Aux3'!B:B,1,FALSE)=C18,"Verificado na análise dos ficheiros","Não verificado na análise dos ficheiros")</f>
        <v>Verificado na análise dos ficheiros</v>
      </c>
    </row>
    <row r="19" spans="2:6" x14ac:dyDescent="0.25">
      <c r="B19" s="32" t="s">
        <v>1400</v>
      </c>
      <c r="C19" s="32" t="s">
        <v>197</v>
      </c>
      <c r="D19" s="32" t="s">
        <v>293</v>
      </c>
      <c r="E19" s="32" t="s">
        <v>294</v>
      </c>
      <c r="F19" s="33" t="str">
        <f>+IF(VLOOKUP(C19,'1A_Aux3'!B:B,1,FALSE)=C19,"Verificado na análise dos ficheiros","Não verificado na análise dos ficheiros")</f>
        <v>Verificado na análise dos ficheiros</v>
      </c>
    </row>
    <row r="20" spans="2:6" x14ac:dyDescent="0.25">
      <c r="B20" s="32" t="s">
        <v>1465</v>
      </c>
      <c r="C20" s="32" t="s">
        <v>195</v>
      </c>
      <c r="D20" s="32" t="s">
        <v>293</v>
      </c>
      <c r="E20" s="32" t="s">
        <v>294</v>
      </c>
      <c r="F20" s="33" t="str">
        <f>+IF(VLOOKUP(C20,'1A_Aux3'!B:B,1,FALSE)=C20,"Verificado na análise dos ficheiros","Não verificado na análise dos ficheiros")</f>
        <v>Verificado na análise dos ficheiros</v>
      </c>
    </row>
    <row r="21" spans="2:6" x14ac:dyDescent="0.25">
      <c r="B21" s="32" t="s">
        <v>1426</v>
      </c>
      <c r="C21" s="32" t="s">
        <v>231</v>
      </c>
      <c r="D21" s="32" t="s">
        <v>293</v>
      </c>
      <c r="E21" s="32" t="s">
        <v>294</v>
      </c>
      <c r="F21" s="33" t="str">
        <f>+IF(VLOOKUP(C21,'1A_Aux3'!B:B,1,FALSE)=C21,"Verificado na análise dos ficheiros","Não verificado na análise dos ficheiros")</f>
        <v>Verificado na análise dos ficheiros</v>
      </c>
    </row>
    <row r="22" spans="2:6" x14ac:dyDescent="0.25">
      <c r="B22" s="32" t="s">
        <v>1478</v>
      </c>
      <c r="C22" s="32" t="s">
        <v>243</v>
      </c>
      <c r="D22" s="32" t="s">
        <v>292</v>
      </c>
      <c r="E22" s="32" t="s">
        <v>293</v>
      </c>
      <c r="F22" s="33" t="str">
        <f>+IF(VLOOKUP(C22,'1A_Aux3'!B:B,1,FALSE)=C22,"Verificado na análise dos ficheiros","Não verificado na análise dos ficheiros")</f>
        <v>Verificado na análise dos ficheiros</v>
      </c>
    </row>
    <row r="23" spans="2:6" x14ac:dyDescent="0.25">
      <c r="B23" s="32" t="s">
        <v>1392</v>
      </c>
      <c r="C23" s="32" t="s">
        <v>238</v>
      </c>
      <c r="D23" s="32" t="s">
        <v>292</v>
      </c>
      <c r="E23" s="32" t="s">
        <v>293</v>
      </c>
      <c r="F23" s="33" t="str">
        <f>+IF(VLOOKUP(C23,'1A_Aux3'!B:B,1,FALSE)=C23,"Verificado na análise dos ficheiros","Não verificado na análise dos ficheiros")</f>
        <v>Verificado na análise dos ficheiros</v>
      </c>
    </row>
    <row r="24" spans="2:6" x14ac:dyDescent="0.25">
      <c r="B24" s="32" t="s">
        <v>1422</v>
      </c>
      <c r="C24" s="32" t="s">
        <v>198</v>
      </c>
      <c r="D24" s="32" t="s">
        <v>292</v>
      </c>
      <c r="E24" s="32" t="s">
        <v>293</v>
      </c>
      <c r="F24" s="33" t="str">
        <f>+IF(VLOOKUP(C24,'1A_Aux3'!B:B,1,FALSE)=C24,"Verificado na análise dos ficheiros","Não verificado na análise dos ficheiros")</f>
        <v>Verificado na análise dos ficheiros</v>
      </c>
    </row>
    <row r="25" spans="2:6" x14ac:dyDescent="0.25">
      <c r="B25" s="32" t="s">
        <v>1443</v>
      </c>
      <c r="C25" s="32" t="s">
        <v>205</v>
      </c>
      <c r="D25" s="32" t="s">
        <v>292</v>
      </c>
      <c r="E25" s="32" t="s">
        <v>293</v>
      </c>
      <c r="F25" s="33" t="str">
        <f>+IF(VLOOKUP(C25,'1A_Aux3'!B:B,1,FALSE)=C25,"Verificado na análise dos ficheiros","Não verificado na análise dos ficheiros")</f>
        <v>Verificado na análise dos ficheiros</v>
      </c>
    </row>
    <row r="26" spans="2:6" x14ac:dyDescent="0.25">
      <c r="B26" s="32" t="s">
        <v>1456</v>
      </c>
      <c r="C26" s="32" t="s">
        <v>235</v>
      </c>
      <c r="D26" s="32" t="s">
        <v>292</v>
      </c>
      <c r="E26" s="32" t="s">
        <v>293</v>
      </c>
      <c r="F26" s="33" t="str">
        <f>+IF(VLOOKUP(C26,'1A_Aux3'!B:B,1,FALSE)=C26,"Verificado na análise dos ficheiros","Não verificado na análise dos ficheiros")</f>
        <v>Verificado na análise dos ficheiros</v>
      </c>
    </row>
    <row r="27" spans="2:6" x14ac:dyDescent="0.25">
      <c r="B27" s="32" t="s">
        <v>1398</v>
      </c>
      <c r="C27" s="32" t="s">
        <v>290</v>
      </c>
      <c r="D27" s="32" t="s">
        <v>292</v>
      </c>
      <c r="E27" s="32" t="s">
        <v>293</v>
      </c>
      <c r="F27" s="33" t="str">
        <f>+IF(VLOOKUP(C27,'1A_Aux3'!B:B,1,FALSE)=C27,"Verificado na análise dos ficheiros","Não verificado na análise dos ficheiros")</f>
        <v>Verificado na análise dos ficheiros</v>
      </c>
    </row>
    <row r="28" spans="2:6" x14ac:dyDescent="0.25">
      <c r="B28" s="32" t="s">
        <v>1391</v>
      </c>
      <c r="C28" s="32" t="s">
        <v>223</v>
      </c>
      <c r="D28" s="32" t="s">
        <v>292</v>
      </c>
      <c r="E28" s="32" t="s">
        <v>293</v>
      </c>
      <c r="F28" s="33" t="str">
        <f>+IF(VLOOKUP(C28,'1A_Aux3'!B:B,1,FALSE)=C28,"Verificado na análise dos ficheiros","Não verificado na análise dos ficheiros")</f>
        <v>Verificado na análise dos ficheiros</v>
      </c>
    </row>
    <row r="29" spans="2:6" x14ac:dyDescent="0.25">
      <c r="B29" s="32" t="s">
        <v>1420</v>
      </c>
      <c r="C29" s="32" t="s">
        <v>266</v>
      </c>
      <c r="D29" s="32" t="s">
        <v>292</v>
      </c>
      <c r="E29" s="32" t="s">
        <v>293</v>
      </c>
      <c r="F29" s="33" t="str">
        <f>+IF(VLOOKUP(C29,'1A_Aux3'!B:B,1,FALSE)=C29,"Verificado na análise dos ficheiros","Não verificado na análise dos ficheiros")</f>
        <v>Verificado na análise dos ficheiros</v>
      </c>
    </row>
    <row r="30" spans="2:6" x14ac:dyDescent="0.25">
      <c r="B30" s="32" t="s">
        <v>1439</v>
      </c>
      <c r="C30" s="32" t="s">
        <v>204</v>
      </c>
      <c r="D30" s="32" t="s">
        <v>292</v>
      </c>
      <c r="E30" s="32" t="s">
        <v>293</v>
      </c>
      <c r="F30" s="33" t="str">
        <f>+IF(VLOOKUP(C30,'1A_Aux3'!B:B,1,FALSE)=C30,"Verificado na análise dos ficheiros","Não verificado na análise dos ficheiros")</f>
        <v>Verificado na análise dos ficheiros</v>
      </c>
    </row>
    <row r="31" spans="2:6" x14ac:dyDescent="0.25">
      <c r="B31" s="32" t="s">
        <v>1386</v>
      </c>
      <c r="C31" s="32" t="s">
        <v>222</v>
      </c>
      <c r="D31" s="32" t="s">
        <v>292</v>
      </c>
      <c r="E31" s="32" t="s">
        <v>293</v>
      </c>
      <c r="F31" s="33" t="str">
        <f>+IF(VLOOKUP(C31,'1A_Aux3'!B:B,1,FALSE)=C31,"Verificado na análise dos ficheiros","Não verificado na análise dos ficheiros")</f>
        <v>Verificado na análise dos ficheiros</v>
      </c>
    </row>
    <row r="32" spans="2:6" x14ac:dyDescent="0.25">
      <c r="B32" s="32" t="s">
        <v>1447</v>
      </c>
      <c r="C32" s="32" t="s">
        <v>209</v>
      </c>
      <c r="D32" s="32" t="s">
        <v>292</v>
      </c>
      <c r="E32" s="32" t="s">
        <v>293</v>
      </c>
      <c r="F32" s="33" t="str">
        <f>+IF(VLOOKUP(C32,'1A_Aux3'!B:B,1,FALSE)=C32,"Verificado na análise dos ficheiros","Não verificado na análise dos ficheiros")</f>
        <v>Verificado na análise dos ficheiros</v>
      </c>
    </row>
    <row r="33" spans="2:6" x14ac:dyDescent="0.25">
      <c r="B33" s="32" t="s">
        <v>1485</v>
      </c>
      <c r="C33" s="32" t="s">
        <v>254</v>
      </c>
      <c r="D33" s="32" t="s">
        <v>292</v>
      </c>
      <c r="E33" s="32" t="s">
        <v>293</v>
      </c>
      <c r="F33" s="33" t="str">
        <f>+IF(VLOOKUP(C33,'1A_Aux3'!B:B,1,FALSE)=C33,"Verificado na análise dos ficheiros","Não verificado na análise dos ficheiros")</f>
        <v>Verificado na análise dos ficheiros</v>
      </c>
    </row>
    <row r="34" spans="2:6" x14ac:dyDescent="0.25">
      <c r="B34" s="32" t="s">
        <v>1479</v>
      </c>
      <c r="C34" s="32" t="s">
        <v>232</v>
      </c>
      <c r="D34" s="32" t="s">
        <v>292</v>
      </c>
      <c r="E34" s="32" t="s">
        <v>293</v>
      </c>
      <c r="F34" s="33" t="str">
        <f>+IF(VLOOKUP(C34,'1A_Aux3'!B:B,1,FALSE)=C34,"Verificado na análise dos ficheiros","Não verificado na análise dos ficheiros")</f>
        <v>Verificado na análise dos ficheiros</v>
      </c>
    </row>
    <row r="35" spans="2:6" x14ac:dyDescent="0.25">
      <c r="B35" s="32" t="s">
        <v>1425</v>
      </c>
      <c r="C35" s="32" t="s">
        <v>211</v>
      </c>
      <c r="D35" s="32" t="s">
        <v>292</v>
      </c>
      <c r="E35" s="32" t="s">
        <v>293</v>
      </c>
      <c r="F35" s="33" t="str">
        <f>+IF(VLOOKUP(C35,'1A_Aux3'!B:B,1,FALSE)=C35,"Verificado na análise dos ficheiros","Não verificado na análise dos ficheiros")</f>
        <v>Verificado na análise dos ficheiros</v>
      </c>
    </row>
    <row r="36" spans="2:6" x14ac:dyDescent="0.25">
      <c r="B36" s="32" t="s">
        <v>1397</v>
      </c>
      <c r="C36" s="32" t="s">
        <v>255</v>
      </c>
      <c r="D36" s="32" t="s">
        <v>292</v>
      </c>
      <c r="E36" s="32" t="s">
        <v>293</v>
      </c>
      <c r="F36" s="33" t="str">
        <f>+IF(VLOOKUP(C36,'1A_Aux3'!B:B,1,FALSE)=C36,"Verificado na análise dos ficheiros","Não verificado na análise dos ficheiros")</f>
        <v>Verificado na análise dos ficheiros</v>
      </c>
    </row>
    <row r="37" spans="2:6" x14ac:dyDescent="0.25">
      <c r="B37" s="32" t="s">
        <v>1472</v>
      </c>
      <c r="C37" s="32" t="s">
        <v>186</v>
      </c>
      <c r="D37" s="32" t="s">
        <v>292</v>
      </c>
      <c r="E37" s="32" t="s">
        <v>293</v>
      </c>
      <c r="F37" s="33" t="str">
        <f>+IF(VLOOKUP(C37,'1A_Aux3'!B:B,1,FALSE)=C37,"Verificado na análise dos ficheiros","Não verificado na análise dos ficheiros")</f>
        <v>Verificado na análise dos ficheiros</v>
      </c>
    </row>
    <row r="38" spans="2:6" x14ac:dyDescent="0.25">
      <c r="B38" s="32" t="s">
        <v>1486</v>
      </c>
      <c r="C38" s="32" t="s">
        <v>230</v>
      </c>
      <c r="D38" s="32" t="s">
        <v>292</v>
      </c>
      <c r="E38" s="32" t="s">
        <v>293</v>
      </c>
      <c r="F38" s="33" t="str">
        <f>+IF(VLOOKUP(C38,'1A_Aux3'!B:B,1,FALSE)=C38,"Verificado na análise dos ficheiros","Não verificado na análise dos ficheiros")</f>
        <v>Verificado na análise dos ficheiros</v>
      </c>
    </row>
    <row r="39" spans="2:6" x14ac:dyDescent="0.25">
      <c r="B39" s="32" t="s">
        <v>1430</v>
      </c>
      <c r="C39" s="32" t="s">
        <v>250</v>
      </c>
      <c r="D39" s="32" t="s">
        <v>292</v>
      </c>
      <c r="E39" s="32" t="s">
        <v>293</v>
      </c>
      <c r="F39" s="33" t="str">
        <f>+IF(VLOOKUP(C39,'1A_Aux3'!B:B,1,FALSE)=C39,"Verificado na análise dos ficheiros","Não verificado na análise dos ficheiros")</f>
        <v>Verificado na análise dos ficheiros</v>
      </c>
    </row>
    <row r="40" spans="2:6" x14ac:dyDescent="0.25">
      <c r="B40" s="32" t="s">
        <v>1449</v>
      </c>
      <c r="C40" s="32" t="s">
        <v>265</v>
      </c>
      <c r="D40" s="32" t="s">
        <v>292</v>
      </c>
      <c r="E40" s="32" t="s">
        <v>293</v>
      </c>
      <c r="F40" s="33" t="str">
        <f>+IF(VLOOKUP(C40,'1A_Aux3'!B:B,1,FALSE)=C40,"Verificado na análise dos ficheiros","Não verificado na análise dos ficheiros")</f>
        <v>Verificado na análise dos ficheiros</v>
      </c>
    </row>
    <row r="41" spans="2:6" x14ac:dyDescent="0.25">
      <c r="B41" s="32" t="s">
        <v>1388</v>
      </c>
      <c r="C41" s="32" t="s">
        <v>201</v>
      </c>
      <c r="D41" s="32" t="s">
        <v>292</v>
      </c>
      <c r="E41" s="32" t="s">
        <v>293</v>
      </c>
      <c r="F41" s="33" t="str">
        <f>+IF(VLOOKUP(C41,'1A_Aux3'!B:B,1,FALSE)=C41,"Verificado na análise dos ficheiros","Não verificado na análise dos ficheiros")</f>
        <v>Verificado na análise dos ficheiros</v>
      </c>
    </row>
    <row r="42" spans="2:6" x14ac:dyDescent="0.25">
      <c r="B42" s="32" t="s">
        <v>1406</v>
      </c>
      <c r="C42" s="32" t="s">
        <v>208</v>
      </c>
      <c r="D42" s="32" t="s">
        <v>292</v>
      </c>
      <c r="E42" s="32" t="s">
        <v>293</v>
      </c>
      <c r="F42" s="33" t="str">
        <f>+IF(VLOOKUP(C42,'1A_Aux3'!B:B,1,FALSE)=C42,"Verificado na análise dos ficheiros","Não verificado na análise dos ficheiros")</f>
        <v>Verificado na análise dos ficheiros</v>
      </c>
    </row>
    <row r="43" spans="2:6" x14ac:dyDescent="0.25">
      <c r="B43" s="32" t="s">
        <v>1413</v>
      </c>
      <c r="C43" s="32" t="s">
        <v>285</v>
      </c>
      <c r="D43" s="32" t="s">
        <v>292</v>
      </c>
      <c r="E43" s="32" t="s">
        <v>293</v>
      </c>
      <c r="F43" s="33" t="str">
        <f>+IF(VLOOKUP(C43,'1A_Aux3'!B:B,1,FALSE)=C43,"Verificado na análise dos ficheiros","Não verificado na análise dos ficheiros")</f>
        <v>Verificado na análise dos ficheiros</v>
      </c>
    </row>
    <row r="44" spans="2:6" x14ac:dyDescent="0.25">
      <c r="B44" s="32" t="s">
        <v>1418</v>
      </c>
      <c r="C44" s="32" t="s">
        <v>185</v>
      </c>
      <c r="D44" s="32" t="s">
        <v>292</v>
      </c>
      <c r="E44" s="32" t="s">
        <v>293</v>
      </c>
      <c r="F44" s="33" t="str">
        <f>+IF(VLOOKUP(C44,'1A_Aux3'!B:B,1,FALSE)=C44,"Verificado na análise dos ficheiros","Não verificado na análise dos ficheiros")</f>
        <v>Verificado na análise dos ficheiros</v>
      </c>
    </row>
    <row r="45" spans="2:6" x14ac:dyDescent="0.25">
      <c r="B45" s="32" t="s">
        <v>1428</v>
      </c>
      <c r="C45" s="32" t="s">
        <v>291</v>
      </c>
      <c r="D45" s="32" t="s">
        <v>292</v>
      </c>
      <c r="E45" s="32" t="s">
        <v>293</v>
      </c>
      <c r="F45" s="33" t="str">
        <f>+IF(VLOOKUP(C45,'1A_Aux3'!B:B,1,FALSE)=C45,"Verificado na análise dos ficheiros","Não verificado na análise dos ficheiros")</f>
        <v>Verificado na análise dos ficheiros</v>
      </c>
    </row>
    <row r="46" spans="2:6" x14ac:dyDescent="0.25">
      <c r="B46" s="32" t="s">
        <v>1393</v>
      </c>
      <c r="C46" s="32" t="s">
        <v>203</v>
      </c>
      <c r="D46" s="32" t="s">
        <v>292</v>
      </c>
      <c r="E46" s="32" t="s">
        <v>293</v>
      </c>
      <c r="F46" s="33" t="str">
        <f>+IF(VLOOKUP(C46,'1A_Aux3'!B:B,1,FALSE)=C46,"Verificado na análise dos ficheiros","Não verificado na análise dos ficheiros")</f>
        <v>Verificado na análise dos ficheiros</v>
      </c>
    </row>
    <row r="47" spans="2:6" x14ac:dyDescent="0.25">
      <c r="B47" s="32" t="s">
        <v>1403</v>
      </c>
      <c r="C47" s="32" t="s">
        <v>258</v>
      </c>
      <c r="D47" s="32" t="s">
        <v>292</v>
      </c>
      <c r="E47" s="32" t="s">
        <v>293</v>
      </c>
      <c r="F47" s="33" t="str">
        <f>+IF(VLOOKUP(C47,'1A_Aux3'!B:B,1,FALSE)=C47,"Verificado na análise dos ficheiros","Não verificado na análise dos ficheiros")</f>
        <v>Verificado na análise dos ficheiros</v>
      </c>
    </row>
    <row r="48" spans="2:6" x14ac:dyDescent="0.25">
      <c r="B48" s="32" t="s">
        <v>1469</v>
      </c>
      <c r="C48" s="32" t="s">
        <v>252</v>
      </c>
      <c r="D48" s="32" t="s">
        <v>292</v>
      </c>
      <c r="E48" s="32" t="s">
        <v>293</v>
      </c>
      <c r="F48" s="33" t="str">
        <f>+IF(VLOOKUP(C48,'1A_Aux3'!B:B,1,FALSE)=C48,"Verificado na análise dos ficheiros","Não verificado na análise dos ficheiros")</f>
        <v>Verificado na análise dos ficheiros</v>
      </c>
    </row>
    <row r="49" spans="2:6" x14ac:dyDescent="0.25">
      <c r="B49" s="32" t="s">
        <v>1412</v>
      </c>
      <c r="C49" s="32" t="s">
        <v>259</v>
      </c>
      <c r="D49" s="32" t="s">
        <v>292</v>
      </c>
      <c r="E49" s="32" t="s">
        <v>293</v>
      </c>
      <c r="F49" s="33" t="str">
        <f>+IF(VLOOKUP(C49,'1A_Aux3'!B:B,1,FALSE)=C49,"Verificado na análise dos ficheiros","Não verificado na análise dos ficheiros")</f>
        <v>Verificado na análise dos ficheiros</v>
      </c>
    </row>
    <row r="50" spans="2:6" x14ac:dyDescent="0.25">
      <c r="B50" s="32" t="s">
        <v>1445</v>
      </c>
      <c r="C50" s="32" t="s">
        <v>248</v>
      </c>
      <c r="D50" s="32" t="s">
        <v>292</v>
      </c>
      <c r="E50" s="32" t="s">
        <v>293</v>
      </c>
      <c r="F50" s="33" t="str">
        <f>+IF(VLOOKUP(C50,'1A_Aux3'!B:B,1,FALSE)=C50,"Verificado na análise dos ficheiros","Não verificado na análise dos ficheiros")</f>
        <v>Verificado na análise dos ficheiros</v>
      </c>
    </row>
    <row r="51" spans="2:6" x14ac:dyDescent="0.25">
      <c r="B51" s="32" t="s">
        <v>1461</v>
      </c>
      <c r="C51" s="32" t="s">
        <v>279</v>
      </c>
      <c r="D51" s="32" t="s">
        <v>292</v>
      </c>
      <c r="E51" s="32" t="s">
        <v>293</v>
      </c>
      <c r="F51" s="33" t="str">
        <f>+IF(VLOOKUP(C51,'1A_Aux3'!B:B,1,FALSE)=C51,"Verificado na análise dos ficheiros","Não verificado na análise dos ficheiros")</f>
        <v>Verificado na análise dos ficheiros</v>
      </c>
    </row>
    <row r="52" spans="2:6" x14ac:dyDescent="0.25">
      <c r="B52" s="32" t="s">
        <v>1442</v>
      </c>
      <c r="C52" s="32" t="s">
        <v>189</v>
      </c>
      <c r="D52" s="32" t="s">
        <v>292</v>
      </c>
      <c r="E52" s="32" t="s">
        <v>293</v>
      </c>
      <c r="F52" s="33" t="str">
        <f>+IF(VLOOKUP(C52,'1A_Aux3'!B:B,1,FALSE)=C52,"Verificado na análise dos ficheiros","Não verificado na análise dos ficheiros")</f>
        <v>Verificado na análise dos ficheiros</v>
      </c>
    </row>
    <row r="53" spans="2:6" x14ac:dyDescent="0.25">
      <c r="B53" s="32" t="s">
        <v>1444</v>
      </c>
      <c r="C53" s="32" t="s">
        <v>184</v>
      </c>
      <c r="D53" s="32" t="s">
        <v>292</v>
      </c>
      <c r="E53" s="32" t="s">
        <v>293</v>
      </c>
      <c r="F53" s="33" t="str">
        <f>+IF(VLOOKUP(C53,'1A_Aux3'!B:B,1,FALSE)=C53,"Verificado na análise dos ficheiros","Não verificado na análise dos ficheiros")</f>
        <v>Verificado na análise dos ficheiros</v>
      </c>
    </row>
    <row r="54" spans="2:6" x14ac:dyDescent="0.25">
      <c r="B54" s="32" t="s">
        <v>1474</v>
      </c>
      <c r="C54" s="32" t="s">
        <v>239</v>
      </c>
      <c r="D54" s="32" t="s">
        <v>292</v>
      </c>
      <c r="E54" s="32" t="s">
        <v>293</v>
      </c>
      <c r="F54" s="33" t="str">
        <f>+IF(VLOOKUP(C54,'1A_Aux3'!B:B,1,FALSE)=C54,"Verificado na análise dos ficheiros","Não verificado na análise dos ficheiros")</f>
        <v>Verificado na análise dos ficheiros</v>
      </c>
    </row>
    <row r="55" spans="2:6" x14ac:dyDescent="0.25">
      <c r="B55" s="32" t="s">
        <v>1417</v>
      </c>
      <c r="C55" s="32" t="s">
        <v>214</v>
      </c>
      <c r="D55" s="32" t="s">
        <v>292</v>
      </c>
      <c r="E55" s="32" t="s">
        <v>293</v>
      </c>
      <c r="F55" s="33" t="str">
        <f>+IF(VLOOKUP(C55,'1A_Aux3'!B:B,1,FALSE)=C55,"Verificado na análise dos ficheiros","Não verificado na análise dos ficheiros")</f>
        <v>Verificado na análise dos ficheiros</v>
      </c>
    </row>
    <row r="56" spans="2:6" x14ac:dyDescent="0.25">
      <c r="B56" s="32" t="s">
        <v>1484</v>
      </c>
      <c r="C56" s="32" t="s">
        <v>246</v>
      </c>
      <c r="D56" s="32" t="s">
        <v>292</v>
      </c>
      <c r="E56" s="32" t="s">
        <v>293</v>
      </c>
      <c r="F56" s="33" t="str">
        <f>+IF(VLOOKUP(C56,'1A_Aux3'!B:B,1,FALSE)=C56,"Verificado na análise dos ficheiros","Não verificado na análise dos ficheiros")</f>
        <v>Verificado na análise dos ficheiros</v>
      </c>
    </row>
    <row r="57" spans="2:6" x14ac:dyDescent="0.25">
      <c r="B57" s="32" t="s">
        <v>1387</v>
      </c>
      <c r="C57" s="32" t="s">
        <v>245</v>
      </c>
      <c r="D57" s="32" t="s">
        <v>292</v>
      </c>
      <c r="E57" s="32" t="s">
        <v>293</v>
      </c>
      <c r="F57" s="33" t="str">
        <f>+IF(VLOOKUP(C57,'1A_Aux3'!B:B,1,FALSE)=C57,"Verificado na análise dos ficheiros","Não verificado na análise dos ficheiros")</f>
        <v>Verificado na análise dos ficheiros</v>
      </c>
    </row>
    <row r="58" spans="2:6" x14ac:dyDescent="0.25">
      <c r="B58" s="32" t="s">
        <v>1411</v>
      </c>
      <c r="C58" s="32" t="s">
        <v>187</v>
      </c>
      <c r="D58" s="32" t="s">
        <v>292</v>
      </c>
      <c r="E58" s="32" t="s">
        <v>293</v>
      </c>
      <c r="F58" s="33" t="str">
        <f>+IF(VLOOKUP(C58,'1A_Aux3'!B:B,1,FALSE)=C58,"Verificado na análise dos ficheiros","Não verificado na análise dos ficheiros")</f>
        <v>Verificado na análise dos ficheiros</v>
      </c>
    </row>
    <row r="59" spans="2:6" x14ac:dyDescent="0.25">
      <c r="B59" s="32" t="s">
        <v>1460</v>
      </c>
      <c r="C59" s="32" t="s">
        <v>224</v>
      </c>
      <c r="D59" s="32" t="s">
        <v>292</v>
      </c>
      <c r="E59" s="32" t="s">
        <v>293</v>
      </c>
      <c r="F59" s="33" t="str">
        <f>+IF(VLOOKUP(C59,'1A_Aux3'!B:B,1,FALSE)=C59,"Verificado na análise dos ficheiros","Não verificado na análise dos ficheiros")</f>
        <v>Verificado na análise dos ficheiros</v>
      </c>
    </row>
    <row r="60" spans="2:6" x14ac:dyDescent="0.25">
      <c r="B60" s="32" t="s">
        <v>1464</v>
      </c>
      <c r="C60" s="32" t="s">
        <v>257</v>
      </c>
      <c r="D60" s="32" t="s">
        <v>292</v>
      </c>
      <c r="E60" s="32" t="s">
        <v>293</v>
      </c>
      <c r="F60" s="33" t="str">
        <f>+IF(VLOOKUP(C60,'1A_Aux3'!B:B,1,FALSE)=C60,"Verificado na análise dos ficheiros","Não verificado na análise dos ficheiros")</f>
        <v>Verificado na análise dos ficheiros</v>
      </c>
    </row>
    <row r="61" spans="2:6" x14ac:dyDescent="0.25">
      <c r="B61" s="32" t="s">
        <v>1416</v>
      </c>
      <c r="C61" s="32" t="s">
        <v>241</v>
      </c>
      <c r="D61" s="32" t="s">
        <v>292</v>
      </c>
      <c r="E61" s="32" t="s">
        <v>293</v>
      </c>
      <c r="F61" s="33" t="str">
        <f>+IF(VLOOKUP(C61,'1A_Aux3'!B:B,1,FALSE)=C61,"Verificado na análise dos ficheiros","Não verificado na análise dos ficheiros")</f>
        <v>Verificado na análise dos ficheiros</v>
      </c>
    </row>
    <row r="62" spans="2:6" x14ac:dyDescent="0.25">
      <c r="B62" s="32" t="s">
        <v>1408</v>
      </c>
      <c r="C62" s="32" t="s">
        <v>210</v>
      </c>
      <c r="D62" s="32" t="s">
        <v>292</v>
      </c>
      <c r="E62" s="32" t="s">
        <v>293</v>
      </c>
      <c r="F62" s="33" t="str">
        <f>+IF(VLOOKUP(C62,'1A_Aux3'!B:B,1,FALSE)=C62,"Verificado na análise dos ficheiros","Não verificado na análise dos ficheiros")</f>
        <v>Verificado na análise dos ficheiros</v>
      </c>
    </row>
    <row r="63" spans="2:6" x14ac:dyDescent="0.25">
      <c r="B63" s="32" t="s">
        <v>1401</v>
      </c>
      <c r="C63" s="32" t="s">
        <v>212</v>
      </c>
      <c r="D63" s="32" t="s">
        <v>292</v>
      </c>
      <c r="E63" s="32" t="s">
        <v>293</v>
      </c>
      <c r="F63" s="33" t="str">
        <f>+IF(VLOOKUP(C63,'1A_Aux3'!B:B,1,FALSE)=C63,"Verificado na análise dos ficheiros","Não verificado na análise dos ficheiros")</f>
        <v>Verificado na análise dos ficheiros</v>
      </c>
    </row>
    <row r="64" spans="2:6" x14ac:dyDescent="0.25">
      <c r="B64" s="32" t="s">
        <v>1441</v>
      </c>
      <c r="C64" s="32" t="s">
        <v>277</v>
      </c>
      <c r="D64" s="32" t="s">
        <v>292</v>
      </c>
      <c r="E64" s="32" t="s">
        <v>293</v>
      </c>
      <c r="F64" s="33" t="str">
        <f>+IF(VLOOKUP(C64,'1A_Aux3'!B:B,1,FALSE)=C64,"Verificado na análise dos ficheiros","Não verificado na análise dos ficheiros")</f>
        <v>Verificado na análise dos ficheiros</v>
      </c>
    </row>
    <row r="65" spans="2:6" x14ac:dyDescent="0.25">
      <c r="B65" s="32" t="s">
        <v>1438</v>
      </c>
      <c r="C65" s="32" t="s">
        <v>229</v>
      </c>
      <c r="D65" s="32" t="s">
        <v>292</v>
      </c>
      <c r="E65" s="32" t="s">
        <v>293</v>
      </c>
      <c r="F65" s="33" t="str">
        <f>+IF(VLOOKUP(C65,'1A_Aux3'!B:B,1,FALSE)=C65,"Verificado na análise dos ficheiros","Não verificado na análise dos ficheiros")</f>
        <v>Verificado na análise dos ficheiros</v>
      </c>
    </row>
    <row r="66" spans="2:6" x14ac:dyDescent="0.25">
      <c r="B66" s="32" t="s">
        <v>1462</v>
      </c>
      <c r="C66" s="32" t="s">
        <v>282</v>
      </c>
      <c r="D66" s="32" t="s">
        <v>292</v>
      </c>
      <c r="E66" s="32" t="s">
        <v>293</v>
      </c>
      <c r="F66" s="33" t="str">
        <f>+IF(VLOOKUP(C66,'1A_Aux3'!B:B,1,FALSE)=C66,"Verificado na análise dos ficheiros","Não verificado na análise dos ficheiros")</f>
        <v>Verificado na análise dos ficheiros</v>
      </c>
    </row>
    <row r="67" spans="2:6" x14ac:dyDescent="0.25">
      <c r="B67" s="32" t="s">
        <v>1440</v>
      </c>
      <c r="C67" s="32" t="s">
        <v>200</v>
      </c>
      <c r="D67" s="32" t="s">
        <v>292</v>
      </c>
      <c r="E67" s="32" t="s">
        <v>293</v>
      </c>
      <c r="F67" s="33" t="str">
        <f>+IF(VLOOKUP(C67,'1A_Aux3'!B:B,1,FALSE)=C67,"Verificado na análise dos ficheiros","Não verificado na análise dos ficheiros")</f>
        <v>Verificado na análise dos ficheiros</v>
      </c>
    </row>
    <row r="68" spans="2:6" x14ac:dyDescent="0.25">
      <c r="B68" s="32" t="s">
        <v>1404</v>
      </c>
      <c r="C68" s="32" t="s">
        <v>219</v>
      </c>
      <c r="D68" s="32" t="s">
        <v>292</v>
      </c>
      <c r="E68" s="32" t="s">
        <v>293</v>
      </c>
      <c r="F68" s="33" t="str">
        <f>+IF(VLOOKUP(C68,'1A_Aux3'!B:B,1,FALSE)=C68,"Verificado na análise dos ficheiros","Não verificado na análise dos ficheiros")</f>
        <v>Verificado na análise dos ficheiros</v>
      </c>
    </row>
    <row r="69" spans="2:6" x14ac:dyDescent="0.25">
      <c r="B69" s="32" t="s">
        <v>1399</v>
      </c>
      <c r="C69" s="32" t="s">
        <v>251</v>
      </c>
      <c r="D69" s="32" t="s">
        <v>292</v>
      </c>
      <c r="E69" s="32" t="s">
        <v>293</v>
      </c>
      <c r="F69" s="33" t="str">
        <f>+IF(VLOOKUP(C69,'1A_Aux3'!B:B,1,FALSE)=C69,"Verificado na análise dos ficheiros","Não verificado na análise dos ficheiros")</f>
        <v>Verificado na análise dos ficheiros</v>
      </c>
    </row>
    <row r="70" spans="2:6" x14ac:dyDescent="0.25">
      <c r="B70" s="32" t="s">
        <v>1429</v>
      </c>
      <c r="C70" s="32" t="s">
        <v>262</v>
      </c>
      <c r="D70" s="32" t="s">
        <v>292</v>
      </c>
      <c r="E70" s="32" t="s">
        <v>293</v>
      </c>
      <c r="F70" s="33" t="str">
        <f>+IF(VLOOKUP(C70,'1A_Aux3'!B:B,1,FALSE)=C70,"Verificado na análise dos ficheiros","Não verificado na análise dos ficheiros")</f>
        <v>Verificado na análise dos ficheiros</v>
      </c>
    </row>
    <row r="71" spans="2:6" x14ac:dyDescent="0.25">
      <c r="B71" s="32" t="s">
        <v>1435</v>
      </c>
      <c r="C71" s="32" t="s">
        <v>253</v>
      </c>
      <c r="D71" s="32" t="s">
        <v>292</v>
      </c>
      <c r="E71" s="32" t="s">
        <v>293</v>
      </c>
      <c r="F71" s="33" t="str">
        <f>+IF(VLOOKUP(C71,'1A_Aux3'!B:B,1,FALSE)=C71,"Verificado na análise dos ficheiros","Não verificado na análise dos ficheiros")</f>
        <v>Verificado na análise dos ficheiros</v>
      </c>
    </row>
    <row r="72" spans="2:6" x14ac:dyDescent="0.25">
      <c r="B72" s="32" t="s">
        <v>1415</v>
      </c>
      <c r="C72" s="32" t="s">
        <v>244</v>
      </c>
      <c r="D72" s="32" t="s">
        <v>292</v>
      </c>
      <c r="E72" s="32" t="s">
        <v>293</v>
      </c>
      <c r="F72" s="33" t="str">
        <f>+IF(VLOOKUP(C72,'1A_Aux3'!B:B,1,FALSE)=C72,"Verificado na análise dos ficheiros","Não verificado na análise dos ficheiros")</f>
        <v>Verificado na análise dos ficheiros</v>
      </c>
    </row>
    <row r="73" spans="2:6" x14ac:dyDescent="0.25">
      <c r="B73" s="32" t="s">
        <v>1466</v>
      </c>
      <c r="C73" s="32" t="s">
        <v>206</v>
      </c>
      <c r="D73" s="32" t="s">
        <v>292</v>
      </c>
      <c r="E73" s="32" t="s">
        <v>293</v>
      </c>
      <c r="F73" s="33" t="str">
        <f>+IF(VLOOKUP(C73,'1A_Aux3'!B:B,1,FALSE)=C73,"Verificado na análise dos ficheiros","Não verificado na análise dos ficheiros")</f>
        <v>Verificado na análise dos ficheiros</v>
      </c>
    </row>
    <row r="74" spans="2:6" x14ac:dyDescent="0.25">
      <c r="B74" s="32" t="s">
        <v>1476</v>
      </c>
      <c r="C74" s="32" t="s">
        <v>193</v>
      </c>
      <c r="D74" s="32" t="s">
        <v>292</v>
      </c>
      <c r="E74" s="32" t="s">
        <v>293</v>
      </c>
      <c r="F74" s="33" t="str">
        <f>+IF(VLOOKUP(C74,'1A_Aux3'!B:B,1,FALSE)=C74,"Verificado na análise dos ficheiros","Não verificado na análise dos ficheiros")</f>
        <v>Verificado na análise dos ficheiros</v>
      </c>
    </row>
    <row r="75" spans="2:6" x14ac:dyDescent="0.25">
      <c r="B75" s="32" t="s">
        <v>1473</v>
      </c>
      <c r="C75" s="32" t="s">
        <v>202</v>
      </c>
      <c r="D75" s="32" t="s">
        <v>292</v>
      </c>
      <c r="E75" s="32" t="s">
        <v>293</v>
      </c>
      <c r="F75" s="33" t="str">
        <f>+IF(VLOOKUP(C75,'1A_Aux3'!B:B,1,FALSE)=C75,"Verificado na análise dos ficheiros","Não verificado na análise dos ficheiros")</f>
        <v>Verificado na análise dos ficheiros</v>
      </c>
    </row>
    <row r="76" spans="2:6" x14ac:dyDescent="0.25">
      <c r="B76" s="32" t="s">
        <v>1453</v>
      </c>
      <c r="C76" s="32" t="s">
        <v>260</v>
      </c>
      <c r="D76" s="32" t="s">
        <v>292</v>
      </c>
      <c r="E76" s="32" t="s">
        <v>293</v>
      </c>
      <c r="F76" s="33" t="str">
        <f>+IF(VLOOKUP(C76,'1A_Aux3'!B:B,1,FALSE)=C76,"Verificado na análise dos ficheiros","Não verificado na análise dos ficheiros")</f>
        <v>Verificado na análise dos ficheiros</v>
      </c>
    </row>
    <row r="77" spans="2:6" x14ac:dyDescent="0.25">
      <c r="B77" s="32" t="s">
        <v>1431</v>
      </c>
      <c r="C77" s="32" t="s">
        <v>261</v>
      </c>
      <c r="D77" s="32" t="s">
        <v>292</v>
      </c>
      <c r="E77" s="32" t="s">
        <v>293</v>
      </c>
      <c r="F77" s="33" t="str">
        <f>+IF(VLOOKUP(C77,'1A_Aux3'!B:B,1,FALSE)=C77,"Verificado na análise dos ficheiros","Não verificado na análise dos ficheiros")</f>
        <v>Verificado na análise dos ficheiros</v>
      </c>
    </row>
    <row r="78" spans="2:6" x14ac:dyDescent="0.25">
      <c r="B78" s="32" t="s">
        <v>1448</v>
      </c>
      <c r="C78" s="32" t="s">
        <v>281</v>
      </c>
      <c r="D78" s="32" t="s">
        <v>292</v>
      </c>
      <c r="E78" s="32" t="s">
        <v>293</v>
      </c>
      <c r="F78" s="33" t="str">
        <f>+IF(VLOOKUP(C78,'1A_Aux3'!B:B,1,FALSE)=C78,"Verificado na análise dos ficheiros","Não verificado na análise dos ficheiros")</f>
        <v>Verificado na análise dos ficheiros</v>
      </c>
    </row>
    <row r="79" spans="2:6" x14ac:dyDescent="0.25">
      <c r="B79" s="32" t="s">
        <v>1459</v>
      </c>
      <c r="C79" s="32" t="s">
        <v>207</v>
      </c>
      <c r="D79" s="32" t="s">
        <v>292</v>
      </c>
      <c r="E79" s="32" t="s">
        <v>293</v>
      </c>
      <c r="F79" s="33" t="str">
        <f>+IF(VLOOKUP(C79,'1A_Aux3'!B:B,1,FALSE)=C79,"Verificado na análise dos ficheiros","Não verificado na análise dos ficheiros")</f>
        <v>Verificado na análise dos ficheiros</v>
      </c>
    </row>
    <row r="80" spans="2:6" x14ac:dyDescent="0.25">
      <c r="B80" s="32" t="s">
        <v>1389</v>
      </c>
      <c r="C80" s="32" t="s">
        <v>286</v>
      </c>
      <c r="D80" s="32" t="s">
        <v>292</v>
      </c>
      <c r="E80" s="32" t="s">
        <v>293</v>
      </c>
      <c r="F80" s="33" t="str">
        <f>+IF(VLOOKUP(C80,'1A_Aux3'!B:B,1,FALSE)=C80,"Verificado na análise dos ficheiros","Não verificado na análise dos ficheiros")</f>
        <v>Verificado na análise dos ficheiros</v>
      </c>
    </row>
    <row r="81" spans="2:6" x14ac:dyDescent="0.25">
      <c r="B81" s="32" t="s">
        <v>1410</v>
      </c>
      <c r="C81" s="32" t="s">
        <v>287</v>
      </c>
      <c r="D81" s="32" t="s">
        <v>292</v>
      </c>
      <c r="E81" s="32" t="s">
        <v>293</v>
      </c>
      <c r="F81" s="33" t="str">
        <f>+IF(VLOOKUP(C81,'1A_Aux3'!B:B,1,FALSE)=C81,"Verificado na análise dos ficheiros","Não verificado na análise dos ficheiros")</f>
        <v>Verificado na análise dos ficheiros</v>
      </c>
    </row>
    <row r="82" spans="2:6" x14ac:dyDescent="0.25">
      <c r="B82" s="32" t="s">
        <v>1390</v>
      </c>
      <c r="C82" s="32" t="s">
        <v>284</v>
      </c>
      <c r="D82" s="32" t="s">
        <v>292</v>
      </c>
      <c r="E82" s="32" t="s">
        <v>293</v>
      </c>
      <c r="F82" s="33" t="str">
        <f>+IF(VLOOKUP(C82,'1A_Aux3'!B:B,1,FALSE)=C82,"Verificado na análise dos ficheiros","Não verificado na análise dos ficheiros")</f>
        <v>Verificado na análise dos ficheiros</v>
      </c>
    </row>
    <row r="83" spans="2:6" x14ac:dyDescent="0.25">
      <c r="B83" s="32" t="s">
        <v>1446</v>
      </c>
      <c r="C83" s="32" t="s">
        <v>226</v>
      </c>
      <c r="D83" s="32" t="s">
        <v>292</v>
      </c>
      <c r="E83" s="32" t="s">
        <v>293</v>
      </c>
      <c r="F83" s="33" t="str">
        <f>+IF(VLOOKUP(C83,'1A_Aux3'!B:B,1,FALSE)=C83,"Verificado na análise dos ficheiros","Não verificado na análise dos ficheiros")</f>
        <v>Verificado na análise dos ficheiros</v>
      </c>
    </row>
    <row r="84" spans="2:6" x14ac:dyDescent="0.25">
      <c r="B84" s="32" t="s">
        <v>1405</v>
      </c>
      <c r="C84" s="32" t="s">
        <v>216</v>
      </c>
      <c r="D84" s="32" t="s">
        <v>292</v>
      </c>
      <c r="E84" s="32" t="s">
        <v>293</v>
      </c>
      <c r="F84" s="33" t="str">
        <f>+IF(VLOOKUP(C84,'1A_Aux3'!B:B,1,FALSE)=C84,"Verificado na análise dos ficheiros","Não verificado na análise dos ficheiros")</f>
        <v>Verificado na análise dos ficheiros</v>
      </c>
    </row>
    <row r="85" spans="2:6" x14ac:dyDescent="0.25">
      <c r="B85" s="32" t="s">
        <v>1382</v>
      </c>
      <c r="C85" s="32" t="s">
        <v>247</v>
      </c>
      <c r="D85" s="32" t="s">
        <v>292</v>
      </c>
      <c r="E85" s="32" t="s">
        <v>293</v>
      </c>
      <c r="F85" s="33" t="str">
        <f>+IF(VLOOKUP(C85,'1A_Aux3'!B:B,1,FALSE)=C85,"Verificado na análise dos ficheiros","Não verificado na análise dos ficheiros")</f>
        <v>Verificado na análise dos ficheiros</v>
      </c>
    </row>
    <row r="86" spans="2:6" x14ac:dyDescent="0.25">
      <c r="B86" s="32" t="s">
        <v>1483</v>
      </c>
      <c r="C86" s="32" t="s">
        <v>213</v>
      </c>
      <c r="D86" s="32" t="s">
        <v>292</v>
      </c>
      <c r="E86" s="32" t="s">
        <v>293</v>
      </c>
      <c r="F86" s="33" t="str">
        <f>+IF(VLOOKUP(C86,'1A_Aux3'!B:B,1,FALSE)=C86,"Verificado na análise dos ficheiros","Não verificado na análise dos ficheiros")</f>
        <v>Verificado na análise dos ficheiros</v>
      </c>
    </row>
    <row r="87" spans="2:6" x14ac:dyDescent="0.25">
      <c r="B87" s="32" t="s">
        <v>1488</v>
      </c>
      <c r="C87" s="32" t="s">
        <v>274</v>
      </c>
      <c r="D87" s="32" t="s">
        <v>292</v>
      </c>
      <c r="E87" s="32" t="s">
        <v>293</v>
      </c>
      <c r="F87" s="33" t="str">
        <f>+IF(VLOOKUP(C87,'1A_Aux3'!B:B,1,FALSE)=C87,"Verificado na análise dos ficheiros","Não verificado na análise dos ficheiros")</f>
        <v>Verificado na análise dos ficheiros</v>
      </c>
    </row>
    <row r="88" spans="2:6" x14ac:dyDescent="0.25">
      <c r="B88" s="32" t="s">
        <v>1436</v>
      </c>
      <c r="C88" s="32" t="s">
        <v>272</v>
      </c>
      <c r="D88" s="32" t="s">
        <v>292</v>
      </c>
      <c r="E88" s="32" t="s">
        <v>293</v>
      </c>
      <c r="F88" s="33" t="str">
        <f>+IF(VLOOKUP(C88,'1A_Aux3'!B:B,1,FALSE)=C88,"Verificado na análise dos ficheiros","Não verificado na análise dos ficheiros")</f>
        <v>Verificado na análise dos ficheiros</v>
      </c>
    </row>
    <row r="89" spans="2:6" x14ac:dyDescent="0.25">
      <c r="B89" s="32" t="s">
        <v>1463</v>
      </c>
      <c r="C89" s="32" t="s">
        <v>275</v>
      </c>
      <c r="D89" s="32" t="s">
        <v>292</v>
      </c>
      <c r="E89" s="32" t="s">
        <v>293</v>
      </c>
      <c r="F89" s="33" t="str">
        <f>+IF(VLOOKUP(C89,'1A_Aux3'!B:B,1,FALSE)=C89,"Verificado na análise dos ficheiros","Não verificado na análise dos ficheiros")</f>
        <v>Verificado na análise dos ficheiros</v>
      </c>
    </row>
    <row r="90" spans="2:6" x14ac:dyDescent="0.25">
      <c r="B90" s="32" t="s">
        <v>1402</v>
      </c>
      <c r="C90" s="32" t="s">
        <v>263</v>
      </c>
      <c r="D90" s="32" t="s">
        <v>292</v>
      </c>
      <c r="E90" s="32" t="s">
        <v>293</v>
      </c>
      <c r="F90" s="33" t="str">
        <f>+IF(VLOOKUP(C90,'1A_Aux3'!B:B,1,FALSE)=C90,"Verificado na análise dos ficheiros","Não verificado na análise dos ficheiros")</f>
        <v>Verificado na análise dos ficheiros</v>
      </c>
    </row>
    <row r="91" spans="2:6" x14ac:dyDescent="0.25">
      <c r="B91" s="32" t="s">
        <v>1470</v>
      </c>
      <c r="C91" s="32" t="s">
        <v>188</v>
      </c>
      <c r="D91" s="32" t="s">
        <v>292</v>
      </c>
      <c r="E91" s="32" t="s">
        <v>293</v>
      </c>
      <c r="F91" s="33" t="str">
        <f>+IF(VLOOKUP(C91,'1A_Aux3'!B:B,1,FALSE)=C91,"Verificado na análise dos ficheiros","Não verificado na análise dos ficheiros")</f>
        <v>Verificado na análise dos ficheiros</v>
      </c>
    </row>
    <row r="92" spans="2:6" x14ac:dyDescent="0.25">
      <c r="B92" s="32" t="s">
        <v>1451</v>
      </c>
      <c r="C92" s="32" t="s">
        <v>192</v>
      </c>
      <c r="D92" s="32" t="s">
        <v>292</v>
      </c>
      <c r="E92" s="32" t="s">
        <v>293</v>
      </c>
      <c r="F92" s="33" t="str">
        <f>+IF(VLOOKUP(C92,'1A_Aux3'!B:B,1,FALSE)=C92,"Verificado na análise dos ficheiros","Não verificado na análise dos ficheiros")</f>
        <v>Verificado na análise dos ficheiros</v>
      </c>
    </row>
    <row r="93" spans="2:6" x14ac:dyDescent="0.25">
      <c r="B93" s="32" t="s">
        <v>1385</v>
      </c>
      <c r="C93" s="32" t="s">
        <v>273</v>
      </c>
      <c r="D93" s="32" t="s">
        <v>292</v>
      </c>
      <c r="E93" s="32" t="s">
        <v>293</v>
      </c>
      <c r="F93" s="33" t="str">
        <f>+IF(VLOOKUP(C93,'1A_Aux3'!B:B,1,FALSE)=C93,"Verificado na análise dos ficheiros","Não verificado na análise dos ficheiros")</f>
        <v>Verificado na análise dos ficheiros</v>
      </c>
    </row>
    <row r="94" spans="2:6" x14ac:dyDescent="0.25">
      <c r="B94" s="32" t="s">
        <v>1477</v>
      </c>
      <c r="C94" s="32" t="s">
        <v>218</v>
      </c>
      <c r="D94" s="32" t="s">
        <v>292</v>
      </c>
      <c r="E94" s="32" t="s">
        <v>293</v>
      </c>
      <c r="F94" s="33" t="str">
        <f>+IF(VLOOKUP(C94,'1A_Aux3'!B:B,1,FALSE)=C94,"Verificado na análise dos ficheiros","Não verificado na análise dos ficheiros")</f>
        <v>Verificado na análise dos ficheiros</v>
      </c>
    </row>
    <row r="95" spans="2:6" x14ac:dyDescent="0.25">
      <c r="B95" s="32" t="s">
        <v>1454</v>
      </c>
      <c r="C95" s="32" t="s">
        <v>196</v>
      </c>
      <c r="D95" s="32" t="s">
        <v>292</v>
      </c>
      <c r="E95" s="32" t="s">
        <v>293</v>
      </c>
      <c r="F95" s="33" t="str">
        <f>+IF(VLOOKUP(C95,'1A_Aux3'!B:B,1,FALSE)=C95,"Verificado na análise dos ficheiros","Não verificado na análise dos ficheiros")</f>
        <v>Verificado na análise dos ficheiros</v>
      </c>
    </row>
    <row r="96" spans="2:6" x14ac:dyDescent="0.25">
      <c r="B96" s="32" t="s">
        <v>1467</v>
      </c>
      <c r="C96" s="32" t="s">
        <v>215</v>
      </c>
      <c r="D96" s="32" t="s">
        <v>292</v>
      </c>
      <c r="E96" s="32" t="s">
        <v>293</v>
      </c>
      <c r="F96" s="33" t="str">
        <f>+IF(VLOOKUP(C96,'1A_Aux3'!B:B,1,FALSE)=C96,"Verificado na análise dos ficheiros","Não verificado na análise dos ficheiros")</f>
        <v>Verificado na análise dos ficheiros</v>
      </c>
    </row>
    <row r="97" spans="2:6" x14ac:dyDescent="0.25">
      <c r="B97" s="32" t="s">
        <v>1458</v>
      </c>
      <c r="C97" s="32" t="s">
        <v>236</v>
      </c>
      <c r="D97" s="32" t="s">
        <v>292</v>
      </c>
      <c r="E97" s="32" t="s">
        <v>293</v>
      </c>
      <c r="F97" s="33" t="str">
        <f>+IF(VLOOKUP(C97,'1A_Aux3'!B:B,1,FALSE)=C97,"Verificado na análise dos ficheiros","Não verificado na análise dos ficheiros")</f>
        <v>Verificado na análise dos ficheiros</v>
      </c>
    </row>
    <row r="98" spans="2:6" x14ac:dyDescent="0.25">
      <c r="B98" s="32" t="s">
        <v>1450</v>
      </c>
      <c r="C98" s="32" t="s">
        <v>194</v>
      </c>
      <c r="D98" s="32" t="s">
        <v>292</v>
      </c>
      <c r="E98" s="32" t="s">
        <v>293</v>
      </c>
      <c r="F98" s="33" t="str">
        <f>+IF(VLOOKUP(C98,'1A_Aux3'!B:B,1,FALSE)=C98,"Verificado na análise dos ficheiros","Não verificado na análise dos ficheiros")</f>
        <v>Verificado na análise dos ficheiros</v>
      </c>
    </row>
    <row r="99" spans="2:6" x14ac:dyDescent="0.25">
      <c r="B99" s="32" t="s">
        <v>1432</v>
      </c>
      <c r="C99" s="32" t="s">
        <v>278</v>
      </c>
      <c r="D99" s="32" t="s">
        <v>292</v>
      </c>
      <c r="E99" s="32" t="s">
        <v>293</v>
      </c>
      <c r="F99" s="33" t="str">
        <f>+IF(VLOOKUP(C99,'1A_Aux3'!B:B,1,FALSE)=C99,"Verificado na análise dos ficheiros","Não verificado na análise dos ficheiros")</f>
        <v>Verificado na análise dos ficheiros</v>
      </c>
    </row>
    <row r="100" spans="2:6" x14ac:dyDescent="0.25">
      <c r="B100" s="32" t="s">
        <v>1471</v>
      </c>
      <c r="C100" s="32" t="s">
        <v>220</v>
      </c>
      <c r="D100" s="32" t="s">
        <v>292</v>
      </c>
      <c r="E100" s="32" t="s">
        <v>293</v>
      </c>
      <c r="F100" s="33" t="str">
        <f>+IF(VLOOKUP(C100,'1A_Aux3'!B:B,1,FALSE)=C100,"Verificado na análise dos ficheiros","Não verificado na análise dos ficheiros")</f>
        <v>Verificado na análise dos ficheiros</v>
      </c>
    </row>
    <row r="101" spans="2:6" x14ac:dyDescent="0.25">
      <c r="B101" s="32" t="s">
        <v>1433</v>
      </c>
      <c r="C101" s="32" t="s">
        <v>269</v>
      </c>
      <c r="D101" s="32" t="s">
        <v>292</v>
      </c>
      <c r="E101" s="32" t="s">
        <v>293</v>
      </c>
      <c r="F101" s="33" t="str">
        <f>+IF(VLOOKUP(C101,'1A_Aux3'!B:B,1,FALSE)=C101,"Verificado na análise dos ficheiros","Não verificado na análise dos ficheiros")</f>
        <v>Verificado na análise dos ficheiros</v>
      </c>
    </row>
    <row r="102" spans="2:6" x14ac:dyDescent="0.25">
      <c r="B102" s="32" t="s">
        <v>1480</v>
      </c>
      <c r="C102" s="32" t="s">
        <v>233</v>
      </c>
      <c r="D102" s="32" t="s">
        <v>292</v>
      </c>
      <c r="E102" s="32" t="s">
        <v>293</v>
      </c>
      <c r="F102" s="33" t="str">
        <f>+IF(VLOOKUP(C102,'1A_Aux3'!B:B,1,FALSE)=C102,"Verificado na análise dos ficheiros","Não verificado na análise dos ficheiros")</f>
        <v>Verificado na análise dos ficheiros</v>
      </c>
    </row>
    <row r="103" spans="2:6" x14ac:dyDescent="0.25">
      <c r="B103" s="32" t="s">
        <v>1409</v>
      </c>
      <c r="C103" s="32" t="s">
        <v>234</v>
      </c>
      <c r="D103" s="32" t="s">
        <v>292</v>
      </c>
      <c r="E103" s="32" t="s">
        <v>293</v>
      </c>
      <c r="F103" s="33" t="str">
        <f>+IF(VLOOKUP(C103,'1A_Aux3'!B:B,1,FALSE)=C103,"Verificado na análise dos ficheiros","Não verificado na análise dos ficheiros")</f>
        <v>Verificado na análise dos ficheiros</v>
      </c>
    </row>
    <row r="104" spans="2:6" x14ac:dyDescent="0.25">
      <c r="B104" s="32" t="s">
        <v>1455</v>
      </c>
      <c r="C104" s="32" t="s">
        <v>288</v>
      </c>
      <c r="D104" s="32" t="s">
        <v>292</v>
      </c>
      <c r="E104" s="32" t="s">
        <v>293</v>
      </c>
      <c r="F104" s="33" t="str">
        <f>+IF(VLOOKUP(C104,'1A_Aux3'!B:B,1,FALSE)=C104,"Verificado na análise dos ficheiros","Não verificado na análise dos ficheiros")</f>
        <v>Verificado na análise dos ficheiros</v>
      </c>
    </row>
    <row r="105" spans="2:6" x14ac:dyDescent="0.25">
      <c r="B105" s="32" t="s">
        <v>1424</v>
      </c>
      <c r="C105" s="32" t="s">
        <v>190</v>
      </c>
      <c r="D105" s="32" t="s">
        <v>292</v>
      </c>
      <c r="E105" s="32" t="s">
        <v>293</v>
      </c>
      <c r="F105" s="33" t="str">
        <f>+IF(VLOOKUP(C105,'1A_Aux3'!B:B,1,FALSE)=C105,"Verificado na análise dos ficheiros","Não verificado na análise dos ficheiros")</f>
        <v>Verificado na análise dos ficheiros</v>
      </c>
    </row>
    <row r="106" spans="2:6" x14ac:dyDescent="0.25">
      <c r="B106" s="32" t="s">
        <v>1468</v>
      </c>
      <c r="C106" s="32" t="s">
        <v>283</v>
      </c>
      <c r="D106" s="32" t="s">
        <v>292</v>
      </c>
      <c r="E106" s="32" t="s">
        <v>293</v>
      </c>
      <c r="F106" s="33" t="str">
        <f>+IF(VLOOKUP(C106,'1A_Aux3'!B:B,1,FALSE)=C106,"Verificado na análise dos ficheiros","Não verificado na análise dos ficheiros")</f>
        <v>Verificado na análise dos ficheiros</v>
      </c>
    </row>
    <row r="107" spans="2:6" x14ac:dyDescent="0.25">
      <c r="B107" s="32" t="s">
        <v>1481</v>
      </c>
      <c r="C107" s="32" t="s">
        <v>267</v>
      </c>
      <c r="D107" s="32" t="s">
        <v>292</v>
      </c>
      <c r="E107" s="32" t="s">
        <v>293</v>
      </c>
      <c r="F107" s="33" t="str">
        <f>+IF(VLOOKUP(C107,'1A_Aux3'!B:B,1,FALSE)=C107,"Verificado na análise dos ficheiros","Não verificado na análise dos ficheiros")</f>
        <v>Verificado na análise dos ficheiros</v>
      </c>
    </row>
    <row r="108" spans="2:6" x14ac:dyDescent="0.25">
      <c r="B108" s="32" t="s">
        <v>1414</v>
      </c>
      <c r="C108" s="32" t="s">
        <v>256</v>
      </c>
      <c r="D108" s="32" t="s">
        <v>292</v>
      </c>
      <c r="E108" s="32" t="s">
        <v>293</v>
      </c>
      <c r="F108" s="33" t="str">
        <f>+IF(VLOOKUP(C108,'1A_Aux3'!B:B,1,FALSE)=C108,"Verificado na análise dos ficheiros","Não verificado na análise dos ficheiros")</f>
        <v>Verificado na análise dos ficheiros</v>
      </c>
    </row>
    <row r="109" spans="2:6" x14ac:dyDescent="0.25">
      <c r="B109" s="32" t="s">
        <v>1394</v>
      </c>
      <c r="C109" s="32" t="s">
        <v>227</v>
      </c>
      <c r="D109" s="32" t="s">
        <v>292</v>
      </c>
      <c r="E109" s="32" t="s">
        <v>293</v>
      </c>
      <c r="F109" s="33" t="str">
        <f>+IF(VLOOKUP(C109,'1A_Aux3'!B:B,1,FALSE)=C109,"Verificado na análise dos ficheiros","Não verificado na análise dos ficheiros")</f>
        <v>Verificado na análise dos ficheiros</v>
      </c>
    </row>
    <row r="110" spans="2:6" x14ac:dyDescent="0.25"/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943"/>
  <sheetViews>
    <sheetView showGridLines="0" workbookViewId="0">
      <selection activeCell="B6" sqref="B6"/>
    </sheetView>
  </sheetViews>
  <sheetFormatPr defaultColWidth="0" defaultRowHeight="15" zeroHeight="1" x14ac:dyDescent="0.25"/>
  <cols>
    <col min="1" max="1" width="3.7109375" customWidth="1"/>
    <col min="2" max="2" width="31.7109375" bestFit="1" customWidth="1"/>
    <col min="3" max="3" width="17.7109375" bestFit="1" customWidth="1"/>
    <col min="4" max="4" width="3.7109375" customWidth="1"/>
    <col min="5" max="16384" width="9.140625" hidden="1"/>
  </cols>
  <sheetData>
    <row r="1" spans="2:3" x14ac:dyDescent="0.25"/>
    <row r="2" spans="2:3" x14ac:dyDescent="0.25">
      <c r="B2" s="45" t="s">
        <v>1490</v>
      </c>
      <c r="C2" s="45" t="s">
        <v>8434</v>
      </c>
    </row>
    <row r="3" spans="2:3" x14ac:dyDescent="0.25">
      <c r="B3" s="33" t="s">
        <v>1494</v>
      </c>
      <c r="C3" s="33">
        <v>30</v>
      </c>
    </row>
    <row r="4" spans="2:3" x14ac:dyDescent="0.25">
      <c r="B4" s="33" t="s">
        <v>1495</v>
      </c>
      <c r="C4" s="33">
        <v>30</v>
      </c>
    </row>
    <row r="5" spans="2:3" x14ac:dyDescent="0.25">
      <c r="B5" s="33" t="s">
        <v>1496</v>
      </c>
      <c r="C5" s="33">
        <v>30</v>
      </c>
    </row>
    <row r="6" spans="2:3" x14ac:dyDescent="0.25">
      <c r="B6" s="33" t="s">
        <v>1497</v>
      </c>
      <c r="C6" s="33">
        <v>30</v>
      </c>
    </row>
    <row r="7" spans="2:3" x14ac:dyDescent="0.25">
      <c r="B7" s="33" t="s">
        <v>1498</v>
      </c>
      <c r="C7" s="33">
        <v>30</v>
      </c>
    </row>
    <row r="8" spans="2:3" x14ac:dyDescent="0.25">
      <c r="B8" s="33" t="s">
        <v>1499</v>
      </c>
      <c r="C8" s="33">
        <v>30</v>
      </c>
    </row>
    <row r="9" spans="2:3" x14ac:dyDescent="0.25">
      <c r="B9" s="33" t="s">
        <v>1500</v>
      </c>
      <c r="C9" s="33">
        <v>30</v>
      </c>
    </row>
    <row r="10" spans="2:3" x14ac:dyDescent="0.25">
      <c r="B10" s="33" t="s">
        <v>1501</v>
      </c>
      <c r="C10" s="33">
        <v>30</v>
      </c>
    </row>
    <row r="11" spans="2:3" x14ac:dyDescent="0.25">
      <c r="B11" s="33" t="s">
        <v>1502</v>
      </c>
      <c r="C11" s="33">
        <v>30</v>
      </c>
    </row>
    <row r="12" spans="2:3" x14ac:dyDescent="0.25">
      <c r="B12" s="33" t="s">
        <v>1503</v>
      </c>
      <c r="C12" s="33">
        <v>30</v>
      </c>
    </row>
    <row r="13" spans="2:3" x14ac:dyDescent="0.25">
      <c r="B13" s="33" t="s">
        <v>1504</v>
      </c>
      <c r="C13" s="33">
        <v>30</v>
      </c>
    </row>
    <row r="14" spans="2:3" x14ac:dyDescent="0.25">
      <c r="B14" s="33" t="s">
        <v>1505</v>
      </c>
      <c r="C14" s="33">
        <v>30</v>
      </c>
    </row>
    <row r="15" spans="2:3" x14ac:dyDescent="0.25">
      <c r="B15" s="33" t="s">
        <v>1506</v>
      </c>
      <c r="C15" s="33">
        <v>30</v>
      </c>
    </row>
    <row r="16" spans="2:3" x14ac:dyDescent="0.25">
      <c r="B16" s="33" t="s">
        <v>1507</v>
      </c>
      <c r="C16" s="33">
        <v>30</v>
      </c>
    </row>
    <row r="17" spans="2:3" x14ac:dyDescent="0.25">
      <c r="B17" s="33" t="s">
        <v>1508</v>
      </c>
      <c r="C17" s="33">
        <v>30</v>
      </c>
    </row>
    <row r="18" spans="2:3" x14ac:dyDescent="0.25">
      <c r="B18" s="33" t="s">
        <v>1509</v>
      </c>
      <c r="C18" s="33">
        <v>30</v>
      </c>
    </row>
    <row r="19" spans="2:3" x14ac:dyDescent="0.25">
      <c r="B19" s="33" t="s">
        <v>1510</v>
      </c>
      <c r="C19" s="33">
        <v>30</v>
      </c>
    </row>
    <row r="20" spans="2:3" x14ac:dyDescent="0.25">
      <c r="B20" s="33" t="s">
        <v>1511</v>
      </c>
      <c r="C20" s="33">
        <v>30</v>
      </c>
    </row>
    <row r="21" spans="2:3" x14ac:dyDescent="0.25">
      <c r="B21" s="33" t="s">
        <v>1512</v>
      </c>
      <c r="C21" s="33">
        <v>30</v>
      </c>
    </row>
    <row r="22" spans="2:3" x14ac:dyDescent="0.25">
      <c r="B22" s="33" t="s">
        <v>1513</v>
      </c>
      <c r="C22" s="33">
        <v>30</v>
      </c>
    </row>
    <row r="23" spans="2:3" x14ac:dyDescent="0.25">
      <c r="B23" s="33" t="s">
        <v>1514</v>
      </c>
      <c r="C23" s="33">
        <v>30</v>
      </c>
    </row>
    <row r="24" spans="2:3" x14ac:dyDescent="0.25">
      <c r="B24" s="33" t="s">
        <v>1515</v>
      </c>
      <c r="C24" s="33">
        <v>30</v>
      </c>
    </row>
    <row r="25" spans="2:3" x14ac:dyDescent="0.25">
      <c r="B25" s="33" t="s">
        <v>1516</v>
      </c>
      <c r="C25" s="33">
        <v>30</v>
      </c>
    </row>
    <row r="26" spans="2:3" x14ac:dyDescent="0.25">
      <c r="B26" s="33" t="s">
        <v>1517</v>
      </c>
      <c r="C26" s="33">
        <v>30</v>
      </c>
    </row>
    <row r="27" spans="2:3" x14ac:dyDescent="0.25">
      <c r="B27" s="33" t="s">
        <v>1518</v>
      </c>
      <c r="C27" s="33">
        <v>30</v>
      </c>
    </row>
    <row r="28" spans="2:3" x14ac:dyDescent="0.25">
      <c r="B28" s="33" t="s">
        <v>1519</v>
      </c>
      <c r="C28" s="33">
        <v>30</v>
      </c>
    </row>
    <row r="29" spans="2:3" x14ac:dyDescent="0.25">
      <c r="B29" s="33" t="s">
        <v>1520</v>
      </c>
      <c r="C29" s="33">
        <v>30</v>
      </c>
    </row>
    <row r="30" spans="2:3" x14ac:dyDescent="0.25">
      <c r="B30" s="33" t="s">
        <v>1521</v>
      </c>
      <c r="C30" s="33">
        <v>30</v>
      </c>
    </row>
    <row r="31" spans="2:3" x14ac:dyDescent="0.25">
      <c r="B31" s="33" t="s">
        <v>1522</v>
      </c>
      <c r="C31" s="33">
        <v>30</v>
      </c>
    </row>
    <row r="32" spans="2:3" x14ac:dyDescent="0.25">
      <c r="B32" s="33" t="s">
        <v>1523</v>
      </c>
      <c r="C32" s="33">
        <v>30</v>
      </c>
    </row>
    <row r="33" spans="2:3" x14ac:dyDescent="0.25">
      <c r="B33" s="33" t="s">
        <v>1524</v>
      </c>
      <c r="C33" s="33">
        <v>30</v>
      </c>
    </row>
    <row r="34" spans="2:3" x14ac:dyDescent="0.25">
      <c r="B34" s="33" t="s">
        <v>1525</v>
      </c>
      <c r="C34" s="33">
        <v>30</v>
      </c>
    </row>
    <row r="35" spans="2:3" x14ac:dyDescent="0.25">
      <c r="B35" s="33" t="s">
        <v>1526</v>
      </c>
      <c r="C35" s="33">
        <v>30</v>
      </c>
    </row>
    <row r="36" spans="2:3" x14ac:dyDescent="0.25">
      <c r="B36" s="33" t="s">
        <v>1527</v>
      </c>
      <c r="C36" s="33">
        <v>30</v>
      </c>
    </row>
    <row r="37" spans="2:3" x14ac:dyDescent="0.25">
      <c r="B37" s="33" t="s">
        <v>1528</v>
      </c>
      <c r="C37" s="33">
        <v>30</v>
      </c>
    </row>
    <row r="38" spans="2:3" x14ac:dyDescent="0.25">
      <c r="B38" s="33" t="s">
        <v>1529</v>
      </c>
      <c r="C38" s="33">
        <v>30</v>
      </c>
    </row>
    <row r="39" spans="2:3" x14ac:dyDescent="0.25">
      <c r="B39" s="33" t="s">
        <v>1530</v>
      </c>
      <c r="C39" s="33">
        <v>30</v>
      </c>
    </row>
    <row r="40" spans="2:3" x14ac:dyDescent="0.25">
      <c r="B40" s="33" t="s">
        <v>1531</v>
      </c>
      <c r="C40" s="33">
        <v>30</v>
      </c>
    </row>
    <row r="41" spans="2:3" x14ac:dyDescent="0.25">
      <c r="B41" s="33" t="s">
        <v>1532</v>
      </c>
      <c r="C41" s="33">
        <v>30</v>
      </c>
    </row>
    <row r="42" spans="2:3" x14ac:dyDescent="0.25">
      <c r="B42" s="33" t="s">
        <v>1533</v>
      </c>
      <c r="C42" s="33">
        <v>30</v>
      </c>
    </row>
    <row r="43" spans="2:3" x14ac:dyDescent="0.25">
      <c r="B43" s="33" t="s">
        <v>1534</v>
      </c>
      <c r="C43" s="33">
        <v>30</v>
      </c>
    </row>
    <row r="44" spans="2:3" x14ac:dyDescent="0.25">
      <c r="B44" s="33" t="s">
        <v>1535</v>
      </c>
      <c r="C44" s="33">
        <v>30</v>
      </c>
    </row>
    <row r="45" spans="2:3" x14ac:dyDescent="0.25">
      <c r="B45" s="33" t="s">
        <v>1536</v>
      </c>
      <c r="C45" s="33">
        <v>30</v>
      </c>
    </row>
    <row r="46" spans="2:3" x14ac:dyDescent="0.25">
      <c r="B46" s="33" t="s">
        <v>1537</v>
      </c>
      <c r="C46" s="33">
        <v>30</v>
      </c>
    </row>
    <row r="47" spans="2:3" x14ac:dyDescent="0.25">
      <c r="B47" s="33" t="s">
        <v>1538</v>
      </c>
      <c r="C47" s="33">
        <v>30</v>
      </c>
    </row>
    <row r="48" spans="2:3" x14ac:dyDescent="0.25">
      <c r="B48" s="33" t="s">
        <v>1539</v>
      </c>
      <c r="C48" s="33">
        <v>30</v>
      </c>
    </row>
    <row r="49" spans="2:3" x14ac:dyDescent="0.25">
      <c r="B49" s="33" t="s">
        <v>1540</v>
      </c>
      <c r="C49" s="33">
        <v>30</v>
      </c>
    </row>
    <row r="50" spans="2:3" x14ac:dyDescent="0.25">
      <c r="B50" s="33" t="s">
        <v>1541</v>
      </c>
      <c r="C50" s="33">
        <v>30</v>
      </c>
    </row>
    <row r="51" spans="2:3" x14ac:dyDescent="0.25">
      <c r="B51" s="33" t="s">
        <v>1542</v>
      </c>
      <c r="C51" s="33">
        <v>30</v>
      </c>
    </row>
    <row r="52" spans="2:3" x14ac:dyDescent="0.25">
      <c r="B52" s="33" t="s">
        <v>1543</v>
      </c>
      <c r="C52" s="33">
        <v>30</v>
      </c>
    </row>
    <row r="53" spans="2:3" x14ac:dyDescent="0.25">
      <c r="B53" s="33" t="s">
        <v>1544</v>
      </c>
      <c r="C53" s="33">
        <v>30</v>
      </c>
    </row>
    <row r="54" spans="2:3" x14ac:dyDescent="0.25">
      <c r="B54" s="33" t="s">
        <v>1545</v>
      </c>
      <c r="C54" s="33">
        <v>30</v>
      </c>
    </row>
    <row r="55" spans="2:3" x14ac:dyDescent="0.25">
      <c r="B55" s="33" t="s">
        <v>1546</v>
      </c>
      <c r="C55" s="33">
        <v>30</v>
      </c>
    </row>
    <row r="56" spans="2:3" x14ac:dyDescent="0.25">
      <c r="B56" s="33" t="s">
        <v>1547</v>
      </c>
      <c r="C56" s="33">
        <v>30</v>
      </c>
    </row>
    <row r="57" spans="2:3" x14ac:dyDescent="0.25">
      <c r="B57" s="33" t="s">
        <v>1548</v>
      </c>
      <c r="C57" s="33">
        <v>30</v>
      </c>
    </row>
    <row r="58" spans="2:3" x14ac:dyDescent="0.25">
      <c r="B58" s="33" t="s">
        <v>1549</v>
      </c>
      <c r="C58" s="33">
        <v>30</v>
      </c>
    </row>
    <row r="59" spans="2:3" x14ac:dyDescent="0.25">
      <c r="B59" s="33" t="s">
        <v>1550</v>
      </c>
      <c r="C59" s="33">
        <v>30</v>
      </c>
    </row>
    <row r="60" spans="2:3" x14ac:dyDescent="0.25">
      <c r="B60" s="33" t="s">
        <v>1551</v>
      </c>
      <c r="C60" s="33">
        <v>30</v>
      </c>
    </row>
    <row r="61" spans="2:3" x14ac:dyDescent="0.25">
      <c r="B61" s="33" t="s">
        <v>1552</v>
      </c>
      <c r="C61" s="33">
        <v>30</v>
      </c>
    </row>
    <row r="62" spans="2:3" x14ac:dyDescent="0.25">
      <c r="B62" s="33" t="s">
        <v>1553</v>
      </c>
      <c r="C62" s="33">
        <v>30</v>
      </c>
    </row>
    <row r="63" spans="2:3" x14ac:dyDescent="0.25">
      <c r="B63" s="33" t="s">
        <v>1554</v>
      </c>
      <c r="C63" s="33">
        <v>30</v>
      </c>
    </row>
    <row r="64" spans="2:3" x14ac:dyDescent="0.25">
      <c r="B64" s="33" t="s">
        <v>1555</v>
      </c>
      <c r="C64" s="33">
        <v>30</v>
      </c>
    </row>
    <row r="65" spans="2:3" x14ac:dyDescent="0.25">
      <c r="B65" s="33" t="s">
        <v>1556</v>
      </c>
      <c r="C65" s="33">
        <v>30</v>
      </c>
    </row>
    <row r="66" spans="2:3" x14ac:dyDescent="0.25">
      <c r="B66" s="33" t="s">
        <v>1557</v>
      </c>
      <c r="C66" s="33">
        <v>30</v>
      </c>
    </row>
    <row r="67" spans="2:3" x14ac:dyDescent="0.25">
      <c r="B67" s="33" t="s">
        <v>1558</v>
      </c>
      <c r="C67" s="33">
        <v>30</v>
      </c>
    </row>
    <row r="68" spans="2:3" x14ac:dyDescent="0.25">
      <c r="B68" s="33" t="s">
        <v>1559</v>
      </c>
      <c r="C68" s="33">
        <v>30</v>
      </c>
    </row>
    <row r="69" spans="2:3" x14ac:dyDescent="0.25">
      <c r="B69" s="33" t="s">
        <v>1560</v>
      </c>
      <c r="C69" s="33">
        <v>30</v>
      </c>
    </row>
    <row r="70" spans="2:3" x14ac:dyDescent="0.25">
      <c r="B70" s="33" t="s">
        <v>1561</v>
      </c>
      <c r="C70" s="33">
        <v>30</v>
      </c>
    </row>
    <row r="71" spans="2:3" x14ac:dyDescent="0.25">
      <c r="B71" s="33" t="s">
        <v>1562</v>
      </c>
      <c r="C71" s="33">
        <v>30</v>
      </c>
    </row>
    <row r="72" spans="2:3" x14ac:dyDescent="0.25">
      <c r="B72" s="33" t="s">
        <v>1563</v>
      </c>
      <c r="C72" s="33">
        <v>30</v>
      </c>
    </row>
    <row r="73" spans="2:3" x14ac:dyDescent="0.25">
      <c r="B73" s="33" t="s">
        <v>1564</v>
      </c>
      <c r="C73" s="33">
        <v>30</v>
      </c>
    </row>
    <row r="74" spans="2:3" x14ac:dyDescent="0.25">
      <c r="B74" s="33" t="s">
        <v>1565</v>
      </c>
      <c r="C74" s="33">
        <v>30</v>
      </c>
    </row>
    <row r="75" spans="2:3" x14ac:dyDescent="0.25">
      <c r="B75" s="33" t="s">
        <v>1566</v>
      </c>
      <c r="C75" s="33">
        <v>30</v>
      </c>
    </row>
    <row r="76" spans="2:3" x14ac:dyDescent="0.25">
      <c r="B76" s="33" t="s">
        <v>1567</v>
      </c>
      <c r="C76" s="33">
        <v>30</v>
      </c>
    </row>
    <row r="77" spans="2:3" x14ac:dyDescent="0.25">
      <c r="B77" s="33" t="s">
        <v>1568</v>
      </c>
      <c r="C77" s="33">
        <v>30</v>
      </c>
    </row>
    <row r="78" spans="2:3" x14ac:dyDescent="0.25">
      <c r="B78" s="33" t="s">
        <v>1569</v>
      </c>
      <c r="C78" s="33">
        <v>30</v>
      </c>
    </row>
    <row r="79" spans="2:3" x14ac:dyDescent="0.25">
      <c r="B79" s="33" t="s">
        <v>1570</v>
      </c>
      <c r="C79" s="33">
        <v>30</v>
      </c>
    </row>
    <row r="80" spans="2:3" x14ac:dyDescent="0.25">
      <c r="B80" s="33" t="s">
        <v>1571</v>
      </c>
      <c r="C80" s="33">
        <v>30</v>
      </c>
    </row>
    <row r="81" spans="2:3" x14ac:dyDescent="0.25">
      <c r="B81" s="33" t="s">
        <v>1572</v>
      </c>
      <c r="C81" s="33">
        <v>30</v>
      </c>
    </row>
    <row r="82" spans="2:3" x14ac:dyDescent="0.25">
      <c r="B82" s="33" t="s">
        <v>1573</v>
      </c>
      <c r="C82" s="33">
        <v>30</v>
      </c>
    </row>
    <row r="83" spans="2:3" x14ac:dyDescent="0.25">
      <c r="B83" s="33" t="s">
        <v>1574</v>
      </c>
      <c r="C83" s="33">
        <v>30</v>
      </c>
    </row>
    <row r="84" spans="2:3" x14ac:dyDescent="0.25">
      <c r="B84" s="33" t="s">
        <v>1575</v>
      </c>
      <c r="C84" s="33">
        <v>30</v>
      </c>
    </row>
    <row r="85" spans="2:3" x14ac:dyDescent="0.25">
      <c r="B85" s="33" t="s">
        <v>1576</v>
      </c>
      <c r="C85" s="33">
        <v>30</v>
      </c>
    </row>
    <row r="86" spans="2:3" x14ac:dyDescent="0.25">
      <c r="B86" s="33" t="s">
        <v>1577</v>
      </c>
      <c r="C86" s="33">
        <v>30</v>
      </c>
    </row>
    <row r="87" spans="2:3" x14ac:dyDescent="0.25">
      <c r="B87" s="33" t="s">
        <v>1578</v>
      </c>
      <c r="C87" s="33">
        <v>30</v>
      </c>
    </row>
    <row r="88" spans="2:3" x14ac:dyDescent="0.25">
      <c r="B88" s="33" t="s">
        <v>1579</v>
      </c>
      <c r="C88" s="33">
        <v>30</v>
      </c>
    </row>
    <row r="89" spans="2:3" x14ac:dyDescent="0.25">
      <c r="B89" s="33" t="s">
        <v>1580</v>
      </c>
      <c r="C89" s="33">
        <v>30</v>
      </c>
    </row>
    <row r="90" spans="2:3" x14ac:dyDescent="0.25">
      <c r="B90" s="33" t="s">
        <v>1581</v>
      </c>
      <c r="C90" s="33">
        <v>30</v>
      </c>
    </row>
    <row r="91" spans="2:3" x14ac:dyDescent="0.25">
      <c r="B91" s="33" t="s">
        <v>1582</v>
      </c>
      <c r="C91" s="33">
        <v>30</v>
      </c>
    </row>
    <row r="92" spans="2:3" x14ac:dyDescent="0.25">
      <c r="B92" s="33" t="s">
        <v>1583</v>
      </c>
      <c r="C92" s="33">
        <v>30</v>
      </c>
    </row>
    <row r="93" spans="2:3" x14ac:dyDescent="0.25">
      <c r="B93" s="33" t="s">
        <v>1584</v>
      </c>
      <c r="C93" s="33">
        <v>30</v>
      </c>
    </row>
    <row r="94" spans="2:3" x14ac:dyDescent="0.25">
      <c r="B94" s="33" t="s">
        <v>1585</v>
      </c>
      <c r="C94" s="33">
        <v>30</v>
      </c>
    </row>
    <row r="95" spans="2:3" x14ac:dyDescent="0.25">
      <c r="B95" s="33" t="s">
        <v>1586</v>
      </c>
      <c r="C95" s="33">
        <v>30</v>
      </c>
    </row>
    <row r="96" spans="2:3" x14ac:dyDescent="0.25">
      <c r="B96" s="33" t="s">
        <v>1587</v>
      </c>
      <c r="C96" s="33">
        <v>30</v>
      </c>
    </row>
    <row r="97" spans="2:3" x14ac:dyDescent="0.25">
      <c r="B97" s="33" t="s">
        <v>1588</v>
      </c>
      <c r="C97" s="33">
        <v>30</v>
      </c>
    </row>
    <row r="98" spans="2:3" x14ac:dyDescent="0.25">
      <c r="B98" s="33" t="s">
        <v>1589</v>
      </c>
      <c r="C98" s="33">
        <v>30</v>
      </c>
    </row>
    <row r="99" spans="2:3" x14ac:dyDescent="0.25">
      <c r="B99" s="33" t="s">
        <v>1590</v>
      </c>
      <c r="C99" s="33">
        <v>30</v>
      </c>
    </row>
    <row r="100" spans="2:3" x14ac:dyDescent="0.25">
      <c r="B100" s="33" t="s">
        <v>1591</v>
      </c>
      <c r="C100" s="33">
        <v>30</v>
      </c>
    </row>
    <row r="101" spans="2:3" x14ac:dyDescent="0.25">
      <c r="B101" s="33" t="s">
        <v>1592</v>
      </c>
      <c r="C101" s="33">
        <v>30</v>
      </c>
    </row>
    <row r="102" spans="2:3" x14ac:dyDescent="0.25">
      <c r="B102" s="33" t="s">
        <v>1593</v>
      </c>
      <c r="C102" s="33">
        <v>30</v>
      </c>
    </row>
    <row r="103" spans="2:3" x14ac:dyDescent="0.25">
      <c r="B103" s="33" t="s">
        <v>1594</v>
      </c>
      <c r="C103" s="33">
        <v>30</v>
      </c>
    </row>
    <row r="104" spans="2:3" x14ac:dyDescent="0.25">
      <c r="B104" s="33" t="s">
        <v>1595</v>
      </c>
      <c r="C104" s="33">
        <v>30</v>
      </c>
    </row>
    <row r="105" spans="2:3" x14ac:dyDescent="0.25">
      <c r="B105" s="33" t="s">
        <v>1596</v>
      </c>
      <c r="C105" s="33">
        <v>30</v>
      </c>
    </row>
    <row r="106" spans="2:3" x14ac:dyDescent="0.25">
      <c r="B106" s="33" t="s">
        <v>1597</v>
      </c>
      <c r="C106" s="33">
        <v>30</v>
      </c>
    </row>
    <row r="107" spans="2:3" x14ac:dyDescent="0.25">
      <c r="B107" s="33" t="s">
        <v>1598</v>
      </c>
      <c r="C107" s="33">
        <v>30</v>
      </c>
    </row>
    <row r="108" spans="2:3" x14ac:dyDescent="0.25">
      <c r="B108" s="33" t="s">
        <v>1599</v>
      </c>
      <c r="C108" s="33">
        <v>30</v>
      </c>
    </row>
    <row r="109" spans="2:3" x14ac:dyDescent="0.25">
      <c r="B109" s="33" t="s">
        <v>1600</v>
      </c>
      <c r="C109" s="33">
        <v>30</v>
      </c>
    </row>
    <row r="110" spans="2:3" x14ac:dyDescent="0.25">
      <c r="B110" s="33" t="s">
        <v>1601</v>
      </c>
      <c r="C110" s="33">
        <v>30</v>
      </c>
    </row>
    <row r="111" spans="2:3" x14ac:dyDescent="0.25">
      <c r="B111" s="33" t="s">
        <v>1602</v>
      </c>
      <c r="C111" s="33">
        <v>30</v>
      </c>
    </row>
    <row r="112" spans="2:3" x14ac:dyDescent="0.25">
      <c r="B112" s="33" t="s">
        <v>1603</v>
      </c>
      <c r="C112" s="33">
        <v>30</v>
      </c>
    </row>
    <row r="113" spans="2:3" x14ac:dyDescent="0.25">
      <c r="B113" s="33" t="s">
        <v>1604</v>
      </c>
      <c r="C113" s="33">
        <v>30</v>
      </c>
    </row>
    <row r="114" spans="2:3" x14ac:dyDescent="0.25">
      <c r="B114" s="33" t="s">
        <v>1605</v>
      </c>
      <c r="C114" s="33">
        <v>30</v>
      </c>
    </row>
    <row r="115" spans="2:3" x14ac:dyDescent="0.25">
      <c r="B115" s="33" t="s">
        <v>1606</v>
      </c>
      <c r="C115" s="33">
        <v>30</v>
      </c>
    </row>
    <row r="116" spans="2:3" x14ac:dyDescent="0.25">
      <c r="B116" s="33" t="s">
        <v>1607</v>
      </c>
      <c r="C116" s="33">
        <v>30</v>
      </c>
    </row>
    <row r="117" spans="2:3" x14ac:dyDescent="0.25">
      <c r="B117" s="33" t="s">
        <v>1608</v>
      </c>
      <c r="C117" s="33">
        <v>30</v>
      </c>
    </row>
    <row r="118" spans="2:3" x14ac:dyDescent="0.25">
      <c r="B118" s="33" t="s">
        <v>1609</v>
      </c>
      <c r="C118" s="33">
        <v>30</v>
      </c>
    </row>
    <row r="119" spans="2:3" x14ac:dyDescent="0.25">
      <c r="B119" s="33" t="s">
        <v>1610</v>
      </c>
      <c r="C119" s="33">
        <v>30</v>
      </c>
    </row>
    <row r="120" spans="2:3" x14ac:dyDescent="0.25">
      <c r="B120" s="33" t="s">
        <v>1611</v>
      </c>
      <c r="C120" s="33">
        <v>30</v>
      </c>
    </row>
    <row r="121" spans="2:3" x14ac:dyDescent="0.25">
      <c r="B121" s="33" t="s">
        <v>1612</v>
      </c>
      <c r="C121" s="33">
        <v>30</v>
      </c>
    </row>
    <row r="122" spans="2:3" x14ac:dyDescent="0.25">
      <c r="B122" s="33" t="s">
        <v>1613</v>
      </c>
      <c r="C122" s="33">
        <v>30</v>
      </c>
    </row>
    <row r="123" spans="2:3" x14ac:dyDescent="0.25">
      <c r="B123" s="33" t="s">
        <v>1614</v>
      </c>
      <c r="C123" s="33">
        <v>30</v>
      </c>
    </row>
    <row r="124" spans="2:3" x14ac:dyDescent="0.25">
      <c r="B124" s="33" t="s">
        <v>1615</v>
      </c>
      <c r="C124" s="33">
        <v>30</v>
      </c>
    </row>
    <row r="125" spans="2:3" x14ac:dyDescent="0.25">
      <c r="B125" s="33" t="s">
        <v>1616</v>
      </c>
      <c r="C125" s="33">
        <v>30</v>
      </c>
    </row>
    <row r="126" spans="2:3" x14ac:dyDescent="0.25">
      <c r="B126" s="33" t="s">
        <v>1617</v>
      </c>
      <c r="C126" s="33">
        <v>30</v>
      </c>
    </row>
    <row r="127" spans="2:3" x14ac:dyDescent="0.25">
      <c r="B127" s="33" t="s">
        <v>1618</v>
      </c>
      <c r="C127" s="33">
        <v>30</v>
      </c>
    </row>
    <row r="128" spans="2:3" x14ac:dyDescent="0.25">
      <c r="B128" s="33" t="s">
        <v>1619</v>
      </c>
      <c r="C128" s="33">
        <v>30</v>
      </c>
    </row>
    <row r="129" spans="2:3" x14ac:dyDescent="0.25">
      <c r="B129" s="33" t="s">
        <v>1620</v>
      </c>
      <c r="C129" s="33">
        <v>30</v>
      </c>
    </row>
    <row r="130" spans="2:3" x14ac:dyDescent="0.25">
      <c r="B130" s="33" t="s">
        <v>1621</v>
      </c>
      <c r="C130" s="33">
        <v>30</v>
      </c>
    </row>
    <row r="131" spans="2:3" x14ac:dyDescent="0.25">
      <c r="B131" s="33" t="s">
        <v>1622</v>
      </c>
      <c r="C131" s="33">
        <v>30</v>
      </c>
    </row>
    <row r="132" spans="2:3" x14ac:dyDescent="0.25">
      <c r="B132" s="33" t="s">
        <v>1623</v>
      </c>
      <c r="C132" s="33">
        <v>30</v>
      </c>
    </row>
    <row r="133" spans="2:3" x14ac:dyDescent="0.25">
      <c r="B133" s="33" t="s">
        <v>1624</v>
      </c>
      <c r="C133" s="33">
        <v>30</v>
      </c>
    </row>
    <row r="134" spans="2:3" x14ac:dyDescent="0.25">
      <c r="B134" s="33" t="s">
        <v>1625</v>
      </c>
      <c r="C134" s="33">
        <v>30</v>
      </c>
    </row>
    <row r="135" spans="2:3" x14ac:dyDescent="0.25">
      <c r="B135" s="33" t="s">
        <v>1626</v>
      </c>
      <c r="C135" s="33">
        <v>30</v>
      </c>
    </row>
    <row r="136" spans="2:3" x14ac:dyDescent="0.25">
      <c r="B136" s="33" t="s">
        <v>1627</v>
      </c>
      <c r="C136" s="33">
        <v>30</v>
      </c>
    </row>
    <row r="137" spans="2:3" x14ac:dyDescent="0.25">
      <c r="B137" s="33" t="s">
        <v>1628</v>
      </c>
      <c r="C137" s="33">
        <v>30</v>
      </c>
    </row>
    <row r="138" spans="2:3" x14ac:dyDescent="0.25">
      <c r="B138" s="33" t="s">
        <v>1629</v>
      </c>
      <c r="C138" s="33">
        <v>30</v>
      </c>
    </row>
    <row r="139" spans="2:3" x14ac:dyDescent="0.25">
      <c r="B139" s="33" t="s">
        <v>1630</v>
      </c>
      <c r="C139" s="33">
        <v>30</v>
      </c>
    </row>
    <row r="140" spans="2:3" x14ac:dyDescent="0.25">
      <c r="B140" s="33" t="s">
        <v>1631</v>
      </c>
      <c r="C140" s="33">
        <v>30</v>
      </c>
    </row>
    <row r="141" spans="2:3" x14ac:dyDescent="0.25">
      <c r="B141" s="33" t="s">
        <v>1632</v>
      </c>
      <c r="C141" s="33">
        <v>30</v>
      </c>
    </row>
    <row r="142" spans="2:3" x14ac:dyDescent="0.25">
      <c r="B142" s="33" t="s">
        <v>1633</v>
      </c>
      <c r="C142" s="33">
        <v>30</v>
      </c>
    </row>
    <row r="143" spans="2:3" x14ac:dyDescent="0.25">
      <c r="B143" s="33" t="s">
        <v>1634</v>
      </c>
      <c r="C143" s="33">
        <v>30</v>
      </c>
    </row>
    <row r="144" spans="2:3" x14ac:dyDescent="0.25">
      <c r="B144" s="33" t="s">
        <v>1635</v>
      </c>
      <c r="C144" s="33">
        <v>30</v>
      </c>
    </row>
    <row r="145" spans="2:3" x14ac:dyDescent="0.25">
      <c r="B145" s="33" t="s">
        <v>1636</v>
      </c>
      <c r="C145" s="33">
        <v>30</v>
      </c>
    </row>
    <row r="146" spans="2:3" x14ac:dyDescent="0.25">
      <c r="B146" s="33" t="s">
        <v>1637</v>
      </c>
      <c r="C146" s="33">
        <v>30</v>
      </c>
    </row>
    <row r="147" spans="2:3" x14ac:dyDescent="0.25">
      <c r="B147" s="33" t="s">
        <v>1638</v>
      </c>
      <c r="C147" s="33">
        <v>30</v>
      </c>
    </row>
    <row r="148" spans="2:3" x14ac:dyDescent="0.25">
      <c r="B148" s="33" t="s">
        <v>1639</v>
      </c>
      <c r="C148" s="33">
        <v>30</v>
      </c>
    </row>
    <row r="149" spans="2:3" x14ac:dyDescent="0.25">
      <c r="B149" s="33" t="s">
        <v>1640</v>
      </c>
      <c r="C149" s="33">
        <v>30</v>
      </c>
    </row>
    <row r="150" spans="2:3" x14ac:dyDescent="0.25">
      <c r="B150" s="33" t="s">
        <v>1641</v>
      </c>
      <c r="C150" s="33">
        <v>30</v>
      </c>
    </row>
    <row r="151" spans="2:3" x14ac:dyDescent="0.25">
      <c r="B151" s="33" t="s">
        <v>1642</v>
      </c>
      <c r="C151" s="33">
        <v>30</v>
      </c>
    </row>
    <row r="152" spans="2:3" x14ac:dyDescent="0.25">
      <c r="B152" s="33" t="s">
        <v>1643</v>
      </c>
      <c r="C152" s="33">
        <v>30</v>
      </c>
    </row>
    <row r="153" spans="2:3" x14ac:dyDescent="0.25">
      <c r="B153" s="33" t="s">
        <v>1644</v>
      </c>
      <c r="C153" s="33">
        <v>30</v>
      </c>
    </row>
    <row r="154" spans="2:3" x14ac:dyDescent="0.25">
      <c r="B154" s="33" t="s">
        <v>1645</v>
      </c>
      <c r="C154" s="33">
        <v>30</v>
      </c>
    </row>
    <row r="155" spans="2:3" x14ac:dyDescent="0.25">
      <c r="B155" s="33" t="s">
        <v>1646</v>
      </c>
      <c r="C155" s="33">
        <v>30</v>
      </c>
    </row>
    <row r="156" spans="2:3" x14ac:dyDescent="0.25">
      <c r="B156" s="33" t="s">
        <v>1647</v>
      </c>
      <c r="C156" s="33">
        <v>30</v>
      </c>
    </row>
    <row r="157" spans="2:3" x14ac:dyDescent="0.25">
      <c r="B157" s="33" t="s">
        <v>1648</v>
      </c>
      <c r="C157" s="33">
        <v>30</v>
      </c>
    </row>
    <row r="158" spans="2:3" x14ac:dyDescent="0.25">
      <c r="B158" s="33" t="s">
        <v>1649</v>
      </c>
      <c r="C158" s="33">
        <v>30</v>
      </c>
    </row>
    <row r="159" spans="2:3" x14ac:dyDescent="0.25">
      <c r="B159" s="33" t="s">
        <v>1650</v>
      </c>
      <c r="C159" s="33">
        <v>30</v>
      </c>
    </row>
    <row r="160" spans="2:3" x14ac:dyDescent="0.25">
      <c r="B160" s="33" t="s">
        <v>1651</v>
      </c>
      <c r="C160" s="33">
        <v>30</v>
      </c>
    </row>
    <row r="161" spans="2:3" x14ac:dyDescent="0.25">
      <c r="B161" s="33" t="s">
        <v>1652</v>
      </c>
      <c r="C161" s="33">
        <v>30</v>
      </c>
    </row>
    <row r="162" spans="2:3" x14ac:dyDescent="0.25">
      <c r="B162" s="33" t="s">
        <v>1653</v>
      </c>
      <c r="C162" s="33">
        <v>30</v>
      </c>
    </row>
    <row r="163" spans="2:3" x14ac:dyDescent="0.25">
      <c r="B163" s="33" t="s">
        <v>1654</v>
      </c>
      <c r="C163" s="33">
        <v>30</v>
      </c>
    </row>
    <row r="164" spans="2:3" x14ac:dyDescent="0.25">
      <c r="B164" s="33" t="s">
        <v>1655</v>
      </c>
      <c r="C164" s="33">
        <v>30</v>
      </c>
    </row>
    <row r="165" spans="2:3" x14ac:dyDescent="0.25">
      <c r="B165" s="33" t="s">
        <v>1656</v>
      </c>
      <c r="C165" s="33">
        <v>30</v>
      </c>
    </row>
    <row r="166" spans="2:3" x14ac:dyDescent="0.25">
      <c r="B166" s="33" t="s">
        <v>1657</v>
      </c>
      <c r="C166" s="33">
        <v>30</v>
      </c>
    </row>
    <row r="167" spans="2:3" x14ac:dyDescent="0.25">
      <c r="B167" s="33" t="s">
        <v>1658</v>
      </c>
      <c r="C167" s="33">
        <v>30</v>
      </c>
    </row>
    <row r="168" spans="2:3" x14ac:dyDescent="0.25">
      <c r="B168" s="33" t="s">
        <v>1659</v>
      </c>
      <c r="C168" s="33">
        <v>30</v>
      </c>
    </row>
    <row r="169" spans="2:3" x14ac:dyDescent="0.25">
      <c r="B169" s="33" t="s">
        <v>1660</v>
      </c>
      <c r="C169" s="33">
        <v>30</v>
      </c>
    </row>
    <row r="170" spans="2:3" x14ac:dyDescent="0.25">
      <c r="B170" s="33" t="s">
        <v>1661</v>
      </c>
      <c r="C170" s="33">
        <v>30</v>
      </c>
    </row>
    <row r="171" spans="2:3" x14ac:dyDescent="0.25">
      <c r="B171" s="33" t="s">
        <v>1662</v>
      </c>
      <c r="C171" s="33">
        <v>30</v>
      </c>
    </row>
    <row r="172" spans="2:3" x14ac:dyDescent="0.25">
      <c r="B172" s="33" t="s">
        <v>1663</v>
      </c>
      <c r="C172" s="33">
        <v>30</v>
      </c>
    </row>
    <row r="173" spans="2:3" x14ac:dyDescent="0.25">
      <c r="B173" s="33" t="s">
        <v>1664</v>
      </c>
      <c r="C173" s="33">
        <v>30</v>
      </c>
    </row>
    <row r="174" spans="2:3" x14ac:dyDescent="0.25">
      <c r="B174" s="33" t="s">
        <v>1665</v>
      </c>
      <c r="C174" s="33">
        <v>30</v>
      </c>
    </row>
    <row r="175" spans="2:3" x14ac:dyDescent="0.25">
      <c r="B175" s="33" t="s">
        <v>1666</v>
      </c>
      <c r="C175" s="33">
        <v>30</v>
      </c>
    </row>
    <row r="176" spans="2:3" x14ac:dyDescent="0.25">
      <c r="B176" s="33" t="s">
        <v>1667</v>
      </c>
      <c r="C176" s="33">
        <v>30</v>
      </c>
    </row>
    <row r="177" spans="2:3" x14ac:dyDescent="0.25">
      <c r="B177" s="33" t="s">
        <v>1668</v>
      </c>
      <c r="C177" s="33">
        <v>30</v>
      </c>
    </row>
    <row r="178" spans="2:3" x14ac:dyDescent="0.25">
      <c r="B178" s="33" t="s">
        <v>1669</v>
      </c>
      <c r="C178" s="33">
        <v>30</v>
      </c>
    </row>
    <row r="179" spans="2:3" x14ac:dyDescent="0.25">
      <c r="B179" s="33" t="s">
        <v>1670</v>
      </c>
      <c r="C179" s="33">
        <v>30</v>
      </c>
    </row>
    <row r="180" spans="2:3" x14ac:dyDescent="0.25">
      <c r="B180" s="33" t="s">
        <v>1671</v>
      </c>
      <c r="C180" s="33">
        <v>30</v>
      </c>
    </row>
    <row r="181" spans="2:3" x14ac:dyDescent="0.25">
      <c r="B181" s="33" t="s">
        <v>1672</v>
      </c>
      <c r="C181" s="33">
        <v>30</v>
      </c>
    </row>
    <row r="182" spans="2:3" x14ac:dyDescent="0.25">
      <c r="B182" s="33" t="s">
        <v>1673</v>
      </c>
      <c r="C182" s="33">
        <v>30</v>
      </c>
    </row>
    <row r="183" spans="2:3" x14ac:dyDescent="0.25">
      <c r="B183" s="33" t="s">
        <v>1674</v>
      </c>
      <c r="C183" s="33">
        <v>30</v>
      </c>
    </row>
    <row r="184" spans="2:3" x14ac:dyDescent="0.25">
      <c r="B184" s="33" t="s">
        <v>1675</v>
      </c>
      <c r="C184" s="33">
        <v>30</v>
      </c>
    </row>
    <row r="185" spans="2:3" x14ac:dyDescent="0.25">
      <c r="B185" s="33" t="s">
        <v>1676</v>
      </c>
      <c r="C185" s="33">
        <v>30</v>
      </c>
    </row>
    <row r="186" spans="2:3" x14ac:dyDescent="0.25">
      <c r="B186" s="33" t="s">
        <v>1677</v>
      </c>
      <c r="C186" s="33">
        <v>30</v>
      </c>
    </row>
    <row r="187" spans="2:3" x14ac:dyDescent="0.25">
      <c r="B187" s="33" t="s">
        <v>1678</v>
      </c>
      <c r="C187" s="33">
        <v>30</v>
      </c>
    </row>
    <row r="188" spans="2:3" x14ac:dyDescent="0.25">
      <c r="B188" s="33" t="s">
        <v>1679</v>
      </c>
      <c r="C188" s="33">
        <v>30</v>
      </c>
    </row>
    <row r="189" spans="2:3" x14ac:dyDescent="0.25">
      <c r="B189" s="33" t="s">
        <v>1680</v>
      </c>
      <c r="C189" s="33">
        <v>30</v>
      </c>
    </row>
    <row r="190" spans="2:3" x14ac:dyDescent="0.25">
      <c r="B190" s="33" t="s">
        <v>1681</v>
      </c>
      <c r="C190" s="33">
        <v>30</v>
      </c>
    </row>
    <row r="191" spans="2:3" x14ac:dyDescent="0.25">
      <c r="B191" s="33" t="s">
        <v>1682</v>
      </c>
      <c r="C191" s="33">
        <v>30</v>
      </c>
    </row>
    <row r="192" spans="2:3" x14ac:dyDescent="0.25">
      <c r="B192" s="33" t="s">
        <v>1683</v>
      </c>
      <c r="C192" s="33">
        <v>30</v>
      </c>
    </row>
    <row r="193" spans="2:3" x14ac:dyDescent="0.25">
      <c r="B193" s="33" t="s">
        <v>1684</v>
      </c>
      <c r="C193" s="33">
        <v>30</v>
      </c>
    </row>
    <row r="194" spans="2:3" x14ac:dyDescent="0.25">
      <c r="B194" s="33" t="s">
        <v>1685</v>
      </c>
      <c r="C194" s="33">
        <v>30</v>
      </c>
    </row>
    <row r="195" spans="2:3" x14ac:dyDescent="0.25">
      <c r="B195" s="33" t="s">
        <v>1686</v>
      </c>
      <c r="C195" s="33">
        <v>30</v>
      </c>
    </row>
    <row r="196" spans="2:3" x14ac:dyDescent="0.25">
      <c r="B196" s="33" t="s">
        <v>1687</v>
      </c>
      <c r="C196" s="33">
        <v>30</v>
      </c>
    </row>
    <row r="197" spans="2:3" x14ac:dyDescent="0.25">
      <c r="B197" s="33" t="s">
        <v>1688</v>
      </c>
      <c r="C197" s="33">
        <v>30</v>
      </c>
    </row>
    <row r="198" spans="2:3" x14ac:dyDescent="0.25">
      <c r="B198" s="33" t="s">
        <v>1689</v>
      </c>
      <c r="C198" s="33">
        <v>30</v>
      </c>
    </row>
    <row r="199" spans="2:3" x14ac:dyDescent="0.25">
      <c r="B199" s="33" t="s">
        <v>1690</v>
      </c>
      <c r="C199" s="33">
        <v>30</v>
      </c>
    </row>
    <row r="200" spans="2:3" x14ac:dyDescent="0.25">
      <c r="B200" s="33" t="s">
        <v>1691</v>
      </c>
      <c r="C200" s="33">
        <v>30</v>
      </c>
    </row>
    <row r="201" spans="2:3" x14ac:dyDescent="0.25">
      <c r="B201" s="33" t="s">
        <v>1692</v>
      </c>
      <c r="C201" s="33">
        <v>30</v>
      </c>
    </row>
    <row r="202" spans="2:3" x14ac:dyDescent="0.25">
      <c r="B202" s="33" t="s">
        <v>1693</v>
      </c>
      <c r="C202" s="33">
        <v>30</v>
      </c>
    </row>
    <row r="203" spans="2:3" x14ac:dyDescent="0.25">
      <c r="B203" s="33" t="s">
        <v>1694</v>
      </c>
      <c r="C203" s="33">
        <v>30</v>
      </c>
    </row>
    <row r="204" spans="2:3" x14ac:dyDescent="0.25">
      <c r="B204" s="33" t="s">
        <v>1695</v>
      </c>
      <c r="C204" s="33">
        <v>30</v>
      </c>
    </row>
    <row r="205" spans="2:3" x14ac:dyDescent="0.25">
      <c r="B205" s="33" t="s">
        <v>1696</v>
      </c>
      <c r="C205" s="33">
        <v>30</v>
      </c>
    </row>
    <row r="206" spans="2:3" x14ac:dyDescent="0.25">
      <c r="B206" s="33" t="s">
        <v>1697</v>
      </c>
      <c r="C206" s="33">
        <v>30</v>
      </c>
    </row>
    <row r="207" spans="2:3" x14ac:dyDescent="0.25">
      <c r="B207" s="33" t="s">
        <v>1698</v>
      </c>
      <c r="C207" s="33">
        <v>30</v>
      </c>
    </row>
    <row r="208" spans="2:3" x14ac:dyDescent="0.25">
      <c r="B208" s="33" t="s">
        <v>1699</v>
      </c>
      <c r="C208" s="33">
        <v>30</v>
      </c>
    </row>
    <row r="209" spans="2:3" x14ac:dyDescent="0.25">
      <c r="B209" s="33" t="s">
        <v>1700</v>
      </c>
      <c r="C209" s="33">
        <v>30</v>
      </c>
    </row>
    <row r="210" spans="2:3" x14ac:dyDescent="0.25">
      <c r="B210" s="33" t="s">
        <v>1701</v>
      </c>
      <c r="C210" s="33">
        <v>30</v>
      </c>
    </row>
    <row r="211" spans="2:3" x14ac:dyDescent="0.25">
      <c r="B211" s="33" t="s">
        <v>1702</v>
      </c>
      <c r="C211" s="33">
        <v>30</v>
      </c>
    </row>
    <row r="212" spans="2:3" x14ac:dyDescent="0.25">
      <c r="B212" s="33" t="s">
        <v>1703</v>
      </c>
      <c r="C212" s="33">
        <v>30</v>
      </c>
    </row>
    <row r="213" spans="2:3" x14ac:dyDescent="0.25">
      <c r="B213" s="33" t="s">
        <v>1704</v>
      </c>
      <c r="C213" s="33">
        <v>30</v>
      </c>
    </row>
    <row r="214" spans="2:3" x14ac:dyDescent="0.25">
      <c r="B214" s="33" t="s">
        <v>1705</v>
      </c>
      <c r="C214" s="33">
        <v>30</v>
      </c>
    </row>
    <row r="215" spans="2:3" x14ac:dyDescent="0.25">
      <c r="B215" s="33" t="s">
        <v>1706</v>
      </c>
      <c r="C215" s="33">
        <v>30</v>
      </c>
    </row>
    <row r="216" spans="2:3" x14ac:dyDescent="0.25">
      <c r="B216" s="33" t="s">
        <v>1707</v>
      </c>
      <c r="C216" s="33">
        <v>30</v>
      </c>
    </row>
    <row r="217" spans="2:3" x14ac:dyDescent="0.25">
      <c r="B217" s="33" t="s">
        <v>1708</v>
      </c>
      <c r="C217" s="33">
        <v>30</v>
      </c>
    </row>
    <row r="218" spans="2:3" x14ac:dyDescent="0.25">
      <c r="B218" s="33" t="s">
        <v>1709</v>
      </c>
      <c r="C218" s="33">
        <v>30</v>
      </c>
    </row>
    <row r="219" spans="2:3" x14ac:dyDescent="0.25">
      <c r="B219" s="33" t="s">
        <v>1710</v>
      </c>
      <c r="C219" s="33">
        <v>30</v>
      </c>
    </row>
    <row r="220" spans="2:3" x14ac:dyDescent="0.25">
      <c r="B220" s="33" t="s">
        <v>1711</v>
      </c>
      <c r="C220" s="33">
        <v>30</v>
      </c>
    </row>
    <row r="221" spans="2:3" x14ac:dyDescent="0.25">
      <c r="B221" s="33" t="s">
        <v>1712</v>
      </c>
      <c r="C221" s="33">
        <v>30</v>
      </c>
    </row>
    <row r="222" spans="2:3" x14ac:dyDescent="0.25">
      <c r="B222" s="33" t="s">
        <v>1713</v>
      </c>
      <c r="C222" s="33">
        <v>30</v>
      </c>
    </row>
    <row r="223" spans="2:3" x14ac:dyDescent="0.25">
      <c r="B223" s="33" t="s">
        <v>1714</v>
      </c>
      <c r="C223" s="33">
        <v>30</v>
      </c>
    </row>
    <row r="224" spans="2:3" x14ac:dyDescent="0.25">
      <c r="B224" s="33" t="s">
        <v>1715</v>
      </c>
      <c r="C224" s="33">
        <v>30</v>
      </c>
    </row>
    <row r="225" spans="2:3" x14ac:dyDescent="0.25">
      <c r="B225" s="33" t="s">
        <v>1716</v>
      </c>
      <c r="C225" s="33">
        <v>30</v>
      </c>
    </row>
    <row r="226" spans="2:3" x14ac:dyDescent="0.25">
      <c r="B226" s="33" t="s">
        <v>1717</v>
      </c>
      <c r="C226" s="33">
        <v>30</v>
      </c>
    </row>
    <row r="227" spans="2:3" x14ac:dyDescent="0.25">
      <c r="B227" s="33" t="s">
        <v>1718</v>
      </c>
      <c r="C227" s="33">
        <v>30</v>
      </c>
    </row>
    <row r="228" spans="2:3" x14ac:dyDescent="0.25">
      <c r="B228" s="33" t="s">
        <v>1719</v>
      </c>
      <c r="C228" s="33">
        <v>30</v>
      </c>
    </row>
    <row r="229" spans="2:3" x14ac:dyDescent="0.25">
      <c r="B229" s="33" t="s">
        <v>1720</v>
      </c>
      <c r="C229" s="33">
        <v>30</v>
      </c>
    </row>
    <row r="230" spans="2:3" x14ac:dyDescent="0.25">
      <c r="B230" s="33" t="s">
        <v>1721</v>
      </c>
      <c r="C230" s="33">
        <v>30</v>
      </c>
    </row>
    <row r="231" spans="2:3" x14ac:dyDescent="0.25">
      <c r="B231" s="33" t="s">
        <v>1722</v>
      </c>
      <c r="C231" s="33">
        <v>30</v>
      </c>
    </row>
    <row r="232" spans="2:3" x14ac:dyDescent="0.25">
      <c r="B232" s="33" t="s">
        <v>1723</v>
      </c>
      <c r="C232" s="33">
        <v>30</v>
      </c>
    </row>
    <row r="233" spans="2:3" x14ac:dyDescent="0.25">
      <c r="B233" s="33" t="s">
        <v>1724</v>
      </c>
      <c r="C233" s="33">
        <v>30</v>
      </c>
    </row>
    <row r="234" spans="2:3" x14ac:dyDescent="0.25">
      <c r="B234" s="33" t="s">
        <v>1725</v>
      </c>
      <c r="C234" s="33">
        <v>30</v>
      </c>
    </row>
    <row r="235" spans="2:3" x14ac:dyDescent="0.25">
      <c r="B235" s="33" t="s">
        <v>1726</v>
      </c>
      <c r="C235" s="33">
        <v>30</v>
      </c>
    </row>
    <row r="236" spans="2:3" x14ac:dyDescent="0.25">
      <c r="B236" s="33" t="s">
        <v>1727</v>
      </c>
      <c r="C236" s="33">
        <v>30</v>
      </c>
    </row>
    <row r="237" spans="2:3" x14ac:dyDescent="0.25">
      <c r="B237" s="33" t="s">
        <v>1728</v>
      </c>
      <c r="C237" s="33">
        <v>30</v>
      </c>
    </row>
    <row r="238" spans="2:3" x14ac:dyDescent="0.25">
      <c r="B238" s="33" t="s">
        <v>1729</v>
      </c>
      <c r="C238" s="33">
        <v>30</v>
      </c>
    </row>
    <row r="239" spans="2:3" x14ac:dyDescent="0.25">
      <c r="B239" s="33" t="s">
        <v>1730</v>
      </c>
      <c r="C239" s="33">
        <v>30</v>
      </c>
    </row>
    <row r="240" spans="2:3" x14ac:dyDescent="0.25">
      <c r="B240" s="33" t="s">
        <v>1731</v>
      </c>
      <c r="C240" s="33">
        <v>30</v>
      </c>
    </row>
    <row r="241" spans="2:3" x14ac:dyDescent="0.25">
      <c r="B241" s="33" t="s">
        <v>1732</v>
      </c>
      <c r="C241" s="33">
        <v>30</v>
      </c>
    </row>
    <row r="242" spans="2:3" x14ac:dyDescent="0.25">
      <c r="B242" s="33" t="s">
        <v>1733</v>
      </c>
      <c r="C242" s="33">
        <v>30</v>
      </c>
    </row>
    <row r="243" spans="2:3" x14ac:dyDescent="0.25">
      <c r="B243" s="33" t="s">
        <v>1734</v>
      </c>
      <c r="C243" s="33">
        <v>30</v>
      </c>
    </row>
    <row r="244" spans="2:3" x14ac:dyDescent="0.25">
      <c r="B244" s="33" t="s">
        <v>1735</v>
      </c>
      <c r="C244" s="33">
        <v>30</v>
      </c>
    </row>
    <row r="245" spans="2:3" x14ac:dyDescent="0.25">
      <c r="B245" s="33" t="s">
        <v>1736</v>
      </c>
      <c r="C245" s="33">
        <v>30</v>
      </c>
    </row>
    <row r="246" spans="2:3" x14ac:dyDescent="0.25">
      <c r="B246" s="33" t="s">
        <v>1737</v>
      </c>
      <c r="C246" s="33">
        <v>30</v>
      </c>
    </row>
    <row r="247" spans="2:3" x14ac:dyDescent="0.25">
      <c r="B247" s="33" t="s">
        <v>1738</v>
      </c>
      <c r="C247" s="33">
        <v>30</v>
      </c>
    </row>
    <row r="248" spans="2:3" x14ac:dyDescent="0.25">
      <c r="B248" s="33" t="s">
        <v>1739</v>
      </c>
      <c r="C248" s="33">
        <v>30</v>
      </c>
    </row>
    <row r="249" spans="2:3" x14ac:dyDescent="0.25">
      <c r="B249" s="33" t="s">
        <v>1740</v>
      </c>
      <c r="C249" s="33">
        <v>30</v>
      </c>
    </row>
    <row r="250" spans="2:3" x14ac:dyDescent="0.25">
      <c r="B250" s="33" t="s">
        <v>1741</v>
      </c>
      <c r="C250" s="33">
        <v>30</v>
      </c>
    </row>
    <row r="251" spans="2:3" x14ac:dyDescent="0.25">
      <c r="B251" s="33" t="s">
        <v>1742</v>
      </c>
      <c r="C251" s="33">
        <v>30</v>
      </c>
    </row>
    <row r="252" spans="2:3" x14ac:dyDescent="0.25">
      <c r="B252" s="33" t="s">
        <v>1743</v>
      </c>
      <c r="C252" s="33">
        <v>30</v>
      </c>
    </row>
    <row r="253" spans="2:3" x14ac:dyDescent="0.25">
      <c r="B253" s="33" t="s">
        <v>1744</v>
      </c>
      <c r="C253" s="33">
        <v>30</v>
      </c>
    </row>
    <row r="254" spans="2:3" x14ac:dyDescent="0.25">
      <c r="B254" s="33" t="s">
        <v>1745</v>
      </c>
      <c r="C254" s="33">
        <v>30</v>
      </c>
    </row>
    <row r="255" spans="2:3" x14ac:dyDescent="0.25">
      <c r="B255" s="33" t="s">
        <v>1746</v>
      </c>
      <c r="C255" s="33">
        <v>30</v>
      </c>
    </row>
    <row r="256" spans="2:3" x14ac:dyDescent="0.25">
      <c r="B256" s="33" t="s">
        <v>1747</v>
      </c>
      <c r="C256" s="33">
        <v>30</v>
      </c>
    </row>
    <row r="257" spans="2:3" x14ac:dyDescent="0.25">
      <c r="B257" s="33" t="s">
        <v>1748</v>
      </c>
      <c r="C257" s="33">
        <v>30</v>
      </c>
    </row>
    <row r="258" spans="2:3" x14ac:dyDescent="0.25">
      <c r="B258" s="33" t="s">
        <v>1749</v>
      </c>
      <c r="C258" s="33">
        <v>30</v>
      </c>
    </row>
    <row r="259" spans="2:3" x14ac:dyDescent="0.25">
      <c r="B259" s="33" t="s">
        <v>1750</v>
      </c>
      <c r="C259" s="33">
        <v>30</v>
      </c>
    </row>
    <row r="260" spans="2:3" x14ac:dyDescent="0.25">
      <c r="B260" s="33" t="s">
        <v>1751</v>
      </c>
      <c r="C260" s="33">
        <v>30</v>
      </c>
    </row>
    <row r="261" spans="2:3" x14ac:dyDescent="0.25">
      <c r="B261" s="33" t="s">
        <v>1752</v>
      </c>
      <c r="C261" s="33">
        <v>30</v>
      </c>
    </row>
    <row r="262" spans="2:3" x14ac:dyDescent="0.25">
      <c r="B262" s="33" t="s">
        <v>1753</v>
      </c>
      <c r="C262" s="33">
        <v>30</v>
      </c>
    </row>
    <row r="263" spans="2:3" x14ac:dyDescent="0.25">
      <c r="B263" s="33" t="s">
        <v>1754</v>
      </c>
      <c r="C263" s="33">
        <v>30</v>
      </c>
    </row>
    <row r="264" spans="2:3" x14ac:dyDescent="0.25">
      <c r="B264" s="33" t="s">
        <v>1755</v>
      </c>
      <c r="C264" s="33">
        <v>30</v>
      </c>
    </row>
    <row r="265" spans="2:3" x14ac:dyDescent="0.25">
      <c r="B265" s="33" t="s">
        <v>1756</v>
      </c>
      <c r="C265" s="33">
        <v>30</v>
      </c>
    </row>
    <row r="266" spans="2:3" x14ac:dyDescent="0.25">
      <c r="B266" s="33" t="s">
        <v>1757</v>
      </c>
      <c r="C266" s="33">
        <v>30</v>
      </c>
    </row>
    <row r="267" spans="2:3" x14ac:dyDescent="0.25">
      <c r="B267" s="33" t="s">
        <v>1758</v>
      </c>
      <c r="C267" s="33">
        <v>30</v>
      </c>
    </row>
    <row r="268" spans="2:3" x14ac:dyDescent="0.25">
      <c r="B268" s="33" t="s">
        <v>1759</v>
      </c>
      <c r="C268" s="33">
        <v>30</v>
      </c>
    </row>
    <row r="269" spans="2:3" x14ac:dyDescent="0.25">
      <c r="B269" s="33" t="s">
        <v>1760</v>
      </c>
      <c r="C269" s="33">
        <v>30</v>
      </c>
    </row>
    <row r="270" spans="2:3" x14ac:dyDescent="0.25">
      <c r="B270" s="33" t="s">
        <v>1761</v>
      </c>
      <c r="C270" s="33">
        <v>30</v>
      </c>
    </row>
    <row r="271" spans="2:3" x14ac:dyDescent="0.25">
      <c r="B271" s="33" t="s">
        <v>1762</v>
      </c>
      <c r="C271" s="33">
        <v>30</v>
      </c>
    </row>
    <row r="272" spans="2:3" x14ac:dyDescent="0.25">
      <c r="B272" s="33" t="s">
        <v>1763</v>
      </c>
      <c r="C272" s="33">
        <v>30</v>
      </c>
    </row>
    <row r="273" spans="2:3" x14ac:dyDescent="0.25">
      <c r="B273" s="33" t="s">
        <v>1764</v>
      </c>
      <c r="C273" s="33">
        <v>30</v>
      </c>
    </row>
    <row r="274" spans="2:3" x14ac:dyDescent="0.25">
      <c r="B274" s="33" t="s">
        <v>1765</v>
      </c>
      <c r="C274" s="33">
        <v>30</v>
      </c>
    </row>
    <row r="275" spans="2:3" x14ac:dyDescent="0.25">
      <c r="B275" s="33" t="s">
        <v>1766</v>
      </c>
      <c r="C275" s="33">
        <v>30</v>
      </c>
    </row>
    <row r="276" spans="2:3" x14ac:dyDescent="0.25">
      <c r="B276" s="33" t="s">
        <v>1767</v>
      </c>
      <c r="C276" s="33">
        <v>30</v>
      </c>
    </row>
    <row r="277" spans="2:3" x14ac:dyDescent="0.25">
      <c r="B277" s="33" t="s">
        <v>1768</v>
      </c>
      <c r="C277" s="33">
        <v>30</v>
      </c>
    </row>
    <row r="278" spans="2:3" x14ac:dyDescent="0.25">
      <c r="B278" s="33" t="s">
        <v>1769</v>
      </c>
      <c r="C278" s="33">
        <v>30</v>
      </c>
    </row>
    <row r="279" spans="2:3" x14ac:dyDescent="0.25">
      <c r="B279" s="33" t="s">
        <v>1770</v>
      </c>
      <c r="C279" s="33">
        <v>30</v>
      </c>
    </row>
    <row r="280" spans="2:3" x14ac:dyDescent="0.25">
      <c r="B280" s="33" t="s">
        <v>1771</v>
      </c>
      <c r="C280" s="33">
        <v>30</v>
      </c>
    </row>
    <row r="281" spans="2:3" x14ac:dyDescent="0.25">
      <c r="B281" s="33" t="s">
        <v>1772</v>
      </c>
      <c r="C281" s="33">
        <v>30</v>
      </c>
    </row>
    <row r="282" spans="2:3" x14ac:dyDescent="0.25">
      <c r="B282" s="33" t="s">
        <v>1773</v>
      </c>
      <c r="C282" s="33">
        <v>30</v>
      </c>
    </row>
    <row r="283" spans="2:3" x14ac:dyDescent="0.25">
      <c r="B283" s="33" t="s">
        <v>1774</v>
      </c>
      <c r="C283" s="33">
        <v>30</v>
      </c>
    </row>
    <row r="284" spans="2:3" x14ac:dyDescent="0.25">
      <c r="B284" s="33" t="s">
        <v>1775</v>
      </c>
      <c r="C284" s="33">
        <v>30</v>
      </c>
    </row>
    <row r="285" spans="2:3" x14ac:dyDescent="0.25">
      <c r="B285" s="33" t="s">
        <v>1776</v>
      </c>
      <c r="C285" s="33">
        <v>30</v>
      </c>
    </row>
    <row r="286" spans="2:3" x14ac:dyDescent="0.25">
      <c r="B286" s="33" t="s">
        <v>1777</v>
      </c>
      <c r="C286" s="33">
        <v>30</v>
      </c>
    </row>
    <row r="287" spans="2:3" x14ac:dyDescent="0.25">
      <c r="B287" s="33" t="s">
        <v>1778</v>
      </c>
      <c r="C287" s="33">
        <v>30</v>
      </c>
    </row>
    <row r="288" spans="2:3" x14ac:dyDescent="0.25">
      <c r="B288" s="33" t="s">
        <v>1779</v>
      </c>
      <c r="C288" s="33">
        <v>30</v>
      </c>
    </row>
    <row r="289" spans="2:3" x14ac:dyDescent="0.25">
      <c r="B289" s="33" t="s">
        <v>1780</v>
      </c>
      <c r="C289" s="33">
        <v>30</v>
      </c>
    </row>
    <row r="290" spans="2:3" x14ac:dyDescent="0.25">
      <c r="B290" s="33" t="s">
        <v>1781</v>
      </c>
      <c r="C290" s="33">
        <v>30</v>
      </c>
    </row>
    <row r="291" spans="2:3" x14ac:dyDescent="0.25">
      <c r="B291" s="33" t="s">
        <v>1782</v>
      </c>
      <c r="C291" s="33">
        <v>30</v>
      </c>
    </row>
    <row r="292" spans="2:3" x14ac:dyDescent="0.25">
      <c r="B292" s="33" t="s">
        <v>1783</v>
      </c>
      <c r="C292" s="33">
        <v>30</v>
      </c>
    </row>
    <row r="293" spans="2:3" x14ac:dyDescent="0.25">
      <c r="B293" s="33" t="s">
        <v>1784</v>
      </c>
      <c r="C293" s="33">
        <v>30</v>
      </c>
    </row>
    <row r="294" spans="2:3" x14ac:dyDescent="0.25">
      <c r="B294" s="33" t="s">
        <v>1785</v>
      </c>
      <c r="C294" s="33">
        <v>30</v>
      </c>
    </row>
    <row r="295" spans="2:3" x14ac:dyDescent="0.25">
      <c r="B295" s="33" t="s">
        <v>1786</v>
      </c>
      <c r="C295" s="33">
        <v>30</v>
      </c>
    </row>
    <row r="296" spans="2:3" x14ac:dyDescent="0.25">
      <c r="B296" s="33" t="s">
        <v>1787</v>
      </c>
      <c r="C296" s="33">
        <v>30</v>
      </c>
    </row>
    <row r="297" spans="2:3" x14ac:dyDescent="0.25">
      <c r="B297" s="33" t="s">
        <v>1788</v>
      </c>
      <c r="C297" s="33">
        <v>30</v>
      </c>
    </row>
    <row r="298" spans="2:3" x14ac:dyDescent="0.25">
      <c r="B298" s="33" t="s">
        <v>1789</v>
      </c>
      <c r="C298" s="33">
        <v>30</v>
      </c>
    </row>
    <row r="299" spans="2:3" x14ac:dyDescent="0.25">
      <c r="B299" s="33" t="s">
        <v>1790</v>
      </c>
      <c r="C299" s="33">
        <v>30</v>
      </c>
    </row>
    <row r="300" spans="2:3" x14ac:dyDescent="0.25">
      <c r="B300" s="33" t="s">
        <v>1791</v>
      </c>
      <c r="C300" s="33">
        <v>30</v>
      </c>
    </row>
    <row r="301" spans="2:3" x14ac:dyDescent="0.25">
      <c r="B301" s="33" t="s">
        <v>1792</v>
      </c>
      <c r="C301" s="33">
        <v>30</v>
      </c>
    </row>
    <row r="302" spans="2:3" x14ac:dyDescent="0.25">
      <c r="B302" s="33" t="s">
        <v>1793</v>
      </c>
      <c r="C302" s="33">
        <v>30</v>
      </c>
    </row>
    <row r="303" spans="2:3" x14ac:dyDescent="0.25">
      <c r="B303" s="33" t="s">
        <v>1794</v>
      </c>
      <c r="C303" s="33">
        <v>30</v>
      </c>
    </row>
    <row r="304" spans="2:3" x14ac:dyDescent="0.25">
      <c r="B304" s="33" t="s">
        <v>1795</v>
      </c>
      <c r="C304" s="33">
        <v>30</v>
      </c>
    </row>
    <row r="305" spans="2:3" x14ac:dyDescent="0.25">
      <c r="B305" s="33" t="s">
        <v>1796</v>
      </c>
      <c r="C305" s="33">
        <v>30</v>
      </c>
    </row>
    <row r="306" spans="2:3" x14ac:dyDescent="0.25">
      <c r="B306" s="33" t="s">
        <v>1797</v>
      </c>
      <c r="C306" s="33">
        <v>30</v>
      </c>
    </row>
    <row r="307" spans="2:3" x14ac:dyDescent="0.25">
      <c r="B307" s="33" t="s">
        <v>1798</v>
      </c>
      <c r="C307" s="33">
        <v>30</v>
      </c>
    </row>
    <row r="308" spans="2:3" x14ac:dyDescent="0.25">
      <c r="B308" s="33" t="s">
        <v>1799</v>
      </c>
      <c r="C308" s="33">
        <v>30</v>
      </c>
    </row>
    <row r="309" spans="2:3" x14ac:dyDescent="0.25">
      <c r="B309" s="33" t="s">
        <v>1800</v>
      </c>
      <c r="C309" s="33">
        <v>30</v>
      </c>
    </row>
    <row r="310" spans="2:3" x14ac:dyDescent="0.25">
      <c r="B310" s="33" t="s">
        <v>1801</v>
      </c>
      <c r="C310" s="33">
        <v>30</v>
      </c>
    </row>
    <row r="311" spans="2:3" x14ac:dyDescent="0.25">
      <c r="B311" s="33" t="s">
        <v>1802</v>
      </c>
      <c r="C311" s="33">
        <v>30</v>
      </c>
    </row>
    <row r="312" spans="2:3" x14ac:dyDescent="0.25">
      <c r="B312" s="33" t="s">
        <v>1803</v>
      </c>
      <c r="C312" s="33">
        <v>30</v>
      </c>
    </row>
    <row r="313" spans="2:3" x14ac:dyDescent="0.25">
      <c r="B313" s="33" t="s">
        <v>1804</v>
      </c>
      <c r="C313" s="33">
        <v>30</v>
      </c>
    </row>
    <row r="314" spans="2:3" x14ac:dyDescent="0.25">
      <c r="B314" s="33" t="s">
        <v>1805</v>
      </c>
      <c r="C314" s="33">
        <v>30</v>
      </c>
    </row>
    <row r="315" spans="2:3" x14ac:dyDescent="0.25">
      <c r="B315" s="33" t="s">
        <v>1806</v>
      </c>
      <c r="C315" s="33">
        <v>30</v>
      </c>
    </row>
    <row r="316" spans="2:3" x14ac:dyDescent="0.25">
      <c r="B316" s="33" t="s">
        <v>1807</v>
      </c>
      <c r="C316" s="33">
        <v>30</v>
      </c>
    </row>
    <row r="317" spans="2:3" x14ac:dyDescent="0.25">
      <c r="B317" s="33" t="s">
        <v>1808</v>
      </c>
      <c r="C317" s="33">
        <v>30</v>
      </c>
    </row>
    <row r="318" spans="2:3" x14ac:dyDescent="0.25">
      <c r="B318" s="33" t="s">
        <v>1809</v>
      </c>
      <c r="C318" s="33">
        <v>30</v>
      </c>
    </row>
    <row r="319" spans="2:3" x14ac:dyDescent="0.25">
      <c r="B319" s="33" t="s">
        <v>1810</v>
      </c>
      <c r="C319" s="33">
        <v>30</v>
      </c>
    </row>
    <row r="320" spans="2:3" x14ac:dyDescent="0.25">
      <c r="B320" s="33" t="s">
        <v>1811</v>
      </c>
      <c r="C320" s="33">
        <v>30</v>
      </c>
    </row>
    <row r="321" spans="2:3" x14ac:dyDescent="0.25">
      <c r="B321" s="33" t="s">
        <v>1812</v>
      </c>
      <c r="C321" s="33">
        <v>30</v>
      </c>
    </row>
    <row r="322" spans="2:3" x14ac:dyDescent="0.25">
      <c r="B322" s="33" t="s">
        <v>1813</v>
      </c>
      <c r="C322" s="33">
        <v>30</v>
      </c>
    </row>
    <row r="323" spans="2:3" x14ac:dyDescent="0.25">
      <c r="B323" s="33" t="s">
        <v>1814</v>
      </c>
      <c r="C323" s="33">
        <v>30</v>
      </c>
    </row>
    <row r="324" spans="2:3" x14ac:dyDescent="0.25">
      <c r="B324" s="33" t="s">
        <v>1815</v>
      </c>
      <c r="C324" s="33">
        <v>30</v>
      </c>
    </row>
    <row r="325" spans="2:3" x14ac:dyDescent="0.25">
      <c r="B325" s="33" t="s">
        <v>1816</v>
      </c>
      <c r="C325" s="33">
        <v>30</v>
      </c>
    </row>
    <row r="326" spans="2:3" x14ac:dyDescent="0.25">
      <c r="B326" s="33" t="s">
        <v>1817</v>
      </c>
      <c r="C326" s="33">
        <v>30</v>
      </c>
    </row>
    <row r="327" spans="2:3" x14ac:dyDescent="0.25">
      <c r="B327" s="33" t="s">
        <v>1818</v>
      </c>
      <c r="C327" s="33">
        <v>30</v>
      </c>
    </row>
    <row r="328" spans="2:3" x14ac:dyDescent="0.25">
      <c r="B328" s="33" t="s">
        <v>1819</v>
      </c>
      <c r="C328" s="33">
        <v>30</v>
      </c>
    </row>
    <row r="329" spans="2:3" x14ac:dyDescent="0.25">
      <c r="B329" s="33" t="s">
        <v>1820</v>
      </c>
      <c r="C329" s="33">
        <v>30</v>
      </c>
    </row>
    <row r="330" spans="2:3" x14ac:dyDescent="0.25">
      <c r="B330" s="33" t="s">
        <v>1821</v>
      </c>
      <c r="C330" s="33">
        <v>30</v>
      </c>
    </row>
    <row r="331" spans="2:3" x14ac:dyDescent="0.25">
      <c r="B331" s="33" t="s">
        <v>1822</v>
      </c>
      <c r="C331" s="33">
        <v>30</v>
      </c>
    </row>
    <row r="332" spans="2:3" x14ac:dyDescent="0.25">
      <c r="B332" s="33" t="s">
        <v>1823</v>
      </c>
      <c r="C332" s="33">
        <v>30</v>
      </c>
    </row>
    <row r="333" spans="2:3" x14ac:dyDescent="0.25">
      <c r="B333" s="33" t="s">
        <v>1824</v>
      </c>
      <c r="C333" s="33">
        <v>30</v>
      </c>
    </row>
    <row r="334" spans="2:3" x14ac:dyDescent="0.25">
      <c r="B334" s="33" t="s">
        <v>1825</v>
      </c>
      <c r="C334" s="33">
        <v>30</v>
      </c>
    </row>
    <row r="335" spans="2:3" x14ac:dyDescent="0.25">
      <c r="B335" s="33" t="s">
        <v>1826</v>
      </c>
      <c r="C335" s="33">
        <v>30</v>
      </c>
    </row>
    <row r="336" spans="2:3" x14ac:dyDescent="0.25">
      <c r="B336" s="33" t="s">
        <v>1827</v>
      </c>
      <c r="C336" s="33">
        <v>30</v>
      </c>
    </row>
    <row r="337" spans="2:3" x14ac:dyDescent="0.25">
      <c r="B337" s="33" t="s">
        <v>1828</v>
      </c>
      <c r="C337" s="33">
        <v>30</v>
      </c>
    </row>
    <row r="338" spans="2:3" x14ac:dyDescent="0.25">
      <c r="B338" s="33" t="s">
        <v>1829</v>
      </c>
      <c r="C338" s="33">
        <v>30</v>
      </c>
    </row>
    <row r="339" spans="2:3" x14ac:dyDescent="0.25">
      <c r="B339" s="33" t="s">
        <v>1830</v>
      </c>
      <c r="C339" s="33">
        <v>30</v>
      </c>
    </row>
    <row r="340" spans="2:3" x14ac:dyDescent="0.25">
      <c r="B340" s="33" t="s">
        <v>1831</v>
      </c>
      <c r="C340" s="33">
        <v>30</v>
      </c>
    </row>
    <row r="341" spans="2:3" x14ac:dyDescent="0.25">
      <c r="B341" s="33" t="s">
        <v>1832</v>
      </c>
      <c r="C341" s="33">
        <v>30</v>
      </c>
    </row>
    <row r="342" spans="2:3" x14ac:dyDescent="0.25">
      <c r="B342" s="33" t="s">
        <v>1833</v>
      </c>
      <c r="C342" s="33">
        <v>30</v>
      </c>
    </row>
    <row r="343" spans="2:3" x14ac:dyDescent="0.25">
      <c r="B343" s="33" t="s">
        <v>1834</v>
      </c>
      <c r="C343" s="33">
        <v>30</v>
      </c>
    </row>
    <row r="344" spans="2:3" x14ac:dyDescent="0.25">
      <c r="B344" s="33" t="s">
        <v>1835</v>
      </c>
      <c r="C344" s="33">
        <v>30</v>
      </c>
    </row>
    <row r="345" spans="2:3" x14ac:dyDescent="0.25">
      <c r="B345" s="33" t="s">
        <v>1836</v>
      </c>
      <c r="C345" s="33">
        <v>30</v>
      </c>
    </row>
    <row r="346" spans="2:3" x14ac:dyDescent="0.25">
      <c r="B346" s="33" t="s">
        <v>1837</v>
      </c>
      <c r="C346" s="33">
        <v>30</v>
      </c>
    </row>
    <row r="347" spans="2:3" x14ac:dyDescent="0.25">
      <c r="B347" s="33" t="s">
        <v>1838</v>
      </c>
      <c r="C347" s="33">
        <v>30</v>
      </c>
    </row>
    <row r="348" spans="2:3" x14ac:dyDescent="0.25">
      <c r="B348" s="33" t="s">
        <v>1839</v>
      </c>
      <c r="C348" s="33">
        <v>30</v>
      </c>
    </row>
    <row r="349" spans="2:3" x14ac:dyDescent="0.25">
      <c r="B349" s="33" t="s">
        <v>1840</v>
      </c>
      <c r="C349" s="33">
        <v>30</v>
      </c>
    </row>
    <row r="350" spans="2:3" x14ac:dyDescent="0.25">
      <c r="B350" s="33" t="s">
        <v>1841</v>
      </c>
      <c r="C350" s="33">
        <v>30</v>
      </c>
    </row>
    <row r="351" spans="2:3" x14ac:dyDescent="0.25">
      <c r="B351" s="33" t="s">
        <v>1842</v>
      </c>
      <c r="C351" s="33">
        <v>30</v>
      </c>
    </row>
    <row r="352" spans="2:3" x14ac:dyDescent="0.25">
      <c r="B352" s="33" t="s">
        <v>1843</v>
      </c>
      <c r="C352" s="33">
        <v>30</v>
      </c>
    </row>
    <row r="353" spans="2:3" x14ac:dyDescent="0.25">
      <c r="B353" s="33" t="s">
        <v>1844</v>
      </c>
      <c r="C353" s="33">
        <v>30</v>
      </c>
    </row>
    <row r="354" spans="2:3" x14ac:dyDescent="0.25">
      <c r="B354" s="33" t="s">
        <v>1845</v>
      </c>
      <c r="C354" s="33">
        <v>30</v>
      </c>
    </row>
    <row r="355" spans="2:3" x14ac:dyDescent="0.25">
      <c r="B355" s="33" t="s">
        <v>1846</v>
      </c>
      <c r="C355" s="33">
        <v>30</v>
      </c>
    </row>
    <row r="356" spans="2:3" x14ac:dyDescent="0.25">
      <c r="B356" s="33" t="s">
        <v>1847</v>
      </c>
      <c r="C356" s="33">
        <v>30</v>
      </c>
    </row>
    <row r="357" spans="2:3" x14ac:dyDescent="0.25">
      <c r="B357" s="33" t="s">
        <v>1848</v>
      </c>
      <c r="C357" s="33">
        <v>30</v>
      </c>
    </row>
    <row r="358" spans="2:3" x14ac:dyDescent="0.25">
      <c r="B358" s="33" t="s">
        <v>1849</v>
      </c>
      <c r="C358" s="33">
        <v>30</v>
      </c>
    </row>
    <row r="359" spans="2:3" x14ac:dyDescent="0.25">
      <c r="B359" s="33" t="s">
        <v>1850</v>
      </c>
      <c r="C359" s="33">
        <v>30</v>
      </c>
    </row>
    <row r="360" spans="2:3" x14ac:dyDescent="0.25">
      <c r="B360" s="33" t="s">
        <v>1851</v>
      </c>
      <c r="C360" s="33">
        <v>30</v>
      </c>
    </row>
    <row r="361" spans="2:3" x14ac:dyDescent="0.25">
      <c r="B361" s="33" t="s">
        <v>1852</v>
      </c>
      <c r="C361" s="33">
        <v>30</v>
      </c>
    </row>
    <row r="362" spans="2:3" x14ac:dyDescent="0.25">
      <c r="B362" s="33" t="s">
        <v>1853</v>
      </c>
      <c r="C362" s="33">
        <v>30</v>
      </c>
    </row>
    <row r="363" spans="2:3" x14ac:dyDescent="0.25">
      <c r="B363" s="33" t="s">
        <v>1854</v>
      </c>
      <c r="C363" s="33">
        <v>30</v>
      </c>
    </row>
    <row r="364" spans="2:3" x14ac:dyDescent="0.25">
      <c r="B364" s="33" t="s">
        <v>1855</v>
      </c>
      <c r="C364" s="33">
        <v>30</v>
      </c>
    </row>
    <row r="365" spans="2:3" x14ac:dyDescent="0.25">
      <c r="B365" s="33" t="s">
        <v>1856</v>
      </c>
      <c r="C365" s="33">
        <v>30</v>
      </c>
    </row>
    <row r="366" spans="2:3" x14ac:dyDescent="0.25">
      <c r="B366" s="33" t="s">
        <v>1857</v>
      </c>
      <c r="C366" s="33">
        <v>30</v>
      </c>
    </row>
    <row r="367" spans="2:3" x14ac:dyDescent="0.25">
      <c r="B367" s="33" t="s">
        <v>1858</v>
      </c>
      <c r="C367" s="33">
        <v>30</v>
      </c>
    </row>
    <row r="368" spans="2:3" x14ac:dyDescent="0.25">
      <c r="B368" s="33" t="s">
        <v>1859</v>
      </c>
      <c r="C368" s="33">
        <v>30</v>
      </c>
    </row>
    <row r="369" spans="2:3" x14ac:dyDescent="0.25">
      <c r="B369" s="33" t="s">
        <v>1860</v>
      </c>
      <c r="C369" s="33">
        <v>30</v>
      </c>
    </row>
    <row r="370" spans="2:3" x14ac:dyDescent="0.25">
      <c r="B370" s="33" t="s">
        <v>1861</v>
      </c>
      <c r="C370" s="33">
        <v>30</v>
      </c>
    </row>
    <row r="371" spans="2:3" x14ac:dyDescent="0.25">
      <c r="B371" s="33" t="s">
        <v>1862</v>
      </c>
      <c r="C371" s="33">
        <v>30</v>
      </c>
    </row>
    <row r="372" spans="2:3" x14ac:dyDescent="0.25">
      <c r="B372" s="33" t="s">
        <v>1863</v>
      </c>
      <c r="C372" s="33">
        <v>30</v>
      </c>
    </row>
    <row r="373" spans="2:3" x14ac:dyDescent="0.25">
      <c r="B373" s="33" t="s">
        <v>1864</v>
      </c>
      <c r="C373" s="33">
        <v>30</v>
      </c>
    </row>
    <row r="374" spans="2:3" x14ac:dyDescent="0.25">
      <c r="B374" s="33" t="s">
        <v>1865</v>
      </c>
      <c r="C374" s="33">
        <v>30</v>
      </c>
    </row>
    <row r="375" spans="2:3" x14ac:dyDescent="0.25">
      <c r="B375" s="33" t="s">
        <v>1866</v>
      </c>
      <c r="C375" s="33">
        <v>30</v>
      </c>
    </row>
    <row r="376" spans="2:3" x14ac:dyDescent="0.25">
      <c r="B376" s="33" t="s">
        <v>1867</v>
      </c>
      <c r="C376" s="33">
        <v>30</v>
      </c>
    </row>
    <row r="377" spans="2:3" x14ac:dyDescent="0.25">
      <c r="B377" s="33" t="s">
        <v>1868</v>
      </c>
      <c r="C377" s="33">
        <v>30</v>
      </c>
    </row>
    <row r="378" spans="2:3" x14ac:dyDescent="0.25">
      <c r="B378" s="33" t="s">
        <v>1869</v>
      </c>
      <c r="C378" s="33">
        <v>30</v>
      </c>
    </row>
    <row r="379" spans="2:3" x14ac:dyDescent="0.25">
      <c r="B379" s="33" t="s">
        <v>1870</v>
      </c>
      <c r="C379" s="33">
        <v>30</v>
      </c>
    </row>
    <row r="380" spans="2:3" x14ac:dyDescent="0.25">
      <c r="B380" s="33" t="s">
        <v>1871</v>
      </c>
      <c r="C380" s="33">
        <v>30</v>
      </c>
    </row>
    <row r="381" spans="2:3" x14ac:dyDescent="0.25">
      <c r="B381" s="33" t="s">
        <v>1872</v>
      </c>
      <c r="C381" s="33">
        <v>30</v>
      </c>
    </row>
    <row r="382" spans="2:3" x14ac:dyDescent="0.25">
      <c r="B382" s="33" t="s">
        <v>1873</v>
      </c>
      <c r="C382" s="33">
        <v>30</v>
      </c>
    </row>
    <row r="383" spans="2:3" x14ac:dyDescent="0.25">
      <c r="B383" s="33" t="s">
        <v>1874</v>
      </c>
      <c r="C383" s="33">
        <v>30</v>
      </c>
    </row>
    <row r="384" spans="2:3" x14ac:dyDescent="0.25">
      <c r="B384" s="33" t="s">
        <v>1875</v>
      </c>
      <c r="C384" s="33">
        <v>30</v>
      </c>
    </row>
    <row r="385" spans="2:3" x14ac:dyDescent="0.25">
      <c r="B385" s="33" t="s">
        <v>1876</v>
      </c>
      <c r="C385" s="33">
        <v>30</v>
      </c>
    </row>
    <row r="386" spans="2:3" x14ac:dyDescent="0.25">
      <c r="B386" s="33" t="s">
        <v>1877</v>
      </c>
      <c r="C386" s="33">
        <v>30</v>
      </c>
    </row>
    <row r="387" spans="2:3" x14ac:dyDescent="0.25">
      <c r="B387" s="33" t="s">
        <v>1878</v>
      </c>
      <c r="C387" s="33">
        <v>30</v>
      </c>
    </row>
    <row r="388" spans="2:3" x14ac:dyDescent="0.25">
      <c r="B388" s="33" t="s">
        <v>1879</v>
      </c>
      <c r="C388" s="33">
        <v>30</v>
      </c>
    </row>
    <row r="389" spans="2:3" x14ac:dyDescent="0.25">
      <c r="B389" s="33" t="s">
        <v>1880</v>
      </c>
      <c r="C389" s="33">
        <v>30</v>
      </c>
    </row>
    <row r="390" spans="2:3" x14ac:dyDescent="0.25">
      <c r="B390" s="33" t="s">
        <v>1881</v>
      </c>
      <c r="C390" s="33">
        <v>30</v>
      </c>
    </row>
    <row r="391" spans="2:3" x14ac:dyDescent="0.25">
      <c r="B391" s="33" t="s">
        <v>1882</v>
      </c>
      <c r="C391" s="33">
        <v>30</v>
      </c>
    </row>
    <row r="392" spans="2:3" x14ac:dyDescent="0.25">
      <c r="B392" s="33" t="s">
        <v>1883</v>
      </c>
      <c r="C392" s="33">
        <v>30</v>
      </c>
    </row>
    <row r="393" spans="2:3" x14ac:dyDescent="0.25">
      <c r="B393" s="33" t="s">
        <v>1884</v>
      </c>
      <c r="C393" s="33">
        <v>30</v>
      </c>
    </row>
    <row r="394" spans="2:3" x14ac:dyDescent="0.25">
      <c r="B394" s="33" t="s">
        <v>1885</v>
      </c>
      <c r="C394" s="33">
        <v>30</v>
      </c>
    </row>
    <row r="395" spans="2:3" x14ac:dyDescent="0.25">
      <c r="B395" s="33" t="s">
        <v>1886</v>
      </c>
      <c r="C395" s="33">
        <v>30</v>
      </c>
    </row>
    <row r="396" spans="2:3" x14ac:dyDescent="0.25">
      <c r="B396" s="33" t="s">
        <v>1887</v>
      </c>
      <c r="C396" s="33">
        <v>30</v>
      </c>
    </row>
    <row r="397" spans="2:3" x14ac:dyDescent="0.25">
      <c r="B397" s="33" t="s">
        <v>1888</v>
      </c>
      <c r="C397" s="33">
        <v>30</v>
      </c>
    </row>
    <row r="398" spans="2:3" x14ac:dyDescent="0.25">
      <c r="B398" s="33" t="s">
        <v>1889</v>
      </c>
      <c r="C398" s="33">
        <v>30</v>
      </c>
    </row>
    <row r="399" spans="2:3" x14ac:dyDescent="0.25">
      <c r="B399" s="33" t="s">
        <v>1890</v>
      </c>
      <c r="C399" s="33">
        <v>30</v>
      </c>
    </row>
    <row r="400" spans="2:3" x14ac:dyDescent="0.25">
      <c r="B400" s="33" t="s">
        <v>1891</v>
      </c>
      <c r="C400" s="33">
        <v>30</v>
      </c>
    </row>
    <row r="401" spans="2:3" x14ac:dyDescent="0.25">
      <c r="B401" s="33" t="s">
        <v>1892</v>
      </c>
      <c r="C401" s="33">
        <v>30</v>
      </c>
    </row>
    <row r="402" spans="2:3" x14ac:dyDescent="0.25">
      <c r="B402" s="33" t="s">
        <v>1893</v>
      </c>
      <c r="C402" s="33">
        <v>30</v>
      </c>
    </row>
    <row r="403" spans="2:3" x14ac:dyDescent="0.25">
      <c r="B403" s="33" t="s">
        <v>1894</v>
      </c>
      <c r="C403" s="33">
        <v>30</v>
      </c>
    </row>
    <row r="404" spans="2:3" x14ac:dyDescent="0.25">
      <c r="B404" s="33" t="s">
        <v>1895</v>
      </c>
      <c r="C404" s="33">
        <v>30</v>
      </c>
    </row>
    <row r="405" spans="2:3" x14ac:dyDescent="0.25">
      <c r="B405" s="33" t="s">
        <v>1896</v>
      </c>
      <c r="C405" s="33">
        <v>30</v>
      </c>
    </row>
    <row r="406" spans="2:3" x14ac:dyDescent="0.25">
      <c r="B406" s="33" t="s">
        <v>1897</v>
      </c>
      <c r="C406" s="33">
        <v>30</v>
      </c>
    </row>
    <row r="407" spans="2:3" x14ac:dyDescent="0.25">
      <c r="B407" s="33" t="s">
        <v>1898</v>
      </c>
      <c r="C407" s="33">
        <v>30</v>
      </c>
    </row>
    <row r="408" spans="2:3" x14ac:dyDescent="0.25">
      <c r="B408" s="33" t="s">
        <v>1899</v>
      </c>
      <c r="C408" s="33">
        <v>30</v>
      </c>
    </row>
    <row r="409" spans="2:3" x14ac:dyDescent="0.25">
      <c r="B409" s="33" t="s">
        <v>1900</v>
      </c>
      <c r="C409" s="33">
        <v>30</v>
      </c>
    </row>
    <row r="410" spans="2:3" x14ac:dyDescent="0.25">
      <c r="B410" s="33" t="s">
        <v>1901</v>
      </c>
      <c r="C410" s="33">
        <v>30</v>
      </c>
    </row>
    <row r="411" spans="2:3" x14ac:dyDescent="0.25">
      <c r="B411" s="33" t="s">
        <v>1902</v>
      </c>
      <c r="C411" s="33">
        <v>30</v>
      </c>
    </row>
    <row r="412" spans="2:3" x14ac:dyDescent="0.25">
      <c r="B412" s="33" t="s">
        <v>1903</v>
      </c>
      <c r="C412" s="33">
        <v>30</v>
      </c>
    </row>
    <row r="413" spans="2:3" x14ac:dyDescent="0.25">
      <c r="B413" s="33" t="s">
        <v>1904</v>
      </c>
      <c r="C413" s="33">
        <v>30</v>
      </c>
    </row>
    <row r="414" spans="2:3" x14ac:dyDescent="0.25">
      <c r="B414" s="33" t="s">
        <v>1905</v>
      </c>
      <c r="C414" s="33">
        <v>30</v>
      </c>
    </row>
    <row r="415" spans="2:3" x14ac:dyDescent="0.25">
      <c r="B415" s="33" t="s">
        <v>1906</v>
      </c>
      <c r="C415" s="33">
        <v>30</v>
      </c>
    </row>
    <row r="416" spans="2:3" x14ac:dyDescent="0.25">
      <c r="B416" s="33" t="s">
        <v>1907</v>
      </c>
      <c r="C416" s="33">
        <v>30</v>
      </c>
    </row>
    <row r="417" spans="2:3" x14ac:dyDescent="0.25">
      <c r="B417" s="33" t="s">
        <v>1908</v>
      </c>
      <c r="C417" s="33">
        <v>30</v>
      </c>
    </row>
    <row r="418" spans="2:3" x14ac:dyDescent="0.25">
      <c r="B418" s="33" t="s">
        <v>1909</v>
      </c>
      <c r="C418" s="33">
        <v>30</v>
      </c>
    </row>
    <row r="419" spans="2:3" x14ac:dyDescent="0.25">
      <c r="B419" s="33" t="s">
        <v>1910</v>
      </c>
      <c r="C419" s="33">
        <v>30</v>
      </c>
    </row>
    <row r="420" spans="2:3" x14ac:dyDescent="0.25">
      <c r="B420" s="33" t="s">
        <v>1911</v>
      </c>
      <c r="C420" s="33">
        <v>30</v>
      </c>
    </row>
    <row r="421" spans="2:3" x14ac:dyDescent="0.25">
      <c r="B421" s="33" t="s">
        <v>1912</v>
      </c>
      <c r="C421" s="33">
        <v>30</v>
      </c>
    </row>
    <row r="422" spans="2:3" x14ac:dyDescent="0.25">
      <c r="B422" s="33" t="s">
        <v>1913</v>
      </c>
      <c r="C422" s="33">
        <v>30</v>
      </c>
    </row>
    <row r="423" spans="2:3" x14ac:dyDescent="0.25">
      <c r="B423" s="33" t="s">
        <v>1914</v>
      </c>
      <c r="C423" s="33">
        <v>30</v>
      </c>
    </row>
    <row r="424" spans="2:3" x14ac:dyDescent="0.25">
      <c r="B424" s="33" t="s">
        <v>1915</v>
      </c>
      <c r="C424" s="33">
        <v>30</v>
      </c>
    </row>
    <row r="425" spans="2:3" x14ac:dyDescent="0.25">
      <c r="B425" s="33" t="s">
        <v>1916</v>
      </c>
      <c r="C425" s="33">
        <v>30</v>
      </c>
    </row>
    <row r="426" spans="2:3" x14ac:dyDescent="0.25">
      <c r="B426" s="33" t="s">
        <v>1917</v>
      </c>
      <c r="C426" s="33">
        <v>30</v>
      </c>
    </row>
    <row r="427" spans="2:3" x14ac:dyDescent="0.25">
      <c r="B427" s="33" t="s">
        <v>1918</v>
      </c>
      <c r="C427" s="33">
        <v>30</v>
      </c>
    </row>
    <row r="428" spans="2:3" x14ac:dyDescent="0.25">
      <c r="B428" s="33" t="s">
        <v>1919</v>
      </c>
      <c r="C428" s="33">
        <v>30</v>
      </c>
    </row>
    <row r="429" spans="2:3" x14ac:dyDescent="0.25">
      <c r="B429" s="33" t="s">
        <v>1920</v>
      </c>
      <c r="C429" s="33">
        <v>30</v>
      </c>
    </row>
    <row r="430" spans="2:3" x14ac:dyDescent="0.25">
      <c r="B430" s="33" t="s">
        <v>1921</v>
      </c>
      <c r="C430" s="33">
        <v>30</v>
      </c>
    </row>
    <row r="431" spans="2:3" x14ac:dyDescent="0.25">
      <c r="B431" s="33" t="s">
        <v>1922</v>
      </c>
      <c r="C431" s="33">
        <v>30</v>
      </c>
    </row>
    <row r="432" spans="2:3" x14ac:dyDescent="0.25">
      <c r="B432" s="33" t="s">
        <v>1923</v>
      </c>
      <c r="C432" s="33">
        <v>30</v>
      </c>
    </row>
    <row r="433" spans="2:3" x14ac:dyDescent="0.25">
      <c r="B433" s="33" t="s">
        <v>1924</v>
      </c>
      <c r="C433" s="33">
        <v>30</v>
      </c>
    </row>
    <row r="434" spans="2:3" x14ac:dyDescent="0.25">
      <c r="B434" s="33" t="s">
        <v>1925</v>
      </c>
      <c r="C434" s="33">
        <v>30</v>
      </c>
    </row>
    <row r="435" spans="2:3" x14ac:dyDescent="0.25">
      <c r="B435" s="33" t="s">
        <v>1926</v>
      </c>
      <c r="C435" s="33">
        <v>30</v>
      </c>
    </row>
    <row r="436" spans="2:3" x14ac:dyDescent="0.25">
      <c r="B436" s="33" t="s">
        <v>1927</v>
      </c>
      <c r="C436" s="33">
        <v>30</v>
      </c>
    </row>
    <row r="437" spans="2:3" x14ac:dyDescent="0.25">
      <c r="B437" s="33" t="s">
        <v>1928</v>
      </c>
      <c r="C437" s="33">
        <v>30</v>
      </c>
    </row>
    <row r="438" spans="2:3" x14ac:dyDescent="0.25">
      <c r="B438" s="33" t="s">
        <v>1929</v>
      </c>
      <c r="C438" s="33">
        <v>30</v>
      </c>
    </row>
    <row r="439" spans="2:3" x14ac:dyDescent="0.25">
      <c r="B439" s="33" t="s">
        <v>1930</v>
      </c>
      <c r="C439" s="33">
        <v>30</v>
      </c>
    </row>
    <row r="440" spans="2:3" x14ac:dyDescent="0.25">
      <c r="B440" s="33" t="s">
        <v>1931</v>
      </c>
      <c r="C440" s="33">
        <v>30</v>
      </c>
    </row>
    <row r="441" spans="2:3" x14ac:dyDescent="0.25">
      <c r="B441" s="33" t="s">
        <v>1932</v>
      </c>
      <c r="C441" s="33">
        <v>30</v>
      </c>
    </row>
    <row r="442" spans="2:3" x14ac:dyDescent="0.25">
      <c r="B442" s="33" t="s">
        <v>1933</v>
      </c>
      <c r="C442" s="33">
        <v>30</v>
      </c>
    </row>
    <row r="443" spans="2:3" x14ac:dyDescent="0.25">
      <c r="B443" s="33" t="s">
        <v>1934</v>
      </c>
      <c r="C443" s="33">
        <v>30</v>
      </c>
    </row>
    <row r="444" spans="2:3" x14ac:dyDescent="0.25">
      <c r="B444" s="33" t="s">
        <v>1935</v>
      </c>
      <c r="C444" s="33">
        <v>30</v>
      </c>
    </row>
    <row r="445" spans="2:3" x14ac:dyDescent="0.25">
      <c r="B445" s="33" t="s">
        <v>1936</v>
      </c>
      <c r="C445" s="33">
        <v>30</v>
      </c>
    </row>
    <row r="446" spans="2:3" x14ac:dyDescent="0.25">
      <c r="B446" s="33" t="s">
        <v>1937</v>
      </c>
      <c r="C446" s="33">
        <v>30</v>
      </c>
    </row>
    <row r="447" spans="2:3" x14ac:dyDescent="0.25">
      <c r="B447" s="33" t="s">
        <v>1938</v>
      </c>
      <c r="C447" s="33">
        <v>30</v>
      </c>
    </row>
    <row r="448" spans="2:3" x14ac:dyDescent="0.25">
      <c r="B448" s="33" t="s">
        <v>1939</v>
      </c>
      <c r="C448" s="33">
        <v>30</v>
      </c>
    </row>
    <row r="449" spans="2:3" x14ac:dyDescent="0.25">
      <c r="B449" s="33" t="s">
        <v>1940</v>
      </c>
      <c r="C449" s="33">
        <v>30</v>
      </c>
    </row>
    <row r="450" spans="2:3" x14ac:dyDescent="0.25">
      <c r="B450" s="33" t="s">
        <v>1941</v>
      </c>
      <c r="C450" s="33">
        <v>30</v>
      </c>
    </row>
    <row r="451" spans="2:3" x14ac:dyDescent="0.25">
      <c r="B451" s="33" t="s">
        <v>1942</v>
      </c>
      <c r="C451" s="33">
        <v>30</v>
      </c>
    </row>
    <row r="452" spans="2:3" x14ac:dyDescent="0.25">
      <c r="B452" s="33" t="s">
        <v>1943</v>
      </c>
      <c r="C452" s="33">
        <v>30</v>
      </c>
    </row>
    <row r="453" spans="2:3" x14ac:dyDescent="0.25">
      <c r="B453" s="33" t="s">
        <v>1944</v>
      </c>
      <c r="C453" s="33">
        <v>30</v>
      </c>
    </row>
    <row r="454" spans="2:3" x14ac:dyDescent="0.25">
      <c r="B454" s="33" t="s">
        <v>1945</v>
      </c>
      <c r="C454" s="33">
        <v>30</v>
      </c>
    </row>
    <row r="455" spans="2:3" x14ac:dyDescent="0.25">
      <c r="B455" s="33" t="s">
        <v>1946</v>
      </c>
      <c r="C455" s="33">
        <v>30</v>
      </c>
    </row>
    <row r="456" spans="2:3" x14ac:dyDescent="0.25">
      <c r="B456" s="33" t="s">
        <v>1947</v>
      </c>
      <c r="C456" s="33">
        <v>30</v>
      </c>
    </row>
    <row r="457" spans="2:3" x14ac:dyDescent="0.25">
      <c r="B457" s="33" t="s">
        <v>1948</v>
      </c>
      <c r="C457" s="33">
        <v>30</v>
      </c>
    </row>
    <row r="458" spans="2:3" x14ac:dyDescent="0.25">
      <c r="B458" s="33" t="s">
        <v>1949</v>
      </c>
      <c r="C458" s="33">
        <v>30</v>
      </c>
    </row>
    <row r="459" spans="2:3" x14ac:dyDescent="0.25">
      <c r="B459" s="33" t="s">
        <v>1950</v>
      </c>
      <c r="C459" s="33">
        <v>30</v>
      </c>
    </row>
    <row r="460" spans="2:3" x14ac:dyDescent="0.25">
      <c r="B460" s="33" t="s">
        <v>1951</v>
      </c>
      <c r="C460" s="33">
        <v>30</v>
      </c>
    </row>
    <row r="461" spans="2:3" x14ac:dyDescent="0.25">
      <c r="B461" s="33" t="s">
        <v>1952</v>
      </c>
      <c r="C461" s="33">
        <v>30</v>
      </c>
    </row>
    <row r="462" spans="2:3" x14ac:dyDescent="0.25">
      <c r="B462" s="33" t="s">
        <v>1953</v>
      </c>
      <c r="C462" s="33">
        <v>30</v>
      </c>
    </row>
    <row r="463" spans="2:3" x14ac:dyDescent="0.25">
      <c r="B463" s="33" t="s">
        <v>1954</v>
      </c>
      <c r="C463" s="33">
        <v>30</v>
      </c>
    </row>
    <row r="464" spans="2:3" x14ac:dyDescent="0.25">
      <c r="B464" s="33" t="s">
        <v>1955</v>
      </c>
      <c r="C464" s="33">
        <v>30</v>
      </c>
    </row>
    <row r="465" spans="2:3" x14ac:dyDescent="0.25">
      <c r="B465" s="33" t="s">
        <v>1956</v>
      </c>
      <c r="C465" s="33">
        <v>30</v>
      </c>
    </row>
    <row r="466" spans="2:3" x14ac:dyDescent="0.25">
      <c r="B466" s="33" t="s">
        <v>1957</v>
      </c>
      <c r="C466" s="33">
        <v>30</v>
      </c>
    </row>
    <row r="467" spans="2:3" x14ac:dyDescent="0.25">
      <c r="B467" s="33" t="s">
        <v>1958</v>
      </c>
      <c r="C467" s="33">
        <v>30</v>
      </c>
    </row>
    <row r="468" spans="2:3" x14ac:dyDescent="0.25">
      <c r="B468" s="33" t="s">
        <v>1959</v>
      </c>
      <c r="C468" s="33">
        <v>30</v>
      </c>
    </row>
    <row r="469" spans="2:3" x14ac:dyDescent="0.25">
      <c r="B469" s="33" t="s">
        <v>1960</v>
      </c>
      <c r="C469" s="33">
        <v>30</v>
      </c>
    </row>
    <row r="470" spans="2:3" x14ac:dyDescent="0.25">
      <c r="B470" s="33" t="s">
        <v>1961</v>
      </c>
      <c r="C470" s="33">
        <v>30</v>
      </c>
    </row>
    <row r="471" spans="2:3" x14ac:dyDescent="0.25">
      <c r="B471" s="33" t="s">
        <v>1962</v>
      </c>
      <c r="C471" s="33">
        <v>30</v>
      </c>
    </row>
    <row r="472" spans="2:3" x14ac:dyDescent="0.25">
      <c r="B472" s="33" t="s">
        <v>1963</v>
      </c>
      <c r="C472" s="33">
        <v>30</v>
      </c>
    </row>
    <row r="473" spans="2:3" x14ac:dyDescent="0.25">
      <c r="B473" s="33" t="s">
        <v>1964</v>
      </c>
      <c r="C473" s="33">
        <v>30</v>
      </c>
    </row>
    <row r="474" spans="2:3" x14ac:dyDescent="0.25">
      <c r="B474" s="33" t="s">
        <v>1965</v>
      </c>
      <c r="C474" s="33">
        <v>30</v>
      </c>
    </row>
    <row r="475" spans="2:3" x14ac:dyDescent="0.25">
      <c r="B475" s="33" t="s">
        <v>1966</v>
      </c>
      <c r="C475" s="33">
        <v>30</v>
      </c>
    </row>
    <row r="476" spans="2:3" x14ac:dyDescent="0.25">
      <c r="B476" s="33" t="s">
        <v>1967</v>
      </c>
      <c r="C476" s="33">
        <v>30</v>
      </c>
    </row>
    <row r="477" spans="2:3" x14ac:dyDescent="0.25">
      <c r="B477" s="33" t="s">
        <v>1968</v>
      </c>
      <c r="C477" s="33">
        <v>30</v>
      </c>
    </row>
    <row r="478" spans="2:3" x14ac:dyDescent="0.25">
      <c r="B478" s="33" t="s">
        <v>1969</v>
      </c>
      <c r="C478" s="33">
        <v>30</v>
      </c>
    </row>
    <row r="479" spans="2:3" x14ac:dyDescent="0.25">
      <c r="B479" s="33" t="s">
        <v>1970</v>
      </c>
      <c r="C479" s="33">
        <v>30</v>
      </c>
    </row>
    <row r="480" spans="2:3" x14ac:dyDescent="0.25">
      <c r="B480" s="33" t="s">
        <v>1971</v>
      </c>
      <c r="C480" s="33">
        <v>30</v>
      </c>
    </row>
    <row r="481" spans="2:3" x14ac:dyDescent="0.25">
      <c r="B481" s="33" t="s">
        <v>1972</v>
      </c>
      <c r="C481" s="33">
        <v>30</v>
      </c>
    </row>
    <row r="482" spans="2:3" x14ac:dyDescent="0.25">
      <c r="B482" s="33" t="s">
        <v>1973</v>
      </c>
      <c r="C482" s="33">
        <v>30</v>
      </c>
    </row>
    <row r="483" spans="2:3" x14ac:dyDescent="0.25">
      <c r="B483" s="33" t="s">
        <v>1974</v>
      </c>
      <c r="C483" s="33">
        <v>30</v>
      </c>
    </row>
    <row r="484" spans="2:3" x14ac:dyDescent="0.25">
      <c r="B484" s="33" t="s">
        <v>1975</v>
      </c>
      <c r="C484" s="33">
        <v>30</v>
      </c>
    </row>
    <row r="485" spans="2:3" x14ac:dyDescent="0.25">
      <c r="B485" s="33" t="s">
        <v>1976</v>
      </c>
      <c r="C485" s="33">
        <v>30</v>
      </c>
    </row>
    <row r="486" spans="2:3" x14ac:dyDescent="0.25">
      <c r="B486" s="33" t="s">
        <v>1977</v>
      </c>
      <c r="C486" s="33">
        <v>30</v>
      </c>
    </row>
    <row r="487" spans="2:3" x14ac:dyDescent="0.25">
      <c r="B487" s="33" t="s">
        <v>1978</v>
      </c>
      <c r="C487" s="33">
        <v>30</v>
      </c>
    </row>
    <row r="488" spans="2:3" x14ac:dyDescent="0.25">
      <c r="B488" s="33" t="s">
        <v>1979</v>
      </c>
      <c r="C488" s="33">
        <v>30</v>
      </c>
    </row>
    <row r="489" spans="2:3" x14ac:dyDescent="0.25">
      <c r="B489" s="33" t="s">
        <v>1980</v>
      </c>
      <c r="C489" s="33">
        <v>30</v>
      </c>
    </row>
    <row r="490" spans="2:3" x14ac:dyDescent="0.25">
      <c r="B490" s="33" t="s">
        <v>1981</v>
      </c>
      <c r="C490" s="33">
        <v>30</v>
      </c>
    </row>
    <row r="491" spans="2:3" x14ac:dyDescent="0.25">
      <c r="B491" s="33" t="s">
        <v>1982</v>
      </c>
      <c r="C491" s="33">
        <v>30</v>
      </c>
    </row>
    <row r="492" spans="2:3" x14ac:dyDescent="0.25">
      <c r="B492" s="33" t="s">
        <v>1983</v>
      </c>
      <c r="C492" s="33">
        <v>30</v>
      </c>
    </row>
    <row r="493" spans="2:3" x14ac:dyDescent="0.25">
      <c r="B493" s="33" t="s">
        <v>1984</v>
      </c>
      <c r="C493" s="33">
        <v>30</v>
      </c>
    </row>
    <row r="494" spans="2:3" x14ac:dyDescent="0.25">
      <c r="B494" s="33" t="s">
        <v>1985</v>
      </c>
      <c r="C494" s="33">
        <v>30</v>
      </c>
    </row>
    <row r="495" spans="2:3" x14ac:dyDescent="0.25">
      <c r="B495" s="33" t="s">
        <v>1986</v>
      </c>
      <c r="C495" s="33">
        <v>30</v>
      </c>
    </row>
    <row r="496" spans="2:3" x14ac:dyDescent="0.25">
      <c r="B496" s="33" t="s">
        <v>1987</v>
      </c>
      <c r="C496" s="33">
        <v>30</v>
      </c>
    </row>
    <row r="497" spans="2:3" x14ac:dyDescent="0.25">
      <c r="B497" s="33" t="s">
        <v>1988</v>
      </c>
      <c r="C497" s="33">
        <v>30</v>
      </c>
    </row>
    <row r="498" spans="2:3" x14ac:dyDescent="0.25">
      <c r="B498" s="33" t="s">
        <v>1989</v>
      </c>
      <c r="C498" s="33">
        <v>30</v>
      </c>
    </row>
    <row r="499" spans="2:3" x14ac:dyDescent="0.25">
      <c r="B499" s="33" t="s">
        <v>1990</v>
      </c>
      <c r="C499" s="33">
        <v>30</v>
      </c>
    </row>
    <row r="500" spans="2:3" x14ac:dyDescent="0.25">
      <c r="B500" s="33" t="s">
        <v>1991</v>
      </c>
      <c r="C500" s="33">
        <v>30</v>
      </c>
    </row>
    <row r="501" spans="2:3" x14ac:dyDescent="0.25">
      <c r="B501" s="33" t="s">
        <v>1992</v>
      </c>
      <c r="C501" s="33">
        <v>30</v>
      </c>
    </row>
    <row r="502" spans="2:3" x14ac:dyDescent="0.25">
      <c r="B502" s="33" t="s">
        <v>1993</v>
      </c>
      <c r="C502" s="33">
        <v>30</v>
      </c>
    </row>
    <row r="503" spans="2:3" x14ac:dyDescent="0.25">
      <c r="B503" s="33" t="s">
        <v>1994</v>
      </c>
      <c r="C503" s="33">
        <v>30</v>
      </c>
    </row>
    <row r="504" spans="2:3" x14ac:dyDescent="0.25">
      <c r="B504" s="33" t="s">
        <v>1995</v>
      </c>
      <c r="C504" s="33">
        <v>30</v>
      </c>
    </row>
    <row r="505" spans="2:3" x14ac:dyDescent="0.25">
      <c r="B505" s="33" t="s">
        <v>1996</v>
      </c>
      <c r="C505" s="33">
        <v>30</v>
      </c>
    </row>
    <row r="506" spans="2:3" x14ac:dyDescent="0.25">
      <c r="B506" s="33" t="s">
        <v>1997</v>
      </c>
      <c r="C506" s="33">
        <v>30</v>
      </c>
    </row>
    <row r="507" spans="2:3" x14ac:dyDescent="0.25">
      <c r="B507" s="33" t="s">
        <v>1998</v>
      </c>
      <c r="C507" s="33">
        <v>30</v>
      </c>
    </row>
    <row r="508" spans="2:3" x14ac:dyDescent="0.25">
      <c r="B508" s="33" t="s">
        <v>1999</v>
      </c>
      <c r="C508" s="33">
        <v>30</v>
      </c>
    </row>
    <row r="509" spans="2:3" x14ac:dyDescent="0.25">
      <c r="B509" s="33" t="s">
        <v>2000</v>
      </c>
      <c r="C509" s="33">
        <v>30</v>
      </c>
    </row>
    <row r="510" spans="2:3" x14ac:dyDescent="0.25">
      <c r="B510" s="33" t="s">
        <v>2001</v>
      </c>
      <c r="C510" s="33">
        <v>30</v>
      </c>
    </row>
    <row r="511" spans="2:3" x14ac:dyDescent="0.25">
      <c r="B511" s="33" t="s">
        <v>2002</v>
      </c>
      <c r="C511" s="33">
        <v>30</v>
      </c>
    </row>
    <row r="512" spans="2:3" x14ac:dyDescent="0.25">
      <c r="B512" s="33" t="s">
        <v>2003</v>
      </c>
      <c r="C512" s="33">
        <v>30</v>
      </c>
    </row>
    <row r="513" spans="2:3" x14ac:dyDescent="0.25">
      <c r="B513" s="33" t="s">
        <v>2004</v>
      </c>
      <c r="C513" s="33">
        <v>30</v>
      </c>
    </row>
    <row r="514" spans="2:3" x14ac:dyDescent="0.25">
      <c r="B514" s="33" t="s">
        <v>2005</v>
      </c>
      <c r="C514" s="33">
        <v>30</v>
      </c>
    </row>
    <row r="515" spans="2:3" x14ac:dyDescent="0.25">
      <c r="B515" s="33" t="s">
        <v>2006</v>
      </c>
      <c r="C515" s="33">
        <v>30</v>
      </c>
    </row>
    <row r="516" spans="2:3" x14ac:dyDescent="0.25">
      <c r="B516" s="33" t="s">
        <v>2007</v>
      </c>
      <c r="C516" s="33">
        <v>30</v>
      </c>
    </row>
    <row r="517" spans="2:3" x14ac:dyDescent="0.25">
      <c r="B517" s="33" t="s">
        <v>2008</v>
      </c>
      <c r="C517" s="33">
        <v>30</v>
      </c>
    </row>
    <row r="518" spans="2:3" x14ac:dyDescent="0.25">
      <c r="B518" s="33" t="s">
        <v>2009</v>
      </c>
      <c r="C518" s="33">
        <v>30</v>
      </c>
    </row>
    <row r="519" spans="2:3" x14ac:dyDescent="0.25">
      <c r="B519" s="33" t="s">
        <v>2010</v>
      </c>
      <c r="C519" s="33">
        <v>30</v>
      </c>
    </row>
    <row r="520" spans="2:3" x14ac:dyDescent="0.25">
      <c r="B520" s="33" t="s">
        <v>2011</v>
      </c>
      <c r="C520" s="33">
        <v>30</v>
      </c>
    </row>
    <row r="521" spans="2:3" x14ac:dyDescent="0.25">
      <c r="B521" s="33" t="s">
        <v>2012</v>
      </c>
      <c r="C521" s="33">
        <v>30</v>
      </c>
    </row>
    <row r="522" spans="2:3" x14ac:dyDescent="0.25">
      <c r="B522" s="33" t="s">
        <v>2013</v>
      </c>
      <c r="C522" s="33">
        <v>30</v>
      </c>
    </row>
    <row r="523" spans="2:3" x14ac:dyDescent="0.25">
      <c r="B523" s="33" t="s">
        <v>2014</v>
      </c>
      <c r="C523" s="33">
        <v>30</v>
      </c>
    </row>
    <row r="524" spans="2:3" x14ac:dyDescent="0.25">
      <c r="B524" s="33" t="s">
        <v>2015</v>
      </c>
      <c r="C524" s="33">
        <v>30</v>
      </c>
    </row>
    <row r="525" spans="2:3" x14ac:dyDescent="0.25">
      <c r="B525" s="33" t="s">
        <v>2016</v>
      </c>
      <c r="C525" s="33">
        <v>30</v>
      </c>
    </row>
    <row r="526" spans="2:3" x14ac:dyDescent="0.25">
      <c r="B526" s="33" t="s">
        <v>2017</v>
      </c>
      <c r="C526" s="33">
        <v>30</v>
      </c>
    </row>
    <row r="527" spans="2:3" x14ac:dyDescent="0.25">
      <c r="B527" s="33" t="s">
        <v>2018</v>
      </c>
      <c r="C527" s="33">
        <v>30</v>
      </c>
    </row>
    <row r="528" spans="2:3" x14ac:dyDescent="0.25">
      <c r="B528" s="33" t="s">
        <v>2019</v>
      </c>
      <c r="C528" s="33">
        <v>30</v>
      </c>
    </row>
    <row r="529" spans="2:3" x14ac:dyDescent="0.25">
      <c r="B529" s="33" t="s">
        <v>2020</v>
      </c>
      <c r="C529" s="33">
        <v>30</v>
      </c>
    </row>
    <row r="530" spans="2:3" x14ac:dyDescent="0.25">
      <c r="B530" s="33" t="s">
        <v>2021</v>
      </c>
      <c r="C530" s="33">
        <v>30</v>
      </c>
    </row>
    <row r="531" spans="2:3" x14ac:dyDescent="0.25">
      <c r="B531" s="33" t="s">
        <v>2022</v>
      </c>
      <c r="C531" s="33">
        <v>30</v>
      </c>
    </row>
    <row r="532" spans="2:3" x14ac:dyDescent="0.25">
      <c r="B532" s="33" t="s">
        <v>2023</v>
      </c>
      <c r="C532" s="33">
        <v>30</v>
      </c>
    </row>
    <row r="533" spans="2:3" x14ac:dyDescent="0.25">
      <c r="B533" s="33" t="s">
        <v>2024</v>
      </c>
      <c r="C533" s="33">
        <v>30</v>
      </c>
    </row>
    <row r="534" spans="2:3" x14ac:dyDescent="0.25">
      <c r="B534" s="33" t="s">
        <v>2025</v>
      </c>
      <c r="C534" s="33">
        <v>30</v>
      </c>
    </row>
    <row r="535" spans="2:3" x14ac:dyDescent="0.25">
      <c r="B535" s="33" t="s">
        <v>2026</v>
      </c>
      <c r="C535" s="33">
        <v>30</v>
      </c>
    </row>
    <row r="536" spans="2:3" x14ac:dyDescent="0.25">
      <c r="B536" s="33" t="s">
        <v>2027</v>
      </c>
      <c r="C536" s="33">
        <v>30</v>
      </c>
    </row>
    <row r="537" spans="2:3" x14ac:dyDescent="0.25">
      <c r="B537" s="33" t="s">
        <v>2028</v>
      </c>
      <c r="C537" s="33">
        <v>30</v>
      </c>
    </row>
    <row r="538" spans="2:3" x14ac:dyDescent="0.25">
      <c r="B538" s="33" t="s">
        <v>2029</v>
      </c>
      <c r="C538" s="33">
        <v>30</v>
      </c>
    </row>
    <row r="539" spans="2:3" x14ac:dyDescent="0.25">
      <c r="B539" s="33" t="s">
        <v>2030</v>
      </c>
      <c r="C539" s="33">
        <v>30</v>
      </c>
    </row>
    <row r="540" spans="2:3" x14ac:dyDescent="0.25">
      <c r="B540" s="33" t="s">
        <v>2031</v>
      </c>
      <c r="C540" s="33">
        <v>30</v>
      </c>
    </row>
    <row r="541" spans="2:3" x14ac:dyDescent="0.25">
      <c r="B541" s="33" t="s">
        <v>2032</v>
      </c>
      <c r="C541" s="33">
        <v>30</v>
      </c>
    </row>
    <row r="542" spans="2:3" x14ac:dyDescent="0.25">
      <c r="B542" s="33" t="s">
        <v>2033</v>
      </c>
      <c r="C542" s="33">
        <v>30</v>
      </c>
    </row>
    <row r="543" spans="2:3" x14ac:dyDescent="0.25">
      <c r="B543" s="33" t="s">
        <v>2034</v>
      </c>
      <c r="C543" s="33">
        <v>30</v>
      </c>
    </row>
    <row r="544" spans="2:3" x14ac:dyDescent="0.25">
      <c r="B544" s="33" t="s">
        <v>2035</v>
      </c>
      <c r="C544" s="33">
        <v>30</v>
      </c>
    </row>
    <row r="545" spans="2:3" x14ac:dyDescent="0.25">
      <c r="B545" s="33" t="s">
        <v>2036</v>
      </c>
      <c r="C545" s="33">
        <v>30</v>
      </c>
    </row>
    <row r="546" spans="2:3" x14ac:dyDescent="0.25">
      <c r="B546" s="33" t="s">
        <v>2037</v>
      </c>
      <c r="C546" s="33">
        <v>30</v>
      </c>
    </row>
    <row r="547" spans="2:3" x14ac:dyDescent="0.25">
      <c r="B547" s="33" t="s">
        <v>2038</v>
      </c>
      <c r="C547" s="33">
        <v>30</v>
      </c>
    </row>
    <row r="548" spans="2:3" x14ac:dyDescent="0.25">
      <c r="B548" s="33" t="s">
        <v>2039</v>
      </c>
      <c r="C548" s="33">
        <v>30</v>
      </c>
    </row>
    <row r="549" spans="2:3" x14ac:dyDescent="0.25">
      <c r="B549" s="33" t="s">
        <v>2040</v>
      </c>
      <c r="C549" s="33">
        <v>30</v>
      </c>
    </row>
    <row r="550" spans="2:3" x14ac:dyDescent="0.25">
      <c r="B550" s="33" t="s">
        <v>2041</v>
      </c>
      <c r="C550" s="33">
        <v>30</v>
      </c>
    </row>
    <row r="551" spans="2:3" x14ac:dyDescent="0.25">
      <c r="B551" s="33" t="s">
        <v>2042</v>
      </c>
      <c r="C551" s="33">
        <v>30</v>
      </c>
    </row>
    <row r="552" spans="2:3" x14ac:dyDescent="0.25">
      <c r="B552" s="33" t="s">
        <v>2043</v>
      </c>
      <c r="C552" s="33">
        <v>30</v>
      </c>
    </row>
    <row r="553" spans="2:3" x14ac:dyDescent="0.25">
      <c r="B553" s="33" t="s">
        <v>2044</v>
      </c>
      <c r="C553" s="33">
        <v>30</v>
      </c>
    </row>
    <row r="554" spans="2:3" x14ac:dyDescent="0.25">
      <c r="B554" s="33" t="s">
        <v>2045</v>
      </c>
      <c r="C554" s="33">
        <v>30</v>
      </c>
    </row>
    <row r="555" spans="2:3" x14ac:dyDescent="0.25">
      <c r="B555" s="33" t="s">
        <v>2046</v>
      </c>
      <c r="C555" s="33">
        <v>30</v>
      </c>
    </row>
    <row r="556" spans="2:3" x14ac:dyDescent="0.25">
      <c r="B556" s="33" t="s">
        <v>2047</v>
      </c>
      <c r="C556" s="33">
        <v>30</v>
      </c>
    </row>
    <row r="557" spans="2:3" x14ac:dyDescent="0.25">
      <c r="B557" s="33" t="s">
        <v>2048</v>
      </c>
      <c r="C557" s="33">
        <v>30</v>
      </c>
    </row>
    <row r="558" spans="2:3" x14ac:dyDescent="0.25">
      <c r="B558" s="33" t="s">
        <v>2049</v>
      </c>
      <c r="C558" s="33">
        <v>30</v>
      </c>
    </row>
    <row r="559" spans="2:3" x14ac:dyDescent="0.25">
      <c r="B559" s="33" t="s">
        <v>2050</v>
      </c>
      <c r="C559" s="33">
        <v>30</v>
      </c>
    </row>
    <row r="560" spans="2:3" x14ac:dyDescent="0.25">
      <c r="B560" s="33" t="s">
        <v>2051</v>
      </c>
      <c r="C560" s="33">
        <v>30</v>
      </c>
    </row>
    <row r="561" spans="2:3" x14ac:dyDescent="0.25">
      <c r="B561" s="33" t="s">
        <v>2052</v>
      </c>
      <c r="C561" s="33">
        <v>30</v>
      </c>
    </row>
    <row r="562" spans="2:3" x14ac:dyDescent="0.25">
      <c r="B562" s="33" t="s">
        <v>2053</v>
      </c>
      <c r="C562" s="33">
        <v>30</v>
      </c>
    </row>
    <row r="563" spans="2:3" x14ac:dyDescent="0.25">
      <c r="B563" s="33" t="s">
        <v>2054</v>
      </c>
      <c r="C563" s="33">
        <v>30</v>
      </c>
    </row>
    <row r="564" spans="2:3" x14ac:dyDescent="0.25">
      <c r="B564" s="33" t="s">
        <v>2055</v>
      </c>
      <c r="C564" s="33">
        <v>30</v>
      </c>
    </row>
    <row r="565" spans="2:3" x14ac:dyDescent="0.25">
      <c r="B565" s="33" t="s">
        <v>2056</v>
      </c>
      <c r="C565" s="33">
        <v>30</v>
      </c>
    </row>
    <row r="566" spans="2:3" x14ac:dyDescent="0.25">
      <c r="B566" s="33" t="s">
        <v>2057</v>
      </c>
      <c r="C566" s="33">
        <v>30</v>
      </c>
    </row>
    <row r="567" spans="2:3" x14ac:dyDescent="0.25">
      <c r="B567" s="33" t="s">
        <v>2058</v>
      </c>
      <c r="C567" s="33">
        <v>30</v>
      </c>
    </row>
    <row r="568" spans="2:3" x14ac:dyDescent="0.25">
      <c r="B568" s="33" t="s">
        <v>2059</v>
      </c>
      <c r="C568" s="33">
        <v>30</v>
      </c>
    </row>
    <row r="569" spans="2:3" x14ac:dyDescent="0.25">
      <c r="B569" s="33" t="s">
        <v>2060</v>
      </c>
      <c r="C569" s="33">
        <v>30</v>
      </c>
    </row>
    <row r="570" spans="2:3" x14ac:dyDescent="0.25">
      <c r="B570" s="33" t="s">
        <v>2061</v>
      </c>
      <c r="C570" s="33">
        <v>30</v>
      </c>
    </row>
    <row r="571" spans="2:3" x14ac:dyDescent="0.25">
      <c r="B571" s="33" t="s">
        <v>2062</v>
      </c>
      <c r="C571" s="33">
        <v>30</v>
      </c>
    </row>
    <row r="572" spans="2:3" x14ac:dyDescent="0.25">
      <c r="B572" s="33" t="s">
        <v>2063</v>
      </c>
      <c r="C572" s="33">
        <v>30</v>
      </c>
    </row>
    <row r="573" spans="2:3" x14ac:dyDescent="0.25">
      <c r="B573" s="33" t="s">
        <v>2064</v>
      </c>
      <c r="C573" s="33">
        <v>30</v>
      </c>
    </row>
    <row r="574" spans="2:3" x14ac:dyDescent="0.25">
      <c r="B574" s="33" t="s">
        <v>2065</v>
      </c>
      <c r="C574" s="33">
        <v>30</v>
      </c>
    </row>
    <row r="575" spans="2:3" x14ac:dyDescent="0.25">
      <c r="B575" s="33" t="s">
        <v>2066</v>
      </c>
      <c r="C575" s="33">
        <v>30</v>
      </c>
    </row>
    <row r="576" spans="2:3" x14ac:dyDescent="0.25">
      <c r="B576" s="33" t="s">
        <v>2067</v>
      </c>
      <c r="C576" s="33">
        <v>30</v>
      </c>
    </row>
    <row r="577" spans="2:3" x14ac:dyDescent="0.25">
      <c r="B577" s="33" t="s">
        <v>2068</v>
      </c>
      <c r="C577" s="33">
        <v>30</v>
      </c>
    </row>
    <row r="578" spans="2:3" x14ac:dyDescent="0.25">
      <c r="B578" s="33" t="s">
        <v>2069</v>
      </c>
      <c r="C578" s="33">
        <v>30</v>
      </c>
    </row>
    <row r="579" spans="2:3" x14ac:dyDescent="0.25">
      <c r="B579" s="33" t="s">
        <v>2070</v>
      </c>
      <c r="C579" s="33">
        <v>30</v>
      </c>
    </row>
    <row r="580" spans="2:3" x14ac:dyDescent="0.25">
      <c r="B580" s="33" t="s">
        <v>2071</v>
      </c>
      <c r="C580" s="33">
        <v>30</v>
      </c>
    </row>
    <row r="581" spans="2:3" x14ac:dyDescent="0.25">
      <c r="B581" s="33" t="s">
        <v>2072</v>
      </c>
      <c r="C581" s="33">
        <v>30</v>
      </c>
    </row>
    <row r="582" spans="2:3" x14ac:dyDescent="0.25">
      <c r="B582" s="33" t="s">
        <v>2073</v>
      </c>
      <c r="C582" s="33">
        <v>30</v>
      </c>
    </row>
    <row r="583" spans="2:3" x14ac:dyDescent="0.25">
      <c r="B583" s="33" t="s">
        <v>2074</v>
      </c>
      <c r="C583" s="33">
        <v>30</v>
      </c>
    </row>
    <row r="584" spans="2:3" x14ac:dyDescent="0.25">
      <c r="B584" s="33" t="s">
        <v>2075</v>
      </c>
      <c r="C584" s="33">
        <v>30</v>
      </c>
    </row>
    <row r="585" spans="2:3" x14ac:dyDescent="0.25">
      <c r="B585" s="33" t="s">
        <v>2076</v>
      </c>
      <c r="C585" s="33">
        <v>30</v>
      </c>
    </row>
    <row r="586" spans="2:3" x14ac:dyDescent="0.25">
      <c r="B586" s="33" t="s">
        <v>2077</v>
      </c>
      <c r="C586" s="33">
        <v>30</v>
      </c>
    </row>
    <row r="587" spans="2:3" x14ac:dyDescent="0.25">
      <c r="B587" s="33" t="s">
        <v>2078</v>
      </c>
      <c r="C587" s="33">
        <v>30</v>
      </c>
    </row>
    <row r="588" spans="2:3" x14ac:dyDescent="0.25">
      <c r="B588" s="33" t="s">
        <v>2079</v>
      </c>
      <c r="C588" s="33">
        <v>30</v>
      </c>
    </row>
    <row r="589" spans="2:3" x14ac:dyDescent="0.25">
      <c r="B589" s="33" t="s">
        <v>2080</v>
      </c>
      <c r="C589" s="33">
        <v>30</v>
      </c>
    </row>
    <row r="590" spans="2:3" x14ac:dyDescent="0.25">
      <c r="B590" s="33" t="s">
        <v>2081</v>
      </c>
      <c r="C590" s="33">
        <v>30</v>
      </c>
    </row>
    <row r="591" spans="2:3" x14ac:dyDescent="0.25">
      <c r="B591" s="33" t="s">
        <v>2082</v>
      </c>
      <c r="C591" s="33">
        <v>30</v>
      </c>
    </row>
    <row r="592" spans="2:3" x14ac:dyDescent="0.25">
      <c r="B592" s="33" t="s">
        <v>2083</v>
      </c>
      <c r="C592" s="33">
        <v>30</v>
      </c>
    </row>
    <row r="593" spans="2:3" x14ac:dyDescent="0.25">
      <c r="B593" s="33" t="s">
        <v>2084</v>
      </c>
      <c r="C593" s="33">
        <v>30</v>
      </c>
    </row>
    <row r="594" spans="2:3" x14ac:dyDescent="0.25">
      <c r="B594" s="33" t="s">
        <v>2085</v>
      </c>
      <c r="C594" s="33">
        <v>30</v>
      </c>
    </row>
    <row r="595" spans="2:3" x14ac:dyDescent="0.25">
      <c r="B595" s="33" t="s">
        <v>2086</v>
      </c>
      <c r="C595" s="33">
        <v>30</v>
      </c>
    </row>
    <row r="596" spans="2:3" x14ac:dyDescent="0.25">
      <c r="B596" s="33" t="s">
        <v>2087</v>
      </c>
      <c r="C596" s="33">
        <v>30</v>
      </c>
    </row>
    <row r="597" spans="2:3" x14ac:dyDescent="0.25">
      <c r="B597" s="33" t="s">
        <v>2088</v>
      </c>
      <c r="C597" s="33">
        <v>30</v>
      </c>
    </row>
    <row r="598" spans="2:3" x14ac:dyDescent="0.25">
      <c r="B598" s="33" t="s">
        <v>2089</v>
      </c>
      <c r="C598" s="33">
        <v>30</v>
      </c>
    </row>
    <row r="599" spans="2:3" x14ac:dyDescent="0.25">
      <c r="B599" s="33" t="s">
        <v>2090</v>
      </c>
      <c r="C599" s="33">
        <v>30</v>
      </c>
    </row>
    <row r="600" spans="2:3" x14ac:dyDescent="0.25">
      <c r="B600" s="33" t="s">
        <v>2091</v>
      </c>
      <c r="C600" s="33">
        <v>30</v>
      </c>
    </row>
    <row r="601" spans="2:3" x14ac:dyDescent="0.25">
      <c r="B601" s="33" t="s">
        <v>2092</v>
      </c>
      <c r="C601" s="33">
        <v>30</v>
      </c>
    </row>
    <row r="602" spans="2:3" x14ac:dyDescent="0.25">
      <c r="B602" s="33" t="s">
        <v>2093</v>
      </c>
      <c r="C602" s="33">
        <v>30</v>
      </c>
    </row>
    <row r="603" spans="2:3" x14ac:dyDescent="0.25">
      <c r="B603" s="33" t="s">
        <v>2094</v>
      </c>
      <c r="C603" s="33">
        <v>30</v>
      </c>
    </row>
    <row r="604" spans="2:3" x14ac:dyDescent="0.25">
      <c r="B604" s="33" t="s">
        <v>2095</v>
      </c>
      <c r="C604" s="33">
        <v>30</v>
      </c>
    </row>
    <row r="605" spans="2:3" x14ac:dyDescent="0.25">
      <c r="B605" s="33" t="s">
        <v>2096</v>
      </c>
      <c r="C605" s="33">
        <v>30</v>
      </c>
    </row>
    <row r="606" spans="2:3" x14ac:dyDescent="0.25">
      <c r="B606" s="33" t="s">
        <v>2097</v>
      </c>
      <c r="C606" s="33">
        <v>30</v>
      </c>
    </row>
    <row r="607" spans="2:3" x14ac:dyDescent="0.25">
      <c r="B607" s="33" t="s">
        <v>2098</v>
      </c>
      <c r="C607" s="33">
        <v>30</v>
      </c>
    </row>
    <row r="608" spans="2:3" x14ac:dyDescent="0.25">
      <c r="B608" s="33" t="s">
        <v>2099</v>
      </c>
      <c r="C608" s="33">
        <v>30</v>
      </c>
    </row>
    <row r="609" spans="2:3" x14ac:dyDescent="0.25">
      <c r="B609" s="33" t="s">
        <v>2100</v>
      </c>
      <c r="C609" s="33">
        <v>30</v>
      </c>
    </row>
    <row r="610" spans="2:3" x14ac:dyDescent="0.25">
      <c r="B610" s="33" t="s">
        <v>2101</v>
      </c>
      <c r="C610" s="33">
        <v>30</v>
      </c>
    </row>
    <row r="611" spans="2:3" x14ac:dyDescent="0.25">
      <c r="B611" s="33" t="s">
        <v>2102</v>
      </c>
      <c r="C611" s="33">
        <v>30</v>
      </c>
    </row>
    <row r="612" spans="2:3" x14ac:dyDescent="0.25">
      <c r="B612" s="33" t="s">
        <v>2103</v>
      </c>
      <c r="C612" s="33">
        <v>30</v>
      </c>
    </row>
    <row r="613" spans="2:3" x14ac:dyDescent="0.25">
      <c r="B613" s="33" t="s">
        <v>2104</v>
      </c>
      <c r="C613" s="33">
        <v>30</v>
      </c>
    </row>
    <row r="614" spans="2:3" x14ac:dyDescent="0.25">
      <c r="B614" s="33" t="s">
        <v>2105</v>
      </c>
      <c r="C614" s="33">
        <v>30</v>
      </c>
    </row>
    <row r="615" spans="2:3" x14ac:dyDescent="0.25">
      <c r="B615" s="33" t="s">
        <v>2106</v>
      </c>
      <c r="C615" s="33">
        <v>30</v>
      </c>
    </row>
    <row r="616" spans="2:3" x14ac:dyDescent="0.25">
      <c r="B616" s="33" t="s">
        <v>2107</v>
      </c>
      <c r="C616" s="33">
        <v>30</v>
      </c>
    </row>
    <row r="617" spans="2:3" x14ac:dyDescent="0.25">
      <c r="B617" s="33" t="s">
        <v>2108</v>
      </c>
      <c r="C617" s="33">
        <v>30</v>
      </c>
    </row>
    <row r="618" spans="2:3" x14ac:dyDescent="0.25">
      <c r="B618" s="33" t="s">
        <v>2109</v>
      </c>
      <c r="C618" s="33">
        <v>30</v>
      </c>
    </row>
    <row r="619" spans="2:3" x14ac:dyDescent="0.25">
      <c r="B619" s="33" t="s">
        <v>2110</v>
      </c>
      <c r="C619" s="33">
        <v>30</v>
      </c>
    </row>
    <row r="620" spans="2:3" x14ac:dyDescent="0.25">
      <c r="B620" s="33" t="s">
        <v>2111</v>
      </c>
      <c r="C620" s="33">
        <v>30</v>
      </c>
    </row>
    <row r="621" spans="2:3" x14ac:dyDescent="0.25">
      <c r="B621" s="33" t="s">
        <v>2112</v>
      </c>
      <c r="C621" s="33">
        <v>30</v>
      </c>
    </row>
    <row r="622" spans="2:3" x14ac:dyDescent="0.25">
      <c r="B622" s="33" t="s">
        <v>2113</v>
      </c>
      <c r="C622" s="33">
        <v>30</v>
      </c>
    </row>
    <row r="623" spans="2:3" x14ac:dyDescent="0.25">
      <c r="B623" s="33" t="s">
        <v>2114</v>
      </c>
      <c r="C623" s="33">
        <v>30</v>
      </c>
    </row>
    <row r="624" spans="2:3" x14ac:dyDescent="0.25">
      <c r="B624" s="33" t="s">
        <v>2115</v>
      </c>
      <c r="C624" s="33">
        <v>30</v>
      </c>
    </row>
    <row r="625" spans="2:3" x14ac:dyDescent="0.25">
      <c r="B625" s="33" t="s">
        <v>2116</v>
      </c>
      <c r="C625" s="33">
        <v>30</v>
      </c>
    </row>
    <row r="626" spans="2:3" x14ac:dyDescent="0.25">
      <c r="B626" s="33" t="s">
        <v>2117</v>
      </c>
      <c r="C626" s="33">
        <v>30</v>
      </c>
    </row>
    <row r="627" spans="2:3" x14ac:dyDescent="0.25">
      <c r="B627" s="33" t="s">
        <v>2118</v>
      </c>
      <c r="C627" s="33">
        <v>30</v>
      </c>
    </row>
    <row r="628" spans="2:3" x14ac:dyDescent="0.25">
      <c r="B628" s="33" t="s">
        <v>2119</v>
      </c>
      <c r="C628" s="33">
        <v>30</v>
      </c>
    </row>
    <row r="629" spans="2:3" x14ac:dyDescent="0.25">
      <c r="B629" s="33" t="s">
        <v>2120</v>
      </c>
      <c r="C629" s="33">
        <v>30</v>
      </c>
    </row>
    <row r="630" spans="2:3" x14ac:dyDescent="0.25">
      <c r="B630" s="33" t="s">
        <v>2121</v>
      </c>
      <c r="C630" s="33">
        <v>30</v>
      </c>
    </row>
    <row r="631" spans="2:3" x14ac:dyDescent="0.25">
      <c r="B631" s="33" t="s">
        <v>2122</v>
      </c>
      <c r="C631" s="33">
        <v>30</v>
      </c>
    </row>
    <row r="632" spans="2:3" x14ac:dyDescent="0.25">
      <c r="B632" s="33" t="s">
        <v>2123</v>
      </c>
      <c r="C632" s="33">
        <v>30</v>
      </c>
    </row>
    <row r="633" spans="2:3" x14ac:dyDescent="0.25">
      <c r="B633" s="33" t="s">
        <v>2124</v>
      </c>
      <c r="C633" s="33">
        <v>30</v>
      </c>
    </row>
    <row r="634" spans="2:3" x14ac:dyDescent="0.25">
      <c r="B634" s="33" t="s">
        <v>2125</v>
      </c>
      <c r="C634" s="33">
        <v>30</v>
      </c>
    </row>
    <row r="635" spans="2:3" x14ac:dyDescent="0.25">
      <c r="B635" s="33" t="s">
        <v>2126</v>
      </c>
      <c r="C635" s="33">
        <v>30</v>
      </c>
    </row>
    <row r="636" spans="2:3" x14ac:dyDescent="0.25">
      <c r="B636" s="33" t="s">
        <v>2127</v>
      </c>
      <c r="C636" s="33">
        <v>30</v>
      </c>
    </row>
    <row r="637" spans="2:3" x14ac:dyDescent="0.25">
      <c r="B637" s="33" t="s">
        <v>2128</v>
      </c>
      <c r="C637" s="33">
        <v>30</v>
      </c>
    </row>
    <row r="638" spans="2:3" x14ac:dyDescent="0.25">
      <c r="B638" s="33" t="s">
        <v>2129</v>
      </c>
      <c r="C638" s="33">
        <v>30</v>
      </c>
    </row>
    <row r="639" spans="2:3" x14ac:dyDescent="0.25">
      <c r="B639" s="33" t="s">
        <v>2130</v>
      </c>
      <c r="C639" s="33">
        <v>30</v>
      </c>
    </row>
    <row r="640" spans="2:3" x14ac:dyDescent="0.25">
      <c r="B640" s="33" t="s">
        <v>2131</v>
      </c>
      <c r="C640" s="33">
        <v>30</v>
      </c>
    </row>
    <row r="641" spans="2:3" x14ac:dyDescent="0.25">
      <c r="B641" s="33" t="s">
        <v>2132</v>
      </c>
      <c r="C641" s="33">
        <v>30</v>
      </c>
    </row>
    <row r="642" spans="2:3" x14ac:dyDescent="0.25">
      <c r="B642" s="33" t="s">
        <v>2133</v>
      </c>
      <c r="C642" s="33">
        <v>30</v>
      </c>
    </row>
    <row r="643" spans="2:3" x14ac:dyDescent="0.25">
      <c r="B643" s="33" t="s">
        <v>2134</v>
      </c>
      <c r="C643" s="33">
        <v>30</v>
      </c>
    </row>
    <row r="644" spans="2:3" x14ac:dyDescent="0.25">
      <c r="B644" s="33" t="s">
        <v>2135</v>
      </c>
      <c r="C644" s="33">
        <v>30</v>
      </c>
    </row>
    <row r="645" spans="2:3" x14ac:dyDescent="0.25">
      <c r="B645" s="33" t="s">
        <v>2136</v>
      </c>
      <c r="C645" s="33">
        <v>30</v>
      </c>
    </row>
    <row r="646" spans="2:3" x14ac:dyDescent="0.25">
      <c r="B646" s="33" t="s">
        <v>2137</v>
      </c>
      <c r="C646" s="33">
        <v>30</v>
      </c>
    </row>
    <row r="647" spans="2:3" x14ac:dyDescent="0.25">
      <c r="B647" s="33" t="s">
        <v>2138</v>
      </c>
      <c r="C647" s="33">
        <v>30</v>
      </c>
    </row>
    <row r="648" spans="2:3" x14ac:dyDescent="0.25">
      <c r="B648" s="33" t="s">
        <v>2139</v>
      </c>
      <c r="C648" s="33">
        <v>30</v>
      </c>
    </row>
    <row r="649" spans="2:3" x14ac:dyDescent="0.25">
      <c r="B649" s="33" t="s">
        <v>2140</v>
      </c>
      <c r="C649" s="33">
        <v>30</v>
      </c>
    </row>
    <row r="650" spans="2:3" x14ac:dyDescent="0.25">
      <c r="B650" s="33" t="s">
        <v>2141</v>
      </c>
      <c r="C650" s="33">
        <v>30</v>
      </c>
    </row>
    <row r="651" spans="2:3" x14ac:dyDescent="0.25">
      <c r="B651" s="33" t="s">
        <v>2142</v>
      </c>
      <c r="C651" s="33">
        <v>30</v>
      </c>
    </row>
    <row r="652" spans="2:3" x14ac:dyDescent="0.25">
      <c r="B652" s="33" t="s">
        <v>2143</v>
      </c>
      <c r="C652" s="33">
        <v>30</v>
      </c>
    </row>
    <row r="653" spans="2:3" x14ac:dyDescent="0.25">
      <c r="B653" s="33" t="s">
        <v>2144</v>
      </c>
      <c r="C653" s="33">
        <v>30</v>
      </c>
    </row>
    <row r="654" spans="2:3" x14ac:dyDescent="0.25">
      <c r="B654" s="33" t="s">
        <v>2145</v>
      </c>
      <c r="C654" s="33">
        <v>30</v>
      </c>
    </row>
    <row r="655" spans="2:3" x14ac:dyDescent="0.25">
      <c r="B655" s="33" t="s">
        <v>2146</v>
      </c>
      <c r="C655" s="33">
        <v>30</v>
      </c>
    </row>
    <row r="656" spans="2:3" x14ac:dyDescent="0.25">
      <c r="B656" s="33" t="s">
        <v>2147</v>
      </c>
      <c r="C656" s="33">
        <v>30</v>
      </c>
    </row>
    <row r="657" spans="2:3" x14ac:dyDescent="0.25">
      <c r="B657" s="33" t="s">
        <v>2148</v>
      </c>
      <c r="C657" s="33">
        <v>30</v>
      </c>
    </row>
    <row r="658" spans="2:3" x14ac:dyDescent="0.25">
      <c r="B658" s="33" t="s">
        <v>2149</v>
      </c>
      <c r="C658" s="33">
        <v>30</v>
      </c>
    </row>
    <row r="659" spans="2:3" x14ac:dyDescent="0.25">
      <c r="B659" s="33" t="s">
        <v>2150</v>
      </c>
      <c r="C659" s="33">
        <v>30</v>
      </c>
    </row>
    <row r="660" spans="2:3" x14ac:dyDescent="0.25">
      <c r="B660" s="33" t="s">
        <v>2151</v>
      </c>
      <c r="C660" s="33">
        <v>30</v>
      </c>
    </row>
    <row r="661" spans="2:3" x14ac:dyDescent="0.25">
      <c r="B661" s="33" t="s">
        <v>2152</v>
      </c>
      <c r="C661" s="33">
        <v>30</v>
      </c>
    </row>
    <row r="662" spans="2:3" x14ac:dyDescent="0.25">
      <c r="B662" s="33" t="s">
        <v>2153</v>
      </c>
      <c r="C662" s="33">
        <v>30</v>
      </c>
    </row>
    <row r="663" spans="2:3" x14ac:dyDescent="0.25">
      <c r="B663" s="33" t="s">
        <v>2154</v>
      </c>
      <c r="C663" s="33">
        <v>30</v>
      </c>
    </row>
    <row r="664" spans="2:3" x14ac:dyDescent="0.25">
      <c r="B664" s="33" t="s">
        <v>2155</v>
      </c>
      <c r="C664" s="33">
        <v>30</v>
      </c>
    </row>
    <row r="665" spans="2:3" x14ac:dyDescent="0.25">
      <c r="B665" s="33" t="s">
        <v>2156</v>
      </c>
      <c r="C665" s="33">
        <v>30</v>
      </c>
    </row>
    <row r="666" spans="2:3" x14ac:dyDescent="0.25">
      <c r="B666" s="33" t="s">
        <v>2157</v>
      </c>
      <c r="C666" s="33">
        <v>30</v>
      </c>
    </row>
    <row r="667" spans="2:3" x14ac:dyDescent="0.25">
      <c r="B667" s="33" t="s">
        <v>2158</v>
      </c>
      <c r="C667" s="33">
        <v>30</v>
      </c>
    </row>
    <row r="668" spans="2:3" x14ac:dyDescent="0.25">
      <c r="B668" s="33" t="s">
        <v>2159</v>
      </c>
      <c r="C668" s="33">
        <v>30</v>
      </c>
    </row>
    <row r="669" spans="2:3" x14ac:dyDescent="0.25">
      <c r="B669" s="33" t="s">
        <v>2160</v>
      </c>
      <c r="C669" s="33">
        <v>30</v>
      </c>
    </row>
    <row r="670" spans="2:3" x14ac:dyDescent="0.25">
      <c r="B670" s="33" t="s">
        <v>2161</v>
      </c>
      <c r="C670" s="33">
        <v>30</v>
      </c>
    </row>
    <row r="671" spans="2:3" x14ac:dyDescent="0.25">
      <c r="B671" s="33" t="s">
        <v>2162</v>
      </c>
      <c r="C671" s="33">
        <v>30</v>
      </c>
    </row>
    <row r="672" spans="2:3" x14ac:dyDescent="0.25">
      <c r="B672" s="33" t="s">
        <v>2163</v>
      </c>
      <c r="C672" s="33">
        <v>30</v>
      </c>
    </row>
    <row r="673" spans="2:3" x14ac:dyDescent="0.25">
      <c r="B673" s="33" t="s">
        <v>2164</v>
      </c>
      <c r="C673" s="33">
        <v>30</v>
      </c>
    </row>
    <row r="674" spans="2:3" x14ac:dyDescent="0.25">
      <c r="B674" s="33" t="s">
        <v>2165</v>
      </c>
      <c r="C674" s="33">
        <v>30</v>
      </c>
    </row>
    <row r="675" spans="2:3" x14ac:dyDescent="0.25">
      <c r="B675" s="33" t="s">
        <v>2166</v>
      </c>
      <c r="C675" s="33">
        <v>30</v>
      </c>
    </row>
    <row r="676" spans="2:3" x14ac:dyDescent="0.25">
      <c r="B676" s="33" t="s">
        <v>2167</v>
      </c>
      <c r="C676" s="33">
        <v>30</v>
      </c>
    </row>
    <row r="677" spans="2:3" x14ac:dyDescent="0.25">
      <c r="B677" s="33" t="s">
        <v>2168</v>
      </c>
      <c r="C677" s="33">
        <v>30</v>
      </c>
    </row>
    <row r="678" spans="2:3" x14ac:dyDescent="0.25">
      <c r="B678" s="33" t="s">
        <v>2169</v>
      </c>
      <c r="C678" s="33">
        <v>30</v>
      </c>
    </row>
    <row r="679" spans="2:3" x14ac:dyDescent="0.25">
      <c r="B679" s="33" t="s">
        <v>2170</v>
      </c>
      <c r="C679" s="33">
        <v>30</v>
      </c>
    </row>
    <row r="680" spans="2:3" x14ac:dyDescent="0.25">
      <c r="B680" s="33" t="s">
        <v>2171</v>
      </c>
      <c r="C680" s="33">
        <v>30</v>
      </c>
    </row>
    <row r="681" spans="2:3" x14ac:dyDescent="0.25">
      <c r="B681" s="33" t="s">
        <v>2172</v>
      </c>
      <c r="C681" s="33">
        <v>30</v>
      </c>
    </row>
    <row r="682" spans="2:3" x14ac:dyDescent="0.25">
      <c r="B682" s="33" t="s">
        <v>2173</v>
      </c>
      <c r="C682" s="33">
        <v>30</v>
      </c>
    </row>
    <row r="683" spans="2:3" x14ac:dyDescent="0.25">
      <c r="B683" s="33" t="s">
        <v>2174</v>
      </c>
      <c r="C683" s="33">
        <v>30</v>
      </c>
    </row>
    <row r="684" spans="2:3" x14ac:dyDescent="0.25">
      <c r="B684" s="33" t="s">
        <v>2175</v>
      </c>
      <c r="C684" s="33">
        <v>30</v>
      </c>
    </row>
    <row r="685" spans="2:3" x14ac:dyDescent="0.25">
      <c r="B685" s="33" t="s">
        <v>2176</v>
      </c>
      <c r="C685" s="33">
        <v>30</v>
      </c>
    </row>
    <row r="686" spans="2:3" x14ac:dyDescent="0.25">
      <c r="B686" s="33" t="s">
        <v>2177</v>
      </c>
      <c r="C686" s="33">
        <v>30</v>
      </c>
    </row>
    <row r="687" spans="2:3" x14ac:dyDescent="0.25">
      <c r="B687" s="33" t="s">
        <v>2178</v>
      </c>
      <c r="C687" s="33">
        <v>30</v>
      </c>
    </row>
    <row r="688" spans="2:3" x14ac:dyDescent="0.25">
      <c r="B688" s="33" t="s">
        <v>2179</v>
      </c>
      <c r="C688" s="33">
        <v>30</v>
      </c>
    </row>
    <row r="689" spans="2:3" x14ac:dyDescent="0.25">
      <c r="B689" s="33" t="s">
        <v>2180</v>
      </c>
      <c r="C689" s="33">
        <v>30</v>
      </c>
    </row>
    <row r="690" spans="2:3" x14ac:dyDescent="0.25">
      <c r="B690" s="33" t="s">
        <v>2181</v>
      </c>
      <c r="C690" s="33">
        <v>30</v>
      </c>
    </row>
    <row r="691" spans="2:3" x14ac:dyDescent="0.25">
      <c r="B691" s="33" t="s">
        <v>2182</v>
      </c>
      <c r="C691" s="33">
        <v>30</v>
      </c>
    </row>
    <row r="692" spans="2:3" x14ac:dyDescent="0.25">
      <c r="B692" s="33" t="s">
        <v>2183</v>
      </c>
      <c r="C692" s="33">
        <v>30</v>
      </c>
    </row>
    <row r="693" spans="2:3" x14ac:dyDescent="0.25">
      <c r="B693" s="33" t="s">
        <v>2184</v>
      </c>
      <c r="C693" s="33">
        <v>30</v>
      </c>
    </row>
    <row r="694" spans="2:3" x14ac:dyDescent="0.25">
      <c r="B694" s="33" t="s">
        <v>2185</v>
      </c>
      <c r="C694" s="33">
        <v>30</v>
      </c>
    </row>
    <row r="695" spans="2:3" x14ac:dyDescent="0.25">
      <c r="B695" s="33" t="s">
        <v>2186</v>
      </c>
      <c r="C695" s="33">
        <v>30</v>
      </c>
    </row>
    <row r="696" spans="2:3" x14ac:dyDescent="0.25">
      <c r="B696" s="33" t="s">
        <v>2187</v>
      </c>
      <c r="C696" s="33">
        <v>30</v>
      </c>
    </row>
    <row r="697" spans="2:3" x14ac:dyDescent="0.25">
      <c r="B697" s="33" t="s">
        <v>2188</v>
      </c>
      <c r="C697" s="33">
        <v>30</v>
      </c>
    </row>
    <row r="698" spans="2:3" x14ac:dyDescent="0.25">
      <c r="B698" s="33" t="s">
        <v>2189</v>
      </c>
      <c r="C698" s="33">
        <v>30</v>
      </c>
    </row>
    <row r="699" spans="2:3" x14ac:dyDescent="0.25">
      <c r="B699" s="33" t="s">
        <v>2190</v>
      </c>
      <c r="C699" s="33">
        <v>30</v>
      </c>
    </row>
    <row r="700" spans="2:3" x14ac:dyDescent="0.25">
      <c r="B700" s="33" t="s">
        <v>2191</v>
      </c>
      <c r="C700" s="33">
        <v>30</v>
      </c>
    </row>
    <row r="701" spans="2:3" x14ac:dyDescent="0.25">
      <c r="B701" s="33" t="s">
        <v>2192</v>
      </c>
      <c r="C701" s="33">
        <v>30</v>
      </c>
    </row>
    <row r="702" spans="2:3" x14ac:dyDescent="0.25">
      <c r="B702" s="33" t="s">
        <v>2193</v>
      </c>
      <c r="C702" s="33">
        <v>30</v>
      </c>
    </row>
    <row r="703" spans="2:3" x14ac:dyDescent="0.25">
      <c r="B703" s="33" t="s">
        <v>2194</v>
      </c>
      <c r="C703" s="33">
        <v>30</v>
      </c>
    </row>
    <row r="704" spans="2:3" x14ac:dyDescent="0.25">
      <c r="B704" s="33" t="s">
        <v>2195</v>
      </c>
      <c r="C704" s="33">
        <v>30</v>
      </c>
    </row>
    <row r="705" spans="2:3" x14ac:dyDescent="0.25">
      <c r="B705" s="33" t="s">
        <v>2196</v>
      </c>
      <c r="C705" s="33">
        <v>30</v>
      </c>
    </row>
    <row r="706" spans="2:3" x14ac:dyDescent="0.25">
      <c r="B706" s="33" t="s">
        <v>2197</v>
      </c>
      <c r="C706" s="33">
        <v>30</v>
      </c>
    </row>
    <row r="707" spans="2:3" x14ac:dyDescent="0.25">
      <c r="B707" s="33" t="s">
        <v>2198</v>
      </c>
      <c r="C707" s="33">
        <v>30</v>
      </c>
    </row>
    <row r="708" spans="2:3" x14ac:dyDescent="0.25">
      <c r="B708" s="33" t="s">
        <v>2199</v>
      </c>
      <c r="C708" s="33">
        <v>30</v>
      </c>
    </row>
    <row r="709" spans="2:3" x14ac:dyDescent="0.25">
      <c r="B709" s="33" t="s">
        <v>2200</v>
      </c>
      <c r="C709" s="33">
        <v>30</v>
      </c>
    </row>
    <row r="710" spans="2:3" x14ac:dyDescent="0.25">
      <c r="B710" s="33" t="s">
        <v>2201</v>
      </c>
      <c r="C710" s="33">
        <v>30</v>
      </c>
    </row>
    <row r="711" spans="2:3" x14ac:dyDescent="0.25">
      <c r="B711" s="33" t="s">
        <v>2202</v>
      </c>
      <c r="C711" s="33">
        <v>30</v>
      </c>
    </row>
    <row r="712" spans="2:3" x14ac:dyDescent="0.25">
      <c r="B712" s="33" t="s">
        <v>2203</v>
      </c>
      <c r="C712" s="33">
        <v>30</v>
      </c>
    </row>
    <row r="713" spans="2:3" x14ac:dyDescent="0.25">
      <c r="B713" s="33" t="s">
        <v>2204</v>
      </c>
      <c r="C713" s="33">
        <v>30</v>
      </c>
    </row>
    <row r="714" spans="2:3" x14ac:dyDescent="0.25">
      <c r="B714" s="33" t="s">
        <v>2205</v>
      </c>
      <c r="C714" s="33">
        <v>30</v>
      </c>
    </row>
    <row r="715" spans="2:3" x14ac:dyDescent="0.25">
      <c r="B715" s="33" t="s">
        <v>2206</v>
      </c>
      <c r="C715" s="33">
        <v>30</v>
      </c>
    </row>
    <row r="716" spans="2:3" x14ac:dyDescent="0.25">
      <c r="B716" s="33" t="s">
        <v>2207</v>
      </c>
      <c r="C716" s="33">
        <v>30</v>
      </c>
    </row>
    <row r="717" spans="2:3" x14ac:dyDescent="0.25">
      <c r="B717" s="33" t="s">
        <v>2208</v>
      </c>
      <c r="C717" s="33">
        <v>30</v>
      </c>
    </row>
    <row r="718" spans="2:3" x14ac:dyDescent="0.25">
      <c r="B718" s="33" t="s">
        <v>2209</v>
      </c>
      <c r="C718" s="33">
        <v>30</v>
      </c>
    </row>
    <row r="719" spans="2:3" x14ac:dyDescent="0.25">
      <c r="B719" s="33" t="s">
        <v>2210</v>
      </c>
      <c r="C719" s="33">
        <v>30</v>
      </c>
    </row>
    <row r="720" spans="2:3" x14ac:dyDescent="0.25">
      <c r="B720" s="33" t="s">
        <v>2211</v>
      </c>
      <c r="C720" s="33">
        <v>30</v>
      </c>
    </row>
    <row r="721" spans="2:3" x14ac:dyDescent="0.25">
      <c r="B721" s="33" t="s">
        <v>2212</v>
      </c>
      <c r="C721" s="33">
        <v>30</v>
      </c>
    </row>
    <row r="722" spans="2:3" x14ac:dyDescent="0.25">
      <c r="B722" s="33" t="s">
        <v>2213</v>
      </c>
      <c r="C722" s="33">
        <v>30</v>
      </c>
    </row>
    <row r="723" spans="2:3" x14ac:dyDescent="0.25">
      <c r="B723" s="33" t="s">
        <v>2214</v>
      </c>
      <c r="C723" s="33">
        <v>30</v>
      </c>
    </row>
    <row r="724" spans="2:3" x14ac:dyDescent="0.25">
      <c r="B724" s="33" t="s">
        <v>2215</v>
      </c>
      <c r="C724" s="33">
        <v>30</v>
      </c>
    </row>
    <row r="725" spans="2:3" x14ac:dyDescent="0.25">
      <c r="B725" s="33" t="s">
        <v>2216</v>
      </c>
      <c r="C725" s="33">
        <v>30</v>
      </c>
    </row>
    <row r="726" spans="2:3" x14ac:dyDescent="0.25">
      <c r="B726" s="33" t="s">
        <v>2217</v>
      </c>
      <c r="C726" s="33">
        <v>30</v>
      </c>
    </row>
    <row r="727" spans="2:3" x14ac:dyDescent="0.25">
      <c r="B727" s="33" t="s">
        <v>2218</v>
      </c>
      <c r="C727" s="33">
        <v>30</v>
      </c>
    </row>
    <row r="728" spans="2:3" x14ac:dyDescent="0.25">
      <c r="B728" s="33" t="s">
        <v>2219</v>
      </c>
      <c r="C728" s="33">
        <v>30</v>
      </c>
    </row>
    <row r="729" spans="2:3" x14ac:dyDescent="0.25">
      <c r="B729" s="33" t="s">
        <v>2220</v>
      </c>
      <c r="C729" s="33">
        <v>30</v>
      </c>
    </row>
    <row r="730" spans="2:3" x14ac:dyDescent="0.25">
      <c r="B730" s="33" t="s">
        <v>2221</v>
      </c>
      <c r="C730" s="33">
        <v>30</v>
      </c>
    </row>
    <row r="731" spans="2:3" x14ac:dyDescent="0.25">
      <c r="B731" s="33" t="s">
        <v>2222</v>
      </c>
      <c r="C731" s="33">
        <v>30</v>
      </c>
    </row>
    <row r="732" spans="2:3" x14ac:dyDescent="0.25">
      <c r="B732" s="33" t="s">
        <v>2223</v>
      </c>
      <c r="C732" s="33">
        <v>30</v>
      </c>
    </row>
    <row r="733" spans="2:3" x14ac:dyDescent="0.25">
      <c r="B733" s="33" t="s">
        <v>2224</v>
      </c>
      <c r="C733" s="33">
        <v>30</v>
      </c>
    </row>
    <row r="734" spans="2:3" x14ac:dyDescent="0.25">
      <c r="B734" s="33" t="s">
        <v>2225</v>
      </c>
      <c r="C734" s="33">
        <v>30</v>
      </c>
    </row>
    <row r="735" spans="2:3" x14ac:dyDescent="0.25">
      <c r="B735" s="33" t="s">
        <v>2226</v>
      </c>
      <c r="C735" s="33">
        <v>30</v>
      </c>
    </row>
    <row r="736" spans="2:3" x14ac:dyDescent="0.25">
      <c r="B736" s="33" t="s">
        <v>2227</v>
      </c>
      <c r="C736" s="33">
        <v>30</v>
      </c>
    </row>
    <row r="737" spans="2:3" x14ac:dyDescent="0.25">
      <c r="B737" s="33" t="s">
        <v>2228</v>
      </c>
      <c r="C737" s="33">
        <v>30</v>
      </c>
    </row>
    <row r="738" spans="2:3" x14ac:dyDescent="0.25">
      <c r="B738" s="33" t="s">
        <v>2229</v>
      </c>
      <c r="C738" s="33">
        <v>30</v>
      </c>
    </row>
    <row r="739" spans="2:3" x14ac:dyDescent="0.25">
      <c r="B739" s="33" t="s">
        <v>2230</v>
      </c>
      <c r="C739" s="33">
        <v>30</v>
      </c>
    </row>
    <row r="740" spans="2:3" x14ac:dyDescent="0.25">
      <c r="B740" s="33" t="s">
        <v>2231</v>
      </c>
      <c r="C740" s="33">
        <v>30</v>
      </c>
    </row>
    <row r="741" spans="2:3" x14ac:dyDescent="0.25">
      <c r="B741" s="33" t="s">
        <v>2232</v>
      </c>
      <c r="C741" s="33">
        <v>30</v>
      </c>
    </row>
    <row r="742" spans="2:3" x14ac:dyDescent="0.25">
      <c r="B742" s="33" t="s">
        <v>2233</v>
      </c>
      <c r="C742" s="33">
        <v>30</v>
      </c>
    </row>
    <row r="743" spans="2:3" x14ac:dyDescent="0.25">
      <c r="B743" s="33" t="s">
        <v>2234</v>
      </c>
      <c r="C743" s="33">
        <v>30</v>
      </c>
    </row>
    <row r="744" spans="2:3" x14ac:dyDescent="0.25">
      <c r="B744" s="33" t="s">
        <v>2235</v>
      </c>
      <c r="C744" s="33">
        <v>30</v>
      </c>
    </row>
    <row r="745" spans="2:3" x14ac:dyDescent="0.25">
      <c r="B745" s="33" t="s">
        <v>2236</v>
      </c>
      <c r="C745" s="33">
        <v>30</v>
      </c>
    </row>
    <row r="746" spans="2:3" x14ac:dyDescent="0.25">
      <c r="B746" s="33" t="s">
        <v>2237</v>
      </c>
      <c r="C746" s="33">
        <v>30</v>
      </c>
    </row>
    <row r="747" spans="2:3" x14ac:dyDescent="0.25">
      <c r="B747" s="33" t="s">
        <v>2238</v>
      </c>
      <c r="C747" s="33">
        <v>30</v>
      </c>
    </row>
    <row r="748" spans="2:3" x14ac:dyDescent="0.25">
      <c r="B748" s="33" t="s">
        <v>2239</v>
      </c>
      <c r="C748" s="33">
        <v>30</v>
      </c>
    </row>
    <row r="749" spans="2:3" x14ac:dyDescent="0.25">
      <c r="B749" s="33" t="s">
        <v>2240</v>
      </c>
      <c r="C749" s="33">
        <v>30</v>
      </c>
    </row>
    <row r="750" spans="2:3" x14ac:dyDescent="0.25">
      <c r="B750" s="33" t="s">
        <v>2241</v>
      </c>
      <c r="C750" s="33">
        <v>30</v>
      </c>
    </row>
    <row r="751" spans="2:3" x14ac:dyDescent="0.25">
      <c r="B751" s="33" t="s">
        <v>2242</v>
      </c>
      <c r="C751" s="33">
        <v>30</v>
      </c>
    </row>
    <row r="752" spans="2:3" x14ac:dyDescent="0.25">
      <c r="B752" s="33" t="s">
        <v>2243</v>
      </c>
      <c r="C752" s="33">
        <v>30</v>
      </c>
    </row>
    <row r="753" spans="2:3" x14ac:dyDescent="0.25">
      <c r="B753" s="33" t="s">
        <v>2244</v>
      </c>
      <c r="C753" s="33">
        <v>30</v>
      </c>
    </row>
    <row r="754" spans="2:3" x14ac:dyDescent="0.25">
      <c r="B754" s="33" t="s">
        <v>2245</v>
      </c>
      <c r="C754" s="33">
        <v>30</v>
      </c>
    </row>
    <row r="755" spans="2:3" x14ac:dyDescent="0.25">
      <c r="B755" s="33" t="s">
        <v>2246</v>
      </c>
      <c r="C755" s="33">
        <v>30</v>
      </c>
    </row>
    <row r="756" spans="2:3" x14ac:dyDescent="0.25">
      <c r="B756" s="33" t="s">
        <v>2247</v>
      </c>
      <c r="C756" s="33">
        <v>30</v>
      </c>
    </row>
    <row r="757" spans="2:3" x14ac:dyDescent="0.25">
      <c r="B757" s="33" t="s">
        <v>2248</v>
      </c>
      <c r="C757" s="33">
        <v>30</v>
      </c>
    </row>
    <row r="758" spans="2:3" x14ac:dyDescent="0.25">
      <c r="B758" s="33" t="s">
        <v>2249</v>
      </c>
      <c r="C758" s="33">
        <v>30</v>
      </c>
    </row>
    <row r="759" spans="2:3" x14ac:dyDescent="0.25">
      <c r="B759" s="33" t="s">
        <v>2250</v>
      </c>
      <c r="C759" s="33">
        <v>30</v>
      </c>
    </row>
    <row r="760" spans="2:3" x14ac:dyDescent="0.25">
      <c r="B760" s="33" t="s">
        <v>2251</v>
      </c>
      <c r="C760" s="33">
        <v>30</v>
      </c>
    </row>
    <row r="761" spans="2:3" x14ac:dyDescent="0.25">
      <c r="B761" s="33" t="s">
        <v>2252</v>
      </c>
      <c r="C761" s="33">
        <v>30</v>
      </c>
    </row>
    <row r="762" spans="2:3" x14ac:dyDescent="0.25">
      <c r="B762" s="33" t="s">
        <v>2253</v>
      </c>
      <c r="C762" s="33">
        <v>30</v>
      </c>
    </row>
    <row r="763" spans="2:3" x14ac:dyDescent="0.25">
      <c r="B763" s="33" t="s">
        <v>2254</v>
      </c>
      <c r="C763" s="33">
        <v>30</v>
      </c>
    </row>
    <row r="764" spans="2:3" x14ac:dyDescent="0.25">
      <c r="B764" s="33" t="s">
        <v>2255</v>
      </c>
      <c r="C764" s="33">
        <v>30</v>
      </c>
    </row>
    <row r="765" spans="2:3" x14ac:dyDescent="0.25">
      <c r="B765" s="33" t="s">
        <v>2256</v>
      </c>
      <c r="C765" s="33">
        <v>30</v>
      </c>
    </row>
    <row r="766" spans="2:3" x14ac:dyDescent="0.25">
      <c r="B766" s="33" t="s">
        <v>2257</v>
      </c>
      <c r="C766" s="33">
        <v>30</v>
      </c>
    </row>
    <row r="767" spans="2:3" x14ac:dyDescent="0.25">
      <c r="B767" s="33" t="s">
        <v>2258</v>
      </c>
      <c r="C767" s="33">
        <v>30</v>
      </c>
    </row>
    <row r="768" spans="2:3" x14ac:dyDescent="0.25">
      <c r="B768" s="33" t="s">
        <v>2259</v>
      </c>
      <c r="C768" s="33">
        <v>30</v>
      </c>
    </row>
    <row r="769" spans="2:3" x14ac:dyDescent="0.25">
      <c r="B769" s="33" t="s">
        <v>2260</v>
      </c>
      <c r="C769" s="33">
        <v>30</v>
      </c>
    </row>
    <row r="770" spans="2:3" x14ac:dyDescent="0.25">
      <c r="B770" s="33" t="s">
        <v>2261</v>
      </c>
      <c r="C770" s="33">
        <v>30</v>
      </c>
    </row>
    <row r="771" spans="2:3" x14ac:dyDescent="0.25">
      <c r="B771" s="33" t="s">
        <v>2262</v>
      </c>
      <c r="C771" s="33">
        <v>30</v>
      </c>
    </row>
    <row r="772" spans="2:3" x14ac:dyDescent="0.25">
      <c r="B772" s="33" t="s">
        <v>2263</v>
      </c>
      <c r="C772" s="33">
        <v>30</v>
      </c>
    </row>
    <row r="773" spans="2:3" x14ac:dyDescent="0.25">
      <c r="B773" s="33" t="s">
        <v>2264</v>
      </c>
      <c r="C773" s="33">
        <v>30</v>
      </c>
    </row>
    <row r="774" spans="2:3" x14ac:dyDescent="0.25">
      <c r="B774" s="33" t="s">
        <v>2265</v>
      </c>
      <c r="C774" s="33">
        <v>30</v>
      </c>
    </row>
    <row r="775" spans="2:3" x14ac:dyDescent="0.25">
      <c r="B775" s="33" t="s">
        <v>2266</v>
      </c>
      <c r="C775" s="33">
        <v>30</v>
      </c>
    </row>
    <row r="776" spans="2:3" x14ac:dyDescent="0.25">
      <c r="B776" s="33" t="s">
        <v>2267</v>
      </c>
      <c r="C776" s="33">
        <v>30</v>
      </c>
    </row>
    <row r="777" spans="2:3" x14ac:dyDescent="0.25">
      <c r="B777" s="33" t="s">
        <v>2268</v>
      </c>
      <c r="C777" s="33">
        <v>30</v>
      </c>
    </row>
    <row r="778" spans="2:3" x14ac:dyDescent="0.25">
      <c r="B778" s="33" t="s">
        <v>2269</v>
      </c>
      <c r="C778" s="33">
        <v>30</v>
      </c>
    </row>
    <row r="779" spans="2:3" x14ac:dyDescent="0.25">
      <c r="B779" s="33" t="s">
        <v>2270</v>
      </c>
      <c r="C779" s="33">
        <v>30</v>
      </c>
    </row>
    <row r="780" spans="2:3" x14ac:dyDescent="0.25">
      <c r="B780" s="33" t="s">
        <v>2271</v>
      </c>
      <c r="C780" s="33">
        <v>30</v>
      </c>
    </row>
    <row r="781" spans="2:3" x14ac:dyDescent="0.25">
      <c r="B781" s="33" t="s">
        <v>2272</v>
      </c>
      <c r="C781" s="33">
        <v>30</v>
      </c>
    </row>
    <row r="782" spans="2:3" x14ac:dyDescent="0.25">
      <c r="B782" s="33" t="s">
        <v>2273</v>
      </c>
      <c r="C782" s="33">
        <v>30</v>
      </c>
    </row>
    <row r="783" spans="2:3" x14ac:dyDescent="0.25">
      <c r="B783" s="33" t="s">
        <v>2274</v>
      </c>
      <c r="C783" s="33">
        <v>30</v>
      </c>
    </row>
    <row r="784" spans="2:3" x14ac:dyDescent="0.25">
      <c r="B784" s="33" t="s">
        <v>2275</v>
      </c>
      <c r="C784" s="33">
        <v>30</v>
      </c>
    </row>
    <row r="785" spans="2:3" x14ac:dyDescent="0.25">
      <c r="B785" s="33" t="s">
        <v>2276</v>
      </c>
      <c r="C785" s="33">
        <v>30</v>
      </c>
    </row>
    <row r="786" spans="2:3" x14ac:dyDescent="0.25">
      <c r="B786" s="33" t="s">
        <v>2277</v>
      </c>
      <c r="C786" s="33">
        <v>30</v>
      </c>
    </row>
    <row r="787" spans="2:3" x14ac:dyDescent="0.25">
      <c r="B787" s="33" t="s">
        <v>2278</v>
      </c>
      <c r="C787" s="33">
        <v>30</v>
      </c>
    </row>
    <row r="788" spans="2:3" x14ac:dyDescent="0.25">
      <c r="B788" s="33" t="s">
        <v>2279</v>
      </c>
      <c r="C788" s="33">
        <v>30</v>
      </c>
    </row>
    <row r="789" spans="2:3" x14ac:dyDescent="0.25">
      <c r="B789" s="33" t="s">
        <v>2280</v>
      </c>
      <c r="C789" s="33">
        <v>30</v>
      </c>
    </row>
    <row r="790" spans="2:3" x14ac:dyDescent="0.25">
      <c r="B790" s="33" t="s">
        <v>2281</v>
      </c>
      <c r="C790" s="33">
        <v>30</v>
      </c>
    </row>
    <row r="791" spans="2:3" x14ac:dyDescent="0.25">
      <c r="B791" s="33" t="s">
        <v>2282</v>
      </c>
      <c r="C791" s="33">
        <v>30</v>
      </c>
    </row>
    <row r="792" spans="2:3" x14ac:dyDescent="0.25">
      <c r="B792" s="33" t="s">
        <v>2283</v>
      </c>
      <c r="C792" s="33">
        <v>30</v>
      </c>
    </row>
    <row r="793" spans="2:3" x14ac:dyDescent="0.25">
      <c r="B793" s="33" t="s">
        <v>2284</v>
      </c>
      <c r="C793" s="33">
        <v>30</v>
      </c>
    </row>
    <row r="794" spans="2:3" x14ac:dyDescent="0.25">
      <c r="B794" s="33" t="s">
        <v>2285</v>
      </c>
      <c r="C794" s="33">
        <v>30</v>
      </c>
    </row>
    <row r="795" spans="2:3" x14ac:dyDescent="0.25">
      <c r="B795" s="33" t="s">
        <v>2286</v>
      </c>
      <c r="C795" s="33">
        <v>30</v>
      </c>
    </row>
    <row r="796" spans="2:3" x14ac:dyDescent="0.25">
      <c r="B796" s="33" t="s">
        <v>2287</v>
      </c>
      <c r="C796" s="33">
        <v>30</v>
      </c>
    </row>
    <row r="797" spans="2:3" x14ac:dyDescent="0.25">
      <c r="B797" s="33" t="s">
        <v>2288</v>
      </c>
      <c r="C797" s="33">
        <v>30</v>
      </c>
    </row>
    <row r="798" spans="2:3" x14ac:dyDescent="0.25">
      <c r="B798" s="33" t="s">
        <v>2289</v>
      </c>
      <c r="C798" s="33">
        <v>30</v>
      </c>
    </row>
    <row r="799" spans="2:3" x14ac:dyDescent="0.25">
      <c r="B799" s="33" t="s">
        <v>2290</v>
      </c>
      <c r="C799" s="33">
        <v>30</v>
      </c>
    </row>
    <row r="800" spans="2:3" x14ac:dyDescent="0.25">
      <c r="B800" s="33" t="s">
        <v>2291</v>
      </c>
      <c r="C800" s="33">
        <v>30</v>
      </c>
    </row>
    <row r="801" spans="2:3" x14ac:dyDescent="0.25">
      <c r="B801" s="33" t="s">
        <v>2292</v>
      </c>
      <c r="C801" s="33">
        <v>30</v>
      </c>
    </row>
    <row r="802" spans="2:3" x14ac:dyDescent="0.25">
      <c r="B802" s="33" t="s">
        <v>2293</v>
      </c>
      <c r="C802" s="33">
        <v>30</v>
      </c>
    </row>
    <row r="803" spans="2:3" x14ac:dyDescent="0.25">
      <c r="B803" s="33" t="s">
        <v>2294</v>
      </c>
      <c r="C803" s="33">
        <v>30</v>
      </c>
    </row>
    <row r="804" spans="2:3" x14ac:dyDescent="0.25">
      <c r="B804" s="33" t="s">
        <v>2295</v>
      </c>
      <c r="C804" s="33">
        <v>30</v>
      </c>
    </row>
    <row r="805" spans="2:3" x14ac:dyDescent="0.25">
      <c r="B805" s="33" t="s">
        <v>2296</v>
      </c>
      <c r="C805" s="33">
        <v>30</v>
      </c>
    </row>
    <row r="806" spans="2:3" x14ac:dyDescent="0.25">
      <c r="B806" s="33" t="s">
        <v>2297</v>
      </c>
      <c r="C806" s="33">
        <v>30</v>
      </c>
    </row>
    <row r="807" spans="2:3" x14ac:dyDescent="0.25">
      <c r="B807" s="33" t="s">
        <v>2298</v>
      </c>
      <c r="C807" s="33">
        <v>30</v>
      </c>
    </row>
    <row r="808" spans="2:3" x14ac:dyDescent="0.25">
      <c r="B808" s="33" t="s">
        <v>2299</v>
      </c>
      <c r="C808" s="33">
        <v>30</v>
      </c>
    </row>
    <row r="809" spans="2:3" x14ac:dyDescent="0.25">
      <c r="B809" s="33" t="s">
        <v>2300</v>
      </c>
      <c r="C809" s="33">
        <v>30</v>
      </c>
    </row>
    <row r="810" spans="2:3" x14ac:dyDescent="0.25">
      <c r="B810" s="33" t="s">
        <v>2301</v>
      </c>
      <c r="C810" s="33">
        <v>30</v>
      </c>
    </row>
    <row r="811" spans="2:3" x14ac:dyDescent="0.25">
      <c r="B811" s="33" t="s">
        <v>2302</v>
      </c>
      <c r="C811" s="33">
        <v>30</v>
      </c>
    </row>
    <row r="812" spans="2:3" x14ac:dyDescent="0.25">
      <c r="B812" s="33" t="s">
        <v>2303</v>
      </c>
      <c r="C812" s="33">
        <v>30</v>
      </c>
    </row>
    <row r="813" spans="2:3" x14ac:dyDescent="0.25">
      <c r="B813" s="33" t="s">
        <v>2304</v>
      </c>
      <c r="C813" s="33">
        <v>30</v>
      </c>
    </row>
    <row r="814" spans="2:3" x14ac:dyDescent="0.25">
      <c r="B814" s="33" t="s">
        <v>2305</v>
      </c>
      <c r="C814" s="33">
        <v>30</v>
      </c>
    </row>
    <row r="815" spans="2:3" x14ac:dyDescent="0.25">
      <c r="B815" s="33" t="s">
        <v>2306</v>
      </c>
      <c r="C815" s="33">
        <v>30</v>
      </c>
    </row>
    <row r="816" spans="2:3" x14ac:dyDescent="0.25">
      <c r="B816" s="33" t="s">
        <v>2307</v>
      </c>
      <c r="C816" s="33">
        <v>30</v>
      </c>
    </row>
    <row r="817" spans="2:3" x14ac:dyDescent="0.25">
      <c r="B817" s="33" t="s">
        <v>2308</v>
      </c>
      <c r="C817" s="33">
        <v>30</v>
      </c>
    </row>
    <row r="818" spans="2:3" x14ac:dyDescent="0.25">
      <c r="B818" s="33" t="s">
        <v>2309</v>
      </c>
      <c r="C818" s="33">
        <v>30</v>
      </c>
    </row>
    <row r="819" spans="2:3" x14ac:dyDescent="0.25">
      <c r="B819" s="33" t="s">
        <v>2310</v>
      </c>
      <c r="C819" s="33">
        <v>30</v>
      </c>
    </row>
    <row r="820" spans="2:3" x14ac:dyDescent="0.25">
      <c r="B820" s="33" t="s">
        <v>2311</v>
      </c>
      <c r="C820" s="33">
        <v>30</v>
      </c>
    </row>
    <row r="821" spans="2:3" x14ac:dyDescent="0.25">
      <c r="B821" s="33" t="s">
        <v>2312</v>
      </c>
      <c r="C821" s="33">
        <v>30</v>
      </c>
    </row>
    <row r="822" spans="2:3" x14ac:dyDescent="0.25">
      <c r="B822" s="33" t="s">
        <v>2313</v>
      </c>
      <c r="C822" s="33">
        <v>30</v>
      </c>
    </row>
    <row r="823" spans="2:3" x14ac:dyDescent="0.25">
      <c r="B823" s="33" t="s">
        <v>2314</v>
      </c>
      <c r="C823" s="33">
        <v>30</v>
      </c>
    </row>
    <row r="824" spans="2:3" x14ac:dyDescent="0.25">
      <c r="B824" s="33" t="s">
        <v>2315</v>
      </c>
      <c r="C824" s="33">
        <v>30</v>
      </c>
    </row>
    <row r="825" spans="2:3" x14ac:dyDescent="0.25">
      <c r="B825" s="33" t="s">
        <v>2316</v>
      </c>
      <c r="C825" s="33">
        <v>30</v>
      </c>
    </row>
    <row r="826" spans="2:3" x14ac:dyDescent="0.25">
      <c r="B826" s="33" t="s">
        <v>2317</v>
      </c>
      <c r="C826" s="33">
        <v>30</v>
      </c>
    </row>
    <row r="827" spans="2:3" x14ac:dyDescent="0.25">
      <c r="B827" s="33" t="s">
        <v>2318</v>
      </c>
      <c r="C827" s="33">
        <v>30</v>
      </c>
    </row>
    <row r="828" spans="2:3" x14ac:dyDescent="0.25">
      <c r="B828" s="33" t="s">
        <v>2319</v>
      </c>
      <c r="C828" s="33">
        <v>30</v>
      </c>
    </row>
    <row r="829" spans="2:3" x14ac:dyDescent="0.25">
      <c r="B829" s="33" t="s">
        <v>2320</v>
      </c>
      <c r="C829" s="33">
        <v>30</v>
      </c>
    </row>
    <row r="830" spans="2:3" x14ac:dyDescent="0.25">
      <c r="B830" s="33" t="s">
        <v>2321</v>
      </c>
      <c r="C830" s="33">
        <v>30</v>
      </c>
    </row>
    <row r="831" spans="2:3" x14ac:dyDescent="0.25">
      <c r="B831" s="33" t="s">
        <v>2322</v>
      </c>
      <c r="C831" s="33">
        <v>30</v>
      </c>
    </row>
    <row r="832" spans="2:3" x14ac:dyDescent="0.25">
      <c r="B832" s="33" t="s">
        <v>2323</v>
      </c>
      <c r="C832" s="33">
        <v>30</v>
      </c>
    </row>
    <row r="833" spans="2:3" x14ac:dyDescent="0.25">
      <c r="B833" s="33" t="s">
        <v>2324</v>
      </c>
      <c r="C833" s="33">
        <v>30</v>
      </c>
    </row>
    <row r="834" spans="2:3" x14ac:dyDescent="0.25">
      <c r="B834" s="33" t="s">
        <v>2325</v>
      </c>
      <c r="C834" s="33">
        <v>30</v>
      </c>
    </row>
    <row r="835" spans="2:3" x14ac:dyDescent="0.25">
      <c r="B835" s="33" t="s">
        <v>2326</v>
      </c>
      <c r="C835" s="33">
        <v>30</v>
      </c>
    </row>
    <row r="836" spans="2:3" x14ac:dyDescent="0.25">
      <c r="B836" s="33" t="s">
        <v>2327</v>
      </c>
      <c r="C836" s="33">
        <v>30</v>
      </c>
    </row>
    <row r="837" spans="2:3" x14ac:dyDescent="0.25">
      <c r="B837" s="33" t="s">
        <v>2328</v>
      </c>
      <c r="C837" s="33">
        <v>30</v>
      </c>
    </row>
    <row r="838" spans="2:3" x14ac:dyDescent="0.25">
      <c r="B838" s="33" t="s">
        <v>2329</v>
      </c>
      <c r="C838" s="33">
        <v>30</v>
      </c>
    </row>
    <row r="839" spans="2:3" x14ac:dyDescent="0.25">
      <c r="B839" s="33" t="s">
        <v>2330</v>
      </c>
      <c r="C839" s="33">
        <v>30</v>
      </c>
    </row>
    <row r="840" spans="2:3" x14ac:dyDescent="0.25">
      <c r="B840" s="33" t="s">
        <v>2331</v>
      </c>
      <c r="C840" s="33">
        <v>30</v>
      </c>
    </row>
    <row r="841" spans="2:3" x14ac:dyDescent="0.25">
      <c r="B841" s="33" t="s">
        <v>2332</v>
      </c>
      <c r="C841" s="33">
        <v>30</v>
      </c>
    </row>
    <row r="842" spans="2:3" x14ac:dyDescent="0.25">
      <c r="B842" s="33" t="s">
        <v>2333</v>
      </c>
      <c r="C842" s="33">
        <v>30</v>
      </c>
    </row>
    <row r="843" spans="2:3" x14ac:dyDescent="0.25">
      <c r="B843" s="33" t="s">
        <v>2334</v>
      </c>
      <c r="C843" s="33">
        <v>30</v>
      </c>
    </row>
    <row r="844" spans="2:3" x14ac:dyDescent="0.25">
      <c r="B844" s="33" t="s">
        <v>2335</v>
      </c>
      <c r="C844" s="33">
        <v>30</v>
      </c>
    </row>
    <row r="845" spans="2:3" x14ac:dyDescent="0.25">
      <c r="B845" s="33" t="s">
        <v>2336</v>
      </c>
      <c r="C845" s="33">
        <v>30</v>
      </c>
    </row>
    <row r="846" spans="2:3" x14ac:dyDescent="0.25">
      <c r="B846" s="33" t="s">
        <v>2337</v>
      </c>
      <c r="C846" s="33">
        <v>30</v>
      </c>
    </row>
    <row r="847" spans="2:3" x14ac:dyDescent="0.25">
      <c r="B847" s="33" t="s">
        <v>2338</v>
      </c>
      <c r="C847" s="33">
        <v>30</v>
      </c>
    </row>
    <row r="848" spans="2:3" x14ac:dyDescent="0.25">
      <c r="B848" s="33" t="s">
        <v>2339</v>
      </c>
      <c r="C848" s="33">
        <v>30</v>
      </c>
    </row>
    <row r="849" spans="2:3" x14ac:dyDescent="0.25">
      <c r="B849" s="33" t="s">
        <v>2340</v>
      </c>
      <c r="C849" s="33">
        <v>30</v>
      </c>
    </row>
    <row r="850" spans="2:3" x14ac:dyDescent="0.25">
      <c r="B850" s="33" t="s">
        <v>2341</v>
      </c>
      <c r="C850" s="33">
        <v>30</v>
      </c>
    </row>
    <row r="851" spans="2:3" x14ac:dyDescent="0.25">
      <c r="B851" s="33" t="s">
        <v>2342</v>
      </c>
      <c r="C851" s="33">
        <v>30</v>
      </c>
    </row>
    <row r="852" spans="2:3" x14ac:dyDescent="0.25">
      <c r="B852" s="33" t="s">
        <v>2343</v>
      </c>
      <c r="C852" s="33">
        <v>30</v>
      </c>
    </row>
    <row r="853" spans="2:3" x14ac:dyDescent="0.25">
      <c r="B853" s="33" t="s">
        <v>2344</v>
      </c>
      <c r="C853" s="33">
        <v>30</v>
      </c>
    </row>
    <row r="854" spans="2:3" x14ac:dyDescent="0.25">
      <c r="B854" s="33" t="s">
        <v>2345</v>
      </c>
      <c r="C854" s="33">
        <v>30</v>
      </c>
    </row>
    <row r="855" spans="2:3" x14ac:dyDescent="0.25">
      <c r="B855" s="33" t="s">
        <v>2346</v>
      </c>
      <c r="C855" s="33">
        <v>30</v>
      </c>
    </row>
    <row r="856" spans="2:3" x14ac:dyDescent="0.25">
      <c r="B856" s="33" t="s">
        <v>2347</v>
      </c>
      <c r="C856" s="33">
        <v>30</v>
      </c>
    </row>
    <row r="857" spans="2:3" x14ac:dyDescent="0.25">
      <c r="B857" s="33" t="s">
        <v>2348</v>
      </c>
      <c r="C857" s="33">
        <v>30</v>
      </c>
    </row>
    <row r="858" spans="2:3" x14ac:dyDescent="0.25">
      <c r="B858" s="33" t="s">
        <v>2349</v>
      </c>
      <c r="C858" s="33">
        <v>30</v>
      </c>
    </row>
    <row r="859" spans="2:3" x14ac:dyDescent="0.25">
      <c r="B859" s="33" t="s">
        <v>2350</v>
      </c>
      <c r="C859" s="33">
        <v>30</v>
      </c>
    </row>
    <row r="860" spans="2:3" x14ac:dyDescent="0.25">
      <c r="B860" s="33" t="s">
        <v>2351</v>
      </c>
      <c r="C860" s="33">
        <v>30</v>
      </c>
    </row>
    <row r="861" spans="2:3" x14ac:dyDescent="0.25">
      <c r="B861" s="33" t="s">
        <v>2352</v>
      </c>
      <c r="C861" s="33">
        <v>30</v>
      </c>
    </row>
    <row r="862" spans="2:3" x14ac:dyDescent="0.25">
      <c r="B862" s="33" t="s">
        <v>2353</v>
      </c>
      <c r="C862" s="33">
        <v>30</v>
      </c>
    </row>
    <row r="863" spans="2:3" x14ac:dyDescent="0.25">
      <c r="B863" s="33" t="s">
        <v>2354</v>
      </c>
      <c r="C863" s="33">
        <v>30</v>
      </c>
    </row>
    <row r="864" spans="2:3" x14ac:dyDescent="0.25">
      <c r="B864" s="33" t="s">
        <v>2355</v>
      </c>
      <c r="C864" s="33">
        <v>30</v>
      </c>
    </row>
    <row r="865" spans="2:3" x14ac:dyDescent="0.25">
      <c r="B865" s="33" t="s">
        <v>2356</v>
      </c>
      <c r="C865" s="33">
        <v>30</v>
      </c>
    </row>
    <row r="866" spans="2:3" x14ac:dyDescent="0.25">
      <c r="B866" s="33" t="s">
        <v>2357</v>
      </c>
      <c r="C866" s="33">
        <v>30</v>
      </c>
    </row>
    <row r="867" spans="2:3" x14ac:dyDescent="0.25">
      <c r="B867" s="33" t="s">
        <v>2358</v>
      </c>
      <c r="C867" s="33">
        <v>30</v>
      </c>
    </row>
    <row r="868" spans="2:3" x14ac:dyDescent="0.25">
      <c r="B868" s="33" t="s">
        <v>2359</v>
      </c>
      <c r="C868" s="33">
        <v>30</v>
      </c>
    </row>
    <row r="869" spans="2:3" x14ac:dyDescent="0.25">
      <c r="B869" s="33" t="s">
        <v>2360</v>
      </c>
      <c r="C869" s="33">
        <v>30</v>
      </c>
    </row>
    <row r="870" spans="2:3" x14ac:dyDescent="0.25">
      <c r="B870" s="33" t="s">
        <v>2361</v>
      </c>
      <c r="C870" s="33">
        <v>30</v>
      </c>
    </row>
    <row r="871" spans="2:3" x14ac:dyDescent="0.25">
      <c r="B871" s="33" t="s">
        <v>2362</v>
      </c>
      <c r="C871" s="33">
        <v>30</v>
      </c>
    </row>
    <row r="872" spans="2:3" x14ac:dyDescent="0.25">
      <c r="B872" s="33" t="s">
        <v>2363</v>
      </c>
      <c r="C872" s="33">
        <v>30</v>
      </c>
    </row>
    <row r="873" spans="2:3" x14ac:dyDescent="0.25">
      <c r="B873" s="33" t="s">
        <v>2364</v>
      </c>
      <c r="C873" s="33">
        <v>30</v>
      </c>
    </row>
    <row r="874" spans="2:3" x14ac:dyDescent="0.25">
      <c r="B874" s="33" t="s">
        <v>2365</v>
      </c>
      <c r="C874" s="33">
        <v>30</v>
      </c>
    </row>
    <row r="875" spans="2:3" x14ac:dyDescent="0.25">
      <c r="B875" s="33" t="s">
        <v>2366</v>
      </c>
      <c r="C875" s="33">
        <v>30</v>
      </c>
    </row>
    <row r="876" spans="2:3" x14ac:dyDescent="0.25">
      <c r="B876" s="33" t="s">
        <v>2367</v>
      </c>
      <c r="C876" s="33">
        <v>30</v>
      </c>
    </row>
    <row r="877" spans="2:3" x14ac:dyDescent="0.25">
      <c r="B877" s="33" t="s">
        <v>2368</v>
      </c>
      <c r="C877" s="33">
        <v>30</v>
      </c>
    </row>
    <row r="878" spans="2:3" x14ac:dyDescent="0.25">
      <c r="B878" s="33" t="s">
        <v>2369</v>
      </c>
      <c r="C878" s="33">
        <v>30</v>
      </c>
    </row>
    <row r="879" spans="2:3" x14ac:dyDescent="0.25">
      <c r="B879" s="33" t="s">
        <v>2370</v>
      </c>
      <c r="C879" s="33">
        <v>30</v>
      </c>
    </row>
    <row r="880" spans="2:3" x14ac:dyDescent="0.25">
      <c r="B880" s="33" t="s">
        <v>2371</v>
      </c>
      <c r="C880" s="33">
        <v>30</v>
      </c>
    </row>
    <row r="881" spans="2:3" x14ac:dyDescent="0.25">
      <c r="B881" s="33" t="s">
        <v>2372</v>
      </c>
      <c r="C881" s="33">
        <v>30</v>
      </c>
    </row>
    <row r="882" spans="2:3" x14ac:dyDescent="0.25">
      <c r="B882" s="33" t="s">
        <v>2373</v>
      </c>
      <c r="C882" s="33">
        <v>30</v>
      </c>
    </row>
    <row r="883" spans="2:3" x14ac:dyDescent="0.25">
      <c r="B883" s="33" t="s">
        <v>2374</v>
      </c>
      <c r="C883" s="33">
        <v>30</v>
      </c>
    </row>
    <row r="884" spans="2:3" x14ac:dyDescent="0.25">
      <c r="B884" s="33" t="s">
        <v>2375</v>
      </c>
      <c r="C884" s="33">
        <v>30</v>
      </c>
    </row>
    <row r="885" spans="2:3" x14ac:dyDescent="0.25">
      <c r="B885" s="33" t="s">
        <v>2376</v>
      </c>
      <c r="C885" s="33">
        <v>30</v>
      </c>
    </row>
    <row r="886" spans="2:3" x14ac:dyDescent="0.25">
      <c r="B886" s="33" t="s">
        <v>2377</v>
      </c>
      <c r="C886" s="33">
        <v>30</v>
      </c>
    </row>
    <row r="887" spans="2:3" x14ac:dyDescent="0.25">
      <c r="B887" s="33" t="s">
        <v>2378</v>
      </c>
      <c r="C887" s="33">
        <v>30</v>
      </c>
    </row>
    <row r="888" spans="2:3" x14ac:dyDescent="0.25">
      <c r="B888" s="33" t="s">
        <v>2379</v>
      </c>
      <c r="C888" s="33">
        <v>30</v>
      </c>
    </row>
    <row r="889" spans="2:3" x14ac:dyDescent="0.25">
      <c r="B889" s="33" t="s">
        <v>2380</v>
      </c>
      <c r="C889" s="33">
        <v>30</v>
      </c>
    </row>
    <row r="890" spans="2:3" x14ac:dyDescent="0.25">
      <c r="B890" s="33" t="s">
        <v>2381</v>
      </c>
      <c r="C890" s="33">
        <v>30</v>
      </c>
    </row>
    <row r="891" spans="2:3" x14ac:dyDescent="0.25">
      <c r="B891" s="33" t="s">
        <v>2382</v>
      </c>
      <c r="C891" s="33">
        <v>30</v>
      </c>
    </row>
    <row r="892" spans="2:3" x14ac:dyDescent="0.25">
      <c r="B892" s="33" t="s">
        <v>2383</v>
      </c>
      <c r="C892" s="33">
        <v>30</v>
      </c>
    </row>
    <row r="893" spans="2:3" x14ac:dyDescent="0.25">
      <c r="B893" s="33" t="s">
        <v>2384</v>
      </c>
      <c r="C893" s="33">
        <v>30</v>
      </c>
    </row>
    <row r="894" spans="2:3" x14ac:dyDescent="0.25">
      <c r="B894" s="33" t="s">
        <v>2385</v>
      </c>
      <c r="C894" s="33">
        <v>30</v>
      </c>
    </row>
    <row r="895" spans="2:3" x14ac:dyDescent="0.25">
      <c r="B895" s="33" t="s">
        <v>2386</v>
      </c>
      <c r="C895" s="33">
        <v>30</v>
      </c>
    </row>
    <row r="896" spans="2:3" x14ac:dyDescent="0.25">
      <c r="B896" s="33" t="s">
        <v>2387</v>
      </c>
      <c r="C896" s="33">
        <v>30</v>
      </c>
    </row>
    <row r="897" spans="2:3" x14ac:dyDescent="0.25">
      <c r="B897" s="33" t="s">
        <v>2388</v>
      </c>
      <c r="C897" s="33">
        <v>30</v>
      </c>
    </row>
    <row r="898" spans="2:3" x14ac:dyDescent="0.25">
      <c r="B898" s="33" t="s">
        <v>2389</v>
      </c>
      <c r="C898" s="33">
        <v>30</v>
      </c>
    </row>
    <row r="899" spans="2:3" x14ac:dyDescent="0.25">
      <c r="B899" s="33" t="s">
        <v>2390</v>
      </c>
      <c r="C899" s="33">
        <v>30</v>
      </c>
    </row>
    <row r="900" spans="2:3" x14ac:dyDescent="0.25">
      <c r="B900" s="33" t="s">
        <v>2391</v>
      </c>
      <c r="C900" s="33">
        <v>30</v>
      </c>
    </row>
    <row r="901" spans="2:3" x14ac:dyDescent="0.25">
      <c r="B901" s="33" t="s">
        <v>2392</v>
      </c>
      <c r="C901" s="33">
        <v>30</v>
      </c>
    </row>
    <row r="902" spans="2:3" x14ac:dyDescent="0.25">
      <c r="B902" s="33" t="s">
        <v>2393</v>
      </c>
      <c r="C902" s="33">
        <v>30</v>
      </c>
    </row>
    <row r="903" spans="2:3" x14ac:dyDescent="0.25">
      <c r="B903" s="33" t="s">
        <v>2394</v>
      </c>
      <c r="C903" s="33">
        <v>30</v>
      </c>
    </row>
    <row r="904" spans="2:3" x14ac:dyDescent="0.25">
      <c r="B904" s="33" t="s">
        <v>2395</v>
      </c>
      <c r="C904" s="33">
        <v>30</v>
      </c>
    </row>
    <row r="905" spans="2:3" x14ac:dyDescent="0.25">
      <c r="B905" s="33" t="s">
        <v>2396</v>
      </c>
      <c r="C905" s="33">
        <v>30</v>
      </c>
    </row>
    <row r="906" spans="2:3" x14ac:dyDescent="0.25">
      <c r="B906" s="33" t="s">
        <v>2397</v>
      </c>
      <c r="C906" s="33">
        <v>30</v>
      </c>
    </row>
    <row r="907" spans="2:3" x14ac:dyDescent="0.25">
      <c r="B907" s="33" t="s">
        <v>2398</v>
      </c>
      <c r="C907" s="33">
        <v>30</v>
      </c>
    </row>
    <row r="908" spans="2:3" x14ac:dyDescent="0.25">
      <c r="B908" s="33" t="s">
        <v>2399</v>
      </c>
      <c r="C908" s="33">
        <v>30</v>
      </c>
    </row>
    <row r="909" spans="2:3" x14ac:dyDescent="0.25">
      <c r="B909" s="33" t="s">
        <v>2400</v>
      </c>
      <c r="C909" s="33">
        <v>30</v>
      </c>
    </row>
    <row r="910" spans="2:3" x14ac:dyDescent="0.25">
      <c r="B910" s="33" t="s">
        <v>2401</v>
      </c>
      <c r="C910" s="33">
        <v>30</v>
      </c>
    </row>
    <row r="911" spans="2:3" x14ac:dyDescent="0.25">
      <c r="B911" s="33" t="s">
        <v>2402</v>
      </c>
      <c r="C911" s="33">
        <v>30</v>
      </c>
    </row>
    <row r="912" spans="2:3" x14ac:dyDescent="0.25">
      <c r="B912" s="33" t="s">
        <v>2403</v>
      </c>
      <c r="C912" s="33">
        <v>30</v>
      </c>
    </row>
    <row r="913" spans="2:3" x14ac:dyDescent="0.25">
      <c r="B913" s="33" t="s">
        <v>2404</v>
      </c>
      <c r="C913" s="33">
        <v>30</v>
      </c>
    </row>
    <row r="914" spans="2:3" x14ac:dyDescent="0.25">
      <c r="B914" s="33" t="s">
        <v>2405</v>
      </c>
      <c r="C914" s="33">
        <v>30</v>
      </c>
    </row>
    <row r="915" spans="2:3" x14ac:dyDescent="0.25">
      <c r="B915" s="33" t="s">
        <v>2406</v>
      </c>
      <c r="C915" s="33">
        <v>30</v>
      </c>
    </row>
    <row r="916" spans="2:3" x14ac:dyDescent="0.25">
      <c r="B916" s="33" t="s">
        <v>2407</v>
      </c>
      <c r="C916" s="33">
        <v>30</v>
      </c>
    </row>
    <row r="917" spans="2:3" x14ac:dyDescent="0.25">
      <c r="B917" s="33" t="s">
        <v>2408</v>
      </c>
      <c r="C917" s="33">
        <v>30</v>
      </c>
    </row>
    <row r="918" spans="2:3" x14ac:dyDescent="0.25">
      <c r="B918" s="33" t="s">
        <v>2409</v>
      </c>
      <c r="C918" s="33">
        <v>30</v>
      </c>
    </row>
    <row r="919" spans="2:3" x14ac:dyDescent="0.25">
      <c r="B919" s="33" t="s">
        <v>2410</v>
      </c>
      <c r="C919" s="33">
        <v>30</v>
      </c>
    </row>
    <row r="920" spans="2:3" x14ac:dyDescent="0.25">
      <c r="B920" s="33" t="s">
        <v>2411</v>
      </c>
      <c r="C920" s="33">
        <v>30</v>
      </c>
    </row>
    <row r="921" spans="2:3" x14ac:dyDescent="0.25">
      <c r="B921" s="33" t="s">
        <v>2412</v>
      </c>
      <c r="C921" s="33">
        <v>30</v>
      </c>
    </row>
    <row r="922" spans="2:3" x14ac:dyDescent="0.25">
      <c r="B922" s="33" t="s">
        <v>2413</v>
      </c>
      <c r="C922" s="33">
        <v>30</v>
      </c>
    </row>
    <row r="923" spans="2:3" x14ac:dyDescent="0.25">
      <c r="B923" s="33" t="s">
        <v>2414</v>
      </c>
      <c r="C923" s="33">
        <v>30</v>
      </c>
    </row>
    <row r="924" spans="2:3" x14ac:dyDescent="0.25">
      <c r="B924" s="33" t="s">
        <v>2415</v>
      </c>
      <c r="C924" s="33">
        <v>30</v>
      </c>
    </row>
    <row r="925" spans="2:3" x14ac:dyDescent="0.25">
      <c r="B925" s="33" t="s">
        <v>2416</v>
      </c>
      <c r="C925" s="33">
        <v>30</v>
      </c>
    </row>
    <row r="926" spans="2:3" x14ac:dyDescent="0.25">
      <c r="B926" s="33" t="s">
        <v>2417</v>
      </c>
      <c r="C926" s="33">
        <v>30</v>
      </c>
    </row>
    <row r="927" spans="2:3" x14ac:dyDescent="0.25">
      <c r="B927" s="33" t="s">
        <v>2418</v>
      </c>
      <c r="C927" s="33">
        <v>30</v>
      </c>
    </row>
    <row r="928" spans="2:3" x14ac:dyDescent="0.25">
      <c r="B928" s="33" t="s">
        <v>2419</v>
      </c>
      <c r="C928" s="33">
        <v>30</v>
      </c>
    </row>
    <row r="929" spans="2:3" x14ac:dyDescent="0.25">
      <c r="B929" s="33" t="s">
        <v>2420</v>
      </c>
      <c r="C929" s="33">
        <v>30</v>
      </c>
    </row>
    <row r="930" spans="2:3" x14ac:dyDescent="0.25">
      <c r="B930" s="33" t="s">
        <v>2421</v>
      </c>
      <c r="C930" s="33">
        <v>30</v>
      </c>
    </row>
    <row r="931" spans="2:3" x14ac:dyDescent="0.25">
      <c r="B931" s="33" t="s">
        <v>2422</v>
      </c>
      <c r="C931" s="33">
        <v>30</v>
      </c>
    </row>
    <row r="932" spans="2:3" x14ac:dyDescent="0.25">
      <c r="B932" s="33" t="s">
        <v>2423</v>
      </c>
      <c r="C932" s="33">
        <v>30</v>
      </c>
    </row>
    <row r="933" spans="2:3" x14ac:dyDescent="0.25">
      <c r="B933" s="33" t="s">
        <v>2424</v>
      </c>
      <c r="C933" s="33">
        <v>30</v>
      </c>
    </row>
    <row r="934" spans="2:3" x14ac:dyDescent="0.25">
      <c r="B934" s="33" t="s">
        <v>2425</v>
      </c>
      <c r="C934" s="33">
        <v>30</v>
      </c>
    </row>
    <row r="935" spans="2:3" x14ac:dyDescent="0.25">
      <c r="B935" s="33" t="s">
        <v>2426</v>
      </c>
      <c r="C935" s="33">
        <v>30</v>
      </c>
    </row>
    <row r="936" spans="2:3" x14ac:dyDescent="0.25">
      <c r="B936" s="33" t="s">
        <v>2427</v>
      </c>
      <c r="C936" s="33">
        <v>30</v>
      </c>
    </row>
    <row r="937" spans="2:3" x14ac:dyDescent="0.25">
      <c r="B937" s="33" t="s">
        <v>2428</v>
      </c>
      <c r="C937" s="33">
        <v>30</v>
      </c>
    </row>
    <row r="938" spans="2:3" x14ac:dyDescent="0.25">
      <c r="B938" s="33" t="s">
        <v>2429</v>
      </c>
      <c r="C938" s="33">
        <v>30</v>
      </c>
    </row>
    <row r="939" spans="2:3" x14ac:dyDescent="0.25">
      <c r="B939" s="33" t="s">
        <v>2430</v>
      </c>
      <c r="C939" s="33">
        <v>30</v>
      </c>
    </row>
    <row r="940" spans="2:3" x14ac:dyDescent="0.25">
      <c r="B940" s="33" t="s">
        <v>2431</v>
      </c>
      <c r="C940" s="33">
        <v>30</v>
      </c>
    </row>
    <row r="941" spans="2:3" x14ac:dyDescent="0.25">
      <c r="B941" s="33" t="s">
        <v>2432</v>
      </c>
      <c r="C941" s="33">
        <v>30</v>
      </c>
    </row>
    <row r="942" spans="2:3" x14ac:dyDescent="0.25">
      <c r="B942" s="33" t="s">
        <v>2433</v>
      </c>
      <c r="C942" s="33">
        <v>30</v>
      </c>
    </row>
    <row r="943" spans="2:3" x14ac:dyDescent="0.25">
      <c r="B943" s="33" t="s">
        <v>2434</v>
      </c>
      <c r="C943" s="33">
        <v>30</v>
      </c>
    </row>
    <row r="944" spans="2:3" x14ac:dyDescent="0.25">
      <c r="B944" s="33" t="s">
        <v>2435</v>
      </c>
      <c r="C944" s="33">
        <v>30</v>
      </c>
    </row>
    <row r="945" spans="2:3" x14ac:dyDescent="0.25">
      <c r="B945" s="33" t="s">
        <v>2436</v>
      </c>
      <c r="C945" s="33">
        <v>30</v>
      </c>
    </row>
    <row r="946" spans="2:3" x14ac:dyDescent="0.25">
      <c r="B946" s="33" t="s">
        <v>2437</v>
      </c>
      <c r="C946" s="33">
        <v>30</v>
      </c>
    </row>
    <row r="947" spans="2:3" x14ac:dyDescent="0.25">
      <c r="B947" s="33" t="s">
        <v>2438</v>
      </c>
      <c r="C947" s="33">
        <v>30</v>
      </c>
    </row>
    <row r="948" spans="2:3" x14ac:dyDescent="0.25">
      <c r="B948" s="33" t="s">
        <v>2439</v>
      </c>
      <c r="C948" s="33">
        <v>30</v>
      </c>
    </row>
    <row r="949" spans="2:3" x14ac:dyDescent="0.25">
      <c r="B949" s="33" t="s">
        <v>2440</v>
      </c>
      <c r="C949" s="33">
        <v>30</v>
      </c>
    </row>
    <row r="950" spans="2:3" x14ac:dyDescent="0.25">
      <c r="B950" s="33" t="s">
        <v>2441</v>
      </c>
      <c r="C950" s="33">
        <v>30</v>
      </c>
    </row>
    <row r="951" spans="2:3" x14ac:dyDescent="0.25">
      <c r="B951" s="33" t="s">
        <v>2442</v>
      </c>
      <c r="C951" s="33">
        <v>30</v>
      </c>
    </row>
    <row r="952" spans="2:3" x14ac:dyDescent="0.25">
      <c r="B952" s="33" t="s">
        <v>2443</v>
      </c>
      <c r="C952" s="33">
        <v>30</v>
      </c>
    </row>
    <row r="953" spans="2:3" x14ac:dyDescent="0.25">
      <c r="B953" s="33" t="s">
        <v>2444</v>
      </c>
      <c r="C953" s="33">
        <v>30</v>
      </c>
    </row>
    <row r="954" spans="2:3" x14ac:dyDescent="0.25">
      <c r="B954" s="33" t="s">
        <v>2445</v>
      </c>
      <c r="C954" s="33">
        <v>30</v>
      </c>
    </row>
    <row r="955" spans="2:3" x14ac:dyDescent="0.25">
      <c r="B955" s="33" t="s">
        <v>2446</v>
      </c>
      <c r="C955" s="33">
        <v>30</v>
      </c>
    </row>
    <row r="956" spans="2:3" x14ac:dyDescent="0.25">
      <c r="B956" s="33" t="s">
        <v>2447</v>
      </c>
      <c r="C956" s="33">
        <v>30</v>
      </c>
    </row>
    <row r="957" spans="2:3" x14ac:dyDescent="0.25">
      <c r="B957" s="33" t="s">
        <v>2448</v>
      </c>
      <c r="C957" s="33">
        <v>30</v>
      </c>
    </row>
    <row r="958" spans="2:3" x14ac:dyDescent="0.25">
      <c r="B958" s="33" t="s">
        <v>2449</v>
      </c>
      <c r="C958" s="33">
        <v>30</v>
      </c>
    </row>
    <row r="959" spans="2:3" x14ac:dyDescent="0.25">
      <c r="B959" s="33" t="s">
        <v>2450</v>
      </c>
      <c r="C959" s="33">
        <v>30</v>
      </c>
    </row>
    <row r="960" spans="2:3" x14ac:dyDescent="0.25">
      <c r="B960" s="33" t="s">
        <v>2451</v>
      </c>
      <c r="C960" s="33">
        <v>30</v>
      </c>
    </row>
    <row r="961" spans="2:3" x14ac:dyDescent="0.25">
      <c r="B961" s="33" t="s">
        <v>2452</v>
      </c>
      <c r="C961" s="33">
        <v>30</v>
      </c>
    </row>
    <row r="962" spans="2:3" x14ac:dyDescent="0.25">
      <c r="B962" s="33" t="s">
        <v>2453</v>
      </c>
      <c r="C962" s="33">
        <v>30</v>
      </c>
    </row>
    <row r="963" spans="2:3" x14ac:dyDescent="0.25">
      <c r="B963" s="33" t="s">
        <v>2454</v>
      </c>
      <c r="C963" s="33">
        <v>30</v>
      </c>
    </row>
    <row r="964" spans="2:3" x14ac:dyDescent="0.25">
      <c r="B964" s="33" t="s">
        <v>2455</v>
      </c>
      <c r="C964" s="33">
        <v>30</v>
      </c>
    </row>
    <row r="965" spans="2:3" x14ac:dyDescent="0.25">
      <c r="B965" s="33" t="s">
        <v>2456</v>
      </c>
      <c r="C965" s="33">
        <v>30</v>
      </c>
    </row>
    <row r="966" spans="2:3" x14ac:dyDescent="0.25">
      <c r="B966" s="33" t="s">
        <v>2457</v>
      </c>
      <c r="C966" s="33">
        <v>30</v>
      </c>
    </row>
    <row r="967" spans="2:3" x14ac:dyDescent="0.25">
      <c r="B967" s="33" t="s">
        <v>2458</v>
      </c>
      <c r="C967" s="33">
        <v>30</v>
      </c>
    </row>
    <row r="968" spans="2:3" x14ac:dyDescent="0.25">
      <c r="B968" s="33" t="s">
        <v>2459</v>
      </c>
      <c r="C968" s="33">
        <v>30</v>
      </c>
    </row>
    <row r="969" spans="2:3" x14ac:dyDescent="0.25">
      <c r="B969" s="33" t="s">
        <v>2460</v>
      </c>
      <c r="C969" s="33">
        <v>30</v>
      </c>
    </row>
    <row r="970" spans="2:3" x14ac:dyDescent="0.25">
      <c r="B970" s="33" t="s">
        <v>2461</v>
      </c>
      <c r="C970" s="33">
        <v>30</v>
      </c>
    </row>
    <row r="971" spans="2:3" x14ac:dyDescent="0.25">
      <c r="B971" s="33" t="s">
        <v>2462</v>
      </c>
      <c r="C971" s="33">
        <v>30</v>
      </c>
    </row>
    <row r="972" spans="2:3" x14ac:dyDescent="0.25">
      <c r="B972" s="33" t="s">
        <v>2463</v>
      </c>
      <c r="C972" s="33">
        <v>30</v>
      </c>
    </row>
    <row r="973" spans="2:3" x14ac:dyDescent="0.25">
      <c r="B973" s="33" t="s">
        <v>2464</v>
      </c>
      <c r="C973" s="33">
        <v>30</v>
      </c>
    </row>
    <row r="974" spans="2:3" x14ac:dyDescent="0.25">
      <c r="B974" s="33" t="s">
        <v>2465</v>
      </c>
      <c r="C974" s="33">
        <v>30</v>
      </c>
    </row>
    <row r="975" spans="2:3" x14ac:dyDescent="0.25">
      <c r="B975" s="33" t="s">
        <v>2466</v>
      </c>
      <c r="C975" s="33">
        <v>30</v>
      </c>
    </row>
    <row r="976" spans="2:3" x14ac:dyDescent="0.25">
      <c r="B976" s="33" t="s">
        <v>2467</v>
      </c>
      <c r="C976" s="33">
        <v>30</v>
      </c>
    </row>
    <row r="977" spans="2:3" x14ac:dyDescent="0.25">
      <c r="B977" s="33" t="s">
        <v>2468</v>
      </c>
      <c r="C977" s="33">
        <v>30</v>
      </c>
    </row>
    <row r="978" spans="2:3" x14ac:dyDescent="0.25">
      <c r="B978" s="33" t="s">
        <v>2469</v>
      </c>
      <c r="C978" s="33">
        <v>30</v>
      </c>
    </row>
    <row r="979" spans="2:3" x14ac:dyDescent="0.25">
      <c r="B979" s="33" t="s">
        <v>2470</v>
      </c>
      <c r="C979" s="33">
        <v>30</v>
      </c>
    </row>
    <row r="980" spans="2:3" x14ac:dyDescent="0.25">
      <c r="B980" s="33" t="s">
        <v>2471</v>
      </c>
      <c r="C980" s="33">
        <v>30</v>
      </c>
    </row>
    <row r="981" spans="2:3" x14ac:dyDescent="0.25">
      <c r="B981" s="33" t="s">
        <v>2472</v>
      </c>
      <c r="C981" s="33">
        <v>30</v>
      </c>
    </row>
    <row r="982" spans="2:3" x14ac:dyDescent="0.25">
      <c r="B982" s="33" t="s">
        <v>2473</v>
      </c>
      <c r="C982" s="33">
        <v>30</v>
      </c>
    </row>
    <row r="983" spans="2:3" x14ac:dyDescent="0.25">
      <c r="B983" s="33" t="s">
        <v>2474</v>
      </c>
      <c r="C983" s="33">
        <v>30</v>
      </c>
    </row>
    <row r="984" spans="2:3" x14ac:dyDescent="0.25">
      <c r="B984" s="33" t="s">
        <v>2475</v>
      </c>
      <c r="C984" s="33">
        <v>30</v>
      </c>
    </row>
    <row r="985" spans="2:3" x14ac:dyDescent="0.25">
      <c r="B985" s="33" t="s">
        <v>2476</v>
      </c>
      <c r="C985" s="33">
        <v>30</v>
      </c>
    </row>
    <row r="986" spans="2:3" x14ac:dyDescent="0.25">
      <c r="B986" s="33" t="s">
        <v>2477</v>
      </c>
      <c r="C986" s="33">
        <v>30</v>
      </c>
    </row>
    <row r="987" spans="2:3" x14ac:dyDescent="0.25">
      <c r="B987" s="33" t="s">
        <v>2478</v>
      </c>
      <c r="C987" s="33">
        <v>30</v>
      </c>
    </row>
    <row r="988" spans="2:3" x14ac:dyDescent="0.25">
      <c r="B988" s="33" t="s">
        <v>2479</v>
      </c>
      <c r="C988" s="33">
        <v>30</v>
      </c>
    </row>
    <row r="989" spans="2:3" x14ac:dyDescent="0.25">
      <c r="B989" s="33" t="s">
        <v>2480</v>
      </c>
      <c r="C989" s="33">
        <v>30</v>
      </c>
    </row>
    <row r="990" spans="2:3" x14ac:dyDescent="0.25">
      <c r="B990" s="33" t="s">
        <v>2481</v>
      </c>
      <c r="C990" s="33">
        <v>30</v>
      </c>
    </row>
    <row r="991" spans="2:3" x14ac:dyDescent="0.25">
      <c r="B991" s="33" t="s">
        <v>2482</v>
      </c>
      <c r="C991" s="33">
        <v>30</v>
      </c>
    </row>
    <row r="992" spans="2:3" x14ac:dyDescent="0.25">
      <c r="B992" s="33" t="s">
        <v>2483</v>
      </c>
      <c r="C992" s="33">
        <v>30</v>
      </c>
    </row>
    <row r="993" spans="2:3" x14ac:dyDescent="0.25">
      <c r="B993" s="33" t="s">
        <v>2484</v>
      </c>
      <c r="C993" s="33">
        <v>30</v>
      </c>
    </row>
    <row r="994" spans="2:3" x14ac:dyDescent="0.25">
      <c r="B994" s="33" t="s">
        <v>2485</v>
      </c>
      <c r="C994" s="33">
        <v>30</v>
      </c>
    </row>
    <row r="995" spans="2:3" x14ac:dyDescent="0.25">
      <c r="B995" s="33" t="s">
        <v>2486</v>
      </c>
      <c r="C995" s="33">
        <v>30</v>
      </c>
    </row>
    <row r="996" spans="2:3" x14ac:dyDescent="0.25">
      <c r="B996" s="33" t="s">
        <v>2487</v>
      </c>
      <c r="C996" s="33">
        <v>30</v>
      </c>
    </row>
    <row r="997" spans="2:3" x14ac:dyDescent="0.25">
      <c r="B997" s="33" t="s">
        <v>2488</v>
      </c>
      <c r="C997" s="33">
        <v>30</v>
      </c>
    </row>
    <row r="998" spans="2:3" x14ac:dyDescent="0.25">
      <c r="B998" s="33" t="s">
        <v>2489</v>
      </c>
      <c r="C998" s="33">
        <v>30</v>
      </c>
    </row>
    <row r="999" spans="2:3" x14ac:dyDescent="0.25">
      <c r="B999" s="33" t="s">
        <v>2490</v>
      </c>
      <c r="C999" s="33">
        <v>30</v>
      </c>
    </row>
    <row r="1000" spans="2:3" x14ac:dyDescent="0.25">
      <c r="B1000" s="33" t="s">
        <v>2491</v>
      </c>
      <c r="C1000" s="33">
        <v>30</v>
      </c>
    </row>
    <row r="1001" spans="2:3" x14ac:dyDescent="0.25">
      <c r="B1001" s="33" t="s">
        <v>2492</v>
      </c>
      <c r="C1001" s="33">
        <v>30</v>
      </c>
    </row>
    <row r="1002" spans="2:3" x14ac:dyDescent="0.25">
      <c r="B1002" s="33" t="s">
        <v>2493</v>
      </c>
      <c r="C1002" s="33">
        <v>30</v>
      </c>
    </row>
    <row r="1003" spans="2:3" x14ac:dyDescent="0.25">
      <c r="B1003" s="33" t="s">
        <v>2494</v>
      </c>
      <c r="C1003" s="33">
        <v>30</v>
      </c>
    </row>
    <row r="1004" spans="2:3" x14ac:dyDescent="0.25">
      <c r="B1004" s="33" t="s">
        <v>2495</v>
      </c>
      <c r="C1004" s="33">
        <v>30</v>
      </c>
    </row>
    <row r="1005" spans="2:3" x14ac:dyDescent="0.25">
      <c r="B1005" s="33" t="s">
        <v>2496</v>
      </c>
      <c r="C1005" s="33">
        <v>30</v>
      </c>
    </row>
    <row r="1006" spans="2:3" x14ac:dyDescent="0.25">
      <c r="B1006" s="33" t="s">
        <v>2497</v>
      </c>
      <c r="C1006" s="33">
        <v>30</v>
      </c>
    </row>
    <row r="1007" spans="2:3" x14ac:dyDescent="0.25">
      <c r="B1007" s="33" t="s">
        <v>2498</v>
      </c>
      <c r="C1007" s="33">
        <v>30</v>
      </c>
    </row>
    <row r="1008" spans="2:3" x14ac:dyDescent="0.25">
      <c r="B1008" s="33" t="s">
        <v>2499</v>
      </c>
      <c r="C1008" s="33">
        <v>30</v>
      </c>
    </row>
    <row r="1009" spans="2:3" x14ac:dyDescent="0.25">
      <c r="B1009" s="33" t="s">
        <v>2500</v>
      </c>
      <c r="C1009" s="33">
        <v>30</v>
      </c>
    </row>
    <row r="1010" spans="2:3" x14ac:dyDescent="0.25">
      <c r="B1010" s="33" t="s">
        <v>2501</v>
      </c>
      <c r="C1010" s="33">
        <v>30</v>
      </c>
    </row>
    <row r="1011" spans="2:3" x14ac:dyDescent="0.25">
      <c r="B1011" s="33" t="s">
        <v>2502</v>
      </c>
      <c r="C1011" s="33">
        <v>30</v>
      </c>
    </row>
    <row r="1012" spans="2:3" x14ac:dyDescent="0.25">
      <c r="B1012" s="33" t="s">
        <v>2503</v>
      </c>
      <c r="C1012" s="33">
        <v>30</v>
      </c>
    </row>
    <row r="1013" spans="2:3" x14ac:dyDescent="0.25">
      <c r="B1013" s="33" t="s">
        <v>2504</v>
      </c>
      <c r="C1013" s="33">
        <v>30</v>
      </c>
    </row>
    <row r="1014" spans="2:3" x14ac:dyDescent="0.25">
      <c r="B1014" s="33" t="s">
        <v>2505</v>
      </c>
      <c r="C1014" s="33">
        <v>30</v>
      </c>
    </row>
    <row r="1015" spans="2:3" x14ac:dyDescent="0.25">
      <c r="B1015" s="33" t="s">
        <v>2506</v>
      </c>
      <c r="C1015" s="33">
        <v>30</v>
      </c>
    </row>
    <row r="1016" spans="2:3" x14ac:dyDescent="0.25">
      <c r="B1016" s="33" t="s">
        <v>2507</v>
      </c>
      <c r="C1016" s="33">
        <v>30</v>
      </c>
    </row>
    <row r="1017" spans="2:3" x14ac:dyDescent="0.25">
      <c r="B1017" s="33" t="s">
        <v>2508</v>
      </c>
      <c r="C1017" s="33">
        <v>30</v>
      </c>
    </row>
    <row r="1018" spans="2:3" x14ac:dyDescent="0.25">
      <c r="B1018" s="33" t="s">
        <v>2509</v>
      </c>
      <c r="C1018" s="33">
        <v>30</v>
      </c>
    </row>
    <row r="1019" spans="2:3" x14ac:dyDescent="0.25">
      <c r="B1019" s="33" t="s">
        <v>2510</v>
      </c>
      <c r="C1019" s="33">
        <v>30</v>
      </c>
    </row>
    <row r="1020" spans="2:3" x14ac:dyDescent="0.25">
      <c r="B1020" s="33" t="s">
        <v>2511</v>
      </c>
      <c r="C1020" s="33">
        <v>30</v>
      </c>
    </row>
    <row r="1021" spans="2:3" x14ac:dyDescent="0.25">
      <c r="B1021" s="33" t="s">
        <v>2512</v>
      </c>
      <c r="C1021" s="33">
        <v>30</v>
      </c>
    </row>
    <row r="1022" spans="2:3" x14ac:dyDescent="0.25">
      <c r="B1022" s="33" t="s">
        <v>2513</v>
      </c>
      <c r="C1022" s="33">
        <v>30</v>
      </c>
    </row>
    <row r="1023" spans="2:3" x14ac:dyDescent="0.25">
      <c r="B1023" s="33" t="s">
        <v>2514</v>
      </c>
      <c r="C1023" s="33">
        <v>30</v>
      </c>
    </row>
    <row r="1024" spans="2:3" x14ac:dyDescent="0.25">
      <c r="B1024" s="33" t="s">
        <v>2515</v>
      </c>
      <c r="C1024" s="33">
        <v>30</v>
      </c>
    </row>
    <row r="1025" spans="2:3" x14ac:dyDescent="0.25">
      <c r="B1025" s="33" t="s">
        <v>2516</v>
      </c>
      <c r="C1025" s="33">
        <v>30</v>
      </c>
    </row>
    <row r="1026" spans="2:3" x14ac:dyDescent="0.25">
      <c r="B1026" s="33" t="s">
        <v>2517</v>
      </c>
      <c r="C1026" s="33">
        <v>30</v>
      </c>
    </row>
    <row r="1027" spans="2:3" x14ac:dyDescent="0.25">
      <c r="B1027" s="33" t="s">
        <v>2518</v>
      </c>
      <c r="C1027" s="33">
        <v>30</v>
      </c>
    </row>
    <row r="1028" spans="2:3" x14ac:dyDescent="0.25">
      <c r="B1028" s="33" t="s">
        <v>2519</v>
      </c>
      <c r="C1028" s="33">
        <v>30</v>
      </c>
    </row>
    <row r="1029" spans="2:3" x14ac:dyDescent="0.25">
      <c r="B1029" s="33" t="s">
        <v>2520</v>
      </c>
      <c r="C1029" s="33">
        <v>30</v>
      </c>
    </row>
    <row r="1030" spans="2:3" x14ac:dyDescent="0.25">
      <c r="B1030" s="33" t="s">
        <v>2521</v>
      </c>
      <c r="C1030" s="33">
        <v>30</v>
      </c>
    </row>
    <row r="1031" spans="2:3" x14ac:dyDescent="0.25">
      <c r="B1031" s="33" t="s">
        <v>2522</v>
      </c>
      <c r="C1031" s="33">
        <v>30</v>
      </c>
    </row>
    <row r="1032" spans="2:3" x14ac:dyDescent="0.25">
      <c r="B1032" s="33" t="s">
        <v>2523</v>
      </c>
      <c r="C1032" s="33">
        <v>30</v>
      </c>
    </row>
    <row r="1033" spans="2:3" x14ac:dyDescent="0.25">
      <c r="B1033" s="33" t="s">
        <v>2524</v>
      </c>
      <c r="C1033" s="33">
        <v>30</v>
      </c>
    </row>
    <row r="1034" spans="2:3" x14ac:dyDescent="0.25">
      <c r="B1034" s="33" t="s">
        <v>2525</v>
      </c>
      <c r="C1034" s="33">
        <v>30</v>
      </c>
    </row>
    <row r="1035" spans="2:3" x14ac:dyDescent="0.25">
      <c r="B1035" s="33" t="s">
        <v>2526</v>
      </c>
      <c r="C1035" s="33">
        <v>30</v>
      </c>
    </row>
    <row r="1036" spans="2:3" x14ac:dyDescent="0.25">
      <c r="B1036" s="33" t="s">
        <v>2527</v>
      </c>
      <c r="C1036" s="33">
        <v>30</v>
      </c>
    </row>
    <row r="1037" spans="2:3" x14ac:dyDescent="0.25">
      <c r="B1037" s="33" t="s">
        <v>2528</v>
      </c>
      <c r="C1037" s="33">
        <v>30</v>
      </c>
    </row>
    <row r="1038" spans="2:3" x14ac:dyDescent="0.25">
      <c r="B1038" s="33" t="s">
        <v>2529</v>
      </c>
      <c r="C1038" s="33">
        <v>30</v>
      </c>
    </row>
    <row r="1039" spans="2:3" x14ac:dyDescent="0.25">
      <c r="B1039" s="33" t="s">
        <v>2530</v>
      </c>
      <c r="C1039" s="33">
        <v>30</v>
      </c>
    </row>
    <row r="1040" spans="2:3" x14ac:dyDescent="0.25">
      <c r="B1040" s="33" t="s">
        <v>2531</v>
      </c>
      <c r="C1040" s="33">
        <v>30</v>
      </c>
    </row>
    <row r="1041" spans="2:3" x14ac:dyDescent="0.25">
      <c r="B1041" s="33" t="s">
        <v>2532</v>
      </c>
      <c r="C1041" s="33">
        <v>30</v>
      </c>
    </row>
    <row r="1042" spans="2:3" x14ac:dyDescent="0.25">
      <c r="B1042" s="33" t="s">
        <v>2533</v>
      </c>
      <c r="C1042" s="33">
        <v>30</v>
      </c>
    </row>
    <row r="1043" spans="2:3" x14ac:dyDescent="0.25">
      <c r="B1043" s="33" t="s">
        <v>2534</v>
      </c>
      <c r="C1043" s="33">
        <v>30</v>
      </c>
    </row>
    <row r="1044" spans="2:3" x14ac:dyDescent="0.25">
      <c r="B1044" s="33" t="s">
        <v>2535</v>
      </c>
      <c r="C1044" s="33">
        <v>30</v>
      </c>
    </row>
    <row r="1045" spans="2:3" x14ac:dyDescent="0.25">
      <c r="B1045" s="33" t="s">
        <v>2536</v>
      </c>
      <c r="C1045" s="33">
        <v>30</v>
      </c>
    </row>
    <row r="1046" spans="2:3" x14ac:dyDescent="0.25">
      <c r="B1046" s="33" t="s">
        <v>2537</v>
      </c>
      <c r="C1046" s="33">
        <v>30</v>
      </c>
    </row>
    <row r="1047" spans="2:3" x14ac:dyDescent="0.25">
      <c r="B1047" s="33" t="s">
        <v>2538</v>
      </c>
      <c r="C1047" s="33">
        <v>30</v>
      </c>
    </row>
    <row r="1048" spans="2:3" x14ac:dyDescent="0.25">
      <c r="B1048" s="33" t="s">
        <v>2539</v>
      </c>
      <c r="C1048" s="33">
        <v>30</v>
      </c>
    </row>
    <row r="1049" spans="2:3" x14ac:dyDescent="0.25">
      <c r="B1049" s="33" t="s">
        <v>2540</v>
      </c>
      <c r="C1049" s="33">
        <v>30</v>
      </c>
    </row>
    <row r="1050" spans="2:3" x14ac:dyDescent="0.25">
      <c r="B1050" s="33" t="s">
        <v>2541</v>
      </c>
      <c r="C1050" s="33">
        <v>30</v>
      </c>
    </row>
    <row r="1051" spans="2:3" x14ac:dyDescent="0.25">
      <c r="B1051" s="33" t="s">
        <v>2542</v>
      </c>
      <c r="C1051" s="33">
        <v>30</v>
      </c>
    </row>
    <row r="1052" spans="2:3" x14ac:dyDescent="0.25">
      <c r="B1052" s="33" t="s">
        <v>2543</v>
      </c>
      <c r="C1052" s="33">
        <v>30</v>
      </c>
    </row>
    <row r="1053" spans="2:3" x14ac:dyDescent="0.25">
      <c r="B1053" s="33" t="s">
        <v>2544</v>
      </c>
      <c r="C1053" s="33">
        <v>30</v>
      </c>
    </row>
    <row r="1054" spans="2:3" x14ac:dyDescent="0.25">
      <c r="B1054" s="33" t="s">
        <v>2545</v>
      </c>
      <c r="C1054" s="33">
        <v>30</v>
      </c>
    </row>
    <row r="1055" spans="2:3" x14ac:dyDescent="0.25">
      <c r="B1055" s="33" t="s">
        <v>2546</v>
      </c>
      <c r="C1055" s="33">
        <v>30</v>
      </c>
    </row>
    <row r="1056" spans="2:3" x14ac:dyDescent="0.25">
      <c r="B1056" s="33" t="s">
        <v>2547</v>
      </c>
      <c r="C1056" s="33">
        <v>30</v>
      </c>
    </row>
    <row r="1057" spans="2:3" x14ac:dyDescent="0.25">
      <c r="B1057" s="33" t="s">
        <v>2548</v>
      </c>
      <c r="C1057" s="33">
        <v>30</v>
      </c>
    </row>
    <row r="1058" spans="2:3" x14ac:dyDescent="0.25">
      <c r="B1058" s="33" t="s">
        <v>2549</v>
      </c>
      <c r="C1058" s="33">
        <v>30</v>
      </c>
    </row>
    <row r="1059" spans="2:3" x14ac:dyDescent="0.25">
      <c r="B1059" s="33" t="s">
        <v>2550</v>
      </c>
      <c r="C1059" s="33">
        <v>30</v>
      </c>
    </row>
    <row r="1060" spans="2:3" x14ac:dyDescent="0.25">
      <c r="B1060" s="33" t="s">
        <v>2551</v>
      </c>
      <c r="C1060" s="33">
        <v>30</v>
      </c>
    </row>
    <row r="1061" spans="2:3" x14ac:dyDescent="0.25">
      <c r="B1061" s="33" t="s">
        <v>2552</v>
      </c>
      <c r="C1061" s="33">
        <v>30</v>
      </c>
    </row>
    <row r="1062" spans="2:3" x14ac:dyDescent="0.25">
      <c r="B1062" s="33" t="s">
        <v>2553</v>
      </c>
      <c r="C1062" s="33">
        <v>30</v>
      </c>
    </row>
    <row r="1063" spans="2:3" x14ac:dyDescent="0.25">
      <c r="B1063" s="33" t="s">
        <v>2554</v>
      </c>
      <c r="C1063" s="33">
        <v>30</v>
      </c>
    </row>
    <row r="1064" spans="2:3" x14ac:dyDescent="0.25">
      <c r="B1064" s="33" t="s">
        <v>2555</v>
      </c>
      <c r="C1064" s="33">
        <v>30</v>
      </c>
    </row>
    <row r="1065" spans="2:3" x14ac:dyDescent="0.25">
      <c r="B1065" s="33" t="s">
        <v>2556</v>
      </c>
      <c r="C1065" s="33">
        <v>30</v>
      </c>
    </row>
    <row r="1066" spans="2:3" x14ac:dyDescent="0.25">
      <c r="B1066" s="33" t="s">
        <v>2557</v>
      </c>
      <c r="C1066" s="33">
        <v>30</v>
      </c>
    </row>
    <row r="1067" spans="2:3" x14ac:dyDescent="0.25">
      <c r="B1067" s="33" t="s">
        <v>2558</v>
      </c>
      <c r="C1067" s="33">
        <v>30</v>
      </c>
    </row>
    <row r="1068" spans="2:3" x14ac:dyDescent="0.25">
      <c r="B1068" s="33" t="s">
        <v>2559</v>
      </c>
      <c r="C1068" s="33">
        <v>30</v>
      </c>
    </row>
    <row r="1069" spans="2:3" x14ac:dyDescent="0.25">
      <c r="B1069" s="33" t="s">
        <v>2560</v>
      </c>
      <c r="C1069" s="33">
        <v>30</v>
      </c>
    </row>
    <row r="1070" spans="2:3" x14ac:dyDescent="0.25">
      <c r="B1070" s="33" t="s">
        <v>2561</v>
      </c>
      <c r="C1070" s="33">
        <v>30</v>
      </c>
    </row>
    <row r="1071" spans="2:3" x14ac:dyDescent="0.25">
      <c r="B1071" s="33" t="s">
        <v>2562</v>
      </c>
      <c r="C1071" s="33">
        <v>30</v>
      </c>
    </row>
    <row r="1072" spans="2:3" x14ac:dyDescent="0.25">
      <c r="B1072" s="33" t="s">
        <v>2563</v>
      </c>
      <c r="C1072" s="33">
        <v>30</v>
      </c>
    </row>
    <row r="1073" spans="2:3" x14ac:dyDescent="0.25">
      <c r="B1073" s="33" t="s">
        <v>2564</v>
      </c>
      <c r="C1073" s="33">
        <v>30</v>
      </c>
    </row>
    <row r="1074" spans="2:3" x14ac:dyDescent="0.25">
      <c r="B1074" s="33" t="s">
        <v>2565</v>
      </c>
      <c r="C1074" s="33">
        <v>30</v>
      </c>
    </row>
    <row r="1075" spans="2:3" x14ac:dyDescent="0.25">
      <c r="B1075" s="33" t="s">
        <v>2566</v>
      </c>
      <c r="C1075" s="33">
        <v>30</v>
      </c>
    </row>
    <row r="1076" spans="2:3" x14ac:dyDescent="0.25">
      <c r="B1076" s="33" t="s">
        <v>2567</v>
      </c>
      <c r="C1076" s="33">
        <v>30</v>
      </c>
    </row>
    <row r="1077" spans="2:3" x14ac:dyDescent="0.25">
      <c r="B1077" s="33" t="s">
        <v>2568</v>
      </c>
      <c r="C1077" s="33">
        <v>30</v>
      </c>
    </row>
    <row r="1078" spans="2:3" x14ac:dyDescent="0.25">
      <c r="B1078" s="33" t="s">
        <v>2569</v>
      </c>
      <c r="C1078" s="33">
        <v>30</v>
      </c>
    </row>
    <row r="1079" spans="2:3" x14ac:dyDescent="0.25">
      <c r="B1079" s="33" t="s">
        <v>2570</v>
      </c>
      <c r="C1079" s="33">
        <v>30</v>
      </c>
    </row>
    <row r="1080" spans="2:3" x14ac:dyDescent="0.25">
      <c r="B1080" s="33" t="s">
        <v>2571</v>
      </c>
      <c r="C1080" s="33">
        <v>30</v>
      </c>
    </row>
    <row r="1081" spans="2:3" x14ac:dyDescent="0.25">
      <c r="B1081" s="33" t="s">
        <v>2572</v>
      </c>
      <c r="C1081" s="33">
        <v>30</v>
      </c>
    </row>
    <row r="1082" spans="2:3" x14ac:dyDescent="0.25">
      <c r="B1082" s="33" t="s">
        <v>2573</v>
      </c>
      <c r="C1082" s="33">
        <v>30</v>
      </c>
    </row>
    <row r="1083" spans="2:3" x14ac:dyDescent="0.25">
      <c r="B1083" s="33" t="s">
        <v>2574</v>
      </c>
      <c r="C1083" s="33">
        <v>30</v>
      </c>
    </row>
    <row r="1084" spans="2:3" x14ac:dyDescent="0.25">
      <c r="B1084" s="33" t="s">
        <v>2575</v>
      </c>
      <c r="C1084" s="33">
        <v>30</v>
      </c>
    </row>
    <row r="1085" spans="2:3" x14ac:dyDescent="0.25">
      <c r="B1085" s="33" t="s">
        <v>2576</v>
      </c>
      <c r="C1085" s="33">
        <v>30</v>
      </c>
    </row>
    <row r="1086" spans="2:3" x14ac:dyDescent="0.25">
      <c r="B1086" s="33" t="s">
        <v>2577</v>
      </c>
      <c r="C1086" s="33">
        <v>30</v>
      </c>
    </row>
    <row r="1087" spans="2:3" x14ac:dyDescent="0.25">
      <c r="B1087" s="33" t="s">
        <v>2578</v>
      </c>
      <c r="C1087" s="33">
        <v>30</v>
      </c>
    </row>
    <row r="1088" spans="2:3" x14ac:dyDescent="0.25">
      <c r="B1088" s="33" t="s">
        <v>2579</v>
      </c>
      <c r="C1088" s="33">
        <v>30</v>
      </c>
    </row>
    <row r="1089" spans="2:3" x14ac:dyDescent="0.25">
      <c r="B1089" s="33" t="s">
        <v>2580</v>
      </c>
      <c r="C1089" s="33">
        <v>30</v>
      </c>
    </row>
    <row r="1090" spans="2:3" x14ac:dyDescent="0.25">
      <c r="B1090" s="33" t="s">
        <v>2581</v>
      </c>
      <c r="C1090" s="33">
        <v>30</v>
      </c>
    </row>
    <row r="1091" spans="2:3" x14ac:dyDescent="0.25">
      <c r="B1091" s="33" t="s">
        <v>2582</v>
      </c>
      <c r="C1091" s="33">
        <v>30</v>
      </c>
    </row>
    <row r="1092" spans="2:3" x14ac:dyDescent="0.25">
      <c r="B1092" s="33" t="s">
        <v>2583</v>
      </c>
      <c r="C1092" s="33">
        <v>30</v>
      </c>
    </row>
    <row r="1093" spans="2:3" x14ac:dyDescent="0.25">
      <c r="B1093" s="33" t="s">
        <v>2584</v>
      </c>
      <c r="C1093" s="33">
        <v>30</v>
      </c>
    </row>
    <row r="1094" spans="2:3" x14ac:dyDescent="0.25">
      <c r="B1094" s="33" t="s">
        <v>2585</v>
      </c>
      <c r="C1094" s="33">
        <v>30</v>
      </c>
    </row>
    <row r="1095" spans="2:3" x14ac:dyDescent="0.25">
      <c r="B1095" s="33" t="s">
        <v>2586</v>
      </c>
      <c r="C1095" s="33">
        <v>30</v>
      </c>
    </row>
    <row r="1096" spans="2:3" x14ac:dyDescent="0.25">
      <c r="B1096" s="33" t="s">
        <v>2587</v>
      </c>
      <c r="C1096" s="33">
        <v>30</v>
      </c>
    </row>
    <row r="1097" spans="2:3" x14ac:dyDescent="0.25">
      <c r="B1097" s="33" t="s">
        <v>2588</v>
      </c>
      <c r="C1097" s="33">
        <v>30</v>
      </c>
    </row>
    <row r="1098" spans="2:3" x14ac:dyDescent="0.25">
      <c r="B1098" s="33" t="s">
        <v>2589</v>
      </c>
      <c r="C1098" s="33">
        <v>30</v>
      </c>
    </row>
    <row r="1099" spans="2:3" x14ac:dyDescent="0.25">
      <c r="B1099" s="33" t="s">
        <v>2590</v>
      </c>
      <c r="C1099" s="33">
        <v>30</v>
      </c>
    </row>
    <row r="1100" spans="2:3" x14ac:dyDescent="0.25">
      <c r="B1100" s="33" t="s">
        <v>2591</v>
      </c>
      <c r="C1100" s="33">
        <v>30</v>
      </c>
    </row>
    <row r="1101" spans="2:3" x14ac:dyDescent="0.25">
      <c r="B1101" s="33" t="s">
        <v>2592</v>
      </c>
      <c r="C1101" s="33">
        <v>30</v>
      </c>
    </row>
    <row r="1102" spans="2:3" x14ac:dyDescent="0.25">
      <c r="B1102" s="33" t="s">
        <v>2593</v>
      </c>
      <c r="C1102" s="33">
        <v>30</v>
      </c>
    </row>
    <row r="1103" spans="2:3" x14ac:dyDescent="0.25">
      <c r="B1103" s="33" t="s">
        <v>2594</v>
      </c>
      <c r="C1103" s="33">
        <v>30</v>
      </c>
    </row>
    <row r="1104" spans="2:3" x14ac:dyDescent="0.25">
      <c r="B1104" s="33" t="s">
        <v>2595</v>
      </c>
      <c r="C1104" s="33">
        <v>30</v>
      </c>
    </row>
    <row r="1105" spans="2:3" x14ac:dyDescent="0.25">
      <c r="B1105" s="33" t="s">
        <v>2596</v>
      </c>
      <c r="C1105" s="33">
        <v>30</v>
      </c>
    </row>
    <row r="1106" spans="2:3" x14ac:dyDescent="0.25">
      <c r="B1106" s="33" t="s">
        <v>2597</v>
      </c>
      <c r="C1106" s="33">
        <v>30</v>
      </c>
    </row>
    <row r="1107" spans="2:3" x14ac:dyDescent="0.25">
      <c r="B1107" s="33" t="s">
        <v>2598</v>
      </c>
      <c r="C1107" s="33">
        <v>30</v>
      </c>
    </row>
    <row r="1108" spans="2:3" x14ac:dyDescent="0.25">
      <c r="B1108" s="33" t="s">
        <v>2599</v>
      </c>
      <c r="C1108" s="33">
        <v>30</v>
      </c>
    </row>
    <row r="1109" spans="2:3" x14ac:dyDescent="0.25">
      <c r="B1109" s="33" t="s">
        <v>2600</v>
      </c>
      <c r="C1109" s="33">
        <v>30</v>
      </c>
    </row>
    <row r="1110" spans="2:3" x14ac:dyDescent="0.25">
      <c r="B1110" s="33" t="s">
        <v>2601</v>
      </c>
      <c r="C1110" s="33">
        <v>30</v>
      </c>
    </row>
    <row r="1111" spans="2:3" x14ac:dyDescent="0.25">
      <c r="B1111" s="33" t="s">
        <v>2602</v>
      </c>
      <c r="C1111" s="33">
        <v>30</v>
      </c>
    </row>
    <row r="1112" spans="2:3" x14ac:dyDescent="0.25">
      <c r="B1112" s="33" t="s">
        <v>2603</v>
      </c>
      <c r="C1112" s="33">
        <v>30</v>
      </c>
    </row>
    <row r="1113" spans="2:3" x14ac:dyDescent="0.25">
      <c r="B1113" s="33" t="s">
        <v>2604</v>
      </c>
      <c r="C1113" s="33">
        <v>30</v>
      </c>
    </row>
    <row r="1114" spans="2:3" x14ac:dyDescent="0.25">
      <c r="B1114" s="33" t="s">
        <v>2605</v>
      </c>
      <c r="C1114" s="33">
        <v>30</v>
      </c>
    </row>
    <row r="1115" spans="2:3" x14ac:dyDescent="0.25">
      <c r="B1115" s="33" t="s">
        <v>2606</v>
      </c>
      <c r="C1115" s="33">
        <v>30</v>
      </c>
    </row>
    <row r="1116" spans="2:3" x14ac:dyDescent="0.25">
      <c r="B1116" s="33" t="s">
        <v>2607</v>
      </c>
      <c r="C1116" s="33">
        <v>30</v>
      </c>
    </row>
    <row r="1117" spans="2:3" x14ac:dyDescent="0.25">
      <c r="B1117" s="33" t="s">
        <v>2608</v>
      </c>
      <c r="C1117" s="33">
        <v>30</v>
      </c>
    </row>
    <row r="1118" spans="2:3" x14ac:dyDescent="0.25">
      <c r="B1118" s="33" t="s">
        <v>2609</v>
      </c>
      <c r="C1118" s="33">
        <v>30</v>
      </c>
    </row>
    <row r="1119" spans="2:3" x14ac:dyDescent="0.25">
      <c r="B1119" s="33" t="s">
        <v>2610</v>
      </c>
      <c r="C1119" s="33">
        <v>30</v>
      </c>
    </row>
    <row r="1120" spans="2:3" x14ac:dyDescent="0.25">
      <c r="B1120" s="33" t="s">
        <v>2611</v>
      </c>
      <c r="C1120" s="33">
        <v>30</v>
      </c>
    </row>
    <row r="1121" spans="2:3" x14ac:dyDescent="0.25">
      <c r="B1121" s="33" t="s">
        <v>2612</v>
      </c>
      <c r="C1121" s="33">
        <v>30</v>
      </c>
    </row>
    <row r="1122" spans="2:3" x14ac:dyDescent="0.25">
      <c r="B1122" s="33" t="s">
        <v>2613</v>
      </c>
      <c r="C1122" s="33">
        <v>30</v>
      </c>
    </row>
    <row r="1123" spans="2:3" x14ac:dyDescent="0.25">
      <c r="B1123" s="33" t="s">
        <v>2614</v>
      </c>
      <c r="C1123" s="33">
        <v>30</v>
      </c>
    </row>
    <row r="1124" spans="2:3" x14ac:dyDescent="0.25">
      <c r="B1124" s="33" t="s">
        <v>2615</v>
      </c>
      <c r="C1124" s="33">
        <v>30</v>
      </c>
    </row>
    <row r="1125" spans="2:3" x14ac:dyDescent="0.25">
      <c r="B1125" s="33" t="s">
        <v>2616</v>
      </c>
      <c r="C1125" s="33">
        <v>30</v>
      </c>
    </row>
    <row r="1126" spans="2:3" x14ac:dyDescent="0.25">
      <c r="B1126" s="33" t="s">
        <v>2617</v>
      </c>
      <c r="C1126" s="33">
        <v>30</v>
      </c>
    </row>
    <row r="1127" spans="2:3" x14ac:dyDescent="0.25">
      <c r="B1127" s="33" t="s">
        <v>2618</v>
      </c>
      <c r="C1127" s="33">
        <v>30</v>
      </c>
    </row>
    <row r="1128" spans="2:3" x14ac:dyDescent="0.25">
      <c r="B1128" s="33" t="s">
        <v>2619</v>
      </c>
      <c r="C1128" s="33">
        <v>30</v>
      </c>
    </row>
    <row r="1129" spans="2:3" x14ac:dyDescent="0.25">
      <c r="B1129" s="33" t="s">
        <v>2620</v>
      </c>
      <c r="C1129" s="33">
        <v>30</v>
      </c>
    </row>
    <row r="1130" spans="2:3" x14ac:dyDescent="0.25">
      <c r="B1130" s="33" t="s">
        <v>2621</v>
      </c>
      <c r="C1130" s="33">
        <v>30</v>
      </c>
    </row>
    <row r="1131" spans="2:3" x14ac:dyDescent="0.25">
      <c r="B1131" s="33" t="s">
        <v>2622</v>
      </c>
      <c r="C1131" s="33">
        <v>30</v>
      </c>
    </row>
    <row r="1132" spans="2:3" x14ac:dyDescent="0.25">
      <c r="B1132" s="33" t="s">
        <v>2623</v>
      </c>
      <c r="C1132" s="33">
        <v>30</v>
      </c>
    </row>
    <row r="1133" spans="2:3" x14ac:dyDescent="0.25">
      <c r="B1133" s="33" t="s">
        <v>2624</v>
      </c>
      <c r="C1133" s="33">
        <v>30</v>
      </c>
    </row>
    <row r="1134" spans="2:3" x14ac:dyDescent="0.25">
      <c r="B1134" s="33" t="s">
        <v>2625</v>
      </c>
      <c r="C1134" s="33">
        <v>30</v>
      </c>
    </row>
    <row r="1135" spans="2:3" x14ac:dyDescent="0.25">
      <c r="B1135" s="33" t="s">
        <v>2626</v>
      </c>
      <c r="C1135" s="33">
        <v>30</v>
      </c>
    </row>
    <row r="1136" spans="2:3" x14ac:dyDescent="0.25">
      <c r="B1136" s="33" t="s">
        <v>2627</v>
      </c>
      <c r="C1136" s="33">
        <v>30</v>
      </c>
    </row>
    <row r="1137" spans="2:3" x14ac:dyDescent="0.25">
      <c r="B1137" s="33" t="s">
        <v>2628</v>
      </c>
      <c r="C1137" s="33">
        <v>30</v>
      </c>
    </row>
    <row r="1138" spans="2:3" x14ac:dyDescent="0.25">
      <c r="B1138" s="33" t="s">
        <v>2629</v>
      </c>
      <c r="C1138" s="33">
        <v>30</v>
      </c>
    </row>
    <row r="1139" spans="2:3" x14ac:dyDescent="0.25">
      <c r="B1139" s="33" t="s">
        <v>2630</v>
      </c>
      <c r="C1139" s="33">
        <v>30</v>
      </c>
    </row>
    <row r="1140" spans="2:3" x14ac:dyDescent="0.25">
      <c r="B1140" s="33" t="s">
        <v>2631</v>
      </c>
      <c r="C1140" s="33">
        <v>30</v>
      </c>
    </row>
    <row r="1141" spans="2:3" x14ac:dyDescent="0.25">
      <c r="B1141" s="33" t="s">
        <v>2632</v>
      </c>
      <c r="C1141" s="33">
        <v>30</v>
      </c>
    </row>
    <row r="1142" spans="2:3" x14ac:dyDescent="0.25">
      <c r="B1142" s="33" t="s">
        <v>2633</v>
      </c>
      <c r="C1142" s="33">
        <v>30</v>
      </c>
    </row>
    <row r="1143" spans="2:3" x14ac:dyDescent="0.25">
      <c r="B1143" s="33" t="s">
        <v>2634</v>
      </c>
      <c r="C1143" s="33">
        <v>30</v>
      </c>
    </row>
    <row r="1144" spans="2:3" x14ac:dyDescent="0.25">
      <c r="B1144" s="33" t="s">
        <v>2635</v>
      </c>
      <c r="C1144" s="33">
        <v>30</v>
      </c>
    </row>
    <row r="1145" spans="2:3" x14ac:dyDescent="0.25">
      <c r="B1145" s="33" t="s">
        <v>2636</v>
      </c>
      <c r="C1145" s="33">
        <v>30</v>
      </c>
    </row>
    <row r="1146" spans="2:3" x14ac:dyDescent="0.25">
      <c r="B1146" s="33" t="s">
        <v>2637</v>
      </c>
      <c r="C1146" s="33">
        <v>30</v>
      </c>
    </row>
    <row r="1147" spans="2:3" x14ac:dyDescent="0.25">
      <c r="B1147" s="33" t="s">
        <v>2638</v>
      </c>
      <c r="C1147" s="33">
        <v>30</v>
      </c>
    </row>
    <row r="1148" spans="2:3" x14ac:dyDescent="0.25">
      <c r="B1148" s="33" t="s">
        <v>2639</v>
      </c>
      <c r="C1148" s="33">
        <v>30</v>
      </c>
    </row>
    <row r="1149" spans="2:3" x14ac:dyDescent="0.25">
      <c r="B1149" s="33" t="s">
        <v>2640</v>
      </c>
      <c r="C1149" s="33">
        <v>30</v>
      </c>
    </row>
    <row r="1150" spans="2:3" x14ac:dyDescent="0.25">
      <c r="B1150" s="33" t="s">
        <v>2641</v>
      </c>
      <c r="C1150" s="33">
        <v>30</v>
      </c>
    </row>
    <row r="1151" spans="2:3" x14ac:dyDescent="0.25">
      <c r="B1151" s="33" t="s">
        <v>2642</v>
      </c>
      <c r="C1151" s="33">
        <v>30</v>
      </c>
    </row>
    <row r="1152" spans="2:3" x14ac:dyDescent="0.25">
      <c r="B1152" s="33" t="s">
        <v>2643</v>
      </c>
      <c r="C1152" s="33">
        <v>30</v>
      </c>
    </row>
    <row r="1153" spans="2:3" x14ac:dyDescent="0.25">
      <c r="B1153" s="33" t="s">
        <v>2644</v>
      </c>
      <c r="C1153" s="33">
        <v>30</v>
      </c>
    </row>
    <row r="1154" spans="2:3" x14ac:dyDescent="0.25">
      <c r="B1154" s="33" t="s">
        <v>2645</v>
      </c>
      <c r="C1154" s="33">
        <v>30</v>
      </c>
    </row>
    <row r="1155" spans="2:3" x14ac:dyDescent="0.25">
      <c r="B1155" s="33" t="s">
        <v>2646</v>
      </c>
      <c r="C1155" s="33">
        <v>30</v>
      </c>
    </row>
    <row r="1156" spans="2:3" x14ac:dyDescent="0.25">
      <c r="B1156" s="33" t="s">
        <v>2647</v>
      </c>
      <c r="C1156" s="33">
        <v>30</v>
      </c>
    </row>
    <row r="1157" spans="2:3" x14ac:dyDescent="0.25">
      <c r="B1157" s="33" t="s">
        <v>2648</v>
      </c>
      <c r="C1157" s="33">
        <v>30</v>
      </c>
    </row>
    <row r="1158" spans="2:3" x14ac:dyDescent="0.25">
      <c r="B1158" s="33" t="s">
        <v>2649</v>
      </c>
      <c r="C1158" s="33">
        <v>30</v>
      </c>
    </row>
    <row r="1159" spans="2:3" x14ac:dyDescent="0.25">
      <c r="B1159" s="33" t="s">
        <v>2650</v>
      </c>
      <c r="C1159" s="33">
        <v>30</v>
      </c>
    </row>
    <row r="1160" spans="2:3" x14ac:dyDescent="0.25">
      <c r="B1160" s="33" t="s">
        <v>2651</v>
      </c>
      <c r="C1160" s="33">
        <v>30</v>
      </c>
    </row>
    <row r="1161" spans="2:3" x14ac:dyDescent="0.25">
      <c r="B1161" s="33" t="s">
        <v>2652</v>
      </c>
      <c r="C1161" s="33">
        <v>30</v>
      </c>
    </row>
    <row r="1162" spans="2:3" x14ac:dyDescent="0.25">
      <c r="B1162" s="33" t="s">
        <v>2653</v>
      </c>
      <c r="C1162" s="33">
        <v>30</v>
      </c>
    </row>
    <row r="1163" spans="2:3" x14ac:dyDescent="0.25">
      <c r="B1163" s="33" t="s">
        <v>2654</v>
      </c>
      <c r="C1163" s="33">
        <v>30</v>
      </c>
    </row>
    <row r="1164" spans="2:3" x14ac:dyDescent="0.25">
      <c r="B1164" s="33" t="s">
        <v>2655</v>
      </c>
      <c r="C1164" s="33">
        <v>30</v>
      </c>
    </row>
    <row r="1165" spans="2:3" x14ac:dyDescent="0.25">
      <c r="B1165" s="33" t="s">
        <v>2656</v>
      </c>
      <c r="C1165" s="33">
        <v>30</v>
      </c>
    </row>
    <row r="1166" spans="2:3" x14ac:dyDescent="0.25">
      <c r="B1166" s="33" t="s">
        <v>2657</v>
      </c>
      <c r="C1166" s="33">
        <v>30</v>
      </c>
    </row>
    <row r="1167" spans="2:3" x14ac:dyDescent="0.25">
      <c r="B1167" s="33" t="s">
        <v>2658</v>
      </c>
      <c r="C1167" s="33">
        <v>30</v>
      </c>
    </row>
    <row r="1168" spans="2:3" x14ac:dyDescent="0.25">
      <c r="B1168" s="33" t="s">
        <v>2659</v>
      </c>
      <c r="C1168" s="33">
        <v>30</v>
      </c>
    </row>
    <row r="1169" spans="2:3" x14ac:dyDescent="0.25">
      <c r="B1169" s="33" t="s">
        <v>2660</v>
      </c>
      <c r="C1169" s="33">
        <v>30</v>
      </c>
    </row>
    <row r="1170" spans="2:3" x14ac:dyDescent="0.25">
      <c r="B1170" s="33" t="s">
        <v>2661</v>
      </c>
      <c r="C1170" s="33">
        <v>30</v>
      </c>
    </row>
    <row r="1171" spans="2:3" x14ac:dyDescent="0.25">
      <c r="B1171" s="33" t="s">
        <v>2662</v>
      </c>
      <c r="C1171" s="33">
        <v>30</v>
      </c>
    </row>
    <row r="1172" spans="2:3" x14ac:dyDescent="0.25">
      <c r="B1172" s="33" t="s">
        <v>2663</v>
      </c>
      <c r="C1172" s="33">
        <v>30</v>
      </c>
    </row>
    <row r="1173" spans="2:3" x14ac:dyDescent="0.25">
      <c r="B1173" s="33" t="s">
        <v>2664</v>
      </c>
      <c r="C1173" s="33">
        <v>30</v>
      </c>
    </row>
    <row r="1174" spans="2:3" x14ac:dyDescent="0.25">
      <c r="B1174" s="33" t="s">
        <v>2665</v>
      </c>
      <c r="C1174" s="33">
        <v>30</v>
      </c>
    </row>
    <row r="1175" spans="2:3" x14ac:dyDescent="0.25">
      <c r="B1175" s="33" t="s">
        <v>2666</v>
      </c>
      <c r="C1175" s="33">
        <v>30</v>
      </c>
    </row>
    <row r="1176" spans="2:3" x14ac:dyDescent="0.25">
      <c r="B1176" s="33" t="s">
        <v>2667</v>
      </c>
      <c r="C1176" s="33">
        <v>30</v>
      </c>
    </row>
    <row r="1177" spans="2:3" x14ac:dyDescent="0.25">
      <c r="B1177" s="33" t="s">
        <v>2668</v>
      </c>
      <c r="C1177" s="33">
        <v>30</v>
      </c>
    </row>
    <row r="1178" spans="2:3" x14ac:dyDescent="0.25">
      <c r="B1178" s="33" t="s">
        <v>2669</v>
      </c>
      <c r="C1178" s="33">
        <v>30</v>
      </c>
    </row>
    <row r="1179" spans="2:3" x14ac:dyDescent="0.25">
      <c r="B1179" s="33" t="s">
        <v>2670</v>
      </c>
      <c r="C1179" s="33">
        <v>30</v>
      </c>
    </row>
    <row r="1180" spans="2:3" x14ac:dyDescent="0.25">
      <c r="B1180" s="33" t="s">
        <v>2671</v>
      </c>
      <c r="C1180" s="33">
        <v>30</v>
      </c>
    </row>
    <row r="1181" spans="2:3" x14ac:dyDescent="0.25">
      <c r="B1181" s="33" t="s">
        <v>2672</v>
      </c>
      <c r="C1181" s="33">
        <v>30</v>
      </c>
    </row>
    <row r="1182" spans="2:3" x14ac:dyDescent="0.25">
      <c r="B1182" s="33" t="s">
        <v>2673</v>
      </c>
      <c r="C1182" s="33">
        <v>30</v>
      </c>
    </row>
    <row r="1183" spans="2:3" x14ac:dyDescent="0.25">
      <c r="B1183" s="33" t="s">
        <v>2674</v>
      </c>
      <c r="C1183" s="33">
        <v>30</v>
      </c>
    </row>
    <row r="1184" spans="2:3" x14ac:dyDescent="0.25">
      <c r="B1184" s="33" t="s">
        <v>2675</v>
      </c>
      <c r="C1184" s="33">
        <v>30</v>
      </c>
    </row>
    <row r="1185" spans="2:3" x14ac:dyDescent="0.25">
      <c r="B1185" s="33" t="s">
        <v>2676</v>
      </c>
      <c r="C1185" s="33">
        <v>30</v>
      </c>
    </row>
    <row r="1186" spans="2:3" x14ac:dyDescent="0.25">
      <c r="B1186" s="33" t="s">
        <v>2677</v>
      </c>
      <c r="C1186" s="33">
        <v>30</v>
      </c>
    </row>
    <row r="1187" spans="2:3" x14ac:dyDescent="0.25">
      <c r="B1187" s="33" t="s">
        <v>2678</v>
      </c>
      <c r="C1187" s="33">
        <v>30</v>
      </c>
    </row>
    <row r="1188" spans="2:3" x14ac:dyDescent="0.25">
      <c r="B1188" s="33" t="s">
        <v>2679</v>
      </c>
      <c r="C1188" s="33">
        <v>30</v>
      </c>
    </row>
    <row r="1189" spans="2:3" x14ac:dyDescent="0.25">
      <c r="B1189" s="33" t="s">
        <v>2680</v>
      </c>
      <c r="C1189" s="33">
        <v>30</v>
      </c>
    </row>
    <row r="1190" spans="2:3" x14ac:dyDescent="0.25">
      <c r="B1190" s="33" t="s">
        <v>2681</v>
      </c>
      <c r="C1190" s="33">
        <v>30</v>
      </c>
    </row>
    <row r="1191" spans="2:3" x14ac:dyDescent="0.25">
      <c r="B1191" s="33" t="s">
        <v>2682</v>
      </c>
      <c r="C1191" s="33">
        <v>30</v>
      </c>
    </row>
    <row r="1192" spans="2:3" x14ac:dyDescent="0.25">
      <c r="B1192" s="33" t="s">
        <v>2683</v>
      </c>
      <c r="C1192" s="33">
        <v>30</v>
      </c>
    </row>
    <row r="1193" spans="2:3" x14ac:dyDescent="0.25">
      <c r="B1193" s="33" t="s">
        <v>2684</v>
      </c>
      <c r="C1193" s="33">
        <v>30</v>
      </c>
    </row>
    <row r="1194" spans="2:3" x14ac:dyDescent="0.25">
      <c r="B1194" s="33" t="s">
        <v>2685</v>
      </c>
      <c r="C1194" s="33">
        <v>30</v>
      </c>
    </row>
    <row r="1195" spans="2:3" x14ac:dyDescent="0.25">
      <c r="B1195" s="33" t="s">
        <v>2686</v>
      </c>
      <c r="C1195" s="33">
        <v>30</v>
      </c>
    </row>
    <row r="1196" spans="2:3" x14ac:dyDescent="0.25">
      <c r="B1196" s="33" t="s">
        <v>2687</v>
      </c>
      <c r="C1196" s="33">
        <v>30</v>
      </c>
    </row>
    <row r="1197" spans="2:3" x14ac:dyDescent="0.25">
      <c r="B1197" s="33" t="s">
        <v>2688</v>
      </c>
      <c r="C1197" s="33">
        <v>30</v>
      </c>
    </row>
    <row r="1198" spans="2:3" x14ac:dyDescent="0.25">
      <c r="B1198" s="33" t="s">
        <v>2689</v>
      </c>
      <c r="C1198" s="33">
        <v>30</v>
      </c>
    </row>
    <row r="1199" spans="2:3" x14ac:dyDescent="0.25">
      <c r="B1199" s="33" t="s">
        <v>2690</v>
      </c>
      <c r="C1199" s="33">
        <v>30</v>
      </c>
    </row>
    <row r="1200" spans="2:3" x14ac:dyDescent="0.25">
      <c r="B1200" s="33" t="s">
        <v>2691</v>
      </c>
      <c r="C1200" s="33">
        <v>30</v>
      </c>
    </row>
    <row r="1201" spans="2:3" x14ac:dyDescent="0.25">
      <c r="B1201" s="33" t="s">
        <v>2692</v>
      </c>
      <c r="C1201" s="33">
        <v>30</v>
      </c>
    </row>
    <row r="1202" spans="2:3" x14ac:dyDescent="0.25">
      <c r="B1202" s="33" t="s">
        <v>2693</v>
      </c>
      <c r="C1202" s="33">
        <v>30</v>
      </c>
    </row>
    <row r="1203" spans="2:3" x14ac:dyDescent="0.25">
      <c r="B1203" s="33" t="s">
        <v>2694</v>
      </c>
      <c r="C1203" s="33">
        <v>30</v>
      </c>
    </row>
    <row r="1204" spans="2:3" x14ac:dyDescent="0.25">
      <c r="B1204" s="33" t="s">
        <v>2695</v>
      </c>
      <c r="C1204" s="33">
        <v>30</v>
      </c>
    </row>
    <row r="1205" spans="2:3" x14ac:dyDescent="0.25">
      <c r="B1205" s="33" t="s">
        <v>2696</v>
      </c>
      <c r="C1205" s="33">
        <v>30</v>
      </c>
    </row>
    <row r="1206" spans="2:3" x14ac:dyDescent="0.25">
      <c r="B1206" s="33" t="s">
        <v>2697</v>
      </c>
      <c r="C1206" s="33">
        <v>30</v>
      </c>
    </row>
    <row r="1207" spans="2:3" x14ac:dyDescent="0.25">
      <c r="B1207" s="33" t="s">
        <v>2698</v>
      </c>
      <c r="C1207" s="33">
        <v>30</v>
      </c>
    </row>
    <row r="1208" spans="2:3" x14ac:dyDescent="0.25">
      <c r="B1208" s="33" t="s">
        <v>2699</v>
      </c>
      <c r="C1208" s="33">
        <v>30</v>
      </c>
    </row>
    <row r="1209" spans="2:3" x14ac:dyDescent="0.25">
      <c r="B1209" s="33" t="s">
        <v>2700</v>
      </c>
      <c r="C1209" s="33">
        <v>30</v>
      </c>
    </row>
    <row r="1210" spans="2:3" x14ac:dyDescent="0.25">
      <c r="B1210" s="33" t="s">
        <v>2701</v>
      </c>
      <c r="C1210" s="33">
        <v>30</v>
      </c>
    </row>
    <row r="1211" spans="2:3" x14ac:dyDescent="0.25">
      <c r="B1211" s="33" t="s">
        <v>2702</v>
      </c>
      <c r="C1211" s="33">
        <v>30</v>
      </c>
    </row>
    <row r="1212" spans="2:3" x14ac:dyDescent="0.25">
      <c r="B1212" s="33" t="s">
        <v>2703</v>
      </c>
      <c r="C1212" s="33">
        <v>30</v>
      </c>
    </row>
    <row r="1213" spans="2:3" x14ac:dyDescent="0.25">
      <c r="B1213" s="33" t="s">
        <v>2704</v>
      </c>
      <c r="C1213" s="33">
        <v>30</v>
      </c>
    </row>
    <row r="1214" spans="2:3" x14ac:dyDescent="0.25">
      <c r="B1214" s="33" t="s">
        <v>2705</v>
      </c>
      <c r="C1214" s="33">
        <v>30</v>
      </c>
    </row>
    <row r="1215" spans="2:3" x14ac:dyDescent="0.25">
      <c r="B1215" s="33" t="s">
        <v>2706</v>
      </c>
      <c r="C1215" s="33">
        <v>30</v>
      </c>
    </row>
    <row r="1216" spans="2:3" x14ac:dyDescent="0.25">
      <c r="B1216" s="33" t="s">
        <v>2707</v>
      </c>
      <c r="C1216" s="33">
        <v>30</v>
      </c>
    </row>
    <row r="1217" spans="2:3" x14ac:dyDescent="0.25">
      <c r="B1217" s="33" t="s">
        <v>2708</v>
      </c>
      <c r="C1217" s="33">
        <v>30</v>
      </c>
    </row>
    <row r="1218" spans="2:3" x14ac:dyDescent="0.25">
      <c r="B1218" s="33" t="s">
        <v>2709</v>
      </c>
      <c r="C1218" s="33">
        <v>30</v>
      </c>
    </row>
    <row r="1219" spans="2:3" x14ac:dyDescent="0.25">
      <c r="B1219" s="33" t="s">
        <v>2710</v>
      </c>
      <c r="C1219" s="33">
        <v>30</v>
      </c>
    </row>
    <row r="1220" spans="2:3" x14ac:dyDescent="0.25">
      <c r="B1220" s="33" t="s">
        <v>2711</v>
      </c>
      <c r="C1220" s="33">
        <v>30</v>
      </c>
    </row>
    <row r="1221" spans="2:3" x14ac:dyDescent="0.25">
      <c r="B1221" s="33" t="s">
        <v>2712</v>
      </c>
      <c r="C1221" s="33">
        <v>30</v>
      </c>
    </row>
    <row r="1222" spans="2:3" x14ac:dyDescent="0.25">
      <c r="B1222" s="33" t="s">
        <v>2713</v>
      </c>
      <c r="C1222" s="33">
        <v>30</v>
      </c>
    </row>
    <row r="1223" spans="2:3" x14ac:dyDescent="0.25">
      <c r="B1223" s="33" t="s">
        <v>2714</v>
      </c>
      <c r="C1223" s="33">
        <v>30</v>
      </c>
    </row>
    <row r="1224" spans="2:3" x14ac:dyDescent="0.25">
      <c r="B1224" s="33" t="s">
        <v>2715</v>
      </c>
      <c r="C1224" s="33">
        <v>30</v>
      </c>
    </row>
    <row r="1225" spans="2:3" x14ac:dyDescent="0.25">
      <c r="B1225" s="33" t="s">
        <v>2716</v>
      </c>
      <c r="C1225" s="33">
        <v>30</v>
      </c>
    </row>
    <row r="1226" spans="2:3" x14ac:dyDescent="0.25">
      <c r="B1226" s="33" t="s">
        <v>2717</v>
      </c>
      <c r="C1226" s="33">
        <v>30</v>
      </c>
    </row>
    <row r="1227" spans="2:3" x14ac:dyDescent="0.25">
      <c r="B1227" s="33" t="s">
        <v>2718</v>
      </c>
      <c r="C1227" s="33">
        <v>30</v>
      </c>
    </row>
    <row r="1228" spans="2:3" x14ac:dyDescent="0.25">
      <c r="B1228" s="33" t="s">
        <v>2719</v>
      </c>
      <c r="C1228" s="33">
        <v>30</v>
      </c>
    </row>
    <row r="1229" spans="2:3" x14ac:dyDescent="0.25">
      <c r="B1229" s="33" t="s">
        <v>2720</v>
      </c>
      <c r="C1229" s="33">
        <v>30</v>
      </c>
    </row>
    <row r="1230" spans="2:3" x14ac:dyDescent="0.25">
      <c r="B1230" s="33" t="s">
        <v>2721</v>
      </c>
      <c r="C1230" s="33">
        <v>30</v>
      </c>
    </row>
    <row r="1231" spans="2:3" x14ac:dyDescent="0.25">
      <c r="B1231" s="33" t="s">
        <v>2722</v>
      </c>
      <c r="C1231" s="33">
        <v>30</v>
      </c>
    </row>
    <row r="1232" spans="2:3" x14ac:dyDescent="0.25">
      <c r="B1232" s="33" t="s">
        <v>2723</v>
      </c>
      <c r="C1232" s="33">
        <v>30</v>
      </c>
    </row>
    <row r="1233" spans="2:3" x14ac:dyDescent="0.25">
      <c r="B1233" s="33" t="s">
        <v>2724</v>
      </c>
      <c r="C1233" s="33">
        <v>30</v>
      </c>
    </row>
    <row r="1234" spans="2:3" x14ac:dyDescent="0.25">
      <c r="B1234" s="33" t="s">
        <v>2725</v>
      </c>
      <c r="C1234" s="33">
        <v>30</v>
      </c>
    </row>
    <row r="1235" spans="2:3" x14ac:dyDescent="0.25">
      <c r="B1235" s="33" t="s">
        <v>2726</v>
      </c>
      <c r="C1235" s="33">
        <v>30</v>
      </c>
    </row>
    <row r="1236" spans="2:3" x14ac:dyDescent="0.25">
      <c r="B1236" s="33" t="s">
        <v>2727</v>
      </c>
      <c r="C1236" s="33">
        <v>30</v>
      </c>
    </row>
    <row r="1237" spans="2:3" x14ac:dyDescent="0.25">
      <c r="B1237" s="33" t="s">
        <v>2728</v>
      </c>
      <c r="C1237" s="33">
        <v>30</v>
      </c>
    </row>
    <row r="1238" spans="2:3" x14ac:dyDescent="0.25">
      <c r="B1238" s="33" t="s">
        <v>2729</v>
      </c>
      <c r="C1238" s="33">
        <v>30</v>
      </c>
    </row>
    <row r="1239" spans="2:3" x14ac:dyDescent="0.25">
      <c r="B1239" s="33" t="s">
        <v>2730</v>
      </c>
      <c r="C1239" s="33">
        <v>30</v>
      </c>
    </row>
    <row r="1240" spans="2:3" x14ac:dyDescent="0.25">
      <c r="B1240" s="33" t="s">
        <v>2731</v>
      </c>
      <c r="C1240" s="33">
        <v>30</v>
      </c>
    </row>
    <row r="1241" spans="2:3" x14ac:dyDescent="0.25">
      <c r="B1241" s="33" t="s">
        <v>2732</v>
      </c>
      <c r="C1241" s="33">
        <v>30</v>
      </c>
    </row>
    <row r="1242" spans="2:3" x14ac:dyDescent="0.25">
      <c r="B1242" s="33" t="s">
        <v>2733</v>
      </c>
      <c r="C1242" s="33">
        <v>30</v>
      </c>
    </row>
    <row r="1243" spans="2:3" x14ac:dyDescent="0.25">
      <c r="B1243" s="33" t="s">
        <v>2734</v>
      </c>
      <c r="C1243" s="33">
        <v>30</v>
      </c>
    </row>
    <row r="1244" spans="2:3" x14ac:dyDescent="0.25">
      <c r="B1244" s="33" t="s">
        <v>2735</v>
      </c>
      <c r="C1244" s="33">
        <v>30</v>
      </c>
    </row>
    <row r="1245" spans="2:3" x14ac:dyDescent="0.25">
      <c r="B1245" s="33" t="s">
        <v>2736</v>
      </c>
      <c r="C1245" s="33">
        <v>30</v>
      </c>
    </row>
    <row r="1246" spans="2:3" x14ac:dyDescent="0.25">
      <c r="B1246" s="33" t="s">
        <v>2737</v>
      </c>
      <c r="C1246" s="33">
        <v>30</v>
      </c>
    </row>
    <row r="1247" spans="2:3" x14ac:dyDescent="0.25">
      <c r="B1247" s="33" t="s">
        <v>2738</v>
      </c>
      <c r="C1247" s="33">
        <v>30</v>
      </c>
    </row>
    <row r="1248" spans="2:3" x14ac:dyDescent="0.25">
      <c r="B1248" s="33" t="s">
        <v>2739</v>
      </c>
      <c r="C1248" s="33">
        <v>30</v>
      </c>
    </row>
    <row r="1249" spans="2:3" x14ac:dyDescent="0.25">
      <c r="B1249" s="33" t="s">
        <v>2740</v>
      </c>
      <c r="C1249" s="33">
        <v>30</v>
      </c>
    </row>
    <row r="1250" spans="2:3" x14ac:dyDescent="0.25">
      <c r="B1250" s="33" t="s">
        <v>2741</v>
      </c>
      <c r="C1250" s="33">
        <v>30</v>
      </c>
    </row>
    <row r="1251" spans="2:3" x14ac:dyDescent="0.25">
      <c r="B1251" s="33" t="s">
        <v>2742</v>
      </c>
      <c r="C1251" s="33">
        <v>30</v>
      </c>
    </row>
    <row r="1252" spans="2:3" x14ac:dyDescent="0.25">
      <c r="B1252" s="33" t="s">
        <v>2743</v>
      </c>
      <c r="C1252" s="33">
        <v>30</v>
      </c>
    </row>
    <row r="1253" spans="2:3" x14ac:dyDescent="0.25">
      <c r="B1253" s="33" t="s">
        <v>2744</v>
      </c>
      <c r="C1253" s="33">
        <v>30</v>
      </c>
    </row>
    <row r="1254" spans="2:3" x14ac:dyDescent="0.25">
      <c r="B1254" s="33" t="s">
        <v>2745</v>
      </c>
      <c r="C1254" s="33">
        <v>30</v>
      </c>
    </row>
    <row r="1255" spans="2:3" x14ac:dyDescent="0.25">
      <c r="B1255" s="33" t="s">
        <v>2746</v>
      </c>
      <c r="C1255" s="33">
        <v>30</v>
      </c>
    </row>
    <row r="1256" spans="2:3" x14ac:dyDescent="0.25">
      <c r="B1256" s="33" t="s">
        <v>2747</v>
      </c>
      <c r="C1256" s="33">
        <v>30</v>
      </c>
    </row>
    <row r="1257" spans="2:3" x14ac:dyDescent="0.25">
      <c r="B1257" s="33" t="s">
        <v>2748</v>
      </c>
      <c r="C1257" s="33">
        <v>30</v>
      </c>
    </row>
    <row r="1258" spans="2:3" x14ac:dyDescent="0.25">
      <c r="B1258" s="33" t="s">
        <v>2749</v>
      </c>
      <c r="C1258" s="33">
        <v>30</v>
      </c>
    </row>
    <row r="1259" spans="2:3" x14ac:dyDescent="0.25">
      <c r="B1259" s="33" t="s">
        <v>2750</v>
      </c>
      <c r="C1259" s="33">
        <v>30</v>
      </c>
    </row>
    <row r="1260" spans="2:3" x14ac:dyDescent="0.25">
      <c r="B1260" s="33" t="s">
        <v>2751</v>
      </c>
      <c r="C1260" s="33">
        <v>30</v>
      </c>
    </row>
    <row r="1261" spans="2:3" x14ac:dyDescent="0.25">
      <c r="B1261" s="33" t="s">
        <v>2752</v>
      </c>
      <c r="C1261" s="33">
        <v>30</v>
      </c>
    </row>
    <row r="1262" spans="2:3" x14ac:dyDescent="0.25">
      <c r="B1262" s="33" t="s">
        <v>2753</v>
      </c>
      <c r="C1262" s="33">
        <v>30</v>
      </c>
    </row>
    <row r="1263" spans="2:3" x14ac:dyDescent="0.25">
      <c r="B1263" s="33" t="s">
        <v>2754</v>
      </c>
      <c r="C1263" s="33">
        <v>30</v>
      </c>
    </row>
    <row r="1264" spans="2:3" x14ac:dyDescent="0.25">
      <c r="B1264" s="33" t="s">
        <v>2755</v>
      </c>
      <c r="C1264" s="33">
        <v>30</v>
      </c>
    </row>
    <row r="1265" spans="2:3" x14ac:dyDescent="0.25">
      <c r="B1265" s="33" t="s">
        <v>2756</v>
      </c>
      <c r="C1265" s="33">
        <v>30</v>
      </c>
    </row>
    <row r="1266" spans="2:3" x14ac:dyDescent="0.25">
      <c r="B1266" s="33" t="s">
        <v>2757</v>
      </c>
      <c r="C1266" s="33">
        <v>30</v>
      </c>
    </row>
    <row r="1267" spans="2:3" x14ac:dyDescent="0.25">
      <c r="B1267" s="33" t="s">
        <v>2758</v>
      </c>
      <c r="C1267" s="33">
        <v>30</v>
      </c>
    </row>
    <row r="1268" spans="2:3" x14ac:dyDescent="0.25">
      <c r="B1268" s="33" t="s">
        <v>2759</v>
      </c>
      <c r="C1268" s="33">
        <v>30</v>
      </c>
    </row>
    <row r="1269" spans="2:3" x14ac:dyDescent="0.25">
      <c r="B1269" s="33" t="s">
        <v>2760</v>
      </c>
      <c r="C1269" s="33">
        <v>30</v>
      </c>
    </row>
    <row r="1270" spans="2:3" x14ac:dyDescent="0.25">
      <c r="B1270" s="33" t="s">
        <v>2761</v>
      </c>
      <c r="C1270" s="33">
        <v>30</v>
      </c>
    </row>
    <row r="1271" spans="2:3" x14ac:dyDescent="0.25">
      <c r="B1271" s="33" t="s">
        <v>2762</v>
      </c>
      <c r="C1271" s="33">
        <v>30</v>
      </c>
    </row>
    <row r="1272" spans="2:3" x14ac:dyDescent="0.25">
      <c r="B1272" s="33" t="s">
        <v>2763</v>
      </c>
      <c r="C1272" s="33">
        <v>30</v>
      </c>
    </row>
    <row r="1273" spans="2:3" x14ac:dyDescent="0.25">
      <c r="B1273" s="33" t="s">
        <v>2764</v>
      </c>
      <c r="C1273" s="33">
        <v>30</v>
      </c>
    </row>
    <row r="1274" spans="2:3" x14ac:dyDescent="0.25">
      <c r="B1274" s="33" t="s">
        <v>2765</v>
      </c>
      <c r="C1274" s="33">
        <v>30</v>
      </c>
    </row>
    <row r="1275" spans="2:3" x14ac:dyDescent="0.25">
      <c r="B1275" s="33" t="s">
        <v>2766</v>
      </c>
      <c r="C1275" s="33">
        <v>30</v>
      </c>
    </row>
    <row r="1276" spans="2:3" x14ac:dyDescent="0.25">
      <c r="B1276" s="33" t="s">
        <v>2767</v>
      </c>
      <c r="C1276" s="33">
        <v>30</v>
      </c>
    </row>
    <row r="1277" spans="2:3" x14ac:dyDescent="0.25">
      <c r="B1277" s="33" t="s">
        <v>2768</v>
      </c>
      <c r="C1277" s="33">
        <v>30</v>
      </c>
    </row>
    <row r="1278" spans="2:3" x14ac:dyDescent="0.25">
      <c r="B1278" s="33" t="s">
        <v>2769</v>
      </c>
      <c r="C1278" s="33">
        <v>30</v>
      </c>
    </row>
    <row r="1279" spans="2:3" x14ac:dyDescent="0.25">
      <c r="B1279" s="33" t="s">
        <v>2770</v>
      </c>
      <c r="C1279" s="33">
        <v>30</v>
      </c>
    </row>
    <row r="1280" spans="2:3" x14ac:dyDescent="0.25">
      <c r="B1280" s="33" t="s">
        <v>2771</v>
      </c>
      <c r="C1280" s="33">
        <v>30</v>
      </c>
    </row>
    <row r="1281" spans="2:3" x14ac:dyDescent="0.25">
      <c r="B1281" s="33" t="s">
        <v>2772</v>
      </c>
      <c r="C1281" s="33">
        <v>30</v>
      </c>
    </row>
    <row r="1282" spans="2:3" x14ac:dyDescent="0.25">
      <c r="B1282" s="33" t="s">
        <v>2773</v>
      </c>
      <c r="C1282" s="33">
        <v>30</v>
      </c>
    </row>
    <row r="1283" spans="2:3" x14ac:dyDescent="0.25">
      <c r="B1283" s="33" t="s">
        <v>2774</v>
      </c>
      <c r="C1283" s="33">
        <v>30</v>
      </c>
    </row>
    <row r="1284" spans="2:3" x14ac:dyDescent="0.25">
      <c r="B1284" s="33" t="s">
        <v>2775</v>
      </c>
      <c r="C1284" s="33">
        <v>30</v>
      </c>
    </row>
    <row r="1285" spans="2:3" x14ac:dyDescent="0.25">
      <c r="B1285" s="33" t="s">
        <v>2776</v>
      </c>
      <c r="C1285" s="33">
        <v>30</v>
      </c>
    </row>
    <row r="1286" spans="2:3" x14ac:dyDescent="0.25">
      <c r="B1286" s="33" t="s">
        <v>2777</v>
      </c>
      <c r="C1286" s="33">
        <v>30</v>
      </c>
    </row>
    <row r="1287" spans="2:3" x14ac:dyDescent="0.25">
      <c r="B1287" s="33" t="s">
        <v>2778</v>
      </c>
      <c r="C1287" s="33">
        <v>30</v>
      </c>
    </row>
    <row r="1288" spans="2:3" x14ac:dyDescent="0.25">
      <c r="B1288" s="33" t="s">
        <v>2779</v>
      </c>
      <c r="C1288" s="33">
        <v>30</v>
      </c>
    </row>
    <row r="1289" spans="2:3" x14ac:dyDescent="0.25">
      <c r="B1289" s="33" t="s">
        <v>2780</v>
      </c>
      <c r="C1289" s="33">
        <v>30</v>
      </c>
    </row>
    <row r="1290" spans="2:3" x14ac:dyDescent="0.25">
      <c r="B1290" s="33" t="s">
        <v>2781</v>
      </c>
      <c r="C1290" s="33">
        <v>30</v>
      </c>
    </row>
    <row r="1291" spans="2:3" x14ac:dyDescent="0.25">
      <c r="B1291" s="33" t="s">
        <v>2782</v>
      </c>
      <c r="C1291" s="33">
        <v>30</v>
      </c>
    </row>
    <row r="1292" spans="2:3" x14ac:dyDescent="0.25">
      <c r="B1292" s="33" t="s">
        <v>2783</v>
      </c>
      <c r="C1292" s="33">
        <v>30</v>
      </c>
    </row>
    <row r="1293" spans="2:3" x14ac:dyDescent="0.25">
      <c r="B1293" s="33" t="s">
        <v>2784</v>
      </c>
      <c r="C1293" s="33">
        <v>30</v>
      </c>
    </row>
    <row r="1294" spans="2:3" x14ac:dyDescent="0.25">
      <c r="B1294" s="33" t="s">
        <v>2785</v>
      </c>
      <c r="C1294" s="33">
        <v>30</v>
      </c>
    </row>
    <row r="1295" spans="2:3" x14ac:dyDescent="0.25">
      <c r="B1295" s="33" t="s">
        <v>2786</v>
      </c>
      <c r="C1295" s="33">
        <v>30</v>
      </c>
    </row>
    <row r="1296" spans="2:3" x14ac:dyDescent="0.25">
      <c r="B1296" s="33" t="s">
        <v>2787</v>
      </c>
      <c r="C1296" s="33">
        <v>30</v>
      </c>
    </row>
    <row r="1297" spans="2:3" x14ac:dyDescent="0.25">
      <c r="B1297" s="33" t="s">
        <v>2788</v>
      </c>
      <c r="C1297" s="33">
        <v>30</v>
      </c>
    </row>
    <row r="1298" spans="2:3" x14ac:dyDescent="0.25">
      <c r="B1298" s="33" t="s">
        <v>2789</v>
      </c>
      <c r="C1298" s="33">
        <v>30</v>
      </c>
    </row>
    <row r="1299" spans="2:3" x14ac:dyDescent="0.25">
      <c r="B1299" s="33" t="s">
        <v>2790</v>
      </c>
      <c r="C1299" s="33">
        <v>30</v>
      </c>
    </row>
    <row r="1300" spans="2:3" x14ac:dyDescent="0.25">
      <c r="B1300" s="33" t="s">
        <v>2791</v>
      </c>
      <c r="C1300" s="33">
        <v>30</v>
      </c>
    </row>
    <row r="1301" spans="2:3" x14ac:dyDescent="0.25">
      <c r="B1301" s="33" t="s">
        <v>2792</v>
      </c>
      <c r="C1301" s="33">
        <v>30</v>
      </c>
    </row>
    <row r="1302" spans="2:3" x14ac:dyDescent="0.25">
      <c r="B1302" s="33" t="s">
        <v>2793</v>
      </c>
      <c r="C1302" s="33">
        <v>30</v>
      </c>
    </row>
    <row r="1303" spans="2:3" x14ac:dyDescent="0.25">
      <c r="B1303" s="33" t="s">
        <v>2794</v>
      </c>
      <c r="C1303" s="33">
        <v>30</v>
      </c>
    </row>
    <row r="1304" spans="2:3" x14ac:dyDescent="0.25">
      <c r="B1304" s="33" t="s">
        <v>2795</v>
      </c>
      <c r="C1304" s="33">
        <v>30</v>
      </c>
    </row>
    <row r="1305" spans="2:3" x14ac:dyDescent="0.25">
      <c r="B1305" s="33" t="s">
        <v>2796</v>
      </c>
      <c r="C1305" s="33">
        <v>30</v>
      </c>
    </row>
    <row r="1306" spans="2:3" x14ac:dyDescent="0.25">
      <c r="B1306" s="33" t="s">
        <v>2797</v>
      </c>
      <c r="C1306" s="33">
        <v>30</v>
      </c>
    </row>
    <row r="1307" spans="2:3" x14ac:dyDescent="0.25">
      <c r="B1307" s="33" t="s">
        <v>2798</v>
      </c>
      <c r="C1307" s="33">
        <v>30</v>
      </c>
    </row>
    <row r="1308" spans="2:3" x14ac:dyDescent="0.25">
      <c r="B1308" s="33" t="s">
        <v>2799</v>
      </c>
      <c r="C1308" s="33">
        <v>30</v>
      </c>
    </row>
    <row r="1309" spans="2:3" x14ac:dyDescent="0.25">
      <c r="B1309" s="33" t="s">
        <v>2800</v>
      </c>
      <c r="C1309" s="33">
        <v>30</v>
      </c>
    </row>
    <row r="1310" spans="2:3" x14ac:dyDescent="0.25">
      <c r="B1310" s="33" t="s">
        <v>2801</v>
      </c>
      <c r="C1310" s="33">
        <v>30</v>
      </c>
    </row>
    <row r="1311" spans="2:3" x14ac:dyDescent="0.25">
      <c r="B1311" s="33" t="s">
        <v>2802</v>
      </c>
      <c r="C1311" s="33">
        <v>30</v>
      </c>
    </row>
    <row r="1312" spans="2:3" x14ac:dyDescent="0.25">
      <c r="B1312" s="33" t="s">
        <v>2803</v>
      </c>
      <c r="C1312" s="33">
        <v>30</v>
      </c>
    </row>
    <row r="1313" spans="2:3" x14ac:dyDescent="0.25">
      <c r="B1313" s="33" t="s">
        <v>2804</v>
      </c>
      <c r="C1313" s="33">
        <v>30</v>
      </c>
    </row>
    <row r="1314" spans="2:3" x14ac:dyDescent="0.25">
      <c r="B1314" s="33" t="s">
        <v>2805</v>
      </c>
      <c r="C1314" s="33">
        <v>30</v>
      </c>
    </row>
    <row r="1315" spans="2:3" x14ac:dyDescent="0.25">
      <c r="B1315" s="33" t="s">
        <v>2806</v>
      </c>
      <c r="C1315" s="33">
        <v>30</v>
      </c>
    </row>
    <row r="1316" spans="2:3" x14ac:dyDescent="0.25">
      <c r="B1316" s="33" t="s">
        <v>2807</v>
      </c>
      <c r="C1316" s="33">
        <v>30</v>
      </c>
    </row>
    <row r="1317" spans="2:3" x14ac:dyDescent="0.25">
      <c r="B1317" s="33" t="s">
        <v>2808</v>
      </c>
      <c r="C1317" s="33">
        <v>30</v>
      </c>
    </row>
    <row r="1318" spans="2:3" x14ac:dyDescent="0.25">
      <c r="B1318" s="33" t="s">
        <v>2809</v>
      </c>
      <c r="C1318" s="33">
        <v>30</v>
      </c>
    </row>
    <row r="1319" spans="2:3" x14ac:dyDescent="0.25">
      <c r="B1319" s="33" t="s">
        <v>2810</v>
      </c>
      <c r="C1319" s="33">
        <v>30</v>
      </c>
    </row>
    <row r="1320" spans="2:3" x14ac:dyDescent="0.25">
      <c r="B1320" s="33" t="s">
        <v>2811</v>
      </c>
      <c r="C1320" s="33">
        <v>30</v>
      </c>
    </row>
    <row r="1321" spans="2:3" x14ac:dyDescent="0.25">
      <c r="B1321" s="33" t="s">
        <v>2812</v>
      </c>
      <c r="C1321" s="33">
        <v>30</v>
      </c>
    </row>
    <row r="1322" spans="2:3" x14ac:dyDescent="0.25">
      <c r="B1322" s="33" t="s">
        <v>2813</v>
      </c>
      <c r="C1322" s="33">
        <v>30</v>
      </c>
    </row>
    <row r="1323" spans="2:3" x14ac:dyDescent="0.25">
      <c r="B1323" s="33" t="s">
        <v>2814</v>
      </c>
      <c r="C1323" s="33">
        <v>30</v>
      </c>
    </row>
    <row r="1324" spans="2:3" x14ac:dyDescent="0.25">
      <c r="B1324" s="33" t="s">
        <v>2815</v>
      </c>
      <c r="C1324" s="33">
        <v>30</v>
      </c>
    </row>
    <row r="1325" spans="2:3" x14ac:dyDescent="0.25">
      <c r="B1325" s="33" t="s">
        <v>2816</v>
      </c>
      <c r="C1325" s="33">
        <v>30</v>
      </c>
    </row>
    <row r="1326" spans="2:3" x14ac:dyDescent="0.25">
      <c r="B1326" s="33" t="s">
        <v>2817</v>
      </c>
      <c r="C1326" s="33">
        <v>30</v>
      </c>
    </row>
    <row r="1327" spans="2:3" x14ac:dyDescent="0.25">
      <c r="B1327" s="33" t="s">
        <v>2818</v>
      </c>
      <c r="C1327" s="33">
        <v>30</v>
      </c>
    </row>
    <row r="1328" spans="2:3" x14ac:dyDescent="0.25">
      <c r="B1328" s="33" t="s">
        <v>2819</v>
      </c>
      <c r="C1328" s="33">
        <v>30</v>
      </c>
    </row>
    <row r="1329" spans="2:3" x14ac:dyDescent="0.25">
      <c r="B1329" s="33" t="s">
        <v>2820</v>
      </c>
      <c r="C1329" s="33">
        <v>30</v>
      </c>
    </row>
    <row r="1330" spans="2:3" x14ac:dyDescent="0.25">
      <c r="B1330" s="33" t="s">
        <v>2821</v>
      </c>
      <c r="C1330" s="33">
        <v>30</v>
      </c>
    </row>
    <row r="1331" spans="2:3" x14ac:dyDescent="0.25">
      <c r="B1331" s="33" t="s">
        <v>2822</v>
      </c>
      <c r="C1331" s="33">
        <v>30</v>
      </c>
    </row>
    <row r="1332" spans="2:3" x14ac:dyDescent="0.25">
      <c r="B1332" s="33" t="s">
        <v>2823</v>
      </c>
      <c r="C1332" s="33">
        <v>30</v>
      </c>
    </row>
    <row r="1333" spans="2:3" x14ac:dyDescent="0.25">
      <c r="B1333" s="33" t="s">
        <v>2824</v>
      </c>
      <c r="C1333" s="33">
        <v>30</v>
      </c>
    </row>
    <row r="1334" spans="2:3" x14ac:dyDescent="0.25">
      <c r="B1334" s="33" t="s">
        <v>2825</v>
      </c>
      <c r="C1334" s="33">
        <v>30</v>
      </c>
    </row>
    <row r="1335" spans="2:3" x14ac:dyDescent="0.25">
      <c r="B1335" s="33" t="s">
        <v>2826</v>
      </c>
      <c r="C1335" s="33">
        <v>30</v>
      </c>
    </row>
    <row r="1336" spans="2:3" x14ac:dyDescent="0.25">
      <c r="B1336" s="33" t="s">
        <v>2827</v>
      </c>
      <c r="C1336" s="33">
        <v>30</v>
      </c>
    </row>
    <row r="1337" spans="2:3" x14ac:dyDescent="0.25">
      <c r="B1337" s="33" t="s">
        <v>2828</v>
      </c>
      <c r="C1337" s="33">
        <v>30</v>
      </c>
    </row>
    <row r="1338" spans="2:3" x14ac:dyDescent="0.25">
      <c r="B1338" s="33" t="s">
        <v>2829</v>
      </c>
      <c r="C1338" s="33">
        <v>30</v>
      </c>
    </row>
    <row r="1339" spans="2:3" x14ac:dyDescent="0.25">
      <c r="B1339" s="33" t="s">
        <v>2830</v>
      </c>
      <c r="C1339" s="33">
        <v>30</v>
      </c>
    </row>
    <row r="1340" spans="2:3" x14ac:dyDescent="0.25">
      <c r="B1340" s="33" t="s">
        <v>2831</v>
      </c>
      <c r="C1340" s="33">
        <v>30</v>
      </c>
    </row>
    <row r="1341" spans="2:3" x14ac:dyDescent="0.25">
      <c r="B1341" s="33" t="s">
        <v>2832</v>
      </c>
      <c r="C1341" s="33">
        <v>30</v>
      </c>
    </row>
    <row r="1342" spans="2:3" x14ac:dyDescent="0.25">
      <c r="B1342" s="33" t="s">
        <v>2833</v>
      </c>
      <c r="C1342" s="33">
        <v>30</v>
      </c>
    </row>
    <row r="1343" spans="2:3" x14ac:dyDescent="0.25">
      <c r="B1343" s="33" t="s">
        <v>2834</v>
      </c>
      <c r="C1343" s="33">
        <v>30</v>
      </c>
    </row>
    <row r="1344" spans="2:3" x14ac:dyDescent="0.25">
      <c r="B1344" s="33" t="s">
        <v>2835</v>
      </c>
      <c r="C1344" s="33">
        <v>30</v>
      </c>
    </row>
    <row r="1345" spans="2:3" x14ac:dyDescent="0.25">
      <c r="B1345" s="33" t="s">
        <v>2836</v>
      </c>
      <c r="C1345" s="33">
        <v>30</v>
      </c>
    </row>
    <row r="1346" spans="2:3" x14ac:dyDescent="0.25">
      <c r="B1346" s="33" t="s">
        <v>2837</v>
      </c>
      <c r="C1346" s="33">
        <v>30</v>
      </c>
    </row>
    <row r="1347" spans="2:3" x14ac:dyDescent="0.25">
      <c r="B1347" s="33" t="s">
        <v>2838</v>
      </c>
      <c r="C1347" s="33">
        <v>30</v>
      </c>
    </row>
    <row r="1348" spans="2:3" x14ac:dyDescent="0.25">
      <c r="B1348" s="33" t="s">
        <v>2839</v>
      </c>
      <c r="C1348" s="33">
        <v>30</v>
      </c>
    </row>
    <row r="1349" spans="2:3" x14ac:dyDescent="0.25">
      <c r="B1349" s="33" t="s">
        <v>2840</v>
      </c>
      <c r="C1349" s="33">
        <v>30</v>
      </c>
    </row>
    <row r="1350" spans="2:3" x14ac:dyDescent="0.25">
      <c r="B1350" s="33" t="s">
        <v>2841</v>
      </c>
      <c r="C1350" s="33">
        <v>30</v>
      </c>
    </row>
    <row r="1351" spans="2:3" x14ac:dyDescent="0.25">
      <c r="B1351" s="33" t="s">
        <v>2842</v>
      </c>
      <c r="C1351" s="33">
        <v>30</v>
      </c>
    </row>
    <row r="1352" spans="2:3" x14ac:dyDescent="0.25">
      <c r="B1352" s="33" t="s">
        <v>2843</v>
      </c>
      <c r="C1352" s="33">
        <v>30</v>
      </c>
    </row>
    <row r="1353" spans="2:3" x14ac:dyDescent="0.25">
      <c r="B1353" s="33" t="s">
        <v>2844</v>
      </c>
      <c r="C1353" s="33">
        <v>30</v>
      </c>
    </row>
    <row r="1354" spans="2:3" x14ac:dyDescent="0.25">
      <c r="B1354" s="33" t="s">
        <v>2845</v>
      </c>
      <c r="C1354" s="33">
        <v>30</v>
      </c>
    </row>
    <row r="1355" spans="2:3" x14ac:dyDescent="0.25">
      <c r="B1355" s="33" t="s">
        <v>2846</v>
      </c>
      <c r="C1355" s="33">
        <v>30</v>
      </c>
    </row>
    <row r="1356" spans="2:3" x14ac:dyDescent="0.25">
      <c r="B1356" s="33" t="s">
        <v>2847</v>
      </c>
      <c r="C1356" s="33">
        <v>30</v>
      </c>
    </row>
    <row r="1357" spans="2:3" x14ac:dyDescent="0.25">
      <c r="B1357" s="33" t="s">
        <v>2848</v>
      </c>
      <c r="C1357" s="33">
        <v>30</v>
      </c>
    </row>
    <row r="1358" spans="2:3" x14ac:dyDescent="0.25">
      <c r="B1358" s="33" t="s">
        <v>2849</v>
      </c>
      <c r="C1358" s="33">
        <v>30</v>
      </c>
    </row>
    <row r="1359" spans="2:3" x14ac:dyDescent="0.25">
      <c r="B1359" s="33" t="s">
        <v>2850</v>
      </c>
      <c r="C1359" s="33">
        <v>30</v>
      </c>
    </row>
    <row r="1360" spans="2:3" x14ac:dyDescent="0.25">
      <c r="B1360" s="33" t="s">
        <v>2851</v>
      </c>
      <c r="C1360" s="33">
        <v>30</v>
      </c>
    </row>
    <row r="1361" spans="2:3" x14ac:dyDescent="0.25">
      <c r="B1361" s="33" t="s">
        <v>2852</v>
      </c>
      <c r="C1361" s="33">
        <v>30</v>
      </c>
    </row>
    <row r="1362" spans="2:3" x14ac:dyDescent="0.25">
      <c r="B1362" s="33" t="s">
        <v>2853</v>
      </c>
      <c r="C1362" s="33">
        <v>30</v>
      </c>
    </row>
    <row r="1363" spans="2:3" x14ac:dyDescent="0.25">
      <c r="B1363" s="33" t="s">
        <v>2854</v>
      </c>
      <c r="C1363" s="33">
        <v>30</v>
      </c>
    </row>
    <row r="1364" spans="2:3" x14ac:dyDescent="0.25">
      <c r="B1364" s="33" t="s">
        <v>2855</v>
      </c>
      <c r="C1364" s="33">
        <v>30</v>
      </c>
    </row>
    <row r="1365" spans="2:3" x14ac:dyDescent="0.25">
      <c r="B1365" s="33" t="s">
        <v>2856</v>
      </c>
      <c r="C1365" s="33">
        <v>30</v>
      </c>
    </row>
    <row r="1366" spans="2:3" x14ac:dyDescent="0.25">
      <c r="B1366" s="33" t="s">
        <v>2857</v>
      </c>
      <c r="C1366" s="33">
        <v>30</v>
      </c>
    </row>
    <row r="1367" spans="2:3" x14ac:dyDescent="0.25">
      <c r="B1367" s="33" t="s">
        <v>2858</v>
      </c>
      <c r="C1367" s="33">
        <v>30</v>
      </c>
    </row>
    <row r="1368" spans="2:3" x14ac:dyDescent="0.25">
      <c r="B1368" s="33" t="s">
        <v>2859</v>
      </c>
      <c r="C1368" s="33">
        <v>30</v>
      </c>
    </row>
    <row r="1369" spans="2:3" x14ac:dyDescent="0.25">
      <c r="B1369" s="33" t="s">
        <v>2860</v>
      </c>
      <c r="C1369" s="33">
        <v>30</v>
      </c>
    </row>
    <row r="1370" spans="2:3" x14ac:dyDescent="0.25">
      <c r="B1370" s="33" t="s">
        <v>2861</v>
      </c>
      <c r="C1370" s="33">
        <v>30</v>
      </c>
    </row>
    <row r="1371" spans="2:3" x14ac:dyDescent="0.25">
      <c r="B1371" s="33" t="s">
        <v>2862</v>
      </c>
      <c r="C1371" s="33">
        <v>30</v>
      </c>
    </row>
    <row r="1372" spans="2:3" x14ac:dyDescent="0.25">
      <c r="B1372" s="33" t="s">
        <v>2863</v>
      </c>
      <c r="C1372" s="33">
        <v>30</v>
      </c>
    </row>
    <row r="1373" spans="2:3" x14ac:dyDescent="0.25">
      <c r="B1373" s="33" t="s">
        <v>2864</v>
      </c>
      <c r="C1373" s="33">
        <v>30</v>
      </c>
    </row>
    <row r="1374" spans="2:3" x14ac:dyDescent="0.25">
      <c r="B1374" s="33" t="s">
        <v>2865</v>
      </c>
      <c r="C1374" s="33">
        <v>30</v>
      </c>
    </row>
    <row r="1375" spans="2:3" x14ac:dyDescent="0.25">
      <c r="B1375" s="33" t="s">
        <v>2866</v>
      </c>
      <c r="C1375" s="33">
        <v>30</v>
      </c>
    </row>
    <row r="1376" spans="2:3" x14ac:dyDescent="0.25">
      <c r="B1376" s="33" t="s">
        <v>2867</v>
      </c>
      <c r="C1376" s="33">
        <v>30</v>
      </c>
    </row>
    <row r="1377" spans="2:3" x14ac:dyDescent="0.25">
      <c r="B1377" s="33" t="s">
        <v>2868</v>
      </c>
      <c r="C1377" s="33">
        <v>30</v>
      </c>
    </row>
    <row r="1378" spans="2:3" x14ac:dyDescent="0.25">
      <c r="B1378" s="33" t="s">
        <v>2869</v>
      </c>
      <c r="C1378" s="33">
        <v>30</v>
      </c>
    </row>
    <row r="1379" spans="2:3" x14ac:dyDescent="0.25">
      <c r="B1379" s="33" t="s">
        <v>2870</v>
      </c>
      <c r="C1379" s="33">
        <v>30</v>
      </c>
    </row>
    <row r="1380" spans="2:3" x14ac:dyDescent="0.25">
      <c r="B1380" s="33" t="s">
        <v>2871</v>
      </c>
      <c r="C1380" s="33">
        <v>30</v>
      </c>
    </row>
    <row r="1381" spans="2:3" x14ac:dyDescent="0.25">
      <c r="B1381" s="33" t="s">
        <v>2872</v>
      </c>
      <c r="C1381" s="33">
        <v>30</v>
      </c>
    </row>
    <row r="1382" spans="2:3" x14ac:dyDescent="0.25">
      <c r="B1382" s="33" t="s">
        <v>2873</v>
      </c>
      <c r="C1382" s="33">
        <v>30</v>
      </c>
    </row>
    <row r="1383" spans="2:3" x14ac:dyDescent="0.25">
      <c r="B1383" s="33" t="s">
        <v>2874</v>
      </c>
      <c r="C1383" s="33">
        <v>30</v>
      </c>
    </row>
    <row r="1384" spans="2:3" x14ac:dyDescent="0.25">
      <c r="B1384" s="33" t="s">
        <v>2875</v>
      </c>
      <c r="C1384" s="33">
        <v>30</v>
      </c>
    </row>
    <row r="1385" spans="2:3" x14ac:dyDescent="0.25">
      <c r="B1385" s="33" t="s">
        <v>2876</v>
      </c>
      <c r="C1385" s="33">
        <v>30</v>
      </c>
    </row>
    <row r="1386" spans="2:3" x14ac:dyDescent="0.25">
      <c r="B1386" s="33" t="s">
        <v>2877</v>
      </c>
      <c r="C1386" s="33">
        <v>30</v>
      </c>
    </row>
    <row r="1387" spans="2:3" x14ac:dyDescent="0.25">
      <c r="B1387" s="33" t="s">
        <v>2878</v>
      </c>
      <c r="C1387" s="33">
        <v>30</v>
      </c>
    </row>
    <row r="1388" spans="2:3" x14ac:dyDescent="0.25">
      <c r="B1388" s="33" t="s">
        <v>2879</v>
      </c>
      <c r="C1388" s="33">
        <v>30</v>
      </c>
    </row>
    <row r="1389" spans="2:3" x14ac:dyDescent="0.25">
      <c r="B1389" s="33" t="s">
        <v>2880</v>
      </c>
      <c r="C1389" s="33">
        <v>30</v>
      </c>
    </row>
    <row r="1390" spans="2:3" x14ac:dyDescent="0.25">
      <c r="B1390" s="33" t="s">
        <v>2881</v>
      </c>
      <c r="C1390" s="33">
        <v>30</v>
      </c>
    </row>
    <row r="1391" spans="2:3" x14ac:dyDescent="0.25">
      <c r="B1391" s="33" t="s">
        <v>2882</v>
      </c>
      <c r="C1391" s="33">
        <v>30</v>
      </c>
    </row>
    <row r="1392" spans="2:3" x14ac:dyDescent="0.25">
      <c r="B1392" s="33" t="s">
        <v>2883</v>
      </c>
      <c r="C1392" s="33">
        <v>30</v>
      </c>
    </row>
    <row r="1393" spans="2:3" x14ac:dyDescent="0.25">
      <c r="B1393" s="33" t="s">
        <v>2884</v>
      </c>
      <c r="C1393" s="33">
        <v>30</v>
      </c>
    </row>
    <row r="1394" spans="2:3" x14ac:dyDescent="0.25">
      <c r="B1394" s="33" t="s">
        <v>2885</v>
      </c>
      <c r="C1394" s="33">
        <v>30</v>
      </c>
    </row>
    <row r="1395" spans="2:3" x14ac:dyDescent="0.25">
      <c r="B1395" s="33" t="s">
        <v>2886</v>
      </c>
      <c r="C1395" s="33">
        <v>30</v>
      </c>
    </row>
    <row r="1396" spans="2:3" x14ac:dyDescent="0.25">
      <c r="B1396" s="33" t="s">
        <v>2887</v>
      </c>
      <c r="C1396" s="33">
        <v>30</v>
      </c>
    </row>
    <row r="1397" spans="2:3" x14ac:dyDescent="0.25">
      <c r="B1397" s="33" t="s">
        <v>2888</v>
      </c>
      <c r="C1397" s="33">
        <v>30</v>
      </c>
    </row>
    <row r="1398" spans="2:3" x14ac:dyDescent="0.25">
      <c r="B1398" s="33" t="s">
        <v>2889</v>
      </c>
      <c r="C1398" s="33">
        <v>30</v>
      </c>
    </row>
    <row r="1399" spans="2:3" x14ac:dyDescent="0.25">
      <c r="B1399" s="33" t="s">
        <v>2890</v>
      </c>
      <c r="C1399" s="33">
        <v>30</v>
      </c>
    </row>
    <row r="1400" spans="2:3" x14ac:dyDescent="0.25">
      <c r="B1400" s="33" t="s">
        <v>2891</v>
      </c>
      <c r="C1400" s="33">
        <v>30</v>
      </c>
    </row>
    <row r="1401" spans="2:3" x14ac:dyDescent="0.25">
      <c r="B1401" s="33" t="s">
        <v>2892</v>
      </c>
      <c r="C1401" s="33">
        <v>30</v>
      </c>
    </row>
    <row r="1402" spans="2:3" x14ac:dyDescent="0.25">
      <c r="B1402" s="33" t="s">
        <v>2893</v>
      </c>
      <c r="C1402" s="33">
        <v>30</v>
      </c>
    </row>
    <row r="1403" spans="2:3" x14ac:dyDescent="0.25">
      <c r="B1403" s="33" t="s">
        <v>2894</v>
      </c>
      <c r="C1403" s="33">
        <v>30</v>
      </c>
    </row>
    <row r="1404" spans="2:3" x14ac:dyDescent="0.25">
      <c r="B1404" s="33" t="s">
        <v>2895</v>
      </c>
      <c r="C1404" s="33">
        <v>30</v>
      </c>
    </row>
    <row r="1405" spans="2:3" x14ac:dyDescent="0.25">
      <c r="B1405" s="33" t="s">
        <v>2896</v>
      </c>
      <c r="C1405" s="33">
        <v>30</v>
      </c>
    </row>
    <row r="1406" spans="2:3" x14ac:dyDescent="0.25">
      <c r="B1406" s="33" t="s">
        <v>2897</v>
      </c>
      <c r="C1406" s="33">
        <v>30</v>
      </c>
    </row>
    <row r="1407" spans="2:3" x14ac:dyDescent="0.25">
      <c r="B1407" s="33" t="s">
        <v>2898</v>
      </c>
      <c r="C1407" s="33">
        <v>30</v>
      </c>
    </row>
    <row r="1408" spans="2:3" x14ac:dyDescent="0.25">
      <c r="B1408" s="33" t="s">
        <v>2899</v>
      </c>
      <c r="C1408" s="33">
        <v>30</v>
      </c>
    </row>
    <row r="1409" spans="2:3" x14ac:dyDescent="0.25">
      <c r="B1409" s="33" t="s">
        <v>2900</v>
      </c>
      <c r="C1409" s="33">
        <v>30</v>
      </c>
    </row>
    <row r="1410" spans="2:3" x14ac:dyDescent="0.25">
      <c r="B1410" s="33" t="s">
        <v>2901</v>
      </c>
      <c r="C1410" s="33">
        <v>30</v>
      </c>
    </row>
    <row r="1411" spans="2:3" x14ac:dyDescent="0.25">
      <c r="B1411" s="33" t="s">
        <v>2902</v>
      </c>
      <c r="C1411" s="33">
        <v>30</v>
      </c>
    </row>
    <row r="1412" spans="2:3" x14ac:dyDescent="0.25">
      <c r="B1412" s="33" t="s">
        <v>2903</v>
      </c>
      <c r="C1412" s="33">
        <v>30</v>
      </c>
    </row>
    <row r="1413" spans="2:3" x14ac:dyDescent="0.25">
      <c r="B1413" s="33" t="s">
        <v>2904</v>
      </c>
      <c r="C1413" s="33">
        <v>30</v>
      </c>
    </row>
    <row r="1414" spans="2:3" x14ac:dyDescent="0.25">
      <c r="B1414" s="33" t="s">
        <v>2905</v>
      </c>
      <c r="C1414" s="33">
        <v>30</v>
      </c>
    </row>
    <row r="1415" spans="2:3" x14ac:dyDescent="0.25">
      <c r="B1415" s="33" t="s">
        <v>2906</v>
      </c>
      <c r="C1415" s="33">
        <v>30</v>
      </c>
    </row>
    <row r="1416" spans="2:3" x14ac:dyDescent="0.25">
      <c r="B1416" s="33" t="s">
        <v>2907</v>
      </c>
      <c r="C1416" s="33">
        <v>30</v>
      </c>
    </row>
    <row r="1417" spans="2:3" x14ac:dyDescent="0.25">
      <c r="B1417" s="33" t="s">
        <v>2908</v>
      </c>
      <c r="C1417" s="33">
        <v>30</v>
      </c>
    </row>
    <row r="1418" spans="2:3" x14ac:dyDescent="0.25">
      <c r="B1418" s="33" t="s">
        <v>2909</v>
      </c>
      <c r="C1418" s="33">
        <v>30</v>
      </c>
    </row>
    <row r="1419" spans="2:3" x14ac:dyDescent="0.25">
      <c r="B1419" s="33" t="s">
        <v>2910</v>
      </c>
      <c r="C1419" s="33">
        <v>30</v>
      </c>
    </row>
    <row r="1420" spans="2:3" x14ac:dyDescent="0.25">
      <c r="B1420" s="33" t="s">
        <v>2911</v>
      </c>
      <c r="C1420" s="33">
        <v>30</v>
      </c>
    </row>
    <row r="1421" spans="2:3" x14ac:dyDescent="0.25">
      <c r="B1421" s="33" t="s">
        <v>2912</v>
      </c>
      <c r="C1421" s="33">
        <v>30</v>
      </c>
    </row>
    <row r="1422" spans="2:3" x14ac:dyDescent="0.25">
      <c r="B1422" s="33" t="s">
        <v>2913</v>
      </c>
      <c r="C1422" s="33">
        <v>30</v>
      </c>
    </row>
    <row r="1423" spans="2:3" x14ac:dyDescent="0.25">
      <c r="B1423" s="33" t="s">
        <v>2914</v>
      </c>
      <c r="C1423" s="33">
        <v>30</v>
      </c>
    </row>
    <row r="1424" spans="2:3" x14ac:dyDescent="0.25">
      <c r="B1424" s="33" t="s">
        <v>2915</v>
      </c>
      <c r="C1424" s="33">
        <v>30</v>
      </c>
    </row>
    <row r="1425" spans="2:3" x14ac:dyDescent="0.25">
      <c r="B1425" s="33" t="s">
        <v>2916</v>
      </c>
      <c r="C1425" s="33">
        <v>30</v>
      </c>
    </row>
    <row r="1426" spans="2:3" x14ac:dyDescent="0.25">
      <c r="B1426" s="33" t="s">
        <v>2917</v>
      </c>
      <c r="C1426" s="33">
        <v>30</v>
      </c>
    </row>
    <row r="1427" spans="2:3" x14ac:dyDescent="0.25">
      <c r="B1427" s="33" t="s">
        <v>2918</v>
      </c>
      <c r="C1427" s="33">
        <v>30</v>
      </c>
    </row>
    <row r="1428" spans="2:3" x14ac:dyDescent="0.25">
      <c r="B1428" s="33" t="s">
        <v>2919</v>
      </c>
      <c r="C1428" s="33">
        <v>30</v>
      </c>
    </row>
    <row r="1429" spans="2:3" x14ac:dyDescent="0.25">
      <c r="B1429" s="33" t="s">
        <v>2920</v>
      </c>
      <c r="C1429" s="33">
        <v>30</v>
      </c>
    </row>
    <row r="1430" spans="2:3" x14ac:dyDescent="0.25">
      <c r="B1430" s="33" t="s">
        <v>2921</v>
      </c>
      <c r="C1430" s="33">
        <v>30</v>
      </c>
    </row>
    <row r="1431" spans="2:3" x14ac:dyDescent="0.25">
      <c r="B1431" s="33" t="s">
        <v>2922</v>
      </c>
      <c r="C1431" s="33">
        <v>30</v>
      </c>
    </row>
    <row r="1432" spans="2:3" x14ac:dyDescent="0.25">
      <c r="B1432" s="33" t="s">
        <v>2923</v>
      </c>
      <c r="C1432" s="33">
        <v>30</v>
      </c>
    </row>
    <row r="1433" spans="2:3" x14ac:dyDescent="0.25">
      <c r="B1433" s="33" t="s">
        <v>2924</v>
      </c>
      <c r="C1433" s="33">
        <v>30</v>
      </c>
    </row>
    <row r="1434" spans="2:3" x14ac:dyDescent="0.25">
      <c r="B1434" s="33" t="s">
        <v>2925</v>
      </c>
      <c r="C1434" s="33">
        <v>30</v>
      </c>
    </row>
    <row r="1435" spans="2:3" x14ac:dyDescent="0.25">
      <c r="B1435" s="33" t="s">
        <v>2926</v>
      </c>
      <c r="C1435" s="33">
        <v>30</v>
      </c>
    </row>
    <row r="1436" spans="2:3" x14ac:dyDescent="0.25">
      <c r="B1436" s="33" t="s">
        <v>2927</v>
      </c>
      <c r="C1436" s="33">
        <v>30</v>
      </c>
    </row>
    <row r="1437" spans="2:3" x14ac:dyDescent="0.25">
      <c r="B1437" s="33" t="s">
        <v>2928</v>
      </c>
      <c r="C1437" s="33">
        <v>30</v>
      </c>
    </row>
    <row r="1438" spans="2:3" x14ac:dyDescent="0.25">
      <c r="B1438" s="33" t="s">
        <v>2929</v>
      </c>
      <c r="C1438" s="33">
        <v>30</v>
      </c>
    </row>
    <row r="1439" spans="2:3" x14ac:dyDescent="0.25">
      <c r="B1439" s="33" t="s">
        <v>2930</v>
      </c>
      <c r="C1439" s="33">
        <v>30</v>
      </c>
    </row>
    <row r="1440" spans="2:3" x14ac:dyDescent="0.25">
      <c r="B1440" s="33" t="s">
        <v>2931</v>
      </c>
      <c r="C1440" s="33">
        <v>30</v>
      </c>
    </row>
    <row r="1441" spans="2:3" x14ac:dyDescent="0.25">
      <c r="B1441" s="33" t="s">
        <v>2932</v>
      </c>
      <c r="C1441" s="33">
        <v>30</v>
      </c>
    </row>
    <row r="1442" spans="2:3" x14ac:dyDescent="0.25">
      <c r="B1442" s="33" t="s">
        <v>2933</v>
      </c>
      <c r="C1442" s="33">
        <v>30</v>
      </c>
    </row>
    <row r="1443" spans="2:3" x14ac:dyDescent="0.25">
      <c r="B1443" s="33" t="s">
        <v>2934</v>
      </c>
      <c r="C1443" s="33">
        <v>30</v>
      </c>
    </row>
    <row r="1444" spans="2:3" x14ac:dyDescent="0.25">
      <c r="B1444" s="33" t="s">
        <v>2935</v>
      </c>
      <c r="C1444" s="33">
        <v>30</v>
      </c>
    </row>
    <row r="1445" spans="2:3" x14ac:dyDescent="0.25">
      <c r="B1445" s="33" t="s">
        <v>2936</v>
      </c>
      <c r="C1445" s="33">
        <v>30</v>
      </c>
    </row>
    <row r="1446" spans="2:3" x14ac:dyDescent="0.25">
      <c r="B1446" s="33" t="s">
        <v>2937</v>
      </c>
      <c r="C1446" s="33">
        <v>30</v>
      </c>
    </row>
    <row r="1447" spans="2:3" x14ac:dyDescent="0.25">
      <c r="B1447" s="33" t="s">
        <v>2938</v>
      </c>
      <c r="C1447" s="33">
        <v>30</v>
      </c>
    </row>
    <row r="1448" spans="2:3" x14ac:dyDescent="0.25">
      <c r="B1448" s="33" t="s">
        <v>2939</v>
      </c>
      <c r="C1448" s="33">
        <v>30</v>
      </c>
    </row>
    <row r="1449" spans="2:3" x14ac:dyDescent="0.25">
      <c r="B1449" s="33" t="s">
        <v>2940</v>
      </c>
      <c r="C1449" s="33">
        <v>30</v>
      </c>
    </row>
    <row r="1450" spans="2:3" x14ac:dyDescent="0.25">
      <c r="B1450" s="33" t="s">
        <v>2941</v>
      </c>
      <c r="C1450" s="33">
        <v>30</v>
      </c>
    </row>
    <row r="1451" spans="2:3" x14ac:dyDescent="0.25">
      <c r="B1451" s="33" t="s">
        <v>2942</v>
      </c>
      <c r="C1451" s="33">
        <v>30</v>
      </c>
    </row>
    <row r="1452" spans="2:3" x14ac:dyDescent="0.25">
      <c r="B1452" s="33" t="s">
        <v>2943</v>
      </c>
      <c r="C1452" s="33">
        <v>30</v>
      </c>
    </row>
    <row r="1453" spans="2:3" x14ac:dyDescent="0.25">
      <c r="B1453" s="33" t="s">
        <v>2944</v>
      </c>
      <c r="C1453" s="33">
        <v>30</v>
      </c>
    </row>
    <row r="1454" spans="2:3" x14ac:dyDescent="0.25">
      <c r="B1454" s="33" t="s">
        <v>2945</v>
      </c>
      <c r="C1454" s="33">
        <v>30</v>
      </c>
    </row>
    <row r="1455" spans="2:3" x14ac:dyDescent="0.25">
      <c r="B1455" s="33" t="s">
        <v>2946</v>
      </c>
      <c r="C1455" s="33">
        <v>30</v>
      </c>
    </row>
    <row r="1456" spans="2:3" x14ac:dyDescent="0.25">
      <c r="B1456" s="33" t="s">
        <v>2947</v>
      </c>
      <c r="C1456" s="33">
        <v>30</v>
      </c>
    </row>
    <row r="1457" spans="2:3" x14ac:dyDescent="0.25">
      <c r="B1457" s="33" t="s">
        <v>2948</v>
      </c>
      <c r="C1457" s="33">
        <v>30</v>
      </c>
    </row>
    <row r="1458" spans="2:3" x14ac:dyDescent="0.25">
      <c r="B1458" s="33" t="s">
        <v>2949</v>
      </c>
      <c r="C1458" s="33">
        <v>30</v>
      </c>
    </row>
    <row r="1459" spans="2:3" x14ac:dyDescent="0.25">
      <c r="B1459" s="33" t="s">
        <v>2950</v>
      </c>
      <c r="C1459" s="33">
        <v>30</v>
      </c>
    </row>
    <row r="1460" spans="2:3" x14ac:dyDescent="0.25">
      <c r="B1460" s="33" t="s">
        <v>2951</v>
      </c>
      <c r="C1460" s="33">
        <v>30</v>
      </c>
    </row>
    <row r="1461" spans="2:3" x14ac:dyDescent="0.25">
      <c r="B1461" s="33" t="s">
        <v>2952</v>
      </c>
      <c r="C1461" s="33">
        <v>30</v>
      </c>
    </row>
    <row r="1462" spans="2:3" x14ac:dyDescent="0.25">
      <c r="B1462" s="33" t="s">
        <v>2953</v>
      </c>
      <c r="C1462" s="33">
        <v>30</v>
      </c>
    </row>
    <row r="1463" spans="2:3" x14ac:dyDescent="0.25">
      <c r="B1463" s="33" t="s">
        <v>2954</v>
      </c>
      <c r="C1463" s="33">
        <v>30</v>
      </c>
    </row>
    <row r="1464" spans="2:3" x14ac:dyDescent="0.25">
      <c r="B1464" s="33" t="s">
        <v>2955</v>
      </c>
      <c r="C1464" s="33">
        <v>30</v>
      </c>
    </row>
    <row r="1465" spans="2:3" x14ac:dyDescent="0.25">
      <c r="B1465" s="33" t="s">
        <v>2956</v>
      </c>
      <c r="C1465" s="33">
        <v>30</v>
      </c>
    </row>
    <row r="1466" spans="2:3" x14ac:dyDescent="0.25">
      <c r="B1466" s="33" t="s">
        <v>2957</v>
      </c>
      <c r="C1466" s="33">
        <v>30</v>
      </c>
    </row>
    <row r="1467" spans="2:3" x14ac:dyDescent="0.25">
      <c r="B1467" s="33" t="s">
        <v>2958</v>
      </c>
      <c r="C1467" s="33">
        <v>30</v>
      </c>
    </row>
    <row r="1468" spans="2:3" x14ac:dyDescent="0.25">
      <c r="B1468" s="33" t="s">
        <v>2959</v>
      </c>
      <c r="C1468" s="33">
        <v>30</v>
      </c>
    </row>
    <row r="1469" spans="2:3" x14ac:dyDescent="0.25">
      <c r="B1469" s="33" t="s">
        <v>2960</v>
      </c>
      <c r="C1469" s="33">
        <v>30</v>
      </c>
    </row>
    <row r="1470" spans="2:3" x14ac:dyDescent="0.25">
      <c r="B1470" s="33" t="s">
        <v>2961</v>
      </c>
      <c r="C1470" s="33">
        <v>30</v>
      </c>
    </row>
    <row r="1471" spans="2:3" x14ac:dyDescent="0.25">
      <c r="B1471" s="33" t="s">
        <v>2962</v>
      </c>
      <c r="C1471" s="33">
        <v>30</v>
      </c>
    </row>
    <row r="1472" spans="2:3" x14ac:dyDescent="0.25">
      <c r="B1472" s="33" t="s">
        <v>2963</v>
      </c>
      <c r="C1472" s="33">
        <v>30</v>
      </c>
    </row>
    <row r="1473" spans="2:3" x14ac:dyDescent="0.25">
      <c r="B1473" s="33" t="s">
        <v>2964</v>
      </c>
      <c r="C1473" s="33">
        <v>30</v>
      </c>
    </row>
    <row r="1474" spans="2:3" x14ac:dyDescent="0.25">
      <c r="B1474" s="33" t="s">
        <v>2965</v>
      </c>
      <c r="C1474" s="33">
        <v>30</v>
      </c>
    </row>
    <row r="1475" spans="2:3" x14ac:dyDescent="0.25">
      <c r="B1475" s="33" t="s">
        <v>2966</v>
      </c>
      <c r="C1475" s="33">
        <v>30</v>
      </c>
    </row>
    <row r="1476" spans="2:3" x14ac:dyDescent="0.25">
      <c r="B1476" s="33" t="s">
        <v>2967</v>
      </c>
      <c r="C1476" s="33">
        <v>30</v>
      </c>
    </row>
    <row r="1477" spans="2:3" x14ac:dyDescent="0.25">
      <c r="B1477" s="33" t="s">
        <v>2968</v>
      </c>
      <c r="C1477" s="33">
        <v>30</v>
      </c>
    </row>
    <row r="1478" spans="2:3" x14ac:dyDescent="0.25">
      <c r="B1478" s="33" t="s">
        <v>2969</v>
      </c>
      <c r="C1478" s="33">
        <v>30</v>
      </c>
    </row>
    <row r="1479" spans="2:3" x14ac:dyDescent="0.25">
      <c r="B1479" s="33" t="s">
        <v>2970</v>
      </c>
      <c r="C1479" s="33">
        <v>30</v>
      </c>
    </row>
    <row r="1480" spans="2:3" x14ac:dyDescent="0.25">
      <c r="B1480" s="33" t="s">
        <v>2971</v>
      </c>
      <c r="C1480" s="33">
        <v>30</v>
      </c>
    </row>
    <row r="1481" spans="2:3" x14ac:dyDescent="0.25">
      <c r="B1481" s="33" t="s">
        <v>2972</v>
      </c>
      <c r="C1481" s="33">
        <v>30</v>
      </c>
    </row>
    <row r="1482" spans="2:3" x14ac:dyDescent="0.25">
      <c r="B1482" s="33" t="s">
        <v>2973</v>
      </c>
      <c r="C1482" s="33">
        <v>30</v>
      </c>
    </row>
    <row r="1483" spans="2:3" x14ac:dyDescent="0.25">
      <c r="B1483" s="33" t="s">
        <v>2974</v>
      </c>
      <c r="C1483" s="33">
        <v>30</v>
      </c>
    </row>
    <row r="1484" spans="2:3" x14ac:dyDescent="0.25">
      <c r="B1484" s="33" t="s">
        <v>2975</v>
      </c>
      <c r="C1484" s="33">
        <v>30</v>
      </c>
    </row>
    <row r="1485" spans="2:3" x14ac:dyDescent="0.25">
      <c r="B1485" s="33" t="s">
        <v>2976</v>
      </c>
      <c r="C1485" s="33">
        <v>30</v>
      </c>
    </row>
    <row r="1486" spans="2:3" x14ac:dyDescent="0.25">
      <c r="B1486" s="33" t="s">
        <v>2977</v>
      </c>
      <c r="C1486" s="33">
        <v>30</v>
      </c>
    </row>
    <row r="1487" spans="2:3" x14ac:dyDescent="0.25">
      <c r="B1487" s="33" t="s">
        <v>2978</v>
      </c>
      <c r="C1487" s="33">
        <v>30</v>
      </c>
    </row>
    <row r="1488" spans="2:3" x14ac:dyDescent="0.25">
      <c r="B1488" s="33" t="s">
        <v>2979</v>
      </c>
      <c r="C1488" s="33">
        <v>30</v>
      </c>
    </row>
    <row r="1489" spans="2:3" x14ac:dyDescent="0.25">
      <c r="B1489" s="33" t="s">
        <v>2980</v>
      </c>
      <c r="C1489" s="33">
        <v>30</v>
      </c>
    </row>
    <row r="1490" spans="2:3" x14ac:dyDescent="0.25">
      <c r="B1490" s="33" t="s">
        <v>2981</v>
      </c>
      <c r="C1490" s="33">
        <v>30</v>
      </c>
    </row>
    <row r="1491" spans="2:3" x14ac:dyDescent="0.25">
      <c r="B1491" s="33" t="s">
        <v>2982</v>
      </c>
      <c r="C1491" s="33">
        <v>30</v>
      </c>
    </row>
    <row r="1492" spans="2:3" x14ac:dyDescent="0.25">
      <c r="B1492" s="33" t="s">
        <v>2983</v>
      </c>
      <c r="C1492" s="33">
        <v>30</v>
      </c>
    </row>
    <row r="1493" spans="2:3" x14ac:dyDescent="0.25">
      <c r="B1493" s="33" t="s">
        <v>2984</v>
      </c>
      <c r="C1493" s="33">
        <v>30</v>
      </c>
    </row>
    <row r="1494" spans="2:3" x14ac:dyDescent="0.25">
      <c r="B1494" s="33" t="s">
        <v>2985</v>
      </c>
      <c r="C1494" s="33">
        <v>30</v>
      </c>
    </row>
    <row r="1495" spans="2:3" x14ac:dyDescent="0.25">
      <c r="B1495" s="33" t="s">
        <v>2986</v>
      </c>
      <c r="C1495" s="33">
        <v>30</v>
      </c>
    </row>
    <row r="1496" spans="2:3" x14ac:dyDescent="0.25">
      <c r="B1496" s="33" t="s">
        <v>2987</v>
      </c>
      <c r="C1496" s="33">
        <v>30</v>
      </c>
    </row>
    <row r="1497" spans="2:3" x14ac:dyDescent="0.25">
      <c r="B1497" s="33" t="s">
        <v>2988</v>
      </c>
      <c r="C1497" s="33">
        <v>30</v>
      </c>
    </row>
    <row r="1498" spans="2:3" x14ac:dyDescent="0.25">
      <c r="B1498" s="33" t="s">
        <v>2989</v>
      </c>
      <c r="C1498" s="33">
        <v>30</v>
      </c>
    </row>
    <row r="1499" spans="2:3" x14ac:dyDescent="0.25">
      <c r="B1499" s="33" t="s">
        <v>2990</v>
      </c>
      <c r="C1499" s="33">
        <v>30</v>
      </c>
    </row>
    <row r="1500" spans="2:3" x14ac:dyDescent="0.25">
      <c r="B1500" s="33" t="s">
        <v>2991</v>
      </c>
      <c r="C1500" s="33">
        <v>30</v>
      </c>
    </row>
    <row r="1501" spans="2:3" x14ac:dyDescent="0.25">
      <c r="B1501" s="33" t="s">
        <v>2992</v>
      </c>
      <c r="C1501" s="33">
        <v>30</v>
      </c>
    </row>
    <row r="1502" spans="2:3" x14ac:dyDescent="0.25">
      <c r="B1502" s="33" t="s">
        <v>2993</v>
      </c>
      <c r="C1502" s="33">
        <v>30</v>
      </c>
    </row>
    <row r="1503" spans="2:3" x14ac:dyDescent="0.25">
      <c r="B1503" s="33" t="s">
        <v>2994</v>
      </c>
      <c r="C1503" s="33">
        <v>30</v>
      </c>
    </row>
    <row r="1504" spans="2:3" x14ac:dyDescent="0.25">
      <c r="B1504" s="33" t="s">
        <v>2995</v>
      </c>
      <c r="C1504" s="33">
        <v>30</v>
      </c>
    </row>
    <row r="1505" spans="2:3" x14ac:dyDescent="0.25">
      <c r="B1505" s="33" t="s">
        <v>2996</v>
      </c>
      <c r="C1505" s="33">
        <v>30</v>
      </c>
    </row>
    <row r="1506" spans="2:3" x14ac:dyDescent="0.25">
      <c r="B1506" s="33" t="s">
        <v>2997</v>
      </c>
      <c r="C1506" s="33">
        <v>30</v>
      </c>
    </row>
    <row r="1507" spans="2:3" x14ac:dyDescent="0.25">
      <c r="B1507" s="33" t="s">
        <v>2998</v>
      </c>
      <c r="C1507" s="33">
        <v>30</v>
      </c>
    </row>
    <row r="1508" spans="2:3" x14ac:dyDescent="0.25">
      <c r="B1508" s="33" t="s">
        <v>2999</v>
      </c>
      <c r="C1508" s="33">
        <v>30</v>
      </c>
    </row>
    <row r="1509" spans="2:3" x14ac:dyDescent="0.25">
      <c r="B1509" s="33" t="s">
        <v>3000</v>
      </c>
      <c r="C1509" s="33">
        <v>30</v>
      </c>
    </row>
    <row r="1510" spans="2:3" x14ac:dyDescent="0.25">
      <c r="B1510" s="33" t="s">
        <v>3001</v>
      </c>
      <c r="C1510" s="33">
        <v>30</v>
      </c>
    </row>
    <row r="1511" spans="2:3" x14ac:dyDescent="0.25">
      <c r="B1511" s="33" t="s">
        <v>3002</v>
      </c>
      <c r="C1511" s="33">
        <v>30</v>
      </c>
    </row>
    <row r="1512" spans="2:3" x14ac:dyDescent="0.25">
      <c r="B1512" s="33" t="s">
        <v>3003</v>
      </c>
      <c r="C1512" s="33">
        <v>30</v>
      </c>
    </row>
    <row r="1513" spans="2:3" x14ac:dyDescent="0.25">
      <c r="B1513" s="33" t="s">
        <v>3004</v>
      </c>
      <c r="C1513" s="33">
        <v>30</v>
      </c>
    </row>
    <row r="1514" spans="2:3" x14ac:dyDescent="0.25">
      <c r="B1514" s="33" t="s">
        <v>3005</v>
      </c>
      <c r="C1514" s="33">
        <v>30</v>
      </c>
    </row>
    <row r="1515" spans="2:3" x14ac:dyDescent="0.25">
      <c r="B1515" s="33" t="s">
        <v>3006</v>
      </c>
      <c r="C1515" s="33">
        <v>30</v>
      </c>
    </row>
    <row r="1516" spans="2:3" x14ac:dyDescent="0.25">
      <c r="B1516" s="33" t="s">
        <v>3007</v>
      </c>
      <c r="C1516" s="33">
        <v>30</v>
      </c>
    </row>
    <row r="1517" spans="2:3" x14ac:dyDescent="0.25">
      <c r="B1517" s="33" t="s">
        <v>3008</v>
      </c>
      <c r="C1517" s="33">
        <v>30</v>
      </c>
    </row>
    <row r="1518" spans="2:3" x14ac:dyDescent="0.25">
      <c r="B1518" s="33" t="s">
        <v>3009</v>
      </c>
      <c r="C1518" s="33">
        <v>30</v>
      </c>
    </row>
    <row r="1519" spans="2:3" x14ac:dyDescent="0.25">
      <c r="B1519" s="33" t="s">
        <v>3010</v>
      </c>
      <c r="C1519" s="33">
        <v>30</v>
      </c>
    </row>
    <row r="1520" spans="2:3" x14ac:dyDescent="0.25">
      <c r="B1520" s="33" t="s">
        <v>3011</v>
      </c>
      <c r="C1520" s="33">
        <v>30</v>
      </c>
    </row>
    <row r="1521" spans="2:3" x14ac:dyDescent="0.25">
      <c r="B1521" s="33" t="s">
        <v>3012</v>
      </c>
      <c r="C1521" s="33">
        <v>30</v>
      </c>
    </row>
    <row r="1522" spans="2:3" x14ac:dyDescent="0.25">
      <c r="B1522" s="33" t="s">
        <v>3013</v>
      </c>
      <c r="C1522" s="33">
        <v>30</v>
      </c>
    </row>
    <row r="1523" spans="2:3" x14ac:dyDescent="0.25">
      <c r="B1523" s="33" t="s">
        <v>3014</v>
      </c>
      <c r="C1523" s="33">
        <v>30</v>
      </c>
    </row>
    <row r="1524" spans="2:3" x14ac:dyDescent="0.25">
      <c r="B1524" s="33" t="s">
        <v>3015</v>
      </c>
      <c r="C1524" s="33">
        <v>30</v>
      </c>
    </row>
    <row r="1525" spans="2:3" x14ac:dyDescent="0.25">
      <c r="B1525" s="33" t="s">
        <v>3016</v>
      </c>
      <c r="C1525" s="33">
        <v>30</v>
      </c>
    </row>
    <row r="1526" spans="2:3" x14ac:dyDescent="0.25">
      <c r="B1526" s="33" t="s">
        <v>3017</v>
      </c>
      <c r="C1526" s="33">
        <v>30</v>
      </c>
    </row>
    <row r="1527" spans="2:3" x14ac:dyDescent="0.25">
      <c r="B1527" s="33" t="s">
        <v>3018</v>
      </c>
      <c r="C1527" s="33">
        <v>30</v>
      </c>
    </row>
    <row r="1528" spans="2:3" x14ac:dyDescent="0.25">
      <c r="B1528" s="33" t="s">
        <v>3019</v>
      </c>
      <c r="C1528" s="33">
        <v>30</v>
      </c>
    </row>
    <row r="1529" spans="2:3" x14ac:dyDescent="0.25">
      <c r="B1529" s="33" t="s">
        <v>3020</v>
      </c>
      <c r="C1529" s="33">
        <v>30</v>
      </c>
    </row>
    <row r="1530" spans="2:3" x14ac:dyDescent="0.25">
      <c r="B1530" s="33" t="s">
        <v>3021</v>
      </c>
      <c r="C1530" s="33">
        <v>30</v>
      </c>
    </row>
    <row r="1531" spans="2:3" x14ac:dyDescent="0.25">
      <c r="B1531" s="33" t="s">
        <v>3022</v>
      </c>
      <c r="C1531" s="33">
        <v>30</v>
      </c>
    </row>
    <row r="1532" spans="2:3" x14ac:dyDescent="0.25">
      <c r="B1532" s="33" t="s">
        <v>3023</v>
      </c>
      <c r="C1532" s="33">
        <v>30</v>
      </c>
    </row>
    <row r="1533" spans="2:3" x14ac:dyDescent="0.25">
      <c r="B1533" s="33" t="s">
        <v>3024</v>
      </c>
      <c r="C1533" s="33">
        <v>30</v>
      </c>
    </row>
    <row r="1534" spans="2:3" x14ac:dyDescent="0.25">
      <c r="B1534" s="33" t="s">
        <v>3025</v>
      </c>
      <c r="C1534" s="33">
        <v>30</v>
      </c>
    </row>
    <row r="1535" spans="2:3" x14ac:dyDescent="0.25">
      <c r="B1535" s="33" t="s">
        <v>3026</v>
      </c>
      <c r="C1535" s="33">
        <v>30</v>
      </c>
    </row>
    <row r="1536" spans="2:3" x14ac:dyDescent="0.25">
      <c r="B1536" s="33" t="s">
        <v>3027</v>
      </c>
      <c r="C1536" s="33">
        <v>30</v>
      </c>
    </row>
    <row r="1537" spans="2:3" x14ac:dyDescent="0.25">
      <c r="B1537" s="33" t="s">
        <v>3028</v>
      </c>
      <c r="C1537" s="33">
        <v>30</v>
      </c>
    </row>
    <row r="1538" spans="2:3" x14ac:dyDescent="0.25">
      <c r="B1538" s="33" t="s">
        <v>3029</v>
      </c>
      <c r="C1538" s="33">
        <v>30</v>
      </c>
    </row>
    <row r="1539" spans="2:3" x14ac:dyDescent="0.25">
      <c r="B1539" s="33" t="s">
        <v>3030</v>
      </c>
      <c r="C1539" s="33">
        <v>30</v>
      </c>
    </row>
    <row r="1540" spans="2:3" x14ac:dyDescent="0.25">
      <c r="B1540" s="33" t="s">
        <v>3031</v>
      </c>
      <c r="C1540" s="33">
        <v>30</v>
      </c>
    </row>
    <row r="1541" spans="2:3" x14ac:dyDescent="0.25">
      <c r="B1541" s="33" t="s">
        <v>3032</v>
      </c>
      <c r="C1541" s="33">
        <v>30</v>
      </c>
    </row>
    <row r="1542" spans="2:3" x14ac:dyDescent="0.25">
      <c r="B1542" s="33" t="s">
        <v>3033</v>
      </c>
      <c r="C1542" s="33">
        <v>30</v>
      </c>
    </row>
    <row r="1543" spans="2:3" x14ac:dyDescent="0.25">
      <c r="B1543" s="33" t="s">
        <v>3034</v>
      </c>
      <c r="C1543" s="33">
        <v>30</v>
      </c>
    </row>
    <row r="1544" spans="2:3" x14ac:dyDescent="0.25">
      <c r="B1544" s="33" t="s">
        <v>3035</v>
      </c>
      <c r="C1544" s="33">
        <v>30</v>
      </c>
    </row>
    <row r="1545" spans="2:3" x14ac:dyDescent="0.25">
      <c r="B1545" s="33" t="s">
        <v>3036</v>
      </c>
      <c r="C1545" s="33">
        <v>30</v>
      </c>
    </row>
    <row r="1546" spans="2:3" x14ac:dyDescent="0.25">
      <c r="B1546" s="33" t="s">
        <v>3037</v>
      </c>
      <c r="C1546" s="33">
        <v>30</v>
      </c>
    </row>
    <row r="1547" spans="2:3" x14ac:dyDescent="0.25">
      <c r="B1547" s="33" t="s">
        <v>3038</v>
      </c>
      <c r="C1547" s="33">
        <v>30</v>
      </c>
    </row>
    <row r="1548" spans="2:3" x14ac:dyDescent="0.25">
      <c r="B1548" s="33" t="s">
        <v>3039</v>
      </c>
      <c r="C1548" s="33">
        <v>30</v>
      </c>
    </row>
    <row r="1549" spans="2:3" x14ac:dyDescent="0.25">
      <c r="B1549" s="33" t="s">
        <v>3040</v>
      </c>
      <c r="C1549" s="33">
        <v>30</v>
      </c>
    </row>
    <row r="1550" spans="2:3" x14ac:dyDescent="0.25">
      <c r="B1550" s="33" t="s">
        <v>3041</v>
      </c>
      <c r="C1550" s="33">
        <v>30</v>
      </c>
    </row>
    <row r="1551" spans="2:3" x14ac:dyDescent="0.25">
      <c r="B1551" s="33" t="s">
        <v>3042</v>
      </c>
      <c r="C1551" s="33">
        <v>30</v>
      </c>
    </row>
    <row r="1552" spans="2:3" x14ac:dyDescent="0.25">
      <c r="B1552" s="33" t="s">
        <v>3043</v>
      </c>
      <c r="C1552" s="33">
        <v>30</v>
      </c>
    </row>
    <row r="1553" spans="2:3" x14ac:dyDescent="0.25">
      <c r="B1553" s="33" t="s">
        <v>3044</v>
      </c>
      <c r="C1553" s="33">
        <v>30</v>
      </c>
    </row>
    <row r="1554" spans="2:3" x14ac:dyDescent="0.25">
      <c r="B1554" s="33" t="s">
        <v>3045</v>
      </c>
      <c r="C1554" s="33">
        <v>30</v>
      </c>
    </row>
    <row r="1555" spans="2:3" x14ac:dyDescent="0.25">
      <c r="B1555" s="33" t="s">
        <v>3046</v>
      </c>
      <c r="C1555" s="33">
        <v>30</v>
      </c>
    </row>
    <row r="1556" spans="2:3" x14ac:dyDescent="0.25">
      <c r="B1556" s="33" t="s">
        <v>3047</v>
      </c>
      <c r="C1556" s="33">
        <v>30</v>
      </c>
    </row>
    <row r="1557" spans="2:3" x14ac:dyDescent="0.25">
      <c r="B1557" s="33" t="s">
        <v>3048</v>
      </c>
      <c r="C1557" s="33">
        <v>30</v>
      </c>
    </row>
    <row r="1558" spans="2:3" x14ac:dyDescent="0.25">
      <c r="B1558" s="33" t="s">
        <v>3049</v>
      </c>
      <c r="C1558" s="33">
        <v>30</v>
      </c>
    </row>
    <row r="1559" spans="2:3" x14ac:dyDescent="0.25">
      <c r="B1559" s="33" t="s">
        <v>3050</v>
      </c>
      <c r="C1559" s="33">
        <v>30</v>
      </c>
    </row>
    <row r="1560" spans="2:3" x14ac:dyDescent="0.25">
      <c r="B1560" s="33" t="s">
        <v>3051</v>
      </c>
      <c r="C1560" s="33">
        <v>30</v>
      </c>
    </row>
    <row r="1561" spans="2:3" x14ac:dyDescent="0.25">
      <c r="B1561" s="33" t="s">
        <v>3052</v>
      </c>
      <c r="C1561" s="33">
        <v>30</v>
      </c>
    </row>
    <row r="1562" spans="2:3" x14ac:dyDescent="0.25">
      <c r="B1562" s="33" t="s">
        <v>3053</v>
      </c>
      <c r="C1562" s="33">
        <v>30</v>
      </c>
    </row>
    <row r="1563" spans="2:3" x14ac:dyDescent="0.25">
      <c r="B1563" s="33" t="s">
        <v>3054</v>
      </c>
      <c r="C1563" s="33">
        <v>30</v>
      </c>
    </row>
    <row r="1564" spans="2:3" x14ac:dyDescent="0.25">
      <c r="B1564" s="33" t="s">
        <v>3055</v>
      </c>
      <c r="C1564" s="33">
        <v>30</v>
      </c>
    </row>
    <row r="1565" spans="2:3" x14ac:dyDescent="0.25">
      <c r="B1565" s="33" t="s">
        <v>3056</v>
      </c>
      <c r="C1565" s="33">
        <v>30</v>
      </c>
    </row>
    <row r="1566" spans="2:3" x14ac:dyDescent="0.25">
      <c r="B1566" s="33" t="s">
        <v>3057</v>
      </c>
      <c r="C1566" s="33">
        <v>30</v>
      </c>
    </row>
    <row r="1567" spans="2:3" x14ac:dyDescent="0.25">
      <c r="B1567" s="33" t="s">
        <v>3058</v>
      </c>
      <c r="C1567" s="33">
        <v>30</v>
      </c>
    </row>
    <row r="1568" spans="2:3" x14ac:dyDescent="0.25">
      <c r="B1568" s="33" t="s">
        <v>3059</v>
      </c>
      <c r="C1568" s="33">
        <v>30</v>
      </c>
    </row>
    <row r="1569" spans="2:3" x14ac:dyDescent="0.25">
      <c r="B1569" s="33" t="s">
        <v>3060</v>
      </c>
      <c r="C1569" s="33">
        <v>30</v>
      </c>
    </row>
    <row r="1570" spans="2:3" x14ac:dyDescent="0.25">
      <c r="B1570" s="33" t="s">
        <v>3061</v>
      </c>
      <c r="C1570" s="33">
        <v>30</v>
      </c>
    </row>
    <row r="1571" spans="2:3" x14ac:dyDescent="0.25">
      <c r="B1571" s="33" t="s">
        <v>3062</v>
      </c>
      <c r="C1571" s="33">
        <v>30</v>
      </c>
    </row>
    <row r="1572" spans="2:3" x14ac:dyDescent="0.25">
      <c r="B1572" s="33" t="s">
        <v>3063</v>
      </c>
      <c r="C1572" s="33">
        <v>30</v>
      </c>
    </row>
    <row r="1573" spans="2:3" x14ac:dyDescent="0.25">
      <c r="B1573" s="33" t="s">
        <v>3064</v>
      </c>
      <c r="C1573" s="33">
        <v>30</v>
      </c>
    </row>
    <row r="1574" spans="2:3" x14ac:dyDescent="0.25">
      <c r="B1574" s="33" t="s">
        <v>3065</v>
      </c>
      <c r="C1574" s="33">
        <v>30</v>
      </c>
    </row>
    <row r="1575" spans="2:3" x14ac:dyDescent="0.25">
      <c r="B1575" s="33" t="s">
        <v>3066</v>
      </c>
      <c r="C1575" s="33">
        <v>30</v>
      </c>
    </row>
    <row r="1576" spans="2:3" x14ac:dyDescent="0.25">
      <c r="B1576" s="33" t="s">
        <v>3067</v>
      </c>
      <c r="C1576" s="33">
        <v>30</v>
      </c>
    </row>
    <row r="1577" spans="2:3" x14ac:dyDescent="0.25">
      <c r="B1577" s="33" t="s">
        <v>3068</v>
      </c>
      <c r="C1577" s="33">
        <v>30</v>
      </c>
    </row>
    <row r="1578" spans="2:3" x14ac:dyDescent="0.25">
      <c r="B1578" s="33" t="s">
        <v>3069</v>
      </c>
      <c r="C1578" s="33">
        <v>30</v>
      </c>
    </row>
    <row r="1579" spans="2:3" x14ac:dyDescent="0.25">
      <c r="B1579" s="33" t="s">
        <v>3070</v>
      </c>
      <c r="C1579" s="33">
        <v>30</v>
      </c>
    </row>
    <row r="1580" spans="2:3" x14ac:dyDescent="0.25">
      <c r="B1580" s="33" t="s">
        <v>3071</v>
      </c>
      <c r="C1580" s="33">
        <v>30</v>
      </c>
    </row>
    <row r="1581" spans="2:3" x14ac:dyDescent="0.25">
      <c r="B1581" s="33" t="s">
        <v>3072</v>
      </c>
      <c r="C1581" s="33">
        <v>30</v>
      </c>
    </row>
    <row r="1582" spans="2:3" x14ac:dyDescent="0.25">
      <c r="B1582" s="33" t="s">
        <v>3073</v>
      </c>
      <c r="C1582" s="33">
        <v>30</v>
      </c>
    </row>
    <row r="1583" spans="2:3" x14ac:dyDescent="0.25">
      <c r="B1583" s="33" t="s">
        <v>3074</v>
      </c>
      <c r="C1583" s="33">
        <v>30</v>
      </c>
    </row>
    <row r="1584" spans="2:3" x14ac:dyDescent="0.25">
      <c r="B1584" s="33" t="s">
        <v>3075</v>
      </c>
      <c r="C1584" s="33">
        <v>30</v>
      </c>
    </row>
    <row r="1585" spans="2:3" x14ac:dyDescent="0.25">
      <c r="B1585" s="33" t="s">
        <v>3076</v>
      </c>
      <c r="C1585" s="33">
        <v>30</v>
      </c>
    </row>
    <row r="1586" spans="2:3" x14ac:dyDescent="0.25">
      <c r="B1586" s="33" t="s">
        <v>3077</v>
      </c>
      <c r="C1586" s="33">
        <v>30</v>
      </c>
    </row>
    <row r="1587" spans="2:3" x14ac:dyDescent="0.25">
      <c r="B1587" s="33" t="s">
        <v>3078</v>
      </c>
      <c r="C1587" s="33">
        <v>30</v>
      </c>
    </row>
    <row r="1588" spans="2:3" x14ac:dyDescent="0.25">
      <c r="B1588" s="33" t="s">
        <v>3079</v>
      </c>
      <c r="C1588" s="33">
        <v>30</v>
      </c>
    </row>
    <row r="1589" spans="2:3" x14ac:dyDescent="0.25">
      <c r="B1589" s="33" t="s">
        <v>3080</v>
      </c>
      <c r="C1589" s="33">
        <v>30</v>
      </c>
    </row>
    <row r="1590" spans="2:3" x14ac:dyDescent="0.25">
      <c r="B1590" s="33" t="s">
        <v>3081</v>
      </c>
      <c r="C1590" s="33">
        <v>30</v>
      </c>
    </row>
    <row r="1591" spans="2:3" x14ac:dyDescent="0.25">
      <c r="B1591" s="33" t="s">
        <v>3082</v>
      </c>
      <c r="C1591" s="33">
        <v>30</v>
      </c>
    </row>
    <row r="1592" spans="2:3" x14ac:dyDescent="0.25">
      <c r="B1592" s="33" t="s">
        <v>3083</v>
      </c>
      <c r="C1592" s="33">
        <v>30</v>
      </c>
    </row>
    <row r="1593" spans="2:3" x14ac:dyDescent="0.25">
      <c r="B1593" s="33" t="s">
        <v>3084</v>
      </c>
      <c r="C1593" s="33">
        <v>30</v>
      </c>
    </row>
    <row r="1594" spans="2:3" x14ac:dyDescent="0.25">
      <c r="B1594" s="33" t="s">
        <v>3085</v>
      </c>
      <c r="C1594" s="33">
        <v>30</v>
      </c>
    </row>
    <row r="1595" spans="2:3" x14ac:dyDescent="0.25">
      <c r="B1595" s="33" t="s">
        <v>3086</v>
      </c>
      <c r="C1595" s="33">
        <v>30</v>
      </c>
    </row>
    <row r="1596" spans="2:3" x14ac:dyDescent="0.25">
      <c r="B1596" s="33" t="s">
        <v>3087</v>
      </c>
      <c r="C1596" s="33">
        <v>30</v>
      </c>
    </row>
    <row r="1597" spans="2:3" x14ac:dyDescent="0.25">
      <c r="B1597" s="33" t="s">
        <v>3088</v>
      </c>
      <c r="C1597" s="33">
        <v>30</v>
      </c>
    </row>
    <row r="1598" spans="2:3" x14ac:dyDescent="0.25">
      <c r="B1598" s="33" t="s">
        <v>3089</v>
      </c>
      <c r="C1598" s="33">
        <v>30</v>
      </c>
    </row>
    <row r="1599" spans="2:3" x14ac:dyDescent="0.25">
      <c r="B1599" s="33" t="s">
        <v>3090</v>
      </c>
      <c r="C1599" s="33">
        <v>30</v>
      </c>
    </row>
    <row r="1600" spans="2:3" x14ac:dyDescent="0.25">
      <c r="B1600" s="33" t="s">
        <v>3091</v>
      </c>
      <c r="C1600" s="33">
        <v>30</v>
      </c>
    </row>
    <row r="1601" spans="2:3" x14ac:dyDescent="0.25">
      <c r="B1601" s="33" t="s">
        <v>3092</v>
      </c>
      <c r="C1601" s="33">
        <v>30</v>
      </c>
    </row>
    <row r="1602" spans="2:3" x14ac:dyDescent="0.25">
      <c r="B1602" s="33" t="s">
        <v>3093</v>
      </c>
      <c r="C1602" s="33">
        <v>30</v>
      </c>
    </row>
    <row r="1603" spans="2:3" x14ac:dyDescent="0.25">
      <c r="B1603" s="33" t="s">
        <v>3094</v>
      </c>
      <c r="C1603" s="33">
        <v>30</v>
      </c>
    </row>
    <row r="1604" spans="2:3" x14ac:dyDescent="0.25">
      <c r="B1604" s="33" t="s">
        <v>3095</v>
      </c>
      <c r="C1604" s="33">
        <v>30</v>
      </c>
    </row>
    <row r="1605" spans="2:3" x14ac:dyDescent="0.25">
      <c r="B1605" s="33" t="s">
        <v>3096</v>
      </c>
      <c r="C1605" s="33">
        <v>30</v>
      </c>
    </row>
    <row r="1606" spans="2:3" x14ac:dyDescent="0.25">
      <c r="B1606" s="33" t="s">
        <v>3097</v>
      </c>
      <c r="C1606" s="33">
        <v>30</v>
      </c>
    </row>
    <row r="1607" spans="2:3" x14ac:dyDescent="0.25">
      <c r="B1607" s="33" t="s">
        <v>3098</v>
      </c>
      <c r="C1607" s="33">
        <v>30</v>
      </c>
    </row>
    <row r="1608" spans="2:3" x14ac:dyDescent="0.25">
      <c r="B1608" s="33" t="s">
        <v>3099</v>
      </c>
      <c r="C1608" s="33">
        <v>30</v>
      </c>
    </row>
    <row r="1609" spans="2:3" x14ac:dyDescent="0.25">
      <c r="B1609" s="33" t="s">
        <v>3100</v>
      </c>
      <c r="C1609" s="33">
        <v>30</v>
      </c>
    </row>
    <row r="1610" spans="2:3" x14ac:dyDescent="0.25">
      <c r="B1610" s="33" t="s">
        <v>3101</v>
      </c>
      <c r="C1610" s="33">
        <v>30</v>
      </c>
    </row>
    <row r="1611" spans="2:3" x14ac:dyDescent="0.25">
      <c r="B1611" s="33" t="s">
        <v>3102</v>
      </c>
      <c r="C1611" s="33">
        <v>30</v>
      </c>
    </row>
    <row r="1612" spans="2:3" x14ac:dyDescent="0.25">
      <c r="B1612" s="33" t="s">
        <v>3103</v>
      </c>
      <c r="C1612" s="33">
        <v>30</v>
      </c>
    </row>
    <row r="1613" spans="2:3" x14ac:dyDescent="0.25">
      <c r="B1613" s="33" t="s">
        <v>3104</v>
      </c>
      <c r="C1613" s="33">
        <v>30</v>
      </c>
    </row>
    <row r="1614" spans="2:3" x14ac:dyDescent="0.25">
      <c r="B1614" s="33" t="s">
        <v>3105</v>
      </c>
      <c r="C1614" s="33">
        <v>30</v>
      </c>
    </row>
    <row r="1615" spans="2:3" x14ac:dyDescent="0.25">
      <c r="B1615" s="33" t="s">
        <v>3106</v>
      </c>
      <c r="C1615" s="33">
        <v>30</v>
      </c>
    </row>
    <row r="1616" spans="2:3" x14ac:dyDescent="0.25">
      <c r="B1616" s="33" t="s">
        <v>3107</v>
      </c>
      <c r="C1616" s="33">
        <v>30</v>
      </c>
    </row>
    <row r="1617" spans="2:3" x14ac:dyDescent="0.25">
      <c r="B1617" s="33" t="s">
        <v>3108</v>
      </c>
      <c r="C1617" s="33">
        <v>30</v>
      </c>
    </row>
    <row r="1618" spans="2:3" x14ac:dyDescent="0.25">
      <c r="B1618" s="33" t="s">
        <v>3109</v>
      </c>
      <c r="C1618" s="33">
        <v>30</v>
      </c>
    </row>
    <row r="1619" spans="2:3" x14ac:dyDescent="0.25">
      <c r="B1619" s="33" t="s">
        <v>3110</v>
      </c>
      <c r="C1619" s="33">
        <v>30</v>
      </c>
    </row>
    <row r="1620" spans="2:3" x14ac:dyDescent="0.25">
      <c r="B1620" s="33" t="s">
        <v>3111</v>
      </c>
      <c r="C1620" s="33">
        <v>30</v>
      </c>
    </row>
    <row r="1621" spans="2:3" x14ac:dyDescent="0.25">
      <c r="B1621" s="33" t="s">
        <v>3112</v>
      </c>
      <c r="C1621" s="33">
        <v>30</v>
      </c>
    </row>
    <row r="1622" spans="2:3" x14ac:dyDescent="0.25">
      <c r="B1622" s="33" t="s">
        <v>3113</v>
      </c>
      <c r="C1622" s="33">
        <v>30</v>
      </c>
    </row>
    <row r="1623" spans="2:3" x14ac:dyDescent="0.25">
      <c r="B1623" s="33" t="s">
        <v>3114</v>
      </c>
      <c r="C1623" s="33">
        <v>30</v>
      </c>
    </row>
    <row r="1624" spans="2:3" x14ac:dyDescent="0.25">
      <c r="B1624" s="33" t="s">
        <v>3115</v>
      </c>
      <c r="C1624" s="33">
        <v>30</v>
      </c>
    </row>
    <row r="1625" spans="2:3" x14ac:dyDescent="0.25">
      <c r="B1625" s="33" t="s">
        <v>3116</v>
      </c>
      <c r="C1625" s="33">
        <v>30</v>
      </c>
    </row>
    <row r="1626" spans="2:3" x14ac:dyDescent="0.25">
      <c r="B1626" s="33" t="s">
        <v>3117</v>
      </c>
      <c r="C1626" s="33">
        <v>30</v>
      </c>
    </row>
    <row r="1627" spans="2:3" x14ac:dyDescent="0.25">
      <c r="B1627" s="33" t="s">
        <v>3118</v>
      </c>
      <c r="C1627" s="33">
        <v>30</v>
      </c>
    </row>
    <row r="1628" spans="2:3" x14ac:dyDescent="0.25">
      <c r="B1628" s="33" t="s">
        <v>3119</v>
      </c>
      <c r="C1628" s="33">
        <v>30</v>
      </c>
    </row>
    <row r="1629" spans="2:3" x14ac:dyDescent="0.25">
      <c r="B1629" s="33" t="s">
        <v>3120</v>
      </c>
      <c r="C1629" s="33">
        <v>30</v>
      </c>
    </row>
    <row r="1630" spans="2:3" x14ac:dyDescent="0.25">
      <c r="B1630" s="33" t="s">
        <v>3121</v>
      </c>
      <c r="C1630" s="33">
        <v>30</v>
      </c>
    </row>
    <row r="1631" spans="2:3" x14ac:dyDescent="0.25">
      <c r="B1631" s="33" t="s">
        <v>3122</v>
      </c>
      <c r="C1631" s="33">
        <v>30</v>
      </c>
    </row>
    <row r="1632" spans="2:3" x14ac:dyDescent="0.25">
      <c r="B1632" s="33" t="s">
        <v>3123</v>
      </c>
      <c r="C1632" s="33">
        <v>30</v>
      </c>
    </row>
    <row r="1633" spans="2:3" x14ac:dyDescent="0.25">
      <c r="B1633" s="33" t="s">
        <v>3124</v>
      </c>
      <c r="C1633" s="33">
        <v>30</v>
      </c>
    </row>
    <row r="1634" spans="2:3" x14ac:dyDescent="0.25">
      <c r="B1634" s="33" t="s">
        <v>3125</v>
      </c>
      <c r="C1634" s="33">
        <v>30</v>
      </c>
    </row>
    <row r="1635" spans="2:3" x14ac:dyDescent="0.25">
      <c r="B1635" s="33" t="s">
        <v>3126</v>
      </c>
      <c r="C1635" s="33">
        <v>30</v>
      </c>
    </row>
    <row r="1636" spans="2:3" x14ac:dyDescent="0.25">
      <c r="B1636" s="33" t="s">
        <v>3127</v>
      </c>
      <c r="C1636" s="33">
        <v>30</v>
      </c>
    </row>
    <row r="1637" spans="2:3" x14ac:dyDescent="0.25">
      <c r="B1637" s="33" t="s">
        <v>3128</v>
      </c>
      <c r="C1637" s="33">
        <v>30</v>
      </c>
    </row>
    <row r="1638" spans="2:3" x14ac:dyDescent="0.25">
      <c r="B1638" s="33" t="s">
        <v>3129</v>
      </c>
      <c r="C1638" s="33">
        <v>30</v>
      </c>
    </row>
    <row r="1639" spans="2:3" x14ac:dyDescent="0.25">
      <c r="B1639" s="33" t="s">
        <v>3130</v>
      </c>
      <c r="C1639" s="33">
        <v>30</v>
      </c>
    </row>
    <row r="1640" spans="2:3" x14ac:dyDescent="0.25">
      <c r="B1640" s="33" t="s">
        <v>3131</v>
      </c>
      <c r="C1640" s="33">
        <v>30</v>
      </c>
    </row>
    <row r="1641" spans="2:3" x14ac:dyDescent="0.25">
      <c r="B1641" s="33" t="s">
        <v>3132</v>
      </c>
      <c r="C1641" s="33">
        <v>30</v>
      </c>
    </row>
    <row r="1642" spans="2:3" x14ac:dyDescent="0.25">
      <c r="B1642" s="33" t="s">
        <v>3133</v>
      </c>
      <c r="C1642" s="33">
        <v>30</v>
      </c>
    </row>
    <row r="1643" spans="2:3" x14ac:dyDescent="0.25">
      <c r="B1643" s="33" t="s">
        <v>3134</v>
      </c>
      <c r="C1643" s="33">
        <v>30</v>
      </c>
    </row>
    <row r="1644" spans="2:3" x14ac:dyDescent="0.25">
      <c r="B1644" s="33" t="s">
        <v>3135</v>
      </c>
      <c r="C1644" s="33">
        <v>30</v>
      </c>
    </row>
    <row r="1645" spans="2:3" x14ac:dyDescent="0.25">
      <c r="B1645" s="33" t="s">
        <v>3136</v>
      </c>
      <c r="C1645" s="33">
        <v>30</v>
      </c>
    </row>
    <row r="1646" spans="2:3" x14ac:dyDescent="0.25">
      <c r="B1646" s="33" t="s">
        <v>3137</v>
      </c>
      <c r="C1646" s="33">
        <v>30</v>
      </c>
    </row>
    <row r="1647" spans="2:3" x14ac:dyDescent="0.25">
      <c r="B1647" s="33" t="s">
        <v>3138</v>
      </c>
      <c r="C1647" s="33">
        <v>30</v>
      </c>
    </row>
    <row r="1648" spans="2:3" x14ac:dyDescent="0.25">
      <c r="B1648" s="33" t="s">
        <v>3139</v>
      </c>
      <c r="C1648" s="33">
        <v>30</v>
      </c>
    </row>
    <row r="1649" spans="2:3" x14ac:dyDescent="0.25">
      <c r="B1649" s="33" t="s">
        <v>3140</v>
      </c>
      <c r="C1649" s="33">
        <v>30</v>
      </c>
    </row>
    <row r="1650" spans="2:3" x14ac:dyDescent="0.25">
      <c r="B1650" s="33" t="s">
        <v>3141</v>
      </c>
      <c r="C1650" s="33">
        <v>30</v>
      </c>
    </row>
    <row r="1651" spans="2:3" x14ac:dyDescent="0.25">
      <c r="B1651" s="33" t="s">
        <v>3142</v>
      </c>
      <c r="C1651" s="33">
        <v>30</v>
      </c>
    </row>
    <row r="1652" spans="2:3" x14ac:dyDescent="0.25">
      <c r="B1652" s="33" t="s">
        <v>3143</v>
      </c>
      <c r="C1652" s="33">
        <v>30</v>
      </c>
    </row>
    <row r="1653" spans="2:3" x14ac:dyDescent="0.25">
      <c r="B1653" s="33" t="s">
        <v>3144</v>
      </c>
      <c r="C1653" s="33">
        <v>30</v>
      </c>
    </row>
    <row r="1654" spans="2:3" x14ac:dyDescent="0.25">
      <c r="B1654" s="33" t="s">
        <v>3145</v>
      </c>
      <c r="C1654" s="33">
        <v>30</v>
      </c>
    </row>
    <row r="1655" spans="2:3" x14ac:dyDescent="0.25">
      <c r="B1655" s="33" t="s">
        <v>3146</v>
      </c>
      <c r="C1655" s="33">
        <v>30</v>
      </c>
    </row>
    <row r="1656" spans="2:3" x14ac:dyDescent="0.25">
      <c r="B1656" s="33" t="s">
        <v>3147</v>
      </c>
      <c r="C1656" s="33">
        <v>30</v>
      </c>
    </row>
    <row r="1657" spans="2:3" x14ac:dyDescent="0.25">
      <c r="B1657" s="33" t="s">
        <v>3148</v>
      </c>
      <c r="C1657" s="33">
        <v>30</v>
      </c>
    </row>
    <row r="1658" spans="2:3" x14ac:dyDescent="0.25">
      <c r="B1658" s="33" t="s">
        <v>3149</v>
      </c>
      <c r="C1658" s="33">
        <v>30</v>
      </c>
    </row>
    <row r="1659" spans="2:3" x14ac:dyDescent="0.25">
      <c r="B1659" s="33" t="s">
        <v>3150</v>
      </c>
      <c r="C1659" s="33">
        <v>30</v>
      </c>
    </row>
    <row r="1660" spans="2:3" x14ac:dyDescent="0.25">
      <c r="B1660" s="33" t="s">
        <v>3151</v>
      </c>
      <c r="C1660" s="33">
        <v>30</v>
      </c>
    </row>
    <row r="1661" spans="2:3" x14ac:dyDescent="0.25">
      <c r="B1661" s="33" t="s">
        <v>3152</v>
      </c>
      <c r="C1661" s="33">
        <v>30</v>
      </c>
    </row>
    <row r="1662" spans="2:3" x14ac:dyDescent="0.25">
      <c r="B1662" s="33" t="s">
        <v>3153</v>
      </c>
      <c r="C1662" s="33">
        <v>30</v>
      </c>
    </row>
    <row r="1663" spans="2:3" x14ac:dyDescent="0.25">
      <c r="B1663" s="33" t="s">
        <v>3154</v>
      </c>
      <c r="C1663" s="33">
        <v>30</v>
      </c>
    </row>
    <row r="1664" spans="2:3" x14ac:dyDescent="0.25">
      <c r="B1664" s="33" t="s">
        <v>3155</v>
      </c>
      <c r="C1664" s="33">
        <v>30</v>
      </c>
    </row>
    <row r="1665" spans="2:3" x14ac:dyDescent="0.25">
      <c r="B1665" s="33" t="s">
        <v>3156</v>
      </c>
      <c r="C1665" s="33">
        <v>30</v>
      </c>
    </row>
    <row r="1666" spans="2:3" x14ac:dyDescent="0.25">
      <c r="B1666" s="33" t="s">
        <v>3157</v>
      </c>
      <c r="C1666" s="33">
        <v>30</v>
      </c>
    </row>
    <row r="1667" spans="2:3" x14ac:dyDescent="0.25">
      <c r="B1667" s="33" t="s">
        <v>3158</v>
      </c>
      <c r="C1667" s="33">
        <v>30</v>
      </c>
    </row>
    <row r="1668" spans="2:3" x14ac:dyDescent="0.25">
      <c r="B1668" s="33" t="s">
        <v>3159</v>
      </c>
      <c r="C1668" s="33">
        <v>30</v>
      </c>
    </row>
    <row r="1669" spans="2:3" x14ac:dyDescent="0.25">
      <c r="B1669" s="33" t="s">
        <v>3160</v>
      </c>
      <c r="C1669" s="33">
        <v>30</v>
      </c>
    </row>
    <row r="1670" spans="2:3" x14ac:dyDescent="0.25">
      <c r="B1670" s="33" t="s">
        <v>3161</v>
      </c>
      <c r="C1670" s="33">
        <v>30</v>
      </c>
    </row>
    <row r="1671" spans="2:3" x14ac:dyDescent="0.25">
      <c r="B1671" s="33" t="s">
        <v>3162</v>
      </c>
      <c r="C1671" s="33">
        <v>30</v>
      </c>
    </row>
    <row r="1672" spans="2:3" x14ac:dyDescent="0.25">
      <c r="B1672" s="33" t="s">
        <v>3163</v>
      </c>
      <c r="C1672" s="33">
        <v>30</v>
      </c>
    </row>
    <row r="1673" spans="2:3" x14ac:dyDescent="0.25">
      <c r="B1673" s="33" t="s">
        <v>3164</v>
      </c>
      <c r="C1673" s="33">
        <v>30</v>
      </c>
    </row>
    <row r="1674" spans="2:3" x14ac:dyDescent="0.25">
      <c r="B1674" s="33" t="s">
        <v>3165</v>
      </c>
      <c r="C1674" s="33">
        <v>30</v>
      </c>
    </row>
    <row r="1675" spans="2:3" x14ac:dyDescent="0.25">
      <c r="B1675" s="33" t="s">
        <v>3166</v>
      </c>
      <c r="C1675" s="33">
        <v>30</v>
      </c>
    </row>
    <row r="1676" spans="2:3" x14ac:dyDescent="0.25">
      <c r="B1676" s="33" t="s">
        <v>3167</v>
      </c>
      <c r="C1676" s="33">
        <v>30</v>
      </c>
    </row>
    <row r="1677" spans="2:3" x14ac:dyDescent="0.25">
      <c r="B1677" s="33" t="s">
        <v>3168</v>
      </c>
      <c r="C1677" s="33">
        <v>30</v>
      </c>
    </row>
    <row r="1678" spans="2:3" x14ac:dyDescent="0.25">
      <c r="B1678" s="33" t="s">
        <v>3169</v>
      </c>
      <c r="C1678" s="33">
        <v>30</v>
      </c>
    </row>
    <row r="1679" spans="2:3" x14ac:dyDescent="0.25">
      <c r="B1679" s="33" t="s">
        <v>3170</v>
      </c>
      <c r="C1679" s="33">
        <v>30</v>
      </c>
    </row>
    <row r="1680" spans="2:3" x14ac:dyDescent="0.25">
      <c r="B1680" s="33" t="s">
        <v>3171</v>
      </c>
      <c r="C1680" s="33">
        <v>30</v>
      </c>
    </row>
    <row r="1681" spans="2:3" x14ac:dyDescent="0.25">
      <c r="B1681" s="33" t="s">
        <v>3172</v>
      </c>
      <c r="C1681" s="33">
        <v>30</v>
      </c>
    </row>
    <row r="1682" spans="2:3" x14ac:dyDescent="0.25">
      <c r="B1682" s="33" t="s">
        <v>3173</v>
      </c>
      <c r="C1682" s="33">
        <v>30</v>
      </c>
    </row>
    <row r="1683" spans="2:3" x14ac:dyDescent="0.25">
      <c r="B1683" s="33" t="s">
        <v>3174</v>
      </c>
      <c r="C1683" s="33">
        <v>30</v>
      </c>
    </row>
    <row r="1684" spans="2:3" x14ac:dyDescent="0.25">
      <c r="B1684" s="33" t="s">
        <v>3175</v>
      </c>
      <c r="C1684" s="33">
        <v>30</v>
      </c>
    </row>
    <row r="1685" spans="2:3" x14ac:dyDescent="0.25">
      <c r="B1685" s="33" t="s">
        <v>3176</v>
      </c>
      <c r="C1685" s="33">
        <v>30</v>
      </c>
    </row>
    <row r="1686" spans="2:3" x14ac:dyDescent="0.25">
      <c r="B1686" s="33" t="s">
        <v>3177</v>
      </c>
      <c r="C1686" s="33">
        <v>30</v>
      </c>
    </row>
    <row r="1687" spans="2:3" x14ac:dyDescent="0.25">
      <c r="B1687" s="33" t="s">
        <v>3178</v>
      </c>
      <c r="C1687" s="33">
        <v>30</v>
      </c>
    </row>
    <row r="1688" spans="2:3" x14ac:dyDescent="0.25">
      <c r="B1688" s="33" t="s">
        <v>3179</v>
      </c>
      <c r="C1688" s="33">
        <v>30</v>
      </c>
    </row>
    <row r="1689" spans="2:3" x14ac:dyDescent="0.25">
      <c r="B1689" s="33" t="s">
        <v>3180</v>
      </c>
      <c r="C1689" s="33">
        <v>30</v>
      </c>
    </row>
    <row r="1690" spans="2:3" x14ac:dyDescent="0.25">
      <c r="B1690" s="33" t="s">
        <v>3181</v>
      </c>
      <c r="C1690" s="33">
        <v>30</v>
      </c>
    </row>
    <row r="1691" spans="2:3" x14ac:dyDescent="0.25">
      <c r="B1691" s="33" t="s">
        <v>3182</v>
      </c>
      <c r="C1691" s="33">
        <v>30</v>
      </c>
    </row>
    <row r="1692" spans="2:3" x14ac:dyDescent="0.25">
      <c r="B1692" s="33" t="s">
        <v>3183</v>
      </c>
      <c r="C1692" s="33">
        <v>30</v>
      </c>
    </row>
    <row r="1693" spans="2:3" x14ac:dyDescent="0.25">
      <c r="B1693" s="33" t="s">
        <v>3184</v>
      </c>
      <c r="C1693" s="33">
        <v>30</v>
      </c>
    </row>
    <row r="1694" spans="2:3" x14ac:dyDescent="0.25">
      <c r="B1694" s="33" t="s">
        <v>3185</v>
      </c>
      <c r="C1694" s="33">
        <v>30</v>
      </c>
    </row>
    <row r="1695" spans="2:3" x14ac:dyDescent="0.25">
      <c r="B1695" s="33" t="s">
        <v>3186</v>
      </c>
      <c r="C1695" s="33">
        <v>30</v>
      </c>
    </row>
    <row r="1696" spans="2:3" x14ac:dyDescent="0.25">
      <c r="B1696" s="33" t="s">
        <v>3187</v>
      </c>
      <c r="C1696" s="33">
        <v>30</v>
      </c>
    </row>
    <row r="1697" spans="2:3" x14ac:dyDescent="0.25">
      <c r="B1697" s="33" t="s">
        <v>3188</v>
      </c>
      <c r="C1697" s="33">
        <v>30</v>
      </c>
    </row>
    <row r="1698" spans="2:3" x14ac:dyDescent="0.25">
      <c r="B1698" s="33" t="s">
        <v>3189</v>
      </c>
      <c r="C1698" s="33">
        <v>30</v>
      </c>
    </row>
    <row r="1699" spans="2:3" x14ac:dyDescent="0.25">
      <c r="B1699" s="33" t="s">
        <v>3190</v>
      </c>
      <c r="C1699" s="33">
        <v>30</v>
      </c>
    </row>
    <row r="1700" spans="2:3" x14ac:dyDescent="0.25">
      <c r="B1700" s="33" t="s">
        <v>3191</v>
      </c>
      <c r="C1700" s="33">
        <v>30</v>
      </c>
    </row>
    <row r="1701" spans="2:3" x14ac:dyDescent="0.25">
      <c r="B1701" s="33" t="s">
        <v>3192</v>
      </c>
      <c r="C1701" s="33">
        <v>30</v>
      </c>
    </row>
    <row r="1702" spans="2:3" x14ac:dyDescent="0.25">
      <c r="B1702" s="33" t="s">
        <v>3193</v>
      </c>
      <c r="C1702" s="33">
        <v>30</v>
      </c>
    </row>
    <row r="1703" spans="2:3" x14ac:dyDescent="0.25">
      <c r="B1703" s="33" t="s">
        <v>3194</v>
      </c>
      <c r="C1703" s="33">
        <v>30</v>
      </c>
    </row>
    <row r="1704" spans="2:3" x14ac:dyDescent="0.25">
      <c r="B1704" s="33" t="s">
        <v>3195</v>
      </c>
      <c r="C1704" s="33">
        <v>30</v>
      </c>
    </row>
    <row r="1705" spans="2:3" x14ac:dyDescent="0.25">
      <c r="B1705" s="33" t="s">
        <v>3196</v>
      </c>
      <c r="C1705" s="33">
        <v>30</v>
      </c>
    </row>
    <row r="1706" spans="2:3" x14ac:dyDescent="0.25">
      <c r="B1706" s="33" t="s">
        <v>3197</v>
      </c>
      <c r="C1706" s="33">
        <v>30</v>
      </c>
    </row>
    <row r="1707" spans="2:3" x14ac:dyDescent="0.25">
      <c r="B1707" s="33" t="s">
        <v>3198</v>
      </c>
      <c r="C1707" s="33">
        <v>30</v>
      </c>
    </row>
    <row r="1708" spans="2:3" x14ac:dyDescent="0.25">
      <c r="B1708" s="33" t="s">
        <v>3199</v>
      </c>
      <c r="C1708" s="33">
        <v>30</v>
      </c>
    </row>
    <row r="1709" spans="2:3" x14ac:dyDescent="0.25">
      <c r="B1709" s="33" t="s">
        <v>3200</v>
      </c>
      <c r="C1709" s="33">
        <v>30</v>
      </c>
    </row>
    <row r="1710" spans="2:3" x14ac:dyDescent="0.25">
      <c r="B1710" s="33" t="s">
        <v>3201</v>
      </c>
      <c r="C1710" s="33">
        <v>30</v>
      </c>
    </row>
    <row r="1711" spans="2:3" x14ac:dyDescent="0.25">
      <c r="B1711" s="33" t="s">
        <v>3202</v>
      </c>
      <c r="C1711" s="33">
        <v>30</v>
      </c>
    </row>
    <row r="1712" spans="2:3" x14ac:dyDescent="0.25">
      <c r="B1712" s="33" t="s">
        <v>3203</v>
      </c>
      <c r="C1712" s="33">
        <v>30</v>
      </c>
    </row>
    <row r="1713" spans="2:3" x14ac:dyDescent="0.25">
      <c r="B1713" s="33" t="s">
        <v>3204</v>
      </c>
      <c r="C1713" s="33">
        <v>30</v>
      </c>
    </row>
    <row r="1714" spans="2:3" x14ac:dyDescent="0.25">
      <c r="B1714" s="33" t="s">
        <v>3205</v>
      </c>
      <c r="C1714" s="33">
        <v>30</v>
      </c>
    </row>
    <row r="1715" spans="2:3" x14ac:dyDescent="0.25">
      <c r="B1715" s="33" t="s">
        <v>3206</v>
      </c>
      <c r="C1715" s="33">
        <v>30</v>
      </c>
    </row>
    <row r="1716" spans="2:3" x14ac:dyDescent="0.25">
      <c r="B1716" s="33" t="s">
        <v>3207</v>
      </c>
      <c r="C1716" s="33">
        <v>30</v>
      </c>
    </row>
    <row r="1717" spans="2:3" x14ac:dyDescent="0.25">
      <c r="B1717" s="33" t="s">
        <v>3208</v>
      </c>
      <c r="C1717" s="33">
        <v>30</v>
      </c>
    </row>
    <row r="1718" spans="2:3" x14ac:dyDescent="0.25">
      <c r="B1718" s="33" t="s">
        <v>3209</v>
      </c>
      <c r="C1718" s="33">
        <v>30</v>
      </c>
    </row>
    <row r="1719" spans="2:3" x14ac:dyDescent="0.25">
      <c r="B1719" s="33" t="s">
        <v>3210</v>
      </c>
      <c r="C1719" s="33">
        <v>30</v>
      </c>
    </row>
    <row r="1720" spans="2:3" x14ac:dyDescent="0.25">
      <c r="B1720" s="33" t="s">
        <v>3211</v>
      </c>
      <c r="C1720" s="33">
        <v>30</v>
      </c>
    </row>
    <row r="1721" spans="2:3" x14ac:dyDescent="0.25">
      <c r="B1721" s="33" t="s">
        <v>3212</v>
      </c>
      <c r="C1721" s="33">
        <v>30</v>
      </c>
    </row>
    <row r="1722" spans="2:3" x14ac:dyDescent="0.25">
      <c r="B1722" s="33" t="s">
        <v>3213</v>
      </c>
      <c r="C1722" s="33">
        <v>30</v>
      </c>
    </row>
    <row r="1723" spans="2:3" x14ac:dyDescent="0.25">
      <c r="B1723" s="33" t="s">
        <v>3214</v>
      </c>
      <c r="C1723" s="33">
        <v>30</v>
      </c>
    </row>
    <row r="1724" spans="2:3" x14ac:dyDescent="0.25">
      <c r="B1724" s="33" t="s">
        <v>3215</v>
      </c>
      <c r="C1724" s="33">
        <v>30</v>
      </c>
    </row>
    <row r="1725" spans="2:3" x14ac:dyDescent="0.25">
      <c r="B1725" s="33" t="s">
        <v>3216</v>
      </c>
      <c r="C1725" s="33">
        <v>30</v>
      </c>
    </row>
    <row r="1726" spans="2:3" x14ac:dyDescent="0.25">
      <c r="B1726" s="33" t="s">
        <v>3217</v>
      </c>
      <c r="C1726" s="33">
        <v>30</v>
      </c>
    </row>
    <row r="1727" spans="2:3" x14ac:dyDescent="0.25">
      <c r="B1727" s="33" t="s">
        <v>3218</v>
      </c>
      <c r="C1727" s="33">
        <v>30</v>
      </c>
    </row>
    <row r="1728" spans="2:3" x14ac:dyDescent="0.25">
      <c r="B1728" s="33" t="s">
        <v>3219</v>
      </c>
      <c r="C1728" s="33">
        <v>30</v>
      </c>
    </row>
    <row r="1729" spans="2:3" x14ac:dyDescent="0.25">
      <c r="B1729" s="33" t="s">
        <v>3220</v>
      </c>
      <c r="C1729" s="33">
        <v>30</v>
      </c>
    </row>
    <row r="1730" spans="2:3" x14ac:dyDescent="0.25">
      <c r="B1730" s="33" t="s">
        <v>3221</v>
      </c>
      <c r="C1730" s="33">
        <v>30</v>
      </c>
    </row>
    <row r="1731" spans="2:3" x14ac:dyDescent="0.25">
      <c r="B1731" s="33" t="s">
        <v>3222</v>
      </c>
      <c r="C1731" s="33">
        <v>30</v>
      </c>
    </row>
    <row r="1732" spans="2:3" x14ac:dyDescent="0.25">
      <c r="B1732" s="33" t="s">
        <v>3223</v>
      </c>
      <c r="C1732" s="33">
        <v>30</v>
      </c>
    </row>
    <row r="1733" spans="2:3" x14ac:dyDescent="0.25">
      <c r="B1733" s="33" t="s">
        <v>3224</v>
      </c>
      <c r="C1733" s="33">
        <v>30</v>
      </c>
    </row>
    <row r="1734" spans="2:3" x14ac:dyDescent="0.25">
      <c r="B1734" s="33" t="s">
        <v>3225</v>
      </c>
      <c r="C1734" s="33">
        <v>30</v>
      </c>
    </row>
    <row r="1735" spans="2:3" x14ac:dyDescent="0.25">
      <c r="B1735" s="33" t="s">
        <v>3226</v>
      </c>
      <c r="C1735" s="33">
        <v>30</v>
      </c>
    </row>
    <row r="1736" spans="2:3" x14ac:dyDescent="0.25">
      <c r="B1736" s="33" t="s">
        <v>3227</v>
      </c>
      <c r="C1736" s="33">
        <v>30</v>
      </c>
    </row>
    <row r="1737" spans="2:3" x14ac:dyDescent="0.25">
      <c r="B1737" s="33" t="s">
        <v>3228</v>
      </c>
      <c r="C1737" s="33">
        <v>30</v>
      </c>
    </row>
    <row r="1738" spans="2:3" x14ac:dyDescent="0.25">
      <c r="B1738" s="33" t="s">
        <v>3229</v>
      </c>
      <c r="C1738" s="33">
        <v>30</v>
      </c>
    </row>
    <row r="1739" spans="2:3" x14ac:dyDescent="0.25">
      <c r="B1739" s="33" t="s">
        <v>3230</v>
      </c>
      <c r="C1739" s="33">
        <v>30</v>
      </c>
    </row>
    <row r="1740" spans="2:3" x14ac:dyDescent="0.25">
      <c r="B1740" s="33" t="s">
        <v>3231</v>
      </c>
      <c r="C1740" s="33">
        <v>30</v>
      </c>
    </row>
    <row r="1741" spans="2:3" x14ac:dyDescent="0.25">
      <c r="B1741" s="33" t="s">
        <v>3232</v>
      </c>
      <c r="C1741" s="33">
        <v>30</v>
      </c>
    </row>
    <row r="1742" spans="2:3" x14ac:dyDescent="0.25">
      <c r="B1742" s="33" t="s">
        <v>3233</v>
      </c>
      <c r="C1742" s="33">
        <v>30</v>
      </c>
    </row>
    <row r="1743" spans="2:3" x14ac:dyDescent="0.25">
      <c r="B1743" s="33" t="s">
        <v>3234</v>
      </c>
      <c r="C1743" s="33">
        <v>30</v>
      </c>
    </row>
    <row r="1744" spans="2:3" x14ac:dyDescent="0.25">
      <c r="B1744" s="33" t="s">
        <v>3235</v>
      </c>
      <c r="C1744" s="33">
        <v>30</v>
      </c>
    </row>
    <row r="1745" spans="2:3" x14ac:dyDescent="0.25">
      <c r="B1745" s="33" t="s">
        <v>3236</v>
      </c>
      <c r="C1745" s="33">
        <v>30</v>
      </c>
    </row>
    <row r="1746" spans="2:3" x14ac:dyDescent="0.25">
      <c r="B1746" s="33" t="s">
        <v>3237</v>
      </c>
      <c r="C1746" s="33">
        <v>30</v>
      </c>
    </row>
    <row r="1747" spans="2:3" x14ac:dyDescent="0.25">
      <c r="B1747" s="33" t="s">
        <v>3238</v>
      </c>
      <c r="C1747" s="33">
        <v>30</v>
      </c>
    </row>
    <row r="1748" spans="2:3" x14ac:dyDescent="0.25">
      <c r="B1748" s="33" t="s">
        <v>3239</v>
      </c>
      <c r="C1748" s="33">
        <v>30</v>
      </c>
    </row>
    <row r="1749" spans="2:3" x14ac:dyDescent="0.25">
      <c r="B1749" s="33" t="s">
        <v>3240</v>
      </c>
      <c r="C1749" s="33">
        <v>30</v>
      </c>
    </row>
    <row r="1750" spans="2:3" x14ac:dyDescent="0.25">
      <c r="B1750" s="33" t="s">
        <v>3241</v>
      </c>
      <c r="C1750" s="33">
        <v>30</v>
      </c>
    </row>
    <row r="1751" spans="2:3" x14ac:dyDescent="0.25">
      <c r="B1751" s="33" t="s">
        <v>3242</v>
      </c>
      <c r="C1751" s="33">
        <v>30</v>
      </c>
    </row>
    <row r="1752" spans="2:3" x14ac:dyDescent="0.25">
      <c r="B1752" s="33" t="s">
        <v>3243</v>
      </c>
      <c r="C1752" s="33">
        <v>30</v>
      </c>
    </row>
    <row r="1753" spans="2:3" x14ac:dyDescent="0.25">
      <c r="B1753" s="33" t="s">
        <v>3244</v>
      </c>
      <c r="C1753" s="33">
        <v>30</v>
      </c>
    </row>
    <row r="1754" spans="2:3" x14ac:dyDescent="0.25">
      <c r="B1754" s="33" t="s">
        <v>3245</v>
      </c>
      <c r="C1754" s="33">
        <v>30</v>
      </c>
    </row>
    <row r="1755" spans="2:3" x14ac:dyDescent="0.25">
      <c r="B1755" s="33" t="s">
        <v>3246</v>
      </c>
      <c r="C1755" s="33">
        <v>30</v>
      </c>
    </row>
    <row r="1756" spans="2:3" x14ac:dyDescent="0.25">
      <c r="B1756" s="33" t="s">
        <v>3247</v>
      </c>
      <c r="C1756" s="33">
        <v>30</v>
      </c>
    </row>
    <row r="1757" spans="2:3" x14ac:dyDescent="0.25">
      <c r="B1757" s="33" t="s">
        <v>3248</v>
      </c>
      <c r="C1757" s="33">
        <v>30</v>
      </c>
    </row>
    <row r="1758" spans="2:3" x14ac:dyDescent="0.25">
      <c r="B1758" s="33" t="s">
        <v>3249</v>
      </c>
      <c r="C1758" s="33">
        <v>30</v>
      </c>
    </row>
    <row r="1759" spans="2:3" x14ac:dyDescent="0.25">
      <c r="B1759" s="33" t="s">
        <v>3250</v>
      </c>
      <c r="C1759" s="33">
        <v>30</v>
      </c>
    </row>
    <row r="1760" spans="2:3" x14ac:dyDescent="0.25">
      <c r="B1760" s="33" t="s">
        <v>3251</v>
      </c>
      <c r="C1760" s="33">
        <v>30</v>
      </c>
    </row>
    <row r="1761" spans="2:3" x14ac:dyDescent="0.25">
      <c r="B1761" s="33" t="s">
        <v>3252</v>
      </c>
      <c r="C1761" s="33">
        <v>30</v>
      </c>
    </row>
    <row r="1762" spans="2:3" x14ac:dyDescent="0.25">
      <c r="B1762" s="33" t="s">
        <v>3253</v>
      </c>
      <c r="C1762" s="33">
        <v>30</v>
      </c>
    </row>
    <row r="1763" spans="2:3" x14ac:dyDescent="0.25">
      <c r="B1763" s="33" t="s">
        <v>3254</v>
      </c>
      <c r="C1763" s="33">
        <v>30</v>
      </c>
    </row>
    <row r="1764" spans="2:3" x14ac:dyDescent="0.25">
      <c r="B1764" s="33" t="s">
        <v>3255</v>
      </c>
      <c r="C1764" s="33">
        <v>30</v>
      </c>
    </row>
    <row r="1765" spans="2:3" x14ac:dyDescent="0.25">
      <c r="B1765" s="33" t="s">
        <v>3256</v>
      </c>
      <c r="C1765" s="33">
        <v>30</v>
      </c>
    </row>
    <row r="1766" spans="2:3" x14ac:dyDescent="0.25">
      <c r="B1766" s="33" t="s">
        <v>3257</v>
      </c>
      <c r="C1766" s="33">
        <v>30</v>
      </c>
    </row>
    <row r="1767" spans="2:3" x14ac:dyDescent="0.25">
      <c r="B1767" s="33" t="s">
        <v>3258</v>
      </c>
      <c r="C1767" s="33">
        <v>30</v>
      </c>
    </row>
    <row r="1768" spans="2:3" x14ac:dyDescent="0.25">
      <c r="B1768" s="33" t="s">
        <v>3259</v>
      </c>
      <c r="C1768" s="33">
        <v>30</v>
      </c>
    </row>
    <row r="1769" spans="2:3" x14ac:dyDescent="0.25">
      <c r="B1769" s="33" t="s">
        <v>3260</v>
      </c>
      <c r="C1769" s="33">
        <v>30</v>
      </c>
    </row>
    <row r="1770" spans="2:3" x14ac:dyDescent="0.25">
      <c r="B1770" s="33" t="s">
        <v>3261</v>
      </c>
      <c r="C1770" s="33">
        <v>30</v>
      </c>
    </row>
    <row r="1771" spans="2:3" x14ac:dyDescent="0.25">
      <c r="B1771" s="33" t="s">
        <v>3262</v>
      </c>
      <c r="C1771" s="33">
        <v>30</v>
      </c>
    </row>
    <row r="1772" spans="2:3" x14ac:dyDescent="0.25">
      <c r="B1772" s="33" t="s">
        <v>3263</v>
      </c>
      <c r="C1772" s="33">
        <v>30</v>
      </c>
    </row>
    <row r="1773" spans="2:3" x14ac:dyDescent="0.25">
      <c r="B1773" s="33" t="s">
        <v>3264</v>
      </c>
      <c r="C1773" s="33">
        <v>30</v>
      </c>
    </row>
    <row r="1774" spans="2:3" x14ac:dyDescent="0.25">
      <c r="B1774" s="33" t="s">
        <v>3265</v>
      </c>
      <c r="C1774" s="33">
        <v>30</v>
      </c>
    </row>
    <row r="1775" spans="2:3" x14ac:dyDescent="0.25">
      <c r="B1775" s="33" t="s">
        <v>3266</v>
      </c>
      <c r="C1775" s="33">
        <v>30</v>
      </c>
    </row>
    <row r="1776" spans="2:3" x14ac:dyDescent="0.25">
      <c r="B1776" s="33" t="s">
        <v>3267</v>
      </c>
      <c r="C1776" s="33">
        <v>30</v>
      </c>
    </row>
    <row r="1777" spans="2:3" x14ac:dyDescent="0.25">
      <c r="B1777" s="33" t="s">
        <v>3268</v>
      </c>
      <c r="C1777" s="33">
        <v>30</v>
      </c>
    </row>
    <row r="1778" spans="2:3" x14ac:dyDescent="0.25">
      <c r="B1778" s="33" t="s">
        <v>3269</v>
      </c>
      <c r="C1778" s="33">
        <v>30</v>
      </c>
    </row>
    <row r="1779" spans="2:3" x14ac:dyDescent="0.25">
      <c r="B1779" s="33" t="s">
        <v>3270</v>
      </c>
      <c r="C1779" s="33">
        <v>30</v>
      </c>
    </row>
    <row r="1780" spans="2:3" x14ac:dyDescent="0.25">
      <c r="B1780" s="33" t="s">
        <v>3271</v>
      </c>
      <c r="C1780" s="33">
        <v>30</v>
      </c>
    </row>
    <row r="1781" spans="2:3" x14ac:dyDescent="0.25">
      <c r="B1781" s="33" t="s">
        <v>3272</v>
      </c>
      <c r="C1781" s="33">
        <v>30</v>
      </c>
    </row>
    <row r="1782" spans="2:3" x14ac:dyDescent="0.25">
      <c r="B1782" s="33" t="s">
        <v>3273</v>
      </c>
      <c r="C1782" s="33">
        <v>30</v>
      </c>
    </row>
    <row r="1783" spans="2:3" x14ac:dyDescent="0.25">
      <c r="B1783" s="33" t="s">
        <v>3274</v>
      </c>
      <c r="C1783" s="33">
        <v>30</v>
      </c>
    </row>
    <row r="1784" spans="2:3" x14ac:dyDescent="0.25">
      <c r="B1784" s="33" t="s">
        <v>3275</v>
      </c>
      <c r="C1784" s="33">
        <v>30</v>
      </c>
    </row>
    <row r="1785" spans="2:3" x14ac:dyDescent="0.25">
      <c r="B1785" s="33" t="s">
        <v>3276</v>
      </c>
      <c r="C1785" s="33">
        <v>30</v>
      </c>
    </row>
    <row r="1786" spans="2:3" x14ac:dyDescent="0.25">
      <c r="B1786" s="33" t="s">
        <v>3277</v>
      </c>
      <c r="C1786" s="33">
        <v>30</v>
      </c>
    </row>
    <row r="1787" spans="2:3" x14ac:dyDescent="0.25">
      <c r="B1787" s="33" t="s">
        <v>3278</v>
      </c>
      <c r="C1787" s="33">
        <v>30</v>
      </c>
    </row>
    <row r="1788" spans="2:3" x14ac:dyDescent="0.25">
      <c r="B1788" s="33" t="s">
        <v>3279</v>
      </c>
      <c r="C1788" s="33">
        <v>30</v>
      </c>
    </row>
    <row r="1789" spans="2:3" x14ac:dyDescent="0.25">
      <c r="B1789" s="33" t="s">
        <v>3280</v>
      </c>
      <c r="C1789" s="33">
        <v>30</v>
      </c>
    </row>
    <row r="1790" spans="2:3" x14ac:dyDescent="0.25">
      <c r="B1790" s="33" t="s">
        <v>3281</v>
      </c>
      <c r="C1790" s="33">
        <v>30</v>
      </c>
    </row>
    <row r="1791" spans="2:3" x14ac:dyDescent="0.25">
      <c r="B1791" s="33" t="s">
        <v>3282</v>
      </c>
      <c r="C1791" s="33">
        <v>30</v>
      </c>
    </row>
    <row r="1792" spans="2:3" x14ac:dyDescent="0.25">
      <c r="B1792" s="33" t="s">
        <v>3283</v>
      </c>
      <c r="C1792" s="33">
        <v>30</v>
      </c>
    </row>
    <row r="1793" spans="2:3" x14ac:dyDescent="0.25">
      <c r="B1793" s="33" t="s">
        <v>3284</v>
      </c>
      <c r="C1793" s="33">
        <v>30</v>
      </c>
    </row>
    <row r="1794" spans="2:3" x14ac:dyDescent="0.25">
      <c r="B1794" s="33" t="s">
        <v>3285</v>
      </c>
      <c r="C1794" s="33">
        <v>30</v>
      </c>
    </row>
    <row r="1795" spans="2:3" x14ac:dyDescent="0.25">
      <c r="B1795" s="33" t="s">
        <v>3286</v>
      </c>
      <c r="C1795" s="33">
        <v>30</v>
      </c>
    </row>
    <row r="1796" spans="2:3" x14ac:dyDescent="0.25">
      <c r="B1796" s="33" t="s">
        <v>3287</v>
      </c>
      <c r="C1796" s="33">
        <v>30</v>
      </c>
    </row>
    <row r="1797" spans="2:3" x14ac:dyDescent="0.25">
      <c r="B1797" s="33" t="s">
        <v>3288</v>
      </c>
      <c r="C1797" s="33">
        <v>30</v>
      </c>
    </row>
    <row r="1798" spans="2:3" x14ac:dyDescent="0.25">
      <c r="B1798" s="33" t="s">
        <v>3289</v>
      </c>
      <c r="C1798" s="33">
        <v>30</v>
      </c>
    </row>
    <row r="1799" spans="2:3" x14ac:dyDescent="0.25">
      <c r="B1799" s="33" t="s">
        <v>3290</v>
      </c>
      <c r="C1799" s="33">
        <v>30</v>
      </c>
    </row>
    <row r="1800" spans="2:3" x14ac:dyDescent="0.25">
      <c r="B1800" s="33" t="s">
        <v>3291</v>
      </c>
      <c r="C1800" s="33">
        <v>30</v>
      </c>
    </row>
    <row r="1801" spans="2:3" x14ac:dyDescent="0.25">
      <c r="B1801" s="33" t="s">
        <v>3292</v>
      </c>
      <c r="C1801" s="33">
        <v>30</v>
      </c>
    </row>
    <row r="1802" spans="2:3" x14ac:dyDescent="0.25">
      <c r="B1802" s="33" t="s">
        <v>3293</v>
      </c>
      <c r="C1802" s="33">
        <v>30</v>
      </c>
    </row>
    <row r="1803" spans="2:3" x14ac:dyDescent="0.25">
      <c r="B1803" s="33" t="s">
        <v>3294</v>
      </c>
      <c r="C1803" s="33">
        <v>30</v>
      </c>
    </row>
    <row r="1804" spans="2:3" x14ac:dyDescent="0.25">
      <c r="B1804" s="33" t="s">
        <v>3295</v>
      </c>
      <c r="C1804" s="33">
        <v>30</v>
      </c>
    </row>
    <row r="1805" spans="2:3" x14ac:dyDescent="0.25">
      <c r="B1805" s="33" t="s">
        <v>3296</v>
      </c>
      <c r="C1805" s="33">
        <v>30</v>
      </c>
    </row>
    <row r="1806" spans="2:3" x14ac:dyDescent="0.25">
      <c r="B1806" s="33" t="s">
        <v>3297</v>
      </c>
      <c r="C1806" s="33">
        <v>30</v>
      </c>
    </row>
    <row r="1807" spans="2:3" x14ac:dyDescent="0.25">
      <c r="B1807" s="33" t="s">
        <v>3298</v>
      </c>
      <c r="C1807" s="33">
        <v>30</v>
      </c>
    </row>
    <row r="1808" spans="2:3" x14ac:dyDescent="0.25">
      <c r="B1808" s="33" t="s">
        <v>3299</v>
      </c>
      <c r="C1808" s="33">
        <v>30</v>
      </c>
    </row>
    <row r="1809" spans="2:3" x14ac:dyDescent="0.25">
      <c r="B1809" s="33" t="s">
        <v>3300</v>
      </c>
      <c r="C1809" s="33">
        <v>30</v>
      </c>
    </row>
    <row r="1810" spans="2:3" x14ac:dyDescent="0.25">
      <c r="B1810" s="33" t="s">
        <v>3301</v>
      </c>
      <c r="C1810" s="33">
        <v>30</v>
      </c>
    </row>
    <row r="1811" spans="2:3" x14ac:dyDescent="0.25">
      <c r="B1811" s="33" t="s">
        <v>3302</v>
      </c>
      <c r="C1811" s="33">
        <v>30</v>
      </c>
    </row>
    <row r="1812" spans="2:3" x14ac:dyDescent="0.25">
      <c r="B1812" s="33" t="s">
        <v>3303</v>
      </c>
      <c r="C1812" s="33">
        <v>30</v>
      </c>
    </row>
    <row r="1813" spans="2:3" x14ac:dyDescent="0.25">
      <c r="B1813" s="33" t="s">
        <v>3304</v>
      </c>
      <c r="C1813" s="33">
        <v>30</v>
      </c>
    </row>
    <row r="1814" spans="2:3" x14ac:dyDescent="0.25">
      <c r="B1814" s="33" t="s">
        <v>3305</v>
      </c>
      <c r="C1814" s="33">
        <v>30</v>
      </c>
    </row>
    <row r="1815" spans="2:3" x14ac:dyDescent="0.25">
      <c r="B1815" s="33" t="s">
        <v>3306</v>
      </c>
      <c r="C1815" s="33">
        <v>30</v>
      </c>
    </row>
    <row r="1816" spans="2:3" x14ac:dyDescent="0.25">
      <c r="B1816" s="33" t="s">
        <v>3307</v>
      </c>
      <c r="C1816" s="33">
        <v>30</v>
      </c>
    </row>
    <row r="1817" spans="2:3" x14ac:dyDescent="0.25">
      <c r="B1817" s="33" t="s">
        <v>3308</v>
      </c>
      <c r="C1817" s="33">
        <v>30</v>
      </c>
    </row>
    <row r="1818" spans="2:3" x14ac:dyDescent="0.25">
      <c r="B1818" s="33" t="s">
        <v>3309</v>
      </c>
      <c r="C1818" s="33">
        <v>30</v>
      </c>
    </row>
    <row r="1819" spans="2:3" x14ac:dyDescent="0.25">
      <c r="B1819" s="33" t="s">
        <v>3310</v>
      </c>
      <c r="C1819" s="33">
        <v>30</v>
      </c>
    </row>
    <row r="1820" spans="2:3" x14ac:dyDescent="0.25">
      <c r="B1820" s="33" t="s">
        <v>3311</v>
      </c>
      <c r="C1820" s="33">
        <v>30</v>
      </c>
    </row>
    <row r="1821" spans="2:3" x14ac:dyDescent="0.25">
      <c r="B1821" s="33" t="s">
        <v>3312</v>
      </c>
      <c r="C1821" s="33">
        <v>30</v>
      </c>
    </row>
    <row r="1822" spans="2:3" x14ac:dyDescent="0.25">
      <c r="B1822" s="33" t="s">
        <v>3313</v>
      </c>
      <c r="C1822" s="33">
        <v>30</v>
      </c>
    </row>
    <row r="1823" spans="2:3" x14ac:dyDescent="0.25">
      <c r="B1823" s="33" t="s">
        <v>3314</v>
      </c>
      <c r="C1823" s="33">
        <v>30</v>
      </c>
    </row>
    <row r="1824" spans="2:3" x14ac:dyDescent="0.25">
      <c r="B1824" s="33" t="s">
        <v>3315</v>
      </c>
      <c r="C1824" s="33">
        <v>30</v>
      </c>
    </row>
    <row r="1825" spans="2:3" x14ac:dyDescent="0.25">
      <c r="B1825" s="33" t="s">
        <v>3316</v>
      </c>
      <c r="C1825" s="33">
        <v>30</v>
      </c>
    </row>
    <row r="1826" spans="2:3" x14ac:dyDescent="0.25">
      <c r="B1826" s="33" t="s">
        <v>3317</v>
      </c>
      <c r="C1826" s="33">
        <v>30</v>
      </c>
    </row>
    <row r="1827" spans="2:3" x14ac:dyDescent="0.25">
      <c r="B1827" s="33" t="s">
        <v>3318</v>
      </c>
      <c r="C1827" s="33">
        <v>30</v>
      </c>
    </row>
    <row r="1828" spans="2:3" x14ac:dyDescent="0.25">
      <c r="B1828" s="33" t="s">
        <v>3319</v>
      </c>
      <c r="C1828" s="33">
        <v>30</v>
      </c>
    </row>
    <row r="1829" spans="2:3" x14ac:dyDescent="0.25">
      <c r="B1829" s="33" t="s">
        <v>3320</v>
      </c>
      <c r="C1829" s="33">
        <v>30</v>
      </c>
    </row>
    <row r="1830" spans="2:3" x14ac:dyDescent="0.25">
      <c r="B1830" s="33" t="s">
        <v>3321</v>
      </c>
      <c r="C1830" s="33">
        <v>30</v>
      </c>
    </row>
    <row r="1831" spans="2:3" x14ac:dyDescent="0.25">
      <c r="B1831" s="33" t="s">
        <v>3322</v>
      </c>
      <c r="C1831" s="33">
        <v>30</v>
      </c>
    </row>
    <row r="1832" spans="2:3" x14ac:dyDescent="0.25">
      <c r="B1832" s="33" t="s">
        <v>3323</v>
      </c>
      <c r="C1832" s="33">
        <v>30</v>
      </c>
    </row>
    <row r="1833" spans="2:3" x14ac:dyDescent="0.25">
      <c r="B1833" s="33" t="s">
        <v>3324</v>
      </c>
      <c r="C1833" s="33">
        <v>30</v>
      </c>
    </row>
    <row r="1834" spans="2:3" x14ac:dyDescent="0.25">
      <c r="B1834" s="33" t="s">
        <v>3325</v>
      </c>
      <c r="C1834" s="33">
        <v>30</v>
      </c>
    </row>
    <row r="1835" spans="2:3" x14ac:dyDescent="0.25">
      <c r="B1835" s="33" t="s">
        <v>3326</v>
      </c>
      <c r="C1835" s="33">
        <v>30</v>
      </c>
    </row>
    <row r="1836" spans="2:3" x14ac:dyDescent="0.25">
      <c r="B1836" s="33" t="s">
        <v>3327</v>
      </c>
      <c r="C1836" s="33">
        <v>30</v>
      </c>
    </row>
    <row r="1837" spans="2:3" x14ac:dyDescent="0.25">
      <c r="B1837" s="33" t="s">
        <v>3328</v>
      </c>
      <c r="C1837" s="33">
        <v>30</v>
      </c>
    </row>
    <row r="1838" spans="2:3" x14ac:dyDescent="0.25">
      <c r="B1838" s="33" t="s">
        <v>3329</v>
      </c>
      <c r="C1838" s="33">
        <v>30</v>
      </c>
    </row>
    <row r="1839" spans="2:3" x14ac:dyDescent="0.25">
      <c r="B1839" s="33" t="s">
        <v>3330</v>
      </c>
      <c r="C1839" s="33">
        <v>30</v>
      </c>
    </row>
    <row r="1840" spans="2:3" x14ac:dyDescent="0.25">
      <c r="B1840" s="33" t="s">
        <v>3331</v>
      </c>
      <c r="C1840" s="33">
        <v>30</v>
      </c>
    </row>
    <row r="1841" spans="2:3" x14ac:dyDescent="0.25">
      <c r="B1841" s="33" t="s">
        <v>3332</v>
      </c>
      <c r="C1841" s="33">
        <v>30</v>
      </c>
    </row>
    <row r="1842" spans="2:3" x14ac:dyDescent="0.25">
      <c r="B1842" s="33" t="s">
        <v>3333</v>
      </c>
      <c r="C1842" s="33">
        <v>30</v>
      </c>
    </row>
    <row r="1843" spans="2:3" x14ac:dyDescent="0.25">
      <c r="B1843" s="33" t="s">
        <v>3334</v>
      </c>
      <c r="C1843" s="33">
        <v>30</v>
      </c>
    </row>
    <row r="1844" spans="2:3" x14ac:dyDescent="0.25">
      <c r="B1844" s="33" t="s">
        <v>3335</v>
      </c>
      <c r="C1844" s="33">
        <v>30</v>
      </c>
    </row>
    <row r="1845" spans="2:3" x14ac:dyDescent="0.25">
      <c r="B1845" s="33" t="s">
        <v>3336</v>
      </c>
      <c r="C1845" s="33">
        <v>30</v>
      </c>
    </row>
    <row r="1846" spans="2:3" x14ac:dyDescent="0.25">
      <c r="B1846" s="33" t="s">
        <v>3337</v>
      </c>
      <c r="C1846" s="33">
        <v>30</v>
      </c>
    </row>
    <row r="1847" spans="2:3" x14ac:dyDescent="0.25">
      <c r="B1847" s="33" t="s">
        <v>3338</v>
      </c>
      <c r="C1847" s="33">
        <v>30</v>
      </c>
    </row>
    <row r="1848" spans="2:3" x14ac:dyDescent="0.25">
      <c r="B1848" s="33" t="s">
        <v>3339</v>
      </c>
      <c r="C1848" s="33">
        <v>30</v>
      </c>
    </row>
    <row r="1849" spans="2:3" x14ac:dyDescent="0.25">
      <c r="B1849" s="33" t="s">
        <v>3340</v>
      </c>
      <c r="C1849" s="33">
        <v>30</v>
      </c>
    </row>
    <row r="1850" spans="2:3" x14ac:dyDescent="0.25">
      <c r="B1850" s="33" t="s">
        <v>3341</v>
      </c>
      <c r="C1850" s="33">
        <v>30</v>
      </c>
    </row>
    <row r="1851" spans="2:3" x14ac:dyDescent="0.25">
      <c r="B1851" s="33" t="s">
        <v>3342</v>
      </c>
      <c r="C1851" s="33">
        <v>30</v>
      </c>
    </row>
    <row r="1852" spans="2:3" x14ac:dyDescent="0.25">
      <c r="B1852" s="33" t="s">
        <v>3343</v>
      </c>
      <c r="C1852" s="33">
        <v>30</v>
      </c>
    </row>
    <row r="1853" spans="2:3" x14ac:dyDescent="0.25">
      <c r="B1853" s="33" t="s">
        <v>3344</v>
      </c>
      <c r="C1853" s="33">
        <v>30</v>
      </c>
    </row>
    <row r="1854" spans="2:3" x14ac:dyDescent="0.25">
      <c r="B1854" s="33" t="s">
        <v>3345</v>
      </c>
      <c r="C1854" s="33">
        <v>30</v>
      </c>
    </row>
    <row r="1855" spans="2:3" x14ac:dyDescent="0.25">
      <c r="B1855" s="33" t="s">
        <v>3346</v>
      </c>
      <c r="C1855" s="33">
        <v>30</v>
      </c>
    </row>
    <row r="1856" spans="2:3" x14ac:dyDescent="0.25">
      <c r="B1856" s="33" t="s">
        <v>3347</v>
      </c>
      <c r="C1856" s="33">
        <v>30</v>
      </c>
    </row>
    <row r="1857" spans="2:3" x14ac:dyDescent="0.25">
      <c r="B1857" s="33" t="s">
        <v>3348</v>
      </c>
      <c r="C1857" s="33">
        <v>30</v>
      </c>
    </row>
    <row r="1858" spans="2:3" x14ac:dyDescent="0.25">
      <c r="B1858" s="33" t="s">
        <v>3349</v>
      </c>
      <c r="C1858" s="33">
        <v>30</v>
      </c>
    </row>
    <row r="1859" spans="2:3" x14ac:dyDescent="0.25">
      <c r="B1859" s="33" t="s">
        <v>3350</v>
      </c>
      <c r="C1859" s="33">
        <v>30</v>
      </c>
    </row>
    <row r="1860" spans="2:3" x14ac:dyDescent="0.25">
      <c r="B1860" s="33" t="s">
        <v>3351</v>
      </c>
      <c r="C1860" s="33">
        <v>30</v>
      </c>
    </row>
    <row r="1861" spans="2:3" x14ac:dyDescent="0.25">
      <c r="B1861" s="33" t="s">
        <v>3352</v>
      </c>
      <c r="C1861" s="33">
        <v>30</v>
      </c>
    </row>
    <row r="1862" spans="2:3" x14ac:dyDescent="0.25">
      <c r="B1862" s="33" t="s">
        <v>3353</v>
      </c>
      <c r="C1862" s="33">
        <v>30</v>
      </c>
    </row>
    <row r="1863" spans="2:3" x14ac:dyDescent="0.25">
      <c r="B1863" s="33" t="s">
        <v>3354</v>
      </c>
      <c r="C1863" s="33">
        <v>30</v>
      </c>
    </row>
    <row r="1864" spans="2:3" x14ac:dyDescent="0.25">
      <c r="B1864" s="33" t="s">
        <v>3355</v>
      </c>
      <c r="C1864" s="33">
        <v>30</v>
      </c>
    </row>
    <row r="1865" spans="2:3" x14ac:dyDescent="0.25">
      <c r="B1865" s="33" t="s">
        <v>3356</v>
      </c>
      <c r="C1865" s="33">
        <v>30</v>
      </c>
    </row>
    <row r="1866" spans="2:3" x14ac:dyDescent="0.25">
      <c r="B1866" s="33" t="s">
        <v>3357</v>
      </c>
      <c r="C1866" s="33">
        <v>30</v>
      </c>
    </row>
    <row r="1867" spans="2:3" x14ac:dyDescent="0.25">
      <c r="B1867" s="33" t="s">
        <v>3358</v>
      </c>
      <c r="C1867" s="33">
        <v>30</v>
      </c>
    </row>
    <row r="1868" spans="2:3" x14ac:dyDescent="0.25">
      <c r="B1868" s="33" t="s">
        <v>3359</v>
      </c>
      <c r="C1868" s="33">
        <v>30</v>
      </c>
    </row>
    <row r="1869" spans="2:3" x14ac:dyDescent="0.25">
      <c r="B1869" s="33" t="s">
        <v>3360</v>
      </c>
      <c r="C1869" s="33">
        <v>30</v>
      </c>
    </row>
    <row r="1870" spans="2:3" x14ac:dyDescent="0.25">
      <c r="B1870" s="33" t="s">
        <v>3361</v>
      </c>
      <c r="C1870" s="33">
        <v>30</v>
      </c>
    </row>
    <row r="1871" spans="2:3" x14ac:dyDescent="0.25">
      <c r="B1871" s="33" t="s">
        <v>3362</v>
      </c>
      <c r="C1871" s="33">
        <v>30</v>
      </c>
    </row>
    <row r="1872" spans="2:3" x14ac:dyDescent="0.25">
      <c r="B1872" s="33" t="s">
        <v>3363</v>
      </c>
      <c r="C1872" s="33">
        <v>30</v>
      </c>
    </row>
    <row r="1873" spans="2:3" x14ac:dyDescent="0.25">
      <c r="B1873" s="33" t="s">
        <v>3364</v>
      </c>
      <c r="C1873" s="33">
        <v>30</v>
      </c>
    </row>
    <row r="1874" spans="2:3" x14ac:dyDescent="0.25">
      <c r="B1874" s="33" t="s">
        <v>3365</v>
      </c>
      <c r="C1874" s="33">
        <v>30</v>
      </c>
    </row>
    <row r="1875" spans="2:3" x14ac:dyDescent="0.25">
      <c r="B1875" s="33" t="s">
        <v>3366</v>
      </c>
      <c r="C1875" s="33">
        <v>30</v>
      </c>
    </row>
    <row r="1876" spans="2:3" x14ac:dyDescent="0.25">
      <c r="B1876" s="33" t="s">
        <v>3367</v>
      </c>
      <c r="C1876" s="33">
        <v>30</v>
      </c>
    </row>
    <row r="1877" spans="2:3" x14ac:dyDescent="0.25">
      <c r="B1877" s="33" t="s">
        <v>3368</v>
      </c>
      <c r="C1877" s="33">
        <v>30</v>
      </c>
    </row>
    <row r="1878" spans="2:3" x14ac:dyDescent="0.25">
      <c r="B1878" s="33" t="s">
        <v>3369</v>
      </c>
      <c r="C1878" s="33">
        <v>30</v>
      </c>
    </row>
    <row r="1879" spans="2:3" x14ac:dyDescent="0.25">
      <c r="B1879" s="33" t="s">
        <v>3370</v>
      </c>
      <c r="C1879" s="33">
        <v>30</v>
      </c>
    </row>
    <row r="1880" spans="2:3" x14ac:dyDescent="0.25">
      <c r="B1880" s="33" t="s">
        <v>3371</v>
      </c>
      <c r="C1880" s="33">
        <v>30</v>
      </c>
    </row>
    <row r="1881" spans="2:3" x14ac:dyDescent="0.25">
      <c r="B1881" s="33" t="s">
        <v>3372</v>
      </c>
      <c r="C1881" s="33">
        <v>30</v>
      </c>
    </row>
    <row r="1882" spans="2:3" x14ac:dyDescent="0.25">
      <c r="B1882" s="33" t="s">
        <v>3373</v>
      </c>
      <c r="C1882" s="33">
        <v>30</v>
      </c>
    </row>
    <row r="1883" spans="2:3" x14ac:dyDescent="0.25">
      <c r="B1883" s="33" t="s">
        <v>3374</v>
      </c>
      <c r="C1883" s="33">
        <v>30</v>
      </c>
    </row>
    <row r="1884" spans="2:3" x14ac:dyDescent="0.25">
      <c r="B1884" s="33" t="s">
        <v>3375</v>
      </c>
      <c r="C1884" s="33">
        <v>30</v>
      </c>
    </row>
    <row r="1885" spans="2:3" x14ac:dyDescent="0.25">
      <c r="B1885" s="33" t="s">
        <v>3376</v>
      </c>
      <c r="C1885" s="33">
        <v>30</v>
      </c>
    </row>
    <row r="1886" spans="2:3" x14ac:dyDescent="0.25">
      <c r="B1886" s="33" t="s">
        <v>3377</v>
      </c>
      <c r="C1886" s="33">
        <v>30</v>
      </c>
    </row>
    <row r="1887" spans="2:3" x14ac:dyDescent="0.25">
      <c r="B1887" s="33" t="s">
        <v>3378</v>
      </c>
      <c r="C1887" s="33">
        <v>30</v>
      </c>
    </row>
    <row r="1888" spans="2:3" x14ac:dyDescent="0.25">
      <c r="B1888" s="33" t="s">
        <v>3379</v>
      </c>
      <c r="C1888" s="33">
        <v>30</v>
      </c>
    </row>
    <row r="1889" spans="2:3" x14ac:dyDescent="0.25">
      <c r="B1889" s="33" t="s">
        <v>3380</v>
      </c>
      <c r="C1889" s="33">
        <v>30</v>
      </c>
    </row>
    <row r="1890" spans="2:3" x14ac:dyDescent="0.25">
      <c r="B1890" s="33" t="s">
        <v>3381</v>
      </c>
      <c r="C1890" s="33">
        <v>30</v>
      </c>
    </row>
    <row r="1891" spans="2:3" x14ac:dyDescent="0.25">
      <c r="B1891" s="33" t="s">
        <v>3382</v>
      </c>
      <c r="C1891" s="33">
        <v>30</v>
      </c>
    </row>
    <row r="1892" spans="2:3" x14ac:dyDescent="0.25">
      <c r="B1892" s="33" t="s">
        <v>3383</v>
      </c>
      <c r="C1892" s="33">
        <v>30</v>
      </c>
    </row>
    <row r="1893" spans="2:3" x14ac:dyDescent="0.25">
      <c r="B1893" s="33" t="s">
        <v>3384</v>
      </c>
      <c r="C1893" s="33">
        <v>30</v>
      </c>
    </row>
    <row r="1894" spans="2:3" x14ac:dyDescent="0.25">
      <c r="B1894" s="33" t="s">
        <v>3385</v>
      </c>
      <c r="C1894" s="33">
        <v>30</v>
      </c>
    </row>
    <row r="1895" spans="2:3" x14ac:dyDescent="0.25">
      <c r="B1895" s="33" t="s">
        <v>3386</v>
      </c>
      <c r="C1895" s="33">
        <v>30</v>
      </c>
    </row>
    <row r="1896" spans="2:3" x14ac:dyDescent="0.25">
      <c r="B1896" s="33" t="s">
        <v>3387</v>
      </c>
      <c r="C1896" s="33">
        <v>30</v>
      </c>
    </row>
    <row r="1897" spans="2:3" x14ac:dyDescent="0.25">
      <c r="B1897" s="33" t="s">
        <v>3388</v>
      </c>
      <c r="C1897" s="33">
        <v>30</v>
      </c>
    </row>
    <row r="1898" spans="2:3" x14ac:dyDescent="0.25">
      <c r="B1898" s="33" t="s">
        <v>3389</v>
      </c>
      <c r="C1898" s="33">
        <v>30</v>
      </c>
    </row>
    <row r="1899" spans="2:3" x14ac:dyDescent="0.25">
      <c r="B1899" s="33" t="s">
        <v>3390</v>
      </c>
      <c r="C1899" s="33">
        <v>30</v>
      </c>
    </row>
    <row r="1900" spans="2:3" x14ac:dyDescent="0.25">
      <c r="B1900" s="33" t="s">
        <v>3391</v>
      </c>
      <c r="C1900" s="33">
        <v>30</v>
      </c>
    </row>
    <row r="1901" spans="2:3" x14ac:dyDescent="0.25">
      <c r="B1901" s="33" t="s">
        <v>3392</v>
      </c>
      <c r="C1901" s="33">
        <v>30</v>
      </c>
    </row>
    <row r="1902" spans="2:3" x14ac:dyDescent="0.25">
      <c r="B1902" s="33" t="s">
        <v>3393</v>
      </c>
      <c r="C1902" s="33">
        <v>30</v>
      </c>
    </row>
    <row r="1903" spans="2:3" x14ac:dyDescent="0.25">
      <c r="B1903" s="33" t="s">
        <v>3394</v>
      </c>
      <c r="C1903" s="33">
        <v>30</v>
      </c>
    </row>
    <row r="1904" spans="2:3" x14ac:dyDescent="0.25">
      <c r="B1904" s="33" t="s">
        <v>3395</v>
      </c>
      <c r="C1904" s="33">
        <v>30</v>
      </c>
    </row>
    <row r="1905" spans="2:3" x14ac:dyDescent="0.25">
      <c r="B1905" s="33" t="s">
        <v>3396</v>
      </c>
      <c r="C1905" s="33">
        <v>30</v>
      </c>
    </row>
    <row r="1906" spans="2:3" x14ac:dyDescent="0.25">
      <c r="B1906" s="33" t="s">
        <v>3397</v>
      </c>
      <c r="C1906" s="33">
        <v>30</v>
      </c>
    </row>
    <row r="1907" spans="2:3" x14ac:dyDescent="0.25">
      <c r="B1907" s="33" t="s">
        <v>3398</v>
      </c>
      <c r="C1907" s="33">
        <v>30</v>
      </c>
    </row>
    <row r="1908" spans="2:3" x14ac:dyDescent="0.25">
      <c r="B1908" s="33" t="s">
        <v>3399</v>
      </c>
      <c r="C1908" s="33">
        <v>30</v>
      </c>
    </row>
    <row r="1909" spans="2:3" x14ac:dyDescent="0.25">
      <c r="B1909" s="33" t="s">
        <v>3400</v>
      </c>
      <c r="C1909" s="33">
        <v>30</v>
      </c>
    </row>
    <row r="1910" spans="2:3" x14ac:dyDescent="0.25">
      <c r="B1910" s="33" t="s">
        <v>3401</v>
      </c>
      <c r="C1910" s="33">
        <v>30</v>
      </c>
    </row>
    <row r="1911" spans="2:3" x14ac:dyDescent="0.25">
      <c r="B1911" s="33" t="s">
        <v>3402</v>
      </c>
      <c r="C1911" s="33">
        <v>30</v>
      </c>
    </row>
    <row r="1912" spans="2:3" x14ac:dyDescent="0.25">
      <c r="B1912" s="33" t="s">
        <v>3403</v>
      </c>
      <c r="C1912" s="33">
        <v>30</v>
      </c>
    </row>
    <row r="1913" spans="2:3" x14ac:dyDescent="0.25">
      <c r="B1913" s="33" t="s">
        <v>3404</v>
      </c>
      <c r="C1913" s="33">
        <v>30</v>
      </c>
    </row>
    <row r="1914" spans="2:3" x14ac:dyDescent="0.25">
      <c r="B1914" s="33" t="s">
        <v>3405</v>
      </c>
      <c r="C1914" s="33">
        <v>30</v>
      </c>
    </row>
    <row r="1915" spans="2:3" x14ac:dyDescent="0.25">
      <c r="B1915" s="33" t="s">
        <v>3406</v>
      </c>
      <c r="C1915" s="33">
        <v>30</v>
      </c>
    </row>
    <row r="1916" spans="2:3" x14ac:dyDescent="0.25">
      <c r="B1916" s="33" t="s">
        <v>3407</v>
      </c>
      <c r="C1916" s="33">
        <v>30</v>
      </c>
    </row>
    <row r="1917" spans="2:3" x14ac:dyDescent="0.25">
      <c r="B1917" s="33" t="s">
        <v>3408</v>
      </c>
      <c r="C1917" s="33">
        <v>30</v>
      </c>
    </row>
    <row r="1918" spans="2:3" x14ac:dyDescent="0.25">
      <c r="B1918" s="33" t="s">
        <v>3409</v>
      </c>
      <c r="C1918" s="33">
        <v>30</v>
      </c>
    </row>
    <row r="1919" spans="2:3" x14ac:dyDescent="0.25">
      <c r="B1919" s="33" t="s">
        <v>3410</v>
      </c>
      <c r="C1919" s="33">
        <v>30</v>
      </c>
    </row>
    <row r="1920" spans="2:3" x14ac:dyDescent="0.25">
      <c r="B1920" s="33" t="s">
        <v>3411</v>
      </c>
      <c r="C1920" s="33">
        <v>30</v>
      </c>
    </row>
    <row r="1921" spans="2:3" x14ac:dyDescent="0.25">
      <c r="B1921" s="33" t="s">
        <v>3412</v>
      </c>
      <c r="C1921" s="33">
        <v>30</v>
      </c>
    </row>
    <row r="1922" spans="2:3" x14ac:dyDescent="0.25">
      <c r="B1922" s="33" t="s">
        <v>3413</v>
      </c>
      <c r="C1922" s="33">
        <v>30</v>
      </c>
    </row>
    <row r="1923" spans="2:3" x14ac:dyDescent="0.25">
      <c r="B1923" s="33" t="s">
        <v>3414</v>
      </c>
      <c r="C1923" s="33">
        <v>30</v>
      </c>
    </row>
    <row r="1924" spans="2:3" x14ac:dyDescent="0.25">
      <c r="B1924" s="33" t="s">
        <v>3415</v>
      </c>
      <c r="C1924" s="33">
        <v>30</v>
      </c>
    </row>
    <row r="1925" spans="2:3" x14ac:dyDescent="0.25">
      <c r="B1925" s="33" t="s">
        <v>3416</v>
      </c>
      <c r="C1925" s="33">
        <v>30</v>
      </c>
    </row>
    <row r="1926" spans="2:3" x14ac:dyDescent="0.25">
      <c r="B1926" s="33" t="s">
        <v>3417</v>
      </c>
      <c r="C1926" s="33">
        <v>30</v>
      </c>
    </row>
    <row r="1927" spans="2:3" x14ac:dyDescent="0.25">
      <c r="B1927" s="33" t="s">
        <v>3418</v>
      </c>
      <c r="C1927" s="33">
        <v>30</v>
      </c>
    </row>
    <row r="1928" spans="2:3" x14ac:dyDescent="0.25">
      <c r="B1928" s="33" t="s">
        <v>3419</v>
      </c>
      <c r="C1928" s="33">
        <v>30</v>
      </c>
    </row>
    <row r="1929" spans="2:3" x14ac:dyDescent="0.25">
      <c r="B1929" s="33" t="s">
        <v>3420</v>
      </c>
      <c r="C1929" s="33">
        <v>30</v>
      </c>
    </row>
    <row r="1930" spans="2:3" x14ac:dyDescent="0.25">
      <c r="B1930" s="33" t="s">
        <v>3421</v>
      </c>
      <c r="C1930" s="33">
        <v>30</v>
      </c>
    </row>
    <row r="1931" spans="2:3" x14ac:dyDescent="0.25">
      <c r="B1931" s="33" t="s">
        <v>3422</v>
      </c>
      <c r="C1931" s="33">
        <v>30</v>
      </c>
    </row>
    <row r="1932" spans="2:3" x14ac:dyDescent="0.25">
      <c r="B1932" s="33" t="s">
        <v>3423</v>
      </c>
      <c r="C1932" s="33">
        <v>30</v>
      </c>
    </row>
    <row r="1933" spans="2:3" x14ac:dyDescent="0.25">
      <c r="B1933" s="33" t="s">
        <v>3424</v>
      </c>
      <c r="C1933" s="33">
        <v>30</v>
      </c>
    </row>
    <row r="1934" spans="2:3" x14ac:dyDescent="0.25">
      <c r="B1934" s="33" t="s">
        <v>3425</v>
      </c>
      <c r="C1934" s="33">
        <v>30</v>
      </c>
    </row>
    <row r="1935" spans="2:3" x14ac:dyDescent="0.25">
      <c r="B1935" s="33" t="s">
        <v>3426</v>
      </c>
      <c r="C1935" s="33">
        <v>30</v>
      </c>
    </row>
    <row r="1936" spans="2:3" x14ac:dyDescent="0.25">
      <c r="B1936" s="33" t="s">
        <v>3427</v>
      </c>
      <c r="C1936" s="33">
        <v>30</v>
      </c>
    </row>
    <row r="1937" spans="2:3" x14ac:dyDescent="0.25">
      <c r="B1937" s="33" t="s">
        <v>3428</v>
      </c>
      <c r="C1937" s="33">
        <v>30</v>
      </c>
    </row>
    <row r="1938" spans="2:3" x14ac:dyDescent="0.25">
      <c r="B1938" s="33" t="s">
        <v>3429</v>
      </c>
      <c r="C1938" s="33">
        <v>30</v>
      </c>
    </row>
    <row r="1939" spans="2:3" x14ac:dyDescent="0.25">
      <c r="B1939" s="33" t="s">
        <v>3430</v>
      </c>
      <c r="C1939" s="33">
        <v>30</v>
      </c>
    </row>
    <row r="1940" spans="2:3" x14ac:dyDescent="0.25">
      <c r="B1940" s="33" t="s">
        <v>3431</v>
      </c>
      <c r="C1940" s="33">
        <v>30</v>
      </c>
    </row>
    <row r="1941" spans="2:3" x14ac:dyDescent="0.25">
      <c r="B1941" s="33" t="s">
        <v>3432</v>
      </c>
      <c r="C1941" s="33">
        <v>30</v>
      </c>
    </row>
    <row r="1942" spans="2:3" x14ac:dyDescent="0.25">
      <c r="B1942" s="33" t="s">
        <v>3433</v>
      </c>
      <c r="C1942" s="33">
        <v>30</v>
      </c>
    </row>
    <row r="1943" spans="2:3" x14ac:dyDescent="0.25">
      <c r="B1943" s="33" t="s">
        <v>3434</v>
      </c>
      <c r="C1943" s="33">
        <v>30</v>
      </c>
    </row>
    <row r="1944" spans="2:3" x14ac:dyDescent="0.25">
      <c r="B1944" s="33" t="s">
        <v>3435</v>
      </c>
      <c r="C1944" s="33">
        <v>30</v>
      </c>
    </row>
    <row r="1945" spans="2:3" x14ac:dyDescent="0.25">
      <c r="B1945" s="33" t="s">
        <v>3436</v>
      </c>
      <c r="C1945" s="33">
        <v>30</v>
      </c>
    </row>
    <row r="1946" spans="2:3" x14ac:dyDescent="0.25">
      <c r="B1946" s="33" t="s">
        <v>3437</v>
      </c>
      <c r="C1946" s="33">
        <v>30</v>
      </c>
    </row>
    <row r="1947" spans="2:3" x14ac:dyDescent="0.25">
      <c r="B1947" s="33" t="s">
        <v>3438</v>
      </c>
      <c r="C1947" s="33">
        <v>30</v>
      </c>
    </row>
    <row r="1948" spans="2:3" x14ac:dyDescent="0.25">
      <c r="B1948" s="33" t="s">
        <v>3439</v>
      </c>
      <c r="C1948" s="33">
        <v>30</v>
      </c>
    </row>
    <row r="1949" spans="2:3" x14ac:dyDescent="0.25">
      <c r="B1949" s="33" t="s">
        <v>3440</v>
      </c>
      <c r="C1949" s="33">
        <v>30</v>
      </c>
    </row>
    <row r="1950" spans="2:3" x14ac:dyDescent="0.25">
      <c r="B1950" s="33" t="s">
        <v>3441</v>
      </c>
      <c r="C1950" s="33">
        <v>30</v>
      </c>
    </row>
    <row r="1951" spans="2:3" x14ac:dyDescent="0.25">
      <c r="B1951" s="33" t="s">
        <v>3442</v>
      </c>
      <c r="C1951" s="33">
        <v>30</v>
      </c>
    </row>
    <row r="1952" spans="2:3" x14ac:dyDescent="0.25">
      <c r="B1952" s="33" t="s">
        <v>3443</v>
      </c>
      <c r="C1952" s="33">
        <v>30</v>
      </c>
    </row>
    <row r="1953" spans="2:3" x14ac:dyDescent="0.25">
      <c r="B1953" s="33" t="s">
        <v>3444</v>
      </c>
      <c r="C1953" s="33">
        <v>30</v>
      </c>
    </row>
    <row r="1954" spans="2:3" x14ac:dyDescent="0.25">
      <c r="B1954" s="33" t="s">
        <v>3445</v>
      </c>
      <c r="C1954" s="33">
        <v>30</v>
      </c>
    </row>
    <row r="1955" spans="2:3" x14ac:dyDescent="0.25">
      <c r="B1955" s="33" t="s">
        <v>3446</v>
      </c>
      <c r="C1955" s="33">
        <v>30</v>
      </c>
    </row>
    <row r="1956" spans="2:3" x14ac:dyDescent="0.25">
      <c r="B1956" s="33" t="s">
        <v>3447</v>
      </c>
      <c r="C1956" s="33">
        <v>30</v>
      </c>
    </row>
    <row r="1957" spans="2:3" x14ac:dyDescent="0.25">
      <c r="B1957" s="33" t="s">
        <v>3448</v>
      </c>
      <c r="C1957" s="33">
        <v>30</v>
      </c>
    </row>
    <row r="1958" spans="2:3" x14ac:dyDescent="0.25">
      <c r="B1958" s="33" t="s">
        <v>3449</v>
      </c>
      <c r="C1958" s="33">
        <v>30</v>
      </c>
    </row>
    <row r="1959" spans="2:3" x14ac:dyDescent="0.25">
      <c r="B1959" s="33" t="s">
        <v>3450</v>
      </c>
      <c r="C1959" s="33">
        <v>30</v>
      </c>
    </row>
    <row r="1960" spans="2:3" x14ac:dyDescent="0.25">
      <c r="B1960" s="33" t="s">
        <v>3451</v>
      </c>
      <c r="C1960" s="33">
        <v>30</v>
      </c>
    </row>
    <row r="1961" spans="2:3" x14ac:dyDescent="0.25">
      <c r="B1961" s="33" t="s">
        <v>3452</v>
      </c>
      <c r="C1961" s="33">
        <v>30</v>
      </c>
    </row>
    <row r="1962" spans="2:3" x14ac:dyDescent="0.25">
      <c r="B1962" s="33" t="s">
        <v>3453</v>
      </c>
      <c r="C1962" s="33">
        <v>30</v>
      </c>
    </row>
    <row r="1963" spans="2:3" x14ac:dyDescent="0.25">
      <c r="B1963" s="33" t="s">
        <v>3454</v>
      </c>
      <c r="C1963" s="33">
        <v>30</v>
      </c>
    </row>
    <row r="1964" spans="2:3" x14ac:dyDescent="0.25">
      <c r="B1964" s="33" t="s">
        <v>3455</v>
      </c>
      <c r="C1964" s="33">
        <v>30</v>
      </c>
    </row>
    <row r="1965" spans="2:3" x14ac:dyDescent="0.25">
      <c r="B1965" s="33" t="s">
        <v>3456</v>
      </c>
      <c r="C1965" s="33">
        <v>30</v>
      </c>
    </row>
    <row r="1966" spans="2:3" x14ac:dyDescent="0.25">
      <c r="B1966" s="33" t="s">
        <v>3457</v>
      </c>
      <c r="C1966" s="33">
        <v>30</v>
      </c>
    </row>
    <row r="1967" spans="2:3" x14ac:dyDescent="0.25">
      <c r="B1967" s="33" t="s">
        <v>3458</v>
      </c>
      <c r="C1967" s="33">
        <v>30</v>
      </c>
    </row>
    <row r="1968" spans="2:3" x14ac:dyDescent="0.25">
      <c r="B1968" s="33" t="s">
        <v>3459</v>
      </c>
      <c r="C1968" s="33">
        <v>30</v>
      </c>
    </row>
    <row r="1969" spans="2:3" x14ac:dyDescent="0.25">
      <c r="B1969" s="33" t="s">
        <v>3460</v>
      </c>
      <c r="C1969" s="33">
        <v>30</v>
      </c>
    </row>
    <row r="1970" spans="2:3" x14ac:dyDescent="0.25">
      <c r="B1970" s="33" t="s">
        <v>3461</v>
      </c>
      <c r="C1970" s="33">
        <v>30</v>
      </c>
    </row>
    <row r="1971" spans="2:3" x14ac:dyDescent="0.25">
      <c r="B1971" s="33" t="s">
        <v>3462</v>
      </c>
      <c r="C1971" s="33">
        <v>30</v>
      </c>
    </row>
    <row r="1972" spans="2:3" x14ac:dyDescent="0.25">
      <c r="B1972" s="33" t="s">
        <v>3463</v>
      </c>
      <c r="C1972" s="33">
        <v>30</v>
      </c>
    </row>
    <row r="1973" spans="2:3" x14ac:dyDescent="0.25">
      <c r="B1973" s="33" t="s">
        <v>3464</v>
      </c>
      <c r="C1973" s="33">
        <v>30</v>
      </c>
    </row>
    <row r="1974" spans="2:3" x14ac:dyDescent="0.25">
      <c r="B1974" s="33" t="s">
        <v>3465</v>
      </c>
      <c r="C1974" s="33">
        <v>30</v>
      </c>
    </row>
    <row r="1975" spans="2:3" x14ac:dyDescent="0.25">
      <c r="B1975" s="33" t="s">
        <v>3466</v>
      </c>
      <c r="C1975" s="33">
        <v>30</v>
      </c>
    </row>
    <row r="1976" spans="2:3" x14ac:dyDescent="0.25">
      <c r="B1976" s="33" t="s">
        <v>3467</v>
      </c>
      <c r="C1976" s="33">
        <v>30</v>
      </c>
    </row>
    <row r="1977" spans="2:3" x14ac:dyDescent="0.25">
      <c r="B1977" s="33" t="s">
        <v>3468</v>
      </c>
      <c r="C1977" s="33">
        <v>30</v>
      </c>
    </row>
    <row r="1978" spans="2:3" x14ac:dyDescent="0.25">
      <c r="B1978" s="33" t="s">
        <v>3469</v>
      </c>
      <c r="C1978" s="33">
        <v>30</v>
      </c>
    </row>
    <row r="1979" spans="2:3" x14ac:dyDescent="0.25">
      <c r="B1979" s="33" t="s">
        <v>3470</v>
      </c>
      <c r="C1979" s="33">
        <v>30</v>
      </c>
    </row>
    <row r="1980" spans="2:3" x14ac:dyDescent="0.25">
      <c r="B1980" s="33" t="s">
        <v>3471</v>
      </c>
      <c r="C1980" s="33">
        <v>30</v>
      </c>
    </row>
    <row r="1981" spans="2:3" x14ac:dyDescent="0.25">
      <c r="B1981" s="33" t="s">
        <v>3472</v>
      </c>
      <c r="C1981" s="33">
        <v>30</v>
      </c>
    </row>
    <row r="1982" spans="2:3" x14ac:dyDescent="0.25">
      <c r="B1982" s="33" t="s">
        <v>3473</v>
      </c>
      <c r="C1982" s="33">
        <v>30</v>
      </c>
    </row>
    <row r="1983" spans="2:3" x14ac:dyDescent="0.25">
      <c r="B1983" s="33" t="s">
        <v>3474</v>
      </c>
      <c r="C1983" s="33">
        <v>30</v>
      </c>
    </row>
    <row r="1984" spans="2:3" x14ac:dyDescent="0.25">
      <c r="B1984" s="33" t="s">
        <v>3475</v>
      </c>
      <c r="C1984" s="33">
        <v>30</v>
      </c>
    </row>
    <row r="1985" spans="2:3" x14ac:dyDescent="0.25">
      <c r="B1985" s="33" t="s">
        <v>3476</v>
      </c>
      <c r="C1985" s="33">
        <v>30</v>
      </c>
    </row>
    <row r="1986" spans="2:3" x14ac:dyDescent="0.25">
      <c r="B1986" s="33" t="s">
        <v>3477</v>
      </c>
      <c r="C1986" s="33">
        <v>30</v>
      </c>
    </row>
    <row r="1987" spans="2:3" x14ac:dyDescent="0.25">
      <c r="B1987" s="33" t="s">
        <v>3478</v>
      </c>
      <c r="C1987" s="33">
        <v>30</v>
      </c>
    </row>
    <row r="1988" spans="2:3" x14ac:dyDescent="0.25">
      <c r="B1988" s="33" t="s">
        <v>3479</v>
      </c>
      <c r="C1988" s="33">
        <v>30</v>
      </c>
    </row>
    <row r="1989" spans="2:3" x14ac:dyDescent="0.25">
      <c r="B1989" s="33" t="s">
        <v>3480</v>
      </c>
      <c r="C1989" s="33">
        <v>30</v>
      </c>
    </row>
    <row r="1990" spans="2:3" x14ac:dyDescent="0.25">
      <c r="B1990" s="33" t="s">
        <v>3481</v>
      </c>
      <c r="C1990" s="33">
        <v>30</v>
      </c>
    </row>
    <row r="1991" spans="2:3" x14ac:dyDescent="0.25">
      <c r="B1991" s="33" t="s">
        <v>3482</v>
      </c>
      <c r="C1991" s="33">
        <v>30</v>
      </c>
    </row>
    <row r="1992" spans="2:3" x14ac:dyDescent="0.25">
      <c r="B1992" s="33" t="s">
        <v>3483</v>
      </c>
      <c r="C1992" s="33">
        <v>30</v>
      </c>
    </row>
    <row r="1993" spans="2:3" x14ac:dyDescent="0.25">
      <c r="B1993" s="33" t="s">
        <v>3484</v>
      </c>
      <c r="C1993" s="33">
        <v>30</v>
      </c>
    </row>
    <row r="1994" spans="2:3" x14ac:dyDescent="0.25">
      <c r="B1994" s="33" t="s">
        <v>3485</v>
      </c>
      <c r="C1994" s="33">
        <v>30</v>
      </c>
    </row>
    <row r="1995" spans="2:3" x14ac:dyDescent="0.25">
      <c r="B1995" s="33" t="s">
        <v>3486</v>
      </c>
      <c r="C1995" s="33">
        <v>30</v>
      </c>
    </row>
    <row r="1996" spans="2:3" x14ac:dyDescent="0.25">
      <c r="B1996" s="33" t="s">
        <v>3487</v>
      </c>
      <c r="C1996" s="33">
        <v>30</v>
      </c>
    </row>
    <row r="1997" spans="2:3" x14ac:dyDescent="0.25">
      <c r="B1997" s="33" t="s">
        <v>3488</v>
      </c>
      <c r="C1997" s="33">
        <v>30</v>
      </c>
    </row>
    <row r="1998" spans="2:3" x14ac:dyDescent="0.25">
      <c r="B1998" s="33" t="s">
        <v>3489</v>
      </c>
      <c r="C1998" s="33">
        <v>30</v>
      </c>
    </row>
    <row r="1999" spans="2:3" x14ac:dyDescent="0.25">
      <c r="B1999" s="33" t="s">
        <v>3490</v>
      </c>
      <c r="C1999" s="33">
        <v>30</v>
      </c>
    </row>
    <row r="2000" spans="2:3" x14ac:dyDescent="0.25">
      <c r="B2000" s="33" t="s">
        <v>3491</v>
      </c>
      <c r="C2000" s="33">
        <v>30</v>
      </c>
    </row>
    <row r="2001" spans="2:3" x14ac:dyDescent="0.25">
      <c r="B2001" s="33" t="s">
        <v>3492</v>
      </c>
      <c r="C2001" s="33">
        <v>30</v>
      </c>
    </row>
    <row r="2002" spans="2:3" x14ac:dyDescent="0.25">
      <c r="B2002" s="33" t="s">
        <v>3493</v>
      </c>
      <c r="C2002" s="33">
        <v>30</v>
      </c>
    </row>
    <row r="2003" spans="2:3" x14ac:dyDescent="0.25">
      <c r="B2003" s="33" t="s">
        <v>3494</v>
      </c>
      <c r="C2003" s="33">
        <v>30</v>
      </c>
    </row>
    <row r="2004" spans="2:3" x14ac:dyDescent="0.25">
      <c r="B2004" s="33" t="s">
        <v>3495</v>
      </c>
      <c r="C2004" s="33">
        <v>30</v>
      </c>
    </row>
    <row r="2005" spans="2:3" x14ac:dyDescent="0.25">
      <c r="B2005" s="33" t="s">
        <v>3496</v>
      </c>
      <c r="C2005" s="33">
        <v>30</v>
      </c>
    </row>
    <row r="2006" spans="2:3" x14ac:dyDescent="0.25">
      <c r="B2006" s="33" t="s">
        <v>3497</v>
      </c>
      <c r="C2006" s="33">
        <v>30</v>
      </c>
    </row>
    <row r="2007" spans="2:3" x14ac:dyDescent="0.25">
      <c r="B2007" s="33" t="s">
        <v>3498</v>
      </c>
      <c r="C2007" s="33">
        <v>30</v>
      </c>
    </row>
    <row r="2008" spans="2:3" x14ac:dyDescent="0.25">
      <c r="B2008" s="33" t="s">
        <v>3499</v>
      </c>
      <c r="C2008" s="33">
        <v>30</v>
      </c>
    </row>
    <row r="2009" spans="2:3" x14ac:dyDescent="0.25">
      <c r="B2009" s="33" t="s">
        <v>3500</v>
      </c>
      <c r="C2009" s="33">
        <v>30</v>
      </c>
    </row>
    <row r="2010" spans="2:3" x14ac:dyDescent="0.25">
      <c r="B2010" s="33" t="s">
        <v>3501</v>
      </c>
      <c r="C2010" s="33">
        <v>30</v>
      </c>
    </row>
    <row r="2011" spans="2:3" x14ac:dyDescent="0.25">
      <c r="B2011" s="33" t="s">
        <v>3502</v>
      </c>
      <c r="C2011" s="33">
        <v>30</v>
      </c>
    </row>
    <row r="2012" spans="2:3" x14ac:dyDescent="0.25">
      <c r="B2012" s="33" t="s">
        <v>3503</v>
      </c>
      <c r="C2012" s="33">
        <v>30</v>
      </c>
    </row>
    <row r="2013" spans="2:3" x14ac:dyDescent="0.25">
      <c r="B2013" s="33" t="s">
        <v>3504</v>
      </c>
      <c r="C2013" s="33">
        <v>30</v>
      </c>
    </row>
    <row r="2014" spans="2:3" x14ac:dyDescent="0.25">
      <c r="B2014" s="33" t="s">
        <v>3505</v>
      </c>
      <c r="C2014" s="33">
        <v>30</v>
      </c>
    </row>
    <row r="2015" spans="2:3" x14ac:dyDescent="0.25">
      <c r="B2015" s="33" t="s">
        <v>3506</v>
      </c>
      <c r="C2015" s="33">
        <v>30</v>
      </c>
    </row>
    <row r="2016" spans="2:3" x14ac:dyDescent="0.25">
      <c r="B2016" s="33" t="s">
        <v>3507</v>
      </c>
      <c r="C2016" s="33">
        <v>30</v>
      </c>
    </row>
    <row r="2017" spans="2:3" x14ac:dyDescent="0.25">
      <c r="B2017" s="33" t="s">
        <v>3508</v>
      </c>
      <c r="C2017" s="33">
        <v>30</v>
      </c>
    </row>
    <row r="2018" spans="2:3" x14ac:dyDescent="0.25">
      <c r="B2018" s="33" t="s">
        <v>3509</v>
      </c>
      <c r="C2018" s="33">
        <v>30</v>
      </c>
    </row>
    <row r="2019" spans="2:3" x14ac:dyDescent="0.25">
      <c r="B2019" s="33" t="s">
        <v>3510</v>
      </c>
      <c r="C2019" s="33">
        <v>30</v>
      </c>
    </row>
    <row r="2020" spans="2:3" x14ac:dyDescent="0.25">
      <c r="B2020" s="33" t="s">
        <v>3511</v>
      </c>
      <c r="C2020" s="33">
        <v>30</v>
      </c>
    </row>
    <row r="2021" spans="2:3" x14ac:dyDescent="0.25">
      <c r="B2021" s="33" t="s">
        <v>3512</v>
      </c>
      <c r="C2021" s="33">
        <v>30</v>
      </c>
    </row>
    <row r="2022" spans="2:3" x14ac:dyDescent="0.25">
      <c r="B2022" s="33" t="s">
        <v>3513</v>
      </c>
      <c r="C2022" s="33">
        <v>30</v>
      </c>
    </row>
    <row r="2023" spans="2:3" x14ac:dyDescent="0.25">
      <c r="B2023" s="33" t="s">
        <v>3514</v>
      </c>
      <c r="C2023" s="33">
        <v>30</v>
      </c>
    </row>
    <row r="2024" spans="2:3" x14ac:dyDescent="0.25">
      <c r="B2024" s="33" t="s">
        <v>3515</v>
      </c>
      <c r="C2024" s="33">
        <v>30</v>
      </c>
    </row>
    <row r="2025" spans="2:3" x14ac:dyDescent="0.25">
      <c r="B2025" s="33" t="s">
        <v>3516</v>
      </c>
      <c r="C2025" s="33">
        <v>30</v>
      </c>
    </row>
    <row r="2026" spans="2:3" x14ac:dyDescent="0.25">
      <c r="B2026" s="33" t="s">
        <v>3517</v>
      </c>
      <c r="C2026" s="33">
        <v>30</v>
      </c>
    </row>
    <row r="2027" spans="2:3" x14ac:dyDescent="0.25">
      <c r="B2027" s="33" t="s">
        <v>3518</v>
      </c>
      <c r="C2027" s="33">
        <v>30</v>
      </c>
    </row>
    <row r="2028" spans="2:3" x14ac:dyDescent="0.25">
      <c r="B2028" s="33" t="s">
        <v>3519</v>
      </c>
      <c r="C2028" s="33">
        <v>30</v>
      </c>
    </row>
    <row r="2029" spans="2:3" x14ac:dyDescent="0.25">
      <c r="B2029" s="33" t="s">
        <v>3520</v>
      </c>
      <c r="C2029" s="33">
        <v>30</v>
      </c>
    </row>
    <row r="2030" spans="2:3" x14ac:dyDescent="0.25">
      <c r="B2030" s="33" t="s">
        <v>3521</v>
      </c>
      <c r="C2030" s="33">
        <v>30</v>
      </c>
    </row>
    <row r="2031" spans="2:3" x14ac:dyDescent="0.25">
      <c r="B2031" s="33" t="s">
        <v>3522</v>
      </c>
      <c r="C2031" s="33">
        <v>30</v>
      </c>
    </row>
    <row r="2032" spans="2:3" x14ac:dyDescent="0.25">
      <c r="B2032" s="33" t="s">
        <v>3523</v>
      </c>
      <c r="C2032" s="33">
        <v>30</v>
      </c>
    </row>
    <row r="2033" spans="2:3" x14ac:dyDescent="0.25">
      <c r="B2033" s="33" t="s">
        <v>3524</v>
      </c>
      <c r="C2033" s="33">
        <v>30</v>
      </c>
    </row>
    <row r="2034" spans="2:3" x14ac:dyDescent="0.25">
      <c r="B2034" s="33" t="s">
        <v>3525</v>
      </c>
      <c r="C2034" s="33">
        <v>30</v>
      </c>
    </row>
    <row r="2035" spans="2:3" x14ac:dyDescent="0.25">
      <c r="B2035" s="33" t="s">
        <v>3526</v>
      </c>
      <c r="C2035" s="33">
        <v>30</v>
      </c>
    </row>
    <row r="2036" spans="2:3" x14ac:dyDescent="0.25">
      <c r="B2036" s="33" t="s">
        <v>3527</v>
      </c>
      <c r="C2036" s="33">
        <v>30</v>
      </c>
    </row>
    <row r="2037" spans="2:3" x14ac:dyDescent="0.25">
      <c r="B2037" s="33" t="s">
        <v>3528</v>
      </c>
      <c r="C2037" s="33">
        <v>30</v>
      </c>
    </row>
    <row r="2038" spans="2:3" x14ac:dyDescent="0.25">
      <c r="B2038" s="33" t="s">
        <v>3529</v>
      </c>
      <c r="C2038" s="33">
        <v>30</v>
      </c>
    </row>
    <row r="2039" spans="2:3" x14ac:dyDescent="0.25">
      <c r="B2039" s="33" t="s">
        <v>3530</v>
      </c>
      <c r="C2039" s="33">
        <v>30</v>
      </c>
    </row>
    <row r="2040" spans="2:3" x14ac:dyDescent="0.25">
      <c r="B2040" s="33" t="s">
        <v>3531</v>
      </c>
      <c r="C2040" s="33">
        <v>30</v>
      </c>
    </row>
    <row r="2041" spans="2:3" x14ac:dyDescent="0.25">
      <c r="B2041" s="33" t="s">
        <v>3532</v>
      </c>
      <c r="C2041" s="33">
        <v>30</v>
      </c>
    </row>
    <row r="2042" spans="2:3" x14ac:dyDescent="0.25">
      <c r="B2042" s="33" t="s">
        <v>3533</v>
      </c>
      <c r="C2042" s="33">
        <v>30</v>
      </c>
    </row>
    <row r="2043" spans="2:3" x14ac:dyDescent="0.25">
      <c r="B2043" s="33" t="s">
        <v>3534</v>
      </c>
      <c r="C2043" s="33">
        <v>30</v>
      </c>
    </row>
    <row r="2044" spans="2:3" x14ac:dyDescent="0.25">
      <c r="B2044" s="33" t="s">
        <v>3535</v>
      </c>
      <c r="C2044" s="33">
        <v>30</v>
      </c>
    </row>
    <row r="2045" spans="2:3" x14ac:dyDescent="0.25">
      <c r="B2045" s="33" t="s">
        <v>3536</v>
      </c>
      <c r="C2045" s="33">
        <v>30</v>
      </c>
    </row>
    <row r="2046" spans="2:3" x14ac:dyDescent="0.25">
      <c r="B2046" s="33" t="s">
        <v>3537</v>
      </c>
      <c r="C2046" s="33">
        <v>30</v>
      </c>
    </row>
    <row r="2047" spans="2:3" x14ac:dyDescent="0.25">
      <c r="B2047" s="33" t="s">
        <v>3538</v>
      </c>
      <c r="C2047" s="33">
        <v>30</v>
      </c>
    </row>
    <row r="2048" spans="2:3" x14ac:dyDescent="0.25">
      <c r="B2048" s="33" t="s">
        <v>3539</v>
      </c>
      <c r="C2048" s="33">
        <v>30</v>
      </c>
    </row>
    <row r="2049" spans="2:3" x14ac:dyDescent="0.25">
      <c r="B2049" s="33" t="s">
        <v>3540</v>
      </c>
      <c r="C2049" s="33">
        <v>30</v>
      </c>
    </row>
    <row r="2050" spans="2:3" x14ac:dyDescent="0.25">
      <c r="B2050" s="33" t="s">
        <v>3541</v>
      </c>
      <c r="C2050" s="33">
        <v>30</v>
      </c>
    </row>
    <row r="2051" spans="2:3" x14ac:dyDescent="0.25">
      <c r="B2051" s="33" t="s">
        <v>3542</v>
      </c>
      <c r="C2051" s="33">
        <v>30</v>
      </c>
    </row>
    <row r="2052" spans="2:3" x14ac:dyDescent="0.25">
      <c r="B2052" s="33" t="s">
        <v>3543</v>
      </c>
      <c r="C2052" s="33">
        <v>30</v>
      </c>
    </row>
    <row r="2053" spans="2:3" x14ac:dyDescent="0.25">
      <c r="B2053" s="33" t="s">
        <v>3544</v>
      </c>
      <c r="C2053" s="33">
        <v>30</v>
      </c>
    </row>
    <row r="2054" spans="2:3" x14ac:dyDescent="0.25">
      <c r="B2054" s="33" t="s">
        <v>3545</v>
      </c>
      <c r="C2054" s="33">
        <v>30</v>
      </c>
    </row>
    <row r="2055" spans="2:3" x14ac:dyDescent="0.25">
      <c r="B2055" s="33" t="s">
        <v>3546</v>
      </c>
      <c r="C2055" s="33">
        <v>30</v>
      </c>
    </row>
    <row r="2056" spans="2:3" x14ac:dyDescent="0.25">
      <c r="B2056" s="33" t="s">
        <v>3547</v>
      </c>
      <c r="C2056" s="33">
        <v>30</v>
      </c>
    </row>
    <row r="2057" spans="2:3" x14ac:dyDescent="0.25">
      <c r="B2057" s="33" t="s">
        <v>3548</v>
      </c>
      <c r="C2057" s="33">
        <v>30</v>
      </c>
    </row>
    <row r="2058" spans="2:3" x14ac:dyDescent="0.25">
      <c r="B2058" s="33" t="s">
        <v>3549</v>
      </c>
      <c r="C2058" s="33">
        <v>30</v>
      </c>
    </row>
    <row r="2059" spans="2:3" x14ac:dyDescent="0.25">
      <c r="B2059" s="33" t="s">
        <v>3550</v>
      </c>
      <c r="C2059" s="33">
        <v>30</v>
      </c>
    </row>
    <row r="2060" spans="2:3" x14ac:dyDescent="0.25">
      <c r="B2060" s="33" t="s">
        <v>3551</v>
      </c>
      <c r="C2060" s="33">
        <v>30</v>
      </c>
    </row>
    <row r="2061" spans="2:3" x14ac:dyDescent="0.25">
      <c r="B2061" s="33" t="s">
        <v>3552</v>
      </c>
      <c r="C2061" s="33">
        <v>30</v>
      </c>
    </row>
    <row r="2062" spans="2:3" x14ac:dyDescent="0.25">
      <c r="B2062" s="33" t="s">
        <v>3553</v>
      </c>
      <c r="C2062" s="33">
        <v>30</v>
      </c>
    </row>
    <row r="2063" spans="2:3" x14ac:dyDescent="0.25">
      <c r="B2063" s="33" t="s">
        <v>3554</v>
      </c>
      <c r="C2063" s="33">
        <v>30</v>
      </c>
    </row>
    <row r="2064" spans="2:3" x14ac:dyDescent="0.25">
      <c r="B2064" s="33" t="s">
        <v>3555</v>
      </c>
      <c r="C2064" s="33">
        <v>30</v>
      </c>
    </row>
    <row r="2065" spans="2:3" x14ac:dyDescent="0.25">
      <c r="B2065" s="33" t="s">
        <v>3556</v>
      </c>
      <c r="C2065" s="33">
        <v>30</v>
      </c>
    </row>
    <row r="2066" spans="2:3" x14ac:dyDescent="0.25">
      <c r="B2066" s="33" t="s">
        <v>3557</v>
      </c>
      <c r="C2066" s="33">
        <v>30</v>
      </c>
    </row>
    <row r="2067" spans="2:3" x14ac:dyDescent="0.25">
      <c r="B2067" s="33" t="s">
        <v>3558</v>
      </c>
      <c r="C2067" s="33">
        <v>30</v>
      </c>
    </row>
    <row r="2068" spans="2:3" x14ac:dyDescent="0.25">
      <c r="B2068" s="33" t="s">
        <v>3559</v>
      </c>
      <c r="C2068" s="33">
        <v>30</v>
      </c>
    </row>
    <row r="2069" spans="2:3" x14ac:dyDescent="0.25">
      <c r="B2069" s="33" t="s">
        <v>3560</v>
      </c>
      <c r="C2069" s="33">
        <v>30</v>
      </c>
    </row>
    <row r="2070" spans="2:3" x14ac:dyDescent="0.25">
      <c r="B2070" s="33" t="s">
        <v>3561</v>
      </c>
      <c r="C2070" s="33">
        <v>30</v>
      </c>
    </row>
    <row r="2071" spans="2:3" x14ac:dyDescent="0.25">
      <c r="B2071" s="33" t="s">
        <v>3562</v>
      </c>
      <c r="C2071" s="33">
        <v>30</v>
      </c>
    </row>
    <row r="2072" spans="2:3" x14ac:dyDescent="0.25">
      <c r="B2072" s="33" t="s">
        <v>3563</v>
      </c>
      <c r="C2072" s="33">
        <v>30</v>
      </c>
    </row>
    <row r="2073" spans="2:3" x14ac:dyDescent="0.25">
      <c r="B2073" s="33" t="s">
        <v>3564</v>
      </c>
      <c r="C2073" s="33">
        <v>30</v>
      </c>
    </row>
    <row r="2074" spans="2:3" x14ac:dyDescent="0.25">
      <c r="B2074" s="33" t="s">
        <v>3565</v>
      </c>
      <c r="C2074" s="33">
        <v>30</v>
      </c>
    </row>
    <row r="2075" spans="2:3" x14ac:dyDescent="0.25">
      <c r="B2075" s="33" t="s">
        <v>3566</v>
      </c>
      <c r="C2075" s="33">
        <v>30</v>
      </c>
    </row>
    <row r="2076" spans="2:3" x14ac:dyDescent="0.25">
      <c r="B2076" s="33" t="s">
        <v>3567</v>
      </c>
      <c r="C2076" s="33">
        <v>30</v>
      </c>
    </row>
    <row r="2077" spans="2:3" x14ac:dyDescent="0.25">
      <c r="B2077" s="33" t="s">
        <v>3568</v>
      </c>
      <c r="C2077" s="33">
        <v>30</v>
      </c>
    </row>
    <row r="2078" spans="2:3" x14ac:dyDescent="0.25">
      <c r="B2078" s="33" t="s">
        <v>3569</v>
      </c>
      <c r="C2078" s="33">
        <v>30</v>
      </c>
    </row>
    <row r="2079" spans="2:3" x14ac:dyDescent="0.25">
      <c r="B2079" s="33" t="s">
        <v>3570</v>
      </c>
      <c r="C2079" s="33">
        <v>30</v>
      </c>
    </row>
    <row r="2080" spans="2:3" x14ac:dyDescent="0.25">
      <c r="B2080" s="33" t="s">
        <v>3571</v>
      </c>
      <c r="C2080" s="33">
        <v>30</v>
      </c>
    </row>
    <row r="2081" spans="2:3" x14ac:dyDescent="0.25">
      <c r="B2081" s="33" t="s">
        <v>3572</v>
      </c>
      <c r="C2081" s="33">
        <v>30</v>
      </c>
    </row>
    <row r="2082" spans="2:3" x14ac:dyDescent="0.25">
      <c r="B2082" s="33" t="s">
        <v>3573</v>
      </c>
      <c r="C2082" s="33">
        <v>30</v>
      </c>
    </row>
    <row r="2083" spans="2:3" x14ac:dyDescent="0.25">
      <c r="B2083" s="33" t="s">
        <v>3574</v>
      </c>
      <c r="C2083" s="33">
        <v>30</v>
      </c>
    </row>
    <row r="2084" spans="2:3" x14ac:dyDescent="0.25">
      <c r="B2084" s="33" t="s">
        <v>3575</v>
      </c>
      <c r="C2084" s="33">
        <v>30</v>
      </c>
    </row>
    <row r="2085" spans="2:3" x14ac:dyDescent="0.25">
      <c r="B2085" s="33" t="s">
        <v>3576</v>
      </c>
      <c r="C2085" s="33">
        <v>30</v>
      </c>
    </row>
    <row r="2086" spans="2:3" x14ac:dyDescent="0.25">
      <c r="B2086" s="33" t="s">
        <v>3577</v>
      </c>
      <c r="C2086" s="33">
        <v>30</v>
      </c>
    </row>
    <row r="2087" spans="2:3" x14ac:dyDescent="0.25">
      <c r="B2087" s="33" t="s">
        <v>3578</v>
      </c>
      <c r="C2087" s="33">
        <v>30</v>
      </c>
    </row>
    <row r="2088" spans="2:3" x14ac:dyDescent="0.25">
      <c r="B2088" s="33" t="s">
        <v>3579</v>
      </c>
      <c r="C2088" s="33">
        <v>30</v>
      </c>
    </row>
    <row r="2089" spans="2:3" x14ac:dyDescent="0.25">
      <c r="B2089" s="33" t="s">
        <v>3580</v>
      </c>
      <c r="C2089" s="33">
        <v>30</v>
      </c>
    </row>
    <row r="2090" spans="2:3" x14ac:dyDescent="0.25">
      <c r="B2090" s="33" t="s">
        <v>3581</v>
      </c>
      <c r="C2090" s="33">
        <v>30</v>
      </c>
    </row>
    <row r="2091" spans="2:3" x14ac:dyDescent="0.25">
      <c r="B2091" s="33" t="s">
        <v>3582</v>
      </c>
      <c r="C2091" s="33">
        <v>30</v>
      </c>
    </row>
    <row r="2092" spans="2:3" x14ac:dyDescent="0.25">
      <c r="B2092" s="33" t="s">
        <v>3583</v>
      </c>
      <c r="C2092" s="33">
        <v>30</v>
      </c>
    </row>
    <row r="2093" spans="2:3" x14ac:dyDescent="0.25">
      <c r="B2093" s="33" t="s">
        <v>3584</v>
      </c>
      <c r="C2093" s="33">
        <v>30</v>
      </c>
    </row>
    <row r="2094" spans="2:3" x14ac:dyDescent="0.25">
      <c r="B2094" s="33" t="s">
        <v>3585</v>
      </c>
      <c r="C2094" s="33">
        <v>30</v>
      </c>
    </row>
    <row r="2095" spans="2:3" x14ac:dyDescent="0.25">
      <c r="B2095" s="33" t="s">
        <v>3586</v>
      </c>
      <c r="C2095" s="33">
        <v>30</v>
      </c>
    </row>
    <row r="2096" spans="2:3" x14ac:dyDescent="0.25">
      <c r="B2096" s="33" t="s">
        <v>3587</v>
      </c>
      <c r="C2096" s="33">
        <v>30</v>
      </c>
    </row>
    <row r="2097" spans="2:3" x14ac:dyDescent="0.25">
      <c r="B2097" s="33" t="s">
        <v>3588</v>
      </c>
      <c r="C2097" s="33">
        <v>30</v>
      </c>
    </row>
    <row r="2098" spans="2:3" x14ac:dyDescent="0.25">
      <c r="B2098" s="33" t="s">
        <v>3589</v>
      </c>
      <c r="C2098" s="33">
        <v>30</v>
      </c>
    </row>
    <row r="2099" spans="2:3" x14ac:dyDescent="0.25">
      <c r="B2099" s="33" t="s">
        <v>3590</v>
      </c>
      <c r="C2099" s="33">
        <v>30</v>
      </c>
    </row>
    <row r="2100" spans="2:3" x14ac:dyDescent="0.25">
      <c r="B2100" s="33" t="s">
        <v>3591</v>
      </c>
      <c r="C2100" s="33">
        <v>30</v>
      </c>
    </row>
    <row r="2101" spans="2:3" x14ac:dyDescent="0.25">
      <c r="B2101" s="33" t="s">
        <v>3592</v>
      </c>
      <c r="C2101" s="33">
        <v>30</v>
      </c>
    </row>
    <row r="2102" spans="2:3" x14ac:dyDescent="0.25">
      <c r="B2102" s="33" t="s">
        <v>3593</v>
      </c>
      <c r="C2102" s="33">
        <v>30</v>
      </c>
    </row>
    <row r="2103" spans="2:3" x14ac:dyDescent="0.25">
      <c r="B2103" s="33" t="s">
        <v>3594</v>
      </c>
      <c r="C2103" s="33">
        <v>30</v>
      </c>
    </row>
    <row r="2104" spans="2:3" x14ac:dyDescent="0.25">
      <c r="B2104" s="33" t="s">
        <v>3595</v>
      </c>
      <c r="C2104" s="33">
        <v>30</v>
      </c>
    </row>
    <row r="2105" spans="2:3" x14ac:dyDescent="0.25">
      <c r="B2105" s="33" t="s">
        <v>3596</v>
      </c>
      <c r="C2105" s="33">
        <v>30</v>
      </c>
    </row>
    <row r="2106" spans="2:3" x14ac:dyDescent="0.25">
      <c r="B2106" s="33" t="s">
        <v>3597</v>
      </c>
      <c r="C2106" s="33">
        <v>30</v>
      </c>
    </row>
    <row r="2107" spans="2:3" x14ac:dyDescent="0.25">
      <c r="B2107" s="33" t="s">
        <v>3598</v>
      </c>
      <c r="C2107" s="33">
        <v>30</v>
      </c>
    </row>
    <row r="2108" spans="2:3" x14ac:dyDescent="0.25">
      <c r="B2108" s="33" t="s">
        <v>3599</v>
      </c>
      <c r="C2108" s="33">
        <v>30</v>
      </c>
    </row>
    <row r="2109" spans="2:3" x14ac:dyDescent="0.25">
      <c r="B2109" s="33" t="s">
        <v>3600</v>
      </c>
      <c r="C2109" s="33">
        <v>30</v>
      </c>
    </row>
    <row r="2110" spans="2:3" x14ac:dyDescent="0.25">
      <c r="B2110" s="33" t="s">
        <v>3601</v>
      </c>
      <c r="C2110" s="33">
        <v>30</v>
      </c>
    </row>
    <row r="2111" spans="2:3" x14ac:dyDescent="0.25">
      <c r="B2111" s="33" t="s">
        <v>3602</v>
      </c>
      <c r="C2111" s="33">
        <v>30</v>
      </c>
    </row>
    <row r="2112" spans="2:3" x14ac:dyDescent="0.25">
      <c r="B2112" s="33" t="s">
        <v>3603</v>
      </c>
      <c r="C2112" s="33">
        <v>30</v>
      </c>
    </row>
    <row r="2113" spans="2:3" x14ac:dyDescent="0.25">
      <c r="B2113" s="33" t="s">
        <v>3604</v>
      </c>
      <c r="C2113" s="33">
        <v>30</v>
      </c>
    </row>
    <row r="2114" spans="2:3" x14ac:dyDescent="0.25">
      <c r="B2114" s="33" t="s">
        <v>3605</v>
      </c>
      <c r="C2114" s="33">
        <v>30</v>
      </c>
    </row>
    <row r="2115" spans="2:3" x14ac:dyDescent="0.25">
      <c r="B2115" s="33" t="s">
        <v>3606</v>
      </c>
      <c r="C2115" s="33">
        <v>30</v>
      </c>
    </row>
    <row r="2116" spans="2:3" x14ac:dyDescent="0.25">
      <c r="B2116" s="33" t="s">
        <v>3607</v>
      </c>
      <c r="C2116" s="33">
        <v>30</v>
      </c>
    </row>
    <row r="2117" spans="2:3" x14ac:dyDescent="0.25">
      <c r="B2117" s="33" t="s">
        <v>3608</v>
      </c>
      <c r="C2117" s="33">
        <v>30</v>
      </c>
    </row>
    <row r="2118" spans="2:3" x14ac:dyDescent="0.25">
      <c r="B2118" s="33" t="s">
        <v>3609</v>
      </c>
      <c r="C2118" s="33">
        <v>30</v>
      </c>
    </row>
    <row r="2119" spans="2:3" x14ac:dyDescent="0.25">
      <c r="B2119" s="33" t="s">
        <v>3610</v>
      </c>
      <c r="C2119" s="33">
        <v>30</v>
      </c>
    </row>
    <row r="2120" spans="2:3" x14ac:dyDescent="0.25">
      <c r="B2120" s="33" t="s">
        <v>3611</v>
      </c>
      <c r="C2120" s="33">
        <v>30</v>
      </c>
    </row>
    <row r="2121" spans="2:3" x14ac:dyDescent="0.25">
      <c r="B2121" s="33" t="s">
        <v>3612</v>
      </c>
      <c r="C2121" s="33">
        <v>30</v>
      </c>
    </row>
    <row r="2122" spans="2:3" x14ac:dyDescent="0.25">
      <c r="B2122" s="33" t="s">
        <v>3613</v>
      </c>
      <c r="C2122" s="33">
        <v>30</v>
      </c>
    </row>
    <row r="2123" spans="2:3" x14ac:dyDescent="0.25">
      <c r="B2123" s="33" t="s">
        <v>3614</v>
      </c>
      <c r="C2123" s="33">
        <v>30</v>
      </c>
    </row>
    <row r="2124" spans="2:3" x14ac:dyDescent="0.25">
      <c r="B2124" s="33" t="s">
        <v>3615</v>
      </c>
      <c r="C2124" s="33">
        <v>30</v>
      </c>
    </row>
    <row r="2125" spans="2:3" x14ac:dyDescent="0.25">
      <c r="B2125" s="33" t="s">
        <v>3616</v>
      </c>
      <c r="C2125" s="33">
        <v>30</v>
      </c>
    </row>
    <row r="2126" spans="2:3" x14ac:dyDescent="0.25">
      <c r="B2126" s="33" t="s">
        <v>3617</v>
      </c>
      <c r="C2126" s="33">
        <v>30</v>
      </c>
    </row>
    <row r="2127" spans="2:3" x14ac:dyDescent="0.25">
      <c r="B2127" s="33" t="s">
        <v>3618</v>
      </c>
      <c r="C2127" s="33">
        <v>30</v>
      </c>
    </row>
    <row r="2128" spans="2:3" x14ac:dyDescent="0.25">
      <c r="B2128" s="33" t="s">
        <v>3619</v>
      </c>
      <c r="C2128" s="33">
        <v>30</v>
      </c>
    </row>
    <row r="2129" spans="2:3" x14ac:dyDescent="0.25">
      <c r="B2129" s="33" t="s">
        <v>3620</v>
      </c>
      <c r="C2129" s="33">
        <v>30</v>
      </c>
    </row>
    <row r="2130" spans="2:3" x14ac:dyDescent="0.25">
      <c r="B2130" s="33" t="s">
        <v>3621</v>
      </c>
      <c r="C2130" s="33">
        <v>30</v>
      </c>
    </row>
    <row r="2131" spans="2:3" x14ac:dyDescent="0.25">
      <c r="B2131" s="33" t="s">
        <v>3622</v>
      </c>
      <c r="C2131" s="33">
        <v>30</v>
      </c>
    </row>
    <row r="2132" spans="2:3" x14ac:dyDescent="0.25">
      <c r="B2132" s="33" t="s">
        <v>3623</v>
      </c>
      <c r="C2132" s="33">
        <v>30</v>
      </c>
    </row>
    <row r="2133" spans="2:3" x14ac:dyDescent="0.25">
      <c r="B2133" s="33" t="s">
        <v>3624</v>
      </c>
      <c r="C2133" s="33">
        <v>30</v>
      </c>
    </row>
    <row r="2134" spans="2:3" x14ac:dyDescent="0.25">
      <c r="B2134" s="33" t="s">
        <v>3625</v>
      </c>
      <c r="C2134" s="33">
        <v>30</v>
      </c>
    </row>
    <row r="2135" spans="2:3" x14ac:dyDescent="0.25">
      <c r="B2135" s="33" t="s">
        <v>3626</v>
      </c>
      <c r="C2135" s="33">
        <v>30</v>
      </c>
    </row>
    <row r="2136" spans="2:3" x14ac:dyDescent="0.25">
      <c r="B2136" s="33" t="s">
        <v>3627</v>
      </c>
      <c r="C2136" s="33">
        <v>30</v>
      </c>
    </row>
    <row r="2137" spans="2:3" x14ac:dyDescent="0.25">
      <c r="B2137" s="33" t="s">
        <v>3628</v>
      </c>
      <c r="C2137" s="33">
        <v>30</v>
      </c>
    </row>
    <row r="2138" spans="2:3" x14ac:dyDescent="0.25">
      <c r="B2138" s="33" t="s">
        <v>3629</v>
      </c>
      <c r="C2138" s="33">
        <v>30</v>
      </c>
    </row>
    <row r="2139" spans="2:3" x14ac:dyDescent="0.25">
      <c r="B2139" s="33" t="s">
        <v>3630</v>
      </c>
      <c r="C2139" s="33">
        <v>30</v>
      </c>
    </row>
    <row r="2140" spans="2:3" x14ac:dyDescent="0.25">
      <c r="B2140" s="33" t="s">
        <v>3631</v>
      </c>
      <c r="C2140" s="33">
        <v>30</v>
      </c>
    </row>
    <row r="2141" spans="2:3" x14ac:dyDescent="0.25">
      <c r="B2141" s="33" t="s">
        <v>3632</v>
      </c>
      <c r="C2141" s="33">
        <v>30</v>
      </c>
    </row>
    <row r="2142" spans="2:3" x14ac:dyDescent="0.25">
      <c r="B2142" s="33" t="s">
        <v>3633</v>
      </c>
      <c r="C2142" s="33">
        <v>30</v>
      </c>
    </row>
    <row r="2143" spans="2:3" x14ac:dyDescent="0.25">
      <c r="B2143" s="33" t="s">
        <v>3634</v>
      </c>
      <c r="C2143" s="33">
        <v>30</v>
      </c>
    </row>
    <row r="2144" spans="2:3" x14ac:dyDescent="0.25">
      <c r="B2144" s="33" t="s">
        <v>3635</v>
      </c>
      <c r="C2144" s="33">
        <v>30</v>
      </c>
    </row>
    <row r="2145" spans="2:3" x14ac:dyDescent="0.25">
      <c r="B2145" s="33" t="s">
        <v>3636</v>
      </c>
      <c r="C2145" s="33">
        <v>30</v>
      </c>
    </row>
    <row r="2146" spans="2:3" x14ac:dyDescent="0.25">
      <c r="B2146" s="33" t="s">
        <v>3637</v>
      </c>
      <c r="C2146" s="33">
        <v>30</v>
      </c>
    </row>
    <row r="2147" spans="2:3" x14ac:dyDescent="0.25">
      <c r="B2147" s="33" t="s">
        <v>3638</v>
      </c>
      <c r="C2147" s="33">
        <v>30</v>
      </c>
    </row>
    <row r="2148" spans="2:3" x14ac:dyDescent="0.25">
      <c r="B2148" s="33" t="s">
        <v>3639</v>
      </c>
      <c r="C2148" s="33">
        <v>30</v>
      </c>
    </row>
    <row r="2149" spans="2:3" x14ac:dyDescent="0.25">
      <c r="B2149" s="33" t="s">
        <v>3640</v>
      </c>
      <c r="C2149" s="33">
        <v>30</v>
      </c>
    </row>
    <row r="2150" spans="2:3" x14ac:dyDescent="0.25">
      <c r="B2150" s="33" t="s">
        <v>3641</v>
      </c>
      <c r="C2150" s="33">
        <v>30</v>
      </c>
    </row>
    <row r="2151" spans="2:3" x14ac:dyDescent="0.25">
      <c r="B2151" s="33" t="s">
        <v>3642</v>
      </c>
      <c r="C2151" s="33">
        <v>30</v>
      </c>
    </row>
    <row r="2152" spans="2:3" x14ac:dyDescent="0.25">
      <c r="B2152" s="33" t="s">
        <v>3643</v>
      </c>
      <c r="C2152" s="33">
        <v>30</v>
      </c>
    </row>
    <row r="2153" spans="2:3" x14ac:dyDescent="0.25">
      <c r="B2153" s="33" t="s">
        <v>3644</v>
      </c>
      <c r="C2153" s="33">
        <v>30</v>
      </c>
    </row>
    <row r="2154" spans="2:3" x14ac:dyDescent="0.25">
      <c r="B2154" s="33" t="s">
        <v>3645</v>
      </c>
      <c r="C2154" s="33">
        <v>30</v>
      </c>
    </row>
    <row r="2155" spans="2:3" x14ac:dyDescent="0.25">
      <c r="B2155" s="33" t="s">
        <v>3646</v>
      </c>
      <c r="C2155" s="33">
        <v>30</v>
      </c>
    </row>
    <row r="2156" spans="2:3" x14ac:dyDescent="0.25">
      <c r="B2156" s="33" t="s">
        <v>3647</v>
      </c>
      <c r="C2156" s="33">
        <v>30</v>
      </c>
    </row>
    <row r="2157" spans="2:3" x14ac:dyDescent="0.25">
      <c r="B2157" s="33" t="s">
        <v>3648</v>
      </c>
      <c r="C2157" s="33">
        <v>30</v>
      </c>
    </row>
    <row r="2158" spans="2:3" x14ac:dyDescent="0.25">
      <c r="B2158" s="33" t="s">
        <v>3649</v>
      </c>
      <c r="C2158" s="33">
        <v>30</v>
      </c>
    </row>
    <row r="2159" spans="2:3" x14ac:dyDescent="0.25">
      <c r="B2159" s="33" t="s">
        <v>3650</v>
      </c>
      <c r="C2159" s="33">
        <v>30</v>
      </c>
    </row>
    <row r="2160" spans="2:3" x14ac:dyDescent="0.25">
      <c r="B2160" s="33" t="s">
        <v>3651</v>
      </c>
      <c r="C2160" s="33">
        <v>30</v>
      </c>
    </row>
    <row r="2161" spans="2:3" x14ac:dyDescent="0.25">
      <c r="B2161" s="33" t="s">
        <v>3652</v>
      </c>
      <c r="C2161" s="33">
        <v>30</v>
      </c>
    </row>
    <row r="2162" spans="2:3" x14ac:dyDescent="0.25">
      <c r="B2162" s="33" t="s">
        <v>3653</v>
      </c>
      <c r="C2162" s="33">
        <v>30</v>
      </c>
    </row>
    <row r="2163" spans="2:3" x14ac:dyDescent="0.25">
      <c r="B2163" s="33" t="s">
        <v>3654</v>
      </c>
      <c r="C2163" s="33">
        <v>30</v>
      </c>
    </row>
    <row r="2164" spans="2:3" x14ac:dyDescent="0.25">
      <c r="B2164" s="33" t="s">
        <v>3655</v>
      </c>
      <c r="C2164" s="33">
        <v>30</v>
      </c>
    </row>
    <row r="2165" spans="2:3" x14ac:dyDescent="0.25">
      <c r="B2165" s="33" t="s">
        <v>3656</v>
      </c>
      <c r="C2165" s="33">
        <v>30</v>
      </c>
    </row>
    <row r="2166" spans="2:3" x14ac:dyDescent="0.25">
      <c r="B2166" s="33" t="s">
        <v>3657</v>
      </c>
      <c r="C2166" s="33">
        <v>30</v>
      </c>
    </row>
    <row r="2167" spans="2:3" x14ac:dyDescent="0.25">
      <c r="B2167" s="33" t="s">
        <v>3658</v>
      </c>
      <c r="C2167" s="33">
        <v>30</v>
      </c>
    </row>
    <row r="2168" spans="2:3" x14ac:dyDescent="0.25">
      <c r="B2168" s="33" t="s">
        <v>3659</v>
      </c>
      <c r="C2168" s="33">
        <v>30</v>
      </c>
    </row>
    <row r="2169" spans="2:3" x14ac:dyDescent="0.25">
      <c r="B2169" s="33" t="s">
        <v>3660</v>
      </c>
      <c r="C2169" s="33">
        <v>30</v>
      </c>
    </row>
    <row r="2170" spans="2:3" x14ac:dyDescent="0.25">
      <c r="B2170" s="33" t="s">
        <v>3661</v>
      </c>
      <c r="C2170" s="33">
        <v>30</v>
      </c>
    </row>
    <row r="2171" spans="2:3" x14ac:dyDescent="0.25">
      <c r="B2171" s="33" t="s">
        <v>3662</v>
      </c>
      <c r="C2171" s="33">
        <v>30</v>
      </c>
    </row>
    <row r="2172" spans="2:3" x14ac:dyDescent="0.25">
      <c r="B2172" s="33" t="s">
        <v>3663</v>
      </c>
      <c r="C2172" s="33">
        <v>30</v>
      </c>
    </row>
    <row r="2173" spans="2:3" x14ac:dyDescent="0.25">
      <c r="B2173" s="33" t="s">
        <v>3664</v>
      </c>
      <c r="C2173" s="33">
        <v>30</v>
      </c>
    </row>
    <row r="2174" spans="2:3" x14ac:dyDescent="0.25">
      <c r="B2174" s="33" t="s">
        <v>3665</v>
      </c>
      <c r="C2174" s="33">
        <v>30</v>
      </c>
    </row>
    <row r="2175" spans="2:3" x14ac:dyDescent="0.25">
      <c r="B2175" s="33" t="s">
        <v>3666</v>
      </c>
      <c r="C2175" s="33">
        <v>30</v>
      </c>
    </row>
    <row r="2176" spans="2:3" x14ac:dyDescent="0.25">
      <c r="B2176" s="33" t="s">
        <v>3667</v>
      </c>
      <c r="C2176" s="33">
        <v>30</v>
      </c>
    </row>
    <row r="2177" spans="2:3" x14ac:dyDescent="0.25">
      <c r="B2177" s="33" t="s">
        <v>3668</v>
      </c>
      <c r="C2177" s="33">
        <v>30</v>
      </c>
    </row>
    <row r="2178" spans="2:3" x14ac:dyDescent="0.25">
      <c r="B2178" s="33" t="s">
        <v>3669</v>
      </c>
      <c r="C2178" s="33">
        <v>30</v>
      </c>
    </row>
    <row r="2179" spans="2:3" x14ac:dyDescent="0.25">
      <c r="B2179" s="33" t="s">
        <v>3670</v>
      </c>
      <c r="C2179" s="33">
        <v>30</v>
      </c>
    </row>
    <row r="2180" spans="2:3" x14ac:dyDescent="0.25">
      <c r="B2180" s="33" t="s">
        <v>3671</v>
      </c>
      <c r="C2180" s="33">
        <v>30</v>
      </c>
    </row>
    <row r="2181" spans="2:3" x14ac:dyDescent="0.25">
      <c r="B2181" s="33" t="s">
        <v>3672</v>
      </c>
      <c r="C2181" s="33">
        <v>30</v>
      </c>
    </row>
    <row r="2182" spans="2:3" x14ac:dyDescent="0.25">
      <c r="B2182" s="33" t="s">
        <v>3673</v>
      </c>
      <c r="C2182" s="33">
        <v>30</v>
      </c>
    </row>
    <row r="2183" spans="2:3" x14ac:dyDescent="0.25">
      <c r="B2183" s="33" t="s">
        <v>3674</v>
      </c>
      <c r="C2183" s="33">
        <v>30</v>
      </c>
    </row>
    <row r="2184" spans="2:3" x14ac:dyDescent="0.25">
      <c r="B2184" s="33" t="s">
        <v>3675</v>
      </c>
      <c r="C2184" s="33">
        <v>30</v>
      </c>
    </row>
    <row r="2185" spans="2:3" x14ac:dyDescent="0.25">
      <c r="B2185" s="33" t="s">
        <v>3676</v>
      </c>
      <c r="C2185" s="33">
        <v>30</v>
      </c>
    </row>
    <row r="2186" spans="2:3" x14ac:dyDescent="0.25">
      <c r="B2186" s="33" t="s">
        <v>3677</v>
      </c>
      <c r="C2186" s="33">
        <v>30</v>
      </c>
    </row>
    <row r="2187" spans="2:3" x14ac:dyDescent="0.25">
      <c r="B2187" s="33" t="s">
        <v>3678</v>
      </c>
      <c r="C2187" s="33">
        <v>30</v>
      </c>
    </row>
    <row r="2188" spans="2:3" x14ac:dyDescent="0.25">
      <c r="B2188" s="33" t="s">
        <v>3679</v>
      </c>
      <c r="C2188" s="33">
        <v>30</v>
      </c>
    </row>
    <row r="2189" spans="2:3" x14ac:dyDescent="0.25">
      <c r="B2189" s="33" t="s">
        <v>3680</v>
      </c>
      <c r="C2189" s="33">
        <v>30</v>
      </c>
    </row>
    <row r="2190" spans="2:3" x14ac:dyDescent="0.25">
      <c r="B2190" s="33" t="s">
        <v>3681</v>
      </c>
      <c r="C2190" s="33">
        <v>30</v>
      </c>
    </row>
    <row r="2191" spans="2:3" x14ac:dyDescent="0.25">
      <c r="B2191" s="33" t="s">
        <v>3682</v>
      </c>
      <c r="C2191" s="33">
        <v>30</v>
      </c>
    </row>
    <row r="2192" spans="2:3" x14ac:dyDescent="0.25">
      <c r="B2192" s="33" t="s">
        <v>3683</v>
      </c>
      <c r="C2192" s="33">
        <v>30</v>
      </c>
    </row>
    <row r="2193" spans="2:3" x14ac:dyDescent="0.25">
      <c r="B2193" s="33" t="s">
        <v>3684</v>
      </c>
      <c r="C2193" s="33">
        <v>30</v>
      </c>
    </row>
    <row r="2194" spans="2:3" x14ac:dyDescent="0.25">
      <c r="B2194" s="33" t="s">
        <v>3685</v>
      </c>
      <c r="C2194" s="33">
        <v>30</v>
      </c>
    </row>
    <row r="2195" spans="2:3" x14ac:dyDescent="0.25">
      <c r="B2195" s="33" t="s">
        <v>3686</v>
      </c>
      <c r="C2195" s="33">
        <v>30</v>
      </c>
    </row>
    <row r="2196" spans="2:3" x14ac:dyDescent="0.25">
      <c r="B2196" s="33" t="s">
        <v>3687</v>
      </c>
      <c r="C2196" s="33">
        <v>30</v>
      </c>
    </row>
    <row r="2197" spans="2:3" x14ac:dyDescent="0.25">
      <c r="B2197" s="33" t="s">
        <v>3688</v>
      </c>
      <c r="C2197" s="33">
        <v>30</v>
      </c>
    </row>
    <row r="2198" spans="2:3" x14ac:dyDescent="0.25">
      <c r="B2198" s="33" t="s">
        <v>3689</v>
      </c>
      <c r="C2198" s="33">
        <v>30</v>
      </c>
    </row>
    <row r="2199" spans="2:3" x14ac:dyDescent="0.25">
      <c r="B2199" s="33" t="s">
        <v>3690</v>
      </c>
      <c r="C2199" s="33">
        <v>30</v>
      </c>
    </row>
    <row r="2200" spans="2:3" x14ac:dyDescent="0.25">
      <c r="B2200" s="33" t="s">
        <v>3691</v>
      </c>
      <c r="C2200" s="33">
        <v>30</v>
      </c>
    </row>
    <row r="2201" spans="2:3" x14ac:dyDescent="0.25">
      <c r="B2201" s="33" t="s">
        <v>3692</v>
      </c>
      <c r="C2201" s="33">
        <v>30</v>
      </c>
    </row>
    <row r="2202" spans="2:3" x14ac:dyDescent="0.25">
      <c r="B2202" s="33" t="s">
        <v>3693</v>
      </c>
      <c r="C2202" s="33">
        <v>30</v>
      </c>
    </row>
    <row r="2203" spans="2:3" x14ac:dyDescent="0.25">
      <c r="B2203" s="33" t="s">
        <v>3694</v>
      </c>
      <c r="C2203" s="33">
        <v>30</v>
      </c>
    </row>
    <row r="2204" spans="2:3" x14ac:dyDescent="0.25">
      <c r="B2204" s="33" t="s">
        <v>3695</v>
      </c>
      <c r="C2204" s="33">
        <v>30</v>
      </c>
    </row>
    <row r="2205" spans="2:3" x14ac:dyDescent="0.25">
      <c r="B2205" s="33" t="s">
        <v>3696</v>
      </c>
      <c r="C2205" s="33">
        <v>30</v>
      </c>
    </row>
    <row r="2206" spans="2:3" x14ac:dyDescent="0.25">
      <c r="B2206" s="33" t="s">
        <v>3697</v>
      </c>
      <c r="C2206" s="33">
        <v>30</v>
      </c>
    </row>
    <row r="2207" spans="2:3" x14ac:dyDescent="0.25">
      <c r="B2207" s="33" t="s">
        <v>3698</v>
      </c>
      <c r="C2207" s="33">
        <v>30</v>
      </c>
    </row>
    <row r="2208" spans="2:3" x14ac:dyDescent="0.25">
      <c r="B2208" s="33" t="s">
        <v>3699</v>
      </c>
      <c r="C2208" s="33">
        <v>30</v>
      </c>
    </row>
    <row r="2209" spans="2:3" x14ac:dyDescent="0.25">
      <c r="B2209" s="33" t="s">
        <v>3700</v>
      </c>
      <c r="C2209" s="33">
        <v>30</v>
      </c>
    </row>
    <row r="2210" spans="2:3" x14ac:dyDescent="0.25">
      <c r="B2210" s="33" t="s">
        <v>3701</v>
      </c>
      <c r="C2210" s="33">
        <v>30</v>
      </c>
    </row>
    <row r="2211" spans="2:3" x14ac:dyDescent="0.25">
      <c r="B2211" s="33" t="s">
        <v>3702</v>
      </c>
      <c r="C2211" s="33">
        <v>30</v>
      </c>
    </row>
    <row r="2212" spans="2:3" x14ac:dyDescent="0.25">
      <c r="B2212" s="33" t="s">
        <v>3703</v>
      </c>
      <c r="C2212" s="33">
        <v>30</v>
      </c>
    </row>
    <row r="2213" spans="2:3" x14ac:dyDescent="0.25">
      <c r="B2213" s="33" t="s">
        <v>3704</v>
      </c>
      <c r="C2213" s="33">
        <v>30</v>
      </c>
    </row>
    <row r="2214" spans="2:3" x14ac:dyDescent="0.25">
      <c r="B2214" s="33" t="s">
        <v>3705</v>
      </c>
      <c r="C2214" s="33">
        <v>30</v>
      </c>
    </row>
    <row r="2215" spans="2:3" x14ac:dyDescent="0.25">
      <c r="B2215" s="33" t="s">
        <v>3706</v>
      </c>
      <c r="C2215" s="33">
        <v>30</v>
      </c>
    </row>
    <row r="2216" spans="2:3" x14ac:dyDescent="0.25">
      <c r="B2216" s="33" t="s">
        <v>3707</v>
      </c>
      <c r="C2216" s="33">
        <v>30</v>
      </c>
    </row>
    <row r="2217" spans="2:3" x14ac:dyDescent="0.25">
      <c r="B2217" s="33" t="s">
        <v>3708</v>
      </c>
      <c r="C2217" s="33">
        <v>30</v>
      </c>
    </row>
    <row r="2218" spans="2:3" x14ac:dyDescent="0.25">
      <c r="B2218" s="33" t="s">
        <v>3709</v>
      </c>
      <c r="C2218" s="33">
        <v>30</v>
      </c>
    </row>
    <row r="2219" spans="2:3" x14ac:dyDescent="0.25">
      <c r="B2219" s="33" t="s">
        <v>3710</v>
      </c>
      <c r="C2219" s="33">
        <v>30</v>
      </c>
    </row>
    <row r="2220" spans="2:3" x14ac:dyDescent="0.25">
      <c r="B2220" s="33" t="s">
        <v>3711</v>
      </c>
      <c r="C2220" s="33">
        <v>30</v>
      </c>
    </row>
    <row r="2221" spans="2:3" x14ac:dyDescent="0.25">
      <c r="B2221" s="33" t="s">
        <v>3712</v>
      </c>
      <c r="C2221" s="33">
        <v>30</v>
      </c>
    </row>
    <row r="2222" spans="2:3" x14ac:dyDescent="0.25">
      <c r="B2222" s="33" t="s">
        <v>3713</v>
      </c>
      <c r="C2222" s="33">
        <v>30</v>
      </c>
    </row>
    <row r="2223" spans="2:3" x14ac:dyDescent="0.25">
      <c r="B2223" s="33" t="s">
        <v>3714</v>
      </c>
      <c r="C2223" s="33">
        <v>30</v>
      </c>
    </row>
    <row r="2224" spans="2:3" x14ac:dyDescent="0.25">
      <c r="B2224" s="33" t="s">
        <v>3715</v>
      </c>
      <c r="C2224" s="33">
        <v>30</v>
      </c>
    </row>
    <row r="2225" spans="2:3" x14ac:dyDescent="0.25">
      <c r="B2225" s="33" t="s">
        <v>3716</v>
      </c>
      <c r="C2225" s="33">
        <v>30</v>
      </c>
    </row>
    <row r="2226" spans="2:3" x14ac:dyDescent="0.25">
      <c r="B2226" s="33" t="s">
        <v>3717</v>
      </c>
      <c r="C2226" s="33">
        <v>30</v>
      </c>
    </row>
    <row r="2227" spans="2:3" x14ac:dyDescent="0.25">
      <c r="B2227" s="33" t="s">
        <v>3718</v>
      </c>
      <c r="C2227" s="33">
        <v>30</v>
      </c>
    </row>
    <row r="2228" spans="2:3" x14ac:dyDescent="0.25">
      <c r="B2228" s="33" t="s">
        <v>3719</v>
      </c>
      <c r="C2228" s="33">
        <v>30</v>
      </c>
    </row>
    <row r="2229" spans="2:3" x14ac:dyDescent="0.25">
      <c r="B2229" s="33" t="s">
        <v>3720</v>
      </c>
      <c r="C2229" s="33">
        <v>30</v>
      </c>
    </row>
    <row r="2230" spans="2:3" x14ac:dyDescent="0.25">
      <c r="B2230" s="33" t="s">
        <v>3721</v>
      </c>
      <c r="C2230" s="33">
        <v>30</v>
      </c>
    </row>
    <row r="2231" spans="2:3" x14ac:dyDescent="0.25">
      <c r="B2231" s="33" t="s">
        <v>3722</v>
      </c>
      <c r="C2231" s="33">
        <v>30</v>
      </c>
    </row>
    <row r="2232" spans="2:3" x14ac:dyDescent="0.25">
      <c r="B2232" s="33" t="s">
        <v>3723</v>
      </c>
      <c r="C2232" s="33">
        <v>30</v>
      </c>
    </row>
    <row r="2233" spans="2:3" x14ac:dyDescent="0.25">
      <c r="B2233" s="33" t="s">
        <v>3724</v>
      </c>
      <c r="C2233" s="33">
        <v>30</v>
      </c>
    </row>
    <row r="2234" spans="2:3" x14ac:dyDescent="0.25">
      <c r="B2234" s="33" t="s">
        <v>3725</v>
      </c>
      <c r="C2234" s="33">
        <v>30</v>
      </c>
    </row>
    <row r="2235" spans="2:3" x14ac:dyDescent="0.25">
      <c r="B2235" s="33" t="s">
        <v>3726</v>
      </c>
      <c r="C2235" s="33">
        <v>30</v>
      </c>
    </row>
    <row r="2236" spans="2:3" x14ac:dyDescent="0.25">
      <c r="B2236" s="33" t="s">
        <v>3727</v>
      </c>
      <c r="C2236" s="33">
        <v>30</v>
      </c>
    </row>
    <row r="2237" spans="2:3" x14ac:dyDescent="0.25">
      <c r="B2237" s="33" t="s">
        <v>3728</v>
      </c>
      <c r="C2237" s="33">
        <v>30</v>
      </c>
    </row>
    <row r="2238" spans="2:3" x14ac:dyDescent="0.25">
      <c r="B2238" s="33" t="s">
        <v>3729</v>
      </c>
      <c r="C2238" s="33">
        <v>30</v>
      </c>
    </row>
    <row r="2239" spans="2:3" x14ac:dyDescent="0.25">
      <c r="B2239" s="33" t="s">
        <v>3730</v>
      </c>
      <c r="C2239" s="33">
        <v>30</v>
      </c>
    </row>
    <row r="2240" spans="2:3" x14ac:dyDescent="0.25">
      <c r="B2240" s="33" t="s">
        <v>3731</v>
      </c>
      <c r="C2240" s="33">
        <v>30</v>
      </c>
    </row>
    <row r="2241" spans="2:3" x14ac:dyDescent="0.25">
      <c r="B2241" s="33" t="s">
        <v>3732</v>
      </c>
      <c r="C2241" s="33">
        <v>30</v>
      </c>
    </row>
    <row r="2242" spans="2:3" x14ac:dyDescent="0.25">
      <c r="B2242" s="33" t="s">
        <v>3733</v>
      </c>
      <c r="C2242" s="33">
        <v>30</v>
      </c>
    </row>
    <row r="2243" spans="2:3" x14ac:dyDescent="0.25">
      <c r="B2243" s="33" t="s">
        <v>3734</v>
      </c>
      <c r="C2243" s="33">
        <v>30</v>
      </c>
    </row>
    <row r="2244" spans="2:3" x14ac:dyDescent="0.25">
      <c r="B2244" s="33" t="s">
        <v>3735</v>
      </c>
      <c r="C2244" s="33">
        <v>30</v>
      </c>
    </row>
    <row r="2245" spans="2:3" x14ac:dyDescent="0.25">
      <c r="B2245" s="33" t="s">
        <v>3736</v>
      </c>
      <c r="C2245" s="33">
        <v>30</v>
      </c>
    </row>
    <row r="2246" spans="2:3" x14ac:dyDescent="0.25">
      <c r="B2246" s="33" t="s">
        <v>3737</v>
      </c>
      <c r="C2246" s="33">
        <v>30</v>
      </c>
    </row>
    <row r="2247" spans="2:3" x14ac:dyDescent="0.25">
      <c r="B2247" s="33" t="s">
        <v>3738</v>
      </c>
      <c r="C2247" s="33">
        <v>30</v>
      </c>
    </row>
    <row r="2248" spans="2:3" x14ac:dyDescent="0.25">
      <c r="B2248" s="33" t="s">
        <v>3739</v>
      </c>
      <c r="C2248" s="33">
        <v>30</v>
      </c>
    </row>
    <row r="2249" spans="2:3" x14ac:dyDescent="0.25">
      <c r="B2249" s="33" t="s">
        <v>3740</v>
      </c>
      <c r="C2249" s="33">
        <v>30</v>
      </c>
    </row>
    <row r="2250" spans="2:3" x14ac:dyDescent="0.25">
      <c r="B2250" s="33" t="s">
        <v>3741</v>
      </c>
      <c r="C2250" s="33">
        <v>30</v>
      </c>
    </row>
    <row r="2251" spans="2:3" x14ac:dyDescent="0.25">
      <c r="B2251" s="33" t="s">
        <v>3742</v>
      </c>
      <c r="C2251" s="33">
        <v>30</v>
      </c>
    </row>
    <row r="2252" spans="2:3" x14ac:dyDescent="0.25">
      <c r="B2252" s="33" t="s">
        <v>3743</v>
      </c>
      <c r="C2252" s="33">
        <v>30</v>
      </c>
    </row>
    <row r="2253" spans="2:3" x14ac:dyDescent="0.25">
      <c r="B2253" s="33" t="s">
        <v>3744</v>
      </c>
      <c r="C2253" s="33">
        <v>30</v>
      </c>
    </row>
    <row r="2254" spans="2:3" x14ac:dyDescent="0.25">
      <c r="B2254" s="33" t="s">
        <v>3745</v>
      </c>
      <c r="C2254" s="33">
        <v>30</v>
      </c>
    </row>
    <row r="2255" spans="2:3" x14ac:dyDescent="0.25">
      <c r="B2255" s="33" t="s">
        <v>3746</v>
      </c>
      <c r="C2255" s="33">
        <v>30</v>
      </c>
    </row>
    <row r="2256" spans="2:3" x14ac:dyDescent="0.25">
      <c r="B2256" s="33" t="s">
        <v>3747</v>
      </c>
      <c r="C2256" s="33">
        <v>30</v>
      </c>
    </row>
    <row r="2257" spans="2:3" x14ac:dyDescent="0.25">
      <c r="B2257" s="33" t="s">
        <v>3748</v>
      </c>
      <c r="C2257" s="33">
        <v>30</v>
      </c>
    </row>
    <row r="2258" spans="2:3" x14ac:dyDescent="0.25">
      <c r="B2258" s="33" t="s">
        <v>3749</v>
      </c>
      <c r="C2258" s="33">
        <v>30</v>
      </c>
    </row>
    <row r="2259" spans="2:3" x14ac:dyDescent="0.25">
      <c r="B2259" s="33" t="s">
        <v>3750</v>
      </c>
      <c r="C2259" s="33">
        <v>30</v>
      </c>
    </row>
    <row r="2260" spans="2:3" x14ac:dyDescent="0.25">
      <c r="B2260" s="33" t="s">
        <v>3751</v>
      </c>
      <c r="C2260" s="33">
        <v>30</v>
      </c>
    </row>
    <row r="2261" spans="2:3" x14ac:dyDescent="0.25">
      <c r="B2261" s="33" t="s">
        <v>3752</v>
      </c>
      <c r="C2261" s="33">
        <v>30</v>
      </c>
    </row>
    <row r="2262" spans="2:3" x14ac:dyDescent="0.25">
      <c r="B2262" s="33" t="s">
        <v>3753</v>
      </c>
      <c r="C2262" s="33">
        <v>30</v>
      </c>
    </row>
    <row r="2263" spans="2:3" x14ac:dyDescent="0.25">
      <c r="B2263" s="33" t="s">
        <v>3754</v>
      </c>
      <c r="C2263" s="33">
        <v>30</v>
      </c>
    </row>
    <row r="2264" spans="2:3" x14ac:dyDescent="0.25">
      <c r="B2264" s="33" t="s">
        <v>3755</v>
      </c>
      <c r="C2264" s="33">
        <v>30</v>
      </c>
    </row>
    <row r="2265" spans="2:3" x14ac:dyDescent="0.25">
      <c r="B2265" s="33" t="s">
        <v>3756</v>
      </c>
      <c r="C2265" s="33">
        <v>30</v>
      </c>
    </row>
    <row r="2266" spans="2:3" x14ac:dyDescent="0.25">
      <c r="B2266" s="33" t="s">
        <v>3757</v>
      </c>
      <c r="C2266" s="33">
        <v>30</v>
      </c>
    </row>
    <row r="2267" spans="2:3" x14ac:dyDescent="0.25">
      <c r="B2267" s="33" t="s">
        <v>3758</v>
      </c>
      <c r="C2267" s="33">
        <v>30</v>
      </c>
    </row>
    <row r="2268" spans="2:3" x14ac:dyDescent="0.25">
      <c r="B2268" s="33" t="s">
        <v>3759</v>
      </c>
      <c r="C2268" s="33">
        <v>30</v>
      </c>
    </row>
    <row r="2269" spans="2:3" x14ac:dyDescent="0.25">
      <c r="B2269" s="33" t="s">
        <v>3760</v>
      </c>
      <c r="C2269" s="33">
        <v>30</v>
      </c>
    </row>
    <row r="2270" spans="2:3" x14ac:dyDescent="0.25">
      <c r="B2270" s="33" t="s">
        <v>3761</v>
      </c>
      <c r="C2270" s="33">
        <v>30</v>
      </c>
    </row>
    <row r="2271" spans="2:3" x14ac:dyDescent="0.25">
      <c r="B2271" s="33" t="s">
        <v>3762</v>
      </c>
      <c r="C2271" s="33">
        <v>30</v>
      </c>
    </row>
    <row r="2272" spans="2:3" x14ac:dyDescent="0.25">
      <c r="B2272" s="33" t="s">
        <v>3763</v>
      </c>
      <c r="C2272" s="33">
        <v>30</v>
      </c>
    </row>
    <row r="2273" spans="2:3" x14ac:dyDescent="0.25">
      <c r="B2273" s="33" t="s">
        <v>3764</v>
      </c>
      <c r="C2273" s="33">
        <v>30</v>
      </c>
    </row>
    <row r="2274" spans="2:3" x14ac:dyDescent="0.25">
      <c r="B2274" s="33" t="s">
        <v>3765</v>
      </c>
      <c r="C2274" s="33">
        <v>30</v>
      </c>
    </row>
    <row r="2275" spans="2:3" x14ac:dyDescent="0.25">
      <c r="B2275" s="33" t="s">
        <v>3766</v>
      </c>
      <c r="C2275" s="33">
        <v>30</v>
      </c>
    </row>
    <row r="2276" spans="2:3" x14ac:dyDescent="0.25">
      <c r="B2276" s="33" t="s">
        <v>3767</v>
      </c>
      <c r="C2276" s="33">
        <v>30</v>
      </c>
    </row>
    <row r="2277" spans="2:3" x14ac:dyDescent="0.25">
      <c r="B2277" s="33" t="s">
        <v>3768</v>
      </c>
      <c r="C2277" s="33">
        <v>30</v>
      </c>
    </row>
    <row r="2278" spans="2:3" x14ac:dyDescent="0.25">
      <c r="B2278" s="33" t="s">
        <v>3769</v>
      </c>
      <c r="C2278" s="33">
        <v>30</v>
      </c>
    </row>
    <row r="2279" spans="2:3" x14ac:dyDescent="0.25">
      <c r="B2279" s="33" t="s">
        <v>3770</v>
      </c>
      <c r="C2279" s="33">
        <v>30</v>
      </c>
    </row>
    <row r="2280" spans="2:3" x14ac:dyDescent="0.25">
      <c r="B2280" s="33" t="s">
        <v>3771</v>
      </c>
      <c r="C2280" s="33">
        <v>30</v>
      </c>
    </row>
    <row r="2281" spans="2:3" x14ac:dyDescent="0.25">
      <c r="B2281" s="33" t="s">
        <v>3772</v>
      </c>
      <c r="C2281" s="33">
        <v>30</v>
      </c>
    </row>
    <row r="2282" spans="2:3" x14ac:dyDescent="0.25">
      <c r="B2282" s="33" t="s">
        <v>3773</v>
      </c>
      <c r="C2282" s="33">
        <v>30</v>
      </c>
    </row>
    <row r="2283" spans="2:3" x14ac:dyDescent="0.25">
      <c r="B2283" s="33" t="s">
        <v>3774</v>
      </c>
      <c r="C2283" s="33">
        <v>30</v>
      </c>
    </row>
    <row r="2284" spans="2:3" x14ac:dyDescent="0.25">
      <c r="B2284" s="33" t="s">
        <v>3775</v>
      </c>
      <c r="C2284" s="33">
        <v>30</v>
      </c>
    </row>
    <row r="2285" spans="2:3" x14ac:dyDescent="0.25">
      <c r="B2285" s="33" t="s">
        <v>3776</v>
      </c>
      <c r="C2285" s="33">
        <v>30</v>
      </c>
    </row>
    <row r="2286" spans="2:3" x14ac:dyDescent="0.25">
      <c r="B2286" s="33" t="s">
        <v>3777</v>
      </c>
      <c r="C2286" s="33">
        <v>30</v>
      </c>
    </row>
    <row r="2287" spans="2:3" x14ac:dyDescent="0.25">
      <c r="B2287" s="33" t="s">
        <v>3778</v>
      </c>
      <c r="C2287" s="33">
        <v>30</v>
      </c>
    </row>
    <row r="2288" spans="2:3" x14ac:dyDescent="0.25">
      <c r="B2288" s="33" t="s">
        <v>3779</v>
      </c>
      <c r="C2288" s="33">
        <v>30</v>
      </c>
    </row>
    <row r="2289" spans="2:3" x14ac:dyDescent="0.25">
      <c r="B2289" s="33" t="s">
        <v>3780</v>
      </c>
      <c r="C2289" s="33">
        <v>30</v>
      </c>
    </row>
    <row r="2290" spans="2:3" x14ac:dyDescent="0.25">
      <c r="B2290" s="33" t="s">
        <v>3781</v>
      </c>
      <c r="C2290" s="33">
        <v>30</v>
      </c>
    </row>
    <row r="2291" spans="2:3" x14ac:dyDescent="0.25">
      <c r="B2291" s="33" t="s">
        <v>3782</v>
      </c>
      <c r="C2291" s="33">
        <v>30</v>
      </c>
    </row>
    <row r="2292" spans="2:3" x14ac:dyDescent="0.25">
      <c r="B2292" s="33" t="s">
        <v>3783</v>
      </c>
      <c r="C2292" s="33">
        <v>30</v>
      </c>
    </row>
    <row r="2293" spans="2:3" x14ac:dyDescent="0.25">
      <c r="B2293" s="33" t="s">
        <v>3784</v>
      </c>
      <c r="C2293" s="33">
        <v>30</v>
      </c>
    </row>
    <row r="2294" spans="2:3" x14ac:dyDescent="0.25">
      <c r="B2294" s="33" t="s">
        <v>3785</v>
      </c>
      <c r="C2294" s="33">
        <v>30</v>
      </c>
    </row>
    <row r="2295" spans="2:3" x14ac:dyDescent="0.25">
      <c r="B2295" s="33" t="s">
        <v>3786</v>
      </c>
      <c r="C2295" s="33">
        <v>30</v>
      </c>
    </row>
    <row r="2296" spans="2:3" x14ac:dyDescent="0.25">
      <c r="B2296" s="33" t="s">
        <v>3787</v>
      </c>
      <c r="C2296" s="33">
        <v>30</v>
      </c>
    </row>
    <row r="2297" spans="2:3" x14ac:dyDescent="0.25">
      <c r="B2297" s="33" t="s">
        <v>3788</v>
      </c>
      <c r="C2297" s="33">
        <v>30</v>
      </c>
    </row>
    <row r="2298" spans="2:3" x14ac:dyDescent="0.25">
      <c r="B2298" s="33" t="s">
        <v>3789</v>
      </c>
      <c r="C2298" s="33">
        <v>30</v>
      </c>
    </row>
    <row r="2299" spans="2:3" x14ac:dyDescent="0.25">
      <c r="B2299" s="33" t="s">
        <v>3790</v>
      </c>
      <c r="C2299" s="33">
        <v>30</v>
      </c>
    </row>
    <row r="2300" spans="2:3" x14ac:dyDescent="0.25">
      <c r="B2300" s="33" t="s">
        <v>3791</v>
      </c>
      <c r="C2300" s="33">
        <v>30</v>
      </c>
    </row>
    <row r="2301" spans="2:3" x14ac:dyDescent="0.25">
      <c r="B2301" s="33" t="s">
        <v>3792</v>
      </c>
      <c r="C2301" s="33">
        <v>30</v>
      </c>
    </row>
    <row r="2302" spans="2:3" x14ac:dyDescent="0.25">
      <c r="B2302" s="33" t="s">
        <v>3793</v>
      </c>
      <c r="C2302" s="33">
        <v>30</v>
      </c>
    </row>
    <row r="2303" spans="2:3" x14ac:dyDescent="0.25">
      <c r="B2303" s="33" t="s">
        <v>3794</v>
      </c>
      <c r="C2303" s="33">
        <v>30</v>
      </c>
    </row>
    <row r="2304" spans="2:3" x14ac:dyDescent="0.25">
      <c r="B2304" s="33" t="s">
        <v>3795</v>
      </c>
      <c r="C2304" s="33">
        <v>30</v>
      </c>
    </row>
    <row r="2305" spans="2:3" x14ac:dyDescent="0.25">
      <c r="B2305" s="33" t="s">
        <v>3796</v>
      </c>
      <c r="C2305" s="33">
        <v>30</v>
      </c>
    </row>
    <row r="2306" spans="2:3" x14ac:dyDescent="0.25">
      <c r="B2306" s="33" t="s">
        <v>3797</v>
      </c>
      <c r="C2306" s="33">
        <v>30</v>
      </c>
    </row>
    <row r="2307" spans="2:3" x14ac:dyDescent="0.25">
      <c r="B2307" s="33" t="s">
        <v>3798</v>
      </c>
      <c r="C2307" s="33">
        <v>30</v>
      </c>
    </row>
    <row r="2308" spans="2:3" x14ac:dyDescent="0.25">
      <c r="B2308" s="33" t="s">
        <v>3799</v>
      </c>
      <c r="C2308" s="33">
        <v>30</v>
      </c>
    </row>
    <row r="2309" spans="2:3" x14ac:dyDescent="0.25">
      <c r="B2309" s="33" t="s">
        <v>3800</v>
      </c>
      <c r="C2309" s="33">
        <v>30</v>
      </c>
    </row>
    <row r="2310" spans="2:3" x14ac:dyDescent="0.25">
      <c r="B2310" s="33" t="s">
        <v>3801</v>
      </c>
      <c r="C2310" s="33">
        <v>30</v>
      </c>
    </row>
    <row r="2311" spans="2:3" x14ac:dyDescent="0.25">
      <c r="B2311" s="33" t="s">
        <v>3802</v>
      </c>
      <c r="C2311" s="33">
        <v>30</v>
      </c>
    </row>
    <row r="2312" spans="2:3" x14ac:dyDescent="0.25">
      <c r="B2312" s="33" t="s">
        <v>3803</v>
      </c>
      <c r="C2312" s="33">
        <v>30</v>
      </c>
    </row>
    <row r="2313" spans="2:3" x14ac:dyDescent="0.25">
      <c r="B2313" s="33" t="s">
        <v>3804</v>
      </c>
      <c r="C2313" s="33">
        <v>30</v>
      </c>
    </row>
    <row r="2314" spans="2:3" x14ac:dyDescent="0.25">
      <c r="B2314" s="33" t="s">
        <v>3805</v>
      </c>
      <c r="C2314" s="33">
        <v>30</v>
      </c>
    </row>
    <row r="2315" spans="2:3" x14ac:dyDescent="0.25">
      <c r="B2315" s="33" t="s">
        <v>3806</v>
      </c>
      <c r="C2315" s="33">
        <v>30</v>
      </c>
    </row>
    <row r="2316" spans="2:3" x14ac:dyDescent="0.25">
      <c r="B2316" s="33" t="s">
        <v>3807</v>
      </c>
      <c r="C2316" s="33">
        <v>30</v>
      </c>
    </row>
    <row r="2317" spans="2:3" x14ac:dyDescent="0.25">
      <c r="B2317" s="33" t="s">
        <v>3808</v>
      </c>
      <c r="C2317" s="33">
        <v>30</v>
      </c>
    </row>
    <row r="2318" spans="2:3" x14ac:dyDescent="0.25">
      <c r="B2318" s="33" t="s">
        <v>3809</v>
      </c>
      <c r="C2318" s="33">
        <v>30</v>
      </c>
    </row>
    <row r="2319" spans="2:3" x14ac:dyDescent="0.25">
      <c r="B2319" s="33" t="s">
        <v>3810</v>
      </c>
      <c r="C2319" s="33">
        <v>30</v>
      </c>
    </row>
    <row r="2320" spans="2:3" x14ac:dyDescent="0.25">
      <c r="B2320" s="33" t="s">
        <v>3811</v>
      </c>
      <c r="C2320" s="33">
        <v>30</v>
      </c>
    </row>
    <row r="2321" spans="2:3" x14ac:dyDescent="0.25">
      <c r="B2321" s="33" t="s">
        <v>3812</v>
      </c>
      <c r="C2321" s="33">
        <v>30</v>
      </c>
    </row>
    <row r="2322" spans="2:3" x14ac:dyDescent="0.25">
      <c r="B2322" s="33" t="s">
        <v>3813</v>
      </c>
      <c r="C2322" s="33">
        <v>30</v>
      </c>
    </row>
    <row r="2323" spans="2:3" x14ac:dyDescent="0.25">
      <c r="B2323" s="33" t="s">
        <v>3814</v>
      </c>
      <c r="C2323" s="33">
        <v>30</v>
      </c>
    </row>
    <row r="2324" spans="2:3" x14ac:dyDescent="0.25">
      <c r="B2324" s="33" t="s">
        <v>3815</v>
      </c>
      <c r="C2324" s="33">
        <v>30</v>
      </c>
    </row>
    <row r="2325" spans="2:3" x14ac:dyDescent="0.25">
      <c r="B2325" s="33" t="s">
        <v>3816</v>
      </c>
      <c r="C2325" s="33">
        <v>30</v>
      </c>
    </row>
    <row r="2326" spans="2:3" x14ac:dyDescent="0.25">
      <c r="B2326" s="33" t="s">
        <v>3817</v>
      </c>
      <c r="C2326" s="33">
        <v>30</v>
      </c>
    </row>
    <row r="2327" spans="2:3" x14ac:dyDescent="0.25">
      <c r="B2327" s="33" t="s">
        <v>3818</v>
      </c>
      <c r="C2327" s="33">
        <v>30</v>
      </c>
    </row>
    <row r="2328" spans="2:3" x14ac:dyDescent="0.25">
      <c r="B2328" s="33" t="s">
        <v>3819</v>
      </c>
      <c r="C2328" s="33">
        <v>30</v>
      </c>
    </row>
    <row r="2329" spans="2:3" x14ac:dyDescent="0.25">
      <c r="B2329" s="33" t="s">
        <v>3820</v>
      </c>
      <c r="C2329" s="33">
        <v>30</v>
      </c>
    </row>
    <row r="2330" spans="2:3" x14ac:dyDescent="0.25">
      <c r="B2330" s="33" t="s">
        <v>3821</v>
      </c>
      <c r="C2330" s="33">
        <v>30</v>
      </c>
    </row>
    <row r="2331" spans="2:3" x14ac:dyDescent="0.25">
      <c r="B2331" s="33" t="s">
        <v>3822</v>
      </c>
      <c r="C2331" s="33">
        <v>30</v>
      </c>
    </row>
    <row r="2332" spans="2:3" x14ac:dyDescent="0.25">
      <c r="B2332" s="33" t="s">
        <v>3823</v>
      </c>
      <c r="C2332" s="33">
        <v>30</v>
      </c>
    </row>
    <row r="2333" spans="2:3" x14ac:dyDescent="0.25">
      <c r="B2333" s="33" t="s">
        <v>3824</v>
      </c>
      <c r="C2333" s="33">
        <v>30</v>
      </c>
    </row>
    <row r="2334" spans="2:3" x14ac:dyDescent="0.25">
      <c r="B2334" s="33" t="s">
        <v>3825</v>
      </c>
      <c r="C2334" s="33">
        <v>30</v>
      </c>
    </row>
    <row r="2335" spans="2:3" x14ac:dyDescent="0.25">
      <c r="B2335" s="33" t="s">
        <v>3826</v>
      </c>
      <c r="C2335" s="33">
        <v>30</v>
      </c>
    </row>
    <row r="2336" spans="2:3" x14ac:dyDescent="0.25">
      <c r="B2336" s="33" t="s">
        <v>3827</v>
      </c>
      <c r="C2336" s="33">
        <v>30</v>
      </c>
    </row>
    <row r="2337" spans="2:3" x14ac:dyDescent="0.25">
      <c r="B2337" s="33" t="s">
        <v>3828</v>
      </c>
      <c r="C2337" s="33">
        <v>30</v>
      </c>
    </row>
    <row r="2338" spans="2:3" x14ac:dyDescent="0.25">
      <c r="B2338" s="33" t="s">
        <v>3829</v>
      </c>
      <c r="C2338" s="33">
        <v>30</v>
      </c>
    </row>
    <row r="2339" spans="2:3" x14ac:dyDescent="0.25">
      <c r="B2339" s="33" t="s">
        <v>3830</v>
      </c>
      <c r="C2339" s="33">
        <v>30</v>
      </c>
    </row>
    <row r="2340" spans="2:3" x14ac:dyDescent="0.25">
      <c r="B2340" s="33" t="s">
        <v>3831</v>
      </c>
      <c r="C2340" s="33">
        <v>30</v>
      </c>
    </row>
    <row r="2341" spans="2:3" x14ac:dyDescent="0.25">
      <c r="B2341" s="33" t="s">
        <v>3832</v>
      </c>
      <c r="C2341" s="33">
        <v>30</v>
      </c>
    </row>
    <row r="2342" spans="2:3" x14ac:dyDescent="0.25">
      <c r="B2342" s="33" t="s">
        <v>3833</v>
      </c>
      <c r="C2342" s="33">
        <v>30</v>
      </c>
    </row>
    <row r="2343" spans="2:3" x14ac:dyDescent="0.25">
      <c r="B2343" s="33" t="s">
        <v>3834</v>
      </c>
      <c r="C2343" s="33">
        <v>30</v>
      </c>
    </row>
    <row r="2344" spans="2:3" x14ac:dyDescent="0.25">
      <c r="B2344" s="33" t="s">
        <v>3835</v>
      </c>
      <c r="C2344" s="33">
        <v>30</v>
      </c>
    </row>
    <row r="2345" spans="2:3" x14ac:dyDescent="0.25">
      <c r="B2345" s="33" t="s">
        <v>3836</v>
      </c>
      <c r="C2345" s="33">
        <v>30</v>
      </c>
    </row>
    <row r="2346" spans="2:3" x14ac:dyDescent="0.25">
      <c r="B2346" s="33" t="s">
        <v>3837</v>
      </c>
      <c r="C2346" s="33">
        <v>30</v>
      </c>
    </row>
    <row r="2347" spans="2:3" x14ac:dyDescent="0.25">
      <c r="B2347" s="33" t="s">
        <v>3838</v>
      </c>
      <c r="C2347" s="33">
        <v>30</v>
      </c>
    </row>
    <row r="2348" spans="2:3" x14ac:dyDescent="0.25">
      <c r="B2348" s="33" t="s">
        <v>3839</v>
      </c>
      <c r="C2348" s="33">
        <v>30</v>
      </c>
    </row>
    <row r="2349" spans="2:3" x14ac:dyDescent="0.25">
      <c r="B2349" s="33" t="s">
        <v>3840</v>
      </c>
      <c r="C2349" s="33">
        <v>30</v>
      </c>
    </row>
    <row r="2350" spans="2:3" x14ac:dyDescent="0.25">
      <c r="B2350" s="33" t="s">
        <v>3841</v>
      </c>
      <c r="C2350" s="33">
        <v>30</v>
      </c>
    </row>
    <row r="2351" spans="2:3" x14ac:dyDescent="0.25">
      <c r="B2351" s="33" t="s">
        <v>3842</v>
      </c>
      <c r="C2351" s="33">
        <v>30</v>
      </c>
    </row>
    <row r="2352" spans="2:3" x14ac:dyDescent="0.25">
      <c r="B2352" s="33" t="s">
        <v>3843</v>
      </c>
      <c r="C2352" s="33">
        <v>30</v>
      </c>
    </row>
    <row r="2353" spans="2:3" x14ac:dyDescent="0.25">
      <c r="B2353" s="33" t="s">
        <v>3844</v>
      </c>
      <c r="C2353" s="33">
        <v>30</v>
      </c>
    </row>
    <row r="2354" spans="2:3" x14ac:dyDescent="0.25">
      <c r="B2354" s="33" t="s">
        <v>3845</v>
      </c>
      <c r="C2354" s="33">
        <v>30</v>
      </c>
    </row>
    <row r="2355" spans="2:3" x14ac:dyDescent="0.25">
      <c r="B2355" s="33" t="s">
        <v>3846</v>
      </c>
      <c r="C2355" s="33">
        <v>30</v>
      </c>
    </row>
    <row r="2356" spans="2:3" x14ac:dyDescent="0.25">
      <c r="B2356" s="33" t="s">
        <v>3847</v>
      </c>
      <c r="C2356" s="33">
        <v>30</v>
      </c>
    </row>
    <row r="2357" spans="2:3" x14ac:dyDescent="0.25">
      <c r="B2357" s="33" t="s">
        <v>3848</v>
      </c>
      <c r="C2357" s="33">
        <v>30</v>
      </c>
    </row>
    <row r="2358" spans="2:3" x14ac:dyDescent="0.25">
      <c r="B2358" s="33" t="s">
        <v>3849</v>
      </c>
      <c r="C2358" s="33">
        <v>30</v>
      </c>
    </row>
    <row r="2359" spans="2:3" x14ac:dyDescent="0.25">
      <c r="B2359" s="33" t="s">
        <v>3850</v>
      </c>
      <c r="C2359" s="33">
        <v>30</v>
      </c>
    </row>
    <row r="2360" spans="2:3" x14ac:dyDescent="0.25">
      <c r="B2360" s="33" t="s">
        <v>3851</v>
      </c>
      <c r="C2360" s="33">
        <v>30</v>
      </c>
    </row>
    <row r="2361" spans="2:3" x14ac:dyDescent="0.25">
      <c r="B2361" s="33" t="s">
        <v>3852</v>
      </c>
      <c r="C2361" s="33">
        <v>30</v>
      </c>
    </row>
    <row r="2362" spans="2:3" x14ac:dyDescent="0.25">
      <c r="B2362" s="33" t="s">
        <v>3853</v>
      </c>
      <c r="C2362" s="33">
        <v>30</v>
      </c>
    </row>
    <row r="2363" spans="2:3" x14ac:dyDescent="0.25">
      <c r="B2363" s="33" t="s">
        <v>3854</v>
      </c>
      <c r="C2363" s="33">
        <v>30</v>
      </c>
    </row>
    <row r="2364" spans="2:3" x14ac:dyDescent="0.25">
      <c r="B2364" s="33" t="s">
        <v>3855</v>
      </c>
      <c r="C2364" s="33">
        <v>30</v>
      </c>
    </row>
    <row r="2365" spans="2:3" x14ac:dyDescent="0.25">
      <c r="B2365" s="33" t="s">
        <v>3856</v>
      </c>
      <c r="C2365" s="33">
        <v>30</v>
      </c>
    </row>
    <row r="2366" spans="2:3" x14ac:dyDescent="0.25">
      <c r="B2366" s="33" t="s">
        <v>3857</v>
      </c>
      <c r="C2366" s="33">
        <v>30</v>
      </c>
    </row>
    <row r="2367" spans="2:3" x14ac:dyDescent="0.25">
      <c r="B2367" s="33" t="s">
        <v>3858</v>
      </c>
      <c r="C2367" s="33">
        <v>30</v>
      </c>
    </row>
    <row r="2368" spans="2:3" x14ac:dyDescent="0.25">
      <c r="B2368" s="33" t="s">
        <v>3859</v>
      </c>
      <c r="C2368" s="33">
        <v>30</v>
      </c>
    </row>
    <row r="2369" spans="2:3" x14ac:dyDescent="0.25">
      <c r="B2369" s="33" t="s">
        <v>3860</v>
      </c>
      <c r="C2369" s="33">
        <v>30</v>
      </c>
    </row>
    <row r="2370" spans="2:3" x14ac:dyDescent="0.25">
      <c r="B2370" s="33" t="s">
        <v>3861</v>
      </c>
      <c r="C2370" s="33">
        <v>30</v>
      </c>
    </row>
    <row r="2371" spans="2:3" x14ac:dyDescent="0.25">
      <c r="B2371" s="33" t="s">
        <v>3862</v>
      </c>
      <c r="C2371" s="33">
        <v>30</v>
      </c>
    </row>
    <row r="2372" spans="2:3" x14ac:dyDescent="0.25">
      <c r="B2372" s="33" t="s">
        <v>3863</v>
      </c>
      <c r="C2372" s="33">
        <v>30</v>
      </c>
    </row>
    <row r="2373" spans="2:3" x14ac:dyDescent="0.25">
      <c r="B2373" s="33" t="s">
        <v>3864</v>
      </c>
      <c r="C2373" s="33">
        <v>30</v>
      </c>
    </row>
    <row r="2374" spans="2:3" x14ac:dyDescent="0.25">
      <c r="B2374" s="33" t="s">
        <v>3865</v>
      </c>
      <c r="C2374" s="33">
        <v>30</v>
      </c>
    </row>
    <row r="2375" spans="2:3" x14ac:dyDescent="0.25">
      <c r="B2375" s="33" t="s">
        <v>3866</v>
      </c>
      <c r="C2375" s="33">
        <v>30</v>
      </c>
    </row>
    <row r="2376" spans="2:3" x14ac:dyDescent="0.25">
      <c r="B2376" s="33" t="s">
        <v>3867</v>
      </c>
      <c r="C2376" s="33">
        <v>30</v>
      </c>
    </row>
    <row r="2377" spans="2:3" x14ac:dyDescent="0.25">
      <c r="B2377" s="33" t="s">
        <v>3868</v>
      </c>
      <c r="C2377" s="33">
        <v>30</v>
      </c>
    </row>
    <row r="2378" spans="2:3" x14ac:dyDescent="0.25">
      <c r="B2378" s="33" t="s">
        <v>3869</v>
      </c>
      <c r="C2378" s="33">
        <v>30</v>
      </c>
    </row>
    <row r="2379" spans="2:3" x14ac:dyDescent="0.25">
      <c r="B2379" s="33" t="s">
        <v>3870</v>
      </c>
      <c r="C2379" s="33">
        <v>30</v>
      </c>
    </row>
    <row r="2380" spans="2:3" x14ac:dyDescent="0.25">
      <c r="B2380" s="33" t="s">
        <v>3871</v>
      </c>
      <c r="C2380" s="33">
        <v>30</v>
      </c>
    </row>
    <row r="2381" spans="2:3" x14ac:dyDescent="0.25">
      <c r="B2381" s="33" t="s">
        <v>3872</v>
      </c>
      <c r="C2381" s="33">
        <v>30</v>
      </c>
    </row>
    <row r="2382" spans="2:3" x14ac:dyDescent="0.25">
      <c r="B2382" s="33" t="s">
        <v>3873</v>
      </c>
      <c r="C2382" s="33">
        <v>30</v>
      </c>
    </row>
    <row r="2383" spans="2:3" x14ac:dyDescent="0.25">
      <c r="B2383" s="33" t="s">
        <v>3874</v>
      </c>
      <c r="C2383" s="33">
        <v>30</v>
      </c>
    </row>
    <row r="2384" spans="2:3" x14ac:dyDescent="0.25">
      <c r="B2384" s="33" t="s">
        <v>3875</v>
      </c>
      <c r="C2384" s="33">
        <v>30</v>
      </c>
    </row>
    <row r="2385" spans="2:3" x14ac:dyDescent="0.25">
      <c r="B2385" s="33" t="s">
        <v>3876</v>
      </c>
      <c r="C2385" s="33">
        <v>30</v>
      </c>
    </row>
    <row r="2386" spans="2:3" x14ac:dyDescent="0.25">
      <c r="B2386" s="33" t="s">
        <v>3877</v>
      </c>
      <c r="C2386" s="33">
        <v>30</v>
      </c>
    </row>
    <row r="2387" spans="2:3" x14ac:dyDescent="0.25">
      <c r="B2387" s="33" t="s">
        <v>3878</v>
      </c>
      <c r="C2387" s="33">
        <v>30</v>
      </c>
    </row>
    <row r="2388" spans="2:3" x14ac:dyDescent="0.25">
      <c r="B2388" s="33" t="s">
        <v>3879</v>
      </c>
      <c r="C2388" s="33">
        <v>30</v>
      </c>
    </row>
    <row r="2389" spans="2:3" x14ac:dyDescent="0.25">
      <c r="B2389" s="33" t="s">
        <v>3880</v>
      </c>
      <c r="C2389" s="33">
        <v>30</v>
      </c>
    </row>
    <row r="2390" spans="2:3" x14ac:dyDescent="0.25">
      <c r="B2390" s="33" t="s">
        <v>3881</v>
      </c>
      <c r="C2390" s="33">
        <v>30</v>
      </c>
    </row>
    <row r="2391" spans="2:3" x14ac:dyDescent="0.25">
      <c r="B2391" s="33" t="s">
        <v>3882</v>
      </c>
      <c r="C2391" s="33">
        <v>30</v>
      </c>
    </row>
    <row r="2392" spans="2:3" x14ac:dyDescent="0.25">
      <c r="B2392" s="33" t="s">
        <v>3883</v>
      </c>
      <c r="C2392" s="33">
        <v>30</v>
      </c>
    </row>
    <row r="2393" spans="2:3" x14ac:dyDescent="0.25">
      <c r="B2393" s="33" t="s">
        <v>3884</v>
      </c>
      <c r="C2393" s="33">
        <v>30</v>
      </c>
    </row>
    <row r="2394" spans="2:3" x14ac:dyDescent="0.25">
      <c r="B2394" s="33" t="s">
        <v>3885</v>
      </c>
      <c r="C2394" s="33">
        <v>30</v>
      </c>
    </row>
    <row r="2395" spans="2:3" x14ac:dyDescent="0.25">
      <c r="B2395" s="33" t="s">
        <v>3886</v>
      </c>
      <c r="C2395" s="33">
        <v>30</v>
      </c>
    </row>
    <row r="2396" spans="2:3" x14ac:dyDescent="0.25">
      <c r="B2396" s="33" t="s">
        <v>3887</v>
      </c>
      <c r="C2396" s="33">
        <v>30</v>
      </c>
    </row>
    <row r="2397" spans="2:3" x14ac:dyDescent="0.25">
      <c r="B2397" s="33" t="s">
        <v>3888</v>
      </c>
      <c r="C2397" s="33">
        <v>30</v>
      </c>
    </row>
    <row r="2398" spans="2:3" x14ac:dyDescent="0.25">
      <c r="B2398" s="33" t="s">
        <v>3889</v>
      </c>
      <c r="C2398" s="33">
        <v>30</v>
      </c>
    </row>
    <row r="2399" spans="2:3" x14ac:dyDescent="0.25">
      <c r="B2399" s="33" t="s">
        <v>3890</v>
      </c>
      <c r="C2399" s="33">
        <v>30</v>
      </c>
    </row>
    <row r="2400" spans="2:3" x14ac:dyDescent="0.25">
      <c r="B2400" s="33" t="s">
        <v>3891</v>
      </c>
      <c r="C2400" s="33">
        <v>30</v>
      </c>
    </row>
    <row r="2401" spans="2:3" x14ac:dyDescent="0.25">
      <c r="B2401" s="33" t="s">
        <v>3892</v>
      </c>
      <c r="C2401" s="33">
        <v>30</v>
      </c>
    </row>
    <row r="2402" spans="2:3" x14ac:dyDescent="0.25">
      <c r="B2402" s="33" t="s">
        <v>3893</v>
      </c>
      <c r="C2402" s="33">
        <v>30</v>
      </c>
    </row>
    <row r="2403" spans="2:3" x14ac:dyDescent="0.25">
      <c r="B2403" s="33" t="s">
        <v>3894</v>
      </c>
      <c r="C2403" s="33">
        <v>30</v>
      </c>
    </row>
    <row r="2404" spans="2:3" x14ac:dyDescent="0.25">
      <c r="B2404" s="33" t="s">
        <v>3895</v>
      </c>
      <c r="C2404" s="33">
        <v>30</v>
      </c>
    </row>
    <row r="2405" spans="2:3" x14ac:dyDescent="0.25">
      <c r="B2405" s="33" t="s">
        <v>3896</v>
      </c>
      <c r="C2405" s="33">
        <v>30</v>
      </c>
    </row>
    <row r="2406" spans="2:3" x14ac:dyDescent="0.25">
      <c r="B2406" s="33" t="s">
        <v>3897</v>
      </c>
      <c r="C2406" s="33">
        <v>30</v>
      </c>
    </row>
    <row r="2407" spans="2:3" x14ac:dyDescent="0.25">
      <c r="B2407" s="33" t="s">
        <v>3898</v>
      </c>
      <c r="C2407" s="33">
        <v>30</v>
      </c>
    </row>
    <row r="2408" spans="2:3" x14ac:dyDescent="0.25">
      <c r="B2408" s="33" t="s">
        <v>3899</v>
      </c>
      <c r="C2408" s="33">
        <v>30</v>
      </c>
    </row>
    <row r="2409" spans="2:3" x14ac:dyDescent="0.25">
      <c r="B2409" s="33" t="s">
        <v>3900</v>
      </c>
      <c r="C2409" s="33">
        <v>30</v>
      </c>
    </row>
    <row r="2410" spans="2:3" x14ac:dyDescent="0.25">
      <c r="B2410" s="33" t="s">
        <v>3901</v>
      </c>
      <c r="C2410" s="33">
        <v>30</v>
      </c>
    </row>
    <row r="2411" spans="2:3" x14ac:dyDescent="0.25">
      <c r="B2411" s="33" t="s">
        <v>3902</v>
      </c>
      <c r="C2411" s="33">
        <v>30</v>
      </c>
    </row>
    <row r="2412" spans="2:3" x14ac:dyDescent="0.25">
      <c r="B2412" s="33" t="s">
        <v>3903</v>
      </c>
      <c r="C2412" s="33">
        <v>30</v>
      </c>
    </row>
    <row r="2413" spans="2:3" x14ac:dyDescent="0.25">
      <c r="B2413" s="33" t="s">
        <v>3904</v>
      </c>
      <c r="C2413" s="33">
        <v>30</v>
      </c>
    </row>
    <row r="2414" spans="2:3" x14ac:dyDescent="0.25">
      <c r="B2414" s="33" t="s">
        <v>3905</v>
      </c>
      <c r="C2414" s="33">
        <v>30</v>
      </c>
    </row>
    <row r="2415" spans="2:3" x14ac:dyDescent="0.25">
      <c r="B2415" s="33" t="s">
        <v>3906</v>
      </c>
      <c r="C2415" s="33">
        <v>30</v>
      </c>
    </row>
    <row r="2416" spans="2:3" x14ac:dyDescent="0.25">
      <c r="B2416" s="33" t="s">
        <v>3907</v>
      </c>
      <c r="C2416" s="33">
        <v>30</v>
      </c>
    </row>
    <row r="2417" spans="2:3" x14ac:dyDescent="0.25">
      <c r="B2417" s="33" t="s">
        <v>3908</v>
      </c>
      <c r="C2417" s="33">
        <v>30</v>
      </c>
    </row>
    <row r="2418" spans="2:3" x14ac:dyDescent="0.25">
      <c r="B2418" s="33" t="s">
        <v>3909</v>
      </c>
      <c r="C2418" s="33">
        <v>30</v>
      </c>
    </row>
    <row r="2419" spans="2:3" x14ac:dyDescent="0.25">
      <c r="B2419" s="33" t="s">
        <v>3910</v>
      </c>
      <c r="C2419" s="33">
        <v>30</v>
      </c>
    </row>
    <row r="2420" spans="2:3" x14ac:dyDescent="0.25">
      <c r="B2420" s="33" t="s">
        <v>3911</v>
      </c>
      <c r="C2420" s="33">
        <v>30</v>
      </c>
    </row>
    <row r="2421" spans="2:3" x14ac:dyDescent="0.25">
      <c r="B2421" s="33" t="s">
        <v>3912</v>
      </c>
      <c r="C2421" s="33">
        <v>30</v>
      </c>
    </row>
    <row r="2422" spans="2:3" x14ac:dyDescent="0.25">
      <c r="B2422" s="33" t="s">
        <v>3913</v>
      </c>
      <c r="C2422" s="33">
        <v>30</v>
      </c>
    </row>
    <row r="2423" spans="2:3" x14ac:dyDescent="0.25">
      <c r="B2423" s="33" t="s">
        <v>3914</v>
      </c>
      <c r="C2423" s="33">
        <v>30</v>
      </c>
    </row>
    <row r="2424" spans="2:3" x14ac:dyDescent="0.25">
      <c r="B2424" s="33" t="s">
        <v>3915</v>
      </c>
      <c r="C2424" s="33">
        <v>30</v>
      </c>
    </row>
    <row r="2425" spans="2:3" x14ac:dyDescent="0.25">
      <c r="B2425" s="33" t="s">
        <v>3916</v>
      </c>
      <c r="C2425" s="33">
        <v>30</v>
      </c>
    </row>
    <row r="2426" spans="2:3" x14ac:dyDescent="0.25">
      <c r="B2426" s="33" t="s">
        <v>3917</v>
      </c>
      <c r="C2426" s="33">
        <v>30</v>
      </c>
    </row>
    <row r="2427" spans="2:3" x14ac:dyDescent="0.25">
      <c r="B2427" s="33" t="s">
        <v>3918</v>
      </c>
      <c r="C2427" s="33">
        <v>30</v>
      </c>
    </row>
    <row r="2428" spans="2:3" x14ac:dyDescent="0.25">
      <c r="B2428" s="33" t="s">
        <v>3919</v>
      </c>
      <c r="C2428" s="33">
        <v>30</v>
      </c>
    </row>
    <row r="2429" spans="2:3" x14ac:dyDescent="0.25">
      <c r="B2429" s="33" t="s">
        <v>3920</v>
      </c>
      <c r="C2429" s="33">
        <v>30</v>
      </c>
    </row>
    <row r="2430" spans="2:3" x14ac:dyDescent="0.25">
      <c r="B2430" s="33" t="s">
        <v>3921</v>
      </c>
      <c r="C2430" s="33">
        <v>30</v>
      </c>
    </row>
    <row r="2431" spans="2:3" x14ac:dyDescent="0.25">
      <c r="B2431" s="33" t="s">
        <v>3922</v>
      </c>
      <c r="C2431" s="33">
        <v>30</v>
      </c>
    </row>
    <row r="2432" spans="2:3" x14ac:dyDescent="0.25">
      <c r="B2432" s="33" t="s">
        <v>3923</v>
      </c>
      <c r="C2432" s="33">
        <v>30</v>
      </c>
    </row>
    <row r="2433" spans="2:3" x14ac:dyDescent="0.25">
      <c r="B2433" s="33" t="s">
        <v>3924</v>
      </c>
      <c r="C2433" s="33">
        <v>30</v>
      </c>
    </row>
    <row r="2434" spans="2:3" x14ac:dyDescent="0.25">
      <c r="B2434" s="33" t="s">
        <v>3925</v>
      </c>
      <c r="C2434" s="33">
        <v>30</v>
      </c>
    </row>
    <row r="2435" spans="2:3" x14ac:dyDescent="0.25">
      <c r="B2435" s="33" t="s">
        <v>3926</v>
      </c>
      <c r="C2435" s="33">
        <v>30</v>
      </c>
    </row>
    <row r="2436" spans="2:3" x14ac:dyDescent="0.25">
      <c r="B2436" s="33" t="s">
        <v>3927</v>
      </c>
      <c r="C2436" s="33">
        <v>30</v>
      </c>
    </row>
    <row r="2437" spans="2:3" x14ac:dyDescent="0.25">
      <c r="B2437" s="33" t="s">
        <v>3928</v>
      </c>
      <c r="C2437" s="33">
        <v>30</v>
      </c>
    </row>
    <row r="2438" spans="2:3" x14ac:dyDescent="0.25">
      <c r="B2438" s="33" t="s">
        <v>3929</v>
      </c>
      <c r="C2438" s="33">
        <v>30</v>
      </c>
    </row>
    <row r="2439" spans="2:3" x14ac:dyDescent="0.25">
      <c r="B2439" s="33" t="s">
        <v>3930</v>
      </c>
      <c r="C2439" s="33">
        <v>30</v>
      </c>
    </row>
    <row r="2440" spans="2:3" x14ac:dyDescent="0.25">
      <c r="B2440" s="33" t="s">
        <v>3931</v>
      </c>
      <c r="C2440" s="33">
        <v>30</v>
      </c>
    </row>
    <row r="2441" spans="2:3" x14ac:dyDescent="0.25">
      <c r="B2441" s="33" t="s">
        <v>3932</v>
      </c>
      <c r="C2441" s="33">
        <v>30</v>
      </c>
    </row>
    <row r="2442" spans="2:3" x14ac:dyDescent="0.25">
      <c r="B2442" s="33" t="s">
        <v>3933</v>
      </c>
      <c r="C2442" s="33">
        <v>30</v>
      </c>
    </row>
    <row r="2443" spans="2:3" x14ac:dyDescent="0.25">
      <c r="B2443" s="33" t="s">
        <v>3934</v>
      </c>
      <c r="C2443" s="33">
        <v>30</v>
      </c>
    </row>
    <row r="2444" spans="2:3" x14ac:dyDescent="0.25">
      <c r="B2444" s="33" t="s">
        <v>3935</v>
      </c>
      <c r="C2444" s="33">
        <v>30</v>
      </c>
    </row>
    <row r="2445" spans="2:3" x14ac:dyDescent="0.25">
      <c r="B2445" s="33" t="s">
        <v>3936</v>
      </c>
      <c r="C2445" s="33">
        <v>30</v>
      </c>
    </row>
    <row r="2446" spans="2:3" x14ac:dyDescent="0.25">
      <c r="B2446" s="33" t="s">
        <v>3937</v>
      </c>
      <c r="C2446" s="33">
        <v>30</v>
      </c>
    </row>
    <row r="2447" spans="2:3" x14ac:dyDescent="0.25">
      <c r="B2447" s="33" t="s">
        <v>3938</v>
      </c>
      <c r="C2447" s="33">
        <v>30</v>
      </c>
    </row>
    <row r="2448" spans="2:3" x14ac:dyDescent="0.25">
      <c r="B2448" s="33" t="s">
        <v>3939</v>
      </c>
      <c r="C2448" s="33">
        <v>30</v>
      </c>
    </row>
    <row r="2449" spans="2:3" x14ac:dyDescent="0.25">
      <c r="B2449" s="33" t="s">
        <v>3940</v>
      </c>
      <c r="C2449" s="33">
        <v>30</v>
      </c>
    </row>
    <row r="2450" spans="2:3" x14ac:dyDescent="0.25">
      <c r="B2450" s="33" t="s">
        <v>3941</v>
      </c>
      <c r="C2450" s="33">
        <v>30</v>
      </c>
    </row>
    <row r="2451" spans="2:3" x14ac:dyDescent="0.25">
      <c r="B2451" s="33" t="s">
        <v>3942</v>
      </c>
      <c r="C2451" s="33">
        <v>30</v>
      </c>
    </row>
    <row r="2452" spans="2:3" x14ac:dyDescent="0.25">
      <c r="B2452" s="33" t="s">
        <v>3943</v>
      </c>
      <c r="C2452" s="33">
        <v>30</v>
      </c>
    </row>
    <row r="2453" spans="2:3" x14ac:dyDescent="0.25">
      <c r="B2453" s="33" t="s">
        <v>3944</v>
      </c>
      <c r="C2453" s="33">
        <v>30</v>
      </c>
    </row>
    <row r="2454" spans="2:3" x14ac:dyDescent="0.25">
      <c r="B2454" s="33" t="s">
        <v>3945</v>
      </c>
      <c r="C2454" s="33">
        <v>30</v>
      </c>
    </row>
    <row r="2455" spans="2:3" x14ac:dyDescent="0.25">
      <c r="B2455" s="33" t="s">
        <v>3946</v>
      </c>
      <c r="C2455" s="33">
        <v>30</v>
      </c>
    </row>
    <row r="2456" spans="2:3" x14ac:dyDescent="0.25">
      <c r="B2456" s="33" t="s">
        <v>3947</v>
      </c>
      <c r="C2456" s="33">
        <v>30</v>
      </c>
    </row>
    <row r="2457" spans="2:3" x14ac:dyDescent="0.25">
      <c r="B2457" s="33" t="s">
        <v>3948</v>
      </c>
      <c r="C2457" s="33">
        <v>30</v>
      </c>
    </row>
    <row r="2458" spans="2:3" x14ac:dyDescent="0.25">
      <c r="B2458" s="33" t="s">
        <v>3949</v>
      </c>
      <c r="C2458" s="33">
        <v>30</v>
      </c>
    </row>
    <row r="2459" spans="2:3" x14ac:dyDescent="0.25">
      <c r="B2459" s="33" t="s">
        <v>3950</v>
      </c>
      <c r="C2459" s="33">
        <v>30</v>
      </c>
    </row>
    <row r="2460" spans="2:3" x14ac:dyDescent="0.25">
      <c r="B2460" s="33" t="s">
        <v>3951</v>
      </c>
      <c r="C2460" s="33">
        <v>30</v>
      </c>
    </row>
    <row r="2461" spans="2:3" x14ac:dyDescent="0.25">
      <c r="B2461" s="33" t="s">
        <v>3952</v>
      </c>
      <c r="C2461" s="33">
        <v>30</v>
      </c>
    </row>
    <row r="2462" spans="2:3" x14ac:dyDescent="0.25">
      <c r="B2462" s="33" t="s">
        <v>3953</v>
      </c>
      <c r="C2462" s="33">
        <v>30</v>
      </c>
    </row>
    <row r="2463" spans="2:3" x14ac:dyDescent="0.25">
      <c r="B2463" s="33" t="s">
        <v>3954</v>
      </c>
      <c r="C2463" s="33">
        <v>30</v>
      </c>
    </row>
    <row r="2464" spans="2:3" x14ac:dyDescent="0.25">
      <c r="B2464" s="33" t="s">
        <v>3955</v>
      </c>
      <c r="C2464" s="33">
        <v>30</v>
      </c>
    </row>
    <row r="2465" spans="2:3" x14ac:dyDescent="0.25">
      <c r="B2465" s="33" t="s">
        <v>3956</v>
      </c>
      <c r="C2465" s="33">
        <v>30</v>
      </c>
    </row>
    <row r="2466" spans="2:3" x14ac:dyDescent="0.25">
      <c r="B2466" s="33" t="s">
        <v>3957</v>
      </c>
      <c r="C2466" s="33">
        <v>30</v>
      </c>
    </row>
    <row r="2467" spans="2:3" x14ac:dyDescent="0.25">
      <c r="B2467" s="33" t="s">
        <v>3958</v>
      </c>
      <c r="C2467" s="33">
        <v>30</v>
      </c>
    </row>
    <row r="2468" spans="2:3" x14ac:dyDescent="0.25">
      <c r="B2468" s="33" t="s">
        <v>3959</v>
      </c>
      <c r="C2468" s="33">
        <v>30</v>
      </c>
    </row>
    <row r="2469" spans="2:3" x14ac:dyDescent="0.25">
      <c r="B2469" s="33" t="s">
        <v>3960</v>
      </c>
      <c r="C2469" s="33">
        <v>30</v>
      </c>
    </row>
    <row r="2470" spans="2:3" x14ac:dyDescent="0.25">
      <c r="B2470" s="33" t="s">
        <v>3961</v>
      </c>
      <c r="C2470" s="33">
        <v>30</v>
      </c>
    </row>
    <row r="2471" spans="2:3" x14ac:dyDescent="0.25">
      <c r="B2471" s="33" t="s">
        <v>3962</v>
      </c>
      <c r="C2471" s="33">
        <v>30</v>
      </c>
    </row>
    <row r="2472" spans="2:3" x14ac:dyDescent="0.25">
      <c r="B2472" s="33" t="s">
        <v>3963</v>
      </c>
      <c r="C2472" s="33">
        <v>30</v>
      </c>
    </row>
    <row r="2473" spans="2:3" x14ac:dyDescent="0.25">
      <c r="B2473" s="33" t="s">
        <v>3964</v>
      </c>
      <c r="C2473" s="33">
        <v>30</v>
      </c>
    </row>
    <row r="2474" spans="2:3" x14ac:dyDescent="0.25">
      <c r="B2474" s="33" t="s">
        <v>3965</v>
      </c>
      <c r="C2474" s="33">
        <v>30</v>
      </c>
    </row>
    <row r="2475" spans="2:3" x14ac:dyDescent="0.25">
      <c r="B2475" s="33" t="s">
        <v>3966</v>
      </c>
      <c r="C2475" s="33">
        <v>30</v>
      </c>
    </row>
    <row r="2476" spans="2:3" x14ac:dyDescent="0.25">
      <c r="B2476" s="33" t="s">
        <v>3967</v>
      </c>
      <c r="C2476" s="33">
        <v>30</v>
      </c>
    </row>
    <row r="2477" spans="2:3" x14ac:dyDescent="0.25">
      <c r="B2477" s="33" t="s">
        <v>3968</v>
      </c>
      <c r="C2477" s="33">
        <v>30</v>
      </c>
    </row>
    <row r="2478" spans="2:3" x14ac:dyDescent="0.25">
      <c r="B2478" s="33" t="s">
        <v>3969</v>
      </c>
      <c r="C2478" s="33">
        <v>30</v>
      </c>
    </row>
    <row r="2479" spans="2:3" x14ac:dyDescent="0.25">
      <c r="B2479" s="33" t="s">
        <v>3970</v>
      </c>
      <c r="C2479" s="33">
        <v>30</v>
      </c>
    </row>
    <row r="2480" spans="2:3" x14ac:dyDescent="0.25">
      <c r="B2480" s="33" t="s">
        <v>3971</v>
      </c>
      <c r="C2480" s="33">
        <v>30</v>
      </c>
    </row>
    <row r="2481" spans="2:3" x14ac:dyDescent="0.25">
      <c r="B2481" s="33" t="s">
        <v>3972</v>
      </c>
      <c r="C2481" s="33">
        <v>30</v>
      </c>
    </row>
    <row r="2482" spans="2:3" x14ac:dyDescent="0.25">
      <c r="B2482" s="33" t="s">
        <v>3973</v>
      </c>
      <c r="C2482" s="33">
        <v>30</v>
      </c>
    </row>
    <row r="2483" spans="2:3" x14ac:dyDescent="0.25">
      <c r="B2483" s="33" t="s">
        <v>3974</v>
      </c>
      <c r="C2483" s="33">
        <v>30</v>
      </c>
    </row>
    <row r="2484" spans="2:3" x14ac:dyDescent="0.25">
      <c r="B2484" s="33" t="s">
        <v>3975</v>
      </c>
      <c r="C2484" s="33">
        <v>30</v>
      </c>
    </row>
    <row r="2485" spans="2:3" x14ac:dyDescent="0.25">
      <c r="B2485" s="33" t="s">
        <v>3976</v>
      </c>
      <c r="C2485" s="33">
        <v>30</v>
      </c>
    </row>
    <row r="2486" spans="2:3" x14ac:dyDescent="0.25">
      <c r="B2486" s="33" t="s">
        <v>3977</v>
      </c>
      <c r="C2486" s="33">
        <v>30</v>
      </c>
    </row>
    <row r="2487" spans="2:3" x14ac:dyDescent="0.25">
      <c r="B2487" s="33" t="s">
        <v>3978</v>
      </c>
      <c r="C2487" s="33">
        <v>30</v>
      </c>
    </row>
    <row r="2488" spans="2:3" x14ac:dyDescent="0.25">
      <c r="B2488" s="33" t="s">
        <v>3979</v>
      </c>
      <c r="C2488" s="33">
        <v>30</v>
      </c>
    </row>
    <row r="2489" spans="2:3" x14ac:dyDescent="0.25">
      <c r="B2489" s="33" t="s">
        <v>3980</v>
      </c>
      <c r="C2489" s="33">
        <v>30</v>
      </c>
    </row>
    <row r="2490" spans="2:3" x14ac:dyDescent="0.25">
      <c r="B2490" s="33" t="s">
        <v>3981</v>
      </c>
      <c r="C2490" s="33">
        <v>30</v>
      </c>
    </row>
    <row r="2491" spans="2:3" x14ac:dyDescent="0.25">
      <c r="B2491" s="33" t="s">
        <v>3982</v>
      </c>
      <c r="C2491" s="33">
        <v>30</v>
      </c>
    </row>
    <row r="2492" spans="2:3" x14ac:dyDescent="0.25">
      <c r="B2492" s="33" t="s">
        <v>3983</v>
      </c>
      <c r="C2492" s="33">
        <v>30</v>
      </c>
    </row>
    <row r="2493" spans="2:3" x14ac:dyDescent="0.25">
      <c r="B2493" s="33" t="s">
        <v>3984</v>
      </c>
      <c r="C2493" s="33">
        <v>30</v>
      </c>
    </row>
    <row r="2494" spans="2:3" x14ac:dyDescent="0.25">
      <c r="B2494" s="33" t="s">
        <v>3985</v>
      </c>
      <c r="C2494" s="33">
        <v>30</v>
      </c>
    </row>
    <row r="2495" spans="2:3" x14ac:dyDescent="0.25">
      <c r="B2495" s="33" t="s">
        <v>3986</v>
      </c>
      <c r="C2495" s="33">
        <v>30</v>
      </c>
    </row>
    <row r="2496" spans="2:3" x14ac:dyDescent="0.25">
      <c r="B2496" s="33" t="s">
        <v>3987</v>
      </c>
      <c r="C2496" s="33">
        <v>30</v>
      </c>
    </row>
    <row r="2497" spans="2:3" x14ac:dyDescent="0.25">
      <c r="B2497" s="33" t="s">
        <v>3988</v>
      </c>
      <c r="C2497" s="33">
        <v>30</v>
      </c>
    </row>
    <row r="2498" spans="2:3" x14ac:dyDescent="0.25">
      <c r="B2498" s="33" t="s">
        <v>3989</v>
      </c>
      <c r="C2498" s="33">
        <v>30</v>
      </c>
    </row>
    <row r="2499" spans="2:3" x14ac:dyDescent="0.25">
      <c r="B2499" s="33" t="s">
        <v>3990</v>
      </c>
      <c r="C2499" s="33">
        <v>30</v>
      </c>
    </row>
    <row r="2500" spans="2:3" x14ac:dyDescent="0.25">
      <c r="B2500" s="33" t="s">
        <v>3991</v>
      </c>
      <c r="C2500" s="33">
        <v>30</v>
      </c>
    </row>
    <row r="2501" spans="2:3" x14ac:dyDescent="0.25">
      <c r="B2501" s="33" t="s">
        <v>3992</v>
      </c>
      <c r="C2501" s="33">
        <v>30</v>
      </c>
    </row>
    <row r="2502" spans="2:3" x14ac:dyDescent="0.25">
      <c r="B2502" s="33" t="s">
        <v>3993</v>
      </c>
      <c r="C2502" s="33">
        <v>30</v>
      </c>
    </row>
    <row r="2503" spans="2:3" x14ac:dyDescent="0.25">
      <c r="B2503" s="33" t="s">
        <v>3994</v>
      </c>
      <c r="C2503" s="33">
        <v>30</v>
      </c>
    </row>
    <row r="2504" spans="2:3" x14ac:dyDescent="0.25">
      <c r="B2504" s="33" t="s">
        <v>3995</v>
      </c>
      <c r="C2504" s="33">
        <v>30</v>
      </c>
    </row>
    <row r="2505" spans="2:3" x14ac:dyDescent="0.25">
      <c r="B2505" s="33" t="s">
        <v>3996</v>
      </c>
      <c r="C2505" s="33">
        <v>30</v>
      </c>
    </row>
    <row r="2506" spans="2:3" x14ac:dyDescent="0.25">
      <c r="B2506" s="33" t="s">
        <v>3997</v>
      </c>
      <c r="C2506" s="33">
        <v>30</v>
      </c>
    </row>
    <row r="2507" spans="2:3" x14ac:dyDescent="0.25">
      <c r="B2507" s="33" t="s">
        <v>3998</v>
      </c>
      <c r="C2507" s="33">
        <v>30</v>
      </c>
    </row>
    <row r="2508" spans="2:3" x14ac:dyDescent="0.25">
      <c r="B2508" s="33" t="s">
        <v>3999</v>
      </c>
      <c r="C2508" s="33">
        <v>30</v>
      </c>
    </row>
    <row r="2509" spans="2:3" x14ac:dyDescent="0.25">
      <c r="B2509" s="33" t="s">
        <v>4000</v>
      </c>
      <c r="C2509" s="33">
        <v>30</v>
      </c>
    </row>
    <row r="2510" spans="2:3" x14ac:dyDescent="0.25">
      <c r="B2510" s="33" t="s">
        <v>4001</v>
      </c>
      <c r="C2510" s="33">
        <v>30</v>
      </c>
    </row>
    <row r="2511" spans="2:3" x14ac:dyDescent="0.25">
      <c r="B2511" s="33" t="s">
        <v>4002</v>
      </c>
      <c r="C2511" s="33">
        <v>30</v>
      </c>
    </row>
    <row r="2512" spans="2:3" x14ac:dyDescent="0.25">
      <c r="B2512" s="33" t="s">
        <v>4003</v>
      </c>
      <c r="C2512" s="33">
        <v>30</v>
      </c>
    </row>
    <row r="2513" spans="2:3" x14ac:dyDescent="0.25">
      <c r="B2513" s="33" t="s">
        <v>4004</v>
      </c>
      <c r="C2513" s="33">
        <v>30</v>
      </c>
    </row>
    <row r="2514" spans="2:3" x14ac:dyDescent="0.25">
      <c r="B2514" s="33" t="s">
        <v>4005</v>
      </c>
      <c r="C2514" s="33">
        <v>30</v>
      </c>
    </row>
    <row r="2515" spans="2:3" x14ac:dyDescent="0.25">
      <c r="B2515" s="33" t="s">
        <v>4006</v>
      </c>
      <c r="C2515" s="33">
        <v>30</v>
      </c>
    </row>
    <row r="2516" spans="2:3" x14ac:dyDescent="0.25">
      <c r="B2516" s="33" t="s">
        <v>4007</v>
      </c>
      <c r="C2516" s="33">
        <v>30</v>
      </c>
    </row>
    <row r="2517" spans="2:3" x14ac:dyDescent="0.25">
      <c r="B2517" s="33" t="s">
        <v>4008</v>
      </c>
      <c r="C2517" s="33">
        <v>30</v>
      </c>
    </row>
    <row r="2518" spans="2:3" x14ac:dyDescent="0.25">
      <c r="B2518" s="33" t="s">
        <v>4009</v>
      </c>
      <c r="C2518" s="33">
        <v>30</v>
      </c>
    </row>
    <row r="2519" spans="2:3" x14ac:dyDescent="0.25">
      <c r="B2519" s="33" t="s">
        <v>4010</v>
      </c>
      <c r="C2519" s="33">
        <v>30</v>
      </c>
    </row>
    <row r="2520" spans="2:3" x14ac:dyDescent="0.25">
      <c r="B2520" s="33" t="s">
        <v>4011</v>
      </c>
      <c r="C2520" s="33">
        <v>30</v>
      </c>
    </row>
    <row r="2521" spans="2:3" x14ac:dyDescent="0.25">
      <c r="B2521" s="33" t="s">
        <v>4012</v>
      </c>
      <c r="C2521" s="33">
        <v>30</v>
      </c>
    </row>
    <row r="2522" spans="2:3" x14ac:dyDescent="0.25">
      <c r="B2522" s="33" t="s">
        <v>4013</v>
      </c>
      <c r="C2522" s="33">
        <v>30</v>
      </c>
    </row>
    <row r="2523" spans="2:3" x14ac:dyDescent="0.25">
      <c r="B2523" s="33" t="s">
        <v>4014</v>
      </c>
      <c r="C2523" s="33">
        <v>30</v>
      </c>
    </row>
    <row r="2524" spans="2:3" x14ac:dyDescent="0.25">
      <c r="B2524" s="33" t="s">
        <v>4015</v>
      </c>
      <c r="C2524" s="33">
        <v>30</v>
      </c>
    </row>
    <row r="2525" spans="2:3" x14ac:dyDescent="0.25">
      <c r="B2525" s="33" t="s">
        <v>4016</v>
      </c>
      <c r="C2525" s="33">
        <v>30</v>
      </c>
    </row>
    <row r="2526" spans="2:3" x14ac:dyDescent="0.25">
      <c r="B2526" s="33" t="s">
        <v>4017</v>
      </c>
      <c r="C2526" s="33">
        <v>30</v>
      </c>
    </row>
    <row r="2527" spans="2:3" x14ac:dyDescent="0.25">
      <c r="B2527" s="33" t="s">
        <v>4018</v>
      </c>
      <c r="C2527" s="33">
        <v>30</v>
      </c>
    </row>
    <row r="2528" spans="2:3" x14ac:dyDescent="0.25">
      <c r="B2528" s="33" t="s">
        <v>4019</v>
      </c>
      <c r="C2528" s="33">
        <v>30</v>
      </c>
    </row>
    <row r="2529" spans="2:3" x14ac:dyDescent="0.25">
      <c r="B2529" s="33" t="s">
        <v>4020</v>
      </c>
      <c r="C2529" s="33">
        <v>30</v>
      </c>
    </row>
    <row r="2530" spans="2:3" x14ac:dyDescent="0.25">
      <c r="B2530" s="33" t="s">
        <v>4021</v>
      </c>
      <c r="C2530" s="33">
        <v>30</v>
      </c>
    </row>
    <row r="2531" spans="2:3" x14ac:dyDescent="0.25">
      <c r="B2531" s="33" t="s">
        <v>4022</v>
      </c>
      <c r="C2531" s="33">
        <v>30</v>
      </c>
    </row>
    <row r="2532" spans="2:3" x14ac:dyDescent="0.25">
      <c r="B2532" s="33" t="s">
        <v>4023</v>
      </c>
      <c r="C2532" s="33">
        <v>30</v>
      </c>
    </row>
    <row r="2533" spans="2:3" x14ac:dyDescent="0.25">
      <c r="B2533" s="33" t="s">
        <v>4024</v>
      </c>
      <c r="C2533" s="33">
        <v>30</v>
      </c>
    </row>
    <row r="2534" spans="2:3" x14ac:dyDescent="0.25">
      <c r="B2534" s="33" t="s">
        <v>4025</v>
      </c>
      <c r="C2534" s="33">
        <v>30</v>
      </c>
    </row>
    <row r="2535" spans="2:3" x14ac:dyDescent="0.25">
      <c r="B2535" s="33" t="s">
        <v>4026</v>
      </c>
      <c r="C2535" s="33">
        <v>30</v>
      </c>
    </row>
    <row r="2536" spans="2:3" x14ac:dyDescent="0.25">
      <c r="B2536" s="33" t="s">
        <v>4027</v>
      </c>
      <c r="C2536" s="33">
        <v>30</v>
      </c>
    </row>
    <row r="2537" spans="2:3" x14ac:dyDescent="0.25">
      <c r="B2537" s="33" t="s">
        <v>4028</v>
      </c>
      <c r="C2537" s="33">
        <v>30</v>
      </c>
    </row>
    <row r="2538" spans="2:3" x14ac:dyDescent="0.25">
      <c r="B2538" s="33" t="s">
        <v>4029</v>
      </c>
      <c r="C2538" s="33">
        <v>30</v>
      </c>
    </row>
    <row r="2539" spans="2:3" x14ac:dyDescent="0.25">
      <c r="B2539" s="33" t="s">
        <v>4030</v>
      </c>
      <c r="C2539" s="33">
        <v>30</v>
      </c>
    </row>
    <row r="2540" spans="2:3" x14ac:dyDescent="0.25">
      <c r="B2540" s="33" t="s">
        <v>4031</v>
      </c>
      <c r="C2540" s="33">
        <v>30</v>
      </c>
    </row>
    <row r="2541" spans="2:3" x14ac:dyDescent="0.25">
      <c r="B2541" s="33" t="s">
        <v>4032</v>
      </c>
      <c r="C2541" s="33">
        <v>30</v>
      </c>
    </row>
    <row r="2542" spans="2:3" x14ac:dyDescent="0.25">
      <c r="B2542" s="33" t="s">
        <v>4033</v>
      </c>
      <c r="C2542" s="33">
        <v>30</v>
      </c>
    </row>
    <row r="2543" spans="2:3" x14ac:dyDescent="0.25">
      <c r="B2543" s="33" t="s">
        <v>4034</v>
      </c>
      <c r="C2543" s="33">
        <v>30</v>
      </c>
    </row>
    <row r="2544" spans="2:3" x14ac:dyDescent="0.25">
      <c r="B2544" s="33" t="s">
        <v>4035</v>
      </c>
      <c r="C2544" s="33">
        <v>30</v>
      </c>
    </row>
    <row r="2545" spans="2:3" x14ac:dyDescent="0.25">
      <c r="B2545" s="33" t="s">
        <v>4036</v>
      </c>
      <c r="C2545" s="33">
        <v>30</v>
      </c>
    </row>
    <row r="2546" spans="2:3" x14ac:dyDescent="0.25">
      <c r="B2546" s="33" t="s">
        <v>4037</v>
      </c>
      <c r="C2546" s="33">
        <v>30</v>
      </c>
    </row>
    <row r="2547" spans="2:3" x14ac:dyDescent="0.25">
      <c r="B2547" s="33" t="s">
        <v>4038</v>
      </c>
      <c r="C2547" s="33">
        <v>30</v>
      </c>
    </row>
    <row r="2548" spans="2:3" x14ac:dyDescent="0.25">
      <c r="B2548" s="33" t="s">
        <v>4039</v>
      </c>
      <c r="C2548" s="33">
        <v>30</v>
      </c>
    </row>
    <row r="2549" spans="2:3" x14ac:dyDescent="0.25">
      <c r="B2549" s="33" t="s">
        <v>4040</v>
      </c>
      <c r="C2549" s="33">
        <v>30</v>
      </c>
    </row>
    <row r="2550" spans="2:3" x14ac:dyDescent="0.25">
      <c r="B2550" s="33" t="s">
        <v>4041</v>
      </c>
      <c r="C2550" s="33">
        <v>30</v>
      </c>
    </row>
    <row r="2551" spans="2:3" x14ac:dyDescent="0.25">
      <c r="B2551" s="33" t="s">
        <v>4042</v>
      </c>
      <c r="C2551" s="33">
        <v>30</v>
      </c>
    </row>
    <row r="2552" spans="2:3" x14ac:dyDescent="0.25">
      <c r="B2552" s="33" t="s">
        <v>4043</v>
      </c>
      <c r="C2552" s="33">
        <v>30</v>
      </c>
    </row>
    <row r="2553" spans="2:3" x14ac:dyDescent="0.25">
      <c r="B2553" s="33" t="s">
        <v>4044</v>
      </c>
      <c r="C2553" s="33">
        <v>30</v>
      </c>
    </row>
    <row r="2554" spans="2:3" x14ac:dyDescent="0.25">
      <c r="B2554" s="33" t="s">
        <v>4045</v>
      </c>
      <c r="C2554" s="33">
        <v>30</v>
      </c>
    </row>
    <row r="2555" spans="2:3" x14ac:dyDescent="0.25">
      <c r="B2555" s="33" t="s">
        <v>4046</v>
      </c>
      <c r="C2555" s="33">
        <v>30</v>
      </c>
    </row>
    <row r="2556" spans="2:3" x14ac:dyDescent="0.25">
      <c r="B2556" s="33" t="s">
        <v>4047</v>
      </c>
      <c r="C2556" s="33">
        <v>30</v>
      </c>
    </row>
    <row r="2557" spans="2:3" x14ac:dyDescent="0.25">
      <c r="B2557" s="33" t="s">
        <v>4048</v>
      </c>
      <c r="C2557" s="33">
        <v>30</v>
      </c>
    </row>
    <row r="2558" spans="2:3" x14ac:dyDescent="0.25">
      <c r="B2558" s="33" t="s">
        <v>4049</v>
      </c>
      <c r="C2558" s="33">
        <v>30</v>
      </c>
    </row>
    <row r="2559" spans="2:3" x14ac:dyDescent="0.25">
      <c r="B2559" s="33" t="s">
        <v>4050</v>
      </c>
      <c r="C2559" s="33">
        <v>30</v>
      </c>
    </row>
    <row r="2560" spans="2:3" x14ac:dyDescent="0.25">
      <c r="B2560" s="33" t="s">
        <v>4051</v>
      </c>
      <c r="C2560" s="33">
        <v>30</v>
      </c>
    </row>
    <row r="2561" spans="2:3" x14ac:dyDescent="0.25">
      <c r="B2561" s="33" t="s">
        <v>4052</v>
      </c>
      <c r="C2561" s="33">
        <v>30</v>
      </c>
    </row>
    <row r="2562" spans="2:3" x14ac:dyDescent="0.25">
      <c r="B2562" s="33" t="s">
        <v>4053</v>
      </c>
      <c r="C2562" s="33">
        <v>30</v>
      </c>
    </row>
    <row r="2563" spans="2:3" x14ac:dyDescent="0.25">
      <c r="B2563" s="33" t="s">
        <v>4054</v>
      </c>
      <c r="C2563" s="33">
        <v>30</v>
      </c>
    </row>
    <row r="2564" spans="2:3" x14ac:dyDescent="0.25">
      <c r="B2564" s="33" t="s">
        <v>4055</v>
      </c>
      <c r="C2564" s="33">
        <v>30</v>
      </c>
    </row>
    <row r="2565" spans="2:3" x14ac:dyDescent="0.25">
      <c r="B2565" s="33" t="s">
        <v>4056</v>
      </c>
      <c r="C2565" s="33">
        <v>30</v>
      </c>
    </row>
    <row r="2566" spans="2:3" x14ac:dyDescent="0.25">
      <c r="B2566" s="33" t="s">
        <v>4057</v>
      </c>
      <c r="C2566" s="33">
        <v>30</v>
      </c>
    </row>
    <row r="2567" spans="2:3" x14ac:dyDescent="0.25">
      <c r="B2567" s="33" t="s">
        <v>4058</v>
      </c>
      <c r="C2567" s="33">
        <v>30</v>
      </c>
    </row>
    <row r="2568" spans="2:3" x14ac:dyDescent="0.25">
      <c r="B2568" s="33" t="s">
        <v>4059</v>
      </c>
      <c r="C2568" s="33">
        <v>30</v>
      </c>
    </row>
    <row r="2569" spans="2:3" x14ac:dyDescent="0.25">
      <c r="B2569" s="33" t="s">
        <v>4060</v>
      </c>
      <c r="C2569" s="33">
        <v>30</v>
      </c>
    </row>
    <row r="2570" spans="2:3" x14ac:dyDescent="0.25">
      <c r="B2570" s="33" t="s">
        <v>4061</v>
      </c>
      <c r="C2570" s="33">
        <v>30</v>
      </c>
    </row>
    <row r="2571" spans="2:3" x14ac:dyDescent="0.25">
      <c r="B2571" s="33" t="s">
        <v>4062</v>
      </c>
      <c r="C2571" s="33">
        <v>30</v>
      </c>
    </row>
    <row r="2572" spans="2:3" x14ac:dyDescent="0.25">
      <c r="B2572" s="33" t="s">
        <v>4063</v>
      </c>
      <c r="C2572" s="33">
        <v>30</v>
      </c>
    </row>
    <row r="2573" spans="2:3" x14ac:dyDescent="0.25">
      <c r="B2573" s="33" t="s">
        <v>4064</v>
      </c>
      <c r="C2573" s="33">
        <v>30</v>
      </c>
    </row>
    <row r="2574" spans="2:3" x14ac:dyDescent="0.25">
      <c r="B2574" s="33" t="s">
        <v>4065</v>
      </c>
      <c r="C2574" s="33">
        <v>30</v>
      </c>
    </row>
    <row r="2575" spans="2:3" x14ac:dyDescent="0.25">
      <c r="B2575" s="33" t="s">
        <v>4066</v>
      </c>
      <c r="C2575" s="33">
        <v>30</v>
      </c>
    </row>
    <row r="2576" spans="2:3" x14ac:dyDescent="0.25">
      <c r="B2576" s="33" t="s">
        <v>4067</v>
      </c>
      <c r="C2576" s="33">
        <v>30</v>
      </c>
    </row>
    <row r="2577" spans="2:3" x14ac:dyDescent="0.25">
      <c r="B2577" s="33" t="s">
        <v>4068</v>
      </c>
      <c r="C2577" s="33">
        <v>30</v>
      </c>
    </row>
    <row r="2578" spans="2:3" x14ac:dyDescent="0.25">
      <c r="B2578" s="33" t="s">
        <v>4069</v>
      </c>
      <c r="C2578" s="33">
        <v>30</v>
      </c>
    </row>
    <row r="2579" spans="2:3" x14ac:dyDescent="0.25">
      <c r="B2579" s="33" t="s">
        <v>4070</v>
      </c>
      <c r="C2579" s="33">
        <v>30</v>
      </c>
    </row>
    <row r="2580" spans="2:3" x14ac:dyDescent="0.25">
      <c r="B2580" s="33" t="s">
        <v>4071</v>
      </c>
      <c r="C2580" s="33">
        <v>30</v>
      </c>
    </row>
    <row r="2581" spans="2:3" x14ac:dyDescent="0.25">
      <c r="B2581" s="33" t="s">
        <v>4072</v>
      </c>
      <c r="C2581" s="33">
        <v>30</v>
      </c>
    </row>
    <row r="2582" spans="2:3" x14ac:dyDescent="0.25">
      <c r="B2582" s="33" t="s">
        <v>4073</v>
      </c>
      <c r="C2582" s="33">
        <v>30</v>
      </c>
    </row>
    <row r="2583" spans="2:3" x14ac:dyDescent="0.25">
      <c r="B2583" s="33" t="s">
        <v>4074</v>
      </c>
      <c r="C2583" s="33">
        <v>30</v>
      </c>
    </row>
    <row r="2584" spans="2:3" x14ac:dyDescent="0.25">
      <c r="B2584" s="33" t="s">
        <v>4075</v>
      </c>
      <c r="C2584" s="33">
        <v>30</v>
      </c>
    </row>
    <row r="2585" spans="2:3" x14ac:dyDescent="0.25">
      <c r="B2585" s="33" t="s">
        <v>4076</v>
      </c>
      <c r="C2585" s="33">
        <v>30</v>
      </c>
    </row>
    <row r="2586" spans="2:3" x14ac:dyDescent="0.25">
      <c r="B2586" s="33" t="s">
        <v>4077</v>
      </c>
      <c r="C2586" s="33">
        <v>30</v>
      </c>
    </row>
    <row r="2587" spans="2:3" x14ac:dyDescent="0.25">
      <c r="B2587" s="33" t="s">
        <v>4078</v>
      </c>
      <c r="C2587" s="33">
        <v>30</v>
      </c>
    </row>
    <row r="2588" spans="2:3" x14ac:dyDescent="0.25">
      <c r="B2588" s="33" t="s">
        <v>4079</v>
      </c>
      <c r="C2588" s="33">
        <v>30</v>
      </c>
    </row>
    <row r="2589" spans="2:3" x14ac:dyDescent="0.25">
      <c r="B2589" s="33" t="s">
        <v>4080</v>
      </c>
      <c r="C2589" s="33">
        <v>30</v>
      </c>
    </row>
    <row r="2590" spans="2:3" x14ac:dyDescent="0.25">
      <c r="B2590" s="33" t="s">
        <v>4081</v>
      </c>
      <c r="C2590" s="33">
        <v>30</v>
      </c>
    </row>
    <row r="2591" spans="2:3" x14ac:dyDescent="0.25">
      <c r="B2591" s="33" t="s">
        <v>4082</v>
      </c>
      <c r="C2591" s="33">
        <v>30</v>
      </c>
    </row>
    <row r="2592" spans="2:3" x14ac:dyDescent="0.25">
      <c r="B2592" s="33" t="s">
        <v>4083</v>
      </c>
      <c r="C2592" s="33">
        <v>30</v>
      </c>
    </row>
    <row r="2593" spans="2:3" x14ac:dyDescent="0.25">
      <c r="B2593" s="33" t="s">
        <v>4084</v>
      </c>
      <c r="C2593" s="33">
        <v>30</v>
      </c>
    </row>
    <row r="2594" spans="2:3" x14ac:dyDescent="0.25">
      <c r="B2594" s="33" t="s">
        <v>4085</v>
      </c>
      <c r="C2594" s="33">
        <v>30</v>
      </c>
    </row>
    <row r="2595" spans="2:3" x14ac:dyDescent="0.25">
      <c r="B2595" s="33" t="s">
        <v>4086</v>
      </c>
      <c r="C2595" s="33">
        <v>30</v>
      </c>
    </row>
    <row r="2596" spans="2:3" x14ac:dyDescent="0.25">
      <c r="B2596" s="33" t="s">
        <v>4087</v>
      </c>
      <c r="C2596" s="33">
        <v>30</v>
      </c>
    </row>
    <row r="2597" spans="2:3" x14ac:dyDescent="0.25">
      <c r="B2597" s="33" t="s">
        <v>4088</v>
      </c>
      <c r="C2597" s="33">
        <v>30</v>
      </c>
    </row>
    <row r="2598" spans="2:3" x14ac:dyDescent="0.25">
      <c r="B2598" s="33" t="s">
        <v>4089</v>
      </c>
      <c r="C2598" s="33">
        <v>30</v>
      </c>
    </row>
    <row r="2599" spans="2:3" x14ac:dyDescent="0.25">
      <c r="B2599" s="33" t="s">
        <v>4090</v>
      </c>
      <c r="C2599" s="33">
        <v>30</v>
      </c>
    </row>
    <row r="2600" spans="2:3" x14ac:dyDescent="0.25">
      <c r="B2600" s="33" t="s">
        <v>4091</v>
      </c>
      <c r="C2600" s="33">
        <v>30</v>
      </c>
    </row>
    <row r="2601" spans="2:3" x14ac:dyDescent="0.25">
      <c r="B2601" s="33" t="s">
        <v>4092</v>
      </c>
      <c r="C2601" s="33">
        <v>30</v>
      </c>
    </row>
    <row r="2602" spans="2:3" x14ac:dyDescent="0.25">
      <c r="B2602" s="33" t="s">
        <v>4093</v>
      </c>
      <c r="C2602" s="33">
        <v>30</v>
      </c>
    </row>
    <row r="2603" spans="2:3" x14ac:dyDescent="0.25">
      <c r="B2603" s="33" t="s">
        <v>4094</v>
      </c>
      <c r="C2603" s="33">
        <v>30</v>
      </c>
    </row>
    <row r="2604" spans="2:3" x14ac:dyDescent="0.25">
      <c r="B2604" s="33" t="s">
        <v>4095</v>
      </c>
      <c r="C2604" s="33">
        <v>30</v>
      </c>
    </row>
    <row r="2605" spans="2:3" x14ac:dyDescent="0.25">
      <c r="B2605" s="33" t="s">
        <v>4096</v>
      </c>
      <c r="C2605" s="33">
        <v>30</v>
      </c>
    </row>
    <row r="2606" spans="2:3" x14ac:dyDescent="0.25">
      <c r="B2606" s="33" t="s">
        <v>4097</v>
      </c>
      <c r="C2606" s="33">
        <v>30</v>
      </c>
    </row>
    <row r="2607" spans="2:3" x14ac:dyDescent="0.25">
      <c r="B2607" s="33" t="s">
        <v>4098</v>
      </c>
      <c r="C2607" s="33">
        <v>30</v>
      </c>
    </row>
    <row r="2608" spans="2:3" x14ac:dyDescent="0.25">
      <c r="B2608" s="33" t="s">
        <v>4099</v>
      </c>
      <c r="C2608" s="33">
        <v>30</v>
      </c>
    </row>
    <row r="2609" spans="2:3" x14ac:dyDescent="0.25">
      <c r="B2609" s="33" t="s">
        <v>4100</v>
      </c>
      <c r="C2609" s="33">
        <v>30</v>
      </c>
    </row>
    <row r="2610" spans="2:3" x14ac:dyDescent="0.25">
      <c r="B2610" s="33" t="s">
        <v>4101</v>
      </c>
      <c r="C2610" s="33">
        <v>30</v>
      </c>
    </row>
    <row r="2611" spans="2:3" x14ac:dyDescent="0.25">
      <c r="B2611" s="33" t="s">
        <v>4102</v>
      </c>
      <c r="C2611" s="33">
        <v>30</v>
      </c>
    </row>
    <row r="2612" spans="2:3" x14ac:dyDescent="0.25">
      <c r="B2612" s="33" t="s">
        <v>4103</v>
      </c>
      <c r="C2612" s="33">
        <v>30</v>
      </c>
    </row>
    <row r="2613" spans="2:3" x14ac:dyDescent="0.25">
      <c r="B2613" s="33" t="s">
        <v>4104</v>
      </c>
      <c r="C2613" s="33">
        <v>30</v>
      </c>
    </row>
    <row r="2614" spans="2:3" x14ac:dyDescent="0.25">
      <c r="B2614" s="33" t="s">
        <v>4105</v>
      </c>
      <c r="C2614" s="33">
        <v>30</v>
      </c>
    </row>
    <row r="2615" spans="2:3" x14ac:dyDescent="0.25">
      <c r="B2615" s="33" t="s">
        <v>4106</v>
      </c>
      <c r="C2615" s="33">
        <v>30</v>
      </c>
    </row>
    <row r="2616" spans="2:3" x14ac:dyDescent="0.25">
      <c r="B2616" s="33" t="s">
        <v>4107</v>
      </c>
      <c r="C2616" s="33">
        <v>30</v>
      </c>
    </row>
    <row r="2617" spans="2:3" x14ac:dyDescent="0.25">
      <c r="B2617" s="33" t="s">
        <v>4108</v>
      </c>
      <c r="C2617" s="33">
        <v>30</v>
      </c>
    </row>
    <row r="2618" spans="2:3" x14ac:dyDescent="0.25">
      <c r="B2618" s="33" t="s">
        <v>4109</v>
      </c>
      <c r="C2618" s="33">
        <v>30</v>
      </c>
    </row>
    <row r="2619" spans="2:3" x14ac:dyDescent="0.25">
      <c r="B2619" s="33" t="s">
        <v>4110</v>
      </c>
      <c r="C2619" s="33">
        <v>30</v>
      </c>
    </row>
    <row r="2620" spans="2:3" x14ac:dyDescent="0.25">
      <c r="B2620" s="33" t="s">
        <v>4111</v>
      </c>
      <c r="C2620" s="33">
        <v>30</v>
      </c>
    </row>
    <row r="2621" spans="2:3" x14ac:dyDescent="0.25">
      <c r="B2621" s="33" t="s">
        <v>4112</v>
      </c>
      <c r="C2621" s="33">
        <v>30</v>
      </c>
    </row>
    <row r="2622" spans="2:3" x14ac:dyDescent="0.25">
      <c r="B2622" s="33" t="s">
        <v>4113</v>
      </c>
      <c r="C2622" s="33">
        <v>30</v>
      </c>
    </row>
    <row r="2623" spans="2:3" x14ac:dyDescent="0.25">
      <c r="B2623" s="33" t="s">
        <v>4114</v>
      </c>
      <c r="C2623" s="33">
        <v>30</v>
      </c>
    </row>
    <row r="2624" spans="2:3" x14ac:dyDescent="0.25">
      <c r="B2624" s="33" t="s">
        <v>4115</v>
      </c>
      <c r="C2624" s="33">
        <v>30</v>
      </c>
    </row>
    <row r="2625" spans="2:3" x14ac:dyDescent="0.25">
      <c r="B2625" s="33" t="s">
        <v>4116</v>
      </c>
      <c r="C2625" s="33">
        <v>30</v>
      </c>
    </row>
    <row r="2626" spans="2:3" x14ac:dyDescent="0.25">
      <c r="B2626" s="33" t="s">
        <v>4117</v>
      </c>
      <c r="C2626" s="33">
        <v>30</v>
      </c>
    </row>
    <row r="2627" spans="2:3" x14ac:dyDescent="0.25">
      <c r="B2627" s="33" t="s">
        <v>4118</v>
      </c>
      <c r="C2627" s="33">
        <v>30</v>
      </c>
    </row>
    <row r="2628" spans="2:3" x14ac:dyDescent="0.25">
      <c r="B2628" s="33" t="s">
        <v>4119</v>
      </c>
      <c r="C2628" s="33">
        <v>30</v>
      </c>
    </row>
    <row r="2629" spans="2:3" x14ac:dyDescent="0.25">
      <c r="B2629" s="33" t="s">
        <v>4120</v>
      </c>
      <c r="C2629" s="33">
        <v>30</v>
      </c>
    </row>
    <row r="2630" spans="2:3" x14ac:dyDescent="0.25">
      <c r="B2630" s="33" t="s">
        <v>4121</v>
      </c>
      <c r="C2630" s="33">
        <v>30</v>
      </c>
    </row>
    <row r="2631" spans="2:3" x14ac:dyDescent="0.25">
      <c r="B2631" s="33" t="s">
        <v>4122</v>
      </c>
      <c r="C2631" s="33">
        <v>30</v>
      </c>
    </row>
    <row r="2632" spans="2:3" x14ac:dyDescent="0.25">
      <c r="B2632" s="33" t="s">
        <v>4123</v>
      </c>
      <c r="C2632" s="33">
        <v>30</v>
      </c>
    </row>
    <row r="2633" spans="2:3" x14ac:dyDescent="0.25">
      <c r="B2633" s="33" t="s">
        <v>4124</v>
      </c>
      <c r="C2633" s="33">
        <v>30</v>
      </c>
    </row>
    <row r="2634" spans="2:3" x14ac:dyDescent="0.25">
      <c r="B2634" s="33" t="s">
        <v>4125</v>
      </c>
      <c r="C2634" s="33">
        <v>30</v>
      </c>
    </row>
    <row r="2635" spans="2:3" x14ac:dyDescent="0.25">
      <c r="B2635" s="33" t="s">
        <v>4126</v>
      </c>
      <c r="C2635" s="33">
        <v>30</v>
      </c>
    </row>
    <row r="2636" spans="2:3" x14ac:dyDescent="0.25">
      <c r="B2636" s="33" t="s">
        <v>4127</v>
      </c>
      <c r="C2636" s="33">
        <v>30</v>
      </c>
    </row>
    <row r="2637" spans="2:3" x14ac:dyDescent="0.25">
      <c r="B2637" s="33" t="s">
        <v>4128</v>
      </c>
      <c r="C2637" s="33">
        <v>30</v>
      </c>
    </row>
    <row r="2638" spans="2:3" x14ac:dyDescent="0.25">
      <c r="B2638" s="33" t="s">
        <v>4129</v>
      </c>
      <c r="C2638" s="33">
        <v>30</v>
      </c>
    </row>
    <row r="2639" spans="2:3" x14ac:dyDescent="0.25">
      <c r="B2639" s="33" t="s">
        <v>4130</v>
      </c>
      <c r="C2639" s="33">
        <v>30</v>
      </c>
    </row>
    <row r="2640" spans="2:3" x14ac:dyDescent="0.25">
      <c r="B2640" s="33" t="s">
        <v>4131</v>
      </c>
      <c r="C2640" s="33">
        <v>30</v>
      </c>
    </row>
    <row r="2641" spans="2:3" x14ac:dyDescent="0.25">
      <c r="B2641" s="33" t="s">
        <v>4132</v>
      </c>
      <c r="C2641" s="33">
        <v>30</v>
      </c>
    </row>
    <row r="2642" spans="2:3" x14ac:dyDescent="0.25">
      <c r="B2642" s="33" t="s">
        <v>4133</v>
      </c>
      <c r="C2642" s="33">
        <v>30</v>
      </c>
    </row>
    <row r="2643" spans="2:3" x14ac:dyDescent="0.25">
      <c r="B2643" s="33" t="s">
        <v>4134</v>
      </c>
      <c r="C2643" s="33">
        <v>30</v>
      </c>
    </row>
    <row r="2644" spans="2:3" x14ac:dyDescent="0.25">
      <c r="B2644" s="33" t="s">
        <v>4135</v>
      </c>
      <c r="C2644" s="33">
        <v>30</v>
      </c>
    </row>
    <row r="2645" spans="2:3" x14ac:dyDescent="0.25">
      <c r="B2645" s="33" t="s">
        <v>4136</v>
      </c>
      <c r="C2645" s="33">
        <v>30</v>
      </c>
    </row>
    <row r="2646" spans="2:3" x14ac:dyDescent="0.25">
      <c r="B2646" s="33" t="s">
        <v>4137</v>
      </c>
      <c r="C2646" s="33">
        <v>30</v>
      </c>
    </row>
    <row r="2647" spans="2:3" x14ac:dyDescent="0.25">
      <c r="B2647" s="33" t="s">
        <v>4138</v>
      </c>
      <c r="C2647" s="33">
        <v>30</v>
      </c>
    </row>
    <row r="2648" spans="2:3" x14ac:dyDescent="0.25">
      <c r="B2648" s="33" t="s">
        <v>4139</v>
      </c>
      <c r="C2648" s="33">
        <v>30</v>
      </c>
    </row>
    <row r="2649" spans="2:3" x14ac:dyDescent="0.25">
      <c r="B2649" s="33" t="s">
        <v>4140</v>
      </c>
      <c r="C2649" s="33">
        <v>30</v>
      </c>
    </row>
    <row r="2650" spans="2:3" x14ac:dyDescent="0.25">
      <c r="B2650" s="33" t="s">
        <v>4141</v>
      </c>
      <c r="C2650" s="33">
        <v>30</v>
      </c>
    </row>
    <row r="2651" spans="2:3" x14ac:dyDescent="0.25">
      <c r="B2651" s="33" t="s">
        <v>4142</v>
      </c>
      <c r="C2651" s="33">
        <v>30</v>
      </c>
    </row>
    <row r="2652" spans="2:3" x14ac:dyDescent="0.25">
      <c r="B2652" s="33" t="s">
        <v>4143</v>
      </c>
      <c r="C2652" s="33">
        <v>30</v>
      </c>
    </row>
    <row r="2653" spans="2:3" x14ac:dyDescent="0.25">
      <c r="B2653" s="33" t="s">
        <v>4144</v>
      </c>
      <c r="C2653" s="33">
        <v>30</v>
      </c>
    </row>
    <row r="2654" spans="2:3" x14ac:dyDescent="0.25">
      <c r="B2654" s="33" t="s">
        <v>4145</v>
      </c>
      <c r="C2654" s="33">
        <v>30</v>
      </c>
    </row>
    <row r="2655" spans="2:3" x14ac:dyDescent="0.25">
      <c r="B2655" s="33" t="s">
        <v>4146</v>
      </c>
      <c r="C2655" s="33">
        <v>30</v>
      </c>
    </row>
    <row r="2656" spans="2:3" x14ac:dyDescent="0.25">
      <c r="B2656" s="33" t="s">
        <v>4147</v>
      </c>
      <c r="C2656" s="33">
        <v>30</v>
      </c>
    </row>
    <row r="2657" spans="2:3" x14ac:dyDescent="0.25">
      <c r="B2657" s="33" t="s">
        <v>4148</v>
      </c>
      <c r="C2657" s="33">
        <v>30</v>
      </c>
    </row>
    <row r="2658" spans="2:3" x14ac:dyDescent="0.25">
      <c r="B2658" s="33" t="s">
        <v>4149</v>
      </c>
      <c r="C2658" s="33">
        <v>30</v>
      </c>
    </row>
    <row r="2659" spans="2:3" x14ac:dyDescent="0.25">
      <c r="B2659" s="33" t="s">
        <v>4150</v>
      </c>
      <c r="C2659" s="33">
        <v>30</v>
      </c>
    </row>
    <row r="2660" spans="2:3" x14ac:dyDescent="0.25">
      <c r="B2660" s="33" t="s">
        <v>4151</v>
      </c>
      <c r="C2660" s="33">
        <v>30</v>
      </c>
    </row>
    <row r="2661" spans="2:3" x14ac:dyDescent="0.25">
      <c r="B2661" s="33" t="s">
        <v>4152</v>
      </c>
      <c r="C2661" s="33">
        <v>30</v>
      </c>
    </row>
    <row r="2662" spans="2:3" x14ac:dyDescent="0.25">
      <c r="B2662" s="33" t="s">
        <v>4153</v>
      </c>
      <c r="C2662" s="33">
        <v>30</v>
      </c>
    </row>
    <row r="2663" spans="2:3" x14ac:dyDescent="0.25">
      <c r="B2663" s="33" t="s">
        <v>4154</v>
      </c>
      <c r="C2663" s="33">
        <v>30</v>
      </c>
    </row>
    <row r="2664" spans="2:3" x14ac:dyDescent="0.25">
      <c r="B2664" s="33" t="s">
        <v>4155</v>
      </c>
      <c r="C2664" s="33">
        <v>30</v>
      </c>
    </row>
    <row r="2665" spans="2:3" x14ac:dyDescent="0.25">
      <c r="B2665" s="33" t="s">
        <v>4156</v>
      </c>
      <c r="C2665" s="33">
        <v>30</v>
      </c>
    </row>
    <row r="2666" spans="2:3" x14ac:dyDescent="0.25">
      <c r="B2666" s="33" t="s">
        <v>4157</v>
      </c>
      <c r="C2666" s="33">
        <v>30</v>
      </c>
    </row>
    <row r="2667" spans="2:3" x14ac:dyDescent="0.25">
      <c r="B2667" s="33" t="s">
        <v>4158</v>
      </c>
      <c r="C2667" s="33">
        <v>30</v>
      </c>
    </row>
    <row r="2668" spans="2:3" x14ac:dyDescent="0.25">
      <c r="B2668" s="33" t="s">
        <v>4159</v>
      </c>
      <c r="C2668" s="33">
        <v>30</v>
      </c>
    </row>
    <row r="2669" spans="2:3" x14ac:dyDescent="0.25">
      <c r="B2669" s="33" t="s">
        <v>4160</v>
      </c>
      <c r="C2669" s="33">
        <v>30</v>
      </c>
    </row>
    <row r="2670" spans="2:3" x14ac:dyDescent="0.25">
      <c r="B2670" s="33" t="s">
        <v>4161</v>
      </c>
      <c r="C2670" s="33">
        <v>30</v>
      </c>
    </row>
    <row r="2671" spans="2:3" x14ac:dyDescent="0.25">
      <c r="B2671" s="33" t="s">
        <v>4162</v>
      </c>
      <c r="C2671" s="33">
        <v>30</v>
      </c>
    </row>
    <row r="2672" spans="2:3" x14ac:dyDescent="0.25">
      <c r="B2672" s="33" t="s">
        <v>4163</v>
      </c>
      <c r="C2672" s="33">
        <v>30</v>
      </c>
    </row>
    <row r="2673" spans="2:3" x14ac:dyDescent="0.25">
      <c r="B2673" s="33" t="s">
        <v>4164</v>
      </c>
      <c r="C2673" s="33">
        <v>30</v>
      </c>
    </row>
    <row r="2674" spans="2:3" x14ac:dyDescent="0.25">
      <c r="B2674" s="33" t="s">
        <v>4165</v>
      </c>
      <c r="C2674" s="33">
        <v>30</v>
      </c>
    </row>
    <row r="2675" spans="2:3" x14ac:dyDescent="0.25">
      <c r="B2675" s="33" t="s">
        <v>4166</v>
      </c>
      <c r="C2675" s="33">
        <v>30</v>
      </c>
    </row>
    <row r="2676" spans="2:3" x14ac:dyDescent="0.25">
      <c r="B2676" s="33" t="s">
        <v>4167</v>
      </c>
      <c r="C2676" s="33">
        <v>30</v>
      </c>
    </row>
    <row r="2677" spans="2:3" x14ac:dyDescent="0.25">
      <c r="B2677" s="33" t="s">
        <v>4168</v>
      </c>
      <c r="C2677" s="33">
        <v>30</v>
      </c>
    </row>
    <row r="2678" spans="2:3" x14ac:dyDescent="0.25">
      <c r="B2678" s="33" t="s">
        <v>4169</v>
      </c>
      <c r="C2678" s="33">
        <v>30</v>
      </c>
    </row>
    <row r="2679" spans="2:3" x14ac:dyDescent="0.25">
      <c r="B2679" s="33" t="s">
        <v>4170</v>
      </c>
      <c r="C2679" s="33">
        <v>30</v>
      </c>
    </row>
    <row r="2680" spans="2:3" x14ac:dyDescent="0.25">
      <c r="B2680" s="33" t="s">
        <v>4171</v>
      </c>
      <c r="C2680" s="33">
        <v>30</v>
      </c>
    </row>
    <row r="2681" spans="2:3" x14ac:dyDescent="0.25">
      <c r="B2681" s="33" t="s">
        <v>4172</v>
      </c>
      <c r="C2681" s="33">
        <v>30</v>
      </c>
    </row>
    <row r="2682" spans="2:3" x14ac:dyDescent="0.25">
      <c r="B2682" s="33" t="s">
        <v>4173</v>
      </c>
      <c r="C2682" s="33">
        <v>30</v>
      </c>
    </row>
    <row r="2683" spans="2:3" x14ac:dyDescent="0.25">
      <c r="B2683" s="33" t="s">
        <v>4174</v>
      </c>
      <c r="C2683" s="33">
        <v>30</v>
      </c>
    </row>
    <row r="2684" spans="2:3" x14ac:dyDescent="0.25">
      <c r="B2684" s="33" t="s">
        <v>4175</v>
      </c>
      <c r="C2684" s="33">
        <v>30</v>
      </c>
    </row>
    <row r="2685" spans="2:3" x14ac:dyDescent="0.25">
      <c r="B2685" s="33" t="s">
        <v>4176</v>
      </c>
      <c r="C2685" s="33">
        <v>30</v>
      </c>
    </row>
    <row r="2686" spans="2:3" x14ac:dyDescent="0.25">
      <c r="B2686" s="33" t="s">
        <v>4177</v>
      </c>
      <c r="C2686" s="33">
        <v>30</v>
      </c>
    </row>
    <row r="2687" spans="2:3" x14ac:dyDescent="0.25">
      <c r="B2687" s="33" t="s">
        <v>4178</v>
      </c>
      <c r="C2687" s="33">
        <v>30</v>
      </c>
    </row>
    <row r="2688" spans="2:3" x14ac:dyDescent="0.25">
      <c r="B2688" s="33" t="s">
        <v>4179</v>
      </c>
      <c r="C2688" s="33">
        <v>30</v>
      </c>
    </row>
    <row r="2689" spans="2:3" x14ac:dyDescent="0.25">
      <c r="B2689" s="33" t="s">
        <v>4180</v>
      </c>
      <c r="C2689" s="33">
        <v>30</v>
      </c>
    </row>
    <row r="2690" spans="2:3" x14ac:dyDescent="0.25">
      <c r="B2690" s="33" t="s">
        <v>4181</v>
      </c>
      <c r="C2690" s="33">
        <v>30</v>
      </c>
    </row>
    <row r="2691" spans="2:3" x14ac:dyDescent="0.25">
      <c r="B2691" s="33" t="s">
        <v>4182</v>
      </c>
      <c r="C2691" s="33">
        <v>30</v>
      </c>
    </row>
    <row r="2692" spans="2:3" x14ac:dyDescent="0.25">
      <c r="B2692" s="33" t="s">
        <v>4183</v>
      </c>
      <c r="C2692" s="33">
        <v>30</v>
      </c>
    </row>
    <row r="2693" spans="2:3" x14ac:dyDescent="0.25">
      <c r="B2693" s="33" t="s">
        <v>4184</v>
      </c>
      <c r="C2693" s="33">
        <v>30</v>
      </c>
    </row>
    <row r="2694" spans="2:3" x14ac:dyDescent="0.25">
      <c r="B2694" s="33" t="s">
        <v>4185</v>
      </c>
      <c r="C2694" s="33">
        <v>30</v>
      </c>
    </row>
    <row r="2695" spans="2:3" x14ac:dyDescent="0.25">
      <c r="B2695" s="33" t="s">
        <v>4186</v>
      </c>
      <c r="C2695" s="33">
        <v>30</v>
      </c>
    </row>
    <row r="2696" spans="2:3" x14ac:dyDescent="0.25">
      <c r="B2696" s="33" t="s">
        <v>4187</v>
      </c>
      <c r="C2696" s="33">
        <v>30</v>
      </c>
    </row>
    <row r="2697" spans="2:3" x14ac:dyDescent="0.25">
      <c r="B2697" s="33" t="s">
        <v>4188</v>
      </c>
      <c r="C2697" s="33">
        <v>30</v>
      </c>
    </row>
    <row r="2698" spans="2:3" x14ac:dyDescent="0.25">
      <c r="B2698" s="33" t="s">
        <v>4189</v>
      </c>
      <c r="C2698" s="33">
        <v>30</v>
      </c>
    </row>
    <row r="2699" spans="2:3" x14ac:dyDescent="0.25">
      <c r="B2699" s="33" t="s">
        <v>4190</v>
      </c>
      <c r="C2699" s="33">
        <v>30</v>
      </c>
    </row>
    <row r="2700" spans="2:3" x14ac:dyDescent="0.25">
      <c r="B2700" s="33" t="s">
        <v>4191</v>
      </c>
      <c r="C2700" s="33">
        <v>30</v>
      </c>
    </row>
    <row r="2701" spans="2:3" x14ac:dyDescent="0.25">
      <c r="B2701" s="33" t="s">
        <v>4192</v>
      </c>
      <c r="C2701" s="33">
        <v>30</v>
      </c>
    </row>
    <row r="2702" spans="2:3" x14ac:dyDescent="0.25">
      <c r="B2702" s="33" t="s">
        <v>4193</v>
      </c>
      <c r="C2702" s="33">
        <v>30</v>
      </c>
    </row>
    <row r="2703" spans="2:3" x14ac:dyDescent="0.25">
      <c r="B2703" s="33" t="s">
        <v>4194</v>
      </c>
      <c r="C2703" s="33">
        <v>30</v>
      </c>
    </row>
    <row r="2704" spans="2:3" x14ac:dyDescent="0.25">
      <c r="B2704" s="33" t="s">
        <v>4195</v>
      </c>
      <c r="C2704" s="33">
        <v>30</v>
      </c>
    </row>
    <row r="2705" spans="2:3" x14ac:dyDescent="0.25">
      <c r="B2705" s="33" t="s">
        <v>4196</v>
      </c>
      <c r="C2705" s="33">
        <v>30</v>
      </c>
    </row>
    <row r="2706" spans="2:3" x14ac:dyDescent="0.25">
      <c r="B2706" s="33" t="s">
        <v>4197</v>
      </c>
      <c r="C2706" s="33">
        <v>30</v>
      </c>
    </row>
    <row r="2707" spans="2:3" x14ac:dyDescent="0.25">
      <c r="B2707" s="33" t="s">
        <v>4198</v>
      </c>
      <c r="C2707" s="33">
        <v>30</v>
      </c>
    </row>
    <row r="2708" spans="2:3" x14ac:dyDescent="0.25">
      <c r="B2708" s="33" t="s">
        <v>4199</v>
      </c>
      <c r="C2708" s="33">
        <v>30</v>
      </c>
    </row>
    <row r="2709" spans="2:3" x14ac:dyDescent="0.25">
      <c r="B2709" s="33" t="s">
        <v>4200</v>
      </c>
      <c r="C2709" s="33">
        <v>30</v>
      </c>
    </row>
    <row r="2710" spans="2:3" x14ac:dyDescent="0.25">
      <c r="B2710" s="33" t="s">
        <v>4201</v>
      </c>
      <c r="C2710" s="33">
        <v>30</v>
      </c>
    </row>
    <row r="2711" spans="2:3" x14ac:dyDescent="0.25">
      <c r="B2711" s="33" t="s">
        <v>4202</v>
      </c>
      <c r="C2711" s="33">
        <v>30</v>
      </c>
    </row>
    <row r="2712" spans="2:3" x14ac:dyDescent="0.25">
      <c r="B2712" s="33" t="s">
        <v>4203</v>
      </c>
      <c r="C2712" s="33">
        <v>30</v>
      </c>
    </row>
    <row r="2713" spans="2:3" x14ac:dyDescent="0.25">
      <c r="B2713" s="33" t="s">
        <v>4204</v>
      </c>
      <c r="C2713" s="33">
        <v>30</v>
      </c>
    </row>
    <row r="2714" spans="2:3" x14ac:dyDescent="0.25">
      <c r="B2714" s="33" t="s">
        <v>4205</v>
      </c>
      <c r="C2714" s="33">
        <v>30</v>
      </c>
    </row>
    <row r="2715" spans="2:3" x14ac:dyDescent="0.25">
      <c r="B2715" s="33" t="s">
        <v>4206</v>
      </c>
      <c r="C2715" s="33">
        <v>30</v>
      </c>
    </row>
    <row r="2716" spans="2:3" x14ac:dyDescent="0.25">
      <c r="B2716" s="33" t="s">
        <v>4207</v>
      </c>
      <c r="C2716" s="33">
        <v>30</v>
      </c>
    </row>
    <row r="2717" spans="2:3" x14ac:dyDescent="0.25">
      <c r="B2717" s="33" t="s">
        <v>4208</v>
      </c>
      <c r="C2717" s="33">
        <v>30</v>
      </c>
    </row>
    <row r="2718" spans="2:3" x14ac:dyDescent="0.25">
      <c r="B2718" s="33" t="s">
        <v>4209</v>
      </c>
      <c r="C2718" s="33">
        <v>30</v>
      </c>
    </row>
    <row r="2719" spans="2:3" x14ac:dyDescent="0.25">
      <c r="B2719" s="33" t="s">
        <v>4210</v>
      </c>
      <c r="C2719" s="33">
        <v>30</v>
      </c>
    </row>
    <row r="2720" spans="2:3" x14ac:dyDescent="0.25">
      <c r="B2720" s="33" t="s">
        <v>4211</v>
      </c>
      <c r="C2720" s="33">
        <v>30</v>
      </c>
    </row>
    <row r="2721" spans="2:3" x14ac:dyDescent="0.25">
      <c r="B2721" s="33" t="s">
        <v>4212</v>
      </c>
      <c r="C2721" s="33">
        <v>30</v>
      </c>
    </row>
    <row r="2722" spans="2:3" x14ac:dyDescent="0.25">
      <c r="B2722" s="33" t="s">
        <v>4213</v>
      </c>
      <c r="C2722" s="33">
        <v>30</v>
      </c>
    </row>
    <row r="2723" spans="2:3" x14ac:dyDescent="0.25">
      <c r="B2723" s="33" t="s">
        <v>4214</v>
      </c>
      <c r="C2723" s="33">
        <v>30</v>
      </c>
    </row>
    <row r="2724" spans="2:3" x14ac:dyDescent="0.25">
      <c r="B2724" s="33" t="s">
        <v>4215</v>
      </c>
      <c r="C2724" s="33">
        <v>30</v>
      </c>
    </row>
    <row r="2725" spans="2:3" x14ac:dyDescent="0.25">
      <c r="B2725" s="33" t="s">
        <v>4216</v>
      </c>
      <c r="C2725" s="33">
        <v>30</v>
      </c>
    </row>
    <row r="2726" spans="2:3" x14ac:dyDescent="0.25">
      <c r="B2726" s="33" t="s">
        <v>4217</v>
      </c>
      <c r="C2726" s="33">
        <v>30</v>
      </c>
    </row>
    <row r="2727" spans="2:3" x14ac:dyDescent="0.25">
      <c r="B2727" s="33" t="s">
        <v>4218</v>
      </c>
      <c r="C2727" s="33">
        <v>30</v>
      </c>
    </row>
    <row r="2728" spans="2:3" x14ac:dyDescent="0.25">
      <c r="B2728" s="33" t="s">
        <v>4219</v>
      </c>
      <c r="C2728" s="33">
        <v>30</v>
      </c>
    </row>
    <row r="2729" spans="2:3" x14ac:dyDescent="0.25">
      <c r="B2729" s="33" t="s">
        <v>4220</v>
      </c>
      <c r="C2729" s="33">
        <v>30</v>
      </c>
    </row>
    <row r="2730" spans="2:3" x14ac:dyDescent="0.25">
      <c r="B2730" s="33" t="s">
        <v>4221</v>
      </c>
      <c r="C2730" s="33">
        <v>30</v>
      </c>
    </row>
    <row r="2731" spans="2:3" x14ac:dyDescent="0.25">
      <c r="B2731" s="33" t="s">
        <v>4222</v>
      </c>
      <c r="C2731" s="33">
        <v>30</v>
      </c>
    </row>
    <row r="2732" spans="2:3" x14ac:dyDescent="0.25">
      <c r="B2732" s="33" t="s">
        <v>4223</v>
      </c>
      <c r="C2732" s="33">
        <v>30</v>
      </c>
    </row>
    <row r="2733" spans="2:3" x14ac:dyDescent="0.25">
      <c r="B2733" s="33" t="s">
        <v>4224</v>
      </c>
      <c r="C2733" s="33">
        <v>30</v>
      </c>
    </row>
    <row r="2734" spans="2:3" x14ac:dyDescent="0.25">
      <c r="B2734" s="33" t="s">
        <v>4225</v>
      </c>
      <c r="C2734" s="33">
        <v>30</v>
      </c>
    </row>
    <row r="2735" spans="2:3" x14ac:dyDescent="0.25">
      <c r="B2735" s="33" t="s">
        <v>4226</v>
      </c>
      <c r="C2735" s="33">
        <v>30</v>
      </c>
    </row>
    <row r="2736" spans="2:3" x14ac:dyDescent="0.25">
      <c r="B2736" s="33" t="s">
        <v>4227</v>
      </c>
      <c r="C2736" s="33">
        <v>30</v>
      </c>
    </row>
    <row r="2737" spans="2:3" x14ac:dyDescent="0.25">
      <c r="B2737" s="33" t="s">
        <v>4228</v>
      </c>
      <c r="C2737" s="33">
        <v>30</v>
      </c>
    </row>
    <row r="2738" spans="2:3" x14ac:dyDescent="0.25">
      <c r="B2738" s="33" t="s">
        <v>4229</v>
      </c>
      <c r="C2738" s="33">
        <v>30</v>
      </c>
    </row>
    <row r="2739" spans="2:3" x14ac:dyDescent="0.25">
      <c r="B2739" s="33" t="s">
        <v>4230</v>
      </c>
      <c r="C2739" s="33">
        <v>30</v>
      </c>
    </row>
    <row r="2740" spans="2:3" x14ac:dyDescent="0.25">
      <c r="B2740" s="33" t="s">
        <v>4231</v>
      </c>
      <c r="C2740" s="33">
        <v>30</v>
      </c>
    </row>
    <row r="2741" spans="2:3" x14ac:dyDescent="0.25">
      <c r="B2741" s="33" t="s">
        <v>4232</v>
      </c>
      <c r="C2741" s="33">
        <v>30</v>
      </c>
    </row>
    <row r="2742" spans="2:3" x14ac:dyDescent="0.25">
      <c r="B2742" s="33" t="s">
        <v>4233</v>
      </c>
      <c r="C2742" s="33">
        <v>30</v>
      </c>
    </row>
    <row r="2743" spans="2:3" x14ac:dyDescent="0.25">
      <c r="B2743" s="33" t="s">
        <v>4234</v>
      </c>
      <c r="C2743" s="33">
        <v>30</v>
      </c>
    </row>
    <row r="2744" spans="2:3" x14ac:dyDescent="0.25">
      <c r="B2744" s="33" t="s">
        <v>4235</v>
      </c>
      <c r="C2744" s="33">
        <v>30</v>
      </c>
    </row>
    <row r="2745" spans="2:3" x14ac:dyDescent="0.25">
      <c r="B2745" s="33" t="s">
        <v>4236</v>
      </c>
      <c r="C2745" s="33">
        <v>30</v>
      </c>
    </row>
    <row r="2746" spans="2:3" x14ac:dyDescent="0.25">
      <c r="B2746" s="33" t="s">
        <v>4237</v>
      </c>
      <c r="C2746" s="33">
        <v>30</v>
      </c>
    </row>
    <row r="2747" spans="2:3" x14ac:dyDescent="0.25">
      <c r="B2747" s="33" t="s">
        <v>4238</v>
      </c>
      <c r="C2747" s="33">
        <v>30</v>
      </c>
    </row>
    <row r="2748" spans="2:3" x14ac:dyDescent="0.25">
      <c r="B2748" s="33" t="s">
        <v>4239</v>
      </c>
      <c r="C2748" s="33">
        <v>30</v>
      </c>
    </row>
    <row r="2749" spans="2:3" x14ac:dyDescent="0.25">
      <c r="B2749" s="33" t="s">
        <v>4240</v>
      </c>
      <c r="C2749" s="33">
        <v>30</v>
      </c>
    </row>
    <row r="2750" spans="2:3" x14ac:dyDescent="0.25">
      <c r="B2750" s="33" t="s">
        <v>4241</v>
      </c>
      <c r="C2750" s="33">
        <v>30</v>
      </c>
    </row>
    <row r="2751" spans="2:3" x14ac:dyDescent="0.25">
      <c r="B2751" s="33" t="s">
        <v>4242</v>
      </c>
      <c r="C2751" s="33">
        <v>30</v>
      </c>
    </row>
    <row r="2752" spans="2:3" x14ac:dyDescent="0.25">
      <c r="B2752" s="33" t="s">
        <v>4243</v>
      </c>
      <c r="C2752" s="33">
        <v>30</v>
      </c>
    </row>
    <row r="2753" spans="2:3" x14ac:dyDescent="0.25">
      <c r="B2753" s="33" t="s">
        <v>4244</v>
      </c>
      <c r="C2753" s="33">
        <v>30</v>
      </c>
    </row>
    <row r="2754" spans="2:3" x14ac:dyDescent="0.25">
      <c r="B2754" s="33" t="s">
        <v>4245</v>
      </c>
      <c r="C2754" s="33">
        <v>30</v>
      </c>
    </row>
    <row r="2755" spans="2:3" x14ac:dyDescent="0.25">
      <c r="B2755" s="33" t="s">
        <v>4246</v>
      </c>
      <c r="C2755" s="33">
        <v>30</v>
      </c>
    </row>
    <row r="2756" spans="2:3" x14ac:dyDescent="0.25">
      <c r="B2756" s="33" t="s">
        <v>4247</v>
      </c>
      <c r="C2756" s="33">
        <v>30</v>
      </c>
    </row>
    <row r="2757" spans="2:3" x14ac:dyDescent="0.25">
      <c r="B2757" s="33" t="s">
        <v>4248</v>
      </c>
      <c r="C2757" s="33">
        <v>30</v>
      </c>
    </row>
    <row r="2758" spans="2:3" x14ac:dyDescent="0.25">
      <c r="B2758" s="33" t="s">
        <v>4249</v>
      </c>
      <c r="C2758" s="33">
        <v>30</v>
      </c>
    </row>
    <row r="2759" spans="2:3" x14ac:dyDescent="0.25">
      <c r="B2759" s="33" t="s">
        <v>4250</v>
      </c>
      <c r="C2759" s="33">
        <v>30</v>
      </c>
    </row>
    <row r="2760" spans="2:3" x14ac:dyDescent="0.25">
      <c r="B2760" s="33" t="s">
        <v>4251</v>
      </c>
      <c r="C2760" s="33">
        <v>30</v>
      </c>
    </row>
    <row r="2761" spans="2:3" x14ac:dyDescent="0.25">
      <c r="B2761" s="33" t="s">
        <v>4252</v>
      </c>
      <c r="C2761" s="33">
        <v>30</v>
      </c>
    </row>
    <row r="2762" spans="2:3" x14ac:dyDescent="0.25">
      <c r="B2762" s="33" t="s">
        <v>4253</v>
      </c>
      <c r="C2762" s="33">
        <v>30</v>
      </c>
    </row>
    <row r="2763" spans="2:3" x14ac:dyDescent="0.25">
      <c r="B2763" s="33" t="s">
        <v>4254</v>
      </c>
      <c r="C2763" s="33">
        <v>30</v>
      </c>
    </row>
    <row r="2764" spans="2:3" x14ac:dyDescent="0.25">
      <c r="B2764" s="33" t="s">
        <v>4255</v>
      </c>
      <c r="C2764" s="33">
        <v>30</v>
      </c>
    </row>
    <row r="2765" spans="2:3" x14ac:dyDescent="0.25">
      <c r="B2765" s="33" t="s">
        <v>4256</v>
      </c>
      <c r="C2765" s="33">
        <v>30</v>
      </c>
    </row>
    <row r="2766" spans="2:3" x14ac:dyDescent="0.25">
      <c r="B2766" s="33" t="s">
        <v>4257</v>
      </c>
      <c r="C2766" s="33">
        <v>30</v>
      </c>
    </row>
    <row r="2767" spans="2:3" x14ac:dyDescent="0.25">
      <c r="B2767" s="33" t="s">
        <v>4258</v>
      </c>
      <c r="C2767" s="33">
        <v>30</v>
      </c>
    </row>
    <row r="2768" spans="2:3" x14ac:dyDescent="0.25">
      <c r="B2768" s="33" t="s">
        <v>4259</v>
      </c>
      <c r="C2768" s="33">
        <v>30</v>
      </c>
    </row>
    <row r="2769" spans="2:3" x14ac:dyDescent="0.25">
      <c r="B2769" s="33" t="s">
        <v>4260</v>
      </c>
      <c r="C2769" s="33">
        <v>30</v>
      </c>
    </row>
    <row r="2770" spans="2:3" x14ac:dyDescent="0.25">
      <c r="B2770" s="33" t="s">
        <v>4261</v>
      </c>
      <c r="C2770" s="33">
        <v>30</v>
      </c>
    </row>
    <row r="2771" spans="2:3" x14ac:dyDescent="0.25">
      <c r="B2771" s="33" t="s">
        <v>4262</v>
      </c>
      <c r="C2771" s="33">
        <v>30</v>
      </c>
    </row>
    <row r="2772" spans="2:3" x14ac:dyDescent="0.25">
      <c r="B2772" s="33" t="s">
        <v>4263</v>
      </c>
      <c r="C2772" s="33">
        <v>30</v>
      </c>
    </row>
    <row r="2773" spans="2:3" x14ac:dyDescent="0.25">
      <c r="B2773" s="33" t="s">
        <v>4264</v>
      </c>
      <c r="C2773" s="33">
        <v>30</v>
      </c>
    </row>
    <row r="2774" spans="2:3" x14ac:dyDescent="0.25">
      <c r="B2774" s="33" t="s">
        <v>4265</v>
      </c>
      <c r="C2774" s="33">
        <v>30</v>
      </c>
    </row>
    <row r="2775" spans="2:3" x14ac:dyDescent="0.25">
      <c r="B2775" s="33" t="s">
        <v>4266</v>
      </c>
      <c r="C2775" s="33">
        <v>30</v>
      </c>
    </row>
    <row r="2776" spans="2:3" x14ac:dyDescent="0.25">
      <c r="B2776" s="33" t="s">
        <v>4267</v>
      </c>
      <c r="C2776" s="33">
        <v>30</v>
      </c>
    </row>
    <row r="2777" spans="2:3" x14ac:dyDescent="0.25">
      <c r="B2777" s="33" t="s">
        <v>4268</v>
      </c>
      <c r="C2777" s="33">
        <v>30</v>
      </c>
    </row>
    <row r="2778" spans="2:3" x14ac:dyDescent="0.25">
      <c r="B2778" s="33" t="s">
        <v>4269</v>
      </c>
      <c r="C2778" s="33">
        <v>30</v>
      </c>
    </row>
    <row r="2779" spans="2:3" x14ac:dyDescent="0.25">
      <c r="B2779" s="33" t="s">
        <v>4270</v>
      </c>
      <c r="C2779" s="33">
        <v>30</v>
      </c>
    </row>
    <row r="2780" spans="2:3" x14ac:dyDescent="0.25">
      <c r="B2780" s="33" t="s">
        <v>4271</v>
      </c>
      <c r="C2780" s="33">
        <v>30</v>
      </c>
    </row>
    <row r="2781" spans="2:3" x14ac:dyDescent="0.25">
      <c r="B2781" s="33" t="s">
        <v>4272</v>
      </c>
      <c r="C2781" s="33">
        <v>30</v>
      </c>
    </row>
    <row r="2782" spans="2:3" x14ac:dyDescent="0.25">
      <c r="B2782" s="33" t="s">
        <v>4273</v>
      </c>
      <c r="C2782" s="33">
        <v>30</v>
      </c>
    </row>
    <row r="2783" spans="2:3" x14ac:dyDescent="0.25">
      <c r="B2783" s="33" t="s">
        <v>4274</v>
      </c>
      <c r="C2783" s="33">
        <v>30</v>
      </c>
    </row>
    <row r="2784" spans="2:3" x14ac:dyDescent="0.25">
      <c r="B2784" s="33" t="s">
        <v>4275</v>
      </c>
      <c r="C2784" s="33">
        <v>30</v>
      </c>
    </row>
    <row r="2785" spans="2:3" x14ac:dyDescent="0.25">
      <c r="B2785" s="33" t="s">
        <v>4276</v>
      </c>
      <c r="C2785" s="33">
        <v>30</v>
      </c>
    </row>
    <row r="2786" spans="2:3" x14ac:dyDescent="0.25">
      <c r="B2786" s="33" t="s">
        <v>4277</v>
      </c>
      <c r="C2786" s="33">
        <v>30</v>
      </c>
    </row>
    <row r="2787" spans="2:3" x14ac:dyDescent="0.25">
      <c r="B2787" s="33" t="s">
        <v>4278</v>
      </c>
      <c r="C2787" s="33">
        <v>30</v>
      </c>
    </row>
    <row r="2788" spans="2:3" x14ac:dyDescent="0.25">
      <c r="B2788" s="33" t="s">
        <v>4279</v>
      </c>
      <c r="C2788" s="33">
        <v>30</v>
      </c>
    </row>
    <row r="2789" spans="2:3" x14ac:dyDescent="0.25">
      <c r="B2789" s="33" t="s">
        <v>4280</v>
      </c>
      <c r="C2789" s="33">
        <v>30</v>
      </c>
    </row>
    <row r="2790" spans="2:3" x14ac:dyDescent="0.25">
      <c r="B2790" s="33" t="s">
        <v>4281</v>
      </c>
      <c r="C2790" s="33">
        <v>30</v>
      </c>
    </row>
    <row r="2791" spans="2:3" x14ac:dyDescent="0.25">
      <c r="B2791" s="33" t="s">
        <v>4282</v>
      </c>
      <c r="C2791" s="33">
        <v>30</v>
      </c>
    </row>
    <row r="2792" spans="2:3" x14ac:dyDescent="0.25">
      <c r="B2792" s="33" t="s">
        <v>4283</v>
      </c>
      <c r="C2792" s="33">
        <v>30</v>
      </c>
    </row>
    <row r="2793" spans="2:3" x14ac:dyDescent="0.25">
      <c r="B2793" s="33" t="s">
        <v>4284</v>
      </c>
      <c r="C2793" s="33">
        <v>30</v>
      </c>
    </row>
    <row r="2794" spans="2:3" x14ac:dyDescent="0.25">
      <c r="B2794" s="33" t="s">
        <v>4285</v>
      </c>
      <c r="C2794" s="33">
        <v>30</v>
      </c>
    </row>
    <row r="2795" spans="2:3" x14ac:dyDescent="0.25">
      <c r="B2795" s="33" t="s">
        <v>4286</v>
      </c>
      <c r="C2795" s="33">
        <v>30</v>
      </c>
    </row>
    <row r="2796" spans="2:3" x14ac:dyDescent="0.25">
      <c r="B2796" s="33" t="s">
        <v>4287</v>
      </c>
      <c r="C2796" s="33">
        <v>30</v>
      </c>
    </row>
    <row r="2797" spans="2:3" x14ac:dyDescent="0.25">
      <c r="B2797" s="33" t="s">
        <v>4288</v>
      </c>
      <c r="C2797" s="33">
        <v>30</v>
      </c>
    </row>
    <row r="2798" spans="2:3" x14ac:dyDescent="0.25">
      <c r="B2798" s="33" t="s">
        <v>4289</v>
      </c>
      <c r="C2798" s="33">
        <v>30</v>
      </c>
    </row>
    <row r="2799" spans="2:3" x14ac:dyDescent="0.25">
      <c r="B2799" s="33" t="s">
        <v>4290</v>
      </c>
      <c r="C2799" s="33">
        <v>30</v>
      </c>
    </row>
    <row r="2800" spans="2:3" x14ac:dyDescent="0.25">
      <c r="B2800" s="33" t="s">
        <v>4291</v>
      </c>
      <c r="C2800" s="33">
        <v>30</v>
      </c>
    </row>
    <row r="2801" spans="2:3" x14ac:dyDescent="0.25">
      <c r="B2801" s="33" t="s">
        <v>4292</v>
      </c>
      <c r="C2801" s="33">
        <v>30</v>
      </c>
    </row>
    <row r="2802" spans="2:3" x14ac:dyDescent="0.25">
      <c r="B2802" s="33" t="s">
        <v>4293</v>
      </c>
      <c r="C2802" s="33">
        <v>30</v>
      </c>
    </row>
    <row r="2803" spans="2:3" x14ac:dyDescent="0.25">
      <c r="B2803" s="33" t="s">
        <v>4294</v>
      </c>
      <c r="C2803" s="33">
        <v>30</v>
      </c>
    </row>
    <row r="2804" spans="2:3" x14ac:dyDescent="0.25">
      <c r="B2804" s="33" t="s">
        <v>4295</v>
      </c>
      <c r="C2804" s="33">
        <v>30</v>
      </c>
    </row>
    <row r="2805" spans="2:3" x14ac:dyDescent="0.25">
      <c r="B2805" s="33" t="s">
        <v>4296</v>
      </c>
      <c r="C2805" s="33">
        <v>30</v>
      </c>
    </row>
    <row r="2806" spans="2:3" x14ac:dyDescent="0.25">
      <c r="B2806" s="33" t="s">
        <v>4297</v>
      </c>
      <c r="C2806" s="33">
        <v>30</v>
      </c>
    </row>
    <row r="2807" spans="2:3" x14ac:dyDescent="0.25">
      <c r="B2807" s="33" t="s">
        <v>4298</v>
      </c>
      <c r="C2807" s="33">
        <v>30</v>
      </c>
    </row>
    <row r="2808" spans="2:3" x14ac:dyDescent="0.25">
      <c r="B2808" s="33" t="s">
        <v>4299</v>
      </c>
      <c r="C2808" s="33">
        <v>30</v>
      </c>
    </row>
    <row r="2809" spans="2:3" x14ac:dyDescent="0.25">
      <c r="B2809" s="33" t="s">
        <v>4300</v>
      </c>
      <c r="C2809" s="33">
        <v>30</v>
      </c>
    </row>
    <row r="2810" spans="2:3" x14ac:dyDescent="0.25">
      <c r="B2810" s="33" t="s">
        <v>4301</v>
      </c>
      <c r="C2810" s="33">
        <v>30</v>
      </c>
    </row>
    <row r="2811" spans="2:3" x14ac:dyDescent="0.25">
      <c r="B2811" s="33" t="s">
        <v>4302</v>
      </c>
      <c r="C2811" s="33">
        <v>30</v>
      </c>
    </row>
    <row r="2812" spans="2:3" x14ac:dyDescent="0.25">
      <c r="B2812" s="33" t="s">
        <v>4303</v>
      </c>
      <c r="C2812" s="33">
        <v>30</v>
      </c>
    </row>
    <row r="2813" spans="2:3" x14ac:dyDescent="0.25">
      <c r="B2813" s="33" t="s">
        <v>4304</v>
      </c>
      <c r="C2813" s="33">
        <v>30</v>
      </c>
    </row>
    <row r="2814" spans="2:3" x14ac:dyDescent="0.25">
      <c r="B2814" s="33" t="s">
        <v>4305</v>
      </c>
      <c r="C2814" s="33">
        <v>30</v>
      </c>
    </row>
    <row r="2815" spans="2:3" x14ac:dyDescent="0.25">
      <c r="B2815" s="33" t="s">
        <v>4306</v>
      </c>
      <c r="C2815" s="33">
        <v>30</v>
      </c>
    </row>
    <row r="2816" spans="2:3" x14ac:dyDescent="0.25">
      <c r="B2816" s="33" t="s">
        <v>4307</v>
      </c>
      <c r="C2816" s="33">
        <v>30</v>
      </c>
    </row>
    <row r="2817" spans="2:3" x14ac:dyDescent="0.25">
      <c r="B2817" s="33" t="s">
        <v>4308</v>
      </c>
      <c r="C2817" s="33">
        <v>30</v>
      </c>
    </row>
    <row r="2818" spans="2:3" x14ac:dyDescent="0.25">
      <c r="B2818" s="33" t="s">
        <v>4309</v>
      </c>
      <c r="C2818" s="33">
        <v>30</v>
      </c>
    </row>
    <row r="2819" spans="2:3" x14ac:dyDescent="0.25">
      <c r="B2819" s="33" t="s">
        <v>4310</v>
      </c>
      <c r="C2819" s="33">
        <v>30</v>
      </c>
    </row>
    <row r="2820" spans="2:3" x14ac:dyDescent="0.25">
      <c r="B2820" s="33" t="s">
        <v>4311</v>
      </c>
      <c r="C2820" s="33">
        <v>30</v>
      </c>
    </row>
    <row r="2821" spans="2:3" x14ac:dyDescent="0.25">
      <c r="B2821" s="33" t="s">
        <v>4312</v>
      </c>
      <c r="C2821" s="33">
        <v>30</v>
      </c>
    </row>
    <row r="2822" spans="2:3" x14ac:dyDescent="0.25">
      <c r="B2822" s="33" t="s">
        <v>4313</v>
      </c>
      <c r="C2822" s="33">
        <v>30</v>
      </c>
    </row>
    <row r="2823" spans="2:3" x14ac:dyDescent="0.25">
      <c r="B2823" s="33" t="s">
        <v>4314</v>
      </c>
      <c r="C2823" s="33">
        <v>30</v>
      </c>
    </row>
    <row r="2824" spans="2:3" x14ac:dyDescent="0.25">
      <c r="B2824" s="33" t="s">
        <v>4315</v>
      </c>
      <c r="C2824" s="33">
        <v>30</v>
      </c>
    </row>
    <row r="2825" spans="2:3" x14ac:dyDescent="0.25">
      <c r="B2825" s="33" t="s">
        <v>4316</v>
      </c>
      <c r="C2825" s="33">
        <v>30</v>
      </c>
    </row>
    <row r="2826" spans="2:3" x14ac:dyDescent="0.25">
      <c r="B2826" s="33" t="s">
        <v>4317</v>
      </c>
      <c r="C2826" s="33">
        <v>30</v>
      </c>
    </row>
    <row r="2827" spans="2:3" x14ac:dyDescent="0.25">
      <c r="B2827" s="33" t="s">
        <v>4318</v>
      </c>
      <c r="C2827" s="33">
        <v>30</v>
      </c>
    </row>
    <row r="2828" spans="2:3" x14ac:dyDescent="0.25">
      <c r="B2828" s="33" t="s">
        <v>4319</v>
      </c>
      <c r="C2828" s="33">
        <v>30</v>
      </c>
    </row>
    <row r="2829" spans="2:3" x14ac:dyDescent="0.25">
      <c r="B2829" s="33" t="s">
        <v>4320</v>
      </c>
      <c r="C2829" s="33">
        <v>30</v>
      </c>
    </row>
    <row r="2830" spans="2:3" x14ac:dyDescent="0.25">
      <c r="B2830" s="33" t="s">
        <v>4321</v>
      </c>
      <c r="C2830" s="33">
        <v>30</v>
      </c>
    </row>
    <row r="2831" spans="2:3" x14ac:dyDescent="0.25">
      <c r="B2831" s="33" t="s">
        <v>4322</v>
      </c>
      <c r="C2831" s="33">
        <v>30</v>
      </c>
    </row>
    <row r="2832" spans="2:3" x14ac:dyDescent="0.25">
      <c r="B2832" s="33" t="s">
        <v>4323</v>
      </c>
      <c r="C2832" s="33">
        <v>30</v>
      </c>
    </row>
    <row r="2833" spans="2:3" x14ac:dyDescent="0.25">
      <c r="B2833" s="33" t="s">
        <v>4324</v>
      </c>
      <c r="C2833" s="33">
        <v>30</v>
      </c>
    </row>
    <row r="2834" spans="2:3" x14ac:dyDescent="0.25">
      <c r="B2834" s="33" t="s">
        <v>4325</v>
      </c>
      <c r="C2834" s="33">
        <v>30</v>
      </c>
    </row>
    <row r="2835" spans="2:3" x14ac:dyDescent="0.25">
      <c r="B2835" s="33" t="s">
        <v>4326</v>
      </c>
      <c r="C2835" s="33">
        <v>30</v>
      </c>
    </row>
    <row r="2836" spans="2:3" x14ac:dyDescent="0.25">
      <c r="B2836" s="33" t="s">
        <v>4327</v>
      </c>
      <c r="C2836" s="33">
        <v>30</v>
      </c>
    </row>
    <row r="2837" spans="2:3" x14ac:dyDescent="0.25">
      <c r="B2837" s="33" t="s">
        <v>4328</v>
      </c>
      <c r="C2837" s="33">
        <v>30</v>
      </c>
    </row>
    <row r="2838" spans="2:3" x14ac:dyDescent="0.25">
      <c r="B2838" s="33" t="s">
        <v>4329</v>
      </c>
      <c r="C2838" s="33">
        <v>30</v>
      </c>
    </row>
    <row r="2839" spans="2:3" x14ac:dyDescent="0.25">
      <c r="B2839" s="33" t="s">
        <v>4330</v>
      </c>
      <c r="C2839" s="33">
        <v>30</v>
      </c>
    </row>
    <row r="2840" spans="2:3" x14ac:dyDescent="0.25">
      <c r="B2840" s="33" t="s">
        <v>4331</v>
      </c>
      <c r="C2840" s="33">
        <v>30</v>
      </c>
    </row>
    <row r="2841" spans="2:3" x14ac:dyDescent="0.25">
      <c r="B2841" s="33" t="s">
        <v>4332</v>
      </c>
      <c r="C2841" s="33">
        <v>30</v>
      </c>
    </row>
    <row r="2842" spans="2:3" x14ac:dyDescent="0.25">
      <c r="B2842" s="33" t="s">
        <v>4333</v>
      </c>
      <c r="C2842" s="33">
        <v>30</v>
      </c>
    </row>
    <row r="2843" spans="2:3" x14ac:dyDescent="0.25">
      <c r="B2843" s="33" t="s">
        <v>4334</v>
      </c>
      <c r="C2843" s="33">
        <v>30</v>
      </c>
    </row>
    <row r="2844" spans="2:3" x14ac:dyDescent="0.25">
      <c r="B2844" s="33" t="s">
        <v>4335</v>
      </c>
      <c r="C2844" s="33">
        <v>30</v>
      </c>
    </row>
    <row r="2845" spans="2:3" x14ac:dyDescent="0.25">
      <c r="B2845" s="33" t="s">
        <v>4336</v>
      </c>
      <c r="C2845" s="33">
        <v>30</v>
      </c>
    </row>
    <row r="2846" spans="2:3" x14ac:dyDescent="0.25">
      <c r="B2846" s="33" t="s">
        <v>4337</v>
      </c>
      <c r="C2846" s="33">
        <v>30</v>
      </c>
    </row>
    <row r="2847" spans="2:3" x14ac:dyDescent="0.25">
      <c r="B2847" s="33" t="s">
        <v>4338</v>
      </c>
      <c r="C2847" s="33">
        <v>30</v>
      </c>
    </row>
    <row r="2848" spans="2:3" x14ac:dyDescent="0.25">
      <c r="B2848" s="33" t="s">
        <v>4339</v>
      </c>
      <c r="C2848" s="33">
        <v>30</v>
      </c>
    </row>
    <row r="2849" spans="2:3" x14ac:dyDescent="0.25">
      <c r="B2849" s="33" t="s">
        <v>4340</v>
      </c>
      <c r="C2849" s="33">
        <v>30</v>
      </c>
    </row>
    <row r="2850" spans="2:3" x14ac:dyDescent="0.25">
      <c r="B2850" s="33" t="s">
        <v>4341</v>
      </c>
      <c r="C2850" s="33">
        <v>30</v>
      </c>
    </row>
    <row r="2851" spans="2:3" x14ac:dyDescent="0.25">
      <c r="B2851" s="33" t="s">
        <v>4342</v>
      </c>
      <c r="C2851" s="33">
        <v>30</v>
      </c>
    </row>
    <row r="2852" spans="2:3" x14ac:dyDescent="0.25">
      <c r="B2852" s="33" t="s">
        <v>4343</v>
      </c>
      <c r="C2852" s="33">
        <v>30</v>
      </c>
    </row>
    <row r="2853" spans="2:3" x14ac:dyDescent="0.25">
      <c r="B2853" s="33" t="s">
        <v>4344</v>
      </c>
      <c r="C2853" s="33">
        <v>30</v>
      </c>
    </row>
    <row r="2854" spans="2:3" x14ac:dyDescent="0.25">
      <c r="B2854" s="33" t="s">
        <v>4345</v>
      </c>
      <c r="C2854" s="33">
        <v>30</v>
      </c>
    </row>
    <row r="2855" spans="2:3" x14ac:dyDescent="0.25">
      <c r="B2855" s="33" t="s">
        <v>4346</v>
      </c>
      <c r="C2855" s="33">
        <v>30</v>
      </c>
    </row>
    <row r="2856" spans="2:3" x14ac:dyDescent="0.25">
      <c r="B2856" s="33" t="s">
        <v>4347</v>
      </c>
      <c r="C2856" s="33">
        <v>30</v>
      </c>
    </row>
    <row r="2857" spans="2:3" x14ac:dyDescent="0.25">
      <c r="B2857" s="33" t="s">
        <v>4348</v>
      </c>
      <c r="C2857" s="33">
        <v>30</v>
      </c>
    </row>
    <row r="2858" spans="2:3" x14ac:dyDescent="0.25">
      <c r="B2858" s="33" t="s">
        <v>4349</v>
      </c>
      <c r="C2858" s="33">
        <v>30</v>
      </c>
    </row>
    <row r="2859" spans="2:3" x14ac:dyDescent="0.25">
      <c r="B2859" s="33" t="s">
        <v>4350</v>
      </c>
      <c r="C2859" s="33">
        <v>30</v>
      </c>
    </row>
    <row r="2860" spans="2:3" x14ac:dyDescent="0.25">
      <c r="B2860" s="33" t="s">
        <v>4351</v>
      </c>
      <c r="C2860" s="33">
        <v>30</v>
      </c>
    </row>
    <row r="2861" spans="2:3" x14ac:dyDescent="0.25">
      <c r="B2861" s="33" t="s">
        <v>4352</v>
      </c>
      <c r="C2861" s="33">
        <v>30</v>
      </c>
    </row>
    <row r="2862" spans="2:3" x14ac:dyDescent="0.25">
      <c r="B2862" s="33" t="s">
        <v>4353</v>
      </c>
      <c r="C2862" s="33">
        <v>30</v>
      </c>
    </row>
    <row r="2863" spans="2:3" x14ac:dyDescent="0.25">
      <c r="B2863" s="33" t="s">
        <v>4354</v>
      </c>
      <c r="C2863" s="33">
        <v>30</v>
      </c>
    </row>
    <row r="2864" spans="2:3" x14ac:dyDescent="0.25">
      <c r="B2864" s="33" t="s">
        <v>4355</v>
      </c>
      <c r="C2864" s="33">
        <v>30</v>
      </c>
    </row>
    <row r="2865" spans="2:3" x14ac:dyDescent="0.25">
      <c r="B2865" s="33" t="s">
        <v>4356</v>
      </c>
      <c r="C2865" s="33">
        <v>30</v>
      </c>
    </row>
    <row r="2866" spans="2:3" x14ac:dyDescent="0.25">
      <c r="B2866" s="33" t="s">
        <v>4357</v>
      </c>
      <c r="C2866" s="33">
        <v>30</v>
      </c>
    </row>
    <row r="2867" spans="2:3" x14ac:dyDescent="0.25">
      <c r="B2867" s="33" t="s">
        <v>4358</v>
      </c>
      <c r="C2867" s="33">
        <v>30</v>
      </c>
    </row>
    <row r="2868" spans="2:3" x14ac:dyDescent="0.25">
      <c r="B2868" s="33" t="s">
        <v>4359</v>
      </c>
      <c r="C2868" s="33">
        <v>30</v>
      </c>
    </row>
    <row r="2869" spans="2:3" x14ac:dyDescent="0.25">
      <c r="B2869" s="33" t="s">
        <v>4360</v>
      </c>
      <c r="C2869" s="33">
        <v>30</v>
      </c>
    </row>
    <row r="2870" spans="2:3" x14ac:dyDescent="0.25">
      <c r="B2870" s="33" t="s">
        <v>4361</v>
      </c>
      <c r="C2870" s="33">
        <v>30</v>
      </c>
    </row>
    <row r="2871" spans="2:3" x14ac:dyDescent="0.25">
      <c r="B2871" s="33" t="s">
        <v>4362</v>
      </c>
      <c r="C2871" s="33">
        <v>30</v>
      </c>
    </row>
    <row r="2872" spans="2:3" x14ac:dyDescent="0.25">
      <c r="B2872" s="33" t="s">
        <v>4363</v>
      </c>
      <c r="C2872" s="33">
        <v>30</v>
      </c>
    </row>
    <row r="2873" spans="2:3" x14ac:dyDescent="0.25">
      <c r="B2873" s="33" t="s">
        <v>4364</v>
      </c>
      <c r="C2873" s="33">
        <v>30</v>
      </c>
    </row>
    <row r="2874" spans="2:3" x14ac:dyDescent="0.25">
      <c r="B2874" s="33" t="s">
        <v>4365</v>
      </c>
      <c r="C2874" s="33">
        <v>30</v>
      </c>
    </row>
    <row r="2875" spans="2:3" x14ac:dyDescent="0.25">
      <c r="B2875" s="33" t="s">
        <v>4366</v>
      </c>
      <c r="C2875" s="33">
        <v>30</v>
      </c>
    </row>
    <row r="2876" spans="2:3" x14ac:dyDescent="0.25">
      <c r="B2876" s="33" t="s">
        <v>4367</v>
      </c>
      <c r="C2876" s="33">
        <v>30</v>
      </c>
    </row>
    <row r="2877" spans="2:3" x14ac:dyDescent="0.25">
      <c r="B2877" s="33" t="s">
        <v>4368</v>
      </c>
      <c r="C2877" s="33">
        <v>30</v>
      </c>
    </row>
    <row r="2878" spans="2:3" x14ac:dyDescent="0.25">
      <c r="B2878" s="33" t="s">
        <v>4369</v>
      </c>
      <c r="C2878" s="33">
        <v>30</v>
      </c>
    </row>
    <row r="2879" spans="2:3" x14ac:dyDescent="0.25">
      <c r="B2879" s="33" t="s">
        <v>4370</v>
      </c>
      <c r="C2879" s="33">
        <v>30</v>
      </c>
    </row>
    <row r="2880" spans="2:3" x14ac:dyDescent="0.25">
      <c r="B2880" s="33" t="s">
        <v>4371</v>
      </c>
      <c r="C2880" s="33">
        <v>30</v>
      </c>
    </row>
    <row r="2881" spans="2:3" x14ac:dyDescent="0.25">
      <c r="B2881" s="33" t="s">
        <v>4372</v>
      </c>
      <c r="C2881" s="33">
        <v>30</v>
      </c>
    </row>
    <row r="2882" spans="2:3" x14ac:dyDescent="0.25">
      <c r="B2882" s="33" t="s">
        <v>4373</v>
      </c>
      <c r="C2882" s="33">
        <v>30</v>
      </c>
    </row>
    <row r="2883" spans="2:3" x14ac:dyDescent="0.25">
      <c r="B2883" s="33" t="s">
        <v>4374</v>
      </c>
      <c r="C2883" s="33">
        <v>30</v>
      </c>
    </row>
    <row r="2884" spans="2:3" x14ac:dyDescent="0.25">
      <c r="B2884" s="33" t="s">
        <v>4375</v>
      </c>
      <c r="C2884" s="33">
        <v>30</v>
      </c>
    </row>
    <row r="2885" spans="2:3" x14ac:dyDescent="0.25">
      <c r="B2885" s="33" t="s">
        <v>4376</v>
      </c>
      <c r="C2885" s="33">
        <v>30</v>
      </c>
    </row>
    <row r="2886" spans="2:3" x14ac:dyDescent="0.25">
      <c r="B2886" s="33" t="s">
        <v>4377</v>
      </c>
      <c r="C2886" s="33">
        <v>30</v>
      </c>
    </row>
    <row r="2887" spans="2:3" x14ac:dyDescent="0.25">
      <c r="B2887" s="33" t="s">
        <v>4378</v>
      </c>
      <c r="C2887" s="33">
        <v>30</v>
      </c>
    </row>
    <row r="2888" spans="2:3" x14ac:dyDescent="0.25">
      <c r="B2888" s="33" t="s">
        <v>4379</v>
      </c>
      <c r="C2888" s="33">
        <v>30</v>
      </c>
    </row>
    <row r="2889" spans="2:3" x14ac:dyDescent="0.25">
      <c r="B2889" s="33" t="s">
        <v>4380</v>
      </c>
      <c r="C2889" s="33">
        <v>30</v>
      </c>
    </row>
    <row r="2890" spans="2:3" x14ac:dyDescent="0.25">
      <c r="B2890" s="33" t="s">
        <v>4381</v>
      </c>
      <c r="C2890" s="33">
        <v>30</v>
      </c>
    </row>
    <row r="2891" spans="2:3" x14ac:dyDescent="0.25">
      <c r="B2891" s="33" t="s">
        <v>4382</v>
      </c>
      <c r="C2891" s="33">
        <v>30</v>
      </c>
    </row>
    <row r="2892" spans="2:3" x14ac:dyDescent="0.25">
      <c r="B2892" s="33" t="s">
        <v>4383</v>
      </c>
      <c r="C2892" s="33">
        <v>30</v>
      </c>
    </row>
    <row r="2893" spans="2:3" x14ac:dyDescent="0.25">
      <c r="B2893" s="33" t="s">
        <v>4384</v>
      </c>
      <c r="C2893" s="33">
        <v>30</v>
      </c>
    </row>
    <row r="2894" spans="2:3" x14ac:dyDescent="0.25">
      <c r="B2894" s="33" t="s">
        <v>4385</v>
      </c>
      <c r="C2894" s="33">
        <v>30</v>
      </c>
    </row>
    <row r="2895" spans="2:3" x14ac:dyDescent="0.25">
      <c r="B2895" s="33" t="s">
        <v>4386</v>
      </c>
      <c r="C2895" s="33">
        <v>30</v>
      </c>
    </row>
    <row r="2896" spans="2:3" x14ac:dyDescent="0.25">
      <c r="B2896" s="33" t="s">
        <v>4387</v>
      </c>
      <c r="C2896" s="33">
        <v>30</v>
      </c>
    </row>
    <row r="2897" spans="2:3" x14ac:dyDescent="0.25">
      <c r="B2897" s="33" t="s">
        <v>4388</v>
      </c>
      <c r="C2897" s="33">
        <v>30</v>
      </c>
    </row>
    <row r="2898" spans="2:3" x14ac:dyDescent="0.25">
      <c r="B2898" s="33" t="s">
        <v>4389</v>
      </c>
      <c r="C2898" s="33">
        <v>30</v>
      </c>
    </row>
    <row r="2899" spans="2:3" x14ac:dyDescent="0.25">
      <c r="B2899" s="33" t="s">
        <v>4390</v>
      </c>
      <c r="C2899" s="33">
        <v>30</v>
      </c>
    </row>
    <row r="2900" spans="2:3" x14ac:dyDescent="0.25">
      <c r="B2900" s="33" t="s">
        <v>4391</v>
      </c>
      <c r="C2900" s="33">
        <v>30</v>
      </c>
    </row>
    <row r="2901" spans="2:3" x14ac:dyDescent="0.25">
      <c r="B2901" s="33" t="s">
        <v>4392</v>
      </c>
      <c r="C2901" s="33">
        <v>30</v>
      </c>
    </row>
    <row r="2902" spans="2:3" x14ac:dyDescent="0.25">
      <c r="B2902" s="33" t="s">
        <v>4393</v>
      </c>
      <c r="C2902" s="33">
        <v>30</v>
      </c>
    </row>
    <row r="2903" spans="2:3" x14ac:dyDescent="0.25">
      <c r="B2903" s="33" t="s">
        <v>4394</v>
      </c>
      <c r="C2903" s="33">
        <v>30</v>
      </c>
    </row>
    <row r="2904" spans="2:3" x14ac:dyDescent="0.25">
      <c r="B2904" s="33" t="s">
        <v>4395</v>
      </c>
      <c r="C2904" s="33">
        <v>30</v>
      </c>
    </row>
    <row r="2905" spans="2:3" x14ac:dyDescent="0.25">
      <c r="B2905" s="33" t="s">
        <v>4396</v>
      </c>
      <c r="C2905" s="33">
        <v>30</v>
      </c>
    </row>
    <row r="2906" spans="2:3" x14ac:dyDescent="0.25">
      <c r="B2906" s="33" t="s">
        <v>4397</v>
      </c>
      <c r="C2906" s="33">
        <v>30</v>
      </c>
    </row>
    <row r="2907" spans="2:3" x14ac:dyDescent="0.25">
      <c r="B2907" s="33" t="s">
        <v>4398</v>
      </c>
      <c r="C2907" s="33">
        <v>30</v>
      </c>
    </row>
    <row r="2908" spans="2:3" x14ac:dyDescent="0.25">
      <c r="B2908" s="33" t="s">
        <v>4399</v>
      </c>
      <c r="C2908" s="33">
        <v>30</v>
      </c>
    </row>
    <row r="2909" spans="2:3" x14ac:dyDescent="0.25">
      <c r="B2909" s="33" t="s">
        <v>4400</v>
      </c>
      <c r="C2909" s="33">
        <v>30</v>
      </c>
    </row>
    <row r="2910" spans="2:3" x14ac:dyDescent="0.25">
      <c r="B2910" s="33" t="s">
        <v>4401</v>
      </c>
      <c r="C2910" s="33">
        <v>30</v>
      </c>
    </row>
    <row r="2911" spans="2:3" x14ac:dyDescent="0.25">
      <c r="B2911" s="33" t="s">
        <v>4402</v>
      </c>
      <c r="C2911" s="33">
        <v>30</v>
      </c>
    </row>
    <row r="2912" spans="2:3" x14ac:dyDescent="0.25">
      <c r="B2912" s="33" t="s">
        <v>4403</v>
      </c>
      <c r="C2912" s="33">
        <v>30</v>
      </c>
    </row>
    <row r="2913" spans="2:3" x14ac:dyDescent="0.25">
      <c r="B2913" s="33" t="s">
        <v>4404</v>
      </c>
      <c r="C2913" s="33">
        <v>30</v>
      </c>
    </row>
    <row r="2914" spans="2:3" x14ac:dyDescent="0.25">
      <c r="B2914" s="33" t="s">
        <v>4405</v>
      </c>
      <c r="C2914" s="33">
        <v>30</v>
      </c>
    </row>
    <row r="2915" spans="2:3" x14ac:dyDescent="0.25">
      <c r="B2915" s="33" t="s">
        <v>4406</v>
      </c>
      <c r="C2915" s="33">
        <v>30</v>
      </c>
    </row>
    <row r="2916" spans="2:3" x14ac:dyDescent="0.25">
      <c r="B2916" s="33" t="s">
        <v>4407</v>
      </c>
      <c r="C2916" s="33">
        <v>30</v>
      </c>
    </row>
    <row r="2917" spans="2:3" x14ac:dyDescent="0.25">
      <c r="B2917" s="33" t="s">
        <v>4408</v>
      </c>
      <c r="C2917" s="33">
        <v>30</v>
      </c>
    </row>
    <row r="2918" spans="2:3" x14ac:dyDescent="0.25">
      <c r="B2918" s="33" t="s">
        <v>4409</v>
      </c>
      <c r="C2918" s="33">
        <v>30</v>
      </c>
    </row>
    <row r="2919" spans="2:3" x14ac:dyDescent="0.25">
      <c r="B2919" s="33" t="s">
        <v>4410</v>
      </c>
      <c r="C2919" s="33">
        <v>30</v>
      </c>
    </row>
    <row r="2920" spans="2:3" x14ac:dyDescent="0.25">
      <c r="B2920" s="33" t="s">
        <v>4411</v>
      </c>
      <c r="C2920" s="33">
        <v>30</v>
      </c>
    </row>
    <row r="2921" spans="2:3" x14ac:dyDescent="0.25">
      <c r="B2921" s="33" t="s">
        <v>4412</v>
      </c>
      <c r="C2921" s="33">
        <v>30</v>
      </c>
    </row>
    <row r="2922" spans="2:3" x14ac:dyDescent="0.25">
      <c r="B2922" s="33" t="s">
        <v>4413</v>
      </c>
      <c r="C2922" s="33">
        <v>30</v>
      </c>
    </row>
    <row r="2923" spans="2:3" x14ac:dyDescent="0.25">
      <c r="B2923" s="33" t="s">
        <v>4414</v>
      </c>
      <c r="C2923" s="33">
        <v>30</v>
      </c>
    </row>
    <row r="2924" spans="2:3" x14ac:dyDescent="0.25">
      <c r="B2924" s="33" t="s">
        <v>4415</v>
      </c>
      <c r="C2924" s="33">
        <v>30</v>
      </c>
    </row>
    <row r="2925" spans="2:3" x14ac:dyDescent="0.25">
      <c r="B2925" s="33" t="s">
        <v>4416</v>
      </c>
      <c r="C2925" s="33">
        <v>30</v>
      </c>
    </row>
    <row r="2926" spans="2:3" x14ac:dyDescent="0.25">
      <c r="B2926" s="33" t="s">
        <v>4417</v>
      </c>
      <c r="C2926" s="33">
        <v>30</v>
      </c>
    </row>
    <row r="2927" spans="2:3" x14ac:dyDescent="0.25">
      <c r="B2927" s="33" t="s">
        <v>4418</v>
      </c>
      <c r="C2927" s="33">
        <v>30</v>
      </c>
    </row>
    <row r="2928" spans="2:3" x14ac:dyDescent="0.25">
      <c r="B2928" s="33" t="s">
        <v>4419</v>
      </c>
      <c r="C2928" s="33">
        <v>30</v>
      </c>
    </row>
    <row r="2929" spans="2:3" x14ac:dyDescent="0.25">
      <c r="B2929" s="33" t="s">
        <v>4420</v>
      </c>
      <c r="C2929" s="33">
        <v>30</v>
      </c>
    </row>
    <row r="2930" spans="2:3" x14ac:dyDescent="0.25">
      <c r="B2930" s="33" t="s">
        <v>4421</v>
      </c>
      <c r="C2930" s="33">
        <v>30</v>
      </c>
    </row>
    <row r="2931" spans="2:3" x14ac:dyDescent="0.25">
      <c r="B2931" s="33" t="s">
        <v>4422</v>
      </c>
      <c r="C2931" s="33">
        <v>30</v>
      </c>
    </row>
    <row r="2932" spans="2:3" x14ac:dyDescent="0.25">
      <c r="B2932" s="33" t="s">
        <v>4423</v>
      </c>
      <c r="C2932" s="33">
        <v>30</v>
      </c>
    </row>
    <row r="2933" spans="2:3" x14ac:dyDescent="0.25">
      <c r="B2933" s="33" t="s">
        <v>4424</v>
      </c>
      <c r="C2933" s="33">
        <v>30</v>
      </c>
    </row>
    <row r="2934" spans="2:3" x14ac:dyDescent="0.25">
      <c r="B2934" s="33" t="s">
        <v>4425</v>
      </c>
      <c r="C2934" s="33">
        <v>30</v>
      </c>
    </row>
    <row r="2935" spans="2:3" x14ac:dyDescent="0.25">
      <c r="B2935" s="33" t="s">
        <v>4426</v>
      </c>
      <c r="C2935" s="33">
        <v>30</v>
      </c>
    </row>
    <row r="2936" spans="2:3" x14ac:dyDescent="0.25">
      <c r="B2936" s="33" t="s">
        <v>4427</v>
      </c>
      <c r="C2936" s="33">
        <v>30</v>
      </c>
    </row>
    <row r="2937" spans="2:3" x14ac:dyDescent="0.25">
      <c r="B2937" s="33" t="s">
        <v>4428</v>
      </c>
      <c r="C2937" s="33">
        <v>30</v>
      </c>
    </row>
    <row r="2938" spans="2:3" x14ac:dyDescent="0.25">
      <c r="B2938" s="33" t="s">
        <v>4429</v>
      </c>
      <c r="C2938" s="33">
        <v>30</v>
      </c>
    </row>
    <row r="2939" spans="2:3" x14ac:dyDescent="0.25">
      <c r="B2939" s="33" t="s">
        <v>4430</v>
      </c>
      <c r="C2939" s="33">
        <v>30</v>
      </c>
    </row>
    <row r="2940" spans="2:3" x14ac:dyDescent="0.25">
      <c r="B2940" s="33" t="s">
        <v>4431</v>
      </c>
      <c r="C2940" s="33">
        <v>30</v>
      </c>
    </row>
    <row r="2941" spans="2:3" x14ac:dyDescent="0.25">
      <c r="B2941" s="33" t="s">
        <v>4432</v>
      </c>
      <c r="C2941" s="33">
        <v>30</v>
      </c>
    </row>
    <row r="2942" spans="2:3" x14ac:dyDescent="0.25">
      <c r="B2942" s="33" t="s">
        <v>4433</v>
      </c>
      <c r="C2942" s="33">
        <v>30</v>
      </c>
    </row>
    <row r="2943" spans="2:3" x14ac:dyDescent="0.25">
      <c r="B2943" s="33" t="s">
        <v>4434</v>
      </c>
      <c r="C2943" s="33">
        <v>30</v>
      </c>
    </row>
    <row r="2944" spans="2:3" x14ac:dyDescent="0.25">
      <c r="B2944" s="33" t="s">
        <v>4435</v>
      </c>
      <c r="C2944" s="33">
        <v>30</v>
      </c>
    </row>
    <row r="2945" spans="2:3" x14ac:dyDescent="0.25">
      <c r="B2945" s="33" t="s">
        <v>4436</v>
      </c>
      <c r="C2945" s="33">
        <v>30</v>
      </c>
    </row>
    <row r="2946" spans="2:3" x14ac:dyDescent="0.25">
      <c r="B2946" s="33" t="s">
        <v>4437</v>
      </c>
      <c r="C2946" s="33">
        <v>30</v>
      </c>
    </row>
    <row r="2947" spans="2:3" x14ac:dyDescent="0.25">
      <c r="B2947" s="33" t="s">
        <v>4438</v>
      </c>
      <c r="C2947" s="33">
        <v>30</v>
      </c>
    </row>
    <row r="2948" spans="2:3" x14ac:dyDescent="0.25">
      <c r="B2948" s="33" t="s">
        <v>4439</v>
      </c>
      <c r="C2948" s="33">
        <v>30</v>
      </c>
    </row>
    <row r="2949" spans="2:3" x14ac:dyDescent="0.25">
      <c r="B2949" s="33" t="s">
        <v>4440</v>
      </c>
      <c r="C2949" s="33">
        <v>30</v>
      </c>
    </row>
    <row r="2950" spans="2:3" x14ac:dyDescent="0.25">
      <c r="B2950" s="33" t="s">
        <v>4441</v>
      </c>
      <c r="C2950" s="33">
        <v>30</v>
      </c>
    </row>
    <row r="2951" spans="2:3" x14ac:dyDescent="0.25">
      <c r="B2951" s="33" t="s">
        <v>4442</v>
      </c>
      <c r="C2951" s="33">
        <v>30</v>
      </c>
    </row>
    <row r="2952" spans="2:3" x14ac:dyDescent="0.25">
      <c r="B2952" s="33" t="s">
        <v>4443</v>
      </c>
      <c r="C2952" s="33">
        <v>30</v>
      </c>
    </row>
    <row r="2953" spans="2:3" x14ac:dyDescent="0.25">
      <c r="B2953" s="33" t="s">
        <v>4444</v>
      </c>
      <c r="C2953" s="33">
        <v>30</v>
      </c>
    </row>
    <row r="2954" spans="2:3" x14ac:dyDescent="0.25">
      <c r="B2954" s="33" t="s">
        <v>4445</v>
      </c>
      <c r="C2954" s="33">
        <v>30</v>
      </c>
    </row>
    <row r="2955" spans="2:3" x14ac:dyDescent="0.25">
      <c r="B2955" s="33" t="s">
        <v>4446</v>
      </c>
      <c r="C2955" s="33">
        <v>30</v>
      </c>
    </row>
    <row r="2956" spans="2:3" x14ac:dyDescent="0.25">
      <c r="B2956" s="33" t="s">
        <v>4447</v>
      </c>
      <c r="C2956" s="33">
        <v>30</v>
      </c>
    </row>
    <row r="2957" spans="2:3" x14ac:dyDescent="0.25">
      <c r="B2957" s="33" t="s">
        <v>4448</v>
      </c>
      <c r="C2957" s="33">
        <v>30</v>
      </c>
    </row>
    <row r="2958" spans="2:3" x14ac:dyDescent="0.25">
      <c r="B2958" s="33" t="s">
        <v>4449</v>
      </c>
      <c r="C2958" s="33">
        <v>30</v>
      </c>
    </row>
    <row r="2959" spans="2:3" x14ac:dyDescent="0.25">
      <c r="B2959" s="33" t="s">
        <v>4450</v>
      </c>
      <c r="C2959" s="33">
        <v>30</v>
      </c>
    </row>
    <row r="2960" spans="2:3" x14ac:dyDescent="0.25">
      <c r="B2960" s="33" t="s">
        <v>4451</v>
      </c>
      <c r="C2960" s="33">
        <v>30</v>
      </c>
    </row>
    <row r="2961" spans="2:3" x14ac:dyDescent="0.25">
      <c r="B2961" s="33" t="s">
        <v>4452</v>
      </c>
      <c r="C2961" s="33">
        <v>30</v>
      </c>
    </row>
    <row r="2962" spans="2:3" x14ac:dyDescent="0.25">
      <c r="B2962" s="33" t="s">
        <v>4453</v>
      </c>
      <c r="C2962" s="33">
        <v>30</v>
      </c>
    </row>
    <row r="2963" spans="2:3" x14ac:dyDescent="0.25">
      <c r="B2963" s="33" t="s">
        <v>4454</v>
      </c>
      <c r="C2963" s="33">
        <v>30</v>
      </c>
    </row>
    <row r="2964" spans="2:3" x14ac:dyDescent="0.25">
      <c r="B2964" s="33" t="s">
        <v>4455</v>
      </c>
      <c r="C2964" s="33">
        <v>30</v>
      </c>
    </row>
    <row r="2965" spans="2:3" x14ac:dyDescent="0.25">
      <c r="B2965" s="33" t="s">
        <v>4456</v>
      </c>
      <c r="C2965" s="33">
        <v>30</v>
      </c>
    </row>
    <row r="2966" spans="2:3" x14ac:dyDescent="0.25">
      <c r="B2966" s="33" t="s">
        <v>4457</v>
      </c>
      <c r="C2966" s="33">
        <v>30</v>
      </c>
    </row>
    <row r="2967" spans="2:3" x14ac:dyDescent="0.25">
      <c r="B2967" s="33" t="s">
        <v>4458</v>
      </c>
      <c r="C2967" s="33">
        <v>30</v>
      </c>
    </row>
    <row r="2968" spans="2:3" x14ac:dyDescent="0.25">
      <c r="B2968" s="33" t="s">
        <v>4459</v>
      </c>
      <c r="C2968" s="33">
        <v>30</v>
      </c>
    </row>
    <row r="2969" spans="2:3" x14ac:dyDescent="0.25">
      <c r="B2969" s="33" t="s">
        <v>4460</v>
      </c>
      <c r="C2969" s="33">
        <v>30</v>
      </c>
    </row>
    <row r="2970" spans="2:3" x14ac:dyDescent="0.25">
      <c r="B2970" s="33" t="s">
        <v>4461</v>
      </c>
      <c r="C2970" s="33">
        <v>30</v>
      </c>
    </row>
    <row r="2971" spans="2:3" x14ac:dyDescent="0.25">
      <c r="B2971" s="33" t="s">
        <v>4462</v>
      </c>
      <c r="C2971" s="33">
        <v>30</v>
      </c>
    </row>
    <row r="2972" spans="2:3" x14ac:dyDescent="0.25">
      <c r="B2972" s="33" t="s">
        <v>4463</v>
      </c>
      <c r="C2972" s="33">
        <v>30</v>
      </c>
    </row>
    <row r="2973" spans="2:3" x14ac:dyDescent="0.25">
      <c r="B2973" s="33" t="s">
        <v>4464</v>
      </c>
      <c r="C2973" s="33">
        <v>30</v>
      </c>
    </row>
    <row r="2974" spans="2:3" x14ac:dyDescent="0.25">
      <c r="B2974" s="33" t="s">
        <v>4465</v>
      </c>
      <c r="C2974" s="33">
        <v>30</v>
      </c>
    </row>
    <row r="2975" spans="2:3" x14ac:dyDescent="0.25">
      <c r="B2975" s="33" t="s">
        <v>4466</v>
      </c>
      <c r="C2975" s="33">
        <v>30</v>
      </c>
    </row>
    <row r="2976" spans="2:3" x14ac:dyDescent="0.25">
      <c r="B2976" s="33" t="s">
        <v>4467</v>
      </c>
      <c r="C2976" s="33">
        <v>30</v>
      </c>
    </row>
    <row r="2977" spans="2:3" x14ac:dyDescent="0.25">
      <c r="B2977" s="33" t="s">
        <v>4468</v>
      </c>
      <c r="C2977" s="33">
        <v>30</v>
      </c>
    </row>
    <row r="2978" spans="2:3" x14ac:dyDescent="0.25">
      <c r="B2978" s="33" t="s">
        <v>4469</v>
      </c>
      <c r="C2978" s="33">
        <v>30</v>
      </c>
    </row>
    <row r="2979" spans="2:3" x14ac:dyDescent="0.25">
      <c r="B2979" s="33" t="s">
        <v>4470</v>
      </c>
      <c r="C2979" s="33">
        <v>30</v>
      </c>
    </row>
    <row r="2980" spans="2:3" x14ac:dyDescent="0.25">
      <c r="B2980" s="33" t="s">
        <v>4471</v>
      </c>
      <c r="C2980" s="33">
        <v>30</v>
      </c>
    </row>
    <row r="2981" spans="2:3" x14ac:dyDescent="0.25">
      <c r="B2981" s="33" t="s">
        <v>4472</v>
      </c>
      <c r="C2981" s="33">
        <v>30</v>
      </c>
    </row>
    <row r="2982" spans="2:3" x14ac:dyDescent="0.25">
      <c r="B2982" s="33" t="s">
        <v>4473</v>
      </c>
      <c r="C2982" s="33">
        <v>30</v>
      </c>
    </row>
    <row r="2983" spans="2:3" x14ac:dyDescent="0.25">
      <c r="B2983" s="33" t="s">
        <v>4474</v>
      </c>
      <c r="C2983" s="33">
        <v>30</v>
      </c>
    </row>
    <row r="2984" spans="2:3" x14ac:dyDescent="0.25">
      <c r="B2984" s="33" t="s">
        <v>4475</v>
      </c>
      <c r="C2984" s="33">
        <v>30</v>
      </c>
    </row>
    <row r="2985" spans="2:3" x14ac:dyDescent="0.25">
      <c r="B2985" s="33" t="s">
        <v>4476</v>
      </c>
      <c r="C2985" s="33">
        <v>30</v>
      </c>
    </row>
    <row r="2986" spans="2:3" x14ac:dyDescent="0.25">
      <c r="B2986" s="33" t="s">
        <v>4477</v>
      </c>
      <c r="C2986" s="33">
        <v>30</v>
      </c>
    </row>
    <row r="2987" spans="2:3" x14ac:dyDescent="0.25">
      <c r="B2987" s="33" t="s">
        <v>4478</v>
      </c>
      <c r="C2987" s="33">
        <v>30</v>
      </c>
    </row>
    <row r="2988" spans="2:3" x14ac:dyDescent="0.25">
      <c r="B2988" s="33" t="s">
        <v>4479</v>
      </c>
      <c r="C2988" s="33">
        <v>30</v>
      </c>
    </row>
    <row r="2989" spans="2:3" x14ac:dyDescent="0.25">
      <c r="B2989" s="33" t="s">
        <v>4480</v>
      </c>
      <c r="C2989" s="33">
        <v>30</v>
      </c>
    </row>
    <row r="2990" spans="2:3" x14ac:dyDescent="0.25">
      <c r="B2990" s="33" t="s">
        <v>4481</v>
      </c>
      <c r="C2990" s="33">
        <v>30</v>
      </c>
    </row>
    <row r="2991" spans="2:3" x14ac:dyDescent="0.25">
      <c r="B2991" s="33" t="s">
        <v>4482</v>
      </c>
      <c r="C2991" s="33">
        <v>30</v>
      </c>
    </row>
    <row r="2992" spans="2:3" x14ac:dyDescent="0.25">
      <c r="B2992" s="33" t="s">
        <v>4483</v>
      </c>
      <c r="C2992" s="33">
        <v>30</v>
      </c>
    </row>
    <row r="2993" spans="2:3" x14ac:dyDescent="0.25">
      <c r="B2993" s="33" t="s">
        <v>4484</v>
      </c>
      <c r="C2993" s="33">
        <v>30</v>
      </c>
    </row>
    <row r="2994" spans="2:3" x14ac:dyDescent="0.25">
      <c r="B2994" s="33" t="s">
        <v>4485</v>
      </c>
      <c r="C2994" s="33">
        <v>30</v>
      </c>
    </row>
    <row r="2995" spans="2:3" x14ac:dyDescent="0.25">
      <c r="B2995" s="33" t="s">
        <v>4486</v>
      </c>
      <c r="C2995" s="33">
        <v>30</v>
      </c>
    </row>
    <row r="2996" spans="2:3" x14ac:dyDescent="0.25">
      <c r="B2996" s="33" t="s">
        <v>4487</v>
      </c>
      <c r="C2996" s="33">
        <v>30</v>
      </c>
    </row>
    <row r="2997" spans="2:3" x14ac:dyDescent="0.25">
      <c r="B2997" s="33" t="s">
        <v>4488</v>
      </c>
      <c r="C2997" s="33">
        <v>30</v>
      </c>
    </row>
    <row r="2998" spans="2:3" x14ac:dyDescent="0.25">
      <c r="B2998" s="33" t="s">
        <v>4489</v>
      </c>
      <c r="C2998" s="33">
        <v>30</v>
      </c>
    </row>
    <row r="2999" spans="2:3" x14ac:dyDescent="0.25">
      <c r="B2999" s="33" t="s">
        <v>4490</v>
      </c>
      <c r="C2999" s="33">
        <v>30</v>
      </c>
    </row>
    <row r="3000" spans="2:3" x14ac:dyDescent="0.25">
      <c r="B3000" s="33" t="s">
        <v>4491</v>
      </c>
      <c r="C3000" s="33">
        <v>30</v>
      </c>
    </row>
    <row r="3001" spans="2:3" x14ac:dyDescent="0.25">
      <c r="B3001" s="33" t="s">
        <v>4492</v>
      </c>
      <c r="C3001" s="33">
        <v>30</v>
      </c>
    </row>
    <row r="3002" spans="2:3" x14ac:dyDescent="0.25">
      <c r="B3002" s="33" t="s">
        <v>4493</v>
      </c>
      <c r="C3002" s="33">
        <v>30</v>
      </c>
    </row>
    <row r="3003" spans="2:3" x14ac:dyDescent="0.25">
      <c r="B3003" s="33" t="s">
        <v>4494</v>
      </c>
      <c r="C3003" s="33">
        <v>30</v>
      </c>
    </row>
    <row r="3004" spans="2:3" x14ac:dyDescent="0.25">
      <c r="B3004" s="33" t="s">
        <v>4495</v>
      </c>
      <c r="C3004" s="33">
        <v>30</v>
      </c>
    </row>
    <row r="3005" spans="2:3" x14ac:dyDescent="0.25">
      <c r="B3005" s="33" t="s">
        <v>4496</v>
      </c>
      <c r="C3005" s="33">
        <v>30</v>
      </c>
    </row>
    <row r="3006" spans="2:3" x14ac:dyDescent="0.25">
      <c r="B3006" s="33" t="s">
        <v>4497</v>
      </c>
      <c r="C3006" s="33">
        <v>30</v>
      </c>
    </row>
    <row r="3007" spans="2:3" x14ac:dyDescent="0.25">
      <c r="B3007" s="33" t="s">
        <v>4498</v>
      </c>
      <c r="C3007" s="33">
        <v>30</v>
      </c>
    </row>
    <row r="3008" spans="2:3" x14ac:dyDescent="0.25">
      <c r="B3008" s="33" t="s">
        <v>4499</v>
      </c>
      <c r="C3008" s="33">
        <v>30</v>
      </c>
    </row>
    <row r="3009" spans="2:3" x14ac:dyDescent="0.25">
      <c r="B3009" s="33" t="s">
        <v>4500</v>
      </c>
      <c r="C3009" s="33">
        <v>30</v>
      </c>
    </row>
    <row r="3010" spans="2:3" x14ac:dyDescent="0.25">
      <c r="B3010" s="33" t="s">
        <v>4501</v>
      </c>
      <c r="C3010" s="33">
        <v>30</v>
      </c>
    </row>
    <row r="3011" spans="2:3" x14ac:dyDescent="0.25">
      <c r="B3011" s="33" t="s">
        <v>4502</v>
      </c>
      <c r="C3011" s="33">
        <v>30</v>
      </c>
    </row>
    <row r="3012" spans="2:3" x14ac:dyDescent="0.25">
      <c r="B3012" s="33" t="s">
        <v>4503</v>
      </c>
      <c r="C3012" s="33">
        <v>30</v>
      </c>
    </row>
    <row r="3013" spans="2:3" x14ac:dyDescent="0.25">
      <c r="B3013" s="33" t="s">
        <v>4504</v>
      </c>
      <c r="C3013" s="33">
        <v>30</v>
      </c>
    </row>
    <row r="3014" spans="2:3" x14ac:dyDescent="0.25">
      <c r="B3014" s="33" t="s">
        <v>4505</v>
      </c>
      <c r="C3014" s="33">
        <v>30</v>
      </c>
    </row>
    <row r="3015" spans="2:3" x14ac:dyDescent="0.25">
      <c r="B3015" s="33" t="s">
        <v>4506</v>
      </c>
      <c r="C3015" s="33">
        <v>30</v>
      </c>
    </row>
    <row r="3016" spans="2:3" x14ac:dyDescent="0.25">
      <c r="B3016" s="33" t="s">
        <v>4507</v>
      </c>
      <c r="C3016" s="33">
        <v>30</v>
      </c>
    </row>
    <row r="3017" spans="2:3" x14ac:dyDescent="0.25">
      <c r="B3017" s="33" t="s">
        <v>4508</v>
      </c>
      <c r="C3017" s="33">
        <v>30</v>
      </c>
    </row>
    <row r="3018" spans="2:3" x14ac:dyDescent="0.25">
      <c r="B3018" s="33" t="s">
        <v>4509</v>
      </c>
      <c r="C3018" s="33">
        <v>30</v>
      </c>
    </row>
    <row r="3019" spans="2:3" x14ac:dyDescent="0.25">
      <c r="B3019" s="33" t="s">
        <v>4510</v>
      </c>
      <c r="C3019" s="33">
        <v>30</v>
      </c>
    </row>
    <row r="3020" spans="2:3" x14ac:dyDescent="0.25">
      <c r="B3020" s="33" t="s">
        <v>4511</v>
      </c>
      <c r="C3020" s="33">
        <v>30</v>
      </c>
    </row>
    <row r="3021" spans="2:3" x14ac:dyDescent="0.25">
      <c r="B3021" s="33" t="s">
        <v>4512</v>
      </c>
      <c r="C3021" s="33">
        <v>30</v>
      </c>
    </row>
    <row r="3022" spans="2:3" x14ac:dyDescent="0.25">
      <c r="B3022" s="33" t="s">
        <v>4513</v>
      </c>
      <c r="C3022" s="33">
        <v>30</v>
      </c>
    </row>
    <row r="3023" spans="2:3" x14ac:dyDescent="0.25">
      <c r="B3023" s="33" t="s">
        <v>4514</v>
      </c>
      <c r="C3023" s="33">
        <v>30</v>
      </c>
    </row>
    <row r="3024" spans="2:3" x14ac:dyDescent="0.25">
      <c r="B3024" s="33" t="s">
        <v>4515</v>
      </c>
      <c r="C3024" s="33">
        <v>30</v>
      </c>
    </row>
    <row r="3025" spans="2:3" x14ac:dyDescent="0.25">
      <c r="B3025" s="33" t="s">
        <v>4516</v>
      </c>
      <c r="C3025" s="33">
        <v>30</v>
      </c>
    </row>
    <row r="3026" spans="2:3" x14ac:dyDescent="0.25">
      <c r="B3026" s="33" t="s">
        <v>4517</v>
      </c>
      <c r="C3026" s="33">
        <v>30</v>
      </c>
    </row>
    <row r="3027" spans="2:3" x14ac:dyDescent="0.25">
      <c r="B3027" s="33" t="s">
        <v>4518</v>
      </c>
      <c r="C3027" s="33">
        <v>30</v>
      </c>
    </row>
    <row r="3028" spans="2:3" x14ac:dyDescent="0.25">
      <c r="B3028" s="33" t="s">
        <v>4519</v>
      </c>
      <c r="C3028" s="33">
        <v>30</v>
      </c>
    </row>
    <row r="3029" spans="2:3" x14ac:dyDescent="0.25">
      <c r="B3029" s="33" t="s">
        <v>4520</v>
      </c>
      <c r="C3029" s="33">
        <v>30</v>
      </c>
    </row>
    <row r="3030" spans="2:3" x14ac:dyDescent="0.25">
      <c r="B3030" s="33" t="s">
        <v>4521</v>
      </c>
      <c r="C3030" s="33">
        <v>30</v>
      </c>
    </row>
    <row r="3031" spans="2:3" x14ac:dyDescent="0.25">
      <c r="B3031" s="33" t="s">
        <v>4522</v>
      </c>
      <c r="C3031" s="33">
        <v>30</v>
      </c>
    </row>
    <row r="3032" spans="2:3" x14ac:dyDescent="0.25">
      <c r="B3032" s="33" t="s">
        <v>4523</v>
      </c>
      <c r="C3032" s="33">
        <v>30</v>
      </c>
    </row>
    <row r="3033" spans="2:3" x14ac:dyDescent="0.25">
      <c r="B3033" s="33" t="s">
        <v>4524</v>
      </c>
      <c r="C3033" s="33">
        <v>30</v>
      </c>
    </row>
    <row r="3034" spans="2:3" x14ac:dyDescent="0.25">
      <c r="B3034" s="33" t="s">
        <v>4525</v>
      </c>
      <c r="C3034" s="33">
        <v>30</v>
      </c>
    </row>
    <row r="3035" spans="2:3" x14ac:dyDescent="0.25">
      <c r="B3035" s="33" t="s">
        <v>4526</v>
      </c>
      <c r="C3035" s="33">
        <v>30</v>
      </c>
    </row>
    <row r="3036" spans="2:3" x14ac:dyDescent="0.25">
      <c r="B3036" s="33" t="s">
        <v>4527</v>
      </c>
      <c r="C3036" s="33">
        <v>30</v>
      </c>
    </row>
    <row r="3037" spans="2:3" x14ac:dyDescent="0.25">
      <c r="B3037" s="33" t="s">
        <v>4528</v>
      </c>
      <c r="C3037" s="33">
        <v>30</v>
      </c>
    </row>
    <row r="3038" spans="2:3" x14ac:dyDescent="0.25">
      <c r="B3038" s="33" t="s">
        <v>4529</v>
      </c>
      <c r="C3038" s="33">
        <v>30</v>
      </c>
    </row>
    <row r="3039" spans="2:3" x14ac:dyDescent="0.25">
      <c r="B3039" s="33" t="s">
        <v>4530</v>
      </c>
      <c r="C3039" s="33">
        <v>30</v>
      </c>
    </row>
    <row r="3040" spans="2:3" x14ac:dyDescent="0.25">
      <c r="B3040" s="33" t="s">
        <v>4531</v>
      </c>
      <c r="C3040" s="33">
        <v>30</v>
      </c>
    </row>
    <row r="3041" spans="2:3" x14ac:dyDescent="0.25">
      <c r="B3041" s="33" t="s">
        <v>4532</v>
      </c>
      <c r="C3041" s="33">
        <v>30</v>
      </c>
    </row>
    <row r="3042" spans="2:3" x14ac:dyDescent="0.25">
      <c r="B3042" s="33" t="s">
        <v>4533</v>
      </c>
      <c r="C3042" s="33">
        <v>30</v>
      </c>
    </row>
    <row r="3043" spans="2:3" x14ac:dyDescent="0.25">
      <c r="B3043" s="33" t="s">
        <v>4534</v>
      </c>
      <c r="C3043" s="33">
        <v>30</v>
      </c>
    </row>
    <row r="3044" spans="2:3" x14ac:dyDescent="0.25">
      <c r="B3044" s="33" t="s">
        <v>4535</v>
      </c>
      <c r="C3044" s="33">
        <v>30</v>
      </c>
    </row>
    <row r="3045" spans="2:3" x14ac:dyDescent="0.25">
      <c r="B3045" s="33" t="s">
        <v>4536</v>
      </c>
      <c r="C3045" s="33">
        <v>30</v>
      </c>
    </row>
    <row r="3046" spans="2:3" x14ac:dyDescent="0.25">
      <c r="B3046" s="33" t="s">
        <v>4537</v>
      </c>
      <c r="C3046" s="33">
        <v>30</v>
      </c>
    </row>
    <row r="3047" spans="2:3" x14ac:dyDescent="0.25">
      <c r="B3047" s="33" t="s">
        <v>4538</v>
      </c>
      <c r="C3047" s="33">
        <v>30</v>
      </c>
    </row>
    <row r="3048" spans="2:3" x14ac:dyDescent="0.25">
      <c r="B3048" s="33" t="s">
        <v>4539</v>
      </c>
      <c r="C3048" s="33">
        <v>30</v>
      </c>
    </row>
    <row r="3049" spans="2:3" x14ac:dyDescent="0.25">
      <c r="B3049" s="33" t="s">
        <v>4540</v>
      </c>
      <c r="C3049" s="33">
        <v>30</v>
      </c>
    </row>
    <row r="3050" spans="2:3" x14ac:dyDescent="0.25">
      <c r="B3050" s="33" t="s">
        <v>4541</v>
      </c>
      <c r="C3050" s="33">
        <v>30</v>
      </c>
    </row>
    <row r="3051" spans="2:3" x14ac:dyDescent="0.25">
      <c r="B3051" s="33" t="s">
        <v>4542</v>
      </c>
      <c r="C3051" s="33">
        <v>30</v>
      </c>
    </row>
    <row r="3052" spans="2:3" x14ac:dyDescent="0.25">
      <c r="B3052" s="33" t="s">
        <v>4543</v>
      </c>
      <c r="C3052" s="33">
        <v>30</v>
      </c>
    </row>
    <row r="3053" spans="2:3" x14ac:dyDescent="0.25">
      <c r="B3053" s="33" t="s">
        <v>4544</v>
      </c>
      <c r="C3053" s="33">
        <v>30</v>
      </c>
    </row>
    <row r="3054" spans="2:3" x14ac:dyDescent="0.25">
      <c r="B3054" s="33" t="s">
        <v>4545</v>
      </c>
      <c r="C3054" s="33">
        <v>30</v>
      </c>
    </row>
    <row r="3055" spans="2:3" x14ac:dyDescent="0.25">
      <c r="B3055" s="33" t="s">
        <v>4546</v>
      </c>
      <c r="C3055" s="33">
        <v>30</v>
      </c>
    </row>
    <row r="3056" spans="2:3" x14ac:dyDescent="0.25">
      <c r="B3056" s="33" t="s">
        <v>4547</v>
      </c>
      <c r="C3056" s="33">
        <v>30</v>
      </c>
    </row>
    <row r="3057" spans="2:3" x14ac:dyDescent="0.25">
      <c r="B3057" s="33" t="s">
        <v>4548</v>
      </c>
      <c r="C3057" s="33">
        <v>30</v>
      </c>
    </row>
    <row r="3058" spans="2:3" x14ac:dyDescent="0.25">
      <c r="B3058" s="33" t="s">
        <v>4549</v>
      </c>
      <c r="C3058" s="33">
        <v>30</v>
      </c>
    </row>
    <row r="3059" spans="2:3" x14ac:dyDescent="0.25">
      <c r="B3059" s="33" t="s">
        <v>4550</v>
      </c>
      <c r="C3059" s="33">
        <v>30</v>
      </c>
    </row>
    <row r="3060" spans="2:3" x14ac:dyDescent="0.25">
      <c r="B3060" s="33" t="s">
        <v>4551</v>
      </c>
      <c r="C3060" s="33">
        <v>30</v>
      </c>
    </row>
    <row r="3061" spans="2:3" x14ac:dyDescent="0.25">
      <c r="B3061" s="33" t="s">
        <v>4552</v>
      </c>
      <c r="C3061" s="33">
        <v>30</v>
      </c>
    </row>
    <row r="3062" spans="2:3" x14ac:dyDescent="0.25">
      <c r="B3062" s="33" t="s">
        <v>4553</v>
      </c>
      <c r="C3062" s="33">
        <v>30</v>
      </c>
    </row>
    <row r="3063" spans="2:3" x14ac:dyDescent="0.25">
      <c r="B3063" s="33" t="s">
        <v>4554</v>
      </c>
      <c r="C3063" s="33">
        <v>30</v>
      </c>
    </row>
    <row r="3064" spans="2:3" x14ac:dyDescent="0.25">
      <c r="B3064" s="33" t="s">
        <v>4555</v>
      </c>
      <c r="C3064" s="33">
        <v>30</v>
      </c>
    </row>
    <row r="3065" spans="2:3" x14ac:dyDescent="0.25">
      <c r="B3065" s="33" t="s">
        <v>4556</v>
      </c>
      <c r="C3065" s="33">
        <v>30</v>
      </c>
    </row>
    <row r="3066" spans="2:3" x14ac:dyDescent="0.25">
      <c r="B3066" s="33" t="s">
        <v>4557</v>
      </c>
      <c r="C3066" s="33">
        <v>30</v>
      </c>
    </row>
    <row r="3067" spans="2:3" x14ac:dyDescent="0.25">
      <c r="B3067" s="33" t="s">
        <v>4558</v>
      </c>
      <c r="C3067" s="33">
        <v>30</v>
      </c>
    </row>
    <row r="3068" spans="2:3" x14ac:dyDescent="0.25">
      <c r="B3068" s="33" t="s">
        <v>4559</v>
      </c>
      <c r="C3068" s="33">
        <v>30</v>
      </c>
    </row>
    <row r="3069" spans="2:3" x14ac:dyDescent="0.25">
      <c r="B3069" s="33" t="s">
        <v>4560</v>
      </c>
      <c r="C3069" s="33">
        <v>30</v>
      </c>
    </row>
    <row r="3070" spans="2:3" x14ac:dyDescent="0.25">
      <c r="B3070" s="33" t="s">
        <v>4561</v>
      </c>
      <c r="C3070" s="33">
        <v>30</v>
      </c>
    </row>
    <row r="3071" spans="2:3" x14ac:dyDescent="0.25">
      <c r="B3071" s="33" t="s">
        <v>4562</v>
      </c>
      <c r="C3071" s="33">
        <v>30</v>
      </c>
    </row>
    <row r="3072" spans="2:3" x14ac:dyDescent="0.25">
      <c r="B3072" s="33" t="s">
        <v>4563</v>
      </c>
      <c r="C3072" s="33">
        <v>30</v>
      </c>
    </row>
    <row r="3073" spans="2:3" x14ac:dyDescent="0.25">
      <c r="B3073" s="33" t="s">
        <v>4564</v>
      </c>
      <c r="C3073" s="33">
        <v>30</v>
      </c>
    </row>
    <row r="3074" spans="2:3" x14ac:dyDescent="0.25">
      <c r="B3074" s="33" t="s">
        <v>4565</v>
      </c>
      <c r="C3074" s="33">
        <v>30</v>
      </c>
    </row>
    <row r="3075" spans="2:3" x14ac:dyDescent="0.25">
      <c r="B3075" s="33" t="s">
        <v>4566</v>
      </c>
      <c r="C3075" s="33">
        <v>30</v>
      </c>
    </row>
    <row r="3076" spans="2:3" x14ac:dyDescent="0.25">
      <c r="B3076" s="33" t="s">
        <v>4567</v>
      </c>
      <c r="C3076" s="33">
        <v>30</v>
      </c>
    </row>
    <row r="3077" spans="2:3" x14ac:dyDescent="0.25">
      <c r="B3077" s="33" t="s">
        <v>4568</v>
      </c>
      <c r="C3077" s="33">
        <v>30</v>
      </c>
    </row>
    <row r="3078" spans="2:3" x14ac:dyDescent="0.25">
      <c r="B3078" s="33" t="s">
        <v>4569</v>
      </c>
      <c r="C3078" s="33">
        <v>30</v>
      </c>
    </row>
    <row r="3079" spans="2:3" x14ac:dyDescent="0.25">
      <c r="B3079" s="33" t="s">
        <v>4570</v>
      </c>
      <c r="C3079" s="33">
        <v>30</v>
      </c>
    </row>
    <row r="3080" spans="2:3" x14ac:dyDescent="0.25">
      <c r="B3080" s="33" t="s">
        <v>4571</v>
      </c>
      <c r="C3080" s="33">
        <v>30</v>
      </c>
    </row>
    <row r="3081" spans="2:3" x14ac:dyDescent="0.25">
      <c r="B3081" s="33" t="s">
        <v>4572</v>
      </c>
      <c r="C3081" s="33">
        <v>30</v>
      </c>
    </row>
    <row r="3082" spans="2:3" x14ac:dyDescent="0.25">
      <c r="B3082" s="33" t="s">
        <v>4573</v>
      </c>
      <c r="C3082" s="33">
        <v>30</v>
      </c>
    </row>
    <row r="3083" spans="2:3" x14ac:dyDescent="0.25">
      <c r="B3083" s="33" t="s">
        <v>4574</v>
      </c>
      <c r="C3083" s="33">
        <v>30</v>
      </c>
    </row>
    <row r="3084" spans="2:3" x14ac:dyDescent="0.25">
      <c r="B3084" s="33" t="s">
        <v>4575</v>
      </c>
      <c r="C3084" s="33">
        <v>30</v>
      </c>
    </row>
    <row r="3085" spans="2:3" x14ac:dyDescent="0.25">
      <c r="B3085" s="33" t="s">
        <v>4576</v>
      </c>
      <c r="C3085" s="33">
        <v>30</v>
      </c>
    </row>
    <row r="3086" spans="2:3" x14ac:dyDescent="0.25">
      <c r="B3086" s="33" t="s">
        <v>4577</v>
      </c>
      <c r="C3086" s="33">
        <v>30</v>
      </c>
    </row>
    <row r="3087" spans="2:3" x14ac:dyDescent="0.25">
      <c r="B3087" s="33" t="s">
        <v>4578</v>
      </c>
      <c r="C3087" s="33">
        <v>30</v>
      </c>
    </row>
    <row r="3088" spans="2:3" x14ac:dyDescent="0.25">
      <c r="B3088" s="33" t="s">
        <v>4579</v>
      </c>
      <c r="C3088" s="33">
        <v>30</v>
      </c>
    </row>
    <row r="3089" spans="2:3" x14ac:dyDescent="0.25">
      <c r="B3089" s="33" t="s">
        <v>4580</v>
      </c>
      <c r="C3089" s="33">
        <v>30</v>
      </c>
    </row>
    <row r="3090" spans="2:3" x14ac:dyDescent="0.25">
      <c r="B3090" s="33" t="s">
        <v>4581</v>
      </c>
      <c r="C3090" s="33">
        <v>30</v>
      </c>
    </row>
    <row r="3091" spans="2:3" x14ac:dyDescent="0.25">
      <c r="B3091" s="33" t="s">
        <v>4582</v>
      </c>
      <c r="C3091" s="33">
        <v>30</v>
      </c>
    </row>
    <row r="3092" spans="2:3" x14ac:dyDescent="0.25">
      <c r="B3092" s="33" t="s">
        <v>4583</v>
      </c>
      <c r="C3092" s="33">
        <v>30</v>
      </c>
    </row>
    <row r="3093" spans="2:3" x14ac:dyDescent="0.25">
      <c r="B3093" s="33" t="s">
        <v>4584</v>
      </c>
      <c r="C3093" s="33">
        <v>30</v>
      </c>
    </row>
    <row r="3094" spans="2:3" x14ac:dyDescent="0.25">
      <c r="B3094" s="33" t="s">
        <v>4585</v>
      </c>
      <c r="C3094" s="33">
        <v>30</v>
      </c>
    </row>
    <row r="3095" spans="2:3" x14ac:dyDescent="0.25">
      <c r="B3095" s="33" t="s">
        <v>4586</v>
      </c>
      <c r="C3095" s="33">
        <v>30</v>
      </c>
    </row>
    <row r="3096" spans="2:3" x14ac:dyDescent="0.25">
      <c r="B3096" s="33" t="s">
        <v>4587</v>
      </c>
      <c r="C3096" s="33">
        <v>30</v>
      </c>
    </row>
    <row r="3097" spans="2:3" x14ac:dyDescent="0.25">
      <c r="B3097" s="33" t="s">
        <v>4588</v>
      </c>
      <c r="C3097" s="33">
        <v>30</v>
      </c>
    </row>
    <row r="3098" spans="2:3" x14ac:dyDescent="0.25">
      <c r="B3098" s="33" t="s">
        <v>4589</v>
      </c>
      <c r="C3098" s="33">
        <v>30</v>
      </c>
    </row>
    <row r="3099" spans="2:3" x14ac:dyDescent="0.25">
      <c r="B3099" s="33" t="s">
        <v>4590</v>
      </c>
      <c r="C3099" s="33">
        <v>30</v>
      </c>
    </row>
    <row r="3100" spans="2:3" x14ac:dyDescent="0.25">
      <c r="B3100" s="33" t="s">
        <v>4591</v>
      </c>
      <c r="C3100" s="33">
        <v>30</v>
      </c>
    </row>
    <row r="3101" spans="2:3" x14ac:dyDescent="0.25">
      <c r="B3101" s="33" t="s">
        <v>4592</v>
      </c>
      <c r="C3101" s="33">
        <v>30</v>
      </c>
    </row>
    <row r="3102" spans="2:3" x14ac:dyDescent="0.25">
      <c r="B3102" s="33" t="s">
        <v>4593</v>
      </c>
      <c r="C3102" s="33">
        <v>30</v>
      </c>
    </row>
    <row r="3103" spans="2:3" x14ac:dyDescent="0.25">
      <c r="B3103" s="33" t="s">
        <v>4594</v>
      </c>
      <c r="C3103" s="33">
        <v>30</v>
      </c>
    </row>
    <row r="3104" spans="2:3" x14ac:dyDescent="0.25">
      <c r="B3104" s="33" t="s">
        <v>4595</v>
      </c>
      <c r="C3104" s="33">
        <v>30</v>
      </c>
    </row>
    <row r="3105" spans="2:3" x14ac:dyDescent="0.25">
      <c r="B3105" s="33" t="s">
        <v>4596</v>
      </c>
      <c r="C3105" s="33">
        <v>30</v>
      </c>
    </row>
    <row r="3106" spans="2:3" x14ac:dyDescent="0.25">
      <c r="B3106" s="33" t="s">
        <v>4597</v>
      </c>
      <c r="C3106" s="33">
        <v>30</v>
      </c>
    </row>
    <row r="3107" spans="2:3" x14ac:dyDescent="0.25">
      <c r="B3107" s="33" t="s">
        <v>4598</v>
      </c>
      <c r="C3107" s="33">
        <v>30</v>
      </c>
    </row>
    <row r="3108" spans="2:3" x14ac:dyDescent="0.25">
      <c r="B3108" s="33" t="s">
        <v>4599</v>
      </c>
      <c r="C3108" s="33">
        <v>30</v>
      </c>
    </row>
    <row r="3109" spans="2:3" x14ac:dyDescent="0.25">
      <c r="B3109" s="33" t="s">
        <v>4600</v>
      </c>
      <c r="C3109" s="33">
        <v>30</v>
      </c>
    </row>
    <row r="3110" spans="2:3" x14ac:dyDescent="0.25">
      <c r="B3110" s="33" t="s">
        <v>4601</v>
      </c>
      <c r="C3110" s="33">
        <v>30</v>
      </c>
    </row>
    <row r="3111" spans="2:3" x14ac:dyDescent="0.25">
      <c r="B3111" s="33" t="s">
        <v>4602</v>
      </c>
      <c r="C3111" s="33">
        <v>30</v>
      </c>
    </row>
    <row r="3112" spans="2:3" x14ac:dyDescent="0.25">
      <c r="B3112" s="33" t="s">
        <v>4603</v>
      </c>
      <c r="C3112" s="33">
        <v>30</v>
      </c>
    </row>
    <row r="3113" spans="2:3" x14ac:dyDescent="0.25">
      <c r="B3113" s="33" t="s">
        <v>4604</v>
      </c>
      <c r="C3113" s="33">
        <v>30</v>
      </c>
    </row>
    <row r="3114" spans="2:3" x14ac:dyDescent="0.25">
      <c r="B3114" s="33" t="s">
        <v>4605</v>
      </c>
      <c r="C3114" s="33">
        <v>30</v>
      </c>
    </row>
    <row r="3115" spans="2:3" x14ac:dyDescent="0.25">
      <c r="B3115" s="33" t="s">
        <v>4606</v>
      </c>
      <c r="C3115" s="33">
        <v>30</v>
      </c>
    </row>
    <row r="3116" spans="2:3" x14ac:dyDescent="0.25">
      <c r="B3116" s="33" t="s">
        <v>4607</v>
      </c>
      <c r="C3116" s="33">
        <v>30</v>
      </c>
    </row>
    <row r="3117" spans="2:3" x14ac:dyDescent="0.25">
      <c r="B3117" s="33" t="s">
        <v>4608</v>
      </c>
      <c r="C3117" s="33">
        <v>30</v>
      </c>
    </row>
    <row r="3118" spans="2:3" x14ac:dyDescent="0.25">
      <c r="B3118" s="33" t="s">
        <v>4609</v>
      </c>
      <c r="C3118" s="33">
        <v>30</v>
      </c>
    </row>
    <row r="3119" spans="2:3" x14ac:dyDescent="0.25">
      <c r="B3119" s="33" t="s">
        <v>4610</v>
      </c>
      <c r="C3119" s="33">
        <v>30</v>
      </c>
    </row>
    <row r="3120" spans="2:3" x14ac:dyDescent="0.25">
      <c r="B3120" s="33" t="s">
        <v>4611</v>
      </c>
      <c r="C3120" s="33">
        <v>30</v>
      </c>
    </row>
    <row r="3121" spans="2:3" x14ac:dyDescent="0.25">
      <c r="B3121" s="33" t="s">
        <v>4612</v>
      </c>
      <c r="C3121" s="33">
        <v>30</v>
      </c>
    </row>
    <row r="3122" spans="2:3" x14ac:dyDescent="0.25">
      <c r="B3122" s="33" t="s">
        <v>4613</v>
      </c>
      <c r="C3122" s="33">
        <v>30</v>
      </c>
    </row>
    <row r="3123" spans="2:3" x14ac:dyDescent="0.25">
      <c r="B3123" s="33" t="s">
        <v>4614</v>
      </c>
      <c r="C3123" s="33">
        <v>30</v>
      </c>
    </row>
    <row r="3124" spans="2:3" x14ac:dyDescent="0.25">
      <c r="B3124" s="33" t="s">
        <v>4615</v>
      </c>
      <c r="C3124" s="33">
        <v>30</v>
      </c>
    </row>
    <row r="3125" spans="2:3" x14ac:dyDescent="0.25">
      <c r="B3125" s="33" t="s">
        <v>4616</v>
      </c>
      <c r="C3125" s="33">
        <v>30</v>
      </c>
    </row>
    <row r="3126" spans="2:3" x14ac:dyDescent="0.25">
      <c r="B3126" s="33" t="s">
        <v>4617</v>
      </c>
      <c r="C3126" s="33">
        <v>30</v>
      </c>
    </row>
    <row r="3127" spans="2:3" x14ac:dyDescent="0.25">
      <c r="B3127" s="33" t="s">
        <v>4618</v>
      </c>
      <c r="C3127" s="33">
        <v>30</v>
      </c>
    </row>
    <row r="3128" spans="2:3" x14ac:dyDescent="0.25">
      <c r="B3128" s="33" t="s">
        <v>4619</v>
      </c>
      <c r="C3128" s="33">
        <v>30</v>
      </c>
    </row>
    <row r="3129" spans="2:3" x14ac:dyDescent="0.25">
      <c r="B3129" s="33" t="s">
        <v>4620</v>
      </c>
      <c r="C3129" s="33">
        <v>30</v>
      </c>
    </row>
    <row r="3130" spans="2:3" x14ac:dyDescent="0.25">
      <c r="B3130" s="33" t="s">
        <v>4621</v>
      </c>
      <c r="C3130" s="33">
        <v>30</v>
      </c>
    </row>
    <row r="3131" spans="2:3" x14ac:dyDescent="0.25">
      <c r="B3131" s="33" t="s">
        <v>4622</v>
      </c>
      <c r="C3131" s="33">
        <v>30</v>
      </c>
    </row>
    <row r="3132" spans="2:3" x14ac:dyDescent="0.25">
      <c r="B3132" s="33" t="s">
        <v>4623</v>
      </c>
      <c r="C3132" s="33">
        <v>30</v>
      </c>
    </row>
    <row r="3133" spans="2:3" x14ac:dyDescent="0.25">
      <c r="B3133" s="33" t="s">
        <v>4624</v>
      </c>
      <c r="C3133" s="33">
        <v>30</v>
      </c>
    </row>
    <row r="3134" spans="2:3" x14ac:dyDescent="0.25">
      <c r="B3134" s="33" t="s">
        <v>4625</v>
      </c>
      <c r="C3134" s="33">
        <v>30</v>
      </c>
    </row>
    <row r="3135" spans="2:3" x14ac:dyDescent="0.25">
      <c r="B3135" s="33" t="s">
        <v>4626</v>
      </c>
      <c r="C3135" s="33">
        <v>30</v>
      </c>
    </row>
    <row r="3136" spans="2:3" x14ac:dyDescent="0.25">
      <c r="B3136" s="33" t="s">
        <v>4627</v>
      </c>
      <c r="C3136" s="33">
        <v>30</v>
      </c>
    </row>
    <row r="3137" spans="2:3" x14ac:dyDescent="0.25">
      <c r="B3137" s="33" t="s">
        <v>4628</v>
      </c>
      <c r="C3137" s="33">
        <v>30</v>
      </c>
    </row>
    <row r="3138" spans="2:3" x14ac:dyDescent="0.25">
      <c r="B3138" s="33" t="s">
        <v>4629</v>
      </c>
      <c r="C3138" s="33">
        <v>30</v>
      </c>
    </row>
    <row r="3139" spans="2:3" x14ac:dyDescent="0.25">
      <c r="B3139" s="33" t="s">
        <v>4630</v>
      </c>
      <c r="C3139" s="33">
        <v>30</v>
      </c>
    </row>
    <row r="3140" spans="2:3" x14ac:dyDescent="0.25">
      <c r="B3140" s="33" t="s">
        <v>4631</v>
      </c>
      <c r="C3140" s="33">
        <v>30</v>
      </c>
    </row>
    <row r="3141" spans="2:3" x14ac:dyDescent="0.25">
      <c r="B3141" s="33" t="s">
        <v>4632</v>
      </c>
      <c r="C3141" s="33">
        <v>30</v>
      </c>
    </row>
    <row r="3142" spans="2:3" x14ac:dyDescent="0.25">
      <c r="B3142" s="33" t="s">
        <v>4633</v>
      </c>
      <c r="C3142" s="33">
        <v>30</v>
      </c>
    </row>
    <row r="3143" spans="2:3" x14ac:dyDescent="0.25">
      <c r="B3143" s="33" t="s">
        <v>4634</v>
      </c>
      <c r="C3143" s="33">
        <v>30</v>
      </c>
    </row>
    <row r="3144" spans="2:3" x14ac:dyDescent="0.25">
      <c r="B3144" s="33" t="s">
        <v>4635</v>
      </c>
      <c r="C3144" s="33">
        <v>30</v>
      </c>
    </row>
    <row r="3145" spans="2:3" x14ac:dyDescent="0.25">
      <c r="B3145" s="33" t="s">
        <v>4636</v>
      </c>
      <c r="C3145" s="33">
        <v>30</v>
      </c>
    </row>
    <row r="3146" spans="2:3" x14ac:dyDescent="0.25">
      <c r="B3146" s="33" t="s">
        <v>4637</v>
      </c>
      <c r="C3146" s="33">
        <v>30</v>
      </c>
    </row>
    <row r="3147" spans="2:3" x14ac:dyDescent="0.25">
      <c r="B3147" s="33" t="s">
        <v>4638</v>
      </c>
      <c r="C3147" s="33">
        <v>30</v>
      </c>
    </row>
    <row r="3148" spans="2:3" x14ac:dyDescent="0.25">
      <c r="B3148" s="33" t="s">
        <v>4639</v>
      </c>
      <c r="C3148" s="33">
        <v>30</v>
      </c>
    </row>
    <row r="3149" spans="2:3" x14ac:dyDescent="0.25">
      <c r="B3149" s="33" t="s">
        <v>4640</v>
      </c>
      <c r="C3149" s="33">
        <v>30</v>
      </c>
    </row>
    <row r="3150" spans="2:3" x14ac:dyDescent="0.25">
      <c r="B3150" s="33" t="s">
        <v>4641</v>
      </c>
      <c r="C3150" s="33">
        <v>30</v>
      </c>
    </row>
    <row r="3151" spans="2:3" x14ac:dyDescent="0.25">
      <c r="B3151" s="33" t="s">
        <v>4642</v>
      </c>
      <c r="C3151" s="33">
        <v>30</v>
      </c>
    </row>
    <row r="3152" spans="2:3" x14ac:dyDescent="0.25">
      <c r="B3152" s="33" t="s">
        <v>4643</v>
      </c>
      <c r="C3152" s="33">
        <v>30</v>
      </c>
    </row>
    <row r="3153" spans="2:3" x14ac:dyDescent="0.25">
      <c r="B3153" s="33" t="s">
        <v>4644</v>
      </c>
      <c r="C3153" s="33">
        <v>30</v>
      </c>
    </row>
    <row r="3154" spans="2:3" x14ac:dyDescent="0.25">
      <c r="B3154" s="33" t="s">
        <v>4645</v>
      </c>
      <c r="C3154" s="33">
        <v>30</v>
      </c>
    </row>
    <row r="3155" spans="2:3" x14ac:dyDescent="0.25">
      <c r="B3155" s="33" t="s">
        <v>4646</v>
      </c>
      <c r="C3155" s="33">
        <v>30</v>
      </c>
    </row>
    <row r="3156" spans="2:3" x14ac:dyDescent="0.25">
      <c r="B3156" s="33" t="s">
        <v>4647</v>
      </c>
      <c r="C3156" s="33">
        <v>30</v>
      </c>
    </row>
    <row r="3157" spans="2:3" x14ac:dyDescent="0.25">
      <c r="B3157" s="33" t="s">
        <v>4648</v>
      </c>
      <c r="C3157" s="33">
        <v>30</v>
      </c>
    </row>
    <row r="3158" spans="2:3" x14ac:dyDescent="0.25">
      <c r="B3158" s="33" t="s">
        <v>4649</v>
      </c>
      <c r="C3158" s="33">
        <v>30</v>
      </c>
    </row>
    <row r="3159" spans="2:3" x14ac:dyDescent="0.25">
      <c r="B3159" s="33" t="s">
        <v>4650</v>
      </c>
      <c r="C3159" s="33">
        <v>30</v>
      </c>
    </row>
    <row r="3160" spans="2:3" x14ac:dyDescent="0.25">
      <c r="B3160" s="33" t="s">
        <v>4651</v>
      </c>
      <c r="C3160" s="33">
        <v>30</v>
      </c>
    </row>
    <row r="3161" spans="2:3" x14ac:dyDescent="0.25">
      <c r="B3161" s="33" t="s">
        <v>4652</v>
      </c>
      <c r="C3161" s="33">
        <v>30</v>
      </c>
    </row>
    <row r="3162" spans="2:3" x14ac:dyDescent="0.25">
      <c r="B3162" s="33" t="s">
        <v>4653</v>
      </c>
      <c r="C3162" s="33">
        <v>30</v>
      </c>
    </row>
    <row r="3163" spans="2:3" x14ac:dyDescent="0.25">
      <c r="B3163" s="33" t="s">
        <v>4654</v>
      </c>
      <c r="C3163" s="33">
        <v>30</v>
      </c>
    </row>
    <row r="3164" spans="2:3" x14ac:dyDescent="0.25">
      <c r="B3164" s="33" t="s">
        <v>4655</v>
      </c>
      <c r="C3164" s="33">
        <v>30</v>
      </c>
    </row>
    <row r="3165" spans="2:3" x14ac:dyDescent="0.25">
      <c r="B3165" s="33" t="s">
        <v>4656</v>
      </c>
      <c r="C3165" s="33">
        <v>30</v>
      </c>
    </row>
    <row r="3166" spans="2:3" x14ac:dyDescent="0.25">
      <c r="B3166" s="33" t="s">
        <v>4657</v>
      </c>
      <c r="C3166" s="33">
        <v>30</v>
      </c>
    </row>
    <row r="3167" spans="2:3" x14ac:dyDescent="0.25">
      <c r="B3167" s="33" t="s">
        <v>4658</v>
      </c>
      <c r="C3167" s="33">
        <v>30</v>
      </c>
    </row>
    <row r="3168" spans="2:3" x14ac:dyDescent="0.25">
      <c r="B3168" s="33" t="s">
        <v>4659</v>
      </c>
      <c r="C3168" s="33">
        <v>30</v>
      </c>
    </row>
    <row r="3169" spans="2:3" x14ac:dyDescent="0.25">
      <c r="B3169" s="33" t="s">
        <v>4660</v>
      </c>
      <c r="C3169" s="33">
        <v>30</v>
      </c>
    </row>
    <row r="3170" spans="2:3" x14ac:dyDescent="0.25">
      <c r="B3170" s="33" t="s">
        <v>4661</v>
      </c>
      <c r="C3170" s="33">
        <v>30</v>
      </c>
    </row>
    <row r="3171" spans="2:3" x14ac:dyDescent="0.25">
      <c r="B3171" s="33" t="s">
        <v>4662</v>
      </c>
      <c r="C3171" s="33">
        <v>30</v>
      </c>
    </row>
    <row r="3172" spans="2:3" x14ac:dyDescent="0.25">
      <c r="B3172" s="33" t="s">
        <v>4663</v>
      </c>
      <c r="C3172" s="33">
        <v>30</v>
      </c>
    </row>
    <row r="3173" spans="2:3" x14ac:dyDescent="0.25">
      <c r="B3173" s="33" t="s">
        <v>4664</v>
      </c>
      <c r="C3173" s="33">
        <v>30</v>
      </c>
    </row>
    <row r="3174" spans="2:3" x14ac:dyDescent="0.25">
      <c r="B3174" s="33" t="s">
        <v>4665</v>
      </c>
      <c r="C3174" s="33">
        <v>30</v>
      </c>
    </row>
    <row r="3175" spans="2:3" x14ac:dyDescent="0.25">
      <c r="B3175" s="33" t="s">
        <v>4666</v>
      </c>
      <c r="C3175" s="33">
        <v>30</v>
      </c>
    </row>
    <row r="3176" spans="2:3" x14ac:dyDescent="0.25">
      <c r="B3176" s="33" t="s">
        <v>4667</v>
      </c>
      <c r="C3176" s="33">
        <v>30</v>
      </c>
    </row>
    <row r="3177" spans="2:3" x14ac:dyDescent="0.25">
      <c r="B3177" s="33" t="s">
        <v>4668</v>
      </c>
      <c r="C3177" s="33">
        <v>30</v>
      </c>
    </row>
    <row r="3178" spans="2:3" x14ac:dyDescent="0.25">
      <c r="B3178" s="33" t="s">
        <v>4669</v>
      </c>
      <c r="C3178" s="33">
        <v>30</v>
      </c>
    </row>
    <row r="3179" spans="2:3" x14ac:dyDescent="0.25">
      <c r="B3179" s="33" t="s">
        <v>4670</v>
      </c>
      <c r="C3179" s="33">
        <v>30</v>
      </c>
    </row>
    <row r="3180" spans="2:3" x14ac:dyDescent="0.25">
      <c r="B3180" s="33" t="s">
        <v>4671</v>
      </c>
      <c r="C3180" s="33">
        <v>30</v>
      </c>
    </row>
    <row r="3181" spans="2:3" x14ac:dyDescent="0.25">
      <c r="B3181" s="33" t="s">
        <v>4672</v>
      </c>
      <c r="C3181" s="33">
        <v>30</v>
      </c>
    </row>
    <row r="3182" spans="2:3" x14ac:dyDescent="0.25">
      <c r="B3182" s="33" t="s">
        <v>4673</v>
      </c>
      <c r="C3182" s="33">
        <v>30</v>
      </c>
    </row>
    <row r="3183" spans="2:3" x14ac:dyDescent="0.25">
      <c r="B3183" s="33" t="s">
        <v>4674</v>
      </c>
      <c r="C3183" s="33">
        <v>30</v>
      </c>
    </row>
    <row r="3184" spans="2:3" x14ac:dyDescent="0.25">
      <c r="B3184" s="33" t="s">
        <v>4675</v>
      </c>
      <c r="C3184" s="33">
        <v>30</v>
      </c>
    </row>
    <row r="3185" spans="2:3" x14ac:dyDescent="0.25">
      <c r="B3185" s="33" t="s">
        <v>4676</v>
      </c>
      <c r="C3185" s="33">
        <v>30</v>
      </c>
    </row>
    <row r="3186" spans="2:3" x14ac:dyDescent="0.25">
      <c r="B3186" s="33" t="s">
        <v>4677</v>
      </c>
      <c r="C3186" s="33">
        <v>30</v>
      </c>
    </row>
    <row r="3187" spans="2:3" x14ac:dyDescent="0.25">
      <c r="B3187" s="33" t="s">
        <v>4678</v>
      </c>
      <c r="C3187" s="33">
        <v>30</v>
      </c>
    </row>
    <row r="3188" spans="2:3" x14ac:dyDescent="0.25">
      <c r="B3188" s="33" t="s">
        <v>4679</v>
      </c>
      <c r="C3188" s="33">
        <v>30</v>
      </c>
    </row>
    <row r="3189" spans="2:3" x14ac:dyDescent="0.25">
      <c r="B3189" s="33" t="s">
        <v>4680</v>
      </c>
      <c r="C3189" s="33">
        <v>30</v>
      </c>
    </row>
    <row r="3190" spans="2:3" x14ac:dyDescent="0.25">
      <c r="B3190" s="33" t="s">
        <v>4681</v>
      </c>
      <c r="C3190" s="33">
        <v>30</v>
      </c>
    </row>
    <row r="3191" spans="2:3" x14ac:dyDescent="0.25">
      <c r="B3191" s="33" t="s">
        <v>4682</v>
      </c>
      <c r="C3191" s="33">
        <v>30</v>
      </c>
    </row>
    <row r="3192" spans="2:3" x14ac:dyDescent="0.25">
      <c r="B3192" s="33" t="s">
        <v>4683</v>
      </c>
      <c r="C3192" s="33">
        <v>30</v>
      </c>
    </row>
    <row r="3193" spans="2:3" x14ac:dyDescent="0.25">
      <c r="B3193" s="33" t="s">
        <v>4684</v>
      </c>
      <c r="C3193" s="33">
        <v>30</v>
      </c>
    </row>
    <row r="3194" spans="2:3" x14ac:dyDescent="0.25">
      <c r="B3194" s="33" t="s">
        <v>4685</v>
      </c>
      <c r="C3194" s="33">
        <v>30</v>
      </c>
    </row>
    <row r="3195" spans="2:3" x14ac:dyDescent="0.25">
      <c r="B3195" s="33" t="s">
        <v>4686</v>
      </c>
      <c r="C3195" s="33">
        <v>30</v>
      </c>
    </row>
    <row r="3196" spans="2:3" x14ac:dyDescent="0.25">
      <c r="B3196" s="33" t="s">
        <v>4687</v>
      </c>
      <c r="C3196" s="33">
        <v>30</v>
      </c>
    </row>
    <row r="3197" spans="2:3" x14ac:dyDescent="0.25">
      <c r="B3197" s="33" t="s">
        <v>4688</v>
      </c>
      <c r="C3197" s="33">
        <v>30</v>
      </c>
    </row>
    <row r="3198" spans="2:3" x14ac:dyDescent="0.25">
      <c r="B3198" s="33" t="s">
        <v>4689</v>
      </c>
      <c r="C3198" s="33">
        <v>30</v>
      </c>
    </row>
    <row r="3199" spans="2:3" x14ac:dyDescent="0.25">
      <c r="B3199" s="33" t="s">
        <v>4690</v>
      </c>
      <c r="C3199" s="33">
        <v>30</v>
      </c>
    </row>
    <row r="3200" spans="2:3" x14ac:dyDescent="0.25">
      <c r="B3200" s="33" t="s">
        <v>4691</v>
      </c>
      <c r="C3200" s="33">
        <v>30</v>
      </c>
    </row>
    <row r="3201" spans="2:3" x14ac:dyDescent="0.25">
      <c r="B3201" s="33" t="s">
        <v>4692</v>
      </c>
      <c r="C3201" s="33">
        <v>30</v>
      </c>
    </row>
    <row r="3202" spans="2:3" x14ac:dyDescent="0.25">
      <c r="B3202" s="33" t="s">
        <v>4693</v>
      </c>
      <c r="C3202" s="33">
        <v>30</v>
      </c>
    </row>
    <row r="3203" spans="2:3" x14ac:dyDescent="0.25">
      <c r="B3203" s="33" t="s">
        <v>4694</v>
      </c>
      <c r="C3203" s="33">
        <v>30</v>
      </c>
    </row>
    <row r="3204" spans="2:3" x14ac:dyDescent="0.25">
      <c r="B3204" s="33" t="s">
        <v>4695</v>
      </c>
      <c r="C3204" s="33">
        <v>30</v>
      </c>
    </row>
    <row r="3205" spans="2:3" x14ac:dyDescent="0.25">
      <c r="B3205" s="33" t="s">
        <v>4696</v>
      </c>
      <c r="C3205" s="33">
        <v>30</v>
      </c>
    </row>
    <row r="3206" spans="2:3" x14ac:dyDescent="0.25">
      <c r="B3206" s="33" t="s">
        <v>4697</v>
      </c>
      <c r="C3206" s="33">
        <v>30</v>
      </c>
    </row>
    <row r="3207" spans="2:3" x14ac:dyDescent="0.25">
      <c r="B3207" s="33" t="s">
        <v>4698</v>
      </c>
      <c r="C3207" s="33">
        <v>30</v>
      </c>
    </row>
    <row r="3208" spans="2:3" x14ac:dyDescent="0.25">
      <c r="B3208" s="33" t="s">
        <v>4699</v>
      </c>
      <c r="C3208" s="33">
        <v>30</v>
      </c>
    </row>
    <row r="3209" spans="2:3" x14ac:dyDescent="0.25">
      <c r="B3209" s="33" t="s">
        <v>4700</v>
      </c>
      <c r="C3209" s="33">
        <v>30</v>
      </c>
    </row>
    <row r="3210" spans="2:3" x14ac:dyDescent="0.25">
      <c r="B3210" s="33" t="s">
        <v>4701</v>
      </c>
      <c r="C3210" s="33">
        <v>30</v>
      </c>
    </row>
    <row r="3211" spans="2:3" x14ac:dyDescent="0.25">
      <c r="B3211" s="33" t="s">
        <v>4702</v>
      </c>
      <c r="C3211" s="33">
        <v>30</v>
      </c>
    </row>
    <row r="3212" spans="2:3" x14ac:dyDescent="0.25">
      <c r="B3212" s="33" t="s">
        <v>4703</v>
      </c>
      <c r="C3212" s="33">
        <v>30</v>
      </c>
    </row>
    <row r="3213" spans="2:3" x14ac:dyDescent="0.25">
      <c r="B3213" s="33" t="s">
        <v>4704</v>
      </c>
      <c r="C3213" s="33">
        <v>30</v>
      </c>
    </row>
    <row r="3214" spans="2:3" x14ac:dyDescent="0.25">
      <c r="B3214" s="33" t="s">
        <v>4705</v>
      </c>
      <c r="C3214" s="33">
        <v>30</v>
      </c>
    </row>
    <row r="3215" spans="2:3" x14ac:dyDescent="0.25">
      <c r="B3215" s="33" t="s">
        <v>4706</v>
      </c>
      <c r="C3215" s="33">
        <v>30</v>
      </c>
    </row>
    <row r="3216" spans="2:3" x14ac:dyDescent="0.25">
      <c r="B3216" s="33" t="s">
        <v>4707</v>
      </c>
      <c r="C3216" s="33">
        <v>30</v>
      </c>
    </row>
    <row r="3217" spans="2:3" x14ac:dyDescent="0.25">
      <c r="B3217" s="33" t="s">
        <v>4708</v>
      </c>
      <c r="C3217" s="33">
        <v>30</v>
      </c>
    </row>
    <row r="3218" spans="2:3" x14ac:dyDescent="0.25">
      <c r="B3218" s="33" t="s">
        <v>4709</v>
      </c>
      <c r="C3218" s="33">
        <v>30</v>
      </c>
    </row>
    <row r="3219" spans="2:3" x14ac:dyDescent="0.25">
      <c r="B3219" s="33" t="s">
        <v>4710</v>
      </c>
      <c r="C3219" s="33">
        <v>30</v>
      </c>
    </row>
    <row r="3220" spans="2:3" x14ac:dyDescent="0.25">
      <c r="B3220" s="33" t="s">
        <v>4711</v>
      </c>
      <c r="C3220" s="33">
        <v>30</v>
      </c>
    </row>
    <row r="3221" spans="2:3" x14ac:dyDescent="0.25">
      <c r="B3221" s="33" t="s">
        <v>4712</v>
      </c>
      <c r="C3221" s="33">
        <v>30</v>
      </c>
    </row>
    <row r="3222" spans="2:3" x14ac:dyDescent="0.25">
      <c r="B3222" s="33" t="s">
        <v>4713</v>
      </c>
      <c r="C3222" s="33">
        <v>30</v>
      </c>
    </row>
    <row r="3223" spans="2:3" x14ac:dyDescent="0.25">
      <c r="B3223" s="33" t="s">
        <v>4714</v>
      </c>
      <c r="C3223" s="33">
        <v>30</v>
      </c>
    </row>
    <row r="3224" spans="2:3" x14ac:dyDescent="0.25">
      <c r="B3224" s="33" t="s">
        <v>4715</v>
      </c>
      <c r="C3224" s="33">
        <v>30</v>
      </c>
    </row>
    <row r="3225" spans="2:3" x14ac:dyDescent="0.25">
      <c r="B3225" s="33" t="s">
        <v>4716</v>
      </c>
      <c r="C3225" s="33">
        <v>30</v>
      </c>
    </row>
    <row r="3226" spans="2:3" x14ac:dyDescent="0.25">
      <c r="B3226" s="33" t="s">
        <v>4717</v>
      </c>
      <c r="C3226" s="33">
        <v>30</v>
      </c>
    </row>
    <row r="3227" spans="2:3" x14ac:dyDescent="0.25">
      <c r="B3227" s="33" t="s">
        <v>4718</v>
      </c>
      <c r="C3227" s="33">
        <v>30</v>
      </c>
    </row>
    <row r="3228" spans="2:3" x14ac:dyDescent="0.25">
      <c r="B3228" s="33" t="s">
        <v>4719</v>
      </c>
      <c r="C3228" s="33">
        <v>30</v>
      </c>
    </row>
    <row r="3229" spans="2:3" x14ac:dyDescent="0.25">
      <c r="B3229" s="33" t="s">
        <v>4720</v>
      </c>
      <c r="C3229" s="33">
        <v>30</v>
      </c>
    </row>
    <row r="3230" spans="2:3" x14ac:dyDescent="0.25">
      <c r="B3230" s="33" t="s">
        <v>4721</v>
      </c>
      <c r="C3230" s="33">
        <v>30</v>
      </c>
    </row>
    <row r="3231" spans="2:3" x14ac:dyDescent="0.25">
      <c r="B3231" s="33" t="s">
        <v>4722</v>
      </c>
      <c r="C3231" s="33">
        <v>30</v>
      </c>
    </row>
    <row r="3232" spans="2:3" x14ac:dyDescent="0.25">
      <c r="B3232" s="33" t="s">
        <v>4723</v>
      </c>
      <c r="C3232" s="33">
        <v>30</v>
      </c>
    </row>
    <row r="3233" spans="2:3" x14ac:dyDescent="0.25">
      <c r="B3233" s="33" t="s">
        <v>4724</v>
      </c>
      <c r="C3233" s="33">
        <v>30</v>
      </c>
    </row>
    <row r="3234" spans="2:3" x14ac:dyDescent="0.25">
      <c r="B3234" s="33" t="s">
        <v>4725</v>
      </c>
      <c r="C3234" s="33">
        <v>30</v>
      </c>
    </row>
    <row r="3235" spans="2:3" x14ac:dyDescent="0.25">
      <c r="B3235" s="33" t="s">
        <v>4726</v>
      </c>
      <c r="C3235" s="33">
        <v>30</v>
      </c>
    </row>
    <row r="3236" spans="2:3" x14ac:dyDescent="0.25">
      <c r="B3236" s="33" t="s">
        <v>4727</v>
      </c>
      <c r="C3236" s="33">
        <v>30</v>
      </c>
    </row>
    <row r="3237" spans="2:3" x14ac:dyDescent="0.25">
      <c r="B3237" s="33" t="s">
        <v>4728</v>
      </c>
      <c r="C3237" s="33">
        <v>30</v>
      </c>
    </row>
    <row r="3238" spans="2:3" x14ac:dyDescent="0.25">
      <c r="B3238" s="33" t="s">
        <v>4729</v>
      </c>
      <c r="C3238" s="33">
        <v>30</v>
      </c>
    </row>
    <row r="3239" spans="2:3" x14ac:dyDescent="0.25">
      <c r="B3239" s="33" t="s">
        <v>4730</v>
      </c>
      <c r="C3239" s="33">
        <v>30</v>
      </c>
    </row>
    <row r="3240" spans="2:3" x14ac:dyDescent="0.25">
      <c r="B3240" s="33" t="s">
        <v>4731</v>
      </c>
      <c r="C3240" s="33">
        <v>30</v>
      </c>
    </row>
    <row r="3241" spans="2:3" x14ac:dyDescent="0.25">
      <c r="B3241" s="33" t="s">
        <v>4732</v>
      </c>
      <c r="C3241" s="33">
        <v>30</v>
      </c>
    </row>
    <row r="3242" spans="2:3" x14ac:dyDescent="0.25">
      <c r="B3242" s="33" t="s">
        <v>4733</v>
      </c>
      <c r="C3242" s="33">
        <v>30</v>
      </c>
    </row>
    <row r="3243" spans="2:3" x14ac:dyDescent="0.25">
      <c r="B3243" s="33" t="s">
        <v>4734</v>
      </c>
      <c r="C3243" s="33">
        <v>30</v>
      </c>
    </row>
    <row r="3244" spans="2:3" x14ac:dyDescent="0.25">
      <c r="B3244" s="33" t="s">
        <v>4735</v>
      </c>
      <c r="C3244" s="33">
        <v>30</v>
      </c>
    </row>
    <row r="3245" spans="2:3" x14ac:dyDescent="0.25">
      <c r="B3245" s="33" t="s">
        <v>4736</v>
      </c>
      <c r="C3245" s="33">
        <v>30</v>
      </c>
    </row>
    <row r="3246" spans="2:3" x14ac:dyDescent="0.25">
      <c r="B3246" s="33" t="s">
        <v>4737</v>
      </c>
      <c r="C3246" s="33">
        <v>30</v>
      </c>
    </row>
    <row r="3247" spans="2:3" x14ac:dyDescent="0.25">
      <c r="B3247" s="33" t="s">
        <v>4738</v>
      </c>
      <c r="C3247" s="33">
        <v>30</v>
      </c>
    </row>
    <row r="3248" spans="2:3" x14ac:dyDescent="0.25">
      <c r="B3248" s="33" t="s">
        <v>4739</v>
      </c>
      <c r="C3248" s="33">
        <v>30</v>
      </c>
    </row>
    <row r="3249" spans="2:3" x14ac:dyDescent="0.25">
      <c r="B3249" s="33" t="s">
        <v>4740</v>
      </c>
      <c r="C3249" s="33">
        <v>30</v>
      </c>
    </row>
    <row r="3250" spans="2:3" x14ac:dyDescent="0.25">
      <c r="B3250" s="33" t="s">
        <v>4741</v>
      </c>
      <c r="C3250" s="33">
        <v>30</v>
      </c>
    </row>
    <row r="3251" spans="2:3" x14ac:dyDescent="0.25">
      <c r="B3251" s="33" t="s">
        <v>4742</v>
      </c>
      <c r="C3251" s="33">
        <v>30</v>
      </c>
    </row>
    <row r="3252" spans="2:3" x14ac:dyDescent="0.25">
      <c r="B3252" s="33" t="s">
        <v>4743</v>
      </c>
      <c r="C3252" s="33">
        <v>30</v>
      </c>
    </row>
    <row r="3253" spans="2:3" x14ac:dyDescent="0.25">
      <c r="B3253" s="33" t="s">
        <v>4744</v>
      </c>
      <c r="C3253" s="33">
        <v>30</v>
      </c>
    </row>
    <row r="3254" spans="2:3" x14ac:dyDescent="0.25">
      <c r="B3254" s="33" t="s">
        <v>4745</v>
      </c>
      <c r="C3254" s="33">
        <v>30</v>
      </c>
    </row>
    <row r="3255" spans="2:3" x14ac:dyDescent="0.25">
      <c r="B3255" s="33" t="s">
        <v>4746</v>
      </c>
      <c r="C3255" s="33">
        <v>30</v>
      </c>
    </row>
    <row r="3256" spans="2:3" x14ac:dyDescent="0.25">
      <c r="B3256" s="33" t="s">
        <v>4747</v>
      </c>
      <c r="C3256" s="33">
        <v>30</v>
      </c>
    </row>
    <row r="3257" spans="2:3" x14ac:dyDescent="0.25">
      <c r="B3257" s="33" t="s">
        <v>4748</v>
      </c>
      <c r="C3257" s="33">
        <v>30</v>
      </c>
    </row>
    <row r="3258" spans="2:3" x14ac:dyDescent="0.25">
      <c r="B3258" s="33" t="s">
        <v>4749</v>
      </c>
      <c r="C3258" s="33">
        <v>30</v>
      </c>
    </row>
    <row r="3259" spans="2:3" x14ac:dyDescent="0.25">
      <c r="B3259" s="33" t="s">
        <v>4750</v>
      </c>
      <c r="C3259" s="33">
        <v>30</v>
      </c>
    </row>
    <row r="3260" spans="2:3" x14ac:dyDescent="0.25">
      <c r="B3260" s="33" t="s">
        <v>4751</v>
      </c>
      <c r="C3260" s="33">
        <v>30</v>
      </c>
    </row>
    <row r="3261" spans="2:3" x14ac:dyDescent="0.25">
      <c r="B3261" s="33" t="s">
        <v>4752</v>
      </c>
      <c r="C3261" s="33">
        <v>30</v>
      </c>
    </row>
    <row r="3262" spans="2:3" x14ac:dyDescent="0.25">
      <c r="B3262" s="33" t="s">
        <v>4753</v>
      </c>
      <c r="C3262" s="33">
        <v>30</v>
      </c>
    </row>
    <row r="3263" spans="2:3" x14ac:dyDescent="0.25">
      <c r="B3263" s="33" t="s">
        <v>4754</v>
      </c>
      <c r="C3263" s="33">
        <v>30</v>
      </c>
    </row>
    <row r="3264" spans="2:3" x14ac:dyDescent="0.25">
      <c r="B3264" s="33" t="s">
        <v>4755</v>
      </c>
      <c r="C3264" s="33">
        <v>30</v>
      </c>
    </row>
    <row r="3265" spans="2:3" x14ac:dyDescent="0.25">
      <c r="B3265" s="33" t="s">
        <v>4756</v>
      </c>
      <c r="C3265" s="33">
        <v>30</v>
      </c>
    </row>
    <row r="3266" spans="2:3" x14ac:dyDescent="0.25">
      <c r="B3266" s="33" t="s">
        <v>4757</v>
      </c>
      <c r="C3266" s="33">
        <v>30</v>
      </c>
    </row>
    <row r="3267" spans="2:3" x14ac:dyDescent="0.25">
      <c r="B3267" s="33" t="s">
        <v>4758</v>
      </c>
      <c r="C3267" s="33">
        <v>30</v>
      </c>
    </row>
    <row r="3268" spans="2:3" x14ac:dyDescent="0.25">
      <c r="B3268" s="33" t="s">
        <v>4759</v>
      </c>
      <c r="C3268" s="33">
        <v>30</v>
      </c>
    </row>
    <row r="3269" spans="2:3" x14ac:dyDescent="0.25">
      <c r="B3269" s="33" t="s">
        <v>4760</v>
      </c>
      <c r="C3269" s="33">
        <v>30</v>
      </c>
    </row>
    <row r="3270" spans="2:3" x14ac:dyDescent="0.25">
      <c r="B3270" s="33" t="s">
        <v>4761</v>
      </c>
      <c r="C3270" s="33">
        <v>30</v>
      </c>
    </row>
    <row r="3271" spans="2:3" x14ac:dyDescent="0.25">
      <c r="B3271" s="33" t="s">
        <v>4762</v>
      </c>
      <c r="C3271" s="33">
        <v>30</v>
      </c>
    </row>
    <row r="3272" spans="2:3" x14ac:dyDescent="0.25">
      <c r="B3272" s="33" t="s">
        <v>4763</v>
      </c>
      <c r="C3272" s="33">
        <v>30</v>
      </c>
    </row>
    <row r="3273" spans="2:3" x14ac:dyDescent="0.25">
      <c r="B3273" s="33" t="s">
        <v>4764</v>
      </c>
      <c r="C3273" s="33">
        <v>30</v>
      </c>
    </row>
    <row r="3274" spans="2:3" x14ac:dyDescent="0.25">
      <c r="B3274" s="33" t="s">
        <v>4765</v>
      </c>
      <c r="C3274" s="33">
        <v>30</v>
      </c>
    </row>
    <row r="3275" spans="2:3" x14ac:dyDescent="0.25">
      <c r="B3275" s="33" t="s">
        <v>4766</v>
      </c>
      <c r="C3275" s="33">
        <v>30</v>
      </c>
    </row>
    <row r="3276" spans="2:3" x14ac:dyDescent="0.25">
      <c r="B3276" s="33" t="s">
        <v>4767</v>
      </c>
      <c r="C3276" s="33">
        <v>30</v>
      </c>
    </row>
    <row r="3277" spans="2:3" x14ac:dyDescent="0.25">
      <c r="B3277" s="33" t="s">
        <v>4768</v>
      </c>
      <c r="C3277" s="33">
        <v>30</v>
      </c>
    </row>
    <row r="3278" spans="2:3" x14ac:dyDescent="0.25">
      <c r="B3278" s="33" t="s">
        <v>4769</v>
      </c>
      <c r="C3278" s="33">
        <v>30</v>
      </c>
    </row>
    <row r="3279" spans="2:3" x14ac:dyDescent="0.25">
      <c r="B3279" s="33" t="s">
        <v>4770</v>
      </c>
      <c r="C3279" s="33">
        <v>30</v>
      </c>
    </row>
    <row r="3280" spans="2:3" x14ac:dyDescent="0.25">
      <c r="B3280" s="33" t="s">
        <v>4771</v>
      </c>
      <c r="C3280" s="33">
        <v>30</v>
      </c>
    </row>
    <row r="3281" spans="2:3" x14ac:dyDescent="0.25">
      <c r="B3281" s="33" t="s">
        <v>4772</v>
      </c>
      <c r="C3281" s="33">
        <v>30</v>
      </c>
    </row>
    <row r="3282" spans="2:3" x14ac:dyDescent="0.25">
      <c r="B3282" s="33" t="s">
        <v>4773</v>
      </c>
      <c r="C3282" s="33">
        <v>30</v>
      </c>
    </row>
    <row r="3283" spans="2:3" x14ac:dyDescent="0.25">
      <c r="B3283" s="33" t="s">
        <v>4774</v>
      </c>
      <c r="C3283" s="33">
        <v>30</v>
      </c>
    </row>
    <row r="3284" spans="2:3" x14ac:dyDescent="0.25">
      <c r="B3284" s="33" t="s">
        <v>4775</v>
      </c>
      <c r="C3284" s="33">
        <v>30</v>
      </c>
    </row>
    <row r="3285" spans="2:3" x14ac:dyDescent="0.25">
      <c r="B3285" s="33" t="s">
        <v>4776</v>
      </c>
      <c r="C3285" s="33">
        <v>30</v>
      </c>
    </row>
    <row r="3286" spans="2:3" x14ac:dyDescent="0.25">
      <c r="B3286" s="33" t="s">
        <v>4777</v>
      </c>
      <c r="C3286" s="33">
        <v>30</v>
      </c>
    </row>
    <row r="3287" spans="2:3" x14ac:dyDescent="0.25">
      <c r="B3287" s="33" t="s">
        <v>4778</v>
      </c>
      <c r="C3287" s="33">
        <v>30</v>
      </c>
    </row>
    <row r="3288" spans="2:3" x14ac:dyDescent="0.25">
      <c r="B3288" s="33" t="s">
        <v>4779</v>
      </c>
      <c r="C3288" s="33">
        <v>30</v>
      </c>
    </row>
    <row r="3289" spans="2:3" x14ac:dyDescent="0.25">
      <c r="B3289" s="33" t="s">
        <v>4780</v>
      </c>
      <c r="C3289" s="33">
        <v>30</v>
      </c>
    </row>
    <row r="3290" spans="2:3" x14ac:dyDescent="0.25">
      <c r="B3290" s="33" t="s">
        <v>4781</v>
      </c>
      <c r="C3290" s="33">
        <v>30</v>
      </c>
    </row>
    <row r="3291" spans="2:3" x14ac:dyDescent="0.25">
      <c r="B3291" s="33" t="s">
        <v>4782</v>
      </c>
      <c r="C3291" s="33">
        <v>30</v>
      </c>
    </row>
    <row r="3292" spans="2:3" x14ac:dyDescent="0.25">
      <c r="B3292" s="33" t="s">
        <v>4783</v>
      </c>
      <c r="C3292" s="33">
        <v>30</v>
      </c>
    </row>
    <row r="3293" spans="2:3" x14ac:dyDescent="0.25">
      <c r="B3293" s="33" t="s">
        <v>4784</v>
      </c>
      <c r="C3293" s="33">
        <v>30</v>
      </c>
    </row>
    <row r="3294" spans="2:3" x14ac:dyDescent="0.25">
      <c r="B3294" s="33" t="s">
        <v>4785</v>
      </c>
      <c r="C3294" s="33">
        <v>30</v>
      </c>
    </row>
    <row r="3295" spans="2:3" x14ac:dyDescent="0.25">
      <c r="B3295" s="33" t="s">
        <v>4786</v>
      </c>
      <c r="C3295" s="33">
        <v>30</v>
      </c>
    </row>
    <row r="3296" spans="2:3" x14ac:dyDescent="0.25">
      <c r="B3296" s="33" t="s">
        <v>4787</v>
      </c>
      <c r="C3296" s="33">
        <v>30</v>
      </c>
    </row>
    <row r="3297" spans="2:3" x14ac:dyDescent="0.25">
      <c r="B3297" s="33" t="s">
        <v>4788</v>
      </c>
      <c r="C3297" s="33">
        <v>30</v>
      </c>
    </row>
    <row r="3298" spans="2:3" x14ac:dyDescent="0.25">
      <c r="B3298" s="33" t="s">
        <v>4789</v>
      </c>
      <c r="C3298" s="33">
        <v>30</v>
      </c>
    </row>
    <row r="3299" spans="2:3" x14ac:dyDescent="0.25">
      <c r="B3299" s="33" t="s">
        <v>4790</v>
      </c>
      <c r="C3299" s="33">
        <v>30</v>
      </c>
    </row>
    <row r="3300" spans="2:3" x14ac:dyDescent="0.25">
      <c r="B3300" s="33" t="s">
        <v>4791</v>
      </c>
      <c r="C3300" s="33">
        <v>30</v>
      </c>
    </row>
    <row r="3301" spans="2:3" x14ac:dyDescent="0.25">
      <c r="B3301" s="33" t="s">
        <v>4792</v>
      </c>
      <c r="C3301" s="33">
        <v>30</v>
      </c>
    </row>
    <row r="3302" spans="2:3" x14ac:dyDescent="0.25">
      <c r="B3302" s="33" t="s">
        <v>4793</v>
      </c>
      <c r="C3302" s="33">
        <v>30</v>
      </c>
    </row>
    <row r="3303" spans="2:3" x14ac:dyDescent="0.25">
      <c r="B3303" s="33" t="s">
        <v>4794</v>
      </c>
      <c r="C3303" s="33">
        <v>30</v>
      </c>
    </row>
    <row r="3304" spans="2:3" x14ac:dyDescent="0.25">
      <c r="B3304" s="33" t="s">
        <v>4795</v>
      </c>
      <c r="C3304" s="33">
        <v>30</v>
      </c>
    </row>
    <row r="3305" spans="2:3" x14ac:dyDescent="0.25">
      <c r="B3305" s="33" t="s">
        <v>4796</v>
      </c>
      <c r="C3305" s="33">
        <v>30</v>
      </c>
    </row>
    <row r="3306" spans="2:3" x14ac:dyDescent="0.25">
      <c r="B3306" s="33" t="s">
        <v>4797</v>
      </c>
      <c r="C3306" s="33">
        <v>30</v>
      </c>
    </row>
    <row r="3307" spans="2:3" x14ac:dyDescent="0.25">
      <c r="B3307" s="33" t="s">
        <v>4798</v>
      </c>
      <c r="C3307" s="33">
        <v>30</v>
      </c>
    </row>
    <row r="3308" spans="2:3" x14ac:dyDescent="0.25">
      <c r="B3308" s="33" t="s">
        <v>4799</v>
      </c>
      <c r="C3308" s="33">
        <v>30</v>
      </c>
    </row>
    <row r="3309" spans="2:3" x14ac:dyDescent="0.25">
      <c r="B3309" s="33" t="s">
        <v>4800</v>
      </c>
      <c r="C3309" s="33">
        <v>30</v>
      </c>
    </row>
    <row r="3310" spans="2:3" x14ac:dyDescent="0.25">
      <c r="B3310" s="33" t="s">
        <v>4801</v>
      </c>
      <c r="C3310" s="33">
        <v>30</v>
      </c>
    </row>
    <row r="3311" spans="2:3" x14ac:dyDescent="0.25">
      <c r="B3311" s="33" t="s">
        <v>4802</v>
      </c>
      <c r="C3311" s="33">
        <v>30</v>
      </c>
    </row>
    <row r="3312" spans="2:3" x14ac:dyDescent="0.25">
      <c r="B3312" s="33" t="s">
        <v>4803</v>
      </c>
      <c r="C3312" s="33">
        <v>30</v>
      </c>
    </row>
    <row r="3313" spans="2:3" x14ac:dyDescent="0.25">
      <c r="B3313" s="33" t="s">
        <v>4804</v>
      </c>
      <c r="C3313" s="33">
        <v>30</v>
      </c>
    </row>
    <row r="3314" spans="2:3" x14ac:dyDescent="0.25">
      <c r="B3314" s="33" t="s">
        <v>4805</v>
      </c>
      <c r="C3314" s="33">
        <v>30</v>
      </c>
    </row>
    <row r="3315" spans="2:3" x14ac:dyDescent="0.25">
      <c r="B3315" s="33" t="s">
        <v>4806</v>
      </c>
      <c r="C3315" s="33">
        <v>30</v>
      </c>
    </row>
    <row r="3316" spans="2:3" x14ac:dyDescent="0.25">
      <c r="B3316" s="33" t="s">
        <v>4807</v>
      </c>
      <c r="C3316" s="33">
        <v>30</v>
      </c>
    </row>
    <row r="3317" spans="2:3" x14ac:dyDescent="0.25">
      <c r="B3317" s="33" t="s">
        <v>4808</v>
      </c>
      <c r="C3317" s="33">
        <v>30</v>
      </c>
    </row>
    <row r="3318" spans="2:3" x14ac:dyDescent="0.25">
      <c r="B3318" s="33" t="s">
        <v>4809</v>
      </c>
      <c r="C3318" s="33">
        <v>30</v>
      </c>
    </row>
    <row r="3319" spans="2:3" x14ac:dyDescent="0.25">
      <c r="B3319" s="33" t="s">
        <v>4810</v>
      </c>
      <c r="C3319" s="33">
        <v>30</v>
      </c>
    </row>
    <row r="3320" spans="2:3" x14ac:dyDescent="0.25">
      <c r="B3320" s="33" t="s">
        <v>4811</v>
      </c>
      <c r="C3320" s="33">
        <v>30</v>
      </c>
    </row>
    <row r="3321" spans="2:3" x14ac:dyDescent="0.25">
      <c r="B3321" s="33" t="s">
        <v>4812</v>
      </c>
      <c r="C3321" s="33">
        <v>30</v>
      </c>
    </row>
    <row r="3322" spans="2:3" x14ac:dyDescent="0.25">
      <c r="B3322" s="33" t="s">
        <v>4813</v>
      </c>
      <c r="C3322" s="33">
        <v>30</v>
      </c>
    </row>
    <row r="3323" spans="2:3" x14ac:dyDescent="0.25">
      <c r="B3323" s="33" t="s">
        <v>4814</v>
      </c>
      <c r="C3323" s="33">
        <v>30</v>
      </c>
    </row>
    <row r="3324" spans="2:3" x14ac:dyDescent="0.25">
      <c r="B3324" s="33" t="s">
        <v>4815</v>
      </c>
      <c r="C3324" s="33">
        <v>30</v>
      </c>
    </row>
    <row r="3325" spans="2:3" x14ac:dyDescent="0.25">
      <c r="B3325" s="33" t="s">
        <v>4816</v>
      </c>
      <c r="C3325" s="33">
        <v>30</v>
      </c>
    </row>
    <row r="3326" spans="2:3" x14ac:dyDescent="0.25">
      <c r="B3326" s="33" t="s">
        <v>4817</v>
      </c>
      <c r="C3326" s="33">
        <v>30</v>
      </c>
    </row>
    <row r="3327" spans="2:3" x14ac:dyDescent="0.25">
      <c r="B3327" s="33" t="s">
        <v>4818</v>
      </c>
      <c r="C3327" s="33">
        <v>30</v>
      </c>
    </row>
    <row r="3328" spans="2:3" x14ac:dyDescent="0.25">
      <c r="B3328" s="33" t="s">
        <v>4819</v>
      </c>
      <c r="C3328" s="33">
        <v>30</v>
      </c>
    </row>
    <row r="3329" spans="2:3" x14ac:dyDescent="0.25">
      <c r="B3329" s="33" t="s">
        <v>4820</v>
      </c>
      <c r="C3329" s="33">
        <v>30</v>
      </c>
    </row>
    <row r="3330" spans="2:3" x14ac:dyDescent="0.25">
      <c r="B3330" s="33" t="s">
        <v>4821</v>
      </c>
      <c r="C3330" s="33">
        <v>30</v>
      </c>
    </row>
    <row r="3331" spans="2:3" x14ac:dyDescent="0.25">
      <c r="B3331" s="33" t="s">
        <v>4822</v>
      </c>
      <c r="C3331" s="33">
        <v>30</v>
      </c>
    </row>
    <row r="3332" spans="2:3" x14ac:dyDescent="0.25">
      <c r="B3332" s="33" t="s">
        <v>4823</v>
      </c>
      <c r="C3332" s="33">
        <v>30</v>
      </c>
    </row>
    <row r="3333" spans="2:3" x14ac:dyDescent="0.25">
      <c r="B3333" s="33" t="s">
        <v>4824</v>
      </c>
      <c r="C3333" s="33">
        <v>30</v>
      </c>
    </row>
    <row r="3334" spans="2:3" x14ac:dyDescent="0.25">
      <c r="B3334" s="33" t="s">
        <v>4825</v>
      </c>
      <c r="C3334" s="33">
        <v>30</v>
      </c>
    </row>
    <row r="3335" spans="2:3" x14ac:dyDescent="0.25">
      <c r="B3335" s="33" t="s">
        <v>4826</v>
      </c>
      <c r="C3335" s="33">
        <v>30</v>
      </c>
    </row>
    <row r="3336" spans="2:3" x14ac:dyDescent="0.25">
      <c r="B3336" s="33" t="s">
        <v>4827</v>
      </c>
      <c r="C3336" s="33">
        <v>30</v>
      </c>
    </row>
    <row r="3337" spans="2:3" x14ac:dyDescent="0.25">
      <c r="B3337" s="33" t="s">
        <v>4828</v>
      </c>
      <c r="C3337" s="33">
        <v>30</v>
      </c>
    </row>
    <row r="3338" spans="2:3" x14ac:dyDescent="0.25">
      <c r="B3338" s="33" t="s">
        <v>4829</v>
      </c>
      <c r="C3338" s="33">
        <v>30</v>
      </c>
    </row>
    <row r="3339" spans="2:3" x14ac:dyDescent="0.25">
      <c r="B3339" s="33" t="s">
        <v>4830</v>
      </c>
      <c r="C3339" s="33">
        <v>30</v>
      </c>
    </row>
    <row r="3340" spans="2:3" x14ac:dyDescent="0.25">
      <c r="B3340" s="33" t="s">
        <v>4831</v>
      </c>
      <c r="C3340" s="33">
        <v>30</v>
      </c>
    </row>
    <row r="3341" spans="2:3" x14ac:dyDescent="0.25">
      <c r="B3341" s="33" t="s">
        <v>4832</v>
      </c>
      <c r="C3341" s="33">
        <v>30</v>
      </c>
    </row>
    <row r="3342" spans="2:3" x14ac:dyDescent="0.25">
      <c r="B3342" s="33" t="s">
        <v>4833</v>
      </c>
      <c r="C3342" s="33">
        <v>30</v>
      </c>
    </row>
    <row r="3343" spans="2:3" x14ac:dyDescent="0.25">
      <c r="B3343" s="33" t="s">
        <v>4834</v>
      </c>
      <c r="C3343" s="33">
        <v>30</v>
      </c>
    </row>
    <row r="3344" spans="2:3" x14ac:dyDescent="0.25">
      <c r="B3344" s="33" t="s">
        <v>4835</v>
      </c>
      <c r="C3344" s="33">
        <v>30</v>
      </c>
    </row>
    <row r="3345" spans="2:3" x14ac:dyDescent="0.25">
      <c r="B3345" s="33" t="s">
        <v>4836</v>
      </c>
      <c r="C3345" s="33">
        <v>30</v>
      </c>
    </row>
    <row r="3346" spans="2:3" x14ac:dyDescent="0.25">
      <c r="B3346" s="33" t="s">
        <v>4837</v>
      </c>
      <c r="C3346" s="33">
        <v>30</v>
      </c>
    </row>
    <row r="3347" spans="2:3" x14ac:dyDescent="0.25">
      <c r="B3347" s="33" t="s">
        <v>4838</v>
      </c>
      <c r="C3347" s="33">
        <v>30</v>
      </c>
    </row>
    <row r="3348" spans="2:3" x14ac:dyDescent="0.25">
      <c r="B3348" s="33" t="s">
        <v>4839</v>
      </c>
      <c r="C3348" s="33">
        <v>30</v>
      </c>
    </row>
    <row r="3349" spans="2:3" x14ac:dyDescent="0.25">
      <c r="B3349" s="33" t="s">
        <v>4840</v>
      </c>
      <c r="C3349" s="33">
        <v>30</v>
      </c>
    </row>
    <row r="3350" spans="2:3" x14ac:dyDescent="0.25">
      <c r="B3350" s="33" t="s">
        <v>4841</v>
      </c>
      <c r="C3350" s="33">
        <v>30</v>
      </c>
    </row>
    <row r="3351" spans="2:3" x14ac:dyDescent="0.25">
      <c r="B3351" s="33" t="s">
        <v>4842</v>
      </c>
      <c r="C3351" s="33">
        <v>30</v>
      </c>
    </row>
    <row r="3352" spans="2:3" x14ac:dyDescent="0.25">
      <c r="B3352" s="33" t="s">
        <v>4843</v>
      </c>
      <c r="C3352" s="33">
        <v>30</v>
      </c>
    </row>
    <row r="3353" spans="2:3" x14ac:dyDescent="0.25">
      <c r="B3353" s="33" t="s">
        <v>4844</v>
      </c>
      <c r="C3353" s="33">
        <v>30</v>
      </c>
    </row>
    <row r="3354" spans="2:3" x14ac:dyDescent="0.25">
      <c r="B3354" s="33" t="s">
        <v>4845</v>
      </c>
      <c r="C3354" s="33">
        <v>30</v>
      </c>
    </row>
    <row r="3355" spans="2:3" x14ac:dyDescent="0.25">
      <c r="B3355" s="33" t="s">
        <v>4846</v>
      </c>
      <c r="C3355" s="33">
        <v>30</v>
      </c>
    </row>
    <row r="3356" spans="2:3" x14ac:dyDescent="0.25">
      <c r="B3356" s="33" t="s">
        <v>4847</v>
      </c>
      <c r="C3356" s="33">
        <v>30</v>
      </c>
    </row>
    <row r="3357" spans="2:3" x14ac:dyDescent="0.25">
      <c r="B3357" s="33" t="s">
        <v>4848</v>
      </c>
      <c r="C3357" s="33">
        <v>30</v>
      </c>
    </row>
    <row r="3358" spans="2:3" x14ac:dyDescent="0.25">
      <c r="B3358" s="33" t="s">
        <v>4849</v>
      </c>
      <c r="C3358" s="33">
        <v>30</v>
      </c>
    </row>
    <row r="3359" spans="2:3" x14ac:dyDescent="0.25">
      <c r="B3359" s="33" t="s">
        <v>4850</v>
      </c>
      <c r="C3359" s="33">
        <v>30</v>
      </c>
    </row>
    <row r="3360" spans="2:3" x14ac:dyDescent="0.25">
      <c r="B3360" s="33" t="s">
        <v>4851</v>
      </c>
      <c r="C3360" s="33">
        <v>30</v>
      </c>
    </row>
    <row r="3361" spans="2:3" x14ac:dyDescent="0.25">
      <c r="B3361" s="33" t="s">
        <v>4852</v>
      </c>
      <c r="C3361" s="33">
        <v>30</v>
      </c>
    </row>
    <row r="3362" spans="2:3" x14ac:dyDescent="0.25">
      <c r="B3362" s="33" t="s">
        <v>4853</v>
      </c>
      <c r="C3362" s="33">
        <v>30</v>
      </c>
    </row>
    <row r="3363" spans="2:3" x14ac:dyDescent="0.25">
      <c r="B3363" s="33" t="s">
        <v>4854</v>
      </c>
      <c r="C3363" s="33">
        <v>30</v>
      </c>
    </row>
    <row r="3364" spans="2:3" x14ac:dyDescent="0.25">
      <c r="B3364" s="33" t="s">
        <v>4855</v>
      </c>
      <c r="C3364" s="33">
        <v>30</v>
      </c>
    </row>
    <row r="3365" spans="2:3" x14ac:dyDescent="0.25">
      <c r="B3365" s="33" t="s">
        <v>4856</v>
      </c>
      <c r="C3365" s="33">
        <v>30</v>
      </c>
    </row>
    <row r="3366" spans="2:3" x14ac:dyDescent="0.25">
      <c r="B3366" s="33" t="s">
        <v>4857</v>
      </c>
      <c r="C3366" s="33">
        <v>30</v>
      </c>
    </row>
    <row r="3367" spans="2:3" x14ac:dyDescent="0.25">
      <c r="B3367" s="33" t="s">
        <v>4858</v>
      </c>
      <c r="C3367" s="33">
        <v>30</v>
      </c>
    </row>
    <row r="3368" spans="2:3" x14ac:dyDescent="0.25">
      <c r="B3368" s="33" t="s">
        <v>4859</v>
      </c>
      <c r="C3368" s="33">
        <v>30</v>
      </c>
    </row>
    <row r="3369" spans="2:3" x14ac:dyDescent="0.25">
      <c r="B3369" s="33" t="s">
        <v>4860</v>
      </c>
      <c r="C3369" s="33">
        <v>30</v>
      </c>
    </row>
    <row r="3370" spans="2:3" x14ac:dyDescent="0.25">
      <c r="B3370" s="33" t="s">
        <v>4861</v>
      </c>
      <c r="C3370" s="33">
        <v>30</v>
      </c>
    </row>
    <row r="3371" spans="2:3" x14ac:dyDescent="0.25">
      <c r="B3371" s="33" t="s">
        <v>4862</v>
      </c>
      <c r="C3371" s="33">
        <v>30</v>
      </c>
    </row>
    <row r="3372" spans="2:3" x14ac:dyDescent="0.25">
      <c r="B3372" s="33" t="s">
        <v>4863</v>
      </c>
      <c r="C3372" s="33">
        <v>30</v>
      </c>
    </row>
    <row r="3373" spans="2:3" x14ac:dyDescent="0.25">
      <c r="B3373" s="33" t="s">
        <v>4864</v>
      </c>
      <c r="C3373" s="33">
        <v>30</v>
      </c>
    </row>
    <row r="3374" spans="2:3" x14ac:dyDescent="0.25">
      <c r="B3374" s="33" t="s">
        <v>4865</v>
      </c>
      <c r="C3374" s="33">
        <v>30</v>
      </c>
    </row>
    <row r="3375" spans="2:3" x14ac:dyDescent="0.25">
      <c r="B3375" s="33" t="s">
        <v>4866</v>
      </c>
      <c r="C3375" s="33">
        <v>30</v>
      </c>
    </row>
    <row r="3376" spans="2:3" x14ac:dyDescent="0.25">
      <c r="B3376" s="33" t="s">
        <v>4867</v>
      </c>
      <c r="C3376" s="33">
        <v>30</v>
      </c>
    </row>
    <row r="3377" spans="2:3" x14ac:dyDescent="0.25">
      <c r="B3377" s="33" t="s">
        <v>4868</v>
      </c>
      <c r="C3377" s="33">
        <v>30</v>
      </c>
    </row>
    <row r="3378" spans="2:3" x14ac:dyDescent="0.25">
      <c r="B3378" s="33" t="s">
        <v>4869</v>
      </c>
      <c r="C3378" s="33">
        <v>30</v>
      </c>
    </row>
    <row r="3379" spans="2:3" x14ac:dyDescent="0.25">
      <c r="B3379" s="33" t="s">
        <v>4870</v>
      </c>
      <c r="C3379" s="33">
        <v>30</v>
      </c>
    </row>
    <row r="3380" spans="2:3" x14ac:dyDescent="0.25">
      <c r="B3380" s="33" t="s">
        <v>4871</v>
      </c>
      <c r="C3380" s="33">
        <v>30</v>
      </c>
    </row>
    <row r="3381" spans="2:3" x14ac:dyDescent="0.25">
      <c r="B3381" s="33" t="s">
        <v>4872</v>
      </c>
      <c r="C3381" s="33">
        <v>30</v>
      </c>
    </row>
    <row r="3382" spans="2:3" x14ac:dyDescent="0.25">
      <c r="B3382" s="33" t="s">
        <v>4873</v>
      </c>
      <c r="C3382" s="33">
        <v>30</v>
      </c>
    </row>
    <row r="3383" spans="2:3" x14ac:dyDescent="0.25">
      <c r="B3383" s="33" t="s">
        <v>4874</v>
      </c>
      <c r="C3383" s="33">
        <v>30</v>
      </c>
    </row>
    <row r="3384" spans="2:3" x14ac:dyDescent="0.25">
      <c r="B3384" s="33" t="s">
        <v>4875</v>
      </c>
      <c r="C3384" s="33">
        <v>30</v>
      </c>
    </row>
    <row r="3385" spans="2:3" x14ac:dyDescent="0.25">
      <c r="B3385" s="33" t="s">
        <v>4876</v>
      </c>
      <c r="C3385" s="33">
        <v>30</v>
      </c>
    </row>
    <row r="3386" spans="2:3" x14ac:dyDescent="0.25">
      <c r="B3386" s="33" t="s">
        <v>4877</v>
      </c>
      <c r="C3386" s="33">
        <v>30</v>
      </c>
    </row>
    <row r="3387" spans="2:3" x14ac:dyDescent="0.25">
      <c r="B3387" s="33" t="s">
        <v>4878</v>
      </c>
      <c r="C3387" s="33">
        <v>30</v>
      </c>
    </row>
    <row r="3388" spans="2:3" x14ac:dyDescent="0.25">
      <c r="B3388" s="33" t="s">
        <v>4879</v>
      </c>
      <c r="C3388" s="33">
        <v>30</v>
      </c>
    </row>
    <row r="3389" spans="2:3" x14ac:dyDescent="0.25">
      <c r="B3389" s="33" t="s">
        <v>4880</v>
      </c>
      <c r="C3389" s="33">
        <v>30</v>
      </c>
    </row>
    <row r="3390" spans="2:3" x14ac:dyDescent="0.25">
      <c r="B3390" s="33" t="s">
        <v>4881</v>
      </c>
      <c r="C3390" s="33">
        <v>30</v>
      </c>
    </row>
    <row r="3391" spans="2:3" x14ac:dyDescent="0.25">
      <c r="B3391" s="33" t="s">
        <v>4882</v>
      </c>
      <c r="C3391" s="33">
        <v>30</v>
      </c>
    </row>
    <row r="3392" spans="2:3" x14ac:dyDescent="0.25">
      <c r="B3392" s="33" t="s">
        <v>4883</v>
      </c>
      <c r="C3392" s="33">
        <v>30</v>
      </c>
    </row>
    <row r="3393" spans="2:3" x14ac:dyDescent="0.25">
      <c r="B3393" s="33" t="s">
        <v>4884</v>
      </c>
      <c r="C3393" s="33">
        <v>30</v>
      </c>
    </row>
    <row r="3394" spans="2:3" x14ac:dyDescent="0.25">
      <c r="B3394" s="33" t="s">
        <v>4885</v>
      </c>
      <c r="C3394" s="33">
        <v>30</v>
      </c>
    </row>
    <row r="3395" spans="2:3" x14ac:dyDescent="0.25">
      <c r="B3395" s="33" t="s">
        <v>4886</v>
      </c>
      <c r="C3395" s="33">
        <v>30</v>
      </c>
    </row>
    <row r="3396" spans="2:3" x14ac:dyDescent="0.25">
      <c r="B3396" s="33" t="s">
        <v>4887</v>
      </c>
      <c r="C3396" s="33">
        <v>30</v>
      </c>
    </row>
    <row r="3397" spans="2:3" x14ac:dyDescent="0.25">
      <c r="B3397" s="33" t="s">
        <v>4888</v>
      </c>
      <c r="C3397" s="33">
        <v>30</v>
      </c>
    </row>
    <row r="3398" spans="2:3" x14ac:dyDescent="0.25">
      <c r="B3398" s="33" t="s">
        <v>4889</v>
      </c>
      <c r="C3398" s="33">
        <v>30</v>
      </c>
    </row>
    <row r="3399" spans="2:3" x14ac:dyDescent="0.25">
      <c r="B3399" s="33" t="s">
        <v>4890</v>
      </c>
      <c r="C3399" s="33">
        <v>30</v>
      </c>
    </row>
    <row r="3400" spans="2:3" x14ac:dyDescent="0.25">
      <c r="B3400" s="33" t="s">
        <v>4891</v>
      </c>
      <c r="C3400" s="33">
        <v>30</v>
      </c>
    </row>
    <row r="3401" spans="2:3" x14ac:dyDescent="0.25">
      <c r="B3401" s="33" t="s">
        <v>4892</v>
      </c>
      <c r="C3401" s="33">
        <v>30</v>
      </c>
    </row>
    <row r="3402" spans="2:3" x14ac:dyDescent="0.25">
      <c r="B3402" s="33" t="s">
        <v>4893</v>
      </c>
      <c r="C3402" s="33">
        <v>30</v>
      </c>
    </row>
    <row r="3403" spans="2:3" x14ac:dyDescent="0.25">
      <c r="B3403" s="33" t="s">
        <v>4894</v>
      </c>
      <c r="C3403" s="33">
        <v>30</v>
      </c>
    </row>
    <row r="3404" spans="2:3" x14ac:dyDescent="0.25">
      <c r="B3404" s="33" t="s">
        <v>4895</v>
      </c>
      <c r="C3404" s="33">
        <v>30</v>
      </c>
    </row>
    <row r="3405" spans="2:3" x14ac:dyDescent="0.25">
      <c r="B3405" s="33" t="s">
        <v>4896</v>
      </c>
      <c r="C3405" s="33">
        <v>30</v>
      </c>
    </row>
    <row r="3406" spans="2:3" x14ac:dyDescent="0.25">
      <c r="B3406" s="33" t="s">
        <v>4897</v>
      </c>
      <c r="C3406" s="33">
        <v>30</v>
      </c>
    </row>
    <row r="3407" spans="2:3" x14ac:dyDescent="0.25">
      <c r="B3407" s="33" t="s">
        <v>4898</v>
      </c>
      <c r="C3407" s="33">
        <v>30</v>
      </c>
    </row>
    <row r="3408" spans="2:3" x14ac:dyDescent="0.25">
      <c r="B3408" s="33" t="s">
        <v>4899</v>
      </c>
      <c r="C3408" s="33">
        <v>30</v>
      </c>
    </row>
    <row r="3409" spans="2:3" x14ac:dyDescent="0.25">
      <c r="B3409" s="33" t="s">
        <v>4900</v>
      </c>
      <c r="C3409" s="33">
        <v>30</v>
      </c>
    </row>
    <row r="3410" spans="2:3" x14ac:dyDescent="0.25">
      <c r="B3410" s="33" t="s">
        <v>4901</v>
      </c>
      <c r="C3410" s="33">
        <v>30</v>
      </c>
    </row>
    <row r="3411" spans="2:3" x14ac:dyDescent="0.25">
      <c r="B3411" s="33" t="s">
        <v>4902</v>
      </c>
      <c r="C3411" s="33">
        <v>30</v>
      </c>
    </row>
    <row r="3412" spans="2:3" x14ac:dyDescent="0.25">
      <c r="B3412" s="33" t="s">
        <v>4903</v>
      </c>
      <c r="C3412" s="33">
        <v>30</v>
      </c>
    </row>
    <row r="3413" spans="2:3" x14ac:dyDescent="0.25">
      <c r="B3413" s="33" t="s">
        <v>4904</v>
      </c>
      <c r="C3413" s="33">
        <v>30</v>
      </c>
    </row>
    <row r="3414" spans="2:3" x14ac:dyDescent="0.25">
      <c r="B3414" s="33" t="s">
        <v>4905</v>
      </c>
      <c r="C3414" s="33">
        <v>30</v>
      </c>
    </row>
    <row r="3415" spans="2:3" x14ac:dyDescent="0.25">
      <c r="B3415" s="33" t="s">
        <v>4906</v>
      </c>
      <c r="C3415" s="33">
        <v>30</v>
      </c>
    </row>
    <row r="3416" spans="2:3" x14ac:dyDescent="0.25">
      <c r="B3416" s="33" t="s">
        <v>4907</v>
      </c>
      <c r="C3416" s="33">
        <v>30</v>
      </c>
    </row>
    <row r="3417" spans="2:3" x14ac:dyDescent="0.25">
      <c r="B3417" s="33" t="s">
        <v>4908</v>
      </c>
      <c r="C3417" s="33">
        <v>30</v>
      </c>
    </row>
    <row r="3418" spans="2:3" x14ac:dyDescent="0.25">
      <c r="B3418" s="33" t="s">
        <v>4909</v>
      </c>
      <c r="C3418" s="33">
        <v>30</v>
      </c>
    </row>
    <row r="3419" spans="2:3" x14ac:dyDescent="0.25">
      <c r="B3419" s="33" t="s">
        <v>4910</v>
      </c>
      <c r="C3419" s="33">
        <v>30</v>
      </c>
    </row>
    <row r="3420" spans="2:3" x14ac:dyDescent="0.25">
      <c r="B3420" s="33" t="s">
        <v>4911</v>
      </c>
      <c r="C3420" s="33">
        <v>30</v>
      </c>
    </row>
    <row r="3421" spans="2:3" x14ac:dyDescent="0.25">
      <c r="B3421" s="33" t="s">
        <v>4912</v>
      </c>
      <c r="C3421" s="33">
        <v>30</v>
      </c>
    </row>
    <row r="3422" spans="2:3" x14ac:dyDescent="0.25">
      <c r="B3422" s="33" t="s">
        <v>4913</v>
      </c>
      <c r="C3422" s="33">
        <v>30</v>
      </c>
    </row>
    <row r="3423" spans="2:3" x14ac:dyDescent="0.25">
      <c r="B3423" s="33" t="s">
        <v>4914</v>
      </c>
      <c r="C3423" s="33">
        <v>30</v>
      </c>
    </row>
    <row r="3424" spans="2:3" x14ac:dyDescent="0.25">
      <c r="B3424" s="33" t="s">
        <v>4915</v>
      </c>
      <c r="C3424" s="33">
        <v>30</v>
      </c>
    </row>
    <row r="3425" spans="2:3" x14ac:dyDescent="0.25">
      <c r="B3425" s="33" t="s">
        <v>4916</v>
      </c>
      <c r="C3425" s="33">
        <v>30</v>
      </c>
    </row>
    <row r="3426" spans="2:3" x14ac:dyDescent="0.25">
      <c r="B3426" s="33" t="s">
        <v>4917</v>
      </c>
      <c r="C3426" s="33">
        <v>30</v>
      </c>
    </row>
    <row r="3427" spans="2:3" x14ac:dyDescent="0.25">
      <c r="B3427" s="33" t="s">
        <v>4918</v>
      </c>
      <c r="C3427" s="33">
        <v>30</v>
      </c>
    </row>
    <row r="3428" spans="2:3" x14ac:dyDescent="0.25">
      <c r="B3428" s="33" t="s">
        <v>4919</v>
      </c>
      <c r="C3428" s="33">
        <v>30</v>
      </c>
    </row>
    <row r="3429" spans="2:3" x14ac:dyDescent="0.25">
      <c r="B3429" s="33" t="s">
        <v>4920</v>
      </c>
      <c r="C3429" s="33">
        <v>30</v>
      </c>
    </row>
    <row r="3430" spans="2:3" x14ac:dyDescent="0.25">
      <c r="B3430" s="33" t="s">
        <v>4921</v>
      </c>
      <c r="C3430" s="33">
        <v>30</v>
      </c>
    </row>
    <row r="3431" spans="2:3" x14ac:dyDescent="0.25">
      <c r="B3431" s="33" t="s">
        <v>4922</v>
      </c>
      <c r="C3431" s="33">
        <v>30</v>
      </c>
    </row>
    <row r="3432" spans="2:3" x14ac:dyDescent="0.25">
      <c r="B3432" s="33" t="s">
        <v>4923</v>
      </c>
      <c r="C3432" s="33">
        <v>30</v>
      </c>
    </row>
    <row r="3433" spans="2:3" x14ac:dyDescent="0.25">
      <c r="B3433" s="33" t="s">
        <v>4924</v>
      </c>
      <c r="C3433" s="33">
        <v>30</v>
      </c>
    </row>
    <row r="3434" spans="2:3" x14ac:dyDescent="0.25">
      <c r="B3434" s="33" t="s">
        <v>4925</v>
      </c>
      <c r="C3434" s="33">
        <v>30</v>
      </c>
    </row>
    <row r="3435" spans="2:3" x14ac:dyDescent="0.25">
      <c r="B3435" s="33" t="s">
        <v>4926</v>
      </c>
      <c r="C3435" s="33">
        <v>30</v>
      </c>
    </row>
    <row r="3436" spans="2:3" x14ac:dyDescent="0.25">
      <c r="B3436" s="33" t="s">
        <v>4927</v>
      </c>
      <c r="C3436" s="33">
        <v>30</v>
      </c>
    </row>
    <row r="3437" spans="2:3" x14ac:dyDescent="0.25">
      <c r="B3437" s="33" t="s">
        <v>4928</v>
      </c>
      <c r="C3437" s="33">
        <v>30</v>
      </c>
    </row>
    <row r="3438" spans="2:3" x14ac:dyDescent="0.25">
      <c r="B3438" s="33" t="s">
        <v>4929</v>
      </c>
      <c r="C3438" s="33">
        <v>30</v>
      </c>
    </row>
    <row r="3439" spans="2:3" x14ac:dyDescent="0.25">
      <c r="B3439" s="33" t="s">
        <v>4930</v>
      </c>
      <c r="C3439" s="33">
        <v>30</v>
      </c>
    </row>
    <row r="3440" spans="2:3" x14ac:dyDescent="0.25">
      <c r="B3440" s="33" t="s">
        <v>4931</v>
      </c>
      <c r="C3440" s="33">
        <v>30</v>
      </c>
    </row>
    <row r="3441" spans="2:3" x14ac:dyDescent="0.25">
      <c r="B3441" s="33" t="s">
        <v>4932</v>
      </c>
      <c r="C3441" s="33">
        <v>30</v>
      </c>
    </row>
    <row r="3442" spans="2:3" x14ac:dyDescent="0.25">
      <c r="B3442" s="33" t="s">
        <v>4933</v>
      </c>
      <c r="C3442" s="33">
        <v>30</v>
      </c>
    </row>
    <row r="3443" spans="2:3" x14ac:dyDescent="0.25">
      <c r="B3443" s="33" t="s">
        <v>4934</v>
      </c>
      <c r="C3443" s="33">
        <v>30</v>
      </c>
    </row>
    <row r="3444" spans="2:3" x14ac:dyDescent="0.25">
      <c r="B3444" s="33" t="s">
        <v>4935</v>
      </c>
      <c r="C3444" s="33">
        <v>30</v>
      </c>
    </row>
    <row r="3445" spans="2:3" x14ac:dyDescent="0.25">
      <c r="B3445" s="33" t="s">
        <v>4936</v>
      </c>
      <c r="C3445" s="33">
        <v>30</v>
      </c>
    </row>
    <row r="3446" spans="2:3" x14ac:dyDescent="0.25">
      <c r="B3446" s="33" t="s">
        <v>4937</v>
      </c>
      <c r="C3446" s="33">
        <v>30</v>
      </c>
    </row>
    <row r="3447" spans="2:3" x14ac:dyDescent="0.25">
      <c r="B3447" s="33" t="s">
        <v>4938</v>
      </c>
      <c r="C3447" s="33">
        <v>30</v>
      </c>
    </row>
    <row r="3448" spans="2:3" x14ac:dyDescent="0.25">
      <c r="B3448" s="33" t="s">
        <v>4939</v>
      </c>
      <c r="C3448" s="33">
        <v>30</v>
      </c>
    </row>
    <row r="3449" spans="2:3" x14ac:dyDescent="0.25">
      <c r="B3449" s="33" t="s">
        <v>4940</v>
      </c>
      <c r="C3449" s="33">
        <v>30</v>
      </c>
    </row>
    <row r="3450" spans="2:3" x14ac:dyDescent="0.25">
      <c r="B3450" s="33" t="s">
        <v>4941</v>
      </c>
      <c r="C3450" s="33">
        <v>30</v>
      </c>
    </row>
    <row r="3451" spans="2:3" x14ac:dyDescent="0.25">
      <c r="B3451" s="33" t="s">
        <v>4942</v>
      </c>
      <c r="C3451" s="33">
        <v>30</v>
      </c>
    </row>
    <row r="3452" spans="2:3" x14ac:dyDescent="0.25">
      <c r="B3452" s="33" t="s">
        <v>4943</v>
      </c>
      <c r="C3452" s="33">
        <v>30</v>
      </c>
    </row>
    <row r="3453" spans="2:3" x14ac:dyDescent="0.25">
      <c r="B3453" s="33" t="s">
        <v>4944</v>
      </c>
      <c r="C3453" s="33">
        <v>30</v>
      </c>
    </row>
    <row r="3454" spans="2:3" x14ac:dyDescent="0.25">
      <c r="B3454" s="33" t="s">
        <v>4945</v>
      </c>
      <c r="C3454" s="33">
        <v>30</v>
      </c>
    </row>
    <row r="3455" spans="2:3" x14ac:dyDescent="0.25">
      <c r="B3455" s="33" t="s">
        <v>4946</v>
      </c>
      <c r="C3455" s="33">
        <v>30</v>
      </c>
    </row>
    <row r="3456" spans="2:3" x14ac:dyDescent="0.25">
      <c r="B3456" s="33" t="s">
        <v>4947</v>
      </c>
      <c r="C3456" s="33">
        <v>30</v>
      </c>
    </row>
    <row r="3457" spans="2:3" x14ac:dyDescent="0.25">
      <c r="B3457" s="33" t="s">
        <v>4948</v>
      </c>
      <c r="C3457" s="33">
        <v>30</v>
      </c>
    </row>
    <row r="3458" spans="2:3" x14ac:dyDescent="0.25">
      <c r="B3458" s="33" t="s">
        <v>4949</v>
      </c>
      <c r="C3458" s="33">
        <v>30</v>
      </c>
    </row>
    <row r="3459" spans="2:3" x14ac:dyDescent="0.25">
      <c r="B3459" s="33" t="s">
        <v>4950</v>
      </c>
      <c r="C3459" s="33">
        <v>30</v>
      </c>
    </row>
    <row r="3460" spans="2:3" x14ac:dyDescent="0.25">
      <c r="B3460" s="33" t="s">
        <v>4951</v>
      </c>
      <c r="C3460" s="33">
        <v>30</v>
      </c>
    </row>
    <row r="3461" spans="2:3" x14ac:dyDescent="0.25">
      <c r="B3461" s="33" t="s">
        <v>4952</v>
      </c>
      <c r="C3461" s="33">
        <v>30</v>
      </c>
    </row>
    <row r="3462" spans="2:3" x14ac:dyDescent="0.25">
      <c r="B3462" s="33" t="s">
        <v>4953</v>
      </c>
      <c r="C3462" s="33">
        <v>30</v>
      </c>
    </row>
    <row r="3463" spans="2:3" x14ac:dyDescent="0.25">
      <c r="B3463" s="33" t="s">
        <v>4954</v>
      </c>
      <c r="C3463" s="33">
        <v>30</v>
      </c>
    </row>
    <row r="3464" spans="2:3" x14ac:dyDescent="0.25">
      <c r="B3464" s="33" t="s">
        <v>4955</v>
      </c>
      <c r="C3464" s="33">
        <v>30</v>
      </c>
    </row>
    <row r="3465" spans="2:3" x14ac:dyDescent="0.25">
      <c r="B3465" s="33" t="s">
        <v>4956</v>
      </c>
      <c r="C3465" s="33">
        <v>30</v>
      </c>
    </row>
    <row r="3466" spans="2:3" x14ac:dyDescent="0.25">
      <c r="B3466" s="33" t="s">
        <v>4957</v>
      </c>
      <c r="C3466" s="33">
        <v>30</v>
      </c>
    </row>
    <row r="3467" spans="2:3" x14ac:dyDescent="0.25">
      <c r="B3467" s="33" t="s">
        <v>4958</v>
      </c>
      <c r="C3467" s="33">
        <v>30</v>
      </c>
    </row>
    <row r="3468" spans="2:3" x14ac:dyDescent="0.25">
      <c r="B3468" s="33" t="s">
        <v>4959</v>
      </c>
      <c r="C3468" s="33">
        <v>30</v>
      </c>
    </row>
    <row r="3469" spans="2:3" x14ac:dyDescent="0.25">
      <c r="B3469" s="33" t="s">
        <v>4960</v>
      </c>
      <c r="C3469" s="33">
        <v>30</v>
      </c>
    </row>
    <row r="3470" spans="2:3" x14ac:dyDescent="0.25">
      <c r="B3470" s="33" t="s">
        <v>4961</v>
      </c>
      <c r="C3470" s="33">
        <v>30</v>
      </c>
    </row>
    <row r="3471" spans="2:3" x14ac:dyDescent="0.25">
      <c r="B3471" s="33" t="s">
        <v>4962</v>
      </c>
      <c r="C3471" s="33">
        <v>30</v>
      </c>
    </row>
    <row r="3472" spans="2:3" x14ac:dyDescent="0.25">
      <c r="B3472" s="33" t="s">
        <v>4963</v>
      </c>
      <c r="C3472" s="33">
        <v>30</v>
      </c>
    </row>
    <row r="3473" spans="2:3" x14ac:dyDescent="0.25">
      <c r="B3473" s="33" t="s">
        <v>4964</v>
      </c>
      <c r="C3473" s="33">
        <v>30</v>
      </c>
    </row>
    <row r="3474" spans="2:3" x14ac:dyDescent="0.25">
      <c r="B3474" s="33" t="s">
        <v>4965</v>
      </c>
      <c r="C3474" s="33">
        <v>30</v>
      </c>
    </row>
    <row r="3475" spans="2:3" x14ac:dyDescent="0.25">
      <c r="B3475" s="33" t="s">
        <v>4966</v>
      </c>
      <c r="C3475" s="33">
        <v>30</v>
      </c>
    </row>
    <row r="3476" spans="2:3" x14ac:dyDescent="0.25">
      <c r="B3476" s="33" t="s">
        <v>4967</v>
      </c>
      <c r="C3476" s="33">
        <v>30</v>
      </c>
    </row>
    <row r="3477" spans="2:3" x14ac:dyDescent="0.25">
      <c r="B3477" s="33" t="s">
        <v>4968</v>
      </c>
      <c r="C3477" s="33">
        <v>30</v>
      </c>
    </row>
    <row r="3478" spans="2:3" x14ac:dyDescent="0.25">
      <c r="B3478" s="33" t="s">
        <v>4969</v>
      </c>
      <c r="C3478" s="33">
        <v>30</v>
      </c>
    </row>
    <row r="3479" spans="2:3" x14ac:dyDescent="0.25">
      <c r="B3479" s="33" t="s">
        <v>4970</v>
      </c>
      <c r="C3479" s="33">
        <v>30</v>
      </c>
    </row>
    <row r="3480" spans="2:3" x14ac:dyDescent="0.25">
      <c r="B3480" s="33" t="s">
        <v>4971</v>
      </c>
      <c r="C3480" s="33">
        <v>30</v>
      </c>
    </row>
    <row r="3481" spans="2:3" x14ac:dyDescent="0.25">
      <c r="B3481" s="33" t="s">
        <v>4972</v>
      </c>
      <c r="C3481" s="33">
        <v>30</v>
      </c>
    </row>
    <row r="3482" spans="2:3" x14ac:dyDescent="0.25">
      <c r="B3482" s="33" t="s">
        <v>4973</v>
      </c>
      <c r="C3482" s="33">
        <v>30</v>
      </c>
    </row>
    <row r="3483" spans="2:3" x14ac:dyDescent="0.25">
      <c r="B3483" s="33" t="s">
        <v>4974</v>
      </c>
      <c r="C3483" s="33">
        <v>30</v>
      </c>
    </row>
    <row r="3484" spans="2:3" x14ac:dyDescent="0.25">
      <c r="B3484" s="33" t="s">
        <v>4975</v>
      </c>
      <c r="C3484" s="33">
        <v>30</v>
      </c>
    </row>
    <row r="3485" spans="2:3" x14ac:dyDescent="0.25">
      <c r="B3485" s="33" t="s">
        <v>4976</v>
      </c>
      <c r="C3485" s="33">
        <v>30</v>
      </c>
    </row>
    <row r="3486" spans="2:3" x14ac:dyDescent="0.25">
      <c r="B3486" s="33" t="s">
        <v>4977</v>
      </c>
      <c r="C3486" s="33">
        <v>30</v>
      </c>
    </row>
    <row r="3487" spans="2:3" x14ac:dyDescent="0.25">
      <c r="B3487" s="33" t="s">
        <v>4978</v>
      </c>
      <c r="C3487" s="33">
        <v>30</v>
      </c>
    </row>
    <row r="3488" spans="2:3" x14ac:dyDescent="0.25">
      <c r="B3488" s="33" t="s">
        <v>4979</v>
      </c>
      <c r="C3488" s="33">
        <v>30</v>
      </c>
    </row>
    <row r="3489" spans="2:3" x14ac:dyDescent="0.25">
      <c r="B3489" s="33" t="s">
        <v>4980</v>
      </c>
      <c r="C3489" s="33">
        <v>30</v>
      </c>
    </row>
    <row r="3490" spans="2:3" x14ac:dyDescent="0.25">
      <c r="B3490" s="33" t="s">
        <v>4981</v>
      </c>
      <c r="C3490" s="33">
        <v>30</v>
      </c>
    </row>
    <row r="3491" spans="2:3" x14ac:dyDescent="0.25">
      <c r="B3491" s="33" t="s">
        <v>4982</v>
      </c>
      <c r="C3491" s="33">
        <v>30</v>
      </c>
    </row>
    <row r="3492" spans="2:3" x14ac:dyDescent="0.25">
      <c r="B3492" s="33" t="s">
        <v>4983</v>
      </c>
      <c r="C3492" s="33">
        <v>30</v>
      </c>
    </row>
    <row r="3493" spans="2:3" x14ac:dyDescent="0.25">
      <c r="B3493" s="33" t="s">
        <v>4984</v>
      </c>
      <c r="C3493" s="33">
        <v>30</v>
      </c>
    </row>
    <row r="3494" spans="2:3" x14ac:dyDescent="0.25">
      <c r="B3494" s="33" t="s">
        <v>4985</v>
      </c>
      <c r="C3494" s="33">
        <v>30</v>
      </c>
    </row>
    <row r="3495" spans="2:3" x14ac:dyDescent="0.25">
      <c r="B3495" s="33" t="s">
        <v>4986</v>
      </c>
      <c r="C3495" s="33">
        <v>30</v>
      </c>
    </row>
    <row r="3496" spans="2:3" x14ac:dyDescent="0.25">
      <c r="B3496" s="33" t="s">
        <v>4987</v>
      </c>
      <c r="C3496" s="33">
        <v>30</v>
      </c>
    </row>
    <row r="3497" spans="2:3" x14ac:dyDescent="0.25">
      <c r="B3497" s="33" t="s">
        <v>4988</v>
      </c>
      <c r="C3497" s="33">
        <v>30</v>
      </c>
    </row>
    <row r="3498" spans="2:3" x14ac:dyDescent="0.25">
      <c r="B3498" s="33" t="s">
        <v>4989</v>
      </c>
      <c r="C3498" s="33">
        <v>30</v>
      </c>
    </row>
    <row r="3499" spans="2:3" x14ac:dyDescent="0.25">
      <c r="B3499" s="33" t="s">
        <v>4990</v>
      </c>
      <c r="C3499" s="33">
        <v>30</v>
      </c>
    </row>
    <row r="3500" spans="2:3" x14ac:dyDescent="0.25">
      <c r="B3500" s="33" t="s">
        <v>4991</v>
      </c>
      <c r="C3500" s="33">
        <v>30</v>
      </c>
    </row>
    <row r="3501" spans="2:3" x14ac:dyDescent="0.25">
      <c r="B3501" s="33" t="s">
        <v>4992</v>
      </c>
      <c r="C3501" s="33">
        <v>30</v>
      </c>
    </row>
    <row r="3502" spans="2:3" x14ac:dyDescent="0.25">
      <c r="B3502" s="33" t="s">
        <v>4993</v>
      </c>
      <c r="C3502" s="33">
        <v>30</v>
      </c>
    </row>
    <row r="3503" spans="2:3" x14ac:dyDescent="0.25">
      <c r="B3503" s="33" t="s">
        <v>4994</v>
      </c>
      <c r="C3503" s="33">
        <v>30</v>
      </c>
    </row>
    <row r="3504" spans="2:3" x14ac:dyDescent="0.25">
      <c r="B3504" s="33" t="s">
        <v>4995</v>
      </c>
      <c r="C3504" s="33">
        <v>30</v>
      </c>
    </row>
    <row r="3505" spans="2:3" x14ac:dyDescent="0.25">
      <c r="B3505" s="33" t="s">
        <v>4996</v>
      </c>
      <c r="C3505" s="33">
        <v>30</v>
      </c>
    </row>
    <row r="3506" spans="2:3" x14ac:dyDescent="0.25">
      <c r="B3506" s="33" t="s">
        <v>4997</v>
      </c>
      <c r="C3506" s="33">
        <v>30</v>
      </c>
    </row>
    <row r="3507" spans="2:3" x14ac:dyDescent="0.25">
      <c r="B3507" s="33" t="s">
        <v>4998</v>
      </c>
      <c r="C3507" s="33">
        <v>30</v>
      </c>
    </row>
    <row r="3508" spans="2:3" x14ac:dyDescent="0.25">
      <c r="B3508" s="33" t="s">
        <v>4999</v>
      </c>
      <c r="C3508" s="33">
        <v>30</v>
      </c>
    </row>
    <row r="3509" spans="2:3" x14ac:dyDescent="0.25">
      <c r="B3509" s="33" t="s">
        <v>5000</v>
      </c>
      <c r="C3509" s="33">
        <v>30</v>
      </c>
    </row>
    <row r="3510" spans="2:3" x14ac:dyDescent="0.25">
      <c r="B3510" s="33" t="s">
        <v>5001</v>
      </c>
      <c r="C3510" s="33">
        <v>30</v>
      </c>
    </row>
    <row r="3511" spans="2:3" x14ac:dyDescent="0.25">
      <c r="B3511" s="33" t="s">
        <v>5002</v>
      </c>
      <c r="C3511" s="33">
        <v>30</v>
      </c>
    </row>
    <row r="3512" spans="2:3" x14ac:dyDescent="0.25">
      <c r="B3512" s="33" t="s">
        <v>5003</v>
      </c>
      <c r="C3512" s="33">
        <v>30</v>
      </c>
    </row>
    <row r="3513" spans="2:3" x14ac:dyDescent="0.25">
      <c r="B3513" s="33" t="s">
        <v>5004</v>
      </c>
      <c r="C3513" s="33">
        <v>30</v>
      </c>
    </row>
    <row r="3514" spans="2:3" x14ac:dyDescent="0.25">
      <c r="B3514" s="33" t="s">
        <v>5005</v>
      </c>
      <c r="C3514" s="33">
        <v>30</v>
      </c>
    </row>
    <row r="3515" spans="2:3" x14ac:dyDescent="0.25">
      <c r="B3515" s="33" t="s">
        <v>5006</v>
      </c>
      <c r="C3515" s="33">
        <v>30</v>
      </c>
    </row>
    <row r="3516" spans="2:3" x14ac:dyDescent="0.25">
      <c r="B3516" s="33" t="s">
        <v>5007</v>
      </c>
      <c r="C3516" s="33">
        <v>30</v>
      </c>
    </row>
    <row r="3517" spans="2:3" x14ac:dyDescent="0.25">
      <c r="B3517" s="33" t="s">
        <v>5008</v>
      </c>
      <c r="C3517" s="33">
        <v>30</v>
      </c>
    </row>
    <row r="3518" spans="2:3" x14ac:dyDescent="0.25">
      <c r="B3518" s="33" t="s">
        <v>5009</v>
      </c>
      <c r="C3518" s="33">
        <v>30</v>
      </c>
    </row>
    <row r="3519" spans="2:3" x14ac:dyDescent="0.25">
      <c r="B3519" s="33" t="s">
        <v>5010</v>
      </c>
      <c r="C3519" s="33">
        <v>30</v>
      </c>
    </row>
    <row r="3520" spans="2:3" x14ac:dyDescent="0.25">
      <c r="B3520" s="33" t="s">
        <v>5011</v>
      </c>
      <c r="C3520" s="33">
        <v>30</v>
      </c>
    </row>
    <row r="3521" spans="2:3" x14ac:dyDescent="0.25">
      <c r="B3521" s="33" t="s">
        <v>5012</v>
      </c>
      <c r="C3521" s="33">
        <v>30</v>
      </c>
    </row>
    <row r="3522" spans="2:3" x14ac:dyDescent="0.25">
      <c r="B3522" s="33" t="s">
        <v>5013</v>
      </c>
      <c r="C3522" s="33">
        <v>30</v>
      </c>
    </row>
    <row r="3523" spans="2:3" x14ac:dyDescent="0.25">
      <c r="B3523" s="33" t="s">
        <v>5014</v>
      </c>
      <c r="C3523" s="33">
        <v>30</v>
      </c>
    </row>
    <row r="3524" spans="2:3" x14ac:dyDescent="0.25">
      <c r="B3524" s="33" t="s">
        <v>5015</v>
      </c>
      <c r="C3524" s="33">
        <v>30</v>
      </c>
    </row>
    <row r="3525" spans="2:3" x14ac:dyDescent="0.25">
      <c r="B3525" s="33" t="s">
        <v>5016</v>
      </c>
      <c r="C3525" s="33">
        <v>30</v>
      </c>
    </row>
    <row r="3526" spans="2:3" x14ac:dyDescent="0.25">
      <c r="B3526" s="33" t="s">
        <v>5017</v>
      </c>
      <c r="C3526" s="33">
        <v>30</v>
      </c>
    </row>
    <row r="3527" spans="2:3" x14ac:dyDescent="0.25">
      <c r="B3527" s="33" t="s">
        <v>5018</v>
      </c>
      <c r="C3527" s="33">
        <v>30</v>
      </c>
    </row>
    <row r="3528" spans="2:3" x14ac:dyDescent="0.25">
      <c r="B3528" s="33" t="s">
        <v>5019</v>
      </c>
      <c r="C3528" s="33">
        <v>30</v>
      </c>
    </row>
    <row r="3529" spans="2:3" x14ac:dyDescent="0.25">
      <c r="B3529" s="33" t="s">
        <v>5020</v>
      </c>
      <c r="C3529" s="33">
        <v>30</v>
      </c>
    </row>
    <row r="3530" spans="2:3" x14ac:dyDescent="0.25">
      <c r="B3530" s="33" t="s">
        <v>5021</v>
      </c>
      <c r="C3530" s="33">
        <v>30</v>
      </c>
    </row>
    <row r="3531" spans="2:3" x14ac:dyDescent="0.25">
      <c r="B3531" s="33" t="s">
        <v>5022</v>
      </c>
      <c r="C3531" s="33">
        <v>30</v>
      </c>
    </row>
    <row r="3532" spans="2:3" x14ac:dyDescent="0.25">
      <c r="B3532" s="33" t="s">
        <v>5023</v>
      </c>
      <c r="C3532" s="33">
        <v>30</v>
      </c>
    </row>
    <row r="3533" spans="2:3" x14ac:dyDescent="0.25">
      <c r="B3533" s="33" t="s">
        <v>5024</v>
      </c>
      <c r="C3533" s="33">
        <v>30</v>
      </c>
    </row>
    <row r="3534" spans="2:3" x14ac:dyDescent="0.25">
      <c r="B3534" s="33" t="s">
        <v>5025</v>
      </c>
      <c r="C3534" s="33">
        <v>30</v>
      </c>
    </row>
    <row r="3535" spans="2:3" x14ac:dyDescent="0.25">
      <c r="B3535" s="33" t="s">
        <v>5026</v>
      </c>
      <c r="C3535" s="33">
        <v>30</v>
      </c>
    </row>
    <row r="3536" spans="2:3" x14ac:dyDescent="0.25">
      <c r="B3536" s="33" t="s">
        <v>5027</v>
      </c>
      <c r="C3536" s="33">
        <v>30</v>
      </c>
    </row>
    <row r="3537" spans="2:3" x14ac:dyDescent="0.25">
      <c r="B3537" s="33" t="s">
        <v>5028</v>
      </c>
      <c r="C3537" s="33">
        <v>30</v>
      </c>
    </row>
    <row r="3538" spans="2:3" x14ac:dyDescent="0.25">
      <c r="B3538" s="33" t="s">
        <v>5029</v>
      </c>
      <c r="C3538" s="33">
        <v>30</v>
      </c>
    </row>
    <row r="3539" spans="2:3" x14ac:dyDescent="0.25">
      <c r="B3539" s="33" t="s">
        <v>5030</v>
      </c>
      <c r="C3539" s="33">
        <v>30</v>
      </c>
    </row>
    <row r="3540" spans="2:3" x14ac:dyDescent="0.25">
      <c r="B3540" s="33" t="s">
        <v>5031</v>
      </c>
      <c r="C3540" s="33">
        <v>30</v>
      </c>
    </row>
    <row r="3541" spans="2:3" x14ac:dyDescent="0.25">
      <c r="B3541" s="33" t="s">
        <v>5032</v>
      </c>
      <c r="C3541" s="33">
        <v>30</v>
      </c>
    </row>
    <row r="3542" spans="2:3" x14ac:dyDescent="0.25">
      <c r="B3542" s="33" t="s">
        <v>5033</v>
      </c>
      <c r="C3542" s="33">
        <v>30</v>
      </c>
    </row>
    <row r="3543" spans="2:3" x14ac:dyDescent="0.25">
      <c r="B3543" s="33" t="s">
        <v>5034</v>
      </c>
      <c r="C3543" s="33">
        <v>30</v>
      </c>
    </row>
    <row r="3544" spans="2:3" x14ac:dyDescent="0.25">
      <c r="B3544" s="33" t="s">
        <v>5035</v>
      </c>
      <c r="C3544" s="33">
        <v>30</v>
      </c>
    </row>
    <row r="3545" spans="2:3" x14ac:dyDescent="0.25">
      <c r="B3545" s="33" t="s">
        <v>5036</v>
      </c>
      <c r="C3545" s="33">
        <v>30</v>
      </c>
    </row>
    <row r="3546" spans="2:3" x14ac:dyDescent="0.25">
      <c r="B3546" s="33" t="s">
        <v>5037</v>
      </c>
      <c r="C3546" s="33">
        <v>30</v>
      </c>
    </row>
    <row r="3547" spans="2:3" x14ac:dyDescent="0.25">
      <c r="B3547" s="33" t="s">
        <v>5038</v>
      </c>
      <c r="C3547" s="33">
        <v>30</v>
      </c>
    </row>
    <row r="3548" spans="2:3" x14ac:dyDescent="0.25">
      <c r="B3548" s="33" t="s">
        <v>5039</v>
      </c>
      <c r="C3548" s="33">
        <v>30</v>
      </c>
    </row>
    <row r="3549" spans="2:3" x14ac:dyDescent="0.25">
      <c r="B3549" s="33" t="s">
        <v>5040</v>
      </c>
      <c r="C3549" s="33">
        <v>30</v>
      </c>
    </row>
    <row r="3550" spans="2:3" x14ac:dyDescent="0.25">
      <c r="B3550" s="33" t="s">
        <v>5041</v>
      </c>
      <c r="C3550" s="33">
        <v>30</v>
      </c>
    </row>
    <row r="3551" spans="2:3" x14ac:dyDescent="0.25">
      <c r="B3551" s="33" t="s">
        <v>5042</v>
      </c>
      <c r="C3551" s="33">
        <v>30</v>
      </c>
    </row>
    <row r="3552" spans="2:3" x14ac:dyDescent="0.25">
      <c r="B3552" s="33" t="s">
        <v>5043</v>
      </c>
      <c r="C3552" s="33">
        <v>30</v>
      </c>
    </row>
    <row r="3553" spans="2:3" x14ac:dyDescent="0.25">
      <c r="B3553" s="33" t="s">
        <v>5044</v>
      </c>
      <c r="C3553" s="33">
        <v>30</v>
      </c>
    </row>
    <row r="3554" spans="2:3" x14ac:dyDescent="0.25">
      <c r="B3554" s="33" t="s">
        <v>5045</v>
      </c>
      <c r="C3554" s="33">
        <v>30</v>
      </c>
    </row>
    <row r="3555" spans="2:3" x14ac:dyDescent="0.25">
      <c r="B3555" s="33" t="s">
        <v>5046</v>
      </c>
      <c r="C3555" s="33">
        <v>30</v>
      </c>
    </row>
    <row r="3556" spans="2:3" x14ac:dyDescent="0.25">
      <c r="B3556" s="33" t="s">
        <v>5047</v>
      </c>
      <c r="C3556" s="33">
        <v>30</v>
      </c>
    </row>
    <row r="3557" spans="2:3" x14ac:dyDescent="0.25">
      <c r="B3557" s="33" t="s">
        <v>5048</v>
      </c>
      <c r="C3557" s="33">
        <v>30</v>
      </c>
    </row>
    <row r="3558" spans="2:3" x14ac:dyDescent="0.25">
      <c r="B3558" s="33" t="s">
        <v>5049</v>
      </c>
      <c r="C3558" s="33">
        <v>30</v>
      </c>
    </row>
    <row r="3559" spans="2:3" x14ac:dyDescent="0.25">
      <c r="B3559" s="33" t="s">
        <v>5050</v>
      </c>
      <c r="C3559" s="33">
        <v>30</v>
      </c>
    </row>
    <row r="3560" spans="2:3" x14ac:dyDescent="0.25">
      <c r="B3560" s="33" t="s">
        <v>5051</v>
      </c>
      <c r="C3560" s="33">
        <v>30</v>
      </c>
    </row>
    <row r="3561" spans="2:3" x14ac:dyDescent="0.25">
      <c r="B3561" s="33" t="s">
        <v>5052</v>
      </c>
      <c r="C3561" s="33">
        <v>30</v>
      </c>
    </row>
    <row r="3562" spans="2:3" x14ac:dyDescent="0.25">
      <c r="B3562" s="33" t="s">
        <v>5053</v>
      </c>
      <c r="C3562" s="33">
        <v>30</v>
      </c>
    </row>
    <row r="3563" spans="2:3" x14ac:dyDescent="0.25">
      <c r="B3563" s="33" t="s">
        <v>5054</v>
      </c>
      <c r="C3563" s="33">
        <v>30</v>
      </c>
    </row>
    <row r="3564" spans="2:3" x14ac:dyDescent="0.25">
      <c r="B3564" s="33" t="s">
        <v>5055</v>
      </c>
      <c r="C3564" s="33">
        <v>30</v>
      </c>
    </row>
    <row r="3565" spans="2:3" x14ac:dyDescent="0.25">
      <c r="B3565" s="33" t="s">
        <v>5056</v>
      </c>
      <c r="C3565" s="33">
        <v>30</v>
      </c>
    </row>
    <row r="3566" spans="2:3" x14ac:dyDescent="0.25">
      <c r="B3566" s="33" t="s">
        <v>5057</v>
      </c>
      <c r="C3566" s="33">
        <v>30</v>
      </c>
    </row>
    <row r="3567" spans="2:3" x14ac:dyDescent="0.25">
      <c r="B3567" s="33" t="s">
        <v>5058</v>
      </c>
      <c r="C3567" s="33">
        <v>30</v>
      </c>
    </row>
    <row r="3568" spans="2:3" x14ac:dyDescent="0.25">
      <c r="B3568" s="33" t="s">
        <v>5059</v>
      </c>
      <c r="C3568" s="33">
        <v>30</v>
      </c>
    </row>
    <row r="3569" spans="2:3" x14ac:dyDescent="0.25">
      <c r="B3569" s="33" t="s">
        <v>5060</v>
      </c>
      <c r="C3569" s="33">
        <v>30</v>
      </c>
    </row>
    <row r="3570" spans="2:3" x14ac:dyDescent="0.25">
      <c r="B3570" s="33" t="s">
        <v>5061</v>
      </c>
      <c r="C3570" s="33">
        <v>30</v>
      </c>
    </row>
    <row r="3571" spans="2:3" x14ac:dyDescent="0.25">
      <c r="B3571" s="33" t="s">
        <v>5062</v>
      </c>
      <c r="C3571" s="33">
        <v>30</v>
      </c>
    </row>
    <row r="3572" spans="2:3" x14ac:dyDescent="0.25">
      <c r="B3572" s="33" t="s">
        <v>5063</v>
      </c>
      <c r="C3572" s="33">
        <v>30</v>
      </c>
    </row>
    <row r="3573" spans="2:3" x14ac:dyDescent="0.25">
      <c r="B3573" s="33" t="s">
        <v>5064</v>
      </c>
      <c r="C3573" s="33">
        <v>30</v>
      </c>
    </row>
    <row r="3574" spans="2:3" x14ac:dyDescent="0.25">
      <c r="B3574" s="33" t="s">
        <v>5065</v>
      </c>
      <c r="C3574" s="33">
        <v>30</v>
      </c>
    </row>
    <row r="3575" spans="2:3" x14ac:dyDescent="0.25">
      <c r="B3575" s="33" t="s">
        <v>5066</v>
      </c>
      <c r="C3575" s="33">
        <v>30</v>
      </c>
    </row>
    <row r="3576" spans="2:3" x14ac:dyDescent="0.25">
      <c r="B3576" s="33" t="s">
        <v>5067</v>
      </c>
      <c r="C3576" s="33">
        <v>30</v>
      </c>
    </row>
    <row r="3577" spans="2:3" x14ac:dyDescent="0.25">
      <c r="B3577" s="33" t="s">
        <v>5068</v>
      </c>
      <c r="C3577" s="33">
        <v>30</v>
      </c>
    </row>
    <row r="3578" spans="2:3" x14ac:dyDescent="0.25">
      <c r="B3578" s="33" t="s">
        <v>5069</v>
      </c>
      <c r="C3578" s="33">
        <v>30</v>
      </c>
    </row>
    <row r="3579" spans="2:3" x14ac:dyDescent="0.25">
      <c r="B3579" s="33" t="s">
        <v>5070</v>
      </c>
      <c r="C3579" s="33">
        <v>30</v>
      </c>
    </row>
    <row r="3580" spans="2:3" x14ac:dyDescent="0.25">
      <c r="B3580" s="33" t="s">
        <v>5071</v>
      </c>
      <c r="C3580" s="33">
        <v>30</v>
      </c>
    </row>
    <row r="3581" spans="2:3" x14ac:dyDescent="0.25">
      <c r="B3581" s="33" t="s">
        <v>5072</v>
      </c>
      <c r="C3581" s="33">
        <v>30</v>
      </c>
    </row>
    <row r="3582" spans="2:3" x14ac:dyDescent="0.25">
      <c r="B3582" s="33" t="s">
        <v>5073</v>
      </c>
      <c r="C3582" s="33">
        <v>30</v>
      </c>
    </row>
    <row r="3583" spans="2:3" x14ac:dyDescent="0.25">
      <c r="B3583" s="33" t="s">
        <v>5074</v>
      </c>
      <c r="C3583" s="33">
        <v>30</v>
      </c>
    </row>
    <row r="3584" spans="2:3" x14ac:dyDescent="0.25">
      <c r="B3584" s="33" t="s">
        <v>5075</v>
      </c>
      <c r="C3584" s="33">
        <v>30</v>
      </c>
    </row>
    <row r="3585" spans="2:3" x14ac:dyDescent="0.25">
      <c r="B3585" s="33" t="s">
        <v>5076</v>
      </c>
      <c r="C3585" s="33">
        <v>30</v>
      </c>
    </row>
    <row r="3586" spans="2:3" x14ac:dyDescent="0.25">
      <c r="B3586" s="33" t="s">
        <v>5077</v>
      </c>
      <c r="C3586" s="33">
        <v>30</v>
      </c>
    </row>
    <row r="3587" spans="2:3" x14ac:dyDescent="0.25">
      <c r="B3587" s="33" t="s">
        <v>5078</v>
      </c>
      <c r="C3587" s="33">
        <v>30</v>
      </c>
    </row>
    <row r="3588" spans="2:3" x14ac:dyDescent="0.25">
      <c r="B3588" s="33" t="s">
        <v>5079</v>
      </c>
      <c r="C3588" s="33">
        <v>30</v>
      </c>
    </row>
    <row r="3589" spans="2:3" x14ac:dyDescent="0.25">
      <c r="B3589" s="33" t="s">
        <v>5080</v>
      </c>
      <c r="C3589" s="33">
        <v>30</v>
      </c>
    </row>
    <row r="3590" spans="2:3" x14ac:dyDescent="0.25">
      <c r="B3590" s="33" t="s">
        <v>5081</v>
      </c>
      <c r="C3590" s="33">
        <v>30</v>
      </c>
    </row>
    <row r="3591" spans="2:3" x14ac:dyDescent="0.25">
      <c r="B3591" s="33" t="s">
        <v>5082</v>
      </c>
      <c r="C3591" s="33">
        <v>30</v>
      </c>
    </row>
    <row r="3592" spans="2:3" x14ac:dyDescent="0.25">
      <c r="B3592" s="33" t="s">
        <v>5083</v>
      </c>
      <c r="C3592" s="33">
        <v>30</v>
      </c>
    </row>
    <row r="3593" spans="2:3" x14ac:dyDescent="0.25">
      <c r="B3593" s="33" t="s">
        <v>5084</v>
      </c>
      <c r="C3593" s="33">
        <v>30</v>
      </c>
    </row>
    <row r="3594" spans="2:3" x14ac:dyDescent="0.25">
      <c r="B3594" s="33" t="s">
        <v>5085</v>
      </c>
      <c r="C3594" s="33">
        <v>30</v>
      </c>
    </row>
    <row r="3595" spans="2:3" x14ac:dyDescent="0.25">
      <c r="B3595" s="33" t="s">
        <v>5086</v>
      </c>
      <c r="C3595" s="33">
        <v>30</v>
      </c>
    </row>
    <row r="3596" spans="2:3" x14ac:dyDescent="0.25">
      <c r="B3596" s="33" t="s">
        <v>5087</v>
      </c>
      <c r="C3596" s="33">
        <v>30</v>
      </c>
    </row>
    <row r="3597" spans="2:3" x14ac:dyDescent="0.25">
      <c r="B3597" s="33" t="s">
        <v>5088</v>
      </c>
      <c r="C3597" s="33">
        <v>30</v>
      </c>
    </row>
    <row r="3598" spans="2:3" x14ac:dyDescent="0.25">
      <c r="B3598" s="33" t="s">
        <v>5089</v>
      </c>
      <c r="C3598" s="33">
        <v>30</v>
      </c>
    </row>
    <row r="3599" spans="2:3" x14ac:dyDescent="0.25">
      <c r="B3599" s="33" t="s">
        <v>5090</v>
      </c>
      <c r="C3599" s="33">
        <v>30</v>
      </c>
    </row>
    <row r="3600" spans="2:3" x14ac:dyDescent="0.25">
      <c r="B3600" s="33" t="s">
        <v>5091</v>
      </c>
      <c r="C3600" s="33">
        <v>30</v>
      </c>
    </row>
    <row r="3601" spans="2:3" x14ac:dyDescent="0.25">
      <c r="B3601" s="33" t="s">
        <v>5092</v>
      </c>
      <c r="C3601" s="33">
        <v>30</v>
      </c>
    </row>
    <row r="3602" spans="2:3" x14ac:dyDescent="0.25">
      <c r="B3602" s="33" t="s">
        <v>5093</v>
      </c>
      <c r="C3602" s="33">
        <v>30</v>
      </c>
    </row>
    <row r="3603" spans="2:3" x14ac:dyDescent="0.25">
      <c r="B3603" s="33" t="s">
        <v>5094</v>
      </c>
      <c r="C3603" s="33">
        <v>30</v>
      </c>
    </row>
    <row r="3604" spans="2:3" x14ac:dyDescent="0.25">
      <c r="B3604" s="33" t="s">
        <v>5095</v>
      </c>
      <c r="C3604" s="33">
        <v>30</v>
      </c>
    </row>
    <row r="3605" spans="2:3" x14ac:dyDescent="0.25">
      <c r="B3605" s="33" t="s">
        <v>5096</v>
      </c>
      <c r="C3605" s="33">
        <v>30</v>
      </c>
    </row>
    <row r="3606" spans="2:3" x14ac:dyDescent="0.25">
      <c r="B3606" s="33" t="s">
        <v>5097</v>
      </c>
      <c r="C3606" s="33">
        <v>30</v>
      </c>
    </row>
    <row r="3607" spans="2:3" x14ac:dyDescent="0.25">
      <c r="B3607" s="33" t="s">
        <v>5098</v>
      </c>
      <c r="C3607" s="33">
        <v>30</v>
      </c>
    </row>
    <row r="3608" spans="2:3" x14ac:dyDescent="0.25">
      <c r="B3608" s="33" t="s">
        <v>5099</v>
      </c>
      <c r="C3608" s="33">
        <v>30</v>
      </c>
    </row>
    <row r="3609" spans="2:3" x14ac:dyDescent="0.25">
      <c r="B3609" s="33" t="s">
        <v>5100</v>
      </c>
      <c r="C3609" s="33">
        <v>30</v>
      </c>
    </row>
    <row r="3610" spans="2:3" x14ac:dyDescent="0.25">
      <c r="B3610" s="33" t="s">
        <v>5101</v>
      </c>
      <c r="C3610" s="33">
        <v>30</v>
      </c>
    </row>
    <row r="3611" spans="2:3" x14ac:dyDescent="0.25">
      <c r="B3611" s="33" t="s">
        <v>5102</v>
      </c>
      <c r="C3611" s="33">
        <v>30</v>
      </c>
    </row>
    <row r="3612" spans="2:3" x14ac:dyDescent="0.25">
      <c r="B3612" s="33" t="s">
        <v>5103</v>
      </c>
      <c r="C3612" s="33">
        <v>30</v>
      </c>
    </row>
    <row r="3613" spans="2:3" x14ac:dyDescent="0.25">
      <c r="B3613" s="33" t="s">
        <v>5104</v>
      </c>
      <c r="C3613" s="33">
        <v>30</v>
      </c>
    </row>
    <row r="3614" spans="2:3" x14ac:dyDescent="0.25">
      <c r="B3614" s="33" t="s">
        <v>5105</v>
      </c>
      <c r="C3614" s="33">
        <v>30</v>
      </c>
    </row>
    <row r="3615" spans="2:3" x14ac:dyDescent="0.25">
      <c r="B3615" s="33" t="s">
        <v>5106</v>
      </c>
      <c r="C3615" s="33">
        <v>30</v>
      </c>
    </row>
    <row r="3616" spans="2:3" x14ac:dyDescent="0.25">
      <c r="B3616" s="33" t="s">
        <v>5107</v>
      </c>
      <c r="C3616" s="33">
        <v>30</v>
      </c>
    </row>
    <row r="3617" spans="2:3" x14ac:dyDescent="0.25">
      <c r="B3617" s="33" t="s">
        <v>5108</v>
      </c>
      <c r="C3617" s="33">
        <v>30</v>
      </c>
    </row>
    <row r="3618" spans="2:3" x14ac:dyDescent="0.25">
      <c r="B3618" s="33" t="s">
        <v>5109</v>
      </c>
      <c r="C3618" s="33">
        <v>30</v>
      </c>
    </row>
    <row r="3619" spans="2:3" x14ac:dyDescent="0.25">
      <c r="B3619" s="33" t="s">
        <v>5110</v>
      </c>
      <c r="C3619" s="33">
        <v>30</v>
      </c>
    </row>
    <row r="3620" spans="2:3" x14ac:dyDescent="0.25">
      <c r="B3620" s="33" t="s">
        <v>5111</v>
      </c>
      <c r="C3620" s="33">
        <v>30</v>
      </c>
    </row>
    <row r="3621" spans="2:3" x14ac:dyDescent="0.25">
      <c r="B3621" s="33" t="s">
        <v>5112</v>
      </c>
      <c r="C3621" s="33">
        <v>30</v>
      </c>
    </row>
    <row r="3622" spans="2:3" x14ac:dyDescent="0.25">
      <c r="B3622" s="33" t="s">
        <v>5113</v>
      </c>
      <c r="C3622" s="33">
        <v>30</v>
      </c>
    </row>
    <row r="3623" spans="2:3" x14ac:dyDescent="0.25">
      <c r="B3623" s="33" t="s">
        <v>5114</v>
      </c>
      <c r="C3623" s="33">
        <v>30</v>
      </c>
    </row>
    <row r="3624" spans="2:3" x14ac:dyDescent="0.25">
      <c r="B3624" s="33" t="s">
        <v>5115</v>
      </c>
      <c r="C3624" s="33">
        <v>30</v>
      </c>
    </row>
    <row r="3625" spans="2:3" x14ac:dyDescent="0.25">
      <c r="B3625" s="33" t="s">
        <v>5116</v>
      </c>
      <c r="C3625" s="33">
        <v>30</v>
      </c>
    </row>
    <row r="3626" spans="2:3" x14ac:dyDescent="0.25">
      <c r="B3626" s="33" t="s">
        <v>5117</v>
      </c>
      <c r="C3626" s="33">
        <v>30</v>
      </c>
    </row>
    <row r="3627" spans="2:3" x14ac:dyDescent="0.25">
      <c r="B3627" s="33" t="s">
        <v>5118</v>
      </c>
      <c r="C3627" s="33">
        <v>30</v>
      </c>
    </row>
    <row r="3628" spans="2:3" x14ac:dyDescent="0.25">
      <c r="B3628" s="33" t="s">
        <v>5119</v>
      </c>
      <c r="C3628" s="33">
        <v>30</v>
      </c>
    </row>
    <row r="3629" spans="2:3" x14ac:dyDescent="0.25">
      <c r="B3629" s="33" t="s">
        <v>5120</v>
      </c>
      <c r="C3629" s="33">
        <v>30</v>
      </c>
    </row>
    <row r="3630" spans="2:3" x14ac:dyDescent="0.25">
      <c r="B3630" s="33" t="s">
        <v>5121</v>
      </c>
      <c r="C3630" s="33">
        <v>30</v>
      </c>
    </row>
    <row r="3631" spans="2:3" x14ac:dyDescent="0.25">
      <c r="B3631" s="33" t="s">
        <v>5122</v>
      </c>
      <c r="C3631" s="33">
        <v>30</v>
      </c>
    </row>
    <row r="3632" spans="2:3" x14ac:dyDescent="0.25">
      <c r="B3632" s="33" t="s">
        <v>5123</v>
      </c>
      <c r="C3632" s="33">
        <v>30</v>
      </c>
    </row>
    <row r="3633" spans="2:3" x14ac:dyDescent="0.25">
      <c r="B3633" s="33" t="s">
        <v>5124</v>
      </c>
      <c r="C3633" s="33">
        <v>30</v>
      </c>
    </row>
    <row r="3634" spans="2:3" x14ac:dyDescent="0.25">
      <c r="B3634" s="33" t="s">
        <v>5125</v>
      </c>
      <c r="C3634" s="33">
        <v>30</v>
      </c>
    </row>
    <row r="3635" spans="2:3" x14ac:dyDescent="0.25">
      <c r="B3635" s="33" t="s">
        <v>5126</v>
      </c>
      <c r="C3635" s="33">
        <v>30</v>
      </c>
    </row>
    <row r="3636" spans="2:3" x14ac:dyDescent="0.25">
      <c r="B3636" s="33" t="s">
        <v>5127</v>
      </c>
      <c r="C3636" s="33">
        <v>30</v>
      </c>
    </row>
    <row r="3637" spans="2:3" x14ac:dyDescent="0.25">
      <c r="B3637" s="33" t="s">
        <v>5128</v>
      </c>
      <c r="C3637" s="33">
        <v>30</v>
      </c>
    </row>
    <row r="3638" spans="2:3" x14ac:dyDescent="0.25">
      <c r="B3638" s="33" t="s">
        <v>5129</v>
      </c>
      <c r="C3638" s="33">
        <v>30</v>
      </c>
    </row>
    <row r="3639" spans="2:3" x14ac:dyDescent="0.25">
      <c r="B3639" s="33" t="s">
        <v>5130</v>
      </c>
      <c r="C3639" s="33">
        <v>30</v>
      </c>
    </row>
    <row r="3640" spans="2:3" x14ac:dyDescent="0.25">
      <c r="B3640" s="33" t="s">
        <v>5131</v>
      </c>
      <c r="C3640" s="33">
        <v>30</v>
      </c>
    </row>
    <row r="3641" spans="2:3" x14ac:dyDescent="0.25">
      <c r="B3641" s="33" t="s">
        <v>5132</v>
      </c>
      <c r="C3641" s="33">
        <v>30</v>
      </c>
    </row>
    <row r="3642" spans="2:3" x14ac:dyDescent="0.25">
      <c r="B3642" s="33" t="s">
        <v>5133</v>
      </c>
      <c r="C3642" s="33">
        <v>30</v>
      </c>
    </row>
    <row r="3643" spans="2:3" x14ac:dyDescent="0.25">
      <c r="B3643" s="33" t="s">
        <v>5134</v>
      </c>
      <c r="C3643" s="33">
        <v>30</v>
      </c>
    </row>
    <row r="3644" spans="2:3" x14ac:dyDescent="0.25">
      <c r="B3644" s="33" t="s">
        <v>5135</v>
      </c>
      <c r="C3644" s="33">
        <v>30</v>
      </c>
    </row>
    <row r="3645" spans="2:3" x14ac:dyDescent="0.25">
      <c r="B3645" s="33" t="s">
        <v>5136</v>
      </c>
      <c r="C3645" s="33">
        <v>30</v>
      </c>
    </row>
    <row r="3646" spans="2:3" x14ac:dyDescent="0.25">
      <c r="B3646" s="33" t="s">
        <v>5137</v>
      </c>
      <c r="C3646" s="33">
        <v>30</v>
      </c>
    </row>
    <row r="3647" spans="2:3" x14ac:dyDescent="0.25">
      <c r="B3647" s="33" t="s">
        <v>5138</v>
      </c>
      <c r="C3647" s="33">
        <v>30</v>
      </c>
    </row>
    <row r="3648" spans="2:3" x14ac:dyDescent="0.25">
      <c r="B3648" s="33" t="s">
        <v>5139</v>
      </c>
      <c r="C3648" s="33">
        <v>30</v>
      </c>
    </row>
    <row r="3649" spans="2:3" x14ac:dyDescent="0.25">
      <c r="B3649" s="33" t="s">
        <v>5140</v>
      </c>
      <c r="C3649" s="33">
        <v>30</v>
      </c>
    </row>
    <row r="3650" spans="2:3" x14ac:dyDescent="0.25">
      <c r="B3650" s="33" t="s">
        <v>5141</v>
      </c>
      <c r="C3650" s="33">
        <v>30</v>
      </c>
    </row>
    <row r="3651" spans="2:3" x14ac:dyDescent="0.25">
      <c r="B3651" s="33" t="s">
        <v>5142</v>
      </c>
      <c r="C3651" s="33">
        <v>30</v>
      </c>
    </row>
    <row r="3652" spans="2:3" x14ac:dyDescent="0.25">
      <c r="B3652" s="33" t="s">
        <v>5143</v>
      </c>
      <c r="C3652" s="33">
        <v>30</v>
      </c>
    </row>
    <row r="3653" spans="2:3" x14ac:dyDescent="0.25">
      <c r="B3653" s="33" t="s">
        <v>5144</v>
      </c>
      <c r="C3653" s="33">
        <v>30</v>
      </c>
    </row>
    <row r="3654" spans="2:3" x14ac:dyDescent="0.25">
      <c r="B3654" s="33" t="s">
        <v>5145</v>
      </c>
      <c r="C3654" s="33">
        <v>30</v>
      </c>
    </row>
    <row r="3655" spans="2:3" x14ac:dyDescent="0.25">
      <c r="B3655" s="33" t="s">
        <v>5146</v>
      </c>
      <c r="C3655" s="33">
        <v>30</v>
      </c>
    </row>
    <row r="3656" spans="2:3" x14ac:dyDescent="0.25">
      <c r="B3656" s="33" t="s">
        <v>5147</v>
      </c>
      <c r="C3656" s="33">
        <v>30</v>
      </c>
    </row>
    <row r="3657" spans="2:3" x14ac:dyDescent="0.25">
      <c r="B3657" s="33" t="s">
        <v>5148</v>
      </c>
      <c r="C3657" s="33">
        <v>30</v>
      </c>
    </row>
    <row r="3658" spans="2:3" x14ac:dyDescent="0.25">
      <c r="B3658" s="33" t="s">
        <v>5149</v>
      </c>
      <c r="C3658" s="33">
        <v>30</v>
      </c>
    </row>
    <row r="3659" spans="2:3" x14ac:dyDescent="0.25">
      <c r="B3659" s="33" t="s">
        <v>5150</v>
      </c>
      <c r="C3659" s="33">
        <v>30</v>
      </c>
    </row>
    <row r="3660" spans="2:3" x14ac:dyDescent="0.25">
      <c r="B3660" s="33" t="s">
        <v>5151</v>
      </c>
      <c r="C3660" s="33">
        <v>30</v>
      </c>
    </row>
    <row r="3661" spans="2:3" x14ac:dyDescent="0.25">
      <c r="B3661" s="33" t="s">
        <v>5152</v>
      </c>
      <c r="C3661" s="33">
        <v>30</v>
      </c>
    </row>
    <row r="3662" spans="2:3" x14ac:dyDescent="0.25">
      <c r="B3662" s="33" t="s">
        <v>5153</v>
      </c>
      <c r="C3662" s="33">
        <v>30</v>
      </c>
    </row>
    <row r="3663" spans="2:3" x14ac:dyDescent="0.25">
      <c r="B3663" s="33" t="s">
        <v>5154</v>
      </c>
      <c r="C3663" s="33">
        <v>30</v>
      </c>
    </row>
    <row r="3664" spans="2:3" x14ac:dyDescent="0.25">
      <c r="B3664" s="33" t="s">
        <v>5155</v>
      </c>
      <c r="C3664" s="33">
        <v>30</v>
      </c>
    </row>
    <row r="3665" spans="2:3" x14ac:dyDescent="0.25">
      <c r="B3665" s="33" t="s">
        <v>5156</v>
      </c>
      <c r="C3665" s="33">
        <v>30</v>
      </c>
    </row>
    <row r="3666" spans="2:3" x14ac:dyDescent="0.25">
      <c r="B3666" s="33" t="s">
        <v>5157</v>
      </c>
      <c r="C3666" s="33">
        <v>30</v>
      </c>
    </row>
    <row r="3667" spans="2:3" x14ac:dyDescent="0.25">
      <c r="B3667" s="33" t="s">
        <v>5158</v>
      </c>
      <c r="C3667" s="33">
        <v>30</v>
      </c>
    </row>
    <row r="3668" spans="2:3" x14ac:dyDescent="0.25">
      <c r="B3668" s="33" t="s">
        <v>5159</v>
      </c>
      <c r="C3668" s="33">
        <v>30</v>
      </c>
    </row>
    <row r="3669" spans="2:3" x14ac:dyDescent="0.25">
      <c r="B3669" s="33" t="s">
        <v>5160</v>
      </c>
      <c r="C3669" s="33">
        <v>30</v>
      </c>
    </row>
    <row r="3670" spans="2:3" x14ac:dyDescent="0.25">
      <c r="B3670" s="33" t="s">
        <v>5161</v>
      </c>
      <c r="C3670" s="33">
        <v>30</v>
      </c>
    </row>
    <row r="3671" spans="2:3" x14ac:dyDescent="0.25">
      <c r="B3671" s="33" t="s">
        <v>5162</v>
      </c>
      <c r="C3671" s="33">
        <v>30</v>
      </c>
    </row>
    <row r="3672" spans="2:3" x14ac:dyDescent="0.25">
      <c r="B3672" s="33" t="s">
        <v>5163</v>
      </c>
      <c r="C3672" s="33">
        <v>30</v>
      </c>
    </row>
    <row r="3673" spans="2:3" x14ac:dyDescent="0.25">
      <c r="B3673" s="33" t="s">
        <v>5164</v>
      </c>
      <c r="C3673" s="33">
        <v>30</v>
      </c>
    </row>
    <row r="3674" spans="2:3" x14ac:dyDescent="0.25">
      <c r="B3674" s="33" t="s">
        <v>5165</v>
      </c>
      <c r="C3674" s="33">
        <v>30</v>
      </c>
    </row>
    <row r="3675" spans="2:3" x14ac:dyDescent="0.25">
      <c r="B3675" s="33" t="s">
        <v>5166</v>
      </c>
      <c r="C3675" s="33">
        <v>30</v>
      </c>
    </row>
    <row r="3676" spans="2:3" x14ac:dyDescent="0.25">
      <c r="B3676" s="33" t="s">
        <v>5167</v>
      </c>
      <c r="C3676" s="33">
        <v>30</v>
      </c>
    </row>
    <row r="3677" spans="2:3" x14ac:dyDescent="0.25">
      <c r="B3677" s="33" t="s">
        <v>5168</v>
      </c>
      <c r="C3677" s="33">
        <v>30</v>
      </c>
    </row>
    <row r="3678" spans="2:3" x14ac:dyDescent="0.25">
      <c r="B3678" s="33" t="s">
        <v>5169</v>
      </c>
      <c r="C3678" s="33">
        <v>30</v>
      </c>
    </row>
    <row r="3679" spans="2:3" x14ac:dyDescent="0.25">
      <c r="B3679" s="33" t="s">
        <v>5170</v>
      </c>
      <c r="C3679" s="33">
        <v>30</v>
      </c>
    </row>
    <row r="3680" spans="2:3" x14ac:dyDescent="0.25">
      <c r="B3680" s="33" t="s">
        <v>5171</v>
      </c>
      <c r="C3680" s="33">
        <v>30</v>
      </c>
    </row>
    <row r="3681" spans="2:3" x14ac:dyDescent="0.25">
      <c r="B3681" s="33" t="s">
        <v>5172</v>
      </c>
      <c r="C3681" s="33">
        <v>30</v>
      </c>
    </row>
    <row r="3682" spans="2:3" x14ac:dyDescent="0.25">
      <c r="B3682" s="33" t="s">
        <v>5173</v>
      </c>
      <c r="C3682" s="33">
        <v>30</v>
      </c>
    </row>
    <row r="3683" spans="2:3" x14ac:dyDescent="0.25">
      <c r="B3683" s="33" t="s">
        <v>5174</v>
      </c>
      <c r="C3683" s="33">
        <v>30</v>
      </c>
    </row>
    <row r="3684" spans="2:3" x14ac:dyDescent="0.25">
      <c r="B3684" s="33" t="s">
        <v>5175</v>
      </c>
      <c r="C3684" s="33">
        <v>30</v>
      </c>
    </row>
    <row r="3685" spans="2:3" x14ac:dyDescent="0.25">
      <c r="B3685" s="33" t="s">
        <v>5176</v>
      </c>
      <c r="C3685" s="33">
        <v>30</v>
      </c>
    </row>
    <row r="3686" spans="2:3" x14ac:dyDescent="0.25">
      <c r="B3686" s="33" t="s">
        <v>5177</v>
      </c>
      <c r="C3686" s="33">
        <v>30</v>
      </c>
    </row>
    <row r="3687" spans="2:3" x14ac:dyDescent="0.25">
      <c r="B3687" s="33" t="s">
        <v>5178</v>
      </c>
      <c r="C3687" s="33">
        <v>30</v>
      </c>
    </row>
    <row r="3688" spans="2:3" x14ac:dyDescent="0.25">
      <c r="B3688" s="33" t="s">
        <v>5179</v>
      </c>
      <c r="C3688" s="33">
        <v>30</v>
      </c>
    </row>
    <row r="3689" spans="2:3" x14ac:dyDescent="0.25">
      <c r="B3689" s="33" t="s">
        <v>5180</v>
      </c>
      <c r="C3689" s="33">
        <v>30</v>
      </c>
    </row>
    <row r="3690" spans="2:3" x14ac:dyDescent="0.25">
      <c r="B3690" s="33" t="s">
        <v>5181</v>
      </c>
      <c r="C3690" s="33">
        <v>30</v>
      </c>
    </row>
    <row r="3691" spans="2:3" x14ac:dyDescent="0.25">
      <c r="B3691" s="33" t="s">
        <v>5182</v>
      </c>
      <c r="C3691" s="33">
        <v>30</v>
      </c>
    </row>
    <row r="3692" spans="2:3" x14ac:dyDescent="0.25">
      <c r="B3692" s="33" t="s">
        <v>5183</v>
      </c>
      <c r="C3692" s="33">
        <v>30</v>
      </c>
    </row>
    <row r="3693" spans="2:3" x14ac:dyDescent="0.25">
      <c r="B3693" s="33" t="s">
        <v>5184</v>
      </c>
      <c r="C3693" s="33">
        <v>30</v>
      </c>
    </row>
    <row r="3694" spans="2:3" x14ac:dyDescent="0.25">
      <c r="B3694" s="33" t="s">
        <v>5185</v>
      </c>
      <c r="C3694" s="33">
        <v>30</v>
      </c>
    </row>
    <row r="3695" spans="2:3" x14ac:dyDescent="0.25">
      <c r="B3695" s="33" t="s">
        <v>5186</v>
      </c>
      <c r="C3695" s="33">
        <v>30</v>
      </c>
    </row>
    <row r="3696" spans="2:3" x14ac:dyDescent="0.25">
      <c r="B3696" s="33" t="s">
        <v>5187</v>
      </c>
      <c r="C3696" s="33">
        <v>30</v>
      </c>
    </row>
    <row r="3697" spans="2:3" x14ac:dyDescent="0.25">
      <c r="B3697" s="33" t="s">
        <v>5188</v>
      </c>
      <c r="C3697" s="33">
        <v>30</v>
      </c>
    </row>
    <row r="3698" spans="2:3" x14ac:dyDescent="0.25">
      <c r="B3698" s="33" t="s">
        <v>5189</v>
      </c>
      <c r="C3698" s="33">
        <v>30</v>
      </c>
    </row>
    <row r="3699" spans="2:3" x14ac:dyDescent="0.25">
      <c r="B3699" s="33" t="s">
        <v>5190</v>
      </c>
      <c r="C3699" s="33">
        <v>30</v>
      </c>
    </row>
    <row r="3700" spans="2:3" x14ac:dyDescent="0.25">
      <c r="B3700" s="33" t="s">
        <v>5191</v>
      </c>
      <c r="C3700" s="33">
        <v>30</v>
      </c>
    </row>
    <row r="3701" spans="2:3" x14ac:dyDescent="0.25">
      <c r="B3701" s="33" t="s">
        <v>5192</v>
      </c>
      <c r="C3701" s="33">
        <v>30</v>
      </c>
    </row>
    <row r="3702" spans="2:3" x14ac:dyDescent="0.25">
      <c r="B3702" s="33" t="s">
        <v>5193</v>
      </c>
      <c r="C3702" s="33">
        <v>30</v>
      </c>
    </row>
    <row r="3703" spans="2:3" x14ac:dyDescent="0.25">
      <c r="B3703" s="33" t="s">
        <v>5194</v>
      </c>
      <c r="C3703" s="33">
        <v>30</v>
      </c>
    </row>
    <row r="3704" spans="2:3" x14ac:dyDescent="0.25">
      <c r="B3704" s="33" t="s">
        <v>5195</v>
      </c>
      <c r="C3704" s="33">
        <v>30</v>
      </c>
    </row>
    <row r="3705" spans="2:3" x14ac:dyDescent="0.25">
      <c r="B3705" s="33" t="s">
        <v>5196</v>
      </c>
      <c r="C3705" s="33">
        <v>30</v>
      </c>
    </row>
    <row r="3706" spans="2:3" x14ac:dyDescent="0.25">
      <c r="B3706" s="33" t="s">
        <v>5197</v>
      </c>
      <c r="C3706" s="33">
        <v>30</v>
      </c>
    </row>
    <row r="3707" spans="2:3" x14ac:dyDescent="0.25">
      <c r="B3707" s="33" t="s">
        <v>5198</v>
      </c>
      <c r="C3707" s="33">
        <v>30</v>
      </c>
    </row>
    <row r="3708" spans="2:3" x14ac:dyDescent="0.25">
      <c r="B3708" s="33" t="s">
        <v>5199</v>
      </c>
      <c r="C3708" s="33">
        <v>30</v>
      </c>
    </row>
    <row r="3709" spans="2:3" x14ac:dyDescent="0.25">
      <c r="B3709" s="33" t="s">
        <v>5200</v>
      </c>
      <c r="C3709" s="33">
        <v>30</v>
      </c>
    </row>
    <row r="3710" spans="2:3" x14ac:dyDescent="0.25">
      <c r="B3710" s="33" t="s">
        <v>5201</v>
      </c>
      <c r="C3710" s="33">
        <v>30</v>
      </c>
    </row>
    <row r="3711" spans="2:3" x14ac:dyDescent="0.25">
      <c r="B3711" s="33" t="s">
        <v>5202</v>
      </c>
      <c r="C3711" s="33">
        <v>30</v>
      </c>
    </row>
    <row r="3712" spans="2:3" x14ac:dyDescent="0.25">
      <c r="B3712" s="33" t="s">
        <v>5203</v>
      </c>
      <c r="C3712" s="33">
        <v>30</v>
      </c>
    </row>
    <row r="3713" spans="2:3" x14ac:dyDescent="0.25">
      <c r="B3713" s="33" t="s">
        <v>5204</v>
      </c>
      <c r="C3713" s="33">
        <v>30</v>
      </c>
    </row>
    <row r="3714" spans="2:3" x14ac:dyDescent="0.25">
      <c r="B3714" s="33" t="s">
        <v>5205</v>
      </c>
      <c r="C3714" s="33">
        <v>30</v>
      </c>
    </row>
    <row r="3715" spans="2:3" x14ac:dyDescent="0.25">
      <c r="B3715" s="33" t="s">
        <v>5206</v>
      </c>
      <c r="C3715" s="33">
        <v>30</v>
      </c>
    </row>
    <row r="3716" spans="2:3" x14ac:dyDescent="0.25">
      <c r="B3716" s="33" t="s">
        <v>5207</v>
      </c>
      <c r="C3716" s="33">
        <v>30</v>
      </c>
    </row>
    <row r="3717" spans="2:3" x14ac:dyDescent="0.25">
      <c r="B3717" s="33" t="s">
        <v>5208</v>
      </c>
      <c r="C3717" s="33">
        <v>30</v>
      </c>
    </row>
    <row r="3718" spans="2:3" x14ac:dyDescent="0.25">
      <c r="B3718" s="33" t="s">
        <v>5209</v>
      </c>
      <c r="C3718" s="33">
        <v>30</v>
      </c>
    </row>
    <row r="3719" spans="2:3" x14ac:dyDescent="0.25">
      <c r="B3719" s="33" t="s">
        <v>5210</v>
      </c>
      <c r="C3719" s="33">
        <v>30</v>
      </c>
    </row>
    <row r="3720" spans="2:3" x14ac:dyDescent="0.25">
      <c r="B3720" s="33" t="s">
        <v>5211</v>
      </c>
      <c r="C3720" s="33">
        <v>30</v>
      </c>
    </row>
    <row r="3721" spans="2:3" x14ac:dyDescent="0.25">
      <c r="B3721" s="33" t="s">
        <v>5212</v>
      </c>
      <c r="C3721" s="33">
        <v>30</v>
      </c>
    </row>
    <row r="3722" spans="2:3" x14ac:dyDescent="0.25">
      <c r="B3722" s="33" t="s">
        <v>5213</v>
      </c>
      <c r="C3722" s="33">
        <v>30</v>
      </c>
    </row>
    <row r="3723" spans="2:3" x14ac:dyDescent="0.25">
      <c r="B3723" s="33" t="s">
        <v>5214</v>
      </c>
      <c r="C3723" s="33">
        <v>30</v>
      </c>
    </row>
    <row r="3724" spans="2:3" x14ac:dyDescent="0.25">
      <c r="B3724" s="33" t="s">
        <v>5215</v>
      </c>
      <c r="C3724" s="33">
        <v>30</v>
      </c>
    </row>
    <row r="3725" spans="2:3" x14ac:dyDescent="0.25">
      <c r="B3725" s="33" t="s">
        <v>5216</v>
      </c>
      <c r="C3725" s="33">
        <v>30</v>
      </c>
    </row>
    <row r="3726" spans="2:3" x14ac:dyDescent="0.25">
      <c r="B3726" s="33" t="s">
        <v>5217</v>
      </c>
      <c r="C3726" s="33">
        <v>30</v>
      </c>
    </row>
    <row r="3727" spans="2:3" x14ac:dyDescent="0.25">
      <c r="B3727" s="33" t="s">
        <v>5218</v>
      </c>
      <c r="C3727" s="33">
        <v>30</v>
      </c>
    </row>
    <row r="3728" spans="2:3" x14ac:dyDescent="0.25">
      <c r="B3728" s="33" t="s">
        <v>5219</v>
      </c>
      <c r="C3728" s="33">
        <v>30</v>
      </c>
    </row>
    <row r="3729" spans="2:3" x14ac:dyDescent="0.25">
      <c r="B3729" s="33" t="s">
        <v>5220</v>
      </c>
      <c r="C3729" s="33">
        <v>30</v>
      </c>
    </row>
    <row r="3730" spans="2:3" x14ac:dyDescent="0.25">
      <c r="B3730" s="33" t="s">
        <v>5221</v>
      </c>
      <c r="C3730" s="33">
        <v>30</v>
      </c>
    </row>
    <row r="3731" spans="2:3" x14ac:dyDescent="0.25">
      <c r="B3731" s="33" t="s">
        <v>5222</v>
      </c>
      <c r="C3731" s="33">
        <v>30</v>
      </c>
    </row>
    <row r="3732" spans="2:3" x14ac:dyDescent="0.25">
      <c r="B3732" s="33" t="s">
        <v>5223</v>
      </c>
      <c r="C3732" s="33">
        <v>30</v>
      </c>
    </row>
    <row r="3733" spans="2:3" x14ac:dyDescent="0.25">
      <c r="B3733" s="33" t="s">
        <v>5224</v>
      </c>
      <c r="C3733" s="33">
        <v>30</v>
      </c>
    </row>
    <row r="3734" spans="2:3" x14ac:dyDescent="0.25">
      <c r="B3734" s="33" t="s">
        <v>5225</v>
      </c>
      <c r="C3734" s="33">
        <v>30</v>
      </c>
    </row>
    <row r="3735" spans="2:3" x14ac:dyDescent="0.25">
      <c r="B3735" s="33" t="s">
        <v>5226</v>
      </c>
      <c r="C3735" s="33">
        <v>30</v>
      </c>
    </row>
    <row r="3736" spans="2:3" x14ac:dyDescent="0.25">
      <c r="B3736" s="33" t="s">
        <v>5227</v>
      </c>
      <c r="C3736" s="33">
        <v>30</v>
      </c>
    </row>
    <row r="3737" spans="2:3" x14ac:dyDescent="0.25">
      <c r="B3737" s="33" t="s">
        <v>5228</v>
      </c>
      <c r="C3737" s="33">
        <v>30</v>
      </c>
    </row>
    <row r="3738" spans="2:3" x14ac:dyDescent="0.25">
      <c r="B3738" s="33" t="s">
        <v>5229</v>
      </c>
      <c r="C3738" s="33">
        <v>30</v>
      </c>
    </row>
    <row r="3739" spans="2:3" x14ac:dyDescent="0.25">
      <c r="B3739" s="33" t="s">
        <v>5230</v>
      </c>
      <c r="C3739" s="33">
        <v>30</v>
      </c>
    </row>
    <row r="3740" spans="2:3" x14ac:dyDescent="0.25">
      <c r="B3740" s="33" t="s">
        <v>5231</v>
      </c>
      <c r="C3740" s="33">
        <v>30</v>
      </c>
    </row>
    <row r="3741" spans="2:3" x14ac:dyDescent="0.25">
      <c r="B3741" s="33" t="s">
        <v>5232</v>
      </c>
      <c r="C3741" s="33">
        <v>30</v>
      </c>
    </row>
    <row r="3742" spans="2:3" x14ac:dyDescent="0.25">
      <c r="B3742" s="33" t="s">
        <v>5233</v>
      </c>
      <c r="C3742" s="33">
        <v>30</v>
      </c>
    </row>
    <row r="3743" spans="2:3" x14ac:dyDescent="0.25">
      <c r="B3743" s="33" t="s">
        <v>5234</v>
      </c>
      <c r="C3743" s="33">
        <v>30</v>
      </c>
    </row>
    <row r="3744" spans="2:3" x14ac:dyDescent="0.25">
      <c r="B3744" s="33" t="s">
        <v>5235</v>
      </c>
      <c r="C3744" s="33">
        <v>30</v>
      </c>
    </row>
    <row r="3745" spans="2:3" x14ac:dyDescent="0.25">
      <c r="B3745" s="33" t="s">
        <v>5236</v>
      </c>
      <c r="C3745" s="33">
        <v>30</v>
      </c>
    </row>
    <row r="3746" spans="2:3" x14ac:dyDescent="0.25">
      <c r="B3746" s="33" t="s">
        <v>5237</v>
      </c>
      <c r="C3746" s="33">
        <v>30</v>
      </c>
    </row>
    <row r="3747" spans="2:3" x14ac:dyDescent="0.25">
      <c r="B3747" s="33" t="s">
        <v>5238</v>
      </c>
      <c r="C3747" s="33">
        <v>30</v>
      </c>
    </row>
    <row r="3748" spans="2:3" x14ac:dyDescent="0.25">
      <c r="B3748" s="33" t="s">
        <v>5239</v>
      </c>
      <c r="C3748" s="33">
        <v>30</v>
      </c>
    </row>
    <row r="3749" spans="2:3" x14ac:dyDescent="0.25">
      <c r="B3749" s="33" t="s">
        <v>5240</v>
      </c>
      <c r="C3749" s="33">
        <v>30</v>
      </c>
    </row>
    <row r="3750" spans="2:3" x14ac:dyDescent="0.25">
      <c r="B3750" s="33" t="s">
        <v>5241</v>
      </c>
      <c r="C3750" s="33">
        <v>30</v>
      </c>
    </row>
    <row r="3751" spans="2:3" x14ac:dyDescent="0.25">
      <c r="B3751" s="33" t="s">
        <v>5242</v>
      </c>
      <c r="C3751" s="33">
        <v>30</v>
      </c>
    </row>
    <row r="3752" spans="2:3" x14ac:dyDescent="0.25">
      <c r="B3752" s="33" t="s">
        <v>5243</v>
      </c>
      <c r="C3752" s="33">
        <v>30</v>
      </c>
    </row>
    <row r="3753" spans="2:3" x14ac:dyDescent="0.25">
      <c r="B3753" s="33" t="s">
        <v>5244</v>
      </c>
      <c r="C3753" s="33">
        <v>30</v>
      </c>
    </row>
    <row r="3754" spans="2:3" x14ac:dyDescent="0.25">
      <c r="B3754" s="33" t="s">
        <v>5245</v>
      </c>
      <c r="C3754" s="33">
        <v>30</v>
      </c>
    </row>
    <row r="3755" spans="2:3" x14ac:dyDescent="0.25">
      <c r="B3755" s="33" t="s">
        <v>5246</v>
      </c>
      <c r="C3755" s="33">
        <v>30</v>
      </c>
    </row>
    <row r="3756" spans="2:3" x14ac:dyDescent="0.25">
      <c r="B3756" s="33" t="s">
        <v>5247</v>
      </c>
      <c r="C3756" s="33">
        <v>30</v>
      </c>
    </row>
    <row r="3757" spans="2:3" x14ac:dyDescent="0.25">
      <c r="B3757" s="33" t="s">
        <v>5248</v>
      </c>
      <c r="C3757" s="33">
        <v>30</v>
      </c>
    </row>
    <row r="3758" spans="2:3" x14ac:dyDescent="0.25">
      <c r="B3758" s="33" t="s">
        <v>5249</v>
      </c>
      <c r="C3758" s="33">
        <v>30</v>
      </c>
    </row>
    <row r="3759" spans="2:3" x14ac:dyDescent="0.25">
      <c r="B3759" s="33" t="s">
        <v>5250</v>
      </c>
      <c r="C3759" s="33">
        <v>30</v>
      </c>
    </row>
    <row r="3760" spans="2:3" x14ac:dyDescent="0.25">
      <c r="B3760" s="33" t="s">
        <v>5251</v>
      </c>
      <c r="C3760" s="33">
        <v>30</v>
      </c>
    </row>
    <row r="3761" spans="2:3" x14ac:dyDescent="0.25">
      <c r="B3761" s="33" t="s">
        <v>5252</v>
      </c>
      <c r="C3761" s="33">
        <v>30</v>
      </c>
    </row>
    <row r="3762" spans="2:3" x14ac:dyDescent="0.25">
      <c r="B3762" s="33" t="s">
        <v>5253</v>
      </c>
      <c r="C3762" s="33">
        <v>30</v>
      </c>
    </row>
    <row r="3763" spans="2:3" x14ac:dyDescent="0.25">
      <c r="B3763" s="33" t="s">
        <v>5254</v>
      </c>
      <c r="C3763" s="33">
        <v>30</v>
      </c>
    </row>
    <row r="3764" spans="2:3" x14ac:dyDescent="0.25">
      <c r="B3764" s="33" t="s">
        <v>5255</v>
      </c>
      <c r="C3764" s="33">
        <v>30</v>
      </c>
    </row>
    <row r="3765" spans="2:3" x14ac:dyDescent="0.25">
      <c r="B3765" s="33" t="s">
        <v>5256</v>
      </c>
      <c r="C3765" s="33">
        <v>30</v>
      </c>
    </row>
    <row r="3766" spans="2:3" x14ac:dyDescent="0.25">
      <c r="B3766" s="33" t="s">
        <v>5257</v>
      </c>
      <c r="C3766" s="33">
        <v>30</v>
      </c>
    </row>
    <row r="3767" spans="2:3" x14ac:dyDescent="0.25">
      <c r="B3767" s="33" t="s">
        <v>5258</v>
      </c>
      <c r="C3767" s="33">
        <v>30</v>
      </c>
    </row>
    <row r="3768" spans="2:3" x14ac:dyDescent="0.25">
      <c r="B3768" s="33" t="s">
        <v>5259</v>
      </c>
      <c r="C3768" s="33">
        <v>30</v>
      </c>
    </row>
    <row r="3769" spans="2:3" x14ac:dyDescent="0.25">
      <c r="B3769" s="33" t="s">
        <v>5260</v>
      </c>
      <c r="C3769" s="33">
        <v>30</v>
      </c>
    </row>
    <row r="3770" spans="2:3" x14ac:dyDescent="0.25">
      <c r="B3770" s="33" t="s">
        <v>5261</v>
      </c>
      <c r="C3770" s="33">
        <v>30</v>
      </c>
    </row>
    <row r="3771" spans="2:3" x14ac:dyDescent="0.25">
      <c r="B3771" s="33" t="s">
        <v>5262</v>
      </c>
      <c r="C3771" s="33">
        <v>30</v>
      </c>
    </row>
    <row r="3772" spans="2:3" x14ac:dyDescent="0.25">
      <c r="B3772" s="33" t="s">
        <v>5263</v>
      </c>
      <c r="C3772" s="33">
        <v>30</v>
      </c>
    </row>
    <row r="3773" spans="2:3" x14ac:dyDescent="0.25">
      <c r="B3773" s="33" t="s">
        <v>5264</v>
      </c>
      <c r="C3773" s="33">
        <v>30</v>
      </c>
    </row>
    <row r="3774" spans="2:3" x14ac:dyDescent="0.25">
      <c r="B3774" s="33" t="s">
        <v>5265</v>
      </c>
      <c r="C3774" s="33">
        <v>30</v>
      </c>
    </row>
    <row r="3775" spans="2:3" x14ac:dyDescent="0.25">
      <c r="B3775" s="33" t="s">
        <v>5266</v>
      </c>
      <c r="C3775" s="33">
        <v>30</v>
      </c>
    </row>
    <row r="3776" spans="2:3" x14ac:dyDescent="0.25">
      <c r="B3776" s="33" t="s">
        <v>5267</v>
      </c>
      <c r="C3776" s="33">
        <v>30</v>
      </c>
    </row>
    <row r="3777" spans="2:3" x14ac:dyDescent="0.25">
      <c r="B3777" s="33" t="s">
        <v>5268</v>
      </c>
      <c r="C3777" s="33">
        <v>30</v>
      </c>
    </row>
    <row r="3778" spans="2:3" x14ac:dyDescent="0.25">
      <c r="B3778" s="33" t="s">
        <v>5269</v>
      </c>
      <c r="C3778" s="33">
        <v>30</v>
      </c>
    </row>
    <row r="3779" spans="2:3" x14ac:dyDescent="0.25">
      <c r="B3779" s="33" t="s">
        <v>5270</v>
      </c>
      <c r="C3779" s="33">
        <v>30</v>
      </c>
    </row>
    <row r="3780" spans="2:3" x14ac:dyDescent="0.25">
      <c r="B3780" s="33" t="s">
        <v>5271</v>
      </c>
      <c r="C3780" s="33">
        <v>30</v>
      </c>
    </row>
    <row r="3781" spans="2:3" x14ac:dyDescent="0.25">
      <c r="B3781" s="33" t="s">
        <v>5272</v>
      </c>
      <c r="C3781" s="33">
        <v>30</v>
      </c>
    </row>
    <row r="3782" spans="2:3" x14ac:dyDescent="0.25">
      <c r="B3782" s="33" t="s">
        <v>5273</v>
      </c>
      <c r="C3782" s="33">
        <v>30</v>
      </c>
    </row>
    <row r="3783" spans="2:3" x14ac:dyDescent="0.25">
      <c r="B3783" s="33" t="s">
        <v>5274</v>
      </c>
      <c r="C3783" s="33">
        <v>30</v>
      </c>
    </row>
    <row r="3784" spans="2:3" x14ac:dyDescent="0.25">
      <c r="B3784" s="33" t="s">
        <v>5275</v>
      </c>
      <c r="C3784" s="33">
        <v>30</v>
      </c>
    </row>
    <row r="3785" spans="2:3" x14ac:dyDescent="0.25">
      <c r="B3785" s="33" t="s">
        <v>5276</v>
      </c>
      <c r="C3785" s="33">
        <v>30</v>
      </c>
    </row>
    <row r="3786" spans="2:3" x14ac:dyDescent="0.25">
      <c r="B3786" s="33" t="s">
        <v>5277</v>
      </c>
      <c r="C3786" s="33">
        <v>30</v>
      </c>
    </row>
    <row r="3787" spans="2:3" x14ac:dyDescent="0.25">
      <c r="B3787" s="33" t="s">
        <v>5278</v>
      </c>
      <c r="C3787" s="33">
        <v>30</v>
      </c>
    </row>
    <row r="3788" spans="2:3" x14ac:dyDescent="0.25">
      <c r="B3788" s="33" t="s">
        <v>5279</v>
      </c>
      <c r="C3788" s="33">
        <v>30</v>
      </c>
    </row>
    <row r="3789" spans="2:3" x14ac:dyDescent="0.25">
      <c r="B3789" s="33" t="s">
        <v>5280</v>
      </c>
      <c r="C3789" s="33">
        <v>30</v>
      </c>
    </row>
    <row r="3790" spans="2:3" x14ac:dyDescent="0.25">
      <c r="B3790" s="33" t="s">
        <v>5281</v>
      </c>
      <c r="C3790" s="33">
        <v>30</v>
      </c>
    </row>
    <row r="3791" spans="2:3" x14ac:dyDescent="0.25">
      <c r="B3791" s="33" t="s">
        <v>5282</v>
      </c>
      <c r="C3791" s="33">
        <v>30</v>
      </c>
    </row>
    <row r="3792" spans="2:3" x14ac:dyDescent="0.25">
      <c r="B3792" s="33" t="s">
        <v>5283</v>
      </c>
      <c r="C3792" s="33">
        <v>30</v>
      </c>
    </row>
    <row r="3793" spans="2:3" x14ac:dyDescent="0.25">
      <c r="B3793" s="33" t="s">
        <v>5284</v>
      </c>
      <c r="C3793" s="33">
        <v>30</v>
      </c>
    </row>
    <row r="3794" spans="2:3" x14ac:dyDescent="0.25">
      <c r="B3794" s="33" t="s">
        <v>5285</v>
      </c>
      <c r="C3794" s="33">
        <v>30</v>
      </c>
    </row>
    <row r="3795" spans="2:3" x14ac:dyDescent="0.25">
      <c r="B3795" s="33" t="s">
        <v>5286</v>
      </c>
      <c r="C3795" s="33">
        <v>30</v>
      </c>
    </row>
    <row r="3796" spans="2:3" x14ac:dyDescent="0.25">
      <c r="B3796" s="33" t="s">
        <v>5287</v>
      </c>
      <c r="C3796" s="33">
        <v>30</v>
      </c>
    </row>
    <row r="3797" spans="2:3" x14ac:dyDescent="0.25">
      <c r="B3797" s="33" t="s">
        <v>5288</v>
      </c>
      <c r="C3797" s="33">
        <v>30</v>
      </c>
    </row>
    <row r="3798" spans="2:3" x14ac:dyDescent="0.25">
      <c r="B3798" s="33" t="s">
        <v>5289</v>
      </c>
      <c r="C3798" s="33">
        <v>30</v>
      </c>
    </row>
    <row r="3799" spans="2:3" x14ac:dyDescent="0.25">
      <c r="B3799" s="33" t="s">
        <v>5290</v>
      </c>
      <c r="C3799" s="33">
        <v>30</v>
      </c>
    </row>
    <row r="3800" spans="2:3" x14ac:dyDescent="0.25">
      <c r="B3800" s="33" t="s">
        <v>5291</v>
      </c>
      <c r="C3800" s="33">
        <v>30</v>
      </c>
    </row>
    <row r="3801" spans="2:3" x14ac:dyDescent="0.25">
      <c r="B3801" s="33" t="s">
        <v>5292</v>
      </c>
      <c r="C3801" s="33">
        <v>30</v>
      </c>
    </row>
    <row r="3802" spans="2:3" x14ac:dyDescent="0.25">
      <c r="B3802" s="33" t="s">
        <v>5293</v>
      </c>
      <c r="C3802" s="33">
        <v>30</v>
      </c>
    </row>
    <row r="3803" spans="2:3" x14ac:dyDescent="0.25">
      <c r="B3803" s="33" t="s">
        <v>5294</v>
      </c>
      <c r="C3803" s="33">
        <v>30</v>
      </c>
    </row>
    <row r="3804" spans="2:3" x14ac:dyDescent="0.25">
      <c r="B3804" s="33" t="s">
        <v>5295</v>
      </c>
      <c r="C3804" s="33">
        <v>30</v>
      </c>
    </row>
    <row r="3805" spans="2:3" x14ac:dyDescent="0.25">
      <c r="B3805" s="33" t="s">
        <v>5296</v>
      </c>
      <c r="C3805" s="33">
        <v>30</v>
      </c>
    </row>
    <row r="3806" spans="2:3" x14ac:dyDescent="0.25">
      <c r="B3806" s="33" t="s">
        <v>5297</v>
      </c>
      <c r="C3806" s="33">
        <v>30</v>
      </c>
    </row>
    <row r="3807" spans="2:3" x14ac:dyDescent="0.25">
      <c r="B3807" s="33" t="s">
        <v>5298</v>
      </c>
      <c r="C3807" s="33">
        <v>30</v>
      </c>
    </row>
    <row r="3808" spans="2:3" x14ac:dyDescent="0.25">
      <c r="B3808" s="33" t="s">
        <v>5299</v>
      </c>
      <c r="C3808" s="33">
        <v>30</v>
      </c>
    </row>
    <row r="3809" spans="2:3" x14ac:dyDescent="0.25">
      <c r="B3809" s="33" t="s">
        <v>5300</v>
      </c>
      <c r="C3809" s="33">
        <v>30</v>
      </c>
    </row>
    <row r="3810" spans="2:3" x14ac:dyDescent="0.25">
      <c r="B3810" s="33" t="s">
        <v>5301</v>
      </c>
      <c r="C3810" s="33">
        <v>30</v>
      </c>
    </row>
    <row r="3811" spans="2:3" x14ac:dyDescent="0.25">
      <c r="B3811" s="33" t="s">
        <v>5302</v>
      </c>
      <c r="C3811" s="33">
        <v>30</v>
      </c>
    </row>
    <row r="3812" spans="2:3" x14ac:dyDescent="0.25">
      <c r="B3812" s="33" t="s">
        <v>5303</v>
      </c>
      <c r="C3812" s="33">
        <v>30</v>
      </c>
    </row>
    <row r="3813" spans="2:3" x14ac:dyDescent="0.25">
      <c r="B3813" s="33" t="s">
        <v>5304</v>
      </c>
      <c r="C3813" s="33">
        <v>30</v>
      </c>
    </row>
    <row r="3814" spans="2:3" x14ac:dyDescent="0.25">
      <c r="B3814" s="33" t="s">
        <v>5305</v>
      </c>
      <c r="C3814" s="33">
        <v>30</v>
      </c>
    </row>
    <row r="3815" spans="2:3" x14ac:dyDescent="0.25">
      <c r="B3815" s="33" t="s">
        <v>5306</v>
      </c>
      <c r="C3815" s="33">
        <v>30</v>
      </c>
    </row>
    <row r="3816" spans="2:3" x14ac:dyDescent="0.25">
      <c r="B3816" s="33" t="s">
        <v>5307</v>
      </c>
      <c r="C3816" s="33">
        <v>30</v>
      </c>
    </row>
    <row r="3817" spans="2:3" x14ac:dyDescent="0.25">
      <c r="B3817" s="33" t="s">
        <v>5308</v>
      </c>
      <c r="C3817" s="33">
        <v>30</v>
      </c>
    </row>
    <row r="3818" spans="2:3" x14ac:dyDescent="0.25">
      <c r="B3818" s="33" t="s">
        <v>5309</v>
      </c>
      <c r="C3818" s="33">
        <v>30</v>
      </c>
    </row>
    <row r="3819" spans="2:3" x14ac:dyDescent="0.25">
      <c r="B3819" s="33" t="s">
        <v>5310</v>
      </c>
      <c r="C3819" s="33">
        <v>30</v>
      </c>
    </row>
    <row r="3820" spans="2:3" x14ac:dyDescent="0.25">
      <c r="B3820" s="33" t="s">
        <v>5311</v>
      </c>
      <c r="C3820" s="33">
        <v>30</v>
      </c>
    </row>
    <row r="3821" spans="2:3" x14ac:dyDescent="0.25">
      <c r="B3821" s="33" t="s">
        <v>5312</v>
      </c>
      <c r="C3821" s="33">
        <v>30</v>
      </c>
    </row>
    <row r="3822" spans="2:3" x14ac:dyDescent="0.25">
      <c r="B3822" s="33" t="s">
        <v>5313</v>
      </c>
      <c r="C3822" s="33">
        <v>30</v>
      </c>
    </row>
    <row r="3823" spans="2:3" x14ac:dyDescent="0.25">
      <c r="B3823" s="33" t="s">
        <v>5314</v>
      </c>
      <c r="C3823" s="33">
        <v>30</v>
      </c>
    </row>
    <row r="3824" spans="2:3" x14ac:dyDescent="0.25">
      <c r="B3824" s="33" t="s">
        <v>5315</v>
      </c>
      <c r="C3824" s="33">
        <v>30</v>
      </c>
    </row>
    <row r="3825" spans="2:3" x14ac:dyDescent="0.25">
      <c r="B3825" s="33" t="s">
        <v>5316</v>
      </c>
      <c r="C3825" s="33">
        <v>30</v>
      </c>
    </row>
    <row r="3826" spans="2:3" x14ac:dyDescent="0.25">
      <c r="B3826" s="33" t="s">
        <v>5317</v>
      </c>
      <c r="C3826" s="33">
        <v>30</v>
      </c>
    </row>
    <row r="3827" spans="2:3" x14ac:dyDescent="0.25">
      <c r="B3827" s="33" t="s">
        <v>5318</v>
      </c>
      <c r="C3827" s="33">
        <v>30</v>
      </c>
    </row>
    <row r="3828" spans="2:3" x14ac:dyDescent="0.25">
      <c r="B3828" s="33" t="s">
        <v>5319</v>
      </c>
      <c r="C3828" s="33">
        <v>30</v>
      </c>
    </row>
    <row r="3829" spans="2:3" x14ac:dyDescent="0.25">
      <c r="B3829" s="33" t="s">
        <v>5320</v>
      </c>
      <c r="C3829" s="33">
        <v>30</v>
      </c>
    </row>
    <row r="3830" spans="2:3" x14ac:dyDescent="0.25">
      <c r="B3830" s="33" t="s">
        <v>5321</v>
      </c>
      <c r="C3830" s="33">
        <v>30</v>
      </c>
    </row>
    <row r="3831" spans="2:3" x14ac:dyDescent="0.25">
      <c r="B3831" s="33" t="s">
        <v>5322</v>
      </c>
      <c r="C3831" s="33">
        <v>30</v>
      </c>
    </row>
    <row r="3832" spans="2:3" x14ac:dyDescent="0.25">
      <c r="B3832" s="33" t="s">
        <v>5323</v>
      </c>
      <c r="C3832" s="33">
        <v>30</v>
      </c>
    </row>
    <row r="3833" spans="2:3" x14ac:dyDescent="0.25">
      <c r="B3833" s="33" t="s">
        <v>5324</v>
      </c>
      <c r="C3833" s="33">
        <v>30</v>
      </c>
    </row>
    <row r="3834" spans="2:3" x14ac:dyDescent="0.25">
      <c r="B3834" s="33" t="s">
        <v>5325</v>
      </c>
      <c r="C3834" s="33">
        <v>30</v>
      </c>
    </row>
    <row r="3835" spans="2:3" x14ac:dyDescent="0.25">
      <c r="B3835" s="33" t="s">
        <v>5326</v>
      </c>
      <c r="C3835" s="33">
        <v>30</v>
      </c>
    </row>
    <row r="3836" spans="2:3" x14ac:dyDescent="0.25">
      <c r="B3836" s="33" t="s">
        <v>5327</v>
      </c>
      <c r="C3836" s="33">
        <v>30</v>
      </c>
    </row>
    <row r="3837" spans="2:3" x14ac:dyDescent="0.25">
      <c r="B3837" s="33" t="s">
        <v>5328</v>
      </c>
      <c r="C3837" s="33">
        <v>30</v>
      </c>
    </row>
    <row r="3838" spans="2:3" x14ac:dyDescent="0.25">
      <c r="B3838" s="33" t="s">
        <v>5329</v>
      </c>
      <c r="C3838" s="33">
        <v>30</v>
      </c>
    </row>
    <row r="3839" spans="2:3" x14ac:dyDescent="0.25">
      <c r="B3839" s="33" t="s">
        <v>5330</v>
      </c>
      <c r="C3839" s="33">
        <v>30</v>
      </c>
    </row>
    <row r="3840" spans="2:3" x14ac:dyDescent="0.25">
      <c r="B3840" s="33" t="s">
        <v>5331</v>
      </c>
      <c r="C3840" s="33">
        <v>30</v>
      </c>
    </row>
    <row r="3841" spans="2:3" x14ac:dyDescent="0.25">
      <c r="B3841" s="33" t="s">
        <v>5332</v>
      </c>
      <c r="C3841" s="33">
        <v>30</v>
      </c>
    </row>
    <row r="3842" spans="2:3" x14ac:dyDescent="0.25">
      <c r="B3842" s="33" t="s">
        <v>5333</v>
      </c>
      <c r="C3842" s="33">
        <v>30</v>
      </c>
    </row>
    <row r="3843" spans="2:3" x14ac:dyDescent="0.25">
      <c r="B3843" s="33" t="s">
        <v>5334</v>
      </c>
      <c r="C3843" s="33">
        <v>30</v>
      </c>
    </row>
    <row r="3844" spans="2:3" x14ac:dyDescent="0.25">
      <c r="B3844" s="33" t="s">
        <v>5335</v>
      </c>
      <c r="C3844" s="33">
        <v>30</v>
      </c>
    </row>
    <row r="3845" spans="2:3" x14ac:dyDescent="0.25">
      <c r="B3845" s="33" t="s">
        <v>5336</v>
      </c>
      <c r="C3845" s="33">
        <v>30</v>
      </c>
    </row>
    <row r="3846" spans="2:3" x14ac:dyDescent="0.25">
      <c r="B3846" s="33" t="s">
        <v>5337</v>
      </c>
      <c r="C3846" s="33">
        <v>30</v>
      </c>
    </row>
    <row r="3847" spans="2:3" x14ac:dyDescent="0.25">
      <c r="B3847" s="33" t="s">
        <v>5338</v>
      </c>
      <c r="C3847" s="33">
        <v>30</v>
      </c>
    </row>
    <row r="3848" spans="2:3" x14ac:dyDescent="0.25">
      <c r="B3848" s="33" t="s">
        <v>5339</v>
      </c>
      <c r="C3848" s="33">
        <v>30</v>
      </c>
    </row>
    <row r="3849" spans="2:3" x14ac:dyDescent="0.25">
      <c r="B3849" s="33" t="s">
        <v>5340</v>
      </c>
      <c r="C3849" s="33">
        <v>30</v>
      </c>
    </row>
    <row r="3850" spans="2:3" x14ac:dyDescent="0.25">
      <c r="B3850" s="33" t="s">
        <v>5341</v>
      </c>
      <c r="C3850" s="33">
        <v>30</v>
      </c>
    </row>
    <row r="3851" spans="2:3" x14ac:dyDescent="0.25">
      <c r="B3851" s="33" t="s">
        <v>5342</v>
      </c>
      <c r="C3851" s="33">
        <v>30</v>
      </c>
    </row>
    <row r="3852" spans="2:3" x14ac:dyDescent="0.25">
      <c r="B3852" s="33" t="s">
        <v>5343</v>
      </c>
      <c r="C3852" s="33">
        <v>30</v>
      </c>
    </row>
    <row r="3853" spans="2:3" x14ac:dyDescent="0.25">
      <c r="B3853" s="33" t="s">
        <v>5344</v>
      </c>
      <c r="C3853" s="33">
        <v>30</v>
      </c>
    </row>
    <row r="3854" spans="2:3" x14ac:dyDescent="0.25">
      <c r="B3854" s="33" t="s">
        <v>5345</v>
      </c>
      <c r="C3854" s="33">
        <v>30</v>
      </c>
    </row>
    <row r="3855" spans="2:3" x14ac:dyDescent="0.25">
      <c r="B3855" s="33" t="s">
        <v>5346</v>
      </c>
      <c r="C3855" s="33">
        <v>30</v>
      </c>
    </row>
    <row r="3856" spans="2:3" x14ac:dyDescent="0.25">
      <c r="B3856" s="33" t="s">
        <v>5347</v>
      </c>
      <c r="C3856" s="33">
        <v>30</v>
      </c>
    </row>
    <row r="3857" spans="2:3" x14ac:dyDescent="0.25">
      <c r="B3857" s="33" t="s">
        <v>5348</v>
      </c>
      <c r="C3857" s="33">
        <v>30</v>
      </c>
    </row>
    <row r="3858" spans="2:3" x14ac:dyDescent="0.25">
      <c r="B3858" s="33" t="s">
        <v>5349</v>
      </c>
      <c r="C3858" s="33">
        <v>30</v>
      </c>
    </row>
    <row r="3859" spans="2:3" x14ac:dyDescent="0.25">
      <c r="B3859" s="33" t="s">
        <v>5350</v>
      </c>
      <c r="C3859" s="33">
        <v>30</v>
      </c>
    </row>
    <row r="3860" spans="2:3" x14ac:dyDescent="0.25">
      <c r="B3860" s="33" t="s">
        <v>5351</v>
      </c>
      <c r="C3860" s="33">
        <v>30</v>
      </c>
    </row>
    <row r="3861" spans="2:3" x14ac:dyDescent="0.25">
      <c r="B3861" s="33" t="s">
        <v>5352</v>
      </c>
      <c r="C3861" s="33">
        <v>30</v>
      </c>
    </row>
    <row r="3862" spans="2:3" x14ac:dyDescent="0.25">
      <c r="B3862" s="33" t="s">
        <v>5353</v>
      </c>
      <c r="C3862" s="33">
        <v>30</v>
      </c>
    </row>
    <row r="3863" spans="2:3" x14ac:dyDescent="0.25">
      <c r="B3863" s="33" t="s">
        <v>5354</v>
      </c>
      <c r="C3863" s="33">
        <v>30</v>
      </c>
    </row>
    <row r="3864" spans="2:3" x14ac:dyDescent="0.25">
      <c r="B3864" s="33" t="s">
        <v>5355</v>
      </c>
      <c r="C3864" s="33">
        <v>30</v>
      </c>
    </row>
    <row r="3865" spans="2:3" x14ac:dyDescent="0.25">
      <c r="B3865" s="33" t="s">
        <v>5356</v>
      </c>
      <c r="C3865" s="33">
        <v>30</v>
      </c>
    </row>
    <row r="3866" spans="2:3" x14ac:dyDescent="0.25">
      <c r="B3866" s="33" t="s">
        <v>5357</v>
      </c>
      <c r="C3866" s="33">
        <v>30</v>
      </c>
    </row>
    <row r="3867" spans="2:3" x14ac:dyDescent="0.25">
      <c r="B3867" s="33" t="s">
        <v>5358</v>
      </c>
      <c r="C3867" s="33">
        <v>30</v>
      </c>
    </row>
    <row r="3868" spans="2:3" x14ac:dyDescent="0.25">
      <c r="B3868" s="33" t="s">
        <v>5359</v>
      </c>
      <c r="C3868" s="33">
        <v>30</v>
      </c>
    </row>
    <row r="3869" spans="2:3" x14ac:dyDescent="0.25">
      <c r="B3869" s="33" t="s">
        <v>5360</v>
      </c>
      <c r="C3869" s="33">
        <v>30</v>
      </c>
    </row>
    <row r="3870" spans="2:3" x14ac:dyDescent="0.25">
      <c r="B3870" s="33" t="s">
        <v>5361</v>
      </c>
      <c r="C3870" s="33">
        <v>30</v>
      </c>
    </row>
    <row r="3871" spans="2:3" x14ac:dyDescent="0.25">
      <c r="B3871" s="33" t="s">
        <v>5362</v>
      </c>
      <c r="C3871" s="33">
        <v>30</v>
      </c>
    </row>
    <row r="3872" spans="2:3" x14ac:dyDescent="0.25">
      <c r="B3872" s="33" t="s">
        <v>5363</v>
      </c>
      <c r="C3872" s="33">
        <v>30</v>
      </c>
    </row>
    <row r="3873" spans="2:3" x14ac:dyDescent="0.25">
      <c r="B3873" s="33" t="s">
        <v>5364</v>
      </c>
      <c r="C3873" s="33">
        <v>30</v>
      </c>
    </row>
    <row r="3874" spans="2:3" x14ac:dyDescent="0.25">
      <c r="B3874" s="33" t="s">
        <v>5365</v>
      </c>
      <c r="C3874" s="33">
        <v>30</v>
      </c>
    </row>
    <row r="3875" spans="2:3" x14ac:dyDescent="0.25">
      <c r="B3875" s="33" t="s">
        <v>5366</v>
      </c>
      <c r="C3875" s="33">
        <v>30</v>
      </c>
    </row>
    <row r="3876" spans="2:3" x14ac:dyDescent="0.25">
      <c r="B3876" s="33" t="s">
        <v>5367</v>
      </c>
      <c r="C3876" s="33">
        <v>30</v>
      </c>
    </row>
    <row r="3877" spans="2:3" x14ac:dyDescent="0.25">
      <c r="B3877" s="33" t="s">
        <v>5368</v>
      </c>
      <c r="C3877" s="33">
        <v>30</v>
      </c>
    </row>
    <row r="3878" spans="2:3" x14ac:dyDescent="0.25">
      <c r="B3878" s="33" t="s">
        <v>5369</v>
      </c>
      <c r="C3878" s="33">
        <v>30</v>
      </c>
    </row>
    <row r="3879" spans="2:3" x14ac:dyDescent="0.25">
      <c r="B3879" s="33" t="s">
        <v>5370</v>
      </c>
      <c r="C3879" s="33">
        <v>30</v>
      </c>
    </row>
    <row r="3880" spans="2:3" x14ac:dyDescent="0.25">
      <c r="B3880" s="33" t="s">
        <v>5371</v>
      </c>
      <c r="C3880" s="33">
        <v>30</v>
      </c>
    </row>
    <row r="3881" spans="2:3" x14ac:dyDescent="0.25">
      <c r="B3881" s="33" t="s">
        <v>5372</v>
      </c>
      <c r="C3881" s="33">
        <v>30</v>
      </c>
    </row>
    <row r="3882" spans="2:3" x14ac:dyDescent="0.25">
      <c r="B3882" s="33" t="s">
        <v>5373</v>
      </c>
      <c r="C3882" s="33">
        <v>30</v>
      </c>
    </row>
    <row r="3883" spans="2:3" x14ac:dyDescent="0.25">
      <c r="B3883" s="33" t="s">
        <v>5374</v>
      </c>
      <c r="C3883" s="33">
        <v>30</v>
      </c>
    </row>
    <row r="3884" spans="2:3" x14ac:dyDescent="0.25">
      <c r="B3884" s="33" t="s">
        <v>5375</v>
      </c>
      <c r="C3884" s="33">
        <v>30</v>
      </c>
    </row>
    <row r="3885" spans="2:3" x14ac:dyDescent="0.25">
      <c r="B3885" s="33" t="s">
        <v>5376</v>
      </c>
      <c r="C3885" s="33">
        <v>30</v>
      </c>
    </row>
    <row r="3886" spans="2:3" x14ac:dyDescent="0.25">
      <c r="B3886" s="33" t="s">
        <v>5377</v>
      </c>
      <c r="C3886" s="33">
        <v>30</v>
      </c>
    </row>
    <row r="3887" spans="2:3" x14ac:dyDescent="0.25">
      <c r="B3887" s="33" t="s">
        <v>5378</v>
      </c>
      <c r="C3887" s="33">
        <v>30</v>
      </c>
    </row>
    <row r="3888" spans="2:3" x14ac:dyDescent="0.25">
      <c r="B3888" s="33" t="s">
        <v>5379</v>
      </c>
      <c r="C3888" s="33">
        <v>30</v>
      </c>
    </row>
    <row r="3889" spans="2:3" x14ac:dyDescent="0.25">
      <c r="B3889" s="33" t="s">
        <v>5380</v>
      </c>
      <c r="C3889" s="33">
        <v>30</v>
      </c>
    </row>
    <row r="3890" spans="2:3" x14ac:dyDescent="0.25">
      <c r="B3890" s="33" t="s">
        <v>5381</v>
      </c>
      <c r="C3890" s="33">
        <v>30</v>
      </c>
    </row>
    <row r="3891" spans="2:3" x14ac:dyDescent="0.25">
      <c r="B3891" s="33" t="s">
        <v>5382</v>
      </c>
      <c r="C3891" s="33">
        <v>30</v>
      </c>
    </row>
    <row r="3892" spans="2:3" x14ac:dyDescent="0.25">
      <c r="B3892" s="33" t="s">
        <v>5383</v>
      </c>
      <c r="C3892" s="33">
        <v>30</v>
      </c>
    </row>
    <row r="3893" spans="2:3" x14ac:dyDescent="0.25">
      <c r="B3893" s="33" t="s">
        <v>5384</v>
      </c>
      <c r="C3893" s="33">
        <v>30</v>
      </c>
    </row>
    <row r="3894" spans="2:3" x14ac:dyDescent="0.25">
      <c r="B3894" s="33" t="s">
        <v>5385</v>
      </c>
      <c r="C3894" s="33">
        <v>30</v>
      </c>
    </row>
    <row r="3895" spans="2:3" x14ac:dyDescent="0.25">
      <c r="B3895" s="33" t="s">
        <v>5386</v>
      </c>
      <c r="C3895" s="33">
        <v>30</v>
      </c>
    </row>
    <row r="3896" spans="2:3" x14ac:dyDescent="0.25">
      <c r="B3896" s="33" t="s">
        <v>5387</v>
      </c>
      <c r="C3896" s="33">
        <v>30</v>
      </c>
    </row>
    <row r="3897" spans="2:3" x14ac:dyDescent="0.25">
      <c r="B3897" s="33" t="s">
        <v>5388</v>
      </c>
      <c r="C3897" s="33">
        <v>30</v>
      </c>
    </row>
    <row r="3898" spans="2:3" x14ac:dyDescent="0.25">
      <c r="B3898" s="33" t="s">
        <v>5389</v>
      </c>
      <c r="C3898" s="33">
        <v>30</v>
      </c>
    </row>
    <row r="3899" spans="2:3" x14ac:dyDescent="0.25">
      <c r="B3899" s="33" t="s">
        <v>5390</v>
      </c>
      <c r="C3899" s="33">
        <v>30</v>
      </c>
    </row>
    <row r="3900" spans="2:3" x14ac:dyDescent="0.25">
      <c r="B3900" s="33" t="s">
        <v>5391</v>
      </c>
      <c r="C3900" s="33">
        <v>30</v>
      </c>
    </row>
    <row r="3901" spans="2:3" x14ac:dyDescent="0.25">
      <c r="B3901" s="33" t="s">
        <v>5392</v>
      </c>
      <c r="C3901" s="33">
        <v>30</v>
      </c>
    </row>
    <row r="3902" spans="2:3" x14ac:dyDescent="0.25">
      <c r="B3902" s="33" t="s">
        <v>5393</v>
      </c>
      <c r="C3902" s="33">
        <v>30</v>
      </c>
    </row>
    <row r="3903" spans="2:3" x14ac:dyDescent="0.25">
      <c r="B3903" s="33" t="s">
        <v>5394</v>
      </c>
      <c r="C3903" s="33">
        <v>30</v>
      </c>
    </row>
    <row r="3904" spans="2:3" x14ac:dyDescent="0.25">
      <c r="B3904" s="33" t="s">
        <v>5395</v>
      </c>
      <c r="C3904" s="33">
        <v>30</v>
      </c>
    </row>
    <row r="3905" spans="2:3" x14ac:dyDescent="0.25">
      <c r="B3905" s="33" t="s">
        <v>5396</v>
      </c>
      <c r="C3905" s="33">
        <v>30</v>
      </c>
    </row>
    <row r="3906" spans="2:3" x14ac:dyDescent="0.25">
      <c r="B3906" s="33" t="s">
        <v>5397</v>
      </c>
      <c r="C3906" s="33">
        <v>30</v>
      </c>
    </row>
    <row r="3907" spans="2:3" x14ac:dyDescent="0.25">
      <c r="B3907" s="33" t="s">
        <v>5398</v>
      </c>
      <c r="C3907" s="33">
        <v>30</v>
      </c>
    </row>
    <row r="3908" spans="2:3" x14ac:dyDescent="0.25">
      <c r="B3908" s="33" t="s">
        <v>5399</v>
      </c>
      <c r="C3908" s="33">
        <v>30</v>
      </c>
    </row>
    <row r="3909" spans="2:3" x14ac:dyDescent="0.25">
      <c r="B3909" s="33" t="s">
        <v>5400</v>
      </c>
      <c r="C3909" s="33">
        <v>30</v>
      </c>
    </row>
    <row r="3910" spans="2:3" x14ac:dyDescent="0.25">
      <c r="B3910" s="33" t="s">
        <v>5401</v>
      </c>
      <c r="C3910" s="33">
        <v>30</v>
      </c>
    </row>
    <row r="3911" spans="2:3" x14ac:dyDescent="0.25">
      <c r="B3911" s="33" t="s">
        <v>5402</v>
      </c>
      <c r="C3911" s="33">
        <v>30</v>
      </c>
    </row>
    <row r="3912" spans="2:3" x14ac:dyDescent="0.25">
      <c r="B3912" s="33" t="s">
        <v>5403</v>
      </c>
      <c r="C3912" s="33">
        <v>30</v>
      </c>
    </row>
    <row r="3913" spans="2:3" x14ac:dyDescent="0.25">
      <c r="B3913" s="33" t="s">
        <v>5404</v>
      </c>
      <c r="C3913" s="33">
        <v>30</v>
      </c>
    </row>
    <row r="3914" spans="2:3" x14ac:dyDescent="0.25">
      <c r="B3914" s="33" t="s">
        <v>5405</v>
      </c>
      <c r="C3914" s="33">
        <v>30</v>
      </c>
    </row>
    <row r="3915" spans="2:3" x14ac:dyDescent="0.25">
      <c r="B3915" s="33" t="s">
        <v>5406</v>
      </c>
      <c r="C3915" s="33">
        <v>30</v>
      </c>
    </row>
    <row r="3916" spans="2:3" x14ac:dyDescent="0.25">
      <c r="B3916" s="33" t="s">
        <v>5407</v>
      </c>
      <c r="C3916" s="33">
        <v>30</v>
      </c>
    </row>
    <row r="3917" spans="2:3" x14ac:dyDescent="0.25">
      <c r="B3917" s="33" t="s">
        <v>5408</v>
      </c>
      <c r="C3917" s="33">
        <v>30</v>
      </c>
    </row>
    <row r="3918" spans="2:3" x14ac:dyDescent="0.25">
      <c r="B3918" s="33" t="s">
        <v>5409</v>
      </c>
      <c r="C3918" s="33">
        <v>30</v>
      </c>
    </row>
    <row r="3919" spans="2:3" x14ac:dyDescent="0.25">
      <c r="B3919" s="33" t="s">
        <v>5410</v>
      </c>
      <c r="C3919" s="33">
        <v>30</v>
      </c>
    </row>
    <row r="3920" spans="2:3" x14ac:dyDescent="0.25">
      <c r="B3920" s="33" t="s">
        <v>5411</v>
      </c>
      <c r="C3920" s="33">
        <v>30</v>
      </c>
    </row>
    <row r="3921" spans="2:3" x14ac:dyDescent="0.25">
      <c r="B3921" s="33" t="s">
        <v>5412</v>
      </c>
      <c r="C3921" s="33">
        <v>30</v>
      </c>
    </row>
    <row r="3922" spans="2:3" x14ac:dyDescent="0.25">
      <c r="B3922" s="33" t="s">
        <v>5413</v>
      </c>
      <c r="C3922" s="33">
        <v>30</v>
      </c>
    </row>
    <row r="3923" spans="2:3" x14ac:dyDescent="0.25">
      <c r="B3923" s="33" t="s">
        <v>5414</v>
      </c>
      <c r="C3923" s="33">
        <v>30</v>
      </c>
    </row>
    <row r="3924" spans="2:3" x14ac:dyDescent="0.25">
      <c r="B3924" s="33" t="s">
        <v>5415</v>
      </c>
      <c r="C3924" s="33">
        <v>30</v>
      </c>
    </row>
    <row r="3925" spans="2:3" x14ac:dyDescent="0.25">
      <c r="B3925" s="33" t="s">
        <v>5416</v>
      </c>
      <c r="C3925" s="33">
        <v>30</v>
      </c>
    </row>
    <row r="3926" spans="2:3" x14ac:dyDescent="0.25">
      <c r="B3926" s="33" t="s">
        <v>5417</v>
      </c>
      <c r="C3926" s="33">
        <v>30</v>
      </c>
    </row>
    <row r="3927" spans="2:3" x14ac:dyDescent="0.25">
      <c r="B3927" s="33" t="s">
        <v>5418</v>
      </c>
      <c r="C3927" s="33">
        <v>30</v>
      </c>
    </row>
    <row r="3928" spans="2:3" x14ac:dyDescent="0.25">
      <c r="B3928" s="33" t="s">
        <v>5419</v>
      </c>
      <c r="C3928" s="33">
        <v>30</v>
      </c>
    </row>
    <row r="3929" spans="2:3" x14ac:dyDescent="0.25">
      <c r="B3929" s="33" t="s">
        <v>5420</v>
      </c>
      <c r="C3929" s="33">
        <v>30</v>
      </c>
    </row>
    <row r="3930" spans="2:3" x14ac:dyDescent="0.25">
      <c r="B3930" s="33" t="s">
        <v>5421</v>
      </c>
      <c r="C3930" s="33">
        <v>30</v>
      </c>
    </row>
    <row r="3931" spans="2:3" x14ac:dyDescent="0.25">
      <c r="B3931" s="33" t="s">
        <v>5422</v>
      </c>
      <c r="C3931" s="33">
        <v>30</v>
      </c>
    </row>
    <row r="3932" spans="2:3" x14ac:dyDescent="0.25">
      <c r="B3932" s="33" t="s">
        <v>5423</v>
      </c>
      <c r="C3932" s="33">
        <v>30</v>
      </c>
    </row>
    <row r="3933" spans="2:3" x14ac:dyDescent="0.25">
      <c r="B3933" s="33" t="s">
        <v>5424</v>
      </c>
      <c r="C3933" s="33">
        <v>30</v>
      </c>
    </row>
    <row r="3934" spans="2:3" x14ac:dyDescent="0.25">
      <c r="B3934" s="33" t="s">
        <v>5425</v>
      </c>
      <c r="C3934" s="33">
        <v>30</v>
      </c>
    </row>
    <row r="3935" spans="2:3" x14ac:dyDescent="0.25">
      <c r="B3935" s="33" t="s">
        <v>5426</v>
      </c>
      <c r="C3935" s="33">
        <v>30</v>
      </c>
    </row>
    <row r="3936" spans="2:3" x14ac:dyDescent="0.25">
      <c r="B3936" s="33" t="s">
        <v>5427</v>
      </c>
      <c r="C3936" s="33">
        <v>30</v>
      </c>
    </row>
    <row r="3937" spans="2:3" x14ac:dyDescent="0.25">
      <c r="B3937" s="33" t="s">
        <v>5428</v>
      </c>
      <c r="C3937" s="33">
        <v>30</v>
      </c>
    </row>
    <row r="3938" spans="2:3" x14ac:dyDescent="0.25">
      <c r="B3938" s="33" t="s">
        <v>5429</v>
      </c>
      <c r="C3938" s="33">
        <v>30</v>
      </c>
    </row>
    <row r="3939" spans="2:3" x14ac:dyDescent="0.25">
      <c r="B3939" s="33" t="s">
        <v>5430</v>
      </c>
      <c r="C3939" s="33">
        <v>30</v>
      </c>
    </row>
    <row r="3940" spans="2:3" x14ac:dyDescent="0.25">
      <c r="B3940" s="33" t="s">
        <v>5431</v>
      </c>
      <c r="C3940" s="33">
        <v>30</v>
      </c>
    </row>
    <row r="3941" spans="2:3" x14ac:dyDescent="0.25">
      <c r="B3941" s="33" t="s">
        <v>5432</v>
      </c>
      <c r="C3941" s="33">
        <v>30</v>
      </c>
    </row>
    <row r="3942" spans="2:3" x14ac:dyDescent="0.25">
      <c r="B3942" s="33" t="s">
        <v>5433</v>
      </c>
      <c r="C3942" s="33">
        <v>30</v>
      </c>
    </row>
    <row r="3943" spans="2:3" x14ac:dyDescent="0.25">
      <c r="B3943" s="33" t="s">
        <v>5434</v>
      </c>
      <c r="C3943" s="33">
        <v>30</v>
      </c>
    </row>
    <row r="3944" spans="2:3" x14ac:dyDescent="0.25">
      <c r="B3944" s="33" t="s">
        <v>5435</v>
      </c>
      <c r="C3944" s="33">
        <v>30</v>
      </c>
    </row>
    <row r="3945" spans="2:3" x14ac:dyDescent="0.25">
      <c r="B3945" s="33" t="s">
        <v>5436</v>
      </c>
      <c r="C3945" s="33">
        <v>30</v>
      </c>
    </row>
    <row r="3946" spans="2:3" x14ac:dyDescent="0.25">
      <c r="B3946" s="33" t="s">
        <v>5437</v>
      </c>
      <c r="C3946" s="33">
        <v>30</v>
      </c>
    </row>
    <row r="3947" spans="2:3" x14ac:dyDescent="0.25">
      <c r="B3947" s="33" t="s">
        <v>5438</v>
      </c>
      <c r="C3947" s="33">
        <v>30</v>
      </c>
    </row>
    <row r="3948" spans="2:3" x14ac:dyDescent="0.25">
      <c r="B3948" s="33" t="s">
        <v>5439</v>
      </c>
      <c r="C3948" s="33">
        <v>30</v>
      </c>
    </row>
    <row r="3949" spans="2:3" x14ac:dyDescent="0.25">
      <c r="B3949" s="33" t="s">
        <v>5440</v>
      </c>
      <c r="C3949" s="33">
        <v>30</v>
      </c>
    </row>
    <row r="3950" spans="2:3" x14ac:dyDescent="0.25">
      <c r="B3950" s="33" t="s">
        <v>5441</v>
      </c>
      <c r="C3950" s="33">
        <v>30</v>
      </c>
    </row>
    <row r="3951" spans="2:3" x14ac:dyDescent="0.25">
      <c r="B3951" s="33" t="s">
        <v>5442</v>
      </c>
      <c r="C3951" s="33">
        <v>30</v>
      </c>
    </row>
    <row r="3952" spans="2:3" x14ac:dyDescent="0.25">
      <c r="B3952" s="33" t="s">
        <v>5443</v>
      </c>
      <c r="C3952" s="33">
        <v>30</v>
      </c>
    </row>
    <row r="3953" spans="2:3" x14ac:dyDescent="0.25">
      <c r="B3953" s="33" t="s">
        <v>5444</v>
      </c>
      <c r="C3953" s="33">
        <v>30</v>
      </c>
    </row>
    <row r="3954" spans="2:3" x14ac:dyDescent="0.25">
      <c r="B3954" s="33" t="s">
        <v>5445</v>
      </c>
      <c r="C3954" s="33">
        <v>30</v>
      </c>
    </row>
    <row r="3955" spans="2:3" x14ac:dyDescent="0.25">
      <c r="B3955" s="33" t="s">
        <v>5446</v>
      </c>
      <c r="C3955" s="33">
        <v>30</v>
      </c>
    </row>
    <row r="3956" spans="2:3" x14ac:dyDescent="0.25">
      <c r="B3956" s="33" t="s">
        <v>5447</v>
      </c>
      <c r="C3956" s="33">
        <v>30</v>
      </c>
    </row>
    <row r="3957" spans="2:3" x14ac:dyDescent="0.25">
      <c r="B3957" s="33" t="s">
        <v>5448</v>
      </c>
      <c r="C3957" s="33">
        <v>30</v>
      </c>
    </row>
    <row r="3958" spans="2:3" x14ac:dyDescent="0.25">
      <c r="B3958" s="33" t="s">
        <v>5449</v>
      </c>
      <c r="C3958" s="33">
        <v>30</v>
      </c>
    </row>
    <row r="3959" spans="2:3" x14ac:dyDescent="0.25">
      <c r="B3959" s="33" t="s">
        <v>5450</v>
      </c>
      <c r="C3959" s="33">
        <v>30</v>
      </c>
    </row>
    <row r="3960" spans="2:3" x14ac:dyDescent="0.25">
      <c r="B3960" s="33" t="s">
        <v>5451</v>
      </c>
      <c r="C3960" s="33">
        <v>30</v>
      </c>
    </row>
    <row r="3961" spans="2:3" x14ac:dyDescent="0.25">
      <c r="B3961" s="33" t="s">
        <v>5452</v>
      </c>
      <c r="C3961" s="33">
        <v>30</v>
      </c>
    </row>
    <row r="3962" spans="2:3" x14ac:dyDescent="0.25">
      <c r="B3962" s="33" t="s">
        <v>5453</v>
      </c>
      <c r="C3962" s="33">
        <v>30</v>
      </c>
    </row>
    <row r="3963" spans="2:3" x14ac:dyDescent="0.25">
      <c r="B3963" s="33" t="s">
        <v>5454</v>
      </c>
      <c r="C3963" s="33">
        <v>30</v>
      </c>
    </row>
    <row r="3964" spans="2:3" x14ac:dyDescent="0.25">
      <c r="B3964" s="33" t="s">
        <v>5455</v>
      </c>
      <c r="C3964" s="33">
        <v>30</v>
      </c>
    </row>
    <row r="3965" spans="2:3" x14ac:dyDescent="0.25">
      <c r="B3965" s="33" t="s">
        <v>5456</v>
      </c>
      <c r="C3965" s="33">
        <v>30</v>
      </c>
    </row>
    <row r="3966" spans="2:3" x14ac:dyDescent="0.25">
      <c r="B3966" s="33" t="s">
        <v>5457</v>
      </c>
      <c r="C3966" s="33">
        <v>30</v>
      </c>
    </row>
    <row r="3967" spans="2:3" x14ac:dyDescent="0.25">
      <c r="B3967" s="33" t="s">
        <v>5458</v>
      </c>
      <c r="C3967" s="33">
        <v>30</v>
      </c>
    </row>
    <row r="3968" spans="2:3" x14ac:dyDescent="0.25">
      <c r="B3968" s="33" t="s">
        <v>5459</v>
      </c>
      <c r="C3968" s="33">
        <v>30</v>
      </c>
    </row>
    <row r="3969" spans="2:3" x14ac:dyDescent="0.25">
      <c r="B3969" s="33" t="s">
        <v>5460</v>
      </c>
      <c r="C3969" s="33">
        <v>30</v>
      </c>
    </row>
    <row r="3970" spans="2:3" x14ac:dyDescent="0.25">
      <c r="B3970" s="33" t="s">
        <v>5461</v>
      </c>
      <c r="C3970" s="33">
        <v>30</v>
      </c>
    </row>
    <row r="3971" spans="2:3" x14ac:dyDescent="0.25">
      <c r="B3971" s="33" t="s">
        <v>5462</v>
      </c>
      <c r="C3971" s="33">
        <v>30</v>
      </c>
    </row>
    <row r="3972" spans="2:3" x14ac:dyDescent="0.25">
      <c r="B3972" s="33" t="s">
        <v>5463</v>
      </c>
      <c r="C3972" s="33">
        <v>30</v>
      </c>
    </row>
    <row r="3973" spans="2:3" x14ac:dyDescent="0.25">
      <c r="B3973" s="33" t="s">
        <v>5464</v>
      </c>
      <c r="C3973" s="33">
        <v>30</v>
      </c>
    </row>
    <row r="3974" spans="2:3" x14ac:dyDescent="0.25">
      <c r="B3974" s="33" t="s">
        <v>5465</v>
      </c>
      <c r="C3974" s="33">
        <v>30</v>
      </c>
    </row>
    <row r="3975" spans="2:3" x14ac:dyDescent="0.25">
      <c r="B3975" s="33" t="s">
        <v>5466</v>
      </c>
      <c r="C3975" s="33">
        <v>30</v>
      </c>
    </row>
    <row r="3976" spans="2:3" x14ac:dyDescent="0.25">
      <c r="B3976" s="33" t="s">
        <v>5467</v>
      </c>
      <c r="C3976" s="33">
        <v>30</v>
      </c>
    </row>
    <row r="3977" spans="2:3" x14ac:dyDescent="0.25">
      <c r="B3977" s="33" t="s">
        <v>5468</v>
      </c>
      <c r="C3977" s="33">
        <v>30</v>
      </c>
    </row>
    <row r="3978" spans="2:3" x14ac:dyDescent="0.25">
      <c r="B3978" s="33" t="s">
        <v>5469</v>
      </c>
      <c r="C3978" s="33">
        <v>30</v>
      </c>
    </row>
    <row r="3979" spans="2:3" x14ac:dyDescent="0.25">
      <c r="B3979" s="33" t="s">
        <v>5470</v>
      </c>
      <c r="C3979" s="33">
        <v>30</v>
      </c>
    </row>
    <row r="3980" spans="2:3" x14ac:dyDescent="0.25">
      <c r="B3980" s="33" t="s">
        <v>5471</v>
      </c>
      <c r="C3980" s="33">
        <v>30</v>
      </c>
    </row>
    <row r="3981" spans="2:3" x14ac:dyDescent="0.25">
      <c r="B3981" s="33" t="s">
        <v>5472</v>
      </c>
      <c r="C3981" s="33">
        <v>30</v>
      </c>
    </row>
    <row r="3982" spans="2:3" x14ac:dyDescent="0.25">
      <c r="B3982" s="33" t="s">
        <v>5473</v>
      </c>
      <c r="C3982" s="33">
        <v>30</v>
      </c>
    </row>
    <row r="3983" spans="2:3" x14ac:dyDescent="0.25">
      <c r="B3983" s="33" t="s">
        <v>5474</v>
      </c>
      <c r="C3983" s="33">
        <v>30</v>
      </c>
    </row>
    <row r="3984" spans="2:3" x14ac:dyDescent="0.25">
      <c r="B3984" s="33" t="s">
        <v>5475</v>
      </c>
      <c r="C3984" s="33">
        <v>30</v>
      </c>
    </row>
    <row r="3985" spans="2:3" x14ac:dyDescent="0.25">
      <c r="B3985" s="33" t="s">
        <v>5476</v>
      </c>
      <c r="C3985" s="33">
        <v>30</v>
      </c>
    </row>
    <row r="3986" spans="2:3" x14ac:dyDescent="0.25">
      <c r="B3986" s="33" t="s">
        <v>5477</v>
      </c>
      <c r="C3986" s="33">
        <v>30</v>
      </c>
    </row>
    <row r="3987" spans="2:3" x14ac:dyDescent="0.25">
      <c r="B3987" s="33" t="s">
        <v>5478</v>
      </c>
      <c r="C3987" s="33">
        <v>30</v>
      </c>
    </row>
    <row r="3988" spans="2:3" x14ac:dyDescent="0.25">
      <c r="B3988" s="33" t="s">
        <v>5479</v>
      </c>
      <c r="C3988" s="33">
        <v>30</v>
      </c>
    </row>
    <row r="3989" spans="2:3" x14ac:dyDescent="0.25">
      <c r="B3989" s="33" t="s">
        <v>5480</v>
      </c>
      <c r="C3989" s="33">
        <v>30</v>
      </c>
    </row>
    <row r="3990" spans="2:3" x14ac:dyDescent="0.25">
      <c r="B3990" s="33" t="s">
        <v>5481</v>
      </c>
      <c r="C3990" s="33">
        <v>30</v>
      </c>
    </row>
    <row r="3991" spans="2:3" x14ac:dyDescent="0.25">
      <c r="B3991" s="33" t="s">
        <v>5482</v>
      </c>
      <c r="C3991" s="33">
        <v>30</v>
      </c>
    </row>
    <row r="3992" spans="2:3" x14ac:dyDescent="0.25">
      <c r="B3992" s="33" t="s">
        <v>5483</v>
      </c>
      <c r="C3992" s="33">
        <v>30</v>
      </c>
    </row>
    <row r="3993" spans="2:3" x14ac:dyDescent="0.25">
      <c r="B3993" s="33" t="s">
        <v>5484</v>
      </c>
      <c r="C3993" s="33">
        <v>30</v>
      </c>
    </row>
    <row r="3994" spans="2:3" x14ac:dyDescent="0.25">
      <c r="B3994" s="33" t="s">
        <v>5485</v>
      </c>
      <c r="C3994" s="33">
        <v>30</v>
      </c>
    </row>
    <row r="3995" spans="2:3" x14ac:dyDescent="0.25">
      <c r="B3995" s="33" t="s">
        <v>5486</v>
      </c>
      <c r="C3995" s="33">
        <v>30</v>
      </c>
    </row>
    <row r="3996" spans="2:3" x14ac:dyDescent="0.25">
      <c r="B3996" s="33" t="s">
        <v>5487</v>
      </c>
      <c r="C3996" s="33">
        <v>30</v>
      </c>
    </row>
    <row r="3997" spans="2:3" x14ac:dyDescent="0.25">
      <c r="B3997" s="33" t="s">
        <v>5488</v>
      </c>
      <c r="C3997" s="33">
        <v>30</v>
      </c>
    </row>
    <row r="3998" spans="2:3" x14ac:dyDescent="0.25">
      <c r="B3998" s="33" t="s">
        <v>5489</v>
      </c>
      <c r="C3998" s="33">
        <v>30</v>
      </c>
    </row>
    <row r="3999" spans="2:3" x14ac:dyDescent="0.25">
      <c r="B3999" s="33" t="s">
        <v>5490</v>
      </c>
      <c r="C3999" s="33">
        <v>30</v>
      </c>
    </row>
    <row r="4000" spans="2:3" x14ac:dyDescent="0.25">
      <c r="B4000" s="33" t="s">
        <v>5491</v>
      </c>
      <c r="C4000" s="33">
        <v>30</v>
      </c>
    </row>
    <row r="4001" spans="2:3" x14ac:dyDescent="0.25">
      <c r="B4001" s="33" t="s">
        <v>5492</v>
      </c>
      <c r="C4001" s="33">
        <v>30</v>
      </c>
    </row>
    <row r="4002" spans="2:3" x14ac:dyDescent="0.25">
      <c r="B4002" s="33" t="s">
        <v>5493</v>
      </c>
      <c r="C4002" s="33">
        <v>30</v>
      </c>
    </row>
    <row r="4003" spans="2:3" x14ac:dyDescent="0.25">
      <c r="B4003" s="33" t="s">
        <v>5494</v>
      </c>
      <c r="C4003" s="33">
        <v>30</v>
      </c>
    </row>
    <row r="4004" spans="2:3" x14ac:dyDescent="0.25">
      <c r="B4004" s="33" t="s">
        <v>5495</v>
      </c>
      <c r="C4004" s="33">
        <v>30</v>
      </c>
    </row>
    <row r="4005" spans="2:3" x14ac:dyDescent="0.25">
      <c r="B4005" s="33" t="s">
        <v>5496</v>
      </c>
      <c r="C4005" s="33">
        <v>30</v>
      </c>
    </row>
    <row r="4006" spans="2:3" x14ac:dyDescent="0.25">
      <c r="B4006" s="33" t="s">
        <v>5497</v>
      </c>
      <c r="C4006" s="33">
        <v>30</v>
      </c>
    </row>
    <row r="4007" spans="2:3" x14ac:dyDescent="0.25">
      <c r="B4007" s="33" t="s">
        <v>5498</v>
      </c>
      <c r="C4007" s="33">
        <v>30</v>
      </c>
    </row>
    <row r="4008" spans="2:3" x14ac:dyDescent="0.25">
      <c r="B4008" s="33" t="s">
        <v>5499</v>
      </c>
      <c r="C4008" s="33">
        <v>30</v>
      </c>
    </row>
    <row r="4009" spans="2:3" x14ac:dyDescent="0.25">
      <c r="B4009" s="33" t="s">
        <v>5500</v>
      </c>
      <c r="C4009" s="33">
        <v>30</v>
      </c>
    </row>
    <row r="4010" spans="2:3" x14ac:dyDescent="0.25">
      <c r="B4010" s="33" t="s">
        <v>5501</v>
      </c>
      <c r="C4010" s="33">
        <v>30</v>
      </c>
    </row>
    <row r="4011" spans="2:3" x14ac:dyDescent="0.25">
      <c r="B4011" s="33" t="s">
        <v>5502</v>
      </c>
      <c r="C4011" s="33">
        <v>30</v>
      </c>
    </row>
    <row r="4012" spans="2:3" x14ac:dyDescent="0.25">
      <c r="B4012" s="33" t="s">
        <v>5503</v>
      </c>
      <c r="C4012" s="33">
        <v>30</v>
      </c>
    </row>
    <row r="4013" spans="2:3" x14ac:dyDescent="0.25">
      <c r="B4013" s="33" t="s">
        <v>5504</v>
      </c>
      <c r="C4013" s="33">
        <v>30</v>
      </c>
    </row>
    <row r="4014" spans="2:3" x14ac:dyDescent="0.25">
      <c r="B4014" s="33" t="s">
        <v>5505</v>
      </c>
      <c r="C4014" s="33">
        <v>30</v>
      </c>
    </row>
    <row r="4015" spans="2:3" x14ac:dyDescent="0.25">
      <c r="B4015" s="33" t="s">
        <v>5506</v>
      </c>
      <c r="C4015" s="33">
        <v>30</v>
      </c>
    </row>
    <row r="4016" spans="2:3" x14ac:dyDescent="0.25">
      <c r="B4016" s="33" t="s">
        <v>5507</v>
      </c>
      <c r="C4016" s="33">
        <v>30</v>
      </c>
    </row>
    <row r="4017" spans="2:3" x14ac:dyDescent="0.25">
      <c r="B4017" s="33" t="s">
        <v>5508</v>
      </c>
      <c r="C4017" s="33">
        <v>30</v>
      </c>
    </row>
    <row r="4018" spans="2:3" x14ac:dyDescent="0.25">
      <c r="B4018" s="33" t="s">
        <v>5509</v>
      </c>
      <c r="C4018" s="33">
        <v>30</v>
      </c>
    </row>
    <row r="4019" spans="2:3" x14ac:dyDescent="0.25">
      <c r="B4019" s="33" t="s">
        <v>5510</v>
      </c>
      <c r="C4019" s="33">
        <v>30</v>
      </c>
    </row>
    <row r="4020" spans="2:3" x14ac:dyDescent="0.25">
      <c r="B4020" s="33" t="s">
        <v>5511</v>
      </c>
      <c r="C4020" s="33">
        <v>30</v>
      </c>
    </row>
    <row r="4021" spans="2:3" x14ac:dyDescent="0.25">
      <c r="B4021" s="33" t="s">
        <v>5512</v>
      </c>
      <c r="C4021" s="33">
        <v>30</v>
      </c>
    </row>
    <row r="4022" spans="2:3" x14ac:dyDescent="0.25">
      <c r="B4022" s="33" t="s">
        <v>5513</v>
      </c>
      <c r="C4022" s="33">
        <v>30</v>
      </c>
    </row>
    <row r="4023" spans="2:3" x14ac:dyDescent="0.25">
      <c r="B4023" s="33" t="s">
        <v>5514</v>
      </c>
      <c r="C4023" s="33">
        <v>30</v>
      </c>
    </row>
    <row r="4024" spans="2:3" x14ac:dyDescent="0.25">
      <c r="B4024" s="33" t="s">
        <v>5515</v>
      </c>
      <c r="C4024" s="33">
        <v>30</v>
      </c>
    </row>
    <row r="4025" spans="2:3" x14ac:dyDescent="0.25">
      <c r="B4025" s="33" t="s">
        <v>5516</v>
      </c>
      <c r="C4025" s="33">
        <v>30</v>
      </c>
    </row>
    <row r="4026" spans="2:3" x14ac:dyDescent="0.25">
      <c r="B4026" s="33" t="s">
        <v>5517</v>
      </c>
      <c r="C4026" s="33">
        <v>30</v>
      </c>
    </row>
    <row r="4027" spans="2:3" x14ac:dyDescent="0.25">
      <c r="B4027" s="33" t="s">
        <v>5518</v>
      </c>
      <c r="C4027" s="33">
        <v>30</v>
      </c>
    </row>
    <row r="4028" spans="2:3" x14ac:dyDescent="0.25">
      <c r="B4028" s="33" t="s">
        <v>5519</v>
      </c>
      <c r="C4028" s="33">
        <v>30</v>
      </c>
    </row>
    <row r="4029" spans="2:3" x14ac:dyDescent="0.25">
      <c r="B4029" s="33" t="s">
        <v>5520</v>
      </c>
      <c r="C4029" s="33">
        <v>30</v>
      </c>
    </row>
    <row r="4030" spans="2:3" x14ac:dyDescent="0.25">
      <c r="B4030" s="33" t="s">
        <v>5521</v>
      </c>
      <c r="C4030" s="33">
        <v>30</v>
      </c>
    </row>
    <row r="4031" spans="2:3" x14ac:dyDescent="0.25">
      <c r="B4031" s="33" t="s">
        <v>5522</v>
      </c>
      <c r="C4031" s="33">
        <v>30</v>
      </c>
    </row>
    <row r="4032" spans="2:3" x14ac:dyDescent="0.25">
      <c r="B4032" s="33" t="s">
        <v>5523</v>
      </c>
      <c r="C4032" s="33">
        <v>30</v>
      </c>
    </row>
    <row r="4033" spans="2:3" x14ac:dyDescent="0.25">
      <c r="B4033" s="33" t="s">
        <v>5524</v>
      </c>
      <c r="C4033" s="33">
        <v>30</v>
      </c>
    </row>
    <row r="4034" spans="2:3" x14ac:dyDescent="0.25">
      <c r="B4034" s="33" t="s">
        <v>5525</v>
      </c>
      <c r="C4034" s="33">
        <v>30</v>
      </c>
    </row>
    <row r="4035" spans="2:3" x14ac:dyDescent="0.25">
      <c r="B4035" s="33" t="s">
        <v>5526</v>
      </c>
      <c r="C4035" s="33">
        <v>30</v>
      </c>
    </row>
    <row r="4036" spans="2:3" x14ac:dyDescent="0.25">
      <c r="B4036" s="33" t="s">
        <v>5527</v>
      </c>
      <c r="C4036" s="33">
        <v>30</v>
      </c>
    </row>
    <row r="4037" spans="2:3" x14ac:dyDescent="0.25">
      <c r="B4037" s="33" t="s">
        <v>5528</v>
      </c>
      <c r="C4037" s="33">
        <v>30</v>
      </c>
    </row>
    <row r="4038" spans="2:3" x14ac:dyDescent="0.25">
      <c r="B4038" s="33" t="s">
        <v>5529</v>
      </c>
      <c r="C4038" s="33">
        <v>30</v>
      </c>
    </row>
    <row r="4039" spans="2:3" x14ac:dyDescent="0.25">
      <c r="B4039" s="33" t="s">
        <v>5530</v>
      </c>
      <c r="C4039" s="33">
        <v>30</v>
      </c>
    </row>
    <row r="4040" spans="2:3" x14ac:dyDescent="0.25">
      <c r="B4040" s="33" t="s">
        <v>5531</v>
      </c>
      <c r="C4040" s="33">
        <v>30</v>
      </c>
    </row>
    <row r="4041" spans="2:3" x14ac:dyDescent="0.25">
      <c r="B4041" s="33" t="s">
        <v>5532</v>
      </c>
      <c r="C4041" s="33">
        <v>30</v>
      </c>
    </row>
    <row r="4042" spans="2:3" x14ac:dyDescent="0.25">
      <c r="B4042" s="33" t="s">
        <v>5533</v>
      </c>
      <c r="C4042" s="33">
        <v>30</v>
      </c>
    </row>
    <row r="4043" spans="2:3" x14ac:dyDescent="0.25">
      <c r="B4043" s="33" t="s">
        <v>5534</v>
      </c>
      <c r="C4043" s="33">
        <v>30</v>
      </c>
    </row>
    <row r="4044" spans="2:3" x14ac:dyDescent="0.25">
      <c r="B4044" s="33" t="s">
        <v>5535</v>
      </c>
      <c r="C4044" s="33">
        <v>30</v>
      </c>
    </row>
    <row r="4045" spans="2:3" x14ac:dyDescent="0.25">
      <c r="B4045" s="33" t="s">
        <v>5536</v>
      </c>
      <c r="C4045" s="33">
        <v>30</v>
      </c>
    </row>
    <row r="4046" spans="2:3" x14ac:dyDescent="0.25">
      <c r="B4046" s="33" t="s">
        <v>5537</v>
      </c>
      <c r="C4046" s="33">
        <v>30</v>
      </c>
    </row>
    <row r="4047" spans="2:3" x14ac:dyDescent="0.25">
      <c r="B4047" s="33" t="s">
        <v>5538</v>
      </c>
      <c r="C4047" s="33">
        <v>30</v>
      </c>
    </row>
    <row r="4048" spans="2:3" x14ac:dyDescent="0.25">
      <c r="B4048" s="33" t="s">
        <v>5539</v>
      </c>
      <c r="C4048" s="33">
        <v>30</v>
      </c>
    </row>
    <row r="4049" spans="2:3" x14ac:dyDescent="0.25">
      <c r="B4049" s="33" t="s">
        <v>5540</v>
      </c>
      <c r="C4049" s="33">
        <v>30</v>
      </c>
    </row>
    <row r="4050" spans="2:3" x14ac:dyDescent="0.25">
      <c r="B4050" s="33" t="s">
        <v>5541</v>
      </c>
      <c r="C4050" s="33">
        <v>30</v>
      </c>
    </row>
    <row r="4051" spans="2:3" x14ac:dyDescent="0.25">
      <c r="B4051" s="33" t="s">
        <v>5542</v>
      </c>
      <c r="C4051" s="33">
        <v>30</v>
      </c>
    </row>
    <row r="4052" spans="2:3" x14ac:dyDescent="0.25">
      <c r="B4052" s="33" t="s">
        <v>5543</v>
      </c>
      <c r="C4052" s="33">
        <v>30</v>
      </c>
    </row>
    <row r="4053" spans="2:3" x14ac:dyDescent="0.25">
      <c r="B4053" s="33" t="s">
        <v>5544</v>
      </c>
      <c r="C4053" s="33">
        <v>30</v>
      </c>
    </row>
    <row r="4054" spans="2:3" x14ac:dyDescent="0.25">
      <c r="B4054" s="33" t="s">
        <v>5545</v>
      </c>
      <c r="C4054" s="33">
        <v>30</v>
      </c>
    </row>
    <row r="4055" spans="2:3" x14ac:dyDescent="0.25">
      <c r="B4055" s="33" t="s">
        <v>5546</v>
      </c>
      <c r="C4055" s="33">
        <v>30</v>
      </c>
    </row>
    <row r="4056" spans="2:3" x14ac:dyDescent="0.25">
      <c r="B4056" s="33" t="s">
        <v>5547</v>
      </c>
      <c r="C4056" s="33">
        <v>30</v>
      </c>
    </row>
    <row r="4057" spans="2:3" x14ac:dyDescent="0.25">
      <c r="B4057" s="33" t="s">
        <v>5548</v>
      </c>
      <c r="C4057" s="33">
        <v>30</v>
      </c>
    </row>
    <row r="4058" spans="2:3" x14ac:dyDescent="0.25">
      <c r="B4058" s="33" t="s">
        <v>5549</v>
      </c>
      <c r="C4058" s="33">
        <v>30</v>
      </c>
    </row>
    <row r="4059" spans="2:3" x14ac:dyDescent="0.25">
      <c r="B4059" s="33" t="s">
        <v>5550</v>
      </c>
      <c r="C4059" s="33">
        <v>30</v>
      </c>
    </row>
    <row r="4060" spans="2:3" x14ac:dyDescent="0.25">
      <c r="B4060" s="33" t="s">
        <v>5551</v>
      </c>
      <c r="C4060" s="33">
        <v>30</v>
      </c>
    </row>
    <row r="4061" spans="2:3" x14ac:dyDescent="0.25">
      <c r="B4061" s="33" t="s">
        <v>5552</v>
      </c>
      <c r="C4061" s="33">
        <v>30</v>
      </c>
    </row>
    <row r="4062" spans="2:3" x14ac:dyDescent="0.25">
      <c r="B4062" s="33" t="s">
        <v>5553</v>
      </c>
      <c r="C4062" s="33">
        <v>30</v>
      </c>
    </row>
    <row r="4063" spans="2:3" x14ac:dyDescent="0.25">
      <c r="B4063" s="33" t="s">
        <v>5554</v>
      </c>
      <c r="C4063" s="33">
        <v>30</v>
      </c>
    </row>
    <row r="4064" spans="2:3" x14ac:dyDescent="0.25">
      <c r="B4064" s="33" t="s">
        <v>5555</v>
      </c>
      <c r="C4064" s="33">
        <v>30</v>
      </c>
    </row>
    <row r="4065" spans="2:3" x14ac:dyDescent="0.25">
      <c r="B4065" s="33" t="s">
        <v>5556</v>
      </c>
      <c r="C4065" s="33">
        <v>30</v>
      </c>
    </row>
    <row r="4066" spans="2:3" x14ac:dyDescent="0.25">
      <c r="B4066" s="33" t="s">
        <v>5557</v>
      </c>
      <c r="C4066" s="33">
        <v>30</v>
      </c>
    </row>
    <row r="4067" spans="2:3" x14ac:dyDescent="0.25">
      <c r="B4067" s="33" t="s">
        <v>5558</v>
      </c>
      <c r="C4067" s="33">
        <v>30</v>
      </c>
    </row>
    <row r="4068" spans="2:3" x14ac:dyDescent="0.25">
      <c r="B4068" s="33" t="s">
        <v>5559</v>
      </c>
      <c r="C4068" s="33">
        <v>30</v>
      </c>
    </row>
    <row r="4069" spans="2:3" x14ac:dyDescent="0.25">
      <c r="B4069" s="33" t="s">
        <v>5560</v>
      </c>
      <c r="C4069" s="33">
        <v>30</v>
      </c>
    </row>
    <row r="4070" spans="2:3" x14ac:dyDescent="0.25">
      <c r="B4070" s="33" t="s">
        <v>5561</v>
      </c>
      <c r="C4070" s="33">
        <v>30</v>
      </c>
    </row>
    <row r="4071" spans="2:3" x14ac:dyDescent="0.25">
      <c r="B4071" s="33" t="s">
        <v>5562</v>
      </c>
      <c r="C4071" s="33">
        <v>30</v>
      </c>
    </row>
    <row r="4072" spans="2:3" x14ac:dyDescent="0.25">
      <c r="B4072" s="33" t="s">
        <v>5563</v>
      </c>
      <c r="C4072" s="33">
        <v>30</v>
      </c>
    </row>
    <row r="4073" spans="2:3" x14ac:dyDescent="0.25">
      <c r="B4073" s="33" t="s">
        <v>5564</v>
      </c>
      <c r="C4073" s="33">
        <v>30</v>
      </c>
    </row>
    <row r="4074" spans="2:3" x14ac:dyDescent="0.25">
      <c r="B4074" s="33" t="s">
        <v>5565</v>
      </c>
      <c r="C4074" s="33">
        <v>30</v>
      </c>
    </row>
    <row r="4075" spans="2:3" x14ac:dyDescent="0.25">
      <c r="B4075" s="33" t="s">
        <v>5566</v>
      </c>
      <c r="C4075" s="33">
        <v>30</v>
      </c>
    </row>
    <row r="4076" spans="2:3" x14ac:dyDescent="0.25">
      <c r="B4076" s="33" t="s">
        <v>5567</v>
      </c>
      <c r="C4076" s="33">
        <v>30</v>
      </c>
    </row>
    <row r="4077" spans="2:3" x14ac:dyDescent="0.25">
      <c r="B4077" s="33" t="s">
        <v>5568</v>
      </c>
      <c r="C4077" s="33">
        <v>30</v>
      </c>
    </row>
    <row r="4078" spans="2:3" x14ac:dyDescent="0.25">
      <c r="B4078" s="33" t="s">
        <v>5569</v>
      </c>
      <c r="C4078" s="33">
        <v>30</v>
      </c>
    </row>
    <row r="4079" spans="2:3" x14ac:dyDescent="0.25">
      <c r="B4079" s="33" t="s">
        <v>5570</v>
      </c>
      <c r="C4079" s="33">
        <v>30</v>
      </c>
    </row>
    <row r="4080" spans="2:3" x14ac:dyDescent="0.25">
      <c r="B4080" s="33" t="s">
        <v>5571</v>
      </c>
      <c r="C4080" s="33">
        <v>30</v>
      </c>
    </row>
    <row r="4081" spans="2:3" x14ac:dyDescent="0.25">
      <c r="B4081" s="33" t="s">
        <v>5572</v>
      </c>
      <c r="C4081" s="33">
        <v>30</v>
      </c>
    </row>
    <row r="4082" spans="2:3" x14ac:dyDescent="0.25">
      <c r="B4082" s="33" t="s">
        <v>5573</v>
      </c>
      <c r="C4082" s="33">
        <v>30</v>
      </c>
    </row>
    <row r="4083" spans="2:3" x14ac:dyDescent="0.25">
      <c r="B4083" s="33" t="s">
        <v>5574</v>
      </c>
      <c r="C4083" s="33">
        <v>30</v>
      </c>
    </row>
    <row r="4084" spans="2:3" x14ac:dyDescent="0.25">
      <c r="B4084" s="33" t="s">
        <v>5575</v>
      </c>
      <c r="C4084" s="33">
        <v>30</v>
      </c>
    </row>
    <row r="4085" spans="2:3" x14ac:dyDescent="0.25">
      <c r="B4085" s="33" t="s">
        <v>5576</v>
      </c>
      <c r="C4085" s="33">
        <v>30</v>
      </c>
    </row>
    <row r="4086" spans="2:3" x14ac:dyDescent="0.25">
      <c r="B4086" s="33" t="s">
        <v>5577</v>
      </c>
      <c r="C4086" s="33">
        <v>30</v>
      </c>
    </row>
    <row r="4087" spans="2:3" x14ac:dyDescent="0.25">
      <c r="B4087" s="33" t="s">
        <v>5578</v>
      </c>
      <c r="C4087" s="33">
        <v>30</v>
      </c>
    </row>
    <row r="4088" spans="2:3" x14ac:dyDescent="0.25">
      <c r="B4088" s="33" t="s">
        <v>5579</v>
      </c>
      <c r="C4088" s="33">
        <v>30</v>
      </c>
    </row>
    <row r="4089" spans="2:3" x14ac:dyDescent="0.25">
      <c r="B4089" s="33" t="s">
        <v>5580</v>
      </c>
      <c r="C4089" s="33">
        <v>30</v>
      </c>
    </row>
    <row r="4090" spans="2:3" x14ac:dyDescent="0.25">
      <c r="B4090" s="33" t="s">
        <v>5581</v>
      </c>
      <c r="C4090" s="33">
        <v>30</v>
      </c>
    </row>
    <row r="4091" spans="2:3" x14ac:dyDescent="0.25">
      <c r="B4091" s="33" t="s">
        <v>5582</v>
      </c>
      <c r="C4091" s="33">
        <v>30</v>
      </c>
    </row>
    <row r="4092" spans="2:3" x14ac:dyDescent="0.25">
      <c r="B4092" s="33" t="s">
        <v>5583</v>
      </c>
      <c r="C4092" s="33">
        <v>30</v>
      </c>
    </row>
    <row r="4093" spans="2:3" x14ac:dyDescent="0.25">
      <c r="B4093" s="33" t="s">
        <v>5584</v>
      </c>
      <c r="C4093" s="33">
        <v>30</v>
      </c>
    </row>
    <row r="4094" spans="2:3" x14ac:dyDescent="0.25">
      <c r="B4094" s="33" t="s">
        <v>5585</v>
      </c>
      <c r="C4094" s="33">
        <v>30</v>
      </c>
    </row>
    <row r="4095" spans="2:3" x14ac:dyDescent="0.25">
      <c r="B4095" s="33" t="s">
        <v>5586</v>
      </c>
      <c r="C4095" s="33">
        <v>30</v>
      </c>
    </row>
    <row r="4096" spans="2:3" x14ac:dyDescent="0.25">
      <c r="B4096" s="33" t="s">
        <v>5587</v>
      </c>
      <c r="C4096" s="33">
        <v>30</v>
      </c>
    </row>
    <row r="4097" spans="2:3" x14ac:dyDescent="0.25">
      <c r="B4097" s="33" t="s">
        <v>5588</v>
      </c>
      <c r="C4097" s="33">
        <v>30</v>
      </c>
    </row>
    <row r="4098" spans="2:3" x14ac:dyDescent="0.25">
      <c r="B4098" s="33" t="s">
        <v>5589</v>
      </c>
      <c r="C4098" s="33">
        <v>30</v>
      </c>
    </row>
    <row r="4099" spans="2:3" x14ac:dyDescent="0.25">
      <c r="B4099" s="33" t="s">
        <v>5590</v>
      </c>
      <c r="C4099" s="33">
        <v>30</v>
      </c>
    </row>
    <row r="4100" spans="2:3" x14ac:dyDescent="0.25">
      <c r="B4100" s="33" t="s">
        <v>5591</v>
      </c>
      <c r="C4100" s="33">
        <v>30</v>
      </c>
    </row>
    <row r="4101" spans="2:3" x14ac:dyDescent="0.25">
      <c r="B4101" s="33" t="s">
        <v>5592</v>
      </c>
      <c r="C4101" s="33">
        <v>30</v>
      </c>
    </row>
    <row r="4102" spans="2:3" x14ac:dyDescent="0.25">
      <c r="B4102" s="33" t="s">
        <v>5593</v>
      </c>
      <c r="C4102" s="33">
        <v>30</v>
      </c>
    </row>
    <row r="4103" spans="2:3" x14ac:dyDescent="0.25">
      <c r="B4103" s="33" t="s">
        <v>5594</v>
      </c>
      <c r="C4103" s="33">
        <v>30</v>
      </c>
    </row>
    <row r="4104" spans="2:3" x14ac:dyDescent="0.25">
      <c r="B4104" s="33" t="s">
        <v>5595</v>
      </c>
      <c r="C4104" s="33">
        <v>30</v>
      </c>
    </row>
    <row r="4105" spans="2:3" x14ac:dyDescent="0.25">
      <c r="B4105" s="33" t="s">
        <v>5596</v>
      </c>
      <c r="C4105" s="33">
        <v>30</v>
      </c>
    </row>
    <row r="4106" spans="2:3" x14ac:dyDescent="0.25">
      <c r="B4106" s="33" t="s">
        <v>5597</v>
      </c>
      <c r="C4106" s="33">
        <v>30</v>
      </c>
    </row>
    <row r="4107" spans="2:3" x14ac:dyDescent="0.25">
      <c r="B4107" s="33" t="s">
        <v>5598</v>
      </c>
      <c r="C4107" s="33">
        <v>30</v>
      </c>
    </row>
    <row r="4108" spans="2:3" x14ac:dyDescent="0.25">
      <c r="B4108" s="33" t="s">
        <v>5599</v>
      </c>
      <c r="C4108" s="33">
        <v>30</v>
      </c>
    </row>
    <row r="4109" spans="2:3" x14ac:dyDescent="0.25">
      <c r="B4109" s="33" t="s">
        <v>5600</v>
      </c>
      <c r="C4109" s="33">
        <v>30</v>
      </c>
    </row>
    <row r="4110" spans="2:3" x14ac:dyDescent="0.25">
      <c r="B4110" s="33" t="s">
        <v>5601</v>
      </c>
      <c r="C4110" s="33">
        <v>30</v>
      </c>
    </row>
    <row r="4111" spans="2:3" x14ac:dyDescent="0.25">
      <c r="B4111" s="33" t="s">
        <v>5602</v>
      </c>
      <c r="C4111" s="33">
        <v>30</v>
      </c>
    </row>
    <row r="4112" spans="2:3" x14ac:dyDescent="0.25">
      <c r="B4112" s="33" t="s">
        <v>5603</v>
      </c>
      <c r="C4112" s="33">
        <v>30</v>
      </c>
    </row>
    <row r="4113" spans="2:3" x14ac:dyDescent="0.25">
      <c r="B4113" s="33" t="s">
        <v>5604</v>
      </c>
      <c r="C4113" s="33">
        <v>30</v>
      </c>
    </row>
    <row r="4114" spans="2:3" x14ac:dyDescent="0.25">
      <c r="B4114" s="33" t="s">
        <v>5605</v>
      </c>
      <c r="C4114" s="33">
        <v>30</v>
      </c>
    </row>
    <row r="4115" spans="2:3" x14ac:dyDescent="0.25">
      <c r="B4115" s="33" t="s">
        <v>5606</v>
      </c>
      <c r="C4115" s="33">
        <v>30</v>
      </c>
    </row>
    <row r="4116" spans="2:3" x14ac:dyDescent="0.25">
      <c r="B4116" s="33" t="s">
        <v>5607</v>
      </c>
      <c r="C4116" s="33">
        <v>30</v>
      </c>
    </row>
    <row r="4117" spans="2:3" x14ac:dyDescent="0.25">
      <c r="B4117" s="33" t="s">
        <v>5608</v>
      </c>
      <c r="C4117" s="33">
        <v>30</v>
      </c>
    </row>
    <row r="4118" spans="2:3" x14ac:dyDescent="0.25">
      <c r="B4118" s="33" t="s">
        <v>5609</v>
      </c>
      <c r="C4118" s="33">
        <v>30</v>
      </c>
    </row>
    <row r="4119" spans="2:3" x14ac:dyDescent="0.25">
      <c r="B4119" s="33" t="s">
        <v>5610</v>
      </c>
      <c r="C4119" s="33">
        <v>30</v>
      </c>
    </row>
    <row r="4120" spans="2:3" x14ac:dyDescent="0.25">
      <c r="B4120" s="33" t="s">
        <v>5611</v>
      </c>
      <c r="C4120" s="33">
        <v>30</v>
      </c>
    </row>
    <row r="4121" spans="2:3" x14ac:dyDescent="0.25">
      <c r="B4121" s="33" t="s">
        <v>5612</v>
      </c>
      <c r="C4121" s="33">
        <v>30</v>
      </c>
    </row>
    <row r="4122" spans="2:3" x14ac:dyDescent="0.25">
      <c r="B4122" s="33" t="s">
        <v>5613</v>
      </c>
      <c r="C4122" s="33">
        <v>30</v>
      </c>
    </row>
    <row r="4123" spans="2:3" x14ac:dyDescent="0.25">
      <c r="B4123" s="33" t="s">
        <v>5614</v>
      </c>
      <c r="C4123" s="33">
        <v>30</v>
      </c>
    </row>
    <row r="4124" spans="2:3" x14ac:dyDescent="0.25">
      <c r="B4124" s="33" t="s">
        <v>5615</v>
      </c>
      <c r="C4124" s="33">
        <v>30</v>
      </c>
    </row>
    <row r="4125" spans="2:3" x14ac:dyDescent="0.25">
      <c r="B4125" s="33" t="s">
        <v>5616</v>
      </c>
      <c r="C4125" s="33">
        <v>30</v>
      </c>
    </row>
    <row r="4126" spans="2:3" x14ac:dyDescent="0.25">
      <c r="B4126" s="33" t="s">
        <v>5617</v>
      </c>
      <c r="C4126" s="33">
        <v>30</v>
      </c>
    </row>
    <row r="4127" spans="2:3" x14ac:dyDescent="0.25">
      <c r="B4127" s="33" t="s">
        <v>5618</v>
      </c>
      <c r="C4127" s="33">
        <v>30</v>
      </c>
    </row>
    <row r="4128" spans="2:3" x14ac:dyDescent="0.25">
      <c r="B4128" s="33" t="s">
        <v>5619</v>
      </c>
      <c r="C4128" s="33">
        <v>30</v>
      </c>
    </row>
    <row r="4129" spans="2:3" x14ac:dyDescent="0.25">
      <c r="B4129" s="33" t="s">
        <v>5620</v>
      </c>
      <c r="C4129" s="33">
        <v>30</v>
      </c>
    </row>
    <row r="4130" spans="2:3" x14ac:dyDescent="0.25">
      <c r="B4130" s="33" t="s">
        <v>5621</v>
      </c>
      <c r="C4130" s="33">
        <v>30</v>
      </c>
    </row>
    <row r="4131" spans="2:3" x14ac:dyDescent="0.25">
      <c r="B4131" s="33" t="s">
        <v>5622</v>
      </c>
      <c r="C4131" s="33">
        <v>30</v>
      </c>
    </row>
    <row r="4132" spans="2:3" x14ac:dyDescent="0.25">
      <c r="B4132" s="33" t="s">
        <v>5623</v>
      </c>
      <c r="C4132" s="33">
        <v>30</v>
      </c>
    </row>
    <row r="4133" spans="2:3" x14ac:dyDescent="0.25">
      <c r="B4133" s="33" t="s">
        <v>5624</v>
      </c>
      <c r="C4133" s="33">
        <v>30</v>
      </c>
    </row>
    <row r="4134" spans="2:3" x14ac:dyDescent="0.25">
      <c r="B4134" s="33" t="s">
        <v>5625</v>
      </c>
      <c r="C4134" s="33">
        <v>30</v>
      </c>
    </row>
    <row r="4135" spans="2:3" x14ac:dyDescent="0.25">
      <c r="B4135" s="33" t="s">
        <v>5626</v>
      </c>
      <c r="C4135" s="33">
        <v>30</v>
      </c>
    </row>
    <row r="4136" spans="2:3" x14ac:dyDescent="0.25">
      <c r="B4136" s="33" t="s">
        <v>5627</v>
      </c>
      <c r="C4136" s="33">
        <v>30</v>
      </c>
    </row>
    <row r="4137" spans="2:3" x14ac:dyDescent="0.25">
      <c r="B4137" s="33" t="s">
        <v>5628</v>
      </c>
      <c r="C4137" s="33">
        <v>30</v>
      </c>
    </row>
    <row r="4138" spans="2:3" x14ac:dyDescent="0.25">
      <c r="B4138" s="33" t="s">
        <v>5629</v>
      </c>
      <c r="C4138" s="33">
        <v>30</v>
      </c>
    </row>
    <row r="4139" spans="2:3" x14ac:dyDescent="0.25">
      <c r="B4139" s="33" t="s">
        <v>5630</v>
      </c>
      <c r="C4139" s="33">
        <v>30</v>
      </c>
    </row>
    <row r="4140" spans="2:3" x14ac:dyDescent="0.25">
      <c r="B4140" s="33" t="s">
        <v>5631</v>
      </c>
      <c r="C4140" s="33">
        <v>30</v>
      </c>
    </row>
    <row r="4141" spans="2:3" x14ac:dyDescent="0.25">
      <c r="B4141" s="33" t="s">
        <v>5632</v>
      </c>
      <c r="C4141" s="33">
        <v>30</v>
      </c>
    </row>
    <row r="4142" spans="2:3" x14ac:dyDescent="0.25">
      <c r="B4142" s="33" t="s">
        <v>5633</v>
      </c>
      <c r="C4142" s="33">
        <v>30</v>
      </c>
    </row>
    <row r="4143" spans="2:3" x14ac:dyDescent="0.25">
      <c r="B4143" s="33" t="s">
        <v>5634</v>
      </c>
      <c r="C4143" s="33">
        <v>30</v>
      </c>
    </row>
    <row r="4144" spans="2:3" x14ac:dyDescent="0.25">
      <c r="B4144" s="33" t="s">
        <v>5635</v>
      </c>
      <c r="C4144" s="33">
        <v>30</v>
      </c>
    </row>
    <row r="4145" spans="2:3" x14ac:dyDescent="0.25">
      <c r="B4145" s="33" t="s">
        <v>5636</v>
      </c>
      <c r="C4145" s="33">
        <v>30</v>
      </c>
    </row>
    <row r="4146" spans="2:3" x14ac:dyDescent="0.25">
      <c r="B4146" s="33" t="s">
        <v>5637</v>
      </c>
      <c r="C4146" s="33">
        <v>30</v>
      </c>
    </row>
    <row r="4147" spans="2:3" x14ac:dyDescent="0.25">
      <c r="B4147" s="33" t="s">
        <v>5638</v>
      </c>
      <c r="C4147" s="33">
        <v>30</v>
      </c>
    </row>
    <row r="4148" spans="2:3" x14ac:dyDescent="0.25">
      <c r="B4148" s="33" t="s">
        <v>5639</v>
      </c>
      <c r="C4148" s="33">
        <v>30</v>
      </c>
    </row>
    <row r="4149" spans="2:3" x14ac:dyDescent="0.25">
      <c r="B4149" s="33" t="s">
        <v>5640</v>
      </c>
      <c r="C4149" s="33">
        <v>30</v>
      </c>
    </row>
    <row r="4150" spans="2:3" x14ac:dyDescent="0.25">
      <c r="B4150" s="33" t="s">
        <v>5641</v>
      </c>
      <c r="C4150" s="33">
        <v>30</v>
      </c>
    </row>
    <row r="4151" spans="2:3" x14ac:dyDescent="0.25">
      <c r="B4151" s="33" t="s">
        <v>5642</v>
      </c>
      <c r="C4151" s="33">
        <v>30</v>
      </c>
    </row>
    <row r="4152" spans="2:3" x14ac:dyDescent="0.25">
      <c r="B4152" s="33" t="s">
        <v>5643</v>
      </c>
      <c r="C4152" s="33">
        <v>30</v>
      </c>
    </row>
    <row r="4153" spans="2:3" x14ac:dyDescent="0.25">
      <c r="B4153" s="33" t="s">
        <v>5644</v>
      </c>
      <c r="C4153" s="33">
        <v>30</v>
      </c>
    </row>
    <row r="4154" spans="2:3" x14ac:dyDescent="0.25">
      <c r="B4154" s="33" t="s">
        <v>5645</v>
      </c>
      <c r="C4154" s="33">
        <v>30</v>
      </c>
    </row>
    <row r="4155" spans="2:3" x14ac:dyDescent="0.25">
      <c r="B4155" s="33" t="s">
        <v>5646</v>
      </c>
      <c r="C4155" s="33">
        <v>30</v>
      </c>
    </row>
    <row r="4156" spans="2:3" x14ac:dyDescent="0.25">
      <c r="B4156" s="33" t="s">
        <v>5647</v>
      </c>
      <c r="C4156" s="33">
        <v>30</v>
      </c>
    </row>
    <row r="4157" spans="2:3" x14ac:dyDescent="0.25">
      <c r="B4157" s="33" t="s">
        <v>5648</v>
      </c>
      <c r="C4157" s="33">
        <v>30</v>
      </c>
    </row>
    <row r="4158" spans="2:3" x14ac:dyDescent="0.25">
      <c r="B4158" s="33" t="s">
        <v>5649</v>
      </c>
      <c r="C4158" s="33">
        <v>30</v>
      </c>
    </row>
    <row r="4159" spans="2:3" x14ac:dyDescent="0.25">
      <c r="B4159" s="33" t="s">
        <v>5650</v>
      </c>
      <c r="C4159" s="33">
        <v>30</v>
      </c>
    </row>
    <row r="4160" spans="2:3" x14ac:dyDescent="0.25">
      <c r="B4160" s="33" t="s">
        <v>5651</v>
      </c>
      <c r="C4160" s="33">
        <v>30</v>
      </c>
    </row>
    <row r="4161" spans="2:3" x14ac:dyDescent="0.25">
      <c r="B4161" s="33" t="s">
        <v>5652</v>
      </c>
      <c r="C4161" s="33">
        <v>30</v>
      </c>
    </row>
    <row r="4162" spans="2:3" x14ac:dyDescent="0.25">
      <c r="B4162" s="33" t="s">
        <v>5653</v>
      </c>
      <c r="C4162" s="33">
        <v>30</v>
      </c>
    </row>
    <row r="4163" spans="2:3" x14ac:dyDescent="0.25">
      <c r="B4163" s="33" t="s">
        <v>5654</v>
      </c>
      <c r="C4163" s="33">
        <v>30</v>
      </c>
    </row>
    <row r="4164" spans="2:3" x14ac:dyDescent="0.25">
      <c r="B4164" s="33" t="s">
        <v>5655</v>
      </c>
      <c r="C4164" s="33">
        <v>30</v>
      </c>
    </row>
    <row r="4165" spans="2:3" x14ac:dyDescent="0.25">
      <c r="B4165" s="33" t="s">
        <v>5656</v>
      </c>
      <c r="C4165" s="33">
        <v>30</v>
      </c>
    </row>
    <row r="4166" spans="2:3" x14ac:dyDescent="0.25">
      <c r="B4166" s="33" t="s">
        <v>5657</v>
      </c>
      <c r="C4166" s="33">
        <v>30</v>
      </c>
    </row>
    <row r="4167" spans="2:3" x14ac:dyDescent="0.25">
      <c r="B4167" s="33" t="s">
        <v>5658</v>
      </c>
      <c r="C4167" s="33">
        <v>30</v>
      </c>
    </row>
    <row r="4168" spans="2:3" x14ac:dyDescent="0.25">
      <c r="B4168" s="33" t="s">
        <v>5659</v>
      </c>
      <c r="C4168" s="33">
        <v>30</v>
      </c>
    </row>
    <row r="4169" spans="2:3" x14ac:dyDescent="0.25">
      <c r="B4169" s="33" t="s">
        <v>5660</v>
      </c>
      <c r="C4169" s="33">
        <v>30</v>
      </c>
    </row>
    <row r="4170" spans="2:3" x14ac:dyDescent="0.25">
      <c r="B4170" s="33" t="s">
        <v>5661</v>
      </c>
      <c r="C4170" s="33">
        <v>30</v>
      </c>
    </row>
    <row r="4171" spans="2:3" x14ac:dyDescent="0.25">
      <c r="B4171" s="33" t="s">
        <v>5662</v>
      </c>
      <c r="C4171" s="33">
        <v>30</v>
      </c>
    </row>
    <row r="4172" spans="2:3" x14ac:dyDescent="0.25">
      <c r="B4172" s="33" t="s">
        <v>5663</v>
      </c>
      <c r="C4172" s="33">
        <v>30</v>
      </c>
    </row>
    <row r="4173" spans="2:3" x14ac:dyDescent="0.25">
      <c r="B4173" s="33" t="s">
        <v>5664</v>
      </c>
      <c r="C4173" s="33">
        <v>30</v>
      </c>
    </row>
    <row r="4174" spans="2:3" x14ac:dyDescent="0.25">
      <c r="B4174" s="33" t="s">
        <v>5665</v>
      </c>
      <c r="C4174" s="33">
        <v>30</v>
      </c>
    </row>
    <row r="4175" spans="2:3" x14ac:dyDescent="0.25">
      <c r="B4175" s="33" t="s">
        <v>5666</v>
      </c>
      <c r="C4175" s="33">
        <v>30</v>
      </c>
    </row>
    <row r="4176" spans="2:3" x14ac:dyDescent="0.25">
      <c r="B4176" s="33" t="s">
        <v>5667</v>
      </c>
      <c r="C4176" s="33">
        <v>30</v>
      </c>
    </row>
    <row r="4177" spans="2:3" x14ac:dyDescent="0.25">
      <c r="B4177" s="33" t="s">
        <v>5668</v>
      </c>
      <c r="C4177" s="33">
        <v>30</v>
      </c>
    </row>
    <row r="4178" spans="2:3" x14ac:dyDescent="0.25">
      <c r="B4178" s="33" t="s">
        <v>5669</v>
      </c>
      <c r="C4178" s="33">
        <v>30</v>
      </c>
    </row>
    <row r="4179" spans="2:3" x14ac:dyDescent="0.25">
      <c r="B4179" s="33" t="s">
        <v>5670</v>
      </c>
      <c r="C4179" s="33">
        <v>30</v>
      </c>
    </row>
    <row r="4180" spans="2:3" x14ac:dyDescent="0.25">
      <c r="B4180" s="33" t="s">
        <v>5671</v>
      </c>
      <c r="C4180" s="33">
        <v>30</v>
      </c>
    </row>
    <row r="4181" spans="2:3" x14ac:dyDescent="0.25">
      <c r="B4181" s="33" t="s">
        <v>5672</v>
      </c>
      <c r="C4181" s="33">
        <v>30</v>
      </c>
    </row>
    <row r="4182" spans="2:3" x14ac:dyDescent="0.25">
      <c r="B4182" s="33" t="s">
        <v>5673</v>
      </c>
      <c r="C4182" s="33">
        <v>30</v>
      </c>
    </row>
    <row r="4183" spans="2:3" x14ac:dyDescent="0.25">
      <c r="B4183" s="33" t="s">
        <v>5674</v>
      </c>
      <c r="C4183" s="33">
        <v>30</v>
      </c>
    </row>
    <row r="4184" spans="2:3" x14ac:dyDescent="0.25">
      <c r="B4184" s="33" t="s">
        <v>5675</v>
      </c>
      <c r="C4184" s="33">
        <v>30</v>
      </c>
    </row>
    <row r="4185" spans="2:3" x14ac:dyDescent="0.25">
      <c r="B4185" s="33" t="s">
        <v>5676</v>
      </c>
      <c r="C4185" s="33">
        <v>30</v>
      </c>
    </row>
    <row r="4186" spans="2:3" x14ac:dyDescent="0.25">
      <c r="B4186" s="33" t="s">
        <v>5677</v>
      </c>
      <c r="C4186" s="33">
        <v>30</v>
      </c>
    </row>
    <row r="4187" spans="2:3" x14ac:dyDescent="0.25">
      <c r="B4187" s="33" t="s">
        <v>5678</v>
      </c>
      <c r="C4187" s="33">
        <v>30</v>
      </c>
    </row>
    <row r="4188" spans="2:3" x14ac:dyDescent="0.25">
      <c r="B4188" s="33" t="s">
        <v>5679</v>
      </c>
      <c r="C4188" s="33">
        <v>30</v>
      </c>
    </row>
    <row r="4189" spans="2:3" x14ac:dyDescent="0.25">
      <c r="B4189" s="33" t="s">
        <v>5680</v>
      </c>
      <c r="C4189" s="33">
        <v>30</v>
      </c>
    </row>
    <row r="4190" spans="2:3" x14ac:dyDescent="0.25">
      <c r="B4190" s="33" t="s">
        <v>5681</v>
      </c>
      <c r="C4190" s="33">
        <v>30</v>
      </c>
    </row>
    <row r="4191" spans="2:3" x14ac:dyDescent="0.25">
      <c r="B4191" s="33" t="s">
        <v>5682</v>
      </c>
      <c r="C4191" s="33">
        <v>30</v>
      </c>
    </row>
    <row r="4192" spans="2:3" x14ac:dyDescent="0.25">
      <c r="B4192" s="33" t="s">
        <v>5683</v>
      </c>
      <c r="C4192" s="33">
        <v>30</v>
      </c>
    </row>
    <row r="4193" spans="2:3" x14ac:dyDescent="0.25">
      <c r="B4193" s="33" t="s">
        <v>5684</v>
      </c>
      <c r="C4193" s="33">
        <v>30</v>
      </c>
    </row>
    <row r="4194" spans="2:3" x14ac:dyDescent="0.25">
      <c r="B4194" s="33" t="s">
        <v>5685</v>
      </c>
      <c r="C4194" s="33">
        <v>30</v>
      </c>
    </row>
    <row r="4195" spans="2:3" x14ac:dyDescent="0.25">
      <c r="B4195" s="33" t="s">
        <v>5686</v>
      </c>
      <c r="C4195" s="33">
        <v>30</v>
      </c>
    </row>
    <row r="4196" spans="2:3" x14ac:dyDescent="0.25">
      <c r="B4196" s="33" t="s">
        <v>5687</v>
      </c>
      <c r="C4196" s="33">
        <v>30</v>
      </c>
    </row>
    <row r="4197" spans="2:3" x14ac:dyDescent="0.25">
      <c r="B4197" s="33" t="s">
        <v>5688</v>
      </c>
      <c r="C4197" s="33">
        <v>30</v>
      </c>
    </row>
    <row r="4198" spans="2:3" x14ac:dyDescent="0.25">
      <c r="B4198" s="33" t="s">
        <v>5689</v>
      </c>
      <c r="C4198" s="33">
        <v>30</v>
      </c>
    </row>
    <row r="4199" spans="2:3" x14ac:dyDescent="0.25">
      <c r="B4199" s="33" t="s">
        <v>5690</v>
      </c>
      <c r="C4199" s="33">
        <v>30</v>
      </c>
    </row>
    <row r="4200" spans="2:3" x14ac:dyDescent="0.25">
      <c r="B4200" s="33" t="s">
        <v>5691</v>
      </c>
      <c r="C4200" s="33">
        <v>30</v>
      </c>
    </row>
    <row r="4201" spans="2:3" x14ac:dyDescent="0.25">
      <c r="B4201" s="33" t="s">
        <v>5692</v>
      </c>
      <c r="C4201" s="33">
        <v>30</v>
      </c>
    </row>
    <row r="4202" spans="2:3" x14ac:dyDescent="0.25">
      <c r="B4202" s="33" t="s">
        <v>5693</v>
      </c>
      <c r="C4202" s="33">
        <v>30</v>
      </c>
    </row>
    <row r="4203" spans="2:3" x14ac:dyDescent="0.25">
      <c r="B4203" s="33" t="s">
        <v>5694</v>
      </c>
      <c r="C4203" s="33">
        <v>30</v>
      </c>
    </row>
    <row r="4204" spans="2:3" x14ac:dyDescent="0.25">
      <c r="B4204" s="33" t="s">
        <v>5695</v>
      </c>
      <c r="C4204" s="33">
        <v>30</v>
      </c>
    </row>
    <row r="4205" spans="2:3" x14ac:dyDescent="0.25">
      <c r="B4205" s="33" t="s">
        <v>5696</v>
      </c>
      <c r="C4205" s="33">
        <v>30</v>
      </c>
    </row>
    <row r="4206" spans="2:3" x14ac:dyDescent="0.25">
      <c r="B4206" s="33" t="s">
        <v>5697</v>
      </c>
      <c r="C4206" s="33">
        <v>30</v>
      </c>
    </row>
    <row r="4207" spans="2:3" x14ac:dyDescent="0.25">
      <c r="B4207" s="33" t="s">
        <v>5698</v>
      </c>
      <c r="C4207" s="33">
        <v>30</v>
      </c>
    </row>
    <row r="4208" spans="2:3" x14ac:dyDescent="0.25">
      <c r="B4208" s="33" t="s">
        <v>5699</v>
      </c>
      <c r="C4208" s="33">
        <v>30</v>
      </c>
    </row>
    <row r="4209" spans="2:3" x14ac:dyDescent="0.25">
      <c r="B4209" s="33" t="s">
        <v>5700</v>
      </c>
      <c r="C4209" s="33">
        <v>30</v>
      </c>
    </row>
    <row r="4210" spans="2:3" x14ac:dyDescent="0.25">
      <c r="B4210" s="33" t="s">
        <v>5701</v>
      </c>
      <c r="C4210" s="33">
        <v>30</v>
      </c>
    </row>
    <row r="4211" spans="2:3" x14ac:dyDescent="0.25">
      <c r="B4211" s="33" t="s">
        <v>5702</v>
      </c>
      <c r="C4211" s="33">
        <v>30</v>
      </c>
    </row>
    <row r="4212" spans="2:3" x14ac:dyDescent="0.25">
      <c r="B4212" s="33" t="s">
        <v>5703</v>
      </c>
      <c r="C4212" s="33">
        <v>30</v>
      </c>
    </row>
    <row r="4213" spans="2:3" x14ac:dyDescent="0.25">
      <c r="B4213" s="33" t="s">
        <v>5704</v>
      </c>
      <c r="C4213" s="33">
        <v>30</v>
      </c>
    </row>
    <row r="4214" spans="2:3" x14ac:dyDescent="0.25">
      <c r="B4214" s="33" t="s">
        <v>5705</v>
      </c>
      <c r="C4214" s="33">
        <v>30</v>
      </c>
    </row>
    <row r="4215" spans="2:3" x14ac:dyDescent="0.25">
      <c r="B4215" s="33" t="s">
        <v>5706</v>
      </c>
      <c r="C4215" s="33">
        <v>30</v>
      </c>
    </row>
    <row r="4216" spans="2:3" x14ac:dyDescent="0.25">
      <c r="B4216" s="33" t="s">
        <v>5707</v>
      </c>
      <c r="C4216" s="33">
        <v>30</v>
      </c>
    </row>
    <row r="4217" spans="2:3" x14ac:dyDescent="0.25">
      <c r="B4217" s="33" t="s">
        <v>5708</v>
      </c>
      <c r="C4217" s="33">
        <v>30</v>
      </c>
    </row>
    <row r="4218" spans="2:3" x14ac:dyDescent="0.25">
      <c r="B4218" s="33" t="s">
        <v>5709</v>
      </c>
      <c r="C4218" s="33">
        <v>30</v>
      </c>
    </row>
    <row r="4219" spans="2:3" x14ac:dyDescent="0.25">
      <c r="B4219" s="33" t="s">
        <v>5710</v>
      </c>
      <c r="C4219" s="33">
        <v>30</v>
      </c>
    </row>
    <row r="4220" spans="2:3" x14ac:dyDescent="0.25">
      <c r="B4220" s="33" t="s">
        <v>5711</v>
      </c>
      <c r="C4220" s="33">
        <v>30</v>
      </c>
    </row>
    <row r="4221" spans="2:3" x14ac:dyDescent="0.25">
      <c r="B4221" s="33" t="s">
        <v>5712</v>
      </c>
      <c r="C4221" s="33">
        <v>30</v>
      </c>
    </row>
    <row r="4222" spans="2:3" x14ac:dyDescent="0.25">
      <c r="B4222" s="33" t="s">
        <v>5713</v>
      </c>
      <c r="C4222" s="33">
        <v>30</v>
      </c>
    </row>
    <row r="4223" spans="2:3" x14ac:dyDescent="0.25">
      <c r="B4223" s="33" t="s">
        <v>5714</v>
      </c>
      <c r="C4223" s="33">
        <v>30</v>
      </c>
    </row>
    <row r="4224" spans="2:3" x14ac:dyDescent="0.25">
      <c r="B4224" s="33" t="s">
        <v>5715</v>
      </c>
      <c r="C4224" s="33">
        <v>30</v>
      </c>
    </row>
    <row r="4225" spans="2:3" x14ac:dyDescent="0.25">
      <c r="B4225" s="33" t="s">
        <v>5716</v>
      </c>
      <c r="C4225" s="33">
        <v>30</v>
      </c>
    </row>
    <row r="4226" spans="2:3" x14ac:dyDescent="0.25">
      <c r="B4226" s="33" t="s">
        <v>5717</v>
      </c>
      <c r="C4226" s="33">
        <v>30</v>
      </c>
    </row>
    <row r="4227" spans="2:3" x14ac:dyDescent="0.25">
      <c r="B4227" s="33" t="s">
        <v>5718</v>
      </c>
      <c r="C4227" s="33">
        <v>30</v>
      </c>
    </row>
    <row r="4228" spans="2:3" x14ac:dyDescent="0.25">
      <c r="B4228" s="33" t="s">
        <v>5719</v>
      </c>
      <c r="C4228" s="33">
        <v>30</v>
      </c>
    </row>
    <row r="4229" spans="2:3" x14ac:dyDescent="0.25">
      <c r="B4229" s="33" t="s">
        <v>5720</v>
      </c>
      <c r="C4229" s="33">
        <v>30</v>
      </c>
    </row>
    <row r="4230" spans="2:3" x14ac:dyDescent="0.25">
      <c r="B4230" s="33" t="s">
        <v>5721</v>
      </c>
      <c r="C4230" s="33">
        <v>30</v>
      </c>
    </row>
    <row r="4231" spans="2:3" x14ac:dyDescent="0.25">
      <c r="B4231" s="33" t="s">
        <v>5722</v>
      </c>
      <c r="C4231" s="33">
        <v>30</v>
      </c>
    </row>
    <row r="4232" spans="2:3" x14ac:dyDescent="0.25">
      <c r="B4232" s="33" t="s">
        <v>5723</v>
      </c>
      <c r="C4232" s="33">
        <v>30</v>
      </c>
    </row>
    <row r="4233" spans="2:3" x14ac:dyDescent="0.25">
      <c r="B4233" s="33" t="s">
        <v>5724</v>
      </c>
      <c r="C4233" s="33">
        <v>30</v>
      </c>
    </row>
    <row r="4234" spans="2:3" x14ac:dyDescent="0.25">
      <c r="B4234" s="33" t="s">
        <v>5725</v>
      </c>
      <c r="C4234" s="33">
        <v>30</v>
      </c>
    </row>
    <row r="4235" spans="2:3" x14ac:dyDescent="0.25">
      <c r="B4235" s="33" t="s">
        <v>5726</v>
      </c>
      <c r="C4235" s="33">
        <v>30</v>
      </c>
    </row>
    <row r="4236" spans="2:3" x14ac:dyDescent="0.25">
      <c r="B4236" s="33" t="s">
        <v>5727</v>
      </c>
      <c r="C4236" s="33">
        <v>30</v>
      </c>
    </row>
    <row r="4237" spans="2:3" x14ac:dyDescent="0.25">
      <c r="B4237" s="33" t="s">
        <v>5728</v>
      </c>
      <c r="C4237" s="33">
        <v>30</v>
      </c>
    </row>
    <row r="4238" spans="2:3" x14ac:dyDescent="0.25">
      <c r="B4238" s="33" t="s">
        <v>5729</v>
      </c>
      <c r="C4238" s="33">
        <v>30</v>
      </c>
    </row>
    <row r="4239" spans="2:3" x14ac:dyDescent="0.25">
      <c r="B4239" s="33" t="s">
        <v>5730</v>
      </c>
      <c r="C4239" s="33">
        <v>30</v>
      </c>
    </row>
    <row r="4240" spans="2:3" x14ac:dyDescent="0.25">
      <c r="B4240" s="33" t="s">
        <v>5731</v>
      </c>
      <c r="C4240" s="33">
        <v>30</v>
      </c>
    </row>
    <row r="4241" spans="2:3" x14ac:dyDescent="0.25">
      <c r="B4241" s="33" t="s">
        <v>5732</v>
      </c>
      <c r="C4241" s="33">
        <v>30</v>
      </c>
    </row>
    <row r="4242" spans="2:3" x14ac:dyDescent="0.25">
      <c r="B4242" s="33" t="s">
        <v>5733</v>
      </c>
      <c r="C4242" s="33">
        <v>30</v>
      </c>
    </row>
    <row r="4243" spans="2:3" x14ac:dyDescent="0.25">
      <c r="B4243" s="33" t="s">
        <v>5734</v>
      </c>
      <c r="C4243" s="33">
        <v>30</v>
      </c>
    </row>
    <row r="4244" spans="2:3" x14ac:dyDescent="0.25">
      <c r="B4244" s="33" t="s">
        <v>5735</v>
      </c>
      <c r="C4244" s="33">
        <v>30</v>
      </c>
    </row>
    <row r="4245" spans="2:3" x14ac:dyDescent="0.25">
      <c r="B4245" s="33" t="s">
        <v>5736</v>
      </c>
      <c r="C4245" s="33">
        <v>30</v>
      </c>
    </row>
    <row r="4246" spans="2:3" x14ac:dyDescent="0.25">
      <c r="B4246" s="33" t="s">
        <v>5737</v>
      </c>
      <c r="C4246" s="33">
        <v>30</v>
      </c>
    </row>
    <row r="4247" spans="2:3" x14ac:dyDescent="0.25">
      <c r="B4247" s="33" t="s">
        <v>5738</v>
      </c>
      <c r="C4247" s="33">
        <v>30</v>
      </c>
    </row>
    <row r="4248" spans="2:3" x14ac:dyDescent="0.25">
      <c r="B4248" s="33" t="s">
        <v>5739</v>
      </c>
      <c r="C4248" s="33">
        <v>30</v>
      </c>
    </row>
    <row r="4249" spans="2:3" x14ac:dyDescent="0.25">
      <c r="B4249" s="33" t="s">
        <v>5740</v>
      </c>
      <c r="C4249" s="33">
        <v>30</v>
      </c>
    </row>
    <row r="4250" spans="2:3" x14ac:dyDescent="0.25">
      <c r="B4250" s="33" t="s">
        <v>5741</v>
      </c>
      <c r="C4250" s="33">
        <v>30</v>
      </c>
    </row>
    <row r="4251" spans="2:3" x14ac:dyDescent="0.25">
      <c r="B4251" s="33" t="s">
        <v>5742</v>
      </c>
      <c r="C4251" s="33">
        <v>30</v>
      </c>
    </row>
    <row r="4252" spans="2:3" x14ac:dyDescent="0.25">
      <c r="B4252" s="33" t="s">
        <v>5743</v>
      </c>
      <c r="C4252" s="33">
        <v>30</v>
      </c>
    </row>
    <row r="4253" spans="2:3" x14ac:dyDescent="0.25">
      <c r="B4253" s="33" t="s">
        <v>5744</v>
      </c>
      <c r="C4253" s="33">
        <v>30</v>
      </c>
    </row>
    <row r="4254" spans="2:3" x14ac:dyDescent="0.25">
      <c r="B4254" s="33" t="s">
        <v>5745</v>
      </c>
      <c r="C4254" s="33">
        <v>30</v>
      </c>
    </row>
    <row r="4255" spans="2:3" x14ac:dyDescent="0.25">
      <c r="B4255" s="33" t="s">
        <v>5746</v>
      </c>
      <c r="C4255" s="33">
        <v>30</v>
      </c>
    </row>
    <row r="4256" spans="2:3" x14ac:dyDescent="0.25">
      <c r="B4256" s="33" t="s">
        <v>5747</v>
      </c>
      <c r="C4256" s="33">
        <v>30</v>
      </c>
    </row>
    <row r="4257" spans="2:3" x14ac:dyDescent="0.25">
      <c r="B4257" s="33" t="s">
        <v>5748</v>
      </c>
      <c r="C4257" s="33">
        <v>30</v>
      </c>
    </row>
    <row r="4258" spans="2:3" x14ac:dyDescent="0.25">
      <c r="B4258" s="33" t="s">
        <v>5749</v>
      </c>
      <c r="C4258" s="33">
        <v>30</v>
      </c>
    </row>
    <row r="4259" spans="2:3" x14ac:dyDescent="0.25">
      <c r="B4259" s="33" t="s">
        <v>5750</v>
      </c>
      <c r="C4259" s="33">
        <v>30</v>
      </c>
    </row>
    <row r="4260" spans="2:3" x14ac:dyDescent="0.25">
      <c r="B4260" s="33" t="s">
        <v>5751</v>
      </c>
      <c r="C4260" s="33">
        <v>30</v>
      </c>
    </row>
    <row r="4261" spans="2:3" x14ac:dyDescent="0.25">
      <c r="B4261" s="33" t="s">
        <v>5752</v>
      </c>
      <c r="C4261" s="33">
        <v>30</v>
      </c>
    </row>
    <row r="4262" spans="2:3" x14ac:dyDescent="0.25">
      <c r="B4262" s="33" t="s">
        <v>5753</v>
      </c>
      <c r="C4262" s="33">
        <v>30</v>
      </c>
    </row>
    <row r="4263" spans="2:3" x14ac:dyDescent="0.25">
      <c r="B4263" s="33" t="s">
        <v>5754</v>
      </c>
      <c r="C4263" s="33">
        <v>30</v>
      </c>
    </row>
    <row r="4264" spans="2:3" x14ac:dyDescent="0.25">
      <c r="B4264" s="33" t="s">
        <v>5755</v>
      </c>
      <c r="C4264" s="33">
        <v>30</v>
      </c>
    </row>
    <row r="4265" spans="2:3" x14ac:dyDescent="0.25">
      <c r="B4265" s="33" t="s">
        <v>5756</v>
      </c>
      <c r="C4265" s="33">
        <v>30</v>
      </c>
    </row>
    <row r="4266" spans="2:3" x14ac:dyDescent="0.25">
      <c r="B4266" s="33" t="s">
        <v>5757</v>
      </c>
      <c r="C4266" s="33">
        <v>30</v>
      </c>
    </row>
    <row r="4267" spans="2:3" x14ac:dyDescent="0.25">
      <c r="B4267" s="33" t="s">
        <v>5758</v>
      </c>
      <c r="C4267" s="33">
        <v>30</v>
      </c>
    </row>
    <row r="4268" spans="2:3" x14ac:dyDescent="0.25">
      <c r="B4268" s="33" t="s">
        <v>5759</v>
      </c>
      <c r="C4268" s="33">
        <v>30</v>
      </c>
    </row>
    <row r="4269" spans="2:3" x14ac:dyDescent="0.25">
      <c r="B4269" s="33" t="s">
        <v>5760</v>
      </c>
      <c r="C4269" s="33">
        <v>30</v>
      </c>
    </row>
    <row r="4270" spans="2:3" x14ac:dyDescent="0.25">
      <c r="B4270" s="33" t="s">
        <v>5761</v>
      </c>
      <c r="C4270" s="33">
        <v>30</v>
      </c>
    </row>
    <row r="4271" spans="2:3" x14ac:dyDescent="0.25">
      <c r="B4271" s="33" t="s">
        <v>5762</v>
      </c>
      <c r="C4271" s="33">
        <v>30</v>
      </c>
    </row>
    <row r="4272" spans="2:3" x14ac:dyDescent="0.25">
      <c r="B4272" s="33" t="s">
        <v>5763</v>
      </c>
      <c r="C4272" s="33">
        <v>30</v>
      </c>
    </row>
    <row r="4273" spans="2:3" x14ac:dyDescent="0.25">
      <c r="B4273" s="33" t="s">
        <v>5764</v>
      </c>
      <c r="C4273" s="33">
        <v>30</v>
      </c>
    </row>
    <row r="4274" spans="2:3" x14ac:dyDescent="0.25">
      <c r="B4274" s="33" t="s">
        <v>5765</v>
      </c>
      <c r="C4274" s="33">
        <v>30</v>
      </c>
    </row>
    <row r="4275" spans="2:3" x14ac:dyDescent="0.25">
      <c r="B4275" s="33" t="s">
        <v>5766</v>
      </c>
      <c r="C4275" s="33">
        <v>30</v>
      </c>
    </row>
    <row r="4276" spans="2:3" x14ac:dyDescent="0.25">
      <c r="B4276" s="33" t="s">
        <v>5767</v>
      </c>
      <c r="C4276" s="33">
        <v>30</v>
      </c>
    </row>
    <row r="4277" spans="2:3" x14ac:dyDescent="0.25">
      <c r="B4277" s="33" t="s">
        <v>5768</v>
      </c>
      <c r="C4277" s="33">
        <v>30</v>
      </c>
    </row>
    <row r="4278" spans="2:3" x14ac:dyDescent="0.25">
      <c r="B4278" s="33" t="s">
        <v>5769</v>
      </c>
      <c r="C4278" s="33">
        <v>30</v>
      </c>
    </row>
    <row r="4279" spans="2:3" x14ac:dyDescent="0.25">
      <c r="B4279" s="33" t="s">
        <v>5770</v>
      </c>
      <c r="C4279" s="33">
        <v>30</v>
      </c>
    </row>
    <row r="4280" spans="2:3" x14ac:dyDescent="0.25">
      <c r="B4280" s="33" t="s">
        <v>5771</v>
      </c>
      <c r="C4280" s="33">
        <v>30</v>
      </c>
    </row>
    <row r="4281" spans="2:3" x14ac:dyDescent="0.25">
      <c r="B4281" s="33" t="s">
        <v>5772</v>
      </c>
      <c r="C4281" s="33">
        <v>30</v>
      </c>
    </row>
    <row r="4282" spans="2:3" x14ac:dyDescent="0.25">
      <c r="B4282" s="33" t="s">
        <v>5773</v>
      </c>
      <c r="C4282" s="33">
        <v>30</v>
      </c>
    </row>
    <row r="4283" spans="2:3" x14ac:dyDescent="0.25">
      <c r="B4283" s="33" t="s">
        <v>5774</v>
      </c>
      <c r="C4283" s="33">
        <v>30</v>
      </c>
    </row>
    <row r="4284" spans="2:3" x14ac:dyDescent="0.25">
      <c r="B4284" s="33" t="s">
        <v>5775</v>
      </c>
      <c r="C4284" s="33">
        <v>30</v>
      </c>
    </row>
    <row r="4285" spans="2:3" x14ac:dyDescent="0.25">
      <c r="B4285" s="33" t="s">
        <v>5776</v>
      </c>
      <c r="C4285" s="33">
        <v>30</v>
      </c>
    </row>
    <row r="4286" spans="2:3" x14ac:dyDescent="0.25">
      <c r="B4286" s="33" t="s">
        <v>5777</v>
      </c>
      <c r="C4286" s="33">
        <v>30</v>
      </c>
    </row>
    <row r="4287" spans="2:3" x14ac:dyDescent="0.25">
      <c r="B4287" s="33" t="s">
        <v>5778</v>
      </c>
      <c r="C4287" s="33">
        <v>30</v>
      </c>
    </row>
    <row r="4288" spans="2:3" x14ac:dyDescent="0.25">
      <c r="B4288" s="33" t="s">
        <v>5779</v>
      </c>
      <c r="C4288" s="33">
        <v>30</v>
      </c>
    </row>
    <row r="4289" spans="2:3" x14ac:dyDescent="0.25">
      <c r="B4289" s="33" t="s">
        <v>5780</v>
      </c>
      <c r="C4289" s="33">
        <v>30</v>
      </c>
    </row>
    <row r="4290" spans="2:3" x14ac:dyDescent="0.25">
      <c r="B4290" s="33" t="s">
        <v>5781</v>
      </c>
      <c r="C4290" s="33">
        <v>30</v>
      </c>
    </row>
    <row r="4291" spans="2:3" x14ac:dyDescent="0.25">
      <c r="B4291" s="33" t="s">
        <v>5782</v>
      </c>
      <c r="C4291" s="33">
        <v>30</v>
      </c>
    </row>
    <row r="4292" spans="2:3" x14ac:dyDescent="0.25">
      <c r="B4292" s="33" t="s">
        <v>5783</v>
      </c>
      <c r="C4292" s="33">
        <v>30</v>
      </c>
    </row>
    <row r="4293" spans="2:3" x14ac:dyDescent="0.25">
      <c r="B4293" s="33" t="s">
        <v>5784</v>
      </c>
      <c r="C4293" s="33">
        <v>30</v>
      </c>
    </row>
    <row r="4294" spans="2:3" x14ac:dyDescent="0.25">
      <c r="B4294" s="33" t="s">
        <v>5785</v>
      </c>
      <c r="C4294" s="33">
        <v>30</v>
      </c>
    </row>
    <row r="4295" spans="2:3" x14ac:dyDescent="0.25">
      <c r="B4295" s="33" t="s">
        <v>5786</v>
      </c>
      <c r="C4295" s="33">
        <v>30</v>
      </c>
    </row>
    <row r="4296" spans="2:3" x14ac:dyDescent="0.25">
      <c r="B4296" s="33" t="s">
        <v>5787</v>
      </c>
      <c r="C4296" s="33">
        <v>30</v>
      </c>
    </row>
    <row r="4297" spans="2:3" x14ac:dyDescent="0.25">
      <c r="B4297" s="33" t="s">
        <v>5788</v>
      </c>
      <c r="C4297" s="33">
        <v>30</v>
      </c>
    </row>
    <row r="4298" spans="2:3" x14ac:dyDescent="0.25">
      <c r="B4298" s="33" t="s">
        <v>5789</v>
      </c>
      <c r="C4298" s="33">
        <v>30</v>
      </c>
    </row>
    <row r="4299" spans="2:3" x14ac:dyDescent="0.25">
      <c r="B4299" s="33" t="s">
        <v>5790</v>
      </c>
      <c r="C4299" s="33">
        <v>30</v>
      </c>
    </row>
    <row r="4300" spans="2:3" x14ac:dyDescent="0.25">
      <c r="B4300" s="33" t="s">
        <v>5791</v>
      </c>
      <c r="C4300" s="33">
        <v>30</v>
      </c>
    </row>
    <row r="4301" spans="2:3" x14ac:dyDescent="0.25">
      <c r="B4301" s="33" t="s">
        <v>5792</v>
      </c>
      <c r="C4301" s="33">
        <v>30</v>
      </c>
    </row>
    <row r="4302" spans="2:3" x14ac:dyDescent="0.25">
      <c r="B4302" s="33" t="s">
        <v>5793</v>
      </c>
      <c r="C4302" s="33">
        <v>30</v>
      </c>
    </row>
    <row r="4303" spans="2:3" x14ac:dyDescent="0.25">
      <c r="B4303" s="33" t="s">
        <v>5794</v>
      </c>
      <c r="C4303" s="33">
        <v>30</v>
      </c>
    </row>
    <row r="4304" spans="2:3" x14ac:dyDescent="0.25">
      <c r="B4304" s="33" t="s">
        <v>5795</v>
      </c>
      <c r="C4304" s="33">
        <v>30</v>
      </c>
    </row>
    <row r="4305" spans="2:3" x14ac:dyDescent="0.25">
      <c r="B4305" s="33" t="s">
        <v>5796</v>
      </c>
      <c r="C4305" s="33">
        <v>30</v>
      </c>
    </row>
    <row r="4306" spans="2:3" x14ac:dyDescent="0.25">
      <c r="B4306" s="33" t="s">
        <v>5797</v>
      </c>
      <c r="C4306" s="33">
        <v>30</v>
      </c>
    </row>
    <row r="4307" spans="2:3" x14ac:dyDescent="0.25">
      <c r="B4307" s="33" t="s">
        <v>5798</v>
      </c>
      <c r="C4307" s="33">
        <v>30</v>
      </c>
    </row>
    <row r="4308" spans="2:3" x14ac:dyDescent="0.25">
      <c r="B4308" s="33" t="s">
        <v>5799</v>
      </c>
      <c r="C4308" s="33">
        <v>30</v>
      </c>
    </row>
    <row r="4309" spans="2:3" x14ac:dyDescent="0.25">
      <c r="B4309" s="33" t="s">
        <v>5800</v>
      </c>
      <c r="C4309" s="33">
        <v>30</v>
      </c>
    </row>
    <row r="4310" spans="2:3" x14ac:dyDescent="0.25">
      <c r="B4310" s="33" t="s">
        <v>5801</v>
      </c>
      <c r="C4310" s="33">
        <v>30</v>
      </c>
    </row>
    <row r="4311" spans="2:3" x14ac:dyDescent="0.25">
      <c r="B4311" s="33" t="s">
        <v>5802</v>
      </c>
      <c r="C4311" s="33">
        <v>30</v>
      </c>
    </row>
    <row r="4312" spans="2:3" x14ac:dyDescent="0.25">
      <c r="B4312" s="33" t="s">
        <v>5803</v>
      </c>
      <c r="C4312" s="33">
        <v>30</v>
      </c>
    </row>
    <row r="4313" spans="2:3" x14ac:dyDescent="0.25">
      <c r="B4313" s="33" t="s">
        <v>5804</v>
      </c>
      <c r="C4313" s="33">
        <v>30</v>
      </c>
    </row>
    <row r="4314" spans="2:3" x14ac:dyDescent="0.25">
      <c r="B4314" s="33" t="s">
        <v>5805</v>
      </c>
      <c r="C4314" s="33">
        <v>30</v>
      </c>
    </row>
    <row r="4315" spans="2:3" x14ac:dyDescent="0.25">
      <c r="B4315" s="33" t="s">
        <v>5806</v>
      </c>
      <c r="C4315" s="33">
        <v>30</v>
      </c>
    </row>
    <row r="4316" spans="2:3" x14ac:dyDescent="0.25">
      <c r="B4316" s="33" t="s">
        <v>5807</v>
      </c>
      <c r="C4316" s="33">
        <v>30</v>
      </c>
    </row>
    <row r="4317" spans="2:3" x14ac:dyDescent="0.25">
      <c r="B4317" s="33" t="s">
        <v>5808</v>
      </c>
      <c r="C4317" s="33">
        <v>30</v>
      </c>
    </row>
    <row r="4318" spans="2:3" x14ac:dyDescent="0.25">
      <c r="B4318" s="33" t="s">
        <v>5809</v>
      </c>
      <c r="C4318" s="33">
        <v>30</v>
      </c>
    </row>
    <row r="4319" spans="2:3" x14ac:dyDescent="0.25">
      <c r="B4319" s="33" t="s">
        <v>5810</v>
      </c>
      <c r="C4319" s="33">
        <v>30</v>
      </c>
    </row>
    <row r="4320" spans="2:3" x14ac:dyDescent="0.25">
      <c r="B4320" s="33" t="s">
        <v>5811</v>
      </c>
      <c r="C4320" s="33">
        <v>30</v>
      </c>
    </row>
    <row r="4321" spans="2:3" x14ac:dyDescent="0.25">
      <c r="B4321" s="33" t="s">
        <v>5812</v>
      </c>
      <c r="C4321" s="33">
        <v>30</v>
      </c>
    </row>
    <row r="4322" spans="2:3" x14ac:dyDescent="0.25">
      <c r="B4322" s="33" t="s">
        <v>5813</v>
      </c>
      <c r="C4322" s="33">
        <v>30</v>
      </c>
    </row>
    <row r="4323" spans="2:3" x14ac:dyDescent="0.25">
      <c r="B4323" s="33" t="s">
        <v>5814</v>
      </c>
      <c r="C4323" s="33">
        <v>30</v>
      </c>
    </row>
    <row r="4324" spans="2:3" x14ac:dyDescent="0.25">
      <c r="B4324" s="33" t="s">
        <v>5815</v>
      </c>
      <c r="C4324" s="33">
        <v>30</v>
      </c>
    </row>
    <row r="4325" spans="2:3" x14ac:dyDescent="0.25">
      <c r="B4325" s="33" t="s">
        <v>5816</v>
      </c>
      <c r="C4325" s="33">
        <v>30</v>
      </c>
    </row>
    <row r="4326" spans="2:3" x14ac:dyDescent="0.25">
      <c r="B4326" s="33" t="s">
        <v>5817</v>
      </c>
      <c r="C4326" s="33">
        <v>30</v>
      </c>
    </row>
    <row r="4327" spans="2:3" x14ac:dyDescent="0.25">
      <c r="B4327" s="33" t="s">
        <v>5818</v>
      </c>
      <c r="C4327" s="33">
        <v>30</v>
      </c>
    </row>
    <row r="4328" spans="2:3" x14ac:dyDescent="0.25">
      <c r="B4328" s="33" t="s">
        <v>5819</v>
      </c>
      <c r="C4328" s="33">
        <v>30</v>
      </c>
    </row>
    <row r="4329" spans="2:3" x14ac:dyDescent="0.25">
      <c r="B4329" s="33" t="s">
        <v>5820</v>
      </c>
      <c r="C4329" s="33">
        <v>30</v>
      </c>
    </row>
    <row r="4330" spans="2:3" x14ac:dyDescent="0.25">
      <c r="B4330" s="33" t="s">
        <v>5821</v>
      </c>
      <c r="C4330" s="33">
        <v>30</v>
      </c>
    </row>
    <row r="4331" spans="2:3" x14ac:dyDescent="0.25">
      <c r="B4331" s="33" t="s">
        <v>5822</v>
      </c>
      <c r="C4331" s="33">
        <v>30</v>
      </c>
    </row>
    <row r="4332" spans="2:3" x14ac:dyDescent="0.25">
      <c r="B4332" s="33" t="s">
        <v>5823</v>
      </c>
      <c r="C4332" s="33">
        <v>30</v>
      </c>
    </row>
    <row r="4333" spans="2:3" x14ac:dyDescent="0.25">
      <c r="B4333" s="33" t="s">
        <v>5824</v>
      </c>
      <c r="C4333" s="33">
        <v>30</v>
      </c>
    </row>
    <row r="4334" spans="2:3" x14ac:dyDescent="0.25">
      <c r="B4334" s="33" t="s">
        <v>5825</v>
      </c>
      <c r="C4334" s="33">
        <v>30</v>
      </c>
    </row>
    <row r="4335" spans="2:3" x14ac:dyDescent="0.25">
      <c r="B4335" s="33" t="s">
        <v>5826</v>
      </c>
      <c r="C4335" s="33">
        <v>30</v>
      </c>
    </row>
    <row r="4336" spans="2:3" x14ac:dyDescent="0.25">
      <c r="B4336" s="33" t="s">
        <v>5827</v>
      </c>
      <c r="C4336" s="33">
        <v>30</v>
      </c>
    </row>
    <row r="4337" spans="2:3" x14ac:dyDescent="0.25">
      <c r="B4337" s="33" t="s">
        <v>5828</v>
      </c>
      <c r="C4337" s="33">
        <v>30</v>
      </c>
    </row>
    <row r="4338" spans="2:3" x14ac:dyDescent="0.25">
      <c r="B4338" s="33" t="s">
        <v>5829</v>
      </c>
      <c r="C4338" s="33">
        <v>30</v>
      </c>
    </row>
    <row r="4339" spans="2:3" x14ac:dyDescent="0.25">
      <c r="B4339" s="33" t="s">
        <v>5830</v>
      </c>
      <c r="C4339" s="33">
        <v>30</v>
      </c>
    </row>
    <row r="4340" spans="2:3" x14ac:dyDescent="0.25">
      <c r="B4340" s="33" t="s">
        <v>5831</v>
      </c>
      <c r="C4340" s="33">
        <v>30</v>
      </c>
    </row>
    <row r="4341" spans="2:3" x14ac:dyDescent="0.25">
      <c r="B4341" s="33" t="s">
        <v>5832</v>
      </c>
      <c r="C4341" s="33">
        <v>30</v>
      </c>
    </row>
    <row r="4342" spans="2:3" x14ac:dyDescent="0.25">
      <c r="B4342" s="33" t="s">
        <v>5833</v>
      </c>
      <c r="C4342" s="33">
        <v>30</v>
      </c>
    </row>
    <row r="4343" spans="2:3" x14ac:dyDescent="0.25">
      <c r="B4343" s="33" t="s">
        <v>5834</v>
      </c>
      <c r="C4343" s="33">
        <v>30</v>
      </c>
    </row>
    <row r="4344" spans="2:3" x14ac:dyDescent="0.25">
      <c r="B4344" s="33" t="s">
        <v>5835</v>
      </c>
      <c r="C4344" s="33">
        <v>30</v>
      </c>
    </row>
    <row r="4345" spans="2:3" x14ac:dyDescent="0.25">
      <c r="B4345" s="33" t="s">
        <v>5836</v>
      </c>
      <c r="C4345" s="33">
        <v>30</v>
      </c>
    </row>
    <row r="4346" spans="2:3" x14ac:dyDescent="0.25">
      <c r="B4346" s="33" t="s">
        <v>5837</v>
      </c>
      <c r="C4346" s="33">
        <v>30</v>
      </c>
    </row>
    <row r="4347" spans="2:3" x14ac:dyDescent="0.25">
      <c r="B4347" s="33" t="s">
        <v>5838</v>
      </c>
      <c r="C4347" s="33">
        <v>30</v>
      </c>
    </row>
    <row r="4348" spans="2:3" x14ac:dyDescent="0.25">
      <c r="B4348" s="33" t="s">
        <v>5839</v>
      </c>
      <c r="C4348" s="33">
        <v>30</v>
      </c>
    </row>
    <row r="4349" spans="2:3" x14ac:dyDescent="0.25">
      <c r="B4349" s="33" t="s">
        <v>5840</v>
      </c>
      <c r="C4349" s="33">
        <v>30</v>
      </c>
    </row>
    <row r="4350" spans="2:3" x14ac:dyDescent="0.25">
      <c r="B4350" s="33" t="s">
        <v>5841</v>
      </c>
      <c r="C4350" s="33">
        <v>30</v>
      </c>
    </row>
    <row r="4351" spans="2:3" x14ac:dyDescent="0.25">
      <c r="B4351" s="33" t="s">
        <v>5842</v>
      </c>
      <c r="C4351" s="33">
        <v>30</v>
      </c>
    </row>
    <row r="4352" spans="2:3" x14ac:dyDescent="0.25">
      <c r="B4352" s="33" t="s">
        <v>5843</v>
      </c>
      <c r="C4352" s="33">
        <v>30</v>
      </c>
    </row>
    <row r="4353" spans="2:3" x14ac:dyDescent="0.25">
      <c r="B4353" s="33" t="s">
        <v>5844</v>
      </c>
      <c r="C4353" s="33">
        <v>30</v>
      </c>
    </row>
    <row r="4354" spans="2:3" x14ac:dyDescent="0.25">
      <c r="B4354" s="33" t="s">
        <v>5845</v>
      </c>
      <c r="C4354" s="33">
        <v>30</v>
      </c>
    </row>
    <row r="4355" spans="2:3" x14ac:dyDescent="0.25">
      <c r="B4355" s="33" t="s">
        <v>5846</v>
      </c>
      <c r="C4355" s="33">
        <v>30</v>
      </c>
    </row>
    <row r="4356" spans="2:3" x14ac:dyDescent="0.25">
      <c r="B4356" s="33" t="s">
        <v>5847</v>
      </c>
      <c r="C4356" s="33">
        <v>30</v>
      </c>
    </row>
    <row r="4357" spans="2:3" x14ac:dyDescent="0.25">
      <c r="B4357" s="33" t="s">
        <v>5848</v>
      </c>
      <c r="C4357" s="33">
        <v>30</v>
      </c>
    </row>
    <row r="4358" spans="2:3" x14ac:dyDescent="0.25">
      <c r="B4358" s="33" t="s">
        <v>5849</v>
      </c>
      <c r="C4358" s="33">
        <v>30</v>
      </c>
    </row>
    <row r="4359" spans="2:3" x14ac:dyDescent="0.25">
      <c r="B4359" s="33" t="s">
        <v>5850</v>
      </c>
      <c r="C4359" s="33">
        <v>30</v>
      </c>
    </row>
    <row r="4360" spans="2:3" x14ac:dyDescent="0.25">
      <c r="B4360" s="33" t="s">
        <v>5851</v>
      </c>
      <c r="C4360" s="33">
        <v>30</v>
      </c>
    </row>
    <row r="4361" spans="2:3" x14ac:dyDescent="0.25">
      <c r="B4361" s="33" t="s">
        <v>5852</v>
      </c>
      <c r="C4361" s="33">
        <v>30</v>
      </c>
    </row>
    <row r="4362" spans="2:3" x14ac:dyDescent="0.25">
      <c r="B4362" s="33" t="s">
        <v>5853</v>
      </c>
      <c r="C4362" s="33">
        <v>30</v>
      </c>
    </row>
    <row r="4363" spans="2:3" x14ac:dyDescent="0.25">
      <c r="B4363" s="33" t="s">
        <v>5854</v>
      </c>
      <c r="C4363" s="33">
        <v>30</v>
      </c>
    </row>
    <row r="4364" spans="2:3" x14ac:dyDescent="0.25">
      <c r="B4364" s="33" t="s">
        <v>5855</v>
      </c>
      <c r="C4364" s="33">
        <v>30</v>
      </c>
    </row>
    <row r="4365" spans="2:3" x14ac:dyDescent="0.25">
      <c r="B4365" s="33" t="s">
        <v>5856</v>
      </c>
      <c r="C4365" s="33">
        <v>30</v>
      </c>
    </row>
    <row r="4366" spans="2:3" x14ac:dyDescent="0.25">
      <c r="B4366" s="33" t="s">
        <v>5857</v>
      </c>
      <c r="C4366" s="33">
        <v>30</v>
      </c>
    </row>
    <row r="4367" spans="2:3" x14ac:dyDescent="0.25">
      <c r="B4367" s="33" t="s">
        <v>5858</v>
      </c>
      <c r="C4367" s="33">
        <v>30</v>
      </c>
    </row>
    <row r="4368" spans="2:3" x14ac:dyDescent="0.25">
      <c r="B4368" s="33" t="s">
        <v>5859</v>
      </c>
      <c r="C4368" s="33">
        <v>30</v>
      </c>
    </row>
    <row r="4369" spans="2:3" x14ac:dyDescent="0.25">
      <c r="B4369" s="33" t="s">
        <v>5860</v>
      </c>
      <c r="C4369" s="33">
        <v>30</v>
      </c>
    </row>
    <row r="4370" spans="2:3" x14ac:dyDescent="0.25">
      <c r="B4370" s="33" t="s">
        <v>5861</v>
      </c>
      <c r="C4370" s="33">
        <v>30</v>
      </c>
    </row>
    <row r="4371" spans="2:3" x14ac:dyDescent="0.25">
      <c r="B4371" s="33" t="s">
        <v>5862</v>
      </c>
      <c r="C4371" s="33">
        <v>30</v>
      </c>
    </row>
    <row r="4372" spans="2:3" x14ac:dyDescent="0.25">
      <c r="B4372" s="33" t="s">
        <v>5863</v>
      </c>
      <c r="C4372" s="33">
        <v>30</v>
      </c>
    </row>
    <row r="4373" spans="2:3" x14ac:dyDescent="0.25">
      <c r="B4373" s="33" t="s">
        <v>5864</v>
      </c>
      <c r="C4373" s="33">
        <v>30</v>
      </c>
    </row>
    <row r="4374" spans="2:3" x14ac:dyDescent="0.25">
      <c r="B4374" s="33" t="s">
        <v>5865</v>
      </c>
      <c r="C4374" s="33">
        <v>30</v>
      </c>
    </row>
    <row r="4375" spans="2:3" x14ac:dyDescent="0.25">
      <c r="B4375" s="33" t="s">
        <v>5866</v>
      </c>
      <c r="C4375" s="33">
        <v>30</v>
      </c>
    </row>
    <row r="4376" spans="2:3" x14ac:dyDescent="0.25">
      <c r="B4376" s="33" t="s">
        <v>5867</v>
      </c>
      <c r="C4376" s="33">
        <v>30</v>
      </c>
    </row>
    <row r="4377" spans="2:3" x14ac:dyDescent="0.25">
      <c r="B4377" s="33" t="s">
        <v>5868</v>
      </c>
      <c r="C4377" s="33">
        <v>30</v>
      </c>
    </row>
    <row r="4378" spans="2:3" x14ac:dyDescent="0.25">
      <c r="B4378" s="33" t="s">
        <v>5869</v>
      </c>
      <c r="C4378" s="33">
        <v>30</v>
      </c>
    </row>
    <row r="4379" spans="2:3" x14ac:dyDescent="0.25">
      <c r="B4379" s="33" t="s">
        <v>5870</v>
      </c>
      <c r="C4379" s="33">
        <v>30</v>
      </c>
    </row>
    <row r="4380" spans="2:3" x14ac:dyDescent="0.25">
      <c r="B4380" s="33" t="s">
        <v>5871</v>
      </c>
      <c r="C4380" s="33">
        <v>30</v>
      </c>
    </row>
    <row r="4381" spans="2:3" x14ac:dyDescent="0.25">
      <c r="B4381" s="33" t="s">
        <v>5872</v>
      </c>
      <c r="C4381" s="33">
        <v>30</v>
      </c>
    </row>
    <row r="4382" spans="2:3" x14ac:dyDescent="0.25">
      <c r="B4382" s="33" t="s">
        <v>5873</v>
      </c>
      <c r="C4382" s="33">
        <v>30</v>
      </c>
    </row>
    <row r="4383" spans="2:3" x14ac:dyDescent="0.25">
      <c r="B4383" s="33" t="s">
        <v>5874</v>
      </c>
      <c r="C4383" s="33">
        <v>30</v>
      </c>
    </row>
    <row r="4384" spans="2:3" x14ac:dyDescent="0.25">
      <c r="B4384" s="33" t="s">
        <v>5875</v>
      </c>
      <c r="C4384" s="33">
        <v>30</v>
      </c>
    </row>
    <row r="4385" spans="2:3" x14ac:dyDescent="0.25">
      <c r="B4385" s="33" t="s">
        <v>5876</v>
      </c>
      <c r="C4385" s="33">
        <v>30</v>
      </c>
    </row>
    <row r="4386" spans="2:3" x14ac:dyDescent="0.25">
      <c r="B4386" s="33" t="s">
        <v>5877</v>
      </c>
      <c r="C4386" s="33">
        <v>30</v>
      </c>
    </row>
    <row r="4387" spans="2:3" x14ac:dyDescent="0.25">
      <c r="B4387" s="33" t="s">
        <v>5878</v>
      </c>
      <c r="C4387" s="33">
        <v>30</v>
      </c>
    </row>
    <row r="4388" spans="2:3" x14ac:dyDescent="0.25">
      <c r="B4388" s="33" t="s">
        <v>5879</v>
      </c>
      <c r="C4388" s="33">
        <v>30</v>
      </c>
    </row>
    <row r="4389" spans="2:3" x14ac:dyDescent="0.25">
      <c r="B4389" s="33" t="s">
        <v>5880</v>
      </c>
      <c r="C4389" s="33">
        <v>30</v>
      </c>
    </row>
    <row r="4390" spans="2:3" x14ac:dyDescent="0.25">
      <c r="B4390" s="33" t="s">
        <v>5881</v>
      </c>
      <c r="C4390" s="33">
        <v>30</v>
      </c>
    </row>
    <row r="4391" spans="2:3" x14ac:dyDescent="0.25">
      <c r="B4391" s="33" t="s">
        <v>5882</v>
      </c>
      <c r="C4391" s="33">
        <v>30</v>
      </c>
    </row>
    <row r="4392" spans="2:3" x14ac:dyDescent="0.25">
      <c r="B4392" s="33" t="s">
        <v>5883</v>
      </c>
      <c r="C4392" s="33">
        <v>30</v>
      </c>
    </row>
    <row r="4393" spans="2:3" x14ac:dyDescent="0.25">
      <c r="B4393" s="33" t="s">
        <v>5884</v>
      </c>
      <c r="C4393" s="33">
        <v>30</v>
      </c>
    </row>
    <row r="4394" spans="2:3" x14ac:dyDescent="0.25">
      <c r="B4394" s="33" t="s">
        <v>5885</v>
      </c>
      <c r="C4394" s="33">
        <v>30</v>
      </c>
    </row>
    <row r="4395" spans="2:3" x14ac:dyDescent="0.25">
      <c r="B4395" s="33" t="s">
        <v>5886</v>
      </c>
      <c r="C4395" s="33">
        <v>30</v>
      </c>
    </row>
    <row r="4396" spans="2:3" x14ac:dyDescent="0.25">
      <c r="B4396" s="33" t="s">
        <v>5887</v>
      </c>
      <c r="C4396" s="33">
        <v>30</v>
      </c>
    </row>
    <row r="4397" spans="2:3" x14ac:dyDescent="0.25">
      <c r="B4397" s="33" t="s">
        <v>5888</v>
      </c>
      <c r="C4397" s="33">
        <v>30</v>
      </c>
    </row>
    <row r="4398" spans="2:3" x14ac:dyDescent="0.25">
      <c r="B4398" s="33" t="s">
        <v>5889</v>
      </c>
      <c r="C4398" s="33">
        <v>30</v>
      </c>
    </row>
    <row r="4399" spans="2:3" x14ac:dyDescent="0.25">
      <c r="B4399" s="33" t="s">
        <v>5890</v>
      </c>
      <c r="C4399" s="33">
        <v>30</v>
      </c>
    </row>
    <row r="4400" spans="2:3" x14ac:dyDescent="0.25">
      <c r="B4400" s="33" t="s">
        <v>5891</v>
      </c>
      <c r="C4400" s="33">
        <v>30</v>
      </c>
    </row>
    <row r="4401" spans="2:3" x14ac:dyDescent="0.25">
      <c r="B4401" s="33" t="s">
        <v>5892</v>
      </c>
      <c r="C4401" s="33">
        <v>30</v>
      </c>
    </row>
    <row r="4402" spans="2:3" x14ac:dyDescent="0.25">
      <c r="B4402" s="33" t="s">
        <v>5893</v>
      </c>
      <c r="C4402" s="33">
        <v>30</v>
      </c>
    </row>
    <row r="4403" spans="2:3" x14ac:dyDescent="0.25">
      <c r="B4403" s="33" t="s">
        <v>5894</v>
      </c>
      <c r="C4403" s="33">
        <v>30</v>
      </c>
    </row>
    <row r="4404" spans="2:3" x14ac:dyDescent="0.25">
      <c r="B4404" s="33" t="s">
        <v>5895</v>
      </c>
      <c r="C4404" s="33">
        <v>30</v>
      </c>
    </row>
    <row r="4405" spans="2:3" x14ac:dyDescent="0.25">
      <c r="B4405" s="33" t="s">
        <v>5896</v>
      </c>
      <c r="C4405" s="33">
        <v>30</v>
      </c>
    </row>
    <row r="4406" spans="2:3" x14ac:dyDescent="0.25">
      <c r="B4406" s="33" t="s">
        <v>5897</v>
      </c>
      <c r="C4406" s="33">
        <v>30</v>
      </c>
    </row>
    <row r="4407" spans="2:3" x14ac:dyDescent="0.25">
      <c r="B4407" s="33" t="s">
        <v>5898</v>
      </c>
      <c r="C4407" s="33">
        <v>30</v>
      </c>
    </row>
    <row r="4408" spans="2:3" x14ac:dyDescent="0.25">
      <c r="B4408" s="33" t="s">
        <v>5899</v>
      </c>
      <c r="C4408" s="33">
        <v>30</v>
      </c>
    </row>
    <row r="4409" spans="2:3" x14ac:dyDescent="0.25">
      <c r="B4409" s="33" t="s">
        <v>5900</v>
      </c>
      <c r="C4409" s="33">
        <v>30</v>
      </c>
    </row>
    <row r="4410" spans="2:3" x14ac:dyDescent="0.25">
      <c r="B4410" s="33" t="s">
        <v>5901</v>
      </c>
      <c r="C4410" s="33">
        <v>30</v>
      </c>
    </row>
    <row r="4411" spans="2:3" x14ac:dyDescent="0.25">
      <c r="B4411" s="33" t="s">
        <v>5902</v>
      </c>
      <c r="C4411" s="33">
        <v>30</v>
      </c>
    </row>
    <row r="4412" spans="2:3" x14ac:dyDescent="0.25">
      <c r="B4412" s="33" t="s">
        <v>5903</v>
      </c>
      <c r="C4412" s="33">
        <v>30</v>
      </c>
    </row>
    <row r="4413" spans="2:3" x14ac:dyDescent="0.25">
      <c r="B4413" s="33" t="s">
        <v>5904</v>
      </c>
      <c r="C4413" s="33">
        <v>30</v>
      </c>
    </row>
    <row r="4414" spans="2:3" x14ac:dyDescent="0.25">
      <c r="B4414" s="33" t="s">
        <v>5905</v>
      </c>
      <c r="C4414" s="33">
        <v>30</v>
      </c>
    </row>
    <row r="4415" spans="2:3" x14ac:dyDescent="0.25">
      <c r="B4415" s="33" t="s">
        <v>5906</v>
      </c>
      <c r="C4415" s="33">
        <v>30</v>
      </c>
    </row>
    <row r="4416" spans="2:3" x14ac:dyDescent="0.25">
      <c r="B4416" s="33" t="s">
        <v>5907</v>
      </c>
      <c r="C4416" s="33">
        <v>30</v>
      </c>
    </row>
    <row r="4417" spans="2:3" x14ac:dyDescent="0.25">
      <c r="B4417" s="33" t="s">
        <v>5908</v>
      </c>
      <c r="C4417" s="33">
        <v>30</v>
      </c>
    </row>
    <row r="4418" spans="2:3" x14ac:dyDescent="0.25">
      <c r="B4418" s="33" t="s">
        <v>5909</v>
      </c>
      <c r="C4418" s="33">
        <v>30</v>
      </c>
    </row>
    <row r="4419" spans="2:3" x14ac:dyDescent="0.25">
      <c r="B4419" s="33" t="s">
        <v>5910</v>
      </c>
      <c r="C4419" s="33">
        <v>30</v>
      </c>
    </row>
    <row r="4420" spans="2:3" x14ac:dyDescent="0.25">
      <c r="B4420" s="33" t="s">
        <v>5911</v>
      </c>
      <c r="C4420" s="33">
        <v>30</v>
      </c>
    </row>
    <row r="4421" spans="2:3" x14ac:dyDescent="0.25">
      <c r="B4421" s="33" t="s">
        <v>5912</v>
      </c>
      <c r="C4421" s="33">
        <v>30</v>
      </c>
    </row>
    <row r="4422" spans="2:3" x14ac:dyDescent="0.25">
      <c r="B4422" s="33" t="s">
        <v>5913</v>
      </c>
      <c r="C4422" s="33">
        <v>30</v>
      </c>
    </row>
    <row r="4423" spans="2:3" x14ac:dyDescent="0.25">
      <c r="B4423" s="33" t="s">
        <v>5914</v>
      </c>
      <c r="C4423" s="33">
        <v>30</v>
      </c>
    </row>
    <row r="4424" spans="2:3" x14ac:dyDescent="0.25">
      <c r="B4424" s="33" t="s">
        <v>5915</v>
      </c>
      <c r="C4424" s="33">
        <v>30</v>
      </c>
    </row>
    <row r="4425" spans="2:3" x14ac:dyDescent="0.25">
      <c r="B4425" s="33" t="s">
        <v>5916</v>
      </c>
      <c r="C4425" s="33">
        <v>30</v>
      </c>
    </row>
    <row r="4426" spans="2:3" x14ac:dyDescent="0.25">
      <c r="B4426" s="33" t="s">
        <v>5917</v>
      </c>
      <c r="C4426" s="33">
        <v>30</v>
      </c>
    </row>
    <row r="4427" spans="2:3" x14ac:dyDescent="0.25">
      <c r="B4427" s="33" t="s">
        <v>5918</v>
      </c>
      <c r="C4427" s="33">
        <v>30</v>
      </c>
    </row>
    <row r="4428" spans="2:3" x14ac:dyDescent="0.25">
      <c r="B4428" s="33" t="s">
        <v>5919</v>
      </c>
      <c r="C4428" s="33">
        <v>30</v>
      </c>
    </row>
    <row r="4429" spans="2:3" x14ac:dyDescent="0.25">
      <c r="B4429" s="33" t="s">
        <v>5920</v>
      </c>
      <c r="C4429" s="33">
        <v>30</v>
      </c>
    </row>
    <row r="4430" spans="2:3" x14ac:dyDescent="0.25">
      <c r="B4430" s="33" t="s">
        <v>5921</v>
      </c>
      <c r="C4430" s="33">
        <v>30</v>
      </c>
    </row>
    <row r="4431" spans="2:3" x14ac:dyDescent="0.25">
      <c r="B4431" s="33" t="s">
        <v>5922</v>
      </c>
      <c r="C4431" s="33">
        <v>30</v>
      </c>
    </row>
    <row r="4432" spans="2:3" x14ac:dyDescent="0.25">
      <c r="B4432" s="33" t="s">
        <v>5923</v>
      </c>
      <c r="C4432" s="33">
        <v>30</v>
      </c>
    </row>
    <row r="4433" spans="2:3" x14ac:dyDescent="0.25">
      <c r="B4433" s="33" t="s">
        <v>5924</v>
      </c>
      <c r="C4433" s="33">
        <v>30</v>
      </c>
    </row>
    <row r="4434" spans="2:3" x14ac:dyDescent="0.25">
      <c r="B4434" s="33" t="s">
        <v>5925</v>
      </c>
      <c r="C4434" s="33">
        <v>30</v>
      </c>
    </row>
    <row r="4435" spans="2:3" x14ac:dyDescent="0.25">
      <c r="B4435" s="33" t="s">
        <v>5926</v>
      </c>
      <c r="C4435" s="33">
        <v>30</v>
      </c>
    </row>
    <row r="4436" spans="2:3" x14ac:dyDescent="0.25">
      <c r="B4436" s="33" t="s">
        <v>5927</v>
      </c>
      <c r="C4436" s="33">
        <v>30</v>
      </c>
    </row>
    <row r="4437" spans="2:3" x14ac:dyDescent="0.25">
      <c r="B4437" s="33" t="s">
        <v>5928</v>
      </c>
      <c r="C4437" s="33">
        <v>30</v>
      </c>
    </row>
    <row r="4438" spans="2:3" x14ac:dyDescent="0.25">
      <c r="B4438" s="33" t="s">
        <v>5929</v>
      </c>
      <c r="C4438" s="33">
        <v>30</v>
      </c>
    </row>
    <row r="4439" spans="2:3" x14ac:dyDescent="0.25">
      <c r="B4439" s="33" t="s">
        <v>5930</v>
      </c>
      <c r="C4439" s="33">
        <v>30</v>
      </c>
    </row>
    <row r="4440" spans="2:3" x14ac:dyDescent="0.25">
      <c r="B4440" s="33" t="s">
        <v>5931</v>
      </c>
      <c r="C4440" s="33">
        <v>30</v>
      </c>
    </row>
    <row r="4441" spans="2:3" x14ac:dyDescent="0.25">
      <c r="B4441" s="33" t="s">
        <v>5932</v>
      </c>
      <c r="C4441" s="33">
        <v>30</v>
      </c>
    </row>
    <row r="4442" spans="2:3" x14ac:dyDescent="0.25">
      <c r="B4442" s="33" t="s">
        <v>5933</v>
      </c>
      <c r="C4442" s="33">
        <v>30</v>
      </c>
    </row>
    <row r="4443" spans="2:3" x14ac:dyDescent="0.25">
      <c r="B4443" s="33" t="s">
        <v>5934</v>
      </c>
      <c r="C4443" s="33">
        <v>30</v>
      </c>
    </row>
    <row r="4444" spans="2:3" x14ac:dyDescent="0.25">
      <c r="B4444" s="33" t="s">
        <v>5935</v>
      </c>
      <c r="C4444" s="33">
        <v>30</v>
      </c>
    </row>
    <row r="4445" spans="2:3" x14ac:dyDescent="0.25">
      <c r="B4445" s="33" t="s">
        <v>5936</v>
      </c>
      <c r="C4445" s="33">
        <v>30</v>
      </c>
    </row>
    <row r="4446" spans="2:3" x14ac:dyDescent="0.25">
      <c r="B4446" s="33" t="s">
        <v>5937</v>
      </c>
      <c r="C4446" s="33">
        <v>30</v>
      </c>
    </row>
    <row r="4447" spans="2:3" x14ac:dyDescent="0.25">
      <c r="B4447" s="33" t="s">
        <v>5938</v>
      </c>
      <c r="C4447" s="33">
        <v>30</v>
      </c>
    </row>
    <row r="4448" spans="2:3" x14ac:dyDescent="0.25">
      <c r="B4448" s="33" t="s">
        <v>5939</v>
      </c>
      <c r="C4448" s="33">
        <v>30</v>
      </c>
    </row>
    <row r="4449" spans="2:3" x14ac:dyDescent="0.25">
      <c r="B4449" s="33" t="s">
        <v>5940</v>
      </c>
      <c r="C4449" s="33">
        <v>30</v>
      </c>
    </row>
    <row r="4450" spans="2:3" x14ac:dyDescent="0.25">
      <c r="B4450" s="33" t="s">
        <v>5941</v>
      </c>
      <c r="C4450" s="33">
        <v>30</v>
      </c>
    </row>
    <row r="4451" spans="2:3" x14ac:dyDescent="0.25">
      <c r="B4451" s="33" t="s">
        <v>5942</v>
      </c>
      <c r="C4451" s="33">
        <v>30</v>
      </c>
    </row>
    <row r="4452" spans="2:3" x14ac:dyDescent="0.25">
      <c r="B4452" s="33" t="s">
        <v>5943</v>
      </c>
      <c r="C4452" s="33">
        <v>30</v>
      </c>
    </row>
    <row r="4453" spans="2:3" x14ac:dyDescent="0.25">
      <c r="B4453" s="33" t="s">
        <v>5944</v>
      </c>
      <c r="C4453" s="33">
        <v>30</v>
      </c>
    </row>
    <row r="4454" spans="2:3" x14ac:dyDescent="0.25">
      <c r="B4454" s="33" t="s">
        <v>5945</v>
      </c>
      <c r="C4454" s="33">
        <v>30</v>
      </c>
    </row>
    <row r="4455" spans="2:3" x14ac:dyDescent="0.25">
      <c r="B4455" s="33" t="s">
        <v>5946</v>
      </c>
      <c r="C4455" s="33">
        <v>30</v>
      </c>
    </row>
    <row r="4456" spans="2:3" x14ac:dyDescent="0.25">
      <c r="B4456" s="33" t="s">
        <v>5947</v>
      </c>
      <c r="C4456" s="33">
        <v>30</v>
      </c>
    </row>
    <row r="4457" spans="2:3" x14ac:dyDescent="0.25">
      <c r="B4457" s="33" t="s">
        <v>5948</v>
      </c>
      <c r="C4457" s="33">
        <v>30</v>
      </c>
    </row>
    <row r="4458" spans="2:3" x14ac:dyDescent="0.25">
      <c r="B4458" s="33" t="s">
        <v>5949</v>
      </c>
      <c r="C4458" s="33">
        <v>30</v>
      </c>
    </row>
    <row r="4459" spans="2:3" x14ac:dyDescent="0.25">
      <c r="B4459" s="33" t="s">
        <v>5950</v>
      </c>
      <c r="C4459" s="33">
        <v>30</v>
      </c>
    </row>
    <row r="4460" spans="2:3" x14ac:dyDescent="0.25">
      <c r="B4460" s="33" t="s">
        <v>5951</v>
      </c>
      <c r="C4460" s="33">
        <v>30</v>
      </c>
    </row>
    <row r="4461" spans="2:3" x14ac:dyDescent="0.25">
      <c r="B4461" s="33" t="s">
        <v>5952</v>
      </c>
      <c r="C4461" s="33">
        <v>30</v>
      </c>
    </row>
    <row r="4462" spans="2:3" x14ac:dyDescent="0.25">
      <c r="B4462" s="33" t="s">
        <v>5953</v>
      </c>
      <c r="C4462" s="33">
        <v>30</v>
      </c>
    </row>
    <row r="4463" spans="2:3" x14ac:dyDescent="0.25">
      <c r="B4463" s="33" t="s">
        <v>5954</v>
      </c>
      <c r="C4463" s="33">
        <v>30</v>
      </c>
    </row>
    <row r="4464" spans="2:3" x14ac:dyDescent="0.25">
      <c r="B4464" s="33" t="s">
        <v>5955</v>
      </c>
      <c r="C4464" s="33">
        <v>30</v>
      </c>
    </row>
    <row r="4465" spans="2:3" x14ac:dyDescent="0.25">
      <c r="B4465" s="33" t="s">
        <v>5956</v>
      </c>
      <c r="C4465" s="33">
        <v>30</v>
      </c>
    </row>
    <row r="4466" spans="2:3" x14ac:dyDescent="0.25">
      <c r="B4466" s="33" t="s">
        <v>5957</v>
      </c>
      <c r="C4466" s="33">
        <v>30</v>
      </c>
    </row>
    <row r="4467" spans="2:3" x14ac:dyDescent="0.25">
      <c r="B4467" s="33" t="s">
        <v>5958</v>
      </c>
      <c r="C4467" s="33">
        <v>30</v>
      </c>
    </row>
    <row r="4468" spans="2:3" x14ac:dyDescent="0.25">
      <c r="B4468" s="33" t="s">
        <v>5959</v>
      </c>
      <c r="C4468" s="33">
        <v>30</v>
      </c>
    </row>
    <row r="4469" spans="2:3" x14ac:dyDescent="0.25">
      <c r="B4469" s="33" t="s">
        <v>5960</v>
      </c>
      <c r="C4469" s="33">
        <v>30</v>
      </c>
    </row>
    <row r="4470" spans="2:3" x14ac:dyDescent="0.25">
      <c r="B4470" s="33" t="s">
        <v>5961</v>
      </c>
      <c r="C4470" s="33">
        <v>30</v>
      </c>
    </row>
    <row r="4471" spans="2:3" x14ac:dyDescent="0.25">
      <c r="B4471" s="33" t="s">
        <v>5962</v>
      </c>
      <c r="C4471" s="33">
        <v>30</v>
      </c>
    </row>
    <row r="4472" spans="2:3" x14ac:dyDescent="0.25">
      <c r="B4472" s="33" t="s">
        <v>5963</v>
      </c>
      <c r="C4472" s="33">
        <v>30</v>
      </c>
    </row>
    <row r="4473" spans="2:3" x14ac:dyDescent="0.25">
      <c r="B4473" s="33" t="s">
        <v>5964</v>
      </c>
      <c r="C4473" s="33">
        <v>30</v>
      </c>
    </row>
    <row r="4474" spans="2:3" x14ac:dyDescent="0.25">
      <c r="B4474" s="33" t="s">
        <v>5965</v>
      </c>
      <c r="C4474" s="33">
        <v>30</v>
      </c>
    </row>
    <row r="4475" spans="2:3" x14ac:dyDescent="0.25">
      <c r="B4475" s="33" t="s">
        <v>5966</v>
      </c>
      <c r="C4475" s="33">
        <v>30</v>
      </c>
    </row>
    <row r="4476" spans="2:3" x14ac:dyDescent="0.25">
      <c r="B4476" s="33" t="s">
        <v>5967</v>
      </c>
      <c r="C4476" s="33">
        <v>30</v>
      </c>
    </row>
    <row r="4477" spans="2:3" x14ac:dyDescent="0.25">
      <c r="B4477" s="33" t="s">
        <v>5968</v>
      </c>
      <c r="C4477" s="33">
        <v>30</v>
      </c>
    </row>
    <row r="4478" spans="2:3" x14ac:dyDescent="0.25">
      <c r="B4478" s="33" t="s">
        <v>5969</v>
      </c>
      <c r="C4478" s="33">
        <v>30</v>
      </c>
    </row>
    <row r="4479" spans="2:3" x14ac:dyDescent="0.25">
      <c r="B4479" s="33" t="s">
        <v>5970</v>
      </c>
      <c r="C4479" s="33">
        <v>30</v>
      </c>
    </row>
    <row r="4480" spans="2:3" x14ac:dyDescent="0.25">
      <c r="B4480" s="33" t="s">
        <v>5971</v>
      </c>
      <c r="C4480" s="33">
        <v>30</v>
      </c>
    </row>
    <row r="4481" spans="2:3" x14ac:dyDescent="0.25">
      <c r="B4481" s="33" t="s">
        <v>5972</v>
      </c>
      <c r="C4481" s="33">
        <v>30</v>
      </c>
    </row>
    <row r="4482" spans="2:3" x14ac:dyDescent="0.25">
      <c r="B4482" s="33" t="s">
        <v>5973</v>
      </c>
      <c r="C4482" s="33">
        <v>30</v>
      </c>
    </row>
    <row r="4483" spans="2:3" x14ac:dyDescent="0.25">
      <c r="B4483" s="33" t="s">
        <v>5974</v>
      </c>
      <c r="C4483" s="33">
        <v>30</v>
      </c>
    </row>
    <row r="4484" spans="2:3" x14ac:dyDescent="0.25">
      <c r="B4484" s="33" t="s">
        <v>5975</v>
      </c>
      <c r="C4484" s="33">
        <v>30</v>
      </c>
    </row>
    <row r="4485" spans="2:3" x14ac:dyDescent="0.25">
      <c r="B4485" s="33" t="s">
        <v>5976</v>
      </c>
      <c r="C4485" s="33">
        <v>30</v>
      </c>
    </row>
    <row r="4486" spans="2:3" x14ac:dyDescent="0.25">
      <c r="B4486" s="33" t="s">
        <v>5977</v>
      </c>
      <c r="C4486" s="33">
        <v>30</v>
      </c>
    </row>
    <row r="4487" spans="2:3" x14ac:dyDescent="0.25">
      <c r="B4487" s="33" t="s">
        <v>5978</v>
      </c>
      <c r="C4487" s="33">
        <v>30</v>
      </c>
    </row>
    <row r="4488" spans="2:3" x14ac:dyDescent="0.25">
      <c r="B4488" s="33" t="s">
        <v>5979</v>
      </c>
      <c r="C4488" s="33">
        <v>30</v>
      </c>
    </row>
    <row r="4489" spans="2:3" x14ac:dyDescent="0.25">
      <c r="B4489" s="33" t="s">
        <v>5980</v>
      </c>
      <c r="C4489" s="33">
        <v>30</v>
      </c>
    </row>
    <row r="4490" spans="2:3" x14ac:dyDescent="0.25">
      <c r="B4490" s="33" t="s">
        <v>5981</v>
      </c>
      <c r="C4490" s="33">
        <v>30</v>
      </c>
    </row>
    <row r="4491" spans="2:3" x14ac:dyDescent="0.25">
      <c r="B4491" s="33" t="s">
        <v>5982</v>
      </c>
      <c r="C4491" s="33">
        <v>30</v>
      </c>
    </row>
    <row r="4492" spans="2:3" x14ac:dyDescent="0.25">
      <c r="B4492" s="33" t="s">
        <v>5983</v>
      </c>
      <c r="C4492" s="33">
        <v>30</v>
      </c>
    </row>
    <row r="4493" spans="2:3" x14ac:dyDescent="0.25">
      <c r="B4493" s="33" t="s">
        <v>5984</v>
      </c>
      <c r="C4493" s="33">
        <v>30</v>
      </c>
    </row>
    <row r="4494" spans="2:3" x14ac:dyDescent="0.25">
      <c r="B4494" s="33" t="s">
        <v>5985</v>
      </c>
      <c r="C4494" s="33">
        <v>30</v>
      </c>
    </row>
    <row r="4495" spans="2:3" x14ac:dyDescent="0.25">
      <c r="B4495" s="33" t="s">
        <v>5986</v>
      </c>
      <c r="C4495" s="33">
        <v>30</v>
      </c>
    </row>
    <row r="4496" spans="2:3" x14ac:dyDescent="0.25">
      <c r="B4496" s="33" t="s">
        <v>5987</v>
      </c>
      <c r="C4496" s="33">
        <v>30</v>
      </c>
    </row>
    <row r="4497" spans="2:3" x14ac:dyDescent="0.25">
      <c r="B4497" s="33" t="s">
        <v>5988</v>
      </c>
      <c r="C4497" s="33">
        <v>30</v>
      </c>
    </row>
    <row r="4498" spans="2:3" x14ac:dyDescent="0.25">
      <c r="B4498" s="33" t="s">
        <v>5989</v>
      </c>
      <c r="C4498" s="33">
        <v>30</v>
      </c>
    </row>
    <row r="4499" spans="2:3" x14ac:dyDescent="0.25">
      <c r="B4499" s="33" t="s">
        <v>5990</v>
      </c>
      <c r="C4499" s="33">
        <v>30</v>
      </c>
    </row>
    <row r="4500" spans="2:3" x14ac:dyDescent="0.25">
      <c r="B4500" s="33" t="s">
        <v>5991</v>
      </c>
      <c r="C4500" s="33">
        <v>30</v>
      </c>
    </row>
    <row r="4501" spans="2:3" x14ac:dyDescent="0.25">
      <c r="B4501" s="33" t="s">
        <v>5992</v>
      </c>
      <c r="C4501" s="33">
        <v>30</v>
      </c>
    </row>
    <row r="4502" spans="2:3" x14ac:dyDescent="0.25">
      <c r="B4502" s="33" t="s">
        <v>5993</v>
      </c>
      <c r="C4502" s="33">
        <v>30</v>
      </c>
    </row>
    <row r="4503" spans="2:3" x14ac:dyDescent="0.25">
      <c r="B4503" s="33" t="s">
        <v>5994</v>
      </c>
      <c r="C4503" s="33">
        <v>30</v>
      </c>
    </row>
    <row r="4504" spans="2:3" x14ac:dyDescent="0.25">
      <c r="B4504" s="33" t="s">
        <v>5995</v>
      </c>
      <c r="C4504" s="33">
        <v>30</v>
      </c>
    </row>
    <row r="4505" spans="2:3" x14ac:dyDescent="0.25">
      <c r="B4505" s="33" t="s">
        <v>5996</v>
      </c>
      <c r="C4505" s="33">
        <v>30</v>
      </c>
    </row>
    <row r="4506" spans="2:3" x14ac:dyDescent="0.25">
      <c r="B4506" s="33" t="s">
        <v>5997</v>
      </c>
      <c r="C4506" s="33">
        <v>30</v>
      </c>
    </row>
    <row r="4507" spans="2:3" x14ac:dyDescent="0.25">
      <c r="B4507" s="33" t="s">
        <v>5998</v>
      </c>
      <c r="C4507" s="33">
        <v>30</v>
      </c>
    </row>
    <row r="4508" spans="2:3" x14ac:dyDescent="0.25">
      <c r="B4508" s="33" t="s">
        <v>5999</v>
      </c>
      <c r="C4508" s="33">
        <v>30</v>
      </c>
    </row>
    <row r="4509" spans="2:3" x14ac:dyDescent="0.25">
      <c r="B4509" s="33" t="s">
        <v>6000</v>
      </c>
      <c r="C4509" s="33">
        <v>30</v>
      </c>
    </row>
    <row r="4510" spans="2:3" x14ac:dyDescent="0.25">
      <c r="B4510" s="33" t="s">
        <v>6001</v>
      </c>
      <c r="C4510" s="33">
        <v>30</v>
      </c>
    </row>
    <row r="4511" spans="2:3" x14ac:dyDescent="0.25">
      <c r="B4511" s="33" t="s">
        <v>6002</v>
      </c>
      <c r="C4511" s="33">
        <v>30</v>
      </c>
    </row>
    <row r="4512" spans="2:3" x14ac:dyDescent="0.25">
      <c r="B4512" s="33" t="s">
        <v>6003</v>
      </c>
      <c r="C4512" s="33">
        <v>30</v>
      </c>
    </row>
    <row r="4513" spans="2:3" x14ac:dyDescent="0.25">
      <c r="B4513" s="33" t="s">
        <v>6004</v>
      </c>
      <c r="C4513" s="33">
        <v>30</v>
      </c>
    </row>
    <row r="4514" spans="2:3" x14ac:dyDescent="0.25">
      <c r="B4514" s="33" t="s">
        <v>6005</v>
      </c>
      <c r="C4514" s="33">
        <v>30</v>
      </c>
    </row>
    <row r="4515" spans="2:3" x14ac:dyDescent="0.25">
      <c r="B4515" s="33" t="s">
        <v>6006</v>
      </c>
      <c r="C4515" s="33">
        <v>30</v>
      </c>
    </row>
    <row r="4516" spans="2:3" x14ac:dyDescent="0.25">
      <c r="B4516" s="33" t="s">
        <v>6007</v>
      </c>
      <c r="C4516" s="33">
        <v>30</v>
      </c>
    </row>
    <row r="4517" spans="2:3" x14ac:dyDescent="0.25">
      <c r="B4517" s="33" t="s">
        <v>6008</v>
      </c>
      <c r="C4517" s="33">
        <v>30</v>
      </c>
    </row>
    <row r="4518" spans="2:3" x14ac:dyDescent="0.25">
      <c r="B4518" s="33" t="s">
        <v>6009</v>
      </c>
      <c r="C4518" s="33">
        <v>30</v>
      </c>
    </row>
    <row r="4519" spans="2:3" x14ac:dyDescent="0.25">
      <c r="B4519" s="33" t="s">
        <v>6010</v>
      </c>
      <c r="C4519" s="33">
        <v>30</v>
      </c>
    </row>
    <row r="4520" spans="2:3" x14ac:dyDescent="0.25">
      <c r="B4520" s="33" t="s">
        <v>6011</v>
      </c>
      <c r="C4520" s="33">
        <v>30</v>
      </c>
    </row>
    <row r="4521" spans="2:3" x14ac:dyDescent="0.25">
      <c r="B4521" s="33" t="s">
        <v>6012</v>
      </c>
      <c r="C4521" s="33">
        <v>30</v>
      </c>
    </row>
    <row r="4522" spans="2:3" x14ac:dyDescent="0.25">
      <c r="B4522" s="33" t="s">
        <v>6013</v>
      </c>
      <c r="C4522" s="33">
        <v>30</v>
      </c>
    </row>
    <row r="4523" spans="2:3" x14ac:dyDescent="0.25">
      <c r="B4523" s="33" t="s">
        <v>6014</v>
      </c>
      <c r="C4523" s="33">
        <v>30</v>
      </c>
    </row>
    <row r="4524" spans="2:3" x14ac:dyDescent="0.25">
      <c r="B4524" s="33" t="s">
        <v>6015</v>
      </c>
      <c r="C4524" s="33">
        <v>30</v>
      </c>
    </row>
    <row r="4525" spans="2:3" x14ac:dyDescent="0.25">
      <c r="B4525" s="33" t="s">
        <v>6016</v>
      </c>
      <c r="C4525" s="33">
        <v>30</v>
      </c>
    </row>
    <row r="4526" spans="2:3" x14ac:dyDescent="0.25">
      <c r="B4526" s="33" t="s">
        <v>6017</v>
      </c>
      <c r="C4526" s="33">
        <v>30</v>
      </c>
    </row>
    <row r="4527" spans="2:3" x14ac:dyDescent="0.25">
      <c r="B4527" s="33" t="s">
        <v>6018</v>
      </c>
      <c r="C4527" s="33">
        <v>30</v>
      </c>
    </row>
    <row r="4528" spans="2:3" x14ac:dyDescent="0.25">
      <c r="B4528" s="33" t="s">
        <v>6019</v>
      </c>
      <c r="C4528" s="33">
        <v>30</v>
      </c>
    </row>
    <row r="4529" spans="2:3" x14ac:dyDescent="0.25">
      <c r="B4529" s="33" t="s">
        <v>6020</v>
      </c>
      <c r="C4529" s="33">
        <v>30</v>
      </c>
    </row>
    <row r="4530" spans="2:3" x14ac:dyDescent="0.25">
      <c r="B4530" s="33" t="s">
        <v>6021</v>
      </c>
      <c r="C4530" s="33">
        <v>30</v>
      </c>
    </row>
    <row r="4531" spans="2:3" x14ac:dyDescent="0.25">
      <c r="B4531" s="33" t="s">
        <v>6022</v>
      </c>
      <c r="C4531" s="33">
        <v>30</v>
      </c>
    </row>
    <row r="4532" spans="2:3" x14ac:dyDescent="0.25">
      <c r="B4532" s="33" t="s">
        <v>6023</v>
      </c>
      <c r="C4532" s="33">
        <v>30</v>
      </c>
    </row>
    <row r="4533" spans="2:3" x14ac:dyDescent="0.25">
      <c r="B4533" s="33" t="s">
        <v>6024</v>
      </c>
      <c r="C4533" s="33">
        <v>30</v>
      </c>
    </row>
    <row r="4534" spans="2:3" x14ac:dyDescent="0.25">
      <c r="B4534" s="33" t="s">
        <v>6025</v>
      </c>
      <c r="C4534" s="33">
        <v>30</v>
      </c>
    </row>
    <row r="4535" spans="2:3" x14ac:dyDescent="0.25">
      <c r="B4535" s="33" t="s">
        <v>6026</v>
      </c>
      <c r="C4535" s="33">
        <v>30</v>
      </c>
    </row>
    <row r="4536" spans="2:3" x14ac:dyDescent="0.25">
      <c r="B4536" s="33" t="s">
        <v>6027</v>
      </c>
      <c r="C4536" s="33">
        <v>30</v>
      </c>
    </row>
    <row r="4537" spans="2:3" x14ac:dyDescent="0.25">
      <c r="B4537" s="33" t="s">
        <v>6028</v>
      </c>
      <c r="C4537" s="33">
        <v>30</v>
      </c>
    </row>
    <row r="4538" spans="2:3" x14ac:dyDescent="0.25">
      <c r="B4538" s="33" t="s">
        <v>6029</v>
      </c>
      <c r="C4538" s="33">
        <v>30</v>
      </c>
    </row>
    <row r="4539" spans="2:3" x14ac:dyDescent="0.25">
      <c r="B4539" s="33" t="s">
        <v>6030</v>
      </c>
      <c r="C4539" s="33">
        <v>30</v>
      </c>
    </row>
    <row r="4540" spans="2:3" x14ac:dyDescent="0.25">
      <c r="B4540" s="33" t="s">
        <v>6031</v>
      </c>
      <c r="C4540" s="33">
        <v>30</v>
      </c>
    </row>
    <row r="4541" spans="2:3" x14ac:dyDescent="0.25">
      <c r="B4541" s="33" t="s">
        <v>6032</v>
      </c>
      <c r="C4541" s="33">
        <v>30</v>
      </c>
    </row>
    <row r="4542" spans="2:3" x14ac:dyDescent="0.25">
      <c r="B4542" s="33" t="s">
        <v>6033</v>
      </c>
      <c r="C4542" s="33">
        <v>30</v>
      </c>
    </row>
    <row r="4543" spans="2:3" x14ac:dyDescent="0.25">
      <c r="B4543" s="33" t="s">
        <v>6034</v>
      </c>
      <c r="C4543" s="33">
        <v>30</v>
      </c>
    </row>
    <row r="4544" spans="2:3" x14ac:dyDescent="0.25">
      <c r="B4544" s="33" t="s">
        <v>6035</v>
      </c>
      <c r="C4544" s="33">
        <v>30</v>
      </c>
    </row>
    <row r="4545" spans="2:3" x14ac:dyDescent="0.25">
      <c r="B4545" s="33" t="s">
        <v>6036</v>
      </c>
      <c r="C4545" s="33">
        <v>30</v>
      </c>
    </row>
    <row r="4546" spans="2:3" x14ac:dyDescent="0.25">
      <c r="B4546" s="33" t="s">
        <v>6037</v>
      </c>
      <c r="C4546" s="33">
        <v>30</v>
      </c>
    </row>
    <row r="4547" spans="2:3" x14ac:dyDescent="0.25">
      <c r="B4547" s="33" t="s">
        <v>6038</v>
      </c>
      <c r="C4547" s="33">
        <v>30</v>
      </c>
    </row>
    <row r="4548" spans="2:3" x14ac:dyDescent="0.25">
      <c r="B4548" s="33" t="s">
        <v>6039</v>
      </c>
      <c r="C4548" s="33">
        <v>30</v>
      </c>
    </row>
    <row r="4549" spans="2:3" x14ac:dyDescent="0.25">
      <c r="B4549" s="33" t="s">
        <v>6040</v>
      </c>
      <c r="C4549" s="33">
        <v>30</v>
      </c>
    </row>
    <row r="4550" spans="2:3" x14ac:dyDescent="0.25">
      <c r="B4550" s="33" t="s">
        <v>6041</v>
      </c>
      <c r="C4550" s="33">
        <v>30</v>
      </c>
    </row>
    <row r="4551" spans="2:3" x14ac:dyDescent="0.25">
      <c r="B4551" s="33" t="s">
        <v>6042</v>
      </c>
      <c r="C4551" s="33">
        <v>30</v>
      </c>
    </row>
    <row r="4552" spans="2:3" x14ac:dyDescent="0.25">
      <c r="B4552" s="33" t="s">
        <v>6043</v>
      </c>
      <c r="C4552" s="33">
        <v>30</v>
      </c>
    </row>
    <row r="4553" spans="2:3" x14ac:dyDescent="0.25">
      <c r="B4553" s="33" t="s">
        <v>6044</v>
      </c>
      <c r="C4553" s="33">
        <v>30</v>
      </c>
    </row>
    <row r="4554" spans="2:3" x14ac:dyDescent="0.25">
      <c r="B4554" s="33" t="s">
        <v>6045</v>
      </c>
      <c r="C4554" s="33">
        <v>30</v>
      </c>
    </row>
    <row r="4555" spans="2:3" x14ac:dyDescent="0.25">
      <c r="B4555" s="33" t="s">
        <v>6046</v>
      </c>
      <c r="C4555" s="33">
        <v>30</v>
      </c>
    </row>
    <row r="4556" spans="2:3" x14ac:dyDescent="0.25">
      <c r="B4556" s="33" t="s">
        <v>6047</v>
      </c>
      <c r="C4556" s="33">
        <v>30</v>
      </c>
    </row>
    <row r="4557" spans="2:3" x14ac:dyDescent="0.25">
      <c r="B4557" s="33" t="s">
        <v>6048</v>
      </c>
      <c r="C4557" s="33">
        <v>30</v>
      </c>
    </row>
    <row r="4558" spans="2:3" x14ac:dyDescent="0.25">
      <c r="B4558" s="33" t="s">
        <v>6049</v>
      </c>
      <c r="C4558" s="33">
        <v>30</v>
      </c>
    </row>
    <row r="4559" spans="2:3" x14ac:dyDescent="0.25">
      <c r="B4559" s="33" t="s">
        <v>6050</v>
      </c>
      <c r="C4559" s="33">
        <v>30</v>
      </c>
    </row>
    <row r="4560" spans="2:3" x14ac:dyDescent="0.25">
      <c r="B4560" s="33" t="s">
        <v>6051</v>
      </c>
      <c r="C4560" s="33">
        <v>30</v>
      </c>
    </row>
    <row r="4561" spans="2:3" x14ac:dyDescent="0.25">
      <c r="B4561" s="33" t="s">
        <v>6052</v>
      </c>
      <c r="C4561" s="33">
        <v>30</v>
      </c>
    </row>
    <row r="4562" spans="2:3" x14ac:dyDescent="0.25">
      <c r="B4562" s="33" t="s">
        <v>6053</v>
      </c>
      <c r="C4562" s="33">
        <v>30</v>
      </c>
    </row>
    <row r="4563" spans="2:3" x14ac:dyDescent="0.25">
      <c r="B4563" s="33" t="s">
        <v>6054</v>
      </c>
      <c r="C4563" s="33">
        <v>30</v>
      </c>
    </row>
    <row r="4564" spans="2:3" x14ac:dyDescent="0.25">
      <c r="B4564" s="33" t="s">
        <v>6055</v>
      </c>
      <c r="C4564" s="33">
        <v>30</v>
      </c>
    </row>
    <row r="4565" spans="2:3" x14ac:dyDescent="0.25">
      <c r="B4565" s="33" t="s">
        <v>6056</v>
      </c>
      <c r="C4565" s="33">
        <v>30</v>
      </c>
    </row>
    <row r="4566" spans="2:3" x14ac:dyDescent="0.25">
      <c r="B4566" s="33" t="s">
        <v>6057</v>
      </c>
      <c r="C4566" s="33">
        <v>30</v>
      </c>
    </row>
    <row r="4567" spans="2:3" x14ac:dyDescent="0.25">
      <c r="B4567" s="33" t="s">
        <v>6058</v>
      </c>
      <c r="C4567" s="33">
        <v>30</v>
      </c>
    </row>
    <row r="4568" spans="2:3" x14ac:dyDescent="0.25">
      <c r="B4568" s="33" t="s">
        <v>6059</v>
      </c>
      <c r="C4568" s="33">
        <v>30</v>
      </c>
    </row>
    <row r="4569" spans="2:3" x14ac:dyDescent="0.25">
      <c r="B4569" s="33" t="s">
        <v>6060</v>
      </c>
      <c r="C4569" s="33">
        <v>30</v>
      </c>
    </row>
    <row r="4570" spans="2:3" x14ac:dyDescent="0.25">
      <c r="B4570" s="33" t="s">
        <v>6061</v>
      </c>
      <c r="C4570" s="33">
        <v>30</v>
      </c>
    </row>
    <row r="4571" spans="2:3" x14ac:dyDescent="0.25">
      <c r="B4571" s="33" t="s">
        <v>6062</v>
      </c>
      <c r="C4571" s="33">
        <v>30</v>
      </c>
    </row>
    <row r="4572" spans="2:3" x14ac:dyDescent="0.25">
      <c r="B4572" s="33" t="s">
        <v>6063</v>
      </c>
      <c r="C4572" s="33">
        <v>30</v>
      </c>
    </row>
    <row r="4573" spans="2:3" x14ac:dyDescent="0.25">
      <c r="B4573" s="33" t="s">
        <v>6064</v>
      </c>
      <c r="C4573" s="33">
        <v>30</v>
      </c>
    </row>
    <row r="4574" spans="2:3" x14ac:dyDescent="0.25">
      <c r="B4574" s="33" t="s">
        <v>6065</v>
      </c>
      <c r="C4574" s="33">
        <v>30</v>
      </c>
    </row>
    <row r="4575" spans="2:3" x14ac:dyDescent="0.25">
      <c r="B4575" s="33" t="s">
        <v>6066</v>
      </c>
      <c r="C4575" s="33">
        <v>30</v>
      </c>
    </row>
    <row r="4576" spans="2:3" x14ac:dyDescent="0.25">
      <c r="B4576" s="33" t="s">
        <v>6067</v>
      </c>
      <c r="C4576" s="33">
        <v>30</v>
      </c>
    </row>
    <row r="4577" spans="2:3" x14ac:dyDescent="0.25">
      <c r="B4577" s="33" t="s">
        <v>6068</v>
      </c>
      <c r="C4577" s="33">
        <v>30</v>
      </c>
    </row>
    <row r="4578" spans="2:3" x14ac:dyDescent="0.25">
      <c r="B4578" s="33" t="s">
        <v>6069</v>
      </c>
      <c r="C4578" s="33">
        <v>30</v>
      </c>
    </row>
    <row r="4579" spans="2:3" x14ac:dyDescent="0.25">
      <c r="B4579" s="33" t="s">
        <v>6070</v>
      </c>
      <c r="C4579" s="33">
        <v>30</v>
      </c>
    </row>
    <row r="4580" spans="2:3" x14ac:dyDescent="0.25">
      <c r="B4580" s="33" t="s">
        <v>6071</v>
      </c>
      <c r="C4580" s="33">
        <v>30</v>
      </c>
    </row>
    <row r="4581" spans="2:3" x14ac:dyDescent="0.25">
      <c r="B4581" s="33" t="s">
        <v>6072</v>
      </c>
      <c r="C4581" s="33">
        <v>30</v>
      </c>
    </row>
    <row r="4582" spans="2:3" x14ac:dyDescent="0.25">
      <c r="B4582" s="33" t="s">
        <v>6073</v>
      </c>
      <c r="C4582" s="33">
        <v>30</v>
      </c>
    </row>
    <row r="4583" spans="2:3" x14ac:dyDescent="0.25">
      <c r="B4583" s="33" t="s">
        <v>6074</v>
      </c>
      <c r="C4583" s="33">
        <v>30</v>
      </c>
    </row>
    <row r="4584" spans="2:3" x14ac:dyDescent="0.25">
      <c r="B4584" s="33" t="s">
        <v>6075</v>
      </c>
      <c r="C4584" s="33">
        <v>30</v>
      </c>
    </row>
    <row r="4585" spans="2:3" x14ac:dyDescent="0.25">
      <c r="B4585" s="33" t="s">
        <v>6076</v>
      </c>
      <c r="C4585" s="33">
        <v>30</v>
      </c>
    </row>
    <row r="4586" spans="2:3" x14ac:dyDescent="0.25">
      <c r="B4586" s="33" t="s">
        <v>6077</v>
      </c>
      <c r="C4586" s="33">
        <v>30</v>
      </c>
    </row>
    <row r="4587" spans="2:3" x14ac:dyDescent="0.25">
      <c r="B4587" s="33" t="s">
        <v>6078</v>
      </c>
      <c r="C4587" s="33">
        <v>30</v>
      </c>
    </row>
    <row r="4588" spans="2:3" x14ac:dyDescent="0.25">
      <c r="B4588" s="33" t="s">
        <v>6079</v>
      </c>
      <c r="C4588" s="33">
        <v>30</v>
      </c>
    </row>
    <row r="4589" spans="2:3" x14ac:dyDescent="0.25">
      <c r="B4589" s="33" t="s">
        <v>6080</v>
      </c>
      <c r="C4589" s="33">
        <v>30</v>
      </c>
    </row>
    <row r="4590" spans="2:3" x14ac:dyDescent="0.25">
      <c r="B4590" s="33" t="s">
        <v>6081</v>
      </c>
      <c r="C4590" s="33">
        <v>30</v>
      </c>
    </row>
    <row r="4591" spans="2:3" x14ac:dyDescent="0.25">
      <c r="B4591" s="33" t="s">
        <v>6082</v>
      </c>
      <c r="C4591" s="33">
        <v>30</v>
      </c>
    </row>
    <row r="4592" spans="2:3" x14ac:dyDescent="0.25">
      <c r="B4592" s="33" t="s">
        <v>6083</v>
      </c>
      <c r="C4592" s="33">
        <v>30</v>
      </c>
    </row>
    <row r="4593" spans="2:3" x14ac:dyDescent="0.25">
      <c r="B4593" s="33" t="s">
        <v>6084</v>
      </c>
      <c r="C4593" s="33">
        <v>30</v>
      </c>
    </row>
    <row r="4594" spans="2:3" x14ac:dyDescent="0.25">
      <c r="B4594" s="33" t="s">
        <v>6085</v>
      </c>
      <c r="C4594" s="33">
        <v>30</v>
      </c>
    </row>
    <row r="4595" spans="2:3" x14ac:dyDescent="0.25">
      <c r="B4595" s="33" t="s">
        <v>6086</v>
      </c>
      <c r="C4595" s="33">
        <v>30</v>
      </c>
    </row>
    <row r="4596" spans="2:3" x14ac:dyDescent="0.25">
      <c r="B4596" s="33" t="s">
        <v>6087</v>
      </c>
      <c r="C4596" s="33">
        <v>30</v>
      </c>
    </row>
    <row r="4597" spans="2:3" x14ac:dyDescent="0.25">
      <c r="B4597" s="33" t="s">
        <v>6088</v>
      </c>
      <c r="C4597" s="33">
        <v>30</v>
      </c>
    </row>
    <row r="4598" spans="2:3" x14ac:dyDescent="0.25">
      <c r="B4598" s="33" t="s">
        <v>6089</v>
      </c>
      <c r="C4598" s="33">
        <v>30</v>
      </c>
    </row>
    <row r="4599" spans="2:3" x14ac:dyDescent="0.25">
      <c r="B4599" s="33" t="s">
        <v>6090</v>
      </c>
      <c r="C4599" s="33">
        <v>30</v>
      </c>
    </row>
    <row r="4600" spans="2:3" x14ac:dyDescent="0.25">
      <c r="B4600" s="33" t="s">
        <v>6091</v>
      </c>
      <c r="C4600" s="33">
        <v>30</v>
      </c>
    </row>
    <row r="4601" spans="2:3" x14ac:dyDescent="0.25">
      <c r="B4601" s="33" t="s">
        <v>6092</v>
      </c>
      <c r="C4601" s="33">
        <v>30</v>
      </c>
    </row>
    <row r="4602" spans="2:3" x14ac:dyDescent="0.25">
      <c r="B4602" s="33" t="s">
        <v>6093</v>
      </c>
      <c r="C4602" s="33">
        <v>30</v>
      </c>
    </row>
    <row r="4603" spans="2:3" x14ac:dyDescent="0.25">
      <c r="B4603" s="33" t="s">
        <v>6094</v>
      </c>
      <c r="C4603" s="33">
        <v>30</v>
      </c>
    </row>
    <row r="4604" spans="2:3" x14ac:dyDescent="0.25">
      <c r="B4604" s="33" t="s">
        <v>6095</v>
      </c>
      <c r="C4604" s="33">
        <v>30</v>
      </c>
    </row>
    <row r="4605" spans="2:3" x14ac:dyDescent="0.25">
      <c r="B4605" s="33" t="s">
        <v>6096</v>
      </c>
      <c r="C4605" s="33">
        <v>30</v>
      </c>
    </row>
    <row r="4606" spans="2:3" x14ac:dyDescent="0.25">
      <c r="B4606" s="33" t="s">
        <v>6097</v>
      </c>
      <c r="C4606" s="33">
        <v>30</v>
      </c>
    </row>
    <row r="4607" spans="2:3" x14ac:dyDescent="0.25">
      <c r="B4607" s="33" t="s">
        <v>6098</v>
      </c>
      <c r="C4607" s="33">
        <v>30</v>
      </c>
    </row>
    <row r="4608" spans="2:3" x14ac:dyDescent="0.25">
      <c r="B4608" s="33" t="s">
        <v>6099</v>
      </c>
      <c r="C4608" s="33">
        <v>30</v>
      </c>
    </row>
    <row r="4609" spans="2:3" x14ac:dyDescent="0.25">
      <c r="B4609" s="33" t="s">
        <v>6100</v>
      </c>
      <c r="C4609" s="33">
        <v>30</v>
      </c>
    </row>
    <row r="4610" spans="2:3" x14ac:dyDescent="0.25">
      <c r="B4610" s="33" t="s">
        <v>6101</v>
      </c>
      <c r="C4610" s="33">
        <v>30</v>
      </c>
    </row>
    <row r="4611" spans="2:3" x14ac:dyDescent="0.25">
      <c r="B4611" s="33" t="s">
        <v>6102</v>
      </c>
      <c r="C4611" s="33">
        <v>30</v>
      </c>
    </row>
    <row r="4612" spans="2:3" x14ac:dyDescent="0.25">
      <c r="B4612" s="33" t="s">
        <v>6103</v>
      </c>
      <c r="C4612" s="33">
        <v>30</v>
      </c>
    </row>
    <row r="4613" spans="2:3" x14ac:dyDescent="0.25">
      <c r="B4613" s="33" t="s">
        <v>6104</v>
      </c>
      <c r="C4613" s="33">
        <v>30</v>
      </c>
    </row>
    <row r="4614" spans="2:3" x14ac:dyDescent="0.25">
      <c r="B4614" s="33" t="s">
        <v>6105</v>
      </c>
      <c r="C4614" s="33">
        <v>30</v>
      </c>
    </row>
    <row r="4615" spans="2:3" x14ac:dyDescent="0.25">
      <c r="B4615" s="33" t="s">
        <v>6106</v>
      </c>
      <c r="C4615" s="33">
        <v>30</v>
      </c>
    </row>
    <row r="4616" spans="2:3" x14ac:dyDescent="0.25">
      <c r="B4616" s="33" t="s">
        <v>6107</v>
      </c>
      <c r="C4616" s="33">
        <v>30</v>
      </c>
    </row>
    <row r="4617" spans="2:3" x14ac:dyDescent="0.25">
      <c r="B4617" s="33" t="s">
        <v>6108</v>
      </c>
      <c r="C4617" s="33">
        <v>30</v>
      </c>
    </row>
    <row r="4618" spans="2:3" x14ac:dyDescent="0.25">
      <c r="B4618" s="33" t="s">
        <v>6109</v>
      </c>
      <c r="C4618" s="33">
        <v>30</v>
      </c>
    </row>
    <row r="4619" spans="2:3" x14ac:dyDescent="0.25">
      <c r="B4619" s="33" t="s">
        <v>6110</v>
      </c>
      <c r="C4619" s="33">
        <v>30</v>
      </c>
    </row>
    <row r="4620" spans="2:3" x14ac:dyDescent="0.25">
      <c r="B4620" s="33" t="s">
        <v>6111</v>
      </c>
      <c r="C4620" s="33">
        <v>30</v>
      </c>
    </row>
    <row r="4621" spans="2:3" x14ac:dyDescent="0.25">
      <c r="B4621" s="33" t="s">
        <v>6112</v>
      </c>
      <c r="C4621" s="33">
        <v>30</v>
      </c>
    </row>
    <row r="4622" spans="2:3" x14ac:dyDescent="0.25">
      <c r="B4622" s="33" t="s">
        <v>6113</v>
      </c>
      <c r="C4622" s="33">
        <v>30</v>
      </c>
    </row>
    <row r="4623" spans="2:3" x14ac:dyDescent="0.25">
      <c r="B4623" s="33" t="s">
        <v>6114</v>
      </c>
      <c r="C4623" s="33">
        <v>30</v>
      </c>
    </row>
    <row r="4624" spans="2:3" x14ac:dyDescent="0.25">
      <c r="B4624" s="33" t="s">
        <v>6115</v>
      </c>
      <c r="C4624" s="33">
        <v>30</v>
      </c>
    </row>
    <row r="4625" spans="2:3" x14ac:dyDescent="0.25">
      <c r="B4625" s="33" t="s">
        <v>6116</v>
      </c>
      <c r="C4625" s="33">
        <v>30</v>
      </c>
    </row>
    <row r="4626" spans="2:3" x14ac:dyDescent="0.25">
      <c r="B4626" s="33" t="s">
        <v>6117</v>
      </c>
      <c r="C4626" s="33">
        <v>30</v>
      </c>
    </row>
    <row r="4627" spans="2:3" x14ac:dyDescent="0.25">
      <c r="B4627" s="33" t="s">
        <v>6118</v>
      </c>
      <c r="C4627" s="33">
        <v>30</v>
      </c>
    </row>
    <row r="4628" spans="2:3" x14ac:dyDescent="0.25">
      <c r="B4628" s="33" t="s">
        <v>6119</v>
      </c>
      <c r="C4628" s="33">
        <v>30</v>
      </c>
    </row>
    <row r="4629" spans="2:3" x14ac:dyDescent="0.25">
      <c r="B4629" s="33" t="s">
        <v>6120</v>
      </c>
      <c r="C4629" s="33">
        <v>30</v>
      </c>
    </row>
    <row r="4630" spans="2:3" x14ac:dyDescent="0.25">
      <c r="B4630" s="33" t="s">
        <v>6121</v>
      </c>
      <c r="C4630" s="33">
        <v>30</v>
      </c>
    </row>
    <row r="4631" spans="2:3" x14ac:dyDescent="0.25">
      <c r="B4631" s="33" t="s">
        <v>6122</v>
      </c>
      <c r="C4631" s="33">
        <v>30</v>
      </c>
    </row>
    <row r="4632" spans="2:3" x14ac:dyDescent="0.25">
      <c r="B4632" s="33" t="s">
        <v>6123</v>
      </c>
      <c r="C4632" s="33">
        <v>30</v>
      </c>
    </row>
    <row r="4633" spans="2:3" x14ac:dyDescent="0.25">
      <c r="B4633" s="33" t="s">
        <v>6124</v>
      </c>
      <c r="C4633" s="33">
        <v>30</v>
      </c>
    </row>
    <row r="4634" spans="2:3" x14ac:dyDescent="0.25">
      <c r="B4634" s="33" t="s">
        <v>6125</v>
      </c>
      <c r="C4634" s="33">
        <v>30</v>
      </c>
    </row>
    <row r="4635" spans="2:3" x14ac:dyDescent="0.25">
      <c r="B4635" s="33" t="s">
        <v>6126</v>
      </c>
      <c r="C4635" s="33">
        <v>30</v>
      </c>
    </row>
    <row r="4636" spans="2:3" x14ac:dyDescent="0.25">
      <c r="B4636" s="33" t="s">
        <v>6127</v>
      </c>
      <c r="C4636" s="33">
        <v>30</v>
      </c>
    </row>
    <row r="4637" spans="2:3" x14ac:dyDescent="0.25">
      <c r="B4637" s="33" t="s">
        <v>6128</v>
      </c>
      <c r="C4637" s="33">
        <v>30</v>
      </c>
    </row>
    <row r="4638" spans="2:3" x14ac:dyDescent="0.25">
      <c r="B4638" s="33" t="s">
        <v>6129</v>
      </c>
      <c r="C4638" s="33">
        <v>30</v>
      </c>
    </row>
    <row r="4639" spans="2:3" x14ac:dyDescent="0.25">
      <c r="B4639" s="33" t="s">
        <v>6130</v>
      </c>
      <c r="C4639" s="33">
        <v>30</v>
      </c>
    </row>
    <row r="4640" spans="2:3" x14ac:dyDescent="0.25">
      <c r="B4640" s="33" t="s">
        <v>6131</v>
      </c>
      <c r="C4640" s="33">
        <v>30</v>
      </c>
    </row>
    <row r="4641" spans="2:3" x14ac:dyDescent="0.25">
      <c r="B4641" s="33" t="s">
        <v>6132</v>
      </c>
      <c r="C4641" s="33">
        <v>30</v>
      </c>
    </row>
    <row r="4642" spans="2:3" x14ac:dyDescent="0.25">
      <c r="B4642" s="33" t="s">
        <v>6133</v>
      </c>
      <c r="C4642" s="33">
        <v>30</v>
      </c>
    </row>
    <row r="4643" spans="2:3" x14ac:dyDescent="0.25">
      <c r="B4643" s="33" t="s">
        <v>6134</v>
      </c>
      <c r="C4643" s="33">
        <v>30</v>
      </c>
    </row>
    <row r="4644" spans="2:3" x14ac:dyDescent="0.25">
      <c r="B4644" s="33" t="s">
        <v>6135</v>
      </c>
      <c r="C4644" s="33">
        <v>30</v>
      </c>
    </row>
    <row r="4645" spans="2:3" x14ac:dyDescent="0.25">
      <c r="B4645" s="33" t="s">
        <v>6136</v>
      </c>
      <c r="C4645" s="33">
        <v>30</v>
      </c>
    </row>
    <row r="4646" spans="2:3" x14ac:dyDescent="0.25">
      <c r="B4646" s="33" t="s">
        <v>6137</v>
      </c>
      <c r="C4646" s="33">
        <v>30</v>
      </c>
    </row>
    <row r="4647" spans="2:3" x14ac:dyDescent="0.25">
      <c r="B4647" s="33" t="s">
        <v>6138</v>
      </c>
      <c r="C4647" s="33">
        <v>30</v>
      </c>
    </row>
    <row r="4648" spans="2:3" x14ac:dyDescent="0.25">
      <c r="B4648" s="33" t="s">
        <v>6139</v>
      </c>
      <c r="C4648" s="33">
        <v>30</v>
      </c>
    </row>
    <row r="4649" spans="2:3" x14ac:dyDescent="0.25">
      <c r="B4649" s="33" t="s">
        <v>6140</v>
      </c>
      <c r="C4649" s="33">
        <v>30</v>
      </c>
    </row>
    <row r="4650" spans="2:3" x14ac:dyDescent="0.25">
      <c r="B4650" s="33" t="s">
        <v>6141</v>
      </c>
      <c r="C4650" s="33">
        <v>30</v>
      </c>
    </row>
    <row r="4651" spans="2:3" x14ac:dyDescent="0.25">
      <c r="B4651" s="33" t="s">
        <v>6142</v>
      </c>
      <c r="C4651" s="33">
        <v>30</v>
      </c>
    </row>
    <row r="4652" spans="2:3" x14ac:dyDescent="0.25">
      <c r="B4652" s="33" t="s">
        <v>6143</v>
      </c>
      <c r="C4652" s="33">
        <v>30</v>
      </c>
    </row>
    <row r="4653" spans="2:3" x14ac:dyDescent="0.25">
      <c r="B4653" s="33" t="s">
        <v>6144</v>
      </c>
      <c r="C4653" s="33">
        <v>30</v>
      </c>
    </row>
    <row r="4654" spans="2:3" x14ac:dyDescent="0.25">
      <c r="B4654" s="33" t="s">
        <v>6145</v>
      </c>
      <c r="C4654" s="33">
        <v>30</v>
      </c>
    </row>
    <row r="4655" spans="2:3" x14ac:dyDescent="0.25">
      <c r="B4655" s="33" t="s">
        <v>6146</v>
      </c>
      <c r="C4655" s="33">
        <v>30</v>
      </c>
    </row>
    <row r="4656" spans="2:3" x14ac:dyDescent="0.25">
      <c r="B4656" s="33" t="s">
        <v>6147</v>
      </c>
      <c r="C4656" s="33">
        <v>30</v>
      </c>
    </row>
    <row r="4657" spans="2:3" x14ac:dyDescent="0.25">
      <c r="B4657" s="33" t="s">
        <v>6148</v>
      </c>
      <c r="C4657" s="33">
        <v>30</v>
      </c>
    </row>
    <row r="4658" spans="2:3" x14ac:dyDescent="0.25">
      <c r="B4658" s="33" t="s">
        <v>6149</v>
      </c>
      <c r="C4658" s="33">
        <v>30</v>
      </c>
    </row>
    <row r="4659" spans="2:3" x14ac:dyDescent="0.25">
      <c r="B4659" s="33" t="s">
        <v>6150</v>
      </c>
      <c r="C4659" s="33">
        <v>30</v>
      </c>
    </row>
    <row r="4660" spans="2:3" x14ac:dyDescent="0.25">
      <c r="B4660" s="33" t="s">
        <v>6151</v>
      </c>
      <c r="C4660" s="33">
        <v>30</v>
      </c>
    </row>
    <row r="4661" spans="2:3" x14ac:dyDescent="0.25">
      <c r="B4661" s="33" t="s">
        <v>6152</v>
      </c>
      <c r="C4661" s="33">
        <v>30</v>
      </c>
    </row>
    <row r="4662" spans="2:3" x14ac:dyDescent="0.25">
      <c r="B4662" s="33" t="s">
        <v>6153</v>
      </c>
      <c r="C4662" s="33">
        <v>30</v>
      </c>
    </row>
    <row r="4663" spans="2:3" x14ac:dyDescent="0.25">
      <c r="B4663" s="33" t="s">
        <v>6154</v>
      </c>
      <c r="C4663" s="33">
        <v>30</v>
      </c>
    </row>
    <row r="4664" spans="2:3" x14ac:dyDescent="0.25">
      <c r="B4664" s="33" t="s">
        <v>6155</v>
      </c>
      <c r="C4664" s="33">
        <v>30</v>
      </c>
    </row>
    <row r="4665" spans="2:3" x14ac:dyDescent="0.25">
      <c r="B4665" s="33" t="s">
        <v>6156</v>
      </c>
      <c r="C4665" s="33">
        <v>30</v>
      </c>
    </row>
    <row r="4666" spans="2:3" x14ac:dyDescent="0.25">
      <c r="B4666" s="33" t="s">
        <v>6157</v>
      </c>
      <c r="C4666" s="33">
        <v>30</v>
      </c>
    </row>
    <row r="4667" spans="2:3" x14ac:dyDescent="0.25">
      <c r="B4667" s="33" t="s">
        <v>6158</v>
      </c>
      <c r="C4667" s="33">
        <v>30</v>
      </c>
    </row>
    <row r="4668" spans="2:3" x14ac:dyDescent="0.25">
      <c r="B4668" s="33" t="s">
        <v>6159</v>
      </c>
      <c r="C4668" s="33">
        <v>30</v>
      </c>
    </row>
    <row r="4669" spans="2:3" x14ac:dyDescent="0.25">
      <c r="B4669" s="33" t="s">
        <v>6160</v>
      </c>
      <c r="C4669" s="33">
        <v>30</v>
      </c>
    </row>
    <row r="4670" spans="2:3" x14ac:dyDescent="0.25">
      <c r="B4670" s="33" t="s">
        <v>6161</v>
      </c>
      <c r="C4670" s="33">
        <v>30</v>
      </c>
    </row>
    <row r="4671" spans="2:3" x14ac:dyDescent="0.25">
      <c r="B4671" s="33" t="s">
        <v>6162</v>
      </c>
      <c r="C4671" s="33">
        <v>30</v>
      </c>
    </row>
    <row r="4672" spans="2:3" x14ac:dyDescent="0.25">
      <c r="B4672" s="33" t="s">
        <v>6163</v>
      </c>
      <c r="C4672" s="33">
        <v>30</v>
      </c>
    </row>
    <row r="4673" spans="2:3" x14ac:dyDescent="0.25">
      <c r="B4673" s="33" t="s">
        <v>6164</v>
      </c>
      <c r="C4673" s="33">
        <v>30</v>
      </c>
    </row>
    <row r="4674" spans="2:3" x14ac:dyDescent="0.25">
      <c r="B4674" s="33" t="s">
        <v>6165</v>
      </c>
      <c r="C4674" s="33">
        <v>30</v>
      </c>
    </row>
    <row r="4675" spans="2:3" x14ac:dyDescent="0.25">
      <c r="B4675" s="33" t="s">
        <v>6166</v>
      </c>
      <c r="C4675" s="33">
        <v>30</v>
      </c>
    </row>
    <row r="4676" spans="2:3" x14ac:dyDescent="0.25">
      <c r="B4676" s="33" t="s">
        <v>6167</v>
      </c>
      <c r="C4676" s="33">
        <v>30</v>
      </c>
    </row>
    <row r="4677" spans="2:3" x14ac:dyDescent="0.25">
      <c r="B4677" s="33" t="s">
        <v>6168</v>
      </c>
      <c r="C4677" s="33">
        <v>30</v>
      </c>
    </row>
    <row r="4678" spans="2:3" x14ac:dyDescent="0.25">
      <c r="B4678" s="33" t="s">
        <v>6169</v>
      </c>
      <c r="C4678" s="33">
        <v>30</v>
      </c>
    </row>
    <row r="4679" spans="2:3" x14ac:dyDescent="0.25">
      <c r="B4679" s="33" t="s">
        <v>6170</v>
      </c>
      <c r="C4679" s="33">
        <v>30</v>
      </c>
    </row>
    <row r="4680" spans="2:3" x14ac:dyDescent="0.25">
      <c r="B4680" s="33" t="s">
        <v>6171</v>
      </c>
      <c r="C4680" s="33">
        <v>30</v>
      </c>
    </row>
    <row r="4681" spans="2:3" x14ac:dyDescent="0.25">
      <c r="B4681" s="33" t="s">
        <v>6172</v>
      </c>
      <c r="C4681" s="33">
        <v>30</v>
      </c>
    </row>
    <row r="4682" spans="2:3" x14ac:dyDescent="0.25">
      <c r="B4682" s="33" t="s">
        <v>6173</v>
      </c>
      <c r="C4682" s="33">
        <v>30</v>
      </c>
    </row>
    <row r="4683" spans="2:3" x14ac:dyDescent="0.25">
      <c r="B4683" s="33" t="s">
        <v>6174</v>
      </c>
      <c r="C4683" s="33">
        <v>30</v>
      </c>
    </row>
    <row r="4684" spans="2:3" x14ac:dyDescent="0.25">
      <c r="B4684" s="33" t="s">
        <v>6175</v>
      </c>
      <c r="C4684" s="33">
        <v>30</v>
      </c>
    </row>
    <row r="4685" spans="2:3" x14ac:dyDescent="0.25">
      <c r="B4685" s="33" t="s">
        <v>6176</v>
      </c>
      <c r="C4685" s="33">
        <v>30</v>
      </c>
    </row>
    <row r="4686" spans="2:3" x14ac:dyDescent="0.25">
      <c r="B4686" s="33" t="s">
        <v>6177</v>
      </c>
      <c r="C4686" s="33">
        <v>30</v>
      </c>
    </row>
    <row r="4687" spans="2:3" x14ac:dyDescent="0.25">
      <c r="B4687" s="33" t="s">
        <v>6178</v>
      </c>
      <c r="C4687" s="33">
        <v>30</v>
      </c>
    </row>
    <row r="4688" spans="2:3" x14ac:dyDescent="0.25">
      <c r="B4688" s="33" t="s">
        <v>6179</v>
      </c>
      <c r="C4688" s="33">
        <v>30</v>
      </c>
    </row>
    <row r="4689" spans="2:3" x14ac:dyDescent="0.25">
      <c r="B4689" s="33" t="s">
        <v>6180</v>
      </c>
      <c r="C4689" s="33">
        <v>30</v>
      </c>
    </row>
    <row r="4690" spans="2:3" x14ac:dyDescent="0.25">
      <c r="B4690" s="33" t="s">
        <v>6181</v>
      </c>
      <c r="C4690" s="33">
        <v>30</v>
      </c>
    </row>
    <row r="4691" spans="2:3" x14ac:dyDescent="0.25">
      <c r="B4691" s="33" t="s">
        <v>6182</v>
      </c>
      <c r="C4691" s="33">
        <v>30</v>
      </c>
    </row>
    <row r="4692" spans="2:3" x14ac:dyDescent="0.25">
      <c r="B4692" s="33" t="s">
        <v>6183</v>
      </c>
      <c r="C4692" s="33">
        <v>30</v>
      </c>
    </row>
    <row r="4693" spans="2:3" x14ac:dyDescent="0.25">
      <c r="B4693" s="33" t="s">
        <v>6184</v>
      </c>
      <c r="C4693" s="33">
        <v>30</v>
      </c>
    </row>
    <row r="4694" spans="2:3" x14ac:dyDescent="0.25">
      <c r="B4694" s="33" t="s">
        <v>6185</v>
      </c>
      <c r="C4694" s="33">
        <v>30</v>
      </c>
    </row>
    <row r="4695" spans="2:3" x14ac:dyDescent="0.25">
      <c r="B4695" s="33" t="s">
        <v>6186</v>
      </c>
      <c r="C4695" s="33">
        <v>30</v>
      </c>
    </row>
    <row r="4696" spans="2:3" x14ac:dyDescent="0.25">
      <c r="B4696" s="33" t="s">
        <v>6187</v>
      </c>
      <c r="C4696" s="33">
        <v>30</v>
      </c>
    </row>
    <row r="4697" spans="2:3" x14ac:dyDescent="0.25">
      <c r="B4697" s="33" t="s">
        <v>6188</v>
      </c>
      <c r="C4697" s="33">
        <v>30</v>
      </c>
    </row>
    <row r="4698" spans="2:3" x14ac:dyDescent="0.25">
      <c r="B4698" s="33" t="s">
        <v>6189</v>
      </c>
      <c r="C4698" s="33">
        <v>30</v>
      </c>
    </row>
    <row r="4699" spans="2:3" x14ac:dyDescent="0.25">
      <c r="B4699" s="33" t="s">
        <v>6190</v>
      </c>
      <c r="C4699" s="33">
        <v>30</v>
      </c>
    </row>
    <row r="4700" spans="2:3" x14ac:dyDescent="0.25">
      <c r="B4700" s="33" t="s">
        <v>6191</v>
      </c>
      <c r="C4700" s="33">
        <v>30</v>
      </c>
    </row>
    <row r="4701" spans="2:3" x14ac:dyDescent="0.25">
      <c r="B4701" s="33" t="s">
        <v>6192</v>
      </c>
      <c r="C4701" s="33">
        <v>30</v>
      </c>
    </row>
    <row r="4702" spans="2:3" x14ac:dyDescent="0.25">
      <c r="B4702" s="33" t="s">
        <v>6193</v>
      </c>
      <c r="C4702" s="33">
        <v>30</v>
      </c>
    </row>
    <row r="4703" spans="2:3" x14ac:dyDescent="0.25">
      <c r="B4703" s="33" t="s">
        <v>6194</v>
      </c>
      <c r="C4703" s="33">
        <v>30</v>
      </c>
    </row>
    <row r="4704" spans="2:3" x14ac:dyDescent="0.25">
      <c r="B4704" s="33" t="s">
        <v>6195</v>
      </c>
      <c r="C4704" s="33">
        <v>30</v>
      </c>
    </row>
    <row r="4705" spans="2:3" x14ac:dyDescent="0.25">
      <c r="B4705" s="33" t="s">
        <v>6196</v>
      </c>
      <c r="C4705" s="33">
        <v>30</v>
      </c>
    </row>
    <row r="4706" spans="2:3" x14ac:dyDescent="0.25">
      <c r="B4706" s="33" t="s">
        <v>6197</v>
      </c>
      <c r="C4706" s="33">
        <v>30</v>
      </c>
    </row>
    <row r="4707" spans="2:3" x14ac:dyDescent="0.25">
      <c r="B4707" s="33" t="s">
        <v>6198</v>
      </c>
      <c r="C4707" s="33">
        <v>30</v>
      </c>
    </row>
    <row r="4708" spans="2:3" x14ac:dyDescent="0.25">
      <c r="B4708" s="33" t="s">
        <v>6199</v>
      </c>
      <c r="C4708" s="33">
        <v>30</v>
      </c>
    </row>
    <row r="4709" spans="2:3" x14ac:dyDescent="0.25">
      <c r="B4709" s="33" t="s">
        <v>6200</v>
      </c>
      <c r="C4709" s="33">
        <v>30</v>
      </c>
    </row>
    <row r="4710" spans="2:3" x14ac:dyDescent="0.25">
      <c r="B4710" s="33" t="s">
        <v>6201</v>
      </c>
      <c r="C4710" s="33">
        <v>30</v>
      </c>
    </row>
    <row r="4711" spans="2:3" x14ac:dyDescent="0.25">
      <c r="B4711" s="33" t="s">
        <v>6202</v>
      </c>
      <c r="C4711" s="33">
        <v>30</v>
      </c>
    </row>
    <row r="4712" spans="2:3" x14ac:dyDescent="0.25">
      <c r="B4712" s="33" t="s">
        <v>6203</v>
      </c>
      <c r="C4712" s="33">
        <v>30</v>
      </c>
    </row>
    <row r="4713" spans="2:3" x14ac:dyDescent="0.25">
      <c r="B4713" s="33" t="s">
        <v>6204</v>
      </c>
      <c r="C4713" s="33">
        <v>30</v>
      </c>
    </row>
    <row r="4714" spans="2:3" x14ac:dyDescent="0.25">
      <c r="B4714" s="33" t="s">
        <v>6205</v>
      </c>
      <c r="C4714" s="33">
        <v>30</v>
      </c>
    </row>
    <row r="4715" spans="2:3" x14ac:dyDescent="0.25">
      <c r="B4715" s="33" t="s">
        <v>6206</v>
      </c>
      <c r="C4715" s="33">
        <v>30</v>
      </c>
    </row>
    <row r="4716" spans="2:3" x14ac:dyDescent="0.25">
      <c r="B4716" s="33" t="s">
        <v>6207</v>
      </c>
      <c r="C4716" s="33">
        <v>30</v>
      </c>
    </row>
    <row r="4717" spans="2:3" x14ac:dyDescent="0.25">
      <c r="B4717" s="33" t="s">
        <v>6208</v>
      </c>
      <c r="C4717" s="33">
        <v>30</v>
      </c>
    </row>
    <row r="4718" spans="2:3" x14ac:dyDescent="0.25">
      <c r="B4718" s="33" t="s">
        <v>6209</v>
      </c>
      <c r="C4718" s="33">
        <v>30</v>
      </c>
    </row>
    <row r="4719" spans="2:3" x14ac:dyDescent="0.25">
      <c r="B4719" s="33" t="s">
        <v>6210</v>
      </c>
      <c r="C4719" s="33">
        <v>30</v>
      </c>
    </row>
    <row r="4720" spans="2:3" x14ac:dyDescent="0.25">
      <c r="B4720" s="33" t="s">
        <v>6211</v>
      </c>
      <c r="C4720" s="33">
        <v>30</v>
      </c>
    </row>
    <row r="4721" spans="2:3" x14ac:dyDescent="0.25">
      <c r="B4721" s="33" t="s">
        <v>6212</v>
      </c>
      <c r="C4721" s="33">
        <v>30</v>
      </c>
    </row>
    <row r="4722" spans="2:3" x14ac:dyDescent="0.25">
      <c r="B4722" s="33" t="s">
        <v>6213</v>
      </c>
      <c r="C4722" s="33">
        <v>30</v>
      </c>
    </row>
    <row r="4723" spans="2:3" x14ac:dyDescent="0.25">
      <c r="B4723" s="33" t="s">
        <v>6214</v>
      </c>
      <c r="C4723" s="33">
        <v>30</v>
      </c>
    </row>
    <row r="4724" spans="2:3" x14ac:dyDescent="0.25">
      <c r="B4724" s="33" t="s">
        <v>6215</v>
      </c>
      <c r="C4724" s="33">
        <v>30</v>
      </c>
    </row>
    <row r="4725" spans="2:3" x14ac:dyDescent="0.25">
      <c r="B4725" s="33" t="s">
        <v>6216</v>
      </c>
      <c r="C4725" s="33">
        <v>30</v>
      </c>
    </row>
    <row r="4726" spans="2:3" x14ac:dyDescent="0.25">
      <c r="B4726" s="33" t="s">
        <v>6217</v>
      </c>
      <c r="C4726" s="33">
        <v>30</v>
      </c>
    </row>
    <row r="4727" spans="2:3" x14ac:dyDescent="0.25">
      <c r="B4727" s="33" t="s">
        <v>6218</v>
      </c>
      <c r="C4727" s="33">
        <v>30</v>
      </c>
    </row>
    <row r="4728" spans="2:3" x14ac:dyDescent="0.25">
      <c r="B4728" s="33" t="s">
        <v>6219</v>
      </c>
      <c r="C4728" s="33">
        <v>30</v>
      </c>
    </row>
    <row r="4729" spans="2:3" x14ac:dyDescent="0.25">
      <c r="B4729" s="33" t="s">
        <v>6220</v>
      </c>
      <c r="C4729" s="33">
        <v>30</v>
      </c>
    </row>
    <row r="4730" spans="2:3" x14ac:dyDescent="0.25">
      <c r="B4730" s="33" t="s">
        <v>6221</v>
      </c>
      <c r="C4730" s="33">
        <v>30</v>
      </c>
    </row>
    <row r="4731" spans="2:3" x14ac:dyDescent="0.25">
      <c r="B4731" s="33" t="s">
        <v>6222</v>
      </c>
      <c r="C4731" s="33">
        <v>30</v>
      </c>
    </row>
    <row r="4732" spans="2:3" x14ac:dyDescent="0.25">
      <c r="B4732" s="33" t="s">
        <v>6223</v>
      </c>
      <c r="C4732" s="33">
        <v>30</v>
      </c>
    </row>
    <row r="4733" spans="2:3" x14ac:dyDescent="0.25">
      <c r="B4733" s="33" t="s">
        <v>6224</v>
      </c>
      <c r="C4733" s="33">
        <v>30</v>
      </c>
    </row>
    <row r="4734" spans="2:3" x14ac:dyDescent="0.25">
      <c r="B4734" s="33" t="s">
        <v>6225</v>
      </c>
      <c r="C4734" s="33">
        <v>30</v>
      </c>
    </row>
    <row r="4735" spans="2:3" x14ac:dyDescent="0.25">
      <c r="B4735" s="33" t="s">
        <v>6226</v>
      </c>
      <c r="C4735" s="33">
        <v>30</v>
      </c>
    </row>
    <row r="4736" spans="2:3" x14ac:dyDescent="0.25">
      <c r="B4736" s="33" t="s">
        <v>6227</v>
      </c>
      <c r="C4736" s="33">
        <v>30</v>
      </c>
    </row>
    <row r="4737" spans="2:3" x14ac:dyDescent="0.25">
      <c r="B4737" s="33" t="s">
        <v>6228</v>
      </c>
      <c r="C4737" s="33">
        <v>30</v>
      </c>
    </row>
    <row r="4738" spans="2:3" x14ac:dyDescent="0.25">
      <c r="B4738" s="33" t="s">
        <v>6229</v>
      </c>
      <c r="C4738" s="33">
        <v>30</v>
      </c>
    </row>
    <row r="4739" spans="2:3" x14ac:dyDescent="0.25">
      <c r="B4739" s="33" t="s">
        <v>6230</v>
      </c>
      <c r="C4739" s="33">
        <v>30</v>
      </c>
    </row>
    <row r="4740" spans="2:3" x14ac:dyDescent="0.25">
      <c r="B4740" s="33" t="s">
        <v>6231</v>
      </c>
      <c r="C4740" s="33">
        <v>30</v>
      </c>
    </row>
    <row r="4741" spans="2:3" x14ac:dyDescent="0.25">
      <c r="B4741" s="33" t="s">
        <v>6232</v>
      </c>
      <c r="C4741" s="33">
        <v>30</v>
      </c>
    </row>
    <row r="4742" spans="2:3" x14ac:dyDescent="0.25">
      <c r="B4742" s="33" t="s">
        <v>6233</v>
      </c>
      <c r="C4742" s="33">
        <v>30</v>
      </c>
    </row>
    <row r="4743" spans="2:3" x14ac:dyDescent="0.25">
      <c r="B4743" s="33" t="s">
        <v>6234</v>
      </c>
      <c r="C4743" s="33">
        <v>30</v>
      </c>
    </row>
    <row r="4744" spans="2:3" x14ac:dyDescent="0.25">
      <c r="B4744" s="33" t="s">
        <v>6235</v>
      </c>
      <c r="C4744" s="33">
        <v>30</v>
      </c>
    </row>
    <row r="4745" spans="2:3" x14ac:dyDescent="0.25">
      <c r="B4745" s="33" t="s">
        <v>6236</v>
      </c>
      <c r="C4745" s="33">
        <v>30</v>
      </c>
    </row>
    <row r="4746" spans="2:3" x14ac:dyDescent="0.25">
      <c r="B4746" s="33" t="s">
        <v>6237</v>
      </c>
      <c r="C4746" s="33">
        <v>30</v>
      </c>
    </row>
    <row r="4747" spans="2:3" x14ac:dyDescent="0.25">
      <c r="B4747" s="33" t="s">
        <v>6238</v>
      </c>
      <c r="C4747" s="33">
        <v>30</v>
      </c>
    </row>
    <row r="4748" spans="2:3" x14ac:dyDescent="0.25">
      <c r="B4748" s="33" t="s">
        <v>6239</v>
      </c>
      <c r="C4748" s="33">
        <v>30</v>
      </c>
    </row>
    <row r="4749" spans="2:3" x14ac:dyDescent="0.25">
      <c r="B4749" s="33" t="s">
        <v>6240</v>
      </c>
      <c r="C4749" s="33">
        <v>30</v>
      </c>
    </row>
    <row r="4750" spans="2:3" x14ac:dyDescent="0.25">
      <c r="B4750" s="33" t="s">
        <v>6241</v>
      </c>
      <c r="C4750" s="33">
        <v>30</v>
      </c>
    </row>
    <row r="4751" spans="2:3" x14ac:dyDescent="0.25">
      <c r="B4751" s="33" t="s">
        <v>6242</v>
      </c>
      <c r="C4751" s="33">
        <v>30</v>
      </c>
    </row>
    <row r="4752" spans="2:3" x14ac:dyDescent="0.25">
      <c r="B4752" s="33" t="s">
        <v>6243</v>
      </c>
      <c r="C4752" s="33">
        <v>30</v>
      </c>
    </row>
    <row r="4753" spans="2:3" x14ac:dyDescent="0.25">
      <c r="B4753" s="33" t="s">
        <v>6244</v>
      </c>
      <c r="C4753" s="33">
        <v>30</v>
      </c>
    </row>
    <row r="4754" spans="2:3" x14ac:dyDescent="0.25">
      <c r="B4754" s="33" t="s">
        <v>6245</v>
      </c>
      <c r="C4754" s="33">
        <v>30</v>
      </c>
    </row>
    <row r="4755" spans="2:3" x14ac:dyDescent="0.25">
      <c r="B4755" s="33" t="s">
        <v>6246</v>
      </c>
      <c r="C4755" s="33">
        <v>30</v>
      </c>
    </row>
    <row r="4756" spans="2:3" x14ac:dyDescent="0.25">
      <c r="B4756" s="33" t="s">
        <v>6247</v>
      </c>
      <c r="C4756" s="33">
        <v>30</v>
      </c>
    </row>
    <row r="4757" spans="2:3" x14ac:dyDescent="0.25">
      <c r="B4757" s="33" t="s">
        <v>6248</v>
      </c>
      <c r="C4757" s="33">
        <v>30</v>
      </c>
    </row>
    <row r="4758" spans="2:3" x14ac:dyDescent="0.25">
      <c r="B4758" s="33" t="s">
        <v>6249</v>
      </c>
      <c r="C4758" s="33">
        <v>30</v>
      </c>
    </row>
    <row r="4759" spans="2:3" x14ac:dyDescent="0.25">
      <c r="B4759" s="33" t="s">
        <v>6250</v>
      </c>
      <c r="C4759" s="33">
        <v>30</v>
      </c>
    </row>
    <row r="4760" spans="2:3" x14ac:dyDescent="0.25">
      <c r="B4760" s="33" t="s">
        <v>6251</v>
      </c>
      <c r="C4760" s="33">
        <v>30</v>
      </c>
    </row>
    <row r="4761" spans="2:3" x14ac:dyDescent="0.25">
      <c r="B4761" s="33" t="s">
        <v>6252</v>
      </c>
      <c r="C4761" s="33">
        <v>30</v>
      </c>
    </row>
    <row r="4762" spans="2:3" x14ac:dyDescent="0.25">
      <c r="B4762" s="33" t="s">
        <v>6253</v>
      </c>
      <c r="C4762" s="33">
        <v>30</v>
      </c>
    </row>
    <row r="4763" spans="2:3" x14ac:dyDescent="0.25">
      <c r="B4763" s="33" t="s">
        <v>6254</v>
      </c>
      <c r="C4763" s="33">
        <v>30</v>
      </c>
    </row>
    <row r="4764" spans="2:3" x14ac:dyDescent="0.25">
      <c r="B4764" s="33" t="s">
        <v>6255</v>
      </c>
      <c r="C4764" s="33">
        <v>30</v>
      </c>
    </row>
    <row r="4765" spans="2:3" x14ac:dyDescent="0.25">
      <c r="B4765" s="33" t="s">
        <v>6256</v>
      </c>
      <c r="C4765" s="33">
        <v>30</v>
      </c>
    </row>
    <row r="4766" spans="2:3" x14ac:dyDescent="0.25">
      <c r="B4766" s="33" t="s">
        <v>6257</v>
      </c>
      <c r="C4766" s="33">
        <v>30</v>
      </c>
    </row>
    <row r="4767" spans="2:3" x14ac:dyDescent="0.25">
      <c r="B4767" s="33" t="s">
        <v>6258</v>
      </c>
      <c r="C4767" s="33">
        <v>30</v>
      </c>
    </row>
    <row r="4768" spans="2:3" x14ac:dyDescent="0.25">
      <c r="B4768" s="33" t="s">
        <v>6259</v>
      </c>
      <c r="C4768" s="33">
        <v>30</v>
      </c>
    </row>
    <row r="4769" spans="2:3" x14ac:dyDescent="0.25">
      <c r="B4769" s="33" t="s">
        <v>6260</v>
      </c>
      <c r="C4769" s="33">
        <v>30</v>
      </c>
    </row>
    <row r="4770" spans="2:3" x14ac:dyDescent="0.25">
      <c r="B4770" s="33" t="s">
        <v>6261</v>
      </c>
      <c r="C4770" s="33">
        <v>30</v>
      </c>
    </row>
    <row r="4771" spans="2:3" x14ac:dyDescent="0.25">
      <c r="B4771" s="33" t="s">
        <v>6262</v>
      </c>
      <c r="C4771" s="33">
        <v>30</v>
      </c>
    </row>
    <row r="4772" spans="2:3" x14ac:dyDescent="0.25">
      <c r="B4772" s="33" t="s">
        <v>6263</v>
      </c>
      <c r="C4772" s="33">
        <v>30</v>
      </c>
    </row>
    <row r="4773" spans="2:3" x14ac:dyDescent="0.25">
      <c r="B4773" s="33" t="s">
        <v>6264</v>
      </c>
      <c r="C4773" s="33">
        <v>30</v>
      </c>
    </row>
    <row r="4774" spans="2:3" x14ac:dyDescent="0.25">
      <c r="B4774" s="33" t="s">
        <v>6265</v>
      </c>
      <c r="C4774" s="33">
        <v>30</v>
      </c>
    </row>
    <row r="4775" spans="2:3" x14ac:dyDescent="0.25">
      <c r="B4775" s="33" t="s">
        <v>6266</v>
      </c>
      <c r="C4775" s="33">
        <v>30</v>
      </c>
    </row>
    <row r="4776" spans="2:3" x14ac:dyDescent="0.25">
      <c r="B4776" s="33" t="s">
        <v>6267</v>
      </c>
      <c r="C4776" s="33">
        <v>30</v>
      </c>
    </row>
    <row r="4777" spans="2:3" x14ac:dyDescent="0.25">
      <c r="B4777" s="33" t="s">
        <v>6268</v>
      </c>
      <c r="C4777" s="33">
        <v>30</v>
      </c>
    </row>
    <row r="4778" spans="2:3" x14ac:dyDescent="0.25">
      <c r="B4778" s="33" t="s">
        <v>6269</v>
      </c>
      <c r="C4778" s="33">
        <v>30</v>
      </c>
    </row>
    <row r="4779" spans="2:3" x14ac:dyDescent="0.25">
      <c r="B4779" s="33" t="s">
        <v>6270</v>
      </c>
      <c r="C4779" s="33">
        <v>30</v>
      </c>
    </row>
    <row r="4780" spans="2:3" x14ac:dyDescent="0.25">
      <c r="B4780" s="33" t="s">
        <v>6271</v>
      </c>
      <c r="C4780" s="33">
        <v>30</v>
      </c>
    </row>
    <row r="4781" spans="2:3" x14ac:dyDescent="0.25">
      <c r="B4781" s="33" t="s">
        <v>6272</v>
      </c>
      <c r="C4781" s="33">
        <v>30</v>
      </c>
    </row>
    <row r="4782" spans="2:3" x14ac:dyDescent="0.25">
      <c r="B4782" s="33" t="s">
        <v>6273</v>
      </c>
      <c r="C4782" s="33">
        <v>30</v>
      </c>
    </row>
    <row r="4783" spans="2:3" x14ac:dyDescent="0.25">
      <c r="B4783" s="33" t="s">
        <v>6274</v>
      </c>
      <c r="C4783" s="33">
        <v>30</v>
      </c>
    </row>
    <row r="4784" spans="2:3" x14ac:dyDescent="0.25">
      <c r="B4784" s="33" t="s">
        <v>6275</v>
      </c>
      <c r="C4784" s="33">
        <v>30</v>
      </c>
    </row>
    <row r="4785" spans="2:3" x14ac:dyDescent="0.25">
      <c r="B4785" s="33" t="s">
        <v>6276</v>
      </c>
      <c r="C4785" s="33">
        <v>30</v>
      </c>
    </row>
    <row r="4786" spans="2:3" x14ac:dyDescent="0.25">
      <c r="B4786" s="33" t="s">
        <v>6277</v>
      </c>
      <c r="C4786" s="33">
        <v>30</v>
      </c>
    </row>
    <row r="4787" spans="2:3" x14ac:dyDescent="0.25">
      <c r="B4787" s="33" t="s">
        <v>6278</v>
      </c>
      <c r="C4787" s="33">
        <v>30</v>
      </c>
    </row>
    <row r="4788" spans="2:3" x14ac:dyDescent="0.25">
      <c r="B4788" s="33" t="s">
        <v>6279</v>
      </c>
      <c r="C4788" s="33">
        <v>30</v>
      </c>
    </row>
    <row r="4789" spans="2:3" x14ac:dyDescent="0.25">
      <c r="B4789" s="33" t="s">
        <v>6280</v>
      </c>
      <c r="C4789" s="33">
        <v>30</v>
      </c>
    </row>
    <row r="4790" spans="2:3" x14ac:dyDescent="0.25">
      <c r="B4790" s="33" t="s">
        <v>6281</v>
      </c>
      <c r="C4790" s="33">
        <v>30</v>
      </c>
    </row>
    <row r="4791" spans="2:3" x14ac:dyDescent="0.25">
      <c r="B4791" s="33" t="s">
        <v>6282</v>
      </c>
      <c r="C4791" s="33">
        <v>30</v>
      </c>
    </row>
    <row r="4792" spans="2:3" x14ac:dyDescent="0.25">
      <c r="B4792" s="33" t="s">
        <v>6283</v>
      </c>
      <c r="C4792" s="33">
        <v>30</v>
      </c>
    </row>
    <row r="4793" spans="2:3" x14ac:dyDescent="0.25">
      <c r="B4793" s="33" t="s">
        <v>6284</v>
      </c>
      <c r="C4793" s="33">
        <v>30</v>
      </c>
    </row>
    <row r="4794" spans="2:3" x14ac:dyDescent="0.25">
      <c r="B4794" s="33" t="s">
        <v>6285</v>
      </c>
      <c r="C4794" s="33">
        <v>30</v>
      </c>
    </row>
    <row r="4795" spans="2:3" x14ac:dyDescent="0.25">
      <c r="B4795" s="33" t="s">
        <v>6286</v>
      </c>
      <c r="C4795" s="33">
        <v>30</v>
      </c>
    </row>
    <row r="4796" spans="2:3" x14ac:dyDescent="0.25">
      <c r="B4796" s="33" t="s">
        <v>6287</v>
      </c>
      <c r="C4796" s="33">
        <v>30</v>
      </c>
    </row>
    <row r="4797" spans="2:3" x14ac:dyDescent="0.25">
      <c r="B4797" s="33" t="s">
        <v>6288</v>
      </c>
      <c r="C4797" s="33">
        <v>30</v>
      </c>
    </row>
    <row r="4798" spans="2:3" x14ac:dyDescent="0.25">
      <c r="B4798" s="33" t="s">
        <v>6289</v>
      </c>
      <c r="C4798" s="33">
        <v>30</v>
      </c>
    </row>
    <row r="4799" spans="2:3" x14ac:dyDescent="0.25">
      <c r="B4799" s="33" t="s">
        <v>6290</v>
      </c>
      <c r="C4799" s="33">
        <v>30</v>
      </c>
    </row>
    <row r="4800" spans="2:3" x14ac:dyDescent="0.25">
      <c r="B4800" s="33" t="s">
        <v>6291</v>
      </c>
      <c r="C4800" s="33">
        <v>30</v>
      </c>
    </row>
    <row r="4801" spans="2:3" x14ac:dyDescent="0.25">
      <c r="B4801" s="33" t="s">
        <v>6292</v>
      </c>
      <c r="C4801" s="33">
        <v>30</v>
      </c>
    </row>
    <row r="4802" spans="2:3" x14ac:dyDescent="0.25">
      <c r="B4802" s="33" t="s">
        <v>6293</v>
      </c>
      <c r="C4802" s="33">
        <v>30</v>
      </c>
    </row>
    <row r="4803" spans="2:3" x14ac:dyDescent="0.25">
      <c r="B4803" s="33" t="s">
        <v>6294</v>
      </c>
      <c r="C4803" s="33">
        <v>30</v>
      </c>
    </row>
    <row r="4804" spans="2:3" x14ac:dyDescent="0.25">
      <c r="B4804" s="33" t="s">
        <v>6295</v>
      </c>
      <c r="C4804" s="33">
        <v>30</v>
      </c>
    </row>
    <row r="4805" spans="2:3" x14ac:dyDescent="0.25">
      <c r="B4805" s="33" t="s">
        <v>6296</v>
      </c>
      <c r="C4805" s="33">
        <v>30</v>
      </c>
    </row>
    <row r="4806" spans="2:3" x14ac:dyDescent="0.25">
      <c r="B4806" s="33" t="s">
        <v>6297</v>
      </c>
      <c r="C4806" s="33">
        <v>30</v>
      </c>
    </row>
    <row r="4807" spans="2:3" x14ac:dyDescent="0.25">
      <c r="B4807" s="33" t="s">
        <v>6298</v>
      </c>
      <c r="C4807" s="33">
        <v>30</v>
      </c>
    </row>
    <row r="4808" spans="2:3" x14ac:dyDescent="0.25">
      <c r="B4808" s="33" t="s">
        <v>6299</v>
      </c>
      <c r="C4808" s="33">
        <v>30</v>
      </c>
    </row>
    <row r="4809" spans="2:3" x14ac:dyDescent="0.25">
      <c r="B4809" s="33" t="s">
        <v>6300</v>
      </c>
      <c r="C4809" s="33">
        <v>30</v>
      </c>
    </row>
    <row r="4810" spans="2:3" x14ac:dyDescent="0.25">
      <c r="B4810" s="33" t="s">
        <v>6301</v>
      </c>
      <c r="C4810" s="33">
        <v>30</v>
      </c>
    </row>
    <row r="4811" spans="2:3" x14ac:dyDescent="0.25">
      <c r="B4811" s="33" t="s">
        <v>6302</v>
      </c>
      <c r="C4811" s="33">
        <v>30</v>
      </c>
    </row>
    <row r="4812" spans="2:3" x14ac:dyDescent="0.25">
      <c r="B4812" s="33" t="s">
        <v>6303</v>
      </c>
      <c r="C4812" s="33">
        <v>30</v>
      </c>
    </row>
    <row r="4813" spans="2:3" x14ac:dyDescent="0.25">
      <c r="B4813" s="33" t="s">
        <v>6304</v>
      </c>
      <c r="C4813" s="33">
        <v>30</v>
      </c>
    </row>
    <row r="4814" spans="2:3" x14ac:dyDescent="0.25">
      <c r="B4814" s="33" t="s">
        <v>6305</v>
      </c>
      <c r="C4814" s="33">
        <v>30</v>
      </c>
    </row>
    <row r="4815" spans="2:3" x14ac:dyDescent="0.25">
      <c r="B4815" s="33" t="s">
        <v>6306</v>
      </c>
      <c r="C4815" s="33">
        <v>30</v>
      </c>
    </row>
    <row r="4816" spans="2:3" x14ac:dyDescent="0.25">
      <c r="B4816" s="33" t="s">
        <v>6307</v>
      </c>
      <c r="C4816" s="33">
        <v>30</v>
      </c>
    </row>
    <row r="4817" spans="2:3" x14ac:dyDescent="0.25">
      <c r="B4817" s="33" t="s">
        <v>6308</v>
      </c>
      <c r="C4817" s="33">
        <v>30</v>
      </c>
    </row>
    <row r="4818" spans="2:3" x14ac:dyDescent="0.25">
      <c r="B4818" s="33" t="s">
        <v>6309</v>
      </c>
      <c r="C4818" s="33">
        <v>30</v>
      </c>
    </row>
    <row r="4819" spans="2:3" x14ac:dyDescent="0.25">
      <c r="B4819" s="33" t="s">
        <v>6310</v>
      </c>
      <c r="C4819" s="33">
        <v>30</v>
      </c>
    </row>
    <row r="4820" spans="2:3" x14ac:dyDescent="0.25">
      <c r="B4820" s="33" t="s">
        <v>6311</v>
      </c>
      <c r="C4820" s="33">
        <v>30</v>
      </c>
    </row>
    <row r="4821" spans="2:3" x14ac:dyDescent="0.25">
      <c r="B4821" s="33" t="s">
        <v>6312</v>
      </c>
      <c r="C4821" s="33">
        <v>30</v>
      </c>
    </row>
    <row r="4822" spans="2:3" x14ac:dyDescent="0.25">
      <c r="B4822" s="33" t="s">
        <v>6313</v>
      </c>
      <c r="C4822" s="33">
        <v>30</v>
      </c>
    </row>
    <row r="4823" spans="2:3" x14ac:dyDescent="0.25">
      <c r="B4823" s="33" t="s">
        <v>6314</v>
      </c>
      <c r="C4823" s="33">
        <v>30</v>
      </c>
    </row>
    <row r="4824" spans="2:3" x14ac:dyDescent="0.25">
      <c r="B4824" s="33" t="s">
        <v>6315</v>
      </c>
      <c r="C4824" s="33">
        <v>30</v>
      </c>
    </row>
    <row r="4825" spans="2:3" x14ac:dyDescent="0.25">
      <c r="B4825" s="33" t="s">
        <v>6316</v>
      </c>
      <c r="C4825" s="33">
        <v>30</v>
      </c>
    </row>
    <row r="4826" spans="2:3" x14ac:dyDescent="0.25">
      <c r="B4826" s="33" t="s">
        <v>6317</v>
      </c>
      <c r="C4826" s="33">
        <v>30</v>
      </c>
    </row>
    <row r="4827" spans="2:3" x14ac:dyDescent="0.25">
      <c r="B4827" s="33" t="s">
        <v>6318</v>
      </c>
      <c r="C4827" s="33">
        <v>30</v>
      </c>
    </row>
    <row r="4828" spans="2:3" x14ac:dyDescent="0.25">
      <c r="B4828" s="33" t="s">
        <v>6319</v>
      </c>
      <c r="C4828" s="33">
        <v>30</v>
      </c>
    </row>
    <row r="4829" spans="2:3" x14ac:dyDescent="0.25">
      <c r="B4829" s="33" t="s">
        <v>6320</v>
      </c>
      <c r="C4829" s="33">
        <v>30</v>
      </c>
    </row>
    <row r="4830" spans="2:3" x14ac:dyDescent="0.25">
      <c r="B4830" s="33" t="s">
        <v>6321</v>
      </c>
      <c r="C4830" s="33">
        <v>30</v>
      </c>
    </row>
    <row r="4831" spans="2:3" x14ac:dyDescent="0.25">
      <c r="B4831" s="33" t="s">
        <v>6322</v>
      </c>
      <c r="C4831" s="33">
        <v>30</v>
      </c>
    </row>
    <row r="4832" spans="2:3" x14ac:dyDescent="0.25">
      <c r="B4832" s="33" t="s">
        <v>6323</v>
      </c>
      <c r="C4832" s="33">
        <v>30</v>
      </c>
    </row>
    <row r="4833" spans="2:3" x14ac:dyDescent="0.25">
      <c r="B4833" s="33" t="s">
        <v>6324</v>
      </c>
      <c r="C4833" s="33">
        <v>30</v>
      </c>
    </row>
    <row r="4834" spans="2:3" x14ac:dyDescent="0.25">
      <c r="B4834" s="33" t="s">
        <v>6325</v>
      </c>
      <c r="C4834" s="33">
        <v>30</v>
      </c>
    </row>
    <row r="4835" spans="2:3" x14ac:dyDescent="0.25">
      <c r="B4835" s="33" t="s">
        <v>6326</v>
      </c>
      <c r="C4835" s="33">
        <v>30</v>
      </c>
    </row>
    <row r="4836" spans="2:3" x14ac:dyDescent="0.25">
      <c r="B4836" s="33" t="s">
        <v>6327</v>
      </c>
      <c r="C4836" s="33">
        <v>30</v>
      </c>
    </row>
    <row r="4837" spans="2:3" x14ac:dyDescent="0.25">
      <c r="B4837" s="33" t="s">
        <v>6328</v>
      </c>
      <c r="C4837" s="33">
        <v>30</v>
      </c>
    </row>
    <row r="4838" spans="2:3" x14ac:dyDescent="0.25">
      <c r="B4838" s="33" t="s">
        <v>6329</v>
      </c>
      <c r="C4838" s="33">
        <v>30</v>
      </c>
    </row>
    <row r="4839" spans="2:3" x14ac:dyDescent="0.25">
      <c r="B4839" s="33" t="s">
        <v>6330</v>
      </c>
      <c r="C4839" s="33">
        <v>30</v>
      </c>
    </row>
    <row r="4840" spans="2:3" x14ac:dyDescent="0.25">
      <c r="B4840" s="33" t="s">
        <v>6331</v>
      </c>
      <c r="C4840" s="33">
        <v>30</v>
      </c>
    </row>
    <row r="4841" spans="2:3" x14ac:dyDescent="0.25">
      <c r="B4841" s="33" t="s">
        <v>6332</v>
      </c>
      <c r="C4841" s="33">
        <v>30</v>
      </c>
    </row>
    <row r="4842" spans="2:3" x14ac:dyDescent="0.25">
      <c r="B4842" s="33" t="s">
        <v>6333</v>
      </c>
      <c r="C4842" s="33">
        <v>30</v>
      </c>
    </row>
    <row r="4843" spans="2:3" x14ac:dyDescent="0.25">
      <c r="B4843" s="33" t="s">
        <v>6334</v>
      </c>
      <c r="C4843" s="33">
        <v>30</v>
      </c>
    </row>
    <row r="4844" spans="2:3" x14ac:dyDescent="0.25">
      <c r="B4844" s="33" t="s">
        <v>6335</v>
      </c>
      <c r="C4844" s="33">
        <v>30</v>
      </c>
    </row>
    <row r="4845" spans="2:3" x14ac:dyDescent="0.25">
      <c r="B4845" s="33" t="s">
        <v>6336</v>
      </c>
      <c r="C4845" s="33">
        <v>30</v>
      </c>
    </row>
    <row r="4846" spans="2:3" x14ac:dyDescent="0.25">
      <c r="B4846" s="33" t="s">
        <v>6337</v>
      </c>
      <c r="C4846" s="33">
        <v>30</v>
      </c>
    </row>
    <row r="4847" spans="2:3" x14ac:dyDescent="0.25">
      <c r="B4847" s="33" t="s">
        <v>6338</v>
      </c>
      <c r="C4847" s="33">
        <v>30</v>
      </c>
    </row>
    <row r="4848" spans="2:3" x14ac:dyDescent="0.25">
      <c r="B4848" s="33" t="s">
        <v>6339</v>
      </c>
      <c r="C4848" s="33">
        <v>30</v>
      </c>
    </row>
    <row r="4849" spans="2:3" x14ac:dyDescent="0.25">
      <c r="B4849" s="33" t="s">
        <v>6340</v>
      </c>
      <c r="C4849" s="33">
        <v>30</v>
      </c>
    </row>
    <row r="4850" spans="2:3" x14ac:dyDescent="0.25">
      <c r="B4850" s="33" t="s">
        <v>6341</v>
      </c>
      <c r="C4850" s="33">
        <v>30</v>
      </c>
    </row>
    <row r="4851" spans="2:3" x14ac:dyDescent="0.25">
      <c r="B4851" s="33" t="s">
        <v>6342</v>
      </c>
      <c r="C4851" s="33">
        <v>30</v>
      </c>
    </row>
    <row r="4852" spans="2:3" x14ac:dyDescent="0.25">
      <c r="B4852" s="33" t="s">
        <v>6343</v>
      </c>
      <c r="C4852" s="33">
        <v>30</v>
      </c>
    </row>
    <row r="4853" spans="2:3" x14ac:dyDescent="0.25">
      <c r="B4853" s="33" t="s">
        <v>6344</v>
      </c>
      <c r="C4853" s="33">
        <v>30</v>
      </c>
    </row>
    <row r="4854" spans="2:3" x14ac:dyDescent="0.25">
      <c r="B4854" s="33" t="s">
        <v>6345</v>
      </c>
      <c r="C4854" s="33">
        <v>30</v>
      </c>
    </row>
    <row r="4855" spans="2:3" x14ac:dyDescent="0.25">
      <c r="B4855" s="33" t="s">
        <v>6346</v>
      </c>
      <c r="C4855" s="33">
        <v>30</v>
      </c>
    </row>
    <row r="4856" spans="2:3" x14ac:dyDescent="0.25">
      <c r="B4856" s="33" t="s">
        <v>6347</v>
      </c>
      <c r="C4856" s="33">
        <v>30</v>
      </c>
    </row>
    <row r="4857" spans="2:3" x14ac:dyDescent="0.25">
      <c r="B4857" s="33" t="s">
        <v>6348</v>
      </c>
      <c r="C4857" s="33">
        <v>30</v>
      </c>
    </row>
    <row r="4858" spans="2:3" x14ac:dyDescent="0.25">
      <c r="B4858" s="33" t="s">
        <v>6349</v>
      </c>
      <c r="C4858" s="33">
        <v>30</v>
      </c>
    </row>
    <row r="4859" spans="2:3" x14ac:dyDescent="0.25">
      <c r="B4859" s="33" t="s">
        <v>6350</v>
      </c>
      <c r="C4859" s="33">
        <v>30</v>
      </c>
    </row>
    <row r="4860" spans="2:3" x14ac:dyDescent="0.25">
      <c r="B4860" s="33" t="s">
        <v>6351</v>
      </c>
      <c r="C4860" s="33">
        <v>30</v>
      </c>
    </row>
    <row r="4861" spans="2:3" x14ac:dyDescent="0.25">
      <c r="B4861" s="33" t="s">
        <v>6352</v>
      </c>
      <c r="C4861" s="33">
        <v>30</v>
      </c>
    </row>
    <row r="4862" spans="2:3" x14ac:dyDescent="0.25">
      <c r="B4862" s="33" t="s">
        <v>6353</v>
      </c>
      <c r="C4862" s="33">
        <v>30</v>
      </c>
    </row>
    <row r="4863" spans="2:3" x14ac:dyDescent="0.25">
      <c r="B4863" s="33" t="s">
        <v>6354</v>
      </c>
      <c r="C4863" s="33">
        <v>30</v>
      </c>
    </row>
    <row r="4864" spans="2:3" x14ac:dyDescent="0.25">
      <c r="B4864" s="33" t="s">
        <v>6355</v>
      </c>
      <c r="C4864" s="33">
        <v>30</v>
      </c>
    </row>
    <row r="4865" spans="2:3" x14ac:dyDescent="0.25">
      <c r="B4865" s="33" t="s">
        <v>6356</v>
      </c>
      <c r="C4865" s="33">
        <v>30</v>
      </c>
    </row>
    <row r="4866" spans="2:3" x14ac:dyDescent="0.25">
      <c r="B4866" s="33" t="s">
        <v>6357</v>
      </c>
      <c r="C4866" s="33">
        <v>30</v>
      </c>
    </row>
    <row r="4867" spans="2:3" x14ac:dyDescent="0.25">
      <c r="B4867" s="33" t="s">
        <v>6358</v>
      </c>
      <c r="C4867" s="33">
        <v>30</v>
      </c>
    </row>
    <row r="4868" spans="2:3" x14ac:dyDescent="0.25">
      <c r="B4868" s="33" t="s">
        <v>6359</v>
      </c>
      <c r="C4868" s="33">
        <v>30</v>
      </c>
    </row>
    <row r="4869" spans="2:3" x14ac:dyDescent="0.25">
      <c r="B4869" s="33" t="s">
        <v>6360</v>
      </c>
      <c r="C4869" s="33">
        <v>30</v>
      </c>
    </row>
    <row r="4870" spans="2:3" x14ac:dyDescent="0.25">
      <c r="B4870" s="33" t="s">
        <v>6361</v>
      </c>
      <c r="C4870" s="33">
        <v>30</v>
      </c>
    </row>
    <row r="4871" spans="2:3" x14ac:dyDescent="0.25">
      <c r="B4871" s="33" t="s">
        <v>6362</v>
      </c>
      <c r="C4871" s="33">
        <v>30</v>
      </c>
    </row>
    <row r="4872" spans="2:3" x14ac:dyDescent="0.25">
      <c r="B4872" s="33" t="s">
        <v>6363</v>
      </c>
      <c r="C4872" s="33">
        <v>30</v>
      </c>
    </row>
    <row r="4873" spans="2:3" x14ac:dyDescent="0.25">
      <c r="B4873" s="33" t="s">
        <v>6364</v>
      </c>
      <c r="C4873" s="33">
        <v>30</v>
      </c>
    </row>
    <row r="4874" spans="2:3" x14ac:dyDescent="0.25">
      <c r="B4874" s="33" t="s">
        <v>6365</v>
      </c>
      <c r="C4874" s="33">
        <v>30</v>
      </c>
    </row>
    <row r="4875" spans="2:3" x14ac:dyDescent="0.25">
      <c r="B4875" s="33" t="s">
        <v>6366</v>
      </c>
      <c r="C4875" s="33">
        <v>30</v>
      </c>
    </row>
    <row r="4876" spans="2:3" x14ac:dyDescent="0.25">
      <c r="B4876" s="33" t="s">
        <v>6367</v>
      </c>
      <c r="C4876" s="33">
        <v>30</v>
      </c>
    </row>
    <row r="4877" spans="2:3" x14ac:dyDescent="0.25">
      <c r="B4877" s="33" t="s">
        <v>6368</v>
      </c>
      <c r="C4877" s="33">
        <v>30</v>
      </c>
    </row>
    <row r="4878" spans="2:3" x14ac:dyDescent="0.25">
      <c r="B4878" s="33" t="s">
        <v>6369</v>
      </c>
      <c r="C4878" s="33">
        <v>30</v>
      </c>
    </row>
    <row r="4879" spans="2:3" x14ac:dyDescent="0.25">
      <c r="B4879" s="33" t="s">
        <v>6370</v>
      </c>
      <c r="C4879" s="33">
        <v>30</v>
      </c>
    </row>
    <row r="4880" spans="2:3" x14ac:dyDescent="0.25">
      <c r="B4880" s="33" t="s">
        <v>6371</v>
      </c>
      <c r="C4880" s="33">
        <v>30</v>
      </c>
    </row>
    <row r="4881" spans="2:3" x14ac:dyDescent="0.25">
      <c r="B4881" s="33" t="s">
        <v>6372</v>
      </c>
      <c r="C4881" s="33">
        <v>30</v>
      </c>
    </row>
    <row r="4882" spans="2:3" x14ac:dyDescent="0.25">
      <c r="B4882" s="33" t="s">
        <v>6373</v>
      </c>
      <c r="C4882" s="33">
        <v>30</v>
      </c>
    </row>
    <row r="4883" spans="2:3" x14ac:dyDescent="0.25">
      <c r="B4883" s="33" t="s">
        <v>6374</v>
      </c>
      <c r="C4883" s="33">
        <v>30</v>
      </c>
    </row>
    <row r="4884" spans="2:3" x14ac:dyDescent="0.25">
      <c r="B4884" s="33" t="s">
        <v>6375</v>
      </c>
      <c r="C4884" s="33">
        <v>30</v>
      </c>
    </row>
    <row r="4885" spans="2:3" x14ac:dyDescent="0.25">
      <c r="B4885" s="33" t="s">
        <v>6376</v>
      </c>
      <c r="C4885" s="33">
        <v>30</v>
      </c>
    </row>
    <row r="4886" spans="2:3" x14ac:dyDescent="0.25">
      <c r="B4886" s="33" t="s">
        <v>6377</v>
      </c>
      <c r="C4886" s="33">
        <v>30</v>
      </c>
    </row>
    <row r="4887" spans="2:3" x14ac:dyDescent="0.25">
      <c r="B4887" s="33" t="s">
        <v>6378</v>
      </c>
      <c r="C4887" s="33">
        <v>30</v>
      </c>
    </row>
    <row r="4888" spans="2:3" x14ac:dyDescent="0.25">
      <c r="B4888" s="33" t="s">
        <v>6379</v>
      </c>
      <c r="C4888" s="33">
        <v>30</v>
      </c>
    </row>
    <row r="4889" spans="2:3" x14ac:dyDescent="0.25">
      <c r="B4889" s="33" t="s">
        <v>6380</v>
      </c>
      <c r="C4889" s="33">
        <v>30</v>
      </c>
    </row>
    <row r="4890" spans="2:3" x14ac:dyDescent="0.25">
      <c r="B4890" s="33" t="s">
        <v>6381</v>
      </c>
      <c r="C4890" s="33">
        <v>30</v>
      </c>
    </row>
    <row r="4891" spans="2:3" x14ac:dyDescent="0.25">
      <c r="B4891" s="33" t="s">
        <v>6382</v>
      </c>
      <c r="C4891" s="33">
        <v>30</v>
      </c>
    </row>
    <row r="4892" spans="2:3" x14ac:dyDescent="0.25">
      <c r="B4892" s="33" t="s">
        <v>6383</v>
      </c>
      <c r="C4892" s="33">
        <v>30</v>
      </c>
    </row>
    <row r="4893" spans="2:3" x14ac:dyDescent="0.25">
      <c r="B4893" s="33" t="s">
        <v>6384</v>
      </c>
      <c r="C4893" s="33">
        <v>30</v>
      </c>
    </row>
    <row r="4894" spans="2:3" x14ac:dyDescent="0.25">
      <c r="B4894" s="33" t="s">
        <v>6385</v>
      </c>
      <c r="C4894" s="33">
        <v>30</v>
      </c>
    </row>
    <row r="4895" spans="2:3" x14ac:dyDescent="0.25">
      <c r="B4895" s="33" t="s">
        <v>6386</v>
      </c>
      <c r="C4895" s="33">
        <v>30</v>
      </c>
    </row>
    <row r="4896" spans="2:3" x14ac:dyDescent="0.25">
      <c r="B4896" s="33" t="s">
        <v>6387</v>
      </c>
      <c r="C4896" s="33">
        <v>30</v>
      </c>
    </row>
    <row r="4897" spans="2:3" x14ac:dyDescent="0.25">
      <c r="B4897" s="33" t="s">
        <v>6388</v>
      </c>
      <c r="C4897" s="33">
        <v>30</v>
      </c>
    </row>
    <row r="4898" spans="2:3" x14ac:dyDescent="0.25">
      <c r="B4898" s="33" t="s">
        <v>6389</v>
      </c>
      <c r="C4898" s="33">
        <v>30</v>
      </c>
    </row>
    <row r="4899" spans="2:3" x14ac:dyDescent="0.25">
      <c r="B4899" s="33" t="s">
        <v>6390</v>
      </c>
      <c r="C4899" s="33">
        <v>30</v>
      </c>
    </row>
    <row r="4900" spans="2:3" x14ac:dyDescent="0.25">
      <c r="B4900" s="33" t="s">
        <v>6391</v>
      </c>
      <c r="C4900" s="33">
        <v>30</v>
      </c>
    </row>
    <row r="4901" spans="2:3" x14ac:dyDescent="0.25">
      <c r="B4901" s="33" t="s">
        <v>6392</v>
      </c>
      <c r="C4901" s="33">
        <v>30</v>
      </c>
    </row>
    <row r="4902" spans="2:3" x14ac:dyDescent="0.25">
      <c r="B4902" s="33" t="s">
        <v>6393</v>
      </c>
      <c r="C4902" s="33">
        <v>30</v>
      </c>
    </row>
    <row r="4903" spans="2:3" x14ac:dyDescent="0.25">
      <c r="B4903" s="33" t="s">
        <v>6394</v>
      </c>
      <c r="C4903" s="33">
        <v>30</v>
      </c>
    </row>
    <row r="4904" spans="2:3" x14ac:dyDescent="0.25">
      <c r="B4904" s="33" t="s">
        <v>6395</v>
      </c>
      <c r="C4904" s="33">
        <v>30</v>
      </c>
    </row>
    <row r="4905" spans="2:3" x14ac:dyDescent="0.25">
      <c r="B4905" s="33" t="s">
        <v>6396</v>
      </c>
      <c r="C4905" s="33">
        <v>30</v>
      </c>
    </row>
    <row r="4906" spans="2:3" x14ac:dyDescent="0.25">
      <c r="B4906" s="33" t="s">
        <v>6397</v>
      </c>
      <c r="C4906" s="33">
        <v>30</v>
      </c>
    </row>
    <row r="4907" spans="2:3" x14ac:dyDescent="0.25">
      <c r="B4907" s="33" t="s">
        <v>6398</v>
      </c>
      <c r="C4907" s="33">
        <v>30</v>
      </c>
    </row>
    <row r="4908" spans="2:3" x14ac:dyDescent="0.25">
      <c r="B4908" s="33" t="s">
        <v>6399</v>
      </c>
      <c r="C4908" s="33">
        <v>30</v>
      </c>
    </row>
    <row r="4909" spans="2:3" x14ac:dyDescent="0.25">
      <c r="B4909" s="33" t="s">
        <v>6400</v>
      </c>
      <c r="C4909" s="33">
        <v>30</v>
      </c>
    </row>
    <row r="4910" spans="2:3" x14ac:dyDescent="0.25">
      <c r="B4910" s="33" t="s">
        <v>6401</v>
      </c>
      <c r="C4910" s="33">
        <v>30</v>
      </c>
    </row>
    <row r="4911" spans="2:3" x14ac:dyDescent="0.25">
      <c r="B4911" s="33" t="s">
        <v>6402</v>
      </c>
      <c r="C4911" s="33">
        <v>30</v>
      </c>
    </row>
    <row r="4912" spans="2:3" x14ac:dyDescent="0.25">
      <c r="B4912" s="33" t="s">
        <v>6403</v>
      </c>
      <c r="C4912" s="33">
        <v>30</v>
      </c>
    </row>
    <row r="4913" spans="2:3" x14ac:dyDescent="0.25">
      <c r="B4913" s="33" t="s">
        <v>6404</v>
      </c>
      <c r="C4913" s="33">
        <v>30</v>
      </c>
    </row>
    <row r="4914" spans="2:3" x14ac:dyDescent="0.25">
      <c r="B4914" s="33" t="s">
        <v>6405</v>
      </c>
      <c r="C4914" s="33">
        <v>30</v>
      </c>
    </row>
    <row r="4915" spans="2:3" x14ac:dyDescent="0.25">
      <c r="B4915" s="33" t="s">
        <v>6406</v>
      </c>
      <c r="C4915" s="33">
        <v>30</v>
      </c>
    </row>
    <row r="4916" spans="2:3" x14ac:dyDescent="0.25">
      <c r="B4916" s="33" t="s">
        <v>6407</v>
      </c>
      <c r="C4916" s="33">
        <v>30</v>
      </c>
    </row>
    <row r="4917" spans="2:3" x14ac:dyDescent="0.25">
      <c r="B4917" s="33" t="s">
        <v>6408</v>
      </c>
      <c r="C4917" s="33">
        <v>30</v>
      </c>
    </row>
    <row r="4918" spans="2:3" x14ac:dyDescent="0.25">
      <c r="B4918" s="33" t="s">
        <v>6409</v>
      </c>
      <c r="C4918" s="33">
        <v>30</v>
      </c>
    </row>
    <row r="4919" spans="2:3" x14ac:dyDescent="0.25">
      <c r="B4919" s="33" t="s">
        <v>6410</v>
      </c>
      <c r="C4919" s="33">
        <v>30</v>
      </c>
    </row>
    <row r="4920" spans="2:3" x14ac:dyDescent="0.25">
      <c r="B4920" s="33" t="s">
        <v>6411</v>
      </c>
      <c r="C4920" s="33">
        <v>30</v>
      </c>
    </row>
    <row r="4921" spans="2:3" x14ac:dyDescent="0.25">
      <c r="B4921" s="33" t="s">
        <v>6412</v>
      </c>
      <c r="C4921" s="33">
        <v>30</v>
      </c>
    </row>
    <row r="4922" spans="2:3" x14ac:dyDescent="0.25">
      <c r="B4922" s="33" t="s">
        <v>6413</v>
      </c>
      <c r="C4922" s="33">
        <v>30</v>
      </c>
    </row>
    <row r="4923" spans="2:3" x14ac:dyDescent="0.25">
      <c r="B4923" s="33" t="s">
        <v>6414</v>
      </c>
      <c r="C4923" s="33">
        <v>30</v>
      </c>
    </row>
    <row r="4924" spans="2:3" x14ac:dyDescent="0.25">
      <c r="B4924" s="33" t="s">
        <v>6415</v>
      </c>
      <c r="C4924" s="33">
        <v>30</v>
      </c>
    </row>
    <row r="4925" spans="2:3" x14ac:dyDescent="0.25">
      <c r="B4925" s="33" t="s">
        <v>6416</v>
      </c>
      <c r="C4925" s="33">
        <v>30</v>
      </c>
    </row>
    <row r="4926" spans="2:3" x14ac:dyDescent="0.25">
      <c r="B4926" s="33" t="s">
        <v>6417</v>
      </c>
      <c r="C4926" s="33">
        <v>30</v>
      </c>
    </row>
    <row r="4927" spans="2:3" x14ac:dyDescent="0.25">
      <c r="B4927" s="33" t="s">
        <v>6418</v>
      </c>
      <c r="C4927" s="33">
        <v>30</v>
      </c>
    </row>
    <row r="4928" spans="2:3" x14ac:dyDescent="0.25">
      <c r="B4928" s="33" t="s">
        <v>6419</v>
      </c>
      <c r="C4928" s="33">
        <v>30</v>
      </c>
    </row>
    <row r="4929" spans="2:3" x14ac:dyDescent="0.25">
      <c r="B4929" s="33" t="s">
        <v>6420</v>
      </c>
      <c r="C4929" s="33">
        <v>30</v>
      </c>
    </row>
    <row r="4930" spans="2:3" x14ac:dyDescent="0.25">
      <c r="B4930" s="33" t="s">
        <v>6421</v>
      </c>
      <c r="C4930" s="33">
        <v>30</v>
      </c>
    </row>
    <row r="4931" spans="2:3" x14ac:dyDescent="0.25">
      <c r="B4931" s="33" t="s">
        <v>6422</v>
      </c>
      <c r="C4931" s="33">
        <v>30</v>
      </c>
    </row>
    <row r="4932" spans="2:3" x14ac:dyDescent="0.25">
      <c r="B4932" s="33" t="s">
        <v>6423</v>
      </c>
      <c r="C4932" s="33">
        <v>30</v>
      </c>
    </row>
    <row r="4933" spans="2:3" x14ac:dyDescent="0.25">
      <c r="B4933" s="33" t="s">
        <v>6424</v>
      </c>
      <c r="C4933" s="33">
        <v>30</v>
      </c>
    </row>
    <row r="4934" spans="2:3" x14ac:dyDescent="0.25">
      <c r="B4934" s="33" t="s">
        <v>6425</v>
      </c>
      <c r="C4934" s="33">
        <v>30</v>
      </c>
    </row>
    <row r="4935" spans="2:3" x14ac:dyDescent="0.25">
      <c r="B4935" s="33" t="s">
        <v>6426</v>
      </c>
      <c r="C4935" s="33">
        <v>30</v>
      </c>
    </row>
    <row r="4936" spans="2:3" x14ac:dyDescent="0.25">
      <c r="B4936" s="33" t="s">
        <v>6427</v>
      </c>
      <c r="C4936" s="33">
        <v>30</v>
      </c>
    </row>
    <row r="4937" spans="2:3" x14ac:dyDescent="0.25">
      <c r="B4937" s="33" t="s">
        <v>6428</v>
      </c>
      <c r="C4937" s="33">
        <v>30</v>
      </c>
    </row>
    <row r="4938" spans="2:3" x14ac:dyDescent="0.25">
      <c r="B4938" s="33" t="s">
        <v>6429</v>
      </c>
      <c r="C4938" s="33">
        <v>30</v>
      </c>
    </row>
    <row r="4939" spans="2:3" x14ac:dyDescent="0.25">
      <c r="B4939" s="33" t="s">
        <v>6430</v>
      </c>
      <c r="C4939" s="33">
        <v>30</v>
      </c>
    </row>
    <row r="4940" spans="2:3" x14ac:dyDescent="0.25">
      <c r="B4940" s="33" t="s">
        <v>6431</v>
      </c>
      <c r="C4940" s="33">
        <v>30</v>
      </c>
    </row>
    <row r="4941" spans="2:3" x14ac:dyDescent="0.25">
      <c r="B4941" s="33" t="s">
        <v>6432</v>
      </c>
      <c r="C4941" s="33">
        <v>30</v>
      </c>
    </row>
    <row r="4942" spans="2:3" x14ac:dyDescent="0.25">
      <c r="B4942" s="33" t="s">
        <v>6433</v>
      </c>
      <c r="C4942" s="33">
        <v>30</v>
      </c>
    </row>
    <row r="4943" spans="2:3" x14ac:dyDescent="0.25">
      <c r="B4943" s="33" t="s">
        <v>6434</v>
      </c>
      <c r="C4943" s="33">
        <v>30</v>
      </c>
    </row>
    <row r="4944" spans="2:3" x14ac:dyDescent="0.25">
      <c r="B4944" s="33" t="s">
        <v>6435</v>
      </c>
      <c r="C4944" s="33">
        <v>30</v>
      </c>
    </row>
    <row r="4945" spans="2:3" x14ac:dyDescent="0.25">
      <c r="B4945" s="33" t="s">
        <v>6436</v>
      </c>
      <c r="C4945" s="33">
        <v>30</v>
      </c>
    </row>
    <row r="4946" spans="2:3" x14ac:dyDescent="0.25">
      <c r="B4946" s="33" t="s">
        <v>6437</v>
      </c>
      <c r="C4946" s="33">
        <v>30</v>
      </c>
    </row>
    <row r="4947" spans="2:3" x14ac:dyDescent="0.25">
      <c r="B4947" s="33" t="s">
        <v>6438</v>
      </c>
      <c r="C4947" s="33">
        <v>30</v>
      </c>
    </row>
    <row r="4948" spans="2:3" x14ac:dyDescent="0.25">
      <c r="B4948" s="33" t="s">
        <v>6439</v>
      </c>
      <c r="C4948" s="33">
        <v>30</v>
      </c>
    </row>
    <row r="4949" spans="2:3" x14ac:dyDescent="0.25">
      <c r="B4949" s="33" t="s">
        <v>6440</v>
      </c>
      <c r="C4949" s="33">
        <v>30</v>
      </c>
    </row>
    <row r="4950" spans="2:3" x14ac:dyDescent="0.25">
      <c r="B4950" s="33" t="s">
        <v>6441</v>
      </c>
      <c r="C4950" s="33">
        <v>30</v>
      </c>
    </row>
    <row r="4951" spans="2:3" x14ac:dyDescent="0.25">
      <c r="B4951" s="33" t="s">
        <v>6442</v>
      </c>
      <c r="C4951" s="33">
        <v>30</v>
      </c>
    </row>
    <row r="4952" spans="2:3" x14ac:dyDescent="0.25">
      <c r="B4952" s="33" t="s">
        <v>6443</v>
      </c>
      <c r="C4952" s="33">
        <v>30</v>
      </c>
    </row>
    <row r="4953" spans="2:3" x14ac:dyDescent="0.25">
      <c r="B4953" s="33" t="s">
        <v>6444</v>
      </c>
      <c r="C4953" s="33">
        <v>30</v>
      </c>
    </row>
    <row r="4954" spans="2:3" x14ac:dyDescent="0.25">
      <c r="B4954" s="33" t="s">
        <v>6445</v>
      </c>
      <c r="C4954" s="33">
        <v>30</v>
      </c>
    </row>
    <row r="4955" spans="2:3" x14ac:dyDescent="0.25">
      <c r="B4955" s="33" t="s">
        <v>6446</v>
      </c>
      <c r="C4955" s="33">
        <v>30</v>
      </c>
    </row>
    <row r="4956" spans="2:3" x14ac:dyDescent="0.25">
      <c r="B4956" s="33" t="s">
        <v>6447</v>
      </c>
      <c r="C4956" s="33">
        <v>30</v>
      </c>
    </row>
    <row r="4957" spans="2:3" x14ac:dyDescent="0.25">
      <c r="B4957" s="33" t="s">
        <v>6448</v>
      </c>
      <c r="C4957" s="33">
        <v>30</v>
      </c>
    </row>
    <row r="4958" spans="2:3" x14ac:dyDescent="0.25">
      <c r="B4958" s="33" t="s">
        <v>6449</v>
      </c>
      <c r="C4958" s="33">
        <v>30</v>
      </c>
    </row>
    <row r="4959" spans="2:3" x14ac:dyDescent="0.25">
      <c r="B4959" s="33" t="s">
        <v>6450</v>
      </c>
      <c r="C4959" s="33">
        <v>30</v>
      </c>
    </row>
    <row r="4960" spans="2:3" x14ac:dyDescent="0.25">
      <c r="B4960" s="33" t="s">
        <v>6451</v>
      </c>
      <c r="C4960" s="33">
        <v>30</v>
      </c>
    </row>
    <row r="4961" spans="2:3" x14ac:dyDescent="0.25">
      <c r="B4961" s="33" t="s">
        <v>6452</v>
      </c>
      <c r="C4961" s="33">
        <v>30</v>
      </c>
    </row>
    <row r="4962" spans="2:3" x14ac:dyDescent="0.25">
      <c r="B4962" s="33" t="s">
        <v>6453</v>
      </c>
      <c r="C4962" s="33">
        <v>30</v>
      </c>
    </row>
    <row r="4963" spans="2:3" x14ac:dyDescent="0.25">
      <c r="B4963" s="33" t="s">
        <v>6454</v>
      </c>
      <c r="C4963" s="33">
        <v>30</v>
      </c>
    </row>
    <row r="4964" spans="2:3" x14ac:dyDescent="0.25">
      <c r="B4964" s="33" t="s">
        <v>6455</v>
      </c>
      <c r="C4964" s="33">
        <v>30</v>
      </c>
    </row>
    <row r="4965" spans="2:3" x14ac:dyDescent="0.25">
      <c r="B4965" s="33" t="s">
        <v>6456</v>
      </c>
      <c r="C4965" s="33">
        <v>30</v>
      </c>
    </row>
    <row r="4966" spans="2:3" x14ac:dyDescent="0.25">
      <c r="B4966" s="33" t="s">
        <v>6457</v>
      </c>
      <c r="C4966" s="33">
        <v>30</v>
      </c>
    </row>
    <row r="4967" spans="2:3" x14ac:dyDescent="0.25">
      <c r="B4967" s="33" t="s">
        <v>6458</v>
      </c>
      <c r="C4967" s="33">
        <v>30</v>
      </c>
    </row>
    <row r="4968" spans="2:3" x14ac:dyDescent="0.25">
      <c r="B4968" s="33" t="s">
        <v>6459</v>
      </c>
      <c r="C4968" s="33">
        <v>30</v>
      </c>
    </row>
    <row r="4969" spans="2:3" x14ac:dyDescent="0.25">
      <c r="B4969" s="33" t="s">
        <v>6460</v>
      </c>
      <c r="C4969" s="33">
        <v>30</v>
      </c>
    </row>
    <row r="4970" spans="2:3" x14ac:dyDescent="0.25">
      <c r="B4970" s="33" t="s">
        <v>6461</v>
      </c>
      <c r="C4970" s="33">
        <v>30</v>
      </c>
    </row>
    <row r="4971" spans="2:3" x14ac:dyDescent="0.25">
      <c r="B4971" s="33" t="s">
        <v>6462</v>
      </c>
      <c r="C4971" s="33">
        <v>30</v>
      </c>
    </row>
    <row r="4972" spans="2:3" x14ac:dyDescent="0.25">
      <c r="B4972" s="33" t="s">
        <v>6463</v>
      </c>
      <c r="C4972" s="33">
        <v>30</v>
      </c>
    </row>
    <row r="4973" spans="2:3" x14ac:dyDescent="0.25">
      <c r="B4973" s="33" t="s">
        <v>6464</v>
      </c>
      <c r="C4973" s="33">
        <v>30</v>
      </c>
    </row>
    <row r="4974" spans="2:3" x14ac:dyDescent="0.25">
      <c r="B4974" s="33" t="s">
        <v>6465</v>
      </c>
      <c r="C4974" s="33">
        <v>30</v>
      </c>
    </row>
    <row r="4975" spans="2:3" x14ac:dyDescent="0.25">
      <c r="B4975" s="33" t="s">
        <v>6466</v>
      </c>
      <c r="C4975" s="33">
        <v>30</v>
      </c>
    </row>
    <row r="4976" spans="2:3" x14ac:dyDescent="0.25">
      <c r="B4976" s="33" t="s">
        <v>6467</v>
      </c>
      <c r="C4976" s="33">
        <v>30</v>
      </c>
    </row>
    <row r="4977" spans="2:3" x14ac:dyDescent="0.25">
      <c r="B4977" s="33" t="s">
        <v>6468</v>
      </c>
      <c r="C4977" s="33">
        <v>30</v>
      </c>
    </row>
    <row r="4978" spans="2:3" x14ac:dyDescent="0.25">
      <c r="B4978" s="33" t="s">
        <v>6469</v>
      </c>
      <c r="C4978" s="33">
        <v>30</v>
      </c>
    </row>
    <row r="4979" spans="2:3" x14ac:dyDescent="0.25">
      <c r="B4979" s="33" t="s">
        <v>6470</v>
      </c>
      <c r="C4979" s="33">
        <v>30</v>
      </c>
    </row>
    <row r="4980" spans="2:3" x14ac:dyDescent="0.25">
      <c r="B4980" s="33" t="s">
        <v>6471</v>
      </c>
      <c r="C4980" s="33">
        <v>30</v>
      </c>
    </row>
    <row r="4981" spans="2:3" x14ac:dyDescent="0.25">
      <c r="B4981" s="33" t="s">
        <v>6472</v>
      </c>
      <c r="C4981" s="33">
        <v>30</v>
      </c>
    </row>
    <row r="4982" spans="2:3" x14ac:dyDescent="0.25">
      <c r="B4982" s="33" t="s">
        <v>6473</v>
      </c>
      <c r="C4982" s="33">
        <v>30</v>
      </c>
    </row>
    <row r="4983" spans="2:3" x14ac:dyDescent="0.25">
      <c r="B4983" s="33" t="s">
        <v>6474</v>
      </c>
      <c r="C4983" s="33">
        <v>30</v>
      </c>
    </row>
    <row r="4984" spans="2:3" x14ac:dyDescent="0.25">
      <c r="B4984" s="33" t="s">
        <v>6475</v>
      </c>
      <c r="C4984" s="33">
        <v>30</v>
      </c>
    </row>
    <row r="4985" spans="2:3" x14ac:dyDescent="0.25">
      <c r="B4985" s="33" t="s">
        <v>6476</v>
      </c>
      <c r="C4985" s="33">
        <v>30</v>
      </c>
    </row>
    <row r="4986" spans="2:3" x14ac:dyDescent="0.25">
      <c r="B4986" s="33" t="s">
        <v>6477</v>
      </c>
      <c r="C4986" s="33">
        <v>30</v>
      </c>
    </row>
    <row r="4987" spans="2:3" x14ac:dyDescent="0.25">
      <c r="B4987" s="33" t="s">
        <v>6478</v>
      </c>
      <c r="C4987" s="33">
        <v>30</v>
      </c>
    </row>
    <row r="4988" spans="2:3" x14ac:dyDescent="0.25">
      <c r="B4988" s="33" t="s">
        <v>6479</v>
      </c>
      <c r="C4988" s="33">
        <v>30</v>
      </c>
    </row>
    <row r="4989" spans="2:3" x14ac:dyDescent="0.25">
      <c r="B4989" s="33" t="s">
        <v>6480</v>
      </c>
      <c r="C4989" s="33">
        <v>30</v>
      </c>
    </row>
    <row r="4990" spans="2:3" x14ac:dyDescent="0.25">
      <c r="B4990" s="33" t="s">
        <v>6481</v>
      </c>
      <c r="C4990" s="33">
        <v>30</v>
      </c>
    </row>
    <row r="4991" spans="2:3" x14ac:dyDescent="0.25">
      <c r="B4991" s="33" t="s">
        <v>6482</v>
      </c>
      <c r="C4991" s="33">
        <v>30</v>
      </c>
    </row>
    <row r="4992" spans="2:3" x14ac:dyDescent="0.25">
      <c r="B4992" s="33" t="s">
        <v>6483</v>
      </c>
      <c r="C4992" s="33">
        <v>30</v>
      </c>
    </row>
    <row r="4993" spans="2:3" x14ac:dyDescent="0.25">
      <c r="B4993" s="33" t="s">
        <v>6484</v>
      </c>
      <c r="C4993" s="33">
        <v>30</v>
      </c>
    </row>
    <row r="4994" spans="2:3" x14ac:dyDescent="0.25">
      <c r="B4994" s="33" t="s">
        <v>6485</v>
      </c>
      <c r="C4994" s="33">
        <v>30</v>
      </c>
    </row>
    <row r="4995" spans="2:3" x14ac:dyDescent="0.25">
      <c r="B4995" s="33" t="s">
        <v>6486</v>
      </c>
      <c r="C4995" s="33">
        <v>30</v>
      </c>
    </row>
    <row r="4996" spans="2:3" x14ac:dyDescent="0.25">
      <c r="B4996" s="33" t="s">
        <v>6487</v>
      </c>
      <c r="C4996" s="33">
        <v>30</v>
      </c>
    </row>
    <row r="4997" spans="2:3" x14ac:dyDescent="0.25">
      <c r="B4997" s="33" t="s">
        <v>6488</v>
      </c>
      <c r="C4997" s="33">
        <v>30</v>
      </c>
    </row>
    <row r="4998" spans="2:3" x14ac:dyDescent="0.25">
      <c r="B4998" s="33" t="s">
        <v>6489</v>
      </c>
      <c r="C4998" s="33">
        <v>30</v>
      </c>
    </row>
    <row r="4999" spans="2:3" x14ac:dyDescent="0.25">
      <c r="B4999" s="33" t="s">
        <v>6490</v>
      </c>
      <c r="C4999" s="33">
        <v>30</v>
      </c>
    </row>
    <row r="5000" spans="2:3" x14ac:dyDescent="0.25">
      <c r="B5000" s="33" t="s">
        <v>6491</v>
      </c>
      <c r="C5000" s="33">
        <v>30</v>
      </c>
    </row>
    <row r="5001" spans="2:3" x14ac:dyDescent="0.25">
      <c r="B5001" s="33" t="s">
        <v>6492</v>
      </c>
      <c r="C5001" s="33">
        <v>30</v>
      </c>
    </row>
    <row r="5002" spans="2:3" x14ac:dyDescent="0.25">
      <c r="B5002" s="33" t="s">
        <v>6493</v>
      </c>
      <c r="C5002" s="33">
        <v>30</v>
      </c>
    </row>
    <row r="5003" spans="2:3" x14ac:dyDescent="0.25">
      <c r="B5003" s="33" t="s">
        <v>6494</v>
      </c>
      <c r="C5003" s="33">
        <v>30</v>
      </c>
    </row>
    <row r="5004" spans="2:3" x14ac:dyDescent="0.25">
      <c r="B5004" s="33" t="s">
        <v>6495</v>
      </c>
      <c r="C5004" s="33">
        <v>30</v>
      </c>
    </row>
    <row r="5005" spans="2:3" x14ac:dyDescent="0.25">
      <c r="B5005" s="33" t="s">
        <v>6496</v>
      </c>
      <c r="C5005" s="33">
        <v>30</v>
      </c>
    </row>
    <row r="5006" spans="2:3" x14ac:dyDescent="0.25">
      <c r="B5006" s="33" t="s">
        <v>6497</v>
      </c>
      <c r="C5006" s="33">
        <v>30</v>
      </c>
    </row>
    <row r="5007" spans="2:3" x14ac:dyDescent="0.25">
      <c r="B5007" s="33" t="s">
        <v>6498</v>
      </c>
      <c r="C5007" s="33">
        <v>30</v>
      </c>
    </row>
    <row r="5008" spans="2:3" x14ac:dyDescent="0.25">
      <c r="B5008" s="33" t="s">
        <v>6499</v>
      </c>
      <c r="C5008" s="33">
        <v>30</v>
      </c>
    </row>
    <row r="5009" spans="2:3" x14ac:dyDescent="0.25">
      <c r="B5009" s="33" t="s">
        <v>6500</v>
      </c>
      <c r="C5009" s="33">
        <v>30</v>
      </c>
    </row>
    <row r="5010" spans="2:3" x14ac:dyDescent="0.25">
      <c r="B5010" s="33" t="s">
        <v>6501</v>
      </c>
      <c r="C5010" s="33">
        <v>30</v>
      </c>
    </row>
    <row r="5011" spans="2:3" x14ac:dyDescent="0.25">
      <c r="B5011" s="33" t="s">
        <v>6502</v>
      </c>
      <c r="C5011" s="33">
        <v>30</v>
      </c>
    </row>
    <row r="5012" spans="2:3" x14ac:dyDescent="0.25">
      <c r="B5012" s="33" t="s">
        <v>6503</v>
      </c>
      <c r="C5012" s="33">
        <v>30</v>
      </c>
    </row>
    <row r="5013" spans="2:3" x14ac:dyDescent="0.25">
      <c r="B5013" s="33" t="s">
        <v>6504</v>
      </c>
      <c r="C5013" s="33">
        <v>30</v>
      </c>
    </row>
    <row r="5014" spans="2:3" x14ac:dyDescent="0.25">
      <c r="B5014" s="33" t="s">
        <v>6505</v>
      </c>
      <c r="C5014" s="33">
        <v>30</v>
      </c>
    </row>
    <row r="5015" spans="2:3" x14ac:dyDescent="0.25">
      <c r="B5015" s="33" t="s">
        <v>6506</v>
      </c>
      <c r="C5015" s="33">
        <v>30</v>
      </c>
    </row>
    <row r="5016" spans="2:3" x14ac:dyDescent="0.25">
      <c r="B5016" s="33" t="s">
        <v>6507</v>
      </c>
      <c r="C5016" s="33">
        <v>30</v>
      </c>
    </row>
    <row r="5017" spans="2:3" x14ac:dyDescent="0.25">
      <c r="B5017" s="33" t="s">
        <v>6508</v>
      </c>
      <c r="C5017" s="33">
        <v>30</v>
      </c>
    </row>
    <row r="5018" spans="2:3" x14ac:dyDescent="0.25">
      <c r="B5018" s="33" t="s">
        <v>6509</v>
      </c>
      <c r="C5018" s="33">
        <v>30</v>
      </c>
    </row>
    <row r="5019" spans="2:3" x14ac:dyDescent="0.25">
      <c r="B5019" s="33" t="s">
        <v>6510</v>
      </c>
      <c r="C5019" s="33">
        <v>30</v>
      </c>
    </row>
    <row r="5020" spans="2:3" x14ac:dyDescent="0.25">
      <c r="B5020" s="33" t="s">
        <v>6511</v>
      </c>
      <c r="C5020" s="33">
        <v>30</v>
      </c>
    </row>
    <row r="5021" spans="2:3" x14ac:dyDescent="0.25">
      <c r="B5021" s="33" t="s">
        <v>6512</v>
      </c>
      <c r="C5021" s="33">
        <v>30</v>
      </c>
    </row>
    <row r="5022" spans="2:3" x14ac:dyDescent="0.25">
      <c r="B5022" s="33" t="s">
        <v>6513</v>
      </c>
      <c r="C5022" s="33">
        <v>30</v>
      </c>
    </row>
    <row r="5023" spans="2:3" x14ac:dyDescent="0.25">
      <c r="B5023" s="33" t="s">
        <v>6514</v>
      </c>
      <c r="C5023" s="33">
        <v>30</v>
      </c>
    </row>
    <row r="5024" spans="2:3" x14ac:dyDescent="0.25">
      <c r="B5024" s="33" t="s">
        <v>6515</v>
      </c>
      <c r="C5024" s="33">
        <v>30</v>
      </c>
    </row>
    <row r="5025" spans="2:3" x14ac:dyDescent="0.25">
      <c r="B5025" s="33" t="s">
        <v>6516</v>
      </c>
      <c r="C5025" s="33">
        <v>30</v>
      </c>
    </row>
    <row r="5026" spans="2:3" x14ac:dyDescent="0.25">
      <c r="B5026" s="33" t="s">
        <v>6517</v>
      </c>
      <c r="C5026" s="33">
        <v>30</v>
      </c>
    </row>
    <row r="5027" spans="2:3" x14ac:dyDescent="0.25">
      <c r="B5027" s="33" t="s">
        <v>6518</v>
      </c>
      <c r="C5027" s="33">
        <v>30</v>
      </c>
    </row>
    <row r="5028" spans="2:3" x14ac:dyDescent="0.25">
      <c r="B5028" s="33" t="s">
        <v>6519</v>
      </c>
      <c r="C5028" s="33">
        <v>30</v>
      </c>
    </row>
    <row r="5029" spans="2:3" x14ac:dyDescent="0.25">
      <c r="B5029" s="33" t="s">
        <v>6520</v>
      </c>
      <c r="C5029" s="33">
        <v>30</v>
      </c>
    </row>
    <row r="5030" spans="2:3" x14ac:dyDescent="0.25">
      <c r="B5030" s="33" t="s">
        <v>6521</v>
      </c>
      <c r="C5030" s="33">
        <v>30</v>
      </c>
    </row>
    <row r="5031" spans="2:3" x14ac:dyDescent="0.25">
      <c r="B5031" s="33" t="s">
        <v>6522</v>
      </c>
      <c r="C5031" s="33">
        <v>30</v>
      </c>
    </row>
    <row r="5032" spans="2:3" x14ac:dyDescent="0.25">
      <c r="B5032" s="33" t="s">
        <v>6523</v>
      </c>
      <c r="C5032" s="33">
        <v>30</v>
      </c>
    </row>
    <row r="5033" spans="2:3" x14ac:dyDescent="0.25">
      <c r="B5033" s="33" t="s">
        <v>6524</v>
      </c>
      <c r="C5033" s="33">
        <v>30</v>
      </c>
    </row>
    <row r="5034" spans="2:3" x14ac:dyDescent="0.25">
      <c r="B5034" s="33" t="s">
        <v>6525</v>
      </c>
      <c r="C5034" s="33">
        <v>30</v>
      </c>
    </row>
    <row r="5035" spans="2:3" x14ac:dyDescent="0.25">
      <c r="B5035" s="33" t="s">
        <v>6526</v>
      </c>
      <c r="C5035" s="33">
        <v>30</v>
      </c>
    </row>
    <row r="5036" spans="2:3" x14ac:dyDescent="0.25">
      <c r="B5036" s="33" t="s">
        <v>6527</v>
      </c>
      <c r="C5036" s="33">
        <v>30</v>
      </c>
    </row>
    <row r="5037" spans="2:3" x14ac:dyDescent="0.25">
      <c r="B5037" s="33" t="s">
        <v>6528</v>
      </c>
      <c r="C5037" s="33">
        <v>30</v>
      </c>
    </row>
    <row r="5038" spans="2:3" x14ac:dyDescent="0.25">
      <c r="B5038" s="33" t="s">
        <v>6529</v>
      </c>
      <c r="C5038" s="33">
        <v>30</v>
      </c>
    </row>
    <row r="5039" spans="2:3" x14ac:dyDescent="0.25">
      <c r="B5039" s="33" t="s">
        <v>6530</v>
      </c>
      <c r="C5039" s="33">
        <v>30</v>
      </c>
    </row>
    <row r="5040" spans="2:3" x14ac:dyDescent="0.25">
      <c r="B5040" s="33" t="s">
        <v>6531</v>
      </c>
      <c r="C5040" s="33">
        <v>30</v>
      </c>
    </row>
    <row r="5041" spans="2:3" x14ac:dyDescent="0.25">
      <c r="B5041" s="33" t="s">
        <v>6532</v>
      </c>
      <c r="C5041" s="33">
        <v>30</v>
      </c>
    </row>
    <row r="5042" spans="2:3" x14ac:dyDescent="0.25">
      <c r="B5042" s="33" t="s">
        <v>6533</v>
      </c>
      <c r="C5042" s="33">
        <v>30</v>
      </c>
    </row>
    <row r="5043" spans="2:3" x14ac:dyDescent="0.25">
      <c r="B5043" s="33" t="s">
        <v>6534</v>
      </c>
      <c r="C5043" s="33">
        <v>30</v>
      </c>
    </row>
    <row r="5044" spans="2:3" x14ac:dyDescent="0.25">
      <c r="B5044" s="33" t="s">
        <v>6535</v>
      </c>
      <c r="C5044" s="33">
        <v>30</v>
      </c>
    </row>
    <row r="5045" spans="2:3" x14ac:dyDescent="0.25">
      <c r="B5045" s="33" t="s">
        <v>6536</v>
      </c>
      <c r="C5045" s="33">
        <v>30</v>
      </c>
    </row>
    <row r="5046" spans="2:3" x14ac:dyDescent="0.25">
      <c r="B5046" s="33" t="s">
        <v>6537</v>
      </c>
      <c r="C5046" s="33">
        <v>30</v>
      </c>
    </row>
    <row r="5047" spans="2:3" x14ac:dyDescent="0.25">
      <c r="B5047" s="33" t="s">
        <v>6538</v>
      </c>
      <c r="C5047" s="33">
        <v>30</v>
      </c>
    </row>
    <row r="5048" spans="2:3" x14ac:dyDescent="0.25">
      <c r="B5048" s="33" t="s">
        <v>6539</v>
      </c>
      <c r="C5048" s="33">
        <v>30</v>
      </c>
    </row>
    <row r="5049" spans="2:3" x14ac:dyDescent="0.25">
      <c r="B5049" s="33" t="s">
        <v>6540</v>
      </c>
      <c r="C5049" s="33">
        <v>30</v>
      </c>
    </row>
    <row r="5050" spans="2:3" x14ac:dyDescent="0.25">
      <c r="B5050" s="33" t="s">
        <v>6541</v>
      </c>
      <c r="C5050" s="33">
        <v>30</v>
      </c>
    </row>
    <row r="5051" spans="2:3" x14ac:dyDescent="0.25">
      <c r="B5051" s="33" t="s">
        <v>6542</v>
      </c>
      <c r="C5051" s="33">
        <v>30</v>
      </c>
    </row>
    <row r="5052" spans="2:3" x14ac:dyDescent="0.25">
      <c r="B5052" s="33" t="s">
        <v>6543</v>
      </c>
      <c r="C5052" s="33">
        <v>30</v>
      </c>
    </row>
    <row r="5053" spans="2:3" x14ac:dyDescent="0.25">
      <c r="B5053" s="33" t="s">
        <v>6544</v>
      </c>
      <c r="C5053" s="33">
        <v>30</v>
      </c>
    </row>
    <row r="5054" spans="2:3" x14ac:dyDescent="0.25">
      <c r="B5054" s="33" t="s">
        <v>6545</v>
      </c>
      <c r="C5054" s="33">
        <v>30</v>
      </c>
    </row>
    <row r="5055" spans="2:3" x14ac:dyDescent="0.25">
      <c r="B5055" s="33" t="s">
        <v>6546</v>
      </c>
      <c r="C5055" s="33">
        <v>30</v>
      </c>
    </row>
    <row r="5056" spans="2:3" x14ac:dyDescent="0.25">
      <c r="B5056" s="33" t="s">
        <v>6547</v>
      </c>
      <c r="C5056" s="33">
        <v>30</v>
      </c>
    </row>
    <row r="5057" spans="2:3" x14ac:dyDescent="0.25">
      <c r="B5057" s="33" t="s">
        <v>6548</v>
      </c>
      <c r="C5057" s="33">
        <v>30</v>
      </c>
    </row>
    <row r="5058" spans="2:3" x14ac:dyDescent="0.25">
      <c r="B5058" s="33" t="s">
        <v>6549</v>
      </c>
      <c r="C5058" s="33">
        <v>30</v>
      </c>
    </row>
    <row r="5059" spans="2:3" x14ac:dyDescent="0.25">
      <c r="B5059" s="33" t="s">
        <v>6550</v>
      </c>
      <c r="C5059" s="33">
        <v>30</v>
      </c>
    </row>
    <row r="5060" spans="2:3" x14ac:dyDescent="0.25">
      <c r="B5060" s="33" t="s">
        <v>6551</v>
      </c>
      <c r="C5060" s="33">
        <v>30</v>
      </c>
    </row>
    <row r="5061" spans="2:3" x14ac:dyDescent="0.25">
      <c r="B5061" s="33" t="s">
        <v>6552</v>
      </c>
      <c r="C5061" s="33">
        <v>30</v>
      </c>
    </row>
    <row r="5062" spans="2:3" x14ac:dyDescent="0.25">
      <c r="B5062" s="33" t="s">
        <v>6553</v>
      </c>
      <c r="C5062" s="33">
        <v>30</v>
      </c>
    </row>
    <row r="5063" spans="2:3" x14ac:dyDescent="0.25">
      <c r="B5063" s="33" t="s">
        <v>6554</v>
      </c>
      <c r="C5063" s="33">
        <v>30</v>
      </c>
    </row>
    <row r="5064" spans="2:3" x14ac:dyDescent="0.25">
      <c r="B5064" s="33" t="s">
        <v>6555</v>
      </c>
      <c r="C5064" s="33">
        <v>30</v>
      </c>
    </row>
    <row r="5065" spans="2:3" x14ac:dyDescent="0.25">
      <c r="B5065" s="33" t="s">
        <v>6556</v>
      </c>
      <c r="C5065" s="33">
        <v>30</v>
      </c>
    </row>
    <row r="5066" spans="2:3" x14ac:dyDescent="0.25">
      <c r="B5066" s="33" t="s">
        <v>6557</v>
      </c>
      <c r="C5066" s="33">
        <v>30</v>
      </c>
    </row>
    <row r="5067" spans="2:3" x14ac:dyDescent="0.25">
      <c r="B5067" s="33" t="s">
        <v>6558</v>
      </c>
      <c r="C5067" s="33">
        <v>30</v>
      </c>
    </row>
    <row r="5068" spans="2:3" x14ac:dyDescent="0.25">
      <c r="B5068" s="33" t="s">
        <v>6559</v>
      </c>
      <c r="C5068" s="33">
        <v>30</v>
      </c>
    </row>
    <row r="5069" spans="2:3" x14ac:dyDescent="0.25">
      <c r="B5069" s="33" t="s">
        <v>6560</v>
      </c>
      <c r="C5069" s="33">
        <v>30</v>
      </c>
    </row>
    <row r="5070" spans="2:3" x14ac:dyDescent="0.25">
      <c r="B5070" s="33" t="s">
        <v>6561</v>
      </c>
      <c r="C5070" s="33">
        <v>30</v>
      </c>
    </row>
    <row r="5071" spans="2:3" x14ac:dyDescent="0.25">
      <c r="B5071" s="33" t="s">
        <v>6562</v>
      </c>
      <c r="C5071" s="33">
        <v>30</v>
      </c>
    </row>
    <row r="5072" spans="2:3" x14ac:dyDescent="0.25">
      <c r="B5072" s="33" t="s">
        <v>6563</v>
      </c>
      <c r="C5072" s="33">
        <v>30</v>
      </c>
    </row>
    <row r="5073" spans="2:3" x14ac:dyDescent="0.25">
      <c r="B5073" s="33" t="s">
        <v>6564</v>
      </c>
      <c r="C5073" s="33">
        <v>30</v>
      </c>
    </row>
    <row r="5074" spans="2:3" x14ac:dyDescent="0.25">
      <c r="B5074" s="33" t="s">
        <v>6565</v>
      </c>
      <c r="C5074" s="33">
        <v>30</v>
      </c>
    </row>
    <row r="5075" spans="2:3" x14ac:dyDescent="0.25">
      <c r="B5075" s="33" t="s">
        <v>6566</v>
      </c>
      <c r="C5075" s="33">
        <v>30</v>
      </c>
    </row>
    <row r="5076" spans="2:3" x14ac:dyDescent="0.25">
      <c r="B5076" s="33" t="s">
        <v>6567</v>
      </c>
      <c r="C5076" s="33">
        <v>30</v>
      </c>
    </row>
    <row r="5077" spans="2:3" x14ac:dyDescent="0.25">
      <c r="B5077" s="33" t="s">
        <v>6568</v>
      </c>
      <c r="C5077" s="33">
        <v>30</v>
      </c>
    </row>
    <row r="5078" spans="2:3" x14ac:dyDescent="0.25">
      <c r="B5078" s="33" t="s">
        <v>6569</v>
      </c>
      <c r="C5078" s="33">
        <v>30</v>
      </c>
    </row>
    <row r="5079" spans="2:3" x14ac:dyDescent="0.25">
      <c r="B5079" s="33" t="s">
        <v>6570</v>
      </c>
      <c r="C5079" s="33">
        <v>30</v>
      </c>
    </row>
    <row r="5080" spans="2:3" x14ac:dyDescent="0.25">
      <c r="B5080" s="33" t="s">
        <v>6571</v>
      </c>
      <c r="C5080" s="33">
        <v>30</v>
      </c>
    </row>
    <row r="5081" spans="2:3" x14ac:dyDescent="0.25">
      <c r="B5081" s="33" t="s">
        <v>6572</v>
      </c>
      <c r="C5081" s="33">
        <v>30</v>
      </c>
    </row>
    <row r="5082" spans="2:3" x14ac:dyDescent="0.25">
      <c r="B5082" s="33" t="s">
        <v>6573</v>
      </c>
      <c r="C5082" s="33">
        <v>30</v>
      </c>
    </row>
    <row r="5083" spans="2:3" x14ac:dyDescent="0.25">
      <c r="B5083" s="33" t="s">
        <v>6574</v>
      </c>
      <c r="C5083" s="33">
        <v>30</v>
      </c>
    </row>
    <row r="5084" spans="2:3" x14ac:dyDescent="0.25">
      <c r="B5084" s="33" t="s">
        <v>6575</v>
      </c>
      <c r="C5084" s="33">
        <v>30</v>
      </c>
    </row>
    <row r="5085" spans="2:3" x14ac:dyDescent="0.25">
      <c r="B5085" s="33" t="s">
        <v>6576</v>
      </c>
      <c r="C5085" s="33">
        <v>30</v>
      </c>
    </row>
    <row r="5086" spans="2:3" x14ac:dyDescent="0.25">
      <c r="B5086" s="33" t="s">
        <v>6577</v>
      </c>
      <c r="C5086" s="33">
        <v>30</v>
      </c>
    </row>
    <row r="5087" spans="2:3" x14ac:dyDescent="0.25">
      <c r="B5087" s="33" t="s">
        <v>6578</v>
      </c>
      <c r="C5087" s="33">
        <v>30</v>
      </c>
    </row>
    <row r="5088" spans="2:3" x14ac:dyDescent="0.25">
      <c r="B5088" s="33" t="s">
        <v>6579</v>
      </c>
      <c r="C5088" s="33">
        <v>30</v>
      </c>
    </row>
    <row r="5089" spans="2:3" x14ac:dyDescent="0.25">
      <c r="B5089" s="33" t="s">
        <v>6580</v>
      </c>
      <c r="C5089" s="33">
        <v>30</v>
      </c>
    </row>
    <row r="5090" spans="2:3" x14ac:dyDescent="0.25">
      <c r="B5090" s="33" t="s">
        <v>6581</v>
      </c>
      <c r="C5090" s="33">
        <v>30</v>
      </c>
    </row>
    <row r="5091" spans="2:3" x14ac:dyDescent="0.25">
      <c r="B5091" s="33" t="s">
        <v>6582</v>
      </c>
      <c r="C5091" s="33">
        <v>30</v>
      </c>
    </row>
    <row r="5092" spans="2:3" x14ac:dyDescent="0.25">
      <c r="B5092" s="33" t="s">
        <v>6583</v>
      </c>
      <c r="C5092" s="33">
        <v>30</v>
      </c>
    </row>
    <row r="5093" spans="2:3" x14ac:dyDescent="0.25">
      <c r="B5093" s="33" t="s">
        <v>6584</v>
      </c>
      <c r="C5093" s="33">
        <v>30</v>
      </c>
    </row>
    <row r="5094" spans="2:3" x14ac:dyDescent="0.25">
      <c r="B5094" s="33" t="s">
        <v>6585</v>
      </c>
      <c r="C5094" s="33">
        <v>30</v>
      </c>
    </row>
    <row r="5095" spans="2:3" x14ac:dyDescent="0.25">
      <c r="B5095" s="33" t="s">
        <v>6586</v>
      </c>
      <c r="C5095" s="33">
        <v>30</v>
      </c>
    </row>
    <row r="5096" spans="2:3" x14ac:dyDescent="0.25">
      <c r="B5096" s="33" t="s">
        <v>6587</v>
      </c>
      <c r="C5096" s="33">
        <v>30</v>
      </c>
    </row>
    <row r="5097" spans="2:3" x14ac:dyDescent="0.25">
      <c r="B5097" s="33" t="s">
        <v>6588</v>
      </c>
      <c r="C5097" s="33">
        <v>30</v>
      </c>
    </row>
    <row r="5098" spans="2:3" x14ac:dyDescent="0.25">
      <c r="B5098" s="33" t="s">
        <v>6589</v>
      </c>
      <c r="C5098" s="33">
        <v>30</v>
      </c>
    </row>
    <row r="5099" spans="2:3" x14ac:dyDescent="0.25">
      <c r="B5099" s="33" t="s">
        <v>6590</v>
      </c>
      <c r="C5099" s="33">
        <v>30</v>
      </c>
    </row>
    <row r="5100" spans="2:3" x14ac:dyDescent="0.25">
      <c r="B5100" s="33" t="s">
        <v>6591</v>
      </c>
      <c r="C5100" s="33">
        <v>30</v>
      </c>
    </row>
    <row r="5101" spans="2:3" x14ac:dyDescent="0.25">
      <c r="B5101" s="33" t="s">
        <v>6592</v>
      </c>
      <c r="C5101" s="33">
        <v>30</v>
      </c>
    </row>
    <row r="5102" spans="2:3" x14ac:dyDescent="0.25">
      <c r="B5102" s="33" t="s">
        <v>6593</v>
      </c>
      <c r="C5102" s="33">
        <v>30</v>
      </c>
    </row>
    <row r="5103" spans="2:3" x14ac:dyDescent="0.25">
      <c r="B5103" s="33" t="s">
        <v>6594</v>
      </c>
      <c r="C5103" s="33">
        <v>30</v>
      </c>
    </row>
    <row r="5104" spans="2:3" x14ac:dyDescent="0.25">
      <c r="B5104" s="33" t="s">
        <v>6595</v>
      </c>
      <c r="C5104" s="33">
        <v>30</v>
      </c>
    </row>
    <row r="5105" spans="2:3" x14ac:dyDescent="0.25">
      <c r="B5105" s="33" t="s">
        <v>6596</v>
      </c>
      <c r="C5105" s="33">
        <v>30</v>
      </c>
    </row>
    <row r="5106" spans="2:3" x14ac:dyDescent="0.25">
      <c r="B5106" s="33" t="s">
        <v>6597</v>
      </c>
      <c r="C5106" s="33">
        <v>30</v>
      </c>
    </row>
    <row r="5107" spans="2:3" x14ac:dyDescent="0.25">
      <c r="B5107" s="33" t="s">
        <v>6598</v>
      </c>
      <c r="C5107" s="33">
        <v>30</v>
      </c>
    </row>
    <row r="5108" spans="2:3" x14ac:dyDescent="0.25">
      <c r="B5108" s="33" t="s">
        <v>6599</v>
      </c>
      <c r="C5108" s="33">
        <v>30</v>
      </c>
    </row>
    <row r="5109" spans="2:3" x14ac:dyDescent="0.25">
      <c r="B5109" s="33" t="s">
        <v>6600</v>
      </c>
      <c r="C5109" s="33">
        <v>30</v>
      </c>
    </row>
    <row r="5110" spans="2:3" x14ac:dyDescent="0.25">
      <c r="B5110" s="33" t="s">
        <v>6601</v>
      </c>
      <c r="C5110" s="33">
        <v>30</v>
      </c>
    </row>
    <row r="5111" spans="2:3" x14ac:dyDescent="0.25">
      <c r="B5111" s="33" t="s">
        <v>6602</v>
      </c>
      <c r="C5111" s="33">
        <v>30</v>
      </c>
    </row>
    <row r="5112" spans="2:3" x14ac:dyDescent="0.25">
      <c r="B5112" s="33" t="s">
        <v>6603</v>
      </c>
      <c r="C5112" s="33">
        <v>30</v>
      </c>
    </row>
    <row r="5113" spans="2:3" x14ac:dyDescent="0.25">
      <c r="B5113" s="33" t="s">
        <v>6604</v>
      </c>
      <c r="C5113" s="33">
        <v>30</v>
      </c>
    </row>
    <row r="5114" spans="2:3" x14ac:dyDescent="0.25">
      <c r="B5114" s="33" t="s">
        <v>6605</v>
      </c>
      <c r="C5114" s="33">
        <v>30</v>
      </c>
    </row>
    <row r="5115" spans="2:3" x14ac:dyDescent="0.25">
      <c r="B5115" s="33" t="s">
        <v>6606</v>
      </c>
      <c r="C5115" s="33">
        <v>30</v>
      </c>
    </row>
    <row r="5116" spans="2:3" x14ac:dyDescent="0.25">
      <c r="B5116" s="33" t="s">
        <v>6607</v>
      </c>
      <c r="C5116" s="33">
        <v>30</v>
      </c>
    </row>
    <row r="5117" spans="2:3" x14ac:dyDescent="0.25">
      <c r="B5117" s="33" t="s">
        <v>6608</v>
      </c>
      <c r="C5117" s="33">
        <v>30</v>
      </c>
    </row>
    <row r="5118" spans="2:3" x14ac:dyDescent="0.25">
      <c r="B5118" s="33" t="s">
        <v>6609</v>
      </c>
      <c r="C5118" s="33">
        <v>30</v>
      </c>
    </row>
    <row r="5119" spans="2:3" x14ac:dyDescent="0.25">
      <c r="B5119" s="33" t="s">
        <v>6610</v>
      </c>
      <c r="C5119" s="33">
        <v>30</v>
      </c>
    </row>
    <row r="5120" spans="2:3" x14ac:dyDescent="0.25">
      <c r="B5120" s="33" t="s">
        <v>6611</v>
      </c>
      <c r="C5120" s="33">
        <v>30</v>
      </c>
    </row>
    <row r="5121" spans="2:3" x14ac:dyDescent="0.25">
      <c r="B5121" s="33" t="s">
        <v>6612</v>
      </c>
      <c r="C5121" s="33">
        <v>30</v>
      </c>
    </row>
    <row r="5122" spans="2:3" x14ac:dyDescent="0.25">
      <c r="B5122" s="33" t="s">
        <v>6613</v>
      </c>
      <c r="C5122" s="33">
        <v>30</v>
      </c>
    </row>
    <row r="5123" spans="2:3" x14ac:dyDescent="0.25">
      <c r="B5123" s="33" t="s">
        <v>6614</v>
      </c>
      <c r="C5123" s="33">
        <v>30</v>
      </c>
    </row>
    <row r="5124" spans="2:3" x14ac:dyDescent="0.25">
      <c r="B5124" s="33" t="s">
        <v>6615</v>
      </c>
      <c r="C5124" s="33">
        <v>30</v>
      </c>
    </row>
    <row r="5125" spans="2:3" x14ac:dyDescent="0.25">
      <c r="B5125" s="33" t="s">
        <v>6616</v>
      </c>
      <c r="C5125" s="33">
        <v>30</v>
      </c>
    </row>
    <row r="5126" spans="2:3" x14ac:dyDescent="0.25">
      <c r="B5126" s="33" t="s">
        <v>6617</v>
      </c>
      <c r="C5126" s="33">
        <v>30</v>
      </c>
    </row>
    <row r="5127" spans="2:3" x14ac:dyDescent="0.25">
      <c r="B5127" s="33" t="s">
        <v>6618</v>
      </c>
      <c r="C5127" s="33">
        <v>30</v>
      </c>
    </row>
    <row r="5128" spans="2:3" x14ac:dyDescent="0.25">
      <c r="B5128" s="33" t="s">
        <v>6619</v>
      </c>
      <c r="C5128" s="33">
        <v>30</v>
      </c>
    </row>
    <row r="5129" spans="2:3" x14ac:dyDescent="0.25">
      <c r="B5129" s="33" t="s">
        <v>6620</v>
      </c>
      <c r="C5129" s="33">
        <v>30</v>
      </c>
    </row>
    <row r="5130" spans="2:3" x14ac:dyDescent="0.25">
      <c r="B5130" s="33" t="s">
        <v>6621</v>
      </c>
      <c r="C5130" s="33">
        <v>30</v>
      </c>
    </row>
    <row r="5131" spans="2:3" x14ac:dyDescent="0.25">
      <c r="B5131" s="33" t="s">
        <v>6622</v>
      </c>
      <c r="C5131" s="33">
        <v>30</v>
      </c>
    </row>
    <row r="5132" spans="2:3" x14ac:dyDescent="0.25">
      <c r="B5132" s="33" t="s">
        <v>6623</v>
      </c>
      <c r="C5132" s="33">
        <v>30</v>
      </c>
    </row>
    <row r="5133" spans="2:3" x14ac:dyDescent="0.25">
      <c r="B5133" s="33" t="s">
        <v>6624</v>
      </c>
      <c r="C5133" s="33">
        <v>30</v>
      </c>
    </row>
    <row r="5134" spans="2:3" x14ac:dyDescent="0.25">
      <c r="B5134" s="33" t="s">
        <v>6625</v>
      </c>
      <c r="C5134" s="33">
        <v>30</v>
      </c>
    </row>
    <row r="5135" spans="2:3" x14ac:dyDescent="0.25">
      <c r="B5135" s="33" t="s">
        <v>6626</v>
      </c>
      <c r="C5135" s="33">
        <v>30</v>
      </c>
    </row>
    <row r="5136" spans="2:3" x14ac:dyDescent="0.25">
      <c r="B5136" s="33" t="s">
        <v>6627</v>
      </c>
      <c r="C5136" s="33">
        <v>30</v>
      </c>
    </row>
    <row r="5137" spans="2:3" x14ac:dyDescent="0.25">
      <c r="B5137" s="33" t="s">
        <v>6628</v>
      </c>
      <c r="C5137" s="33">
        <v>30</v>
      </c>
    </row>
    <row r="5138" spans="2:3" x14ac:dyDescent="0.25">
      <c r="B5138" s="33" t="s">
        <v>6629</v>
      </c>
      <c r="C5138" s="33">
        <v>30</v>
      </c>
    </row>
    <row r="5139" spans="2:3" x14ac:dyDescent="0.25">
      <c r="B5139" s="33" t="s">
        <v>6630</v>
      </c>
      <c r="C5139" s="33">
        <v>30</v>
      </c>
    </row>
    <row r="5140" spans="2:3" x14ac:dyDescent="0.25">
      <c r="B5140" s="33" t="s">
        <v>6631</v>
      </c>
      <c r="C5140" s="33">
        <v>30</v>
      </c>
    </row>
    <row r="5141" spans="2:3" x14ac:dyDescent="0.25">
      <c r="B5141" s="33" t="s">
        <v>6632</v>
      </c>
      <c r="C5141" s="33">
        <v>30</v>
      </c>
    </row>
    <row r="5142" spans="2:3" x14ac:dyDescent="0.25">
      <c r="B5142" s="33" t="s">
        <v>6633</v>
      </c>
      <c r="C5142" s="33">
        <v>30</v>
      </c>
    </row>
    <row r="5143" spans="2:3" x14ac:dyDescent="0.25">
      <c r="B5143" s="33" t="s">
        <v>6634</v>
      </c>
      <c r="C5143" s="33">
        <v>30</v>
      </c>
    </row>
    <row r="5144" spans="2:3" x14ac:dyDescent="0.25">
      <c r="B5144" s="33" t="s">
        <v>6635</v>
      </c>
      <c r="C5144" s="33">
        <v>30</v>
      </c>
    </row>
    <row r="5145" spans="2:3" x14ac:dyDescent="0.25">
      <c r="B5145" s="33" t="s">
        <v>6636</v>
      </c>
      <c r="C5145" s="33">
        <v>30</v>
      </c>
    </row>
    <row r="5146" spans="2:3" x14ac:dyDescent="0.25">
      <c r="B5146" s="33" t="s">
        <v>6637</v>
      </c>
      <c r="C5146" s="33">
        <v>30</v>
      </c>
    </row>
    <row r="5147" spans="2:3" x14ac:dyDescent="0.25">
      <c r="B5147" s="33" t="s">
        <v>6638</v>
      </c>
      <c r="C5147" s="33">
        <v>30</v>
      </c>
    </row>
    <row r="5148" spans="2:3" x14ac:dyDescent="0.25">
      <c r="B5148" s="33" t="s">
        <v>6639</v>
      </c>
      <c r="C5148" s="33">
        <v>30</v>
      </c>
    </row>
    <row r="5149" spans="2:3" x14ac:dyDescent="0.25">
      <c r="B5149" s="33" t="s">
        <v>6640</v>
      </c>
      <c r="C5149" s="33">
        <v>30</v>
      </c>
    </row>
    <row r="5150" spans="2:3" x14ac:dyDescent="0.25">
      <c r="B5150" s="33" t="s">
        <v>6641</v>
      </c>
      <c r="C5150" s="33">
        <v>30</v>
      </c>
    </row>
    <row r="5151" spans="2:3" x14ac:dyDescent="0.25">
      <c r="B5151" s="33" t="s">
        <v>6642</v>
      </c>
      <c r="C5151" s="33">
        <v>30</v>
      </c>
    </row>
    <row r="5152" spans="2:3" x14ac:dyDescent="0.25">
      <c r="B5152" s="33" t="s">
        <v>6643</v>
      </c>
      <c r="C5152" s="33">
        <v>30</v>
      </c>
    </row>
    <row r="5153" spans="2:3" x14ac:dyDescent="0.25">
      <c r="B5153" s="33" t="s">
        <v>6644</v>
      </c>
      <c r="C5153" s="33">
        <v>30</v>
      </c>
    </row>
    <row r="5154" spans="2:3" x14ac:dyDescent="0.25">
      <c r="B5154" s="33" t="s">
        <v>6645</v>
      </c>
      <c r="C5154" s="33">
        <v>30</v>
      </c>
    </row>
    <row r="5155" spans="2:3" x14ac:dyDescent="0.25">
      <c r="B5155" s="33" t="s">
        <v>6646</v>
      </c>
      <c r="C5155" s="33">
        <v>30</v>
      </c>
    </row>
    <row r="5156" spans="2:3" x14ac:dyDescent="0.25">
      <c r="B5156" s="33" t="s">
        <v>6647</v>
      </c>
      <c r="C5156" s="33">
        <v>30</v>
      </c>
    </row>
    <row r="5157" spans="2:3" x14ac:dyDescent="0.25">
      <c r="B5157" s="33" t="s">
        <v>6648</v>
      </c>
      <c r="C5157" s="33">
        <v>30</v>
      </c>
    </row>
    <row r="5158" spans="2:3" x14ac:dyDescent="0.25">
      <c r="B5158" s="33" t="s">
        <v>6649</v>
      </c>
      <c r="C5158" s="33">
        <v>30</v>
      </c>
    </row>
    <row r="5159" spans="2:3" x14ac:dyDescent="0.25">
      <c r="B5159" s="33" t="s">
        <v>6650</v>
      </c>
      <c r="C5159" s="33">
        <v>30</v>
      </c>
    </row>
    <row r="5160" spans="2:3" x14ac:dyDescent="0.25">
      <c r="B5160" s="33" t="s">
        <v>6651</v>
      </c>
      <c r="C5160" s="33">
        <v>30</v>
      </c>
    </row>
    <row r="5161" spans="2:3" x14ac:dyDescent="0.25">
      <c r="B5161" s="33" t="s">
        <v>6652</v>
      </c>
      <c r="C5161" s="33">
        <v>30</v>
      </c>
    </row>
    <row r="5162" spans="2:3" x14ac:dyDescent="0.25">
      <c r="B5162" s="33" t="s">
        <v>6653</v>
      </c>
      <c r="C5162" s="33">
        <v>30</v>
      </c>
    </row>
    <row r="5163" spans="2:3" x14ac:dyDescent="0.25">
      <c r="B5163" s="33" t="s">
        <v>6654</v>
      </c>
      <c r="C5163" s="33">
        <v>30</v>
      </c>
    </row>
    <row r="5164" spans="2:3" x14ac:dyDescent="0.25">
      <c r="B5164" s="33" t="s">
        <v>6655</v>
      </c>
      <c r="C5164" s="33">
        <v>30</v>
      </c>
    </row>
    <row r="5165" spans="2:3" x14ac:dyDescent="0.25">
      <c r="B5165" s="33" t="s">
        <v>6656</v>
      </c>
      <c r="C5165" s="33">
        <v>30</v>
      </c>
    </row>
    <row r="5166" spans="2:3" x14ac:dyDescent="0.25">
      <c r="B5166" s="33" t="s">
        <v>6657</v>
      </c>
      <c r="C5166" s="33">
        <v>30</v>
      </c>
    </row>
    <row r="5167" spans="2:3" x14ac:dyDescent="0.25">
      <c r="B5167" s="33" t="s">
        <v>6658</v>
      </c>
      <c r="C5167" s="33">
        <v>30</v>
      </c>
    </row>
    <row r="5168" spans="2:3" x14ac:dyDescent="0.25">
      <c r="B5168" s="33" t="s">
        <v>6659</v>
      </c>
      <c r="C5168" s="33">
        <v>30</v>
      </c>
    </row>
    <row r="5169" spans="2:3" x14ac:dyDescent="0.25">
      <c r="B5169" s="33" t="s">
        <v>6660</v>
      </c>
      <c r="C5169" s="33">
        <v>30</v>
      </c>
    </row>
    <row r="5170" spans="2:3" x14ac:dyDescent="0.25">
      <c r="B5170" s="33" t="s">
        <v>6661</v>
      </c>
      <c r="C5170" s="33">
        <v>30</v>
      </c>
    </row>
    <row r="5171" spans="2:3" x14ac:dyDescent="0.25">
      <c r="B5171" s="33" t="s">
        <v>6662</v>
      </c>
      <c r="C5171" s="33">
        <v>30</v>
      </c>
    </row>
    <row r="5172" spans="2:3" x14ac:dyDescent="0.25">
      <c r="B5172" s="33" t="s">
        <v>6663</v>
      </c>
      <c r="C5172" s="33">
        <v>30</v>
      </c>
    </row>
    <row r="5173" spans="2:3" x14ac:dyDescent="0.25">
      <c r="B5173" s="33" t="s">
        <v>6664</v>
      </c>
      <c r="C5173" s="33">
        <v>30</v>
      </c>
    </row>
    <row r="5174" spans="2:3" x14ac:dyDescent="0.25">
      <c r="B5174" s="33" t="s">
        <v>6665</v>
      </c>
      <c r="C5174" s="33">
        <v>30</v>
      </c>
    </row>
    <row r="5175" spans="2:3" x14ac:dyDescent="0.25">
      <c r="B5175" s="33" t="s">
        <v>6666</v>
      </c>
      <c r="C5175" s="33">
        <v>30</v>
      </c>
    </row>
    <row r="5176" spans="2:3" x14ac:dyDescent="0.25">
      <c r="B5176" s="33" t="s">
        <v>6667</v>
      </c>
      <c r="C5176" s="33">
        <v>30</v>
      </c>
    </row>
    <row r="5177" spans="2:3" x14ac:dyDescent="0.25">
      <c r="B5177" s="33" t="s">
        <v>6668</v>
      </c>
      <c r="C5177" s="33">
        <v>30</v>
      </c>
    </row>
    <row r="5178" spans="2:3" x14ac:dyDescent="0.25">
      <c r="B5178" s="33" t="s">
        <v>6669</v>
      </c>
      <c r="C5178" s="33">
        <v>30</v>
      </c>
    </row>
    <row r="5179" spans="2:3" x14ac:dyDescent="0.25">
      <c r="B5179" s="33" t="s">
        <v>6670</v>
      </c>
      <c r="C5179" s="33">
        <v>30</v>
      </c>
    </row>
    <row r="5180" spans="2:3" x14ac:dyDescent="0.25">
      <c r="B5180" s="33" t="s">
        <v>6671</v>
      </c>
      <c r="C5180" s="33">
        <v>30</v>
      </c>
    </row>
    <row r="5181" spans="2:3" x14ac:dyDescent="0.25">
      <c r="B5181" s="33" t="s">
        <v>6672</v>
      </c>
      <c r="C5181" s="33">
        <v>30</v>
      </c>
    </row>
    <row r="5182" spans="2:3" x14ac:dyDescent="0.25">
      <c r="B5182" s="33" t="s">
        <v>6673</v>
      </c>
      <c r="C5182" s="33">
        <v>30</v>
      </c>
    </row>
    <row r="5183" spans="2:3" x14ac:dyDescent="0.25">
      <c r="B5183" s="33" t="s">
        <v>6674</v>
      </c>
      <c r="C5183" s="33">
        <v>30</v>
      </c>
    </row>
    <row r="5184" spans="2:3" x14ac:dyDescent="0.25">
      <c r="B5184" s="33" t="s">
        <v>6675</v>
      </c>
      <c r="C5184" s="33">
        <v>30</v>
      </c>
    </row>
    <row r="5185" spans="2:3" x14ac:dyDescent="0.25">
      <c r="B5185" s="33" t="s">
        <v>6676</v>
      </c>
      <c r="C5185" s="33">
        <v>30</v>
      </c>
    </row>
    <row r="5186" spans="2:3" x14ac:dyDescent="0.25">
      <c r="B5186" s="33" t="s">
        <v>6677</v>
      </c>
      <c r="C5186" s="33">
        <v>30</v>
      </c>
    </row>
    <row r="5187" spans="2:3" x14ac:dyDescent="0.25">
      <c r="B5187" s="33" t="s">
        <v>6678</v>
      </c>
      <c r="C5187" s="33">
        <v>30</v>
      </c>
    </row>
    <row r="5188" spans="2:3" x14ac:dyDescent="0.25">
      <c r="B5188" s="33" t="s">
        <v>6679</v>
      </c>
      <c r="C5188" s="33">
        <v>30</v>
      </c>
    </row>
    <row r="5189" spans="2:3" x14ac:dyDescent="0.25">
      <c r="B5189" s="33" t="s">
        <v>6680</v>
      </c>
      <c r="C5189" s="33">
        <v>30</v>
      </c>
    </row>
    <row r="5190" spans="2:3" x14ac:dyDescent="0.25">
      <c r="B5190" s="33" t="s">
        <v>6681</v>
      </c>
      <c r="C5190" s="33">
        <v>30</v>
      </c>
    </row>
    <row r="5191" spans="2:3" x14ac:dyDescent="0.25">
      <c r="B5191" s="33" t="s">
        <v>6682</v>
      </c>
      <c r="C5191" s="33">
        <v>30</v>
      </c>
    </row>
    <row r="5192" spans="2:3" x14ac:dyDescent="0.25">
      <c r="B5192" s="33" t="s">
        <v>6683</v>
      </c>
      <c r="C5192" s="33">
        <v>30</v>
      </c>
    </row>
    <row r="5193" spans="2:3" x14ac:dyDescent="0.25">
      <c r="B5193" s="33" t="s">
        <v>6684</v>
      </c>
      <c r="C5193" s="33">
        <v>30</v>
      </c>
    </row>
    <row r="5194" spans="2:3" x14ac:dyDescent="0.25">
      <c r="B5194" s="33" t="s">
        <v>6685</v>
      </c>
      <c r="C5194" s="33">
        <v>30</v>
      </c>
    </row>
    <row r="5195" spans="2:3" x14ac:dyDescent="0.25">
      <c r="B5195" s="33" t="s">
        <v>6686</v>
      </c>
      <c r="C5195" s="33">
        <v>30</v>
      </c>
    </row>
    <row r="5196" spans="2:3" x14ac:dyDescent="0.25">
      <c r="B5196" s="33" t="s">
        <v>6687</v>
      </c>
      <c r="C5196" s="33">
        <v>30</v>
      </c>
    </row>
    <row r="5197" spans="2:3" x14ac:dyDescent="0.25">
      <c r="B5197" s="33" t="s">
        <v>6688</v>
      </c>
      <c r="C5197" s="33">
        <v>30</v>
      </c>
    </row>
    <row r="5198" spans="2:3" x14ac:dyDescent="0.25">
      <c r="B5198" s="33" t="s">
        <v>6689</v>
      </c>
      <c r="C5198" s="33">
        <v>30</v>
      </c>
    </row>
    <row r="5199" spans="2:3" x14ac:dyDescent="0.25">
      <c r="B5199" s="33" t="s">
        <v>6690</v>
      </c>
      <c r="C5199" s="33">
        <v>30</v>
      </c>
    </row>
    <row r="5200" spans="2:3" x14ac:dyDescent="0.25">
      <c r="B5200" s="33" t="s">
        <v>6691</v>
      </c>
      <c r="C5200" s="33">
        <v>30</v>
      </c>
    </row>
    <row r="5201" spans="2:3" x14ac:dyDescent="0.25">
      <c r="B5201" s="33" t="s">
        <v>6692</v>
      </c>
      <c r="C5201" s="33">
        <v>30</v>
      </c>
    </row>
    <row r="5202" spans="2:3" x14ac:dyDescent="0.25">
      <c r="B5202" s="33" t="s">
        <v>6693</v>
      </c>
      <c r="C5202" s="33">
        <v>30</v>
      </c>
    </row>
    <row r="5203" spans="2:3" x14ac:dyDescent="0.25">
      <c r="B5203" s="33" t="s">
        <v>6694</v>
      </c>
      <c r="C5203" s="33">
        <v>30</v>
      </c>
    </row>
    <row r="5204" spans="2:3" x14ac:dyDescent="0.25">
      <c r="B5204" s="33" t="s">
        <v>6695</v>
      </c>
      <c r="C5204" s="33">
        <v>30</v>
      </c>
    </row>
    <row r="5205" spans="2:3" x14ac:dyDescent="0.25">
      <c r="B5205" s="33" t="s">
        <v>6696</v>
      </c>
      <c r="C5205" s="33">
        <v>30</v>
      </c>
    </row>
    <row r="5206" spans="2:3" x14ac:dyDescent="0.25">
      <c r="B5206" s="33" t="s">
        <v>6697</v>
      </c>
      <c r="C5206" s="33">
        <v>30</v>
      </c>
    </row>
    <row r="5207" spans="2:3" x14ac:dyDescent="0.25">
      <c r="B5207" s="33" t="s">
        <v>6698</v>
      </c>
      <c r="C5207" s="33">
        <v>30</v>
      </c>
    </row>
    <row r="5208" spans="2:3" x14ac:dyDescent="0.25">
      <c r="B5208" s="33" t="s">
        <v>6699</v>
      </c>
      <c r="C5208" s="33">
        <v>30</v>
      </c>
    </row>
    <row r="5209" spans="2:3" x14ac:dyDescent="0.25">
      <c r="B5209" s="33" t="s">
        <v>6700</v>
      </c>
      <c r="C5209" s="33">
        <v>30</v>
      </c>
    </row>
    <row r="5210" spans="2:3" x14ac:dyDescent="0.25">
      <c r="B5210" s="33" t="s">
        <v>6701</v>
      </c>
      <c r="C5210" s="33">
        <v>30</v>
      </c>
    </row>
    <row r="5211" spans="2:3" x14ac:dyDescent="0.25">
      <c r="B5211" s="33" t="s">
        <v>6702</v>
      </c>
      <c r="C5211" s="33">
        <v>30</v>
      </c>
    </row>
    <row r="5212" spans="2:3" x14ac:dyDescent="0.25">
      <c r="B5212" s="33" t="s">
        <v>6703</v>
      </c>
      <c r="C5212" s="33">
        <v>30</v>
      </c>
    </row>
    <row r="5213" spans="2:3" x14ac:dyDescent="0.25">
      <c r="B5213" s="33" t="s">
        <v>6704</v>
      </c>
      <c r="C5213" s="33">
        <v>30</v>
      </c>
    </row>
    <row r="5214" spans="2:3" x14ac:dyDescent="0.25">
      <c r="B5214" s="33" t="s">
        <v>6705</v>
      </c>
      <c r="C5214" s="33">
        <v>30</v>
      </c>
    </row>
    <row r="5215" spans="2:3" x14ac:dyDescent="0.25">
      <c r="B5215" s="33" t="s">
        <v>6706</v>
      </c>
      <c r="C5215" s="33">
        <v>30</v>
      </c>
    </row>
    <row r="5216" spans="2:3" x14ac:dyDescent="0.25">
      <c r="B5216" s="33" t="s">
        <v>6707</v>
      </c>
      <c r="C5216" s="33">
        <v>30</v>
      </c>
    </row>
    <row r="5217" spans="2:3" x14ac:dyDescent="0.25">
      <c r="B5217" s="33" t="s">
        <v>6708</v>
      </c>
      <c r="C5217" s="33">
        <v>30</v>
      </c>
    </row>
    <row r="5218" spans="2:3" x14ac:dyDescent="0.25">
      <c r="B5218" s="33" t="s">
        <v>6709</v>
      </c>
      <c r="C5218" s="33">
        <v>30</v>
      </c>
    </row>
    <row r="5219" spans="2:3" x14ac:dyDescent="0.25">
      <c r="B5219" s="33" t="s">
        <v>6710</v>
      </c>
      <c r="C5219" s="33">
        <v>30</v>
      </c>
    </row>
    <row r="5220" spans="2:3" x14ac:dyDescent="0.25">
      <c r="B5220" s="33" t="s">
        <v>6711</v>
      </c>
      <c r="C5220" s="33">
        <v>30</v>
      </c>
    </row>
    <row r="5221" spans="2:3" x14ac:dyDescent="0.25">
      <c r="B5221" s="33" t="s">
        <v>6712</v>
      </c>
      <c r="C5221" s="33">
        <v>30</v>
      </c>
    </row>
    <row r="5222" spans="2:3" x14ac:dyDescent="0.25">
      <c r="B5222" s="33" t="s">
        <v>6713</v>
      </c>
      <c r="C5222" s="33">
        <v>30</v>
      </c>
    </row>
    <row r="5223" spans="2:3" x14ac:dyDescent="0.25">
      <c r="B5223" s="33" t="s">
        <v>6714</v>
      </c>
      <c r="C5223" s="33">
        <v>30</v>
      </c>
    </row>
    <row r="5224" spans="2:3" x14ac:dyDescent="0.25">
      <c r="B5224" s="33" t="s">
        <v>6715</v>
      </c>
      <c r="C5224" s="33">
        <v>30</v>
      </c>
    </row>
    <row r="5225" spans="2:3" x14ac:dyDescent="0.25">
      <c r="B5225" s="33" t="s">
        <v>6716</v>
      </c>
      <c r="C5225" s="33">
        <v>30</v>
      </c>
    </row>
    <row r="5226" spans="2:3" x14ac:dyDescent="0.25">
      <c r="B5226" s="33" t="s">
        <v>6717</v>
      </c>
      <c r="C5226" s="33">
        <v>30</v>
      </c>
    </row>
    <row r="5227" spans="2:3" x14ac:dyDescent="0.25">
      <c r="B5227" s="33" t="s">
        <v>6718</v>
      </c>
      <c r="C5227" s="33">
        <v>30</v>
      </c>
    </row>
    <row r="5228" spans="2:3" x14ac:dyDescent="0.25">
      <c r="B5228" s="33" t="s">
        <v>6719</v>
      </c>
      <c r="C5228" s="33">
        <v>30</v>
      </c>
    </row>
    <row r="5229" spans="2:3" x14ac:dyDescent="0.25">
      <c r="B5229" s="33" t="s">
        <v>6720</v>
      </c>
      <c r="C5229" s="33">
        <v>30</v>
      </c>
    </row>
    <row r="5230" spans="2:3" x14ac:dyDescent="0.25">
      <c r="B5230" s="33" t="s">
        <v>6721</v>
      </c>
      <c r="C5230" s="33">
        <v>30</v>
      </c>
    </row>
    <row r="5231" spans="2:3" x14ac:dyDescent="0.25">
      <c r="B5231" s="33" t="s">
        <v>6722</v>
      </c>
      <c r="C5231" s="33">
        <v>30</v>
      </c>
    </row>
    <row r="5232" spans="2:3" x14ac:dyDescent="0.25">
      <c r="B5232" s="33" t="s">
        <v>6723</v>
      </c>
      <c r="C5232" s="33">
        <v>30</v>
      </c>
    </row>
    <row r="5233" spans="2:3" x14ac:dyDescent="0.25">
      <c r="B5233" s="33" t="s">
        <v>6724</v>
      </c>
      <c r="C5233" s="33">
        <v>30</v>
      </c>
    </row>
    <row r="5234" spans="2:3" x14ac:dyDescent="0.25">
      <c r="B5234" s="33" t="s">
        <v>6725</v>
      </c>
      <c r="C5234" s="33">
        <v>30</v>
      </c>
    </row>
    <row r="5235" spans="2:3" x14ac:dyDescent="0.25">
      <c r="B5235" s="33" t="s">
        <v>6726</v>
      </c>
      <c r="C5235" s="33">
        <v>30</v>
      </c>
    </row>
    <row r="5236" spans="2:3" x14ac:dyDescent="0.25">
      <c r="B5236" s="33" t="s">
        <v>6727</v>
      </c>
      <c r="C5236" s="33">
        <v>30</v>
      </c>
    </row>
    <row r="5237" spans="2:3" x14ac:dyDescent="0.25">
      <c r="B5237" s="33" t="s">
        <v>6728</v>
      </c>
      <c r="C5237" s="33">
        <v>30</v>
      </c>
    </row>
    <row r="5238" spans="2:3" x14ac:dyDescent="0.25">
      <c r="B5238" s="33" t="s">
        <v>6729</v>
      </c>
      <c r="C5238" s="33">
        <v>30</v>
      </c>
    </row>
    <row r="5239" spans="2:3" x14ac:dyDescent="0.25">
      <c r="B5239" s="33" t="s">
        <v>6730</v>
      </c>
      <c r="C5239" s="33">
        <v>30</v>
      </c>
    </row>
    <row r="5240" spans="2:3" x14ac:dyDescent="0.25">
      <c r="B5240" s="33" t="s">
        <v>6731</v>
      </c>
      <c r="C5240" s="33">
        <v>30</v>
      </c>
    </row>
    <row r="5241" spans="2:3" x14ac:dyDescent="0.25">
      <c r="B5241" s="33" t="s">
        <v>6732</v>
      </c>
      <c r="C5241" s="33">
        <v>30</v>
      </c>
    </row>
    <row r="5242" spans="2:3" x14ac:dyDescent="0.25">
      <c r="B5242" s="33" t="s">
        <v>6733</v>
      </c>
      <c r="C5242" s="33">
        <v>30</v>
      </c>
    </row>
    <row r="5243" spans="2:3" x14ac:dyDescent="0.25">
      <c r="B5243" s="33" t="s">
        <v>6734</v>
      </c>
      <c r="C5243" s="33">
        <v>30</v>
      </c>
    </row>
    <row r="5244" spans="2:3" x14ac:dyDescent="0.25">
      <c r="B5244" s="33" t="s">
        <v>6735</v>
      </c>
      <c r="C5244" s="33">
        <v>30</v>
      </c>
    </row>
    <row r="5245" spans="2:3" x14ac:dyDescent="0.25">
      <c r="B5245" s="33" t="s">
        <v>6736</v>
      </c>
      <c r="C5245" s="33">
        <v>30</v>
      </c>
    </row>
    <row r="5246" spans="2:3" x14ac:dyDescent="0.25">
      <c r="B5246" s="33" t="s">
        <v>6737</v>
      </c>
      <c r="C5246" s="33">
        <v>30</v>
      </c>
    </row>
    <row r="5247" spans="2:3" x14ac:dyDescent="0.25">
      <c r="B5247" s="33" t="s">
        <v>6738</v>
      </c>
      <c r="C5247" s="33">
        <v>30</v>
      </c>
    </row>
    <row r="5248" spans="2:3" x14ac:dyDescent="0.25">
      <c r="B5248" s="33" t="s">
        <v>6739</v>
      </c>
      <c r="C5248" s="33">
        <v>30</v>
      </c>
    </row>
    <row r="5249" spans="2:3" x14ac:dyDescent="0.25">
      <c r="B5249" s="33" t="s">
        <v>6740</v>
      </c>
      <c r="C5249" s="33">
        <v>30</v>
      </c>
    </row>
    <row r="5250" spans="2:3" x14ac:dyDescent="0.25">
      <c r="B5250" s="33" t="s">
        <v>6741</v>
      </c>
      <c r="C5250" s="33">
        <v>30</v>
      </c>
    </row>
    <row r="5251" spans="2:3" x14ac:dyDescent="0.25">
      <c r="B5251" s="33" t="s">
        <v>6742</v>
      </c>
      <c r="C5251" s="33">
        <v>30</v>
      </c>
    </row>
    <row r="5252" spans="2:3" x14ac:dyDescent="0.25">
      <c r="B5252" s="33" t="s">
        <v>6743</v>
      </c>
      <c r="C5252" s="33">
        <v>30</v>
      </c>
    </row>
    <row r="5253" spans="2:3" x14ac:dyDescent="0.25">
      <c r="B5253" s="33" t="s">
        <v>6744</v>
      </c>
      <c r="C5253" s="33">
        <v>30</v>
      </c>
    </row>
    <row r="5254" spans="2:3" x14ac:dyDescent="0.25">
      <c r="B5254" s="33" t="s">
        <v>6745</v>
      </c>
      <c r="C5254" s="33">
        <v>30</v>
      </c>
    </row>
    <row r="5255" spans="2:3" x14ac:dyDescent="0.25">
      <c r="B5255" s="33" t="s">
        <v>6746</v>
      </c>
      <c r="C5255" s="33">
        <v>30</v>
      </c>
    </row>
    <row r="5256" spans="2:3" x14ac:dyDescent="0.25">
      <c r="B5256" s="33" t="s">
        <v>6747</v>
      </c>
      <c r="C5256" s="33">
        <v>30</v>
      </c>
    </row>
    <row r="5257" spans="2:3" x14ac:dyDescent="0.25">
      <c r="B5257" s="33" t="s">
        <v>6748</v>
      </c>
      <c r="C5257" s="33">
        <v>30</v>
      </c>
    </row>
    <row r="5258" spans="2:3" x14ac:dyDescent="0.25">
      <c r="B5258" s="33" t="s">
        <v>6749</v>
      </c>
      <c r="C5258" s="33">
        <v>30</v>
      </c>
    </row>
    <row r="5259" spans="2:3" x14ac:dyDescent="0.25">
      <c r="B5259" s="33" t="s">
        <v>6750</v>
      </c>
      <c r="C5259" s="33">
        <v>30</v>
      </c>
    </row>
    <row r="5260" spans="2:3" x14ac:dyDescent="0.25">
      <c r="B5260" s="33" t="s">
        <v>6751</v>
      </c>
      <c r="C5260" s="33">
        <v>30</v>
      </c>
    </row>
    <row r="5261" spans="2:3" x14ac:dyDescent="0.25">
      <c r="B5261" s="33" t="s">
        <v>6752</v>
      </c>
      <c r="C5261" s="33">
        <v>30</v>
      </c>
    </row>
    <row r="5262" spans="2:3" x14ac:dyDescent="0.25">
      <c r="B5262" s="33" t="s">
        <v>6753</v>
      </c>
      <c r="C5262" s="33">
        <v>30</v>
      </c>
    </row>
    <row r="5263" spans="2:3" x14ac:dyDescent="0.25">
      <c r="B5263" s="33" t="s">
        <v>6754</v>
      </c>
      <c r="C5263" s="33">
        <v>30</v>
      </c>
    </row>
    <row r="5264" spans="2:3" x14ac:dyDescent="0.25">
      <c r="B5264" s="33" t="s">
        <v>6755</v>
      </c>
      <c r="C5264" s="33">
        <v>30</v>
      </c>
    </row>
    <row r="5265" spans="2:3" x14ac:dyDescent="0.25">
      <c r="B5265" s="33" t="s">
        <v>6756</v>
      </c>
      <c r="C5265" s="33">
        <v>30</v>
      </c>
    </row>
    <row r="5266" spans="2:3" x14ac:dyDescent="0.25">
      <c r="B5266" s="33" t="s">
        <v>6757</v>
      </c>
      <c r="C5266" s="33">
        <v>30</v>
      </c>
    </row>
    <row r="5267" spans="2:3" x14ac:dyDescent="0.25">
      <c r="B5267" s="33" t="s">
        <v>6758</v>
      </c>
      <c r="C5267" s="33">
        <v>30</v>
      </c>
    </row>
    <row r="5268" spans="2:3" x14ac:dyDescent="0.25">
      <c r="B5268" s="33" t="s">
        <v>6759</v>
      </c>
      <c r="C5268" s="33">
        <v>30</v>
      </c>
    </row>
    <row r="5269" spans="2:3" x14ac:dyDescent="0.25">
      <c r="B5269" s="33" t="s">
        <v>6760</v>
      </c>
      <c r="C5269" s="33">
        <v>30</v>
      </c>
    </row>
    <row r="5270" spans="2:3" x14ac:dyDescent="0.25">
      <c r="B5270" s="33" t="s">
        <v>6761</v>
      </c>
      <c r="C5270" s="33">
        <v>30</v>
      </c>
    </row>
    <row r="5271" spans="2:3" x14ac:dyDescent="0.25">
      <c r="B5271" s="33" t="s">
        <v>6762</v>
      </c>
      <c r="C5271" s="33">
        <v>30</v>
      </c>
    </row>
    <row r="5272" spans="2:3" x14ac:dyDescent="0.25">
      <c r="B5272" s="33" t="s">
        <v>6763</v>
      </c>
      <c r="C5272" s="33">
        <v>30</v>
      </c>
    </row>
    <row r="5273" spans="2:3" x14ac:dyDescent="0.25">
      <c r="B5273" s="33" t="s">
        <v>6764</v>
      </c>
      <c r="C5273" s="33">
        <v>30</v>
      </c>
    </row>
    <row r="5274" spans="2:3" x14ac:dyDescent="0.25">
      <c r="B5274" s="33" t="s">
        <v>6765</v>
      </c>
      <c r="C5274" s="33">
        <v>30</v>
      </c>
    </row>
    <row r="5275" spans="2:3" x14ac:dyDescent="0.25">
      <c r="B5275" s="33" t="s">
        <v>6766</v>
      </c>
      <c r="C5275" s="33">
        <v>30</v>
      </c>
    </row>
    <row r="5276" spans="2:3" x14ac:dyDescent="0.25">
      <c r="B5276" s="33" t="s">
        <v>6767</v>
      </c>
      <c r="C5276" s="33">
        <v>30</v>
      </c>
    </row>
    <row r="5277" spans="2:3" x14ac:dyDescent="0.25">
      <c r="B5277" s="33" t="s">
        <v>6768</v>
      </c>
      <c r="C5277" s="33">
        <v>30</v>
      </c>
    </row>
    <row r="5278" spans="2:3" x14ac:dyDescent="0.25">
      <c r="B5278" s="33" t="s">
        <v>6769</v>
      </c>
      <c r="C5278" s="33">
        <v>30</v>
      </c>
    </row>
    <row r="5279" spans="2:3" x14ac:dyDescent="0.25">
      <c r="B5279" s="33" t="s">
        <v>6770</v>
      </c>
      <c r="C5279" s="33">
        <v>30</v>
      </c>
    </row>
    <row r="5280" spans="2:3" x14ac:dyDescent="0.25">
      <c r="B5280" s="33" t="s">
        <v>6771</v>
      </c>
      <c r="C5280" s="33">
        <v>30</v>
      </c>
    </row>
    <row r="5281" spans="2:3" x14ac:dyDescent="0.25">
      <c r="B5281" s="33" t="s">
        <v>6772</v>
      </c>
      <c r="C5281" s="33">
        <v>30</v>
      </c>
    </row>
    <row r="5282" spans="2:3" x14ac:dyDescent="0.25">
      <c r="B5282" s="33" t="s">
        <v>6773</v>
      </c>
      <c r="C5282" s="33">
        <v>30</v>
      </c>
    </row>
    <row r="5283" spans="2:3" x14ac:dyDescent="0.25">
      <c r="B5283" s="33" t="s">
        <v>6774</v>
      </c>
      <c r="C5283" s="33">
        <v>30</v>
      </c>
    </row>
    <row r="5284" spans="2:3" x14ac:dyDescent="0.25">
      <c r="B5284" s="33" t="s">
        <v>6775</v>
      </c>
      <c r="C5284" s="33">
        <v>30</v>
      </c>
    </row>
    <row r="5285" spans="2:3" x14ac:dyDescent="0.25">
      <c r="B5285" s="33" t="s">
        <v>6776</v>
      </c>
      <c r="C5285" s="33">
        <v>30</v>
      </c>
    </row>
    <row r="5286" spans="2:3" x14ac:dyDescent="0.25">
      <c r="B5286" s="33" t="s">
        <v>6777</v>
      </c>
      <c r="C5286" s="33">
        <v>30</v>
      </c>
    </row>
    <row r="5287" spans="2:3" x14ac:dyDescent="0.25">
      <c r="B5287" s="33" t="s">
        <v>6778</v>
      </c>
      <c r="C5287" s="33">
        <v>30</v>
      </c>
    </row>
    <row r="5288" spans="2:3" x14ac:dyDescent="0.25">
      <c r="B5288" s="33" t="s">
        <v>6779</v>
      </c>
      <c r="C5288" s="33">
        <v>30</v>
      </c>
    </row>
    <row r="5289" spans="2:3" x14ac:dyDescent="0.25">
      <c r="B5289" s="33" t="s">
        <v>6780</v>
      </c>
      <c r="C5289" s="33">
        <v>30</v>
      </c>
    </row>
    <row r="5290" spans="2:3" x14ac:dyDescent="0.25">
      <c r="B5290" s="33" t="s">
        <v>6781</v>
      </c>
      <c r="C5290" s="33">
        <v>30</v>
      </c>
    </row>
    <row r="5291" spans="2:3" x14ac:dyDescent="0.25">
      <c r="B5291" s="33" t="s">
        <v>6782</v>
      </c>
      <c r="C5291" s="33">
        <v>30</v>
      </c>
    </row>
    <row r="5292" spans="2:3" x14ac:dyDescent="0.25">
      <c r="B5292" s="33" t="s">
        <v>6783</v>
      </c>
      <c r="C5292" s="33">
        <v>30</v>
      </c>
    </row>
    <row r="5293" spans="2:3" x14ac:dyDescent="0.25">
      <c r="B5293" s="33" t="s">
        <v>6784</v>
      </c>
      <c r="C5293" s="33">
        <v>30</v>
      </c>
    </row>
    <row r="5294" spans="2:3" x14ac:dyDescent="0.25">
      <c r="B5294" s="33" t="s">
        <v>6785</v>
      </c>
      <c r="C5294" s="33">
        <v>30</v>
      </c>
    </row>
    <row r="5295" spans="2:3" x14ac:dyDescent="0.25">
      <c r="B5295" s="33" t="s">
        <v>6786</v>
      </c>
      <c r="C5295" s="33">
        <v>30</v>
      </c>
    </row>
    <row r="5296" spans="2:3" x14ac:dyDescent="0.25">
      <c r="B5296" s="33" t="s">
        <v>6787</v>
      </c>
      <c r="C5296" s="33">
        <v>30</v>
      </c>
    </row>
    <row r="5297" spans="2:3" x14ac:dyDescent="0.25">
      <c r="B5297" s="33" t="s">
        <v>6788</v>
      </c>
      <c r="C5297" s="33">
        <v>30</v>
      </c>
    </row>
    <row r="5298" spans="2:3" x14ac:dyDescent="0.25">
      <c r="B5298" s="33" t="s">
        <v>6789</v>
      </c>
      <c r="C5298" s="33">
        <v>30</v>
      </c>
    </row>
    <row r="5299" spans="2:3" x14ac:dyDescent="0.25">
      <c r="B5299" s="33" t="s">
        <v>6790</v>
      </c>
      <c r="C5299" s="33">
        <v>30</v>
      </c>
    </row>
    <row r="5300" spans="2:3" x14ac:dyDescent="0.25">
      <c r="B5300" s="33" t="s">
        <v>6791</v>
      </c>
      <c r="C5300" s="33">
        <v>30</v>
      </c>
    </row>
    <row r="5301" spans="2:3" x14ac:dyDescent="0.25">
      <c r="B5301" s="33" t="s">
        <v>6792</v>
      </c>
      <c r="C5301" s="33">
        <v>30</v>
      </c>
    </row>
    <row r="5302" spans="2:3" x14ac:dyDescent="0.25">
      <c r="B5302" s="33" t="s">
        <v>6793</v>
      </c>
      <c r="C5302" s="33">
        <v>30</v>
      </c>
    </row>
    <row r="5303" spans="2:3" x14ac:dyDescent="0.25">
      <c r="B5303" s="33" t="s">
        <v>6794</v>
      </c>
      <c r="C5303" s="33">
        <v>30</v>
      </c>
    </row>
    <row r="5304" spans="2:3" x14ac:dyDescent="0.25">
      <c r="B5304" s="33" t="s">
        <v>6795</v>
      </c>
      <c r="C5304" s="33">
        <v>30</v>
      </c>
    </row>
    <row r="5305" spans="2:3" x14ac:dyDescent="0.25">
      <c r="B5305" s="33" t="s">
        <v>6796</v>
      </c>
      <c r="C5305" s="33">
        <v>30</v>
      </c>
    </row>
    <row r="5306" spans="2:3" x14ac:dyDescent="0.25">
      <c r="B5306" s="33" t="s">
        <v>6797</v>
      </c>
      <c r="C5306" s="33">
        <v>30</v>
      </c>
    </row>
    <row r="5307" spans="2:3" x14ac:dyDescent="0.25">
      <c r="B5307" s="33" t="s">
        <v>6798</v>
      </c>
      <c r="C5307" s="33">
        <v>30</v>
      </c>
    </row>
    <row r="5308" spans="2:3" x14ac:dyDescent="0.25">
      <c r="B5308" s="33" t="s">
        <v>6799</v>
      </c>
      <c r="C5308" s="33">
        <v>30</v>
      </c>
    </row>
    <row r="5309" spans="2:3" x14ac:dyDescent="0.25">
      <c r="B5309" s="33" t="s">
        <v>6800</v>
      </c>
      <c r="C5309" s="33">
        <v>30</v>
      </c>
    </row>
    <row r="5310" spans="2:3" x14ac:dyDescent="0.25">
      <c r="B5310" s="33" t="s">
        <v>6801</v>
      </c>
      <c r="C5310" s="33">
        <v>30</v>
      </c>
    </row>
    <row r="5311" spans="2:3" x14ac:dyDescent="0.25">
      <c r="B5311" s="33" t="s">
        <v>6802</v>
      </c>
      <c r="C5311" s="33">
        <v>30</v>
      </c>
    </row>
    <row r="5312" spans="2:3" x14ac:dyDescent="0.25">
      <c r="B5312" s="33" t="s">
        <v>6803</v>
      </c>
      <c r="C5312" s="33">
        <v>30</v>
      </c>
    </row>
    <row r="5313" spans="2:3" x14ac:dyDescent="0.25">
      <c r="B5313" s="33" t="s">
        <v>6804</v>
      </c>
      <c r="C5313" s="33">
        <v>30</v>
      </c>
    </row>
    <row r="5314" spans="2:3" x14ac:dyDescent="0.25">
      <c r="B5314" s="33" t="s">
        <v>6805</v>
      </c>
      <c r="C5314" s="33">
        <v>30</v>
      </c>
    </row>
    <row r="5315" spans="2:3" x14ac:dyDescent="0.25">
      <c r="B5315" s="33" t="s">
        <v>6806</v>
      </c>
      <c r="C5315" s="33">
        <v>30</v>
      </c>
    </row>
    <row r="5316" spans="2:3" x14ac:dyDescent="0.25">
      <c r="B5316" s="33" t="s">
        <v>6807</v>
      </c>
      <c r="C5316" s="33">
        <v>30</v>
      </c>
    </row>
    <row r="5317" spans="2:3" x14ac:dyDescent="0.25">
      <c r="B5317" s="33" t="s">
        <v>6808</v>
      </c>
      <c r="C5317" s="33">
        <v>30</v>
      </c>
    </row>
    <row r="5318" spans="2:3" x14ac:dyDescent="0.25">
      <c r="B5318" s="33" t="s">
        <v>6809</v>
      </c>
      <c r="C5318" s="33">
        <v>30</v>
      </c>
    </row>
    <row r="5319" spans="2:3" x14ac:dyDescent="0.25">
      <c r="B5319" s="33" t="s">
        <v>6810</v>
      </c>
      <c r="C5319" s="33">
        <v>30</v>
      </c>
    </row>
    <row r="5320" spans="2:3" x14ac:dyDescent="0.25">
      <c r="B5320" s="33" t="s">
        <v>6811</v>
      </c>
      <c r="C5320" s="33">
        <v>30</v>
      </c>
    </row>
    <row r="5321" spans="2:3" x14ac:dyDescent="0.25">
      <c r="B5321" s="33" t="s">
        <v>6812</v>
      </c>
      <c r="C5321" s="33">
        <v>30</v>
      </c>
    </row>
    <row r="5322" spans="2:3" x14ac:dyDescent="0.25">
      <c r="B5322" s="33" t="s">
        <v>6813</v>
      </c>
      <c r="C5322" s="33">
        <v>30</v>
      </c>
    </row>
    <row r="5323" spans="2:3" x14ac:dyDescent="0.25">
      <c r="B5323" s="33" t="s">
        <v>6814</v>
      </c>
      <c r="C5323" s="33">
        <v>30</v>
      </c>
    </row>
    <row r="5324" spans="2:3" x14ac:dyDescent="0.25">
      <c r="B5324" s="33" t="s">
        <v>6815</v>
      </c>
      <c r="C5324" s="33">
        <v>30</v>
      </c>
    </row>
    <row r="5325" spans="2:3" x14ac:dyDescent="0.25">
      <c r="B5325" s="33" t="s">
        <v>6816</v>
      </c>
      <c r="C5325" s="33">
        <v>30</v>
      </c>
    </row>
    <row r="5326" spans="2:3" x14ac:dyDescent="0.25">
      <c r="B5326" s="33" t="s">
        <v>6817</v>
      </c>
      <c r="C5326" s="33">
        <v>30</v>
      </c>
    </row>
    <row r="5327" spans="2:3" x14ac:dyDescent="0.25">
      <c r="B5327" s="33" t="s">
        <v>6818</v>
      </c>
      <c r="C5327" s="33">
        <v>30</v>
      </c>
    </row>
    <row r="5328" spans="2:3" x14ac:dyDescent="0.25">
      <c r="B5328" s="33" t="s">
        <v>6819</v>
      </c>
      <c r="C5328" s="33">
        <v>30</v>
      </c>
    </row>
    <row r="5329" spans="2:3" x14ac:dyDescent="0.25">
      <c r="B5329" s="33" t="s">
        <v>6820</v>
      </c>
      <c r="C5329" s="33">
        <v>30</v>
      </c>
    </row>
    <row r="5330" spans="2:3" x14ac:dyDescent="0.25">
      <c r="B5330" s="33" t="s">
        <v>6821</v>
      </c>
      <c r="C5330" s="33">
        <v>30</v>
      </c>
    </row>
    <row r="5331" spans="2:3" x14ac:dyDescent="0.25">
      <c r="B5331" s="33" t="s">
        <v>6822</v>
      </c>
      <c r="C5331" s="33">
        <v>30</v>
      </c>
    </row>
    <row r="5332" spans="2:3" x14ac:dyDescent="0.25">
      <c r="B5332" s="33" t="s">
        <v>6823</v>
      </c>
      <c r="C5332" s="33">
        <v>30</v>
      </c>
    </row>
    <row r="5333" spans="2:3" x14ac:dyDescent="0.25">
      <c r="B5333" s="33" t="s">
        <v>6824</v>
      </c>
      <c r="C5333" s="33">
        <v>30</v>
      </c>
    </row>
    <row r="5334" spans="2:3" x14ac:dyDescent="0.25">
      <c r="B5334" s="33" t="s">
        <v>6825</v>
      </c>
      <c r="C5334" s="33">
        <v>30</v>
      </c>
    </row>
    <row r="5335" spans="2:3" x14ac:dyDescent="0.25">
      <c r="B5335" s="33" t="s">
        <v>6826</v>
      </c>
      <c r="C5335" s="33">
        <v>30</v>
      </c>
    </row>
    <row r="5336" spans="2:3" x14ac:dyDescent="0.25">
      <c r="B5336" s="33" t="s">
        <v>6827</v>
      </c>
      <c r="C5336" s="33">
        <v>30</v>
      </c>
    </row>
    <row r="5337" spans="2:3" x14ac:dyDescent="0.25">
      <c r="B5337" s="33" t="s">
        <v>6828</v>
      </c>
      <c r="C5337" s="33">
        <v>30</v>
      </c>
    </row>
    <row r="5338" spans="2:3" x14ac:dyDescent="0.25">
      <c r="B5338" s="33" t="s">
        <v>6829</v>
      </c>
      <c r="C5338" s="33">
        <v>30</v>
      </c>
    </row>
    <row r="5339" spans="2:3" x14ac:dyDescent="0.25">
      <c r="B5339" s="33" t="s">
        <v>6830</v>
      </c>
      <c r="C5339" s="33">
        <v>30</v>
      </c>
    </row>
    <row r="5340" spans="2:3" x14ac:dyDescent="0.25">
      <c r="B5340" s="33" t="s">
        <v>6831</v>
      </c>
      <c r="C5340" s="33">
        <v>30</v>
      </c>
    </row>
    <row r="5341" spans="2:3" x14ac:dyDescent="0.25">
      <c r="B5341" s="33" t="s">
        <v>6832</v>
      </c>
      <c r="C5341" s="33">
        <v>30</v>
      </c>
    </row>
    <row r="5342" spans="2:3" x14ac:dyDescent="0.25">
      <c r="B5342" s="33" t="s">
        <v>6833</v>
      </c>
      <c r="C5342" s="33">
        <v>30</v>
      </c>
    </row>
    <row r="5343" spans="2:3" x14ac:dyDescent="0.25">
      <c r="B5343" s="33" t="s">
        <v>6834</v>
      </c>
      <c r="C5343" s="33">
        <v>30</v>
      </c>
    </row>
    <row r="5344" spans="2:3" x14ac:dyDescent="0.25">
      <c r="B5344" s="33" t="s">
        <v>6835</v>
      </c>
      <c r="C5344" s="33">
        <v>30</v>
      </c>
    </row>
    <row r="5345" spans="2:3" x14ac:dyDescent="0.25">
      <c r="B5345" s="33" t="s">
        <v>6836</v>
      </c>
      <c r="C5345" s="33">
        <v>30</v>
      </c>
    </row>
    <row r="5346" spans="2:3" x14ac:dyDescent="0.25">
      <c r="B5346" s="33" t="s">
        <v>6837</v>
      </c>
      <c r="C5346" s="33">
        <v>30</v>
      </c>
    </row>
    <row r="5347" spans="2:3" x14ac:dyDescent="0.25">
      <c r="B5347" s="33" t="s">
        <v>6838</v>
      </c>
      <c r="C5347" s="33">
        <v>30</v>
      </c>
    </row>
    <row r="5348" spans="2:3" x14ac:dyDescent="0.25">
      <c r="B5348" s="33" t="s">
        <v>6839</v>
      </c>
      <c r="C5348" s="33">
        <v>30</v>
      </c>
    </row>
    <row r="5349" spans="2:3" x14ac:dyDescent="0.25">
      <c r="B5349" s="33" t="s">
        <v>6840</v>
      </c>
      <c r="C5349" s="33">
        <v>30</v>
      </c>
    </row>
    <row r="5350" spans="2:3" x14ac:dyDescent="0.25">
      <c r="B5350" s="33" t="s">
        <v>6841</v>
      </c>
      <c r="C5350" s="33">
        <v>30</v>
      </c>
    </row>
    <row r="5351" spans="2:3" x14ac:dyDescent="0.25">
      <c r="B5351" s="33" t="s">
        <v>6842</v>
      </c>
      <c r="C5351" s="33">
        <v>30</v>
      </c>
    </row>
    <row r="5352" spans="2:3" x14ac:dyDescent="0.25">
      <c r="B5352" s="33" t="s">
        <v>6843</v>
      </c>
      <c r="C5352" s="33">
        <v>30</v>
      </c>
    </row>
    <row r="5353" spans="2:3" x14ac:dyDescent="0.25">
      <c r="B5353" s="33" t="s">
        <v>6844</v>
      </c>
      <c r="C5353" s="33">
        <v>30</v>
      </c>
    </row>
    <row r="5354" spans="2:3" x14ac:dyDescent="0.25">
      <c r="B5354" s="33" t="s">
        <v>6845</v>
      </c>
      <c r="C5354" s="33">
        <v>30</v>
      </c>
    </row>
    <row r="5355" spans="2:3" x14ac:dyDescent="0.25">
      <c r="B5355" s="33" t="s">
        <v>6846</v>
      </c>
      <c r="C5355" s="33">
        <v>30</v>
      </c>
    </row>
    <row r="5356" spans="2:3" x14ac:dyDescent="0.25">
      <c r="B5356" s="33" t="s">
        <v>6847</v>
      </c>
      <c r="C5356" s="33">
        <v>30</v>
      </c>
    </row>
    <row r="5357" spans="2:3" x14ac:dyDescent="0.25">
      <c r="B5357" s="33" t="s">
        <v>6848</v>
      </c>
      <c r="C5357" s="33">
        <v>30</v>
      </c>
    </row>
    <row r="5358" spans="2:3" x14ac:dyDescent="0.25">
      <c r="B5358" s="33" t="s">
        <v>6849</v>
      </c>
      <c r="C5358" s="33">
        <v>30</v>
      </c>
    </row>
    <row r="5359" spans="2:3" x14ac:dyDescent="0.25">
      <c r="B5359" s="33" t="s">
        <v>6850</v>
      </c>
      <c r="C5359" s="33">
        <v>30</v>
      </c>
    </row>
    <row r="5360" spans="2:3" x14ac:dyDescent="0.25">
      <c r="B5360" s="33" t="s">
        <v>6851</v>
      </c>
      <c r="C5360" s="33">
        <v>30</v>
      </c>
    </row>
    <row r="5361" spans="2:3" x14ac:dyDescent="0.25">
      <c r="B5361" s="33" t="s">
        <v>6852</v>
      </c>
      <c r="C5361" s="33">
        <v>30</v>
      </c>
    </row>
    <row r="5362" spans="2:3" x14ac:dyDescent="0.25">
      <c r="B5362" s="33" t="s">
        <v>6853</v>
      </c>
      <c r="C5362" s="33">
        <v>30</v>
      </c>
    </row>
    <row r="5363" spans="2:3" x14ac:dyDescent="0.25">
      <c r="B5363" s="33" t="s">
        <v>6854</v>
      </c>
      <c r="C5363" s="33">
        <v>30</v>
      </c>
    </row>
    <row r="5364" spans="2:3" x14ac:dyDescent="0.25">
      <c r="B5364" s="33" t="s">
        <v>6855</v>
      </c>
      <c r="C5364" s="33">
        <v>30</v>
      </c>
    </row>
    <row r="5365" spans="2:3" x14ac:dyDescent="0.25">
      <c r="B5365" s="33" t="s">
        <v>6856</v>
      </c>
      <c r="C5365" s="33">
        <v>30</v>
      </c>
    </row>
    <row r="5366" spans="2:3" x14ac:dyDescent="0.25">
      <c r="B5366" s="33" t="s">
        <v>6857</v>
      </c>
      <c r="C5366" s="33">
        <v>30</v>
      </c>
    </row>
    <row r="5367" spans="2:3" x14ac:dyDescent="0.25">
      <c r="B5367" s="33" t="s">
        <v>6858</v>
      </c>
      <c r="C5367" s="33">
        <v>30</v>
      </c>
    </row>
    <row r="5368" spans="2:3" x14ac:dyDescent="0.25">
      <c r="B5368" s="33" t="s">
        <v>6859</v>
      </c>
      <c r="C5368" s="33">
        <v>30</v>
      </c>
    </row>
    <row r="5369" spans="2:3" x14ac:dyDescent="0.25">
      <c r="B5369" s="33" t="s">
        <v>6860</v>
      </c>
      <c r="C5369" s="33">
        <v>30</v>
      </c>
    </row>
    <row r="5370" spans="2:3" x14ac:dyDescent="0.25">
      <c r="B5370" s="33" t="s">
        <v>6861</v>
      </c>
      <c r="C5370" s="33">
        <v>30</v>
      </c>
    </row>
    <row r="5371" spans="2:3" x14ac:dyDescent="0.25">
      <c r="B5371" s="33" t="s">
        <v>6862</v>
      </c>
      <c r="C5371" s="33">
        <v>30</v>
      </c>
    </row>
    <row r="5372" spans="2:3" x14ac:dyDescent="0.25">
      <c r="B5372" s="33" t="s">
        <v>6863</v>
      </c>
      <c r="C5372" s="33">
        <v>30</v>
      </c>
    </row>
    <row r="5373" spans="2:3" x14ac:dyDescent="0.25">
      <c r="B5373" s="33" t="s">
        <v>6864</v>
      </c>
      <c r="C5373" s="33">
        <v>30</v>
      </c>
    </row>
    <row r="5374" spans="2:3" x14ac:dyDescent="0.25">
      <c r="B5374" s="33" t="s">
        <v>6865</v>
      </c>
      <c r="C5374" s="33">
        <v>30</v>
      </c>
    </row>
    <row r="5375" spans="2:3" x14ac:dyDescent="0.25">
      <c r="B5375" s="33" t="s">
        <v>6866</v>
      </c>
      <c r="C5375" s="33">
        <v>30</v>
      </c>
    </row>
    <row r="5376" spans="2:3" x14ac:dyDescent="0.25">
      <c r="B5376" s="33" t="s">
        <v>6867</v>
      </c>
      <c r="C5376" s="33">
        <v>30</v>
      </c>
    </row>
    <row r="5377" spans="2:3" x14ac:dyDescent="0.25">
      <c r="B5377" s="33" t="s">
        <v>6868</v>
      </c>
      <c r="C5377" s="33">
        <v>30</v>
      </c>
    </row>
    <row r="5378" spans="2:3" x14ac:dyDescent="0.25">
      <c r="B5378" s="33" t="s">
        <v>6869</v>
      </c>
      <c r="C5378" s="33">
        <v>30</v>
      </c>
    </row>
    <row r="5379" spans="2:3" x14ac:dyDescent="0.25">
      <c r="B5379" s="33" t="s">
        <v>6870</v>
      </c>
      <c r="C5379" s="33">
        <v>30</v>
      </c>
    </row>
    <row r="5380" spans="2:3" x14ac:dyDescent="0.25">
      <c r="B5380" s="33" t="s">
        <v>6871</v>
      </c>
      <c r="C5380" s="33">
        <v>30</v>
      </c>
    </row>
    <row r="5381" spans="2:3" x14ac:dyDescent="0.25">
      <c r="B5381" s="33" t="s">
        <v>6872</v>
      </c>
      <c r="C5381" s="33">
        <v>30</v>
      </c>
    </row>
    <row r="5382" spans="2:3" x14ac:dyDescent="0.25">
      <c r="B5382" s="33" t="s">
        <v>6873</v>
      </c>
      <c r="C5382" s="33">
        <v>30</v>
      </c>
    </row>
    <row r="5383" spans="2:3" x14ac:dyDescent="0.25">
      <c r="B5383" s="33" t="s">
        <v>6874</v>
      </c>
      <c r="C5383" s="33">
        <v>30</v>
      </c>
    </row>
    <row r="5384" spans="2:3" x14ac:dyDescent="0.25">
      <c r="B5384" s="33" t="s">
        <v>6875</v>
      </c>
      <c r="C5384" s="33">
        <v>30</v>
      </c>
    </row>
    <row r="5385" spans="2:3" x14ac:dyDescent="0.25">
      <c r="B5385" s="33" t="s">
        <v>6876</v>
      </c>
      <c r="C5385" s="33">
        <v>30</v>
      </c>
    </row>
    <row r="5386" spans="2:3" x14ac:dyDescent="0.25">
      <c r="B5386" s="33" t="s">
        <v>6877</v>
      </c>
      <c r="C5386" s="33">
        <v>30</v>
      </c>
    </row>
    <row r="5387" spans="2:3" x14ac:dyDescent="0.25">
      <c r="B5387" s="33" t="s">
        <v>6878</v>
      </c>
      <c r="C5387" s="33">
        <v>30</v>
      </c>
    </row>
    <row r="5388" spans="2:3" x14ac:dyDescent="0.25">
      <c r="B5388" s="33" t="s">
        <v>6879</v>
      </c>
      <c r="C5388" s="33">
        <v>30</v>
      </c>
    </row>
    <row r="5389" spans="2:3" x14ac:dyDescent="0.25">
      <c r="B5389" s="33" t="s">
        <v>6880</v>
      </c>
      <c r="C5389" s="33">
        <v>30</v>
      </c>
    </row>
    <row r="5390" spans="2:3" x14ac:dyDescent="0.25">
      <c r="B5390" s="33" t="s">
        <v>6881</v>
      </c>
      <c r="C5390" s="33">
        <v>30</v>
      </c>
    </row>
    <row r="5391" spans="2:3" x14ac:dyDescent="0.25">
      <c r="B5391" s="33" t="s">
        <v>6882</v>
      </c>
      <c r="C5391" s="33">
        <v>30</v>
      </c>
    </row>
    <row r="5392" spans="2:3" x14ac:dyDescent="0.25">
      <c r="B5392" s="33" t="s">
        <v>6883</v>
      </c>
      <c r="C5392" s="33">
        <v>30</v>
      </c>
    </row>
    <row r="5393" spans="2:3" x14ac:dyDescent="0.25">
      <c r="B5393" s="33" t="s">
        <v>6884</v>
      </c>
      <c r="C5393" s="33">
        <v>30</v>
      </c>
    </row>
    <row r="5394" spans="2:3" x14ac:dyDescent="0.25">
      <c r="B5394" s="33" t="s">
        <v>6885</v>
      </c>
      <c r="C5394" s="33">
        <v>30</v>
      </c>
    </row>
    <row r="5395" spans="2:3" x14ac:dyDescent="0.25">
      <c r="B5395" s="33" t="s">
        <v>6886</v>
      </c>
      <c r="C5395" s="33">
        <v>30</v>
      </c>
    </row>
    <row r="5396" spans="2:3" x14ac:dyDescent="0.25">
      <c r="B5396" s="33" t="s">
        <v>6887</v>
      </c>
      <c r="C5396" s="33">
        <v>30</v>
      </c>
    </row>
    <row r="5397" spans="2:3" x14ac:dyDescent="0.25">
      <c r="B5397" s="33" t="s">
        <v>6888</v>
      </c>
      <c r="C5397" s="33">
        <v>30</v>
      </c>
    </row>
    <row r="5398" spans="2:3" x14ac:dyDescent="0.25">
      <c r="B5398" s="33" t="s">
        <v>6889</v>
      </c>
      <c r="C5398" s="33">
        <v>30</v>
      </c>
    </row>
    <row r="5399" spans="2:3" x14ac:dyDescent="0.25">
      <c r="B5399" s="33" t="s">
        <v>6890</v>
      </c>
      <c r="C5399" s="33">
        <v>30</v>
      </c>
    </row>
    <row r="5400" spans="2:3" x14ac:dyDescent="0.25">
      <c r="B5400" s="33" t="s">
        <v>6891</v>
      </c>
      <c r="C5400" s="33">
        <v>30</v>
      </c>
    </row>
    <row r="5401" spans="2:3" x14ac:dyDescent="0.25">
      <c r="B5401" s="33" t="s">
        <v>6892</v>
      </c>
      <c r="C5401" s="33">
        <v>30</v>
      </c>
    </row>
    <row r="5402" spans="2:3" x14ac:dyDescent="0.25">
      <c r="B5402" s="33" t="s">
        <v>6893</v>
      </c>
      <c r="C5402" s="33">
        <v>30</v>
      </c>
    </row>
    <row r="5403" spans="2:3" x14ac:dyDescent="0.25">
      <c r="B5403" s="33" t="s">
        <v>6894</v>
      </c>
      <c r="C5403" s="33">
        <v>30</v>
      </c>
    </row>
    <row r="5404" spans="2:3" x14ac:dyDescent="0.25">
      <c r="B5404" s="33" t="s">
        <v>6895</v>
      </c>
      <c r="C5404" s="33">
        <v>30</v>
      </c>
    </row>
    <row r="5405" spans="2:3" x14ac:dyDescent="0.25">
      <c r="B5405" s="33" t="s">
        <v>6896</v>
      </c>
      <c r="C5405" s="33">
        <v>30</v>
      </c>
    </row>
    <row r="5406" spans="2:3" x14ac:dyDescent="0.25">
      <c r="B5406" s="33" t="s">
        <v>6897</v>
      </c>
      <c r="C5406" s="33">
        <v>30</v>
      </c>
    </row>
    <row r="5407" spans="2:3" x14ac:dyDescent="0.25">
      <c r="B5407" s="33" t="s">
        <v>6898</v>
      </c>
      <c r="C5407" s="33">
        <v>30</v>
      </c>
    </row>
    <row r="5408" spans="2:3" x14ac:dyDescent="0.25">
      <c r="B5408" s="33" t="s">
        <v>6899</v>
      </c>
      <c r="C5408" s="33">
        <v>30</v>
      </c>
    </row>
    <row r="5409" spans="2:3" x14ac:dyDescent="0.25">
      <c r="B5409" s="33" t="s">
        <v>6900</v>
      </c>
      <c r="C5409" s="33">
        <v>30</v>
      </c>
    </row>
    <row r="5410" spans="2:3" x14ac:dyDescent="0.25">
      <c r="B5410" s="33" t="s">
        <v>6901</v>
      </c>
      <c r="C5410" s="33">
        <v>30</v>
      </c>
    </row>
    <row r="5411" spans="2:3" x14ac:dyDescent="0.25">
      <c r="B5411" s="33" t="s">
        <v>6902</v>
      </c>
      <c r="C5411" s="33">
        <v>30</v>
      </c>
    </row>
    <row r="5412" spans="2:3" x14ac:dyDescent="0.25">
      <c r="B5412" s="33" t="s">
        <v>6903</v>
      </c>
      <c r="C5412" s="33">
        <v>30</v>
      </c>
    </row>
    <row r="5413" spans="2:3" x14ac:dyDescent="0.25">
      <c r="B5413" s="33" t="s">
        <v>6904</v>
      </c>
      <c r="C5413" s="33">
        <v>30</v>
      </c>
    </row>
    <row r="5414" spans="2:3" x14ac:dyDescent="0.25">
      <c r="B5414" s="33" t="s">
        <v>6905</v>
      </c>
      <c r="C5414" s="33">
        <v>30</v>
      </c>
    </row>
    <row r="5415" spans="2:3" x14ac:dyDescent="0.25">
      <c r="B5415" s="33" t="s">
        <v>6906</v>
      </c>
      <c r="C5415" s="33">
        <v>30</v>
      </c>
    </row>
    <row r="5416" spans="2:3" x14ac:dyDescent="0.25">
      <c r="B5416" s="33" t="s">
        <v>6907</v>
      </c>
      <c r="C5416" s="33">
        <v>30</v>
      </c>
    </row>
    <row r="5417" spans="2:3" x14ac:dyDescent="0.25">
      <c r="B5417" s="33" t="s">
        <v>6908</v>
      </c>
      <c r="C5417" s="33">
        <v>30</v>
      </c>
    </row>
    <row r="5418" spans="2:3" x14ac:dyDescent="0.25">
      <c r="B5418" s="33" t="s">
        <v>6909</v>
      </c>
      <c r="C5418" s="33">
        <v>30</v>
      </c>
    </row>
    <row r="5419" spans="2:3" x14ac:dyDescent="0.25">
      <c r="B5419" s="33" t="s">
        <v>6910</v>
      </c>
      <c r="C5419" s="33">
        <v>30</v>
      </c>
    </row>
    <row r="5420" spans="2:3" x14ac:dyDescent="0.25">
      <c r="B5420" s="33" t="s">
        <v>6911</v>
      </c>
      <c r="C5420" s="33">
        <v>30</v>
      </c>
    </row>
    <row r="5421" spans="2:3" x14ac:dyDescent="0.25">
      <c r="B5421" s="33" t="s">
        <v>6912</v>
      </c>
      <c r="C5421" s="33">
        <v>30</v>
      </c>
    </row>
    <row r="5422" spans="2:3" x14ac:dyDescent="0.25">
      <c r="B5422" s="33" t="s">
        <v>6913</v>
      </c>
      <c r="C5422" s="33">
        <v>30</v>
      </c>
    </row>
    <row r="5423" spans="2:3" x14ac:dyDescent="0.25">
      <c r="B5423" s="33" t="s">
        <v>6914</v>
      </c>
      <c r="C5423" s="33">
        <v>30</v>
      </c>
    </row>
    <row r="5424" spans="2:3" x14ac:dyDescent="0.25">
      <c r="B5424" s="33" t="s">
        <v>6915</v>
      </c>
      <c r="C5424" s="33">
        <v>30</v>
      </c>
    </row>
    <row r="5425" spans="2:3" x14ac:dyDescent="0.25">
      <c r="B5425" s="33" t="s">
        <v>6916</v>
      </c>
      <c r="C5425" s="33">
        <v>30</v>
      </c>
    </row>
    <row r="5426" spans="2:3" x14ac:dyDescent="0.25">
      <c r="B5426" s="33" t="s">
        <v>6917</v>
      </c>
      <c r="C5426" s="33">
        <v>30</v>
      </c>
    </row>
    <row r="5427" spans="2:3" x14ac:dyDescent="0.25">
      <c r="B5427" s="33" t="s">
        <v>6918</v>
      </c>
      <c r="C5427" s="33">
        <v>30</v>
      </c>
    </row>
    <row r="5428" spans="2:3" x14ac:dyDescent="0.25">
      <c r="B5428" s="33" t="s">
        <v>6919</v>
      </c>
      <c r="C5428" s="33">
        <v>30</v>
      </c>
    </row>
    <row r="5429" spans="2:3" x14ac:dyDescent="0.25">
      <c r="B5429" s="33" t="s">
        <v>6920</v>
      </c>
      <c r="C5429" s="33">
        <v>30</v>
      </c>
    </row>
    <row r="5430" spans="2:3" x14ac:dyDescent="0.25">
      <c r="B5430" s="33" t="s">
        <v>6921</v>
      </c>
      <c r="C5430" s="33">
        <v>30</v>
      </c>
    </row>
    <row r="5431" spans="2:3" x14ac:dyDescent="0.25">
      <c r="B5431" s="33" t="s">
        <v>6922</v>
      </c>
      <c r="C5431" s="33">
        <v>30</v>
      </c>
    </row>
    <row r="5432" spans="2:3" x14ac:dyDescent="0.25">
      <c r="B5432" s="33" t="s">
        <v>6923</v>
      </c>
      <c r="C5432" s="33">
        <v>30</v>
      </c>
    </row>
    <row r="5433" spans="2:3" x14ac:dyDescent="0.25">
      <c r="B5433" s="33" t="s">
        <v>6924</v>
      </c>
      <c r="C5433" s="33">
        <v>30</v>
      </c>
    </row>
    <row r="5434" spans="2:3" x14ac:dyDescent="0.25">
      <c r="B5434" s="33" t="s">
        <v>6925</v>
      </c>
      <c r="C5434" s="33">
        <v>30</v>
      </c>
    </row>
    <row r="5435" spans="2:3" x14ac:dyDescent="0.25">
      <c r="B5435" s="33" t="s">
        <v>6926</v>
      </c>
      <c r="C5435" s="33">
        <v>30</v>
      </c>
    </row>
    <row r="5436" spans="2:3" x14ac:dyDescent="0.25">
      <c r="B5436" s="33" t="s">
        <v>6927</v>
      </c>
      <c r="C5436" s="33">
        <v>30</v>
      </c>
    </row>
    <row r="5437" spans="2:3" x14ac:dyDescent="0.25">
      <c r="B5437" s="33" t="s">
        <v>6928</v>
      </c>
      <c r="C5437" s="33">
        <v>30</v>
      </c>
    </row>
    <row r="5438" spans="2:3" x14ac:dyDescent="0.25">
      <c r="B5438" s="33" t="s">
        <v>6929</v>
      </c>
      <c r="C5438" s="33">
        <v>30</v>
      </c>
    </row>
    <row r="5439" spans="2:3" x14ac:dyDescent="0.25">
      <c r="B5439" s="33" t="s">
        <v>6930</v>
      </c>
      <c r="C5439" s="33">
        <v>30</v>
      </c>
    </row>
    <row r="5440" spans="2:3" x14ac:dyDescent="0.25">
      <c r="B5440" s="33" t="s">
        <v>6931</v>
      </c>
      <c r="C5440" s="33">
        <v>30</v>
      </c>
    </row>
    <row r="5441" spans="2:3" x14ac:dyDescent="0.25">
      <c r="B5441" s="33" t="s">
        <v>6932</v>
      </c>
      <c r="C5441" s="33">
        <v>30</v>
      </c>
    </row>
    <row r="5442" spans="2:3" x14ac:dyDescent="0.25">
      <c r="B5442" s="33" t="s">
        <v>6933</v>
      </c>
      <c r="C5442" s="33">
        <v>30</v>
      </c>
    </row>
    <row r="5443" spans="2:3" x14ac:dyDescent="0.25">
      <c r="B5443" s="33" t="s">
        <v>6934</v>
      </c>
      <c r="C5443" s="33">
        <v>30</v>
      </c>
    </row>
    <row r="5444" spans="2:3" x14ac:dyDescent="0.25">
      <c r="B5444" s="33" t="s">
        <v>6935</v>
      </c>
      <c r="C5444" s="33">
        <v>30</v>
      </c>
    </row>
    <row r="5445" spans="2:3" x14ac:dyDescent="0.25">
      <c r="B5445" s="33" t="s">
        <v>6936</v>
      </c>
      <c r="C5445" s="33">
        <v>30</v>
      </c>
    </row>
    <row r="5446" spans="2:3" x14ac:dyDescent="0.25">
      <c r="B5446" s="33" t="s">
        <v>6937</v>
      </c>
      <c r="C5446" s="33">
        <v>30</v>
      </c>
    </row>
    <row r="5447" spans="2:3" x14ac:dyDescent="0.25">
      <c r="B5447" s="33" t="s">
        <v>6938</v>
      </c>
      <c r="C5447" s="33">
        <v>30</v>
      </c>
    </row>
    <row r="5448" spans="2:3" x14ac:dyDescent="0.25">
      <c r="B5448" s="33" t="s">
        <v>6939</v>
      </c>
      <c r="C5448" s="33">
        <v>30</v>
      </c>
    </row>
    <row r="5449" spans="2:3" x14ac:dyDescent="0.25">
      <c r="B5449" s="33" t="s">
        <v>6940</v>
      </c>
      <c r="C5449" s="33">
        <v>30</v>
      </c>
    </row>
    <row r="5450" spans="2:3" x14ac:dyDescent="0.25">
      <c r="B5450" s="33" t="s">
        <v>6941</v>
      </c>
      <c r="C5450" s="33">
        <v>30</v>
      </c>
    </row>
    <row r="5451" spans="2:3" x14ac:dyDescent="0.25">
      <c r="B5451" s="33" t="s">
        <v>6942</v>
      </c>
      <c r="C5451" s="33">
        <v>30</v>
      </c>
    </row>
    <row r="5452" spans="2:3" x14ac:dyDescent="0.25">
      <c r="B5452" s="33" t="s">
        <v>6943</v>
      </c>
      <c r="C5452" s="33">
        <v>30</v>
      </c>
    </row>
    <row r="5453" spans="2:3" x14ac:dyDescent="0.25">
      <c r="B5453" s="33" t="s">
        <v>6944</v>
      </c>
      <c r="C5453" s="33">
        <v>30</v>
      </c>
    </row>
    <row r="5454" spans="2:3" x14ac:dyDescent="0.25">
      <c r="B5454" s="33" t="s">
        <v>6945</v>
      </c>
      <c r="C5454" s="33">
        <v>30</v>
      </c>
    </row>
    <row r="5455" spans="2:3" x14ac:dyDescent="0.25">
      <c r="B5455" s="33" t="s">
        <v>6946</v>
      </c>
      <c r="C5455" s="33">
        <v>30</v>
      </c>
    </row>
    <row r="5456" spans="2:3" x14ac:dyDescent="0.25">
      <c r="B5456" s="33" t="s">
        <v>6947</v>
      </c>
      <c r="C5456" s="33">
        <v>30</v>
      </c>
    </row>
    <row r="5457" spans="2:3" x14ac:dyDescent="0.25">
      <c r="B5457" s="33" t="s">
        <v>6948</v>
      </c>
      <c r="C5457" s="33">
        <v>30</v>
      </c>
    </row>
    <row r="5458" spans="2:3" x14ac:dyDescent="0.25">
      <c r="B5458" s="33" t="s">
        <v>6949</v>
      </c>
      <c r="C5458" s="33">
        <v>30</v>
      </c>
    </row>
    <row r="5459" spans="2:3" x14ac:dyDescent="0.25">
      <c r="B5459" s="33" t="s">
        <v>6950</v>
      </c>
      <c r="C5459" s="33">
        <v>30</v>
      </c>
    </row>
    <row r="5460" spans="2:3" x14ac:dyDescent="0.25">
      <c r="B5460" s="33" t="s">
        <v>6951</v>
      </c>
      <c r="C5460" s="33">
        <v>30</v>
      </c>
    </row>
    <row r="5461" spans="2:3" x14ac:dyDescent="0.25">
      <c r="B5461" s="33" t="s">
        <v>6952</v>
      </c>
      <c r="C5461" s="33">
        <v>30</v>
      </c>
    </row>
    <row r="5462" spans="2:3" x14ac:dyDescent="0.25">
      <c r="B5462" s="33" t="s">
        <v>6953</v>
      </c>
      <c r="C5462" s="33">
        <v>30</v>
      </c>
    </row>
    <row r="5463" spans="2:3" x14ac:dyDescent="0.25">
      <c r="B5463" s="33" t="s">
        <v>6954</v>
      </c>
      <c r="C5463" s="33">
        <v>30</v>
      </c>
    </row>
    <row r="5464" spans="2:3" x14ac:dyDescent="0.25">
      <c r="B5464" s="33" t="s">
        <v>6955</v>
      </c>
      <c r="C5464" s="33">
        <v>30</v>
      </c>
    </row>
    <row r="5465" spans="2:3" x14ac:dyDescent="0.25">
      <c r="B5465" s="33" t="s">
        <v>6956</v>
      </c>
      <c r="C5465" s="33">
        <v>30</v>
      </c>
    </row>
    <row r="5466" spans="2:3" x14ac:dyDescent="0.25">
      <c r="B5466" s="33" t="s">
        <v>6957</v>
      </c>
      <c r="C5466" s="33">
        <v>30</v>
      </c>
    </row>
    <row r="5467" spans="2:3" x14ac:dyDescent="0.25">
      <c r="B5467" s="33" t="s">
        <v>6958</v>
      </c>
      <c r="C5467" s="33">
        <v>30</v>
      </c>
    </row>
    <row r="5468" spans="2:3" x14ac:dyDescent="0.25">
      <c r="B5468" s="33" t="s">
        <v>6959</v>
      </c>
      <c r="C5468" s="33">
        <v>30</v>
      </c>
    </row>
    <row r="5469" spans="2:3" x14ac:dyDescent="0.25">
      <c r="B5469" s="33" t="s">
        <v>6960</v>
      </c>
      <c r="C5469" s="33">
        <v>30</v>
      </c>
    </row>
    <row r="5470" spans="2:3" x14ac:dyDescent="0.25">
      <c r="B5470" s="33" t="s">
        <v>6961</v>
      </c>
      <c r="C5470" s="33">
        <v>30</v>
      </c>
    </row>
    <row r="5471" spans="2:3" x14ac:dyDescent="0.25">
      <c r="B5471" s="33" t="s">
        <v>6962</v>
      </c>
      <c r="C5471" s="33">
        <v>30</v>
      </c>
    </row>
    <row r="5472" spans="2:3" x14ac:dyDescent="0.25">
      <c r="B5472" s="33" t="s">
        <v>6963</v>
      </c>
      <c r="C5472" s="33">
        <v>30</v>
      </c>
    </row>
    <row r="5473" spans="2:3" x14ac:dyDescent="0.25">
      <c r="B5473" s="33" t="s">
        <v>6964</v>
      </c>
      <c r="C5473" s="33">
        <v>30</v>
      </c>
    </row>
    <row r="5474" spans="2:3" x14ac:dyDescent="0.25">
      <c r="B5474" s="33" t="s">
        <v>6965</v>
      </c>
      <c r="C5474" s="33">
        <v>30</v>
      </c>
    </row>
    <row r="5475" spans="2:3" x14ac:dyDescent="0.25">
      <c r="B5475" s="33" t="s">
        <v>6966</v>
      </c>
      <c r="C5475" s="33">
        <v>30</v>
      </c>
    </row>
    <row r="5476" spans="2:3" x14ac:dyDescent="0.25">
      <c r="B5476" s="33" t="s">
        <v>6967</v>
      </c>
      <c r="C5476" s="33">
        <v>30</v>
      </c>
    </row>
    <row r="5477" spans="2:3" x14ac:dyDescent="0.25">
      <c r="B5477" s="33" t="s">
        <v>6968</v>
      </c>
      <c r="C5477" s="33">
        <v>30</v>
      </c>
    </row>
    <row r="5478" spans="2:3" x14ac:dyDescent="0.25">
      <c r="B5478" s="33" t="s">
        <v>6969</v>
      </c>
      <c r="C5478" s="33">
        <v>30</v>
      </c>
    </row>
    <row r="5479" spans="2:3" x14ac:dyDescent="0.25">
      <c r="B5479" s="33" t="s">
        <v>6970</v>
      </c>
      <c r="C5479" s="33">
        <v>30</v>
      </c>
    </row>
    <row r="5480" spans="2:3" x14ac:dyDescent="0.25">
      <c r="B5480" s="33" t="s">
        <v>6971</v>
      </c>
      <c r="C5480" s="33">
        <v>30</v>
      </c>
    </row>
    <row r="5481" spans="2:3" x14ac:dyDescent="0.25">
      <c r="B5481" s="33" t="s">
        <v>6972</v>
      </c>
      <c r="C5481" s="33">
        <v>30</v>
      </c>
    </row>
    <row r="5482" spans="2:3" x14ac:dyDescent="0.25">
      <c r="B5482" s="33" t="s">
        <v>6973</v>
      </c>
      <c r="C5482" s="33">
        <v>30</v>
      </c>
    </row>
    <row r="5483" spans="2:3" x14ac:dyDescent="0.25">
      <c r="B5483" s="33" t="s">
        <v>6974</v>
      </c>
      <c r="C5483" s="33">
        <v>30</v>
      </c>
    </row>
    <row r="5484" spans="2:3" x14ac:dyDescent="0.25">
      <c r="B5484" s="33" t="s">
        <v>6975</v>
      </c>
      <c r="C5484" s="33">
        <v>30</v>
      </c>
    </row>
    <row r="5485" spans="2:3" x14ac:dyDescent="0.25">
      <c r="B5485" s="33" t="s">
        <v>6976</v>
      </c>
      <c r="C5485" s="33">
        <v>30</v>
      </c>
    </row>
    <row r="5486" spans="2:3" x14ac:dyDescent="0.25">
      <c r="B5486" s="33" t="s">
        <v>6977</v>
      </c>
      <c r="C5486" s="33">
        <v>30</v>
      </c>
    </row>
    <row r="5487" spans="2:3" x14ac:dyDescent="0.25">
      <c r="B5487" s="33" t="s">
        <v>6978</v>
      </c>
      <c r="C5487" s="33">
        <v>30</v>
      </c>
    </row>
    <row r="5488" spans="2:3" x14ac:dyDescent="0.25">
      <c r="B5488" s="33" t="s">
        <v>6979</v>
      </c>
      <c r="C5488" s="33">
        <v>30</v>
      </c>
    </row>
    <row r="5489" spans="2:3" x14ac:dyDescent="0.25">
      <c r="B5489" s="33" t="s">
        <v>6980</v>
      </c>
      <c r="C5489" s="33">
        <v>30</v>
      </c>
    </row>
    <row r="5490" spans="2:3" x14ac:dyDescent="0.25">
      <c r="B5490" s="33" t="s">
        <v>6981</v>
      </c>
      <c r="C5490" s="33">
        <v>30</v>
      </c>
    </row>
    <row r="5491" spans="2:3" x14ac:dyDescent="0.25">
      <c r="B5491" s="33" t="s">
        <v>6982</v>
      </c>
      <c r="C5491" s="33">
        <v>30</v>
      </c>
    </row>
    <row r="5492" spans="2:3" x14ac:dyDescent="0.25">
      <c r="B5492" s="33" t="s">
        <v>6983</v>
      </c>
      <c r="C5492" s="33">
        <v>30</v>
      </c>
    </row>
    <row r="5493" spans="2:3" x14ac:dyDescent="0.25">
      <c r="B5493" s="33" t="s">
        <v>6984</v>
      </c>
      <c r="C5493" s="33">
        <v>30</v>
      </c>
    </row>
    <row r="5494" spans="2:3" x14ac:dyDescent="0.25">
      <c r="B5494" s="33" t="s">
        <v>6985</v>
      </c>
      <c r="C5494" s="33">
        <v>30</v>
      </c>
    </row>
    <row r="5495" spans="2:3" x14ac:dyDescent="0.25">
      <c r="B5495" s="33" t="s">
        <v>6986</v>
      </c>
      <c r="C5495" s="33">
        <v>30</v>
      </c>
    </row>
    <row r="5496" spans="2:3" x14ac:dyDescent="0.25">
      <c r="B5496" s="33" t="s">
        <v>6987</v>
      </c>
      <c r="C5496" s="33">
        <v>30</v>
      </c>
    </row>
    <row r="5497" spans="2:3" x14ac:dyDescent="0.25">
      <c r="B5497" s="33" t="s">
        <v>6988</v>
      </c>
      <c r="C5497" s="33">
        <v>30</v>
      </c>
    </row>
    <row r="5498" spans="2:3" x14ac:dyDescent="0.25">
      <c r="B5498" s="33" t="s">
        <v>6989</v>
      </c>
      <c r="C5498" s="33">
        <v>30</v>
      </c>
    </row>
    <row r="5499" spans="2:3" x14ac:dyDescent="0.25">
      <c r="B5499" s="33" t="s">
        <v>6990</v>
      </c>
      <c r="C5499" s="33">
        <v>30</v>
      </c>
    </row>
    <row r="5500" spans="2:3" x14ac:dyDescent="0.25">
      <c r="B5500" s="33" t="s">
        <v>6991</v>
      </c>
      <c r="C5500" s="33">
        <v>30</v>
      </c>
    </row>
    <row r="5501" spans="2:3" x14ac:dyDescent="0.25">
      <c r="B5501" s="33" t="s">
        <v>6992</v>
      </c>
      <c r="C5501" s="33">
        <v>30</v>
      </c>
    </row>
    <row r="5502" spans="2:3" x14ac:dyDescent="0.25">
      <c r="B5502" s="33" t="s">
        <v>6993</v>
      </c>
      <c r="C5502" s="33">
        <v>30</v>
      </c>
    </row>
    <row r="5503" spans="2:3" x14ac:dyDescent="0.25">
      <c r="B5503" s="33" t="s">
        <v>6994</v>
      </c>
      <c r="C5503" s="33">
        <v>30</v>
      </c>
    </row>
    <row r="5504" spans="2:3" x14ac:dyDescent="0.25">
      <c r="B5504" s="33" t="s">
        <v>6995</v>
      </c>
      <c r="C5504" s="33">
        <v>30</v>
      </c>
    </row>
    <row r="5505" spans="2:3" x14ac:dyDescent="0.25">
      <c r="B5505" s="33" t="s">
        <v>6996</v>
      </c>
      <c r="C5505" s="33">
        <v>30</v>
      </c>
    </row>
    <row r="5506" spans="2:3" x14ac:dyDescent="0.25">
      <c r="B5506" s="33" t="s">
        <v>6997</v>
      </c>
      <c r="C5506" s="33">
        <v>30</v>
      </c>
    </row>
    <row r="5507" spans="2:3" x14ac:dyDescent="0.25">
      <c r="B5507" s="33" t="s">
        <v>6998</v>
      </c>
      <c r="C5507" s="33">
        <v>30</v>
      </c>
    </row>
    <row r="5508" spans="2:3" x14ac:dyDescent="0.25">
      <c r="B5508" s="33" t="s">
        <v>6999</v>
      </c>
      <c r="C5508" s="33">
        <v>30</v>
      </c>
    </row>
    <row r="5509" spans="2:3" x14ac:dyDescent="0.25">
      <c r="B5509" s="33" t="s">
        <v>7000</v>
      </c>
      <c r="C5509" s="33">
        <v>30</v>
      </c>
    </row>
    <row r="5510" spans="2:3" x14ac:dyDescent="0.25">
      <c r="B5510" s="33" t="s">
        <v>7001</v>
      </c>
      <c r="C5510" s="33">
        <v>30</v>
      </c>
    </row>
    <row r="5511" spans="2:3" x14ac:dyDescent="0.25">
      <c r="B5511" s="33" t="s">
        <v>7002</v>
      </c>
      <c r="C5511" s="33">
        <v>30</v>
      </c>
    </row>
    <row r="5512" spans="2:3" x14ac:dyDescent="0.25">
      <c r="B5512" s="33" t="s">
        <v>7003</v>
      </c>
      <c r="C5512" s="33">
        <v>30</v>
      </c>
    </row>
    <row r="5513" spans="2:3" x14ac:dyDescent="0.25">
      <c r="B5513" s="33" t="s">
        <v>7004</v>
      </c>
      <c r="C5513" s="33">
        <v>30</v>
      </c>
    </row>
    <row r="5514" spans="2:3" x14ac:dyDescent="0.25">
      <c r="B5514" s="33" t="s">
        <v>7005</v>
      </c>
      <c r="C5514" s="33">
        <v>30</v>
      </c>
    </row>
    <row r="5515" spans="2:3" x14ac:dyDescent="0.25">
      <c r="B5515" s="33" t="s">
        <v>7006</v>
      </c>
      <c r="C5515" s="33">
        <v>30</v>
      </c>
    </row>
    <row r="5516" spans="2:3" x14ac:dyDescent="0.25">
      <c r="B5516" s="33" t="s">
        <v>7007</v>
      </c>
      <c r="C5516" s="33">
        <v>30</v>
      </c>
    </row>
    <row r="5517" spans="2:3" x14ac:dyDescent="0.25">
      <c r="B5517" s="33" t="s">
        <v>7008</v>
      </c>
      <c r="C5517" s="33">
        <v>30</v>
      </c>
    </row>
    <row r="5518" spans="2:3" x14ac:dyDescent="0.25">
      <c r="B5518" s="33" t="s">
        <v>7009</v>
      </c>
      <c r="C5518" s="33">
        <v>30</v>
      </c>
    </row>
    <row r="5519" spans="2:3" x14ac:dyDescent="0.25">
      <c r="B5519" s="33" t="s">
        <v>7010</v>
      </c>
      <c r="C5519" s="33">
        <v>30</v>
      </c>
    </row>
    <row r="5520" spans="2:3" x14ac:dyDescent="0.25">
      <c r="B5520" s="33" t="s">
        <v>7011</v>
      </c>
      <c r="C5520" s="33">
        <v>30</v>
      </c>
    </row>
    <row r="5521" spans="2:3" x14ac:dyDescent="0.25">
      <c r="B5521" s="33" t="s">
        <v>7012</v>
      </c>
      <c r="C5521" s="33">
        <v>30</v>
      </c>
    </row>
    <row r="5522" spans="2:3" x14ac:dyDescent="0.25">
      <c r="B5522" s="33" t="s">
        <v>7013</v>
      </c>
      <c r="C5522" s="33">
        <v>30</v>
      </c>
    </row>
    <row r="5523" spans="2:3" x14ac:dyDescent="0.25">
      <c r="B5523" s="33" t="s">
        <v>7014</v>
      </c>
      <c r="C5523" s="33">
        <v>30</v>
      </c>
    </row>
    <row r="5524" spans="2:3" x14ac:dyDescent="0.25">
      <c r="B5524" s="33" t="s">
        <v>7015</v>
      </c>
      <c r="C5524" s="33">
        <v>30</v>
      </c>
    </row>
    <row r="5525" spans="2:3" x14ac:dyDescent="0.25">
      <c r="B5525" s="33" t="s">
        <v>7016</v>
      </c>
      <c r="C5525" s="33">
        <v>30</v>
      </c>
    </row>
    <row r="5526" spans="2:3" x14ac:dyDescent="0.25">
      <c r="B5526" s="33" t="s">
        <v>7017</v>
      </c>
      <c r="C5526" s="33">
        <v>30</v>
      </c>
    </row>
    <row r="5527" spans="2:3" x14ac:dyDescent="0.25">
      <c r="B5527" s="33" t="s">
        <v>7018</v>
      </c>
      <c r="C5527" s="33">
        <v>30</v>
      </c>
    </row>
    <row r="5528" spans="2:3" x14ac:dyDescent="0.25">
      <c r="B5528" s="33" t="s">
        <v>7019</v>
      </c>
      <c r="C5528" s="33">
        <v>30</v>
      </c>
    </row>
    <row r="5529" spans="2:3" x14ac:dyDescent="0.25">
      <c r="B5529" s="33" t="s">
        <v>7020</v>
      </c>
      <c r="C5529" s="33">
        <v>30</v>
      </c>
    </row>
    <row r="5530" spans="2:3" x14ac:dyDescent="0.25">
      <c r="B5530" s="33" t="s">
        <v>7021</v>
      </c>
      <c r="C5530" s="33">
        <v>30</v>
      </c>
    </row>
    <row r="5531" spans="2:3" x14ac:dyDescent="0.25">
      <c r="B5531" s="33" t="s">
        <v>7022</v>
      </c>
      <c r="C5531" s="33">
        <v>30</v>
      </c>
    </row>
    <row r="5532" spans="2:3" x14ac:dyDescent="0.25">
      <c r="B5532" s="33" t="s">
        <v>7023</v>
      </c>
      <c r="C5532" s="33">
        <v>30</v>
      </c>
    </row>
    <row r="5533" spans="2:3" x14ac:dyDescent="0.25">
      <c r="B5533" s="33" t="s">
        <v>7024</v>
      </c>
      <c r="C5533" s="33">
        <v>30</v>
      </c>
    </row>
    <row r="5534" spans="2:3" x14ac:dyDescent="0.25">
      <c r="B5534" s="33" t="s">
        <v>7025</v>
      </c>
      <c r="C5534" s="33">
        <v>30</v>
      </c>
    </row>
    <row r="5535" spans="2:3" x14ac:dyDescent="0.25">
      <c r="B5535" s="33" t="s">
        <v>7026</v>
      </c>
      <c r="C5535" s="33">
        <v>30</v>
      </c>
    </row>
    <row r="5536" spans="2:3" x14ac:dyDescent="0.25">
      <c r="B5536" s="33" t="s">
        <v>7027</v>
      </c>
      <c r="C5536" s="33">
        <v>30</v>
      </c>
    </row>
    <row r="5537" spans="2:3" x14ac:dyDescent="0.25">
      <c r="B5537" s="33" t="s">
        <v>7028</v>
      </c>
      <c r="C5537" s="33">
        <v>30</v>
      </c>
    </row>
    <row r="5538" spans="2:3" x14ac:dyDescent="0.25">
      <c r="B5538" s="33" t="s">
        <v>7029</v>
      </c>
      <c r="C5538" s="33">
        <v>30</v>
      </c>
    </row>
    <row r="5539" spans="2:3" x14ac:dyDescent="0.25">
      <c r="B5539" s="33" t="s">
        <v>7030</v>
      </c>
      <c r="C5539" s="33">
        <v>30</v>
      </c>
    </row>
    <row r="5540" spans="2:3" x14ac:dyDescent="0.25">
      <c r="B5540" s="33" t="s">
        <v>7031</v>
      </c>
      <c r="C5540" s="33">
        <v>30</v>
      </c>
    </row>
    <row r="5541" spans="2:3" x14ac:dyDescent="0.25">
      <c r="B5541" s="33" t="s">
        <v>7032</v>
      </c>
      <c r="C5541" s="33">
        <v>30</v>
      </c>
    </row>
    <row r="5542" spans="2:3" x14ac:dyDescent="0.25">
      <c r="B5542" s="33" t="s">
        <v>7033</v>
      </c>
      <c r="C5542" s="33">
        <v>30</v>
      </c>
    </row>
    <row r="5543" spans="2:3" x14ac:dyDescent="0.25">
      <c r="B5543" s="33" t="s">
        <v>7034</v>
      </c>
      <c r="C5543" s="33">
        <v>30</v>
      </c>
    </row>
    <row r="5544" spans="2:3" x14ac:dyDescent="0.25">
      <c r="B5544" s="33" t="s">
        <v>7035</v>
      </c>
      <c r="C5544" s="33">
        <v>30</v>
      </c>
    </row>
    <row r="5545" spans="2:3" x14ac:dyDescent="0.25">
      <c r="B5545" s="33" t="s">
        <v>7036</v>
      </c>
      <c r="C5545" s="33">
        <v>30</v>
      </c>
    </row>
    <row r="5546" spans="2:3" x14ac:dyDescent="0.25">
      <c r="B5546" s="33" t="s">
        <v>7037</v>
      </c>
      <c r="C5546" s="33">
        <v>30</v>
      </c>
    </row>
    <row r="5547" spans="2:3" x14ac:dyDescent="0.25">
      <c r="B5547" s="33" t="s">
        <v>7038</v>
      </c>
      <c r="C5547" s="33">
        <v>30</v>
      </c>
    </row>
    <row r="5548" spans="2:3" x14ac:dyDescent="0.25">
      <c r="B5548" s="33" t="s">
        <v>7039</v>
      </c>
      <c r="C5548" s="33">
        <v>30</v>
      </c>
    </row>
    <row r="5549" spans="2:3" x14ac:dyDescent="0.25">
      <c r="B5549" s="33" t="s">
        <v>7040</v>
      </c>
      <c r="C5549" s="33">
        <v>30</v>
      </c>
    </row>
    <row r="5550" spans="2:3" x14ac:dyDescent="0.25">
      <c r="B5550" s="33" t="s">
        <v>7041</v>
      </c>
      <c r="C5550" s="33">
        <v>30</v>
      </c>
    </row>
    <row r="5551" spans="2:3" x14ac:dyDescent="0.25">
      <c r="B5551" s="33" t="s">
        <v>7042</v>
      </c>
      <c r="C5551" s="33">
        <v>30</v>
      </c>
    </row>
    <row r="5552" spans="2:3" x14ac:dyDescent="0.25">
      <c r="B5552" s="33" t="s">
        <v>7043</v>
      </c>
      <c r="C5552" s="33">
        <v>30</v>
      </c>
    </row>
    <row r="5553" spans="2:3" x14ac:dyDescent="0.25">
      <c r="B5553" s="33" t="s">
        <v>7044</v>
      </c>
      <c r="C5553" s="33">
        <v>30</v>
      </c>
    </row>
    <row r="5554" spans="2:3" x14ac:dyDescent="0.25">
      <c r="B5554" s="33" t="s">
        <v>7045</v>
      </c>
      <c r="C5554" s="33">
        <v>30</v>
      </c>
    </row>
    <row r="5555" spans="2:3" x14ac:dyDescent="0.25">
      <c r="B5555" s="33" t="s">
        <v>7046</v>
      </c>
      <c r="C5555" s="33">
        <v>30</v>
      </c>
    </row>
    <row r="5556" spans="2:3" x14ac:dyDescent="0.25">
      <c r="B5556" s="33" t="s">
        <v>7047</v>
      </c>
      <c r="C5556" s="33">
        <v>30</v>
      </c>
    </row>
    <row r="5557" spans="2:3" x14ac:dyDescent="0.25">
      <c r="B5557" s="33" t="s">
        <v>7048</v>
      </c>
      <c r="C5557" s="33">
        <v>30</v>
      </c>
    </row>
    <row r="5558" spans="2:3" x14ac:dyDescent="0.25">
      <c r="B5558" s="33" t="s">
        <v>7049</v>
      </c>
      <c r="C5558" s="33">
        <v>30</v>
      </c>
    </row>
    <row r="5559" spans="2:3" x14ac:dyDescent="0.25">
      <c r="B5559" s="33" t="s">
        <v>7050</v>
      </c>
      <c r="C5559" s="33">
        <v>30</v>
      </c>
    </row>
    <row r="5560" spans="2:3" x14ac:dyDescent="0.25">
      <c r="B5560" s="33" t="s">
        <v>7051</v>
      </c>
      <c r="C5560" s="33">
        <v>30</v>
      </c>
    </row>
    <row r="5561" spans="2:3" x14ac:dyDescent="0.25">
      <c r="B5561" s="33" t="s">
        <v>7052</v>
      </c>
      <c r="C5561" s="33">
        <v>30</v>
      </c>
    </row>
    <row r="5562" spans="2:3" x14ac:dyDescent="0.25">
      <c r="B5562" s="33" t="s">
        <v>7053</v>
      </c>
      <c r="C5562" s="33">
        <v>30</v>
      </c>
    </row>
    <row r="5563" spans="2:3" x14ac:dyDescent="0.25">
      <c r="B5563" s="33" t="s">
        <v>7054</v>
      </c>
      <c r="C5563" s="33">
        <v>30</v>
      </c>
    </row>
    <row r="5564" spans="2:3" x14ac:dyDescent="0.25">
      <c r="B5564" s="33" t="s">
        <v>7055</v>
      </c>
      <c r="C5564" s="33">
        <v>30</v>
      </c>
    </row>
    <row r="5565" spans="2:3" x14ac:dyDescent="0.25">
      <c r="B5565" s="33" t="s">
        <v>7056</v>
      </c>
      <c r="C5565" s="33">
        <v>30</v>
      </c>
    </row>
    <row r="5566" spans="2:3" x14ac:dyDescent="0.25">
      <c r="B5566" s="33" t="s">
        <v>7057</v>
      </c>
      <c r="C5566" s="33">
        <v>30</v>
      </c>
    </row>
    <row r="5567" spans="2:3" x14ac:dyDescent="0.25">
      <c r="B5567" s="33" t="s">
        <v>7058</v>
      </c>
      <c r="C5567" s="33">
        <v>30</v>
      </c>
    </row>
    <row r="5568" spans="2:3" x14ac:dyDescent="0.25">
      <c r="B5568" s="33" t="s">
        <v>7059</v>
      </c>
      <c r="C5568" s="33">
        <v>30</v>
      </c>
    </row>
    <row r="5569" spans="2:3" x14ac:dyDescent="0.25">
      <c r="B5569" s="33" t="s">
        <v>7060</v>
      </c>
      <c r="C5569" s="33">
        <v>30</v>
      </c>
    </row>
    <row r="5570" spans="2:3" x14ac:dyDescent="0.25">
      <c r="B5570" s="33" t="s">
        <v>7061</v>
      </c>
      <c r="C5570" s="33">
        <v>30</v>
      </c>
    </row>
    <row r="5571" spans="2:3" x14ac:dyDescent="0.25">
      <c r="B5571" s="33" t="s">
        <v>7062</v>
      </c>
      <c r="C5571" s="33">
        <v>30</v>
      </c>
    </row>
    <row r="5572" spans="2:3" x14ac:dyDescent="0.25">
      <c r="B5572" s="33" t="s">
        <v>7063</v>
      </c>
      <c r="C5572" s="33">
        <v>30</v>
      </c>
    </row>
    <row r="5573" spans="2:3" x14ac:dyDescent="0.25">
      <c r="B5573" s="33" t="s">
        <v>7064</v>
      </c>
      <c r="C5573" s="33">
        <v>30</v>
      </c>
    </row>
    <row r="5574" spans="2:3" x14ac:dyDescent="0.25">
      <c r="B5574" s="33" t="s">
        <v>7065</v>
      </c>
      <c r="C5574" s="33">
        <v>30</v>
      </c>
    </row>
    <row r="5575" spans="2:3" x14ac:dyDescent="0.25">
      <c r="B5575" s="33" t="s">
        <v>7066</v>
      </c>
      <c r="C5575" s="33">
        <v>30</v>
      </c>
    </row>
    <row r="5576" spans="2:3" x14ac:dyDescent="0.25">
      <c r="B5576" s="33" t="s">
        <v>7067</v>
      </c>
      <c r="C5576" s="33">
        <v>30</v>
      </c>
    </row>
    <row r="5577" spans="2:3" x14ac:dyDescent="0.25">
      <c r="B5577" s="33" t="s">
        <v>7068</v>
      </c>
      <c r="C5577" s="33">
        <v>30</v>
      </c>
    </row>
    <row r="5578" spans="2:3" x14ac:dyDescent="0.25">
      <c r="B5578" s="33" t="s">
        <v>7069</v>
      </c>
      <c r="C5578" s="33">
        <v>30</v>
      </c>
    </row>
    <row r="5579" spans="2:3" x14ac:dyDescent="0.25">
      <c r="B5579" s="33" t="s">
        <v>7070</v>
      </c>
      <c r="C5579" s="33">
        <v>30</v>
      </c>
    </row>
    <row r="5580" spans="2:3" x14ac:dyDescent="0.25">
      <c r="B5580" s="33" t="s">
        <v>7071</v>
      </c>
      <c r="C5580" s="33">
        <v>30</v>
      </c>
    </row>
    <row r="5581" spans="2:3" x14ac:dyDescent="0.25">
      <c r="B5581" s="33" t="s">
        <v>7072</v>
      </c>
      <c r="C5581" s="33">
        <v>30</v>
      </c>
    </row>
    <row r="5582" spans="2:3" x14ac:dyDescent="0.25">
      <c r="B5582" s="33" t="s">
        <v>7073</v>
      </c>
      <c r="C5582" s="33">
        <v>30</v>
      </c>
    </row>
    <row r="5583" spans="2:3" x14ac:dyDescent="0.25">
      <c r="B5583" s="33" t="s">
        <v>7074</v>
      </c>
      <c r="C5583" s="33">
        <v>30</v>
      </c>
    </row>
    <row r="5584" spans="2:3" x14ac:dyDescent="0.25">
      <c r="B5584" s="33" t="s">
        <v>7075</v>
      </c>
      <c r="C5584" s="33">
        <v>30</v>
      </c>
    </row>
    <row r="5585" spans="2:3" x14ac:dyDescent="0.25">
      <c r="B5585" s="33" t="s">
        <v>7076</v>
      </c>
      <c r="C5585" s="33">
        <v>30</v>
      </c>
    </row>
    <row r="5586" spans="2:3" x14ac:dyDescent="0.25">
      <c r="B5586" s="33" t="s">
        <v>7077</v>
      </c>
      <c r="C5586" s="33">
        <v>30</v>
      </c>
    </row>
    <row r="5587" spans="2:3" x14ac:dyDescent="0.25">
      <c r="B5587" s="33" t="s">
        <v>7078</v>
      </c>
      <c r="C5587" s="33">
        <v>30</v>
      </c>
    </row>
    <row r="5588" spans="2:3" x14ac:dyDescent="0.25">
      <c r="B5588" s="33" t="s">
        <v>7079</v>
      </c>
      <c r="C5588" s="33">
        <v>30</v>
      </c>
    </row>
    <row r="5589" spans="2:3" x14ac:dyDescent="0.25">
      <c r="B5589" s="33" t="s">
        <v>7080</v>
      </c>
      <c r="C5589" s="33">
        <v>30</v>
      </c>
    </row>
    <row r="5590" spans="2:3" x14ac:dyDescent="0.25">
      <c r="B5590" s="33" t="s">
        <v>7081</v>
      </c>
      <c r="C5590" s="33">
        <v>30</v>
      </c>
    </row>
    <row r="5591" spans="2:3" x14ac:dyDescent="0.25">
      <c r="B5591" s="33" t="s">
        <v>7082</v>
      </c>
      <c r="C5591" s="33">
        <v>30</v>
      </c>
    </row>
    <row r="5592" spans="2:3" x14ac:dyDescent="0.25">
      <c r="B5592" s="33" t="s">
        <v>7083</v>
      </c>
      <c r="C5592" s="33">
        <v>30</v>
      </c>
    </row>
    <row r="5593" spans="2:3" x14ac:dyDescent="0.25">
      <c r="B5593" s="33" t="s">
        <v>7084</v>
      </c>
      <c r="C5593" s="33">
        <v>30</v>
      </c>
    </row>
    <row r="5594" spans="2:3" x14ac:dyDescent="0.25">
      <c r="B5594" s="33" t="s">
        <v>7085</v>
      </c>
      <c r="C5594" s="33">
        <v>30</v>
      </c>
    </row>
    <row r="5595" spans="2:3" x14ac:dyDescent="0.25">
      <c r="B5595" s="33" t="s">
        <v>7086</v>
      </c>
      <c r="C5595" s="33">
        <v>30</v>
      </c>
    </row>
    <row r="5596" spans="2:3" x14ac:dyDescent="0.25">
      <c r="B5596" s="33" t="s">
        <v>7087</v>
      </c>
      <c r="C5596" s="33">
        <v>30</v>
      </c>
    </row>
    <row r="5597" spans="2:3" x14ac:dyDescent="0.25">
      <c r="B5597" s="33" t="s">
        <v>7088</v>
      </c>
      <c r="C5597" s="33">
        <v>30</v>
      </c>
    </row>
    <row r="5598" spans="2:3" x14ac:dyDescent="0.25">
      <c r="B5598" s="33" t="s">
        <v>7089</v>
      </c>
      <c r="C5598" s="33">
        <v>30</v>
      </c>
    </row>
    <row r="5599" spans="2:3" x14ac:dyDescent="0.25">
      <c r="B5599" s="33" t="s">
        <v>7090</v>
      </c>
      <c r="C5599" s="33">
        <v>30</v>
      </c>
    </row>
    <row r="5600" spans="2:3" x14ac:dyDescent="0.25">
      <c r="B5600" s="33" t="s">
        <v>7091</v>
      </c>
      <c r="C5600" s="33">
        <v>30</v>
      </c>
    </row>
    <row r="5601" spans="2:3" x14ac:dyDescent="0.25">
      <c r="B5601" s="33" t="s">
        <v>7092</v>
      </c>
      <c r="C5601" s="33">
        <v>30</v>
      </c>
    </row>
    <row r="5602" spans="2:3" x14ac:dyDescent="0.25">
      <c r="B5602" s="33" t="s">
        <v>7093</v>
      </c>
      <c r="C5602" s="33">
        <v>30</v>
      </c>
    </row>
    <row r="5603" spans="2:3" x14ac:dyDescent="0.25">
      <c r="B5603" s="33" t="s">
        <v>7094</v>
      </c>
      <c r="C5603" s="33">
        <v>30</v>
      </c>
    </row>
    <row r="5604" spans="2:3" x14ac:dyDescent="0.25">
      <c r="B5604" s="33" t="s">
        <v>7095</v>
      </c>
      <c r="C5604" s="33">
        <v>30</v>
      </c>
    </row>
    <row r="5605" spans="2:3" x14ac:dyDescent="0.25">
      <c r="B5605" s="33" t="s">
        <v>7096</v>
      </c>
      <c r="C5605" s="33">
        <v>30</v>
      </c>
    </row>
    <row r="5606" spans="2:3" x14ac:dyDescent="0.25">
      <c r="B5606" s="33" t="s">
        <v>7097</v>
      </c>
      <c r="C5606" s="33">
        <v>30</v>
      </c>
    </row>
    <row r="5607" spans="2:3" x14ac:dyDescent="0.25">
      <c r="B5607" s="33" t="s">
        <v>7098</v>
      </c>
      <c r="C5607" s="33">
        <v>30</v>
      </c>
    </row>
    <row r="5608" spans="2:3" x14ac:dyDescent="0.25">
      <c r="B5608" s="33" t="s">
        <v>7099</v>
      </c>
      <c r="C5608" s="33">
        <v>30</v>
      </c>
    </row>
    <row r="5609" spans="2:3" x14ac:dyDescent="0.25">
      <c r="B5609" s="33" t="s">
        <v>7100</v>
      </c>
      <c r="C5609" s="33">
        <v>30</v>
      </c>
    </row>
    <row r="5610" spans="2:3" x14ac:dyDescent="0.25">
      <c r="B5610" s="33" t="s">
        <v>7101</v>
      </c>
      <c r="C5610" s="33">
        <v>30</v>
      </c>
    </row>
    <row r="5611" spans="2:3" x14ac:dyDescent="0.25">
      <c r="B5611" s="33" t="s">
        <v>7102</v>
      </c>
      <c r="C5611" s="33">
        <v>30</v>
      </c>
    </row>
    <row r="5612" spans="2:3" x14ac:dyDescent="0.25">
      <c r="B5612" s="33" t="s">
        <v>7103</v>
      </c>
      <c r="C5612" s="33">
        <v>30</v>
      </c>
    </row>
    <row r="5613" spans="2:3" x14ac:dyDescent="0.25">
      <c r="B5613" s="33" t="s">
        <v>7104</v>
      </c>
      <c r="C5613" s="33">
        <v>30</v>
      </c>
    </row>
    <row r="5614" spans="2:3" x14ac:dyDescent="0.25">
      <c r="B5614" s="33" t="s">
        <v>7105</v>
      </c>
      <c r="C5614" s="33">
        <v>30</v>
      </c>
    </row>
    <row r="5615" spans="2:3" x14ac:dyDescent="0.25">
      <c r="B5615" s="33" t="s">
        <v>7106</v>
      </c>
      <c r="C5615" s="33">
        <v>30</v>
      </c>
    </row>
    <row r="5616" spans="2:3" x14ac:dyDescent="0.25">
      <c r="B5616" s="33" t="s">
        <v>7107</v>
      </c>
      <c r="C5616" s="33">
        <v>30</v>
      </c>
    </row>
    <row r="5617" spans="2:3" x14ac:dyDescent="0.25">
      <c r="B5617" s="33" t="s">
        <v>7108</v>
      </c>
      <c r="C5617" s="33">
        <v>30</v>
      </c>
    </row>
    <row r="5618" spans="2:3" x14ac:dyDescent="0.25">
      <c r="B5618" s="33" t="s">
        <v>7109</v>
      </c>
      <c r="C5618" s="33">
        <v>30</v>
      </c>
    </row>
    <row r="5619" spans="2:3" x14ac:dyDescent="0.25">
      <c r="B5619" s="33" t="s">
        <v>7110</v>
      </c>
      <c r="C5619" s="33">
        <v>30</v>
      </c>
    </row>
    <row r="5620" spans="2:3" x14ac:dyDescent="0.25">
      <c r="B5620" s="33" t="s">
        <v>7111</v>
      </c>
      <c r="C5620" s="33">
        <v>30</v>
      </c>
    </row>
    <row r="5621" spans="2:3" x14ac:dyDescent="0.25">
      <c r="B5621" s="33" t="s">
        <v>7112</v>
      </c>
      <c r="C5621" s="33">
        <v>30</v>
      </c>
    </row>
    <row r="5622" spans="2:3" x14ac:dyDescent="0.25">
      <c r="B5622" s="33" t="s">
        <v>7113</v>
      </c>
      <c r="C5622" s="33">
        <v>30</v>
      </c>
    </row>
    <row r="5623" spans="2:3" x14ac:dyDescent="0.25">
      <c r="B5623" s="33" t="s">
        <v>7114</v>
      </c>
      <c r="C5623" s="33">
        <v>30</v>
      </c>
    </row>
    <row r="5624" spans="2:3" x14ac:dyDescent="0.25">
      <c r="B5624" s="33" t="s">
        <v>7115</v>
      </c>
      <c r="C5624" s="33">
        <v>30</v>
      </c>
    </row>
    <row r="5625" spans="2:3" x14ac:dyDescent="0.25">
      <c r="B5625" s="33" t="s">
        <v>7116</v>
      </c>
      <c r="C5625" s="33">
        <v>30</v>
      </c>
    </row>
    <row r="5626" spans="2:3" x14ac:dyDescent="0.25">
      <c r="B5626" s="33" t="s">
        <v>7117</v>
      </c>
      <c r="C5626" s="33">
        <v>30</v>
      </c>
    </row>
    <row r="5627" spans="2:3" x14ac:dyDescent="0.25">
      <c r="B5627" s="33" t="s">
        <v>7118</v>
      </c>
      <c r="C5627" s="33">
        <v>30</v>
      </c>
    </row>
    <row r="5628" spans="2:3" x14ac:dyDescent="0.25">
      <c r="B5628" s="33" t="s">
        <v>7119</v>
      </c>
      <c r="C5628" s="33">
        <v>30</v>
      </c>
    </row>
    <row r="5629" spans="2:3" x14ac:dyDescent="0.25">
      <c r="B5629" s="33" t="s">
        <v>7120</v>
      </c>
      <c r="C5629" s="33">
        <v>30</v>
      </c>
    </row>
    <row r="5630" spans="2:3" x14ac:dyDescent="0.25">
      <c r="B5630" s="33" t="s">
        <v>7121</v>
      </c>
      <c r="C5630" s="33">
        <v>30</v>
      </c>
    </row>
    <row r="5631" spans="2:3" x14ac:dyDescent="0.25">
      <c r="B5631" s="33" t="s">
        <v>7122</v>
      </c>
      <c r="C5631" s="33">
        <v>30</v>
      </c>
    </row>
    <row r="5632" spans="2:3" x14ac:dyDescent="0.25">
      <c r="B5632" s="33" t="s">
        <v>7123</v>
      </c>
      <c r="C5632" s="33">
        <v>30</v>
      </c>
    </row>
    <row r="5633" spans="2:3" x14ac:dyDescent="0.25">
      <c r="B5633" s="33" t="s">
        <v>7124</v>
      </c>
      <c r="C5633" s="33">
        <v>30</v>
      </c>
    </row>
    <row r="5634" spans="2:3" x14ac:dyDescent="0.25">
      <c r="B5634" s="33" t="s">
        <v>7125</v>
      </c>
      <c r="C5634" s="33">
        <v>30</v>
      </c>
    </row>
    <row r="5635" spans="2:3" x14ac:dyDescent="0.25">
      <c r="B5635" s="33" t="s">
        <v>7126</v>
      </c>
      <c r="C5635" s="33">
        <v>30</v>
      </c>
    </row>
    <row r="5636" spans="2:3" x14ac:dyDescent="0.25">
      <c r="B5636" s="33" t="s">
        <v>7127</v>
      </c>
      <c r="C5636" s="33">
        <v>30</v>
      </c>
    </row>
    <row r="5637" spans="2:3" x14ac:dyDescent="0.25">
      <c r="B5637" s="33" t="s">
        <v>7128</v>
      </c>
      <c r="C5637" s="33">
        <v>30</v>
      </c>
    </row>
    <row r="5638" spans="2:3" x14ac:dyDescent="0.25">
      <c r="B5638" s="33" t="s">
        <v>7129</v>
      </c>
      <c r="C5638" s="33">
        <v>30</v>
      </c>
    </row>
    <row r="5639" spans="2:3" x14ac:dyDescent="0.25">
      <c r="B5639" s="33" t="s">
        <v>7130</v>
      </c>
      <c r="C5639" s="33">
        <v>30</v>
      </c>
    </row>
    <row r="5640" spans="2:3" x14ac:dyDescent="0.25">
      <c r="B5640" s="33" t="s">
        <v>7131</v>
      </c>
      <c r="C5640" s="33">
        <v>30</v>
      </c>
    </row>
    <row r="5641" spans="2:3" x14ac:dyDescent="0.25">
      <c r="B5641" s="33" t="s">
        <v>7132</v>
      </c>
      <c r="C5641" s="33">
        <v>30</v>
      </c>
    </row>
    <row r="5642" spans="2:3" x14ac:dyDescent="0.25">
      <c r="B5642" s="33" t="s">
        <v>7133</v>
      </c>
      <c r="C5642" s="33">
        <v>30</v>
      </c>
    </row>
    <row r="5643" spans="2:3" x14ac:dyDescent="0.25">
      <c r="B5643" s="33" t="s">
        <v>7134</v>
      </c>
      <c r="C5643" s="33">
        <v>30</v>
      </c>
    </row>
    <row r="5644" spans="2:3" x14ac:dyDescent="0.25">
      <c r="B5644" s="33" t="s">
        <v>7135</v>
      </c>
      <c r="C5644" s="33">
        <v>30</v>
      </c>
    </row>
    <row r="5645" spans="2:3" x14ac:dyDescent="0.25">
      <c r="B5645" s="33" t="s">
        <v>7136</v>
      </c>
      <c r="C5645" s="33">
        <v>30</v>
      </c>
    </row>
    <row r="5646" spans="2:3" x14ac:dyDescent="0.25">
      <c r="B5646" s="33" t="s">
        <v>7137</v>
      </c>
      <c r="C5646" s="33">
        <v>30</v>
      </c>
    </row>
    <row r="5647" spans="2:3" x14ac:dyDescent="0.25">
      <c r="B5647" s="33" t="s">
        <v>7138</v>
      </c>
      <c r="C5647" s="33">
        <v>30</v>
      </c>
    </row>
    <row r="5648" spans="2:3" x14ac:dyDescent="0.25">
      <c r="B5648" s="33" t="s">
        <v>7139</v>
      </c>
      <c r="C5648" s="33">
        <v>30</v>
      </c>
    </row>
    <row r="5649" spans="2:3" x14ac:dyDescent="0.25">
      <c r="B5649" s="33" t="s">
        <v>7140</v>
      </c>
      <c r="C5649" s="33">
        <v>30</v>
      </c>
    </row>
    <row r="5650" spans="2:3" x14ac:dyDescent="0.25">
      <c r="B5650" s="33" t="s">
        <v>7141</v>
      </c>
      <c r="C5650" s="33">
        <v>30</v>
      </c>
    </row>
    <row r="5651" spans="2:3" x14ac:dyDescent="0.25">
      <c r="B5651" s="33" t="s">
        <v>7142</v>
      </c>
      <c r="C5651" s="33">
        <v>30</v>
      </c>
    </row>
    <row r="5652" spans="2:3" x14ac:dyDescent="0.25">
      <c r="B5652" s="33" t="s">
        <v>7143</v>
      </c>
      <c r="C5652" s="33">
        <v>30</v>
      </c>
    </row>
    <row r="5653" spans="2:3" x14ac:dyDescent="0.25">
      <c r="B5653" s="33" t="s">
        <v>7144</v>
      </c>
      <c r="C5653" s="33">
        <v>30</v>
      </c>
    </row>
    <row r="5654" spans="2:3" x14ac:dyDescent="0.25">
      <c r="B5654" s="33" t="s">
        <v>7145</v>
      </c>
      <c r="C5654" s="33">
        <v>30</v>
      </c>
    </row>
    <row r="5655" spans="2:3" x14ac:dyDescent="0.25">
      <c r="B5655" s="33" t="s">
        <v>7146</v>
      </c>
      <c r="C5655" s="33">
        <v>30</v>
      </c>
    </row>
    <row r="5656" spans="2:3" x14ac:dyDescent="0.25">
      <c r="B5656" s="33" t="s">
        <v>7147</v>
      </c>
      <c r="C5656" s="33">
        <v>30</v>
      </c>
    </row>
    <row r="5657" spans="2:3" x14ac:dyDescent="0.25">
      <c r="B5657" s="33" t="s">
        <v>7148</v>
      </c>
      <c r="C5657" s="33">
        <v>30</v>
      </c>
    </row>
    <row r="5658" spans="2:3" x14ac:dyDescent="0.25">
      <c r="B5658" s="33" t="s">
        <v>7149</v>
      </c>
      <c r="C5658" s="33">
        <v>30</v>
      </c>
    </row>
    <row r="5659" spans="2:3" x14ac:dyDescent="0.25">
      <c r="B5659" s="33" t="s">
        <v>7150</v>
      </c>
      <c r="C5659" s="33">
        <v>30</v>
      </c>
    </row>
    <row r="5660" spans="2:3" x14ac:dyDescent="0.25">
      <c r="B5660" s="33" t="s">
        <v>7151</v>
      </c>
      <c r="C5660" s="33">
        <v>30</v>
      </c>
    </row>
    <row r="5661" spans="2:3" x14ac:dyDescent="0.25">
      <c r="B5661" s="33" t="s">
        <v>7152</v>
      </c>
      <c r="C5661" s="33">
        <v>30</v>
      </c>
    </row>
    <row r="5662" spans="2:3" x14ac:dyDescent="0.25">
      <c r="B5662" s="33" t="s">
        <v>7153</v>
      </c>
      <c r="C5662" s="33">
        <v>30</v>
      </c>
    </row>
    <row r="5663" spans="2:3" x14ac:dyDescent="0.25">
      <c r="B5663" s="33" t="s">
        <v>7154</v>
      </c>
      <c r="C5663" s="33">
        <v>30</v>
      </c>
    </row>
    <row r="5664" spans="2:3" x14ac:dyDescent="0.25">
      <c r="B5664" s="33" t="s">
        <v>7155</v>
      </c>
      <c r="C5664" s="33">
        <v>30</v>
      </c>
    </row>
    <row r="5665" spans="2:3" x14ac:dyDescent="0.25">
      <c r="B5665" s="33" t="s">
        <v>7156</v>
      </c>
      <c r="C5665" s="33">
        <v>30</v>
      </c>
    </row>
    <row r="5666" spans="2:3" x14ac:dyDescent="0.25">
      <c r="B5666" s="33" t="s">
        <v>7157</v>
      </c>
      <c r="C5666" s="33">
        <v>30</v>
      </c>
    </row>
    <row r="5667" spans="2:3" x14ac:dyDescent="0.25">
      <c r="B5667" s="33" t="s">
        <v>7158</v>
      </c>
      <c r="C5667" s="33">
        <v>30</v>
      </c>
    </row>
    <row r="5668" spans="2:3" x14ac:dyDescent="0.25">
      <c r="B5668" s="33" t="s">
        <v>7159</v>
      </c>
      <c r="C5668" s="33">
        <v>30</v>
      </c>
    </row>
    <row r="5669" spans="2:3" x14ac:dyDescent="0.25">
      <c r="B5669" s="33" t="s">
        <v>7160</v>
      </c>
      <c r="C5669" s="33">
        <v>30</v>
      </c>
    </row>
    <row r="5670" spans="2:3" x14ac:dyDescent="0.25">
      <c r="B5670" s="33" t="s">
        <v>7161</v>
      </c>
      <c r="C5670" s="33">
        <v>30</v>
      </c>
    </row>
    <row r="5671" spans="2:3" x14ac:dyDescent="0.25">
      <c r="B5671" s="33" t="s">
        <v>7162</v>
      </c>
      <c r="C5671" s="33">
        <v>30</v>
      </c>
    </row>
    <row r="5672" spans="2:3" x14ac:dyDescent="0.25">
      <c r="B5672" s="33" t="s">
        <v>7163</v>
      </c>
      <c r="C5672" s="33">
        <v>30</v>
      </c>
    </row>
    <row r="5673" spans="2:3" x14ac:dyDescent="0.25">
      <c r="B5673" s="33" t="s">
        <v>7164</v>
      </c>
      <c r="C5673" s="33">
        <v>30</v>
      </c>
    </row>
    <row r="5674" spans="2:3" x14ac:dyDescent="0.25">
      <c r="B5674" s="33" t="s">
        <v>7165</v>
      </c>
      <c r="C5674" s="33">
        <v>30</v>
      </c>
    </row>
    <row r="5675" spans="2:3" x14ac:dyDescent="0.25">
      <c r="B5675" s="33" t="s">
        <v>7166</v>
      </c>
      <c r="C5675" s="33">
        <v>30</v>
      </c>
    </row>
    <row r="5676" spans="2:3" x14ac:dyDescent="0.25">
      <c r="B5676" s="33" t="s">
        <v>7167</v>
      </c>
      <c r="C5676" s="33">
        <v>30</v>
      </c>
    </row>
    <row r="5677" spans="2:3" x14ac:dyDescent="0.25">
      <c r="B5677" s="33" t="s">
        <v>7168</v>
      </c>
      <c r="C5677" s="33">
        <v>30</v>
      </c>
    </row>
    <row r="5678" spans="2:3" x14ac:dyDescent="0.25">
      <c r="B5678" s="33" t="s">
        <v>7169</v>
      </c>
      <c r="C5678" s="33">
        <v>30</v>
      </c>
    </row>
    <row r="5679" spans="2:3" x14ac:dyDescent="0.25">
      <c r="B5679" s="33" t="s">
        <v>7170</v>
      </c>
      <c r="C5679" s="33">
        <v>30</v>
      </c>
    </row>
    <row r="5680" spans="2:3" x14ac:dyDescent="0.25">
      <c r="B5680" s="33" t="s">
        <v>7171</v>
      </c>
      <c r="C5680" s="33">
        <v>30</v>
      </c>
    </row>
    <row r="5681" spans="2:3" x14ac:dyDescent="0.25">
      <c r="B5681" s="33" t="s">
        <v>7172</v>
      </c>
      <c r="C5681" s="33">
        <v>30</v>
      </c>
    </row>
    <row r="5682" spans="2:3" x14ac:dyDescent="0.25">
      <c r="B5682" s="33" t="s">
        <v>7173</v>
      </c>
      <c r="C5682" s="33">
        <v>30</v>
      </c>
    </row>
    <row r="5683" spans="2:3" x14ac:dyDescent="0.25">
      <c r="B5683" s="33" t="s">
        <v>7174</v>
      </c>
      <c r="C5683" s="33">
        <v>30</v>
      </c>
    </row>
    <row r="5684" spans="2:3" x14ac:dyDescent="0.25">
      <c r="B5684" s="33" t="s">
        <v>7175</v>
      </c>
      <c r="C5684" s="33">
        <v>30</v>
      </c>
    </row>
    <row r="5685" spans="2:3" x14ac:dyDescent="0.25">
      <c r="B5685" s="33" t="s">
        <v>7176</v>
      </c>
      <c r="C5685" s="33">
        <v>30</v>
      </c>
    </row>
    <row r="5686" spans="2:3" x14ac:dyDescent="0.25">
      <c r="B5686" s="33" t="s">
        <v>7177</v>
      </c>
      <c r="C5686" s="33">
        <v>30</v>
      </c>
    </row>
    <row r="5687" spans="2:3" x14ac:dyDescent="0.25">
      <c r="B5687" s="33" t="s">
        <v>7178</v>
      </c>
      <c r="C5687" s="33">
        <v>30</v>
      </c>
    </row>
    <row r="5688" spans="2:3" x14ac:dyDescent="0.25">
      <c r="B5688" s="33" t="s">
        <v>7179</v>
      </c>
      <c r="C5688" s="33">
        <v>30</v>
      </c>
    </row>
    <row r="5689" spans="2:3" x14ac:dyDescent="0.25">
      <c r="B5689" s="33" t="s">
        <v>7180</v>
      </c>
      <c r="C5689" s="33">
        <v>30</v>
      </c>
    </row>
    <row r="5690" spans="2:3" x14ac:dyDescent="0.25">
      <c r="B5690" s="33" t="s">
        <v>7181</v>
      </c>
      <c r="C5690" s="33">
        <v>30</v>
      </c>
    </row>
    <row r="5691" spans="2:3" x14ac:dyDescent="0.25">
      <c r="B5691" s="33" t="s">
        <v>7182</v>
      </c>
      <c r="C5691" s="33">
        <v>30</v>
      </c>
    </row>
    <row r="5692" spans="2:3" x14ac:dyDescent="0.25">
      <c r="B5692" s="33" t="s">
        <v>7183</v>
      </c>
      <c r="C5692" s="33">
        <v>30</v>
      </c>
    </row>
    <row r="5693" spans="2:3" x14ac:dyDescent="0.25">
      <c r="B5693" s="33" t="s">
        <v>7184</v>
      </c>
      <c r="C5693" s="33">
        <v>30</v>
      </c>
    </row>
    <row r="5694" spans="2:3" x14ac:dyDescent="0.25">
      <c r="B5694" s="33" t="s">
        <v>7185</v>
      </c>
      <c r="C5694" s="33">
        <v>30</v>
      </c>
    </row>
    <row r="5695" spans="2:3" x14ac:dyDescent="0.25">
      <c r="B5695" s="33" t="s">
        <v>7186</v>
      </c>
      <c r="C5695" s="33">
        <v>30</v>
      </c>
    </row>
    <row r="5696" spans="2:3" x14ac:dyDescent="0.25">
      <c r="B5696" s="33" t="s">
        <v>7187</v>
      </c>
      <c r="C5696" s="33">
        <v>30</v>
      </c>
    </row>
    <row r="5697" spans="2:3" x14ac:dyDescent="0.25">
      <c r="B5697" s="33" t="s">
        <v>7188</v>
      </c>
      <c r="C5697" s="33">
        <v>30</v>
      </c>
    </row>
    <row r="5698" spans="2:3" x14ac:dyDescent="0.25">
      <c r="B5698" s="33" t="s">
        <v>7189</v>
      </c>
      <c r="C5698" s="33">
        <v>30</v>
      </c>
    </row>
    <row r="5699" spans="2:3" x14ac:dyDescent="0.25">
      <c r="B5699" s="33" t="s">
        <v>7190</v>
      </c>
      <c r="C5699" s="33">
        <v>30</v>
      </c>
    </row>
    <row r="5700" spans="2:3" x14ac:dyDescent="0.25">
      <c r="B5700" s="33" t="s">
        <v>7191</v>
      </c>
      <c r="C5700" s="33">
        <v>30</v>
      </c>
    </row>
    <row r="5701" spans="2:3" x14ac:dyDescent="0.25">
      <c r="B5701" s="33" t="s">
        <v>7192</v>
      </c>
      <c r="C5701" s="33">
        <v>30</v>
      </c>
    </row>
    <row r="5702" spans="2:3" x14ac:dyDescent="0.25">
      <c r="B5702" s="33" t="s">
        <v>7193</v>
      </c>
      <c r="C5702" s="33">
        <v>30</v>
      </c>
    </row>
    <row r="5703" spans="2:3" x14ac:dyDescent="0.25">
      <c r="B5703" s="33" t="s">
        <v>7194</v>
      </c>
      <c r="C5703" s="33">
        <v>30</v>
      </c>
    </row>
    <row r="5704" spans="2:3" x14ac:dyDescent="0.25">
      <c r="B5704" s="33" t="s">
        <v>7195</v>
      </c>
      <c r="C5704" s="33">
        <v>30</v>
      </c>
    </row>
    <row r="5705" spans="2:3" x14ac:dyDescent="0.25">
      <c r="B5705" s="33" t="s">
        <v>7196</v>
      </c>
      <c r="C5705" s="33">
        <v>30</v>
      </c>
    </row>
    <row r="5706" spans="2:3" x14ac:dyDescent="0.25">
      <c r="B5706" s="33" t="s">
        <v>7197</v>
      </c>
      <c r="C5706" s="33">
        <v>30</v>
      </c>
    </row>
    <row r="5707" spans="2:3" x14ac:dyDescent="0.25">
      <c r="B5707" s="33" t="s">
        <v>7198</v>
      </c>
      <c r="C5707" s="33">
        <v>30</v>
      </c>
    </row>
    <row r="5708" spans="2:3" x14ac:dyDescent="0.25">
      <c r="B5708" s="33" t="s">
        <v>7199</v>
      </c>
      <c r="C5708" s="33">
        <v>30</v>
      </c>
    </row>
    <row r="5709" spans="2:3" x14ac:dyDescent="0.25">
      <c r="B5709" s="33" t="s">
        <v>7200</v>
      </c>
      <c r="C5709" s="33">
        <v>30</v>
      </c>
    </row>
    <row r="5710" spans="2:3" x14ac:dyDescent="0.25">
      <c r="B5710" s="33" t="s">
        <v>7201</v>
      </c>
      <c r="C5710" s="33">
        <v>30</v>
      </c>
    </row>
    <row r="5711" spans="2:3" x14ac:dyDescent="0.25">
      <c r="B5711" s="33" t="s">
        <v>7202</v>
      </c>
      <c r="C5711" s="33">
        <v>30</v>
      </c>
    </row>
    <row r="5712" spans="2:3" x14ac:dyDescent="0.25">
      <c r="B5712" s="33" t="s">
        <v>7203</v>
      </c>
      <c r="C5712" s="33">
        <v>30</v>
      </c>
    </row>
    <row r="5713" spans="2:3" x14ac:dyDescent="0.25">
      <c r="B5713" s="33" t="s">
        <v>7204</v>
      </c>
      <c r="C5713" s="33">
        <v>30</v>
      </c>
    </row>
    <row r="5714" spans="2:3" x14ac:dyDescent="0.25">
      <c r="B5714" s="33" t="s">
        <v>7205</v>
      </c>
      <c r="C5714" s="33">
        <v>30</v>
      </c>
    </row>
    <row r="5715" spans="2:3" x14ac:dyDescent="0.25">
      <c r="B5715" s="33" t="s">
        <v>7206</v>
      </c>
      <c r="C5715" s="33">
        <v>30</v>
      </c>
    </row>
    <row r="5716" spans="2:3" x14ac:dyDescent="0.25">
      <c r="B5716" s="33" t="s">
        <v>7207</v>
      </c>
      <c r="C5716" s="33">
        <v>30</v>
      </c>
    </row>
    <row r="5717" spans="2:3" x14ac:dyDescent="0.25">
      <c r="B5717" s="33" t="s">
        <v>7208</v>
      </c>
      <c r="C5717" s="33">
        <v>30</v>
      </c>
    </row>
    <row r="5718" spans="2:3" x14ac:dyDescent="0.25">
      <c r="B5718" s="33" t="s">
        <v>7209</v>
      </c>
      <c r="C5718" s="33">
        <v>30</v>
      </c>
    </row>
    <row r="5719" spans="2:3" x14ac:dyDescent="0.25">
      <c r="B5719" s="33" t="s">
        <v>7210</v>
      </c>
      <c r="C5719" s="33">
        <v>30</v>
      </c>
    </row>
    <row r="5720" spans="2:3" x14ac:dyDescent="0.25">
      <c r="B5720" s="33" t="s">
        <v>7211</v>
      </c>
      <c r="C5720" s="33">
        <v>30</v>
      </c>
    </row>
    <row r="5721" spans="2:3" x14ac:dyDescent="0.25">
      <c r="B5721" s="33" t="s">
        <v>7212</v>
      </c>
      <c r="C5721" s="33">
        <v>30</v>
      </c>
    </row>
    <row r="5722" spans="2:3" x14ac:dyDescent="0.25">
      <c r="B5722" s="33" t="s">
        <v>7213</v>
      </c>
      <c r="C5722" s="33">
        <v>30</v>
      </c>
    </row>
    <row r="5723" spans="2:3" x14ac:dyDescent="0.25">
      <c r="B5723" s="33" t="s">
        <v>7214</v>
      </c>
      <c r="C5723" s="33">
        <v>30</v>
      </c>
    </row>
    <row r="5724" spans="2:3" x14ac:dyDescent="0.25">
      <c r="B5724" s="33" t="s">
        <v>7215</v>
      </c>
      <c r="C5724" s="33">
        <v>30</v>
      </c>
    </row>
    <row r="5725" spans="2:3" x14ac:dyDescent="0.25">
      <c r="B5725" s="33" t="s">
        <v>7216</v>
      </c>
      <c r="C5725" s="33">
        <v>30</v>
      </c>
    </row>
    <row r="5726" spans="2:3" x14ac:dyDescent="0.25">
      <c r="B5726" s="33" t="s">
        <v>7217</v>
      </c>
      <c r="C5726" s="33">
        <v>30</v>
      </c>
    </row>
    <row r="5727" spans="2:3" x14ac:dyDescent="0.25">
      <c r="B5727" s="33" t="s">
        <v>7218</v>
      </c>
      <c r="C5727" s="33">
        <v>30</v>
      </c>
    </row>
    <row r="5728" spans="2:3" x14ac:dyDescent="0.25">
      <c r="B5728" s="33" t="s">
        <v>7219</v>
      </c>
      <c r="C5728" s="33">
        <v>30</v>
      </c>
    </row>
    <row r="5729" spans="2:3" x14ac:dyDescent="0.25">
      <c r="B5729" s="33" t="s">
        <v>7220</v>
      </c>
      <c r="C5729" s="33">
        <v>30</v>
      </c>
    </row>
    <row r="5730" spans="2:3" x14ac:dyDescent="0.25">
      <c r="B5730" s="33" t="s">
        <v>7221</v>
      </c>
      <c r="C5730" s="33">
        <v>30</v>
      </c>
    </row>
    <row r="5731" spans="2:3" x14ac:dyDescent="0.25">
      <c r="B5731" s="33" t="s">
        <v>7222</v>
      </c>
      <c r="C5731" s="33">
        <v>30</v>
      </c>
    </row>
    <row r="5732" spans="2:3" x14ac:dyDescent="0.25">
      <c r="B5732" s="33" t="s">
        <v>7223</v>
      </c>
      <c r="C5732" s="33">
        <v>30</v>
      </c>
    </row>
    <row r="5733" spans="2:3" x14ac:dyDescent="0.25">
      <c r="B5733" s="33" t="s">
        <v>7224</v>
      </c>
      <c r="C5733" s="33">
        <v>30</v>
      </c>
    </row>
    <row r="5734" spans="2:3" x14ac:dyDescent="0.25">
      <c r="B5734" s="33" t="s">
        <v>7225</v>
      </c>
      <c r="C5734" s="33">
        <v>30</v>
      </c>
    </row>
    <row r="5735" spans="2:3" x14ac:dyDescent="0.25">
      <c r="B5735" s="33" t="s">
        <v>7226</v>
      </c>
      <c r="C5735" s="33">
        <v>30</v>
      </c>
    </row>
    <row r="5736" spans="2:3" x14ac:dyDescent="0.25">
      <c r="B5736" s="33" t="s">
        <v>7227</v>
      </c>
      <c r="C5736" s="33">
        <v>30</v>
      </c>
    </row>
    <row r="5737" spans="2:3" x14ac:dyDescent="0.25">
      <c r="B5737" s="33" t="s">
        <v>7228</v>
      </c>
      <c r="C5737" s="33">
        <v>30</v>
      </c>
    </row>
    <row r="5738" spans="2:3" x14ac:dyDescent="0.25">
      <c r="B5738" s="33" t="s">
        <v>7229</v>
      </c>
      <c r="C5738" s="33">
        <v>30</v>
      </c>
    </row>
    <row r="5739" spans="2:3" x14ac:dyDescent="0.25">
      <c r="B5739" s="33" t="s">
        <v>7230</v>
      </c>
      <c r="C5739" s="33">
        <v>30</v>
      </c>
    </row>
    <row r="5740" spans="2:3" x14ac:dyDescent="0.25">
      <c r="B5740" s="33" t="s">
        <v>7231</v>
      </c>
      <c r="C5740" s="33">
        <v>30</v>
      </c>
    </row>
    <row r="5741" spans="2:3" x14ac:dyDescent="0.25">
      <c r="B5741" s="33" t="s">
        <v>7232</v>
      </c>
      <c r="C5741" s="33">
        <v>30</v>
      </c>
    </row>
    <row r="5742" spans="2:3" x14ac:dyDescent="0.25">
      <c r="B5742" s="33" t="s">
        <v>7233</v>
      </c>
      <c r="C5742" s="33">
        <v>30</v>
      </c>
    </row>
    <row r="5743" spans="2:3" x14ac:dyDescent="0.25">
      <c r="B5743" s="33" t="s">
        <v>7234</v>
      </c>
      <c r="C5743" s="33">
        <v>30</v>
      </c>
    </row>
    <row r="5744" spans="2:3" x14ac:dyDescent="0.25">
      <c r="B5744" s="33" t="s">
        <v>7235</v>
      </c>
      <c r="C5744" s="33">
        <v>30</v>
      </c>
    </row>
    <row r="5745" spans="2:3" x14ac:dyDescent="0.25">
      <c r="B5745" s="33" t="s">
        <v>7236</v>
      </c>
      <c r="C5745" s="33">
        <v>30</v>
      </c>
    </row>
    <row r="5746" spans="2:3" x14ac:dyDescent="0.25">
      <c r="B5746" s="33" t="s">
        <v>7237</v>
      </c>
      <c r="C5746" s="33">
        <v>30</v>
      </c>
    </row>
    <row r="5747" spans="2:3" x14ac:dyDescent="0.25">
      <c r="B5747" s="33" t="s">
        <v>7238</v>
      </c>
      <c r="C5747" s="33">
        <v>30</v>
      </c>
    </row>
    <row r="5748" spans="2:3" x14ac:dyDescent="0.25">
      <c r="B5748" s="33" t="s">
        <v>7239</v>
      </c>
      <c r="C5748" s="33">
        <v>30</v>
      </c>
    </row>
    <row r="5749" spans="2:3" x14ac:dyDescent="0.25">
      <c r="B5749" s="33" t="s">
        <v>7240</v>
      </c>
      <c r="C5749" s="33">
        <v>30</v>
      </c>
    </row>
    <row r="5750" spans="2:3" x14ac:dyDescent="0.25">
      <c r="B5750" s="33" t="s">
        <v>7241</v>
      </c>
      <c r="C5750" s="33">
        <v>30</v>
      </c>
    </row>
    <row r="5751" spans="2:3" x14ac:dyDescent="0.25">
      <c r="B5751" s="33" t="s">
        <v>7242</v>
      </c>
      <c r="C5751" s="33">
        <v>30</v>
      </c>
    </row>
    <row r="5752" spans="2:3" x14ac:dyDescent="0.25">
      <c r="B5752" s="33" t="s">
        <v>7243</v>
      </c>
      <c r="C5752" s="33">
        <v>30</v>
      </c>
    </row>
    <row r="5753" spans="2:3" x14ac:dyDescent="0.25">
      <c r="B5753" s="33" t="s">
        <v>7244</v>
      </c>
      <c r="C5753" s="33">
        <v>30</v>
      </c>
    </row>
    <row r="5754" spans="2:3" x14ac:dyDescent="0.25">
      <c r="B5754" s="33" t="s">
        <v>7245</v>
      </c>
      <c r="C5754" s="33">
        <v>30</v>
      </c>
    </row>
    <row r="5755" spans="2:3" x14ac:dyDescent="0.25">
      <c r="B5755" s="33" t="s">
        <v>7246</v>
      </c>
      <c r="C5755" s="33">
        <v>30</v>
      </c>
    </row>
    <row r="5756" spans="2:3" x14ac:dyDescent="0.25">
      <c r="B5756" s="33" t="s">
        <v>7247</v>
      </c>
      <c r="C5756" s="33">
        <v>30</v>
      </c>
    </row>
    <row r="5757" spans="2:3" x14ac:dyDescent="0.25">
      <c r="B5757" s="33" t="s">
        <v>7248</v>
      </c>
      <c r="C5757" s="33">
        <v>30</v>
      </c>
    </row>
    <row r="5758" spans="2:3" x14ac:dyDescent="0.25">
      <c r="B5758" s="33" t="s">
        <v>7249</v>
      </c>
      <c r="C5758" s="33">
        <v>30</v>
      </c>
    </row>
    <row r="5759" spans="2:3" x14ac:dyDescent="0.25">
      <c r="B5759" s="33" t="s">
        <v>7250</v>
      </c>
      <c r="C5759" s="33">
        <v>30</v>
      </c>
    </row>
    <row r="5760" spans="2:3" x14ac:dyDescent="0.25">
      <c r="B5760" s="33" t="s">
        <v>7251</v>
      </c>
      <c r="C5760" s="33">
        <v>30</v>
      </c>
    </row>
    <row r="5761" spans="2:3" x14ac:dyDescent="0.25">
      <c r="B5761" s="33" t="s">
        <v>7252</v>
      </c>
      <c r="C5761" s="33">
        <v>30</v>
      </c>
    </row>
    <row r="5762" spans="2:3" x14ac:dyDescent="0.25">
      <c r="B5762" s="33" t="s">
        <v>7253</v>
      </c>
      <c r="C5762" s="33">
        <v>30</v>
      </c>
    </row>
    <row r="5763" spans="2:3" x14ac:dyDescent="0.25">
      <c r="B5763" s="33" t="s">
        <v>7254</v>
      </c>
      <c r="C5763" s="33">
        <v>30</v>
      </c>
    </row>
    <row r="5764" spans="2:3" x14ac:dyDescent="0.25">
      <c r="B5764" s="33" t="s">
        <v>7255</v>
      </c>
      <c r="C5764" s="33">
        <v>30</v>
      </c>
    </row>
    <row r="5765" spans="2:3" x14ac:dyDescent="0.25">
      <c r="B5765" s="33" t="s">
        <v>7256</v>
      </c>
      <c r="C5765" s="33">
        <v>30</v>
      </c>
    </row>
    <row r="5766" spans="2:3" x14ac:dyDescent="0.25">
      <c r="B5766" s="33" t="s">
        <v>7257</v>
      </c>
      <c r="C5766" s="33">
        <v>30</v>
      </c>
    </row>
    <row r="5767" spans="2:3" x14ac:dyDescent="0.25">
      <c r="B5767" s="33" t="s">
        <v>7258</v>
      </c>
      <c r="C5767" s="33">
        <v>30</v>
      </c>
    </row>
    <row r="5768" spans="2:3" x14ac:dyDescent="0.25">
      <c r="B5768" s="33" t="s">
        <v>7259</v>
      </c>
      <c r="C5768" s="33">
        <v>30</v>
      </c>
    </row>
    <row r="5769" spans="2:3" x14ac:dyDescent="0.25">
      <c r="B5769" s="33" t="s">
        <v>7260</v>
      </c>
      <c r="C5769" s="33">
        <v>30</v>
      </c>
    </row>
    <row r="5770" spans="2:3" x14ac:dyDescent="0.25">
      <c r="B5770" s="33" t="s">
        <v>7261</v>
      </c>
      <c r="C5770" s="33">
        <v>30</v>
      </c>
    </row>
    <row r="5771" spans="2:3" x14ac:dyDescent="0.25">
      <c r="B5771" s="33" t="s">
        <v>7262</v>
      </c>
      <c r="C5771" s="33">
        <v>30</v>
      </c>
    </row>
    <row r="5772" spans="2:3" x14ac:dyDescent="0.25">
      <c r="B5772" s="33" t="s">
        <v>7263</v>
      </c>
      <c r="C5772" s="33">
        <v>30</v>
      </c>
    </row>
    <row r="5773" spans="2:3" x14ac:dyDescent="0.25">
      <c r="B5773" s="33" t="s">
        <v>7264</v>
      </c>
      <c r="C5773" s="33">
        <v>30</v>
      </c>
    </row>
    <row r="5774" spans="2:3" x14ac:dyDescent="0.25">
      <c r="B5774" s="33" t="s">
        <v>7265</v>
      </c>
      <c r="C5774" s="33">
        <v>30</v>
      </c>
    </row>
    <row r="5775" spans="2:3" x14ac:dyDescent="0.25">
      <c r="B5775" s="33" t="s">
        <v>7266</v>
      </c>
      <c r="C5775" s="33">
        <v>30</v>
      </c>
    </row>
    <row r="5776" spans="2:3" x14ac:dyDescent="0.25">
      <c r="B5776" s="33" t="s">
        <v>7267</v>
      </c>
      <c r="C5776" s="33">
        <v>30</v>
      </c>
    </row>
    <row r="5777" spans="2:3" x14ac:dyDescent="0.25">
      <c r="B5777" s="33" t="s">
        <v>7268</v>
      </c>
      <c r="C5777" s="33">
        <v>30</v>
      </c>
    </row>
    <row r="5778" spans="2:3" x14ac:dyDescent="0.25">
      <c r="B5778" s="33" t="s">
        <v>7269</v>
      </c>
      <c r="C5778" s="33">
        <v>30</v>
      </c>
    </row>
    <row r="5779" spans="2:3" x14ac:dyDescent="0.25">
      <c r="B5779" s="33" t="s">
        <v>7270</v>
      </c>
      <c r="C5779" s="33">
        <v>30</v>
      </c>
    </row>
    <row r="5780" spans="2:3" x14ac:dyDescent="0.25">
      <c r="B5780" s="33" t="s">
        <v>7271</v>
      </c>
      <c r="C5780" s="33">
        <v>30</v>
      </c>
    </row>
    <row r="5781" spans="2:3" x14ac:dyDescent="0.25">
      <c r="B5781" s="33" t="s">
        <v>7272</v>
      </c>
      <c r="C5781" s="33">
        <v>30</v>
      </c>
    </row>
    <row r="5782" spans="2:3" x14ac:dyDescent="0.25">
      <c r="B5782" s="33" t="s">
        <v>7273</v>
      </c>
      <c r="C5782" s="33">
        <v>30</v>
      </c>
    </row>
    <row r="5783" spans="2:3" x14ac:dyDescent="0.25">
      <c r="B5783" s="33" t="s">
        <v>7274</v>
      </c>
      <c r="C5783" s="33">
        <v>30</v>
      </c>
    </row>
    <row r="5784" spans="2:3" x14ac:dyDescent="0.25">
      <c r="B5784" s="33" t="s">
        <v>7275</v>
      </c>
      <c r="C5784" s="33">
        <v>30</v>
      </c>
    </row>
    <row r="5785" spans="2:3" x14ac:dyDescent="0.25">
      <c r="B5785" s="33" t="s">
        <v>7276</v>
      </c>
      <c r="C5785" s="33">
        <v>30</v>
      </c>
    </row>
    <row r="5786" spans="2:3" x14ac:dyDescent="0.25">
      <c r="B5786" s="33" t="s">
        <v>7277</v>
      </c>
      <c r="C5786" s="33">
        <v>30</v>
      </c>
    </row>
    <row r="5787" spans="2:3" x14ac:dyDescent="0.25">
      <c r="B5787" s="33" t="s">
        <v>7278</v>
      </c>
      <c r="C5787" s="33">
        <v>30</v>
      </c>
    </row>
    <row r="5788" spans="2:3" x14ac:dyDescent="0.25">
      <c r="B5788" s="33" t="s">
        <v>7279</v>
      </c>
      <c r="C5788" s="33">
        <v>30</v>
      </c>
    </row>
    <row r="5789" spans="2:3" x14ac:dyDescent="0.25">
      <c r="B5789" s="33" t="s">
        <v>7280</v>
      </c>
      <c r="C5789" s="33">
        <v>30</v>
      </c>
    </row>
    <row r="5790" spans="2:3" x14ac:dyDescent="0.25">
      <c r="B5790" s="33" t="s">
        <v>7281</v>
      </c>
      <c r="C5790" s="33">
        <v>30</v>
      </c>
    </row>
    <row r="5791" spans="2:3" x14ac:dyDescent="0.25">
      <c r="B5791" s="33" t="s">
        <v>7282</v>
      </c>
      <c r="C5791" s="33">
        <v>30</v>
      </c>
    </row>
    <row r="5792" spans="2:3" x14ac:dyDescent="0.25">
      <c r="B5792" s="33" t="s">
        <v>7283</v>
      </c>
      <c r="C5792" s="33">
        <v>30</v>
      </c>
    </row>
    <row r="5793" spans="2:3" x14ac:dyDescent="0.25">
      <c r="B5793" s="33" t="s">
        <v>7284</v>
      </c>
      <c r="C5793" s="33">
        <v>30</v>
      </c>
    </row>
    <row r="5794" spans="2:3" x14ac:dyDescent="0.25">
      <c r="B5794" s="33" t="s">
        <v>7285</v>
      </c>
      <c r="C5794" s="33">
        <v>30</v>
      </c>
    </row>
    <row r="5795" spans="2:3" x14ac:dyDescent="0.25">
      <c r="B5795" s="33" t="s">
        <v>7286</v>
      </c>
      <c r="C5795" s="33">
        <v>30</v>
      </c>
    </row>
    <row r="5796" spans="2:3" x14ac:dyDescent="0.25">
      <c r="B5796" s="33" t="s">
        <v>7287</v>
      </c>
      <c r="C5796" s="33">
        <v>30</v>
      </c>
    </row>
    <row r="5797" spans="2:3" x14ac:dyDescent="0.25">
      <c r="B5797" s="33" t="s">
        <v>7288</v>
      </c>
      <c r="C5797" s="33">
        <v>30</v>
      </c>
    </row>
    <row r="5798" spans="2:3" x14ac:dyDescent="0.25">
      <c r="B5798" s="33" t="s">
        <v>7289</v>
      </c>
      <c r="C5798" s="33">
        <v>30</v>
      </c>
    </row>
    <row r="5799" spans="2:3" x14ac:dyDescent="0.25">
      <c r="B5799" s="33" t="s">
        <v>7290</v>
      </c>
      <c r="C5799" s="33">
        <v>30</v>
      </c>
    </row>
    <row r="5800" spans="2:3" x14ac:dyDescent="0.25">
      <c r="B5800" s="33" t="s">
        <v>7291</v>
      </c>
      <c r="C5800" s="33">
        <v>30</v>
      </c>
    </row>
    <row r="5801" spans="2:3" x14ac:dyDescent="0.25">
      <c r="B5801" s="33" t="s">
        <v>7292</v>
      </c>
      <c r="C5801" s="33">
        <v>30</v>
      </c>
    </row>
    <row r="5802" spans="2:3" x14ac:dyDescent="0.25">
      <c r="B5802" s="33" t="s">
        <v>7293</v>
      </c>
      <c r="C5802" s="33">
        <v>30</v>
      </c>
    </row>
    <row r="5803" spans="2:3" x14ac:dyDescent="0.25">
      <c r="B5803" s="33" t="s">
        <v>7294</v>
      </c>
      <c r="C5803" s="33">
        <v>30</v>
      </c>
    </row>
    <row r="5804" spans="2:3" x14ac:dyDescent="0.25">
      <c r="B5804" s="33" t="s">
        <v>7295</v>
      </c>
      <c r="C5804" s="33">
        <v>30</v>
      </c>
    </row>
    <row r="5805" spans="2:3" x14ac:dyDescent="0.25">
      <c r="B5805" s="33" t="s">
        <v>7296</v>
      </c>
      <c r="C5805" s="33">
        <v>30</v>
      </c>
    </row>
    <row r="5806" spans="2:3" x14ac:dyDescent="0.25">
      <c r="B5806" s="33" t="s">
        <v>7297</v>
      </c>
      <c r="C5806" s="33">
        <v>30</v>
      </c>
    </row>
    <row r="5807" spans="2:3" x14ac:dyDescent="0.25">
      <c r="B5807" s="33" t="s">
        <v>7298</v>
      </c>
      <c r="C5807" s="33">
        <v>30</v>
      </c>
    </row>
    <row r="5808" spans="2:3" x14ac:dyDescent="0.25">
      <c r="B5808" s="33" t="s">
        <v>7299</v>
      </c>
      <c r="C5808" s="33">
        <v>30</v>
      </c>
    </row>
    <row r="5809" spans="2:3" x14ac:dyDescent="0.25">
      <c r="B5809" s="33" t="s">
        <v>7300</v>
      </c>
      <c r="C5809" s="33">
        <v>30</v>
      </c>
    </row>
    <row r="5810" spans="2:3" x14ac:dyDescent="0.25">
      <c r="B5810" s="33" t="s">
        <v>7301</v>
      </c>
      <c r="C5810" s="33">
        <v>30</v>
      </c>
    </row>
    <row r="5811" spans="2:3" x14ac:dyDescent="0.25">
      <c r="B5811" s="33" t="s">
        <v>7302</v>
      </c>
      <c r="C5811" s="33">
        <v>30</v>
      </c>
    </row>
    <row r="5812" spans="2:3" x14ac:dyDescent="0.25">
      <c r="B5812" s="33" t="s">
        <v>7303</v>
      </c>
      <c r="C5812" s="33">
        <v>30</v>
      </c>
    </row>
    <row r="5813" spans="2:3" x14ac:dyDescent="0.25">
      <c r="B5813" s="33" t="s">
        <v>7304</v>
      </c>
      <c r="C5813" s="33">
        <v>30</v>
      </c>
    </row>
    <row r="5814" spans="2:3" x14ac:dyDescent="0.25">
      <c r="B5814" s="33" t="s">
        <v>7305</v>
      </c>
      <c r="C5814" s="33">
        <v>30</v>
      </c>
    </row>
    <row r="5815" spans="2:3" x14ac:dyDescent="0.25">
      <c r="B5815" s="33" t="s">
        <v>7306</v>
      </c>
      <c r="C5815" s="33">
        <v>30</v>
      </c>
    </row>
    <row r="5816" spans="2:3" x14ac:dyDescent="0.25">
      <c r="B5816" s="33" t="s">
        <v>7307</v>
      </c>
      <c r="C5816" s="33">
        <v>30</v>
      </c>
    </row>
    <row r="5817" spans="2:3" x14ac:dyDescent="0.25">
      <c r="B5817" s="33" t="s">
        <v>7308</v>
      </c>
      <c r="C5817" s="33">
        <v>30</v>
      </c>
    </row>
    <row r="5818" spans="2:3" x14ac:dyDescent="0.25">
      <c r="B5818" s="33" t="s">
        <v>7309</v>
      </c>
      <c r="C5818" s="33">
        <v>30</v>
      </c>
    </row>
    <row r="5819" spans="2:3" x14ac:dyDescent="0.25">
      <c r="B5819" s="33" t="s">
        <v>7310</v>
      </c>
      <c r="C5819" s="33">
        <v>30</v>
      </c>
    </row>
    <row r="5820" spans="2:3" x14ac:dyDescent="0.25">
      <c r="B5820" s="33" t="s">
        <v>7311</v>
      </c>
      <c r="C5820" s="33">
        <v>30</v>
      </c>
    </row>
    <row r="5821" spans="2:3" x14ac:dyDescent="0.25">
      <c r="B5821" s="33" t="s">
        <v>7312</v>
      </c>
      <c r="C5821" s="33">
        <v>30</v>
      </c>
    </row>
    <row r="5822" spans="2:3" x14ac:dyDescent="0.25">
      <c r="B5822" s="33" t="s">
        <v>7313</v>
      </c>
      <c r="C5822" s="33">
        <v>30</v>
      </c>
    </row>
    <row r="5823" spans="2:3" x14ac:dyDescent="0.25">
      <c r="B5823" s="33" t="s">
        <v>7314</v>
      </c>
      <c r="C5823" s="33">
        <v>30</v>
      </c>
    </row>
    <row r="5824" spans="2:3" x14ac:dyDescent="0.25">
      <c r="B5824" s="33" t="s">
        <v>7315</v>
      </c>
      <c r="C5824" s="33">
        <v>30</v>
      </c>
    </row>
    <row r="5825" spans="2:3" x14ac:dyDescent="0.25">
      <c r="B5825" s="33" t="s">
        <v>7316</v>
      </c>
      <c r="C5825" s="33">
        <v>30</v>
      </c>
    </row>
    <row r="5826" spans="2:3" x14ac:dyDescent="0.25">
      <c r="B5826" s="33" t="s">
        <v>7317</v>
      </c>
      <c r="C5826" s="33">
        <v>30</v>
      </c>
    </row>
    <row r="5827" spans="2:3" x14ac:dyDescent="0.25">
      <c r="B5827" s="33" t="s">
        <v>7318</v>
      </c>
      <c r="C5827" s="33">
        <v>30</v>
      </c>
    </row>
    <row r="5828" spans="2:3" x14ac:dyDescent="0.25">
      <c r="B5828" s="33" t="s">
        <v>7319</v>
      </c>
      <c r="C5828" s="33">
        <v>30</v>
      </c>
    </row>
    <row r="5829" spans="2:3" x14ac:dyDescent="0.25">
      <c r="B5829" s="33" t="s">
        <v>7320</v>
      </c>
      <c r="C5829" s="33">
        <v>30</v>
      </c>
    </row>
    <row r="5830" spans="2:3" x14ac:dyDescent="0.25">
      <c r="B5830" s="33" t="s">
        <v>7321</v>
      </c>
      <c r="C5830" s="33">
        <v>30</v>
      </c>
    </row>
    <row r="5831" spans="2:3" x14ac:dyDescent="0.25">
      <c r="B5831" s="33" t="s">
        <v>7322</v>
      </c>
      <c r="C5831" s="33">
        <v>30</v>
      </c>
    </row>
    <row r="5832" spans="2:3" x14ac:dyDescent="0.25">
      <c r="B5832" s="33" t="s">
        <v>7323</v>
      </c>
      <c r="C5832" s="33">
        <v>30</v>
      </c>
    </row>
    <row r="5833" spans="2:3" x14ac:dyDescent="0.25">
      <c r="B5833" s="33" t="s">
        <v>7324</v>
      </c>
      <c r="C5833" s="33">
        <v>30</v>
      </c>
    </row>
    <row r="5834" spans="2:3" x14ac:dyDescent="0.25">
      <c r="B5834" s="33" t="s">
        <v>7325</v>
      </c>
      <c r="C5834" s="33">
        <v>30</v>
      </c>
    </row>
    <row r="5835" spans="2:3" x14ac:dyDescent="0.25">
      <c r="B5835" s="33" t="s">
        <v>7326</v>
      </c>
      <c r="C5835" s="33">
        <v>30</v>
      </c>
    </row>
    <row r="5836" spans="2:3" x14ac:dyDescent="0.25">
      <c r="B5836" s="33" t="s">
        <v>7327</v>
      </c>
      <c r="C5836" s="33">
        <v>30</v>
      </c>
    </row>
    <row r="5837" spans="2:3" x14ac:dyDescent="0.25">
      <c r="B5837" s="33" t="s">
        <v>7328</v>
      </c>
      <c r="C5837" s="33">
        <v>30</v>
      </c>
    </row>
    <row r="5838" spans="2:3" x14ac:dyDescent="0.25">
      <c r="B5838" s="33" t="s">
        <v>7329</v>
      </c>
      <c r="C5838" s="33">
        <v>30</v>
      </c>
    </row>
    <row r="5839" spans="2:3" x14ac:dyDescent="0.25">
      <c r="B5839" s="33" t="s">
        <v>7330</v>
      </c>
      <c r="C5839" s="33">
        <v>30</v>
      </c>
    </row>
    <row r="5840" spans="2:3" x14ac:dyDescent="0.25">
      <c r="B5840" s="33" t="s">
        <v>7331</v>
      </c>
      <c r="C5840" s="33">
        <v>30</v>
      </c>
    </row>
    <row r="5841" spans="2:3" x14ac:dyDescent="0.25">
      <c r="B5841" s="33" t="s">
        <v>7332</v>
      </c>
      <c r="C5841" s="33">
        <v>30</v>
      </c>
    </row>
    <row r="5842" spans="2:3" x14ac:dyDescent="0.25">
      <c r="B5842" s="33" t="s">
        <v>7333</v>
      </c>
      <c r="C5842" s="33">
        <v>30</v>
      </c>
    </row>
    <row r="5843" spans="2:3" x14ac:dyDescent="0.25">
      <c r="B5843" s="33" t="s">
        <v>7334</v>
      </c>
      <c r="C5843" s="33">
        <v>30</v>
      </c>
    </row>
    <row r="5844" spans="2:3" x14ac:dyDescent="0.25">
      <c r="B5844" s="33" t="s">
        <v>7335</v>
      </c>
      <c r="C5844" s="33">
        <v>30</v>
      </c>
    </row>
    <row r="5845" spans="2:3" x14ac:dyDescent="0.25">
      <c r="B5845" s="33" t="s">
        <v>7336</v>
      </c>
      <c r="C5845" s="33">
        <v>30</v>
      </c>
    </row>
    <row r="5846" spans="2:3" x14ac:dyDescent="0.25">
      <c r="B5846" s="33" t="s">
        <v>7337</v>
      </c>
      <c r="C5846" s="33">
        <v>30</v>
      </c>
    </row>
    <row r="5847" spans="2:3" x14ac:dyDescent="0.25">
      <c r="B5847" s="33" t="s">
        <v>7338</v>
      </c>
      <c r="C5847" s="33">
        <v>30</v>
      </c>
    </row>
    <row r="5848" spans="2:3" x14ac:dyDescent="0.25">
      <c r="B5848" s="33" t="s">
        <v>7339</v>
      </c>
      <c r="C5848" s="33">
        <v>30</v>
      </c>
    </row>
    <row r="5849" spans="2:3" x14ac:dyDescent="0.25">
      <c r="B5849" s="33" t="s">
        <v>7340</v>
      </c>
      <c r="C5849" s="33">
        <v>30</v>
      </c>
    </row>
    <row r="5850" spans="2:3" x14ac:dyDescent="0.25">
      <c r="B5850" s="33" t="s">
        <v>7341</v>
      </c>
      <c r="C5850" s="33">
        <v>30</v>
      </c>
    </row>
    <row r="5851" spans="2:3" x14ac:dyDescent="0.25">
      <c r="B5851" s="33" t="s">
        <v>7342</v>
      </c>
      <c r="C5851" s="33">
        <v>30</v>
      </c>
    </row>
    <row r="5852" spans="2:3" x14ac:dyDescent="0.25">
      <c r="B5852" s="33" t="s">
        <v>7343</v>
      </c>
      <c r="C5852" s="33">
        <v>30</v>
      </c>
    </row>
    <row r="5853" spans="2:3" x14ac:dyDescent="0.25">
      <c r="B5853" s="33" t="s">
        <v>7344</v>
      </c>
      <c r="C5853" s="33">
        <v>30</v>
      </c>
    </row>
    <row r="5854" spans="2:3" x14ac:dyDescent="0.25">
      <c r="B5854" s="33" t="s">
        <v>7345</v>
      </c>
      <c r="C5854" s="33">
        <v>30</v>
      </c>
    </row>
    <row r="5855" spans="2:3" x14ac:dyDescent="0.25">
      <c r="B5855" s="33" t="s">
        <v>7346</v>
      </c>
      <c r="C5855" s="33">
        <v>30</v>
      </c>
    </row>
    <row r="5856" spans="2:3" x14ac:dyDescent="0.25">
      <c r="B5856" s="33" t="s">
        <v>7347</v>
      </c>
      <c r="C5856" s="33">
        <v>30</v>
      </c>
    </row>
    <row r="5857" spans="2:3" x14ac:dyDescent="0.25">
      <c r="B5857" s="33" t="s">
        <v>7348</v>
      </c>
      <c r="C5857" s="33">
        <v>30</v>
      </c>
    </row>
    <row r="5858" spans="2:3" x14ac:dyDescent="0.25">
      <c r="B5858" s="33" t="s">
        <v>7349</v>
      </c>
      <c r="C5858" s="33">
        <v>30</v>
      </c>
    </row>
    <row r="5859" spans="2:3" x14ac:dyDescent="0.25">
      <c r="B5859" s="33" t="s">
        <v>7350</v>
      </c>
      <c r="C5859" s="33">
        <v>30</v>
      </c>
    </row>
    <row r="5860" spans="2:3" x14ac:dyDescent="0.25">
      <c r="B5860" s="33" t="s">
        <v>7351</v>
      </c>
      <c r="C5860" s="33">
        <v>30</v>
      </c>
    </row>
    <row r="5861" spans="2:3" x14ac:dyDescent="0.25">
      <c r="B5861" s="33" t="s">
        <v>7352</v>
      </c>
      <c r="C5861" s="33">
        <v>30</v>
      </c>
    </row>
    <row r="5862" spans="2:3" x14ac:dyDescent="0.25">
      <c r="B5862" s="33" t="s">
        <v>7353</v>
      </c>
      <c r="C5862" s="33">
        <v>30</v>
      </c>
    </row>
    <row r="5863" spans="2:3" x14ac:dyDescent="0.25">
      <c r="B5863" s="33" t="s">
        <v>7354</v>
      </c>
      <c r="C5863" s="33">
        <v>30</v>
      </c>
    </row>
    <row r="5864" spans="2:3" x14ac:dyDescent="0.25">
      <c r="B5864" s="33" t="s">
        <v>7355</v>
      </c>
      <c r="C5864" s="33">
        <v>30</v>
      </c>
    </row>
    <row r="5865" spans="2:3" x14ac:dyDescent="0.25">
      <c r="B5865" s="33" t="s">
        <v>7356</v>
      </c>
      <c r="C5865" s="33">
        <v>30</v>
      </c>
    </row>
    <row r="5866" spans="2:3" x14ac:dyDescent="0.25">
      <c r="B5866" s="33" t="s">
        <v>7357</v>
      </c>
      <c r="C5866" s="33">
        <v>30</v>
      </c>
    </row>
    <row r="5867" spans="2:3" x14ac:dyDescent="0.25">
      <c r="B5867" s="33" t="s">
        <v>7358</v>
      </c>
      <c r="C5867" s="33">
        <v>30</v>
      </c>
    </row>
    <row r="5868" spans="2:3" x14ac:dyDescent="0.25">
      <c r="B5868" s="33" t="s">
        <v>7359</v>
      </c>
      <c r="C5868" s="33">
        <v>30</v>
      </c>
    </row>
    <row r="5869" spans="2:3" x14ac:dyDescent="0.25">
      <c r="B5869" s="33" t="s">
        <v>7360</v>
      </c>
      <c r="C5869" s="33">
        <v>30</v>
      </c>
    </row>
    <row r="5870" spans="2:3" x14ac:dyDescent="0.25">
      <c r="B5870" s="33" t="s">
        <v>7361</v>
      </c>
      <c r="C5870" s="33">
        <v>30</v>
      </c>
    </row>
    <row r="5871" spans="2:3" x14ac:dyDescent="0.25">
      <c r="B5871" s="33" t="s">
        <v>7362</v>
      </c>
      <c r="C5871" s="33">
        <v>30</v>
      </c>
    </row>
    <row r="5872" spans="2:3" x14ac:dyDescent="0.25">
      <c r="B5872" s="33" t="s">
        <v>7363</v>
      </c>
      <c r="C5872" s="33">
        <v>30</v>
      </c>
    </row>
    <row r="5873" spans="2:3" x14ac:dyDescent="0.25">
      <c r="B5873" s="33" t="s">
        <v>7364</v>
      </c>
      <c r="C5873" s="33">
        <v>30</v>
      </c>
    </row>
    <row r="5874" spans="2:3" x14ac:dyDescent="0.25">
      <c r="B5874" s="33" t="s">
        <v>7365</v>
      </c>
      <c r="C5874" s="33">
        <v>30</v>
      </c>
    </row>
    <row r="5875" spans="2:3" x14ac:dyDescent="0.25">
      <c r="B5875" s="33" t="s">
        <v>7366</v>
      </c>
      <c r="C5875" s="33">
        <v>30</v>
      </c>
    </row>
    <row r="5876" spans="2:3" x14ac:dyDescent="0.25">
      <c r="B5876" s="33" t="s">
        <v>7367</v>
      </c>
      <c r="C5876" s="33">
        <v>30</v>
      </c>
    </row>
    <row r="5877" spans="2:3" x14ac:dyDescent="0.25">
      <c r="B5877" s="33" t="s">
        <v>7368</v>
      </c>
      <c r="C5877" s="33">
        <v>30</v>
      </c>
    </row>
    <row r="5878" spans="2:3" x14ac:dyDescent="0.25">
      <c r="B5878" s="33" t="s">
        <v>7369</v>
      </c>
      <c r="C5878" s="33">
        <v>30</v>
      </c>
    </row>
    <row r="5879" spans="2:3" x14ac:dyDescent="0.25">
      <c r="B5879" s="33" t="s">
        <v>7370</v>
      </c>
      <c r="C5879" s="33">
        <v>30</v>
      </c>
    </row>
    <row r="5880" spans="2:3" x14ac:dyDescent="0.25">
      <c r="B5880" s="33" t="s">
        <v>7371</v>
      </c>
      <c r="C5880" s="33">
        <v>30</v>
      </c>
    </row>
    <row r="5881" spans="2:3" x14ac:dyDescent="0.25">
      <c r="B5881" s="33" t="s">
        <v>7372</v>
      </c>
      <c r="C5881" s="33">
        <v>30</v>
      </c>
    </row>
    <row r="5882" spans="2:3" x14ac:dyDescent="0.25">
      <c r="B5882" s="33" t="s">
        <v>7373</v>
      </c>
      <c r="C5882" s="33">
        <v>30</v>
      </c>
    </row>
    <row r="5883" spans="2:3" x14ac:dyDescent="0.25">
      <c r="B5883" s="33" t="s">
        <v>7374</v>
      </c>
      <c r="C5883" s="33">
        <v>30</v>
      </c>
    </row>
    <row r="5884" spans="2:3" x14ac:dyDescent="0.25">
      <c r="B5884" s="33" t="s">
        <v>7375</v>
      </c>
      <c r="C5884" s="33">
        <v>30</v>
      </c>
    </row>
    <row r="5885" spans="2:3" x14ac:dyDescent="0.25">
      <c r="B5885" s="33" t="s">
        <v>7376</v>
      </c>
      <c r="C5885" s="33">
        <v>30</v>
      </c>
    </row>
    <row r="5886" spans="2:3" x14ac:dyDescent="0.25">
      <c r="B5886" s="33" t="s">
        <v>7377</v>
      </c>
      <c r="C5886" s="33">
        <v>30</v>
      </c>
    </row>
    <row r="5887" spans="2:3" x14ac:dyDescent="0.25">
      <c r="B5887" s="33" t="s">
        <v>7378</v>
      </c>
      <c r="C5887" s="33">
        <v>30</v>
      </c>
    </row>
    <row r="5888" spans="2:3" x14ac:dyDescent="0.25">
      <c r="B5888" s="33" t="s">
        <v>7379</v>
      </c>
      <c r="C5888" s="33">
        <v>30</v>
      </c>
    </row>
    <row r="5889" spans="2:3" x14ac:dyDescent="0.25">
      <c r="B5889" s="33" t="s">
        <v>7380</v>
      </c>
      <c r="C5889" s="33">
        <v>30</v>
      </c>
    </row>
    <row r="5890" spans="2:3" x14ac:dyDescent="0.25">
      <c r="B5890" s="33" t="s">
        <v>7381</v>
      </c>
      <c r="C5890" s="33">
        <v>30</v>
      </c>
    </row>
    <row r="5891" spans="2:3" x14ac:dyDescent="0.25">
      <c r="B5891" s="33" t="s">
        <v>7382</v>
      </c>
      <c r="C5891" s="33">
        <v>30</v>
      </c>
    </row>
    <row r="5892" spans="2:3" x14ac:dyDescent="0.25">
      <c r="B5892" s="33" t="s">
        <v>7383</v>
      </c>
      <c r="C5892" s="33">
        <v>30</v>
      </c>
    </row>
    <row r="5893" spans="2:3" x14ac:dyDescent="0.25">
      <c r="B5893" s="33" t="s">
        <v>7384</v>
      </c>
      <c r="C5893" s="33">
        <v>30</v>
      </c>
    </row>
    <row r="5894" spans="2:3" x14ac:dyDescent="0.25">
      <c r="B5894" s="33" t="s">
        <v>7385</v>
      </c>
      <c r="C5894" s="33">
        <v>30</v>
      </c>
    </row>
    <row r="5895" spans="2:3" x14ac:dyDescent="0.25">
      <c r="B5895" s="33" t="s">
        <v>7386</v>
      </c>
      <c r="C5895" s="33">
        <v>30</v>
      </c>
    </row>
    <row r="5896" spans="2:3" x14ac:dyDescent="0.25">
      <c r="B5896" s="33" t="s">
        <v>7387</v>
      </c>
      <c r="C5896" s="33">
        <v>30</v>
      </c>
    </row>
    <row r="5897" spans="2:3" x14ac:dyDescent="0.25">
      <c r="B5897" s="33" t="s">
        <v>7388</v>
      </c>
      <c r="C5897" s="33">
        <v>30</v>
      </c>
    </row>
    <row r="5898" spans="2:3" x14ac:dyDescent="0.25">
      <c r="B5898" s="33" t="s">
        <v>7389</v>
      </c>
      <c r="C5898" s="33">
        <v>30</v>
      </c>
    </row>
    <row r="5899" spans="2:3" x14ac:dyDescent="0.25">
      <c r="B5899" s="33" t="s">
        <v>7390</v>
      </c>
      <c r="C5899" s="33">
        <v>30</v>
      </c>
    </row>
    <row r="5900" spans="2:3" x14ac:dyDescent="0.25">
      <c r="B5900" s="33" t="s">
        <v>7391</v>
      </c>
      <c r="C5900" s="33">
        <v>30</v>
      </c>
    </row>
    <row r="5901" spans="2:3" x14ac:dyDescent="0.25">
      <c r="B5901" s="33" t="s">
        <v>7392</v>
      </c>
      <c r="C5901" s="33">
        <v>30</v>
      </c>
    </row>
    <row r="5902" spans="2:3" x14ac:dyDescent="0.25">
      <c r="B5902" s="33" t="s">
        <v>7393</v>
      </c>
      <c r="C5902" s="33">
        <v>30</v>
      </c>
    </row>
    <row r="5903" spans="2:3" x14ac:dyDescent="0.25">
      <c r="B5903" s="33" t="s">
        <v>7394</v>
      </c>
      <c r="C5903" s="33">
        <v>30</v>
      </c>
    </row>
    <row r="5904" spans="2:3" x14ac:dyDescent="0.25">
      <c r="B5904" s="33" t="s">
        <v>7395</v>
      </c>
      <c r="C5904" s="33">
        <v>30</v>
      </c>
    </row>
    <row r="5905" spans="2:3" x14ac:dyDescent="0.25">
      <c r="B5905" s="33" t="s">
        <v>7396</v>
      </c>
      <c r="C5905" s="33">
        <v>30</v>
      </c>
    </row>
    <row r="5906" spans="2:3" x14ac:dyDescent="0.25">
      <c r="B5906" s="33" t="s">
        <v>7397</v>
      </c>
      <c r="C5906" s="33">
        <v>30</v>
      </c>
    </row>
    <row r="5907" spans="2:3" x14ac:dyDescent="0.25">
      <c r="B5907" s="33" t="s">
        <v>7398</v>
      </c>
      <c r="C5907" s="33">
        <v>30</v>
      </c>
    </row>
    <row r="5908" spans="2:3" x14ac:dyDescent="0.25">
      <c r="B5908" s="33" t="s">
        <v>7399</v>
      </c>
      <c r="C5908" s="33">
        <v>30</v>
      </c>
    </row>
    <row r="5909" spans="2:3" x14ac:dyDescent="0.25">
      <c r="B5909" s="33" t="s">
        <v>7400</v>
      </c>
      <c r="C5909" s="33">
        <v>30</v>
      </c>
    </row>
    <row r="5910" spans="2:3" x14ac:dyDescent="0.25">
      <c r="B5910" s="33" t="s">
        <v>7401</v>
      </c>
      <c r="C5910" s="33">
        <v>30</v>
      </c>
    </row>
    <row r="5911" spans="2:3" x14ac:dyDescent="0.25">
      <c r="B5911" s="33" t="s">
        <v>7402</v>
      </c>
      <c r="C5911" s="33">
        <v>30</v>
      </c>
    </row>
    <row r="5912" spans="2:3" x14ac:dyDescent="0.25">
      <c r="B5912" s="33" t="s">
        <v>7403</v>
      </c>
      <c r="C5912" s="33">
        <v>30</v>
      </c>
    </row>
    <row r="5913" spans="2:3" x14ac:dyDescent="0.25">
      <c r="B5913" s="33" t="s">
        <v>7404</v>
      </c>
      <c r="C5913" s="33">
        <v>30</v>
      </c>
    </row>
    <row r="5914" spans="2:3" x14ac:dyDescent="0.25">
      <c r="B5914" s="33" t="s">
        <v>7405</v>
      </c>
      <c r="C5914" s="33">
        <v>30</v>
      </c>
    </row>
    <row r="5915" spans="2:3" x14ac:dyDescent="0.25">
      <c r="B5915" s="33" t="s">
        <v>7406</v>
      </c>
      <c r="C5915" s="33">
        <v>30</v>
      </c>
    </row>
    <row r="5916" spans="2:3" x14ac:dyDescent="0.25">
      <c r="B5916" s="33" t="s">
        <v>7407</v>
      </c>
      <c r="C5916" s="33">
        <v>30</v>
      </c>
    </row>
    <row r="5917" spans="2:3" x14ac:dyDescent="0.25">
      <c r="B5917" s="33" t="s">
        <v>7408</v>
      </c>
      <c r="C5917" s="33">
        <v>30</v>
      </c>
    </row>
    <row r="5918" spans="2:3" x14ac:dyDescent="0.25">
      <c r="B5918" s="33" t="s">
        <v>7409</v>
      </c>
      <c r="C5918" s="33">
        <v>30</v>
      </c>
    </row>
    <row r="5919" spans="2:3" x14ac:dyDescent="0.25">
      <c r="B5919" s="33" t="s">
        <v>7410</v>
      </c>
      <c r="C5919" s="33">
        <v>30</v>
      </c>
    </row>
    <row r="5920" spans="2:3" x14ac:dyDescent="0.25">
      <c r="B5920" s="33" t="s">
        <v>7411</v>
      </c>
      <c r="C5920" s="33">
        <v>30</v>
      </c>
    </row>
    <row r="5921" spans="2:3" x14ac:dyDescent="0.25">
      <c r="B5921" s="33" t="s">
        <v>7412</v>
      </c>
      <c r="C5921" s="33">
        <v>30</v>
      </c>
    </row>
    <row r="5922" spans="2:3" x14ac:dyDescent="0.25">
      <c r="B5922" s="33" t="s">
        <v>7413</v>
      </c>
      <c r="C5922" s="33">
        <v>30</v>
      </c>
    </row>
    <row r="5923" spans="2:3" x14ac:dyDescent="0.25">
      <c r="B5923" s="33" t="s">
        <v>7414</v>
      </c>
      <c r="C5923" s="33">
        <v>30</v>
      </c>
    </row>
    <row r="5924" spans="2:3" x14ac:dyDescent="0.25">
      <c r="B5924" s="33" t="s">
        <v>7415</v>
      </c>
      <c r="C5924" s="33">
        <v>30</v>
      </c>
    </row>
    <row r="5925" spans="2:3" x14ac:dyDescent="0.25">
      <c r="B5925" s="33" t="s">
        <v>7416</v>
      </c>
      <c r="C5925" s="33">
        <v>30</v>
      </c>
    </row>
    <row r="5926" spans="2:3" x14ac:dyDescent="0.25">
      <c r="B5926" s="33" t="s">
        <v>7417</v>
      </c>
      <c r="C5926" s="33">
        <v>30</v>
      </c>
    </row>
    <row r="5927" spans="2:3" x14ac:dyDescent="0.25">
      <c r="B5927" s="33" t="s">
        <v>7418</v>
      </c>
      <c r="C5927" s="33">
        <v>30</v>
      </c>
    </row>
    <row r="5928" spans="2:3" x14ac:dyDescent="0.25">
      <c r="B5928" s="33" t="s">
        <v>7419</v>
      </c>
      <c r="C5928" s="33">
        <v>30</v>
      </c>
    </row>
    <row r="5929" spans="2:3" x14ac:dyDescent="0.25">
      <c r="B5929" s="33" t="s">
        <v>7420</v>
      </c>
      <c r="C5929" s="33">
        <v>30</v>
      </c>
    </row>
    <row r="5930" spans="2:3" x14ac:dyDescent="0.25">
      <c r="B5930" s="33" t="s">
        <v>7421</v>
      </c>
      <c r="C5930" s="33">
        <v>30</v>
      </c>
    </row>
    <row r="5931" spans="2:3" x14ac:dyDescent="0.25">
      <c r="B5931" s="33" t="s">
        <v>7422</v>
      </c>
      <c r="C5931" s="33">
        <v>30</v>
      </c>
    </row>
    <row r="5932" spans="2:3" x14ac:dyDescent="0.25">
      <c r="B5932" s="33" t="s">
        <v>7423</v>
      </c>
      <c r="C5932" s="33">
        <v>30</v>
      </c>
    </row>
    <row r="5933" spans="2:3" x14ac:dyDescent="0.25">
      <c r="B5933" s="33" t="s">
        <v>7424</v>
      </c>
      <c r="C5933" s="33">
        <v>30</v>
      </c>
    </row>
    <row r="5934" spans="2:3" x14ac:dyDescent="0.25">
      <c r="B5934" s="33" t="s">
        <v>7425</v>
      </c>
      <c r="C5934" s="33">
        <v>30</v>
      </c>
    </row>
    <row r="5935" spans="2:3" x14ac:dyDescent="0.25">
      <c r="B5935" s="33" t="s">
        <v>7426</v>
      </c>
      <c r="C5935" s="33">
        <v>30</v>
      </c>
    </row>
    <row r="5936" spans="2:3" x14ac:dyDescent="0.25">
      <c r="B5936" s="33" t="s">
        <v>7427</v>
      </c>
      <c r="C5936" s="33">
        <v>30</v>
      </c>
    </row>
    <row r="5937" spans="2:3" x14ac:dyDescent="0.25">
      <c r="B5937" s="33" t="s">
        <v>7428</v>
      </c>
      <c r="C5937" s="33">
        <v>30</v>
      </c>
    </row>
    <row r="5938" spans="2:3" x14ac:dyDescent="0.25">
      <c r="B5938" s="33" t="s">
        <v>7429</v>
      </c>
      <c r="C5938" s="33">
        <v>30</v>
      </c>
    </row>
    <row r="5939" spans="2:3" x14ac:dyDescent="0.25">
      <c r="B5939" s="33" t="s">
        <v>7430</v>
      </c>
      <c r="C5939" s="33">
        <v>30</v>
      </c>
    </row>
    <row r="5940" spans="2:3" x14ac:dyDescent="0.25">
      <c r="B5940" s="33" t="s">
        <v>7431</v>
      </c>
      <c r="C5940" s="33">
        <v>30</v>
      </c>
    </row>
    <row r="5941" spans="2:3" x14ac:dyDescent="0.25">
      <c r="B5941" s="33" t="s">
        <v>7432</v>
      </c>
      <c r="C5941" s="33">
        <v>30</v>
      </c>
    </row>
    <row r="5942" spans="2:3" x14ac:dyDescent="0.25">
      <c r="B5942" s="33" t="s">
        <v>7433</v>
      </c>
      <c r="C5942" s="33">
        <v>30</v>
      </c>
    </row>
    <row r="5943" spans="2:3" x14ac:dyDescent="0.25">
      <c r="B5943" s="33" t="s">
        <v>7434</v>
      </c>
      <c r="C5943" s="33">
        <v>30</v>
      </c>
    </row>
    <row r="5944" spans="2:3" x14ac:dyDescent="0.25">
      <c r="B5944" s="33" t="s">
        <v>7435</v>
      </c>
      <c r="C5944" s="33">
        <v>30</v>
      </c>
    </row>
    <row r="5945" spans="2:3" x14ac:dyDescent="0.25">
      <c r="B5945" s="33" t="s">
        <v>7436</v>
      </c>
      <c r="C5945" s="33">
        <v>30</v>
      </c>
    </row>
    <row r="5946" spans="2:3" x14ac:dyDescent="0.25">
      <c r="B5946" s="33" t="s">
        <v>7437</v>
      </c>
      <c r="C5946" s="33">
        <v>30</v>
      </c>
    </row>
    <row r="5947" spans="2:3" x14ac:dyDescent="0.25">
      <c r="B5947" s="33" t="s">
        <v>7438</v>
      </c>
      <c r="C5947" s="33">
        <v>30</v>
      </c>
    </row>
    <row r="5948" spans="2:3" x14ac:dyDescent="0.25">
      <c r="B5948" s="33" t="s">
        <v>7439</v>
      </c>
      <c r="C5948" s="33">
        <v>30</v>
      </c>
    </row>
    <row r="5949" spans="2:3" x14ac:dyDescent="0.25">
      <c r="B5949" s="33" t="s">
        <v>7440</v>
      </c>
      <c r="C5949" s="33">
        <v>30</v>
      </c>
    </row>
    <row r="5950" spans="2:3" x14ac:dyDescent="0.25">
      <c r="B5950" s="33" t="s">
        <v>7441</v>
      </c>
      <c r="C5950" s="33">
        <v>30</v>
      </c>
    </row>
    <row r="5951" spans="2:3" x14ac:dyDescent="0.25">
      <c r="B5951" s="33" t="s">
        <v>7442</v>
      </c>
      <c r="C5951" s="33">
        <v>30</v>
      </c>
    </row>
    <row r="5952" spans="2:3" x14ac:dyDescent="0.25">
      <c r="B5952" s="33" t="s">
        <v>7443</v>
      </c>
      <c r="C5952" s="33">
        <v>30</v>
      </c>
    </row>
    <row r="5953" spans="2:3" x14ac:dyDescent="0.25">
      <c r="B5953" s="33" t="s">
        <v>7444</v>
      </c>
      <c r="C5953" s="33">
        <v>30</v>
      </c>
    </row>
    <row r="5954" spans="2:3" x14ac:dyDescent="0.25">
      <c r="B5954" s="33" t="s">
        <v>7445</v>
      </c>
      <c r="C5954" s="33">
        <v>30</v>
      </c>
    </row>
    <row r="5955" spans="2:3" x14ac:dyDescent="0.25">
      <c r="B5955" s="33" t="s">
        <v>7446</v>
      </c>
      <c r="C5955" s="33">
        <v>30</v>
      </c>
    </row>
    <row r="5956" spans="2:3" x14ac:dyDescent="0.25">
      <c r="B5956" s="33" t="s">
        <v>7447</v>
      </c>
      <c r="C5956" s="33">
        <v>30</v>
      </c>
    </row>
    <row r="5957" spans="2:3" x14ac:dyDescent="0.25">
      <c r="B5957" s="33" t="s">
        <v>7448</v>
      </c>
      <c r="C5957" s="33">
        <v>30</v>
      </c>
    </row>
    <row r="5958" spans="2:3" x14ac:dyDescent="0.25">
      <c r="B5958" s="33" t="s">
        <v>7449</v>
      </c>
      <c r="C5958" s="33">
        <v>30</v>
      </c>
    </row>
    <row r="5959" spans="2:3" x14ac:dyDescent="0.25">
      <c r="B5959" s="33" t="s">
        <v>7450</v>
      </c>
      <c r="C5959" s="33">
        <v>30</v>
      </c>
    </row>
    <row r="5960" spans="2:3" x14ac:dyDescent="0.25">
      <c r="B5960" s="33" t="s">
        <v>7451</v>
      </c>
      <c r="C5960" s="33">
        <v>30</v>
      </c>
    </row>
    <row r="5961" spans="2:3" x14ac:dyDescent="0.25">
      <c r="B5961" s="33" t="s">
        <v>7452</v>
      </c>
      <c r="C5961" s="33">
        <v>30</v>
      </c>
    </row>
    <row r="5962" spans="2:3" x14ac:dyDescent="0.25">
      <c r="B5962" s="33" t="s">
        <v>7453</v>
      </c>
      <c r="C5962" s="33">
        <v>30</v>
      </c>
    </row>
    <row r="5963" spans="2:3" x14ac:dyDescent="0.25">
      <c r="B5963" s="33" t="s">
        <v>7454</v>
      </c>
      <c r="C5963" s="33">
        <v>30</v>
      </c>
    </row>
    <row r="5964" spans="2:3" x14ac:dyDescent="0.25">
      <c r="B5964" s="33" t="s">
        <v>7455</v>
      </c>
      <c r="C5964" s="33">
        <v>30</v>
      </c>
    </row>
    <row r="5965" spans="2:3" x14ac:dyDescent="0.25">
      <c r="B5965" s="33" t="s">
        <v>7456</v>
      </c>
      <c r="C5965" s="33">
        <v>30</v>
      </c>
    </row>
    <row r="5966" spans="2:3" x14ac:dyDescent="0.25">
      <c r="B5966" s="33" t="s">
        <v>7457</v>
      </c>
      <c r="C5966" s="33">
        <v>30</v>
      </c>
    </row>
    <row r="5967" spans="2:3" x14ac:dyDescent="0.25">
      <c r="B5967" s="33" t="s">
        <v>7458</v>
      </c>
      <c r="C5967" s="33">
        <v>30</v>
      </c>
    </row>
    <row r="5968" spans="2:3" x14ac:dyDescent="0.25">
      <c r="B5968" s="33" t="s">
        <v>7459</v>
      </c>
      <c r="C5968" s="33">
        <v>30</v>
      </c>
    </row>
    <row r="5969" spans="2:3" x14ac:dyDescent="0.25">
      <c r="B5969" s="33" t="s">
        <v>7460</v>
      </c>
      <c r="C5969" s="33">
        <v>30</v>
      </c>
    </row>
    <row r="5970" spans="2:3" x14ac:dyDescent="0.25">
      <c r="B5970" s="33" t="s">
        <v>7461</v>
      </c>
      <c r="C5970" s="33">
        <v>30</v>
      </c>
    </row>
    <row r="5971" spans="2:3" x14ac:dyDescent="0.25">
      <c r="B5971" s="33" t="s">
        <v>7462</v>
      </c>
      <c r="C5971" s="33">
        <v>30</v>
      </c>
    </row>
    <row r="5972" spans="2:3" x14ac:dyDescent="0.25">
      <c r="B5972" s="33" t="s">
        <v>7463</v>
      </c>
      <c r="C5972" s="33">
        <v>30</v>
      </c>
    </row>
    <row r="5973" spans="2:3" x14ac:dyDescent="0.25">
      <c r="B5973" s="33" t="s">
        <v>7464</v>
      </c>
      <c r="C5973" s="33">
        <v>30</v>
      </c>
    </row>
    <row r="5974" spans="2:3" x14ac:dyDescent="0.25">
      <c r="B5974" s="33" t="s">
        <v>7465</v>
      </c>
      <c r="C5974" s="33">
        <v>30</v>
      </c>
    </row>
    <row r="5975" spans="2:3" x14ac:dyDescent="0.25">
      <c r="B5975" s="33" t="s">
        <v>7466</v>
      </c>
      <c r="C5975" s="33">
        <v>30</v>
      </c>
    </row>
    <row r="5976" spans="2:3" x14ac:dyDescent="0.25">
      <c r="B5976" s="33" t="s">
        <v>7467</v>
      </c>
      <c r="C5976" s="33">
        <v>30</v>
      </c>
    </row>
    <row r="5977" spans="2:3" x14ac:dyDescent="0.25">
      <c r="B5977" s="33" t="s">
        <v>7468</v>
      </c>
      <c r="C5977" s="33">
        <v>30</v>
      </c>
    </row>
    <row r="5978" spans="2:3" x14ac:dyDescent="0.25">
      <c r="B5978" s="33" t="s">
        <v>7469</v>
      </c>
      <c r="C5978" s="33">
        <v>30</v>
      </c>
    </row>
    <row r="5979" spans="2:3" x14ac:dyDescent="0.25">
      <c r="B5979" s="33" t="s">
        <v>7470</v>
      </c>
      <c r="C5979" s="33">
        <v>30</v>
      </c>
    </row>
    <row r="5980" spans="2:3" x14ac:dyDescent="0.25">
      <c r="B5980" s="33" t="s">
        <v>7471</v>
      </c>
      <c r="C5980" s="33">
        <v>30</v>
      </c>
    </row>
    <row r="5981" spans="2:3" x14ac:dyDescent="0.25">
      <c r="B5981" s="33" t="s">
        <v>7472</v>
      </c>
      <c r="C5981" s="33">
        <v>30</v>
      </c>
    </row>
    <row r="5982" spans="2:3" x14ac:dyDescent="0.25">
      <c r="B5982" s="33" t="s">
        <v>7473</v>
      </c>
      <c r="C5982" s="33">
        <v>30</v>
      </c>
    </row>
    <row r="5983" spans="2:3" x14ac:dyDescent="0.25">
      <c r="B5983" s="33" t="s">
        <v>7474</v>
      </c>
      <c r="C5983" s="33">
        <v>30</v>
      </c>
    </row>
    <row r="5984" spans="2:3" x14ac:dyDescent="0.25">
      <c r="B5984" s="33" t="s">
        <v>7475</v>
      </c>
      <c r="C5984" s="33">
        <v>30</v>
      </c>
    </row>
    <row r="5985" spans="2:3" x14ac:dyDescent="0.25">
      <c r="B5985" s="33" t="s">
        <v>7476</v>
      </c>
      <c r="C5985" s="33">
        <v>30</v>
      </c>
    </row>
    <row r="5986" spans="2:3" x14ac:dyDescent="0.25">
      <c r="B5986" s="33" t="s">
        <v>7477</v>
      </c>
      <c r="C5986" s="33">
        <v>30</v>
      </c>
    </row>
    <row r="5987" spans="2:3" x14ac:dyDescent="0.25">
      <c r="B5987" s="33" t="s">
        <v>7478</v>
      </c>
      <c r="C5987" s="33">
        <v>30</v>
      </c>
    </row>
    <row r="5988" spans="2:3" x14ac:dyDescent="0.25">
      <c r="B5988" s="33" t="s">
        <v>7479</v>
      </c>
      <c r="C5988" s="33">
        <v>30</v>
      </c>
    </row>
    <row r="5989" spans="2:3" x14ac:dyDescent="0.25">
      <c r="B5989" s="33" t="s">
        <v>7480</v>
      </c>
      <c r="C5989" s="33">
        <v>30</v>
      </c>
    </row>
    <row r="5990" spans="2:3" x14ac:dyDescent="0.25">
      <c r="B5990" s="33" t="s">
        <v>7481</v>
      </c>
      <c r="C5990" s="33">
        <v>30</v>
      </c>
    </row>
    <row r="5991" spans="2:3" x14ac:dyDescent="0.25">
      <c r="B5991" s="33" t="s">
        <v>7482</v>
      </c>
      <c r="C5991" s="33">
        <v>30</v>
      </c>
    </row>
    <row r="5992" spans="2:3" x14ac:dyDescent="0.25">
      <c r="B5992" s="33" t="s">
        <v>7483</v>
      </c>
      <c r="C5992" s="33">
        <v>30</v>
      </c>
    </row>
    <row r="5993" spans="2:3" x14ac:dyDescent="0.25">
      <c r="B5993" s="33" t="s">
        <v>7484</v>
      </c>
      <c r="C5993" s="33">
        <v>30</v>
      </c>
    </row>
    <row r="5994" spans="2:3" x14ac:dyDescent="0.25">
      <c r="B5994" s="33" t="s">
        <v>7485</v>
      </c>
      <c r="C5994" s="33">
        <v>30</v>
      </c>
    </row>
    <row r="5995" spans="2:3" x14ac:dyDescent="0.25">
      <c r="B5995" s="33" t="s">
        <v>7486</v>
      </c>
      <c r="C5995" s="33">
        <v>30</v>
      </c>
    </row>
    <row r="5996" spans="2:3" x14ac:dyDescent="0.25">
      <c r="B5996" s="33" t="s">
        <v>7487</v>
      </c>
      <c r="C5996" s="33">
        <v>30</v>
      </c>
    </row>
    <row r="5997" spans="2:3" x14ac:dyDescent="0.25">
      <c r="B5997" s="33" t="s">
        <v>7488</v>
      </c>
      <c r="C5997" s="33">
        <v>30</v>
      </c>
    </row>
    <row r="5998" spans="2:3" x14ac:dyDescent="0.25">
      <c r="B5998" s="33" t="s">
        <v>7489</v>
      </c>
      <c r="C5998" s="33">
        <v>30</v>
      </c>
    </row>
    <row r="5999" spans="2:3" x14ac:dyDescent="0.25">
      <c r="B5999" s="33" t="s">
        <v>7490</v>
      </c>
      <c r="C5999" s="33">
        <v>30</v>
      </c>
    </row>
    <row r="6000" spans="2:3" x14ac:dyDescent="0.25">
      <c r="B6000" s="33" t="s">
        <v>7491</v>
      </c>
      <c r="C6000" s="33">
        <v>30</v>
      </c>
    </row>
    <row r="6001" spans="2:3" x14ac:dyDescent="0.25">
      <c r="B6001" s="33" t="s">
        <v>7492</v>
      </c>
      <c r="C6001" s="33">
        <v>30</v>
      </c>
    </row>
    <row r="6002" spans="2:3" x14ac:dyDescent="0.25">
      <c r="B6002" s="33" t="s">
        <v>7493</v>
      </c>
      <c r="C6002" s="33">
        <v>30</v>
      </c>
    </row>
    <row r="6003" spans="2:3" x14ac:dyDescent="0.25">
      <c r="B6003" s="33" t="s">
        <v>7494</v>
      </c>
      <c r="C6003" s="33">
        <v>30</v>
      </c>
    </row>
    <row r="6004" spans="2:3" x14ac:dyDescent="0.25">
      <c r="B6004" s="33" t="s">
        <v>7495</v>
      </c>
      <c r="C6004" s="33">
        <v>30</v>
      </c>
    </row>
    <row r="6005" spans="2:3" x14ac:dyDescent="0.25">
      <c r="B6005" s="33" t="s">
        <v>7496</v>
      </c>
      <c r="C6005" s="33">
        <v>30</v>
      </c>
    </row>
    <row r="6006" spans="2:3" x14ac:dyDescent="0.25">
      <c r="B6006" s="33" t="s">
        <v>7497</v>
      </c>
      <c r="C6006" s="33">
        <v>30</v>
      </c>
    </row>
    <row r="6007" spans="2:3" x14ac:dyDescent="0.25">
      <c r="B6007" s="33" t="s">
        <v>7498</v>
      </c>
      <c r="C6007" s="33">
        <v>30</v>
      </c>
    </row>
    <row r="6008" spans="2:3" x14ac:dyDescent="0.25">
      <c r="B6008" s="33" t="s">
        <v>7499</v>
      </c>
      <c r="C6008" s="33">
        <v>30</v>
      </c>
    </row>
    <row r="6009" spans="2:3" x14ac:dyDescent="0.25">
      <c r="B6009" s="33" t="s">
        <v>7500</v>
      </c>
      <c r="C6009" s="33">
        <v>30</v>
      </c>
    </row>
    <row r="6010" spans="2:3" x14ac:dyDescent="0.25">
      <c r="B6010" s="33" t="s">
        <v>7501</v>
      </c>
      <c r="C6010" s="33">
        <v>30</v>
      </c>
    </row>
    <row r="6011" spans="2:3" x14ac:dyDescent="0.25">
      <c r="B6011" s="33" t="s">
        <v>7502</v>
      </c>
      <c r="C6011" s="33">
        <v>30</v>
      </c>
    </row>
    <row r="6012" spans="2:3" x14ac:dyDescent="0.25">
      <c r="B6012" s="33" t="s">
        <v>7503</v>
      </c>
      <c r="C6012" s="33">
        <v>30</v>
      </c>
    </row>
    <row r="6013" spans="2:3" x14ac:dyDescent="0.25">
      <c r="B6013" s="33" t="s">
        <v>7504</v>
      </c>
      <c r="C6013" s="33">
        <v>30</v>
      </c>
    </row>
    <row r="6014" spans="2:3" x14ac:dyDescent="0.25">
      <c r="B6014" s="33" t="s">
        <v>7505</v>
      </c>
      <c r="C6014" s="33">
        <v>30</v>
      </c>
    </row>
    <row r="6015" spans="2:3" x14ac:dyDescent="0.25">
      <c r="B6015" s="33" t="s">
        <v>7506</v>
      </c>
      <c r="C6015" s="33">
        <v>30</v>
      </c>
    </row>
    <row r="6016" spans="2:3" x14ac:dyDescent="0.25">
      <c r="B6016" s="33" t="s">
        <v>7507</v>
      </c>
      <c r="C6016" s="33">
        <v>30</v>
      </c>
    </row>
    <row r="6017" spans="2:3" x14ac:dyDescent="0.25">
      <c r="B6017" s="33" t="s">
        <v>7508</v>
      </c>
      <c r="C6017" s="33">
        <v>30</v>
      </c>
    </row>
    <row r="6018" spans="2:3" x14ac:dyDescent="0.25">
      <c r="B6018" s="33" t="s">
        <v>7509</v>
      </c>
      <c r="C6018" s="33">
        <v>30</v>
      </c>
    </row>
    <row r="6019" spans="2:3" x14ac:dyDescent="0.25">
      <c r="B6019" s="33" t="s">
        <v>7510</v>
      </c>
      <c r="C6019" s="33">
        <v>30</v>
      </c>
    </row>
    <row r="6020" spans="2:3" x14ac:dyDescent="0.25">
      <c r="B6020" s="33" t="s">
        <v>7511</v>
      </c>
      <c r="C6020" s="33">
        <v>30</v>
      </c>
    </row>
    <row r="6021" spans="2:3" x14ac:dyDescent="0.25">
      <c r="B6021" s="33" t="s">
        <v>7512</v>
      </c>
      <c r="C6021" s="33">
        <v>30</v>
      </c>
    </row>
    <row r="6022" spans="2:3" x14ac:dyDescent="0.25">
      <c r="B6022" s="33" t="s">
        <v>7513</v>
      </c>
      <c r="C6022" s="33">
        <v>30</v>
      </c>
    </row>
    <row r="6023" spans="2:3" x14ac:dyDescent="0.25">
      <c r="B6023" s="33" t="s">
        <v>7514</v>
      </c>
      <c r="C6023" s="33">
        <v>30</v>
      </c>
    </row>
    <row r="6024" spans="2:3" x14ac:dyDescent="0.25">
      <c r="B6024" s="33" t="s">
        <v>7515</v>
      </c>
      <c r="C6024" s="33">
        <v>30</v>
      </c>
    </row>
    <row r="6025" spans="2:3" x14ac:dyDescent="0.25">
      <c r="B6025" s="33" t="s">
        <v>7516</v>
      </c>
      <c r="C6025" s="33">
        <v>30</v>
      </c>
    </row>
    <row r="6026" spans="2:3" x14ac:dyDescent="0.25">
      <c r="B6026" s="33" t="s">
        <v>7517</v>
      </c>
      <c r="C6026" s="33">
        <v>30</v>
      </c>
    </row>
    <row r="6027" spans="2:3" x14ac:dyDescent="0.25">
      <c r="B6027" s="33" t="s">
        <v>7518</v>
      </c>
      <c r="C6027" s="33">
        <v>30</v>
      </c>
    </row>
    <row r="6028" spans="2:3" x14ac:dyDescent="0.25">
      <c r="B6028" s="33" t="s">
        <v>7519</v>
      </c>
      <c r="C6028" s="33">
        <v>30</v>
      </c>
    </row>
    <row r="6029" spans="2:3" x14ac:dyDescent="0.25">
      <c r="B6029" s="33" t="s">
        <v>7520</v>
      </c>
      <c r="C6029" s="33">
        <v>30</v>
      </c>
    </row>
    <row r="6030" spans="2:3" x14ac:dyDescent="0.25">
      <c r="B6030" s="33" t="s">
        <v>7521</v>
      </c>
      <c r="C6030" s="33">
        <v>30</v>
      </c>
    </row>
    <row r="6031" spans="2:3" x14ac:dyDescent="0.25">
      <c r="B6031" s="33" t="s">
        <v>7522</v>
      </c>
      <c r="C6031" s="33">
        <v>30</v>
      </c>
    </row>
    <row r="6032" spans="2:3" x14ac:dyDescent="0.25">
      <c r="B6032" s="33" t="s">
        <v>7523</v>
      </c>
      <c r="C6032" s="33">
        <v>30</v>
      </c>
    </row>
    <row r="6033" spans="2:3" x14ac:dyDescent="0.25">
      <c r="B6033" s="33" t="s">
        <v>7524</v>
      </c>
      <c r="C6033" s="33">
        <v>30</v>
      </c>
    </row>
    <row r="6034" spans="2:3" x14ac:dyDescent="0.25">
      <c r="B6034" s="33" t="s">
        <v>7525</v>
      </c>
      <c r="C6034" s="33">
        <v>30</v>
      </c>
    </row>
    <row r="6035" spans="2:3" x14ac:dyDescent="0.25">
      <c r="B6035" s="33" t="s">
        <v>7526</v>
      </c>
      <c r="C6035" s="33">
        <v>30</v>
      </c>
    </row>
    <row r="6036" spans="2:3" x14ac:dyDescent="0.25">
      <c r="B6036" s="33" t="s">
        <v>7527</v>
      </c>
      <c r="C6036" s="33">
        <v>30</v>
      </c>
    </row>
    <row r="6037" spans="2:3" x14ac:dyDescent="0.25">
      <c r="B6037" s="33" t="s">
        <v>7528</v>
      </c>
      <c r="C6037" s="33">
        <v>30</v>
      </c>
    </row>
    <row r="6038" spans="2:3" x14ac:dyDescent="0.25">
      <c r="B6038" s="33" t="s">
        <v>7529</v>
      </c>
      <c r="C6038" s="33">
        <v>30</v>
      </c>
    </row>
    <row r="6039" spans="2:3" x14ac:dyDescent="0.25">
      <c r="B6039" s="33" t="s">
        <v>7530</v>
      </c>
      <c r="C6039" s="33">
        <v>30</v>
      </c>
    </row>
    <row r="6040" spans="2:3" x14ac:dyDescent="0.25">
      <c r="B6040" s="33" t="s">
        <v>7531</v>
      </c>
      <c r="C6040" s="33">
        <v>30</v>
      </c>
    </row>
    <row r="6041" spans="2:3" x14ac:dyDescent="0.25">
      <c r="B6041" s="33" t="s">
        <v>7532</v>
      </c>
      <c r="C6041" s="33">
        <v>30</v>
      </c>
    </row>
    <row r="6042" spans="2:3" x14ac:dyDescent="0.25">
      <c r="B6042" s="33" t="s">
        <v>7533</v>
      </c>
      <c r="C6042" s="33">
        <v>30</v>
      </c>
    </row>
    <row r="6043" spans="2:3" x14ac:dyDescent="0.25">
      <c r="B6043" s="33" t="s">
        <v>7534</v>
      </c>
      <c r="C6043" s="33">
        <v>30</v>
      </c>
    </row>
    <row r="6044" spans="2:3" x14ac:dyDescent="0.25">
      <c r="B6044" s="33" t="s">
        <v>7535</v>
      </c>
      <c r="C6044" s="33">
        <v>30</v>
      </c>
    </row>
    <row r="6045" spans="2:3" x14ac:dyDescent="0.25">
      <c r="B6045" s="33" t="s">
        <v>7536</v>
      </c>
      <c r="C6045" s="33">
        <v>30</v>
      </c>
    </row>
    <row r="6046" spans="2:3" x14ac:dyDescent="0.25">
      <c r="B6046" s="33" t="s">
        <v>7537</v>
      </c>
      <c r="C6046" s="33">
        <v>30</v>
      </c>
    </row>
    <row r="6047" spans="2:3" x14ac:dyDescent="0.25">
      <c r="B6047" s="33" t="s">
        <v>7538</v>
      </c>
      <c r="C6047" s="33">
        <v>30</v>
      </c>
    </row>
    <row r="6048" spans="2:3" x14ac:dyDescent="0.25">
      <c r="B6048" s="33" t="s">
        <v>7539</v>
      </c>
      <c r="C6048" s="33">
        <v>30</v>
      </c>
    </row>
    <row r="6049" spans="2:3" x14ac:dyDescent="0.25">
      <c r="B6049" s="33" t="s">
        <v>7540</v>
      </c>
      <c r="C6049" s="33">
        <v>30</v>
      </c>
    </row>
    <row r="6050" spans="2:3" x14ac:dyDescent="0.25">
      <c r="B6050" s="33" t="s">
        <v>7541</v>
      </c>
      <c r="C6050" s="33">
        <v>30</v>
      </c>
    </row>
    <row r="6051" spans="2:3" x14ac:dyDescent="0.25">
      <c r="B6051" s="33" t="s">
        <v>7542</v>
      </c>
      <c r="C6051" s="33">
        <v>30</v>
      </c>
    </row>
    <row r="6052" spans="2:3" x14ac:dyDescent="0.25">
      <c r="B6052" s="33" t="s">
        <v>7543</v>
      </c>
      <c r="C6052" s="33">
        <v>30</v>
      </c>
    </row>
    <row r="6053" spans="2:3" x14ac:dyDescent="0.25">
      <c r="B6053" s="33" t="s">
        <v>7544</v>
      </c>
      <c r="C6053" s="33">
        <v>30</v>
      </c>
    </row>
    <row r="6054" spans="2:3" x14ac:dyDescent="0.25">
      <c r="B6054" s="33" t="s">
        <v>7545</v>
      </c>
      <c r="C6054" s="33">
        <v>30</v>
      </c>
    </row>
    <row r="6055" spans="2:3" x14ac:dyDescent="0.25">
      <c r="B6055" s="33" t="s">
        <v>7546</v>
      </c>
      <c r="C6055" s="33">
        <v>30</v>
      </c>
    </row>
    <row r="6056" spans="2:3" x14ac:dyDescent="0.25">
      <c r="B6056" s="33" t="s">
        <v>7547</v>
      </c>
      <c r="C6056" s="33">
        <v>30</v>
      </c>
    </row>
    <row r="6057" spans="2:3" x14ac:dyDescent="0.25">
      <c r="B6057" s="33" t="s">
        <v>7548</v>
      </c>
      <c r="C6057" s="33">
        <v>30</v>
      </c>
    </row>
    <row r="6058" spans="2:3" x14ac:dyDescent="0.25">
      <c r="B6058" s="33" t="s">
        <v>7549</v>
      </c>
      <c r="C6058" s="33">
        <v>30</v>
      </c>
    </row>
    <row r="6059" spans="2:3" x14ac:dyDescent="0.25">
      <c r="B6059" s="33" t="s">
        <v>7550</v>
      </c>
      <c r="C6059" s="33">
        <v>30</v>
      </c>
    </row>
    <row r="6060" spans="2:3" x14ac:dyDescent="0.25">
      <c r="B6060" s="33" t="s">
        <v>7551</v>
      </c>
      <c r="C6060" s="33">
        <v>30</v>
      </c>
    </row>
    <row r="6061" spans="2:3" x14ac:dyDescent="0.25">
      <c r="B6061" s="33" t="s">
        <v>7552</v>
      </c>
      <c r="C6061" s="33">
        <v>30</v>
      </c>
    </row>
    <row r="6062" spans="2:3" x14ac:dyDescent="0.25">
      <c r="B6062" s="33" t="s">
        <v>7553</v>
      </c>
      <c r="C6062" s="33">
        <v>30</v>
      </c>
    </row>
    <row r="6063" spans="2:3" x14ac:dyDescent="0.25">
      <c r="B6063" s="33" t="s">
        <v>7554</v>
      </c>
      <c r="C6063" s="33">
        <v>30</v>
      </c>
    </row>
    <row r="6064" spans="2:3" x14ac:dyDescent="0.25">
      <c r="B6064" s="33" t="s">
        <v>7555</v>
      </c>
      <c r="C6064" s="33">
        <v>30</v>
      </c>
    </row>
    <row r="6065" spans="2:3" x14ac:dyDescent="0.25">
      <c r="B6065" s="33" t="s">
        <v>7556</v>
      </c>
      <c r="C6065" s="33">
        <v>30</v>
      </c>
    </row>
    <row r="6066" spans="2:3" x14ac:dyDescent="0.25">
      <c r="B6066" s="33" t="s">
        <v>7557</v>
      </c>
      <c r="C6066" s="33">
        <v>30</v>
      </c>
    </row>
    <row r="6067" spans="2:3" x14ac:dyDescent="0.25">
      <c r="B6067" s="33" t="s">
        <v>7558</v>
      </c>
      <c r="C6067" s="33">
        <v>30</v>
      </c>
    </row>
    <row r="6068" spans="2:3" x14ac:dyDescent="0.25">
      <c r="B6068" s="33" t="s">
        <v>7559</v>
      </c>
      <c r="C6068" s="33">
        <v>30</v>
      </c>
    </row>
    <row r="6069" spans="2:3" x14ac:dyDescent="0.25">
      <c r="B6069" s="33" t="s">
        <v>7560</v>
      </c>
      <c r="C6069" s="33">
        <v>30</v>
      </c>
    </row>
    <row r="6070" spans="2:3" x14ac:dyDescent="0.25">
      <c r="B6070" s="33" t="s">
        <v>7561</v>
      </c>
      <c r="C6070" s="33">
        <v>30</v>
      </c>
    </row>
    <row r="6071" spans="2:3" x14ac:dyDescent="0.25">
      <c r="B6071" s="33" t="s">
        <v>7562</v>
      </c>
      <c r="C6071" s="33">
        <v>30</v>
      </c>
    </row>
    <row r="6072" spans="2:3" x14ac:dyDescent="0.25">
      <c r="B6072" s="33" t="s">
        <v>7563</v>
      </c>
      <c r="C6072" s="33">
        <v>30</v>
      </c>
    </row>
    <row r="6073" spans="2:3" x14ac:dyDescent="0.25">
      <c r="B6073" s="33" t="s">
        <v>7564</v>
      </c>
      <c r="C6073" s="33">
        <v>30</v>
      </c>
    </row>
    <row r="6074" spans="2:3" x14ac:dyDescent="0.25">
      <c r="B6074" s="33" t="s">
        <v>7565</v>
      </c>
      <c r="C6074" s="33">
        <v>30</v>
      </c>
    </row>
    <row r="6075" spans="2:3" x14ac:dyDescent="0.25">
      <c r="B6075" s="33" t="s">
        <v>7566</v>
      </c>
      <c r="C6075" s="33">
        <v>30</v>
      </c>
    </row>
    <row r="6076" spans="2:3" x14ac:dyDescent="0.25">
      <c r="B6076" s="33" t="s">
        <v>7567</v>
      </c>
      <c r="C6076" s="33">
        <v>30</v>
      </c>
    </row>
    <row r="6077" spans="2:3" x14ac:dyDescent="0.25">
      <c r="B6077" s="33" t="s">
        <v>7568</v>
      </c>
      <c r="C6077" s="33">
        <v>30</v>
      </c>
    </row>
    <row r="6078" spans="2:3" x14ac:dyDescent="0.25">
      <c r="B6078" s="33" t="s">
        <v>7569</v>
      </c>
      <c r="C6078" s="33">
        <v>30</v>
      </c>
    </row>
    <row r="6079" spans="2:3" x14ac:dyDescent="0.25">
      <c r="B6079" s="33" t="s">
        <v>7570</v>
      </c>
      <c r="C6079" s="33">
        <v>30</v>
      </c>
    </row>
    <row r="6080" spans="2:3" x14ac:dyDescent="0.25">
      <c r="B6080" s="33" t="s">
        <v>7571</v>
      </c>
      <c r="C6080" s="33">
        <v>30</v>
      </c>
    </row>
    <row r="6081" spans="2:3" x14ac:dyDescent="0.25">
      <c r="B6081" s="33" t="s">
        <v>7572</v>
      </c>
      <c r="C6081" s="33">
        <v>30</v>
      </c>
    </row>
    <row r="6082" spans="2:3" x14ac:dyDescent="0.25">
      <c r="B6082" s="33" t="s">
        <v>7573</v>
      </c>
      <c r="C6082" s="33">
        <v>30</v>
      </c>
    </row>
    <row r="6083" spans="2:3" x14ac:dyDescent="0.25">
      <c r="B6083" s="33" t="s">
        <v>7574</v>
      </c>
      <c r="C6083" s="33">
        <v>30</v>
      </c>
    </row>
    <row r="6084" spans="2:3" x14ac:dyDescent="0.25">
      <c r="B6084" s="33" t="s">
        <v>7575</v>
      </c>
      <c r="C6084" s="33">
        <v>30</v>
      </c>
    </row>
    <row r="6085" spans="2:3" x14ac:dyDescent="0.25">
      <c r="B6085" s="33" t="s">
        <v>7576</v>
      </c>
      <c r="C6085" s="33">
        <v>30</v>
      </c>
    </row>
    <row r="6086" spans="2:3" x14ac:dyDescent="0.25">
      <c r="B6086" s="33" t="s">
        <v>7577</v>
      </c>
      <c r="C6086" s="33">
        <v>30</v>
      </c>
    </row>
    <row r="6087" spans="2:3" x14ac:dyDescent="0.25">
      <c r="B6087" s="33" t="s">
        <v>7578</v>
      </c>
      <c r="C6087" s="33">
        <v>30</v>
      </c>
    </row>
    <row r="6088" spans="2:3" x14ac:dyDescent="0.25">
      <c r="B6088" s="33" t="s">
        <v>7579</v>
      </c>
      <c r="C6088" s="33">
        <v>30</v>
      </c>
    </row>
    <row r="6089" spans="2:3" x14ac:dyDescent="0.25">
      <c r="B6089" s="33" t="s">
        <v>7580</v>
      </c>
      <c r="C6089" s="33">
        <v>30</v>
      </c>
    </row>
    <row r="6090" spans="2:3" x14ac:dyDescent="0.25">
      <c r="B6090" s="33" t="s">
        <v>7581</v>
      </c>
      <c r="C6090" s="33">
        <v>30</v>
      </c>
    </row>
    <row r="6091" spans="2:3" x14ac:dyDescent="0.25">
      <c r="B6091" s="33" t="s">
        <v>7582</v>
      </c>
      <c r="C6091" s="33">
        <v>30</v>
      </c>
    </row>
    <row r="6092" spans="2:3" x14ac:dyDescent="0.25">
      <c r="B6092" s="33" t="s">
        <v>7583</v>
      </c>
      <c r="C6092" s="33">
        <v>30</v>
      </c>
    </row>
    <row r="6093" spans="2:3" x14ac:dyDescent="0.25">
      <c r="B6093" s="33" t="s">
        <v>7584</v>
      </c>
      <c r="C6093" s="33">
        <v>30</v>
      </c>
    </row>
    <row r="6094" spans="2:3" x14ac:dyDescent="0.25">
      <c r="B6094" s="33" t="s">
        <v>7585</v>
      </c>
      <c r="C6094" s="33">
        <v>30</v>
      </c>
    </row>
    <row r="6095" spans="2:3" x14ac:dyDescent="0.25">
      <c r="B6095" s="33" t="s">
        <v>7586</v>
      </c>
      <c r="C6095" s="33">
        <v>30</v>
      </c>
    </row>
    <row r="6096" spans="2:3" x14ac:dyDescent="0.25">
      <c r="B6096" s="33" t="s">
        <v>7587</v>
      </c>
      <c r="C6096" s="33">
        <v>30</v>
      </c>
    </row>
    <row r="6097" spans="2:3" x14ac:dyDescent="0.25">
      <c r="B6097" s="33" t="s">
        <v>7588</v>
      </c>
      <c r="C6097" s="33">
        <v>30</v>
      </c>
    </row>
    <row r="6098" spans="2:3" x14ac:dyDescent="0.25">
      <c r="B6098" s="33" t="s">
        <v>7589</v>
      </c>
      <c r="C6098" s="33">
        <v>30</v>
      </c>
    </row>
    <row r="6099" spans="2:3" x14ac:dyDescent="0.25">
      <c r="B6099" s="33" t="s">
        <v>7590</v>
      </c>
      <c r="C6099" s="33">
        <v>30</v>
      </c>
    </row>
    <row r="6100" spans="2:3" x14ac:dyDescent="0.25">
      <c r="B6100" s="33" t="s">
        <v>7591</v>
      </c>
      <c r="C6100" s="33">
        <v>30</v>
      </c>
    </row>
    <row r="6101" spans="2:3" x14ac:dyDescent="0.25">
      <c r="B6101" s="33" t="s">
        <v>7592</v>
      </c>
      <c r="C6101" s="33">
        <v>30</v>
      </c>
    </row>
    <row r="6102" spans="2:3" x14ac:dyDescent="0.25">
      <c r="B6102" s="33" t="s">
        <v>7593</v>
      </c>
      <c r="C6102" s="33">
        <v>30</v>
      </c>
    </row>
    <row r="6103" spans="2:3" x14ac:dyDescent="0.25">
      <c r="B6103" s="33" t="s">
        <v>7594</v>
      </c>
      <c r="C6103" s="33">
        <v>30</v>
      </c>
    </row>
    <row r="6104" spans="2:3" x14ac:dyDescent="0.25">
      <c r="B6104" s="33" t="s">
        <v>7595</v>
      </c>
      <c r="C6104" s="33">
        <v>30</v>
      </c>
    </row>
    <row r="6105" spans="2:3" x14ac:dyDescent="0.25">
      <c r="B6105" s="33" t="s">
        <v>7596</v>
      </c>
      <c r="C6105" s="33">
        <v>30</v>
      </c>
    </row>
    <row r="6106" spans="2:3" x14ac:dyDescent="0.25">
      <c r="B6106" s="33" t="s">
        <v>7597</v>
      </c>
      <c r="C6106" s="33">
        <v>30</v>
      </c>
    </row>
    <row r="6107" spans="2:3" x14ac:dyDescent="0.25">
      <c r="B6107" s="33" t="s">
        <v>7598</v>
      </c>
      <c r="C6107" s="33">
        <v>30</v>
      </c>
    </row>
    <row r="6108" spans="2:3" x14ac:dyDescent="0.25">
      <c r="B6108" s="33" t="s">
        <v>7599</v>
      </c>
      <c r="C6108" s="33">
        <v>30</v>
      </c>
    </row>
    <row r="6109" spans="2:3" x14ac:dyDescent="0.25">
      <c r="B6109" s="33" t="s">
        <v>7600</v>
      </c>
      <c r="C6109" s="33">
        <v>30</v>
      </c>
    </row>
    <row r="6110" spans="2:3" x14ac:dyDescent="0.25">
      <c r="B6110" s="33" t="s">
        <v>7601</v>
      </c>
      <c r="C6110" s="33">
        <v>30</v>
      </c>
    </row>
    <row r="6111" spans="2:3" x14ac:dyDescent="0.25">
      <c r="B6111" s="33" t="s">
        <v>7602</v>
      </c>
      <c r="C6111" s="33">
        <v>30</v>
      </c>
    </row>
    <row r="6112" spans="2:3" x14ac:dyDescent="0.25">
      <c r="B6112" s="33" t="s">
        <v>7603</v>
      </c>
      <c r="C6112" s="33">
        <v>30</v>
      </c>
    </row>
    <row r="6113" spans="2:3" x14ac:dyDescent="0.25">
      <c r="B6113" s="33" t="s">
        <v>7604</v>
      </c>
      <c r="C6113" s="33">
        <v>30</v>
      </c>
    </row>
    <row r="6114" spans="2:3" x14ac:dyDescent="0.25">
      <c r="B6114" s="33" t="s">
        <v>7605</v>
      </c>
      <c r="C6114" s="33">
        <v>30</v>
      </c>
    </row>
    <row r="6115" spans="2:3" x14ac:dyDescent="0.25">
      <c r="B6115" s="33" t="s">
        <v>7606</v>
      </c>
      <c r="C6115" s="33">
        <v>30</v>
      </c>
    </row>
    <row r="6116" spans="2:3" x14ac:dyDescent="0.25">
      <c r="B6116" s="33" t="s">
        <v>7607</v>
      </c>
      <c r="C6116" s="33">
        <v>30</v>
      </c>
    </row>
    <row r="6117" spans="2:3" x14ac:dyDescent="0.25">
      <c r="B6117" s="33" t="s">
        <v>7608</v>
      </c>
      <c r="C6117" s="33">
        <v>30</v>
      </c>
    </row>
    <row r="6118" spans="2:3" x14ac:dyDescent="0.25">
      <c r="B6118" s="33" t="s">
        <v>7609</v>
      </c>
      <c r="C6118" s="33">
        <v>30</v>
      </c>
    </row>
    <row r="6119" spans="2:3" x14ac:dyDescent="0.25">
      <c r="B6119" s="33" t="s">
        <v>7610</v>
      </c>
      <c r="C6119" s="33">
        <v>30</v>
      </c>
    </row>
    <row r="6120" spans="2:3" x14ac:dyDescent="0.25">
      <c r="B6120" s="33" t="s">
        <v>7611</v>
      </c>
      <c r="C6120" s="33">
        <v>30</v>
      </c>
    </row>
    <row r="6121" spans="2:3" x14ac:dyDescent="0.25">
      <c r="B6121" s="33" t="s">
        <v>7612</v>
      </c>
      <c r="C6121" s="33">
        <v>30</v>
      </c>
    </row>
    <row r="6122" spans="2:3" x14ac:dyDescent="0.25">
      <c r="B6122" s="33" t="s">
        <v>7613</v>
      </c>
      <c r="C6122" s="33">
        <v>30</v>
      </c>
    </row>
    <row r="6123" spans="2:3" x14ac:dyDescent="0.25">
      <c r="B6123" s="33" t="s">
        <v>7614</v>
      </c>
      <c r="C6123" s="33">
        <v>30</v>
      </c>
    </row>
    <row r="6124" spans="2:3" x14ac:dyDescent="0.25">
      <c r="B6124" s="33" t="s">
        <v>7615</v>
      </c>
      <c r="C6124" s="33">
        <v>30</v>
      </c>
    </row>
    <row r="6125" spans="2:3" x14ac:dyDescent="0.25">
      <c r="B6125" s="33" t="s">
        <v>7616</v>
      </c>
      <c r="C6125" s="33">
        <v>30</v>
      </c>
    </row>
    <row r="6126" spans="2:3" x14ac:dyDescent="0.25">
      <c r="B6126" s="33" t="s">
        <v>7617</v>
      </c>
      <c r="C6126" s="33">
        <v>30</v>
      </c>
    </row>
    <row r="6127" spans="2:3" x14ac:dyDescent="0.25">
      <c r="B6127" s="33" t="s">
        <v>7618</v>
      </c>
      <c r="C6127" s="33">
        <v>30</v>
      </c>
    </row>
    <row r="6128" spans="2:3" x14ac:dyDescent="0.25">
      <c r="B6128" s="33" t="s">
        <v>7619</v>
      </c>
      <c r="C6128" s="33">
        <v>30</v>
      </c>
    </row>
    <row r="6129" spans="2:3" x14ac:dyDescent="0.25">
      <c r="B6129" s="33" t="s">
        <v>7620</v>
      </c>
      <c r="C6129" s="33">
        <v>30</v>
      </c>
    </row>
    <row r="6130" spans="2:3" x14ac:dyDescent="0.25">
      <c r="B6130" s="33" t="s">
        <v>7621</v>
      </c>
      <c r="C6130" s="33">
        <v>30</v>
      </c>
    </row>
    <row r="6131" spans="2:3" x14ac:dyDescent="0.25">
      <c r="B6131" s="33" t="s">
        <v>7622</v>
      </c>
      <c r="C6131" s="33">
        <v>30</v>
      </c>
    </row>
    <row r="6132" spans="2:3" x14ac:dyDescent="0.25">
      <c r="B6132" s="33" t="s">
        <v>7623</v>
      </c>
      <c r="C6132" s="33">
        <v>30</v>
      </c>
    </row>
    <row r="6133" spans="2:3" x14ac:dyDescent="0.25">
      <c r="B6133" s="33" t="s">
        <v>7624</v>
      </c>
      <c r="C6133" s="33">
        <v>30</v>
      </c>
    </row>
    <row r="6134" spans="2:3" x14ac:dyDescent="0.25">
      <c r="B6134" s="33" t="s">
        <v>7625</v>
      </c>
      <c r="C6134" s="33">
        <v>30</v>
      </c>
    </row>
    <row r="6135" spans="2:3" x14ac:dyDescent="0.25">
      <c r="B6135" s="33" t="s">
        <v>7626</v>
      </c>
      <c r="C6135" s="33">
        <v>30</v>
      </c>
    </row>
    <row r="6136" spans="2:3" x14ac:dyDescent="0.25">
      <c r="B6136" s="33" t="s">
        <v>7627</v>
      </c>
      <c r="C6136" s="33">
        <v>30</v>
      </c>
    </row>
    <row r="6137" spans="2:3" x14ac:dyDescent="0.25">
      <c r="B6137" s="33" t="s">
        <v>7628</v>
      </c>
      <c r="C6137" s="33">
        <v>30</v>
      </c>
    </row>
    <row r="6138" spans="2:3" x14ac:dyDescent="0.25">
      <c r="B6138" s="33" t="s">
        <v>7629</v>
      </c>
      <c r="C6138" s="33">
        <v>30</v>
      </c>
    </row>
    <row r="6139" spans="2:3" x14ac:dyDescent="0.25">
      <c r="B6139" s="33" t="s">
        <v>7630</v>
      </c>
      <c r="C6139" s="33">
        <v>30</v>
      </c>
    </row>
    <row r="6140" spans="2:3" x14ac:dyDescent="0.25">
      <c r="B6140" s="33" t="s">
        <v>7631</v>
      </c>
      <c r="C6140" s="33">
        <v>30</v>
      </c>
    </row>
    <row r="6141" spans="2:3" x14ac:dyDescent="0.25">
      <c r="B6141" s="33" t="s">
        <v>7632</v>
      </c>
      <c r="C6141" s="33">
        <v>30</v>
      </c>
    </row>
    <row r="6142" spans="2:3" x14ac:dyDescent="0.25">
      <c r="B6142" s="33" t="s">
        <v>7633</v>
      </c>
      <c r="C6142" s="33">
        <v>30</v>
      </c>
    </row>
    <row r="6143" spans="2:3" x14ac:dyDescent="0.25">
      <c r="B6143" s="33" t="s">
        <v>7634</v>
      </c>
      <c r="C6143" s="33">
        <v>30</v>
      </c>
    </row>
    <row r="6144" spans="2:3" x14ac:dyDescent="0.25">
      <c r="B6144" s="33" t="s">
        <v>7635</v>
      </c>
      <c r="C6144" s="33">
        <v>30</v>
      </c>
    </row>
    <row r="6145" spans="2:3" x14ac:dyDescent="0.25">
      <c r="B6145" s="33" t="s">
        <v>7636</v>
      </c>
      <c r="C6145" s="33">
        <v>30</v>
      </c>
    </row>
    <row r="6146" spans="2:3" x14ac:dyDescent="0.25">
      <c r="B6146" s="33" t="s">
        <v>7637</v>
      </c>
      <c r="C6146" s="33">
        <v>30</v>
      </c>
    </row>
    <row r="6147" spans="2:3" x14ac:dyDescent="0.25">
      <c r="B6147" s="33" t="s">
        <v>7638</v>
      </c>
      <c r="C6147" s="33">
        <v>30</v>
      </c>
    </row>
    <row r="6148" spans="2:3" x14ac:dyDescent="0.25">
      <c r="B6148" s="33" t="s">
        <v>7639</v>
      </c>
      <c r="C6148" s="33">
        <v>30</v>
      </c>
    </row>
    <row r="6149" spans="2:3" x14ac:dyDescent="0.25">
      <c r="B6149" s="33" t="s">
        <v>7640</v>
      </c>
      <c r="C6149" s="33">
        <v>30</v>
      </c>
    </row>
    <row r="6150" spans="2:3" x14ac:dyDescent="0.25">
      <c r="B6150" s="33" t="s">
        <v>7641</v>
      </c>
      <c r="C6150" s="33">
        <v>30</v>
      </c>
    </row>
    <row r="6151" spans="2:3" x14ac:dyDescent="0.25">
      <c r="B6151" s="33" t="s">
        <v>7642</v>
      </c>
      <c r="C6151" s="33">
        <v>30</v>
      </c>
    </row>
    <row r="6152" spans="2:3" x14ac:dyDescent="0.25">
      <c r="B6152" s="33" t="s">
        <v>7643</v>
      </c>
      <c r="C6152" s="33">
        <v>30</v>
      </c>
    </row>
    <row r="6153" spans="2:3" x14ac:dyDescent="0.25">
      <c r="B6153" s="33" t="s">
        <v>7644</v>
      </c>
      <c r="C6153" s="33">
        <v>30</v>
      </c>
    </row>
    <row r="6154" spans="2:3" x14ac:dyDescent="0.25">
      <c r="B6154" s="33" t="s">
        <v>7645</v>
      </c>
      <c r="C6154" s="33">
        <v>30</v>
      </c>
    </row>
    <row r="6155" spans="2:3" x14ac:dyDescent="0.25">
      <c r="B6155" s="33" t="s">
        <v>7646</v>
      </c>
      <c r="C6155" s="33">
        <v>30</v>
      </c>
    </row>
    <row r="6156" spans="2:3" x14ac:dyDescent="0.25">
      <c r="B6156" s="33" t="s">
        <v>7647</v>
      </c>
      <c r="C6156" s="33">
        <v>30</v>
      </c>
    </row>
    <row r="6157" spans="2:3" x14ac:dyDescent="0.25">
      <c r="B6157" s="33" t="s">
        <v>7648</v>
      </c>
      <c r="C6157" s="33">
        <v>30</v>
      </c>
    </row>
    <row r="6158" spans="2:3" x14ac:dyDescent="0.25">
      <c r="B6158" s="33" t="s">
        <v>7649</v>
      </c>
      <c r="C6158" s="33">
        <v>30</v>
      </c>
    </row>
    <row r="6159" spans="2:3" x14ac:dyDescent="0.25">
      <c r="B6159" s="33" t="s">
        <v>7650</v>
      </c>
      <c r="C6159" s="33">
        <v>30</v>
      </c>
    </row>
    <row r="6160" spans="2:3" x14ac:dyDescent="0.25">
      <c r="B6160" s="33" t="s">
        <v>7651</v>
      </c>
      <c r="C6160" s="33">
        <v>30</v>
      </c>
    </row>
    <row r="6161" spans="2:3" x14ac:dyDescent="0.25">
      <c r="B6161" s="33" t="s">
        <v>7652</v>
      </c>
      <c r="C6161" s="33">
        <v>30</v>
      </c>
    </row>
    <row r="6162" spans="2:3" x14ac:dyDescent="0.25">
      <c r="B6162" s="33" t="s">
        <v>7653</v>
      </c>
      <c r="C6162" s="33">
        <v>30</v>
      </c>
    </row>
    <row r="6163" spans="2:3" x14ac:dyDescent="0.25">
      <c r="B6163" s="33" t="s">
        <v>7654</v>
      </c>
      <c r="C6163" s="33">
        <v>30</v>
      </c>
    </row>
    <row r="6164" spans="2:3" x14ac:dyDescent="0.25">
      <c r="B6164" s="33" t="s">
        <v>7655</v>
      </c>
      <c r="C6164" s="33">
        <v>30</v>
      </c>
    </row>
    <row r="6165" spans="2:3" x14ac:dyDescent="0.25">
      <c r="B6165" s="33" t="s">
        <v>7656</v>
      </c>
      <c r="C6165" s="33">
        <v>30</v>
      </c>
    </row>
    <row r="6166" spans="2:3" x14ac:dyDescent="0.25">
      <c r="B6166" s="33" t="s">
        <v>7657</v>
      </c>
      <c r="C6166" s="33">
        <v>30</v>
      </c>
    </row>
    <row r="6167" spans="2:3" x14ac:dyDescent="0.25">
      <c r="B6167" s="33" t="s">
        <v>7658</v>
      </c>
      <c r="C6167" s="33">
        <v>30</v>
      </c>
    </row>
    <row r="6168" spans="2:3" x14ac:dyDescent="0.25">
      <c r="B6168" s="33" t="s">
        <v>7659</v>
      </c>
      <c r="C6168" s="33">
        <v>30</v>
      </c>
    </row>
    <row r="6169" spans="2:3" x14ac:dyDescent="0.25">
      <c r="B6169" s="33" t="s">
        <v>7660</v>
      </c>
      <c r="C6169" s="33">
        <v>30</v>
      </c>
    </row>
    <row r="6170" spans="2:3" x14ac:dyDescent="0.25">
      <c r="B6170" s="33" t="s">
        <v>7661</v>
      </c>
      <c r="C6170" s="33">
        <v>30</v>
      </c>
    </row>
    <row r="6171" spans="2:3" x14ac:dyDescent="0.25">
      <c r="B6171" s="33" t="s">
        <v>7662</v>
      </c>
      <c r="C6171" s="33">
        <v>30</v>
      </c>
    </row>
    <row r="6172" spans="2:3" x14ac:dyDescent="0.25">
      <c r="B6172" s="33" t="s">
        <v>7663</v>
      </c>
      <c r="C6172" s="33">
        <v>30</v>
      </c>
    </row>
    <row r="6173" spans="2:3" x14ac:dyDescent="0.25">
      <c r="B6173" s="33" t="s">
        <v>7664</v>
      </c>
      <c r="C6173" s="33">
        <v>30</v>
      </c>
    </row>
    <row r="6174" spans="2:3" x14ac:dyDescent="0.25">
      <c r="B6174" s="33" t="s">
        <v>7665</v>
      </c>
      <c r="C6174" s="33">
        <v>30</v>
      </c>
    </row>
    <row r="6175" spans="2:3" x14ac:dyDescent="0.25">
      <c r="B6175" s="33" t="s">
        <v>7666</v>
      </c>
      <c r="C6175" s="33">
        <v>30</v>
      </c>
    </row>
    <row r="6176" spans="2:3" x14ac:dyDescent="0.25">
      <c r="B6176" s="33" t="s">
        <v>7667</v>
      </c>
      <c r="C6176" s="33">
        <v>30</v>
      </c>
    </row>
    <row r="6177" spans="2:3" x14ac:dyDescent="0.25">
      <c r="B6177" s="33" t="s">
        <v>7668</v>
      </c>
      <c r="C6177" s="33">
        <v>30</v>
      </c>
    </row>
    <row r="6178" spans="2:3" x14ac:dyDescent="0.25">
      <c r="B6178" s="33" t="s">
        <v>7669</v>
      </c>
      <c r="C6178" s="33">
        <v>30</v>
      </c>
    </row>
    <row r="6179" spans="2:3" x14ac:dyDescent="0.25">
      <c r="B6179" s="33" t="s">
        <v>7670</v>
      </c>
      <c r="C6179" s="33">
        <v>30</v>
      </c>
    </row>
    <row r="6180" spans="2:3" x14ac:dyDescent="0.25">
      <c r="B6180" s="33" t="s">
        <v>7671</v>
      </c>
      <c r="C6180" s="33">
        <v>30</v>
      </c>
    </row>
    <row r="6181" spans="2:3" x14ac:dyDescent="0.25">
      <c r="B6181" s="33" t="s">
        <v>7672</v>
      </c>
      <c r="C6181" s="33">
        <v>30</v>
      </c>
    </row>
    <row r="6182" spans="2:3" x14ac:dyDescent="0.25">
      <c r="B6182" s="33" t="s">
        <v>7673</v>
      </c>
      <c r="C6182" s="33">
        <v>30</v>
      </c>
    </row>
    <row r="6183" spans="2:3" x14ac:dyDescent="0.25">
      <c r="B6183" s="33" t="s">
        <v>7674</v>
      </c>
      <c r="C6183" s="33">
        <v>30</v>
      </c>
    </row>
    <row r="6184" spans="2:3" x14ac:dyDescent="0.25">
      <c r="B6184" s="33" t="s">
        <v>7675</v>
      </c>
      <c r="C6184" s="33">
        <v>30</v>
      </c>
    </row>
    <row r="6185" spans="2:3" x14ac:dyDescent="0.25">
      <c r="B6185" s="33" t="s">
        <v>7676</v>
      </c>
      <c r="C6185" s="33">
        <v>30</v>
      </c>
    </row>
    <row r="6186" spans="2:3" x14ac:dyDescent="0.25">
      <c r="B6186" s="33" t="s">
        <v>7677</v>
      </c>
      <c r="C6186" s="33">
        <v>30</v>
      </c>
    </row>
    <row r="6187" spans="2:3" x14ac:dyDescent="0.25">
      <c r="B6187" s="33" t="s">
        <v>7678</v>
      </c>
      <c r="C6187" s="33">
        <v>30</v>
      </c>
    </row>
    <row r="6188" spans="2:3" x14ac:dyDescent="0.25">
      <c r="B6188" s="33" t="s">
        <v>7679</v>
      </c>
      <c r="C6188" s="33">
        <v>30</v>
      </c>
    </row>
    <row r="6189" spans="2:3" x14ac:dyDescent="0.25">
      <c r="B6189" s="33" t="s">
        <v>7680</v>
      </c>
      <c r="C6189" s="33">
        <v>30</v>
      </c>
    </row>
    <row r="6190" spans="2:3" x14ac:dyDescent="0.25">
      <c r="B6190" s="33" t="s">
        <v>7681</v>
      </c>
      <c r="C6190" s="33">
        <v>30</v>
      </c>
    </row>
    <row r="6191" spans="2:3" x14ac:dyDescent="0.25">
      <c r="B6191" s="33" t="s">
        <v>7682</v>
      </c>
      <c r="C6191" s="33">
        <v>30</v>
      </c>
    </row>
    <row r="6192" spans="2:3" x14ac:dyDescent="0.25">
      <c r="B6192" s="33" t="s">
        <v>7683</v>
      </c>
      <c r="C6192" s="33">
        <v>30</v>
      </c>
    </row>
    <row r="6193" spans="2:3" x14ac:dyDescent="0.25">
      <c r="B6193" s="33" t="s">
        <v>7684</v>
      </c>
      <c r="C6193" s="33">
        <v>30</v>
      </c>
    </row>
    <row r="6194" spans="2:3" x14ac:dyDescent="0.25">
      <c r="B6194" s="33" t="s">
        <v>7685</v>
      </c>
      <c r="C6194" s="33">
        <v>30</v>
      </c>
    </row>
    <row r="6195" spans="2:3" x14ac:dyDescent="0.25">
      <c r="B6195" s="33" t="s">
        <v>7686</v>
      </c>
      <c r="C6195" s="33">
        <v>30</v>
      </c>
    </row>
    <row r="6196" spans="2:3" x14ac:dyDescent="0.25">
      <c r="B6196" s="33" t="s">
        <v>7687</v>
      </c>
      <c r="C6196" s="33">
        <v>30</v>
      </c>
    </row>
    <row r="6197" spans="2:3" x14ac:dyDescent="0.25">
      <c r="B6197" s="33" t="s">
        <v>7688</v>
      </c>
      <c r="C6197" s="33">
        <v>30</v>
      </c>
    </row>
    <row r="6198" spans="2:3" x14ac:dyDescent="0.25">
      <c r="B6198" s="33" t="s">
        <v>7689</v>
      </c>
      <c r="C6198" s="33">
        <v>30</v>
      </c>
    </row>
    <row r="6199" spans="2:3" x14ac:dyDescent="0.25">
      <c r="B6199" s="33" t="s">
        <v>7690</v>
      </c>
      <c r="C6199" s="33">
        <v>30</v>
      </c>
    </row>
    <row r="6200" spans="2:3" x14ac:dyDescent="0.25">
      <c r="B6200" s="33" t="s">
        <v>7691</v>
      </c>
      <c r="C6200" s="33">
        <v>30</v>
      </c>
    </row>
    <row r="6201" spans="2:3" x14ac:dyDescent="0.25">
      <c r="B6201" s="33" t="s">
        <v>7692</v>
      </c>
      <c r="C6201" s="33">
        <v>30</v>
      </c>
    </row>
    <row r="6202" spans="2:3" x14ac:dyDescent="0.25">
      <c r="B6202" s="33" t="s">
        <v>7693</v>
      </c>
      <c r="C6202" s="33">
        <v>30</v>
      </c>
    </row>
    <row r="6203" spans="2:3" x14ac:dyDescent="0.25">
      <c r="B6203" s="33" t="s">
        <v>7694</v>
      </c>
      <c r="C6203" s="33">
        <v>30</v>
      </c>
    </row>
    <row r="6204" spans="2:3" x14ac:dyDescent="0.25">
      <c r="B6204" s="33" t="s">
        <v>7695</v>
      </c>
      <c r="C6204" s="33">
        <v>30</v>
      </c>
    </row>
    <row r="6205" spans="2:3" x14ac:dyDescent="0.25">
      <c r="B6205" s="33" t="s">
        <v>7696</v>
      </c>
      <c r="C6205" s="33">
        <v>30</v>
      </c>
    </row>
    <row r="6206" spans="2:3" x14ac:dyDescent="0.25">
      <c r="B6206" s="33" t="s">
        <v>7697</v>
      </c>
      <c r="C6206" s="33">
        <v>30</v>
      </c>
    </row>
    <row r="6207" spans="2:3" x14ac:dyDescent="0.25">
      <c r="B6207" s="33" t="s">
        <v>7698</v>
      </c>
      <c r="C6207" s="33">
        <v>30</v>
      </c>
    </row>
    <row r="6208" spans="2:3" x14ac:dyDescent="0.25">
      <c r="B6208" s="33" t="s">
        <v>7699</v>
      </c>
      <c r="C6208" s="33">
        <v>30</v>
      </c>
    </row>
    <row r="6209" spans="2:3" x14ac:dyDescent="0.25">
      <c r="B6209" s="33" t="s">
        <v>7700</v>
      </c>
      <c r="C6209" s="33">
        <v>30</v>
      </c>
    </row>
    <row r="6210" spans="2:3" x14ac:dyDescent="0.25">
      <c r="B6210" s="33" t="s">
        <v>7701</v>
      </c>
      <c r="C6210" s="33">
        <v>30</v>
      </c>
    </row>
    <row r="6211" spans="2:3" x14ac:dyDescent="0.25">
      <c r="B6211" s="33" t="s">
        <v>7702</v>
      </c>
      <c r="C6211" s="33">
        <v>30</v>
      </c>
    </row>
    <row r="6212" spans="2:3" x14ac:dyDescent="0.25">
      <c r="B6212" s="33" t="s">
        <v>7703</v>
      </c>
      <c r="C6212" s="33">
        <v>30</v>
      </c>
    </row>
    <row r="6213" spans="2:3" x14ac:dyDescent="0.25">
      <c r="B6213" s="33" t="s">
        <v>7704</v>
      </c>
      <c r="C6213" s="33">
        <v>30</v>
      </c>
    </row>
    <row r="6214" spans="2:3" x14ac:dyDescent="0.25">
      <c r="B6214" s="33" t="s">
        <v>7705</v>
      </c>
      <c r="C6214" s="33">
        <v>30</v>
      </c>
    </row>
    <row r="6215" spans="2:3" x14ac:dyDescent="0.25">
      <c r="B6215" s="33" t="s">
        <v>7706</v>
      </c>
      <c r="C6215" s="33">
        <v>30</v>
      </c>
    </row>
    <row r="6216" spans="2:3" x14ac:dyDescent="0.25">
      <c r="B6216" s="33" t="s">
        <v>7707</v>
      </c>
      <c r="C6216" s="33">
        <v>30</v>
      </c>
    </row>
    <row r="6217" spans="2:3" x14ac:dyDescent="0.25">
      <c r="B6217" s="33" t="s">
        <v>7708</v>
      </c>
      <c r="C6217" s="33">
        <v>30</v>
      </c>
    </row>
    <row r="6218" spans="2:3" x14ac:dyDescent="0.25">
      <c r="B6218" s="33" t="s">
        <v>7709</v>
      </c>
      <c r="C6218" s="33">
        <v>30</v>
      </c>
    </row>
    <row r="6219" spans="2:3" x14ac:dyDescent="0.25">
      <c r="B6219" s="33" t="s">
        <v>7710</v>
      </c>
      <c r="C6219" s="33">
        <v>30</v>
      </c>
    </row>
    <row r="6220" spans="2:3" x14ac:dyDescent="0.25">
      <c r="B6220" s="33" t="s">
        <v>7711</v>
      </c>
      <c r="C6220" s="33">
        <v>30</v>
      </c>
    </row>
    <row r="6221" spans="2:3" x14ac:dyDescent="0.25">
      <c r="B6221" s="33" t="s">
        <v>7712</v>
      </c>
      <c r="C6221" s="33">
        <v>30</v>
      </c>
    </row>
    <row r="6222" spans="2:3" x14ac:dyDescent="0.25">
      <c r="B6222" s="33" t="s">
        <v>7713</v>
      </c>
      <c r="C6222" s="33">
        <v>30</v>
      </c>
    </row>
    <row r="6223" spans="2:3" x14ac:dyDescent="0.25">
      <c r="B6223" s="33" t="s">
        <v>7714</v>
      </c>
      <c r="C6223" s="33">
        <v>30</v>
      </c>
    </row>
    <row r="6224" spans="2:3" x14ac:dyDescent="0.25">
      <c r="B6224" s="33" t="s">
        <v>7715</v>
      </c>
      <c r="C6224" s="33">
        <v>30</v>
      </c>
    </row>
    <row r="6225" spans="2:3" x14ac:dyDescent="0.25">
      <c r="B6225" s="33" t="s">
        <v>7716</v>
      </c>
      <c r="C6225" s="33">
        <v>30</v>
      </c>
    </row>
    <row r="6226" spans="2:3" x14ac:dyDescent="0.25">
      <c r="B6226" s="33" t="s">
        <v>7717</v>
      </c>
      <c r="C6226" s="33">
        <v>30</v>
      </c>
    </row>
    <row r="6227" spans="2:3" x14ac:dyDescent="0.25">
      <c r="B6227" s="33" t="s">
        <v>7718</v>
      </c>
      <c r="C6227" s="33">
        <v>30</v>
      </c>
    </row>
    <row r="6228" spans="2:3" x14ac:dyDescent="0.25">
      <c r="B6228" s="33" t="s">
        <v>7719</v>
      </c>
      <c r="C6228" s="33">
        <v>30</v>
      </c>
    </row>
    <row r="6229" spans="2:3" x14ac:dyDescent="0.25">
      <c r="B6229" s="33" t="s">
        <v>7720</v>
      </c>
      <c r="C6229" s="33">
        <v>30</v>
      </c>
    </row>
    <row r="6230" spans="2:3" x14ac:dyDescent="0.25">
      <c r="B6230" s="33" t="s">
        <v>7721</v>
      </c>
      <c r="C6230" s="33">
        <v>30</v>
      </c>
    </row>
    <row r="6231" spans="2:3" x14ac:dyDescent="0.25">
      <c r="B6231" s="33" t="s">
        <v>7722</v>
      </c>
      <c r="C6231" s="33">
        <v>30</v>
      </c>
    </row>
    <row r="6232" spans="2:3" x14ac:dyDescent="0.25">
      <c r="B6232" s="33" t="s">
        <v>7723</v>
      </c>
      <c r="C6232" s="33">
        <v>30</v>
      </c>
    </row>
    <row r="6233" spans="2:3" x14ac:dyDescent="0.25">
      <c r="B6233" s="33" t="s">
        <v>7724</v>
      </c>
      <c r="C6233" s="33">
        <v>30</v>
      </c>
    </row>
    <row r="6234" spans="2:3" x14ac:dyDescent="0.25">
      <c r="B6234" s="33" t="s">
        <v>7725</v>
      </c>
      <c r="C6234" s="33">
        <v>30</v>
      </c>
    </row>
    <row r="6235" spans="2:3" x14ac:dyDescent="0.25">
      <c r="B6235" s="33" t="s">
        <v>7726</v>
      </c>
      <c r="C6235" s="33">
        <v>30</v>
      </c>
    </row>
    <row r="6236" spans="2:3" x14ac:dyDescent="0.25">
      <c r="B6236" s="33" t="s">
        <v>7727</v>
      </c>
      <c r="C6236" s="33">
        <v>30</v>
      </c>
    </row>
    <row r="6237" spans="2:3" x14ac:dyDescent="0.25">
      <c r="B6237" s="33" t="s">
        <v>7728</v>
      </c>
      <c r="C6237" s="33">
        <v>30</v>
      </c>
    </row>
    <row r="6238" spans="2:3" x14ac:dyDescent="0.25">
      <c r="B6238" s="33" t="s">
        <v>7729</v>
      </c>
      <c r="C6238" s="33">
        <v>30</v>
      </c>
    </row>
    <row r="6239" spans="2:3" x14ac:dyDescent="0.25">
      <c r="B6239" s="33" t="s">
        <v>7730</v>
      </c>
      <c r="C6239" s="33">
        <v>30</v>
      </c>
    </row>
    <row r="6240" spans="2:3" x14ac:dyDescent="0.25">
      <c r="B6240" s="33" t="s">
        <v>7731</v>
      </c>
      <c r="C6240" s="33">
        <v>30</v>
      </c>
    </row>
    <row r="6241" spans="2:3" x14ac:dyDescent="0.25">
      <c r="B6241" s="33" t="s">
        <v>7732</v>
      </c>
      <c r="C6241" s="33">
        <v>30</v>
      </c>
    </row>
    <row r="6242" spans="2:3" x14ac:dyDescent="0.25">
      <c r="B6242" s="33" t="s">
        <v>7733</v>
      </c>
      <c r="C6242" s="33">
        <v>30</v>
      </c>
    </row>
    <row r="6243" spans="2:3" x14ac:dyDescent="0.25">
      <c r="B6243" s="33" t="s">
        <v>7734</v>
      </c>
      <c r="C6243" s="33">
        <v>30</v>
      </c>
    </row>
    <row r="6244" spans="2:3" x14ac:dyDescent="0.25">
      <c r="B6244" s="33" t="s">
        <v>7735</v>
      </c>
      <c r="C6244" s="33">
        <v>30</v>
      </c>
    </row>
    <row r="6245" spans="2:3" x14ac:dyDescent="0.25">
      <c r="B6245" s="33" t="s">
        <v>7736</v>
      </c>
      <c r="C6245" s="33">
        <v>30</v>
      </c>
    </row>
    <row r="6246" spans="2:3" x14ac:dyDescent="0.25">
      <c r="B6246" s="33" t="s">
        <v>7737</v>
      </c>
      <c r="C6246" s="33">
        <v>30</v>
      </c>
    </row>
    <row r="6247" spans="2:3" x14ac:dyDescent="0.25">
      <c r="B6247" s="33" t="s">
        <v>7738</v>
      </c>
      <c r="C6247" s="33">
        <v>30</v>
      </c>
    </row>
    <row r="6248" spans="2:3" x14ac:dyDescent="0.25">
      <c r="B6248" s="33" t="s">
        <v>7739</v>
      </c>
      <c r="C6248" s="33">
        <v>30</v>
      </c>
    </row>
    <row r="6249" spans="2:3" x14ac:dyDescent="0.25">
      <c r="B6249" s="33" t="s">
        <v>7740</v>
      </c>
      <c r="C6249" s="33">
        <v>30</v>
      </c>
    </row>
    <row r="6250" spans="2:3" x14ac:dyDescent="0.25">
      <c r="B6250" s="33" t="s">
        <v>7741</v>
      </c>
      <c r="C6250" s="33">
        <v>30</v>
      </c>
    </row>
    <row r="6251" spans="2:3" x14ac:dyDescent="0.25">
      <c r="B6251" s="33" t="s">
        <v>7742</v>
      </c>
      <c r="C6251" s="33">
        <v>30</v>
      </c>
    </row>
    <row r="6252" spans="2:3" x14ac:dyDescent="0.25">
      <c r="B6252" s="33" t="s">
        <v>7743</v>
      </c>
      <c r="C6252" s="33">
        <v>30</v>
      </c>
    </row>
    <row r="6253" spans="2:3" x14ac:dyDescent="0.25">
      <c r="B6253" s="33" t="s">
        <v>7744</v>
      </c>
      <c r="C6253" s="33">
        <v>30</v>
      </c>
    </row>
    <row r="6254" spans="2:3" x14ac:dyDescent="0.25">
      <c r="B6254" s="33" t="s">
        <v>7745</v>
      </c>
      <c r="C6254" s="33">
        <v>30</v>
      </c>
    </row>
    <row r="6255" spans="2:3" x14ac:dyDescent="0.25">
      <c r="B6255" s="33" t="s">
        <v>7746</v>
      </c>
      <c r="C6255" s="33">
        <v>30</v>
      </c>
    </row>
    <row r="6256" spans="2:3" x14ac:dyDescent="0.25">
      <c r="B6256" s="33" t="s">
        <v>7747</v>
      </c>
      <c r="C6256" s="33">
        <v>30</v>
      </c>
    </row>
    <row r="6257" spans="2:3" x14ac:dyDescent="0.25">
      <c r="B6257" s="33" t="s">
        <v>7748</v>
      </c>
      <c r="C6257" s="33">
        <v>30</v>
      </c>
    </row>
    <row r="6258" spans="2:3" x14ac:dyDescent="0.25">
      <c r="B6258" s="33" t="s">
        <v>7749</v>
      </c>
      <c r="C6258" s="33">
        <v>30</v>
      </c>
    </row>
    <row r="6259" spans="2:3" x14ac:dyDescent="0.25">
      <c r="B6259" s="33" t="s">
        <v>7750</v>
      </c>
      <c r="C6259" s="33">
        <v>30</v>
      </c>
    </row>
    <row r="6260" spans="2:3" x14ac:dyDescent="0.25">
      <c r="B6260" s="33" t="s">
        <v>7751</v>
      </c>
      <c r="C6260" s="33">
        <v>30</v>
      </c>
    </row>
    <row r="6261" spans="2:3" x14ac:dyDescent="0.25">
      <c r="B6261" s="33" t="s">
        <v>7752</v>
      </c>
      <c r="C6261" s="33">
        <v>30</v>
      </c>
    </row>
    <row r="6262" spans="2:3" x14ac:dyDescent="0.25">
      <c r="B6262" s="33" t="s">
        <v>7753</v>
      </c>
      <c r="C6262" s="33">
        <v>30</v>
      </c>
    </row>
    <row r="6263" spans="2:3" x14ac:dyDescent="0.25">
      <c r="B6263" s="33" t="s">
        <v>7754</v>
      </c>
      <c r="C6263" s="33">
        <v>30</v>
      </c>
    </row>
    <row r="6264" spans="2:3" x14ac:dyDescent="0.25">
      <c r="B6264" s="33" t="s">
        <v>7755</v>
      </c>
      <c r="C6264" s="33">
        <v>30</v>
      </c>
    </row>
    <row r="6265" spans="2:3" x14ac:dyDescent="0.25">
      <c r="B6265" s="33" t="s">
        <v>7756</v>
      </c>
      <c r="C6265" s="33">
        <v>30</v>
      </c>
    </row>
    <row r="6266" spans="2:3" x14ac:dyDescent="0.25">
      <c r="B6266" s="33" t="s">
        <v>7757</v>
      </c>
      <c r="C6266" s="33">
        <v>30</v>
      </c>
    </row>
    <row r="6267" spans="2:3" x14ac:dyDescent="0.25">
      <c r="B6267" s="33" t="s">
        <v>7758</v>
      </c>
      <c r="C6267" s="33">
        <v>30</v>
      </c>
    </row>
    <row r="6268" spans="2:3" x14ac:dyDescent="0.25">
      <c r="B6268" s="33" t="s">
        <v>7759</v>
      </c>
      <c r="C6268" s="33">
        <v>30</v>
      </c>
    </row>
    <row r="6269" spans="2:3" x14ac:dyDescent="0.25">
      <c r="B6269" s="33" t="s">
        <v>7760</v>
      </c>
      <c r="C6269" s="33">
        <v>30</v>
      </c>
    </row>
    <row r="6270" spans="2:3" x14ac:dyDescent="0.25">
      <c r="B6270" s="33" t="s">
        <v>7761</v>
      </c>
      <c r="C6270" s="33">
        <v>30</v>
      </c>
    </row>
    <row r="6271" spans="2:3" x14ac:dyDescent="0.25">
      <c r="B6271" s="33" t="s">
        <v>7762</v>
      </c>
      <c r="C6271" s="33">
        <v>30</v>
      </c>
    </row>
    <row r="6272" spans="2:3" x14ac:dyDescent="0.25">
      <c r="B6272" s="33" t="s">
        <v>7763</v>
      </c>
      <c r="C6272" s="33">
        <v>30</v>
      </c>
    </row>
    <row r="6273" spans="2:3" x14ac:dyDescent="0.25">
      <c r="B6273" s="33" t="s">
        <v>7764</v>
      </c>
      <c r="C6273" s="33">
        <v>30</v>
      </c>
    </row>
    <row r="6274" spans="2:3" x14ac:dyDescent="0.25">
      <c r="B6274" s="33" t="s">
        <v>7765</v>
      </c>
      <c r="C6274" s="33">
        <v>30</v>
      </c>
    </row>
    <row r="6275" spans="2:3" x14ac:dyDescent="0.25">
      <c r="B6275" s="33" t="s">
        <v>7766</v>
      </c>
      <c r="C6275" s="33">
        <v>30</v>
      </c>
    </row>
    <row r="6276" spans="2:3" x14ac:dyDescent="0.25">
      <c r="B6276" s="33" t="s">
        <v>7767</v>
      </c>
      <c r="C6276" s="33">
        <v>30</v>
      </c>
    </row>
    <row r="6277" spans="2:3" x14ac:dyDescent="0.25">
      <c r="B6277" s="33" t="s">
        <v>7768</v>
      </c>
      <c r="C6277" s="33">
        <v>30</v>
      </c>
    </row>
    <row r="6278" spans="2:3" x14ac:dyDescent="0.25">
      <c r="B6278" s="33" t="s">
        <v>7769</v>
      </c>
      <c r="C6278" s="33">
        <v>30</v>
      </c>
    </row>
    <row r="6279" spans="2:3" x14ac:dyDescent="0.25">
      <c r="B6279" s="33" t="s">
        <v>7770</v>
      </c>
      <c r="C6279" s="33">
        <v>30</v>
      </c>
    </row>
    <row r="6280" spans="2:3" x14ac:dyDescent="0.25">
      <c r="B6280" s="33" t="s">
        <v>7771</v>
      </c>
      <c r="C6280" s="33">
        <v>30</v>
      </c>
    </row>
    <row r="6281" spans="2:3" x14ac:dyDescent="0.25">
      <c r="B6281" s="33" t="s">
        <v>7772</v>
      </c>
      <c r="C6281" s="33">
        <v>30</v>
      </c>
    </row>
    <row r="6282" spans="2:3" x14ac:dyDescent="0.25">
      <c r="B6282" s="33" t="s">
        <v>7773</v>
      </c>
      <c r="C6282" s="33">
        <v>30</v>
      </c>
    </row>
    <row r="6283" spans="2:3" x14ac:dyDescent="0.25">
      <c r="B6283" s="33" t="s">
        <v>7774</v>
      </c>
      <c r="C6283" s="33">
        <v>30</v>
      </c>
    </row>
    <row r="6284" spans="2:3" x14ac:dyDescent="0.25">
      <c r="B6284" s="33" t="s">
        <v>7775</v>
      </c>
      <c r="C6284" s="33">
        <v>30</v>
      </c>
    </row>
    <row r="6285" spans="2:3" x14ac:dyDescent="0.25">
      <c r="B6285" s="33" t="s">
        <v>7776</v>
      </c>
      <c r="C6285" s="33">
        <v>30</v>
      </c>
    </row>
    <row r="6286" spans="2:3" x14ac:dyDescent="0.25">
      <c r="B6286" s="33" t="s">
        <v>7777</v>
      </c>
      <c r="C6286" s="33">
        <v>30</v>
      </c>
    </row>
    <row r="6287" spans="2:3" x14ac:dyDescent="0.25">
      <c r="B6287" s="33" t="s">
        <v>7778</v>
      </c>
      <c r="C6287" s="33">
        <v>30</v>
      </c>
    </row>
    <row r="6288" spans="2:3" x14ac:dyDescent="0.25">
      <c r="B6288" s="33" t="s">
        <v>7779</v>
      </c>
      <c r="C6288" s="33">
        <v>30</v>
      </c>
    </row>
    <row r="6289" spans="2:3" x14ac:dyDescent="0.25">
      <c r="B6289" s="33" t="s">
        <v>7780</v>
      </c>
      <c r="C6289" s="33">
        <v>30</v>
      </c>
    </row>
    <row r="6290" spans="2:3" x14ac:dyDescent="0.25">
      <c r="B6290" s="33" t="s">
        <v>7781</v>
      </c>
      <c r="C6290" s="33">
        <v>30</v>
      </c>
    </row>
    <row r="6291" spans="2:3" x14ac:dyDescent="0.25">
      <c r="B6291" s="33" t="s">
        <v>7782</v>
      </c>
      <c r="C6291" s="33">
        <v>30</v>
      </c>
    </row>
    <row r="6292" spans="2:3" x14ac:dyDescent="0.25">
      <c r="B6292" s="33" t="s">
        <v>7783</v>
      </c>
      <c r="C6292" s="33">
        <v>30</v>
      </c>
    </row>
    <row r="6293" spans="2:3" x14ac:dyDescent="0.25">
      <c r="B6293" s="33" t="s">
        <v>7784</v>
      </c>
      <c r="C6293" s="33">
        <v>30</v>
      </c>
    </row>
    <row r="6294" spans="2:3" x14ac:dyDescent="0.25">
      <c r="B6294" s="33" t="s">
        <v>7785</v>
      </c>
      <c r="C6294" s="33">
        <v>30</v>
      </c>
    </row>
    <row r="6295" spans="2:3" x14ac:dyDescent="0.25">
      <c r="B6295" s="33" t="s">
        <v>7786</v>
      </c>
      <c r="C6295" s="33">
        <v>30</v>
      </c>
    </row>
    <row r="6296" spans="2:3" x14ac:dyDescent="0.25">
      <c r="B6296" s="33" t="s">
        <v>7787</v>
      </c>
      <c r="C6296" s="33">
        <v>30</v>
      </c>
    </row>
    <row r="6297" spans="2:3" x14ac:dyDescent="0.25">
      <c r="B6297" s="33" t="s">
        <v>7788</v>
      </c>
      <c r="C6297" s="33">
        <v>30</v>
      </c>
    </row>
    <row r="6298" spans="2:3" x14ac:dyDescent="0.25">
      <c r="B6298" s="33" t="s">
        <v>7789</v>
      </c>
      <c r="C6298" s="33">
        <v>30</v>
      </c>
    </row>
    <row r="6299" spans="2:3" x14ac:dyDescent="0.25">
      <c r="B6299" s="33" t="s">
        <v>7790</v>
      </c>
      <c r="C6299" s="33">
        <v>30</v>
      </c>
    </row>
    <row r="6300" spans="2:3" x14ac:dyDescent="0.25">
      <c r="B6300" s="33" t="s">
        <v>7791</v>
      </c>
      <c r="C6300" s="33">
        <v>30</v>
      </c>
    </row>
    <row r="6301" spans="2:3" x14ac:dyDescent="0.25">
      <c r="B6301" s="33" t="s">
        <v>7792</v>
      </c>
      <c r="C6301" s="33">
        <v>30</v>
      </c>
    </row>
    <row r="6302" spans="2:3" x14ac:dyDescent="0.25">
      <c r="B6302" s="33" t="s">
        <v>7793</v>
      </c>
      <c r="C6302" s="33">
        <v>30</v>
      </c>
    </row>
    <row r="6303" spans="2:3" x14ac:dyDescent="0.25">
      <c r="B6303" s="33" t="s">
        <v>7794</v>
      </c>
      <c r="C6303" s="33">
        <v>30</v>
      </c>
    </row>
    <row r="6304" spans="2:3" x14ac:dyDescent="0.25">
      <c r="B6304" s="33" t="s">
        <v>7795</v>
      </c>
      <c r="C6304" s="33">
        <v>30</v>
      </c>
    </row>
    <row r="6305" spans="2:3" x14ac:dyDescent="0.25">
      <c r="B6305" s="33" t="s">
        <v>7796</v>
      </c>
      <c r="C6305" s="33">
        <v>30</v>
      </c>
    </row>
    <row r="6306" spans="2:3" x14ac:dyDescent="0.25">
      <c r="B6306" s="33" t="s">
        <v>7797</v>
      </c>
      <c r="C6306" s="33">
        <v>30</v>
      </c>
    </row>
    <row r="6307" spans="2:3" x14ac:dyDescent="0.25">
      <c r="B6307" s="33" t="s">
        <v>7798</v>
      </c>
      <c r="C6307" s="33">
        <v>30</v>
      </c>
    </row>
    <row r="6308" spans="2:3" x14ac:dyDescent="0.25">
      <c r="B6308" s="33" t="s">
        <v>7799</v>
      </c>
      <c r="C6308" s="33">
        <v>30</v>
      </c>
    </row>
    <row r="6309" spans="2:3" x14ac:dyDescent="0.25">
      <c r="B6309" s="33" t="s">
        <v>7800</v>
      </c>
      <c r="C6309" s="33">
        <v>30</v>
      </c>
    </row>
    <row r="6310" spans="2:3" x14ac:dyDescent="0.25">
      <c r="B6310" s="33" t="s">
        <v>7801</v>
      </c>
      <c r="C6310" s="33">
        <v>30</v>
      </c>
    </row>
    <row r="6311" spans="2:3" x14ac:dyDescent="0.25">
      <c r="B6311" s="33" t="s">
        <v>7802</v>
      </c>
      <c r="C6311" s="33">
        <v>30</v>
      </c>
    </row>
    <row r="6312" spans="2:3" x14ac:dyDescent="0.25">
      <c r="B6312" s="33" t="s">
        <v>7803</v>
      </c>
      <c r="C6312" s="33">
        <v>30</v>
      </c>
    </row>
    <row r="6313" spans="2:3" x14ac:dyDescent="0.25">
      <c r="B6313" s="33" t="s">
        <v>7804</v>
      </c>
      <c r="C6313" s="33">
        <v>30</v>
      </c>
    </row>
    <row r="6314" spans="2:3" x14ac:dyDescent="0.25">
      <c r="B6314" s="33" t="s">
        <v>7805</v>
      </c>
      <c r="C6314" s="33">
        <v>30</v>
      </c>
    </row>
    <row r="6315" spans="2:3" x14ac:dyDescent="0.25">
      <c r="B6315" s="33" t="s">
        <v>7806</v>
      </c>
      <c r="C6315" s="33">
        <v>30</v>
      </c>
    </row>
    <row r="6316" spans="2:3" x14ac:dyDescent="0.25">
      <c r="B6316" s="33" t="s">
        <v>7807</v>
      </c>
      <c r="C6316" s="33">
        <v>30</v>
      </c>
    </row>
    <row r="6317" spans="2:3" x14ac:dyDescent="0.25">
      <c r="B6317" s="33" t="s">
        <v>7808</v>
      </c>
      <c r="C6317" s="33">
        <v>30</v>
      </c>
    </row>
    <row r="6318" spans="2:3" x14ac:dyDescent="0.25">
      <c r="B6318" s="33" t="s">
        <v>7809</v>
      </c>
      <c r="C6318" s="33">
        <v>30</v>
      </c>
    </row>
    <row r="6319" spans="2:3" x14ac:dyDescent="0.25">
      <c r="B6319" s="33" t="s">
        <v>7810</v>
      </c>
      <c r="C6319" s="33">
        <v>30</v>
      </c>
    </row>
    <row r="6320" spans="2:3" x14ac:dyDescent="0.25">
      <c r="B6320" s="33" t="s">
        <v>7811</v>
      </c>
      <c r="C6320" s="33">
        <v>30</v>
      </c>
    </row>
    <row r="6321" spans="2:3" x14ac:dyDescent="0.25">
      <c r="B6321" s="33" t="s">
        <v>7812</v>
      </c>
      <c r="C6321" s="33">
        <v>30</v>
      </c>
    </row>
    <row r="6322" spans="2:3" x14ac:dyDescent="0.25">
      <c r="B6322" s="33" t="s">
        <v>7813</v>
      </c>
      <c r="C6322" s="33">
        <v>30</v>
      </c>
    </row>
    <row r="6323" spans="2:3" x14ac:dyDescent="0.25">
      <c r="B6323" s="33" t="s">
        <v>7814</v>
      </c>
      <c r="C6323" s="33">
        <v>30</v>
      </c>
    </row>
    <row r="6324" spans="2:3" x14ac:dyDescent="0.25">
      <c r="B6324" s="33" t="s">
        <v>7815</v>
      </c>
      <c r="C6324" s="33">
        <v>30</v>
      </c>
    </row>
    <row r="6325" spans="2:3" x14ac:dyDescent="0.25">
      <c r="B6325" s="33" t="s">
        <v>7816</v>
      </c>
      <c r="C6325" s="33">
        <v>30</v>
      </c>
    </row>
    <row r="6326" spans="2:3" x14ac:dyDescent="0.25">
      <c r="B6326" s="33" t="s">
        <v>7817</v>
      </c>
      <c r="C6326" s="33">
        <v>30</v>
      </c>
    </row>
    <row r="6327" spans="2:3" x14ac:dyDescent="0.25">
      <c r="B6327" s="33" t="s">
        <v>7818</v>
      </c>
      <c r="C6327" s="33">
        <v>30</v>
      </c>
    </row>
    <row r="6328" spans="2:3" x14ac:dyDescent="0.25">
      <c r="B6328" s="33" t="s">
        <v>7819</v>
      </c>
      <c r="C6328" s="33">
        <v>30</v>
      </c>
    </row>
    <row r="6329" spans="2:3" x14ac:dyDescent="0.25">
      <c r="B6329" s="33" t="s">
        <v>7820</v>
      </c>
      <c r="C6329" s="33">
        <v>30</v>
      </c>
    </row>
    <row r="6330" spans="2:3" x14ac:dyDescent="0.25">
      <c r="B6330" s="33" t="s">
        <v>7821</v>
      </c>
      <c r="C6330" s="33">
        <v>30</v>
      </c>
    </row>
    <row r="6331" spans="2:3" x14ac:dyDescent="0.25">
      <c r="B6331" s="33" t="s">
        <v>7822</v>
      </c>
      <c r="C6331" s="33">
        <v>30</v>
      </c>
    </row>
    <row r="6332" spans="2:3" x14ac:dyDescent="0.25">
      <c r="B6332" s="33" t="s">
        <v>7823</v>
      </c>
      <c r="C6332" s="33">
        <v>30</v>
      </c>
    </row>
    <row r="6333" spans="2:3" x14ac:dyDescent="0.25">
      <c r="B6333" s="33" t="s">
        <v>7824</v>
      </c>
      <c r="C6333" s="33">
        <v>30</v>
      </c>
    </row>
    <row r="6334" spans="2:3" x14ac:dyDescent="0.25">
      <c r="B6334" s="33" t="s">
        <v>7825</v>
      </c>
      <c r="C6334" s="33">
        <v>30</v>
      </c>
    </row>
    <row r="6335" spans="2:3" x14ac:dyDescent="0.25">
      <c r="B6335" s="33" t="s">
        <v>7826</v>
      </c>
      <c r="C6335" s="33">
        <v>30</v>
      </c>
    </row>
    <row r="6336" spans="2:3" x14ac:dyDescent="0.25">
      <c r="B6336" s="33" t="s">
        <v>7827</v>
      </c>
      <c r="C6336" s="33">
        <v>30</v>
      </c>
    </row>
    <row r="6337" spans="2:3" x14ac:dyDescent="0.25">
      <c r="B6337" s="33" t="s">
        <v>7828</v>
      </c>
      <c r="C6337" s="33">
        <v>30</v>
      </c>
    </row>
    <row r="6338" spans="2:3" x14ac:dyDescent="0.25">
      <c r="B6338" s="33" t="s">
        <v>7829</v>
      </c>
      <c r="C6338" s="33">
        <v>30</v>
      </c>
    </row>
    <row r="6339" spans="2:3" x14ac:dyDescent="0.25">
      <c r="B6339" s="33" t="s">
        <v>7830</v>
      </c>
      <c r="C6339" s="33">
        <v>30</v>
      </c>
    </row>
    <row r="6340" spans="2:3" x14ac:dyDescent="0.25">
      <c r="B6340" s="33" t="s">
        <v>7831</v>
      </c>
      <c r="C6340" s="33">
        <v>30</v>
      </c>
    </row>
    <row r="6341" spans="2:3" x14ac:dyDescent="0.25">
      <c r="B6341" s="33" t="s">
        <v>7832</v>
      </c>
      <c r="C6341" s="33">
        <v>30</v>
      </c>
    </row>
    <row r="6342" spans="2:3" x14ac:dyDescent="0.25">
      <c r="B6342" s="33" t="s">
        <v>7833</v>
      </c>
      <c r="C6342" s="33">
        <v>30</v>
      </c>
    </row>
    <row r="6343" spans="2:3" x14ac:dyDescent="0.25">
      <c r="B6343" s="33" t="s">
        <v>7834</v>
      </c>
      <c r="C6343" s="33">
        <v>30</v>
      </c>
    </row>
    <row r="6344" spans="2:3" x14ac:dyDescent="0.25">
      <c r="B6344" s="33" t="s">
        <v>7835</v>
      </c>
      <c r="C6344" s="33">
        <v>30</v>
      </c>
    </row>
    <row r="6345" spans="2:3" x14ac:dyDescent="0.25">
      <c r="B6345" s="33" t="s">
        <v>7836</v>
      </c>
      <c r="C6345" s="33">
        <v>30</v>
      </c>
    </row>
    <row r="6346" spans="2:3" x14ac:dyDescent="0.25">
      <c r="B6346" s="33" t="s">
        <v>7837</v>
      </c>
      <c r="C6346" s="33">
        <v>30</v>
      </c>
    </row>
    <row r="6347" spans="2:3" x14ac:dyDescent="0.25">
      <c r="B6347" s="33" t="s">
        <v>7838</v>
      </c>
      <c r="C6347" s="33">
        <v>30</v>
      </c>
    </row>
    <row r="6348" spans="2:3" x14ac:dyDescent="0.25">
      <c r="B6348" s="33" t="s">
        <v>7839</v>
      </c>
      <c r="C6348" s="33">
        <v>30</v>
      </c>
    </row>
    <row r="6349" spans="2:3" x14ac:dyDescent="0.25">
      <c r="B6349" s="33" t="s">
        <v>7840</v>
      </c>
      <c r="C6349" s="33">
        <v>30</v>
      </c>
    </row>
    <row r="6350" spans="2:3" x14ac:dyDescent="0.25">
      <c r="B6350" s="33" t="s">
        <v>7841</v>
      </c>
      <c r="C6350" s="33">
        <v>30</v>
      </c>
    </row>
    <row r="6351" spans="2:3" x14ac:dyDescent="0.25">
      <c r="B6351" s="33" t="s">
        <v>7842</v>
      </c>
      <c r="C6351" s="33">
        <v>30</v>
      </c>
    </row>
    <row r="6352" spans="2:3" x14ac:dyDescent="0.25">
      <c r="B6352" s="33" t="s">
        <v>7843</v>
      </c>
      <c r="C6352" s="33">
        <v>30</v>
      </c>
    </row>
    <row r="6353" spans="2:3" x14ac:dyDescent="0.25">
      <c r="B6353" s="33" t="s">
        <v>7844</v>
      </c>
      <c r="C6353" s="33">
        <v>30</v>
      </c>
    </row>
    <row r="6354" spans="2:3" x14ac:dyDescent="0.25">
      <c r="B6354" s="33" t="s">
        <v>7845</v>
      </c>
      <c r="C6354" s="33">
        <v>30</v>
      </c>
    </row>
    <row r="6355" spans="2:3" x14ac:dyDescent="0.25">
      <c r="B6355" s="33" t="s">
        <v>7846</v>
      </c>
      <c r="C6355" s="33">
        <v>30</v>
      </c>
    </row>
    <row r="6356" spans="2:3" x14ac:dyDescent="0.25">
      <c r="B6356" s="33" t="s">
        <v>7847</v>
      </c>
      <c r="C6356" s="33">
        <v>30</v>
      </c>
    </row>
    <row r="6357" spans="2:3" x14ac:dyDescent="0.25">
      <c r="B6357" s="33" t="s">
        <v>7848</v>
      </c>
      <c r="C6357" s="33">
        <v>30</v>
      </c>
    </row>
    <row r="6358" spans="2:3" x14ac:dyDescent="0.25">
      <c r="B6358" s="33" t="s">
        <v>7849</v>
      </c>
      <c r="C6358" s="33">
        <v>30</v>
      </c>
    </row>
    <row r="6359" spans="2:3" x14ac:dyDescent="0.25">
      <c r="B6359" s="33" t="s">
        <v>7850</v>
      </c>
      <c r="C6359" s="33">
        <v>30</v>
      </c>
    </row>
    <row r="6360" spans="2:3" x14ac:dyDescent="0.25">
      <c r="B6360" s="33" t="s">
        <v>7851</v>
      </c>
      <c r="C6360" s="33">
        <v>30</v>
      </c>
    </row>
    <row r="6361" spans="2:3" x14ac:dyDescent="0.25">
      <c r="B6361" s="33" t="s">
        <v>7852</v>
      </c>
      <c r="C6361" s="33">
        <v>30</v>
      </c>
    </row>
    <row r="6362" spans="2:3" x14ac:dyDescent="0.25">
      <c r="B6362" s="33" t="s">
        <v>7853</v>
      </c>
      <c r="C6362" s="33">
        <v>30</v>
      </c>
    </row>
    <row r="6363" spans="2:3" x14ac:dyDescent="0.25">
      <c r="B6363" s="33" t="s">
        <v>7854</v>
      </c>
      <c r="C6363" s="33">
        <v>30</v>
      </c>
    </row>
    <row r="6364" spans="2:3" x14ac:dyDescent="0.25">
      <c r="B6364" s="33" t="s">
        <v>7855</v>
      </c>
      <c r="C6364" s="33">
        <v>30</v>
      </c>
    </row>
    <row r="6365" spans="2:3" x14ac:dyDescent="0.25">
      <c r="B6365" s="33" t="s">
        <v>7856</v>
      </c>
      <c r="C6365" s="33">
        <v>30</v>
      </c>
    </row>
    <row r="6366" spans="2:3" x14ac:dyDescent="0.25">
      <c r="B6366" s="33" t="s">
        <v>7857</v>
      </c>
      <c r="C6366" s="33">
        <v>30</v>
      </c>
    </row>
    <row r="6367" spans="2:3" x14ac:dyDescent="0.25">
      <c r="B6367" s="33" t="s">
        <v>7858</v>
      </c>
      <c r="C6367" s="33">
        <v>30</v>
      </c>
    </row>
    <row r="6368" spans="2:3" x14ac:dyDescent="0.25">
      <c r="B6368" s="33" t="s">
        <v>7859</v>
      </c>
      <c r="C6368" s="33">
        <v>30</v>
      </c>
    </row>
    <row r="6369" spans="2:3" x14ac:dyDescent="0.25">
      <c r="B6369" s="33" t="s">
        <v>7860</v>
      </c>
      <c r="C6369" s="33">
        <v>30</v>
      </c>
    </row>
    <row r="6370" spans="2:3" x14ac:dyDescent="0.25">
      <c r="B6370" s="33" t="s">
        <v>7861</v>
      </c>
      <c r="C6370" s="33">
        <v>30</v>
      </c>
    </row>
    <row r="6371" spans="2:3" x14ac:dyDescent="0.25">
      <c r="B6371" s="33" t="s">
        <v>7862</v>
      </c>
      <c r="C6371" s="33">
        <v>30</v>
      </c>
    </row>
    <row r="6372" spans="2:3" x14ac:dyDescent="0.25">
      <c r="B6372" s="33" t="s">
        <v>7863</v>
      </c>
      <c r="C6372" s="33">
        <v>30</v>
      </c>
    </row>
    <row r="6373" spans="2:3" x14ac:dyDescent="0.25">
      <c r="B6373" s="33" t="s">
        <v>7864</v>
      </c>
      <c r="C6373" s="33">
        <v>30</v>
      </c>
    </row>
    <row r="6374" spans="2:3" x14ac:dyDescent="0.25">
      <c r="B6374" s="33" t="s">
        <v>7865</v>
      </c>
      <c r="C6374" s="33">
        <v>30</v>
      </c>
    </row>
    <row r="6375" spans="2:3" x14ac:dyDescent="0.25">
      <c r="B6375" s="33" t="s">
        <v>7866</v>
      </c>
      <c r="C6375" s="33">
        <v>30</v>
      </c>
    </row>
    <row r="6376" spans="2:3" x14ac:dyDescent="0.25">
      <c r="B6376" s="33" t="s">
        <v>7867</v>
      </c>
      <c r="C6376" s="33">
        <v>30</v>
      </c>
    </row>
    <row r="6377" spans="2:3" x14ac:dyDescent="0.25">
      <c r="B6377" s="33" t="s">
        <v>7868</v>
      </c>
      <c r="C6377" s="33">
        <v>30</v>
      </c>
    </row>
    <row r="6378" spans="2:3" x14ac:dyDescent="0.25">
      <c r="B6378" s="33" t="s">
        <v>7869</v>
      </c>
      <c r="C6378" s="33">
        <v>30</v>
      </c>
    </row>
    <row r="6379" spans="2:3" x14ac:dyDescent="0.25">
      <c r="B6379" s="33" t="s">
        <v>7870</v>
      </c>
      <c r="C6379" s="33">
        <v>30</v>
      </c>
    </row>
    <row r="6380" spans="2:3" x14ac:dyDescent="0.25">
      <c r="B6380" s="33" t="s">
        <v>7871</v>
      </c>
      <c r="C6380" s="33">
        <v>30</v>
      </c>
    </row>
    <row r="6381" spans="2:3" x14ac:dyDescent="0.25">
      <c r="B6381" s="33" t="s">
        <v>7872</v>
      </c>
      <c r="C6381" s="33">
        <v>30</v>
      </c>
    </row>
    <row r="6382" spans="2:3" x14ac:dyDescent="0.25">
      <c r="B6382" s="33" t="s">
        <v>7873</v>
      </c>
      <c r="C6382" s="33">
        <v>30</v>
      </c>
    </row>
    <row r="6383" spans="2:3" x14ac:dyDescent="0.25">
      <c r="B6383" s="33" t="s">
        <v>7874</v>
      </c>
      <c r="C6383" s="33">
        <v>30</v>
      </c>
    </row>
    <row r="6384" spans="2:3" x14ac:dyDescent="0.25">
      <c r="B6384" s="33" t="s">
        <v>7875</v>
      </c>
      <c r="C6384" s="33">
        <v>30</v>
      </c>
    </row>
    <row r="6385" spans="2:3" x14ac:dyDescent="0.25">
      <c r="B6385" s="33" t="s">
        <v>7876</v>
      </c>
      <c r="C6385" s="33">
        <v>30</v>
      </c>
    </row>
    <row r="6386" spans="2:3" x14ac:dyDescent="0.25">
      <c r="B6386" s="33" t="s">
        <v>7877</v>
      </c>
      <c r="C6386" s="33">
        <v>30</v>
      </c>
    </row>
    <row r="6387" spans="2:3" x14ac:dyDescent="0.25">
      <c r="B6387" s="33" t="s">
        <v>7878</v>
      </c>
      <c r="C6387" s="33">
        <v>30</v>
      </c>
    </row>
    <row r="6388" spans="2:3" x14ac:dyDescent="0.25">
      <c r="B6388" s="33" t="s">
        <v>7879</v>
      </c>
      <c r="C6388" s="33">
        <v>30</v>
      </c>
    </row>
    <row r="6389" spans="2:3" x14ac:dyDescent="0.25">
      <c r="B6389" s="33" t="s">
        <v>7880</v>
      </c>
      <c r="C6389" s="33">
        <v>30</v>
      </c>
    </row>
    <row r="6390" spans="2:3" x14ac:dyDescent="0.25">
      <c r="B6390" s="33" t="s">
        <v>7881</v>
      </c>
      <c r="C6390" s="33">
        <v>30</v>
      </c>
    </row>
    <row r="6391" spans="2:3" x14ac:dyDescent="0.25">
      <c r="B6391" s="33" t="s">
        <v>7882</v>
      </c>
      <c r="C6391" s="33">
        <v>30</v>
      </c>
    </row>
    <row r="6392" spans="2:3" x14ac:dyDescent="0.25">
      <c r="B6392" s="33" t="s">
        <v>7883</v>
      </c>
      <c r="C6392" s="33">
        <v>30</v>
      </c>
    </row>
    <row r="6393" spans="2:3" x14ac:dyDescent="0.25">
      <c r="B6393" s="33" t="s">
        <v>7884</v>
      </c>
      <c r="C6393" s="33">
        <v>30</v>
      </c>
    </row>
    <row r="6394" spans="2:3" x14ac:dyDescent="0.25">
      <c r="B6394" s="33" t="s">
        <v>7885</v>
      </c>
      <c r="C6394" s="33">
        <v>30</v>
      </c>
    </row>
    <row r="6395" spans="2:3" x14ac:dyDescent="0.25">
      <c r="B6395" s="33" t="s">
        <v>7886</v>
      </c>
      <c r="C6395" s="33">
        <v>30</v>
      </c>
    </row>
    <row r="6396" spans="2:3" x14ac:dyDescent="0.25">
      <c r="B6396" s="33" t="s">
        <v>7887</v>
      </c>
      <c r="C6396" s="33">
        <v>30</v>
      </c>
    </row>
    <row r="6397" spans="2:3" x14ac:dyDescent="0.25">
      <c r="B6397" s="33" t="s">
        <v>7888</v>
      </c>
      <c r="C6397" s="33">
        <v>30</v>
      </c>
    </row>
    <row r="6398" spans="2:3" x14ac:dyDescent="0.25">
      <c r="B6398" s="33" t="s">
        <v>7889</v>
      </c>
      <c r="C6398" s="33">
        <v>30</v>
      </c>
    </row>
    <row r="6399" spans="2:3" x14ac:dyDescent="0.25">
      <c r="B6399" s="33" t="s">
        <v>7890</v>
      </c>
      <c r="C6399" s="33">
        <v>30</v>
      </c>
    </row>
    <row r="6400" spans="2:3" x14ac:dyDescent="0.25">
      <c r="B6400" s="33" t="s">
        <v>7891</v>
      </c>
      <c r="C6400" s="33">
        <v>30</v>
      </c>
    </row>
    <row r="6401" spans="2:3" x14ac:dyDescent="0.25">
      <c r="B6401" s="33" t="s">
        <v>7892</v>
      </c>
      <c r="C6401" s="33">
        <v>30</v>
      </c>
    </row>
    <row r="6402" spans="2:3" x14ac:dyDescent="0.25">
      <c r="B6402" s="33" t="s">
        <v>7893</v>
      </c>
      <c r="C6402" s="33">
        <v>30</v>
      </c>
    </row>
    <row r="6403" spans="2:3" x14ac:dyDescent="0.25">
      <c r="B6403" s="33" t="s">
        <v>7894</v>
      </c>
      <c r="C6403" s="33">
        <v>30</v>
      </c>
    </row>
    <row r="6404" spans="2:3" x14ac:dyDescent="0.25">
      <c r="B6404" s="33" t="s">
        <v>7895</v>
      </c>
      <c r="C6404" s="33">
        <v>30</v>
      </c>
    </row>
    <row r="6405" spans="2:3" x14ac:dyDescent="0.25">
      <c r="B6405" s="33" t="s">
        <v>7896</v>
      </c>
      <c r="C6405" s="33">
        <v>30</v>
      </c>
    </row>
    <row r="6406" spans="2:3" x14ac:dyDescent="0.25">
      <c r="B6406" s="33" t="s">
        <v>7897</v>
      </c>
      <c r="C6406" s="33">
        <v>30</v>
      </c>
    </row>
    <row r="6407" spans="2:3" x14ac:dyDescent="0.25">
      <c r="B6407" s="33" t="s">
        <v>7898</v>
      </c>
      <c r="C6407" s="33">
        <v>30</v>
      </c>
    </row>
    <row r="6408" spans="2:3" x14ac:dyDescent="0.25">
      <c r="B6408" s="33" t="s">
        <v>7899</v>
      </c>
      <c r="C6408" s="33">
        <v>30</v>
      </c>
    </row>
    <row r="6409" spans="2:3" x14ac:dyDescent="0.25">
      <c r="B6409" s="33" t="s">
        <v>7900</v>
      </c>
      <c r="C6409" s="33">
        <v>30</v>
      </c>
    </row>
    <row r="6410" spans="2:3" x14ac:dyDescent="0.25">
      <c r="B6410" s="33" t="s">
        <v>7901</v>
      </c>
      <c r="C6410" s="33">
        <v>30</v>
      </c>
    </row>
    <row r="6411" spans="2:3" x14ac:dyDescent="0.25">
      <c r="B6411" s="33" t="s">
        <v>7902</v>
      </c>
      <c r="C6411" s="33">
        <v>30</v>
      </c>
    </row>
    <row r="6412" spans="2:3" x14ac:dyDescent="0.25">
      <c r="B6412" s="33" t="s">
        <v>7903</v>
      </c>
      <c r="C6412" s="33">
        <v>30</v>
      </c>
    </row>
    <row r="6413" spans="2:3" x14ac:dyDescent="0.25">
      <c r="B6413" s="33" t="s">
        <v>7904</v>
      </c>
      <c r="C6413" s="33">
        <v>30</v>
      </c>
    </row>
    <row r="6414" spans="2:3" x14ac:dyDescent="0.25">
      <c r="B6414" s="33" t="s">
        <v>7905</v>
      </c>
      <c r="C6414" s="33">
        <v>30</v>
      </c>
    </row>
    <row r="6415" spans="2:3" x14ac:dyDescent="0.25">
      <c r="B6415" s="33" t="s">
        <v>7906</v>
      </c>
      <c r="C6415" s="33">
        <v>30</v>
      </c>
    </row>
    <row r="6416" spans="2:3" x14ac:dyDescent="0.25">
      <c r="B6416" s="33" t="s">
        <v>7907</v>
      </c>
      <c r="C6416" s="33">
        <v>30</v>
      </c>
    </row>
    <row r="6417" spans="2:3" x14ac:dyDescent="0.25">
      <c r="B6417" s="33" t="s">
        <v>7908</v>
      </c>
      <c r="C6417" s="33">
        <v>30</v>
      </c>
    </row>
    <row r="6418" spans="2:3" x14ac:dyDescent="0.25">
      <c r="B6418" s="33" t="s">
        <v>7909</v>
      </c>
      <c r="C6418" s="33">
        <v>30</v>
      </c>
    </row>
    <row r="6419" spans="2:3" x14ac:dyDescent="0.25">
      <c r="B6419" s="33" t="s">
        <v>7910</v>
      </c>
      <c r="C6419" s="33">
        <v>30</v>
      </c>
    </row>
    <row r="6420" spans="2:3" x14ac:dyDescent="0.25">
      <c r="B6420" s="33" t="s">
        <v>7911</v>
      </c>
      <c r="C6420" s="33">
        <v>30</v>
      </c>
    </row>
    <row r="6421" spans="2:3" x14ac:dyDescent="0.25">
      <c r="B6421" s="33" t="s">
        <v>7912</v>
      </c>
      <c r="C6421" s="33">
        <v>30</v>
      </c>
    </row>
    <row r="6422" spans="2:3" x14ac:dyDescent="0.25">
      <c r="B6422" s="33" t="s">
        <v>7913</v>
      </c>
      <c r="C6422" s="33">
        <v>30</v>
      </c>
    </row>
    <row r="6423" spans="2:3" x14ac:dyDescent="0.25">
      <c r="B6423" s="33" t="s">
        <v>7914</v>
      </c>
      <c r="C6423" s="33">
        <v>30</v>
      </c>
    </row>
    <row r="6424" spans="2:3" x14ac:dyDescent="0.25">
      <c r="B6424" s="33" t="s">
        <v>7915</v>
      </c>
      <c r="C6424" s="33">
        <v>30</v>
      </c>
    </row>
    <row r="6425" spans="2:3" x14ac:dyDescent="0.25">
      <c r="B6425" s="33" t="s">
        <v>7916</v>
      </c>
      <c r="C6425" s="33">
        <v>30</v>
      </c>
    </row>
    <row r="6426" spans="2:3" x14ac:dyDescent="0.25">
      <c r="B6426" s="33" t="s">
        <v>7917</v>
      </c>
      <c r="C6426" s="33">
        <v>30</v>
      </c>
    </row>
    <row r="6427" spans="2:3" x14ac:dyDescent="0.25">
      <c r="B6427" s="33" t="s">
        <v>7918</v>
      </c>
      <c r="C6427" s="33">
        <v>30</v>
      </c>
    </row>
    <row r="6428" spans="2:3" x14ac:dyDescent="0.25">
      <c r="B6428" s="33" t="s">
        <v>7919</v>
      </c>
      <c r="C6428" s="33">
        <v>30</v>
      </c>
    </row>
    <row r="6429" spans="2:3" x14ac:dyDescent="0.25">
      <c r="B6429" s="33" t="s">
        <v>7920</v>
      </c>
      <c r="C6429" s="33">
        <v>30</v>
      </c>
    </row>
    <row r="6430" spans="2:3" x14ac:dyDescent="0.25">
      <c r="B6430" s="33" t="s">
        <v>7921</v>
      </c>
      <c r="C6430" s="33">
        <v>30</v>
      </c>
    </row>
    <row r="6431" spans="2:3" x14ac:dyDescent="0.25">
      <c r="B6431" s="33" t="s">
        <v>7922</v>
      </c>
      <c r="C6431" s="33">
        <v>30</v>
      </c>
    </row>
    <row r="6432" spans="2:3" x14ac:dyDescent="0.25">
      <c r="B6432" s="33" t="s">
        <v>7923</v>
      </c>
      <c r="C6432" s="33">
        <v>30</v>
      </c>
    </row>
    <row r="6433" spans="2:3" x14ac:dyDescent="0.25">
      <c r="B6433" s="33" t="s">
        <v>7924</v>
      </c>
      <c r="C6433" s="33">
        <v>30</v>
      </c>
    </row>
    <row r="6434" spans="2:3" x14ac:dyDescent="0.25">
      <c r="B6434" s="33" t="s">
        <v>7925</v>
      </c>
      <c r="C6434" s="33">
        <v>30</v>
      </c>
    </row>
    <row r="6435" spans="2:3" x14ac:dyDescent="0.25">
      <c r="B6435" s="33" t="s">
        <v>7926</v>
      </c>
      <c r="C6435" s="33">
        <v>30</v>
      </c>
    </row>
    <row r="6436" spans="2:3" x14ac:dyDescent="0.25">
      <c r="B6436" s="33" t="s">
        <v>7927</v>
      </c>
      <c r="C6436" s="33">
        <v>30</v>
      </c>
    </row>
    <row r="6437" spans="2:3" x14ac:dyDescent="0.25">
      <c r="B6437" s="33" t="s">
        <v>7928</v>
      </c>
      <c r="C6437" s="33">
        <v>30</v>
      </c>
    </row>
    <row r="6438" spans="2:3" x14ac:dyDescent="0.25">
      <c r="B6438" s="33" t="s">
        <v>7929</v>
      </c>
      <c r="C6438" s="33">
        <v>30</v>
      </c>
    </row>
    <row r="6439" spans="2:3" x14ac:dyDescent="0.25">
      <c r="B6439" s="33" t="s">
        <v>7930</v>
      </c>
      <c r="C6439" s="33">
        <v>30</v>
      </c>
    </row>
    <row r="6440" spans="2:3" x14ac:dyDescent="0.25">
      <c r="B6440" s="33" t="s">
        <v>7931</v>
      </c>
      <c r="C6440" s="33">
        <v>30</v>
      </c>
    </row>
    <row r="6441" spans="2:3" x14ac:dyDescent="0.25">
      <c r="B6441" s="33" t="s">
        <v>7932</v>
      </c>
      <c r="C6441" s="33">
        <v>30</v>
      </c>
    </row>
    <row r="6442" spans="2:3" x14ac:dyDescent="0.25">
      <c r="B6442" s="33" t="s">
        <v>7933</v>
      </c>
      <c r="C6442" s="33">
        <v>30</v>
      </c>
    </row>
    <row r="6443" spans="2:3" x14ac:dyDescent="0.25">
      <c r="B6443" s="33" t="s">
        <v>7934</v>
      </c>
      <c r="C6443" s="33">
        <v>30</v>
      </c>
    </row>
    <row r="6444" spans="2:3" x14ac:dyDescent="0.25">
      <c r="B6444" s="33" t="s">
        <v>7935</v>
      </c>
      <c r="C6444" s="33">
        <v>30</v>
      </c>
    </row>
    <row r="6445" spans="2:3" x14ac:dyDescent="0.25">
      <c r="B6445" s="33" t="s">
        <v>7936</v>
      </c>
      <c r="C6445" s="33">
        <v>30</v>
      </c>
    </row>
    <row r="6446" spans="2:3" x14ac:dyDescent="0.25">
      <c r="B6446" s="33" t="s">
        <v>7937</v>
      </c>
      <c r="C6446" s="33">
        <v>30</v>
      </c>
    </row>
    <row r="6447" spans="2:3" x14ac:dyDescent="0.25">
      <c r="B6447" s="33" t="s">
        <v>7938</v>
      </c>
      <c r="C6447" s="33">
        <v>30</v>
      </c>
    </row>
    <row r="6448" spans="2:3" x14ac:dyDescent="0.25">
      <c r="B6448" s="33" t="s">
        <v>7939</v>
      </c>
      <c r="C6448" s="33">
        <v>30</v>
      </c>
    </row>
    <row r="6449" spans="2:3" x14ac:dyDescent="0.25">
      <c r="B6449" s="33" t="s">
        <v>7940</v>
      </c>
      <c r="C6449" s="33">
        <v>30</v>
      </c>
    </row>
    <row r="6450" spans="2:3" x14ac:dyDescent="0.25">
      <c r="B6450" s="33" t="s">
        <v>7941</v>
      </c>
      <c r="C6450" s="33">
        <v>30</v>
      </c>
    </row>
    <row r="6451" spans="2:3" x14ac:dyDescent="0.25">
      <c r="B6451" s="33" t="s">
        <v>7942</v>
      </c>
      <c r="C6451" s="33">
        <v>30</v>
      </c>
    </row>
    <row r="6452" spans="2:3" x14ac:dyDescent="0.25">
      <c r="B6452" s="33" t="s">
        <v>7943</v>
      </c>
      <c r="C6452" s="33">
        <v>30</v>
      </c>
    </row>
    <row r="6453" spans="2:3" x14ac:dyDescent="0.25">
      <c r="B6453" s="33" t="s">
        <v>7944</v>
      </c>
      <c r="C6453" s="33">
        <v>30</v>
      </c>
    </row>
    <row r="6454" spans="2:3" x14ac:dyDescent="0.25">
      <c r="B6454" s="33" t="s">
        <v>7945</v>
      </c>
      <c r="C6454" s="33">
        <v>30</v>
      </c>
    </row>
    <row r="6455" spans="2:3" x14ac:dyDescent="0.25">
      <c r="B6455" s="33" t="s">
        <v>7946</v>
      </c>
      <c r="C6455" s="33">
        <v>30</v>
      </c>
    </row>
    <row r="6456" spans="2:3" x14ac:dyDescent="0.25">
      <c r="B6456" s="33" t="s">
        <v>7947</v>
      </c>
      <c r="C6456" s="33">
        <v>30</v>
      </c>
    </row>
    <row r="6457" spans="2:3" x14ac:dyDescent="0.25">
      <c r="B6457" s="33" t="s">
        <v>7948</v>
      </c>
      <c r="C6457" s="33">
        <v>30</v>
      </c>
    </row>
    <row r="6458" spans="2:3" x14ac:dyDescent="0.25">
      <c r="B6458" s="33" t="s">
        <v>7949</v>
      </c>
      <c r="C6458" s="33">
        <v>30</v>
      </c>
    </row>
    <row r="6459" spans="2:3" x14ac:dyDescent="0.25">
      <c r="B6459" s="33" t="s">
        <v>7950</v>
      </c>
      <c r="C6459" s="33">
        <v>30</v>
      </c>
    </row>
    <row r="6460" spans="2:3" x14ac:dyDescent="0.25">
      <c r="B6460" s="33" t="s">
        <v>7951</v>
      </c>
      <c r="C6460" s="33">
        <v>30</v>
      </c>
    </row>
    <row r="6461" spans="2:3" x14ac:dyDescent="0.25">
      <c r="B6461" s="33" t="s">
        <v>7952</v>
      </c>
      <c r="C6461" s="33">
        <v>30</v>
      </c>
    </row>
    <row r="6462" spans="2:3" x14ac:dyDescent="0.25">
      <c r="B6462" s="33" t="s">
        <v>7953</v>
      </c>
      <c r="C6462" s="33">
        <v>30</v>
      </c>
    </row>
    <row r="6463" spans="2:3" x14ac:dyDescent="0.25">
      <c r="B6463" s="33" t="s">
        <v>7954</v>
      </c>
      <c r="C6463" s="33">
        <v>30</v>
      </c>
    </row>
    <row r="6464" spans="2:3" x14ac:dyDescent="0.25">
      <c r="B6464" s="33" t="s">
        <v>7955</v>
      </c>
      <c r="C6464" s="33">
        <v>30</v>
      </c>
    </row>
    <row r="6465" spans="2:3" x14ac:dyDescent="0.25">
      <c r="B6465" s="33" t="s">
        <v>7956</v>
      </c>
      <c r="C6465" s="33">
        <v>30</v>
      </c>
    </row>
    <row r="6466" spans="2:3" x14ac:dyDescent="0.25">
      <c r="B6466" s="33" t="s">
        <v>7957</v>
      </c>
      <c r="C6466" s="33">
        <v>30</v>
      </c>
    </row>
    <row r="6467" spans="2:3" x14ac:dyDescent="0.25">
      <c r="B6467" s="33" t="s">
        <v>7958</v>
      </c>
      <c r="C6467" s="33">
        <v>30</v>
      </c>
    </row>
    <row r="6468" spans="2:3" x14ac:dyDescent="0.25">
      <c r="B6468" s="33" t="s">
        <v>7959</v>
      </c>
      <c r="C6468" s="33">
        <v>30</v>
      </c>
    </row>
    <row r="6469" spans="2:3" x14ac:dyDescent="0.25">
      <c r="B6469" s="33" t="s">
        <v>7960</v>
      </c>
      <c r="C6469" s="33">
        <v>30</v>
      </c>
    </row>
    <row r="6470" spans="2:3" x14ac:dyDescent="0.25">
      <c r="B6470" s="33" t="s">
        <v>7961</v>
      </c>
      <c r="C6470" s="33">
        <v>30</v>
      </c>
    </row>
    <row r="6471" spans="2:3" x14ac:dyDescent="0.25">
      <c r="B6471" s="33" t="s">
        <v>7962</v>
      </c>
      <c r="C6471" s="33">
        <v>30</v>
      </c>
    </row>
    <row r="6472" spans="2:3" x14ac:dyDescent="0.25">
      <c r="B6472" s="33" t="s">
        <v>7963</v>
      </c>
      <c r="C6472" s="33">
        <v>30</v>
      </c>
    </row>
    <row r="6473" spans="2:3" x14ac:dyDescent="0.25">
      <c r="B6473" s="33" t="s">
        <v>7964</v>
      </c>
      <c r="C6473" s="33">
        <v>30</v>
      </c>
    </row>
    <row r="6474" spans="2:3" x14ac:dyDescent="0.25">
      <c r="B6474" s="33" t="s">
        <v>7965</v>
      </c>
      <c r="C6474" s="33">
        <v>30</v>
      </c>
    </row>
    <row r="6475" spans="2:3" x14ac:dyDescent="0.25">
      <c r="B6475" s="33" t="s">
        <v>7966</v>
      </c>
      <c r="C6475" s="33">
        <v>30</v>
      </c>
    </row>
    <row r="6476" spans="2:3" x14ac:dyDescent="0.25">
      <c r="B6476" s="33" t="s">
        <v>7967</v>
      </c>
      <c r="C6476" s="33">
        <v>30</v>
      </c>
    </row>
    <row r="6477" spans="2:3" x14ac:dyDescent="0.25">
      <c r="B6477" s="33" t="s">
        <v>7968</v>
      </c>
      <c r="C6477" s="33">
        <v>30</v>
      </c>
    </row>
    <row r="6478" spans="2:3" x14ac:dyDescent="0.25">
      <c r="B6478" s="33" t="s">
        <v>7969</v>
      </c>
      <c r="C6478" s="33">
        <v>30</v>
      </c>
    </row>
    <row r="6479" spans="2:3" x14ac:dyDescent="0.25">
      <c r="B6479" s="33" t="s">
        <v>7970</v>
      </c>
      <c r="C6479" s="33">
        <v>30</v>
      </c>
    </row>
    <row r="6480" spans="2:3" x14ac:dyDescent="0.25">
      <c r="B6480" s="33" t="s">
        <v>7971</v>
      </c>
      <c r="C6480" s="33">
        <v>30</v>
      </c>
    </row>
    <row r="6481" spans="2:3" x14ac:dyDescent="0.25">
      <c r="B6481" s="33" t="s">
        <v>7972</v>
      </c>
      <c r="C6481" s="33">
        <v>30</v>
      </c>
    </row>
    <row r="6482" spans="2:3" x14ac:dyDescent="0.25">
      <c r="B6482" s="33" t="s">
        <v>7973</v>
      </c>
      <c r="C6482" s="33">
        <v>30</v>
      </c>
    </row>
    <row r="6483" spans="2:3" x14ac:dyDescent="0.25">
      <c r="B6483" s="33" t="s">
        <v>7974</v>
      </c>
      <c r="C6483" s="33">
        <v>30</v>
      </c>
    </row>
    <row r="6484" spans="2:3" x14ac:dyDescent="0.25">
      <c r="B6484" s="33" t="s">
        <v>7975</v>
      </c>
      <c r="C6484" s="33">
        <v>30</v>
      </c>
    </row>
    <row r="6485" spans="2:3" x14ac:dyDescent="0.25">
      <c r="B6485" s="33" t="s">
        <v>7976</v>
      </c>
      <c r="C6485" s="33">
        <v>30</v>
      </c>
    </row>
    <row r="6486" spans="2:3" x14ac:dyDescent="0.25">
      <c r="B6486" s="33" t="s">
        <v>7977</v>
      </c>
      <c r="C6486" s="33">
        <v>30</v>
      </c>
    </row>
    <row r="6487" spans="2:3" x14ac:dyDescent="0.25">
      <c r="B6487" s="33" t="s">
        <v>7978</v>
      </c>
      <c r="C6487" s="33">
        <v>30</v>
      </c>
    </row>
    <row r="6488" spans="2:3" x14ac:dyDescent="0.25">
      <c r="B6488" s="33" t="s">
        <v>7979</v>
      </c>
      <c r="C6488" s="33">
        <v>30</v>
      </c>
    </row>
    <row r="6489" spans="2:3" x14ac:dyDescent="0.25">
      <c r="B6489" s="33" t="s">
        <v>7980</v>
      </c>
      <c r="C6489" s="33">
        <v>30</v>
      </c>
    </row>
    <row r="6490" spans="2:3" x14ac:dyDescent="0.25">
      <c r="B6490" s="33" t="s">
        <v>7981</v>
      </c>
      <c r="C6490" s="33">
        <v>30</v>
      </c>
    </row>
    <row r="6491" spans="2:3" x14ac:dyDescent="0.25">
      <c r="B6491" s="33" t="s">
        <v>7982</v>
      </c>
      <c r="C6491" s="33">
        <v>30</v>
      </c>
    </row>
    <row r="6492" spans="2:3" x14ac:dyDescent="0.25">
      <c r="B6492" s="33" t="s">
        <v>7983</v>
      </c>
      <c r="C6492" s="33">
        <v>30</v>
      </c>
    </row>
    <row r="6493" spans="2:3" x14ac:dyDescent="0.25">
      <c r="B6493" s="33" t="s">
        <v>7984</v>
      </c>
      <c r="C6493" s="33">
        <v>30</v>
      </c>
    </row>
    <row r="6494" spans="2:3" x14ac:dyDescent="0.25">
      <c r="B6494" s="33" t="s">
        <v>7985</v>
      </c>
      <c r="C6494" s="33">
        <v>30</v>
      </c>
    </row>
    <row r="6495" spans="2:3" x14ac:dyDescent="0.25">
      <c r="B6495" s="33" t="s">
        <v>7986</v>
      </c>
      <c r="C6495" s="33">
        <v>30</v>
      </c>
    </row>
    <row r="6496" spans="2:3" x14ac:dyDescent="0.25">
      <c r="B6496" s="33" t="s">
        <v>7987</v>
      </c>
      <c r="C6496" s="33">
        <v>30</v>
      </c>
    </row>
    <row r="6497" spans="2:3" x14ac:dyDescent="0.25">
      <c r="B6497" s="33" t="s">
        <v>7988</v>
      </c>
      <c r="C6497" s="33">
        <v>30</v>
      </c>
    </row>
    <row r="6498" spans="2:3" x14ac:dyDescent="0.25">
      <c r="B6498" s="33" t="s">
        <v>7989</v>
      </c>
      <c r="C6498" s="33">
        <v>30</v>
      </c>
    </row>
    <row r="6499" spans="2:3" x14ac:dyDescent="0.25">
      <c r="B6499" s="33" t="s">
        <v>7990</v>
      </c>
      <c r="C6499" s="33">
        <v>30</v>
      </c>
    </row>
    <row r="6500" spans="2:3" x14ac:dyDescent="0.25">
      <c r="B6500" s="33" t="s">
        <v>7991</v>
      </c>
      <c r="C6500" s="33">
        <v>30</v>
      </c>
    </row>
    <row r="6501" spans="2:3" x14ac:dyDescent="0.25">
      <c r="B6501" s="33" t="s">
        <v>7992</v>
      </c>
      <c r="C6501" s="33">
        <v>30</v>
      </c>
    </row>
    <row r="6502" spans="2:3" x14ac:dyDescent="0.25">
      <c r="B6502" s="33" t="s">
        <v>7993</v>
      </c>
      <c r="C6502" s="33">
        <v>30</v>
      </c>
    </row>
    <row r="6503" spans="2:3" x14ac:dyDescent="0.25">
      <c r="B6503" s="33" t="s">
        <v>7994</v>
      </c>
      <c r="C6503" s="33">
        <v>30</v>
      </c>
    </row>
    <row r="6504" spans="2:3" x14ac:dyDescent="0.25">
      <c r="B6504" s="33" t="s">
        <v>7995</v>
      </c>
      <c r="C6504" s="33">
        <v>30</v>
      </c>
    </row>
    <row r="6505" spans="2:3" x14ac:dyDescent="0.25">
      <c r="B6505" s="33" t="s">
        <v>7996</v>
      </c>
      <c r="C6505" s="33">
        <v>30</v>
      </c>
    </row>
    <row r="6506" spans="2:3" x14ac:dyDescent="0.25">
      <c r="B6506" s="33" t="s">
        <v>7997</v>
      </c>
      <c r="C6506" s="33">
        <v>30</v>
      </c>
    </row>
    <row r="6507" spans="2:3" x14ac:dyDescent="0.25">
      <c r="B6507" s="33" t="s">
        <v>7998</v>
      </c>
      <c r="C6507" s="33">
        <v>30</v>
      </c>
    </row>
    <row r="6508" spans="2:3" x14ac:dyDescent="0.25">
      <c r="B6508" s="33" t="s">
        <v>7999</v>
      </c>
      <c r="C6508" s="33">
        <v>30</v>
      </c>
    </row>
    <row r="6509" spans="2:3" x14ac:dyDescent="0.25">
      <c r="B6509" s="33" t="s">
        <v>8000</v>
      </c>
      <c r="C6509" s="33">
        <v>30</v>
      </c>
    </row>
    <row r="6510" spans="2:3" x14ac:dyDescent="0.25">
      <c r="B6510" s="33" t="s">
        <v>8001</v>
      </c>
      <c r="C6510" s="33">
        <v>30</v>
      </c>
    </row>
    <row r="6511" spans="2:3" x14ac:dyDescent="0.25">
      <c r="B6511" s="33" t="s">
        <v>8002</v>
      </c>
      <c r="C6511" s="33">
        <v>30</v>
      </c>
    </row>
    <row r="6512" spans="2:3" x14ac:dyDescent="0.25">
      <c r="B6512" s="33" t="s">
        <v>8003</v>
      </c>
      <c r="C6512" s="33">
        <v>30</v>
      </c>
    </row>
    <row r="6513" spans="2:3" x14ac:dyDescent="0.25">
      <c r="B6513" s="33" t="s">
        <v>8004</v>
      </c>
      <c r="C6513" s="33">
        <v>30</v>
      </c>
    </row>
    <row r="6514" spans="2:3" x14ac:dyDescent="0.25">
      <c r="B6514" s="33" t="s">
        <v>8005</v>
      </c>
      <c r="C6514" s="33">
        <v>30</v>
      </c>
    </row>
    <row r="6515" spans="2:3" x14ac:dyDescent="0.25">
      <c r="B6515" s="33" t="s">
        <v>8006</v>
      </c>
      <c r="C6515" s="33">
        <v>30</v>
      </c>
    </row>
    <row r="6516" spans="2:3" x14ac:dyDescent="0.25">
      <c r="B6516" s="33" t="s">
        <v>8007</v>
      </c>
      <c r="C6516" s="33">
        <v>30</v>
      </c>
    </row>
    <row r="6517" spans="2:3" x14ac:dyDescent="0.25">
      <c r="B6517" s="33" t="s">
        <v>8008</v>
      </c>
      <c r="C6517" s="33">
        <v>30</v>
      </c>
    </row>
    <row r="6518" spans="2:3" x14ac:dyDescent="0.25">
      <c r="B6518" s="33" t="s">
        <v>8009</v>
      </c>
      <c r="C6518" s="33">
        <v>30</v>
      </c>
    </row>
    <row r="6519" spans="2:3" x14ac:dyDescent="0.25">
      <c r="B6519" s="33" t="s">
        <v>8010</v>
      </c>
      <c r="C6519" s="33">
        <v>30</v>
      </c>
    </row>
    <row r="6520" spans="2:3" x14ac:dyDescent="0.25">
      <c r="B6520" s="33" t="s">
        <v>8011</v>
      </c>
      <c r="C6520" s="33">
        <v>30</v>
      </c>
    </row>
    <row r="6521" spans="2:3" x14ac:dyDescent="0.25">
      <c r="B6521" s="33" t="s">
        <v>8012</v>
      </c>
      <c r="C6521" s="33">
        <v>30</v>
      </c>
    </row>
    <row r="6522" spans="2:3" x14ac:dyDescent="0.25">
      <c r="B6522" s="33" t="s">
        <v>8013</v>
      </c>
      <c r="C6522" s="33">
        <v>30</v>
      </c>
    </row>
    <row r="6523" spans="2:3" x14ac:dyDescent="0.25">
      <c r="B6523" s="33" t="s">
        <v>8014</v>
      </c>
      <c r="C6523" s="33">
        <v>30</v>
      </c>
    </row>
    <row r="6524" spans="2:3" x14ac:dyDescent="0.25">
      <c r="B6524" s="33" t="s">
        <v>8015</v>
      </c>
      <c r="C6524" s="33">
        <v>30</v>
      </c>
    </row>
    <row r="6525" spans="2:3" x14ac:dyDescent="0.25">
      <c r="B6525" s="33" t="s">
        <v>8016</v>
      </c>
      <c r="C6525" s="33">
        <v>30</v>
      </c>
    </row>
    <row r="6526" spans="2:3" x14ac:dyDescent="0.25">
      <c r="B6526" s="33" t="s">
        <v>8017</v>
      </c>
      <c r="C6526" s="33">
        <v>30</v>
      </c>
    </row>
    <row r="6527" spans="2:3" x14ac:dyDescent="0.25">
      <c r="B6527" s="33" t="s">
        <v>8018</v>
      </c>
      <c r="C6527" s="33">
        <v>30</v>
      </c>
    </row>
    <row r="6528" spans="2:3" x14ac:dyDescent="0.25">
      <c r="B6528" s="33" t="s">
        <v>8019</v>
      </c>
      <c r="C6528" s="33">
        <v>30</v>
      </c>
    </row>
    <row r="6529" spans="2:3" x14ac:dyDescent="0.25">
      <c r="B6529" s="33" t="s">
        <v>8020</v>
      </c>
      <c r="C6529" s="33">
        <v>30</v>
      </c>
    </row>
    <row r="6530" spans="2:3" x14ac:dyDescent="0.25">
      <c r="B6530" s="33" t="s">
        <v>8021</v>
      </c>
      <c r="C6530" s="33">
        <v>30</v>
      </c>
    </row>
    <row r="6531" spans="2:3" x14ac:dyDescent="0.25">
      <c r="B6531" s="33" t="s">
        <v>8022</v>
      </c>
      <c r="C6531" s="33">
        <v>30</v>
      </c>
    </row>
    <row r="6532" spans="2:3" x14ac:dyDescent="0.25">
      <c r="B6532" s="33" t="s">
        <v>8023</v>
      </c>
      <c r="C6532" s="33">
        <v>30</v>
      </c>
    </row>
    <row r="6533" spans="2:3" x14ac:dyDescent="0.25">
      <c r="B6533" s="33" t="s">
        <v>8024</v>
      </c>
      <c r="C6533" s="33">
        <v>30</v>
      </c>
    </row>
    <row r="6534" spans="2:3" x14ac:dyDescent="0.25">
      <c r="B6534" s="33" t="s">
        <v>8025</v>
      </c>
      <c r="C6534" s="33">
        <v>30</v>
      </c>
    </row>
    <row r="6535" spans="2:3" x14ac:dyDescent="0.25">
      <c r="B6535" s="33" t="s">
        <v>8026</v>
      </c>
      <c r="C6535" s="33">
        <v>30</v>
      </c>
    </row>
    <row r="6536" spans="2:3" x14ac:dyDescent="0.25">
      <c r="B6536" s="33" t="s">
        <v>8027</v>
      </c>
      <c r="C6536" s="33">
        <v>30</v>
      </c>
    </row>
    <row r="6537" spans="2:3" x14ac:dyDescent="0.25">
      <c r="B6537" s="33" t="s">
        <v>8028</v>
      </c>
      <c r="C6537" s="33">
        <v>30</v>
      </c>
    </row>
    <row r="6538" spans="2:3" x14ac:dyDescent="0.25">
      <c r="B6538" s="33" t="s">
        <v>8029</v>
      </c>
      <c r="C6538" s="33">
        <v>30</v>
      </c>
    </row>
    <row r="6539" spans="2:3" x14ac:dyDescent="0.25">
      <c r="B6539" s="33" t="s">
        <v>8030</v>
      </c>
      <c r="C6539" s="33">
        <v>30</v>
      </c>
    </row>
    <row r="6540" spans="2:3" x14ac:dyDescent="0.25">
      <c r="B6540" s="33" t="s">
        <v>8031</v>
      </c>
      <c r="C6540" s="33">
        <v>30</v>
      </c>
    </row>
    <row r="6541" spans="2:3" x14ac:dyDescent="0.25">
      <c r="B6541" s="33" t="s">
        <v>8032</v>
      </c>
      <c r="C6541" s="33">
        <v>30</v>
      </c>
    </row>
    <row r="6542" spans="2:3" x14ac:dyDescent="0.25">
      <c r="B6542" s="33" t="s">
        <v>8033</v>
      </c>
      <c r="C6542" s="33">
        <v>30</v>
      </c>
    </row>
    <row r="6543" spans="2:3" x14ac:dyDescent="0.25">
      <c r="B6543" s="33" t="s">
        <v>8034</v>
      </c>
      <c r="C6543" s="33">
        <v>30</v>
      </c>
    </row>
    <row r="6544" spans="2:3" x14ac:dyDescent="0.25">
      <c r="B6544" s="33" t="s">
        <v>8035</v>
      </c>
      <c r="C6544" s="33">
        <v>30</v>
      </c>
    </row>
    <row r="6545" spans="2:3" x14ac:dyDescent="0.25">
      <c r="B6545" s="33" t="s">
        <v>8036</v>
      </c>
      <c r="C6545" s="33">
        <v>30</v>
      </c>
    </row>
    <row r="6546" spans="2:3" x14ac:dyDescent="0.25">
      <c r="B6546" s="33" t="s">
        <v>8037</v>
      </c>
      <c r="C6546" s="33">
        <v>30</v>
      </c>
    </row>
    <row r="6547" spans="2:3" x14ac:dyDescent="0.25">
      <c r="B6547" s="33" t="s">
        <v>8038</v>
      </c>
      <c r="C6547" s="33">
        <v>30</v>
      </c>
    </row>
    <row r="6548" spans="2:3" x14ac:dyDescent="0.25">
      <c r="B6548" s="33" t="s">
        <v>8039</v>
      </c>
      <c r="C6548" s="33">
        <v>30</v>
      </c>
    </row>
    <row r="6549" spans="2:3" x14ac:dyDescent="0.25">
      <c r="B6549" s="33" t="s">
        <v>8040</v>
      </c>
      <c r="C6549" s="33">
        <v>30</v>
      </c>
    </row>
    <row r="6550" spans="2:3" x14ac:dyDescent="0.25">
      <c r="B6550" s="33" t="s">
        <v>8041</v>
      </c>
      <c r="C6550" s="33">
        <v>30</v>
      </c>
    </row>
    <row r="6551" spans="2:3" x14ac:dyDescent="0.25">
      <c r="B6551" s="33" t="s">
        <v>8042</v>
      </c>
      <c r="C6551" s="33">
        <v>30</v>
      </c>
    </row>
    <row r="6552" spans="2:3" x14ac:dyDescent="0.25">
      <c r="B6552" s="33" t="s">
        <v>8043</v>
      </c>
      <c r="C6552" s="33">
        <v>30</v>
      </c>
    </row>
    <row r="6553" spans="2:3" x14ac:dyDescent="0.25">
      <c r="B6553" s="33" t="s">
        <v>8044</v>
      </c>
      <c r="C6553" s="33">
        <v>30</v>
      </c>
    </row>
    <row r="6554" spans="2:3" x14ac:dyDescent="0.25">
      <c r="B6554" s="33" t="s">
        <v>8045</v>
      </c>
      <c r="C6554" s="33">
        <v>30</v>
      </c>
    </row>
    <row r="6555" spans="2:3" x14ac:dyDescent="0.25">
      <c r="B6555" s="33" t="s">
        <v>8046</v>
      </c>
      <c r="C6555" s="33">
        <v>30</v>
      </c>
    </row>
    <row r="6556" spans="2:3" x14ac:dyDescent="0.25">
      <c r="B6556" s="33" t="s">
        <v>8047</v>
      </c>
      <c r="C6556" s="33">
        <v>30</v>
      </c>
    </row>
    <row r="6557" spans="2:3" x14ac:dyDescent="0.25">
      <c r="B6557" s="33" t="s">
        <v>8048</v>
      </c>
      <c r="C6557" s="33">
        <v>30</v>
      </c>
    </row>
    <row r="6558" spans="2:3" x14ac:dyDescent="0.25">
      <c r="B6558" s="33" t="s">
        <v>8049</v>
      </c>
      <c r="C6558" s="33">
        <v>30</v>
      </c>
    </row>
    <row r="6559" spans="2:3" x14ac:dyDescent="0.25">
      <c r="B6559" s="33" t="s">
        <v>8050</v>
      </c>
      <c r="C6559" s="33">
        <v>30</v>
      </c>
    </row>
    <row r="6560" spans="2:3" x14ac:dyDescent="0.25">
      <c r="B6560" s="33" t="s">
        <v>8051</v>
      </c>
      <c r="C6560" s="33">
        <v>30</v>
      </c>
    </row>
    <row r="6561" spans="2:3" x14ac:dyDescent="0.25">
      <c r="B6561" s="33" t="s">
        <v>8052</v>
      </c>
      <c r="C6561" s="33">
        <v>30</v>
      </c>
    </row>
    <row r="6562" spans="2:3" x14ac:dyDescent="0.25">
      <c r="B6562" s="33" t="s">
        <v>8053</v>
      </c>
      <c r="C6562" s="33">
        <v>30</v>
      </c>
    </row>
    <row r="6563" spans="2:3" x14ac:dyDescent="0.25">
      <c r="B6563" s="33" t="s">
        <v>8054</v>
      </c>
      <c r="C6563" s="33">
        <v>30</v>
      </c>
    </row>
    <row r="6564" spans="2:3" x14ac:dyDescent="0.25">
      <c r="B6564" s="33" t="s">
        <v>8055</v>
      </c>
      <c r="C6564" s="33">
        <v>30</v>
      </c>
    </row>
    <row r="6565" spans="2:3" x14ac:dyDescent="0.25">
      <c r="B6565" s="33" t="s">
        <v>8056</v>
      </c>
      <c r="C6565" s="33">
        <v>30</v>
      </c>
    </row>
    <row r="6566" spans="2:3" x14ac:dyDescent="0.25">
      <c r="B6566" s="33" t="s">
        <v>8057</v>
      </c>
      <c r="C6566" s="33">
        <v>30</v>
      </c>
    </row>
    <row r="6567" spans="2:3" x14ac:dyDescent="0.25">
      <c r="B6567" s="33" t="s">
        <v>8058</v>
      </c>
      <c r="C6567" s="33">
        <v>30</v>
      </c>
    </row>
    <row r="6568" spans="2:3" x14ac:dyDescent="0.25">
      <c r="B6568" s="33" t="s">
        <v>8059</v>
      </c>
      <c r="C6568" s="33">
        <v>30</v>
      </c>
    </row>
    <row r="6569" spans="2:3" x14ac:dyDescent="0.25">
      <c r="B6569" s="33" t="s">
        <v>8060</v>
      </c>
      <c r="C6569" s="33">
        <v>30</v>
      </c>
    </row>
    <row r="6570" spans="2:3" x14ac:dyDescent="0.25">
      <c r="B6570" s="33" t="s">
        <v>8061</v>
      </c>
      <c r="C6570" s="33">
        <v>30</v>
      </c>
    </row>
    <row r="6571" spans="2:3" x14ac:dyDescent="0.25">
      <c r="B6571" s="33" t="s">
        <v>8062</v>
      </c>
      <c r="C6571" s="33">
        <v>30</v>
      </c>
    </row>
    <row r="6572" spans="2:3" x14ac:dyDescent="0.25">
      <c r="B6572" s="33" t="s">
        <v>8063</v>
      </c>
      <c r="C6572" s="33">
        <v>30</v>
      </c>
    </row>
    <row r="6573" spans="2:3" x14ac:dyDescent="0.25">
      <c r="B6573" s="33" t="s">
        <v>8064</v>
      </c>
      <c r="C6573" s="33">
        <v>30</v>
      </c>
    </row>
    <row r="6574" spans="2:3" x14ac:dyDescent="0.25">
      <c r="B6574" s="33" t="s">
        <v>8065</v>
      </c>
      <c r="C6574" s="33">
        <v>30</v>
      </c>
    </row>
    <row r="6575" spans="2:3" x14ac:dyDescent="0.25">
      <c r="B6575" s="33" t="s">
        <v>8066</v>
      </c>
      <c r="C6575" s="33">
        <v>30</v>
      </c>
    </row>
    <row r="6576" spans="2:3" x14ac:dyDescent="0.25">
      <c r="B6576" s="33" t="s">
        <v>8067</v>
      </c>
      <c r="C6576" s="33">
        <v>30</v>
      </c>
    </row>
    <row r="6577" spans="2:3" x14ac:dyDescent="0.25">
      <c r="B6577" s="33" t="s">
        <v>8068</v>
      </c>
      <c r="C6577" s="33">
        <v>30</v>
      </c>
    </row>
    <row r="6578" spans="2:3" x14ac:dyDescent="0.25">
      <c r="B6578" s="33" t="s">
        <v>8069</v>
      </c>
      <c r="C6578" s="33">
        <v>30</v>
      </c>
    </row>
    <row r="6579" spans="2:3" x14ac:dyDescent="0.25">
      <c r="B6579" s="33" t="s">
        <v>8070</v>
      </c>
      <c r="C6579" s="33">
        <v>30</v>
      </c>
    </row>
    <row r="6580" spans="2:3" x14ac:dyDescent="0.25">
      <c r="B6580" s="33" t="s">
        <v>8071</v>
      </c>
      <c r="C6580" s="33">
        <v>30</v>
      </c>
    </row>
    <row r="6581" spans="2:3" x14ac:dyDescent="0.25">
      <c r="B6581" s="33" t="s">
        <v>8072</v>
      </c>
      <c r="C6581" s="33">
        <v>30</v>
      </c>
    </row>
    <row r="6582" spans="2:3" x14ac:dyDescent="0.25">
      <c r="B6582" s="33" t="s">
        <v>8073</v>
      </c>
      <c r="C6582" s="33">
        <v>30</v>
      </c>
    </row>
    <row r="6583" spans="2:3" x14ac:dyDescent="0.25">
      <c r="B6583" s="33" t="s">
        <v>8074</v>
      </c>
      <c r="C6583" s="33">
        <v>30</v>
      </c>
    </row>
    <row r="6584" spans="2:3" x14ac:dyDescent="0.25">
      <c r="B6584" s="33" t="s">
        <v>8075</v>
      </c>
      <c r="C6584" s="33">
        <v>30</v>
      </c>
    </row>
    <row r="6585" spans="2:3" x14ac:dyDescent="0.25">
      <c r="B6585" s="33" t="s">
        <v>8076</v>
      </c>
      <c r="C6585" s="33">
        <v>30</v>
      </c>
    </row>
    <row r="6586" spans="2:3" x14ac:dyDescent="0.25">
      <c r="B6586" s="33" t="s">
        <v>8077</v>
      </c>
      <c r="C6586" s="33">
        <v>30</v>
      </c>
    </row>
    <row r="6587" spans="2:3" x14ac:dyDescent="0.25">
      <c r="B6587" s="33" t="s">
        <v>8078</v>
      </c>
      <c r="C6587" s="33">
        <v>30</v>
      </c>
    </row>
    <row r="6588" spans="2:3" x14ac:dyDescent="0.25">
      <c r="B6588" s="33" t="s">
        <v>8079</v>
      </c>
      <c r="C6588" s="33">
        <v>30</v>
      </c>
    </row>
    <row r="6589" spans="2:3" x14ac:dyDescent="0.25">
      <c r="B6589" s="33" t="s">
        <v>8080</v>
      </c>
      <c r="C6589" s="33">
        <v>30</v>
      </c>
    </row>
    <row r="6590" spans="2:3" x14ac:dyDescent="0.25">
      <c r="B6590" s="33" t="s">
        <v>8081</v>
      </c>
      <c r="C6590" s="33">
        <v>30</v>
      </c>
    </row>
    <row r="6591" spans="2:3" x14ac:dyDescent="0.25">
      <c r="B6591" s="33" t="s">
        <v>8082</v>
      </c>
      <c r="C6591" s="33">
        <v>30</v>
      </c>
    </row>
    <row r="6592" spans="2:3" x14ac:dyDescent="0.25">
      <c r="B6592" s="33" t="s">
        <v>8083</v>
      </c>
      <c r="C6592" s="33">
        <v>30</v>
      </c>
    </row>
    <row r="6593" spans="2:3" x14ac:dyDescent="0.25">
      <c r="B6593" s="33" t="s">
        <v>8084</v>
      </c>
      <c r="C6593" s="33">
        <v>30</v>
      </c>
    </row>
    <row r="6594" spans="2:3" x14ac:dyDescent="0.25">
      <c r="B6594" s="33" t="s">
        <v>8085</v>
      </c>
      <c r="C6594" s="33">
        <v>30</v>
      </c>
    </row>
    <row r="6595" spans="2:3" x14ac:dyDescent="0.25">
      <c r="B6595" s="33" t="s">
        <v>8086</v>
      </c>
      <c r="C6595" s="33">
        <v>30</v>
      </c>
    </row>
    <row r="6596" spans="2:3" x14ac:dyDescent="0.25">
      <c r="B6596" s="33" t="s">
        <v>8087</v>
      </c>
      <c r="C6596" s="33">
        <v>30</v>
      </c>
    </row>
    <row r="6597" spans="2:3" x14ac:dyDescent="0.25">
      <c r="B6597" s="33" t="s">
        <v>8088</v>
      </c>
      <c r="C6597" s="33">
        <v>30</v>
      </c>
    </row>
    <row r="6598" spans="2:3" x14ac:dyDescent="0.25">
      <c r="B6598" s="33" t="s">
        <v>8089</v>
      </c>
      <c r="C6598" s="33">
        <v>30</v>
      </c>
    </row>
    <row r="6599" spans="2:3" x14ac:dyDescent="0.25">
      <c r="B6599" s="33" t="s">
        <v>8090</v>
      </c>
      <c r="C6599" s="33">
        <v>30</v>
      </c>
    </row>
    <row r="6600" spans="2:3" x14ac:dyDescent="0.25">
      <c r="B6600" s="33" t="s">
        <v>8091</v>
      </c>
      <c r="C6600" s="33">
        <v>30</v>
      </c>
    </row>
    <row r="6601" spans="2:3" x14ac:dyDescent="0.25">
      <c r="B6601" s="33" t="s">
        <v>8092</v>
      </c>
      <c r="C6601" s="33">
        <v>30</v>
      </c>
    </row>
    <row r="6602" spans="2:3" x14ac:dyDescent="0.25">
      <c r="B6602" s="33" t="s">
        <v>8093</v>
      </c>
      <c r="C6602" s="33">
        <v>30</v>
      </c>
    </row>
    <row r="6603" spans="2:3" x14ac:dyDescent="0.25">
      <c r="B6603" s="33" t="s">
        <v>8094</v>
      </c>
      <c r="C6603" s="33">
        <v>30</v>
      </c>
    </row>
    <row r="6604" spans="2:3" x14ac:dyDescent="0.25">
      <c r="B6604" s="33" t="s">
        <v>8095</v>
      </c>
      <c r="C6604" s="33">
        <v>30</v>
      </c>
    </row>
    <row r="6605" spans="2:3" x14ac:dyDescent="0.25">
      <c r="B6605" s="33" t="s">
        <v>8096</v>
      </c>
      <c r="C6605" s="33">
        <v>30</v>
      </c>
    </row>
    <row r="6606" spans="2:3" x14ac:dyDescent="0.25">
      <c r="B6606" s="33" t="s">
        <v>8097</v>
      </c>
      <c r="C6606" s="33">
        <v>30</v>
      </c>
    </row>
    <row r="6607" spans="2:3" x14ac:dyDescent="0.25">
      <c r="B6607" s="33" t="s">
        <v>8098</v>
      </c>
      <c r="C6607" s="33">
        <v>30</v>
      </c>
    </row>
    <row r="6608" spans="2:3" x14ac:dyDescent="0.25">
      <c r="B6608" s="33" t="s">
        <v>8099</v>
      </c>
      <c r="C6608" s="33">
        <v>30</v>
      </c>
    </row>
    <row r="6609" spans="2:3" x14ac:dyDescent="0.25">
      <c r="B6609" s="33" t="s">
        <v>8100</v>
      </c>
      <c r="C6609" s="33">
        <v>30</v>
      </c>
    </row>
    <row r="6610" spans="2:3" x14ac:dyDescent="0.25">
      <c r="B6610" s="33" t="s">
        <v>8101</v>
      </c>
      <c r="C6610" s="33">
        <v>30</v>
      </c>
    </row>
    <row r="6611" spans="2:3" x14ac:dyDescent="0.25">
      <c r="B6611" s="33" t="s">
        <v>8102</v>
      </c>
      <c r="C6611" s="33">
        <v>30</v>
      </c>
    </row>
    <row r="6612" spans="2:3" x14ac:dyDescent="0.25">
      <c r="B6612" s="33" t="s">
        <v>8103</v>
      </c>
      <c r="C6612" s="33">
        <v>30</v>
      </c>
    </row>
    <row r="6613" spans="2:3" x14ac:dyDescent="0.25">
      <c r="B6613" s="33" t="s">
        <v>8104</v>
      </c>
      <c r="C6613" s="33">
        <v>30</v>
      </c>
    </row>
    <row r="6614" spans="2:3" x14ac:dyDescent="0.25">
      <c r="B6614" s="33" t="s">
        <v>8105</v>
      </c>
      <c r="C6614" s="33">
        <v>30</v>
      </c>
    </row>
    <row r="6615" spans="2:3" x14ac:dyDescent="0.25">
      <c r="B6615" s="33" t="s">
        <v>8106</v>
      </c>
      <c r="C6615" s="33">
        <v>30</v>
      </c>
    </row>
    <row r="6616" spans="2:3" x14ac:dyDescent="0.25">
      <c r="B6616" s="33" t="s">
        <v>8107</v>
      </c>
      <c r="C6616" s="33">
        <v>30</v>
      </c>
    </row>
    <row r="6617" spans="2:3" x14ac:dyDescent="0.25">
      <c r="B6617" s="33" t="s">
        <v>8108</v>
      </c>
      <c r="C6617" s="33">
        <v>30</v>
      </c>
    </row>
    <row r="6618" spans="2:3" x14ac:dyDescent="0.25">
      <c r="B6618" s="33" t="s">
        <v>8109</v>
      </c>
      <c r="C6618" s="33">
        <v>30</v>
      </c>
    </row>
    <row r="6619" spans="2:3" x14ac:dyDescent="0.25">
      <c r="B6619" s="33" t="s">
        <v>8110</v>
      </c>
      <c r="C6619" s="33">
        <v>30</v>
      </c>
    </row>
    <row r="6620" spans="2:3" x14ac:dyDescent="0.25">
      <c r="B6620" s="33" t="s">
        <v>8111</v>
      </c>
      <c r="C6620" s="33">
        <v>30</v>
      </c>
    </row>
    <row r="6621" spans="2:3" x14ac:dyDescent="0.25">
      <c r="B6621" s="33" t="s">
        <v>8112</v>
      </c>
      <c r="C6621" s="33">
        <v>30</v>
      </c>
    </row>
    <row r="6622" spans="2:3" x14ac:dyDescent="0.25">
      <c r="B6622" s="33" t="s">
        <v>8113</v>
      </c>
      <c r="C6622" s="33">
        <v>30</v>
      </c>
    </row>
    <row r="6623" spans="2:3" x14ac:dyDescent="0.25">
      <c r="B6623" s="33" t="s">
        <v>8114</v>
      </c>
      <c r="C6623" s="33">
        <v>30</v>
      </c>
    </row>
    <row r="6624" spans="2:3" x14ac:dyDescent="0.25">
      <c r="B6624" s="33" t="s">
        <v>8115</v>
      </c>
      <c r="C6624" s="33">
        <v>30</v>
      </c>
    </row>
    <row r="6625" spans="2:3" x14ac:dyDescent="0.25">
      <c r="B6625" s="33" t="s">
        <v>8116</v>
      </c>
      <c r="C6625" s="33">
        <v>30</v>
      </c>
    </row>
    <row r="6626" spans="2:3" x14ac:dyDescent="0.25">
      <c r="B6626" s="33" t="s">
        <v>8117</v>
      </c>
      <c r="C6626" s="33">
        <v>30</v>
      </c>
    </row>
    <row r="6627" spans="2:3" x14ac:dyDescent="0.25">
      <c r="B6627" s="33" t="s">
        <v>8118</v>
      </c>
      <c r="C6627" s="33">
        <v>30</v>
      </c>
    </row>
    <row r="6628" spans="2:3" x14ac:dyDescent="0.25">
      <c r="B6628" s="33" t="s">
        <v>8119</v>
      </c>
      <c r="C6628" s="33">
        <v>30</v>
      </c>
    </row>
    <row r="6629" spans="2:3" x14ac:dyDescent="0.25">
      <c r="B6629" s="33" t="s">
        <v>8120</v>
      </c>
      <c r="C6629" s="33">
        <v>30</v>
      </c>
    </row>
    <row r="6630" spans="2:3" x14ac:dyDescent="0.25">
      <c r="B6630" s="33" t="s">
        <v>8121</v>
      </c>
      <c r="C6630" s="33">
        <v>30</v>
      </c>
    </row>
    <row r="6631" spans="2:3" x14ac:dyDescent="0.25">
      <c r="B6631" s="33" t="s">
        <v>8122</v>
      </c>
      <c r="C6631" s="33">
        <v>30</v>
      </c>
    </row>
    <row r="6632" spans="2:3" x14ac:dyDescent="0.25">
      <c r="B6632" s="33" t="s">
        <v>8123</v>
      </c>
      <c r="C6632" s="33">
        <v>30</v>
      </c>
    </row>
    <row r="6633" spans="2:3" x14ac:dyDescent="0.25">
      <c r="B6633" s="33" t="s">
        <v>8124</v>
      </c>
      <c r="C6633" s="33">
        <v>30</v>
      </c>
    </row>
    <row r="6634" spans="2:3" x14ac:dyDescent="0.25">
      <c r="B6634" s="33" t="s">
        <v>8125</v>
      </c>
      <c r="C6634" s="33">
        <v>30</v>
      </c>
    </row>
    <row r="6635" spans="2:3" x14ac:dyDescent="0.25">
      <c r="B6635" s="33" t="s">
        <v>8126</v>
      </c>
      <c r="C6635" s="33">
        <v>30</v>
      </c>
    </row>
    <row r="6636" spans="2:3" x14ac:dyDescent="0.25">
      <c r="B6636" s="33" t="s">
        <v>8127</v>
      </c>
      <c r="C6636" s="33">
        <v>30</v>
      </c>
    </row>
    <row r="6637" spans="2:3" x14ac:dyDescent="0.25">
      <c r="B6637" s="33" t="s">
        <v>8128</v>
      </c>
      <c r="C6637" s="33">
        <v>30</v>
      </c>
    </row>
    <row r="6638" spans="2:3" x14ac:dyDescent="0.25">
      <c r="B6638" s="33" t="s">
        <v>8129</v>
      </c>
      <c r="C6638" s="33">
        <v>30</v>
      </c>
    </row>
    <row r="6639" spans="2:3" x14ac:dyDescent="0.25">
      <c r="B6639" s="33" t="s">
        <v>8130</v>
      </c>
      <c r="C6639" s="33">
        <v>30</v>
      </c>
    </row>
    <row r="6640" spans="2:3" x14ac:dyDescent="0.25">
      <c r="B6640" s="33" t="s">
        <v>8131</v>
      </c>
      <c r="C6640" s="33">
        <v>30</v>
      </c>
    </row>
    <row r="6641" spans="2:3" x14ac:dyDescent="0.25">
      <c r="B6641" s="33" t="s">
        <v>8132</v>
      </c>
      <c r="C6641" s="33">
        <v>30</v>
      </c>
    </row>
    <row r="6642" spans="2:3" x14ac:dyDescent="0.25">
      <c r="B6642" s="33" t="s">
        <v>8133</v>
      </c>
      <c r="C6642" s="33">
        <v>30</v>
      </c>
    </row>
    <row r="6643" spans="2:3" x14ac:dyDescent="0.25">
      <c r="B6643" s="33" t="s">
        <v>8134</v>
      </c>
      <c r="C6643" s="33">
        <v>30</v>
      </c>
    </row>
    <row r="6644" spans="2:3" x14ac:dyDescent="0.25">
      <c r="B6644" s="33" t="s">
        <v>8135</v>
      </c>
      <c r="C6644" s="33">
        <v>30</v>
      </c>
    </row>
    <row r="6645" spans="2:3" x14ac:dyDescent="0.25">
      <c r="B6645" s="33" t="s">
        <v>8136</v>
      </c>
      <c r="C6645" s="33">
        <v>30</v>
      </c>
    </row>
    <row r="6646" spans="2:3" x14ac:dyDescent="0.25">
      <c r="B6646" s="33" t="s">
        <v>8137</v>
      </c>
      <c r="C6646" s="33">
        <v>30</v>
      </c>
    </row>
    <row r="6647" spans="2:3" x14ac:dyDescent="0.25">
      <c r="B6647" s="33" t="s">
        <v>8138</v>
      </c>
      <c r="C6647" s="33">
        <v>30</v>
      </c>
    </row>
    <row r="6648" spans="2:3" x14ac:dyDescent="0.25">
      <c r="B6648" s="33" t="s">
        <v>8139</v>
      </c>
      <c r="C6648" s="33">
        <v>30</v>
      </c>
    </row>
    <row r="6649" spans="2:3" x14ac:dyDescent="0.25">
      <c r="B6649" s="33" t="s">
        <v>8140</v>
      </c>
      <c r="C6649" s="33">
        <v>30</v>
      </c>
    </row>
    <row r="6650" spans="2:3" x14ac:dyDescent="0.25">
      <c r="B6650" s="33" t="s">
        <v>8141</v>
      </c>
      <c r="C6650" s="33">
        <v>30</v>
      </c>
    </row>
    <row r="6651" spans="2:3" x14ac:dyDescent="0.25">
      <c r="B6651" s="33" t="s">
        <v>8142</v>
      </c>
      <c r="C6651" s="33">
        <v>30</v>
      </c>
    </row>
    <row r="6652" spans="2:3" x14ac:dyDescent="0.25">
      <c r="B6652" s="33" t="s">
        <v>8143</v>
      </c>
      <c r="C6652" s="33">
        <v>30</v>
      </c>
    </row>
    <row r="6653" spans="2:3" x14ac:dyDescent="0.25">
      <c r="B6653" s="33" t="s">
        <v>8144</v>
      </c>
      <c r="C6653" s="33">
        <v>30</v>
      </c>
    </row>
    <row r="6654" spans="2:3" x14ac:dyDescent="0.25">
      <c r="B6654" s="33" t="s">
        <v>8145</v>
      </c>
      <c r="C6654" s="33">
        <v>30</v>
      </c>
    </row>
    <row r="6655" spans="2:3" x14ac:dyDescent="0.25">
      <c r="B6655" s="33" t="s">
        <v>8146</v>
      </c>
      <c r="C6655" s="33">
        <v>30</v>
      </c>
    </row>
    <row r="6656" spans="2:3" x14ac:dyDescent="0.25">
      <c r="B6656" s="33" t="s">
        <v>8147</v>
      </c>
      <c r="C6656" s="33">
        <v>30</v>
      </c>
    </row>
    <row r="6657" spans="2:3" x14ac:dyDescent="0.25">
      <c r="B6657" s="33" t="s">
        <v>8148</v>
      </c>
      <c r="C6657" s="33">
        <v>30</v>
      </c>
    </row>
    <row r="6658" spans="2:3" x14ac:dyDescent="0.25">
      <c r="B6658" s="33" t="s">
        <v>8149</v>
      </c>
      <c r="C6658" s="33">
        <v>30</v>
      </c>
    </row>
    <row r="6659" spans="2:3" x14ac:dyDescent="0.25">
      <c r="B6659" s="33" t="s">
        <v>8150</v>
      </c>
      <c r="C6659" s="33">
        <v>30</v>
      </c>
    </row>
    <row r="6660" spans="2:3" x14ac:dyDescent="0.25">
      <c r="B6660" s="33" t="s">
        <v>8151</v>
      </c>
      <c r="C6660" s="33">
        <v>30</v>
      </c>
    </row>
    <row r="6661" spans="2:3" x14ac:dyDescent="0.25">
      <c r="B6661" s="33" t="s">
        <v>8152</v>
      </c>
      <c r="C6661" s="33">
        <v>30</v>
      </c>
    </row>
    <row r="6662" spans="2:3" x14ac:dyDescent="0.25">
      <c r="B6662" s="33" t="s">
        <v>8153</v>
      </c>
      <c r="C6662" s="33">
        <v>30</v>
      </c>
    </row>
    <row r="6663" spans="2:3" x14ac:dyDescent="0.25">
      <c r="B6663" s="33" t="s">
        <v>8154</v>
      </c>
      <c r="C6663" s="33">
        <v>30</v>
      </c>
    </row>
    <row r="6664" spans="2:3" x14ac:dyDescent="0.25">
      <c r="B6664" s="33" t="s">
        <v>8155</v>
      </c>
      <c r="C6664" s="33">
        <v>30</v>
      </c>
    </row>
    <row r="6665" spans="2:3" x14ac:dyDescent="0.25">
      <c r="B6665" s="33" t="s">
        <v>8156</v>
      </c>
      <c r="C6665" s="33">
        <v>30</v>
      </c>
    </row>
    <row r="6666" spans="2:3" x14ac:dyDescent="0.25">
      <c r="B6666" s="33" t="s">
        <v>8157</v>
      </c>
      <c r="C6666" s="33">
        <v>30</v>
      </c>
    </row>
    <row r="6667" spans="2:3" x14ac:dyDescent="0.25">
      <c r="B6667" s="33" t="s">
        <v>8158</v>
      </c>
      <c r="C6667" s="33">
        <v>30</v>
      </c>
    </row>
    <row r="6668" spans="2:3" x14ac:dyDescent="0.25">
      <c r="B6668" s="33" t="s">
        <v>8159</v>
      </c>
      <c r="C6668" s="33">
        <v>30</v>
      </c>
    </row>
    <row r="6669" spans="2:3" x14ac:dyDescent="0.25">
      <c r="B6669" s="33" t="s">
        <v>8160</v>
      </c>
      <c r="C6669" s="33">
        <v>30</v>
      </c>
    </row>
    <row r="6670" spans="2:3" x14ac:dyDescent="0.25">
      <c r="B6670" s="33" t="s">
        <v>8161</v>
      </c>
      <c r="C6670" s="33">
        <v>30</v>
      </c>
    </row>
    <row r="6671" spans="2:3" x14ac:dyDescent="0.25">
      <c r="B6671" s="33" t="s">
        <v>8162</v>
      </c>
      <c r="C6671" s="33">
        <v>30</v>
      </c>
    </row>
    <row r="6672" spans="2:3" x14ac:dyDescent="0.25">
      <c r="B6672" s="33" t="s">
        <v>8163</v>
      </c>
      <c r="C6672" s="33">
        <v>30</v>
      </c>
    </row>
    <row r="6673" spans="2:3" x14ac:dyDescent="0.25">
      <c r="B6673" s="33" t="s">
        <v>8164</v>
      </c>
      <c r="C6673" s="33">
        <v>30</v>
      </c>
    </row>
    <row r="6674" spans="2:3" x14ac:dyDescent="0.25">
      <c r="B6674" s="33" t="s">
        <v>8165</v>
      </c>
      <c r="C6674" s="33">
        <v>30</v>
      </c>
    </row>
    <row r="6675" spans="2:3" x14ac:dyDescent="0.25">
      <c r="B6675" s="33" t="s">
        <v>8166</v>
      </c>
      <c r="C6675" s="33">
        <v>30</v>
      </c>
    </row>
    <row r="6676" spans="2:3" x14ac:dyDescent="0.25">
      <c r="B6676" s="33" t="s">
        <v>8167</v>
      </c>
      <c r="C6676" s="33">
        <v>30</v>
      </c>
    </row>
    <row r="6677" spans="2:3" x14ac:dyDescent="0.25">
      <c r="B6677" s="33" t="s">
        <v>8168</v>
      </c>
      <c r="C6677" s="33">
        <v>30</v>
      </c>
    </row>
    <row r="6678" spans="2:3" x14ac:dyDescent="0.25">
      <c r="B6678" s="33" t="s">
        <v>8169</v>
      </c>
      <c r="C6678" s="33">
        <v>30</v>
      </c>
    </row>
    <row r="6679" spans="2:3" x14ac:dyDescent="0.25">
      <c r="B6679" s="33" t="s">
        <v>8170</v>
      </c>
      <c r="C6679" s="33">
        <v>30</v>
      </c>
    </row>
    <row r="6680" spans="2:3" x14ac:dyDescent="0.25">
      <c r="B6680" s="33" t="s">
        <v>8171</v>
      </c>
      <c r="C6680" s="33">
        <v>30</v>
      </c>
    </row>
    <row r="6681" spans="2:3" x14ac:dyDescent="0.25">
      <c r="B6681" s="33" t="s">
        <v>8172</v>
      </c>
      <c r="C6681" s="33">
        <v>30</v>
      </c>
    </row>
    <row r="6682" spans="2:3" x14ac:dyDescent="0.25">
      <c r="B6682" s="33" t="s">
        <v>8173</v>
      </c>
      <c r="C6682" s="33">
        <v>30</v>
      </c>
    </row>
    <row r="6683" spans="2:3" x14ac:dyDescent="0.25">
      <c r="B6683" s="33" t="s">
        <v>8174</v>
      </c>
      <c r="C6683" s="33">
        <v>30</v>
      </c>
    </row>
    <row r="6684" spans="2:3" x14ac:dyDescent="0.25">
      <c r="B6684" s="33" t="s">
        <v>8175</v>
      </c>
      <c r="C6684" s="33">
        <v>30</v>
      </c>
    </row>
    <row r="6685" spans="2:3" x14ac:dyDescent="0.25">
      <c r="B6685" s="33" t="s">
        <v>8176</v>
      </c>
      <c r="C6685" s="33">
        <v>30</v>
      </c>
    </row>
    <row r="6686" spans="2:3" x14ac:dyDescent="0.25">
      <c r="B6686" s="33" t="s">
        <v>8177</v>
      </c>
      <c r="C6686" s="33">
        <v>30</v>
      </c>
    </row>
    <row r="6687" spans="2:3" x14ac:dyDescent="0.25">
      <c r="B6687" s="33" t="s">
        <v>8178</v>
      </c>
      <c r="C6687" s="33">
        <v>30</v>
      </c>
    </row>
    <row r="6688" spans="2:3" x14ac:dyDescent="0.25">
      <c r="B6688" s="33" t="s">
        <v>8179</v>
      </c>
      <c r="C6688" s="33">
        <v>30</v>
      </c>
    </row>
    <row r="6689" spans="2:3" x14ac:dyDescent="0.25">
      <c r="B6689" s="33" t="s">
        <v>8180</v>
      </c>
      <c r="C6689" s="33">
        <v>30</v>
      </c>
    </row>
    <row r="6690" spans="2:3" x14ac:dyDescent="0.25">
      <c r="B6690" s="33" t="s">
        <v>8181</v>
      </c>
      <c r="C6690" s="33">
        <v>30</v>
      </c>
    </row>
    <row r="6691" spans="2:3" x14ac:dyDescent="0.25">
      <c r="B6691" s="33" t="s">
        <v>8182</v>
      </c>
      <c r="C6691" s="33">
        <v>30</v>
      </c>
    </row>
    <row r="6692" spans="2:3" x14ac:dyDescent="0.25">
      <c r="B6692" s="33" t="s">
        <v>8183</v>
      </c>
      <c r="C6692" s="33">
        <v>30</v>
      </c>
    </row>
    <row r="6693" spans="2:3" x14ac:dyDescent="0.25">
      <c r="B6693" s="33" t="s">
        <v>8184</v>
      </c>
      <c r="C6693" s="33">
        <v>30</v>
      </c>
    </row>
    <row r="6694" spans="2:3" x14ac:dyDescent="0.25">
      <c r="B6694" s="33" t="s">
        <v>8185</v>
      </c>
      <c r="C6694" s="33">
        <v>30</v>
      </c>
    </row>
    <row r="6695" spans="2:3" x14ac:dyDescent="0.25">
      <c r="B6695" s="33" t="s">
        <v>8186</v>
      </c>
      <c r="C6695" s="33">
        <v>30</v>
      </c>
    </row>
    <row r="6696" spans="2:3" x14ac:dyDescent="0.25">
      <c r="B6696" s="33" t="s">
        <v>8187</v>
      </c>
      <c r="C6696" s="33">
        <v>30</v>
      </c>
    </row>
    <row r="6697" spans="2:3" x14ac:dyDescent="0.25">
      <c r="B6697" s="33" t="s">
        <v>8188</v>
      </c>
      <c r="C6697" s="33">
        <v>30</v>
      </c>
    </row>
    <row r="6698" spans="2:3" x14ac:dyDescent="0.25">
      <c r="B6698" s="33" t="s">
        <v>8189</v>
      </c>
      <c r="C6698" s="33">
        <v>30</v>
      </c>
    </row>
    <row r="6699" spans="2:3" x14ac:dyDescent="0.25">
      <c r="B6699" s="33" t="s">
        <v>8190</v>
      </c>
      <c r="C6699" s="33">
        <v>30</v>
      </c>
    </row>
    <row r="6700" spans="2:3" x14ac:dyDescent="0.25">
      <c r="B6700" s="33" t="s">
        <v>8191</v>
      </c>
      <c r="C6700" s="33">
        <v>30</v>
      </c>
    </row>
    <row r="6701" spans="2:3" x14ac:dyDescent="0.25">
      <c r="B6701" s="33" t="s">
        <v>8192</v>
      </c>
      <c r="C6701" s="33">
        <v>30</v>
      </c>
    </row>
    <row r="6702" spans="2:3" x14ac:dyDescent="0.25">
      <c r="B6702" s="33" t="s">
        <v>8193</v>
      </c>
      <c r="C6702" s="33">
        <v>30</v>
      </c>
    </row>
    <row r="6703" spans="2:3" x14ac:dyDescent="0.25">
      <c r="B6703" s="33" t="s">
        <v>8194</v>
      </c>
      <c r="C6703" s="33">
        <v>30</v>
      </c>
    </row>
    <row r="6704" spans="2:3" x14ac:dyDescent="0.25">
      <c r="B6704" s="33" t="s">
        <v>8195</v>
      </c>
      <c r="C6704" s="33">
        <v>30</v>
      </c>
    </row>
    <row r="6705" spans="2:3" x14ac:dyDescent="0.25">
      <c r="B6705" s="33" t="s">
        <v>8196</v>
      </c>
      <c r="C6705" s="33">
        <v>30</v>
      </c>
    </row>
    <row r="6706" spans="2:3" x14ac:dyDescent="0.25">
      <c r="B6706" s="33" t="s">
        <v>8197</v>
      </c>
      <c r="C6706" s="33">
        <v>30</v>
      </c>
    </row>
    <row r="6707" spans="2:3" x14ac:dyDescent="0.25">
      <c r="B6707" s="33" t="s">
        <v>8198</v>
      </c>
      <c r="C6707" s="33">
        <v>30</v>
      </c>
    </row>
    <row r="6708" spans="2:3" x14ac:dyDescent="0.25">
      <c r="B6708" s="33" t="s">
        <v>8199</v>
      </c>
      <c r="C6708" s="33">
        <v>30</v>
      </c>
    </row>
    <row r="6709" spans="2:3" x14ac:dyDescent="0.25">
      <c r="B6709" s="33" t="s">
        <v>8200</v>
      </c>
      <c r="C6709" s="33">
        <v>30</v>
      </c>
    </row>
    <row r="6710" spans="2:3" x14ac:dyDescent="0.25">
      <c r="B6710" s="33" t="s">
        <v>8201</v>
      </c>
      <c r="C6710" s="33">
        <v>30</v>
      </c>
    </row>
    <row r="6711" spans="2:3" x14ac:dyDescent="0.25">
      <c r="B6711" s="33" t="s">
        <v>8202</v>
      </c>
      <c r="C6711" s="33">
        <v>30</v>
      </c>
    </row>
    <row r="6712" spans="2:3" x14ac:dyDescent="0.25">
      <c r="B6712" s="33" t="s">
        <v>8203</v>
      </c>
      <c r="C6712" s="33">
        <v>30</v>
      </c>
    </row>
    <row r="6713" spans="2:3" x14ac:dyDescent="0.25">
      <c r="B6713" s="33" t="s">
        <v>8204</v>
      </c>
      <c r="C6713" s="33">
        <v>30</v>
      </c>
    </row>
    <row r="6714" spans="2:3" x14ac:dyDescent="0.25">
      <c r="B6714" s="33" t="s">
        <v>8205</v>
      </c>
      <c r="C6714" s="33">
        <v>30</v>
      </c>
    </row>
    <row r="6715" spans="2:3" x14ac:dyDescent="0.25">
      <c r="B6715" s="33" t="s">
        <v>8206</v>
      </c>
      <c r="C6715" s="33">
        <v>30</v>
      </c>
    </row>
    <row r="6716" spans="2:3" x14ac:dyDescent="0.25">
      <c r="B6716" s="33" t="s">
        <v>8207</v>
      </c>
      <c r="C6716" s="33">
        <v>30</v>
      </c>
    </row>
    <row r="6717" spans="2:3" x14ac:dyDescent="0.25">
      <c r="B6717" s="33" t="s">
        <v>8208</v>
      </c>
      <c r="C6717" s="33">
        <v>30</v>
      </c>
    </row>
    <row r="6718" spans="2:3" x14ac:dyDescent="0.25">
      <c r="B6718" s="33" t="s">
        <v>8209</v>
      </c>
      <c r="C6718" s="33">
        <v>30</v>
      </c>
    </row>
    <row r="6719" spans="2:3" x14ac:dyDescent="0.25">
      <c r="B6719" s="33" t="s">
        <v>8210</v>
      </c>
      <c r="C6719" s="33">
        <v>30</v>
      </c>
    </row>
    <row r="6720" spans="2:3" x14ac:dyDescent="0.25">
      <c r="B6720" s="33" t="s">
        <v>8211</v>
      </c>
      <c r="C6720" s="33">
        <v>30</v>
      </c>
    </row>
    <row r="6721" spans="2:3" x14ac:dyDescent="0.25">
      <c r="B6721" s="33" t="s">
        <v>8212</v>
      </c>
      <c r="C6721" s="33">
        <v>30</v>
      </c>
    </row>
    <row r="6722" spans="2:3" x14ac:dyDescent="0.25">
      <c r="B6722" s="33" t="s">
        <v>8213</v>
      </c>
      <c r="C6722" s="33">
        <v>30</v>
      </c>
    </row>
    <row r="6723" spans="2:3" x14ac:dyDescent="0.25">
      <c r="B6723" s="33" t="s">
        <v>8214</v>
      </c>
      <c r="C6723" s="33">
        <v>30</v>
      </c>
    </row>
    <row r="6724" spans="2:3" x14ac:dyDescent="0.25">
      <c r="B6724" s="33" t="s">
        <v>8215</v>
      </c>
      <c r="C6724" s="33">
        <v>30</v>
      </c>
    </row>
    <row r="6725" spans="2:3" x14ac:dyDescent="0.25">
      <c r="B6725" s="33" t="s">
        <v>8216</v>
      </c>
      <c r="C6725" s="33">
        <v>30</v>
      </c>
    </row>
    <row r="6726" spans="2:3" x14ac:dyDescent="0.25">
      <c r="B6726" s="33" t="s">
        <v>8217</v>
      </c>
      <c r="C6726" s="33">
        <v>30</v>
      </c>
    </row>
    <row r="6727" spans="2:3" x14ac:dyDescent="0.25">
      <c r="B6727" s="33" t="s">
        <v>8218</v>
      </c>
      <c r="C6727" s="33">
        <v>30</v>
      </c>
    </row>
    <row r="6728" spans="2:3" x14ac:dyDescent="0.25">
      <c r="B6728" s="33" t="s">
        <v>8219</v>
      </c>
      <c r="C6728" s="33">
        <v>30</v>
      </c>
    </row>
    <row r="6729" spans="2:3" x14ac:dyDescent="0.25">
      <c r="B6729" s="33" t="s">
        <v>8220</v>
      </c>
      <c r="C6729" s="33">
        <v>30</v>
      </c>
    </row>
    <row r="6730" spans="2:3" x14ac:dyDescent="0.25">
      <c r="B6730" s="33" t="s">
        <v>8221</v>
      </c>
      <c r="C6730" s="33">
        <v>30</v>
      </c>
    </row>
    <row r="6731" spans="2:3" x14ac:dyDescent="0.25">
      <c r="B6731" s="33" t="s">
        <v>8222</v>
      </c>
      <c r="C6731" s="33">
        <v>30</v>
      </c>
    </row>
    <row r="6732" spans="2:3" x14ac:dyDescent="0.25">
      <c r="B6732" s="33" t="s">
        <v>8223</v>
      </c>
      <c r="C6732" s="33">
        <v>30</v>
      </c>
    </row>
    <row r="6733" spans="2:3" x14ac:dyDescent="0.25">
      <c r="B6733" s="33" t="s">
        <v>8224</v>
      </c>
      <c r="C6733" s="33">
        <v>30</v>
      </c>
    </row>
    <row r="6734" spans="2:3" x14ac:dyDescent="0.25">
      <c r="B6734" s="33" t="s">
        <v>8225</v>
      </c>
      <c r="C6734" s="33">
        <v>30</v>
      </c>
    </row>
    <row r="6735" spans="2:3" x14ac:dyDescent="0.25">
      <c r="B6735" s="33" t="s">
        <v>8226</v>
      </c>
      <c r="C6735" s="33">
        <v>30</v>
      </c>
    </row>
    <row r="6736" spans="2:3" x14ac:dyDescent="0.25">
      <c r="B6736" s="33" t="s">
        <v>8227</v>
      </c>
      <c r="C6736" s="33">
        <v>30</v>
      </c>
    </row>
    <row r="6737" spans="2:3" x14ac:dyDescent="0.25">
      <c r="B6737" s="33" t="s">
        <v>8228</v>
      </c>
      <c r="C6737" s="33">
        <v>30</v>
      </c>
    </row>
    <row r="6738" spans="2:3" x14ac:dyDescent="0.25">
      <c r="B6738" s="33" t="s">
        <v>8229</v>
      </c>
      <c r="C6738" s="33">
        <v>30</v>
      </c>
    </row>
    <row r="6739" spans="2:3" x14ac:dyDescent="0.25">
      <c r="B6739" s="33" t="s">
        <v>8230</v>
      </c>
      <c r="C6739" s="33">
        <v>30</v>
      </c>
    </row>
    <row r="6740" spans="2:3" x14ac:dyDescent="0.25">
      <c r="B6740" s="33" t="s">
        <v>8231</v>
      </c>
      <c r="C6740" s="33">
        <v>30</v>
      </c>
    </row>
    <row r="6741" spans="2:3" x14ac:dyDescent="0.25">
      <c r="B6741" s="33" t="s">
        <v>8232</v>
      </c>
      <c r="C6741" s="33">
        <v>30</v>
      </c>
    </row>
    <row r="6742" spans="2:3" x14ac:dyDescent="0.25">
      <c r="B6742" s="33" t="s">
        <v>8233</v>
      </c>
      <c r="C6742" s="33">
        <v>30</v>
      </c>
    </row>
    <row r="6743" spans="2:3" x14ac:dyDescent="0.25">
      <c r="B6743" s="33" t="s">
        <v>8234</v>
      </c>
      <c r="C6743" s="33">
        <v>30</v>
      </c>
    </row>
    <row r="6744" spans="2:3" x14ac:dyDescent="0.25">
      <c r="B6744" s="33" t="s">
        <v>8235</v>
      </c>
      <c r="C6744" s="33">
        <v>30</v>
      </c>
    </row>
    <row r="6745" spans="2:3" x14ac:dyDescent="0.25">
      <c r="B6745" s="33" t="s">
        <v>8236</v>
      </c>
      <c r="C6745" s="33">
        <v>30</v>
      </c>
    </row>
    <row r="6746" spans="2:3" x14ac:dyDescent="0.25">
      <c r="B6746" s="33" t="s">
        <v>8237</v>
      </c>
      <c r="C6746" s="33">
        <v>30</v>
      </c>
    </row>
    <row r="6747" spans="2:3" x14ac:dyDescent="0.25">
      <c r="B6747" s="33" t="s">
        <v>8238</v>
      </c>
      <c r="C6747" s="33">
        <v>30</v>
      </c>
    </row>
    <row r="6748" spans="2:3" x14ac:dyDescent="0.25">
      <c r="B6748" s="33" t="s">
        <v>8239</v>
      </c>
      <c r="C6748" s="33">
        <v>30</v>
      </c>
    </row>
    <row r="6749" spans="2:3" x14ac:dyDescent="0.25">
      <c r="B6749" s="33" t="s">
        <v>8240</v>
      </c>
      <c r="C6749" s="33">
        <v>30</v>
      </c>
    </row>
    <row r="6750" spans="2:3" x14ac:dyDescent="0.25">
      <c r="B6750" s="33" t="s">
        <v>8241</v>
      </c>
      <c r="C6750" s="33">
        <v>30</v>
      </c>
    </row>
    <row r="6751" spans="2:3" x14ac:dyDescent="0.25">
      <c r="B6751" s="33" t="s">
        <v>8242</v>
      </c>
      <c r="C6751" s="33">
        <v>30</v>
      </c>
    </row>
    <row r="6752" spans="2:3" x14ac:dyDescent="0.25">
      <c r="B6752" s="33" t="s">
        <v>8243</v>
      </c>
      <c r="C6752" s="33">
        <v>30</v>
      </c>
    </row>
    <row r="6753" spans="2:3" x14ac:dyDescent="0.25">
      <c r="B6753" s="33" t="s">
        <v>8244</v>
      </c>
      <c r="C6753" s="33">
        <v>30</v>
      </c>
    </row>
    <row r="6754" spans="2:3" x14ac:dyDescent="0.25">
      <c r="B6754" s="33" t="s">
        <v>8245</v>
      </c>
      <c r="C6754" s="33">
        <v>30</v>
      </c>
    </row>
    <row r="6755" spans="2:3" x14ac:dyDescent="0.25">
      <c r="B6755" s="33" t="s">
        <v>8246</v>
      </c>
      <c r="C6755" s="33">
        <v>30</v>
      </c>
    </row>
    <row r="6756" spans="2:3" x14ac:dyDescent="0.25">
      <c r="B6756" s="33" t="s">
        <v>8247</v>
      </c>
      <c r="C6756" s="33">
        <v>30</v>
      </c>
    </row>
    <row r="6757" spans="2:3" x14ac:dyDescent="0.25">
      <c r="B6757" s="33" t="s">
        <v>8248</v>
      </c>
      <c r="C6757" s="33">
        <v>30</v>
      </c>
    </row>
    <row r="6758" spans="2:3" x14ac:dyDescent="0.25">
      <c r="B6758" s="33" t="s">
        <v>8249</v>
      </c>
      <c r="C6758" s="33">
        <v>30</v>
      </c>
    </row>
    <row r="6759" spans="2:3" x14ac:dyDescent="0.25">
      <c r="B6759" s="33" t="s">
        <v>8250</v>
      </c>
      <c r="C6759" s="33">
        <v>30</v>
      </c>
    </row>
    <row r="6760" spans="2:3" x14ac:dyDescent="0.25">
      <c r="B6760" s="33" t="s">
        <v>8251</v>
      </c>
      <c r="C6760" s="33">
        <v>30</v>
      </c>
    </row>
    <row r="6761" spans="2:3" x14ac:dyDescent="0.25">
      <c r="B6761" s="33" t="s">
        <v>8252</v>
      </c>
      <c r="C6761" s="33">
        <v>30</v>
      </c>
    </row>
    <row r="6762" spans="2:3" x14ac:dyDescent="0.25">
      <c r="B6762" s="33" t="s">
        <v>8253</v>
      </c>
      <c r="C6762" s="33">
        <v>30</v>
      </c>
    </row>
    <row r="6763" spans="2:3" x14ac:dyDescent="0.25">
      <c r="B6763" s="33" t="s">
        <v>8254</v>
      </c>
      <c r="C6763" s="33">
        <v>30</v>
      </c>
    </row>
    <row r="6764" spans="2:3" x14ac:dyDescent="0.25">
      <c r="B6764" s="33" t="s">
        <v>8255</v>
      </c>
      <c r="C6764" s="33">
        <v>30</v>
      </c>
    </row>
    <row r="6765" spans="2:3" x14ac:dyDescent="0.25">
      <c r="B6765" s="33" t="s">
        <v>8256</v>
      </c>
      <c r="C6765" s="33">
        <v>30</v>
      </c>
    </row>
    <row r="6766" spans="2:3" x14ac:dyDescent="0.25">
      <c r="B6766" s="33" t="s">
        <v>8257</v>
      </c>
      <c r="C6766" s="33">
        <v>30</v>
      </c>
    </row>
    <row r="6767" spans="2:3" x14ac:dyDescent="0.25">
      <c r="B6767" s="33" t="s">
        <v>8258</v>
      </c>
      <c r="C6767" s="33">
        <v>30</v>
      </c>
    </row>
    <row r="6768" spans="2:3" x14ac:dyDescent="0.25">
      <c r="B6768" s="33" t="s">
        <v>8259</v>
      </c>
      <c r="C6768" s="33">
        <v>30</v>
      </c>
    </row>
    <row r="6769" spans="2:3" x14ac:dyDescent="0.25">
      <c r="B6769" s="33" t="s">
        <v>8260</v>
      </c>
      <c r="C6769" s="33">
        <v>30</v>
      </c>
    </row>
    <row r="6770" spans="2:3" x14ac:dyDescent="0.25">
      <c r="B6770" s="33" t="s">
        <v>8261</v>
      </c>
      <c r="C6770" s="33">
        <v>30</v>
      </c>
    </row>
    <row r="6771" spans="2:3" x14ac:dyDescent="0.25">
      <c r="B6771" s="33" t="s">
        <v>8262</v>
      </c>
      <c r="C6771" s="33">
        <v>30</v>
      </c>
    </row>
    <row r="6772" spans="2:3" x14ac:dyDescent="0.25">
      <c r="B6772" s="33" t="s">
        <v>8263</v>
      </c>
      <c r="C6772" s="33">
        <v>30</v>
      </c>
    </row>
    <row r="6773" spans="2:3" x14ac:dyDescent="0.25">
      <c r="B6773" s="33" t="s">
        <v>8264</v>
      </c>
      <c r="C6773" s="33">
        <v>30</v>
      </c>
    </row>
    <row r="6774" spans="2:3" x14ac:dyDescent="0.25">
      <c r="B6774" s="33" t="s">
        <v>8265</v>
      </c>
      <c r="C6774" s="33">
        <v>30</v>
      </c>
    </row>
    <row r="6775" spans="2:3" x14ac:dyDescent="0.25">
      <c r="B6775" s="33" t="s">
        <v>8266</v>
      </c>
      <c r="C6775" s="33">
        <v>30</v>
      </c>
    </row>
    <row r="6776" spans="2:3" x14ac:dyDescent="0.25">
      <c r="B6776" s="33" t="s">
        <v>8267</v>
      </c>
      <c r="C6776" s="33">
        <v>30</v>
      </c>
    </row>
    <row r="6777" spans="2:3" x14ac:dyDescent="0.25">
      <c r="B6777" s="33" t="s">
        <v>8268</v>
      </c>
      <c r="C6777" s="33">
        <v>30</v>
      </c>
    </row>
    <row r="6778" spans="2:3" x14ac:dyDescent="0.25">
      <c r="B6778" s="33" t="s">
        <v>8269</v>
      </c>
      <c r="C6778" s="33">
        <v>30</v>
      </c>
    </row>
    <row r="6779" spans="2:3" x14ac:dyDescent="0.25">
      <c r="B6779" s="33" t="s">
        <v>8270</v>
      </c>
      <c r="C6779" s="33">
        <v>30</v>
      </c>
    </row>
    <row r="6780" spans="2:3" x14ac:dyDescent="0.25">
      <c r="B6780" s="33" t="s">
        <v>8271</v>
      </c>
      <c r="C6780" s="33">
        <v>30</v>
      </c>
    </row>
    <row r="6781" spans="2:3" x14ac:dyDescent="0.25">
      <c r="B6781" s="33" t="s">
        <v>8272</v>
      </c>
      <c r="C6781" s="33">
        <v>30</v>
      </c>
    </row>
    <row r="6782" spans="2:3" x14ac:dyDescent="0.25">
      <c r="B6782" s="33" t="s">
        <v>8273</v>
      </c>
      <c r="C6782" s="33">
        <v>30</v>
      </c>
    </row>
    <row r="6783" spans="2:3" x14ac:dyDescent="0.25">
      <c r="B6783" s="33" t="s">
        <v>8274</v>
      </c>
      <c r="C6783" s="33">
        <v>30</v>
      </c>
    </row>
    <row r="6784" spans="2:3" x14ac:dyDescent="0.25">
      <c r="B6784" s="33" t="s">
        <v>8275</v>
      </c>
      <c r="C6784" s="33">
        <v>30</v>
      </c>
    </row>
    <row r="6785" spans="2:3" x14ac:dyDescent="0.25">
      <c r="B6785" s="33" t="s">
        <v>8276</v>
      </c>
      <c r="C6785" s="33">
        <v>30</v>
      </c>
    </row>
    <row r="6786" spans="2:3" x14ac:dyDescent="0.25">
      <c r="B6786" s="33" t="s">
        <v>8277</v>
      </c>
      <c r="C6786" s="33">
        <v>30</v>
      </c>
    </row>
    <row r="6787" spans="2:3" x14ac:dyDescent="0.25">
      <c r="B6787" s="33" t="s">
        <v>8278</v>
      </c>
      <c r="C6787" s="33">
        <v>30</v>
      </c>
    </row>
    <row r="6788" spans="2:3" x14ac:dyDescent="0.25">
      <c r="B6788" s="33" t="s">
        <v>8279</v>
      </c>
      <c r="C6788" s="33">
        <v>30</v>
      </c>
    </row>
    <row r="6789" spans="2:3" x14ac:dyDescent="0.25">
      <c r="B6789" s="33" t="s">
        <v>8280</v>
      </c>
      <c r="C6789" s="33">
        <v>30</v>
      </c>
    </row>
    <row r="6790" spans="2:3" x14ac:dyDescent="0.25">
      <c r="B6790" s="33" t="s">
        <v>8281</v>
      </c>
      <c r="C6790" s="33">
        <v>30</v>
      </c>
    </row>
    <row r="6791" spans="2:3" x14ac:dyDescent="0.25">
      <c r="B6791" s="33" t="s">
        <v>8282</v>
      </c>
      <c r="C6791" s="33">
        <v>30</v>
      </c>
    </row>
    <row r="6792" spans="2:3" x14ac:dyDescent="0.25">
      <c r="B6792" s="33" t="s">
        <v>8283</v>
      </c>
      <c r="C6792" s="33">
        <v>30</v>
      </c>
    </row>
    <row r="6793" spans="2:3" x14ac:dyDescent="0.25">
      <c r="B6793" s="33" t="s">
        <v>8284</v>
      </c>
      <c r="C6793" s="33">
        <v>30</v>
      </c>
    </row>
    <row r="6794" spans="2:3" x14ac:dyDescent="0.25">
      <c r="B6794" s="33" t="s">
        <v>8285</v>
      </c>
      <c r="C6794" s="33">
        <v>30</v>
      </c>
    </row>
    <row r="6795" spans="2:3" x14ac:dyDescent="0.25">
      <c r="B6795" s="33" t="s">
        <v>8286</v>
      </c>
      <c r="C6795" s="33">
        <v>30</v>
      </c>
    </row>
    <row r="6796" spans="2:3" x14ac:dyDescent="0.25">
      <c r="B6796" s="33" t="s">
        <v>8287</v>
      </c>
      <c r="C6796" s="33">
        <v>30</v>
      </c>
    </row>
    <row r="6797" spans="2:3" x14ac:dyDescent="0.25">
      <c r="B6797" s="33" t="s">
        <v>8288</v>
      </c>
      <c r="C6797" s="33">
        <v>30</v>
      </c>
    </row>
    <row r="6798" spans="2:3" x14ac:dyDescent="0.25">
      <c r="B6798" s="33" t="s">
        <v>8289</v>
      </c>
      <c r="C6798" s="33">
        <v>30</v>
      </c>
    </row>
    <row r="6799" spans="2:3" x14ac:dyDescent="0.25">
      <c r="B6799" s="33" t="s">
        <v>8290</v>
      </c>
      <c r="C6799" s="33">
        <v>30</v>
      </c>
    </row>
    <row r="6800" spans="2:3" x14ac:dyDescent="0.25">
      <c r="B6800" s="33" t="s">
        <v>8291</v>
      </c>
      <c r="C6800" s="33">
        <v>30</v>
      </c>
    </row>
    <row r="6801" spans="2:3" x14ac:dyDescent="0.25">
      <c r="B6801" s="33" t="s">
        <v>8292</v>
      </c>
      <c r="C6801" s="33">
        <v>30</v>
      </c>
    </row>
    <row r="6802" spans="2:3" x14ac:dyDescent="0.25">
      <c r="B6802" s="33" t="s">
        <v>8293</v>
      </c>
      <c r="C6802" s="33">
        <v>30</v>
      </c>
    </row>
    <row r="6803" spans="2:3" x14ac:dyDescent="0.25">
      <c r="B6803" s="33" t="s">
        <v>8294</v>
      </c>
      <c r="C6803" s="33">
        <v>30</v>
      </c>
    </row>
    <row r="6804" spans="2:3" x14ac:dyDescent="0.25">
      <c r="B6804" s="33" t="s">
        <v>8295</v>
      </c>
      <c r="C6804" s="33">
        <v>30</v>
      </c>
    </row>
    <row r="6805" spans="2:3" x14ac:dyDescent="0.25">
      <c r="B6805" s="33" t="s">
        <v>8296</v>
      </c>
      <c r="C6805" s="33">
        <v>30</v>
      </c>
    </row>
    <row r="6806" spans="2:3" x14ac:dyDescent="0.25">
      <c r="B6806" s="33" t="s">
        <v>8297</v>
      </c>
      <c r="C6806" s="33">
        <v>30</v>
      </c>
    </row>
    <row r="6807" spans="2:3" x14ac:dyDescent="0.25">
      <c r="B6807" s="33" t="s">
        <v>8298</v>
      </c>
      <c r="C6807" s="33">
        <v>30</v>
      </c>
    </row>
    <row r="6808" spans="2:3" x14ac:dyDescent="0.25">
      <c r="B6808" s="33" t="s">
        <v>8299</v>
      </c>
      <c r="C6808" s="33">
        <v>30</v>
      </c>
    </row>
    <row r="6809" spans="2:3" x14ac:dyDescent="0.25">
      <c r="B6809" s="33" t="s">
        <v>8300</v>
      </c>
      <c r="C6809" s="33">
        <v>30</v>
      </c>
    </row>
    <row r="6810" spans="2:3" x14ac:dyDescent="0.25">
      <c r="B6810" s="33" t="s">
        <v>8301</v>
      </c>
      <c r="C6810" s="33">
        <v>30</v>
      </c>
    </row>
    <row r="6811" spans="2:3" x14ac:dyDescent="0.25">
      <c r="B6811" s="33" t="s">
        <v>8302</v>
      </c>
      <c r="C6811" s="33">
        <v>30</v>
      </c>
    </row>
    <row r="6812" spans="2:3" x14ac:dyDescent="0.25">
      <c r="B6812" s="33" t="s">
        <v>8303</v>
      </c>
      <c r="C6812" s="33">
        <v>30</v>
      </c>
    </row>
    <row r="6813" spans="2:3" x14ac:dyDescent="0.25">
      <c r="B6813" s="33" t="s">
        <v>8304</v>
      </c>
      <c r="C6813" s="33">
        <v>30</v>
      </c>
    </row>
    <row r="6814" spans="2:3" x14ac:dyDescent="0.25">
      <c r="B6814" s="33" t="s">
        <v>8305</v>
      </c>
      <c r="C6814" s="33">
        <v>30</v>
      </c>
    </row>
    <row r="6815" spans="2:3" x14ac:dyDescent="0.25">
      <c r="B6815" s="33" t="s">
        <v>8306</v>
      </c>
      <c r="C6815" s="33">
        <v>30</v>
      </c>
    </row>
    <row r="6816" spans="2:3" x14ac:dyDescent="0.25">
      <c r="B6816" s="33" t="s">
        <v>8307</v>
      </c>
      <c r="C6816" s="33">
        <v>30</v>
      </c>
    </row>
    <row r="6817" spans="2:3" x14ac:dyDescent="0.25">
      <c r="B6817" s="33" t="s">
        <v>8308</v>
      </c>
      <c r="C6817" s="33">
        <v>30</v>
      </c>
    </row>
    <row r="6818" spans="2:3" x14ac:dyDescent="0.25">
      <c r="B6818" s="33" t="s">
        <v>8309</v>
      </c>
      <c r="C6818" s="33">
        <v>30</v>
      </c>
    </row>
    <row r="6819" spans="2:3" x14ac:dyDescent="0.25">
      <c r="B6819" s="33" t="s">
        <v>8310</v>
      </c>
      <c r="C6819" s="33">
        <v>30</v>
      </c>
    </row>
    <row r="6820" spans="2:3" x14ac:dyDescent="0.25">
      <c r="B6820" s="33" t="s">
        <v>8311</v>
      </c>
      <c r="C6820" s="33">
        <v>30</v>
      </c>
    </row>
    <row r="6821" spans="2:3" x14ac:dyDescent="0.25">
      <c r="B6821" s="33" t="s">
        <v>8312</v>
      </c>
      <c r="C6821" s="33">
        <v>30</v>
      </c>
    </row>
    <row r="6822" spans="2:3" x14ac:dyDescent="0.25">
      <c r="B6822" s="33" t="s">
        <v>8313</v>
      </c>
      <c r="C6822" s="33">
        <v>30</v>
      </c>
    </row>
    <row r="6823" spans="2:3" x14ac:dyDescent="0.25">
      <c r="B6823" s="33" t="s">
        <v>8314</v>
      </c>
      <c r="C6823" s="33">
        <v>30</v>
      </c>
    </row>
    <row r="6824" spans="2:3" x14ac:dyDescent="0.25">
      <c r="B6824" s="33" t="s">
        <v>8315</v>
      </c>
      <c r="C6824" s="33">
        <v>30</v>
      </c>
    </row>
    <row r="6825" spans="2:3" x14ac:dyDescent="0.25">
      <c r="B6825" s="33" t="s">
        <v>8316</v>
      </c>
      <c r="C6825" s="33">
        <v>30</v>
      </c>
    </row>
    <row r="6826" spans="2:3" x14ac:dyDescent="0.25">
      <c r="B6826" s="33" t="s">
        <v>8317</v>
      </c>
      <c r="C6826" s="33">
        <v>30</v>
      </c>
    </row>
    <row r="6827" spans="2:3" x14ac:dyDescent="0.25">
      <c r="B6827" s="33" t="s">
        <v>8318</v>
      </c>
      <c r="C6827" s="33">
        <v>30</v>
      </c>
    </row>
    <row r="6828" spans="2:3" x14ac:dyDescent="0.25">
      <c r="B6828" s="33" t="s">
        <v>8319</v>
      </c>
      <c r="C6828" s="33">
        <v>30</v>
      </c>
    </row>
    <row r="6829" spans="2:3" x14ac:dyDescent="0.25">
      <c r="B6829" s="33" t="s">
        <v>8320</v>
      </c>
      <c r="C6829" s="33">
        <v>30</v>
      </c>
    </row>
    <row r="6830" spans="2:3" x14ac:dyDescent="0.25">
      <c r="B6830" s="33" t="s">
        <v>8321</v>
      </c>
      <c r="C6830" s="33">
        <v>30</v>
      </c>
    </row>
    <row r="6831" spans="2:3" x14ac:dyDescent="0.25">
      <c r="B6831" s="33" t="s">
        <v>8322</v>
      </c>
      <c r="C6831" s="33">
        <v>30</v>
      </c>
    </row>
    <row r="6832" spans="2:3" x14ac:dyDescent="0.25">
      <c r="B6832" s="33" t="s">
        <v>8323</v>
      </c>
      <c r="C6832" s="33">
        <v>30</v>
      </c>
    </row>
    <row r="6833" spans="2:3" x14ac:dyDescent="0.25">
      <c r="B6833" s="33" t="s">
        <v>8324</v>
      </c>
      <c r="C6833" s="33">
        <v>30</v>
      </c>
    </row>
    <row r="6834" spans="2:3" x14ac:dyDescent="0.25">
      <c r="B6834" s="33" t="s">
        <v>8325</v>
      </c>
      <c r="C6834" s="33">
        <v>30</v>
      </c>
    </row>
    <row r="6835" spans="2:3" x14ac:dyDescent="0.25">
      <c r="B6835" s="33" t="s">
        <v>8326</v>
      </c>
      <c r="C6835" s="33">
        <v>30</v>
      </c>
    </row>
    <row r="6836" spans="2:3" x14ac:dyDescent="0.25">
      <c r="B6836" s="33" t="s">
        <v>8327</v>
      </c>
      <c r="C6836" s="33">
        <v>30</v>
      </c>
    </row>
    <row r="6837" spans="2:3" x14ac:dyDescent="0.25">
      <c r="B6837" s="33" t="s">
        <v>8328</v>
      </c>
      <c r="C6837" s="33">
        <v>30</v>
      </c>
    </row>
    <row r="6838" spans="2:3" x14ac:dyDescent="0.25">
      <c r="B6838" s="33" t="s">
        <v>8329</v>
      </c>
      <c r="C6838" s="33">
        <v>30</v>
      </c>
    </row>
    <row r="6839" spans="2:3" x14ac:dyDescent="0.25">
      <c r="B6839" s="33" t="s">
        <v>8330</v>
      </c>
      <c r="C6839" s="33">
        <v>30</v>
      </c>
    </row>
    <row r="6840" spans="2:3" x14ac:dyDescent="0.25">
      <c r="B6840" s="33" t="s">
        <v>8331</v>
      </c>
      <c r="C6840" s="33">
        <v>30</v>
      </c>
    </row>
    <row r="6841" spans="2:3" x14ac:dyDescent="0.25">
      <c r="B6841" s="33" t="s">
        <v>8332</v>
      </c>
      <c r="C6841" s="33">
        <v>30</v>
      </c>
    </row>
    <row r="6842" spans="2:3" x14ac:dyDescent="0.25">
      <c r="B6842" s="33" t="s">
        <v>8333</v>
      </c>
      <c r="C6842" s="33">
        <v>30</v>
      </c>
    </row>
    <row r="6843" spans="2:3" x14ac:dyDescent="0.25">
      <c r="B6843" s="33" t="s">
        <v>8334</v>
      </c>
      <c r="C6843" s="33">
        <v>30</v>
      </c>
    </row>
    <row r="6844" spans="2:3" x14ac:dyDescent="0.25">
      <c r="B6844" s="33" t="s">
        <v>8335</v>
      </c>
      <c r="C6844" s="33">
        <v>30</v>
      </c>
    </row>
    <row r="6845" spans="2:3" x14ac:dyDescent="0.25">
      <c r="B6845" s="33" t="s">
        <v>8336</v>
      </c>
      <c r="C6845" s="33">
        <v>30</v>
      </c>
    </row>
    <row r="6846" spans="2:3" x14ac:dyDescent="0.25">
      <c r="B6846" s="33" t="s">
        <v>8337</v>
      </c>
      <c r="C6846" s="33">
        <v>30</v>
      </c>
    </row>
    <row r="6847" spans="2:3" x14ac:dyDescent="0.25">
      <c r="B6847" s="33" t="s">
        <v>8338</v>
      </c>
      <c r="C6847" s="33">
        <v>30</v>
      </c>
    </row>
    <row r="6848" spans="2:3" x14ac:dyDescent="0.25">
      <c r="B6848" s="33" t="s">
        <v>8339</v>
      </c>
      <c r="C6848" s="33">
        <v>30</v>
      </c>
    </row>
    <row r="6849" spans="2:3" x14ac:dyDescent="0.25">
      <c r="B6849" s="33" t="s">
        <v>8340</v>
      </c>
      <c r="C6849" s="33">
        <v>30</v>
      </c>
    </row>
    <row r="6850" spans="2:3" x14ac:dyDescent="0.25">
      <c r="B6850" s="33" t="s">
        <v>8341</v>
      </c>
      <c r="C6850" s="33">
        <v>30</v>
      </c>
    </row>
    <row r="6851" spans="2:3" x14ac:dyDescent="0.25">
      <c r="B6851" s="33" t="s">
        <v>8342</v>
      </c>
      <c r="C6851" s="33">
        <v>30</v>
      </c>
    </row>
    <row r="6852" spans="2:3" x14ac:dyDescent="0.25">
      <c r="B6852" s="33" t="s">
        <v>8343</v>
      </c>
      <c r="C6852" s="33">
        <v>30</v>
      </c>
    </row>
    <row r="6853" spans="2:3" x14ac:dyDescent="0.25">
      <c r="B6853" s="33" t="s">
        <v>8344</v>
      </c>
      <c r="C6853" s="33">
        <v>30</v>
      </c>
    </row>
    <row r="6854" spans="2:3" x14ac:dyDescent="0.25">
      <c r="B6854" s="33" t="s">
        <v>8345</v>
      </c>
      <c r="C6854" s="33">
        <v>30</v>
      </c>
    </row>
    <row r="6855" spans="2:3" x14ac:dyDescent="0.25">
      <c r="B6855" s="33" t="s">
        <v>8346</v>
      </c>
      <c r="C6855" s="33">
        <v>30</v>
      </c>
    </row>
    <row r="6856" spans="2:3" x14ac:dyDescent="0.25">
      <c r="B6856" s="33" t="s">
        <v>8347</v>
      </c>
      <c r="C6856" s="33">
        <v>30</v>
      </c>
    </row>
    <row r="6857" spans="2:3" x14ac:dyDescent="0.25">
      <c r="B6857" s="33" t="s">
        <v>8348</v>
      </c>
      <c r="C6857" s="33">
        <v>30</v>
      </c>
    </row>
    <row r="6858" spans="2:3" x14ac:dyDescent="0.25">
      <c r="B6858" s="33" t="s">
        <v>8349</v>
      </c>
      <c r="C6858" s="33">
        <v>30</v>
      </c>
    </row>
    <row r="6859" spans="2:3" x14ac:dyDescent="0.25">
      <c r="B6859" s="33" t="s">
        <v>8350</v>
      </c>
      <c r="C6859" s="33">
        <v>30</v>
      </c>
    </row>
    <row r="6860" spans="2:3" x14ac:dyDescent="0.25">
      <c r="B6860" s="33" t="s">
        <v>8351</v>
      </c>
      <c r="C6860" s="33">
        <v>30</v>
      </c>
    </row>
    <row r="6861" spans="2:3" x14ac:dyDescent="0.25">
      <c r="B6861" s="33" t="s">
        <v>8352</v>
      </c>
      <c r="C6861" s="33">
        <v>30</v>
      </c>
    </row>
    <row r="6862" spans="2:3" x14ac:dyDescent="0.25">
      <c r="B6862" s="33" t="s">
        <v>8353</v>
      </c>
      <c r="C6862" s="33">
        <v>30</v>
      </c>
    </row>
    <row r="6863" spans="2:3" x14ac:dyDescent="0.25">
      <c r="B6863" s="33" t="s">
        <v>8354</v>
      </c>
      <c r="C6863" s="33">
        <v>30</v>
      </c>
    </row>
    <row r="6864" spans="2:3" x14ac:dyDescent="0.25">
      <c r="B6864" s="33" t="s">
        <v>8355</v>
      </c>
      <c r="C6864" s="33">
        <v>30</v>
      </c>
    </row>
    <row r="6865" spans="2:3" x14ac:dyDescent="0.25">
      <c r="B6865" s="33" t="s">
        <v>8356</v>
      </c>
      <c r="C6865" s="33">
        <v>30</v>
      </c>
    </row>
    <row r="6866" spans="2:3" x14ac:dyDescent="0.25">
      <c r="B6866" s="33" t="s">
        <v>8357</v>
      </c>
      <c r="C6866" s="33">
        <v>30</v>
      </c>
    </row>
    <row r="6867" spans="2:3" x14ac:dyDescent="0.25">
      <c r="B6867" s="33" t="s">
        <v>8358</v>
      </c>
      <c r="C6867" s="33">
        <v>30</v>
      </c>
    </row>
    <row r="6868" spans="2:3" x14ac:dyDescent="0.25">
      <c r="B6868" s="33" t="s">
        <v>8359</v>
      </c>
      <c r="C6868" s="33">
        <v>30</v>
      </c>
    </row>
    <row r="6869" spans="2:3" x14ac:dyDescent="0.25">
      <c r="B6869" s="33" t="s">
        <v>8360</v>
      </c>
      <c r="C6869" s="33">
        <v>30</v>
      </c>
    </row>
    <row r="6870" spans="2:3" x14ac:dyDescent="0.25">
      <c r="B6870" s="33" t="s">
        <v>8361</v>
      </c>
      <c r="C6870" s="33">
        <v>30</v>
      </c>
    </row>
    <row r="6871" spans="2:3" x14ac:dyDescent="0.25">
      <c r="B6871" s="33" t="s">
        <v>8362</v>
      </c>
      <c r="C6871" s="33">
        <v>30</v>
      </c>
    </row>
    <row r="6872" spans="2:3" x14ac:dyDescent="0.25">
      <c r="B6872" s="33" t="s">
        <v>8363</v>
      </c>
      <c r="C6872" s="33">
        <v>30</v>
      </c>
    </row>
    <row r="6873" spans="2:3" x14ac:dyDescent="0.25">
      <c r="B6873" s="33" t="s">
        <v>8364</v>
      </c>
      <c r="C6873" s="33">
        <v>30</v>
      </c>
    </row>
    <row r="6874" spans="2:3" x14ac:dyDescent="0.25">
      <c r="B6874" s="33" t="s">
        <v>8365</v>
      </c>
      <c r="C6874" s="33">
        <v>30</v>
      </c>
    </row>
    <row r="6875" spans="2:3" x14ac:dyDescent="0.25">
      <c r="B6875" s="33" t="s">
        <v>8366</v>
      </c>
      <c r="C6875" s="33">
        <v>30</v>
      </c>
    </row>
    <row r="6876" spans="2:3" x14ac:dyDescent="0.25">
      <c r="B6876" s="33" t="s">
        <v>8367</v>
      </c>
      <c r="C6876" s="33">
        <v>30</v>
      </c>
    </row>
    <row r="6877" spans="2:3" x14ac:dyDescent="0.25">
      <c r="B6877" s="33" t="s">
        <v>8368</v>
      </c>
      <c r="C6877" s="33">
        <v>30</v>
      </c>
    </row>
    <row r="6878" spans="2:3" x14ac:dyDescent="0.25">
      <c r="B6878" s="33" t="s">
        <v>8369</v>
      </c>
      <c r="C6878" s="33">
        <v>30</v>
      </c>
    </row>
    <row r="6879" spans="2:3" x14ac:dyDescent="0.25">
      <c r="B6879" s="33" t="s">
        <v>8370</v>
      </c>
      <c r="C6879" s="33">
        <v>30</v>
      </c>
    </row>
    <row r="6880" spans="2:3" x14ac:dyDescent="0.25">
      <c r="B6880" s="33" t="s">
        <v>8371</v>
      </c>
      <c r="C6880" s="33">
        <v>30</v>
      </c>
    </row>
    <row r="6881" spans="2:3" x14ac:dyDescent="0.25">
      <c r="B6881" s="33" t="s">
        <v>8372</v>
      </c>
      <c r="C6881" s="33">
        <v>30</v>
      </c>
    </row>
    <row r="6882" spans="2:3" x14ac:dyDescent="0.25">
      <c r="B6882" s="33" t="s">
        <v>8373</v>
      </c>
      <c r="C6882" s="33">
        <v>30</v>
      </c>
    </row>
    <row r="6883" spans="2:3" x14ac:dyDescent="0.25">
      <c r="B6883" s="33" t="s">
        <v>8374</v>
      </c>
      <c r="C6883" s="33">
        <v>30</v>
      </c>
    </row>
    <row r="6884" spans="2:3" x14ac:dyDescent="0.25">
      <c r="B6884" s="33" t="s">
        <v>8375</v>
      </c>
      <c r="C6884" s="33">
        <v>30</v>
      </c>
    </row>
    <row r="6885" spans="2:3" x14ac:dyDescent="0.25">
      <c r="B6885" s="33" t="s">
        <v>8376</v>
      </c>
      <c r="C6885" s="33">
        <v>30</v>
      </c>
    </row>
    <row r="6886" spans="2:3" x14ac:dyDescent="0.25">
      <c r="B6886" s="33" t="s">
        <v>8377</v>
      </c>
      <c r="C6886" s="33">
        <v>30</v>
      </c>
    </row>
    <row r="6887" spans="2:3" x14ac:dyDescent="0.25">
      <c r="B6887" s="33" t="s">
        <v>8378</v>
      </c>
      <c r="C6887" s="33">
        <v>30</v>
      </c>
    </row>
    <row r="6888" spans="2:3" x14ac:dyDescent="0.25">
      <c r="B6888" s="33" t="s">
        <v>8379</v>
      </c>
      <c r="C6888" s="33">
        <v>30</v>
      </c>
    </row>
    <row r="6889" spans="2:3" x14ac:dyDescent="0.25">
      <c r="B6889" s="33" t="s">
        <v>8380</v>
      </c>
      <c r="C6889" s="33">
        <v>30</v>
      </c>
    </row>
    <row r="6890" spans="2:3" x14ac:dyDescent="0.25">
      <c r="B6890" s="33" t="s">
        <v>8381</v>
      </c>
      <c r="C6890" s="33">
        <v>30</v>
      </c>
    </row>
    <row r="6891" spans="2:3" x14ac:dyDescent="0.25">
      <c r="B6891" s="33" t="s">
        <v>8382</v>
      </c>
      <c r="C6891" s="33">
        <v>30</v>
      </c>
    </row>
    <row r="6892" spans="2:3" x14ac:dyDescent="0.25">
      <c r="B6892" s="33" t="s">
        <v>8383</v>
      </c>
      <c r="C6892" s="33">
        <v>30</v>
      </c>
    </row>
    <row r="6893" spans="2:3" x14ac:dyDescent="0.25">
      <c r="B6893" s="33" t="s">
        <v>8384</v>
      </c>
      <c r="C6893" s="33">
        <v>30</v>
      </c>
    </row>
    <row r="6894" spans="2:3" x14ac:dyDescent="0.25">
      <c r="B6894" s="33" t="s">
        <v>8385</v>
      </c>
      <c r="C6894" s="33">
        <v>30</v>
      </c>
    </row>
    <row r="6895" spans="2:3" x14ac:dyDescent="0.25">
      <c r="B6895" s="33" t="s">
        <v>8386</v>
      </c>
      <c r="C6895" s="33">
        <v>30</v>
      </c>
    </row>
    <row r="6896" spans="2:3" x14ac:dyDescent="0.25">
      <c r="B6896" s="33" t="s">
        <v>8387</v>
      </c>
      <c r="C6896" s="33">
        <v>30</v>
      </c>
    </row>
    <row r="6897" spans="2:3" x14ac:dyDescent="0.25">
      <c r="B6897" s="33" t="s">
        <v>8388</v>
      </c>
      <c r="C6897" s="33">
        <v>30</v>
      </c>
    </row>
    <row r="6898" spans="2:3" x14ac:dyDescent="0.25">
      <c r="B6898" s="33" t="s">
        <v>8389</v>
      </c>
      <c r="C6898" s="33">
        <v>30</v>
      </c>
    </row>
    <row r="6899" spans="2:3" x14ac:dyDescent="0.25">
      <c r="B6899" s="33" t="s">
        <v>8390</v>
      </c>
      <c r="C6899" s="33">
        <v>30</v>
      </c>
    </row>
    <row r="6900" spans="2:3" x14ac:dyDescent="0.25">
      <c r="B6900" s="33" t="s">
        <v>8391</v>
      </c>
      <c r="C6900" s="33">
        <v>30</v>
      </c>
    </row>
    <row r="6901" spans="2:3" x14ac:dyDescent="0.25">
      <c r="B6901" s="33" t="s">
        <v>8392</v>
      </c>
      <c r="C6901" s="33">
        <v>30</v>
      </c>
    </row>
    <row r="6902" spans="2:3" x14ac:dyDescent="0.25">
      <c r="B6902" s="33" t="s">
        <v>8393</v>
      </c>
      <c r="C6902" s="33">
        <v>30</v>
      </c>
    </row>
    <row r="6903" spans="2:3" x14ac:dyDescent="0.25">
      <c r="B6903" s="33" t="s">
        <v>8394</v>
      </c>
      <c r="C6903" s="33">
        <v>30</v>
      </c>
    </row>
    <row r="6904" spans="2:3" x14ac:dyDescent="0.25">
      <c r="B6904" s="33" t="s">
        <v>8395</v>
      </c>
      <c r="C6904" s="33">
        <v>30</v>
      </c>
    </row>
    <row r="6905" spans="2:3" x14ac:dyDescent="0.25">
      <c r="B6905" s="33" t="s">
        <v>8396</v>
      </c>
      <c r="C6905" s="33">
        <v>30</v>
      </c>
    </row>
    <row r="6906" spans="2:3" x14ac:dyDescent="0.25">
      <c r="B6906" s="33" t="s">
        <v>8397</v>
      </c>
      <c r="C6906" s="33">
        <v>30</v>
      </c>
    </row>
    <row r="6907" spans="2:3" x14ac:dyDescent="0.25">
      <c r="B6907" s="33" t="s">
        <v>8398</v>
      </c>
      <c r="C6907" s="33">
        <v>30</v>
      </c>
    </row>
    <row r="6908" spans="2:3" x14ac:dyDescent="0.25">
      <c r="B6908" s="33" t="s">
        <v>8399</v>
      </c>
      <c r="C6908" s="33">
        <v>30</v>
      </c>
    </row>
    <row r="6909" spans="2:3" x14ac:dyDescent="0.25">
      <c r="B6909" s="33" t="s">
        <v>8400</v>
      </c>
      <c r="C6909" s="33">
        <v>30</v>
      </c>
    </row>
    <row r="6910" spans="2:3" x14ac:dyDescent="0.25">
      <c r="B6910" s="33" t="s">
        <v>8401</v>
      </c>
      <c r="C6910" s="33">
        <v>30</v>
      </c>
    </row>
    <row r="6911" spans="2:3" x14ac:dyDescent="0.25">
      <c r="B6911" s="33" t="s">
        <v>8402</v>
      </c>
      <c r="C6911" s="33">
        <v>30</v>
      </c>
    </row>
    <row r="6912" spans="2:3" x14ac:dyDescent="0.25">
      <c r="B6912" s="33" t="s">
        <v>8403</v>
      </c>
      <c r="C6912" s="33">
        <v>30</v>
      </c>
    </row>
    <row r="6913" spans="2:3" x14ac:dyDescent="0.25">
      <c r="B6913" s="33" t="s">
        <v>8404</v>
      </c>
      <c r="C6913" s="33">
        <v>30</v>
      </c>
    </row>
    <row r="6914" spans="2:3" x14ac:dyDescent="0.25">
      <c r="B6914" s="33" t="s">
        <v>8405</v>
      </c>
      <c r="C6914" s="33">
        <v>30</v>
      </c>
    </row>
    <row r="6915" spans="2:3" x14ac:dyDescent="0.25">
      <c r="B6915" s="33" t="s">
        <v>8406</v>
      </c>
      <c r="C6915" s="33">
        <v>30</v>
      </c>
    </row>
    <row r="6916" spans="2:3" x14ac:dyDescent="0.25">
      <c r="B6916" s="33" t="s">
        <v>8407</v>
      </c>
      <c r="C6916" s="33">
        <v>30</v>
      </c>
    </row>
    <row r="6917" spans="2:3" x14ac:dyDescent="0.25">
      <c r="B6917" s="33" t="s">
        <v>8408</v>
      </c>
      <c r="C6917" s="33">
        <v>30</v>
      </c>
    </row>
    <row r="6918" spans="2:3" x14ac:dyDescent="0.25">
      <c r="B6918" s="33" t="s">
        <v>8409</v>
      </c>
      <c r="C6918" s="33">
        <v>30</v>
      </c>
    </row>
    <row r="6919" spans="2:3" x14ac:dyDescent="0.25">
      <c r="B6919" s="33" t="s">
        <v>8410</v>
      </c>
      <c r="C6919" s="33">
        <v>30</v>
      </c>
    </row>
    <row r="6920" spans="2:3" x14ac:dyDescent="0.25">
      <c r="B6920" s="33" t="s">
        <v>8411</v>
      </c>
      <c r="C6920" s="33">
        <v>30</v>
      </c>
    </row>
    <row r="6921" spans="2:3" x14ac:dyDescent="0.25">
      <c r="B6921" s="33" t="s">
        <v>8412</v>
      </c>
      <c r="C6921" s="33">
        <v>30</v>
      </c>
    </row>
    <row r="6922" spans="2:3" x14ac:dyDescent="0.25">
      <c r="B6922" s="33" t="s">
        <v>8413</v>
      </c>
      <c r="C6922" s="33">
        <v>30</v>
      </c>
    </row>
    <row r="6923" spans="2:3" x14ac:dyDescent="0.25">
      <c r="B6923" s="33" t="s">
        <v>8414</v>
      </c>
      <c r="C6923" s="33">
        <v>30</v>
      </c>
    </row>
    <row r="6924" spans="2:3" x14ac:dyDescent="0.25">
      <c r="B6924" s="33" t="s">
        <v>8415</v>
      </c>
      <c r="C6924" s="33">
        <v>30</v>
      </c>
    </row>
    <row r="6925" spans="2:3" x14ac:dyDescent="0.25">
      <c r="B6925" s="33" t="s">
        <v>8416</v>
      </c>
      <c r="C6925" s="33">
        <v>30</v>
      </c>
    </row>
    <row r="6926" spans="2:3" x14ac:dyDescent="0.25">
      <c r="B6926" s="33" t="s">
        <v>8417</v>
      </c>
      <c r="C6926" s="33">
        <v>30</v>
      </c>
    </row>
    <row r="6927" spans="2:3" x14ac:dyDescent="0.25">
      <c r="B6927" s="33" t="s">
        <v>8418</v>
      </c>
      <c r="C6927" s="33">
        <v>30</v>
      </c>
    </row>
    <row r="6928" spans="2:3" x14ac:dyDescent="0.25">
      <c r="B6928" s="33" t="s">
        <v>8419</v>
      </c>
      <c r="C6928" s="33">
        <v>30</v>
      </c>
    </row>
    <row r="6929" spans="2:3" x14ac:dyDescent="0.25">
      <c r="B6929" s="33" t="s">
        <v>8420</v>
      </c>
      <c r="C6929" s="33">
        <v>30</v>
      </c>
    </row>
    <row r="6930" spans="2:3" x14ac:dyDescent="0.25">
      <c r="B6930" s="33" t="s">
        <v>8421</v>
      </c>
      <c r="C6930" s="33">
        <v>30</v>
      </c>
    </row>
    <row r="6931" spans="2:3" x14ac:dyDescent="0.25">
      <c r="B6931" s="33" t="s">
        <v>8422</v>
      </c>
      <c r="C6931" s="33">
        <v>30</v>
      </c>
    </row>
    <row r="6932" spans="2:3" x14ac:dyDescent="0.25">
      <c r="B6932" s="33" t="s">
        <v>8423</v>
      </c>
      <c r="C6932" s="33">
        <v>30</v>
      </c>
    </row>
    <row r="6933" spans="2:3" x14ac:dyDescent="0.25">
      <c r="B6933" s="33" t="s">
        <v>8424</v>
      </c>
      <c r="C6933" s="33">
        <v>30</v>
      </c>
    </row>
    <row r="6934" spans="2:3" x14ac:dyDescent="0.25">
      <c r="B6934" s="33" t="s">
        <v>8425</v>
      </c>
      <c r="C6934" s="33">
        <v>30</v>
      </c>
    </row>
    <row r="6935" spans="2:3" x14ac:dyDescent="0.25">
      <c r="B6935" s="33" t="s">
        <v>8426</v>
      </c>
      <c r="C6935" s="33">
        <v>30</v>
      </c>
    </row>
    <row r="6936" spans="2:3" x14ac:dyDescent="0.25">
      <c r="B6936" s="33" t="s">
        <v>8427</v>
      </c>
      <c r="C6936" s="33">
        <v>30</v>
      </c>
    </row>
    <row r="6937" spans="2:3" x14ac:dyDescent="0.25">
      <c r="B6937" s="33" t="s">
        <v>8428</v>
      </c>
      <c r="C6937" s="33">
        <v>30</v>
      </c>
    </row>
    <row r="6938" spans="2:3" x14ac:dyDescent="0.25">
      <c r="B6938" s="33" t="s">
        <v>8429</v>
      </c>
      <c r="C6938" s="33">
        <v>30</v>
      </c>
    </row>
    <row r="6939" spans="2:3" x14ac:dyDescent="0.25">
      <c r="B6939" s="33" t="s">
        <v>8430</v>
      </c>
      <c r="C6939" s="33">
        <v>30</v>
      </c>
    </row>
    <row r="6940" spans="2:3" x14ac:dyDescent="0.25">
      <c r="B6940" s="33" t="s">
        <v>8431</v>
      </c>
      <c r="C6940" s="33">
        <v>30</v>
      </c>
    </row>
    <row r="6941" spans="2:3" x14ac:dyDescent="0.25">
      <c r="B6941" s="33" t="s">
        <v>8432</v>
      </c>
      <c r="C6941" s="33">
        <v>30</v>
      </c>
    </row>
    <row r="6942" spans="2:3" x14ac:dyDescent="0.25">
      <c r="B6942" s="33" t="s">
        <v>8433</v>
      </c>
      <c r="C6942" s="33">
        <v>30</v>
      </c>
    </row>
    <row r="6943" spans="2:3" x14ac:dyDescent="0.25"/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7"/>
  <sheetViews>
    <sheetView showGridLines="0" workbookViewId="0">
      <selection activeCell="B3" sqref="B3"/>
    </sheetView>
  </sheetViews>
  <sheetFormatPr defaultColWidth="0" defaultRowHeight="15" zeroHeight="1" x14ac:dyDescent="0.25"/>
  <cols>
    <col min="1" max="1" width="3.7109375" customWidth="1"/>
    <col min="2" max="2" width="71.42578125" customWidth="1"/>
    <col min="3" max="3" width="13.5703125" customWidth="1"/>
    <col min="4" max="4" width="18.5703125" customWidth="1"/>
    <col min="5" max="5" width="10.85546875" customWidth="1"/>
    <col min="6" max="6" width="11.7109375" customWidth="1"/>
    <col min="7" max="7" width="9.28515625" customWidth="1"/>
    <col min="8" max="8" width="15" customWidth="1"/>
    <col min="9" max="9" width="15.42578125" customWidth="1"/>
    <col min="10" max="10" width="92.28515625" customWidth="1"/>
    <col min="11" max="11" width="3.7109375" customWidth="1"/>
    <col min="12" max="12" width="0" hidden="1" customWidth="1"/>
    <col min="13" max="16384" width="9.140625" hidden="1"/>
  </cols>
  <sheetData>
    <row r="1" spans="2:10" x14ac:dyDescent="0.25"/>
    <row r="2" spans="2:10" x14ac:dyDescent="0.25">
      <c r="B2" s="34" t="s">
        <v>178</v>
      </c>
      <c r="C2" s="34" t="s">
        <v>10078</v>
      </c>
      <c r="D2" s="34" t="s">
        <v>10079</v>
      </c>
      <c r="E2" s="34" t="s">
        <v>10080</v>
      </c>
      <c r="F2" s="34" t="s">
        <v>10081</v>
      </c>
      <c r="G2" s="34" t="s">
        <v>10082</v>
      </c>
      <c r="H2" s="57" t="s">
        <v>10083</v>
      </c>
      <c r="I2" s="57" t="s">
        <v>10084</v>
      </c>
      <c r="J2" s="57" t="s">
        <v>8485</v>
      </c>
    </row>
    <row r="3" spans="2:10" x14ac:dyDescent="0.25">
      <c r="B3" s="58" t="s">
        <v>261</v>
      </c>
      <c r="C3" s="58" t="s">
        <v>8507</v>
      </c>
      <c r="D3" s="58" t="s">
        <v>8564</v>
      </c>
      <c r="E3" s="58" t="s">
        <v>10052</v>
      </c>
      <c r="F3" s="58" t="s">
        <v>10053</v>
      </c>
      <c r="G3" s="58" t="s">
        <v>10050</v>
      </c>
      <c r="H3" s="59" t="str">
        <f>+VLOOKUP(B3,'1A_Aux3'!B:D,2,FALSE)</f>
        <v>2022-12-31</v>
      </c>
      <c r="I3" s="59" t="str">
        <f>+VLOOKUP(B3,'1A_Aux3'!B:D,3,FALSE)</f>
        <v>2023-06-30</v>
      </c>
      <c r="J3" s="62" t="s">
        <v>10085</v>
      </c>
    </row>
    <row r="4" spans="2:10" x14ac:dyDescent="0.25">
      <c r="B4" s="60" t="s">
        <v>261</v>
      </c>
      <c r="C4" s="60" t="s">
        <v>8507</v>
      </c>
      <c r="D4" s="60" t="s">
        <v>8545</v>
      </c>
      <c r="E4" s="60" t="s">
        <v>10054</v>
      </c>
      <c r="F4" s="60" t="s">
        <v>10055</v>
      </c>
      <c r="G4" s="60" t="s">
        <v>10051</v>
      </c>
      <c r="H4" s="61" t="str">
        <f>+VLOOKUP(B4,'1A_Aux3'!B:D,2,FALSE)</f>
        <v>2022-12-31</v>
      </c>
      <c r="I4" s="61" t="str">
        <f>+VLOOKUP(B4,'1A_Aux3'!B:D,3,FALSE)</f>
        <v>2023-06-30</v>
      </c>
      <c r="J4" s="63" t="s">
        <v>10086</v>
      </c>
    </row>
    <row r="5" spans="2:10" x14ac:dyDescent="0.25">
      <c r="B5" s="58" t="s">
        <v>196</v>
      </c>
      <c r="C5" s="58" t="s">
        <v>8528</v>
      </c>
      <c r="D5" s="58" t="s">
        <v>8577</v>
      </c>
      <c r="E5" s="58" t="s">
        <v>10056</v>
      </c>
      <c r="F5" s="58" t="s">
        <v>10057</v>
      </c>
      <c r="G5" s="58" t="s">
        <v>10050</v>
      </c>
      <c r="H5" s="59" t="str">
        <f>+VLOOKUP(B5,'1A_Aux3'!B:D,2,FALSE)</f>
        <v>2022-12-31</v>
      </c>
      <c r="I5" s="59" t="str">
        <f>+VLOOKUP(B5,'1A_Aux3'!B:D,3,FALSE)</f>
        <v>2023-06-30</v>
      </c>
      <c r="J5" s="62" t="s">
        <v>10085</v>
      </c>
    </row>
    <row r="6" spans="2:10" x14ac:dyDescent="0.25">
      <c r="B6" s="60" t="s">
        <v>196</v>
      </c>
      <c r="C6" s="60" t="s">
        <v>9090</v>
      </c>
      <c r="D6" s="60" t="s">
        <v>8506</v>
      </c>
      <c r="E6" s="60" t="s">
        <v>10058</v>
      </c>
      <c r="F6" s="60" t="s">
        <v>10059</v>
      </c>
      <c r="G6" s="60" t="s">
        <v>10051</v>
      </c>
      <c r="H6" s="61" t="str">
        <f>+VLOOKUP(B6,'1A_Aux3'!B:D,2,FALSE)</f>
        <v>2022-12-31</v>
      </c>
      <c r="I6" s="61" t="str">
        <f>+VLOOKUP(B6,'1A_Aux3'!B:D,3,FALSE)</f>
        <v>2023-06-30</v>
      </c>
      <c r="J6" s="63" t="s">
        <v>10086</v>
      </c>
    </row>
    <row r="7" spans="2:10" x14ac:dyDescent="0.25">
      <c r="B7" s="58" t="s">
        <v>281</v>
      </c>
      <c r="C7" s="58" t="s">
        <v>8507</v>
      </c>
      <c r="D7" s="58" t="s">
        <v>8506</v>
      </c>
      <c r="E7" s="58" t="s">
        <v>10060</v>
      </c>
      <c r="F7" s="58" t="s">
        <v>10061</v>
      </c>
      <c r="G7" s="58" t="s">
        <v>10050</v>
      </c>
      <c r="H7" s="59" t="str">
        <f>+VLOOKUP(B7,'1A_Aux3'!B:D,2,FALSE)</f>
        <v>2022-12-31</v>
      </c>
      <c r="I7" s="59" t="str">
        <f>+VLOOKUP(B7,'1A_Aux3'!B:D,3,FALSE)</f>
        <v>2023-06-30</v>
      </c>
      <c r="J7" s="62" t="s">
        <v>10085</v>
      </c>
    </row>
    <row r="8" spans="2:10" x14ac:dyDescent="0.25">
      <c r="B8" s="60" t="s">
        <v>281</v>
      </c>
      <c r="C8" s="60" t="s">
        <v>8507</v>
      </c>
      <c r="D8" s="60" t="s">
        <v>8545</v>
      </c>
      <c r="E8" s="60" t="s">
        <v>10062</v>
      </c>
      <c r="F8" s="60" t="s">
        <v>10063</v>
      </c>
      <c r="G8" s="60" t="s">
        <v>10051</v>
      </c>
      <c r="H8" s="61" t="str">
        <f>+VLOOKUP(B8,'1A_Aux3'!B:D,2,FALSE)</f>
        <v>2022-12-31</v>
      </c>
      <c r="I8" s="61" t="str">
        <f>+VLOOKUP(B8,'1A_Aux3'!B:D,3,FALSE)</f>
        <v>2023-06-30</v>
      </c>
      <c r="J8" s="63" t="s">
        <v>10086</v>
      </c>
    </row>
    <row r="9" spans="2:10" x14ac:dyDescent="0.25">
      <c r="B9" s="58" t="s">
        <v>87</v>
      </c>
      <c r="C9" s="58" t="s">
        <v>8507</v>
      </c>
      <c r="D9" s="58" t="s">
        <v>8545</v>
      </c>
      <c r="E9" s="58" t="s">
        <v>10064</v>
      </c>
      <c r="F9" s="58" t="s">
        <v>10065</v>
      </c>
      <c r="G9" s="58" t="s">
        <v>10050</v>
      </c>
      <c r="H9" s="59" t="e">
        <f>+VLOOKUP(B9,'1A_Aux3'!B:D,2,FALSE)</f>
        <v>#N/A</v>
      </c>
      <c r="I9" s="59" t="e">
        <f>+VLOOKUP(B9,'1A_Aux3'!B:D,3,FALSE)</f>
        <v>#N/A</v>
      </c>
      <c r="J9" s="62" t="s">
        <v>10087</v>
      </c>
    </row>
    <row r="10" spans="2:10" x14ac:dyDescent="0.25">
      <c r="B10" s="60" t="s">
        <v>87</v>
      </c>
      <c r="C10" s="60" t="s">
        <v>8507</v>
      </c>
      <c r="D10" s="60" t="s">
        <v>8545</v>
      </c>
      <c r="E10" s="60" t="s">
        <v>10066</v>
      </c>
      <c r="F10" s="60" t="s">
        <v>10067</v>
      </c>
      <c r="G10" s="60" t="s">
        <v>10050</v>
      </c>
      <c r="H10" s="61" t="e">
        <f>+VLOOKUP(B10,'1A_Aux3'!B:D,2,FALSE)</f>
        <v>#N/A</v>
      </c>
      <c r="I10" s="61" t="e">
        <f>+VLOOKUP(B10,'1A_Aux3'!B:D,3,FALSE)</f>
        <v>#N/A</v>
      </c>
      <c r="J10" s="63" t="s">
        <v>10087</v>
      </c>
    </row>
    <row r="11" spans="2:10" x14ac:dyDescent="0.25">
      <c r="B11" s="58" t="s">
        <v>192</v>
      </c>
      <c r="C11" s="58" t="s">
        <v>8528</v>
      </c>
      <c r="D11" s="58" t="s">
        <v>8640</v>
      </c>
      <c r="E11" s="58" t="s">
        <v>10068</v>
      </c>
      <c r="F11" s="58" t="s">
        <v>10069</v>
      </c>
      <c r="G11" s="58" t="s">
        <v>10050</v>
      </c>
      <c r="H11" s="59" t="str">
        <f>+VLOOKUP(B11,'1A_Aux3'!B:D,2,FALSE)</f>
        <v>2022-12-31</v>
      </c>
      <c r="I11" s="59" t="str">
        <f>+VLOOKUP(B11,'1A_Aux3'!B:D,3,FALSE)</f>
        <v>2023-06-30</v>
      </c>
      <c r="J11" s="62" t="s">
        <v>10085</v>
      </c>
    </row>
    <row r="12" spans="2:10" x14ac:dyDescent="0.25">
      <c r="B12" s="60" t="s">
        <v>192</v>
      </c>
      <c r="C12" s="60" t="s">
        <v>9090</v>
      </c>
      <c r="D12" s="60" t="s">
        <v>8545</v>
      </c>
      <c r="E12" s="60" t="s">
        <v>10070</v>
      </c>
      <c r="F12" s="60" t="s">
        <v>10071</v>
      </c>
      <c r="G12" s="60" t="s">
        <v>10051</v>
      </c>
      <c r="H12" s="61" t="str">
        <f>+VLOOKUP(B12,'1A_Aux3'!B:D,2,FALSE)</f>
        <v>2022-12-31</v>
      </c>
      <c r="I12" s="61" t="str">
        <f>+VLOOKUP(B12,'1A_Aux3'!B:D,3,FALSE)</f>
        <v>2023-06-30</v>
      </c>
      <c r="J12" s="63" t="s">
        <v>10086</v>
      </c>
    </row>
    <row r="13" spans="2:10" x14ac:dyDescent="0.25">
      <c r="B13" s="58" t="s">
        <v>216</v>
      </c>
      <c r="C13" s="58" t="s">
        <v>8528</v>
      </c>
      <c r="D13" s="58" t="s">
        <v>8564</v>
      </c>
      <c r="E13" s="58" t="s">
        <v>10072</v>
      </c>
      <c r="F13" s="58" t="s">
        <v>10073</v>
      </c>
      <c r="G13" s="58" t="s">
        <v>10050</v>
      </c>
      <c r="H13" s="59" t="str">
        <f>+VLOOKUP(B13,'1A_Aux3'!B:D,2,FALSE)</f>
        <v>2022-12-31</v>
      </c>
      <c r="I13" s="59" t="str">
        <f>+VLOOKUP(B13,'1A_Aux3'!B:D,3,FALSE)</f>
        <v>2023-06-30</v>
      </c>
      <c r="J13" s="62" t="s">
        <v>10085</v>
      </c>
    </row>
    <row r="14" spans="2:10" x14ac:dyDescent="0.25">
      <c r="B14" s="60" t="s">
        <v>216</v>
      </c>
      <c r="C14" s="60" t="s">
        <v>8528</v>
      </c>
      <c r="D14" s="60" t="s">
        <v>8545</v>
      </c>
      <c r="E14" s="60" t="s">
        <v>10074</v>
      </c>
      <c r="F14" s="60" t="s">
        <v>10075</v>
      </c>
      <c r="G14" s="60" t="s">
        <v>10051</v>
      </c>
      <c r="H14" s="61" t="str">
        <f>+VLOOKUP(B14,'1A_Aux3'!B:D,2,FALSE)</f>
        <v>2022-12-31</v>
      </c>
      <c r="I14" s="61" t="str">
        <f>+VLOOKUP(B14,'1A_Aux3'!B:D,3,FALSE)</f>
        <v>2023-06-30</v>
      </c>
      <c r="J14" s="63" t="s">
        <v>10086</v>
      </c>
    </row>
    <row r="15" spans="2:10" x14ac:dyDescent="0.25">
      <c r="B15" s="58" t="s">
        <v>215</v>
      </c>
      <c r="C15" s="58" t="s">
        <v>8528</v>
      </c>
      <c r="D15" s="58" t="s">
        <v>8545</v>
      </c>
      <c r="E15" s="58" t="s">
        <v>10076</v>
      </c>
      <c r="F15" s="58" t="s">
        <v>10077</v>
      </c>
      <c r="G15" s="58" t="s">
        <v>10050</v>
      </c>
      <c r="H15" s="59" t="str">
        <f>+VLOOKUP(B15,'1A_Aux3'!B:D,2,FALSE)</f>
        <v>2022-12-31</v>
      </c>
      <c r="I15" s="59" t="str">
        <f>+VLOOKUP(B15,'1A_Aux3'!B:D,3,FALSE)</f>
        <v>2023-06-30</v>
      </c>
      <c r="J15" s="62" t="s">
        <v>10085</v>
      </c>
    </row>
    <row r="16" spans="2:10" x14ac:dyDescent="0.25">
      <c r="B16" s="60" t="s">
        <v>215</v>
      </c>
      <c r="C16" s="60" t="s">
        <v>9090</v>
      </c>
      <c r="D16" s="60" t="s">
        <v>8545</v>
      </c>
      <c r="E16" s="60" t="s">
        <v>10076</v>
      </c>
      <c r="F16" s="60" t="s">
        <v>10077</v>
      </c>
      <c r="G16" s="60" t="s">
        <v>10051</v>
      </c>
      <c r="H16" s="61" t="str">
        <f>+VLOOKUP(B16,'1A_Aux3'!B:D,2,FALSE)</f>
        <v>2022-12-31</v>
      </c>
      <c r="I16" s="61" t="str">
        <f>+VLOOKUP(B16,'1A_Aux3'!B:D,3,FALSE)</f>
        <v>2023-06-30</v>
      </c>
      <c r="J16" s="63" t="s">
        <v>10086</v>
      </c>
    </row>
    <row r="17" x14ac:dyDescent="0.25"/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224"/>
  <sheetViews>
    <sheetView showGridLines="0" workbookViewId="0">
      <selection activeCell="F29" sqref="F29"/>
    </sheetView>
  </sheetViews>
  <sheetFormatPr defaultColWidth="0" defaultRowHeight="15" zeroHeight="1" x14ac:dyDescent="0.25"/>
  <cols>
    <col min="1" max="1" width="3.7109375" customWidth="1"/>
    <col min="2" max="2" width="12.5703125" bestFit="1" customWidth="1"/>
    <col min="3" max="3" width="19.28515625" bestFit="1" customWidth="1"/>
    <col min="4" max="4" width="24.85546875" bestFit="1" customWidth="1"/>
    <col min="5" max="5" width="24" bestFit="1" customWidth="1"/>
    <col min="6" max="6" width="27.42578125" bestFit="1" customWidth="1"/>
    <col min="7" max="7" width="73.28515625" customWidth="1"/>
    <col min="8" max="8" width="3.7109375" customWidth="1"/>
    <col min="9" max="14" width="0" hidden="1" customWidth="1"/>
    <col min="15" max="16384" width="9.140625" hidden="1"/>
  </cols>
  <sheetData>
    <row r="1" spans="2:7" x14ac:dyDescent="0.25"/>
    <row r="2" spans="2:7" x14ac:dyDescent="0.25">
      <c r="B2" s="45" t="s">
        <v>11312</v>
      </c>
      <c r="C2" s="45" t="s">
        <v>11313</v>
      </c>
      <c r="D2" s="45" t="s">
        <v>11314</v>
      </c>
      <c r="E2" s="45" t="s">
        <v>11315</v>
      </c>
      <c r="F2" s="45" t="s">
        <v>11316</v>
      </c>
      <c r="G2" s="45" t="s">
        <v>178</v>
      </c>
    </row>
    <row r="3" spans="2:7" x14ac:dyDescent="0.25">
      <c r="B3" s="33" t="s">
        <v>296</v>
      </c>
      <c r="C3" s="33" t="s">
        <v>302</v>
      </c>
      <c r="D3" s="33" t="s">
        <v>11309</v>
      </c>
      <c r="E3" s="33" t="s">
        <v>302</v>
      </c>
      <c r="F3" s="33" t="s">
        <v>302</v>
      </c>
      <c r="G3" s="33" t="s">
        <v>11424</v>
      </c>
    </row>
    <row r="4" spans="2:7" x14ac:dyDescent="0.25">
      <c r="B4" s="33" t="s">
        <v>292</v>
      </c>
      <c r="C4" s="33" t="s">
        <v>302</v>
      </c>
      <c r="D4" s="33" t="s">
        <v>11309</v>
      </c>
      <c r="E4" s="33" t="s">
        <v>302</v>
      </c>
      <c r="F4" s="33" t="s">
        <v>302</v>
      </c>
      <c r="G4" s="33" t="s">
        <v>1051</v>
      </c>
    </row>
    <row r="5" spans="2:7" x14ac:dyDescent="0.25">
      <c r="B5" s="33" t="s">
        <v>292</v>
      </c>
      <c r="C5" s="33" t="s">
        <v>302</v>
      </c>
      <c r="D5" s="33" t="s">
        <v>10227</v>
      </c>
      <c r="E5" s="33" t="s">
        <v>302</v>
      </c>
      <c r="F5" s="33" t="s">
        <v>302</v>
      </c>
      <c r="G5" s="33" t="s">
        <v>1251</v>
      </c>
    </row>
    <row r="6" spans="2:7" x14ac:dyDescent="0.25">
      <c r="B6" s="33" t="s">
        <v>292</v>
      </c>
      <c r="C6" s="33" t="s">
        <v>302</v>
      </c>
      <c r="D6" s="33" t="s">
        <v>10234</v>
      </c>
      <c r="E6" s="33" t="s">
        <v>302</v>
      </c>
      <c r="F6" s="33" t="s">
        <v>302</v>
      </c>
      <c r="G6" s="33" t="s">
        <v>1142</v>
      </c>
    </row>
    <row r="7" spans="2:7" x14ac:dyDescent="0.25">
      <c r="B7" s="33" t="s">
        <v>292</v>
      </c>
      <c r="C7" s="33" t="s">
        <v>302</v>
      </c>
      <c r="D7" s="33" t="s">
        <v>9776</v>
      </c>
      <c r="E7" s="33" t="s">
        <v>302</v>
      </c>
      <c r="F7" s="33" t="s">
        <v>302</v>
      </c>
      <c r="G7" s="33" t="s">
        <v>814</v>
      </c>
    </row>
    <row r="8" spans="2:7" x14ac:dyDescent="0.25">
      <c r="B8" s="33" t="s">
        <v>292</v>
      </c>
      <c r="C8" s="33" t="s">
        <v>302</v>
      </c>
      <c r="D8" s="33" t="s">
        <v>10821</v>
      </c>
      <c r="E8" s="33" t="s">
        <v>302</v>
      </c>
      <c r="F8" s="33" t="s">
        <v>302</v>
      </c>
      <c r="G8" s="33" t="s">
        <v>306</v>
      </c>
    </row>
    <row r="9" spans="2:7" x14ac:dyDescent="0.25">
      <c r="B9" s="33" t="s">
        <v>292</v>
      </c>
      <c r="C9" s="33" t="s">
        <v>302</v>
      </c>
      <c r="D9" s="33" t="s">
        <v>11085</v>
      </c>
      <c r="E9" s="33" t="s">
        <v>302</v>
      </c>
      <c r="F9" s="33" t="s">
        <v>302</v>
      </c>
      <c r="G9" s="33" t="s">
        <v>706</v>
      </c>
    </row>
    <row r="10" spans="2:7" x14ac:dyDescent="0.25">
      <c r="B10" s="33" t="s">
        <v>292</v>
      </c>
      <c r="C10" s="33" t="s">
        <v>302</v>
      </c>
      <c r="D10" s="33" t="s">
        <v>11280</v>
      </c>
      <c r="E10" s="33" t="s">
        <v>302</v>
      </c>
      <c r="F10" s="33" t="s">
        <v>302</v>
      </c>
      <c r="G10" s="33" t="s">
        <v>1200</v>
      </c>
    </row>
    <row r="11" spans="2:7" x14ac:dyDescent="0.25">
      <c r="B11" s="33" t="s">
        <v>292</v>
      </c>
      <c r="C11" s="33" t="s">
        <v>302</v>
      </c>
      <c r="D11" s="33" t="s">
        <v>11281</v>
      </c>
      <c r="E11" s="33" t="s">
        <v>302</v>
      </c>
      <c r="F11" s="33" t="s">
        <v>302</v>
      </c>
      <c r="G11" s="33" t="s">
        <v>1123</v>
      </c>
    </row>
    <row r="12" spans="2:7" x14ac:dyDescent="0.25">
      <c r="B12" s="33" t="s">
        <v>292</v>
      </c>
      <c r="C12" s="33" t="s">
        <v>302</v>
      </c>
      <c r="D12" s="33" t="s">
        <v>11284</v>
      </c>
      <c r="E12" s="33" t="s">
        <v>302</v>
      </c>
      <c r="F12" s="33" t="s">
        <v>302</v>
      </c>
      <c r="G12" s="33" t="s">
        <v>692</v>
      </c>
    </row>
    <row r="13" spans="2:7" x14ac:dyDescent="0.25">
      <c r="B13" s="33" t="s">
        <v>292</v>
      </c>
      <c r="C13" s="33" t="s">
        <v>302</v>
      </c>
      <c r="D13" s="33" t="s">
        <v>11286</v>
      </c>
      <c r="E13" s="33" t="s">
        <v>302</v>
      </c>
      <c r="F13" s="33" t="s">
        <v>302</v>
      </c>
      <c r="G13" s="33" t="s">
        <v>1209</v>
      </c>
    </row>
    <row r="14" spans="2:7" x14ac:dyDescent="0.25">
      <c r="B14" s="33" t="s">
        <v>292</v>
      </c>
      <c r="C14" s="33" t="s">
        <v>302</v>
      </c>
      <c r="D14" s="33" t="s">
        <v>11288</v>
      </c>
      <c r="E14" s="33" t="s">
        <v>302</v>
      </c>
      <c r="F14" s="33" t="s">
        <v>302</v>
      </c>
      <c r="G14" s="33" t="s">
        <v>622</v>
      </c>
    </row>
    <row r="15" spans="2:7" x14ac:dyDescent="0.25">
      <c r="B15" s="33" t="s">
        <v>292</v>
      </c>
      <c r="C15" s="33" t="s">
        <v>302</v>
      </c>
      <c r="D15" s="33" t="s">
        <v>11290</v>
      </c>
      <c r="E15" s="33" t="s">
        <v>302</v>
      </c>
      <c r="F15" s="33" t="s">
        <v>302</v>
      </c>
      <c r="G15" s="33" t="s">
        <v>792</v>
      </c>
    </row>
    <row r="16" spans="2:7" x14ac:dyDescent="0.25">
      <c r="B16" s="33" t="s">
        <v>292</v>
      </c>
      <c r="C16" s="33" t="s">
        <v>302</v>
      </c>
      <c r="D16" s="33" t="s">
        <v>11291</v>
      </c>
      <c r="E16" s="33" t="s">
        <v>302</v>
      </c>
      <c r="F16" s="33" t="s">
        <v>302</v>
      </c>
      <c r="G16" s="33" t="s">
        <v>1023</v>
      </c>
    </row>
    <row r="17" spans="2:7" x14ac:dyDescent="0.25">
      <c r="B17" s="33" t="s">
        <v>292</v>
      </c>
      <c r="C17" s="33" t="s">
        <v>302</v>
      </c>
      <c r="D17" s="33" t="s">
        <v>11292</v>
      </c>
      <c r="E17" s="33" t="s">
        <v>302</v>
      </c>
      <c r="F17" s="33" t="s">
        <v>302</v>
      </c>
      <c r="G17" s="33" t="s">
        <v>509</v>
      </c>
    </row>
    <row r="18" spans="2:7" x14ac:dyDescent="0.25">
      <c r="B18" s="33" t="s">
        <v>292</v>
      </c>
      <c r="C18" s="33" t="s">
        <v>302</v>
      </c>
      <c r="D18" s="33" t="s">
        <v>11293</v>
      </c>
      <c r="E18" s="33" t="s">
        <v>302</v>
      </c>
      <c r="F18" s="33" t="s">
        <v>302</v>
      </c>
      <c r="G18" s="33" t="s">
        <v>1318</v>
      </c>
    </row>
    <row r="19" spans="2:7" x14ac:dyDescent="0.25">
      <c r="B19" s="33" t="s">
        <v>292</v>
      </c>
      <c r="C19" s="33" t="s">
        <v>302</v>
      </c>
      <c r="D19" s="33" t="s">
        <v>11294</v>
      </c>
      <c r="E19" s="33" t="s">
        <v>302</v>
      </c>
      <c r="F19" s="33" t="s">
        <v>302</v>
      </c>
      <c r="G19" s="33" t="s">
        <v>450</v>
      </c>
    </row>
    <row r="20" spans="2:7" x14ac:dyDescent="0.25">
      <c r="B20" s="33" t="s">
        <v>292</v>
      </c>
      <c r="C20" s="33" t="s">
        <v>302</v>
      </c>
      <c r="D20" s="33" t="s">
        <v>11295</v>
      </c>
      <c r="E20" s="33" t="s">
        <v>302</v>
      </c>
      <c r="F20" s="33" t="s">
        <v>302</v>
      </c>
      <c r="G20" s="33" t="s">
        <v>889</v>
      </c>
    </row>
    <row r="21" spans="2:7" x14ac:dyDescent="0.25">
      <c r="B21" s="33" t="s">
        <v>292</v>
      </c>
      <c r="C21" s="33" t="s">
        <v>302</v>
      </c>
      <c r="D21" s="33" t="s">
        <v>11304</v>
      </c>
      <c r="E21" s="33" t="s">
        <v>302</v>
      </c>
      <c r="F21" s="33" t="s">
        <v>302</v>
      </c>
      <c r="G21" s="33" t="s">
        <v>911</v>
      </c>
    </row>
    <row r="22" spans="2:7" x14ac:dyDescent="0.25">
      <c r="B22" s="33" t="s">
        <v>294</v>
      </c>
      <c r="C22" s="33" t="s">
        <v>302</v>
      </c>
      <c r="D22" s="33" t="s">
        <v>1421</v>
      </c>
      <c r="E22" s="33" t="s">
        <v>302</v>
      </c>
      <c r="F22" s="33" t="s">
        <v>302</v>
      </c>
      <c r="G22" s="33" t="s">
        <v>225</v>
      </c>
    </row>
    <row r="23" spans="2:7" x14ac:dyDescent="0.25">
      <c r="B23" s="33" t="s">
        <v>293</v>
      </c>
      <c r="C23" s="33" t="s">
        <v>302</v>
      </c>
      <c r="D23" s="33" t="s">
        <v>1421</v>
      </c>
      <c r="E23" s="33" t="s">
        <v>302</v>
      </c>
      <c r="F23" s="33" t="s">
        <v>302</v>
      </c>
      <c r="G23" s="33" t="s">
        <v>225</v>
      </c>
    </row>
    <row r="24" spans="2:7" x14ac:dyDescent="0.25">
      <c r="B24" s="33" t="s">
        <v>292</v>
      </c>
      <c r="C24" s="33" t="s">
        <v>302</v>
      </c>
      <c r="D24" s="33" t="s">
        <v>10193</v>
      </c>
      <c r="E24" s="33" t="s">
        <v>302</v>
      </c>
      <c r="F24" s="33" t="s">
        <v>302</v>
      </c>
      <c r="G24" s="33" t="s">
        <v>1026</v>
      </c>
    </row>
    <row r="25" spans="2:7" x14ac:dyDescent="0.25">
      <c r="B25" s="33" t="s">
        <v>292</v>
      </c>
      <c r="C25" s="33" t="s">
        <v>302</v>
      </c>
      <c r="D25" s="33" t="s">
        <v>10194</v>
      </c>
      <c r="E25" s="33" t="s">
        <v>302</v>
      </c>
      <c r="F25" s="33" t="s">
        <v>302</v>
      </c>
      <c r="G25" s="33" t="s">
        <v>956</v>
      </c>
    </row>
    <row r="26" spans="2:7" x14ac:dyDescent="0.25">
      <c r="B26" s="33" t="s">
        <v>292</v>
      </c>
      <c r="C26" s="33" t="s">
        <v>302</v>
      </c>
      <c r="D26" s="33" t="s">
        <v>10195</v>
      </c>
      <c r="E26" s="33" t="s">
        <v>302</v>
      </c>
      <c r="F26" s="33" t="s">
        <v>302</v>
      </c>
      <c r="G26" s="33" t="s">
        <v>920</v>
      </c>
    </row>
    <row r="27" spans="2:7" x14ac:dyDescent="0.25">
      <c r="B27" s="33" t="s">
        <v>292</v>
      </c>
      <c r="C27" s="33" t="s">
        <v>302</v>
      </c>
      <c r="D27" s="33" t="s">
        <v>10196</v>
      </c>
      <c r="E27" s="33" t="s">
        <v>302</v>
      </c>
      <c r="F27" s="33" t="s">
        <v>302</v>
      </c>
      <c r="G27" s="33" t="s">
        <v>1102</v>
      </c>
    </row>
    <row r="28" spans="2:7" x14ac:dyDescent="0.25">
      <c r="B28" s="33" t="s">
        <v>292</v>
      </c>
      <c r="C28" s="33" t="s">
        <v>302</v>
      </c>
      <c r="D28" s="33" t="s">
        <v>10197</v>
      </c>
      <c r="E28" s="33" t="s">
        <v>302</v>
      </c>
      <c r="F28" s="33" t="s">
        <v>302</v>
      </c>
      <c r="G28" s="33" t="s">
        <v>1289</v>
      </c>
    </row>
    <row r="29" spans="2:7" x14ac:dyDescent="0.25">
      <c r="B29" s="33" t="s">
        <v>292</v>
      </c>
      <c r="C29" s="33" t="s">
        <v>302</v>
      </c>
      <c r="D29" s="33" t="s">
        <v>10198</v>
      </c>
      <c r="E29" s="33" t="s">
        <v>302</v>
      </c>
      <c r="F29" s="33" t="s">
        <v>302</v>
      </c>
      <c r="G29" s="33" t="s">
        <v>413</v>
      </c>
    </row>
    <row r="30" spans="2:7" x14ac:dyDescent="0.25">
      <c r="B30" s="33" t="s">
        <v>292</v>
      </c>
      <c r="C30" s="33" t="s">
        <v>302</v>
      </c>
      <c r="D30" s="33" t="s">
        <v>10199</v>
      </c>
      <c r="E30" s="33" t="s">
        <v>302</v>
      </c>
      <c r="F30" s="33" t="s">
        <v>302</v>
      </c>
      <c r="G30" s="33" t="s">
        <v>349</v>
      </c>
    </row>
    <row r="31" spans="2:7" x14ac:dyDescent="0.25">
      <c r="B31" s="33" t="s">
        <v>292</v>
      </c>
      <c r="C31" s="33" t="s">
        <v>302</v>
      </c>
      <c r="D31" s="33" t="s">
        <v>10200</v>
      </c>
      <c r="E31" s="33" t="s">
        <v>302</v>
      </c>
      <c r="F31" s="33" t="s">
        <v>302</v>
      </c>
      <c r="G31" s="33" t="s">
        <v>313</v>
      </c>
    </row>
    <row r="32" spans="2:7" x14ac:dyDescent="0.25">
      <c r="B32" s="33" t="s">
        <v>292</v>
      </c>
      <c r="C32" s="33" t="s">
        <v>302</v>
      </c>
      <c r="D32" s="33" t="s">
        <v>10201</v>
      </c>
      <c r="E32" s="33" t="s">
        <v>302</v>
      </c>
      <c r="F32" s="33" t="s">
        <v>302</v>
      </c>
      <c r="G32" s="33" t="s">
        <v>453</v>
      </c>
    </row>
    <row r="33" spans="2:7" x14ac:dyDescent="0.25">
      <c r="B33" s="33" t="s">
        <v>292</v>
      </c>
      <c r="C33" s="33" t="s">
        <v>302</v>
      </c>
      <c r="D33" s="33" t="s">
        <v>10202</v>
      </c>
      <c r="E33" s="33" t="s">
        <v>302</v>
      </c>
      <c r="F33" s="33" t="s">
        <v>302</v>
      </c>
      <c r="G33" s="33" t="s">
        <v>626</v>
      </c>
    </row>
    <row r="34" spans="2:7" x14ac:dyDescent="0.25">
      <c r="B34" s="33" t="s">
        <v>292</v>
      </c>
      <c r="C34" s="33" t="s">
        <v>302</v>
      </c>
      <c r="D34" s="33" t="s">
        <v>10203</v>
      </c>
      <c r="E34" s="33" t="s">
        <v>302</v>
      </c>
      <c r="F34" s="33" t="s">
        <v>302</v>
      </c>
      <c r="G34" s="33" t="s">
        <v>873</v>
      </c>
    </row>
    <row r="35" spans="2:7" x14ac:dyDescent="0.25">
      <c r="B35" s="33" t="s">
        <v>292</v>
      </c>
      <c r="C35" s="33" t="s">
        <v>302</v>
      </c>
      <c r="D35" s="33" t="s">
        <v>10204</v>
      </c>
      <c r="E35" s="33" t="s">
        <v>302</v>
      </c>
      <c r="F35" s="33" t="s">
        <v>302</v>
      </c>
      <c r="G35" s="33" t="s">
        <v>985</v>
      </c>
    </row>
    <row r="36" spans="2:7" x14ac:dyDescent="0.25">
      <c r="B36" s="33" t="s">
        <v>292</v>
      </c>
      <c r="C36" s="33" t="s">
        <v>302</v>
      </c>
      <c r="D36" s="33" t="s">
        <v>10205</v>
      </c>
      <c r="E36" s="33" t="s">
        <v>302</v>
      </c>
      <c r="F36" s="33" t="s">
        <v>302</v>
      </c>
      <c r="G36" s="33" t="s">
        <v>1008</v>
      </c>
    </row>
    <row r="37" spans="2:7" x14ac:dyDescent="0.25">
      <c r="B37" s="33" t="s">
        <v>292</v>
      </c>
      <c r="C37" s="33" t="s">
        <v>302</v>
      </c>
      <c r="D37" s="33" t="s">
        <v>10206</v>
      </c>
      <c r="E37" s="33" t="s">
        <v>302</v>
      </c>
      <c r="F37" s="33" t="s">
        <v>302</v>
      </c>
      <c r="G37" s="33" t="s">
        <v>925</v>
      </c>
    </row>
    <row r="38" spans="2:7" x14ac:dyDescent="0.25">
      <c r="B38" s="33" t="s">
        <v>292</v>
      </c>
      <c r="C38" s="33" t="s">
        <v>302</v>
      </c>
      <c r="D38" s="33" t="s">
        <v>10207</v>
      </c>
      <c r="E38" s="33" t="s">
        <v>302</v>
      </c>
      <c r="F38" s="33" t="s">
        <v>302</v>
      </c>
      <c r="G38" s="33" t="s">
        <v>437</v>
      </c>
    </row>
    <row r="39" spans="2:7" x14ac:dyDescent="0.25">
      <c r="B39" s="33" t="s">
        <v>292</v>
      </c>
      <c r="C39" s="33" t="s">
        <v>302</v>
      </c>
      <c r="D39" s="33" t="s">
        <v>10208</v>
      </c>
      <c r="E39" s="33" t="s">
        <v>302</v>
      </c>
      <c r="F39" s="33" t="s">
        <v>302</v>
      </c>
      <c r="G39" s="33" t="s">
        <v>417</v>
      </c>
    </row>
    <row r="40" spans="2:7" x14ac:dyDescent="0.25">
      <c r="B40" s="33" t="s">
        <v>292</v>
      </c>
      <c r="C40" s="33" t="s">
        <v>302</v>
      </c>
      <c r="D40" s="33" t="s">
        <v>10209</v>
      </c>
      <c r="E40" s="33" t="s">
        <v>302</v>
      </c>
      <c r="F40" s="33" t="s">
        <v>302</v>
      </c>
      <c r="G40" s="33" t="s">
        <v>869</v>
      </c>
    </row>
    <row r="41" spans="2:7" x14ac:dyDescent="0.25">
      <c r="B41" s="33" t="s">
        <v>292</v>
      </c>
      <c r="C41" s="33" t="s">
        <v>302</v>
      </c>
      <c r="D41" s="33" t="s">
        <v>10210</v>
      </c>
      <c r="E41" s="33" t="s">
        <v>302</v>
      </c>
      <c r="F41" s="33" t="s">
        <v>302</v>
      </c>
      <c r="G41" s="33" t="s">
        <v>976</v>
      </c>
    </row>
    <row r="42" spans="2:7" x14ac:dyDescent="0.25">
      <c r="B42" s="33" t="s">
        <v>292</v>
      </c>
      <c r="C42" s="33" t="s">
        <v>302</v>
      </c>
      <c r="D42" s="33" t="s">
        <v>10211</v>
      </c>
      <c r="E42" s="33" t="s">
        <v>302</v>
      </c>
      <c r="F42" s="33" t="s">
        <v>302</v>
      </c>
      <c r="G42" s="33" t="s">
        <v>1178</v>
      </c>
    </row>
    <row r="43" spans="2:7" x14ac:dyDescent="0.25">
      <c r="B43" s="33" t="s">
        <v>292</v>
      </c>
      <c r="C43" s="33" t="s">
        <v>302</v>
      </c>
      <c r="D43" s="33" t="s">
        <v>10212</v>
      </c>
      <c r="E43" s="33" t="s">
        <v>302</v>
      </c>
      <c r="F43" s="33" t="s">
        <v>302</v>
      </c>
      <c r="G43" s="33" t="s">
        <v>678</v>
      </c>
    </row>
    <row r="44" spans="2:7" x14ac:dyDescent="0.25">
      <c r="B44" s="33" t="s">
        <v>292</v>
      </c>
      <c r="C44" s="33" t="s">
        <v>302</v>
      </c>
      <c r="D44" s="33" t="s">
        <v>10213</v>
      </c>
      <c r="E44" s="33" t="s">
        <v>302</v>
      </c>
      <c r="F44" s="33" t="s">
        <v>302</v>
      </c>
      <c r="G44" s="33" t="s">
        <v>1236</v>
      </c>
    </row>
    <row r="45" spans="2:7" x14ac:dyDescent="0.25">
      <c r="B45" s="33" t="s">
        <v>292</v>
      </c>
      <c r="C45" s="33" t="s">
        <v>302</v>
      </c>
      <c r="D45" s="33" t="s">
        <v>10214</v>
      </c>
      <c r="E45" s="33" t="s">
        <v>302</v>
      </c>
      <c r="F45" s="33" t="s">
        <v>302</v>
      </c>
      <c r="G45" s="33" t="s">
        <v>1080</v>
      </c>
    </row>
    <row r="46" spans="2:7" x14ac:dyDescent="0.25">
      <c r="B46" s="33" t="s">
        <v>292</v>
      </c>
      <c r="C46" s="33" t="s">
        <v>302</v>
      </c>
      <c r="D46" s="33" t="s">
        <v>10215</v>
      </c>
      <c r="E46" s="33" t="s">
        <v>302</v>
      </c>
      <c r="F46" s="33" t="s">
        <v>302</v>
      </c>
      <c r="G46" s="33" t="s">
        <v>927</v>
      </c>
    </row>
    <row r="47" spans="2:7" x14ac:dyDescent="0.25">
      <c r="B47" s="33" t="s">
        <v>292</v>
      </c>
      <c r="C47" s="33" t="s">
        <v>302</v>
      </c>
      <c r="D47" s="33" t="s">
        <v>10216</v>
      </c>
      <c r="E47" s="33" t="s">
        <v>302</v>
      </c>
      <c r="F47" s="33" t="s">
        <v>302</v>
      </c>
      <c r="G47" s="33" t="s">
        <v>348</v>
      </c>
    </row>
    <row r="48" spans="2:7" x14ac:dyDescent="0.25">
      <c r="B48" s="33" t="s">
        <v>292</v>
      </c>
      <c r="C48" s="33" t="s">
        <v>302</v>
      </c>
      <c r="D48" s="33" t="s">
        <v>10217</v>
      </c>
      <c r="E48" s="33" t="s">
        <v>302</v>
      </c>
      <c r="F48" s="33" t="s">
        <v>302</v>
      </c>
      <c r="G48" s="33" t="s">
        <v>1159</v>
      </c>
    </row>
    <row r="49" spans="2:7" x14ac:dyDescent="0.25">
      <c r="B49" s="33" t="s">
        <v>292</v>
      </c>
      <c r="C49" s="33" t="s">
        <v>302</v>
      </c>
      <c r="D49" s="33" t="s">
        <v>10218</v>
      </c>
      <c r="E49" s="33" t="s">
        <v>302</v>
      </c>
      <c r="F49" s="33" t="s">
        <v>302</v>
      </c>
      <c r="G49" s="33" t="s">
        <v>1022</v>
      </c>
    </row>
    <row r="50" spans="2:7" x14ac:dyDescent="0.25">
      <c r="B50" s="33" t="s">
        <v>292</v>
      </c>
      <c r="C50" s="33" t="s">
        <v>302</v>
      </c>
      <c r="D50" s="33" t="s">
        <v>10219</v>
      </c>
      <c r="E50" s="33" t="s">
        <v>302</v>
      </c>
      <c r="F50" s="33" t="s">
        <v>302</v>
      </c>
      <c r="G50" s="33" t="s">
        <v>838</v>
      </c>
    </row>
    <row r="51" spans="2:7" x14ac:dyDescent="0.25">
      <c r="B51" s="33" t="s">
        <v>292</v>
      </c>
      <c r="C51" s="33" t="s">
        <v>302</v>
      </c>
      <c r="D51" s="33" t="s">
        <v>10220</v>
      </c>
      <c r="E51" s="33" t="s">
        <v>302</v>
      </c>
      <c r="F51" s="33" t="s">
        <v>302</v>
      </c>
      <c r="G51" s="33" t="s">
        <v>818</v>
      </c>
    </row>
    <row r="52" spans="2:7" x14ac:dyDescent="0.25">
      <c r="B52" s="33" t="s">
        <v>292</v>
      </c>
      <c r="C52" s="33" t="s">
        <v>302</v>
      </c>
      <c r="D52" s="33" t="s">
        <v>10221</v>
      </c>
      <c r="E52" s="33" t="s">
        <v>302</v>
      </c>
      <c r="F52" s="33" t="s">
        <v>302</v>
      </c>
      <c r="G52" s="33" t="s">
        <v>876</v>
      </c>
    </row>
    <row r="53" spans="2:7" x14ac:dyDescent="0.25">
      <c r="B53" s="33" t="s">
        <v>292</v>
      </c>
      <c r="C53" s="33" t="s">
        <v>302</v>
      </c>
      <c r="D53" s="33" t="s">
        <v>10222</v>
      </c>
      <c r="E53" s="33" t="s">
        <v>302</v>
      </c>
      <c r="F53" s="33" t="s">
        <v>302</v>
      </c>
      <c r="G53" s="33" t="s">
        <v>1220</v>
      </c>
    </row>
    <row r="54" spans="2:7" x14ac:dyDescent="0.25">
      <c r="B54" s="33" t="s">
        <v>292</v>
      </c>
      <c r="C54" s="33" t="s">
        <v>302</v>
      </c>
      <c r="D54" s="33" t="s">
        <v>10223</v>
      </c>
      <c r="E54" s="33" t="s">
        <v>302</v>
      </c>
      <c r="F54" s="33" t="s">
        <v>302</v>
      </c>
      <c r="G54" s="33" t="s">
        <v>438</v>
      </c>
    </row>
    <row r="55" spans="2:7" x14ac:dyDescent="0.25">
      <c r="B55" s="33" t="s">
        <v>292</v>
      </c>
      <c r="C55" s="33" t="s">
        <v>302</v>
      </c>
      <c r="D55" s="33" t="s">
        <v>10224</v>
      </c>
      <c r="E55" s="33" t="s">
        <v>302</v>
      </c>
      <c r="F55" s="33" t="s">
        <v>302</v>
      </c>
      <c r="G55" s="33" t="s">
        <v>1101</v>
      </c>
    </row>
    <row r="56" spans="2:7" x14ac:dyDescent="0.25">
      <c r="B56" s="33" t="s">
        <v>292</v>
      </c>
      <c r="C56" s="33" t="s">
        <v>302</v>
      </c>
      <c r="D56" s="33" t="s">
        <v>10225</v>
      </c>
      <c r="E56" s="33" t="s">
        <v>302</v>
      </c>
      <c r="F56" s="33" t="s">
        <v>302</v>
      </c>
      <c r="G56" s="33" t="s">
        <v>1121</v>
      </c>
    </row>
    <row r="57" spans="2:7" x14ac:dyDescent="0.25">
      <c r="B57" s="33" t="s">
        <v>292</v>
      </c>
      <c r="C57" s="33" t="s">
        <v>302</v>
      </c>
      <c r="D57" s="33" t="s">
        <v>10226</v>
      </c>
      <c r="E57" s="33" t="s">
        <v>302</v>
      </c>
      <c r="F57" s="33" t="s">
        <v>302</v>
      </c>
      <c r="G57" s="33" t="s">
        <v>963</v>
      </c>
    </row>
    <row r="58" spans="2:7" x14ac:dyDescent="0.25">
      <c r="B58" s="33" t="s">
        <v>292</v>
      </c>
      <c r="C58" s="33" t="s">
        <v>302</v>
      </c>
      <c r="D58" s="33" t="s">
        <v>10228</v>
      </c>
      <c r="E58" s="33" t="s">
        <v>302</v>
      </c>
      <c r="F58" s="33" t="s">
        <v>302</v>
      </c>
      <c r="G58" s="33" t="s">
        <v>785</v>
      </c>
    </row>
    <row r="59" spans="2:7" x14ac:dyDescent="0.25">
      <c r="B59" s="33" t="s">
        <v>292</v>
      </c>
      <c r="C59" s="33" t="s">
        <v>302</v>
      </c>
      <c r="D59" s="33" t="s">
        <v>10229</v>
      </c>
      <c r="E59" s="33" t="s">
        <v>302</v>
      </c>
      <c r="F59" s="33" t="s">
        <v>302</v>
      </c>
      <c r="G59" s="33" t="s">
        <v>727</v>
      </c>
    </row>
    <row r="60" spans="2:7" x14ac:dyDescent="0.25">
      <c r="B60" s="33" t="s">
        <v>292</v>
      </c>
      <c r="C60" s="33" t="s">
        <v>302</v>
      </c>
      <c r="D60" s="33" t="s">
        <v>10230</v>
      </c>
      <c r="E60" s="33" t="s">
        <v>302</v>
      </c>
      <c r="F60" s="33" t="s">
        <v>302</v>
      </c>
      <c r="G60" s="33" t="s">
        <v>602</v>
      </c>
    </row>
    <row r="61" spans="2:7" x14ac:dyDescent="0.25">
      <c r="B61" s="33" t="s">
        <v>292</v>
      </c>
      <c r="C61" s="33" t="s">
        <v>302</v>
      </c>
      <c r="D61" s="33" t="s">
        <v>10231</v>
      </c>
      <c r="E61" s="33" t="s">
        <v>302</v>
      </c>
      <c r="F61" s="33" t="s">
        <v>302</v>
      </c>
      <c r="G61" s="33" t="s">
        <v>314</v>
      </c>
    </row>
    <row r="62" spans="2:7" x14ac:dyDescent="0.25">
      <c r="B62" s="33" t="s">
        <v>292</v>
      </c>
      <c r="C62" s="33" t="s">
        <v>302</v>
      </c>
      <c r="D62" s="33" t="s">
        <v>10232</v>
      </c>
      <c r="E62" s="33" t="s">
        <v>302</v>
      </c>
      <c r="F62" s="33" t="s">
        <v>302</v>
      </c>
      <c r="G62" s="33" t="s">
        <v>539</v>
      </c>
    </row>
    <row r="63" spans="2:7" x14ac:dyDescent="0.25">
      <c r="B63" s="33" t="s">
        <v>292</v>
      </c>
      <c r="C63" s="33" t="s">
        <v>302</v>
      </c>
      <c r="D63" s="33" t="s">
        <v>10233</v>
      </c>
      <c r="E63" s="33" t="s">
        <v>302</v>
      </c>
      <c r="F63" s="33" t="s">
        <v>302</v>
      </c>
      <c r="G63" s="33" t="s">
        <v>1261</v>
      </c>
    </row>
    <row r="64" spans="2:7" x14ac:dyDescent="0.25">
      <c r="B64" s="33" t="s">
        <v>292</v>
      </c>
      <c r="C64" s="33" t="s">
        <v>302</v>
      </c>
      <c r="D64" s="33" t="s">
        <v>10235</v>
      </c>
      <c r="E64" s="33" t="s">
        <v>302</v>
      </c>
      <c r="F64" s="33" t="s">
        <v>302</v>
      </c>
      <c r="G64" s="33" t="s">
        <v>1225</v>
      </c>
    </row>
    <row r="65" spans="2:7" x14ac:dyDescent="0.25">
      <c r="B65" s="33" t="s">
        <v>292</v>
      </c>
      <c r="C65" s="33" t="s">
        <v>302</v>
      </c>
      <c r="D65" s="33" t="s">
        <v>10236</v>
      </c>
      <c r="E65" s="33" t="s">
        <v>302</v>
      </c>
      <c r="F65" s="33" t="s">
        <v>302</v>
      </c>
      <c r="G65" s="33" t="s">
        <v>617</v>
      </c>
    </row>
    <row r="66" spans="2:7" x14ac:dyDescent="0.25">
      <c r="B66" s="33" t="s">
        <v>292</v>
      </c>
      <c r="C66" s="33" t="s">
        <v>302</v>
      </c>
      <c r="D66" s="33" t="s">
        <v>10237</v>
      </c>
      <c r="E66" s="33" t="s">
        <v>302</v>
      </c>
      <c r="F66" s="33" t="s">
        <v>302</v>
      </c>
      <c r="G66" s="33" t="s">
        <v>799</v>
      </c>
    </row>
    <row r="67" spans="2:7" x14ac:dyDescent="0.25">
      <c r="B67" s="33" t="s">
        <v>292</v>
      </c>
      <c r="C67" s="33" t="s">
        <v>302</v>
      </c>
      <c r="D67" s="33" t="s">
        <v>10238</v>
      </c>
      <c r="E67" s="33" t="s">
        <v>302</v>
      </c>
      <c r="F67" s="33" t="s">
        <v>302</v>
      </c>
      <c r="G67" s="33" t="s">
        <v>715</v>
      </c>
    </row>
    <row r="68" spans="2:7" x14ac:dyDescent="0.25">
      <c r="B68" s="33" t="s">
        <v>292</v>
      </c>
      <c r="C68" s="33" t="s">
        <v>302</v>
      </c>
      <c r="D68" s="33" t="s">
        <v>10239</v>
      </c>
      <c r="E68" s="33" t="s">
        <v>302</v>
      </c>
      <c r="F68" s="33" t="s">
        <v>302</v>
      </c>
      <c r="G68" s="33" t="s">
        <v>1306</v>
      </c>
    </row>
    <row r="69" spans="2:7" x14ac:dyDescent="0.25">
      <c r="B69" s="33" t="s">
        <v>292</v>
      </c>
      <c r="C69" s="33" t="s">
        <v>302</v>
      </c>
      <c r="D69" s="33" t="s">
        <v>10240</v>
      </c>
      <c r="E69" s="33" t="s">
        <v>302</v>
      </c>
      <c r="F69" s="33" t="s">
        <v>302</v>
      </c>
      <c r="G69" s="33" t="s">
        <v>795</v>
      </c>
    </row>
    <row r="70" spans="2:7" x14ac:dyDescent="0.25">
      <c r="B70" s="33" t="s">
        <v>292</v>
      </c>
      <c r="C70" s="33" t="s">
        <v>302</v>
      </c>
      <c r="D70" s="33" t="s">
        <v>10241</v>
      </c>
      <c r="E70" s="33" t="s">
        <v>302</v>
      </c>
      <c r="F70" s="33" t="s">
        <v>302</v>
      </c>
      <c r="G70" s="33" t="s">
        <v>966</v>
      </c>
    </row>
    <row r="71" spans="2:7" x14ac:dyDescent="0.25">
      <c r="B71" s="33" t="s">
        <v>292</v>
      </c>
      <c r="C71" s="33" t="s">
        <v>302</v>
      </c>
      <c r="D71" s="33" t="s">
        <v>10242</v>
      </c>
      <c r="E71" s="33" t="s">
        <v>302</v>
      </c>
      <c r="F71" s="33" t="s">
        <v>302</v>
      </c>
      <c r="G71" s="33" t="s">
        <v>1078</v>
      </c>
    </row>
    <row r="72" spans="2:7" x14ac:dyDescent="0.25">
      <c r="B72" s="33" t="s">
        <v>292</v>
      </c>
      <c r="C72" s="33" t="s">
        <v>302</v>
      </c>
      <c r="D72" s="33" t="s">
        <v>10243</v>
      </c>
      <c r="E72" s="33" t="s">
        <v>302</v>
      </c>
      <c r="F72" s="33" t="s">
        <v>302</v>
      </c>
      <c r="G72" s="33" t="s">
        <v>526</v>
      </c>
    </row>
    <row r="73" spans="2:7" x14ac:dyDescent="0.25">
      <c r="B73" s="33" t="s">
        <v>292</v>
      </c>
      <c r="C73" s="33" t="s">
        <v>302</v>
      </c>
      <c r="D73" s="33" t="s">
        <v>10244</v>
      </c>
      <c r="E73" s="33" t="s">
        <v>302</v>
      </c>
      <c r="F73" s="33" t="s">
        <v>302</v>
      </c>
      <c r="G73" s="33" t="s">
        <v>1073</v>
      </c>
    </row>
    <row r="74" spans="2:7" x14ac:dyDescent="0.25">
      <c r="B74" s="33" t="s">
        <v>292</v>
      </c>
      <c r="C74" s="33" t="s">
        <v>302</v>
      </c>
      <c r="D74" s="33" t="s">
        <v>10245</v>
      </c>
      <c r="E74" s="33" t="s">
        <v>302</v>
      </c>
      <c r="F74" s="33" t="s">
        <v>302</v>
      </c>
      <c r="G74" s="33" t="s">
        <v>1074</v>
      </c>
    </row>
    <row r="75" spans="2:7" x14ac:dyDescent="0.25">
      <c r="B75" s="33" t="s">
        <v>292</v>
      </c>
      <c r="C75" s="33" t="s">
        <v>302</v>
      </c>
      <c r="D75" s="33" t="s">
        <v>10246</v>
      </c>
      <c r="E75" s="33" t="s">
        <v>302</v>
      </c>
      <c r="F75" s="33" t="s">
        <v>302</v>
      </c>
      <c r="G75" s="33" t="s">
        <v>753</v>
      </c>
    </row>
    <row r="76" spans="2:7" x14ac:dyDescent="0.25">
      <c r="B76" s="33" t="s">
        <v>292</v>
      </c>
      <c r="C76" s="33" t="s">
        <v>302</v>
      </c>
      <c r="D76" s="33" t="s">
        <v>10247</v>
      </c>
      <c r="E76" s="33" t="s">
        <v>302</v>
      </c>
      <c r="F76" s="33" t="s">
        <v>302</v>
      </c>
      <c r="G76" s="33" t="s">
        <v>942</v>
      </c>
    </row>
    <row r="77" spans="2:7" x14ac:dyDescent="0.25">
      <c r="B77" s="33" t="s">
        <v>292</v>
      </c>
      <c r="C77" s="33" t="s">
        <v>302</v>
      </c>
      <c r="D77" s="33" t="s">
        <v>10248</v>
      </c>
      <c r="E77" s="33" t="s">
        <v>302</v>
      </c>
      <c r="F77" s="33" t="s">
        <v>302</v>
      </c>
      <c r="G77" s="33" t="s">
        <v>1356</v>
      </c>
    </row>
    <row r="78" spans="2:7" x14ac:dyDescent="0.25">
      <c r="B78" s="33" t="s">
        <v>293</v>
      </c>
      <c r="C78" s="33" t="s">
        <v>302</v>
      </c>
      <c r="D78" s="33" t="s">
        <v>1426</v>
      </c>
      <c r="E78" s="33" t="s">
        <v>302</v>
      </c>
      <c r="F78" s="33" t="s">
        <v>302</v>
      </c>
      <c r="G78" s="33" t="s">
        <v>231</v>
      </c>
    </row>
    <row r="79" spans="2:7" x14ac:dyDescent="0.25">
      <c r="B79" s="33" t="s">
        <v>294</v>
      </c>
      <c r="C79" s="33" t="s">
        <v>302</v>
      </c>
      <c r="D79" s="33" t="s">
        <v>1426</v>
      </c>
      <c r="E79" s="33" t="s">
        <v>302</v>
      </c>
      <c r="F79" s="33" t="s">
        <v>302</v>
      </c>
      <c r="G79" s="33" t="s">
        <v>231</v>
      </c>
    </row>
    <row r="80" spans="2:7" x14ac:dyDescent="0.25">
      <c r="B80" s="33" t="s">
        <v>292</v>
      </c>
      <c r="C80" s="33" t="s">
        <v>302</v>
      </c>
      <c r="D80" s="33" t="s">
        <v>10249</v>
      </c>
      <c r="E80" s="33" t="s">
        <v>302</v>
      </c>
      <c r="F80" s="33" t="s">
        <v>302</v>
      </c>
      <c r="G80" s="33" t="s">
        <v>1190</v>
      </c>
    </row>
    <row r="81" spans="2:7" x14ac:dyDescent="0.25">
      <c r="B81" s="33" t="s">
        <v>292</v>
      </c>
      <c r="C81" s="33" t="s">
        <v>302</v>
      </c>
      <c r="D81" s="33" t="s">
        <v>10250</v>
      </c>
      <c r="E81" s="33" t="s">
        <v>302</v>
      </c>
      <c r="F81" s="33" t="s">
        <v>302</v>
      </c>
      <c r="G81" s="33" t="s">
        <v>1373</v>
      </c>
    </row>
    <row r="82" spans="2:7" x14ac:dyDescent="0.25">
      <c r="B82" s="33" t="s">
        <v>292</v>
      </c>
      <c r="C82" s="33" t="s">
        <v>302</v>
      </c>
      <c r="D82" s="33" t="s">
        <v>10251</v>
      </c>
      <c r="E82" s="33" t="s">
        <v>302</v>
      </c>
      <c r="F82" s="33" t="s">
        <v>302</v>
      </c>
      <c r="G82" s="33" t="s">
        <v>487</v>
      </c>
    </row>
    <row r="83" spans="2:7" x14ac:dyDescent="0.25">
      <c r="B83" s="33" t="s">
        <v>292</v>
      </c>
      <c r="C83" s="33" t="s">
        <v>302</v>
      </c>
      <c r="D83" s="33" t="s">
        <v>10252</v>
      </c>
      <c r="E83" s="33" t="s">
        <v>302</v>
      </c>
      <c r="F83" s="33" t="s">
        <v>302</v>
      </c>
      <c r="G83" s="33" t="s">
        <v>1207</v>
      </c>
    </row>
    <row r="84" spans="2:7" x14ac:dyDescent="0.25">
      <c r="B84" s="33" t="s">
        <v>292</v>
      </c>
      <c r="C84" s="33" t="s">
        <v>302</v>
      </c>
      <c r="D84" s="33" t="s">
        <v>10253</v>
      </c>
      <c r="E84" s="33" t="s">
        <v>302</v>
      </c>
      <c r="F84" s="33" t="s">
        <v>302</v>
      </c>
      <c r="G84" s="33" t="s">
        <v>964</v>
      </c>
    </row>
    <row r="85" spans="2:7" x14ac:dyDescent="0.25">
      <c r="B85" s="33" t="s">
        <v>292</v>
      </c>
      <c r="C85" s="33" t="s">
        <v>302</v>
      </c>
      <c r="D85" s="33" t="s">
        <v>10254</v>
      </c>
      <c r="E85" s="33" t="s">
        <v>302</v>
      </c>
      <c r="F85" s="33" t="s">
        <v>302</v>
      </c>
      <c r="G85" s="33" t="s">
        <v>1296</v>
      </c>
    </row>
    <row r="86" spans="2:7" x14ac:dyDescent="0.25">
      <c r="B86" s="33" t="s">
        <v>292</v>
      </c>
      <c r="C86" s="33" t="s">
        <v>302</v>
      </c>
      <c r="D86" s="33" t="s">
        <v>10257</v>
      </c>
      <c r="E86" s="33" t="s">
        <v>302</v>
      </c>
      <c r="F86" s="33" t="s">
        <v>302</v>
      </c>
      <c r="G86" s="33" t="s">
        <v>1370</v>
      </c>
    </row>
    <row r="87" spans="2:7" x14ac:dyDescent="0.25">
      <c r="B87" s="33" t="s">
        <v>292</v>
      </c>
      <c r="C87" s="33" t="s">
        <v>302</v>
      </c>
      <c r="D87" s="33" t="s">
        <v>10258</v>
      </c>
      <c r="E87" s="33" t="s">
        <v>302</v>
      </c>
      <c r="F87" s="33" t="s">
        <v>302</v>
      </c>
      <c r="G87" s="33" t="s">
        <v>625</v>
      </c>
    </row>
    <row r="88" spans="2:7" x14ac:dyDescent="0.25">
      <c r="B88" s="33" t="s">
        <v>292</v>
      </c>
      <c r="C88" s="33" t="s">
        <v>302</v>
      </c>
      <c r="D88" s="33" t="s">
        <v>10259</v>
      </c>
      <c r="E88" s="33" t="s">
        <v>302</v>
      </c>
      <c r="F88" s="33" t="s">
        <v>302</v>
      </c>
      <c r="G88" s="33" t="s">
        <v>470</v>
      </c>
    </row>
    <row r="89" spans="2:7" x14ac:dyDescent="0.25">
      <c r="B89" s="33" t="s">
        <v>292</v>
      </c>
      <c r="C89" s="33" t="s">
        <v>302</v>
      </c>
      <c r="D89" s="33" t="s">
        <v>10260</v>
      </c>
      <c r="E89" s="33" t="s">
        <v>302</v>
      </c>
      <c r="F89" s="33" t="s">
        <v>302</v>
      </c>
      <c r="G89" s="33" t="s">
        <v>862</v>
      </c>
    </row>
    <row r="90" spans="2:7" x14ac:dyDescent="0.25">
      <c r="B90" s="33" t="s">
        <v>292</v>
      </c>
      <c r="C90" s="33" t="s">
        <v>302</v>
      </c>
      <c r="D90" s="33" t="s">
        <v>10261</v>
      </c>
      <c r="E90" s="33" t="s">
        <v>302</v>
      </c>
      <c r="F90" s="33" t="s">
        <v>302</v>
      </c>
      <c r="G90" s="33" t="s">
        <v>1163</v>
      </c>
    </row>
    <row r="91" spans="2:7" x14ac:dyDescent="0.25">
      <c r="B91" s="33" t="s">
        <v>292</v>
      </c>
      <c r="C91" s="33" t="s">
        <v>302</v>
      </c>
      <c r="D91" s="33" t="s">
        <v>10262</v>
      </c>
      <c r="E91" s="33" t="s">
        <v>302</v>
      </c>
      <c r="F91" s="33" t="s">
        <v>302</v>
      </c>
      <c r="G91" s="33" t="s">
        <v>988</v>
      </c>
    </row>
    <row r="92" spans="2:7" x14ac:dyDescent="0.25">
      <c r="B92" s="33" t="s">
        <v>292</v>
      </c>
      <c r="C92" s="33" t="s">
        <v>302</v>
      </c>
      <c r="D92" s="33" t="s">
        <v>10263</v>
      </c>
      <c r="E92" s="33" t="s">
        <v>302</v>
      </c>
      <c r="F92" s="33" t="s">
        <v>302</v>
      </c>
      <c r="G92" s="33" t="s">
        <v>835</v>
      </c>
    </row>
    <row r="93" spans="2:7" x14ac:dyDescent="0.25">
      <c r="B93" s="33" t="s">
        <v>292</v>
      </c>
      <c r="C93" s="33" t="s">
        <v>302</v>
      </c>
      <c r="D93" s="33" t="s">
        <v>10264</v>
      </c>
      <c r="E93" s="33" t="s">
        <v>302</v>
      </c>
      <c r="F93" s="33" t="s">
        <v>302</v>
      </c>
      <c r="G93" s="33" t="s">
        <v>1262</v>
      </c>
    </row>
    <row r="94" spans="2:7" x14ac:dyDescent="0.25">
      <c r="B94" s="33" t="s">
        <v>292</v>
      </c>
      <c r="C94" s="33" t="s">
        <v>302</v>
      </c>
      <c r="D94" s="33" t="s">
        <v>10265</v>
      </c>
      <c r="E94" s="33" t="s">
        <v>302</v>
      </c>
      <c r="F94" s="33" t="s">
        <v>302</v>
      </c>
      <c r="G94" s="33" t="s">
        <v>703</v>
      </c>
    </row>
    <row r="95" spans="2:7" x14ac:dyDescent="0.25">
      <c r="B95" s="33" t="s">
        <v>292</v>
      </c>
      <c r="C95" s="33" t="s">
        <v>302</v>
      </c>
      <c r="D95" s="33" t="s">
        <v>10266</v>
      </c>
      <c r="E95" s="33" t="s">
        <v>302</v>
      </c>
      <c r="F95" s="33" t="s">
        <v>302</v>
      </c>
      <c r="G95" s="33" t="s">
        <v>827</v>
      </c>
    </row>
    <row r="96" spans="2:7" x14ac:dyDescent="0.25">
      <c r="B96" s="33" t="s">
        <v>292</v>
      </c>
      <c r="C96" s="33" t="s">
        <v>302</v>
      </c>
      <c r="D96" s="33" t="s">
        <v>10267</v>
      </c>
      <c r="E96" s="33" t="s">
        <v>302</v>
      </c>
      <c r="F96" s="33" t="s">
        <v>302</v>
      </c>
      <c r="G96" s="33" t="s">
        <v>371</v>
      </c>
    </row>
    <row r="97" spans="2:7" x14ac:dyDescent="0.25">
      <c r="B97" s="33" t="s">
        <v>292</v>
      </c>
      <c r="C97" s="33" t="s">
        <v>302</v>
      </c>
      <c r="D97" s="33" t="s">
        <v>10268</v>
      </c>
      <c r="E97" s="33" t="s">
        <v>302</v>
      </c>
      <c r="F97" s="33" t="s">
        <v>302</v>
      </c>
      <c r="G97" s="33" t="s">
        <v>652</v>
      </c>
    </row>
    <row r="98" spans="2:7" x14ac:dyDescent="0.25">
      <c r="B98" s="33" t="s">
        <v>292</v>
      </c>
      <c r="C98" s="33" t="s">
        <v>302</v>
      </c>
      <c r="D98" s="33" t="s">
        <v>10269</v>
      </c>
      <c r="E98" s="33" t="s">
        <v>302</v>
      </c>
      <c r="F98" s="33" t="s">
        <v>302</v>
      </c>
      <c r="G98" s="33" t="s">
        <v>787</v>
      </c>
    </row>
    <row r="99" spans="2:7" x14ac:dyDescent="0.25">
      <c r="B99" s="33" t="s">
        <v>292</v>
      </c>
      <c r="C99" s="33" t="s">
        <v>302</v>
      </c>
      <c r="D99" s="33" t="s">
        <v>10270</v>
      </c>
      <c r="E99" s="33" t="s">
        <v>302</v>
      </c>
      <c r="F99" s="33" t="s">
        <v>302</v>
      </c>
      <c r="G99" s="33" t="s">
        <v>1090</v>
      </c>
    </row>
    <row r="100" spans="2:7" x14ac:dyDescent="0.25">
      <c r="B100" s="33" t="s">
        <v>292</v>
      </c>
      <c r="C100" s="33" t="s">
        <v>302</v>
      </c>
      <c r="D100" s="33" t="s">
        <v>10271</v>
      </c>
      <c r="E100" s="33" t="s">
        <v>302</v>
      </c>
      <c r="F100" s="33" t="s">
        <v>302</v>
      </c>
      <c r="G100" s="33" t="s">
        <v>577</v>
      </c>
    </row>
    <row r="101" spans="2:7" x14ac:dyDescent="0.25">
      <c r="B101" s="33" t="s">
        <v>292</v>
      </c>
      <c r="C101" s="33" t="s">
        <v>302</v>
      </c>
      <c r="D101" s="33" t="s">
        <v>10272</v>
      </c>
      <c r="E101" s="33" t="s">
        <v>302</v>
      </c>
      <c r="F101" s="33" t="s">
        <v>302</v>
      </c>
      <c r="G101" s="33" t="s">
        <v>1155</v>
      </c>
    </row>
    <row r="102" spans="2:7" x14ac:dyDescent="0.25">
      <c r="B102" s="33" t="s">
        <v>292</v>
      </c>
      <c r="C102" s="33" t="s">
        <v>302</v>
      </c>
      <c r="D102" s="33" t="s">
        <v>10273</v>
      </c>
      <c r="E102" s="33" t="s">
        <v>302</v>
      </c>
      <c r="F102" s="33" t="s">
        <v>302</v>
      </c>
      <c r="G102" s="33" t="s">
        <v>400</v>
      </c>
    </row>
    <row r="103" spans="2:7" x14ac:dyDescent="0.25">
      <c r="B103" s="33" t="s">
        <v>292</v>
      </c>
      <c r="C103" s="33" t="s">
        <v>302</v>
      </c>
      <c r="D103" s="33" t="s">
        <v>10274</v>
      </c>
      <c r="E103" s="33" t="s">
        <v>302</v>
      </c>
      <c r="F103" s="33" t="s">
        <v>302</v>
      </c>
      <c r="G103" s="33" t="s">
        <v>904</v>
      </c>
    </row>
    <row r="104" spans="2:7" x14ac:dyDescent="0.25">
      <c r="B104" s="33" t="s">
        <v>292</v>
      </c>
      <c r="C104" s="33" t="s">
        <v>302</v>
      </c>
      <c r="D104" s="33" t="s">
        <v>10275</v>
      </c>
      <c r="E104" s="33" t="s">
        <v>302</v>
      </c>
      <c r="F104" s="33" t="s">
        <v>302</v>
      </c>
      <c r="G104" s="33" t="s">
        <v>1058</v>
      </c>
    </row>
    <row r="105" spans="2:7" x14ac:dyDescent="0.25">
      <c r="B105" s="33" t="s">
        <v>292</v>
      </c>
      <c r="C105" s="33" t="s">
        <v>302</v>
      </c>
      <c r="D105" s="33" t="s">
        <v>10276</v>
      </c>
      <c r="E105" s="33" t="s">
        <v>302</v>
      </c>
      <c r="F105" s="33" t="s">
        <v>302</v>
      </c>
      <c r="G105" s="33" t="s">
        <v>946</v>
      </c>
    </row>
    <row r="106" spans="2:7" x14ac:dyDescent="0.25">
      <c r="B106" s="33" t="s">
        <v>292</v>
      </c>
      <c r="C106" s="33" t="s">
        <v>302</v>
      </c>
      <c r="D106" s="33" t="s">
        <v>10277</v>
      </c>
      <c r="E106" s="33" t="s">
        <v>302</v>
      </c>
      <c r="F106" s="33" t="s">
        <v>302</v>
      </c>
      <c r="G106" s="33" t="s">
        <v>953</v>
      </c>
    </row>
    <row r="107" spans="2:7" x14ac:dyDescent="0.25">
      <c r="B107" s="33" t="s">
        <v>292</v>
      </c>
      <c r="C107" s="33" t="s">
        <v>302</v>
      </c>
      <c r="D107" s="33" t="s">
        <v>10278</v>
      </c>
      <c r="E107" s="33" t="s">
        <v>302</v>
      </c>
      <c r="F107" s="33" t="s">
        <v>302</v>
      </c>
      <c r="G107" s="33" t="s">
        <v>1113</v>
      </c>
    </row>
    <row r="108" spans="2:7" x14ac:dyDescent="0.25">
      <c r="B108" s="33" t="s">
        <v>292</v>
      </c>
      <c r="C108" s="33" t="s">
        <v>302</v>
      </c>
      <c r="D108" s="33" t="s">
        <v>10279</v>
      </c>
      <c r="E108" s="33" t="s">
        <v>302</v>
      </c>
      <c r="F108" s="33" t="s">
        <v>302</v>
      </c>
      <c r="G108" s="33" t="s">
        <v>826</v>
      </c>
    </row>
    <row r="109" spans="2:7" x14ac:dyDescent="0.25">
      <c r="B109" s="33" t="s">
        <v>292</v>
      </c>
      <c r="C109" s="33" t="s">
        <v>302</v>
      </c>
      <c r="D109" s="33" t="s">
        <v>10280</v>
      </c>
      <c r="E109" s="33" t="s">
        <v>302</v>
      </c>
      <c r="F109" s="33" t="s">
        <v>302</v>
      </c>
      <c r="G109" s="33" t="s">
        <v>478</v>
      </c>
    </row>
    <row r="110" spans="2:7" x14ac:dyDescent="0.25">
      <c r="B110" s="33" t="s">
        <v>292</v>
      </c>
      <c r="C110" s="33" t="s">
        <v>302</v>
      </c>
      <c r="D110" s="33" t="s">
        <v>10281</v>
      </c>
      <c r="E110" s="33" t="s">
        <v>302</v>
      </c>
      <c r="F110" s="33" t="s">
        <v>302</v>
      </c>
      <c r="G110" s="33" t="s">
        <v>658</v>
      </c>
    </row>
    <row r="111" spans="2:7" x14ac:dyDescent="0.25">
      <c r="B111" s="33" t="s">
        <v>292</v>
      </c>
      <c r="C111" s="33" t="s">
        <v>302</v>
      </c>
      <c r="D111" s="33" t="s">
        <v>10282</v>
      </c>
      <c r="E111" s="33" t="s">
        <v>302</v>
      </c>
      <c r="F111" s="33" t="s">
        <v>302</v>
      </c>
      <c r="G111" s="33" t="s">
        <v>383</v>
      </c>
    </row>
    <row r="112" spans="2:7" x14ac:dyDescent="0.25">
      <c r="B112" s="33" t="s">
        <v>292</v>
      </c>
      <c r="C112" s="33" t="s">
        <v>302</v>
      </c>
      <c r="D112" s="33" t="s">
        <v>10283</v>
      </c>
      <c r="E112" s="33" t="s">
        <v>302</v>
      </c>
      <c r="F112" s="33" t="s">
        <v>302</v>
      </c>
      <c r="G112" s="33" t="s">
        <v>1173</v>
      </c>
    </row>
    <row r="113" spans="2:7" x14ac:dyDescent="0.25">
      <c r="B113" s="33" t="s">
        <v>292</v>
      </c>
      <c r="C113" s="33" t="s">
        <v>302</v>
      </c>
      <c r="D113" s="33" t="s">
        <v>10284</v>
      </c>
      <c r="E113" s="33" t="s">
        <v>302</v>
      </c>
      <c r="F113" s="33" t="s">
        <v>302</v>
      </c>
      <c r="G113" s="33" t="s">
        <v>913</v>
      </c>
    </row>
    <row r="114" spans="2:7" x14ac:dyDescent="0.25">
      <c r="B114" s="33" t="s">
        <v>292</v>
      </c>
      <c r="C114" s="33" t="s">
        <v>302</v>
      </c>
      <c r="D114" s="33" t="s">
        <v>10285</v>
      </c>
      <c r="E114" s="33" t="s">
        <v>302</v>
      </c>
      <c r="F114" s="33" t="s">
        <v>302</v>
      </c>
      <c r="G114" s="33" t="s">
        <v>1341</v>
      </c>
    </row>
    <row r="115" spans="2:7" x14ac:dyDescent="0.25">
      <c r="B115" s="33" t="s">
        <v>292</v>
      </c>
      <c r="C115" s="33" t="s">
        <v>302</v>
      </c>
      <c r="D115" s="33" t="s">
        <v>10286</v>
      </c>
      <c r="E115" s="33" t="s">
        <v>302</v>
      </c>
      <c r="F115" s="33" t="s">
        <v>302</v>
      </c>
      <c r="G115" s="33" t="s">
        <v>1084</v>
      </c>
    </row>
    <row r="116" spans="2:7" x14ac:dyDescent="0.25">
      <c r="B116" s="33" t="s">
        <v>292</v>
      </c>
      <c r="C116" s="33" t="s">
        <v>302</v>
      </c>
      <c r="D116" s="33" t="s">
        <v>10287</v>
      </c>
      <c r="E116" s="33" t="s">
        <v>302</v>
      </c>
      <c r="F116" s="33" t="s">
        <v>302</v>
      </c>
      <c r="G116" s="33" t="s">
        <v>924</v>
      </c>
    </row>
    <row r="117" spans="2:7" x14ac:dyDescent="0.25">
      <c r="B117" s="33" t="s">
        <v>292</v>
      </c>
      <c r="C117" s="33" t="s">
        <v>302</v>
      </c>
      <c r="D117" s="33" t="s">
        <v>10288</v>
      </c>
      <c r="E117" s="33" t="s">
        <v>302</v>
      </c>
      <c r="F117" s="33" t="s">
        <v>302</v>
      </c>
      <c r="G117" s="33" t="s">
        <v>698</v>
      </c>
    </row>
    <row r="118" spans="2:7" x14ac:dyDescent="0.25">
      <c r="B118" s="33" t="s">
        <v>292</v>
      </c>
      <c r="C118" s="33" t="s">
        <v>302</v>
      </c>
      <c r="D118" s="33" t="s">
        <v>10289</v>
      </c>
      <c r="E118" s="33" t="s">
        <v>302</v>
      </c>
      <c r="F118" s="33" t="s">
        <v>302</v>
      </c>
      <c r="G118" s="33" t="s">
        <v>940</v>
      </c>
    </row>
    <row r="119" spans="2:7" x14ac:dyDescent="0.25">
      <c r="B119" s="33" t="s">
        <v>292</v>
      </c>
      <c r="C119" s="33" t="s">
        <v>302</v>
      </c>
      <c r="D119" s="33" t="s">
        <v>10290</v>
      </c>
      <c r="E119" s="33" t="s">
        <v>302</v>
      </c>
      <c r="F119" s="33" t="s">
        <v>302</v>
      </c>
      <c r="G119" s="33" t="s">
        <v>1172</v>
      </c>
    </row>
    <row r="120" spans="2:7" x14ac:dyDescent="0.25">
      <c r="B120" s="33" t="s">
        <v>292</v>
      </c>
      <c r="C120" s="33" t="s">
        <v>302</v>
      </c>
      <c r="D120" s="33" t="s">
        <v>10291</v>
      </c>
      <c r="E120" s="33" t="s">
        <v>302</v>
      </c>
      <c r="F120" s="33" t="s">
        <v>302</v>
      </c>
      <c r="G120" s="33" t="s">
        <v>1122</v>
      </c>
    </row>
    <row r="121" spans="2:7" x14ac:dyDescent="0.25">
      <c r="B121" s="33" t="s">
        <v>292</v>
      </c>
      <c r="C121" s="33" t="s">
        <v>302</v>
      </c>
      <c r="D121" s="33" t="s">
        <v>10292</v>
      </c>
      <c r="E121" s="33" t="s">
        <v>302</v>
      </c>
      <c r="F121" s="33" t="s">
        <v>302</v>
      </c>
      <c r="G121" s="33" t="s">
        <v>1100</v>
      </c>
    </row>
    <row r="122" spans="2:7" x14ac:dyDescent="0.25">
      <c r="B122" s="33" t="s">
        <v>292</v>
      </c>
      <c r="C122" s="33" t="s">
        <v>302</v>
      </c>
      <c r="D122" s="33" t="s">
        <v>10293</v>
      </c>
      <c r="E122" s="33" t="s">
        <v>302</v>
      </c>
      <c r="F122" s="33" t="s">
        <v>302</v>
      </c>
      <c r="G122" s="33" t="s">
        <v>1046</v>
      </c>
    </row>
    <row r="123" spans="2:7" x14ac:dyDescent="0.25">
      <c r="B123" s="33" t="s">
        <v>292</v>
      </c>
      <c r="C123" s="33" t="s">
        <v>302</v>
      </c>
      <c r="D123" s="33" t="s">
        <v>10294</v>
      </c>
      <c r="E123" s="33" t="s">
        <v>302</v>
      </c>
      <c r="F123" s="33" t="s">
        <v>302</v>
      </c>
      <c r="G123" s="33" t="s">
        <v>562</v>
      </c>
    </row>
    <row r="124" spans="2:7" x14ac:dyDescent="0.25">
      <c r="B124" s="33" t="s">
        <v>292</v>
      </c>
      <c r="C124" s="33" t="s">
        <v>302</v>
      </c>
      <c r="D124" s="33" t="s">
        <v>10295</v>
      </c>
      <c r="E124" s="33" t="s">
        <v>302</v>
      </c>
      <c r="F124" s="33" t="s">
        <v>302</v>
      </c>
      <c r="G124" s="33" t="s">
        <v>330</v>
      </c>
    </row>
    <row r="125" spans="2:7" x14ac:dyDescent="0.25">
      <c r="B125" s="33" t="s">
        <v>292</v>
      </c>
      <c r="C125" s="33" t="s">
        <v>302</v>
      </c>
      <c r="D125" s="33" t="s">
        <v>10296</v>
      </c>
      <c r="E125" s="33" t="s">
        <v>302</v>
      </c>
      <c r="F125" s="33" t="s">
        <v>302</v>
      </c>
      <c r="G125" s="33" t="s">
        <v>788</v>
      </c>
    </row>
    <row r="126" spans="2:7" x14ac:dyDescent="0.25">
      <c r="B126" s="33" t="s">
        <v>292</v>
      </c>
      <c r="C126" s="33" t="s">
        <v>302</v>
      </c>
      <c r="D126" s="33" t="s">
        <v>10297</v>
      </c>
      <c r="E126" s="33" t="s">
        <v>302</v>
      </c>
      <c r="F126" s="33" t="s">
        <v>302</v>
      </c>
      <c r="G126" s="33" t="s">
        <v>801</v>
      </c>
    </row>
    <row r="127" spans="2:7" x14ac:dyDescent="0.25">
      <c r="B127" s="33" t="s">
        <v>292</v>
      </c>
      <c r="C127" s="33" t="s">
        <v>302</v>
      </c>
      <c r="D127" s="33" t="s">
        <v>10298</v>
      </c>
      <c r="E127" s="33" t="s">
        <v>302</v>
      </c>
      <c r="F127" s="33" t="s">
        <v>302</v>
      </c>
      <c r="G127" s="33" t="s">
        <v>665</v>
      </c>
    </row>
    <row r="128" spans="2:7" x14ac:dyDescent="0.25">
      <c r="B128" s="33" t="s">
        <v>292</v>
      </c>
      <c r="C128" s="33" t="s">
        <v>302</v>
      </c>
      <c r="D128" s="33" t="s">
        <v>10299</v>
      </c>
      <c r="E128" s="33" t="s">
        <v>302</v>
      </c>
      <c r="F128" s="33" t="s">
        <v>302</v>
      </c>
      <c r="G128" s="33" t="s">
        <v>1002</v>
      </c>
    </row>
    <row r="129" spans="2:7" x14ac:dyDescent="0.25">
      <c r="B129" s="33" t="s">
        <v>292</v>
      </c>
      <c r="C129" s="33" t="s">
        <v>302</v>
      </c>
      <c r="D129" s="33" t="s">
        <v>10300</v>
      </c>
      <c r="E129" s="33" t="s">
        <v>302</v>
      </c>
      <c r="F129" s="33" t="s">
        <v>302</v>
      </c>
      <c r="G129" s="33" t="s">
        <v>504</v>
      </c>
    </row>
    <row r="130" spans="2:7" x14ac:dyDescent="0.25">
      <c r="B130" s="33" t="s">
        <v>292</v>
      </c>
      <c r="C130" s="33" t="s">
        <v>302</v>
      </c>
      <c r="D130" s="33" t="s">
        <v>10301</v>
      </c>
      <c r="E130" s="33" t="s">
        <v>302</v>
      </c>
      <c r="F130" s="33" t="s">
        <v>302</v>
      </c>
      <c r="G130" s="33" t="s">
        <v>672</v>
      </c>
    </row>
    <row r="131" spans="2:7" x14ac:dyDescent="0.25">
      <c r="B131" s="33" t="s">
        <v>292</v>
      </c>
      <c r="C131" s="33" t="s">
        <v>302</v>
      </c>
      <c r="D131" s="33" t="s">
        <v>10302</v>
      </c>
      <c r="E131" s="33" t="s">
        <v>302</v>
      </c>
      <c r="F131" s="33" t="s">
        <v>302</v>
      </c>
      <c r="G131" s="33" t="s">
        <v>843</v>
      </c>
    </row>
    <row r="132" spans="2:7" x14ac:dyDescent="0.25">
      <c r="B132" s="33" t="s">
        <v>292</v>
      </c>
      <c r="C132" s="33" t="s">
        <v>302</v>
      </c>
      <c r="D132" s="33" t="s">
        <v>10303</v>
      </c>
      <c r="E132" s="33" t="s">
        <v>302</v>
      </c>
      <c r="F132" s="33" t="s">
        <v>302</v>
      </c>
      <c r="G132" s="33" t="s">
        <v>1357</v>
      </c>
    </row>
    <row r="133" spans="2:7" x14ac:dyDescent="0.25">
      <c r="B133" s="33" t="s">
        <v>292</v>
      </c>
      <c r="C133" s="33" t="s">
        <v>302</v>
      </c>
      <c r="D133" s="33" t="s">
        <v>10304</v>
      </c>
      <c r="E133" s="33" t="s">
        <v>302</v>
      </c>
      <c r="F133" s="33" t="s">
        <v>302</v>
      </c>
      <c r="G133" s="33" t="s">
        <v>1091</v>
      </c>
    </row>
    <row r="134" spans="2:7" x14ac:dyDescent="0.25">
      <c r="B134" s="33" t="s">
        <v>292</v>
      </c>
      <c r="C134" s="33" t="s">
        <v>302</v>
      </c>
      <c r="D134" s="33" t="s">
        <v>10305</v>
      </c>
      <c r="E134" s="33" t="s">
        <v>302</v>
      </c>
      <c r="F134" s="33" t="s">
        <v>302</v>
      </c>
      <c r="G134" s="33" t="s">
        <v>1197</v>
      </c>
    </row>
    <row r="135" spans="2:7" x14ac:dyDescent="0.25">
      <c r="B135" s="33" t="s">
        <v>292</v>
      </c>
      <c r="C135" s="33" t="s">
        <v>302</v>
      </c>
      <c r="D135" s="33" t="s">
        <v>10306</v>
      </c>
      <c r="E135" s="33" t="s">
        <v>302</v>
      </c>
      <c r="F135" s="33" t="s">
        <v>302</v>
      </c>
      <c r="G135" s="33" t="s">
        <v>505</v>
      </c>
    </row>
    <row r="136" spans="2:7" x14ac:dyDescent="0.25">
      <c r="B136" s="33" t="s">
        <v>292</v>
      </c>
      <c r="C136" s="33" t="s">
        <v>302</v>
      </c>
      <c r="D136" s="33" t="s">
        <v>10307</v>
      </c>
      <c r="E136" s="33" t="s">
        <v>302</v>
      </c>
      <c r="F136" s="33" t="s">
        <v>302</v>
      </c>
      <c r="G136" s="33" t="s">
        <v>513</v>
      </c>
    </row>
    <row r="137" spans="2:7" x14ac:dyDescent="0.25">
      <c r="B137" s="33" t="s">
        <v>292</v>
      </c>
      <c r="C137" s="33" t="s">
        <v>302</v>
      </c>
      <c r="D137" s="33" t="s">
        <v>10308</v>
      </c>
      <c r="E137" s="33" t="s">
        <v>302</v>
      </c>
      <c r="F137" s="33" t="s">
        <v>302</v>
      </c>
      <c r="G137" s="33" t="s">
        <v>1243</v>
      </c>
    </row>
    <row r="138" spans="2:7" x14ac:dyDescent="0.25">
      <c r="B138" s="33" t="s">
        <v>292</v>
      </c>
      <c r="C138" s="33" t="s">
        <v>302</v>
      </c>
      <c r="D138" s="33" t="s">
        <v>10309</v>
      </c>
      <c r="E138" s="33" t="s">
        <v>302</v>
      </c>
      <c r="F138" s="33" t="s">
        <v>302</v>
      </c>
      <c r="G138" s="33" t="s">
        <v>1375</v>
      </c>
    </row>
    <row r="139" spans="2:7" x14ac:dyDescent="0.25">
      <c r="B139" s="33" t="s">
        <v>292</v>
      </c>
      <c r="C139" s="33" t="s">
        <v>302</v>
      </c>
      <c r="D139" s="33" t="s">
        <v>10310</v>
      </c>
      <c r="E139" s="33" t="s">
        <v>302</v>
      </c>
      <c r="F139" s="33" t="s">
        <v>302</v>
      </c>
      <c r="G139" s="33" t="s">
        <v>704</v>
      </c>
    </row>
    <row r="140" spans="2:7" x14ac:dyDescent="0.25">
      <c r="B140" s="33" t="s">
        <v>292</v>
      </c>
      <c r="C140" s="33" t="s">
        <v>302</v>
      </c>
      <c r="D140" s="33" t="s">
        <v>10311</v>
      </c>
      <c r="E140" s="33" t="s">
        <v>302</v>
      </c>
      <c r="F140" s="33" t="s">
        <v>302</v>
      </c>
      <c r="G140" s="33" t="s">
        <v>773</v>
      </c>
    </row>
    <row r="141" spans="2:7" x14ac:dyDescent="0.25">
      <c r="B141" s="33" t="s">
        <v>292</v>
      </c>
      <c r="C141" s="33" t="s">
        <v>302</v>
      </c>
      <c r="D141" s="33" t="s">
        <v>10312</v>
      </c>
      <c r="E141" s="33" t="s">
        <v>302</v>
      </c>
      <c r="F141" s="33" t="s">
        <v>302</v>
      </c>
      <c r="G141" s="33" t="s">
        <v>1284</v>
      </c>
    </row>
    <row r="142" spans="2:7" x14ac:dyDescent="0.25">
      <c r="B142" s="33" t="s">
        <v>292</v>
      </c>
      <c r="C142" s="33" t="s">
        <v>302</v>
      </c>
      <c r="D142" s="33" t="s">
        <v>10313</v>
      </c>
      <c r="E142" s="33" t="s">
        <v>302</v>
      </c>
      <c r="F142" s="33" t="s">
        <v>302</v>
      </c>
      <c r="G142" s="33" t="s">
        <v>944</v>
      </c>
    </row>
    <row r="143" spans="2:7" x14ac:dyDescent="0.25">
      <c r="B143" s="33" t="s">
        <v>292</v>
      </c>
      <c r="C143" s="33" t="s">
        <v>302</v>
      </c>
      <c r="D143" s="33" t="s">
        <v>10314</v>
      </c>
      <c r="E143" s="33" t="s">
        <v>302</v>
      </c>
      <c r="F143" s="33" t="s">
        <v>302</v>
      </c>
      <c r="G143" s="33" t="s">
        <v>823</v>
      </c>
    </row>
    <row r="144" spans="2:7" x14ac:dyDescent="0.25">
      <c r="B144" s="33" t="s">
        <v>292</v>
      </c>
      <c r="C144" s="33" t="s">
        <v>302</v>
      </c>
      <c r="D144" s="33" t="s">
        <v>10315</v>
      </c>
      <c r="E144" s="33" t="s">
        <v>302</v>
      </c>
      <c r="F144" s="33" t="s">
        <v>302</v>
      </c>
      <c r="G144" s="33" t="s">
        <v>865</v>
      </c>
    </row>
    <row r="145" spans="2:7" x14ac:dyDescent="0.25">
      <c r="B145" s="33" t="s">
        <v>293</v>
      </c>
      <c r="C145" s="33" t="s">
        <v>302</v>
      </c>
      <c r="D145" s="33" t="s">
        <v>1465</v>
      </c>
      <c r="E145" s="33" t="s">
        <v>302</v>
      </c>
      <c r="F145" s="33" t="s">
        <v>302</v>
      </c>
      <c r="G145" s="33" t="s">
        <v>195</v>
      </c>
    </row>
    <row r="146" spans="2:7" x14ac:dyDescent="0.25">
      <c r="B146" s="33" t="s">
        <v>294</v>
      </c>
      <c r="C146" s="33" t="s">
        <v>302</v>
      </c>
      <c r="D146" s="33" t="s">
        <v>1465</v>
      </c>
      <c r="E146" s="33" t="s">
        <v>302</v>
      </c>
      <c r="F146" s="33" t="s">
        <v>302</v>
      </c>
      <c r="G146" s="33" t="s">
        <v>195</v>
      </c>
    </row>
    <row r="147" spans="2:7" x14ac:dyDescent="0.25">
      <c r="B147" s="33" t="s">
        <v>294</v>
      </c>
      <c r="C147" s="33" t="s">
        <v>302</v>
      </c>
      <c r="D147" s="33" t="s">
        <v>1400</v>
      </c>
      <c r="E147" s="33" t="s">
        <v>302</v>
      </c>
      <c r="F147" s="33" t="s">
        <v>302</v>
      </c>
      <c r="G147" s="33" t="s">
        <v>197</v>
      </c>
    </row>
    <row r="148" spans="2:7" x14ac:dyDescent="0.25">
      <c r="B148" s="33" t="s">
        <v>293</v>
      </c>
      <c r="C148" s="33" t="s">
        <v>302</v>
      </c>
      <c r="D148" s="33" t="s">
        <v>1400</v>
      </c>
      <c r="E148" s="33" t="s">
        <v>302</v>
      </c>
      <c r="F148" s="33" t="s">
        <v>302</v>
      </c>
      <c r="G148" s="33" t="s">
        <v>197</v>
      </c>
    </row>
    <row r="149" spans="2:7" x14ac:dyDescent="0.25">
      <c r="B149" s="33" t="s">
        <v>292</v>
      </c>
      <c r="C149" s="33" t="s">
        <v>302</v>
      </c>
      <c r="D149" s="33" t="s">
        <v>10316</v>
      </c>
      <c r="E149" s="33" t="s">
        <v>302</v>
      </c>
      <c r="F149" s="33" t="s">
        <v>302</v>
      </c>
      <c r="G149" s="33" t="s">
        <v>917</v>
      </c>
    </row>
    <row r="150" spans="2:7" x14ac:dyDescent="0.25">
      <c r="B150" s="33" t="s">
        <v>292</v>
      </c>
      <c r="C150" s="33" t="s">
        <v>302</v>
      </c>
      <c r="D150" s="33" t="s">
        <v>10317</v>
      </c>
      <c r="E150" s="33" t="s">
        <v>302</v>
      </c>
      <c r="F150" s="33" t="s">
        <v>302</v>
      </c>
      <c r="G150" s="33" t="s">
        <v>496</v>
      </c>
    </row>
    <row r="151" spans="2:7" x14ac:dyDescent="0.25">
      <c r="B151" s="33" t="s">
        <v>292</v>
      </c>
      <c r="C151" s="33" t="s">
        <v>302</v>
      </c>
      <c r="D151" s="33" t="s">
        <v>10318</v>
      </c>
      <c r="E151" s="33" t="s">
        <v>302</v>
      </c>
      <c r="F151" s="33" t="s">
        <v>302</v>
      </c>
      <c r="G151" s="33" t="s">
        <v>551</v>
      </c>
    </row>
    <row r="152" spans="2:7" x14ac:dyDescent="0.25">
      <c r="B152" s="33" t="s">
        <v>292</v>
      </c>
      <c r="C152" s="33" t="s">
        <v>302</v>
      </c>
      <c r="D152" s="33" t="s">
        <v>10319</v>
      </c>
      <c r="E152" s="33" t="s">
        <v>302</v>
      </c>
      <c r="F152" s="33" t="s">
        <v>302</v>
      </c>
      <c r="G152" s="33" t="s">
        <v>1147</v>
      </c>
    </row>
    <row r="153" spans="2:7" x14ac:dyDescent="0.25">
      <c r="B153" s="33" t="s">
        <v>292</v>
      </c>
      <c r="C153" s="33" t="s">
        <v>302</v>
      </c>
      <c r="D153" s="33" t="s">
        <v>10320</v>
      </c>
      <c r="E153" s="33" t="s">
        <v>302</v>
      </c>
      <c r="F153" s="33" t="s">
        <v>302</v>
      </c>
      <c r="G153" s="33" t="s">
        <v>534</v>
      </c>
    </row>
    <row r="154" spans="2:7" x14ac:dyDescent="0.25">
      <c r="B154" s="33" t="s">
        <v>292</v>
      </c>
      <c r="C154" s="33" t="s">
        <v>302</v>
      </c>
      <c r="D154" s="33" t="s">
        <v>10321</v>
      </c>
      <c r="E154" s="33" t="s">
        <v>302</v>
      </c>
      <c r="F154" s="33" t="s">
        <v>302</v>
      </c>
      <c r="G154" s="33" t="s">
        <v>1181</v>
      </c>
    </row>
    <row r="155" spans="2:7" x14ac:dyDescent="0.25">
      <c r="B155" s="33" t="s">
        <v>292</v>
      </c>
      <c r="C155" s="33" t="s">
        <v>302</v>
      </c>
      <c r="D155" s="33" t="s">
        <v>10322</v>
      </c>
      <c r="E155" s="33" t="s">
        <v>302</v>
      </c>
      <c r="F155" s="33" t="s">
        <v>302</v>
      </c>
      <c r="G155" s="33" t="s">
        <v>466</v>
      </c>
    </row>
    <row r="156" spans="2:7" x14ac:dyDescent="0.25">
      <c r="B156" s="33" t="s">
        <v>292</v>
      </c>
      <c r="C156" s="33" t="s">
        <v>302</v>
      </c>
      <c r="D156" s="33" t="s">
        <v>10323</v>
      </c>
      <c r="E156" s="33" t="s">
        <v>302</v>
      </c>
      <c r="F156" s="33" t="s">
        <v>302</v>
      </c>
      <c r="G156" s="33" t="s">
        <v>520</v>
      </c>
    </row>
    <row r="157" spans="2:7" x14ac:dyDescent="0.25">
      <c r="B157" s="33" t="s">
        <v>292</v>
      </c>
      <c r="C157" s="33" t="s">
        <v>302</v>
      </c>
      <c r="D157" s="33" t="s">
        <v>10324</v>
      </c>
      <c r="E157" s="33" t="s">
        <v>302</v>
      </c>
      <c r="F157" s="33" t="s">
        <v>302</v>
      </c>
      <c r="G157" s="33" t="s">
        <v>385</v>
      </c>
    </row>
    <row r="158" spans="2:7" x14ac:dyDescent="0.25">
      <c r="B158" s="33" t="s">
        <v>292</v>
      </c>
      <c r="C158" s="33" t="s">
        <v>302</v>
      </c>
      <c r="D158" s="33" t="s">
        <v>10325</v>
      </c>
      <c r="E158" s="33" t="s">
        <v>302</v>
      </c>
      <c r="F158" s="33" t="s">
        <v>302</v>
      </c>
      <c r="G158" s="33" t="s">
        <v>907</v>
      </c>
    </row>
    <row r="159" spans="2:7" x14ac:dyDescent="0.25">
      <c r="B159" s="33" t="s">
        <v>292</v>
      </c>
      <c r="C159" s="33" t="s">
        <v>302</v>
      </c>
      <c r="D159" s="33" t="s">
        <v>10326</v>
      </c>
      <c r="E159" s="33" t="s">
        <v>302</v>
      </c>
      <c r="F159" s="33" t="s">
        <v>302</v>
      </c>
      <c r="G159" s="33" t="s">
        <v>640</v>
      </c>
    </row>
    <row r="160" spans="2:7" x14ac:dyDescent="0.25">
      <c r="B160" s="33" t="s">
        <v>292</v>
      </c>
      <c r="C160" s="33" t="s">
        <v>302</v>
      </c>
      <c r="D160" s="33" t="s">
        <v>10327</v>
      </c>
      <c r="E160" s="33" t="s">
        <v>302</v>
      </c>
      <c r="F160" s="33" t="s">
        <v>302</v>
      </c>
      <c r="G160" s="33" t="s">
        <v>684</v>
      </c>
    </row>
    <row r="161" spans="2:7" x14ac:dyDescent="0.25">
      <c r="B161" s="33" t="s">
        <v>292</v>
      </c>
      <c r="C161" s="33" t="s">
        <v>302</v>
      </c>
      <c r="D161" s="33" t="s">
        <v>10328</v>
      </c>
      <c r="E161" s="33" t="s">
        <v>302</v>
      </c>
      <c r="F161" s="33" t="s">
        <v>302</v>
      </c>
      <c r="G161" s="33" t="s">
        <v>766</v>
      </c>
    </row>
    <row r="162" spans="2:7" x14ac:dyDescent="0.25">
      <c r="B162" s="33" t="s">
        <v>292</v>
      </c>
      <c r="C162" s="33" t="s">
        <v>302</v>
      </c>
      <c r="D162" s="33" t="s">
        <v>10329</v>
      </c>
      <c r="E162" s="33" t="s">
        <v>302</v>
      </c>
      <c r="F162" s="33" t="s">
        <v>302</v>
      </c>
      <c r="G162" s="33" t="s">
        <v>1063</v>
      </c>
    </row>
    <row r="163" spans="2:7" x14ac:dyDescent="0.25">
      <c r="B163" s="33" t="s">
        <v>292</v>
      </c>
      <c r="C163" s="33" t="s">
        <v>302</v>
      </c>
      <c r="D163" s="33" t="s">
        <v>10330</v>
      </c>
      <c r="E163" s="33" t="s">
        <v>302</v>
      </c>
      <c r="F163" s="33" t="s">
        <v>302</v>
      </c>
      <c r="G163" s="33" t="s">
        <v>1239</v>
      </c>
    </row>
    <row r="164" spans="2:7" x14ac:dyDescent="0.25">
      <c r="B164" s="33" t="s">
        <v>292</v>
      </c>
      <c r="C164" s="33" t="s">
        <v>302</v>
      </c>
      <c r="D164" s="33" t="s">
        <v>10331</v>
      </c>
      <c r="E164" s="33" t="s">
        <v>302</v>
      </c>
      <c r="F164" s="33" t="s">
        <v>302</v>
      </c>
      <c r="G164" s="33" t="s">
        <v>1011</v>
      </c>
    </row>
    <row r="165" spans="2:7" x14ac:dyDescent="0.25">
      <c r="B165" s="33" t="s">
        <v>292</v>
      </c>
      <c r="C165" s="33" t="s">
        <v>302</v>
      </c>
      <c r="D165" s="33" t="s">
        <v>10332</v>
      </c>
      <c r="E165" s="33" t="s">
        <v>302</v>
      </c>
      <c r="F165" s="33" t="s">
        <v>302</v>
      </c>
      <c r="G165" s="33" t="s">
        <v>485</v>
      </c>
    </row>
    <row r="166" spans="2:7" x14ac:dyDescent="0.25">
      <c r="B166" s="33" t="s">
        <v>292</v>
      </c>
      <c r="C166" s="33" t="s">
        <v>302</v>
      </c>
      <c r="D166" s="33" t="s">
        <v>10333</v>
      </c>
      <c r="E166" s="33" t="s">
        <v>302</v>
      </c>
      <c r="F166" s="33" t="s">
        <v>302</v>
      </c>
      <c r="G166" s="33" t="s">
        <v>1294</v>
      </c>
    </row>
    <row r="167" spans="2:7" x14ac:dyDescent="0.25">
      <c r="B167" s="33" t="s">
        <v>292</v>
      </c>
      <c r="C167" s="33" t="s">
        <v>302</v>
      </c>
      <c r="D167" s="33" t="s">
        <v>10334</v>
      </c>
      <c r="E167" s="33" t="s">
        <v>302</v>
      </c>
      <c r="F167" s="33" t="s">
        <v>302</v>
      </c>
      <c r="G167" s="33" t="s">
        <v>1085</v>
      </c>
    </row>
    <row r="168" spans="2:7" x14ac:dyDescent="0.25">
      <c r="B168" s="33" t="s">
        <v>292</v>
      </c>
      <c r="C168" s="33" t="s">
        <v>302</v>
      </c>
      <c r="D168" s="33" t="s">
        <v>10335</v>
      </c>
      <c r="E168" s="33" t="s">
        <v>302</v>
      </c>
      <c r="F168" s="33" t="s">
        <v>302</v>
      </c>
      <c r="G168" s="33" t="s">
        <v>535</v>
      </c>
    </row>
    <row r="169" spans="2:7" x14ac:dyDescent="0.25">
      <c r="B169" s="33" t="s">
        <v>292</v>
      </c>
      <c r="C169" s="33" t="s">
        <v>302</v>
      </c>
      <c r="D169" s="33" t="s">
        <v>10336</v>
      </c>
      <c r="E169" s="33" t="s">
        <v>302</v>
      </c>
      <c r="F169" s="33" t="s">
        <v>302</v>
      </c>
      <c r="G169" s="33" t="s">
        <v>578</v>
      </c>
    </row>
    <row r="170" spans="2:7" x14ac:dyDescent="0.25">
      <c r="B170" s="33" t="s">
        <v>292</v>
      </c>
      <c r="C170" s="33" t="s">
        <v>302</v>
      </c>
      <c r="D170" s="33" t="s">
        <v>10337</v>
      </c>
      <c r="E170" s="33" t="s">
        <v>302</v>
      </c>
      <c r="F170" s="33" t="s">
        <v>302</v>
      </c>
      <c r="G170" s="33" t="s">
        <v>1208</v>
      </c>
    </row>
    <row r="171" spans="2:7" x14ac:dyDescent="0.25">
      <c r="B171" s="33" t="s">
        <v>292</v>
      </c>
      <c r="C171" s="33" t="s">
        <v>302</v>
      </c>
      <c r="D171" s="33" t="s">
        <v>10338</v>
      </c>
      <c r="E171" s="33" t="s">
        <v>302</v>
      </c>
      <c r="F171" s="33" t="s">
        <v>302</v>
      </c>
      <c r="G171" s="33" t="s">
        <v>1153</v>
      </c>
    </row>
    <row r="172" spans="2:7" x14ac:dyDescent="0.25">
      <c r="B172" s="33" t="s">
        <v>292</v>
      </c>
      <c r="C172" s="33" t="s">
        <v>302</v>
      </c>
      <c r="D172" s="33" t="s">
        <v>10339</v>
      </c>
      <c r="E172" s="33" t="s">
        <v>302</v>
      </c>
      <c r="F172" s="33" t="s">
        <v>302</v>
      </c>
      <c r="G172" s="33" t="s">
        <v>894</v>
      </c>
    </row>
    <row r="173" spans="2:7" x14ac:dyDescent="0.25">
      <c r="B173" s="33" t="s">
        <v>292</v>
      </c>
      <c r="C173" s="33" t="s">
        <v>302</v>
      </c>
      <c r="D173" s="33" t="s">
        <v>10340</v>
      </c>
      <c r="E173" s="33" t="s">
        <v>302</v>
      </c>
      <c r="F173" s="33" t="s">
        <v>302</v>
      </c>
      <c r="G173" s="33" t="s">
        <v>853</v>
      </c>
    </row>
    <row r="174" spans="2:7" x14ac:dyDescent="0.25">
      <c r="B174" s="33" t="s">
        <v>292</v>
      </c>
      <c r="C174" s="33" t="s">
        <v>302</v>
      </c>
      <c r="D174" s="33" t="s">
        <v>10341</v>
      </c>
      <c r="E174" s="33" t="s">
        <v>302</v>
      </c>
      <c r="F174" s="33" t="s">
        <v>302</v>
      </c>
      <c r="G174" s="33" t="s">
        <v>854</v>
      </c>
    </row>
    <row r="175" spans="2:7" x14ac:dyDescent="0.25">
      <c r="B175" s="33" t="s">
        <v>292</v>
      </c>
      <c r="C175" s="33" t="s">
        <v>302</v>
      </c>
      <c r="D175" s="33" t="s">
        <v>10342</v>
      </c>
      <c r="E175" s="33" t="s">
        <v>302</v>
      </c>
      <c r="F175" s="33" t="s">
        <v>302</v>
      </c>
      <c r="G175" s="33" t="s">
        <v>1174</v>
      </c>
    </row>
    <row r="176" spans="2:7" x14ac:dyDescent="0.25">
      <c r="B176" s="33" t="s">
        <v>292</v>
      </c>
      <c r="C176" s="33" t="s">
        <v>302</v>
      </c>
      <c r="D176" s="33" t="s">
        <v>10343</v>
      </c>
      <c r="E176" s="33" t="s">
        <v>302</v>
      </c>
      <c r="F176" s="33" t="s">
        <v>302</v>
      </c>
      <c r="G176" s="33" t="s">
        <v>440</v>
      </c>
    </row>
    <row r="177" spans="2:7" x14ac:dyDescent="0.25">
      <c r="B177" s="33" t="s">
        <v>292</v>
      </c>
      <c r="C177" s="33" t="s">
        <v>302</v>
      </c>
      <c r="D177" s="33" t="s">
        <v>10344</v>
      </c>
      <c r="E177" s="33" t="s">
        <v>302</v>
      </c>
      <c r="F177" s="33" t="s">
        <v>302</v>
      </c>
      <c r="G177" s="33" t="s">
        <v>606</v>
      </c>
    </row>
    <row r="178" spans="2:7" x14ac:dyDescent="0.25">
      <c r="B178" s="33" t="s">
        <v>292</v>
      </c>
      <c r="C178" s="33" t="s">
        <v>302</v>
      </c>
      <c r="D178" s="33" t="s">
        <v>10345</v>
      </c>
      <c r="E178" s="33" t="s">
        <v>302</v>
      </c>
      <c r="F178" s="33" t="s">
        <v>302</v>
      </c>
      <c r="G178" s="33" t="s">
        <v>1307</v>
      </c>
    </row>
    <row r="179" spans="2:7" x14ac:dyDescent="0.25">
      <c r="B179" s="33" t="s">
        <v>292</v>
      </c>
      <c r="C179" s="33" t="s">
        <v>302</v>
      </c>
      <c r="D179" s="33" t="s">
        <v>10346</v>
      </c>
      <c r="E179" s="33" t="s">
        <v>302</v>
      </c>
      <c r="F179" s="33" t="s">
        <v>302</v>
      </c>
      <c r="G179" s="33" t="s">
        <v>461</v>
      </c>
    </row>
    <row r="180" spans="2:7" x14ac:dyDescent="0.25">
      <c r="B180" s="33" t="s">
        <v>292</v>
      </c>
      <c r="C180" s="33" t="s">
        <v>302</v>
      </c>
      <c r="D180" s="33" t="s">
        <v>10347</v>
      </c>
      <c r="E180" s="33" t="s">
        <v>302</v>
      </c>
      <c r="F180" s="33" t="s">
        <v>302</v>
      </c>
      <c r="G180" s="33" t="s">
        <v>819</v>
      </c>
    </row>
    <row r="181" spans="2:7" x14ac:dyDescent="0.25">
      <c r="B181" s="33" t="s">
        <v>292</v>
      </c>
      <c r="C181" s="33" t="s">
        <v>302</v>
      </c>
      <c r="D181" s="33" t="s">
        <v>10348</v>
      </c>
      <c r="E181" s="33" t="s">
        <v>302</v>
      </c>
      <c r="F181" s="33" t="s">
        <v>302</v>
      </c>
      <c r="G181" s="33" t="s">
        <v>415</v>
      </c>
    </row>
    <row r="182" spans="2:7" x14ac:dyDescent="0.25">
      <c r="B182" s="33" t="s">
        <v>292</v>
      </c>
      <c r="C182" s="33" t="s">
        <v>302</v>
      </c>
      <c r="D182" s="33" t="s">
        <v>10349</v>
      </c>
      <c r="E182" s="33" t="s">
        <v>302</v>
      </c>
      <c r="F182" s="33" t="s">
        <v>302</v>
      </c>
      <c r="G182" s="33" t="s">
        <v>1109</v>
      </c>
    </row>
    <row r="183" spans="2:7" x14ac:dyDescent="0.25">
      <c r="B183" s="33" t="s">
        <v>292</v>
      </c>
      <c r="C183" s="33" t="s">
        <v>302</v>
      </c>
      <c r="D183" s="33" t="s">
        <v>10350</v>
      </c>
      <c r="E183" s="33" t="s">
        <v>302</v>
      </c>
      <c r="F183" s="33" t="s">
        <v>302</v>
      </c>
      <c r="G183" s="33" t="s">
        <v>780</v>
      </c>
    </row>
    <row r="184" spans="2:7" x14ac:dyDescent="0.25">
      <c r="B184" s="33" t="s">
        <v>292</v>
      </c>
      <c r="C184" s="33" t="s">
        <v>302</v>
      </c>
      <c r="D184" s="33" t="s">
        <v>10351</v>
      </c>
      <c r="E184" s="33" t="s">
        <v>302</v>
      </c>
      <c r="F184" s="33" t="s">
        <v>302</v>
      </c>
      <c r="G184" s="33" t="s">
        <v>852</v>
      </c>
    </row>
    <row r="185" spans="2:7" x14ac:dyDescent="0.25">
      <c r="B185" s="33" t="s">
        <v>292</v>
      </c>
      <c r="C185" s="33" t="s">
        <v>302</v>
      </c>
      <c r="D185" s="33" t="s">
        <v>10352</v>
      </c>
      <c r="E185" s="33" t="s">
        <v>302</v>
      </c>
      <c r="F185" s="33" t="s">
        <v>302</v>
      </c>
      <c r="G185" s="33" t="s">
        <v>1336</v>
      </c>
    </row>
    <row r="186" spans="2:7" x14ac:dyDescent="0.25">
      <c r="B186" s="33" t="s">
        <v>292</v>
      </c>
      <c r="C186" s="33" t="s">
        <v>302</v>
      </c>
      <c r="D186" s="33" t="s">
        <v>10353</v>
      </c>
      <c r="E186" s="33" t="s">
        <v>302</v>
      </c>
      <c r="F186" s="33" t="s">
        <v>302</v>
      </c>
      <c r="G186" s="33" t="s">
        <v>747</v>
      </c>
    </row>
    <row r="187" spans="2:7" x14ac:dyDescent="0.25">
      <c r="B187" s="33" t="s">
        <v>292</v>
      </c>
      <c r="C187" s="33" t="s">
        <v>302</v>
      </c>
      <c r="D187" s="33" t="s">
        <v>10354</v>
      </c>
      <c r="E187" s="33" t="s">
        <v>302</v>
      </c>
      <c r="F187" s="33" t="s">
        <v>302</v>
      </c>
      <c r="G187" s="33" t="s">
        <v>409</v>
      </c>
    </row>
    <row r="188" spans="2:7" x14ac:dyDescent="0.25">
      <c r="B188" s="33" t="s">
        <v>292</v>
      </c>
      <c r="C188" s="33" t="s">
        <v>302</v>
      </c>
      <c r="D188" s="33" t="s">
        <v>10361</v>
      </c>
      <c r="E188" s="33" t="s">
        <v>302</v>
      </c>
      <c r="F188" s="33" t="s">
        <v>302</v>
      </c>
      <c r="G188" s="33" t="s">
        <v>897</v>
      </c>
    </row>
    <row r="189" spans="2:7" x14ac:dyDescent="0.25">
      <c r="B189" s="33" t="s">
        <v>292</v>
      </c>
      <c r="C189" s="33" t="s">
        <v>302</v>
      </c>
      <c r="D189" s="33" t="s">
        <v>10362</v>
      </c>
      <c r="E189" s="33" t="s">
        <v>302</v>
      </c>
      <c r="F189" s="33" t="s">
        <v>302</v>
      </c>
      <c r="G189" s="33" t="s">
        <v>1075</v>
      </c>
    </row>
    <row r="190" spans="2:7" x14ac:dyDescent="0.25">
      <c r="B190" s="33" t="s">
        <v>292</v>
      </c>
      <c r="C190" s="33" t="s">
        <v>302</v>
      </c>
      <c r="D190" s="33" t="s">
        <v>10363</v>
      </c>
      <c r="E190" s="33" t="s">
        <v>302</v>
      </c>
      <c r="F190" s="33" t="s">
        <v>302</v>
      </c>
      <c r="G190" s="33" t="s">
        <v>721</v>
      </c>
    </row>
    <row r="191" spans="2:7" x14ac:dyDescent="0.25">
      <c r="B191" s="33" t="s">
        <v>292</v>
      </c>
      <c r="C191" s="33" t="s">
        <v>302</v>
      </c>
      <c r="D191" s="33" t="s">
        <v>10364</v>
      </c>
      <c r="E191" s="33" t="s">
        <v>302</v>
      </c>
      <c r="F191" s="33" t="s">
        <v>302</v>
      </c>
      <c r="G191" s="33" t="s">
        <v>1060</v>
      </c>
    </row>
    <row r="192" spans="2:7" x14ac:dyDescent="0.25">
      <c r="B192" s="33" t="s">
        <v>292</v>
      </c>
      <c r="C192" s="33" t="s">
        <v>302</v>
      </c>
      <c r="D192" s="33" t="s">
        <v>10365</v>
      </c>
      <c r="E192" s="33" t="s">
        <v>302</v>
      </c>
      <c r="F192" s="33" t="s">
        <v>302</v>
      </c>
      <c r="G192" s="33" t="s">
        <v>564</v>
      </c>
    </row>
    <row r="193" spans="2:7" x14ac:dyDescent="0.25">
      <c r="B193" s="33" t="s">
        <v>292</v>
      </c>
      <c r="C193" s="33" t="s">
        <v>302</v>
      </c>
      <c r="D193" s="33" t="s">
        <v>10366</v>
      </c>
      <c r="E193" s="33" t="s">
        <v>302</v>
      </c>
      <c r="F193" s="33" t="s">
        <v>302</v>
      </c>
      <c r="G193" s="33" t="s">
        <v>1186</v>
      </c>
    </row>
    <row r="194" spans="2:7" x14ac:dyDescent="0.25">
      <c r="B194" s="33" t="s">
        <v>292</v>
      </c>
      <c r="C194" s="33" t="s">
        <v>302</v>
      </c>
      <c r="D194" s="33" t="s">
        <v>10367</v>
      </c>
      <c r="E194" s="33" t="s">
        <v>302</v>
      </c>
      <c r="F194" s="33" t="s">
        <v>302</v>
      </c>
      <c r="G194" s="33" t="s">
        <v>804</v>
      </c>
    </row>
    <row r="195" spans="2:7" x14ac:dyDescent="0.25">
      <c r="B195" s="33" t="s">
        <v>292</v>
      </c>
      <c r="C195" s="33" t="s">
        <v>302</v>
      </c>
      <c r="D195" s="33" t="s">
        <v>10368</v>
      </c>
      <c r="E195" s="33" t="s">
        <v>302</v>
      </c>
      <c r="F195" s="33" t="s">
        <v>302</v>
      </c>
      <c r="G195" s="33" t="s">
        <v>856</v>
      </c>
    </row>
    <row r="196" spans="2:7" x14ac:dyDescent="0.25">
      <c r="B196" s="33" t="s">
        <v>292</v>
      </c>
      <c r="C196" s="33" t="s">
        <v>302</v>
      </c>
      <c r="D196" s="33" t="s">
        <v>10369</v>
      </c>
      <c r="E196" s="33" t="s">
        <v>302</v>
      </c>
      <c r="F196" s="33" t="s">
        <v>302</v>
      </c>
      <c r="G196" s="33" t="s">
        <v>610</v>
      </c>
    </row>
    <row r="197" spans="2:7" x14ac:dyDescent="0.25">
      <c r="B197" s="33" t="s">
        <v>292</v>
      </c>
      <c r="C197" s="33" t="s">
        <v>302</v>
      </c>
      <c r="D197" s="33" t="s">
        <v>10370</v>
      </c>
      <c r="E197" s="33" t="s">
        <v>302</v>
      </c>
      <c r="F197" s="33" t="s">
        <v>302</v>
      </c>
      <c r="G197" s="33" t="s">
        <v>866</v>
      </c>
    </row>
    <row r="198" spans="2:7" x14ac:dyDescent="0.25">
      <c r="B198" s="33" t="s">
        <v>292</v>
      </c>
      <c r="C198" s="33" t="s">
        <v>302</v>
      </c>
      <c r="D198" s="33" t="s">
        <v>10371</v>
      </c>
      <c r="E198" s="33" t="s">
        <v>302</v>
      </c>
      <c r="F198" s="33" t="s">
        <v>302</v>
      </c>
      <c r="G198" s="33" t="s">
        <v>921</v>
      </c>
    </row>
    <row r="199" spans="2:7" x14ac:dyDescent="0.25">
      <c r="B199" s="33" t="s">
        <v>292</v>
      </c>
      <c r="C199" s="33" t="s">
        <v>302</v>
      </c>
      <c r="D199" s="33" t="s">
        <v>10372</v>
      </c>
      <c r="E199" s="33" t="s">
        <v>302</v>
      </c>
      <c r="F199" s="33" t="s">
        <v>302</v>
      </c>
      <c r="G199" s="33" t="s">
        <v>382</v>
      </c>
    </row>
    <row r="200" spans="2:7" x14ac:dyDescent="0.25">
      <c r="B200" s="33" t="s">
        <v>292</v>
      </c>
      <c r="C200" s="33" t="s">
        <v>302</v>
      </c>
      <c r="D200" s="33" t="s">
        <v>10373</v>
      </c>
      <c r="E200" s="33" t="s">
        <v>302</v>
      </c>
      <c r="F200" s="33" t="s">
        <v>302</v>
      </c>
      <c r="G200" s="33" t="s">
        <v>421</v>
      </c>
    </row>
    <row r="201" spans="2:7" x14ac:dyDescent="0.25">
      <c r="B201" s="33" t="s">
        <v>292</v>
      </c>
      <c r="C201" s="33" t="s">
        <v>302</v>
      </c>
      <c r="D201" s="33" t="s">
        <v>10374</v>
      </c>
      <c r="E201" s="33" t="s">
        <v>302</v>
      </c>
      <c r="F201" s="33" t="s">
        <v>302</v>
      </c>
      <c r="G201" s="33" t="s">
        <v>456</v>
      </c>
    </row>
    <row r="202" spans="2:7" x14ac:dyDescent="0.25">
      <c r="B202" s="33" t="s">
        <v>292</v>
      </c>
      <c r="C202" s="33" t="s">
        <v>302</v>
      </c>
      <c r="D202" s="33" t="s">
        <v>10375</v>
      </c>
      <c r="E202" s="33" t="s">
        <v>302</v>
      </c>
      <c r="F202" s="33" t="s">
        <v>302</v>
      </c>
      <c r="G202" s="33" t="s">
        <v>584</v>
      </c>
    </row>
    <row r="203" spans="2:7" x14ac:dyDescent="0.25">
      <c r="B203" s="33" t="s">
        <v>292</v>
      </c>
      <c r="C203" s="33" t="s">
        <v>302</v>
      </c>
      <c r="D203" s="33" t="s">
        <v>10376</v>
      </c>
      <c r="E203" s="33" t="s">
        <v>302</v>
      </c>
      <c r="F203" s="33" t="s">
        <v>302</v>
      </c>
      <c r="G203" s="33" t="s">
        <v>969</v>
      </c>
    </row>
    <row r="204" spans="2:7" x14ac:dyDescent="0.25">
      <c r="B204" s="33" t="s">
        <v>292</v>
      </c>
      <c r="C204" s="33" t="s">
        <v>302</v>
      </c>
      <c r="D204" s="33" t="s">
        <v>10377</v>
      </c>
      <c r="E204" s="33" t="s">
        <v>302</v>
      </c>
      <c r="F204" s="33" t="s">
        <v>302</v>
      </c>
      <c r="G204" s="33" t="s">
        <v>655</v>
      </c>
    </row>
    <row r="205" spans="2:7" x14ac:dyDescent="0.25">
      <c r="B205" s="33" t="s">
        <v>292</v>
      </c>
      <c r="C205" s="33" t="s">
        <v>302</v>
      </c>
      <c r="D205" s="33" t="s">
        <v>10378</v>
      </c>
      <c r="E205" s="33" t="s">
        <v>302</v>
      </c>
      <c r="F205" s="33" t="s">
        <v>302</v>
      </c>
      <c r="G205" s="33" t="s">
        <v>428</v>
      </c>
    </row>
    <row r="206" spans="2:7" x14ac:dyDescent="0.25">
      <c r="B206" s="33" t="s">
        <v>292</v>
      </c>
      <c r="C206" s="33" t="s">
        <v>302</v>
      </c>
      <c r="D206" s="33" t="s">
        <v>10379</v>
      </c>
      <c r="E206" s="33" t="s">
        <v>302</v>
      </c>
      <c r="F206" s="33" t="s">
        <v>302</v>
      </c>
      <c r="G206" s="33" t="s">
        <v>1323</v>
      </c>
    </row>
    <row r="207" spans="2:7" x14ac:dyDescent="0.25">
      <c r="B207" s="33" t="s">
        <v>292</v>
      </c>
      <c r="C207" s="33" t="s">
        <v>302</v>
      </c>
      <c r="D207" s="33" t="s">
        <v>10380</v>
      </c>
      <c r="E207" s="33" t="s">
        <v>302</v>
      </c>
      <c r="F207" s="33" t="s">
        <v>302</v>
      </c>
      <c r="G207" s="33" t="s">
        <v>750</v>
      </c>
    </row>
    <row r="208" spans="2:7" x14ac:dyDescent="0.25">
      <c r="B208" s="33" t="s">
        <v>292</v>
      </c>
      <c r="C208" s="33" t="s">
        <v>302</v>
      </c>
      <c r="D208" s="33" t="s">
        <v>10381</v>
      </c>
      <c r="E208" s="33" t="s">
        <v>302</v>
      </c>
      <c r="F208" s="33" t="s">
        <v>302</v>
      </c>
      <c r="G208" s="33" t="s">
        <v>304</v>
      </c>
    </row>
    <row r="209" spans="2:7" x14ac:dyDescent="0.25">
      <c r="B209" s="33" t="s">
        <v>292</v>
      </c>
      <c r="C209" s="33" t="s">
        <v>302</v>
      </c>
      <c r="D209" s="33" t="s">
        <v>10382</v>
      </c>
      <c r="E209" s="33" t="s">
        <v>302</v>
      </c>
      <c r="F209" s="33" t="s">
        <v>302</v>
      </c>
      <c r="G209" s="33" t="s">
        <v>646</v>
      </c>
    </row>
    <row r="210" spans="2:7" x14ac:dyDescent="0.25">
      <c r="B210" s="33" t="s">
        <v>292</v>
      </c>
      <c r="C210" s="33" t="s">
        <v>302</v>
      </c>
      <c r="D210" s="33" t="s">
        <v>10383</v>
      </c>
      <c r="E210" s="33" t="s">
        <v>302</v>
      </c>
      <c r="F210" s="33" t="s">
        <v>302</v>
      </c>
      <c r="G210" s="33" t="s">
        <v>847</v>
      </c>
    </row>
    <row r="211" spans="2:7" x14ac:dyDescent="0.25">
      <c r="B211" s="33" t="s">
        <v>292</v>
      </c>
      <c r="C211" s="33" t="s">
        <v>302</v>
      </c>
      <c r="D211" s="33" t="s">
        <v>10384</v>
      </c>
      <c r="E211" s="33" t="s">
        <v>302</v>
      </c>
      <c r="F211" s="33" t="s">
        <v>302</v>
      </c>
      <c r="G211" s="33" t="s">
        <v>1326</v>
      </c>
    </row>
    <row r="212" spans="2:7" x14ac:dyDescent="0.25">
      <c r="B212" s="33" t="s">
        <v>292</v>
      </c>
      <c r="C212" s="33" t="s">
        <v>302</v>
      </c>
      <c r="D212" s="33" t="s">
        <v>10385</v>
      </c>
      <c r="E212" s="33" t="s">
        <v>302</v>
      </c>
      <c r="F212" s="33" t="s">
        <v>302</v>
      </c>
      <c r="G212" s="33" t="s">
        <v>687</v>
      </c>
    </row>
    <row r="213" spans="2:7" x14ac:dyDescent="0.25">
      <c r="B213" s="33" t="s">
        <v>292</v>
      </c>
      <c r="C213" s="33" t="s">
        <v>302</v>
      </c>
      <c r="D213" s="33" t="s">
        <v>10386</v>
      </c>
      <c r="E213" s="33" t="s">
        <v>302</v>
      </c>
      <c r="F213" s="33" t="s">
        <v>302</v>
      </c>
      <c r="G213" s="33" t="s">
        <v>558</v>
      </c>
    </row>
    <row r="214" spans="2:7" x14ac:dyDescent="0.25">
      <c r="B214" s="33" t="s">
        <v>292</v>
      </c>
      <c r="C214" s="33" t="s">
        <v>302</v>
      </c>
      <c r="D214" s="33" t="s">
        <v>10387</v>
      </c>
      <c r="E214" s="33" t="s">
        <v>302</v>
      </c>
      <c r="F214" s="33" t="s">
        <v>302</v>
      </c>
      <c r="G214" s="33" t="s">
        <v>676</v>
      </c>
    </row>
    <row r="215" spans="2:7" x14ac:dyDescent="0.25">
      <c r="B215" s="33" t="s">
        <v>292</v>
      </c>
      <c r="C215" s="33" t="s">
        <v>302</v>
      </c>
      <c r="D215" s="33" t="s">
        <v>10388</v>
      </c>
      <c r="E215" s="33" t="s">
        <v>302</v>
      </c>
      <c r="F215" s="33" t="s">
        <v>302</v>
      </c>
      <c r="G215" s="33" t="s">
        <v>1151</v>
      </c>
    </row>
    <row r="216" spans="2:7" x14ac:dyDescent="0.25">
      <c r="B216" s="33" t="s">
        <v>292</v>
      </c>
      <c r="C216" s="33" t="s">
        <v>302</v>
      </c>
      <c r="D216" s="33" t="s">
        <v>10389</v>
      </c>
      <c r="E216" s="33" t="s">
        <v>302</v>
      </c>
      <c r="F216" s="33" t="s">
        <v>302</v>
      </c>
      <c r="G216" s="33" t="s">
        <v>638</v>
      </c>
    </row>
    <row r="217" spans="2:7" x14ac:dyDescent="0.25">
      <c r="B217" s="33" t="s">
        <v>292</v>
      </c>
      <c r="C217" s="33" t="s">
        <v>302</v>
      </c>
      <c r="D217" s="33" t="s">
        <v>10390</v>
      </c>
      <c r="E217" s="33" t="s">
        <v>302</v>
      </c>
      <c r="F217" s="33" t="s">
        <v>302</v>
      </c>
      <c r="G217" s="33" t="s">
        <v>1117</v>
      </c>
    </row>
    <row r="218" spans="2:7" x14ac:dyDescent="0.25">
      <c r="B218" s="33" t="s">
        <v>292</v>
      </c>
      <c r="C218" s="33" t="s">
        <v>302</v>
      </c>
      <c r="D218" s="33" t="s">
        <v>10391</v>
      </c>
      <c r="E218" s="33" t="s">
        <v>302</v>
      </c>
      <c r="F218" s="33" t="s">
        <v>302</v>
      </c>
      <c r="G218" s="33" t="s">
        <v>369</v>
      </c>
    </row>
    <row r="219" spans="2:7" x14ac:dyDescent="0.25">
      <c r="B219" s="33" t="s">
        <v>292</v>
      </c>
      <c r="C219" s="33" t="s">
        <v>302</v>
      </c>
      <c r="D219" s="33" t="s">
        <v>10392</v>
      </c>
      <c r="E219" s="33" t="s">
        <v>302</v>
      </c>
      <c r="F219" s="33" t="s">
        <v>302</v>
      </c>
      <c r="G219" s="33" t="s">
        <v>728</v>
      </c>
    </row>
    <row r="220" spans="2:7" x14ac:dyDescent="0.25">
      <c r="B220" s="33" t="s">
        <v>292</v>
      </c>
      <c r="C220" s="33" t="s">
        <v>302</v>
      </c>
      <c r="D220" s="33" t="s">
        <v>10393</v>
      </c>
      <c r="E220" s="33" t="s">
        <v>302</v>
      </c>
      <c r="F220" s="33" t="s">
        <v>302</v>
      </c>
      <c r="G220" s="33" t="s">
        <v>1227</v>
      </c>
    </row>
    <row r="221" spans="2:7" x14ac:dyDescent="0.25">
      <c r="B221" s="33" t="s">
        <v>292</v>
      </c>
      <c r="C221" s="33" t="s">
        <v>302</v>
      </c>
      <c r="D221" s="33" t="s">
        <v>10394</v>
      </c>
      <c r="E221" s="33" t="s">
        <v>302</v>
      </c>
      <c r="F221" s="33" t="s">
        <v>302</v>
      </c>
      <c r="G221" s="33" t="s">
        <v>1314</v>
      </c>
    </row>
    <row r="222" spans="2:7" x14ac:dyDescent="0.25">
      <c r="B222" s="33" t="s">
        <v>292</v>
      </c>
      <c r="C222" s="33" t="s">
        <v>302</v>
      </c>
      <c r="D222" s="33" t="s">
        <v>10395</v>
      </c>
      <c r="E222" s="33" t="s">
        <v>302</v>
      </c>
      <c r="F222" s="33" t="s">
        <v>302</v>
      </c>
      <c r="G222" s="33" t="s">
        <v>1263</v>
      </c>
    </row>
    <row r="223" spans="2:7" x14ac:dyDescent="0.25">
      <c r="B223" s="33" t="s">
        <v>292</v>
      </c>
      <c r="C223" s="33" t="s">
        <v>302</v>
      </c>
      <c r="D223" s="33" t="s">
        <v>10396</v>
      </c>
      <c r="E223" s="33" t="s">
        <v>302</v>
      </c>
      <c r="F223" s="33" t="s">
        <v>302</v>
      </c>
      <c r="G223" s="33" t="s">
        <v>367</v>
      </c>
    </row>
    <row r="224" spans="2:7" x14ac:dyDescent="0.25">
      <c r="B224" s="33" t="s">
        <v>292</v>
      </c>
      <c r="C224" s="33" t="s">
        <v>302</v>
      </c>
      <c r="D224" s="33" t="s">
        <v>10397</v>
      </c>
      <c r="E224" s="33" t="s">
        <v>302</v>
      </c>
      <c r="F224" s="33" t="s">
        <v>302</v>
      </c>
      <c r="G224" s="33" t="s">
        <v>1308</v>
      </c>
    </row>
    <row r="225" spans="2:7" x14ac:dyDescent="0.25">
      <c r="B225" s="33" t="s">
        <v>292</v>
      </c>
      <c r="C225" s="33" t="s">
        <v>302</v>
      </c>
      <c r="D225" s="33" t="s">
        <v>10398</v>
      </c>
      <c r="E225" s="33" t="s">
        <v>302</v>
      </c>
      <c r="F225" s="33" t="s">
        <v>302</v>
      </c>
      <c r="G225" s="33" t="s">
        <v>600</v>
      </c>
    </row>
    <row r="226" spans="2:7" x14ac:dyDescent="0.25">
      <c r="B226" s="33" t="s">
        <v>292</v>
      </c>
      <c r="C226" s="33" t="s">
        <v>302</v>
      </c>
      <c r="D226" s="33" t="s">
        <v>10399</v>
      </c>
      <c r="E226" s="33" t="s">
        <v>302</v>
      </c>
      <c r="F226" s="33" t="s">
        <v>302</v>
      </c>
      <c r="G226" s="33" t="s">
        <v>436</v>
      </c>
    </row>
    <row r="227" spans="2:7" x14ac:dyDescent="0.25">
      <c r="B227" s="33" t="s">
        <v>292</v>
      </c>
      <c r="C227" s="33" t="s">
        <v>302</v>
      </c>
      <c r="D227" s="33" t="s">
        <v>10400</v>
      </c>
      <c r="E227" s="33" t="s">
        <v>302</v>
      </c>
      <c r="F227" s="33" t="s">
        <v>302</v>
      </c>
      <c r="G227" s="33" t="s">
        <v>1115</v>
      </c>
    </row>
    <row r="228" spans="2:7" x14ac:dyDescent="0.25">
      <c r="B228" s="33" t="s">
        <v>292</v>
      </c>
      <c r="C228" s="33" t="s">
        <v>302</v>
      </c>
      <c r="D228" s="33" t="s">
        <v>10401</v>
      </c>
      <c r="E228" s="33" t="s">
        <v>302</v>
      </c>
      <c r="F228" s="33" t="s">
        <v>302</v>
      </c>
      <c r="G228" s="33" t="s">
        <v>1055</v>
      </c>
    </row>
    <row r="229" spans="2:7" x14ac:dyDescent="0.25">
      <c r="B229" s="33" t="s">
        <v>292</v>
      </c>
      <c r="C229" s="33" t="s">
        <v>302</v>
      </c>
      <c r="D229" s="33" t="s">
        <v>10402</v>
      </c>
      <c r="E229" s="33" t="s">
        <v>302</v>
      </c>
      <c r="F229" s="33" t="s">
        <v>302</v>
      </c>
      <c r="G229" s="33" t="s">
        <v>464</v>
      </c>
    </row>
    <row r="230" spans="2:7" x14ac:dyDescent="0.25">
      <c r="B230" s="33" t="s">
        <v>292</v>
      </c>
      <c r="C230" s="33" t="s">
        <v>302</v>
      </c>
      <c r="D230" s="33" t="s">
        <v>10403</v>
      </c>
      <c r="E230" s="33" t="s">
        <v>302</v>
      </c>
      <c r="F230" s="33" t="s">
        <v>302</v>
      </c>
      <c r="G230" s="33" t="s">
        <v>570</v>
      </c>
    </row>
    <row r="231" spans="2:7" x14ac:dyDescent="0.25">
      <c r="B231" s="33" t="s">
        <v>292</v>
      </c>
      <c r="C231" s="33" t="s">
        <v>302</v>
      </c>
      <c r="D231" s="33" t="s">
        <v>10404</v>
      </c>
      <c r="E231" s="33" t="s">
        <v>302</v>
      </c>
      <c r="F231" s="33" t="s">
        <v>302</v>
      </c>
      <c r="G231" s="33" t="s">
        <v>1316</v>
      </c>
    </row>
    <row r="232" spans="2:7" x14ac:dyDescent="0.25">
      <c r="B232" s="33" t="s">
        <v>292</v>
      </c>
      <c r="C232" s="33" t="s">
        <v>302</v>
      </c>
      <c r="D232" s="33" t="s">
        <v>10405</v>
      </c>
      <c r="E232" s="33" t="s">
        <v>302</v>
      </c>
      <c r="F232" s="33" t="s">
        <v>302</v>
      </c>
      <c r="G232" s="33" t="s">
        <v>757</v>
      </c>
    </row>
    <row r="233" spans="2:7" x14ac:dyDescent="0.25">
      <c r="B233" s="33" t="s">
        <v>292</v>
      </c>
      <c r="C233" s="33" t="s">
        <v>302</v>
      </c>
      <c r="D233" s="33" t="s">
        <v>10406</v>
      </c>
      <c r="E233" s="33" t="s">
        <v>302</v>
      </c>
      <c r="F233" s="33" t="s">
        <v>302</v>
      </c>
      <c r="G233" s="33" t="s">
        <v>566</v>
      </c>
    </row>
    <row r="234" spans="2:7" x14ac:dyDescent="0.25">
      <c r="B234" s="33" t="s">
        <v>292</v>
      </c>
      <c r="C234" s="33" t="s">
        <v>302</v>
      </c>
      <c r="D234" s="33" t="s">
        <v>10407</v>
      </c>
      <c r="E234" s="33" t="s">
        <v>302</v>
      </c>
      <c r="F234" s="33" t="s">
        <v>302</v>
      </c>
      <c r="G234" s="33" t="s">
        <v>338</v>
      </c>
    </row>
    <row r="235" spans="2:7" x14ac:dyDescent="0.25">
      <c r="B235" s="33" t="s">
        <v>292</v>
      </c>
      <c r="C235" s="33" t="s">
        <v>302</v>
      </c>
      <c r="D235" s="33" t="s">
        <v>10408</v>
      </c>
      <c r="E235" s="33" t="s">
        <v>302</v>
      </c>
      <c r="F235" s="33" t="s">
        <v>302</v>
      </c>
      <c r="G235" s="33" t="s">
        <v>995</v>
      </c>
    </row>
    <row r="236" spans="2:7" x14ac:dyDescent="0.25">
      <c r="B236" s="33" t="s">
        <v>292</v>
      </c>
      <c r="C236" s="33" t="s">
        <v>302</v>
      </c>
      <c r="D236" s="33" t="s">
        <v>10409</v>
      </c>
      <c r="E236" s="33" t="s">
        <v>302</v>
      </c>
      <c r="F236" s="33" t="s">
        <v>302</v>
      </c>
      <c r="G236" s="33" t="s">
        <v>519</v>
      </c>
    </row>
    <row r="237" spans="2:7" x14ac:dyDescent="0.25">
      <c r="B237" s="33" t="s">
        <v>292</v>
      </c>
      <c r="C237" s="33" t="s">
        <v>302</v>
      </c>
      <c r="D237" s="33" t="s">
        <v>10410</v>
      </c>
      <c r="E237" s="33" t="s">
        <v>302</v>
      </c>
      <c r="F237" s="33" t="s">
        <v>302</v>
      </c>
      <c r="G237" s="33" t="s">
        <v>379</v>
      </c>
    </row>
    <row r="238" spans="2:7" x14ac:dyDescent="0.25">
      <c r="B238" s="33" t="s">
        <v>292</v>
      </c>
      <c r="C238" s="33" t="s">
        <v>302</v>
      </c>
      <c r="D238" s="33" t="s">
        <v>10411</v>
      </c>
      <c r="E238" s="33" t="s">
        <v>302</v>
      </c>
      <c r="F238" s="33" t="s">
        <v>302</v>
      </c>
      <c r="G238" s="33" t="s">
        <v>1199</v>
      </c>
    </row>
    <row r="239" spans="2:7" x14ac:dyDescent="0.25">
      <c r="B239" s="33" t="s">
        <v>292</v>
      </c>
      <c r="C239" s="33" t="s">
        <v>302</v>
      </c>
      <c r="D239" s="33" t="s">
        <v>10412</v>
      </c>
      <c r="E239" s="33" t="s">
        <v>302</v>
      </c>
      <c r="F239" s="33" t="s">
        <v>302</v>
      </c>
      <c r="G239" s="33" t="s">
        <v>1066</v>
      </c>
    </row>
    <row r="240" spans="2:7" x14ac:dyDescent="0.25">
      <c r="B240" s="33" t="s">
        <v>292</v>
      </c>
      <c r="C240" s="33" t="s">
        <v>302</v>
      </c>
      <c r="D240" s="33" t="s">
        <v>10413</v>
      </c>
      <c r="E240" s="33" t="s">
        <v>302</v>
      </c>
      <c r="F240" s="33" t="s">
        <v>302</v>
      </c>
      <c r="G240" s="33" t="s">
        <v>741</v>
      </c>
    </row>
    <row r="241" spans="2:7" x14ac:dyDescent="0.25">
      <c r="B241" s="33" t="s">
        <v>292</v>
      </c>
      <c r="C241" s="33" t="s">
        <v>302</v>
      </c>
      <c r="D241" s="33" t="s">
        <v>10414</v>
      </c>
      <c r="E241" s="33" t="s">
        <v>302</v>
      </c>
      <c r="F241" s="33" t="s">
        <v>302</v>
      </c>
      <c r="G241" s="33" t="s">
        <v>1331</v>
      </c>
    </row>
    <row r="242" spans="2:7" x14ac:dyDescent="0.25">
      <c r="B242" s="33" t="s">
        <v>292</v>
      </c>
      <c r="C242" s="33" t="s">
        <v>302</v>
      </c>
      <c r="D242" s="33" t="s">
        <v>10415</v>
      </c>
      <c r="E242" s="33" t="s">
        <v>302</v>
      </c>
      <c r="F242" s="33" t="s">
        <v>302</v>
      </c>
      <c r="G242" s="33" t="s">
        <v>1346</v>
      </c>
    </row>
    <row r="243" spans="2:7" x14ac:dyDescent="0.25">
      <c r="B243" s="33" t="s">
        <v>292</v>
      </c>
      <c r="C243" s="33" t="s">
        <v>302</v>
      </c>
      <c r="D243" s="33" t="s">
        <v>10416</v>
      </c>
      <c r="E243" s="33" t="s">
        <v>302</v>
      </c>
      <c r="F243" s="33" t="s">
        <v>302</v>
      </c>
      <c r="G243" s="33" t="s">
        <v>1202</v>
      </c>
    </row>
    <row r="244" spans="2:7" x14ac:dyDescent="0.25">
      <c r="B244" s="33" t="s">
        <v>292</v>
      </c>
      <c r="C244" s="33" t="s">
        <v>302</v>
      </c>
      <c r="D244" s="33" t="s">
        <v>10417</v>
      </c>
      <c r="E244" s="33" t="s">
        <v>302</v>
      </c>
      <c r="F244" s="33" t="s">
        <v>302</v>
      </c>
      <c r="G244" s="33" t="s">
        <v>934</v>
      </c>
    </row>
    <row r="245" spans="2:7" x14ac:dyDescent="0.25">
      <c r="B245" s="33" t="s">
        <v>292</v>
      </c>
      <c r="C245" s="33" t="s">
        <v>302</v>
      </c>
      <c r="D245" s="33" t="s">
        <v>10418</v>
      </c>
      <c r="E245" s="33" t="s">
        <v>302</v>
      </c>
      <c r="F245" s="33" t="s">
        <v>302</v>
      </c>
      <c r="G245" s="33" t="s">
        <v>483</v>
      </c>
    </row>
    <row r="246" spans="2:7" x14ac:dyDescent="0.25">
      <c r="B246" s="33" t="s">
        <v>292</v>
      </c>
      <c r="C246" s="33" t="s">
        <v>302</v>
      </c>
      <c r="D246" s="33" t="s">
        <v>10419</v>
      </c>
      <c r="E246" s="33" t="s">
        <v>302</v>
      </c>
      <c r="F246" s="33" t="s">
        <v>302</v>
      </c>
      <c r="G246" s="33" t="s">
        <v>323</v>
      </c>
    </row>
    <row r="247" spans="2:7" x14ac:dyDescent="0.25">
      <c r="B247" s="33" t="s">
        <v>292</v>
      </c>
      <c r="C247" s="33" t="s">
        <v>302</v>
      </c>
      <c r="D247" s="33" t="s">
        <v>10420</v>
      </c>
      <c r="E247" s="33" t="s">
        <v>302</v>
      </c>
      <c r="F247" s="33" t="s">
        <v>302</v>
      </c>
      <c r="G247" s="33" t="s">
        <v>1064</v>
      </c>
    </row>
    <row r="248" spans="2:7" x14ac:dyDescent="0.25">
      <c r="B248" s="33" t="s">
        <v>292</v>
      </c>
      <c r="C248" s="33" t="s">
        <v>302</v>
      </c>
      <c r="D248" s="33" t="s">
        <v>10421</v>
      </c>
      <c r="E248" s="33" t="s">
        <v>302</v>
      </c>
      <c r="F248" s="33" t="s">
        <v>302</v>
      </c>
      <c r="G248" s="33" t="s">
        <v>1175</v>
      </c>
    </row>
    <row r="249" spans="2:7" x14ac:dyDescent="0.25">
      <c r="B249" s="33" t="s">
        <v>292</v>
      </c>
      <c r="C249" s="33" t="s">
        <v>302</v>
      </c>
      <c r="D249" s="33" t="s">
        <v>10422</v>
      </c>
      <c r="E249" s="33" t="s">
        <v>302</v>
      </c>
      <c r="F249" s="33" t="s">
        <v>302</v>
      </c>
      <c r="G249" s="33" t="s">
        <v>359</v>
      </c>
    </row>
    <row r="250" spans="2:7" x14ac:dyDescent="0.25">
      <c r="B250" s="33" t="s">
        <v>292</v>
      </c>
      <c r="C250" s="33" t="s">
        <v>302</v>
      </c>
      <c r="D250" s="33" t="s">
        <v>10423</v>
      </c>
      <c r="E250" s="33" t="s">
        <v>302</v>
      </c>
      <c r="F250" s="33" t="s">
        <v>302</v>
      </c>
      <c r="G250" s="33" t="s">
        <v>1292</v>
      </c>
    </row>
    <row r="251" spans="2:7" x14ac:dyDescent="0.25">
      <c r="B251" s="33" t="s">
        <v>292</v>
      </c>
      <c r="C251" s="33" t="s">
        <v>302</v>
      </c>
      <c r="D251" s="33" t="s">
        <v>10424</v>
      </c>
      <c r="E251" s="33" t="s">
        <v>302</v>
      </c>
      <c r="F251" s="33" t="s">
        <v>302</v>
      </c>
      <c r="G251" s="33" t="s">
        <v>1039</v>
      </c>
    </row>
    <row r="252" spans="2:7" x14ac:dyDescent="0.25">
      <c r="B252" s="33" t="s">
        <v>292</v>
      </c>
      <c r="C252" s="33" t="s">
        <v>302</v>
      </c>
      <c r="D252" s="33" t="s">
        <v>10425</v>
      </c>
      <c r="E252" s="33" t="s">
        <v>302</v>
      </c>
      <c r="F252" s="33" t="s">
        <v>302</v>
      </c>
      <c r="G252" s="33" t="s">
        <v>1226</v>
      </c>
    </row>
    <row r="253" spans="2:7" x14ac:dyDescent="0.25">
      <c r="B253" s="33" t="s">
        <v>292</v>
      </c>
      <c r="C253" s="33" t="s">
        <v>302</v>
      </c>
      <c r="D253" s="33" t="s">
        <v>10426</v>
      </c>
      <c r="E253" s="33" t="s">
        <v>302</v>
      </c>
      <c r="F253" s="33" t="s">
        <v>302</v>
      </c>
      <c r="G253" s="33" t="s">
        <v>1015</v>
      </c>
    </row>
    <row r="254" spans="2:7" x14ac:dyDescent="0.25">
      <c r="B254" s="33" t="s">
        <v>292</v>
      </c>
      <c r="C254" s="33" t="s">
        <v>302</v>
      </c>
      <c r="D254" s="33" t="s">
        <v>10427</v>
      </c>
      <c r="E254" s="33" t="s">
        <v>302</v>
      </c>
      <c r="F254" s="33" t="s">
        <v>302</v>
      </c>
      <c r="G254" s="33" t="s">
        <v>991</v>
      </c>
    </row>
    <row r="255" spans="2:7" x14ac:dyDescent="0.25">
      <c r="B255" s="33" t="s">
        <v>292</v>
      </c>
      <c r="C255" s="33" t="s">
        <v>302</v>
      </c>
      <c r="D255" s="33" t="s">
        <v>10428</v>
      </c>
      <c r="E255" s="33" t="s">
        <v>302</v>
      </c>
      <c r="F255" s="33" t="s">
        <v>302</v>
      </c>
      <c r="G255" s="33" t="s">
        <v>722</v>
      </c>
    </row>
    <row r="256" spans="2:7" x14ac:dyDescent="0.25">
      <c r="B256" s="33" t="s">
        <v>292</v>
      </c>
      <c r="C256" s="33" t="s">
        <v>302</v>
      </c>
      <c r="D256" s="33" t="s">
        <v>10429</v>
      </c>
      <c r="E256" s="33" t="s">
        <v>302</v>
      </c>
      <c r="F256" s="33" t="s">
        <v>302</v>
      </c>
      <c r="G256" s="33" t="s">
        <v>1034</v>
      </c>
    </row>
    <row r="257" spans="2:7" x14ac:dyDescent="0.25">
      <c r="B257" s="33" t="s">
        <v>292</v>
      </c>
      <c r="C257" s="33" t="s">
        <v>302</v>
      </c>
      <c r="D257" s="33" t="s">
        <v>10430</v>
      </c>
      <c r="E257" s="33" t="s">
        <v>302</v>
      </c>
      <c r="F257" s="33" t="s">
        <v>302</v>
      </c>
      <c r="G257" s="33" t="s">
        <v>850</v>
      </c>
    </row>
    <row r="258" spans="2:7" x14ac:dyDescent="0.25">
      <c r="B258" s="33" t="s">
        <v>292</v>
      </c>
      <c r="C258" s="33" t="s">
        <v>302</v>
      </c>
      <c r="D258" s="33" t="s">
        <v>10431</v>
      </c>
      <c r="E258" s="33" t="s">
        <v>302</v>
      </c>
      <c r="F258" s="33" t="s">
        <v>302</v>
      </c>
      <c r="G258" s="33" t="s">
        <v>1188</v>
      </c>
    </row>
    <row r="259" spans="2:7" x14ac:dyDescent="0.25">
      <c r="B259" s="33" t="s">
        <v>292</v>
      </c>
      <c r="C259" s="33" t="s">
        <v>302</v>
      </c>
      <c r="D259" s="33" t="s">
        <v>10432</v>
      </c>
      <c r="E259" s="33" t="s">
        <v>302</v>
      </c>
      <c r="F259" s="33" t="s">
        <v>302</v>
      </c>
      <c r="G259" s="33" t="s">
        <v>457</v>
      </c>
    </row>
    <row r="260" spans="2:7" x14ac:dyDescent="0.25">
      <c r="B260" s="33" t="s">
        <v>292</v>
      </c>
      <c r="C260" s="33" t="s">
        <v>302</v>
      </c>
      <c r="D260" s="33" t="s">
        <v>10433</v>
      </c>
      <c r="E260" s="33" t="s">
        <v>302</v>
      </c>
      <c r="F260" s="33" t="s">
        <v>302</v>
      </c>
      <c r="G260" s="33" t="s">
        <v>708</v>
      </c>
    </row>
    <row r="261" spans="2:7" x14ac:dyDescent="0.25">
      <c r="B261" s="33" t="s">
        <v>292</v>
      </c>
      <c r="C261" s="33" t="s">
        <v>302</v>
      </c>
      <c r="D261" s="33" t="s">
        <v>10434</v>
      </c>
      <c r="E261" s="33" t="s">
        <v>302</v>
      </c>
      <c r="F261" s="33" t="s">
        <v>302</v>
      </c>
      <c r="G261" s="33" t="s">
        <v>1282</v>
      </c>
    </row>
    <row r="262" spans="2:7" x14ac:dyDescent="0.25">
      <c r="B262" s="33" t="s">
        <v>292</v>
      </c>
      <c r="C262" s="33" t="s">
        <v>302</v>
      </c>
      <c r="D262" s="33" t="s">
        <v>10435</v>
      </c>
      <c r="E262" s="33" t="s">
        <v>302</v>
      </c>
      <c r="F262" s="33" t="s">
        <v>302</v>
      </c>
      <c r="G262" s="33" t="s">
        <v>1065</v>
      </c>
    </row>
    <row r="263" spans="2:7" x14ac:dyDescent="0.25">
      <c r="B263" s="33" t="s">
        <v>292</v>
      </c>
      <c r="C263" s="33" t="s">
        <v>302</v>
      </c>
      <c r="D263" s="33" t="s">
        <v>10436</v>
      </c>
      <c r="E263" s="33" t="s">
        <v>302</v>
      </c>
      <c r="F263" s="33" t="s">
        <v>302</v>
      </c>
      <c r="G263" s="33" t="s">
        <v>716</v>
      </c>
    </row>
    <row r="264" spans="2:7" x14ac:dyDescent="0.25">
      <c r="B264" s="33" t="s">
        <v>292</v>
      </c>
      <c r="C264" s="33" t="s">
        <v>302</v>
      </c>
      <c r="D264" s="33" t="s">
        <v>10437</v>
      </c>
      <c r="E264" s="33" t="s">
        <v>302</v>
      </c>
      <c r="F264" s="33" t="s">
        <v>302</v>
      </c>
      <c r="G264" s="33" t="s">
        <v>1335</v>
      </c>
    </row>
    <row r="265" spans="2:7" x14ac:dyDescent="0.25">
      <c r="B265" s="33" t="s">
        <v>292</v>
      </c>
      <c r="C265" s="33" t="s">
        <v>302</v>
      </c>
      <c r="D265" s="33" t="s">
        <v>10438</v>
      </c>
      <c r="E265" s="33" t="s">
        <v>302</v>
      </c>
      <c r="F265" s="33" t="s">
        <v>302</v>
      </c>
      <c r="G265" s="33" t="s">
        <v>368</v>
      </c>
    </row>
    <row r="266" spans="2:7" x14ac:dyDescent="0.25">
      <c r="B266" s="33" t="s">
        <v>292</v>
      </c>
      <c r="C266" s="33" t="s">
        <v>302</v>
      </c>
      <c r="D266" s="33" t="s">
        <v>10439</v>
      </c>
      <c r="E266" s="33" t="s">
        <v>302</v>
      </c>
      <c r="F266" s="33" t="s">
        <v>302</v>
      </c>
      <c r="G266" s="33" t="s">
        <v>650</v>
      </c>
    </row>
    <row r="267" spans="2:7" x14ac:dyDescent="0.25">
      <c r="B267" s="33" t="s">
        <v>292</v>
      </c>
      <c r="C267" s="33" t="s">
        <v>302</v>
      </c>
      <c r="D267" s="33" t="s">
        <v>10440</v>
      </c>
      <c r="E267" s="33" t="s">
        <v>302</v>
      </c>
      <c r="F267" s="33" t="s">
        <v>302</v>
      </c>
      <c r="G267" s="33" t="s">
        <v>1194</v>
      </c>
    </row>
    <row r="268" spans="2:7" x14ac:dyDescent="0.25">
      <c r="B268" s="33" t="s">
        <v>292</v>
      </c>
      <c r="C268" s="33" t="s">
        <v>302</v>
      </c>
      <c r="D268" s="33" t="s">
        <v>10441</v>
      </c>
      <c r="E268" s="33" t="s">
        <v>302</v>
      </c>
      <c r="F268" s="33" t="s">
        <v>302</v>
      </c>
      <c r="G268" s="33" t="s">
        <v>681</v>
      </c>
    </row>
    <row r="269" spans="2:7" x14ac:dyDescent="0.25">
      <c r="B269" s="33" t="s">
        <v>292</v>
      </c>
      <c r="C269" s="33" t="s">
        <v>302</v>
      </c>
      <c r="D269" s="33" t="s">
        <v>10442</v>
      </c>
      <c r="E269" s="33" t="s">
        <v>302</v>
      </c>
      <c r="F269" s="33" t="s">
        <v>302</v>
      </c>
      <c r="G269" s="33" t="s">
        <v>569</v>
      </c>
    </row>
    <row r="270" spans="2:7" x14ac:dyDescent="0.25">
      <c r="B270" s="33" t="s">
        <v>292</v>
      </c>
      <c r="C270" s="33" t="s">
        <v>302</v>
      </c>
      <c r="D270" s="33" t="s">
        <v>10443</v>
      </c>
      <c r="E270" s="33" t="s">
        <v>302</v>
      </c>
      <c r="F270" s="33" t="s">
        <v>302</v>
      </c>
      <c r="G270" s="33" t="s">
        <v>962</v>
      </c>
    </row>
    <row r="271" spans="2:7" x14ac:dyDescent="0.25">
      <c r="B271" s="33" t="s">
        <v>292</v>
      </c>
      <c r="C271" s="33" t="s">
        <v>302</v>
      </c>
      <c r="D271" s="33" t="s">
        <v>10444</v>
      </c>
      <c r="E271" s="33" t="s">
        <v>302</v>
      </c>
      <c r="F271" s="33" t="s">
        <v>302</v>
      </c>
      <c r="G271" s="33" t="s">
        <v>1274</v>
      </c>
    </row>
    <row r="272" spans="2:7" x14ac:dyDescent="0.25">
      <c r="B272" s="33" t="s">
        <v>292</v>
      </c>
      <c r="C272" s="33" t="s">
        <v>302</v>
      </c>
      <c r="D272" s="33" t="s">
        <v>10445</v>
      </c>
      <c r="E272" s="33" t="s">
        <v>302</v>
      </c>
      <c r="F272" s="33" t="s">
        <v>302</v>
      </c>
      <c r="G272" s="33" t="s">
        <v>479</v>
      </c>
    </row>
    <row r="273" spans="2:7" x14ac:dyDescent="0.25">
      <c r="B273" s="33" t="s">
        <v>292</v>
      </c>
      <c r="C273" s="33" t="s">
        <v>302</v>
      </c>
      <c r="D273" s="33" t="s">
        <v>10446</v>
      </c>
      <c r="E273" s="33" t="s">
        <v>302</v>
      </c>
      <c r="F273" s="33" t="s">
        <v>302</v>
      </c>
      <c r="G273" s="33" t="s">
        <v>354</v>
      </c>
    </row>
    <row r="274" spans="2:7" x14ac:dyDescent="0.25">
      <c r="B274" s="33" t="s">
        <v>292</v>
      </c>
      <c r="C274" s="33" t="s">
        <v>302</v>
      </c>
      <c r="D274" s="33" t="s">
        <v>10447</v>
      </c>
      <c r="E274" s="33" t="s">
        <v>302</v>
      </c>
      <c r="F274" s="33" t="s">
        <v>302</v>
      </c>
      <c r="G274" s="33" t="s">
        <v>1162</v>
      </c>
    </row>
    <row r="275" spans="2:7" x14ac:dyDescent="0.25">
      <c r="B275" s="33" t="s">
        <v>292</v>
      </c>
      <c r="C275" s="33" t="s">
        <v>302</v>
      </c>
      <c r="D275" s="33" t="s">
        <v>10448</v>
      </c>
      <c r="E275" s="33" t="s">
        <v>302</v>
      </c>
      <c r="F275" s="33" t="s">
        <v>302</v>
      </c>
      <c r="G275" s="33" t="s">
        <v>492</v>
      </c>
    </row>
    <row r="276" spans="2:7" x14ac:dyDescent="0.25">
      <c r="B276" s="33" t="s">
        <v>292</v>
      </c>
      <c r="C276" s="33" t="s">
        <v>302</v>
      </c>
      <c r="D276" s="33" t="s">
        <v>10449</v>
      </c>
      <c r="E276" s="33" t="s">
        <v>302</v>
      </c>
      <c r="F276" s="33" t="s">
        <v>302</v>
      </c>
      <c r="G276" s="33" t="s">
        <v>1183</v>
      </c>
    </row>
    <row r="277" spans="2:7" x14ac:dyDescent="0.25">
      <c r="B277" s="33" t="s">
        <v>292</v>
      </c>
      <c r="C277" s="33" t="s">
        <v>302</v>
      </c>
      <c r="D277" s="33" t="s">
        <v>10450</v>
      </c>
      <c r="E277" s="33" t="s">
        <v>302</v>
      </c>
      <c r="F277" s="33" t="s">
        <v>302</v>
      </c>
      <c r="G277" s="33" t="s">
        <v>390</v>
      </c>
    </row>
    <row r="278" spans="2:7" x14ac:dyDescent="0.25">
      <c r="B278" s="33" t="s">
        <v>292</v>
      </c>
      <c r="C278" s="33" t="s">
        <v>302</v>
      </c>
      <c r="D278" s="33" t="s">
        <v>10451</v>
      </c>
      <c r="E278" s="33" t="s">
        <v>302</v>
      </c>
      <c r="F278" s="33" t="s">
        <v>302</v>
      </c>
      <c r="G278" s="33" t="s">
        <v>779</v>
      </c>
    </row>
    <row r="279" spans="2:7" x14ac:dyDescent="0.25">
      <c r="B279" s="33" t="s">
        <v>292</v>
      </c>
      <c r="C279" s="33" t="s">
        <v>302</v>
      </c>
      <c r="D279" s="33" t="s">
        <v>10452</v>
      </c>
      <c r="E279" s="33" t="s">
        <v>302</v>
      </c>
      <c r="F279" s="33" t="s">
        <v>302</v>
      </c>
      <c r="G279" s="33" t="s">
        <v>320</v>
      </c>
    </row>
    <row r="280" spans="2:7" x14ac:dyDescent="0.25">
      <c r="B280" s="33" t="s">
        <v>292</v>
      </c>
      <c r="C280" s="33" t="s">
        <v>302</v>
      </c>
      <c r="D280" s="33" t="s">
        <v>10453</v>
      </c>
      <c r="E280" s="33" t="s">
        <v>302</v>
      </c>
      <c r="F280" s="33" t="s">
        <v>302</v>
      </c>
      <c r="G280" s="33" t="s">
        <v>1177</v>
      </c>
    </row>
    <row r="281" spans="2:7" x14ac:dyDescent="0.25">
      <c r="B281" s="33" t="s">
        <v>292</v>
      </c>
      <c r="C281" s="33" t="s">
        <v>302</v>
      </c>
      <c r="D281" s="33" t="s">
        <v>10454</v>
      </c>
      <c r="E281" s="33" t="s">
        <v>302</v>
      </c>
      <c r="F281" s="33" t="s">
        <v>302</v>
      </c>
      <c r="G281" s="33" t="s">
        <v>980</v>
      </c>
    </row>
    <row r="282" spans="2:7" x14ac:dyDescent="0.25">
      <c r="B282" s="33" t="s">
        <v>292</v>
      </c>
      <c r="C282" s="33" t="s">
        <v>302</v>
      </c>
      <c r="D282" s="33" t="s">
        <v>10455</v>
      </c>
      <c r="E282" s="33" t="s">
        <v>302</v>
      </c>
      <c r="F282" s="33" t="s">
        <v>302</v>
      </c>
      <c r="G282" s="33" t="s">
        <v>880</v>
      </c>
    </row>
    <row r="283" spans="2:7" x14ac:dyDescent="0.25">
      <c r="B283" s="33" t="s">
        <v>292</v>
      </c>
      <c r="C283" s="33" t="s">
        <v>302</v>
      </c>
      <c r="D283" s="33" t="s">
        <v>10456</v>
      </c>
      <c r="E283" s="33" t="s">
        <v>302</v>
      </c>
      <c r="F283" s="33" t="s">
        <v>302</v>
      </c>
      <c r="G283" s="33" t="s">
        <v>1324</v>
      </c>
    </row>
    <row r="284" spans="2:7" x14ac:dyDescent="0.25">
      <c r="B284" s="33" t="s">
        <v>292</v>
      </c>
      <c r="C284" s="33" t="s">
        <v>302</v>
      </c>
      <c r="D284" s="33" t="s">
        <v>10457</v>
      </c>
      <c r="E284" s="33" t="s">
        <v>302</v>
      </c>
      <c r="F284" s="33" t="s">
        <v>302</v>
      </c>
      <c r="G284" s="33" t="s">
        <v>642</v>
      </c>
    </row>
    <row r="285" spans="2:7" x14ac:dyDescent="0.25">
      <c r="B285" s="33" t="s">
        <v>292</v>
      </c>
      <c r="C285" s="33" t="s">
        <v>302</v>
      </c>
      <c r="D285" s="33" t="s">
        <v>10458</v>
      </c>
      <c r="E285" s="33" t="s">
        <v>302</v>
      </c>
      <c r="F285" s="33" t="s">
        <v>302</v>
      </c>
      <c r="G285" s="33" t="s">
        <v>744</v>
      </c>
    </row>
    <row r="286" spans="2:7" x14ac:dyDescent="0.25">
      <c r="B286" s="33" t="s">
        <v>292</v>
      </c>
      <c r="C286" s="33" t="s">
        <v>302</v>
      </c>
      <c r="D286" s="33" t="s">
        <v>10459</v>
      </c>
      <c r="E286" s="33" t="s">
        <v>302</v>
      </c>
      <c r="F286" s="33" t="s">
        <v>302</v>
      </c>
      <c r="G286" s="33" t="s">
        <v>633</v>
      </c>
    </row>
    <row r="287" spans="2:7" x14ac:dyDescent="0.25">
      <c r="B287" s="33" t="s">
        <v>292</v>
      </c>
      <c r="C287" s="33" t="s">
        <v>302</v>
      </c>
      <c r="D287" s="33" t="s">
        <v>10460</v>
      </c>
      <c r="E287" s="33" t="s">
        <v>302</v>
      </c>
      <c r="F287" s="33" t="s">
        <v>302</v>
      </c>
      <c r="G287" s="33" t="s">
        <v>1349</v>
      </c>
    </row>
    <row r="288" spans="2:7" x14ac:dyDescent="0.25">
      <c r="B288" s="33" t="s">
        <v>292</v>
      </c>
      <c r="C288" s="33" t="s">
        <v>302</v>
      </c>
      <c r="D288" s="33" t="s">
        <v>10461</v>
      </c>
      <c r="E288" s="33" t="s">
        <v>302</v>
      </c>
      <c r="F288" s="33" t="s">
        <v>302</v>
      </c>
      <c r="G288" s="33" t="s">
        <v>695</v>
      </c>
    </row>
    <row r="289" spans="2:7" x14ac:dyDescent="0.25">
      <c r="B289" s="33" t="s">
        <v>292</v>
      </c>
      <c r="C289" s="33" t="s">
        <v>302</v>
      </c>
      <c r="D289" s="33" t="s">
        <v>10462</v>
      </c>
      <c r="E289" s="33" t="s">
        <v>302</v>
      </c>
      <c r="F289" s="33" t="s">
        <v>302</v>
      </c>
      <c r="G289" s="33" t="s">
        <v>1254</v>
      </c>
    </row>
    <row r="290" spans="2:7" x14ac:dyDescent="0.25">
      <c r="B290" s="33" t="s">
        <v>292</v>
      </c>
      <c r="C290" s="33" t="s">
        <v>302</v>
      </c>
      <c r="D290" s="33" t="s">
        <v>10463</v>
      </c>
      <c r="E290" s="33" t="s">
        <v>302</v>
      </c>
      <c r="F290" s="33" t="s">
        <v>302</v>
      </c>
      <c r="G290" s="33" t="s">
        <v>810</v>
      </c>
    </row>
    <row r="291" spans="2:7" x14ac:dyDescent="0.25">
      <c r="B291" s="33" t="s">
        <v>292</v>
      </c>
      <c r="C291" s="33" t="s">
        <v>302</v>
      </c>
      <c r="D291" s="33" t="s">
        <v>10464</v>
      </c>
      <c r="E291" s="33" t="s">
        <v>302</v>
      </c>
      <c r="F291" s="33" t="s">
        <v>302</v>
      </c>
      <c r="G291" s="33" t="s">
        <v>1248</v>
      </c>
    </row>
    <row r="292" spans="2:7" x14ac:dyDescent="0.25">
      <c r="B292" s="33" t="s">
        <v>292</v>
      </c>
      <c r="C292" s="33" t="s">
        <v>302</v>
      </c>
      <c r="D292" s="33" t="s">
        <v>10465</v>
      </c>
      <c r="E292" s="33" t="s">
        <v>302</v>
      </c>
      <c r="F292" s="33" t="s">
        <v>302</v>
      </c>
      <c r="G292" s="33" t="s">
        <v>1120</v>
      </c>
    </row>
    <row r="293" spans="2:7" x14ac:dyDescent="0.25">
      <c r="B293" s="33" t="s">
        <v>292</v>
      </c>
      <c r="C293" s="33" t="s">
        <v>302</v>
      </c>
      <c r="D293" s="33" t="s">
        <v>10466</v>
      </c>
      <c r="E293" s="33" t="s">
        <v>302</v>
      </c>
      <c r="F293" s="33" t="s">
        <v>302</v>
      </c>
      <c r="G293" s="33" t="s">
        <v>305</v>
      </c>
    </row>
    <row r="294" spans="2:7" x14ac:dyDescent="0.25">
      <c r="B294" s="33" t="s">
        <v>292</v>
      </c>
      <c r="C294" s="33" t="s">
        <v>302</v>
      </c>
      <c r="D294" s="33" t="s">
        <v>10467</v>
      </c>
      <c r="E294" s="33" t="s">
        <v>302</v>
      </c>
      <c r="F294" s="33" t="s">
        <v>302</v>
      </c>
      <c r="G294" s="33" t="s">
        <v>668</v>
      </c>
    </row>
    <row r="295" spans="2:7" x14ac:dyDescent="0.25">
      <c r="B295" s="33" t="s">
        <v>292</v>
      </c>
      <c r="C295" s="33" t="s">
        <v>302</v>
      </c>
      <c r="D295" s="33" t="s">
        <v>10468</v>
      </c>
      <c r="E295" s="33" t="s">
        <v>302</v>
      </c>
      <c r="F295" s="33" t="s">
        <v>302</v>
      </c>
      <c r="G295" s="33" t="s">
        <v>404</v>
      </c>
    </row>
    <row r="296" spans="2:7" x14ac:dyDescent="0.25">
      <c r="B296" s="33" t="s">
        <v>292</v>
      </c>
      <c r="C296" s="33" t="s">
        <v>302</v>
      </c>
      <c r="D296" s="33" t="s">
        <v>10469</v>
      </c>
      <c r="E296" s="33" t="s">
        <v>302</v>
      </c>
      <c r="F296" s="33" t="s">
        <v>302</v>
      </c>
      <c r="G296" s="33" t="s">
        <v>316</v>
      </c>
    </row>
    <row r="297" spans="2:7" x14ac:dyDescent="0.25">
      <c r="B297" s="33" t="s">
        <v>292</v>
      </c>
      <c r="C297" s="33" t="s">
        <v>302</v>
      </c>
      <c r="D297" s="33" t="s">
        <v>10470</v>
      </c>
      <c r="E297" s="33" t="s">
        <v>302</v>
      </c>
      <c r="F297" s="33" t="s">
        <v>302</v>
      </c>
      <c r="G297" s="33" t="s">
        <v>1164</v>
      </c>
    </row>
    <row r="298" spans="2:7" x14ac:dyDescent="0.25">
      <c r="B298" s="33" t="s">
        <v>292</v>
      </c>
      <c r="C298" s="33" t="s">
        <v>302</v>
      </c>
      <c r="D298" s="33" t="s">
        <v>10471</v>
      </c>
      <c r="E298" s="33" t="s">
        <v>302</v>
      </c>
      <c r="F298" s="33" t="s">
        <v>302</v>
      </c>
      <c r="G298" s="33" t="s">
        <v>754</v>
      </c>
    </row>
    <row r="299" spans="2:7" x14ac:dyDescent="0.25">
      <c r="B299" s="33" t="s">
        <v>292</v>
      </c>
      <c r="C299" s="33" t="s">
        <v>302</v>
      </c>
      <c r="D299" s="33" t="s">
        <v>10472</v>
      </c>
      <c r="E299" s="33" t="s">
        <v>302</v>
      </c>
      <c r="F299" s="33" t="s">
        <v>302</v>
      </c>
      <c r="G299" s="33" t="s">
        <v>886</v>
      </c>
    </row>
    <row r="300" spans="2:7" x14ac:dyDescent="0.25">
      <c r="B300" s="33" t="s">
        <v>292</v>
      </c>
      <c r="C300" s="33" t="s">
        <v>302</v>
      </c>
      <c r="D300" s="33" t="s">
        <v>10473</v>
      </c>
      <c r="E300" s="33" t="s">
        <v>302</v>
      </c>
      <c r="F300" s="33" t="s">
        <v>302</v>
      </c>
      <c r="G300" s="33" t="s">
        <v>319</v>
      </c>
    </row>
    <row r="301" spans="2:7" x14ac:dyDescent="0.25">
      <c r="B301" s="33" t="s">
        <v>292</v>
      </c>
      <c r="C301" s="33" t="s">
        <v>302</v>
      </c>
      <c r="D301" s="33" t="s">
        <v>10474</v>
      </c>
      <c r="E301" s="33" t="s">
        <v>302</v>
      </c>
      <c r="F301" s="33" t="s">
        <v>302</v>
      </c>
      <c r="G301" s="33" t="s">
        <v>1305</v>
      </c>
    </row>
    <row r="302" spans="2:7" x14ac:dyDescent="0.25">
      <c r="B302" s="33" t="s">
        <v>292</v>
      </c>
      <c r="C302" s="33" t="s">
        <v>302</v>
      </c>
      <c r="D302" s="33" t="s">
        <v>10475</v>
      </c>
      <c r="E302" s="33" t="s">
        <v>302</v>
      </c>
      <c r="F302" s="33" t="s">
        <v>302</v>
      </c>
      <c r="G302" s="33" t="s">
        <v>951</v>
      </c>
    </row>
    <row r="303" spans="2:7" x14ac:dyDescent="0.25">
      <c r="B303" s="33" t="s">
        <v>292</v>
      </c>
      <c r="C303" s="33" t="s">
        <v>302</v>
      </c>
      <c r="D303" s="33" t="s">
        <v>10476</v>
      </c>
      <c r="E303" s="33" t="s">
        <v>302</v>
      </c>
      <c r="F303" s="33" t="s">
        <v>302</v>
      </c>
      <c r="G303" s="33" t="s">
        <v>1157</v>
      </c>
    </row>
    <row r="304" spans="2:7" x14ac:dyDescent="0.25">
      <c r="B304" s="33" t="s">
        <v>292</v>
      </c>
      <c r="C304" s="33" t="s">
        <v>302</v>
      </c>
      <c r="D304" s="33" t="s">
        <v>10477</v>
      </c>
      <c r="E304" s="33" t="s">
        <v>302</v>
      </c>
      <c r="F304" s="33" t="s">
        <v>302</v>
      </c>
      <c r="G304" s="33" t="s">
        <v>1219</v>
      </c>
    </row>
    <row r="305" spans="2:7" x14ac:dyDescent="0.25">
      <c r="B305" s="33" t="s">
        <v>292</v>
      </c>
      <c r="C305" s="33" t="s">
        <v>302</v>
      </c>
      <c r="D305" s="33" t="s">
        <v>10478</v>
      </c>
      <c r="E305" s="33" t="s">
        <v>302</v>
      </c>
      <c r="F305" s="33" t="s">
        <v>302</v>
      </c>
      <c r="G305" s="33" t="s">
        <v>550</v>
      </c>
    </row>
    <row r="306" spans="2:7" x14ac:dyDescent="0.25">
      <c r="B306" s="33" t="s">
        <v>292</v>
      </c>
      <c r="C306" s="33" t="s">
        <v>302</v>
      </c>
      <c r="D306" s="33" t="s">
        <v>10479</v>
      </c>
      <c r="E306" s="33" t="s">
        <v>302</v>
      </c>
      <c r="F306" s="33" t="s">
        <v>302</v>
      </c>
      <c r="G306" s="33" t="s">
        <v>1000</v>
      </c>
    </row>
    <row r="307" spans="2:7" x14ac:dyDescent="0.25">
      <c r="B307" s="33" t="s">
        <v>292</v>
      </c>
      <c r="C307" s="33" t="s">
        <v>302</v>
      </c>
      <c r="D307" s="33" t="s">
        <v>10480</v>
      </c>
      <c r="E307" s="33" t="s">
        <v>302</v>
      </c>
      <c r="F307" s="33" t="s">
        <v>302</v>
      </c>
      <c r="G307" s="33" t="s">
        <v>574</v>
      </c>
    </row>
    <row r="308" spans="2:7" x14ac:dyDescent="0.25">
      <c r="B308" s="33" t="s">
        <v>292</v>
      </c>
      <c r="C308" s="33" t="s">
        <v>302</v>
      </c>
      <c r="D308" s="33" t="s">
        <v>10481</v>
      </c>
      <c r="E308" s="33" t="s">
        <v>302</v>
      </c>
      <c r="F308" s="33" t="s">
        <v>302</v>
      </c>
      <c r="G308" s="33" t="s">
        <v>1037</v>
      </c>
    </row>
    <row r="309" spans="2:7" x14ac:dyDescent="0.25">
      <c r="B309" s="33" t="s">
        <v>292</v>
      </c>
      <c r="C309" s="33" t="s">
        <v>302</v>
      </c>
      <c r="D309" s="33" t="s">
        <v>10482</v>
      </c>
      <c r="E309" s="33" t="s">
        <v>302</v>
      </c>
      <c r="F309" s="33" t="s">
        <v>302</v>
      </c>
      <c r="G309" s="33" t="s">
        <v>986</v>
      </c>
    </row>
    <row r="310" spans="2:7" x14ac:dyDescent="0.25">
      <c r="B310" s="33" t="s">
        <v>292</v>
      </c>
      <c r="C310" s="33" t="s">
        <v>302</v>
      </c>
      <c r="D310" s="33" t="s">
        <v>10483</v>
      </c>
      <c r="E310" s="33" t="s">
        <v>302</v>
      </c>
      <c r="F310" s="33" t="s">
        <v>302</v>
      </c>
      <c r="G310" s="33" t="s">
        <v>392</v>
      </c>
    </row>
    <row r="311" spans="2:7" x14ac:dyDescent="0.25">
      <c r="B311" s="33" t="s">
        <v>292</v>
      </c>
      <c r="C311" s="33" t="s">
        <v>302</v>
      </c>
      <c r="D311" s="33" t="s">
        <v>10484</v>
      </c>
      <c r="E311" s="33" t="s">
        <v>302</v>
      </c>
      <c r="F311" s="33" t="s">
        <v>302</v>
      </c>
      <c r="G311" s="33" t="s">
        <v>1304</v>
      </c>
    </row>
    <row r="312" spans="2:7" x14ac:dyDescent="0.25">
      <c r="B312" s="33" t="s">
        <v>292</v>
      </c>
      <c r="C312" s="33" t="s">
        <v>302</v>
      </c>
      <c r="D312" s="33" t="s">
        <v>10485</v>
      </c>
      <c r="E312" s="33" t="s">
        <v>302</v>
      </c>
      <c r="F312" s="33" t="s">
        <v>302</v>
      </c>
      <c r="G312" s="33" t="s">
        <v>697</v>
      </c>
    </row>
    <row r="313" spans="2:7" x14ac:dyDescent="0.25">
      <c r="B313" s="33" t="s">
        <v>292</v>
      </c>
      <c r="C313" s="33" t="s">
        <v>302</v>
      </c>
      <c r="D313" s="33" t="s">
        <v>10486</v>
      </c>
      <c r="E313" s="33" t="s">
        <v>302</v>
      </c>
      <c r="F313" s="33" t="s">
        <v>302</v>
      </c>
      <c r="G313" s="33" t="s">
        <v>1277</v>
      </c>
    </row>
    <row r="314" spans="2:7" x14ac:dyDescent="0.25">
      <c r="B314" s="33" t="s">
        <v>292</v>
      </c>
      <c r="C314" s="33" t="s">
        <v>302</v>
      </c>
      <c r="D314" s="33" t="s">
        <v>10487</v>
      </c>
      <c r="E314" s="33" t="s">
        <v>302</v>
      </c>
      <c r="F314" s="33" t="s">
        <v>302</v>
      </c>
      <c r="G314" s="33" t="s">
        <v>1137</v>
      </c>
    </row>
    <row r="315" spans="2:7" x14ac:dyDescent="0.25">
      <c r="B315" s="33" t="s">
        <v>292</v>
      </c>
      <c r="C315" s="33" t="s">
        <v>302</v>
      </c>
      <c r="D315" s="33" t="s">
        <v>10488</v>
      </c>
      <c r="E315" s="33" t="s">
        <v>302</v>
      </c>
      <c r="F315" s="33" t="s">
        <v>302</v>
      </c>
      <c r="G315" s="33" t="s">
        <v>422</v>
      </c>
    </row>
    <row r="316" spans="2:7" x14ac:dyDescent="0.25">
      <c r="B316" s="33" t="s">
        <v>292</v>
      </c>
      <c r="C316" s="33" t="s">
        <v>302</v>
      </c>
      <c r="D316" s="33" t="s">
        <v>10489</v>
      </c>
      <c r="E316" s="33" t="s">
        <v>302</v>
      </c>
      <c r="F316" s="33" t="s">
        <v>302</v>
      </c>
      <c r="G316" s="33" t="s">
        <v>366</v>
      </c>
    </row>
    <row r="317" spans="2:7" x14ac:dyDescent="0.25">
      <c r="B317" s="33" t="s">
        <v>292</v>
      </c>
      <c r="C317" s="33" t="s">
        <v>302</v>
      </c>
      <c r="D317" s="33" t="s">
        <v>10490</v>
      </c>
      <c r="E317" s="33" t="s">
        <v>302</v>
      </c>
      <c r="F317" s="33" t="s">
        <v>302</v>
      </c>
      <c r="G317" s="33" t="s">
        <v>645</v>
      </c>
    </row>
    <row r="318" spans="2:7" x14ac:dyDescent="0.25">
      <c r="B318" s="33" t="s">
        <v>292</v>
      </c>
      <c r="C318" s="33" t="s">
        <v>302</v>
      </c>
      <c r="D318" s="33" t="s">
        <v>10491</v>
      </c>
      <c r="E318" s="33" t="s">
        <v>302</v>
      </c>
      <c r="F318" s="33" t="s">
        <v>302</v>
      </c>
      <c r="G318" s="33" t="s">
        <v>683</v>
      </c>
    </row>
    <row r="319" spans="2:7" x14ac:dyDescent="0.25">
      <c r="B319" s="33" t="s">
        <v>292</v>
      </c>
      <c r="C319" s="33" t="s">
        <v>302</v>
      </c>
      <c r="D319" s="33" t="s">
        <v>10492</v>
      </c>
      <c r="E319" s="33" t="s">
        <v>302</v>
      </c>
      <c r="F319" s="33" t="s">
        <v>302</v>
      </c>
      <c r="G319" s="33" t="s">
        <v>1035</v>
      </c>
    </row>
    <row r="320" spans="2:7" x14ac:dyDescent="0.25">
      <c r="B320" s="33" t="s">
        <v>292</v>
      </c>
      <c r="C320" s="33" t="s">
        <v>302</v>
      </c>
      <c r="D320" s="33" t="s">
        <v>10493</v>
      </c>
      <c r="E320" s="33" t="s">
        <v>302</v>
      </c>
      <c r="F320" s="33" t="s">
        <v>302</v>
      </c>
      <c r="G320" s="33" t="s">
        <v>512</v>
      </c>
    </row>
    <row r="321" spans="2:7" x14ac:dyDescent="0.25">
      <c r="B321" s="33" t="s">
        <v>292</v>
      </c>
      <c r="C321" s="33" t="s">
        <v>302</v>
      </c>
      <c r="D321" s="33" t="s">
        <v>10494</v>
      </c>
      <c r="E321" s="33" t="s">
        <v>302</v>
      </c>
      <c r="F321" s="33" t="s">
        <v>302</v>
      </c>
      <c r="G321" s="33" t="s">
        <v>891</v>
      </c>
    </row>
    <row r="322" spans="2:7" x14ac:dyDescent="0.25">
      <c r="B322" s="33" t="s">
        <v>292</v>
      </c>
      <c r="C322" s="33" t="s">
        <v>302</v>
      </c>
      <c r="D322" s="33" t="s">
        <v>10495</v>
      </c>
      <c r="E322" s="33" t="s">
        <v>302</v>
      </c>
      <c r="F322" s="33" t="s">
        <v>302</v>
      </c>
      <c r="G322" s="33" t="s">
        <v>840</v>
      </c>
    </row>
    <row r="323" spans="2:7" x14ac:dyDescent="0.25">
      <c r="B323" s="33" t="s">
        <v>292</v>
      </c>
      <c r="C323" s="33" t="s">
        <v>302</v>
      </c>
      <c r="D323" s="33" t="s">
        <v>10496</v>
      </c>
      <c r="E323" s="33" t="s">
        <v>302</v>
      </c>
      <c r="F323" s="33" t="s">
        <v>302</v>
      </c>
      <c r="G323" s="33" t="s">
        <v>333</v>
      </c>
    </row>
    <row r="324" spans="2:7" x14ac:dyDescent="0.25">
      <c r="B324" s="33" t="s">
        <v>292</v>
      </c>
      <c r="C324" s="33" t="s">
        <v>302</v>
      </c>
      <c r="D324" s="33" t="s">
        <v>10497</v>
      </c>
      <c r="E324" s="33" t="s">
        <v>302</v>
      </c>
      <c r="F324" s="33" t="s">
        <v>302</v>
      </c>
      <c r="G324" s="33" t="s">
        <v>1128</v>
      </c>
    </row>
    <row r="325" spans="2:7" x14ac:dyDescent="0.25">
      <c r="B325" s="33" t="s">
        <v>292</v>
      </c>
      <c r="C325" s="33" t="s">
        <v>302</v>
      </c>
      <c r="D325" s="33" t="s">
        <v>10498</v>
      </c>
      <c r="E325" s="33" t="s">
        <v>302</v>
      </c>
      <c r="F325" s="33" t="s">
        <v>302</v>
      </c>
      <c r="G325" s="33" t="s">
        <v>1217</v>
      </c>
    </row>
    <row r="326" spans="2:7" x14ac:dyDescent="0.25">
      <c r="B326" s="33" t="s">
        <v>292</v>
      </c>
      <c r="C326" s="33" t="s">
        <v>302</v>
      </c>
      <c r="D326" s="33" t="s">
        <v>10499</v>
      </c>
      <c r="E326" s="33" t="s">
        <v>302</v>
      </c>
      <c r="F326" s="33" t="s">
        <v>302</v>
      </c>
      <c r="G326" s="33" t="s">
        <v>1048</v>
      </c>
    </row>
    <row r="327" spans="2:7" x14ac:dyDescent="0.25">
      <c r="B327" s="33" t="s">
        <v>292</v>
      </c>
      <c r="C327" s="33" t="s">
        <v>302</v>
      </c>
      <c r="D327" s="33" t="s">
        <v>10500</v>
      </c>
      <c r="E327" s="33" t="s">
        <v>302</v>
      </c>
      <c r="F327" s="33" t="s">
        <v>302</v>
      </c>
      <c r="G327" s="33" t="s">
        <v>756</v>
      </c>
    </row>
    <row r="328" spans="2:7" x14ac:dyDescent="0.25">
      <c r="B328" s="33" t="s">
        <v>292</v>
      </c>
      <c r="C328" s="33" t="s">
        <v>302</v>
      </c>
      <c r="D328" s="33" t="s">
        <v>10501</v>
      </c>
      <c r="E328" s="33" t="s">
        <v>302</v>
      </c>
      <c r="F328" s="33" t="s">
        <v>302</v>
      </c>
      <c r="G328" s="33" t="s">
        <v>930</v>
      </c>
    </row>
    <row r="329" spans="2:7" x14ac:dyDescent="0.25">
      <c r="B329" s="33" t="s">
        <v>292</v>
      </c>
      <c r="C329" s="33" t="s">
        <v>302</v>
      </c>
      <c r="D329" s="33" t="s">
        <v>10502</v>
      </c>
      <c r="E329" s="33" t="s">
        <v>302</v>
      </c>
      <c r="F329" s="33" t="s">
        <v>302</v>
      </c>
      <c r="G329" s="33" t="s">
        <v>1077</v>
      </c>
    </row>
    <row r="330" spans="2:7" x14ac:dyDescent="0.25">
      <c r="B330" s="33" t="s">
        <v>292</v>
      </c>
      <c r="C330" s="33" t="s">
        <v>302</v>
      </c>
      <c r="D330" s="33" t="s">
        <v>10503</v>
      </c>
      <c r="E330" s="33" t="s">
        <v>302</v>
      </c>
      <c r="F330" s="33" t="s">
        <v>302</v>
      </c>
      <c r="G330" s="33" t="s">
        <v>839</v>
      </c>
    </row>
    <row r="331" spans="2:7" x14ac:dyDescent="0.25">
      <c r="B331" s="33" t="s">
        <v>292</v>
      </c>
      <c r="C331" s="33" t="s">
        <v>302</v>
      </c>
      <c r="D331" s="33" t="s">
        <v>10504</v>
      </c>
      <c r="E331" s="33" t="s">
        <v>302</v>
      </c>
      <c r="F331" s="33" t="s">
        <v>302</v>
      </c>
      <c r="G331" s="33" t="s">
        <v>989</v>
      </c>
    </row>
    <row r="332" spans="2:7" x14ac:dyDescent="0.25">
      <c r="B332" s="33" t="s">
        <v>292</v>
      </c>
      <c r="C332" s="33" t="s">
        <v>302</v>
      </c>
      <c r="D332" s="33" t="s">
        <v>10505</v>
      </c>
      <c r="E332" s="33" t="s">
        <v>302</v>
      </c>
      <c r="F332" s="33" t="s">
        <v>302</v>
      </c>
      <c r="G332" s="33" t="s">
        <v>1104</v>
      </c>
    </row>
    <row r="333" spans="2:7" x14ac:dyDescent="0.25">
      <c r="B333" s="33" t="s">
        <v>292</v>
      </c>
      <c r="C333" s="33" t="s">
        <v>302</v>
      </c>
      <c r="D333" s="33" t="s">
        <v>10506</v>
      </c>
      <c r="E333" s="33" t="s">
        <v>302</v>
      </c>
      <c r="F333" s="33" t="s">
        <v>302</v>
      </c>
      <c r="G333" s="33" t="s">
        <v>588</v>
      </c>
    </row>
    <row r="334" spans="2:7" x14ac:dyDescent="0.25">
      <c r="B334" s="33" t="s">
        <v>292</v>
      </c>
      <c r="C334" s="33" t="s">
        <v>302</v>
      </c>
      <c r="D334" s="33" t="s">
        <v>10507</v>
      </c>
      <c r="E334" s="33" t="s">
        <v>302</v>
      </c>
      <c r="F334" s="33" t="s">
        <v>302</v>
      </c>
      <c r="G334" s="33" t="s">
        <v>699</v>
      </c>
    </row>
    <row r="335" spans="2:7" x14ac:dyDescent="0.25">
      <c r="B335" s="33" t="s">
        <v>292</v>
      </c>
      <c r="C335" s="33" t="s">
        <v>302</v>
      </c>
      <c r="D335" s="33" t="s">
        <v>10508</v>
      </c>
      <c r="E335" s="33" t="s">
        <v>302</v>
      </c>
      <c r="F335" s="33" t="s">
        <v>302</v>
      </c>
      <c r="G335" s="33" t="s">
        <v>608</v>
      </c>
    </row>
    <row r="336" spans="2:7" x14ac:dyDescent="0.25">
      <c r="B336" s="33" t="s">
        <v>292</v>
      </c>
      <c r="C336" s="33" t="s">
        <v>302</v>
      </c>
      <c r="D336" s="33" t="s">
        <v>10509</v>
      </c>
      <c r="E336" s="33" t="s">
        <v>302</v>
      </c>
      <c r="F336" s="33" t="s">
        <v>302</v>
      </c>
      <c r="G336" s="33" t="s">
        <v>1278</v>
      </c>
    </row>
    <row r="337" spans="2:7" x14ac:dyDescent="0.25">
      <c r="B337" s="33" t="s">
        <v>292</v>
      </c>
      <c r="C337" s="33" t="s">
        <v>302</v>
      </c>
      <c r="D337" s="33" t="s">
        <v>10510</v>
      </c>
      <c r="E337" s="33" t="s">
        <v>302</v>
      </c>
      <c r="F337" s="33" t="s">
        <v>302</v>
      </c>
      <c r="G337" s="33" t="s">
        <v>849</v>
      </c>
    </row>
    <row r="338" spans="2:7" x14ac:dyDescent="0.25">
      <c r="B338" s="33" t="s">
        <v>292</v>
      </c>
      <c r="C338" s="33" t="s">
        <v>302</v>
      </c>
      <c r="D338" s="33" t="s">
        <v>10511</v>
      </c>
      <c r="E338" s="33" t="s">
        <v>302</v>
      </c>
      <c r="F338" s="33" t="s">
        <v>302</v>
      </c>
      <c r="G338" s="33" t="s">
        <v>936</v>
      </c>
    </row>
    <row r="339" spans="2:7" x14ac:dyDescent="0.25">
      <c r="B339" s="33" t="s">
        <v>292</v>
      </c>
      <c r="C339" s="33" t="s">
        <v>302</v>
      </c>
      <c r="D339" s="33" t="s">
        <v>10512</v>
      </c>
      <c r="E339" s="33" t="s">
        <v>302</v>
      </c>
      <c r="F339" s="33" t="s">
        <v>302</v>
      </c>
      <c r="G339" s="33" t="s">
        <v>1170</v>
      </c>
    </row>
    <row r="340" spans="2:7" x14ac:dyDescent="0.25">
      <c r="B340" s="33" t="s">
        <v>292</v>
      </c>
      <c r="C340" s="33" t="s">
        <v>302</v>
      </c>
      <c r="D340" s="33" t="s">
        <v>10513</v>
      </c>
      <c r="E340" s="33" t="s">
        <v>302</v>
      </c>
      <c r="F340" s="33" t="s">
        <v>302</v>
      </c>
      <c r="G340" s="33" t="s">
        <v>618</v>
      </c>
    </row>
    <row r="341" spans="2:7" x14ac:dyDescent="0.25">
      <c r="B341" s="33" t="s">
        <v>292</v>
      </c>
      <c r="C341" s="33" t="s">
        <v>302</v>
      </c>
      <c r="D341" s="33" t="s">
        <v>10514</v>
      </c>
      <c r="E341" s="33" t="s">
        <v>302</v>
      </c>
      <c r="F341" s="33" t="s">
        <v>302</v>
      </c>
      <c r="G341" s="33" t="s">
        <v>1253</v>
      </c>
    </row>
    <row r="342" spans="2:7" x14ac:dyDescent="0.25">
      <c r="B342" s="33" t="s">
        <v>292</v>
      </c>
      <c r="C342" s="33" t="s">
        <v>302</v>
      </c>
      <c r="D342" s="33" t="s">
        <v>10515</v>
      </c>
      <c r="E342" s="33" t="s">
        <v>302</v>
      </c>
      <c r="F342" s="33" t="s">
        <v>302</v>
      </c>
      <c r="G342" s="33" t="s">
        <v>1196</v>
      </c>
    </row>
    <row r="343" spans="2:7" x14ac:dyDescent="0.25">
      <c r="B343" s="33" t="s">
        <v>292</v>
      </c>
      <c r="C343" s="33" t="s">
        <v>302</v>
      </c>
      <c r="D343" s="33" t="s">
        <v>10516</v>
      </c>
      <c r="E343" s="33" t="s">
        <v>302</v>
      </c>
      <c r="F343" s="33" t="s">
        <v>302</v>
      </c>
      <c r="G343" s="33" t="s">
        <v>343</v>
      </c>
    </row>
    <row r="344" spans="2:7" x14ac:dyDescent="0.25">
      <c r="B344" s="33" t="s">
        <v>292</v>
      </c>
      <c r="C344" s="33" t="s">
        <v>302</v>
      </c>
      <c r="D344" s="33" t="s">
        <v>10517</v>
      </c>
      <c r="E344" s="33" t="s">
        <v>302</v>
      </c>
      <c r="F344" s="33" t="s">
        <v>302</v>
      </c>
      <c r="G344" s="33" t="s">
        <v>621</v>
      </c>
    </row>
    <row r="345" spans="2:7" x14ac:dyDescent="0.25">
      <c r="B345" s="33" t="s">
        <v>292</v>
      </c>
      <c r="C345" s="33" t="s">
        <v>302</v>
      </c>
      <c r="D345" s="33" t="s">
        <v>10518</v>
      </c>
      <c r="E345" s="33" t="s">
        <v>302</v>
      </c>
      <c r="F345" s="33" t="s">
        <v>302</v>
      </c>
      <c r="G345" s="33" t="s">
        <v>709</v>
      </c>
    </row>
    <row r="346" spans="2:7" x14ac:dyDescent="0.25">
      <c r="B346" s="33" t="s">
        <v>292</v>
      </c>
      <c r="C346" s="33" t="s">
        <v>302</v>
      </c>
      <c r="D346" s="33" t="s">
        <v>10519</v>
      </c>
      <c r="E346" s="33" t="s">
        <v>302</v>
      </c>
      <c r="F346" s="33" t="s">
        <v>302</v>
      </c>
      <c r="G346" s="33" t="s">
        <v>1355</v>
      </c>
    </row>
    <row r="347" spans="2:7" x14ac:dyDescent="0.25">
      <c r="B347" s="33" t="s">
        <v>292</v>
      </c>
      <c r="C347" s="33" t="s">
        <v>302</v>
      </c>
      <c r="D347" s="33" t="s">
        <v>10520</v>
      </c>
      <c r="E347" s="33" t="s">
        <v>302</v>
      </c>
      <c r="F347" s="33" t="s">
        <v>302</v>
      </c>
      <c r="G347" s="33" t="s">
        <v>380</v>
      </c>
    </row>
    <row r="348" spans="2:7" x14ac:dyDescent="0.25">
      <c r="B348" s="33" t="s">
        <v>292</v>
      </c>
      <c r="C348" s="33" t="s">
        <v>302</v>
      </c>
      <c r="D348" s="33" t="s">
        <v>10521</v>
      </c>
      <c r="E348" s="33" t="s">
        <v>302</v>
      </c>
      <c r="F348" s="33" t="s">
        <v>302</v>
      </c>
      <c r="G348" s="33" t="s">
        <v>525</v>
      </c>
    </row>
    <row r="349" spans="2:7" x14ac:dyDescent="0.25">
      <c r="B349" s="33" t="s">
        <v>292</v>
      </c>
      <c r="C349" s="33" t="s">
        <v>302</v>
      </c>
      <c r="D349" s="33" t="s">
        <v>10522</v>
      </c>
      <c r="E349" s="33" t="s">
        <v>302</v>
      </c>
      <c r="F349" s="33" t="s">
        <v>302</v>
      </c>
      <c r="G349" s="33" t="s">
        <v>1049</v>
      </c>
    </row>
    <row r="350" spans="2:7" x14ac:dyDescent="0.25">
      <c r="B350" s="33" t="s">
        <v>292</v>
      </c>
      <c r="C350" s="33" t="s">
        <v>302</v>
      </c>
      <c r="D350" s="33" t="s">
        <v>10523</v>
      </c>
      <c r="E350" s="33" t="s">
        <v>302</v>
      </c>
      <c r="F350" s="33" t="s">
        <v>302</v>
      </c>
      <c r="G350" s="33" t="s">
        <v>1376</v>
      </c>
    </row>
    <row r="351" spans="2:7" x14ac:dyDescent="0.25">
      <c r="B351" s="33" t="s">
        <v>292</v>
      </c>
      <c r="C351" s="33" t="s">
        <v>302</v>
      </c>
      <c r="D351" s="33" t="s">
        <v>10524</v>
      </c>
      <c r="E351" s="33" t="s">
        <v>302</v>
      </c>
      <c r="F351" s="33" t="s">
        <v>302</v>
      </c>
      <c r="G351" s="33" t="s">
        <v>883</v>
      </c>
    </row>
    <row r="352" spans="2:7" x14ac:dyDescent="0.25">
      <c r="B352" s="33" t="s">
        <v>292</v>
      </c>
      <c r="C352" s="33" t="s">
        <v>302</v>
      </c>
      <c r="D352" s="33" t="s">
        <v>10525</v>
      </c>
      <c r="E352" s="33" t="s">
        <v>302</v>
      </c>
      <c r="F352" s="33" t="s">
        <v>302</v>
      </c>
      <c r="G352" s="33" t="s">
        <v>1232</v>
      </c>
    </row>
    <row r="353" spans="2:7" x14ac:dyDescent="0.25">
      <c r="B353" s="33" t="s">
        <v>292</v>
      </c>
      <c r="C353" s="33" t="s">
        <v>302</v>
      </c>
      <c r="D353" s="33" t="s">
        <v>10526</v>
      </c>
      <c r="E353" s="33" t="s">
        <v>302</v>
      </c>
      <c r="F353" s="33" t="s">
        <v>302</v>
      </c>
      <c r="G353" s="33" t="s">
        <v>628</v>
      </c>
    </row>
    <row r="354" spans="2:7" x14ac:dyDescent="0.25">
      <c r="B354" s="33" t="s">
        <v>292</v>
      </c>
      <c r="C354" s="33" t="s">
        <v>302</v>
      </c>
      <c r="D354" s="33" t="s">
        <v>10527</v>
      </c>
      <c r="E354" s="33" t="s">
        <v>302</v>
      </c>
      <c r="F354" s="33" t="s">
        <v>302</v>
      </c>
      <c r="G354" s="33" t="s">
        <v>1228</v>
      </c>
    </row>
    <row r="355" spans="2:7" x14ac:dyDescent="0.25">
      <c r="B355" s="33" t="s">
        <v>292</v>
      </c>
      <c r="C355" s="33" t="s">
        <v>302</v>
      </c>
      <c r="D355" s="33" t="s">
        <v>10528</v>
      </c>
      <c r="E355" s="33" t="s">
        <v>302</v>
      </c>
      <c r="F355" s="33" t="s">
        <v>302</v>
      </c>
      <c r="G355" s="33" t="s">
        <v>590</v>
      </c>
    </row>
    <row r="356" spans="2:7" x14ac:dyDescent="0.25">
      <c r="B356" s="33" t="s">
        <v>292</v>
      </c>
      <c r="C356" s="33" t="s">
        <v>302</v>
      </c>
      <c r="D356" s="33" t="s">
        <v>10529</v>
      </c>
      <c r="E356" s="33" t="s">
        <v>302</v>
      </c>
      <c r="F356" s="33" t="s">
        <v>302</v>
      </c>
      <c r="G356" s="33" t="s">
        <v>1119</v>
      </c>
    </row>
    <row r="357" spans="2:7" x14ac:dyDescent="0.25">
      <c r="B357" s="33" t="s">
        <v>292</v>
      </c>
      <c r="C357" s="33" t="s">
        <v>302</v>
      </c>
      <c r="D357" s="33" t="s">
        <v>10530</v>
      </c>
      <c r="E357" s="33" t="s">
        <v>302</v>
      </c>
      <c r="F357" s="33" t="s">
        <v>302</v>
      </c>
      <c r="G357" s="33" t="s">
        <v>559</v>
      </c>
    </row>
    <row r="358" spans="2:7" x14ac:dyDescent="0.25">
      <c r="B358" s="33" t="s">
        <v>292</v>
      </c>
      <c r="C358" s="33" t="s">
        <v>302</v>
      </c>
      <c r="D358" s="33" t="s">
        <v>10531</v>
      </c>
      <c r="E358" s="33" t="s">
        <v>302</v>
      </c>
      <c r="F358" s="33" t="s">
        <v>302</v>
      </c>
      <c r="G358" s="33" t="s">
        <v>586</v>
      </c>
    </row>
    <row r="359" spans="2:7" x14ac:dyDescent="0.25">
      <c r="B359" s="33" t="s">
        <v>292</v>
      </c>
      <c r="C359" s="33" t="s">
        <v>302</v>
      </c>
      <c r="D359" s="33" t="s">
        <v>10532</v>
      </c>
      <c r="E359" s="33" t="s">
        <v>302</v>
      </c>
      <c r="F359" s="33" t="s">
        <v>302</v>
      </c>
      <c r="G359" s="33" t="s">
        <v>523</v>
      </c>
    </row>
    <row r="360" spans="2:7" x14ac:dyDescent="0.25">
      <c r="B360" s="33" t="s">
        <v>292</v>
      </c>
      <c r="C360" s="33" t="s">
        <v>302</v>
      </c>
      <c r="D360" s="33" t="s">
        <v>10533</v>
      </c>
      <c r="E360" s="33" t="s">
        <v>302</v>
      </c>
      <c r="F360" s="33" t="s">
        <v>302</v>
      </c>
      <c r="G360" s="33" t="s">
        <v>796</v>
      </c>
    </row>
    <row r="361" spans="2:7" x14ac:dyDescent="0.25">
      <c r="B361" s="33" t="s">
        <v>292</v>
      </c>
      <c r="C361" s="33" t="s">
        <v>302</v>
      </c>
      <c r="D361" s="33" t="s">
        <v>10534</v>
      </c>
      <c r="E361" s="33" t="s">
        <v>302</v>
      </c>
      <c r="F361" s="33" t="s">
        <v>302</v>
      </c>
      <c r="G361" s="33" t="s">
        <v>1366</v>
      </c>
    </row>
    <row r="362" spans="2:7" x14ac:dyDescent="0.25">
      <c r="B362" s="33" t="s">
        <v>292</v>
      </c>
      <c r="C362" s="33" t="s">
        <v>302</v>
      </c>
      <c r="D362" s="33" t="s">
        <v>10535</v>
      </c>
      <c r="E362" s="33" t="s">
        <v>302</v>
      </c>
      <c r="F362" s="33" t="s">
        <v>302</v>
      </c>
      <c r="G362" s="33" t="s">
        <v>510</v>
      </c>
    </row>
    <row r="363" spans="2:7" x14ac:dyDescent="0.25">
      <c r="B363" s="33" t="s">
        <v>292</v>
      </c>
      <c r="C363" s="33" t="s">
        <v>302</v>
      </c>
      <c r="D363" s="33" t="s">
        <v>10536</v>
      </c>
      <c r="E363" s="33" t="s">
        <v>302</v>
      </c>
      <c r="F363" s="33" t="s">
        <v>302</v>
      </c>
      <c r="G363" s="33" t="s">
        <v>530</v>
      </c>
    </row>
    <row r="364" spans="2:7" x14ac:dyDescent="0.25">
      <c r="B364" s="33" t="s">
        <v>292</v>
      </c>
      <c r="C364" s="33" t="s">
        <v>302</v>
      </c>
      <c r="D364" s="33" t="s">
        <v>10537</v>
      </c>
      <c r="E364" s="33" t="s">
        <v>302</v>
      </c>
      <c r="F364" s="33" t="s">
        <v>302</v>
      </c>
      <c r="G364" s="33" t="s">
        <v>614</v>
      </c>
    </row>
    <row r="365" spans="2:7" x14ac:dyDescent="0.25">
      <c r="B365" s="33" t="s">
        <v>292</v>
      </c>
      <c r="C365" s="33" t="s">
        <v>302</v>
      </c>
      <c r="D365" s="33" t="s">
        <v>10538</v>
      </c>
      <c r="E365" s="33" t="s">
        <v>302</v>
      </c>
      <c r="F365" s="33" t="s">
        <v>302</v>
      </c>
      <c r="G365" s="33" t="s">
        <v>424</v>
      </c>
    </row>
    <row r="366" spans="2:7" x14ac:dyDescent="0.25">
      <c r="B366" s="33" t="s">
        <v>292</v>
      </c>
      <c r="C366" s="33" t="s">
        <v>302</v>
      </c>
      <c r="D366" s="33" t="s">
        <v>10539</v>
      </c>
      <c r="E366" s="33" t="s">
        <v>302</v>
      </c>
      <c r="F366" s="33" t="s">
        <v>302</v>
      </c>
      <c r="G366" s="33" t="s">
        <v>861</v>
      </c>
    </row>
    <row r="367" spans="2:7" x14ac:dyDescent="0.25">
      <c r="B367" s="33" t="s">
        <v>292</v>
      </c>
      <c r="C367" s="33" t="s">
        <v>302</v>
      </c>
      <c r="D367" s="33" t="s">
        <v>10540</v>
      </c>
      <c r="E367" s="33" t="s">
        <v>302</v>
      </c>
      <c r="F367" s="33" t="s">
        <v>302</v>
      </c>
      <c r="G367" s="33" t="s">
        <v>328</v>
      </c>
    </row>
    <row r="368" spans="2:7" x14ac:dyDescent="0.25">
      <c r="B368" s="33" t="s">
        <v>292</v>
      </c>
      <c r="C368" s="33" t="s">
        <v>302</v>
      </c>
      <c r="D368" s="33" t="s">
        <v>10541</v>
      </c>
      <c r="E368" s="33" t="s">
        <v>302</v>
      </c>
      <c r="F368" s="33" t="s">
        <v>302</v>
      </c>
      <c r="G368" s="33" t="s">
        <v>1359</v>
      </c>
    </row>
    <row r="369" spans="2:7" x14ac:dyDescent="0.25">
      <c r="B369" s="33" t="s">
        <v>292</v>
      </c>
      <c r="C369" s="33" t="s">
        <v>302</v>
      </c>
      <c r="D369" s="33" t="s">
        <v>10542</v>
      </c>
      <c r="E369" s="33" t="s">
        <v>302</v>
      </c>
      <c r="F369" s="33" t="s">
        <v>302</v>
      </c>
      <c r="G369" s="33" t="s">
        <v>1146</v>
      </c>
    </row>
    <row r="370" spans="2:7" x14ac:dyDescent="0.25">
      <c r="B370" s="33" t="s">
        <v>292</v>
      </c>
      <c r="C370" s="33" t="s">
        <v>302</v>
      </c>
      <c r="D370" s="33" t="s">
        <v>10543</v>
      </c>
      <c r="E370" s="33" t="s">
        <v>302</v>
      </c>
      <c r="F370" s="33" t="s">
        <v>302</v>
      </c>
      <c r="G370" s="33" t="s">
        <v>402</v>
      </c>
    </row>
    <row r="371" spans="2:7" x14ac:dyDescent="0.25">
      <c r="B371" s="33" t="s">
        <v>292</v>
      </c>
      <c r="C371" s="33" t="s">
        <v>302</v>
      </c>
      <c r="D371" s="33" t="s">
        <v>10544</v>
      </c>
      <c r="E371" s="33" t="s">
        <v>302</v>
      </c>
      <c r="F371" s="33" t="s">
        <v>302</v>
      </c>
      <c r="G371" s="33" t="s">
        <v>1255</v>
      </c>
    </row>
    <row r="372" spans="2:7" x14ac:dyDescent="0.25">
      <c r="B372" s="33" t="s">
        <v>292</v>
      </c>
      <c r="C372" s="33" t="s">
        <v>302</v>
      </c>
      <c r="D372" s="33" t="s">
        <v>10545</v>
      </c>
      <c r="E372" s="33" t="s">
        <v>302</v>
      </c>
      <c r="F372" s="33" t="s">
        <v>302</v>
      </c>
      <c r="G372" s="33" t="s">
        <v>669</v>
      </c>
    </row>
    <row r="373" spans="2:7" x14ac:dyDescent="0.25">
      <c r="B373" s="33" t="s">
        <v>292</v>
      </c>
      <c r="C373" s="33" t="s">
        <v>302</v>
      </c>
      <c r="D373" s="33" t="s">
        <v>10546</v>
      </c>
      <c r="E373" s="33" t="s">
        <v>302</v>
      </c>
      <c r="F373" s="33" t="s">
        <v>302</v>
      </c>
      <c r="G373" s="33" t="s">
        <v>1301</v>
      </c>
    </row>
    <row r="374" spans="2:7" x14ac:dyDescent="0.25">
      <c r="B374" s="33" t="s">
        <v>292</v>
      </c>
      <c r="C374" s="33" t="s">
        <v>302</v>
      </c>
      <c r="D374" s="33" t="s">
        <v>10547</v>
      </c>
      <c r="E374" s="33" t="s">
        <v>302</v>
      </c>
      <c r="F374" s="33" t="s">
        <v>302</v>
      </c>
      <c r="G374" s="33" t="s">
        <v>1089</v>
      </c>
    </row>
    <row r="375" spans="2:7" x14ac:dyDescent="0.25">
      <c r="B375" s="33" t="s">
        <v>292</v>
      </c>
      <c r="C375" s="33" t="s">
        <v>302</v>
      </c>
      <c r="D375" s="33" t="s">
        <v>10548</v>
      </c>
      <c r="E375" s="33" t="s">
        <v>302</v>
      </c>
      <c r="F375" s="33" t="s">
        <v>302</v>
      </c>
      <c r="G375" s="33" t="s">
        <v>353</v>
      </c>
    </row>
    <row r="376" spans="2:7" x14ac:dyDescent="0.25">
      <c r="B376" s="33" t="s">
        <v>292</v>
      </c>
      <c r="C376" s="33" t="s">
        <v>302</v>
      </c>
      <c r="D376" s="33" t="s">
        <v>10549</v>
      </c>
      <c r="E376" s="33" t="s">
        <v>302</v>
      </c>
      <c r="F376" s="33" t="s">
        <v>302</v>
      </c>
      <c r="G376" s="33" t="s">
        <v>365</v>
      </c>
    </row>
    <row r="377" spans="2:7" x14ac:dyDescent="0.25">
      <c r="B377" s="33" t="s">
        <v>292</v>
      </c>
      <c r="C377" s="33" t="s">
        <v>302</v>
      </c>
      <c r="D377" s="33" t="s">
        <v>10550</v>
      </c>
      <c r="E377" s="33" t="s">
        <v>302</v>
      </c>
      <c r="F377" s="33" t="s">
        <v>302</v>
      </c>
      <c r="G377" s="33" t="s">
        <v>736</v>
      </c>
    </row>
    <row r="378" spans="2:7" x14ac:dyDescent="0.25">
      <c r="B378" s="33" t="s">
        <v>292</v>
      </c>
      <c r="C378" s="33" t="s">
        <v>302</v>
      </c>
      <c r="D378" s="33" t="s">
        <v>10551</v>
      </c>
      <c r="E378" s="33" t="s">
        <v>302</v>
      </c>
      <c r="F378" s="33" t="s">
        <v>302</v>
      </c>
      <c r="G378" s="33" t="s">
        <v>902</v>
      </c>
    </row>
    <row r="379" spans="2:7" x14ac:dyDescent="0.25">
      <c r="B379" s="33" t="s">
        <v>292</v>
      </c>
      <c r="C379" s="33" t="s">
        <v>302</v>
      </c>
      <c r="D379" s="33" t="s">
        <v>10552</v>
      </c>
      <c r="E379" s="33" t="s">
        <v>302</v>
      </c>
      <c r="F379" s="33" t="s">
        <v>302</v>
      </c>
      <c r="G379" s="33" t="s">
        <v>1229</v>
      </c>
    </row>
    <row r="380" spans="2:7" x14ac:dyDescent="0.25">
      <c r="B380" s="33" t="s">
        <v>292</v>
      </c>
      <c r="C380" s="33" t="s">
        <v>302</v>
      </c>
      <c r="D380" s="33" t="s">
        <v>10553</v>
      </c>
      <c r="E380" s="33" t="s">
        <v>302</v>
      </c>
      <c r="F380" s="33" t="s">
        <v>302</v>
      </c>
      <c r="G380" s="33" t="s">
        <v>775</v>
      </c>
    </row>
    <row r="381" spans="2:7" x14ac:dyDescent="0.25">
      <c r="B381" s="33" t="s">
        <v>292</v>
      </c>
      <c r="C381" s="33" t="s">
        <v>302</v>
      </c>
      <c r="D381" s="33" t="s">
        <v>10554</v>
      </c>
      <c r="E381" s="33" t="s">
        <v>302</v>
      </c>
      <c r="F381" s="33" t="s">
        <v>302</v>
      </c>
      <c r="G381" s="33" t="s">
        <v>674</v>
      </c>
    </row>
    <row r="382" spans="2:7" x14ac:dyDescent="0.25">
      <c r="B382" s="33" t="s">
        <v>292</v>
      </c>
      <c r="C382" s="33" t="s">
        <v>302</v>
      </c>
      <c r="D382" s="33" t="s">
        <v>10555</v>
      </c>
      <c r="E382" s="33" t="s">
        <v>302</v>
      </c>
      <c r="F382" s="33" t="s">
        <v>302</v>
      </c>
      <c r="G382" s="33" t="s">
        <v>1270</v>
      </c>
    </row>
    <row r="383" spans="2:7" x14ac:dyDescent="0.25">
      <c r="B383" s="33" t="s">
        <v>292</v>
      </c>
      <c r="C383" s="33" t="s">
        <v>302</v>
      </c>
      <c r="D383" s="33" t="s">
        <v>10556</v>
      </c>
      <c r="E383" s="33" t="s">
        <v>302</v>
      </c>
      <c r="F383" s="33" t="s">
        <v>302</v>
      </c>
      <c r="G383" s="33" t="s">
        <v>451</v>
      </c>
    </row>
    <row r="384" spans="2:7" x14ac:dyDescent="0.25">
      <c r="B384" s="33" t="s">
        <v>292</v>
      </c>
      <c r="C384" s="33" t="s">
        <v>302</v>
      </c>
      <c r="D384" s="33" t="s">
        <v>10557</v>
      </c>
      <c r="E384" s="33" t="s">
        <v>302</v>
      </c>
      <c r="F384" s="33" t="s">
        <v>302</v>
      </c>
      <c r="G384" s="33" t="s">
        <v>399</v>
      </c>
    </row>
    <row r="385" spans="2:7" x14ac:dyDescent="0.25">
      <c r="B385" s="33" t="s">
        <v>292</v>
      </c>
      <c r="C385" s="33" t="s">
        <v>302</v>
      </c>
      <c r="D385" s="33" t="s">
        <v>10558</v>
      </c>
      <c r="E385" s="33" t="s">
        <v>302</v>
      </c>
      <c r="F385" s="33" t="s">
        <v>302</v>
      </c>
      <c r="G385" s="33" t="s">
        <v>680</v>
      </c>
    </row>
    <row r="386" spans="2:7" x14ac:dyDescent="0.25">
      <c r="B386" s="33" t="s">
        <v>292</v>
      </c>
      <c r="C386" s="33" t="s">
        <v>302</v>
      </c>
      <c r="D386" s="33" t="s">
        <v>10559</v>
      </c>
      <c r="E386" s="33" t="s">
        <v>302</v>
      </c>
      <c r="F386" s="33" t="s">
        <v>302</v>
      </c>
      <c r="G386" s="33" t="s">
        <v>452</v>
      </c>
    </row>
    <row r="387" spans="2:7" x14ac:dyDescent="0.25">
      <c r="B387" s="33" t="s">
        <v>292</v>
      </c>
      <c r="C387" s="33" t="s">
        <v>302</v>
      </c>
      <c r="D387" s="33" t="s">
        <v>10560</v>
      </c>
      <c r="E387" s="33" t="s">
        <v>302</v>
      </c>
      <c r="F387" s="33" t="s">
        <v>302</v>
      </c>
      <c r="G387" s="33" t="s">
        <v>714</v>
      </c>
    </row>
    <row r="388" spans="2:7" x14ac:dyDescent="0.25">
      <c r="B388" s="33" t="s">
        <v>292</v>
      </c>
      <c r="C388" s="33" t="s">
        <v>302</v>
      </c>
      <c r="D388" s="33" t="s">
        <v>10561</v>
      </c>
      <c r="E388" s="33" t="s">
        <v>302</v>
      </c>
      <c r="F388" s="33" t="s">
        <v>302</v>
      </c>
      <c r="G388" s="33" t="s">
        <v>719</v>
      </c>
    </row>
    <row r="389" spans="2:7" x14ac:dyDescent="0.25">
      <c r="B389" s="33" t="s">
        <v>292</v>
      </c>
      <c r="C389" s="33" t="s">
        <v>302</v>
      </c>
      <c r="D389" s="33" t="s">
        <v>10562</v>
      </c>
      <c r="E389" s="33" t="s">
        <v>302</v>
      </c>
      <c r="F389" s="33" t="s">
        <v>302</v>
      </c>
      <c r="G389" s="33" t="s">
        <v>524</v>
      </c>
    </row>
    <row r="390" spans="2:7" x14ac:dyDescent="0.25">
      <c r="B390" s="33" t="s">
        <v>292</v>
      </c>
      <c r="C390" s="33" t="s">
        <v>302</v>
      </c>
      <c r="D390" s="33" t="s">
        <v>10563</v>
      </c>
      <c r="E390" s="33" t="s">
        <v>302</v>
      </c>
      <c r="F390" s="33" t="s">
        <v>302</v>
      </c>
      <c r="G390" s="33" t="s">
        <v>531</v>
      </c>
    </row>
    <row r="391" spans="2:7" x14ac:dyDescent="0.25">
      <c r="B391" s="33" t="s">
        <v>292</v>
      </c>
      <c r="C391" s="33" t="s">
        <v>302</v>
      </c>
      <c r="D391" s="33" t="s">
        <v>10564</v>
      </c>
      <c r="E391" s="33" t="s">
        <v>302</v>
      </c>
      <c r="F391" s="33" t="s">
        <v>302</v>
      </c>
      <c r="G391" s="33" t="s">
        <v>576</v>
      </c>
    </row>
    <row r="392" spans="2:7" x14ac:dyDescent="0.25">
      <c r="B392" s="33" t="s">
        <v>292</v>
      </c>
      <c r="C392" s="33" t="s">
        <v>302</v>
      </c>
      <c r="D392" s="33" t="s">
        <v>10565</v>
      </c>
      <c r="E392" s="33" t="s">
        <v>302</v>
      </c>
      <c r="F392" s="33" t="s">
        <v>302</v>
      </c>
      <c r="G392" s="33" t="s">
        <v>807</v>
      </c>
    </row>
    <row r="393" spans="2:7" x14ac:dyDescent="0.25">
      <c r="B393" s="33" t="s">
        <v>292</v>
      </c>
      <c r="C393" s="33" t="s">
        <v>302</v>
      </c>
      <c r="D393" s="33" t="s">
        <v>10566</v>
      </c>
      <c r="E393" s="33" t="s">
        <v>302</v>
      </c>
      <c r="F393" s="33" t="s">
        <v>302</v>
      </c>
      <c r="G393" s="33" t="s">
        <v>682</v>
      </c>
    </row>
    <row r="394" spans="2:7" x14ac:dyDescent="0.25">
      <c r="B394" s="33" t="s">
        <v>292</v>
      </c>
      <c r="C394" s="33" t="s">
        <v>302</v>
      </c>
      <c r="D394" s="33" t="s">
        <v>10567</v>
      </c>
      <c r="E394" s="33" t="s">
        <v>302</v>
      </c>
      <c r="F394" s="33" t="s">
        <v>302</v>
      </c>
      <c r="G394" s="33" t="s">
        <v>1272</v>
      </c>
    </row>
    <row r="395" spans="2:7" x14ac:dyDescent="0.25">
      <c r="B395" s="33" t="s">
        <v>292</v>
      </c>
      <c r="C395" s="33" t="s">
        <v>302</v>
      </c>
      <c r="D395" s="33" t="s">
        <v>10568</v>
      </c>
      <c r="E395" s="33" t="s">
        <v>302</v>
      </c>
      <c r="F395" s="33" t="s">
        <v>302</v>
      </c>
      <c r="G395" s="33" t="s">
        <v>777</v>
      </c>
    </row>
    <row r="396" spans="2:7" x14ac:dyDescent="0.25">
      <c r="B396" s="33" t="s">
        <v>292</v>
      </c>
      <c r="C396" s="33" t="s">
        <v>302</v>
      </c>
      <c r="D396" s="33" t="s">
        <v>10569</v>
      </c>
      <c r="E396" s="33" t="s">
        <v>302</v>
      </c>
      <c r="F396" s="33" t="s">
        <v>302</v>
      </c>
      <c r="G396" s="33" t="s">
        <v>671</v>
      </c>
    </row>
    <row r="397" spans="2:7" x14ac:dyDescent="0.25">
      <c r="B397" s="33" t="s">
        <v>292</v>
      </c>
      <c r="C397" s="33" t="s">
        <v>302</v>
      </c>
      <c r="D397" s="33" t="s">
        <v>10570</v>
      </c>
      <c r="E397" s="33" t="s">
        <v>302</v>
      </c>
      <c r="F397" s="33" t="s">
        <v>302</v>
      </c>
      <c r="G397" s="33" t="s">
        <v>738</v>
      </c>
    </row>
    <row r="398" spans="2:7" x14ac:dyDescent="0.25">
      <c r="B398" s="33" t="s">
        <v>292</v>
      </c>
      <c r="C398" s="33" t="s">
        <v>302</v>
      </c>
      <c r="D398" s="33" t="s">
        <v>10571</v>
      </c>
      <c r="E398" s="33" t="s">
        <v>302</v>
      </c>
      <c r="F398" s="33" t="s">
        <v>302</v>
      </c>
      <c r="G398" s="33" t="s">
        <v>403</v>
      </c>
    </row>
    <row r="399" spans="2:7" x14ac:dyDescent="0.25">
      <c r="B399" s="33" t="s">
        <v>292</v>
      </c>
      <c r="C399" s="33" t="s">
        <v>302</v>
      </c>
      <c r="D399" s="33" t="s">
        <v>10572</v>
      </c>
      <c r="E399" s="33" t="s">
        <v>302</v>
      </c>
      <c r="F399" s="33" t="s">
        <v>302</v>
      </c>
      <c r="G399" s="33" t="s">
        <v>312</v>
      </c>
    </row>
    <row r="400" spans="2:7" x14ac:dyDescent="0.25">
      <c r="B400" s="33" t="s">
        <v>292</v>
      </c>
      <c r="C400" s="33" t="s">
        <v>302</v>
      </c>
      <c r="D400" s="33" t="s">
        <v>10573</v>
      </c>
      <c r="E400" s="33" t="s">
        <v>302</v>
      </c>
      <c r="F400" s="33" t="s">
        <v>302</v>
      </c>
      <c r="G400" s="33" t="s">
        <v>391</v>
      </c>
    </row>
    <row r="401" spans="2:7" x14ac:dyDescent="0.25">
      <c r="B401" s="33" t="s">
        <v>292</v>
      </c>
      <c r="C401" s="33" t="s">
        <v>302</v>
      </c>
      <c r="D401" s="33" t="s">
        <v>10574</v>
      </c>
      <c r="E401" s="33" t="s">
        <v>302</v>
      </c>
      <c r="F401" s="33" t="s">
        <v>302</v>
      </c>
      <c r="G401" s="33" t="s">
        <v>1044</v>
      </c>
    </row>
    <row r="402" spans="2:7" x14ac:dyDescent="0.25">
      <c r="B402" s="33" t="s">
        <v>292</v>
      </c>
      <c r="C402" s="33" t="s">
        <v>302</v>
      </c>
      <c r="D402" s="33" t="s">
        <v>10575</v>
      </c>
      <c r="E402" s="33" t="s">
        <v>302</v>
      </c>
      <c r="F402" s="33" t="s">
        <v>302</v>
      </c>
      <c r="G402" s="33" t="s">
        <v>552</v>
      </c>
    </row>
    <row r="403" spans="2:7" x14ac:dyDescent="0.25">
      <c r="B403" s="33" t="s">
        <v>292</v>
      </c>
      <c r="C403" s="33" t="s">
        <v>302</v>
      </c>
      <c r="D403" s="33" t="s">
        <v>10576</v>
      </c>
      <c r="E403" s="33" t="s">
        <v>302</v>
      </c>
      <c r="F403" s="33" t="s">
        <v>302</v>
      </c>
      <c r="G403" s="33" t="s">
        <v>923</v>
      </c>
    </row>
    <row r="404" spans="2:7" x14ac:dyDescent="0.25">
      <c r="B404" s="33" t="s">
        <v>292</v>
      </c>
      <c r="C404" s="33" t="s">
        <v>302</v>
      </c>
      <c r="D404" s="33" t="s">
        <v>10577</v>
      </c>
      <c r="E404" s="33" t="s">
        <v>302</v>
      </c>
      <c r="F404" s="33" t="s">
        <v>302</v>
      </c>
      <c r="G404" s="33" t="s">
        <v>1094</v>
      </c>
    </row>
    <row r="405" spans="2:7" x14ac:dyDescent="0.25">
      <c r="B405" s="33" t="s">
        <v>292</v>
      </c>
      <c r="C405" s="33" t="s">
        <v>302</v>
      </c>
      <c r="D405" s="33" t="s">
        <v>10578</v>
      </c>
      <c r="E405" s="33" t="s">
        <v>302</v>
      </c>
      <c r="F405" s="33" t="s">
        <v>302</v>
      </c>
      <c r="G405" s="33" t="s">
        <v>1176</v>
      </c>
    </row>
    <row r="406" spans="2:7" x14ac:dyDescent="0.25">
      <c r="B406" s="33" t="s">
        <v>292</v>
      </c>
      <c r="C406" s="33" t="s">
        <v>302</v>
      </c>
      <c r="D406" s="33" t="s">
        <v>10579</v>
      </c>
      <c r="E406" s="33" t="s">
        <v>302</v>
      </c>
      <c r="F406" s="33" t="s">
        <v>302</v>
      </c>
      <c r="G406" s="33" t="s">
        <v>688</v>
      </c>
    </row>
    <row r="407" spans="2:7" x14ac:dyDescent="0.25">
      <c r="B407" s="33" t="s">
        <v>292</v>
      </c>
      <c r="C407" s="33" t="s">
        <v>302</v>
      </c>
      <c r="D407" s="33" t="s">
        <v>10580</v>
      </c>
      <c r="E407" s="33" t="s">
        <v>302</v>
      </c>
      <c r="F407" s="33" t="s">
        <v>302</v>
      </c>
      <c r="G407" s="33" t="s">
        <v>957</v>
      </c>
    </row>
    <row r="408" spans="2:7" x14ac:dyDescent="0.25">
      <c r="B408" s="33" t="s">
        <v>292</v>
      </c>
      <c r="C408" s="33" t="s">
        <v>302</v>
      </c>
      <c r="D408" s="33" t="s">
        <v>10581</v>
      </c>
      <c r="E408" s="33" t="s">
        <v>302</v>
      </c>
      <c r="F408" s="33" t="s">
        <v>302</v>
      </c>
      <c r="G408" s="33" t="s">
        <v>1295</v>
      </c>
    </row>
    <row r="409" spans="2:7" x14ac:dyDescent="0.25">
      <c r="B409" s="33" t="s">
        <v>292</v>
      </c>
      <c r="C409" s="33" t="s">
        <v>302</v>
      </c>
      <c r="D409" s="33" t="s">
        <v>10582</v>
      </c>
      <c r="E409" s="33" t="s">
        <v>302</v>
      </c>
      <c r="F409" s="33" t="s">
        <v>302</v>
      </c>
      <c r="G409" s="33" t="s">
        <v>1081</v>
      </c>
    </row>
    <row r="410" spans="2:7" x14ac:dyDescent="0.25">
      <c r="B410" s="33" t="s">
        <v>292</v>
      </c>
      <c r="C410" s="33" t="s">
        <v>302</v>
      </c>
      <c r="D410" s="33" t="s">
        <v>10583</v>
      </c>
      <c r="E410" s="33" t="s">
        <v>302</v>
      </c>
      <c r="F410" s="33" t="s">
        <v>302</v>
      </c>
      <c r="G410" s="33" t="s">
        <v>1076</v>
      </c>
    </row>
    <row r="411" spans="2:7" x14ac:dyDescent="0.25">
      <c r="B411" s="33" t="s">
        <v>292</v>
      </c>
      <c r="C411" s="33" t="s">
        <v>302</v>
      </c>
      <c r="D411" s="33" t="s">
        <v>10584</v>
      </c>
      <c r="E411" s="33" t="s">
        <v>302</v>
      </c>
      <c r="F411" s="33" t="s">
        <v>302</v>
      </c>
      <c r="G411" s="33" t="s">
        <v>1256</v>
      </c>
    </row>
    <row r="412" spans="2:7" x14ac:dyDescent="0.25">
      <c r="B412" s="33" t="s">
        <v>292</v>
      </c>
      <c r="C412" s="33" t="s">
        <v>302</v>
      </c>
      <c r="D412" s="33" t="s">
        <v>10585</v>
      </c>
      <c r="E412" s="33" t="s">
        <v>302</v>
      </c>
      <c r="F412" s="33" t="s">
        <v>302</v>
      </c>
      <c r="G412" s="33" t="s">
        <v>878</v>
      </c>
    </row>
    <row r="413" spans="2:7" x14ac:dyDescent="0.25">
      <c r="B413" s="33" t="s">
        <v>292</v>
      </c>
      <c r="C413" s="33" t="s">
        <v>302</v>
      </c>
      <c r="D413" s="33" t="s">
        <v>10586</v>
      </c>
      <c r="E413" s="33" t="s">
        <v>302</v>
      </c>
      <c r="F413" s="33" t="s">
        <v>302</v>
      </c>
      <c r="G413" s="33" t="s">
        <v>1167</v>
      </c>
    </row>
    <row r="414" spans="2:7" x14ac:dyDescent="0.25">
      <c r="B414" s="33" t="s">
        <v>292</v>
      </c>
      <c r="C414" s="33" t="s">
        <v>302</v>
      </c>
      <c r="D414" s="33" t="s">
        <v>10587</v>
      </c>
      <c r="E414" s="33" t="s">
        <v>302</v>
      </c>
      <c r="F414" s="33" t="s">
        <v>302</v>
      </c>
      <c r="G414" s="33" t="s">
        <v>395</v>
      </c>
    </row>
    <row r="415" spans="2:7" x14ac:dyDescent="0.25">
      <c r="B415" s="33" t="s">
        <v>292</v>
      </c>
      <c r="C415" s="33" t="s">
        <v>302</v>
      </c>
      <c r="D415" s="33" t="s">
        <v>10588</v>
      </c>
      <c r="E415" s="33" t="s">
        <v>302</v>
      </c>
      <c r="F415" s="33" t="s">
        <v>302</v>
      </c>
      <c r="G415" s="33" t="s">
        <v>335</v>
      </c>
    </row>
    <row r="416" spans="2:7" x14ac:dyDescent="0.25">
      <c r="B416" s="33" t="s">
        <v>292</v>
      </c>
      <c r="C416" s="33" t="s">
        <v>302</v>
      </c>
      <c r="D416" s="33" t="s">
        <v>10589</v>
      </c>
      <c r="E416" s="33" t="s">
        <v>302</v>
      </c>
      <c r="F416" s="33" t="s">
        <v>302</v>
      </c>
      <c r="G416" s="33" t="s">
        <v>1275</v>
      </c>
    </row>
    <row r="417" spans="2:7" x14ac:dyDescent="0.25">
      <c r="B417" s="33" t="s">
        <v>292</v>
      </c>
      <c r="C417" s="33" t="s">
        <v>302</v>
      </c>
      <c r="D417" s="33" t="s">
        <v>10590</v>
      </c>
      <c r="E417" s="33" t="s">
        <v>302</v>
      </c>
      <c r="F417" s="33" t="s">
        <v>302</v>
      </c>
      <c r="G417" s="33" t="s">
        <v>499</v>
      </c>
    </row>
    <row r="418" spans="2:7" x14ac:dyDescent="0.25">
      <c r="B418" s="33" t="s">
        <v>292</v>
      </c>
      <c r="C418" s="33" t="s">
        <v>302</v>
      </c>
      <c r="D418" s="33" t="s">
        <v>10591</v>
      </c>
      <c r="E418" s="33" t="s">
        <v>302</v>
      </c>
      <c r="F418" s="33" t="s">
        <v>302</v>
      </c>
      <c r="G418" s="33" t="s">
        <v>830</v>
      </c>
    </row>
    <row r="419" spans="2:7" x14ac:dyDescent="0.25">
      <c r="B419" s="33" t="s">
        <v>292</v>
      </c>
      <c r="C419" s="33" t="s">
        <v>302</v>
      </c>
      <c r="D419" s="33" t="s">
        <v>10592</v>
      </c>
      <c r="E419" s="33" t="s">
        <v>302</v>
      </c>
      <c r="F419" s="33" t="s">
        <v>302</v>
      </c>
      <c r="G419" s="33" t="s">
        <v>357</v>
      </c>
    </row>
    <row r="420" spans="2:7" x14ac:dyDescent="0.25">
      <c r="B420" s="33" t="s">
        <v>292</v>
      </c>
      <c r="C420" s="33" t="s">
        <v>302</v>
      </c>
      <c r="D420" s="33" t="s">
        <v>10593</v>
      </c>
      <c r="E420" s="33" t="s">
        <v>302</v>
      </c>
      <c r="F420" s="33" t="s">
        <v>302</v>
      </c>
      <c r="G420" s="33" t="s">
        <v>896</v>
      </c>
    </row>
    <row r="421" spans="2:7" x14ac:dyDescent="0.25">
      <c r="B421" s="33" t="s">
        <v>292</v>
      </c>
      <c r="C421" s="33" t="s">
        <v>302</v>
      </c>
      <c r="D421" s="33" t="s">
        <v>10594</v>
      </c>
      <c r="E421" s="33" t="s">
        <v>302</v>
      </c>
      <c r="F421" s="33" t="s">
        <v>302</v>
      </c>
      <c r="G421" s="33" t="s">
        <v>767</v>
      </c>
    </row>
    <row r="422" spans="2:7" x14ac:dyDescent="0.25">
      <c r="B422" s="33" t="s">
        <v>292</v>
      </c>
      <c r="C422" s="33" t="s">
        <v>302</v>
      </c>
      <c r="D422" s="33" t="s">
        <v>10595</v>
      </c>
      <c r="E422" s="33" t="s">
        <v>302</v>
      </c>
      <c r="F422" s="33" t="s">
        <v>302</v>
      </c>
      <c r="G422" s="33" t="s">
        <v>1300</v>
      </c>
    </row>
    <row r="423" spans="2:7" x14ac:dyDescent="0.25">
      <c r="B423" s="33" t="s">
        <v>292</v>
      </c>
      <c r="C423" s="33" t="s">
        <v>302</v>
      </c>
      <c r="D423" s="33" t="s">
        <v>10596</v>
      </c>
      <c r="E423" s="33" t="s">
        <v>302</v>
      </c>
      <c r="F423" s="33" t="s">
        <v>302</v>
      </c>
      <c r="G423" s="33" t="s">
        <v>598</v>
      </c>
    </row>
    <row r="424" spans="2:7" x14ac:dyDescent="0.25">
      <c r="B424" s="33" t="s">
        <v>292</v>
      </c>
      <c r="C424" s="33" t="s">
        <v>302</v>
      </c>
      <c r="D424" s="33" t="s">
        <v>10597</v>
      </c>
      <c r="E424" s="33" t="s">
        <v>302</v>
      </c>
      <c r="F424" s="33" t="s">
        <v>302</v>
      </c>
      <c r="G424" s="33" t="s">
        <v>635</v>
      </c>
    </row>
    <row r="425" spans="2:7" x14ac:dyDescent="0.25">
      <c r="B425" s="33" t="s">
        <v>292</v>
      </c>
      <c r="C425" s="33" t="s">
        <v>302</v>
      </c>
      <c r="D425" s="33" t="s">
        <v>10598</v>
      </c>
      <c r="E425" s="33" t="s">
        <v>302</v>
      </c>
      <c r="F425" s="33" t="s">
        <v>302</v>
      </c>
      <c r="G425" s="33" t="s">
        <v>587</v>
      </c>
    </row>
    <row r="426" spans="2:7" x14ac:dyDescent="0.25">
      <c r="B426" s="33" t="s">
        <v>292</v>
      </c>
      <c r="C426" s="33" t="s">
        <v>302</v>
      </c>
      <c r="D426" s="33" t="s">
        <v>10599</v>
      </c>
      <c r="E426" s="33" t="s">
        <v>302</v>
      </c>
      <c r="F426" s="33" t="s">
        <v>302</v>
      </c>
      <c r="G426" s="33" t="s">
        <v>731</v>
      </c>
    </row>
    <row r="427" spans="2:7" x14ac:dyDescent="0.25">
      <c r="B427" s="33" t="s">
        <v>292</v>
      </c>
      <c r="C427" s="33" t="s">
        <v>302</v>
      </c>
      <c r="D427" s="33" t="s">
        <v>10600</v>
      </c>
      <c r="E427" s="33" t="s">
        <v>302</v>
      </c>
      <c r="F427" s="33" t="s">
        <v>302</v>
      </c>
      <c r="G427" s="33" t="s">
        <v>1141</v>
      </c>
    </row>
    <row r="428" spans="2:7" x14ac:dyDescent="0.25">
      <c r="B428" s="33" t="s">
        <v>292</v>
      </c>
      <c r="C428" s="33" t="s">
        <v>302</v>
      </c>
      <c r="D428" s="33" t="s">
        <v>10601</v>
      </c>
      <c r="E428" s="33" t="s">
        <v>302</v>
      </c>
      <c r="F428" s="33" t="s">
        <v>302</v>
      </c>
      <c r="G428" s="33" t="s">
        <v>494</v>
      </c>
    </row>
    <row r="429" spans="2:7" x14ac:dyDescent="0.25">
      <c r="B429" s="33" t="s">
        <v>292</v>
      </c>
      <c r="C429" s="33" t="s">
        <v>302</v>
      </c>
      <c r="D429" s="33" t="s">
        <v>10602</v>
      </c>
      <c r="E429" s="33" t="s">
        <v>302</v>
      </c>
      <c r="F429" s="33" t="s">
        <v>302</v>
      </c>
      <c r="G429" s="33" t="s">
        <v>1287</v>
      </c>
    </row>
    <row r="430" spans="2:7" x14ac:dyDescent="0.25">
      <c r="B430" s="33" t="s">
        <v>292</v>
      </c>
      <c r="C430" s="33" t="s">
        <v>302</v>
      </c>
      <c r="D430" s="33" t="s">
        <v>10603</v>
      </c>
      <c r="E430" s="33" t="s">
        <v>302</v>
      </c>
      <c r="F430" s="33" t="s">
        <v>302</v>
      </c>
      <c r="G430" s="33" t="s">
        <v>1298</v>
      </c>
    </row>
    <row r="431" spans="2:7" x14ac:dyDescent="0.25">
      <c r="B431" s="33" t="s">
        <v>292</v>
      </c>
      <c r="C431" s="33" t="s">
        <v>302</v>
      </c>
      <c r="D431" s="33" t="s">
        <v>10604</v>
      </c>
      <c r="E431" s="33" t="s">
        <v>302</v>
      </c>
      <c r="F431" s="33" t="s">
        <v>302</v>
      </c>
      <c r="G431" s="33" t="s">
        <v>363</v>
      </c>
    </row>
    <row r="432" spans="2:7" x14ac:dyDescent="0.25">
      <c r="B432" s="33" t="s">
        <v>292</v>
      </c>
      <c r="C432" s="33" t="s">
        <v>302</v>
      </c>
      <c r="D432" s="33" t="s">
        <v>10605</v>
      </c>
      <c r="E432" s="33" t="s">
        <v>302</v>
      </c>
      <c r="F432" s="33" t="s">
        <v>302</v>
      </c>
      <c r="G432" s="33" t="s">
        <v>1211</v>
      </c>
    </row>
    <row r="433" spans="2:7" x14ac:dyDescent="0.25">
      <c r="B433" s="33" t="s">
        <v>292</v>
      </c>
      <c r="C433" s="33" t="s">
        <v>302</v>
      </c>
      <c r="D433" s="33" t="s">
        <v>10606</v>
      </c>
      <c r="E433" s="33" t="s">
        <v>302</v>
      </c>
      <c r="F433" s="33" t="s">
        <v>302</v>
      </c>
      <c r="G433" s="33" t="s">
        <v>430</v>
      </c>
    </row>
    <row r="434" spans="2:7" x14ac:dyDescent="0.25">
      <c r="B434" s="33" t="s">
        <v>292</v>
      </c>
      <c r="C434" s="33" t="s">
        <v>302</v>
      </c>
      <c r="D434" s="33" t="s">
        <v>10607</v>
      </c>
      <c r="E434" s="33" t="s">
        <v>302</v>
      </c>
      <c r="F434" s="33" t="s">
        <v>302</v>
      </c>
      <c r="G434" s="33" t="s">
        <v>797</v>
      </c>
    </row>
    <row r="435" spans="2:7" x14ac:dyDescent="0.25">
      <c r="B435" s="33" t="s">
        <v>292</v>
      </c>
      <c r="C435" s="33" t="s">
        <v>302</v>
      </c>
      <c r="D435" s="33" t="s">
        <v>10608</v>
      </c>
      <c r="E435" s="33" t="s">
        <v>302</v>
      </c>
      <c r="F435" s="33" t="s">
        <v>302</v>
      </c>
      <c r="G435" s="33" t="s">
        <v>730</v>
      </c>
    </row>
    <row r="436" spans="2:7" x14ac:dyDescent="0.25">
      <c r="B436" s="33" t="s">
        <v>292</v>
      </c>
      <c r="C436" s="33" t="s">
        <v>302</v>
      </c>
      <c r="D436" s="33" t="s">
        <v>10609</v>
      </c>
      <c r="E436" s="33" t="s">
        <v>302</v>
      </c>
      <c r="F436" s="33" t="s">
        <v>302</v>
      </c>
      <c r="G436" s="33" t="s">
        <v>1087</v>
      </c>
    </row>
    <row r="437" spans="2:7" x14ac:dyDescent="0.25">
      <c r="B437" s="33" t="s">
        <v>292</v>
      </c>
      <c r="C437" s="33" t="s">
        <v>302</v>
      </c>
      <c r="D437" s="33" t="s">
        <v>10610</v>
      </c>
      <c r="E437" s="33" t="s">
        <v>302</v>
      </c>
      <c r="F437" s="33" t="s">
        <v>302</v>
      </c>
      <c r="G437" s="33" t="s">
        <v>308</v>
      </c>
    </row>
    <row r="438" spans="2:7" x14ac:dyDescent="0.25">
      <c r="B438" s="33" t="s">
        <v>292</v>
      </c>
      <c r="C438" s="33" t="s">
        <v>302</v>
      </c>
      <c r="D438" s="33" t="s">
        <v>10611</v>
      </c>
      <c r="E438" s="33" t="s">
        <v>302</v>
      </c>
      <c r="F438" s="33" t="s">
        <v>302</v>
      </c>
      <c r="G438" s="33" t="s">
        <v>1364</v>
      </c>
    </row>
    <row r="439" spans="2:7" x14ac:dyDescent="0.25">
      <c r="B439" s="33" t="s">
        <v>292</v>
      </c>
      <c r="C439" s="33" t="s">
        <v>302</v>
      </c>
      <c r="D439" s="33" t="s">
        <v>10612</v>
      </c>
      <c r="E439" s="33" t="s">
        <v>302</v>
      </c>
      <c r="F439" s="33" t="s">
        <v>302</v>
      </c>
      <c r="G439" s="33" t="s">
        <v>1005</v>
      </c>
    </row>
    <row r="440" spans="2:7" x14ac:dyDescent="0.25">
      <c r="B440" s="33" t="s">
        <v>292</v>
      </c>
      <c r="C440" s="33" t="s">
        <v>302</v>
      </c>
      <c r="D440" s="33" t="s">
        <v>10613</v>
      </c>
      <c r="E440" s="33" t="s">
        <v>302</v>
      </c>
      <c r="F440" s="33" t="s">
        <v>302</v>
      </c>
      <c r="G440" s="33" t="s">
        <v>433</v>
      </c>
    </row>
    <row r="441" spans="2:7" x14ac:dyDescent="0.25">
      <c r="B441" s="33" t="s">
        <v>292</v>
      </c>
      <c r="C441" s="33" t="s">
        <v>302</v>
      </c>
      <c r="D441" s="33" t="s">
        <v>10614</v>
      </c>
      <c r="E441" s="33" t="s">
        <v>302</v>
      </c>
      <c r="F441" s="33" t="s">
        <v>302</v>
      </c>
      <c r="G441" s="33" t="s">
        <v>1018</v>
      </c>
    </row>
    <row r="442" spans="2:7" x14ac:dyDescent="0.25">
      <c r="B442" s="33" t="s">
        <v>292</v>
      </c>
      <c r="C442" s="33" t="s">
        <v>302</v>
      </c>
      <c r="D442" s="33" t="s">
        <v>10615</v>
      </c>
      <c r="E442" s="33" t="s">
        <v>302</v>
      </c>
      <c r="F442" s="33" t="s">
        <v>302</v>
      </c>
      <c r="G442" s="33" t="s">
        <v>1330</v>
      </c>
    </row>
    <row r="443" spans="2:7" x14ac:dyDescent="0.25">
      <c r="B443" s="33" t="s">
        <v>292</v>
      </c>
      <c r="C443" s="33" t="s">
        <v>302</v>
      </c>
      <c r="D443" s="33" t="s">
        <v>10616</v>
      </c>
      <c r="E443" s="33" t="s">
        <v>302</v>
      </c>
      <c r="F443" s="33" t="s">
        <v>302</v>
      </c>
      <c r="G443" s="33" t="s">
        <v>733</v>
      </c>
    </row>
    <row r="444" spans="2:7" x14ac:dyDescent="0.25">
      <c r="B444" s="33" t="s">
        <v>292</v>
      </c>
      <c r="C444" s="33" t="s">
        <v>302</v>
      </c>
      <c r="D444" s="33" t="s">
        <v>10617</v>
      </c>
      <c r="E444" s="33" t="s">
        <v>302</v>
      </c>
      <c r="F444" s="33" t="s">
        <v>302</v>
      </c>
      <c r="G444" s="33" t="s">
        <v>1268</v>
      </c>
    </row>
    <row r="445" spans="2:7" x14ac:dyDescent="0.25">
      <c r="B445" s="33" t="s">
        <v>292</v>
      </c>
      <c r="C445" s="33" t="s">
        <v>302</v>
      </c>
      <c r="D445" s="33" t="s">
        <v>10618</v>
      </c>
      <c r="E445" s="33" t="s">
        <v>302</v>
      </c>
      <c r="F445" s="33" t="s">
        <v>302</v>
      </c>
      <c r="G445" s="33" t="s">
        <v>533</v>
      </c>
    </row>
    <row r="446" spans="2:7" x14ac:dyDescent="0.25">
      <c r="B446" s="33" t="s">
        <v>292</v>
      </c>
      <c r="C446" s="33" t="s">
        <v>302</v>
      </c>
      <c r="D446" s="33" t="s">
        <v>10619</v>
      </c>
      <c r="E446" s="33" t="s">
        <v>302</v>
      </c>
      <c r="F446" s="33" t="s">
        <v>302</v>
      </c>
      <c r="G446" s="33" t="s">
        <v>947</v>
      </c>
    </row>
    <row r="447" spans="2:7" x14ac:dyDescent="0.25">
      <c r="B447" s="33" t="s">
        <v>292</v>
      </c>
      <c r="C447" s="33" t="s">
        <v>302</v>
      </c>
      <c r="D447" s="33" t="s">
        <v>10620</v>
      </c>
      <c r="E447" s="33" t="s">
        <v>302</v>
      </c>
      <c r="F447" s="33" t="s">
        <v>302</v>
      </c>
      <c r="G447" s="33" t="s">
        <v>1241</v>
      </c>
    </row>
    <row r="448" spans="2:7" x14ac:dyDescent="0.25">
      <c r="B448" s="33" t="s">
        <v>292</v>
      </c>
      <c r="C448" s="33" t="s">
        <v>302</v>
      </c>
      <c r="D448" s="33" t="s">
        <v>10621</v>
      </c>
      <c r="E448" s="33" t="s">
        <v>302</v>
      </c>
      <c r="F448" s="33" t="s">
        <v>302</v>
      </c>
      <c r="G448" s="33" t="s">
        <v>1133</v>
      </c>
    </row>
    <row r="449" spans="2:7" x14ac:dyDescent="0.25">
      <c r="B449" s="33" t="s">
        <v>292</v>
      </c>
      <c r="C449" s="33" t="s">
        <v>302</v>
      </c>
      <c r="D449" s="33" t="s">
        <v>10622</v>
      </c>
      <c r="E449" s="33" t="s">
        <v>302</v>
      </c>
      <c r="F449" s="33" t="s">
        <v>302</v>
      </c>
      <c r="G449" s="33" t="s">
        <v>1340</v>
      </c>
    </row>
    <row r="450" spans="2:7" x14ac:dyDescent="0.25">
      <c r="B450" s="33" t="s">
        <v>292</v>
      </c>
      <c r="C450" s="33" t="s">
        <v>302</v>
      </c>
      <c r="D450" s="33" t="s">
        <v>10623</v>
      </c>
      <c r="E450" s="33" t="s">
        <v>302</v>
      </c>
      <c r="F450" s="33" t="s">
        <v>302</v>
      </c>
      <c r="G450" s="33" t="s">
        <v>1215</v>
      </c>
    </row>
    <row r="451" spans="2:7" x14ac:dyDescent="0.25">
      <c r="B451" s="33" t="s">
        <v>292</v>
      </c>
      <c r="C451" s="33" t="s">
        <v>302</v>
      </c>
      <c r="D451" s="33" t="s">
        <v>10624</v>
      </c>
      <c r="E451" s="33" t="s">
        <v>302</v>
      </c>
      <c r="F451" s="33" t="s">
        <v>302</v>
      </c>
      <c r="G451" s="33" t="s">
        <v>1221</v>
      </c>
    </row>
    <row r="452" spans="2:7" x14ac:dyDescent="0.25">
      <c r="B452" s="33" t="s">
        <v>292</v>
      </c>
      <c r="C452" s="33" t="s">
        <v>302</v>
      </c>
      <c r="D452" s="33" t="s">
        <v>10625</v>
      </c>
      <c r="E452" s="33" t="s">
        <v>302</v>
      </c>
      <c r="F452" s="33" t="s">
        <v>302</v>
      </c>
      <c r="G452" s="33" t="s">
        <v>1231</v>
      </c>
    </row>
    <row r="453" spans="2:7" x14ac:dyDescent="0.25">
      <c r="B453" s="33" t="s">
        <v>292</v>
      </c>
      <c r="C453" s="33" t="s">
        <v>302</v>
      </c>
      <c r="D453" s="33" t="s">
        <v>10626</v>
      </c>
      <c r="E453" s="33" t="s">
        <v>302</v>
      </c>
      <c r="F453" s="33" t="s">
        <v>302</v>
      </c>
      <c r="G453" s="33" t="s">
        <v>1025</v>
      </c>
    </row>
    <row r="454" spans="2:7" x14ac:dyDescent="0.25">
      <c r="B454" s="33" t="s">
        <v>292</v>
      </c>
      <c r="C454" s="33" t="s">
        <v>302</v>
      </c>
      <c r="D454" s="33" t="s">
        <v>10627</v>
      </c>
      <c r="E454" s="33" t="s">
        <v>302</v>
      </c>
      <c r="F454" s="33" t="s">
        <v>302</v>
      </c>
      <c r="G454" s="33" t="s">
        <v>1083</v>
      </c>
    </row>
    <row r="455" spans="2:7" x14ac:dyDescent="0.25">
      <c r="B455" s="33" t="s">
        <v>292</v>
      </c>
      <c r="C455" s="33" t="s">
        <v>302</v>
      </c>
      <c r="D455" s="33" t="s">
        <v>10628</v>
      </c>
      <c r="E455" s="33" t="s">
        <v>302</v>
      </c>
      <c r="F455" s="33" t="s">
        <v>302</v>
      </c>
      <c r="G455" s="33" t="s">
        <v>1273</v>
      </c>
    </row>
    <row r="456" spans="2:7" x14ac:dyDescent="0.25">
      <c r="B456" s="33" t="s">
        <v>292</v>
      </c>
      <c r="C456" s="33" t="s">
        <v>302</v>
      </c>
      <c r="D456" s="33" t="s">
        <v>10629</v>
      </c>
      <c r="E456" s="33" t="s">
        <v>302</v>
      </c>
      <c r="F456" s="33" t="s">
        <v>302</v>
      </c>
      <c r="G456" s="33" t="s">
        <v>307</v>
      </c>
    </row>
    <row r="457" spans="2:7" x14ac:dyDescent="0.25">
      <c r="B457" s="33" t="s">
        <v>292</v>
      </c>
      <c r="C457" s="33" t="s">
        <v>302</v>
      </c>
      <c r="D457" s="33" t="s">
        <v>10630</v>
      </c>
      <c r="E457" s="33" t="s">
        <v>302</v>
      </c>
      <c r="F457" s="33" t="s">
        <v>302</v>
      </c>
      <c r="G457" s="33" t="s">
        <v>324</v>
      </c>
    </row>
    <row r="458" spans="2:7" x14ac:dyDescent="0.25">
      <c r="B458" s="33" t="s">
        <v>292</v>
      </c>
      <c r="C458" s="33" t="s">
        <v>302</v>
      </c>
      <c r="D458" s="33" t="s">
        <v>10631</v>
      </c>
      <c r="E458" s="33" t="s">
        <v>302</v>
      </c>
      <c r="F458" s="33" t="s">
        <v>302</v>
      </c>
      <c r="G458" s="33" t="s">
        <v>1006</v>
      </c>
    </row>
    <row r="459" spans="2:7" x14ac:dyDescent="0.25">
      <c r="B459" s="33" t="s">
        <v>292</v>
      </c>
      <c r="C459" s="33" t="s">
        <v>302</v>
      </c>
      <c r="D459" s="33" t="s">
        <v>10632</v>
      </c>
      <c r="E459" s="33" t="s">
        <v>302</v>
      </c>
      <c r="F459" s="33" t="s">
        <v>302</v>
      </c>
      <c r="G459" s="33" t="s">
        <v>341</v>
      </c>
    </row>
    <row r="460" spans="2:7" x14ac:dyDescent="0.25">
      <c r="B460" s="33" t="s">
        <v>292</v>
      </c>
      <c r="C460" s="33" t="s">
        <v>302</v>
      </c>
      <c r="D460" s="33" t="s">
        <v>10633</v>
      </c>
      <c r="E460" s="33" t="s">
        <v>302</v>
      </c>
      <c r="F460" s="33" t="s">
        <v>302</v>
      </c>
      <c r="G460" s="33" t="s">
        <v>491</v>
      </c>
    </row>
    <row r="461" spans="2:7" x14ac:dyDescent="0.25">
      <c r="B461" s="33" t="s">
        <v>292</v>
      </c>
      <c r="C461" s="33" t="s">
        <v>302</v>
      </c>
      <c r="D461" s="33" t="s">
        <v>10634</v>
      </c>
      <c r="E461" s="33" t="s">
        <v>302</v>
      </c>
      <c r="F461" s="33" t="s">
        <v>302</v>
      </c>
      <c r="G461" s="33" t="s">
        <v>774</v>
      </c>
    </row>
    <row r="462" spans="2:7" x14ac:dyDescent="0.25">
      <c r="B462" s="33" t="s">
        <v>292</v>
      </c>
      <c r="C462" s="33" t="s">
        <v>302</v>
      </c>
      <c r="D462" s="33" t="s">
        <v>10635</v>
      </c>
      <c r="E462" s="33" t="s">
        <v>302</v>
      </c>
      <c r="F462" s="33" t="s">
        <v>302</v>
      </c>
      <c r="G462" s="33" t="s">
        <v>1021</v>
      </c>
    </row>
    <row r="463" spans="2:7" x14ac:dyDescent="0.25">
      <c r="B463" s="33" t="s">
        <v>292</v>
      </c>
      <c r="C463" s="33" t="s">
        <v>302</v>
      </c>
      <c r="D463" s="33" t="s">
        <v>10636</v>
      </c>
      <c r="E463" s="33" t="s">
        <v>302</v>
      </c>
      <c r="F463" s="33" t="s">
        <v>302</v>
      </c>
      <c r="G463" s="33" t="s">
        <v>388</v>
      </c>
    </row>
    <row r="464" spans="2:7" x14ac:dyDescent="0.25">
      <c r="B464" s="33" t="s">
        <v>292</v>
      </c>
      <c r="C464" s="33" t="s">
        <v>302</v>
      </c>
      <c r="D464" s="33" t="s">
        <v>10637</v>
      </c>
      <c r="E464" s="33" t="s">
        <v>302</v>
      </c>
      <c r="F464" s="33" t="s">
        <v>302</v>
      </c>
      <c r="G464" s="33" t="s">
        <v>798</v>
      </c>
    </row>
    <row r="465" spans="2:7" x14ac:dyDescent="0.25">
      <c r="B465" s="33" t="s">
        <v>292</v>
      </c>
      <c r="C465" s="33" t="s">
        <v>302</v>
      </c>
      <c r="D465" s="33" t="s">
        <v>10638</v>
      </c>
      <c r="E465" s="33" t="s">
        <v>302</v>
      </c>
      <c r="F465" s="33" t="s">
        <v>302</v>
      </c>
      <c r="G465" s="33" t="s">
        <v>863</v>
      </c>
    </row>
    <row r="466" spans="2:7" x14ac:dyDescent="0.25">
      <c r="B466" s="33" t="s">
        <v>292</v>
      </c>
      <c r="C466" s="33" t="s">
        <v>302</v>
      </c>
      <c r="D466" s="33" t="s">
        <v>10639</v>
      </c>
      <c r="E466" s="33" t="s">
        <v>302</v>
      </c>
      <c r="F466" s="33" t="s">
        <v>302</v>
      </c>
      <c r="G466" s="33" t="s">
        <v>303</v>
      </c>
    </row>
    <row r="467" spans="2:7" x14ac:dyDescent="0.25">
      <c r="B467" s="33" t="s">
        <v>292</v>
      </c>
      <c r="C467" s="33" t="s">
        <v>302</v>
      </c>
      <c r="D467" s="33" t="s">
        <v>10640</v>
      </c>
      <c r="E467" s="33" t="s">
        <v>302</v>
      </c>
      <c r="F467" s="33" t="s">
        <v>302</v>
      </c>
      <c r="G467" s="33" t="s">
        <v>1127</v>
      </c>
    </row>
    <row r="468" spans="2:7" x14ac:dyDescent="0.25">
      <c r="B468" s="33" t="s">
        <v>292</v>
      </c>
      <c r="C468" s="33" t="s">
        <v>302</v>
      </c>
      <c r="D468" s="33" t="s">
        <v>10641</v>
      </c>
      <c r="E468" s="33" t="s">
        <v>302</v>
      </c>
      <c r="F468" s="33" t="s">
        <v>302</v>
      </c>
      <c r="G468" s="33" t="s">
        <v>769</v>
      </c>
    </row>
    <row r="469" spans="2:7" x14ac:dyDescent="0.25">
      <c r="B469" s="33" t="s">
        <v>292</v>
      </c>
      <c r="C469" s="33" t="s">
        <v>302</v>
      </c>
      <c r="D469" s="33" t="s">
        <v>10642</v>
      </c>
      <c r="E469" s="33" t="s">
        <v>302</v>
      </c>
      <c r="F469" s="33" t="s">
        <v>302</v>
      </c>
      <c r="G469" s="33" t="s">
        <v>1095</v>
      </c>
    </row>
    <row r="470" spans="2:7" x14ac:dyDescent="0.25">
      <c r="B470" s="33" t="s">
        <v>292</v>
      </c>
      <c r="C470" s="33" t="s">
        <v>302</v>
      </c>
      <c r="D470" s="33" t="s">
        <v>10643</v>
      </c>
      <c r="E470" s="33" t="s">
        <v>302</v>
      </c>
      <c r="F470" s="33" t="s">
        <v>302</v>
      </c>
      <c r="G470" s="33" t="s">
        <v>1258</v>
      </c>
    </row>
    <row r="471" spans="2:7" x14ac:dyDescent="0.25">
      <c r="B471" s="33" t="s">
        <v>292</v>
      </c>
      <c r="C471" s="33" t="s">
        <v>302</v>
      </c>
      <c r="D471" s="33" t="s">
        <v>10644</v>
      </c>
      <c r="E471" s="33" t="s">
        <v>302</v>
      </c>
      <c r="F471" s="33" t="s">
        <v>302</v>
      </c>
      <c r="G471" s="33" t="s">
        <v>1267</v>
      </c>
    </row>
    <row r="472" spans="2:7" x14ac:dyDescent="0.25">
      <c r="B472" s="33" t="s">
        <v>292</v>
      </c>
      <c r="C472" s="33" t="s">
        <v>302</v>
      </c>
      <c r="D472" s="33" t="s">
        <v>10645</v>
      </c>
      <c r="E472" s="33" t="s">
        <v>302</v>
      </c>
      <c r="F472" s="33" t="s">
        <v>302</v>
      </c>
      <c r="G472" s="33" t="s">
        <v>776</v>
      </c>
    </row>
    <row r="473" spans="2:7" x14ac:dyDescent="0.25">
      <c r="B473" s="33" t="s">
        <v>292</v>
      </c>
      <c r="C473" s="33" t="s">
        <v>302</v>
      </c>
      <c r="D473" s="33" t="s">
        <v>10646</v>
      </c>
      <c r="E473" s="33" t="s">
        <v>302</v>
      </c>
      <c r="F473" s="33" t="s">
        <v>302</v>
      </c>
      <c r="G473" s="33" t="s">
        <v>1371</v>
      </c>
    </row>
    <row r="474" spans="2:7" x14ac:dyDescent="0.25">
      <c r="B474" s="33" t="s">
        <v>292</v>
      </c>
      <c r="C474" s="33" t="s">
        <v>302</v>
      </c>
      <c r="D474" s="33" t="s">
        <v>10647</v>
      </c>
      <c r="E474" s="33" t="s">
        <v>302</v>
      </c>
      <c r="F474" s="33" t="s">
        <v>302</v>
      </c>
      <c r="G474" s="33" t="s">
        <v>778</v>
      </c>
    </row>
    <row r="475" spans="2:7" x14ac:dyDescent="0.25">
      <c r="B475" s="33" t="s">
        <v>292</v>
      </c>
      <c r="C475" s="33" t="s">
        <v>302</v>
      </c>
      <c r="D475" s="33" t="s">
        <v>10648</v>
      </c>
      <c r="E475" s="33" t="s">
        <v>302</v>
      </c>
      <c r="F475" s="33" t="s">
        <v>302</v>
      </c>
      <c r="G475" s="33" t="s">
        <v>916</v>
      </c>
    </row>
    <row r="476" spans="2:7" x14ac:dyDescent="0.25">
      <c r="B476" s="33" t="s">
        <v>292</v>
      </c>
      <c r="C476" s="33" t="s">
        <v>302</v>
      </c>
      <c r="D476" s="33" t="s">
        <v>10649</v>
      </c>
      <c r="E476" s="33" t="s">
        <v>302</v>
      </c>
      <c r="F476" s="33" t="s">
        <v>302</v>
      </c>
      <c r="G476" s="33" t="s">
        <v>555</v>
      </c>
    </row>
    <row r="477" spans="2:7" x14ac:dyDescent="0.25">
      <c r="B477" s="33" t="s">
        <v>292</v>
      </c>
      <c r="C477" s="33" t="s">
        <v>302</v>
      </c>
      <c r="D477" s="33" t="s">
        <v>10650</v>
      </c>
      <c r="E477" s="33" t="s">
        <v>302</v>
      </c>
      <c r="F477" s="33" t="s">
        <v>302</v>
      </c>
      <c r="G477" s="33" t="s">
        <v>1214</v>
      </c>
    </row>
    <row r="478" spans="2:7" x14ac:dyDescent="0.25">
      <c r="B478" s="33" t="s">
        <v>292</v>
      </c>
      <c r="C478" s="33" t="s">
        <v>302</v>
      </c>
      <c r="D478" s="33" t="s">
        <v>10651</v>
      </c>
      <c r="E478" s="33" t="s">
        <v>302</v>
      </c>
      <c r="F478" s="33" t="s">
        <v>302</v>
      </c>
      <c r="G478" s="33" t="s">
        <v>654</v>
      </c>
    </row>
    <row r="479" spans="2:7" x14ac:dyDescent="0.25">
      <c r="B479" s="33" t="s">
        <v>292</v>
      </c>
      <c r="C479" s="33" t="s">
        <v>302</v>
      </c>
      <c r="D479" s="33" t="s">
        <v>10652</v>
      </c>
      <c r="E479" s="33" t="s">
        <v>302</v>
      </c>
      <c r="F479" s="33" t="s">
        <v>302</v>
      </c>
      <c r="G479" s="33" t="s">
        <v>739</v>
      </c>
    </row>
    <row r="480" spans="2:7" x14ac:dyDescent="0.25">
      <c r="B480" s="33" t="s">
        <v>292</v>
      </c>
      <c r="C480" s="33" t="s">
        <v>302</v>
      </c>
      <c r="D480" s="33" t="s">
        <v>10653</v>
      </c>
      <c r="E480" s="33" t="s">
        <v>302</v>
      </c>
      <c r="F480" s="33" t="s">
        <v>302</v>
      </c>
      <c r="G480" s="33" t="s">
        <v>656</v>
      </c>
    </row>
    <row r="481" spans="2:7" x14ac:dyDescent="0.25">
      <c r="B481" s="33" t="s">
        <v>292</v>
      </c>
      <c r="C481" s="33" t="s">
        <v>302</v>
      </c>
      <c r="D481" s="33" t="s">
        <v>10654</v>
      </c>
      <c r="E481" s="33" t="s">
        <v>302</v>
      </c>
      <c r="F481" s="33" t="s">
        <v>302</v>
      </c>
      <c r="G481" s="33" t="s">
        <v>546</v>
      </c>
    </row>
    <row r="482" spans="2:7" x14ac:dyDescent="0.25">
      <c r="B482" s="33" t="s">
        <v>292</v>
      </c>
      <c r="C482" s="33" t="s">
        <v>302</v>
      </c>
      <c r="D482" s="33" t="s">
        <v>10655</v>
      </c>
      <c r="E482" s="33" t="s">
        <v>302</v>
      </c>
      <c r="F482" s="33" t="s">
        <v>302</v>
      </c>
      <c r="G482" s="33" t="s">
        <v>768</v>
      </c>
    </row>
    <row r="483" spans="2:7" x14ac:dyDescent="0.25">
      <c r="B483" s="33" t="s">
        <v>292</v>
      </c>
      <c r="C483" s="33" t="s">
        <v>302</v>
      </c>
      <c r="D483" s="33" t="s">
        <v>10656</v>
      </c>
      <c r="E483" s="33" t="s">
        <v>302</v>
      </c>
      <c r="F483" s="33" t="s">
        <v>302</v>
      </c>
      <c r="G483" s="33" t="s">
        <v>568</v>
      </c>
    </row>
    <row r="484" spans="2:7" x14ac:dyDescent="0.25">
      <c r="B484" s="33" t="s">
        <v>292</v>
      </c>
      <c r="C484" s="33" t="s">
        <v>302</v>
      </c>
      <c r="D484" s="33" t="s">
        <v>10657</v>
      </c>
      <c r="E484" s="33" t="s">
        <v>302</v>
      </c>
      <c r="F484" s="33" t="s">
        <v>302</v>
      </c>
      <c r="G484" s="33" t="s">
        <v>710</v>
      </c>
    </row>
    <row r="485" spans="2:7" x14ac:dyDescent="0.25">
      <c r="B485" s="33" t="s">
        <v>292</v>
      </c>
      <c r="C485" s="33" t="s">
        <v>302</v>
      </c>
      <c r="D485" s="33" t="s">
        <v>10658</v>
      </c>
      <c r="E485" s="33" t="s">
        <v>302</v>
      </c>
      <c r="F485" s="33" t="s">
        <v>302</v>
      </c>
      <c r="G485" s="33" t="s">
        <v>1156</v>
      </c>
    </row>
    <row r="486" spans="2:7" x14ac:dyDescent="0.25">
      <c r="B486" s="33" t="s">
        <v>292</v>
      </c>
      <c r="C486" s="33" t="s">
        <v>302</v>
      </c>
      <c r="D486" s="33" t="s">
        <v>10659</v>
      </c>
      <c r="E486" s="33" t="s">
        <v>302</v>
      </c>
      <c r="F486" s="33" t="s">
        <v>302</v>
      </c>
      <c r="G486" s="33" t="s">
        <v>718</v>
      </c>
    </row>
    <row r="487" spans="2:7" x14ac:dyDescent="0.25">
      <c r="B487" s="33" t="s">
        <v>292</v>
      </c>
      <c r="C487" s="33" t="s">
        <v>302</v>
      </c>
      <c r="D487" s="33" t="s">
        <v>10660</v>
      </c>
      <c r="E487" s="33" t="s">
        <v>302</v>
      </c>
      <c r="F487" s="33" t="s">
        <v>302</v>
      </c>
      <c r="G487" s="33" t="s">
        <v>879</v>
      </c>
    </row>
    <row r="488" spans="2:7" x14ac:dyDescent="0.25">
      <c r="B488" s="33" t="s">
        <v>292</v>
      </c>
      <c r="C488" s="33" t="s">
        <v>302</v>
      </c>
      <c r="D488" s="33" t="s">
        <v>10661</v>
      </c>
      <c r="E488" s="33" t="s">
        <v>302</v>
      </c>
      <c r="F488" s="33" t="s">
        <v>302</v>
      </c>
      <c r="G488" s="33" t="s">
        <v>1185</v>
      </c>
    </row>
    <row r="489" spans="2:7" x14ac:dyDescent="0.25">
      <c r="B489" s="33" t="s">
        <v>292</v>
      </c>
      <c r="C489" s="33" t="s">
        <v>302</v>
      </c>
      <c r="D489" s="33" t="s">
        <v>10662</v>
      </c>
      <c r="E489" s="33" t="s">
        <v>302</v>
      </c>
      <c r="F489" s="33" t="s">
        <v>302</v>
      </c>
      <c r="G489" s="33" t="s">
        <v>549</v>
      </c>
    </row>
    <row r="490" spans="2:7" x14ac:dyDescent="0.25">
      <c r="B490" s="33" t="s">
        <v>292</v>
      </c>
      <c r="C490" s="33" t="s">
        <v>302</v>
      </c>
      <c r="D490" s="33" t="s">
        <v>10663</v>
      </c>
      <c r="E490" s="33" t="s">
        <v>302</v>
      </c>
      <c r="F490" s="33" t="s">
        <v>302</v>
      </c>
      <c r="G490" s="33" t="s">
        <v>337</v>
      </c>
    </row>
    <row r="491" spans="2:7" x14ac:dyDescent="0.25">
      <c r="B491" s="33" t="s">
        <v>292</v>
      </c>
      <c r="C491" s="33" t="s">
        <v>302</v>
      </c>
      <c r="D491" s="33" t="s">
        <v>10664</v>
      </c>
      <c r="E491" s="33" t="s">
        <v>302</v>
      </c>
      <c r="F491" s="33" t="s">
        <v>302</v>
      </c>
      <c r="G491" s="33" t="s">
        <v>660</v>
      </c>
    </row>
    <row r="492" spans="2:7" x14ac:dyDescent="0.25">
      <c r="B492" s="33" t="s">
        <v>292</v>
      </c>
      <c r="C492" s="33" t="s">
        <v>302</v>
      </c>
      <c r="D492" s="33" t="s">
        <v>10665</v>
      </c>
      <c r="E492" s="33" t="s">
        <v>302</v>
      </c>
      <c r="F492" s="33" t="s">
        <v>302</v>
      </c>
      <c r="G492" s="33" t="s">
        <v>1266</v>
      </c>
    </row>
    <row r="493" spans="2:7" x14ac:dyDescent="0.25">
      <c r="B493" s="33" t="s">
        <v>292</v>
      </c>
      <c r="C493" s="33" t="s">
        <v>302</v>
      </c>
      <c r="D493" s="33" t="s">
        <v>10666</v>
      </c>
      <c r="E493" s="33" t="s">
        <v>302</v>
      </c>
      <c r="F493" s="33" t="s">
        <v>302</v>
      </c>
      <c r="G493" s="33" t="s">
        <v>460</v>
      </c>
    </row>
    <row r="494" spans="2:7" x14ac:dyDescent="0.25">
      <c r="B494" s="33" t="s">
        <v>292</v>
      </c>
      <c r="C494" s="33" t="s">
        <v>302</v>
      </c>
      <c r="D494" s="33" t="s">
        <v>10667</v>
      </c>
      <c r="E494" s="33" t="s">
        <v>302</v>
      </c>
      <c r="F494" s="33" t="s">
        <v>302</v>
      </c>
      <c r="G494" s="33" t="s">
        <v>800</v>
      </c>
    </row>
    <row r="495" spans="2:7" x14ac:dyDescent="0.25">
      <c r="B495" s="33" t="s">
        <v>292</v>
      </c>
      <c r="C495" s="33" t="s">
        <v>302</v>
      </c>
      <c r="D495" s="33" t="s">
        <v>10668</v>
      </c>
      <c r="E495" s="33" t="s">
        <v>302</v>
      </c>
      <c r="F495" s="33" t="s">
        <v>302</v>
      </c>
      <c r="G495" s="33" t="s">
        <v>742</v>
      </c>
    </row>
    <row r="496" spans="2:7" x14ac:dyDescent="0.25">
      <c r="B496" s="33" t="s">
        <v>292</v>
      </c>
      <c r="C496" s="33" t="s">
        <v>302</v>
      </c>
      <c r="D496" s="33" t="s">
        <v>10669</v>
      </c>
      <c r="E496" s="33" t="s">
        <v>302</v>
      </c>
      <c r="F496" s="33" t="s">
        <v>302</v>
      </c>
      <c r="G496" s="33" t="s">
        <v>1213</v>
      </c>
    </row>
    <row r="497" spans="2:7" x14ac:dyDescent="0.25">
      <c r="B497" s="33" t="s">
        <v>292</v>
      </c>
      <c r="C497" s="33" t="s">
        <v>302</v>
      </c>
      <c r="D497" s="33" t="s">
        <v>10670</v>
      </c>
      <c r="E497" s="33" t="s">
        <v>302</v>
      </c>
      <c r="F497" s="33" t="s">
        <v>302</v>
      </c>
      <c r="G497" s="33" t="s">
        <v>1283</v>
      </c>
    </row>
    <row r="498" spans="2:7" x14ac:dyDescent="0.25">
      <c r="B498" s="33" t="s">
        <v>292</v>
      </c>
      <c r="C498" s="33" t="s">
        <v>302</v>
      </c>
      <c r="D498" s="33" t="s">
        <v>10671</v>
      </c>
      <c r="E498" s="33" t="s">
        <v>302</v>
      </c>
      <c r="F498" s="33" t="s">
        <v>302</v>
      </c>
      <c r="G498" s="33" t="s">
        <v>538</v>
      </c>
    </row>
    <row r="499" spans="2:7" x14ac:dyDescent="0.25">
      <c r="B499" s="33" t="s">
        <v>292</v>
      </c>
      <c r="C499" s="33" t="s">
        <v>302</v>
      </c>
      <c r="D499" s="33" t="s">
        <v>10672</v>
      </c>
      <c r="E499" s="33" t="s">
        <v>302</v>
      </c>
      <c r="F499" s="33" t="s">
        <v>302</v>
      </c>
      <c r="G499" s="33" t="s">
        <v>1038</v>
      </c>
    </row>
    <row r="500" spans="2:7" x14ac:dyDescent="0.25">
      <c r="B500" s="33" t="s">
        <v>292</v>
      </c>
      <c r="C500" s="33" t="s">
        <v>302</v>
      </c>
      <c r="D500" s="33" t="s">
        <v>10673</v>
      </c>
      <c r="E500" s="33" t="s">
        <v>302</v>
      </c>
      <c r="F500" s="33" t="s">
        <v>302</v>
      </c>
      <c r="G500" s="33" t="s">
        <v>1168</v>
      </c>
    </row>
    <row r="501" spans="2:7" x14ac:dyDescent="0.25">
      <c r="B501" s="33" t="s">
        <v>292</v>
      </c>
      <c r="C501" s="33" t="s">
        <v>302</v>
      </c>
      <c r="D501" s="33" t="s">
        <v>10674</v>
      </c>
      <c r="E501" s="33" t="s">
        <v>302</v>
      </c>
      <c r="F501" s="33" t="s">
        <v>302</v>
      </c>
      <c r="G501" s="33" t="s">
        <v>831</v>
      </c>
    </row>
    <row r="502" spans="2:7" x14ac:dyDescent="0.25">
      <c r="B502" s="33" t="s">
        <v>292</v>
      </c>
      <c r="C502" s="33" t="s">
        <v>302</v>
      </c>
      <c r="D502" s="33" t="s">
        <v>10675</v>
      </c>
      <c r="E502" s="33" t="s">
        <v>302</v>
      </c>
      <c r="F502" s="33" t="s">
        <v>302</v>
      </c>
      <c r="G502" s="33" t="s">
        <v>441</v>
      </c>
    </row>
    <row r="503" spans="2:7" x14ac:dyDescent="0.25">
      <c r="B503" s="33" t="s">
        <v>292</v>
      </c>
      <c r="C503" s="33" t="s">
        <v>302</v>
      </c>
      <c r="D503" s="33" t="s">
        <v>10676</v>
      </c>
      <c r="E503" s="33" t="s">
        <v>302</v>
      </c>
      <c r="F503" s="33" t="s">
        <v>302</v>
      </c>
      <c r="G503" s="33" t="s">
        <v>1139</v>
      </c>
    </row>
    <row r="504" spans="2:7" x14ac:dyDescent="0.25">
      <c r="B504" s="33" t="s">
        <v>292</v>
      </c>
      <c r="C504" s="33" t="s">
        <v>302</v>
      </c>
      <c r="D504" s="33" t="s">
        <v>10677</v>
      </c>
      <c r="E504" s="33" t="s">
        <v>302</v>
      </c>
      <c r="F504" s="33" t="s">
        <v>302</v>
      </c>
      <c r="G504" s="33" t="s">
        <v>657</v>
      </c>
    </row>
    <row r="505" spans="2:7" x14ac:dyDescent="0.25">
      <c r="B505" s="33" t="s">
        <v>292</v>
      </c>
      <c r="C505" s="33" t="s">
        <v>302</v>
      </c>
      <c r="D505" s="33" t="s">
        <v>10678</v>
      </c>
      <c r="E505" s="33" t="s">
        <v>302</v>
      </c>
      <c r="F505" s="33" t="s">
        <v>302</v>
      </c>
      <c r="G505" s="33" t="s">
        <v>872</v>
      </c>
    </row>
    <row r="506" spans="2:7" x14ac:dyDescent="0.25">
      <c r="B506" s="33" t="s">
        <v>292</v>
      </c>
      <c r="C506" s="33" t="s">
        <v>302</v>
      </c>
      <c r="D506" s="33" t="s">
        <v>10679</v>
      </c>
      <c r="E506" s="33" t="s">
        <v>302</v>
      </c>
      <c r="F506" s="33" t="s">
        <v>302</v>
      </c>
      <c r="G506" s="33" t="s">
        <v>1107</v>
      </c>
    </row>
    <row r="507" spans="2:7" x14ac:dyDescent="0.25">
      <c r="B507" s="33" t="s">
        <v>292</v>
      </c>
      <c r="C507" s="33" t="s">
        <v>302</v>
      </c>
      <c r="D507" s="33" t="s">
        <v>10680</v>
      </c>
      <c r="E507" s="33" t="s">
        <v>302</v>
      </c>
      <c r="F507" s="33" t="s">
        <v>302</v>
      </c>
      <c r="G507" s="33" t="s">
        <v>585</v>
      </c>
    </row>
    <row r="508" spans="2:7" x14ac:dyDescent="0.25">
      <c r="B508" s="33" t="s">
        <v>292</v>
      </c>
      <c r="C508" s="33" t="s">
        <v>302</v>
      </c>
      <c r="D508" s="33" t="s">
        <v>10681</v>
      </c>
      <c r="E508" s="33" t="s">
        <v>302</v>
      </c>
      <c r="F508" s="33" t="s">
        <v>302</v>
      </c>
      <c r="G508" s="33" t="s">
        <v>1210</v>
      </c>
    </row>
    <row r="509" spans="2:7" x14ac:dyDescent="0.25">
      <c r="B509" s="33" t="s">
        <v>292</v>
      </c>
      <c r="C509" s="33" t="s">
        <v>302</v>
      </c>
      <c r="D509" s="33" t="s">
        <v>10682</v>
      </c>
      <c r="E509" s="33" t="s">
        <v>302</v>
      </c>
      <c r="F509" s="33" t="s">
        <v>302</v>
      </c>
      <c r="G509" s="33" t="s">
        <v>887</v>
      </c>
    </row>
    <row r="510" spans="2:7" x14ac:dyDescent="0.25">
      <c r="B510" s="33" t="s">
        <v>292</v>
      </c>
      <c r="C510" s="33" t="s">
        <v>302</v>
      </c>
      <c r="D510" s="33" t="s">
        <v>10683</v>
      </c>
      <c r="E510" s="33" t="s">
        <v>302</v>
      </c>
      <c r="F510" s="33" t="s">
        <v>302</v>
      </c>
      <c r="G510" s="33" t="s">
        <v>813</v>
      </c>
    </row>
    <row r="511" spans="2:7" x14ac:dyDescent="0.25">
      <c r="B511" s="33" t="s">
        <v>292</v>
      </c>
      <c r="C511" s="33" t="s">
        <v>302</v>
      </c>
      <c r="D511" s="33" t="s">
        <v>10684</v>
      </c>
      <c r="E511" s="33" t="s">
        <v>302</v>
      </c>
      <c r="F511" s="33" t="s">
        <v>302</v>
      </c>
      <c r="G511" s="33" t="s">
        <v>506</v>
      </c>
    </row>
    <row r="512" spans="2:7" x14ac:dyDescent="0.25">
      <c r="B512" s="33" t="s">
        <v>292</v>
      </c>
      <c r="C512" s="33" t="s">
        <v>302</v>
      </c>
      <c r="D512" s="33" t="s">
        <v>10685</v>
      </c>
      <c r="E512" s="33" t="s">
        <v>302</v>
      </c>
      <c r="F512" s="33" t="s">
        <v>302</v>
      </c>
      <c r="G512" s="33" t="s">
        <v>1136</v>
      </c>
    </row>
    <row r="513" spans="2:7" x14ac:dyDescent="0.25">
      <c r="B513" s="33" t="s">
        <v>292</v>
      </c>
      <c r="C513" s="33" t="s">
        <v>302</v>
      </c>
      <c r="D513" s="33" t="s">
        <v>10686</v>
      </c>
      <c r="E513" s="33" t="s">
        <v>302</v>
      </c>
      <c r="F513" s="33" t="s">
        <v>302</v>
      </c>
      <c r="G513" s="33" t="s">
        <v>811</v>
      </c>
    </row>
    <row r="514" spans="2:7" x14ac:dyDescent="0.25">
      <c r="B514" s="33" t="s">
        <v>292</v>
      </c>
      <c r="C514" s="33" t="s">
        <v>302</v>
      </c>
      <c r="D514" s="33" t="s">
        <v>10687</v>
      </c>
      <c r="E514" s="33" t="s">
        <v>302</v>
      </c>
      <c r="F514" s="33" t="s">
        <v>302</v>
      </c>
      <c r="G514" s="33" t="s">
        <v>1068</v>
      </c>
    </row>
    <row r="515" spans="2:7" x14ac:dyDescent="0.25">
      <c r="B515" s="33" t="s">
        <v>292</v>
      </c>
      <c r="C515" s="33" t="s">
        <v>302</v>
      </c>
      <c r="D515" s="33" t="s">
        <v>10688</v>
      </c>
      <c r="E515" s="33" t="s">
        <v>302</v>
      </c>
      <c r="F515" s="33" t="s">
        <v>302</v>
      </c>
      <c r="G515" s="33" t="s">
        <v>1337</v>
      </c>
    </row>
    <row r="516" spans="2:7" x14ac:dyDescent="0.25">
      <c r="B516" s="33" t="s">
        <v>292</v>
      </c>
      <c r="C516" s="33" t="s">
        <v>302</v>
      </c>
      <c r="D516" s="33" t="s">
        <v>10689</v>
      </c>
      <c r="E516" s="33" t="s">
        <v>302</v>
      </c>
      <c r="F516" s="33" t="s">
        <v>302</v>
      </c>
      <c r="G516" s="33" t="s">
        <v>364</v>
      </c>
    </row>
    <row r="517" spans="2:7" x14ac:dyDescent="0.25">
      <c r="B517" s="33" t="s">
        <v>292</v>
      </c>
      <c r="C517" s="33" t="s">
        <v>302</v>
      </c>
      <c r="D517" s="33" t="s">
        <v>10690</v>
      </c>
      <c r="E517" s="33" t="s">
        <v>302</v>
      </c>
      <c r="F517" s="33" t="s">
        <v>302</v>
      </c>
      <c r="G517" s="33" t="s">
        <v>579</v>
      </c>
    </row>
    <row r="518" spans="2:7" x14ac:dyDescent="0.25">
      <c r="B518" s="33" t="s">
        <v>292</v>
      </c>
      <c r="C518" s="33" t="s">
        <v>302</v>
      </c>
      <c r="D518" s="33" t="s">
        <v>10691</v>
      </c>
      <c r="E518" s="33" t="s">
        <v>302</v>
      </c>
      <c r="F518" s="33" t="s">
        <v>302</v>
      </c>
      <c r="G518" s="33" t="s">
        <v>993</v>
      </c>
    </row>
    <row r="519" spans="2:7" x14ac:dyDescent="0.25">
      <c r="B519" s="33" t="s">
        <v>292</v>
      </c>
      <c r="C519" s="33" t="s">
        <v>302</v>
      </c>
      <c r="D519" s="33" t="s">
        <v>10692</v>
      </c>
      <c r="E519" s="33" t="s">
        <v>302</v>
      </c>
      <c r="F519" s="33" t="s">
        <v>302</v>
      </c>
      <c r="G519" s="33" t="s">
        <v>1271</v>
      </c>
    </row>
    <row r="520" spans="2:7" x14ac:dyDescent="0.25">
      <c r="B520" s="33" t="s">
        <v>292</v>
      </c>
      <c r="C520" s="33" t="s">
        <v>302</v>
      </c>
      <c r="D520" s="33" t="s">
        <v>10693</v>
      </c>
      <c r="E520" s="33" t="s">
        <v>302</v>
      </c>
      <c r="F520" s="33" t="s">
        <v>302</v>
      </c>
      <c r="G520" s="33" t="s">
        <v>522</v>
      </c>
    </row>
    <row r="521" spans="2:7" x14ac:dyDescent="0.25">
      <c r="B521" s="33" t="s">
        <v>292</v>
      </c>
      <c r="C521" s="33" t="s">
        <v>302</v>
      </c>
      <c r="D521" s="33" t="s">
        <v>10694</v>
      </c>
      <c r="E521" s="33" t="s">
        <v>302</v>
      </c>
      <c r="F521" s="33" t="s">
        <v>302</v>
      </c>
      <c r="G521" s="33" t="s">
        <v>340</v>
      </c>
    </row>
    <row r="522" spans="2:7" x14ac:dyDescent="0.25">
      <c r="B522" s="33" t="s">
        <v>292</v>
      </c>
      <c r="C522" s="33" t="s">
        <v>302</v>
      </c>
      <c r="D522" s="33" t="s">
        <v>10695</v>
      </c>
      <c r="E522" s="33" t="s">
        <v>302</v>
      </c>
      <c r="F522" s="33" t="s">
        <v>302</v>
      </c>
      <c r="G522" s="33" t="s">
        <v>1179</v>
      </c>
    </row>
    <row r="523" spans="2:7" x14ac:dyDescent="0.25">
      <c r="B523" s="33" t="s">
        <v>292</v>
      </c>
      <c r="C523" s="33" t="s">
        <v>302</v>
      </c>
      <c r="D523" s="33" t="s">
        <v>10696</v>
      </c>
      <c r="E523" s="33" t="s">
        <v>302</v>
      </c>
      <c r="F523" s="33" t="s">
        <v>302</v>
      </c>
      <c r="G523" s="33" t="s">
        <v>536</v>
      </c>
    </row>
    <row r="524" spans="2:7" x14ac:dyDescent="0.25">
      <c r="B524" s="33" t="s">
        <v>292</v>
      </c>
      <c r="C524" s="33" t="s">
        <v>302</v>
      </c>
      <c r="D524" s="33" t="s">
        <v>10697</v>
      </c>
      <c r="E524" s="33" t="s">
        <v>302</v>
      </c>
      <c r="F524" s="33" t="s">
        <v>302</v>
      </c>
      <c r="G524" s="33" t="s">
        <v>938</v>
      </c>
    </row>
    <row r="525" spans="2:7" x14ac:dyDescent="0.25">
      <c r="B525" s="33" t="s">
        <v>292</v>
      </c>
      <c r="C525" s="33" t="s">
        <v>302</v>
      </c>
      <c r="D525" s="33" t="s">
        <v>10698</v>
      </c>
      <c r="E525" s="33" t="s">
        <v>302</v>
      </c>
      <c r="F525" s="33" t="s">
        <v>302</v>
      </c>
      <c r="G525" s="33" t="s">
        <v>729</v>
      </c>
    </row>
    <row r="526" spans="2:7" x14ac:dyDescent="0.25">
      <c r="B526" s="33" t="s">
        <v>292</v>
      </c>
      <c r="C526" s="33" t="s">
        <v>302</v>
      </c>
      <c r="D526" s="33" t="s">
        <v>10699</v>
      </c>
      <c r="E526" s="33" t="s">
        <v>302</v>
      </c>
      <c r="F526" s="33" t="s">
        <v>302</v>
      </c>
      <c r="G526" s="33" t="s">
        <v>745</v>
      </c>
    </row>
    <row r="527" spans="2:7" x14ac:dyDescent="0.25">
      <c r="B527" s="33" t="s">
        <v>292</v>
      </c>
      <c r="C527" s="33" t="s">
        <v>302</v>
      </c>
      <c r="D527" s="33" t="s">
        <v>10700</v>
      </c>
      <c r="E527" s="33" t="s">
        <v>302</v>
      </c>
      <c r="F527" s="33" t="s">
        <v>302</v>
      </c>
      <c r="G527" s="33" t="s">
        <v>1363</v>
      </c>
    </row>
    <row r="528" spans="2:7" x14ac:dyDescent="0.25">
      <c r="B528" s="33" t="s">
        <v>292</v>
      </c>
      <c r="C528" s="33" t="s">
        <v>302</v>
      </c>
      <c r="D528" s="33" t="s">
        <v>10701</v>
      </c>
      <c r="E528" s="33" t="s">
        <v>302</v>
      </c>
      <c r="F528" s="33" t="s">
        <v>302</v>
      </c>
      <c r="G528" s="33" t="s">
        <v>595</v>
      </c>
    </row>
    <row r="529" spans="2:7" x14ac:dyDescent="0.25">
      <c r="B529" s="33" t="s">
        <v>292</v>
      </c>
      <c r="C529" s="33" t="s">
        <v>302</v>
      </c>
      <c r="D529" s="33" t="s">
        <v>10702</v>
      </c>
      <c r="E529" s="33" t="s">
        <v>302</v>
      </c>
      <c r="F529" s="33" t="s">
        <v>302</v>
      </c>
      <c r="G529" s="33" t="s">
        <v>482</v>
      </c>
    </row>
    <row r="530" spans="2:7" x14ac:dyDescent="0.25">
      <c r="B530" s="33" t="s">
        <v>292</v>
      </c>
      <c r="C530" s="33" t="s">
        <v>302</v>
      </c>
      <c r="D530" s="33" t="s">
        <v>10703</v>
      </c>
      <c r="E530" s="33" t="s">
        <v>302</v>
      </c>
      <c r="F530" s="33" t="s">
        <v>302</v>
      </c>
      <c r="G530" s="33" t="s">
        <v>501</v>
      </c>
    </row>
    <row r="531" spans="2:7" x14ac:dyDescent="0.25">
      <c r="B531" s="33" t="s">
        <v>292</v>
      </c>
      <c r="C531" s="33" t="s">
        <v>302</v>
      </c>
      <c r="D531" s="33" t="s">
        <v>10704</v>
      </c>
      <c r="E531" s="33" t="s">
        <v>302</v>
      </c>
      <c r="F531" s="33" t="s">
        <v>302</v>
      </c>
      <c r="G531" s="33" t="s">
        <v>1246</v>
      </c>
    </row>
    <row r="532" spans="2:7" x14ac:dyDescent="0.25">
      <c r="B532" s="33" t="s">
        <v>292</v>
      </c>
      <c r="C532" s="33" t="s">
        <v>302</v>
      </c>
      <c r="D532" s="33" t="s">
        <v>10705</v>
      </c>
      <c r="E532" s="33" t="s">
        <v>302</v>
      </c>
      <c r="F532" s="33" t="s">
        <v>302</v>
      </c>
      <c r="G532" s="33" t="s">
        <v>724</v>
      </c>
    </row>
    <row r="533" spans="2:7" x14ac:dyDescent="0.25">
      <c r="B533" s="33" t="s">
        <v>292</v>
      </c>
      <c r="C533" s="33" t="s">
        <v>302</v>
      </c>
      <c r="D533" s="33" t="s">
        <v>10706</v>
      </c>
      <c r="E533" s="33" t="s">
        <v>302</v>
      </c>
      <c r="F533" s="33" t="s">
        <v>302</v>
      </c>
      <c r="G533" s="33" t="s">
        <v>941</v>
      </c>
    </row>
    <row r="534" spans="2:7" x14ac:dyDescent="0.25">
      <c r="B534" s="33" t="s">
        <v>292</v>
      </c>
      <c r="C534" s="33" t="s">
        <v>302</v>
      </c>
      <c r="D534" s="33" t="s">
        <v>10707</v>
      </c>
      <c r="E534" s="33" t="s">
        <v>302</v>
      </c>
      <c r="F534" s="33" t="s">
        <v>302</v>
      </c>
      <c r="G534" s="33" t="s">
        <v>620</v>
      </c>
    </row>
    <row r="535" spans="2:7" x14ac:dyDescent="0.25">
      <c r="B535" s="33" t="s">
        <v>292</v>
      </c>
      <c r="C535" s="33" t="s">
        <v>302</v>
      </c>
      <c r="D535" s="33" t="s">
        <v>10708</v>
      </c>
      <c r="E535" s="33" t="s">
        <v>302</v>
      </c>
      <c r="F535" s="33" t="s">
        <v>302</v>
      </c>
      <c r="G535" s="33" t="s">
        <v>1223</v>
      </c>
    </row>
    <row r="536" spans="2:7" x14ac:dyDescent="0.25">
      <c r="B536" s="33" t="s">
        <v>292</v>
      </c>
      <c r="C536" s="33" t="s">
        <v>302</v>
      </c>
      <c r="D536" s="33" t="s">
        <v>10709</v>
      </c>
      <c r="E536" s="33" t="s">
        <v>302</v>
      </c>
      <c r="F536" s="33" t="s">
        <v>302</v>
      </c>
      <c r="G536" s="33" t="s">
        <v>903</v>
      </c>
    </row>
    <row r="537" spans="2:7" x14ac:dyDescent="0.25">
      <c r="B537" s="33" t="s">
        <v>292</v>
      </c>
      <c r="C537" s="33" t="s">
        <v>302</v>
      </c>
      <c r="D537" s="33" t="s">
        <v>10710</v>
      </c>
      <c r="E537" s="33" t="s">
        <v>302</v>
      </c>
      <c r="F537" s="33" t="s">
        <v>302</v>
      </c>
      <c r="G537" s="33" t="s">
        <v>648</v>
      </c>
    </row>
    <row r="538" spans="2:7" x14ac:dyDescent="0.25">
      <c r="B538" s="33" t="s">
        <v>292</v>
      </c>
      <c r="C538" s="33" t="s">
        <v>302</v>
      </c>
      <c r="D538" s="33" t="s">
        <v>10711</v>
      </c>
      <c r="E538" s="33" t="s">
        <v>302</v>
      </c>
      <c r="F538" s="33" t="s">
        <v>302</v>
      </c>
      <c r="G538" s="33" t="s">
        <v>1257</v>
      </c>
    </row>
    <row r="539" spans="2:7" x14ac:dyDescent="0.25">
      <c r="B539" s="33" t="s">
        <v>292</v>
      </c>
      <c r="C539" s="33" t="s">
        <v>302</v>
      </c>
      <c r="D539" s="33" t="s">
        <v>10712</v>
      </c>
      <c r="E539" s="33" t="s">
        <v>302</v>
      </c>
      <c r="F539" s="33" t="s">
        <v>302</v>
      </c>
      <c r="G539" s="33" t="s">
        <v>987</v>
      </c>
    </row>
    <row r="540" spans="2:7" x14ac:dyDescent="0.25">
      <c r="B540" s="33" t="s">
        <v>292</v>
      </c>
      <c r="C540" s="33" t="s">
        <v>302</v>
      </c>
      <c r="D540" s="33" t="s">
        <v>10713</v>
      </c>
      <c r="E540" s="33" t="s">
        <v>302</v>
      </c>
      <c r="F540" s="33" t="s">
        <v>302</v>
      </c>
      <c r="G540" s="33" t="s">
        <v>893</v>
      </c>
    </row>
    <row r="541" spans="2:7" x14ac:dyDescent="0.25">
      <c r="B541" s="33" t="s">
        <v>292</v>
      </c>
      <c r="C541" s="33" t="s">
        <v>302</v>
      </c>
      <c r="D541" s="33" t="s">
        <v>10714</v>
      </c>
      <c r="E541" s="33" t="s">
        <v>302</v>
      </c>
      <c r="F541" s="33" t="s">
        <v>302</v>
      </c>
      <c r="G541" s="33" t="s">
        <v>1329</v>
      </c>
    </row>
    <row r="542" spans="2:7" x14ac:dyDescent="0.25">
      <c r="B542" s="33" t="s">
        <v>292</v>
      </c>
      <c r="C542" s="33" t="s">
        <v>302</v>
      </c>
      <c r="D542" s="33" t="s">
        <v>10715</v>
      </c>
      <c r="E542" s="33" t="s">
        <v>302</v>
      </c>
      <c r="F542" s="33" t="s">
        <v>302</v>
      </c>
      <c r="G542" s="33" t="s">
        <v>414</v>
      </c>
    </row>
    <row r="543" spans="2:7" x14ac:dyDescent="0.25">
      <c r="B543" s="33" t="s">
        <v>292</v>
      </c>
      <c r="C543" s="33" t="s">
        <v>302</v>
      </c>
      <c r="D543" s="33" t="s">
        <v>10716</v>
      </c>
      <c r="E543" s="33" t="s">
        <v>302</v>
      </c>
      <c r="F543" s="33" t="s">
        <v>302</v>
      </c>
      <c r="G543" s="33" t="s">
        <v>1019</v>
      </c>
    </row>
    <row r="544" spans="2:7" x14ac:dyDescent="0.25">
      <c r="B544" s="33" t="s">
        <v>292</v>
      </c>
      <c r="C544" s="33" t="s">
        <v>302</v>
      </c>
      <c r="D544" s="33" t="s">
        <v>10717</v>
      </c>
      <c r="E544" s="33" t="s">
        <v>302</v>
      </c>
      <c r="F544" s="33" t="s">
        <v>302</v>
      </c>
      <c r="G544" s="33" t="s">
        <v>828</v>
      </c>
    </row>
    <row r="545" spans="2:7" x14ac:dyDescent="0.25">
      <c r="B545" s="33" t="s">
        <v>292</v>
      </c>
      <c r="C545" s="33" t="s">
        <v>302</v>
      </c>
      <c r="D545" s="33" t="s">
        <v>10718</v>
      </c>
      <c r="E545" s="33" t="s">
        <v>302</v>
      </c>
      <c r="F545" s="33" t="s">
        <v>302</v>
      </c>
      <c r="G545" s="33" t="s">
        <v>1108</v>
      </c>
    </row>
    <row r="546" spans="2:7" x14ac:dyDescent="0.25">
      <c r="B546" s="33" t="s">
        <v>292</v>
      </c>
      <c r="C546" s="33" t="s">
        <v>302</v>
      </c>
      <c r="D546" s="33" t="s">
        <v>10719</v>
      </c>
      <c r="E546" s="33" t="s">
        <v>302</v>
      </c>
      <c r="F546" s="33" t="s">
        <v>302</v>
      </c>
      <c r="G546" s="33" t="s">
        <v>845</v>
      </c>
    </row>
    <row r="547" spans="2:7" x14ac:dyDescent="0.25">
      <c r="B547" s="33" t="s">
        <v>292</v>
      </c>
      <c r="C547" s="33" t="s">
        <v>302</v>
      </c>
      <c r="D547" s="33" t="s">
        <v>10720</v>
      </c>
      <c r="E547" s="33" t="s">
        <v>302</v>
      </c>
      <c r="F547" s="33" t="s">
        <v>302</v>
      </c>
      <c r="G547" s="33" t="s">
        <v>411</v>
      </c>
    </row>
    <row r="548" spans="2:7" x14ac:dyDescent="0.25">
      <c r="B548" s="33" t="s">
        <v>292</v>
      </c>
      <c r="C548" s="33" t="s">
        <v>302</v>
      </c>
      <c r="D548" s="33" t="s">
        <v>10721</v>
      </c>
      <c r="E548" s="33" t="s">
        <v>302</v>
      </c>
      <c r="F548" s="33" t="s">
        <v>302</v>
      </c>
      <c r="G548" s="33" t="s">
        <v>689</v>
      </c>
    </row>
    <row r="549" spans="2:7" x14ac:dyDescent="0.25">
      <c r="B549" s="33" t="s">
        <v>292</v>
      </c>
      <c r="C549" s="33" t="s">
        <v>302</v>
      </c>
      <c r="D549" s="33" t="s">
        <v>10722</v>
      </c>
      <c r="E549" s="33" t="s">
        <v>302</v>
      </c>
      <c r="F549" s="33" t="s">
        <v>302</v>
      </c>
      <c r="G549" s="33" t="s">
        <v>833</v>
      </c>
    </row>
    <row r="550" spans="2:7" x14ac:dyDescent="0.25">
      <c r="B550" s="33" t="s">
        <v>292</v>
      </c>
      <c r="C550" s="33" t="s">
        <v>302</v>
      </c>
      <c r="D550" s="33" t="s">
        <v>10723</v>
      </c>
      <c r="E550" s="33" t="s">
        <v>302</v>
      </c>
      <c r="F550" s="33" t="s">
        <v>302</v>
      </c>
      <c r="G550" s="33" t="s">
        <v>982</v>
      </c>
    </row>
    <row r="551" spans="2:7" x14ac:dyDescent="0.25">
      <c r="B551" s="33" t="s">
        <v>292</v>
      </c>
      <c r="C551" s="33" t="s">
        <v>302</v>
      </c>
      <c r="D551" s="33" t="s">
        <v>10724</v>
      </c>
      <c r="E551" s="33" t="s">
        <v>302</v>
      </c>
      <c r="F551" s="33" t="s">
        <v>302</v>
      </c>
      <c r="G551" s="33" t="s">
        <v>527</v>
      </c>
    </row>
    <row r="552" spans="2:7" x14ac:dyDescent="0.25">
      <c r="B552" s="33" t="s">
        <v>292</v>
      </c>
      <c r="C552" s="33" t="s">
        <v>302</v>
      </c>
      <c r="D552" s="33" t="s">
        <v>10725</v>
      </c>
      <c r="E552" s="33" t="s">
        <v>302</v>
      </c>
      <c r="F552" s="33" t="s">
        <v>302</v>
      </c>
      <c r="G552" s="33" t="s">
        <v>448</v>
      </c>
    </row>
    <row r="553" spans="2:7" x14ac:dyDescent="0.25">
      <c r="B553" s="33" t="s">
        <v>292</v>
      </c>
      <c r="C553" s="33" t="s">
        <v>302</v>
      </c>
      <c r="D553" s="33" t="s">
        <v>10726</v>
      </c>
      <c r="E553" s="33" t="s">
        <v>302</v>
      </c>
      <c r="F553" s="33" t="s">
        <v>302</v>
      </c>
      <c r="G553" s="33" t="s">
        <v>426</v>
      </c>
    </row>
    <row r="554" spans="2:7" x14ac:dyDescent="0.25">
      <c r="B554" s="33" t="s">
        <v>292</v>
      </c>
      <c r="C554" s="33" t="s">
        <v>302</v>
      </c>
      <c r="D554" s="33" t="s">
        <v>10727</v>
      </c>
      <c r="E554" s="33" t="s">
        <v>302</v>
      </c>
      <c r="F554" s="33" t="s">
        <v>302</v>
      </c>
      <c r="G554" s="33" t="s">
        <v>1041</v>
      </c>
    </row>
    <row r="555" spans="2:7" x14ac:dyDescent="0.25">
      <c r="B555" s="33" t="s">
        <v>292</v>
      </c>
      <c r="C555" s="33" t="s">
        <v>302</v>
      </c>
      <c r="D555" s="33" t="s">
        <v>10728</v>
      </c>
      <c r="E555" s="33" t="s">
        <v>302</v>
      </c>
      <c r="F555" s="33" t="s">
        <v>302</v>
      </c>
      <c r="G555" s="33" t="s">
        <v>1358</v>
      </c>
    </row>
    <row r="556" spans="2:7" x14ac:dyDescent="0.25">
      <c r="B556" s="33" t="s">
        <v>292</v>
      </c>
      <c r="C556" s="33" t="s">
        <v>302</v>
      </c>
      <c r="D556" s="33" t="s">
        <v>10729</v>
      </c>
      <c r="E556" s="33" t="s">
        <v>302</v>
      </c>
      <c r="F556" s="33" t="s">
        <v>302</v>
      </c>
      <c r="G556" s="33" t="s">
        <v>1222</v>
      </c>
    </row>
    <row r="557" spans="2:7" x14ac:dyDescent="0.25">
      <c r="B557" s="33" t="s">
        <v>292</v>
      </c>
      <c r="C557" s="33" t="s">
        <v>302</v>
      </c>
      <c r="D557" s="33" t="s">
        <v>10730</v>
      </c>
      <c r="E557" s="33" t="s">
        <v>302</v>
      </c>
      <c r="F557" s="33" t="s">
        <v>302</v>
      </c>
      <c r="G557" s="33" t="s">
        <v>462</v>
      </c>
    </row>
    <row r="558" spans="2:7" x14ac:dyDescent="0.25">
      <c r="B558" s="33" t="s">
        <v>292</v>
      </c>
      <c r="C558" s="33" t="s">
        <v>302</v>
      </c>
      <c r="D558" s="33" t="s">
        <v>9675</v>
      </c>
      <c r="E558" s="33" t="s">
        <v>302</v>
      </c>
      <c r="F558" s="33" t="s">
        <v>302</v>
      </c>
      <c r="G558" s="33" t="s">
        <v>541</v>
      </c>
    </row>
    <row r="559" spans="2:7" x14ac:dyDescent="0.25">
      <c r="B559" s="33" t="s">
        <v>292</v>
      </c>
      <c r="C559" s="33" t="s">
        <v>302</v>
      </c>
      <c r="D559" s="33" t="s">
        <v>10731</v>
      </c>
      <c r="E559" s="33" t="s">
        <v>302</v>
      </c>
      <c r="F559" s="33" t="s">
        <v>302</v>
      </c>
      <c r="G559" s="33" t="s">
        <v>1269</v>
      </c>
    </row>
    <row r="560" spans="2:7" x14ac:dyDescent="0.25">
      <c r="B560" s="33" t="s">
        <v>292</v>
      </c>
      <c r="C560" s="33" t="s">
        <v>302</v>
      </c>
      <c r="D560" s="33" t="s">
        <v>10732</v>
      </c>
      <c r="E560" s="33" t="s">
        <v>302</v>
      </c>
      <c r="F560" s="33" t="s">
        <v>302</v>
      </c>
      <c r="G560" s="33" t="s">
        <v>1079</v>
      </c>
    </row>
    <row r="561" spans="2:7" x14ac:dyDescent="0.25">
      <c r="B561" s="33" t="s">
        <v>292</v>
      </c>
      <c r="C561" s="33" t="s">
        <v>302</v>
      </c>
      <c r="D561" s="33" t="s">
        <v>10733</v>
      </c>
      <c r="E561" s="33" t="s">
        <v>302</v>
      </c>
      <c r="F561" s="33" t="s">
        <v>302</v>
      </c>
      <c r="G561" s="33" t="s">
        <v>888</v>
      </c>
    </row>
    <row r="562" spans="2:7" x14ac:dyDescent="0.25">
      <c r="B562" s="33" t="s">
        <v>292</v>
      </c>
      <c r="C562" s="33" t="s">
        <v>302</v>
      </c>
      <c r="D562" s="33" t="s">
        <v>10734</v>
      </c>
      <c r="E562" s="33" t="s">
        <v>302</v>
      </c>
      <c r="F562" s="33" t="s">
        <v>302</v>
      </c>
      <c r="G562" s="33" t="s">
        <v>1374</v>
      </c>
    </row>
    <row r="563" spans="2:7" x14ac:dyDescent="0.25">
      <c r="B563" s="33" t="s">
        <v>292</v>
      </c>
      <c r="C563" s="33" t="s">
        <v>302</v>
      </c>
      <c r="D563" s="33" t="s">
        <v>10735</v>
      </c>
      <c r="E563" s="33" t="s">
        <v>302</v>
      </c>
      <c r="F563" s="33" t="s">
        <v>302</v>
      </c>
      <c r="G563" s="33" t="s">
        <v>1332</v>
      </c>
    </row>
    <row r="564" spans="2:7" x14ac:dyDescent="0.25">
      <c r="B564" s="33" t="s">
        <v>292</v>
      </c>
      <c r="C564" s="33" t="s">
        <v>302</v>
      </c>
      <c r="D564" s="33" t="s">
        <v>10736</v>
      </c>
      <c r="E564" s="33" t="s">
        <v>302</v>
      </c>
      <c r="F564" s="33" t="s">
        <v>302</v>
      </c>
      <c r="G564" s="33" t="s">
        <v>463</v>
      </c>
    </row>
    <row r="565" spans="2:7" x14ac:dyDescent="0.25">
      <c r="B565" s="33" t="s">
        <v>292</v>
      </c>
      <c r="C565" s="33" t="s">
        <v>302</v>
      </c>
      <c r="D565" s="33" t="s">
        <v>10737</v>
      </c>
      <c r="E565" s="33" t="s">
        <v>302</v>
      </c>
      <c r="F565" s="33" t="s">
        <v>302</v>
      </c>
      <c r="G565" s="33" t="s">
        <v>446</v>
      </c>
    </row>
    <row r="566" spans="2:7" x14ac:dyDescent="0.25">
      <c r="B566" s="33" t="s">
        <v>292</v>
      </c>
      <c r="C566" s="33" t="s">
        <v>302</v>
      </c>
      <c r="D566" s="33" t="s">
        <v>10738</v>
      </c>
      <c r="E566" s="33" t="s">
        <v>302</v>
      </c>
      <c r="F566" s="33" t="s">
        <v>302</v>
      </c>
      <c r="G566" s="33" t="s">
        <v>1252</v>
      </c>
    </row>
    <row r="567" spans="2:7" x14ac:dyDescent="0.25">
      <c r="B567" s="33" t="s">
        <v>292</v>
      </c>
      <c r="C567" s="33" t="s">
        <v>302</v>
      </c>
      <c r="D567" s="33" t="s">
        <v>10739</v>
      </c>
      <c r="E567" s="33" t="s">
        <v>302</v>
      </c>
      <c r="F567" s="33" t="s">
        <v>302</v>
      </c>
      <c r="G567" s="33" t="s">
        <v>1350</v>
      </c>
    </row>
    <row r="568" spans="2:7" x14ac:dyDescent="0.25">
      <c r="B568" s="33" t="s">
        <v>292</v>
      </c>
      <c r="C568" s="33" t="s">
        <v>302</v>
      </c>
      <c r="D568" s="33" t="s">
        <v>10740</v>
      </c>
      <c r="E568" s="33" t="s">
        <v>302</v>
      </c>
      <c r="F568" s="33" t="s">
        <v>302</v>
      </c>
      <c r="G568" s="33" t="s">
        <v>1234</v>
      </c>
    </row>
    <row r="569" spans="2:7" x14ac:dyDescent="0.25">
      <c r="B569" s="33" t="s">
        <v>292</v>
      </c>
      <c r="C569" s="33" t="s">
        <v>302</v>
      </c>
      <c r="D569" s="33" t="s">
        <v>10741</v>
      </c>
      <c r="E569" s="33" t="s">
        <v>302</v>
      </c>
      <c r="F569" s="33" t="s">
        <v>302</v>
      </c>
      <c r="G569" s="33" t="s">
        <v>723</v>
      </c>
    </row>
    <row r="570" spans="2:7" x14ac:dyDescent="0.25">
      <c r="B570" s="33" t="s">
        <v>292</v>
      </c>
      <c r="C570" s="33" t="s">
        <v>302</v>
      </c>
      <c r="D570" s="33" t="s">
        <v>10742</v>
      </c>
      <c r="E570" s="33" t="s">
        <v>302</v>
      </c>
      <c r="F570" s="33" t="s">
        <v>302</v>
      </c>
      <c r="G570" s="33" t="s">
        <v>786</v>
      </c>
    </row>
    <row r="571" spans="2:7" x14ac:dyDescent="0.25">
      <c r="B571" s="33" t="s">
        <v>292</v>
      </c>
      <c r="C571" s="33" t="s">
        <v>302</v>
      </c>
      <c r="D571" s="33" t="s">
        <v>10743</v>
      </c>
      <c r="E571" s="33" t="s">
        <v>302</v>
      </c>
      <c r="F571" s="33" t="s">
        <v>302</v>
      </c>
      <c r="G571" s="33" t="s">
        <v>1050</v>
      </c>
    </row>
    <row r="572" spans="2:7" x14ac:dyDescent="0.25">
      <c r="B572" s="33" t="s">
        <v>292</v>
      </c>
      <c r="C572" s="33" t="s">
        <v>302</v>
      </c>
      <c r="D572" s="33" t="s">
        <v>10744</v>
      </c>
      <c r="E572" s="33" t="s">
        <v>302</v>
      </c>
      <c r="F572" s="33" t="s">
        <v>302</v>
      </c>
      <c r="G572" s="33" t="s">
        <v>1260</v>
      </c>
    </row>
    <row r="573" spans="2:7" x14ac:dyDescent="0.25">
      <c r="B573" s="33" t="s">
        <v>292</v>
      </c>
      <c r="C573" s="33" t="s">
        <v>302</v>
      </c>
      <c r="D573" s="33" t="s">
        <v>10745</v>
      </c>
      <c r="E573" s="33" t="s">
        <v>302</v>
      </c>
      <c r="F573" s="33" t="s">
        <v>302</v>
      </c>
      <c r="G573" s="33" t="s">
        <v>929</v>
      </c>
    </row>
    <row r="574" spans="2:7" x14ac:dyDescent="0.25">
      <c r="B574" s="33" t="s">
        <v>292</v>
      </c>
      <c r="C574" s="33" t="s">
        <v>302</v>
      </c>
      <c r="D574" s="33" t="s">
        <v>10746</v>
      </c>
      <c r="E574" s="33" t="s">
        <v>302</v>
      </c>
      <c r="F574" s="33" t="s">
        <v>302</v>
      </c>
      <c r="G574" s="33" t="s">
        <v>1106</v>
      </c>
    </row>
    <row r="575" spans="2:7" x14ac:dyDescent="0.25">
      <c r="B575" s="33" t="s">
        <v>292</v>
      </c>
      <c r="C575" s="33" t="s">
        <v>302</v>
      </c>
      <c r="D575" s="33" t="s">
        <v>10747</v>
      </c>
      <c r="E575" s="33" t="s">
        <v>302</v>
      </c>
      <c r="F575" s="33" t="s">
        <v>302</v>
      </c>
      <c r="G575" s="33" t="s">
        <v>649</v>
      </c>
    </row>
    <row r="576" spans="2:7" x14ac:dyDescent="0.25">
      <c r="B576" s="33" t="s">
        <v>292</v>
      </c>
      <c r="C576" s="33" t="s">
        <v>302</v>
      </c>
      <c r="D576" s="33" t="s">
        <v>10748</v>
      </c>
      <c r="E576" s="33" t="s">
        <v>302</v>
      </c>
      <c r="F576" s="33" t="s">
        <v>302</v>
      </c>
      <c r="G576" s="33" t="s">
        <v>1003</v>
      </c>
    </row>
    <row r="577" spans="2:7" x14ac:dyDescent="0.25">
      <c r="B577" s="33" t="s">
        <v>292</v>
      </c>
      <c r="C577" s="33" t="s">
        <v>302</v>
      </c>
      <c r="D577" s="33" t="s">
        <v>10749</v>
      </c>
      <c r="E577" s="33" t="s">
        <v>302</v>
      </c>
      <c r="F577" s="33" t="s">
        <v>302</v>
      </c>
      <c r="G577" s="33" t="s">
        <v>1238</v>
      </c>
    </row>
    <row r="578" spans="2:7" x14ac:dyDescent="0.25">
      <c r="B578" s="33" t="s">
        <v>292</v>
      </c>
      <c r="C578" s="33" t="s">
        <v>302</v>
      </c>
      <c r="D578" s="33" t="s">
        <v>10750</v>
      </c>
      <c r="E578" s="33" t="s">
        <v>302</v>
      </c>
      <c r="F578" s="33" t="s">
        <v>302</v>
      </c>
      <c r="G578" s="33" t="s">
        <v>815</v>
      </c>
    </row>
    <row r="579" spans="2:7" x14ac:dyDescent="0.25">
      <c r="B579" s="33" t="s">
        <v>292</v>
      </c>
      <c r="C579" s="33" t="s">
        <v>302</v>
      </c>
      <c r="D579" s="33" t="s">
        <v>10751</v>
      </c>
      <c r="E579" s="33" t="s">
        <v>302</v>
      </c>
      <c r="F579" s="33" t="s">
        <v>302</v>
      </c>
      <c r="G579" s="33" t="s">
        <v>1230</v>
      </c>
    </row>
    <row r="580" spans="2:7" x14ac:dyDescent="0.25">
      <c r="B580" s="33" t="s">
        <v>292</v>
      </c>
      <c r="C580" s="33" t="s">
        <v>302</v>
      </c>
      <c r="D580" s="33" t="s">
        <v>10752</v>
      </c>
      <c r="E580" s="33" t="s">
        <v>302</v>
      </c>
      <c r="F580" s="33" t="s">
        <v>302</v>
      </c>
      <c r="G580" s="33" t="s">
        <v>407</v>
      </c>
    </row>
    <row r="581" spans="2:7" x14ac:dyDescent="0.25">
      <c r="B581" s="33" t="s">
        <v>292</v>
      </c>
      <c r="C581" s="33" t="s">
        <v>302</v>
      </c>
      <c r="D581" s="33" t="s">
        <v>10753</v>
      </c>
      <c r="E581" s="33" t="s">
        <v>302</v>
      </c>
      <c r="F581" s="33" t="s">
        <v>302</v>
      </c>
      <c r="G581" s="33" t="s">
        <v>711</v>
      </c>
    </row>
    <row r="582" spans="2:7" x14ac:dyDescent="0.25">
      <c r="B582" s="33" t="s">
        <v>292</v>
      </c>
      <c r="C582" s="33" t="s">
        <v>302</v>
      </c>
      <c r="D582" s="33" t="s">
        <v>10754</v>
      </c>
      <c r="E582" s="33" t="s">
        <v>302</v>
      </c>
      <c r="F582" s="33" t="s">
        <v>302</v>
      </c>
      <c r="G582" s="33" t="s">
        <v>734</v>
      </c>
    </row>
    <row r="583" spans="2:7" x14ac:dyDescent="0.25">
      <c r="B583" s="33" t="s">
        <v>292</v>
      </c>
      <c r="C583" s="33" t="s">
        <v>302</v>
      </c>
      <c r="D583" s="33" t="s">
        <v>10755</v>
      </c>
      <c r="E583" s="33" t="s">
        <v>302</v>
      </c>
      <c r="F583" s="33" t="s">
        <v>302</v>
      </c>
      <c r="G583" s="33" t="s">
        <v>1054</v>
      </c>
    </row>
    <row r="584" spans="2:7" x14ac:dyDescent="0.25">
      <c r="B584" s="33" t="s">
        <v>292</v>
      </c>
      <c r="C584" s="33" t="s">
        <v>302</v>
      </c>
      <c r="D584" s="33" t="s">
        <v>10756</v>
      </c>
      <c r="E584" s="33" t="s">
        <v>302</v>
      </c>
      <c r="F584" s="33" t="s">
        <v>302</v>
      </c>
      <c r="G584" s="33" t="s">
        <v>575</v>
      </c>
    </row>
    <row r="585" spans="2:7" x14ac:dyDescent="0.25">
      <c r="B585" s="33" t="s">
        <v>292</v>
      </c>
      <c r="C585" s="33" t="s">
        <v>302</v>
      </c>
      <c r="D585" s="33" t="s">
        <v>10757</v>
      </c>
      <c r="E585" s="33" t="s">
        <v>302</v>
      </c>
      <c r="F585" s="33" t="s">
        <v>302</v>
      </c>
      <c r="G585" s="33" t="s">
        <v>834</v>
      </c>
    </row>
    <row r="586" spans="2:7" x14ac:dyDescent="0.25">
      <c r="B586" s="33" t="s">
        <v>292</v>
      </c>
      <c r="C586" s="33" t="s">
        <v>302</v>
      </c>
      <c r="D586" s="33" t="s">
        <v>10758</v>
      </c>
      <c r="E586" s="33" t="s">
        <v>302</v>
      </c>
      <c r="F586" s="33" t="s">
        <v>302</v>
      </c>
      <c r="G586" s="33" t="s">
        <v>677</v>
      </c>
    </row>
    <row r="587" spans="2:7" x14ac:dyDescent="0.25">
      <c r="B587" s="33" t="s">
        <v>292</v>
      </c>
      <c r="C587" s="33" t="s">
        <v>302</v>
      </c>
      <c r="D587" s="33" t="s">
        <v>10759</v>
      </c>
      <c r="E587" s="33" t="s">
        <v>302</v>
      </c>
      <c r="F587" s="33" t="s">
        <v>302</v>
      </c>
      <c r="G587" s="33" t="s">
        <v>908</v>
      </c>
    </row>
    <row r="588" spans="2:7" x14ac:dyDescent="0.25">
      <c r="B588" s="33" t="s">
        <v>292</v>
      </c>
      <c r="C588" s="33" t="s">
        <v>302</v>
      </c>
      <c r="D588" s="33" t="s">
        <v>10760</v>
      </c>
      <c r="E588" s="33" t="s">
        <v>302</v>
      </c>
      <c r="F588" s="33" t="s">
        <v>302</v>
      </c>
      <c r="G588" s="33" t="s">
        <v>1160</v>
      </c>
    </row>
    <row r="589" spans="2:7" x14ac:dyDescent="0.25">
      <c r="B589" s="33" t="s">
        <v>292</v>
      </c>
      <c r="C589" s="33" t="s">
        <v>302</v>
      </c>
      <c r="D589" s="33" t="s">
        <v>10761</v>
      </c>
      <c r="E589" s="33" t="s">
        <v>302</v>
      </c>
      <c r="F589" s="33" t="s">
        <v>302</v>
      </c>
      <c r="G589" s="33" t="s">
        <v>511</v>
      </c>
    </row>
    <row r="590" spans="2:7" x14ac:dyDescent="0.25">
      <c r="B590" s="33" t="s">
        <v>292</v>
      </c>
      <c r="C590" s="33" t="s">
        <v>302</v>
      </c>
      <c r="D590" s="33" t="s">
        <v>10762</v>
      </c>
      <c r="E590" s="33" t="s">
        <v>302</v>
      </c>
      <c r="F590" s="33" t="s">
        <v>302</v>
      </c>
      <c r="G590" s="33" t="s">
        <v>978</v>
      </c>
    </row>
    <row r="591" spans="2:7" x14ac:dyDescent="0.25">
      <c r="B591" s="33" t="s">
        <v>292</v>
      </c>
      <c r="C591" s="33" t="s">
        <v>302</v>
      </c>
      <c r="D591" s="33" t="s">
        <v>10763</v>
      </c>
      <c r="E591" s="33" t="s">
        <v>302</v>
      </c>
      <c r="F591" s="33" t="s">
        <v>302</v>
      </c>
      <c r="G591" s="33" t="s">
        <v>418</v>
      </c>
    </row>
    <row r="592" spans="2:7" x14ac:dyDescent="0.25">
      <c r="B592" s="33" t="s">
        <v>292</v>
      </c>
      <c r="C592" s="33" t="s">
        <v>302</v>
      </c>
      <c r="D592" s="33" t="s">
        <v>10764</v>
      </c>
      <c r="E592" s="33" t="s">
        <v>302</v>
      </c>
      <c r="F592" s="33" t="s">
        <v>302</v>
      </c>
      <c r="G592" s="33" t="s">
        <v>473</v>
      </c>
    </row>
    <row r="593" spans="2:7" x14ac:dyDescent="0.25">
      <c r="B593" s="33" t="s">
        <v>292</v>
      </c>
      <c r="C593" s="33" t="s">
        <v>302</v>
      </c>
      <c r="D593" s="33" t="s">
        <v>10765</v>
      </c>
      <c r="E593" s="33" t="s">
        <v>302</v>
      </c>
      <c r="F593" s="33" t="s">
        <v>302</v>
      </c>
      <c r="G593" s="33" t="s">
        <v>943</v>
      </c>
    </row>
    <row r="594" spans="2:7" x14ac:dyDescent="0.25">
      <c r="B594" s="33" t="s">
        <v>292</v>
      </c>
      <c r="C594" s="33" t="s">
        <v>302</v>
      </c>
      <c r="D594" s="33" t="s">
        <v>10766</v>
      </c>
      <c r="E594" s="33" t="s">
        <v>302</v>
      </c>
      <c r="F594" s="33" t="s">
        <v>302</v>
      </c>
      <c r="G594" s="33" t="s">
        <v>445</v>
      </c>
    </row>
    <row r="595" spans="2:7" x14ac:dyDescent="0.25">
      <c r="B595" s="33" t="s">
        <v>292</v>
      </c>
      <c r="C595" s="33" t="s">
        <v>302</v>
      </c>
      <c r="D595" s="33" t="s">
        <v>10767</v>
      </c>
      <c r="E595" s="33" t="s">
        <v>302</v>
      </c>
      <c r="F595" s="33" t="s">
        <v>302</v>
      </c>
      <c r="G595" s="33" t="s">
        <v>469</v>
      </c>
    </row>
    <row r="596" spans="2:7" x14ac:dyDescent="0.25">
      <c r="B596" s="33" t="s">
        <v>292</v>
      </c>
      <c r="C596" s="33" t="s">
        <v>302</v>
      </c>
      <c r="D596" s="33" t="s">
        <v>10768</v>
      </c>
      <c r="E596" s="33" t="s">
        <v>302</v>
      </c>
      <c r="F596" s="33" t="s">
        <v>302</v>
      </c>
      <c r="G596" s="33" t="s">
        <v>342</v>
      </c>
    </row>
    <row r="597" spans="2:7" x14ac:dyDescent="0.25">
      <c r="B597" s="33" t="s">
        <v>292</v>
      </c>
      <c r="C597" s="33" t="s">
        <v>302</v>
      </c>
      <c r="D597" s="33" t="s">
        <v>10769</v>
      </c>
      <c r="E597" s="33" t="s">
        <v>302</v>
      </c>
      <c r="F597" s="33" t="s">
        <v>302</v>
      </c>
      <c r="G597" s="33" t="s">
        <v>1201</v>
      </c>
    </row>
    <row r="598" spans="2:7" x14ac:dyDescent="0.25">
      <c r="B598" s="33" t="s">
        <v>292</v>
      </c>
      <c r="C598" s="33" t="s">
        <v>302</v>
      </c>
      <c r="D598" s="33" t="s">
        <v>10770</v>
      </c>
      <c r="E598" s="33" t="s">
        <v>302</v>
      </c>
      <c r="F598" s="33" t="s">
        <v>302</v>
      </c>
      <c r="G598" s="33" t="s">
        <v>685</v>
      </c>
    </row>
    <row r="599" spans="2:7" x14ac:dyDescent="0.25">
      <c r="B599" s="33" t="s">
        <v>292</v>
      </c>
      <c r="C599" s="33" t="s">
        <v>302</v>
      </c>
      <c r="D599" s="33" t="s">
        <v>10771</v>
      </c>
      <c r="E599" s="33" t="s">
        <v>302</v>
      </c>
      <c r="F599" s="33" t="s">
        <v>302</v>
      </c>
      <c r="G599" s="33" t="s">
        <v>802</v>
      </c>
    </row>
    <row r="600" spans="2:7" x14ac:dyDescent="0.25">
      <c r="B600" s="33" t="s">
        <v>292</v>
      </c>
      <c r="C600" s="33" t="s">
        <v>302</v>
      </c>
      <c r="D600" s="33" t="s">
        <v>10772</v>
      </c>
      <c r="E600" s="33" t="s">
        <v>302</v>
      </c>
      <c r="F600" s="33" t="s">
        <v>302</v>
      </c>
      <c r="G600" s="33" t="s">
        <v>361</v>
      </c>
    </row>
    <row r="601" spans="2:7" x14ac:dyDescent="0.25">
      <c r="B601" s="33" t="s">
        <v>292</v>
      </c>
      <c r="C601" s="33" t="s">
        <v>302</v>
      </c>
      <c r="D601" s="33" t="s">
        <v>10773</v>
      </c>
      <c r="E601" s="33" t="s">
        <v>302</v>
      </c>
      <c r="F601" s="33" t="s">
        <v>302</v>
      </c>
      <c r="G601" s="33" t="s">
        <v>821</v>
      </c>
    </row>
    <row r="602" spans="2:7" x14ac:dyDescent="0.25">
      <c r="B602" s="33" t="s">
        <v>292</v>
      </c>
      <c r="C602" s="33" t="s">
        <v>302</v>
      </c>
      <c r="D602" s="33" t="s">
        <v>10774</v>
      </c>
      <c r="E602" s="33" t="s">
        <v>302</v>
      </c>
      <c r="F602" s="33" t="s">
        <v>302</v>
      </c>
      <c r="G602" s="33" t="s">
        <v>1369</v>
      </c>
    </row>
    <row r="603" spans="2:7" x14ac:dyDescent="0.25">
      <c r="B603" s="33" t="s">
        <v>292</v>
      </c>
      <c r="C603" s="33" t="s">
        <v>302</v>
      </c>
      <c r="D603" s="33" t="s">
        <v>10775</v>
      </c>
      <c r="E603" s="33" t="s">
        <v>302</v>
      </c>
      <c r="F603" s="33" t="s">
        <v>302</v>
      </c>
      <c r="G603" s="33" t="s">
        <v>910</v>
      </c>
    </row>
    <row r="604" spans="2:7" x14ac:dyDescent="0.25">
      <c r="B604" s="33" t="s">
        <v>292</v>
      </c>
      <c r="C604" s="33" t="s">
        <v>302</v>
      </c>
      <c r="D604" s="33" t="s">
        <v>10776</v>
      </c>
      <c r="E604" s="33" t="s">
        <v>302</v>
      </c>
      <c r="F604" s="33" t="s">
        <v>302</v>
      </c>
      <c r="G604" s="33" t="s">
        <v>317</v>
      </c>
    </row>
    <row r="605" spans="2:7" x14ac:dyDescent="0.25">
      <c r="B605" s="33" t="s">
        <v>292</v>
      </c>
      <c r="C605" s="33" t="s">
        <v>302</v>
      </c>
      <c r="D605" s="33" t="s">
        <v>10777</v>
      </c>
      <c r="E605" s="33" t="s">
        <v>302</v>
      </c>
      <c r="F605" s="33" t="s">
        <v>302</v>
      </c>
      <c r="G605" s="33" t="s">
        <v>624</v>
      </c>
    </row>
    <row r="606" spans="2:7" x14ac:dyDescent="0.25">
      <c r="B606" s="33" t="s">
        <v>292</v>
      </c>
      <c r="C606" s="33" t="s">
        <v>302</v>
      </c>
      <c r="D606" s="33" t="s">
        <v>10778</v>
      </c>
      <c r="E606" s="33" t="s">
        <v>302</v>
      </c>
      <c r="F606" s="33" t="s">
        <v>302</v>
      </c>
      <c r="G606" s="33" t="s">
        <v>609</v>
      </c>
    </row>
    <row r="607" spans="2:7" x14ac:dyDescent="0.25">
      <c r="B607" s="33" t="s">
        <v>292</v>
      </c>
      <c r="C607" s="33" t="s">
        <v>302</v>
      </c>
      <c r="D607" s="33" t="s">
        <v>10779</v>
      </c>
      <c r="E607" s="33" t="s">
        <v>302</v>
      </c>
      <c r="F607" s="33" t="s">
        <v>302</v>
      </c>
      <c r="G607" s="33" t="s">
        <v>529</v>
      </c>
    </row>
    <row r="608" spans="2:7" x14ac:dyDescent="0.25">
      <c r="B608" s="33" t="s">
        <v>292</v>
      </c>
      <c r="C608" s="33" t="s">
        <v>302</v>
      </c>
      <c r="D608" s="33" t="s">
        <v>10780</v>
      </c>
      <c r="E608" s="33" t="s">
        <v>302</v>
      </c>
      <c r="F608" s="33" t="s">
        <v>302</v>
      </c>
      <c r="G608" s="33" t="s">
        <v>822</v>
      </c>
    </row>
    <row r="609" spans="2:7" x14ac:dyDescent="0.25">
      <c r="B609" s="33" t="s">
        <v>292</v>
      </c>
      <c r="C609" s="33" t="s">
        <v>302</v>
      </c>
      <c r="D609" s="33" t="s">
        <v>10781</v>
      </c>
      <c r="E609" s="33" t="s">
        <v>302</v>
      </c>
      <c r="F609" s="33" t="s">
        <v>302</v>
      </c>
      <c r="G609" s="33" t="s">
        <v>310</v>
      </c>
    </row>
    <row r="610" spans="2:7" x14ac:dyDescent="0.25">
      <c r="B610" s="33" t="s">
        <v>292</v>
      </c>
      <c r="C610" s="33" t="s">
        <v>302</v>
      </c>
      <c r="D610" s="33" t="s">
        <v>10782</v>
      </c>
      <c r="E610" s="33" t="s">
        <v>302</v>
      </c>
      <c r="F610" s="33" t="s">
        <v>302</v>
      </c>
      <c r="G610" s="33" t="s">
        <v>352</v>
      </c>
    </row>
    <row r="611" spans="2:7" x14ac:dyDescent="0.25">
      <c r="B611" s="33" t="s">
        <v>292</v>
      </c>
      <c r="C611" s="33" t="s">
        <v>302</v>
      </c>
      <c r="D611" s="33" t="s">
        <v>10783</v>
      </c>
      <c r="E611" s="33" t="s">
        <v>302</v>
      </c>
      <c r="F611" s="33" t="s">
        <v>302</v>
      </c>
      <c r="G611" s="33" t="s">
        <v>1082</v>
      </c>
    </row>
    <row r="612" spans="2:7" x14ac:dyDescent="0.25">
      <c r="B612" s="33" t="s">
        <v>292</v>
      </c>
      <c r="C612" s="33" t="s">
        <v>302</v>
      </c>
      <c r="D612" s="33" t="s">
        <v>10784</v>
      </c>
      <c r="E612" s="33" t="s">
        <v>302</v>
      </c>
      <c r="F612" s="33" t="s">
        <v>302</v>
      </c>
      <c r="G612" s="33" t="s">
        <v>439</v>
      </c>
    </row>
    <row r="613" spans="2:7" x14ac:dyDescent="0.25">
      <c r="B613" s="33" t="s">
        <v>292</v>
      </c>
      <c r="C613" s="33" t="s">
        <v>302</v>
      </c>
      <c r="D613" s="33" t="s">
        <v>10785</v>
      </c>
      <c r="E613" s="33" t="s">
        <v>302</v>
      </c>
      <c r="F613" s="33" t="s">
        <v>302</v>
      </c>
      <c r="G613" s="33" t="s">
        <v>693</v>
      </c>
    </row>
    <row r="614" spans="2:7" x14ac:dyDescent="0.25">
      <c r="B614" s="33" t="s">
        <v>292</v>
      </c>
      <c r="C614" s="33" t="s">
        <v>302</v>
      </c>
      <c r="D614" s="33" t="s">
        <v>10786</v>
      </c>
      <c r="E614" s="33" t="s">
        <v>302</v>
      </c>
      <c r="F614" s="33" t="s">
        <v>302</v>
      </c>
      <c r="G614" s="33" t="s">
        <v>1344</v>
      </c>
    </row>
    <row r="615" spans="2:7" x14ac:dyDescent="0.25">
      <c r="B615" s="33" t="s">
        <v>292</v>
      </c>
      <c r="C615" s="33" t="s">
        <v>302</v>
      </c>
      <c r="D615" s="33" t="s">
        <v>10787</v>
      </c>
      <c r="E615" s="33" t="s">
        <v>302</v>
      </c>
      <c r="F615" s="33" t="s">
        <v>302</v>
      </c>
      <c r="G615" s="33" t="s">
        <v>502</v>
      </c>
    </row>
    <row r="616" spans="2:7" x14ac:dyDescent="0.25">
      <c r="B616" s="33" t="s">
        <v>292</v>
      </c>
      <c r="C616" s="33" t="s">
        <v>302</v>
      </c>
      <c r="D616" s="33" t="s">
        <v>10788</v>
      </c>
      <c r="E616" s="33" t="s">
        <v>302</v>
      </c>
      <c r="F616" s="33" t="s">
        <v>302</v>
      </c>
      <c r="G616" s="33" t="s">
        <v>793</v>
      </c>
    </row>
    <row r="617" spans="2:7" x14ac:dyDescent="0.25">
      <c r="B617" s="33" t="s">
        <v>292</v>
      </c>
      <c r="C617" s="33" t="s">
        <v>302</v>
      </c>
      <c r="D617" s="33" t="s">
        <v>10789</v>
      </c>
      <c r="E617" s="33" t="s">
        <v>302</v>
      </c>
      <c r="F617" s="33" t="s">
        <v>302</v>
      </c>
      <c r="G617" s="33" t="s">
        <v>545</v>
      </c>
    </row>
    <row r="618" spans="2:7" x14ac:dyDescent="0.25">
      <c r="B618" s="33" t="s">
        <v>292</v>
      </c>
      <c r="C618" s="33" t="s">
        <v>302</v>
      </c>
      <c r="D618" s="33" t="s">
        <v>10790</v>
      </c>
      <c r="E618" s="33" t="s">
        <v>302</v>
      </c>
      <c r="F618" s="33" t="s">
        <v>302</v>
      </c>
      <c r="G618" s="33" t="s">
        <v>1134</v>
      </c>
    </row>
    <row r="619" spans="2:7" x14ac:dyDescent="0.25">
      <c r="B619" s="33" t="s">
        <v>292</v>
      </c>
      <c r="C619" s="33" t="s">
        <v>302</v>
      </c>
      <c r="D619" s="33" t="s">
        <v>10791</v>
      </c>
      <c r="E619" s="33" t="s">
        <v>302</v>
      </c>
      <c r="F619" s="33" t="s">
        <v>302</v>
      </c>
      <c r="G619" s="33" t="s">
        <v>594</v>
      </c>
    </row>
    <row r="620" spans="2:7" x14ac:dyDescent="0.25">
      <c r="B620" s="33" t="s">
        <v>292</v>
      </c>
      <c r="C620" s="33" t="s">
        <v>302</v>
      </c>
      <c r="D620" s="33" t="s">
        <v>10792</v>
      </c>
      <c r="E620" s="33" t="s">
        <v>302</v>
      </c>
      <c r="F620" s="33" t="s">
        <v>302</v>
      </c>
      <c r="G620" s="33" t="s">
        <v>1354</v>
      </c>
    </row>
    <row r="621" spans="2:7" x14ac:dyDescent="0.25">
      <c r="B621" s="33" t="s">
        <v>292</v>
      </c>
      <c r="C621" s="33" t="s">
        <v>302</v>
      </c>
      <c r="D621" s="33" t="s">
        <v>10793</v>
      </c>
      <c r="E621" s="33" t="s">
        <v>302</v>
      </c>
      <c r="F621" s="33" t="s">
        <v>302</v>
      </c>
      <c r="G621" s="33" t="s">
        <v>885</v>
      </c>
    </row>
    <row r="622" spans="2:7" x14ac:dyDescent="0.25">
      <c r="B622" s="33" t="s">
        <v>292</v>
      </c>
      <c r="C622" s="33" t="s">
        <v>302</v>
      </c>
      <c r="D622" s="33" t="s">
        <v>10794</v>
      </c>
      <c r="E622" s="33" t="s">
        <v>302</v>
      </c>
      <c r="F622" s="33" t="s">
        <v>302</v>
      </c>
      <c r="G622" s="33" t="s">
        <v>472</v>
      </c>
    </row>
    <row r="623" spans="2:7" x14ac:dyDescent="0.25">
      <c r="B623" s="33" t="s">
        <v>292</v>
      </c>
      <c r="C623" s="33" t="s">
        <v>302</v>
      </c>
      <c r="D623" s="33" t="s">
        <v>10795</v>
      </c>
      <c r="E623" s="33" t="s">
        <v>302</v>
      </c>
      <c r="F623" s="33" t="s">
        <v>302</v>
      </c>
      <c r="G623" s="33" t="s">
        <v>1001</v>
      </c>
    </row>
    <row r="624" spans="2:7" x14ac:dyDescent="0.25">
      <c r="B624" s="33" t="s">
        <v>292</v>
      </c>
      <c r="C624" s="33" t="s">
        <v>302</v>
      </c>
      <c r="D624" s="33" t="s">
        <v>10796</v>
      </c>
      <c r="E624" s="33" t="s">
        <v>302</v>
      </c>
      <c r="F624" s="33" t="s">
        <v>302</v>
      </c>
      <c r="G624" s="33" t="s">
        <v>803</v>
      </c>
    </row>
    <row r="625" spans="2:7" x14ac:dyDescent="0.25">
      <c r="B625" s="33" t="s">
        <v>292</v>
      </c>
      <c r="C625" s="33" t="s">
        <v>302</v>
      </c>
      <c r="D625" s="33" t="s">
        <v>10797</v>
      </c>
      <c r="E625" s="33" t="s">
        <v>302</v>
      </c>
      <c r="F625" s="33" t="s">
        <v>302</v>
      </c>
      <c r="G625" s="33" t="s">
        <v>809</v>
      </c>
    </row>
    <row r="626" spans="2:7" x14ac:dyDescent="0.25">
      <c r="B626" s="33" t="s">
        <v>292</v>
      </c>
      <c r="C626" s="33" t="s">
        <v>302</v>
      </c>
      <c r="D626" s="33" t="s">
        <v>10798</v>
      </c>
      <c r="E626" s="33" t="s">
        <v>302</v>
      </c>
      <c r="F626" s="33" t="s">
        <v>302</v>
      </c>
      <c r="G626" s="33" t="s">
        <v>423</v>
      </c>
    </row>
    <row r="627" spans="2:7" x14ac:dyDescent="0.25">
      <c r="B627" s="33" t="s">
        <v>292</v>
      </c>
      <c r="C627" s="33" t="s">
        <v>302</v>
      </c>
      <c r="D627" s="33" t="s">
        <v>10799</v>
      </c>
      <c r="E627" s="33" t="s">
        <v>302</v>
      </c>
      <c r="F627" s="33" t="s">
        <v>302</v>
      </c>
      <c r="G627" s="33" t="s">
        <v>1286</v>
      </c>
    </row>
    <row r="628" spans="2:7" x14ac:dyDescent="0.25">
      <c r="B628" s="33" t="s">
        <v>292</v>
      </c>
      <c r="C628" s="33" t="s">
        <v>302</v>
      </c>
      <c r="D628" s="33" t="s">
        <v>10800</v>
      </c>
      <c r="E628" s="33" t="s">
        <v>302</v>
      </c>
      <c r="F628" s="33" t="s">
        <v>302</v>
      </c>
      <c r="G628" s="33" t="s">
        <v>435</v>
      </c>
    </row>
    <row r="629" spans="2:7" x14ac:dyDescent="0.25">
      <c r="B629" s="33" t="s">
        <v>292</v>
      </c>
      <c r="C629" s="33" t="s">
        <v>302</v>
      </c>
      <c r="D629" s="33" t="s">
        <v>10801</v>
      </c>
      <c r="E629" s="33" t="s">
        <v>302</v>
      </c>
      <c r="F629" s="33" t="s">
        <v>302</v>
      </c>
      <c r="G629" s="33" t="s">
        <v>1114</v>
      </c>
    </row>
    <row r="630" spans="2:7" x14ac:dyDescent="0.25">
      <c r="B630" s="33" t="s">
        <v>292</v>
      </c>
      <c r="C630" s="33" t="s">
        <v>302</v>
      </c>
      <c r="D630" s="33" t="s">
        <v>10802</v>
      </c>
      <c r="E630" s="33" t="s">
        <v>302</v>
      </c>
      <c r="F630" s="33" t="s">
        <v>302</v>
      </c>
      <c r="G630" s="33" t="s">
        <v>694</v>
      </c>
    </row>
    <row r="631" spans="2:7" x14ac:dyDescent="0.25">
      <c r="B631" s="33" t="s">
        <v>292</v>
      </c>
      <c r="C631" s="33" t="s">
        <v>302</v>
      </c>
      <c r="D631" s="33" t="s">
        <v>10803</v>
      </c>
      <c r="E631" s="33" t="s">
        <v>302</v>
      </c>
      <c r="F631" s="33" t="s">
        <v>302</v>
      </c>
      <c r="G631" s="33" t="s">
        <v>877</v>
      </c>
    </row>
    <row r="632" spans="2:7" x14ac:dyDescent="0.25">
      <c r="B632" s="33" t="s">
        <v>292</v>
      </c>
      <c r="C632" s="33" t="s">
        <v>302</v>
      </c>
      <c r="D632" s="33" t="s">
        <v>10804</v>
      </c>
      <c r="E632" s="33" t="s">
        <v>302</v>
      </c>
      <c r="F632" s="33" t="s">
        <v>302</v>
      </c>
      <c r="G632" s="33" t="s">
        <v>339</v>
      </c>
    </row>
    <row r="633" spans="2:7" x14ac:dyDescent="0.25">
      <c r="B633" s="33" t="s">
        <v>292</v>
      </c>
      <c r="C633" s="33" t="s">
        <v>302</v>
      </c>
      <c r="D633" s="33" t="s">
        <v>10805</v>
      </c>
      <c r="E633" s="33" t="s">
        <v>302</v>
      </c>
      <c r="F633" s="33" t="s">
        <v>302</v>
      </c>
      <c r="G633" s="33" t="s">
        <v>356</v>
      </c>
    </row>
    <row r="634" spans="2:7" x14ac:dyDescent="0.25">
      <c r="B634" s="33" t="s">
        <v>292</v>
      </c>
      <c r="C634" s="33" t="s">
        <v>302</v>
      </c>
      <c r="D634" s="33" t="s">
        <v>10806</v>
      </c>
      <c r="E634" s="33" t="s">
        <v>302</v>
      </c>
      <c r="F634" s="33" t="s">
        <v>302</v>
      </c>
      <c r="G634" s="33" t="s">
        <v>1321</v>
      </c>
    </row>
    <row r="635" spans="2:7" x14ac:dyDescent="0.25">
      <c r="B635" s="33" t="s">
        <v>292</v>
      </c>
      <c r="C635" s="33" t="s">
        <v>302</v>
      </c>
      <c r="D635" s="33" t="s">
        <v>10807</v>
      </c>
      <c r="E635" s="33" t="s">
        <v>302</v>
      </c>
      <c r="F635" s="33" t="s">
        <v>302</v>
      </c>
      <c r="G635" s="33" t="s">
        <v>900</v>
      </c>
    </row>
    <row r="636" spans="2:7" x14ac:dyDescent="0.25">
      <c r="B636" s="33" t="s">
        <v>292</v>
      </c>
      <c r="C636" s="33" t="s">
        <v>302</v>
      </c>
      <c r="D636" s="33" t="s">
        <v>10808</v>
      </c>
      <c r="E636" s="33" t="s">
        <v>302</v>
      </c>
      <c r="F636" s="33" t="s">
        <v>302</v>
      </c>
      <c r="G636" s="33" t="s">
        <v>855</v>
      </c>
    </row>
    <row r="637" spans="2:7" x14ac:dyDescent="0.25">
      <c r="B637" s="33" t="s">
        <v>292</v>
      </c>
      <c r="C637" s="33" t="s">
        <v>302</v>
      </c>
      <c r="D637" s="33" t="s">
        <v>10809</v>
      </c>
      <c r="E637" s="33" t="s">
        <v>302</v>
      </c>
      <c r="F637" s="33" t="s">
        <v>302</v>
      </c>
      <c r="G637" s="33" t="s">
        <v>1276</v>
      </c>
    </row>
    <row r="638" spans="2:7" x14ac:dyDescent="0.25">
      <c r="B638" s="33" t="s">
        <v>292</v>
      </c>
      <c r="C638" s="33" t="s">
        <v>302</v>
      </c>
      <c r="D638" s="33" t="s">
        <v>10810</v>
      </c>
      <c r="E638" s="33" t="s">
        <v>302</v>
      </c>
      <c r="F638" s="33" t="s">
        <v>302</v>
      </c>
      <c r="G638" s="33" t="s">
        <v>480</v>
      </c>
    </row>
    <row r="639" spans="2:7" x14ac:dyDescent="0.25">
      <c r="B639" s="33" t="s">
        <v>292</v>
      </c>
      <c r="C639" s="33" t="s">
        <v>302</v>
      </c>
      <c r="D639" s="33" t="s">
        <v>10811</v>
      </c>
      <c r="E639" s="33" t="s">
        <v>302</v>
      </c>
      <c r="F639" s="33" t="s">
        <v>302</v>
      </c>
      <c r="G639" s="33" t="s">
        <v>812</v>
      </c>
    </row>
    <row r="640" spans="2:7" x14ac:dyDescent="0.25">
      <c r="B640" s="33" t="s">
        <v>292</v>
      </c>
      <c r="C640" s="33" t="s">
        <v>302</v>
      </c>
      <c r="D640" s="33" t="s">
        <v>10812</v>
      </c>
      <c r="E640" s="33" t="s">
        <v>302</v>
      </c>
      <c r="F640" s="33" t="s">
        <v>302</v>
      </c>
      <c r="G640" s="33" t="s">
        <v>389</v>
      </c>
    </row>
    <row r="641" spans="2:7" x14ac:dyDescent="0.25">
      <c r="B641" s="33" t="s">
        <v>292</v>
      </c>
      <c r="C641" s="33" t="s">
        <v>302</v>
      </c>
      <c r="D641" s="33" t="s">
        <v>10813</v>
      </c>
      <c r="E641" s="33" t="s">
        <v>302</v>
      </c>
      <c r="F641" s="33" t="s">
        <v>302</v>
      </c>
      <c r="G641" s="33" t="s">
        <v>758</v>
      </c>
    </row>
    <row r="642" spans="2:7" x14ac:dyDescent="0.25">
      <c r="B642" s="33" t="s">
        <v>292</v>
      </c>
      <c r="C642" s="33" t="s">
        <v>302</v>
      </c>
      <c r="D642" s="33" t="s">
        <v>10814</v>
      </c>
      <c r="E642" s="33" t="s">
        <v>302</v>
      </c>
      <c r="F642" s="33" t="s">
        <v>302</v>
      </c>
      <c r="G642" s="33" t="s">
        <v>484</v>
      </c>
    </row>
    <row r="643" spans="2:7" x14ac:dyDescent="0.25">
      <c r="B643" s="33" t="s">
        <v>292</v>
      </c>
      <c r="C643" s="33" t="s">
        <v>302</v>
      </c>
      <c r="D643" s="33" t="s">
        <v>10815</v>
      </c>
      <c r="E643" s="33" t="s">
        <v>302</v>
      </c>
      <c r="F643" s="33" t="s">
        <v>302</v>
      </c>
      <c r="G643" s="33" t="s">
        <v>370</v>
      </c>
    </row>
    <row r="644" spans="2:7" x14ac:dyDescent="0.25">
      <c r="B644" s="33" t="s">
        <v>292</v>
      </c>
      <c r="C644" s="33" t="s">
        <v>302</v>
      </c>
      <c r="D644" s="33" t="s">
        <v>10816</v>
      </c>
      <c r="E644" s="33" t="s">
        <v>302</v>
      </c>
      <c r="F644" s="33" t="s">
        <v>302</v>
      </c>
      <c r="G644" s="33" t="s">
        <v>1125</v>
      </c>
    </row>
    <row r="645" spans="2:7" x14ac:dyDescent="0.25">
      <c r="B645" s="33" t="s">
        <v>292</v>
      </c>
      <c r="C645" s="33" t="s">
        <v>302</v>
      </c>
      <c r="D645" s="33" t="s">
        <v>10817</v>
      </c>
      <c r="E645" s="33" t="s">
        <v>302</v>
      </c>
      <c r="F645" s="33" t="s">
        <v>302</v>
      </c>
      <c r="G645" s="33" t="s">
        <v>311</v>
      </c>
    </row>
    <row r="646" spans="2:7" x14ac:dyDescent="0.25">
      <c r="B646" s="33" t="s">
        <v>292</v>
      </c>
      <c r="C646" s="33" t="s">
        <v>302</v>
      </c>
      <c r="D646" s="33" t="s">
        <v>10818</v>
      </c>
      <c r="E646" s="33" t="s">
        <v>302</v>
      </c>
      <c r="F646" s="33" t="s">
        <v>302</v>
      </c>
      <c r="G646" s="33" t="s">
        <v>1161</v>
      </c>
    </row>
    <row r="647" spans="2:7" x14ac:dyDescent="0.25">
      <c r="B647" s="33" t="s">
        <v>292</v>
      </c>
      <c r="C647" s="33" t="s">
        <v>302</v>
      </c>
      <c r="D647" s="33" t="s">
        <v>10819</v>
      </c>
      <c r="E647" s="33" t="s">
        <v>302</v>
      </c>
      <c r="F647" s="33" t="s">
        <v>302</v>
      </c>
      <c r="G647" s="33" t="s">
        <v>918</v>
      </c>
    </row>
    <row r="648" spans="2:7" x14ac:dyDescent="0.25">
      <c r="B648" s="33" t="s">
        <v>292</v>
      </c>
      <c r="C648" s="33" t="s">
        <v>302</v>
      </c>
      <c r="D648" s="33" t="s">
        <v>10820</v>
      </c>
      <c r="E648" s="33" t="s">
        <v>302</v>
      </c>
      <c r="F648" s="33" t="s">
        <v>302</v>
      </c>
      <c r="G648" s="33" t="s">
        <v>761</v>
      </c>
    </row>
    <row r="649" spans="2:7" x14ac:dyDescent="0.25">
      <c r="B649" s="33" t="s">
        <v>292</v>
      </c>
      <c r="C649" s="33" t="s">
        <v>302</v>
      </c>
      <c r="D649" s="33" t="s">
        <v>10822</v>
      </c>
      <c r="E649" s="33" t="s">
        <v>302</v>
      </c>
      <c r="F649" s="33" t="s">
        <v>302</v>
      </c>
      <c r="G649" s="33" t="s">
        <v>859</v>
      </c>
    </row>
    <row r="650" spans="2:7" x14ac:dyDescent="0.25">
      <c r="B650" s="33" t="s">
        <v>292</v>
      </c>
      <c r="C650" s="33" t="s">
        <v>302</v>
      </c>
      <c r="D650" s="33" t="s">
        <v>10823</v>
      </c>
      <c r="E650" s="33" t="s">
        <v>302</v>
      </c>
      <c r="F650" s="33" t="s">
        <v>302</v>
      </c>
      <c r="G650" s="33" t="s">
        <v>432</v>
      </c>
    </row>
    <row r="651" spans="2:7" x14ac:dyDescent="0.25">
      <c r="B651" s="33" t="s">
        <v>292</v>
      </c>
      <c r="C651" s="33" t="s">
        <v>302</v>
      </c>
      <c r="D651" s="33" t="s">
        <v>10824</v>
      </c>
      <c r="E651" s="33" t="s">
        <v>302</v>
      </c>
      <c r="F651" s="33" t="s">
        <v>302</v>
      </c>
      <c r="G651" s="33" t="s">
        <v>565</v>
      </c>
    </row>
    <row r="652" spans="2:7" x14ac:dyDescent="0.25">
      <c r="B652" s="33" t="s">
        <v>292</v>
      </c>
      <c r="C652" s="33" t="s">
        <v>302</v>
      </c>
      <c r="D652" s="33" t="s">
        <v>10825</v>
      </c>
      <c r="E652" s="33" t="s">
        <v>302</v>
      </c>
      <c r="F652" s="33" t="s">
        <v>302</v>
      </c>
      <c r="G652" s="33" t="s">
        <v>717</v>
      </c>
    </row>
    <row r="653" spans="2:7" x14ac:dyDescent="0.25">
      <c r="B653" s="33" t="s">
        <v>292</v>
      </c>
      <c r="C653" s="33" t="s">
        <v>302</v>
      </c>
      <c r="D653" s="33" t="s">
        <v>10826</v>
      </c>
      <c r="E653" s="33" t="s">
        <v>302</v>
      </c>
      <c r="F653" s="33" t="s">
        <v>302</v>
      </c>
      <c r="G653" s="33" t="s">
        <v>1126</v>
      </c>
    </row>
    <row r="654" spans="2:7" x14ac:dyDescent="0.25">
      <c r="B654" s="33" t="s">
        <v>292</v>
      </c>
      <c r="C654" s="33" t="s">
        <v>302</v>
      </c>
      <c r="D654" s="33" t="s">
        <v>10827</v>
      </c>
      <c r="E654" s="33" t="s">
        <v>302</v>
      </c>
      <c r="F654" s="33" t="s">
        <v>302</v>
      </c>
      <c r="G654" s="33" t="s">
        <v>514</v>
      </c>
    </row>
    <row r="655" spans="2:7" x14ac:dyDescent="0.25">
      <c r="B655" s="33" t="s">
        <v>292</v>
      </c>
      <c r="C655" s="33" t="s">
        <v>302</v>
      </c>
      <c r="D655" s="33" t="s">
        <v>10828</v>
      </c>
      <c r="E655" s="33" t="s">
        <v>302</v>
      </c>
      <c r="F655" s="33" t="s">
        <v>302</v>
      </c>
      <c r="G655" s="33" t="s">
        <v>1309</v>
      </c>
    </row>
    <row r="656" spans="2:7" x14ac:dyDescent="0.25">
      <c r="B656" s="33" t="s">
        <v>292</v>
      </c>
      <c r="C656" s="33" t="s">
        <v>302</v>
      </c>
      <c r="D656" s="33" t="s">
        <v>9138</v>
      </c>
      <c r="E656" s="33" t="s">
        <v>302</v>
      </c>
      <c r="F656" s="33" t="s">
        <v>302</v>
      </c>
      <c r="G656" s="33" t="s">
        <v>667</v>
      </c>
    </row>
    <row r="657" spans="2:7" x14ac:dyDescent="0.25">
      <c r="B657" s="33" t="s">
        <v>292</v>
      </c>
      <c r="C657" s="33" t="s">
        <v>302</v>
      </c>
      <c r="D657" s="33" t="s">
        <v>10829</v>
      </c>
      <c r="E657" s="33" t="s">
        <v>302</v>
      </c>
      <c r="F657" s="33" t="s">
        <v>302</v>
      </c>
      <c r="G657" s="33" t="s">
        <v>901</v>
      </c>
    </row>
    <row r="658" spans="2:7" x14ac:dyDescent="0.25">
      <c r="B658" s="33" t="s">
        <v>292</v>
      </c>
      <c r="C658" s="33" t="s">
        <v>302</v>
      </c>
      <c r="D658" s="33" t="s">
        <v>10830</v>
      </c>
      <c r="E658" s="33" t="s">
        <v>302</v>
      </c>
      <c r="F658" s="33" t="s">
        <v>302</v>
      </c>
      <c r="G658" s="33" t="s">
        <v>384</v>
      </c>
    </row>
    <row r="659" spans="2:7" x14ac:dyDescent="0.25">
      <c r="B659" s="33" t="s">
        <v>292</v>
      </c>
      <c r="C659" s="33" t="s">
        <v>302</v>
      </c>
      <c r="D659" s="33" t="s">
        <v>10831</v>
      </c>
      <c r="E659" s="33" t="s">
        <v>302</v>
      </c>
      <c r="F659" s="33" t="s">
        <v>302</v>
      </c>
      <c r="G659" s="33" t="s">
        <v>326</v>
      </c>
    </row>
    <row r="660" spans="2:7" x14ac:dyDescent="0.25">
      <c r="B660" s="33" t="s">
        <v>292</v>
      </c>
      <c r="C660" s="33" t="s">
        <v>302</v>
      </c>
      <c r="D660" s="33" t="s">
        <v>10832</v>
      </c>
      <c r="E660" s="33" t="s">
        <v>302</v>
      </c>
      <c r="F660" s="33" t="s">
        <v>302</v>
      </c>
      <c r="G660" s="33" t="s">
        <v>1069</v>
      </c>
    </row>
    <row r="661" spans="2:7" x14ac:dyDescent="0.25">
      <c r="B661" s="33" t="s">
        <v>292</v>
      </c>
      <c r="C661" s="33" t="s">
        <v>302</v>
      </c>
      <c r="D661" s="33" t="s">
        <v>10833</v>
      </c>
      <c r="E661" s="33" t="s">
        <v>302</v>
      </c>
      <c r="F661" s="33" t="s">
        <v>302</v>
      </c>
      <c r="G661" s="33" t="s">
        <v>1152</v>
      </c>
    </row>
    <row r="662" spans="2:7" x14ac:dyDescent="0.25">
      <c r="B662" s="33" t="s">
        <v>292</v>
      </c>
      <c r="C662" s="33" t="s">
        <v>302</v>
      </c>
      <c r="D662" s="33" t="s">
        <v>10834</v>
      </c>
      <c r="E662" s="33" t="s">
        <v>302</v>
      </c>
      <c r="F662" s="33" t="s">
        <v>302</v>
      </c>
      <c r="G662" s="33" t="s">
        <v>805</v>
      </c>
    </row>
    <row r="663" spans="2:7" x14ac:dyDescent="0.25">
      <c r="B663" s="33" t="s">
        <v>292</v>
      </c>
      <c r="C663" s="33" t="s">
        <v>302</v>
      </c>
      <c r="D663" s="33" t="s">
        <v>10835</v>
      </c>
      <c r="E663" s="33" t="s">
        <v>302</v>
      </c>
      <c r="F663" s="33" t="s">
        <v>302</v>
      </c>
      <c r="G663" s="33" t="s">
        <v>1182</v>
      </c>
    </row>
    <row r="664" spans="2:7" x14ac:dyDescent="0.25">
      <c r="B664" s="33" t="s">
        <v>292</v>
      </c>
      <c r="C664" s="33" t="s">
        <v>302</v>
      </c>
      <c r="D664" s="33" t="s">
        <v>10836</v>
      </c>
      <c r="E664" s="33" t="s">
        <v>302</v>
      </c>
      <c r="F664" s="33" t="s">
        <v>302</v>
      </c>
      <c r="G664" s="33" t="s">
        <v>634</v>
      </c>
    </row>
    <row r="665" spans="2:7" x14ac:dyDescent="0.25">
      <c r="B665" s="33" t="s">
        <v>292</v>
      </c>
      <c r="C665" s="33" t="s">
        <v>302</v>
      </c>
      <c r="D665" s="33" t="s">
        <v>10837</v>
      </c>
      <c r="E665" s="33" t="s">
        <v>302</v>
      </c>
      <c r="F665" s="33" t="s">
        <v>302</v>
      </c>
      <c r="G665" s="33" t="s">
        <v>540</v>
      </c>
    </row>
    <row r="666" spans="2:7" x14ac:dyDescent="0.25">
      <c r="B666" s="33" t="s">
        <v>292</v>
      </c>
      <c r="C666" s="33" t="s">
        <v>302</v>
      </c>
      <c r="D666" s="33" t="s">
        <v>10838</v>
      </c>
      <c r="E666" s="33" t="s">
        <v>302</v>
      </c>
      <c r="F666" s="33" t="s">
        <v>302</v>
      </c>
      <c r="G666" s="33" t="s">
        <v>321</v>
      </c>
    </row>
    <row r="667" spans="2:7" x14ac:dyDescent="0.25">
      <c r="B667" s="33" t="s">
        <v>292</v>
      </c>
      <c r="C667" s="33" t="s">
        <v>302</v>
      </c>
      <c r="D667" s="33" t="s">
        <v>10839</v>
      </c>
      <c r="E667" s="33" t="s">
        <v>302</v>
      </c>
      <c r="F667" s="33" t="s">
        <v>302</v>
      </c>
      <c r="G667" s="33" t="s">
        <v>1325</v>
      </c>
    </row>
    <row r="668" spans="2:7" x14ac:dyDescent="0.25">
      <c r="B668" s="33" t="s">
        <v>292</v>
      </c>
      <c r="C668" s="33" t="s">
        <v>302</v>
      </c>
      <c r="D668" s="33" t="s">
        <v>10840</v>
      </c>
      <c r="E668" s="33" t="s">
        <v>302</v>
      </c>
      <c r="F668" s="33" t="s">
        <v>302</v>
      </c>
      <c r="G668" s="33" t="s">
        <v>949</v>
      </c>
    </row>
    <row r="669" spans="2:7" x14ac:dyDescent="0.25">
      <c r="B669" s="33" t="s">
        <v>292</v>
      </c>
      <c r="C669" s="33" t="s">
        <v>302</v>
      </c>
      <c r="D669" s="33" t="s">
        <v>10841</v>
      </c>
      <c r="E669" s="33" t="s">
        <v>302</v>
      </c>
      <c r="F669" s="33" t="s">
        <v>302</v>
      </c>
      <c r="G669" s="33" t="s">
        <v>764</v>
      </c>
    </row>
    <row r="670" spans="2:7" x14ac:dyDescent="0.25">
      <c r="B670" s="33" t="s">
        <v>292</v>
      </c>
      <c r="C670" s="33" t="s">
        <v>302</v>
      </c>
      <c r="D670" s="33" t="s">
        <v>10842</v>
      </c>
      <c r="E670" s="33" t="s">
        <v>302</v>
      </c>
      <c r="F670" s="33" t="s">
        <v>302</v>
      </c>
      <c r="G670" s="33" t="s">
        <v>1320</v>
      </c>
    </row>
    <row r="671" spans="2:7" x14ac:dyDescent="0.25">
      <c r="B671" s="33" t="s">
        <v>292</v>
      </c>
      <c r="C671" s="33" t="s">
        <v>302</v>
      </c>
      <c r="D671" s="33" t="s">
        <v>10843</v>
      </c>
      <c r="E671" s="33" t="s">
        <v>302</v>
      </c>
      <c r="F671" s="33" t="s">
        <v>302</v>
      </c>
      <c r="G671" s="33" t="s">
        <v>427</v>
      </c>
    </row>
    <row r="672" spans="2:7" x14ac:dyDescent="0.25">
      <c r="B672" s="33" t="s">
        <v>292</v>
      </c>
      <c r="C672" s="33" t="s">
        <v>302</v>
      </c>
      <c r="D672" s="33" t="s">
        <v>10844</v>
      </c>
      <c r="E672" s="33" t="s">
        <v>302</v>
      </c>
      <c r="F672" s="33" t="s">
        <v>302</v>
      </c>
      <c r="G672" s="33" t="s">
        <v>748</v>
      </c>
    </row>
    <row r="673" spans="2:7" x14ac:dyDescent="0.25">
      <c r="B673" s="33" t="s">
        <v>292</v>
      </c>
      <c r="C673" s="33" t="s">
        <v>302</v>
      </c>
      <c r="D673" s="33" t="s">
        <v>10845</v>
      </c>
      <c r="E673" s="33" t="s">
        <v>302</v>
      </c>
      <c r="F673" s="33" t="s">
        <v>302</v>
      </c>
      <c r="G673" s="33" t="s">
        <v>1047</v>
      </c>
    </row>
    <row r="674" spans="2:7" x14ac:dyDescent="0.25">
      <c r="B674" s="33" t="s">
        <v>292</v>
      </c>
      <c r="C674" s="33" t="s">
        <v>302</v>
      </c>
      <c r="D674" s="33" t="s">
        <v>10846</v>
      </c>
      <c r="E674" s="33" t="s">
        <v>302</v>
      </c>
      <c r="F674" s="33" t="s">
        <v>302</v>
      </c>
      <c r="G674" s="33" t="s">
        <v>937</v>
      </c>
    </row>
    <row r="675" spans="2:7" x14ac:dyDescent="0.25">
      <c r="B675" s="33" t="s">
        <v>292</v>
      </c>
      <c r="C675" s="33" t="s">
        <v>302</v>
      </c>
      <c r="D675" s="33" t="s">
        <v>10847</v>
      </c>
      <c r="E675" s="33" t="s">
        <v>302</v>
      </c>
      <c r="F675" s="33" t="s">
        <v>302</v>
      </c>
      <c r="G675" s="33" t="s">
        <v>410</v>
      </c>
    </row>
    <row r="676" spans="2:7" x14ac:dyDescent="0.25">
      <c r="B676" s="33" t="s">
        <v>292</v>
      </c>
      <c r="C676" s="33" t="s">
        <v>302</v>
      </c>
      <c r="D676" s="33" t="s">
        <v>10848</v>
      </c>
      <c r="E676" s="33" t="s">
        <v>302</v>
      </c>
      <c r="F676" s="33" t="s">
        <v>302</v>
      </c>
      <c r="G676" s="33" t="s">
        <v>1124</v>
      </c>
    </row>
    <row r="677" spans="2:7" x14ac:dyDescent="0.25">
      <c r="B677" s="33" t="s">
        <v>292</v>
      </c>
      <c r="C677" s="33" t="s">
        <v>302</v>
      </c>
      <c r="D677" s="33" t="s">
        <v>10849</v>
      </c>
      <c r="E677" s="33" t="s">
        <v>302</v>
      </c>
      <c r="F677" s="33" t="s">
        <v>302</v>
      </c>
      <c r="G677" s="33" t="s">
        <v>1004</v>
      </c>
    </row>
    <row r="678" spans="2:7" x14ac:dyDescent="0.25">
      <c r="B678" s="33" t="s">
        <v>292</v>
      </c>
      <c r="C678" s="33" t="s">
        <v>302</v>
      </c>
      <c r="D678" s="33" t="s">
        <v>10850</v>
      </c>
      <c r="E678" s="33" t="s">
        <v>302</v>
      </c>
      <c r="F678" s="33" t="s">
        <v>302</v>
      </c>
      <c r="G678" s="33" t="s">
        <v>1327</v>
      </c>
    </row>
    <row r="679" spans="2:7" x14ac:dyDescent="0.25">
      <c r="B679" s="33" t="s">
        <v>292</v>
      </c>
      <c r="C679" s="33" t="s">
        <v>302</v>
      </c>
      <c r="D679" s="33" t="s">
        <v>10851</v>
      </c>
      <c r="E679" s="33" t="s">
        <v>302</v>
      </c>
      <c r="F679" s="33" t="s">
        <v>302</v>
      </c>
      <c r="G679" s="33" t="s">
        <v>542</v>
      </c>
    </row>
    <row r="680" spans="2:7" x14ac:dyDescent="0.25">
      <c r="B680" s="33" t="s">
        <v>292</v>
      </c>
      <c r="C680" s="33" t="s">
        <v>302</v>
      </c>
      <c r="D680" s="33" t="s">
        <v>10852</v>
      </c>
      <c r="E680" s="33" t="s">
        <v>302</v>
      </c>
      <c r="F680" s="33" t="s">
        <v>302</v>
      </c>
      <c r="G680" s="33" t="s">
        <v>632</v>
      </c>
    </row>
    <row r="681" spans="2:7" x14ac:dyDescent="0.25">
      <c r="B681" s="33" t="s">
        <v>292</v>
      </c>
      <c r="C681" s="33" t="s">
        <v>302</v>
      </c>
      <c r="D681" s="33" t="s">
        <v>10853</v>
      </c>
      <c r="E681" s="33" t="s">
        <v>302</v>
      </c>
      <c r="F681" s="33" t="s">
        <v>302</v>
      </c>
      <c r="G681" s="33" t="s">
        <v>1193</v>
      </c>
    </row>
    <row r="682" spans="2:7" x14ac:dyDescent="0.25">
      <c r="B682" s="33" t="s">
        <v>292</v>
      </c>
      <c r="C682" s="33" t="s">
        <v>302</v>
      </c>
      <c r="D682" s="33" t="s">
        <v>10854</v>
      </c>
      <c r="E682" s="33" t="s">
        <v>302</v>
      </c>
      <c r="F682" s="33" t="s">
        <v>302</v>
      </c>
      <c r="G682" s="33" t="s">
        <v>1244</v>
      </c>
    </row>
    <row r="683" spans="2:7" x14ac:dyDescent="0.25">
      <c r="B683" s="33" t="s">
        <v>292</v>
      </c>
      <c r="C683" s="33" t="s">
        <v>302</v>
      </c>
      <c r="D683" s="33" t="s">
        <v>10855</v>
      </c>
      <c r="E683" s="33" t="s">
        <v>302</v>
      </c>
      <c r="F683" s="33" t="s">
        <v>302</v>
      </c>
      <c r="G683" s="33" t="s">
        <v>613</v>
      </c>
    </row>
    <row r="684" spans="2:7" x14ac:dyDescent="0.25">
      <c r="B684" s="33" t="s">
        <v>292</v>
      </c>
      <c r="C684" s="33" t="s">
        <v>302</v>
      </c>
      <c r="D684" s="33" t="s">
        <v>10856</v>
      </c>
      <c r="E684" s="33" t="s">
        <v>302</v>
      </c>
      <c r="F684" s="33" t="s">
        <v>302</v>
      </c>
      <c r="G684" s="33" t="s">
        <v>486</v>
      </c>
    </row>
    <row r="685" spans="2:7" x14ac:dyDescent="0.25">
      <c r="B685" s="33" t="s">
        <v>292</v>
      </c>
      <c r="C685" s="33" t="s">
        <v>302</v>
      </c>
      <c r="D685" s="33" t="s">
        <v>10857</v>
      </c>
      <c r="E685" s="33" t="s">
        <v>302</v>
      </c>
      <c r="F685" s="33" t="s">
        <v>302</v>
      </c>
      <c r="G685" s="33" t="s">
        <v>977</v>
      </c>
    </row>
    <row r="686" spans="2:7" x14ac:dyDescent="0.25">
      <c r="B686" s="33" t="s">
        <v>292</v>
      </c>
      <c r="C686" s="33" t="s">
        <v>302</v>
      </c>
      <c r="D686" s="33" t="s">
        <v>10858</v>
      </c>
      <c r="E686" s="33" t="s">
        <v>302</v>
      </c>
      <c r="F686" s="33" t="s">
        <v>302</v>
      </c>
      <c r="G686" s="33" t="s">
        <v>841</v>
      </c>
    </row>
    <row r="687" spans="2:7" x14ac:dyDescent="0.25">
      <c r="B687" s="33" t="s">
        <v>292</v>
      </c>
      <c r="C687" s="33" t="s">
        <v>302</v>
      </c>
      <c r="D687" s="33" t="s">
        <v>10859</v>
      </c>
      <c r="E687" s="33" t="s">
        <v>302</v>
      </c>
      <c r="F687" s="33" t="s">
        <v>302</v>
      </c>
      <c r="G687" s="33" t="s">
        <v>1030</v>
      </c>
    </row>
    <row r="688" spans="2:7" x14ac:dyDescent="0.25">
      <c r="B688" s="33" t="s">
        <v>292</v>
      </c>
      <c r="C688" s="33" t="s">
        <v>302</v>
      </c>
      <c r="D688" s="33" t="s">
        <v>10860</v>
      </c>
      <c r="E688" s="33" t="s">
        <v>302</v>
      </c>
      <c r="F688" s="33" t="s">
        <v>302</v>
      </c>
      <c r="G688" s="33" t="s">
        <v>563</v>
      </c>
    </row>
    <row r="689" spans="2:7" x14ac:dyDescent="0.25">
      <c r="B689" s="33" t="s">
        <v>292</v>
      </c>
      <c r="C689" s="33" t="s">
        <v>302</v>
      </c>
      <c r="D689" s="33" t="s">
        <v>10861</v>
      </c>
      <c r="E689" s="33" t="s">
        <v>302</v>
      </c>
      <c r="F689" s="33" t="s">
        <v>302</v>
      </c>
      <c r="G689" s="33" t="s">
        <v>961</v>
      </c>
    </row>
    <row r="690" spans="2:7" x14ac:dyDescent="0.25">
      <c r="B690" s="33" t="s">
        <v>292</v>
      </c>
      <c r="C690" s="33" t="s">
        <v>302</v>
      </c>
      <c r="D690" s="33" t="s">
        <v>10862</v>
      </c>
      <c r="E690" s="33" t="s">
        <v>302</v>
      </c>
      <c r="F690" s="33" t="s">
        <v>302</v>
      </c>
      <c r="G690" s="33" t="s">
        <v>1088</v>
      </c>
    </row>
    <row r="691" spans="2:7" x14ac:dyDescent="0.25">
      <c r="B691" s="33" t="s">
        <v>292</v>
      </c>
      <c r="C691" s="33" t="s">
        <v>302</v>
      </c>
      <c r="D691" s="33" t="s">
        <v>10863</v>
      </c>
      <c r="E691" s="33" t="s">
        <v>302</v>
      </c>
      <c r="F691" s="33" t="s">
        <v>302</v>
      </c>
      <c r="G691" s="33" t="s">
        <v>999</v>
      </c>
    </row>
    <row r="692" spans="2:7" x14ac:dyDescent="0.25">
      <c r="B692" s="33" t="s">
        <v>292</v>
      </c>
      <c r="C692" s="33" t="s">
        <v>302</v>
      </c>
      <c r="D692" s="33" t="s">
        <v>10864</v>
      </c>
      <c r="E692" s="33" t="s">
        <v>302</v>
      </c>
      <c r="F692" s="33" t="s">
        <v>302</v>
      </c>
      <c r="G692" s="33" t="s">
        <v>336</v>
      </c>
    </row>
    <row r="693" spans="2:7" x14ac:dyDescent="0.25">
      <c r="B693" s="33" t="s">
        <v>292</v>
      </c>
      <c r="C693" s="33" t="s">
        <v>302</v>
      </c>
      <c r="D693" s="33" t="s">
        <v>10865</v>
      </c>
      <c r="E693" s="33" t="s">
        <v>302</v>
      </c>
      <c r="F693" s="33" t="s">
        <v>302</v>
      </c>
      <c r="G693" s="33" t="s">
        <v>836</v>
      </c>
    </row>
    <row r="694" spans="2:7" x14ac:dyDescent="0.25">
      <c r="B694" s="33" t="s">
        <v>292</v>
      </c>
      <c r="C694" s="33" t="s">
        <v>302</v>
      </c>
      <c r="D694" s="33" t="s">
        <v>10866</v>
      </c>
      <c r="E694" s="33" t="s">
        <v>302</v>
      </c>
      <c r="F694" s="33" t="s">
        <v>302</v>
      </c>
      <c r="G694" s="33" t="s">
        <v>746</v>
      </c>
    </row>
    <row r="695" spans="2:7" x14ac:dyDescent="0.25">
      <c r="B695" s="33" t="s">
        <v>292</v>
      </c>
      <c r="C695" s="33" t="s">
        <v>302</v>
      </c>
      <c r="D695" s="33" t="s">
        <v>10867</v>
      </c>
      <c r="E695" s="33" t="s">
        <v>302</v>
      </c>
      <c r="F695" s="33" t="s">
        <v>302</v>
      </c>
      <c r="G695" s="33" t="s">
        <v>443</v>
      </c>
    </row>
    <row r="696" spans="2:7" x14ac:dyDescent="0.25">
      <c r="B696" s="33" t="s">
        <v>292</v>
      </c>
      <c r="C696" s="33" t="s">
        <v>302</v>
      </c>
      <c r="D696" s="33" t="s">
        <v>10868</v>
      </c>
      <c r="E696" s="33" t="s">
        <v>302</v>
      </c>
      <c r="F696" s="33" t="s">
        <v>302</v>
      </c>
      <c r="G696" s="33" t="s">
        <v>725</v>
      </c>
    </row>
    <row r="697" spans="2:7" x14ac:dyDescent="0.25">
      <c r="B697" s="33" t="s">
        <v>292</v>
      </c>
      <c r="C697" s="33" t="s">
        <v>302</v>
      </c>
      <c r="D697" s="33" t="s">
        <v>10869</v>
      </c>
      <c r="E697" s="33" t="s">
        <v>302</v>
      </c>
      <c r="F697" s="33" t="s">
        <v>302</v>
      </c>
      <c r="G697" s="33" t="s">
        <v>1203</v>
      </c>
    </row>
    <row r="698" spans="2:7" x14ac:dyDescent="0.25">
      <c r="B698" s="33" t="s">
        <v>292</v>
      </c>
      <c r="C698" s="33" t="s">
        <v>302</v>
      </c>
      <c r="D698" s="33" t="s">
        <v>10870</v>
      </c>
      <c r="E698" s="33" t="s">
        <v>302</v>
      </c>
      <c r="F698" s="33" t="s">
        <v>302</v>
      </c>
      <c r="G698" s="33" t="s">
        <v>405</v>
      </c>
    </row>
    <row r="699" spans="2:7" x14ac:dyDescent="0.25">
      <c r="B699" s="33" t="s">
        <v>292</v>
      </c>
      <c r="C699" s="33" t="s">
        <v>302</v>
      </c>
      <c r="D699" s="33" t="s">
        <v>10871</v>
      </c>
      <c r="E699" s="33" t="s">
        <v>302</v>
      </c>
      <c r="F699" s="33" t="s">
        <v>302</v>
      </c>
      <c r="G699" s="33" t="s">
        <v>1265</v>
      </c>
    </row>
    <row r="700" spans="2:7" x14ac:dyDescent="0.25">
      <c r="B700" s="33" t="s">
        <v>292</v>
      </c>
      <c r="C700" s="33" t="s">
        <v>302</v>
      </c>
      <c r="D700" s="33" t="s">
        <v>10872</v>
      </c>
      <c r="E700" s="33" t="s">
        <v>302</v>
      </c>
      <c r="F700" s="33" t="s">
        <v>302</v>
      </c>
      <c r="G700" s="33" t="s">
        <v>508</v>
      </c>
    </row>
    <row r="701" spans="2:7" x14ac:dyDescent="0.25">
      <c r="B701" s="33" t="s">
        <v>292</v>
      </c>
      <c r="C701" s="33" t="s">
        <v>302</v>
      </c>
      <c r="D701" s="33" t="s">
        <v>10873</v>
      </c>
      <c r="E701" s="33" t="s">
        <v>302</v>
      </c>
      <c r="F701" s="33" t="s">
        <v>302</v>
      </c>
      <c r="G701" s="33" t="s">
        <v>1293</v>
      </c>
    </row>
    <row r="702" spans="2:7" x14ac:dyDescent="0.25">
      <c r="B702" s="33" t="s">
        <v>292</v>
      </c>
      <c r="C702" s="33" t="s">
        <v>302</v>
      </c>
      <c r="D702" s="33" t="s">
        <v>10874</v>
      </c>
      <c r="E702" s="33" t="s">
        <v>302</v>
      </c>
      <c r="F702" s="33" t="s">
        <v>302</v>
      </c>
      <c r="G702" s="33" t="s">
        <v>1012</v>
      </c>
    </row>
    <row r="703" spans="2:7" x14ac:dyDescent="0.25">
      <c r="B703" s="33" t="s">
        <v>292</v>
      </c>
      <c r="C703" s="33" t="s">
        <v>302</v>
      </c>
      <c r="D703" s="33" t="s">
        <v>10875</v>
      </c>
      <c r="E703" s="33" t="s">
        <v>302</v>
      </c>
      <c r="F703" s="33" t="s">
        <v>302</v>
      </c>
      <c r="G703" s="33" t="s">
        <v>1154</v>
      </c>
    </row>
    <row r="704" spans="2:7" x14ac:dyDescent="0.25">
      <c r="B704" s="33" t="s">
        <v>292</v>
      </c>
      <c r="C704" s="33" t="s">
        <v>302</v>
      </c>
      <c r="D704" s="33" t="s">
        <v>10876</v>
      </c>
      <c r="E704" s="33" t="s">
        <v>302</v>
      </c>
      <c r="F704" s="33" t="s">
        <v>302</v>
      </c>
      <c r="G704" s="33" t="s">
        <v>596</v>
      </c>
    </row>
    <row r="705" spans="2:7" x14ac:dyDescent="0.25">
      <c r="B705" s="33" t="s">
        <v>292</v>
      </c>
      <c r="C705" s="33" t="s">
        <v>302</v>
      </c>
      <c r="D705" s="33" t="s">
        <v>10877</v>
      </c>
      <c r="E705" s="33" t="s">
        <v>302</v>
      </c>
      <c r="F705" s="33" t="s">
        <v>302</v>
      </c>
      <c r="G705" s="33" t="s">
        <v>670</v>
      </c>
    </row>
    <row r="706" spans="2:7" x14ac:dyDescent="0.25">
      <c r="B706" s="33" t="s">
        <v>292</v>
      </c>
      <c r="C706" s="33" t="s">
        <v>302</v>
      </c>
      <c r="D706" s="33" t="s">
        <v>10878</v>
      </c>
      <c r="E706" s="33" t="s">
        <v>302</v>
      </c>
      <c r="F706" s="33" t="s">
        <v>302</v>
      </c>
      <c r="G706" s="33" t="s">
        <v>675</v>
      </c>
    </row>
    <row r="707" spans="2:7" x14ac:dyDescent="0.25">
      <c r="B707" s="33" t="s">
        <v>292</v>
      </c>
      <c r="C707" s="33" t="s">
        <v>302</v>
      </c>
      <c r="D707" s="33" t="s">
        <v>10879</v>
      </c>
      <c r="E707" s="33" t="s">
        <v>302</v>
      </c>
      <c r="F707" s="33" t="s">
        <v>302</v>
      </c>
      <c r="G707" s="33" t="s">
        <v>686</v>
      </c>
    </row>
    <row r="708" spans="2:7" x14ac:dyDescent="0.25">
      <c r="B708" s="33" t="s">
        <v>292</v>
      </c>
      <c r="C708" s="33" t="s">
        <v>302</v>
      </c>
      <c r="D708" s="33" t="s">
        <v>10880</v>
      </c>
      <c r="E708" s="33" t="s">
        <v>302</v>
      </c>
      <c r="F708" s="33" t="s">
        <v>302</v>
      </c>
      <c r="G708" s="33" t="s">
        <v>1280</v>
      </c>
    </row>
    <row r="709" spans="2:7" x14ac:dyDescent="0.25">
      <c r="B709" s="33" t="s">
        <v>292</v>
      </c>
      <c r="C709" s="33" t="s">
        <v>302</v>
      </c>
      <c r="D709" s="33" t="s">
        <v>10881</v>
      </c>
      <c r="E709" s="33" t="s">
        <v>302</v>
      </c>
      <c r="F709" s="33" t="s">
        <v>302</v>
      </c>
      <c r="G709" s="33" t="s">
        <v>933</v>
      </c>
    </row>
    <row r="710" spans="2:7" x14ac:dyDescent="0.25">
      <c r="B710" s="33" t="s">
        <v>292</v>
      </c>
      <c r="C710" s="33" t="s">
        <v>302</v>
      </c>
      <c r="D710" s="33" t="s">
        <v>10882</v>
      </c>
      <c r="E710" s="33" t="s">
        <v>302</v>
      </c>
      <c r="F710" s="33" t="s">
        <v>302</v>
      </c>
      <c r="G710" s="33" t="s">
        <v>408</v>
      </c>
    </row>
    <row r="711" spans="2:7" x14ac:dyDescent="0.25">
      <c r="B711" s="33" t="s">
        <v>292</v>
      </c>
      <c r="C711" s="33" t="s">
        <v>302</v>
      </c>
      <c r="D711" s="33" t="s">
        <v>10883</v>
      </c>
      <c r="E711" s="33" t="s">
        <v>302</v>
      </c>
      <c r="F711" s="33" t="s">
        <v>302</v>
      </c>
      <c r="G711" s="33" t="s">
        <v>544</v>
      </c>
    </row>
    <row r="712" spans="2:7" x14ac:dyDescent="0.25">
      <c r="B712" s="33" t="s">
        <v>292</v>
      </c>
      <c r="C712" s="33" t="s">
        <v>302</v>
      </c>
      <c r="D712" s="33" t="s">
        <v>10884</v>
      </c>
      <c r="E712" s="33" t="s">
        <v>302</v>
      </c>
      <c r="F712" s="33" t="s">
        <v>302</v>
      </c>
      <c r="G712" s="33" t="s">
        <v>771</v>
      </c>
    </row>
    <row r="713" spans="2:7" x14ac:dyDescent="0.25">
      <c r="B713" s="33" t="s">
        <v>292</v>
      </c>
      <c r="C713" s="33" t="s">
        <v>302</v>
      </c>
      <c r="D713" s="33" t="s">
        <v>10885</v>
      </c>
      <c r="E713" s="33" t="s">
        <v>302</v>
      </c>
      <c r="F713" s="33" t="s">
        <v>302</v>
      </c>
      <c r="G713" s="33" t="s">
        <v>636</v>
      </c>
    </row>
    <row r="714" spans="2:7" x14ac:dyDescent="0.25">
      <c r="B714" s="33" t="s">
        <v>292</v>
      </c>
      <c r="C714" s="33" t="s">
        <v>302</v>
      </c>
      <c r="D714" s="33" t="s">
        <v>10886</v>
      </c>
      <c r="E714" s="33" t="s">
        <v>302</v>
      </c>
      <c r="F714" s="33" t="s">
        <v>302</v>
      </c>
      <c r="G714" s="33" t="s">
        <v>770</v>
      </c>
    </row>
    <row r="715" spans="2:7" x14ac:dyDescent="0.25">
      <c r="B715" s="33" t="s">
        <v>292</v>
      </c>
      <c r="C715" s="33" t="s">
        <v>302</v>
      </c>
      <c r="D715" s="33" t="s">
        <v>10887</v>
      </c>
      <c r="E715" s="33" t="s">
        <v>302</v>
      </c>
      <c r="F715" s="33" t="s">
        <v>302</v>
      </c>
      <c r="G715" s="33" t="s">
        <v>375</v>
      </c>
    </row>
    <row r="716" spans="2:7" x14ac:dyDescent="0.25">
      <c r="B716" s="33" t="s">
        <v>292</v>
      </c>
      <c r="C716" s="33" t="s">
        <v>302</v>
      </c>
      <c r="D716" s="33" t="s">
        <v>10888</v>
      </c>
      <c r="E716" s="33" t="s">
        <v>302</v>
      </c>
      <c r="F716" s="33" t="s">
        <v>302</v>
      </c>
      <c r="G716" s="33" t="s">
        <v>468</v>
      </c>
    </row>
    <row r="717" spans="2:7" x14ac:dyDescent="0.25">
      <c r="B717" s="33" t="s">
        <v>292</v>
      </c>
      <c r="C717" s="33" t="s">
        <v>302</v>
      </c>
      <c r="D717" s="33" t="s">
        <v>10889</v>
      </c>
      <c r="E717" s="33" t="s">
        <v>302</v>
      </c>
      <c r="F717" s="33" t="s">
        <v>302</v>
      </c>
      <c r="G717" s="33" t="s">
        <v>1339</v>
      </c>
    </row>
    <row r="718" spans="2:7" x14ac:dyDescent="0.25">
      <c r="B718" s="33" t="s">
        <v>292</v>
      </c>
      <c r="C718" s="33" t="s">
        <v>302</v>
      </c>
      <c r="D718" s="33" t="s">
        <v>10890</v>
      </c>
      <c r="E718" s="33" t="s">
        <v>302</v>
      </c>
      <c r="F718" s="33" t="s">
        <v>302</v>
      </c>
      <c r="G718" s="33" t="s">
        <v>875</v>
      </c>
    </row>
    <row r="719" spans="2:7" x14ac:dyDescent="0.25">
      <c r="B719" s="33" t="s">
        <v>10188</v>
      </c>
      <c r="C719" s="33" t="s">
        <v>302</v>
      </c>
      <c r="D719" s="33" t="s">
        <v>10890</v>
      </c>
      <c r="E719" s="33" t="s">
        <v>302</v>
      </c>
      <c r="F719" s="33" t="s">
        <v>302</v>
      </c>
      <c r="G719" s="33" t="s">
        <v>11330</v>
      </c>
    </row>
    <row r="720" spans="2:7" x14ac:dyDescent="0.25">
      <c r="B720" s="33" t="s">
        <v>292</v>
      </c>
      <c r="C720" s="33" t="s">
        <v>302</v>
      </c>
      <c r="D720" s="33" t="s">
        <v>10891</v>
      </c>
      <c r="E720" s="33" t="s">
        <v>302</v>
      </c>
      <c r="F720" s="33" t="s">
        <v>302</v>
      </c>
      <c r="G720" s="33" t="s">
        <v>327</v>
      </c>
    </row>
    <row r="721" spans="2:7" x14ac:dyDescent="0.25">
      <c r="B721" s="33" t="s">
        <v>292</v>
      </c>
      <c r="C721" s="33" t="s">
        <v>302</v>
      </c>
      <c r="D721" s="33" t="s">
        <v>10892</v>
      </c>
      <c r="E721" s="33" t="s">
        <v>302</v>
      </c>
      <c r="F721" s="33" t="s">
        <v>302</v>
      </c>
      <c r="G721" s="33" t="s">
        <v>1166</v>
      </c>
    </row>
    <row r="722" spans="2:7" x14ac:dyDescent="0.25">
      <c r="B722" s="33" t="s">
        <v>294</v>
      </c>
      <c r="C722" s="33" t="s">
        <v>302</v>
      </c>
      <c r="D722" s="33" t="s">
        <v>10893</v>
      </c>
      <c r="E722" s="33" t="s">
        <v>302</v>
      </c>
      <c r="F722" s="33" t="s">
        <v>302</v>
      </c>
      <c r="G722" s="33" t="s">
        <v>11331</v>
      </c>
    </row>
    <row r="723" spans="2:7" x14ac:dyDescent="0.25">
      <c r="B723" s="33" t="s">
        <v>292</v>
      </c>
      <c r="C723" s="33" t="s">
        <v>302</v>
      </c>
      <c r="D723" s="33" t="s">
        <v>10894</v>
      </c>
      <c r="E723" s="33" t="s">
        <v>302</v>
      </c>
      <c r="F723" s="33" t="s">
        <v>302</v>
      </c>
      <c r="G723" s="33" t="s">
        <v>619</v>
      </c>
    </row>
    <row r="724" spans="2:7" x14ac:dyDescent="0.25">
      <c r="B724" s="33" t="s">
        <v>292</v>
      </c>
      <c r="C724" s="33" t="s">
        <v>302</v>
      </c>
      <c r="D724" s="33" t="s">
        <v>10895</v>
      </c>
      <c r="E724" s="33" t="s">
        <v>302</v>
      </c>
      <c r="F724" s="33" t="s">
        <v>302</v>
      </c>
      <c r="G724" s="33" t="s">
        <v>791</v>
      </c>
    </row>
    <row r="725" spans="2:7" x14ac:dyDescent="0.25">
      <c r="B725" s="33" t="s">
        <v>292</v>
      </c>
      <c r="C725" s="33" t="s">
        <v>302</v>
      </c>
      <c r="D725" s="33" t="s">
        <v>10896</v>
      </c>
      <c r="E725" s="33" t="s">
        <v>302</v>
      </c>
      <c r="F725" s="33" t="s">
        <v>302</v>
      </c>
      <c r="G725" s="33" t="s">
        <v>832</v>
      </c>
    </row>
    <row r="726" spans="2:7" x14ac:dyDescent="0.25">
      <c r="B726" s="33" t="s">
        <v>292</v>
      </c>
      <c r="C726" s="33" t="s">
        <v>302</v>
      </c>
      <c r="D726" s="33" t="s">
        <v>10897</v>
      </c>
      <c r="E726" s="33" t="s">
        <v>302</v>
      </c>
      <c r="F726" s="33" t="s">
        <v>302</v>
      </c>
      <c r="G726" s="33" t="s">
        <v>931</v>
      </c>
    </row>
    <row r="727" spans="2:7" x14ac:dyDescent="0.25">
      <c r="B727" s="33" t="s">
        <v>292</v>
      </c>
      <c r="C727" s="33" t="s">
        <v>302</v>
      </c>
      <c r="D727" s="33" t="s">
        <v>10898</v>
      </c>
      <c r="E727" s="33" t="s">
        <v>302</v>
      </c>
      <c r="F727" s="33" t="s">
        <v>302</v>
      </c>
      <c r="G727" s="33" t="s">
        <v>416</v>
      </c>
    </row>
    <row r="728" spans="2:7" x14ac:dyDescent="0.25">
      <c r="B728" s="33" t="s">
        <v>292</v>
      </c>
      <c r="C728" s="33" t="s">
        <v>302</v>
      </c>
      <c r="D728" s="33" t="s">
        <v>10899</v>
      </c>
      <c r="E728" s="33" t="s">
        <v>302</v>
      </c>
      <c r="F728" s="33" t="s">
        <v>302</v>
      </c>
      <c r="G728" s="33" t="s">
        <v>892</v>
      </c>
    </row>
    <row r="729" spans="2:7" x14ac:dyDescent="0.25">
      <c r="B729" s="33" t="s">
        <v>292</v>
      </c>
      <c r="C729" s="33" t="s">
        <v>302</v>
      </c>
      <c r="D729" s="33" t="s">
        <v>10900</v>
      </c>
      <c r="E729" s="33" t="s">
        <v>302</v>
      </c>
      <c r="F729" s="33" t="s">
        <v>302</v>
      </c>
      <c r="G729" s="33" t="s">
        <v>592</v>
      </c>
    </row>
    <row r="730" spans="2:7" x14ac:dyDescent="0.25">
      <c r="B730" s="33" t="s">
        <v>292</v>
      </c>
      <c r="C730" s="33" t="s">
        <v>302</v>
      </c>
      <c r="D730" s="33" t="s">
        <v>10901</v>
      </c>
      <c r="E730" s="33" t="s">
        <v>302</v>
      </c>
      <c r="F730" s="33" t="s">
        <v>302</v>
      </c>
      <c r="G730" s="33" t="s">
        <v>760</v>
      </c>
    </row>
    <row r="731" spans="2:7" x14ac:dyDescent="0.25">
      <c r="B731" s="33" t="s">
        <v>292</v>
      </c>
      <c r="C731" s="33" t="s">
        <v>302</v>
      </c>
      <c r="D731" s="33" t="s">
        <v>10902</v>
      </c>
      <c r="E731" s="33" t="s">
        <v>302</v>
      </c>
      <c r="F731" s="33" t="s">
        <v>302</v>
      </c>
      <c r="G731" s="33" t="s">
        <v>386</v>
      </c>
    </row>
    <row r="732" spans="2:7" x14ac:dyDescent="0.25">
      <c r="B732" s="33" t="s">
        <v>292</v>
      </c>
      <c r="C732" s="33" t="s">
        <v>302</v>
      </c>
      <c r="D732" s="33" t="s">
        <v>10903</v>
      </c>
      <c r="E732" s="33" t="s">
        <v>302</v>
      </c>
      <c r="F732" s="33" t="s">
        <v>302</v>
      </c>
      <c r="G732" s="33" t="s">
        <v>696</v>
      </c>
    </row>
    <row r="733" spans="2:7" x14ac:dyDescent="0.25">
      <c r="B733" s="33" t="s">
        <v>292</v>
      </c>
      <c r="C733" s="33" t="s">
        <v>302</v>
      </c>
      <c r="D733" s="33" t="s">
        <v>10904</v>
      </c>
      <c r="E733" s="33" t="s">
        <v>302</v>
      </c>
      <c r="F733" s="33" t="s">
        <v>302</v>
      </c>
      <c r="G733" s="33" t="s">
        <v>857</v>
      </c>
    </row>
    <row r="734" spans="2:7" x14ac:dyDescent="0.25">
      <c r="B734" s="33" t="s">
        <v>292</v>
      </c>
      <c r="C734" s="33" t="s">
        <v>302</v>
      </c>
      <c r="D734" s="33" t="s">
        <v>10905</v>
      </c>
      <c r="E734" s="33" t="s">
        <v>302</v>
      </c>
      <c r="F734" s="33" t="s">
        <v>302</v>
      </c>
      <c r="G734" s="33" t="s">
        <v>1328</v>
      </c>
    </row>
    <row r="735" spans="2:7" x14ac:dyDescent="0.25">
      <c r="B735" s="33" t="s">
        <v>292</v>
      </c>
      <c r="C735" s="33" t="s">
        <v>302</v>
      </c>
      <c r="D735" s="33" t="s">
        <v>10906</v>
      </c>
      <c r="E735" s="33" t="s">
        <v>302</v>
      </c>
      <c r="F735" s="33" t="s">
        <v>302</v>
      </c>
      <c r="G735" s="33" t="s">
        <v>1189</v>
      </c>
    </row>
    <row r="736" spans="2:7" x14ac:dyDescent="0.25">
      <c r="B736" s="33" t="s">
        <v>292</v>
      </c>
      <c r="C736" s="33" t="s">
        <v>302</v>
      </c>
      <c r="D736" s="33" t="s">
        <v>10907</v>
      </c>
      <c r="E736" s="33" t="s">
        <v>302</v>
      </c>
      <c r="F736" s="33" t="s">
        <v>302</v>
      </c>
      <c r="G736" s="33" t="s">
        <v>521</v>
      </c>
    </row>
    <row r="737" spans="2:7" x14ac:dyDescent="0.25">
      <c r="B737" s="33" t="s">
        <v>292</v>
      </c>
      <c r="C737" s="33" t="s">
        <v>302</v>
      </c>
      <c r="D737" s="33" t="s">
        <v>10908</v>
      </c>
      <c r="E737" s="33" t="s">
        <v>302</v>
      </c>
      <c r="F737" s="33" t="s">
        <v>302</v>
      </c>
      <c r="G737" s="33" t="s">
        <v>1099</v>
      </c>
    </row>
    <row r="738" spans="2:7" x14ac:dyDescent="0.25">
      <c r="B738" s="33" t="s">
        <v>292</v>
      </c>
      <c r="C738" s="33" t="s">
        <v>302</v>
      </c>
      <c r="D738" s="33" t="s">
        <v>10909</v>
      </c>
      <c r="E738" s="33" t="s">
        <v>302</v>
      </c>
      <c r="F738" s="33" t="s">
        <v>302</v>
      </c>
      <c r="G738" s="33" t="s">
        <v>611</v>
      </c>
    </row>
    <row r="739" spans="2:7" x14ac:dyDescent="0.25">
      <c r="B739" s="33" t="s">
        <v>292</v>
      </c>
      <c r="C739" s="33" t="s">
        <v>302</v>
      </c>
      <c r="D739" s="33" t="s">
        <v>10910</v>
      </c>
      <c r="E739" s="33" t="s">
        <v>302</v>
      </c>
      <c r="F739" s="33" t="s">
        <v>302</v>
      </c>
      <c r="G739" s="33" t="s">
        <v>362</v>
      </c>
    </row>
    <row r="740" spans="2:7" x14ac:dyDescent="0.25">
      <c r="B740" s="33" t="s">
        <v>292</v>
      </c>
      <c r="C740" s="33" t="s">
        <v>302</v>
      </c>
      <c r="D740" s="33" t="s">
        <v>10911</v>
      </c>
      <c r="E740" s="33" t="s">
        <v>302</v>
      </c>
      <c r="F740" s="33" t="s">
        <v>302</v>
      </c>
      <c r="G740" s="33" t="s">
        <v>653</v>
      </c>
    </row>
    <row r="741" spans="2:7" x14ac:dyDescent="0.25">
      <c r="B741" s="33" t="s">
        <v>292</v>
      </c>
      <c r="C741" s="33" t="s">
        <v>302</v>
      </c>
      <c r="D741" s="33" t="s">
        <v>10912</v>
      </c>
      <c r="E741" s="33" t="s">
        <v>302</v>
      </c>
      <c r="F741" s="33" t="s">
        <v>302</v>
      </c>
      <c r="G741" s="33" t="s">
        <v>1112</v>
      </c>
    </row>
    <row r="742" spans="2:7" x14ac:dyDescent="0.25">
      <c r="B742" s="33" t="s">
        <v>292</v>
      </c>
      <c r="C742" s="33" t="s">
        <v>302</v>
      </c>
      <c r="D742" s="33" t="s">
        <v>10913</v>
      </c>
      <c r="E742" s="33" t="s">
        <v>302</v>
      </c>
      <c r="F742" s="33" t="s">
        <v>302</v>
      </c>
      <c r="G742" s="33" t="s">
        <v>981</v>
      </c>
    </row>
    <row r="743" spans="2:7" x14ac:dyDescent="0.25">
      <c r="B743" s="33" t="s">
        <v>292</v>
      </c>
      <c r="C743" s="33" t="s">
        <v>302</v>
      </c>
      <c r="D743" s="33" t="s">
        <v>10914</v>
      </c>
      <c r="E743" s="33" t="s">
        <v>302</v>
      </c>
      <c r="F743" s="33" t="s">
        <v>302</v>
      </c>
      <c r="G743" s="33" t="s">
        <v>1205</v>
      </c>
    </row>
    <row r="744" spans="2:7" x14ac:dyDescent="0.25">
      <c r="B744" s="33" t="s">
        <v>292</v>
      </c>
      <c r="C744" s="33" t="s">
        <v>302</v>
      </c>
      <c r="D744" s="33" t="s">
        <v>10915</v>
      </c>
      <c r="E744" s="33" t="s">
        <v>302</v>
      </c>
      <c r="F744" s="33" t="s">
        <v>302</v>
      </c>
      <c r="G744" s="33" t="s">
        <v>1334</v>
      </c>
    </row>
    <row r="745" spans="2:7" x14ac:dyDescent="0.25">
      <c r="B745" s="33" t="s">
        <v>292</v>
      </c>
      <c r="C745" s="33" t="s">
        <v>302</v>
      </c>
      <c r="D745" s="33" t="s">
        <v>10916</v>
      </c>
      <c r="E745" s="33" t="s">
        <v>302</v>
      </c>
      <c r="F745" s="33" t="s">
        <v>302</v>
      </c>
      <c r="G745" s="33" t="s">
        <v>1342</v>
      </c>
    </row>
    <row r="746" spans="2:7" x14ac:dyDescent="0.25">
      <c r="B746" s="33" t="s">
        <v>292</v>
      </c>
      <c r="C746" s="33" t="s">
        <v>302</v>
      </c>
      <c r="D746" s="33" t="s">
        <v>10917</v>
      </c>
      <c r="E746" s="33" t="s">
        <v>302</v>
      </c>
      <c r="F746" s="33" t="s">
        <v>302</v>
      </c>
      <c r="G746" s="33" t="s">
        <v>1132</v>
      </c>
    </row>
    <row r="747" spans="2:7" x14ac:dyDescent="0.25">
      <c r="B747" s="33" t="s">
        <v>292</v>
      </c>
      <c r="C747" s="33" t="s">
        <v>302</v>
      </c>
      <c r="D747" s="33" t="s">
        <v>10918</v>
      </c>
      <c r="E747" s="33" t="s">
        <v>302</v>
      </c>
      <c r="F747" s="33" t="s">
        <v>302</v>
      </c>
      <c r="G747" s="33" t="s">
        <v>1135</v>
      </c>
    </row>
    <row r="748" spans="2:7" x14ac:dyDescent="0.25">
      <c r="B748" s="33" t="s">
        <v>292</v>
      </c>
      <c r="C748" s="33" t="s">
        <v>302</v>
      </c>
      <c r="D748" s="33" t="s">
        <v>10919</v>
      </c>
      <c r="E748" s="33" t="s">
        <v>302</v>
      </c>
      <c r="F748" s="33" t="s">
        <v>302</v>
      </c>
      <c r="G748" s="33" t="s">
        <v>935</v>
      </c>
    </row>
    <row r="749" spans="2:7" x14ac:dyDescent="0.25">
      <c r="B749" s="33" t="s">
        <v>292</v>
      </c>
      <c r="C749" s="33" t="s">
        <v>302</v>
      </c>
      <c r="D749" s="33" t="s">
        <v>10920</v>
      </c>
      <c r="E749" s="33" t="s">
        <v>302</v>
      </c>
      <c r="F749" s="33" t="s">
        <v>302</v>
      </c>
      <c r="G749" s="33" t="s">
        <v>1348</v>
      </c>
    </row>
    <row r="750" spans="2:7" x14ac:dyDescent="0.25">
      <c r="B750" s="33" t="s">
        <v>292</v>
      </c>
      <c r="C750" s="33" t="s">
        <v>302</v>
      </c>
      <c r="D750" s="33" t="s">
        <v>10921</v>
      </c>
      <c r="E750" s="33" t="s">
        <v>302</v>
      </c>
      <c r="F750" s="33" t="s">
        <v>302</v>
      </c>
      <c r="G750" s="33" t="s">
        <v>358</v>
      </c>
    </row>
    <row r="751" spans="2:7" x14ac:dyDescent="0.25">
      <c r="B751" s="33" t="s">
        <v>292</v>
      </c>
      <c r="C751" s="33" t="s">
        <v>302</v>
      </c>
      <c r="D751" s="33" t="s">
        <v>10922</v>
      </c>
      <c r="E751" s="33" t="s">
        <v>302</v>
      </c>
      <c r="F751" s="33" t="s">
        <v>302</v>
      </c>
      <c r="G751" s="33" t="s">
        <v>393</v>
      </c>
    </row>
    <row r="752" spans="2:7" x14ac:dyDescent="0.25">
      <c r="B752" s="33" t="s">
        <v>292</v>
      </c>
      <c r="C752" s="33" t="s">
        <v>302</v>
      </c>
      <c r="D752" s="33" t="s">
        <v>10923</v>
      </c>
      <c r="E752" s="33" t="s">
        <v>302</v>
      </c>
      <c r="F752" s="33" t="s">
        <v>302</v>
      </c>
      <c r="G752" s="33" t="s">
        <v>666</v>
      </c>
    </row>
    <row r="753" spans="2:7" x14ac:dyDescent="0.25">
      <c r="B753" s="33" t="s">
        <v>292</v>
      </c>
      <c r="C753" s="33" t="s">
        <v>302</v>
      </c>
      <c r="D753" s="33" t="s">
        <v>10924</v>
      </c>
      <c r="E753" s="33" t="s">
        <v>302</v>
      </c>
      <c r="F753" s="33" t="s">
        <v>302</v>
      </c>
      <c r="G753" s="33" t="s">
        <v>759</v>
      </c>
    </row>
    <row r="754" spans="2:7" x14ac:dyDescent="0.25">
      <c r="B754" s="33" t="s">
        <v>292</v>
      </c>
      <c r="C754" s="33" t="s">
        <v>302</v>
      </c>
      <c r="D754" s="33" t="s">
        <v>10925</v>
      </c>
      <c r="E754" s="33" t="s">
        <v>302</v>
      </c>
      <c r="F754" s="33" t="s">
        <v>302</v>
      </c>
      <c r="G754" s="33" t="s">
        <v>1017</v>
      </c>
    </row>
    <row r="755" spans="2:7" x14ac:dyDescent="0.25">
      <c r="B755" s="33" t="s">
        <v>292</v>
      </c>
      <c r="C755" s="33" t="s">
        <v>302</v>
      </c>
      <c r="D755" s="33" t="s">
        <v>10926</v>
      </c>
      <c r="E755" s="33" t="s">
        <v>302</v>
      </c>
      <c r="F755" s="33" t="s">
        <v>302</v>
      </c>
      <c r="G755" s="33" t="s">
        <v>406</v>
      </c>
    </row>
    <row r="756" spans="2:7" x14ac:dyDescent="0.25">
      <c r="B756" s="33" t="s">
        <v>292</v>
      </c>
      <c r="C756" s="33" t="s">
        <v>302</v>
      </c>
      <c r="D756" s="33" t="s">
        <v>10927</v>
      </c>
      <c r="E756" s="33" t="s">
        <v>302</v>
      </c>
      <c r="F756" s="33" t="s">
        <v>302</v>
      </c>
      <c r="G756" s="33" t="s">
        <v>1345</v>
      </c>
    </row>
    <row r="757" spans="2:7" x14ac:dyDescent="0.25">
      <c r="B757" s="33" t="s">
        <v>292</v>
      </c>
      <c r="C757" s="33" t="s">
        <v>302</v>
      </c>
      <c r="D757" s="33" t="s">
        <v>10928</v>
      </c>
      <c r="E757" s="33" t="s">
        <v>302</v>
      </c>
      <c r="F757" s="33" t="s">
        <v>302</v>
      </c>
      <c r="G757" s="33" t="s">
        <v>350</v>
      </c>
    </row>
    <row r="758" spans="2:7" x14ac:dyDescent="0.25">
      <c r="B758" s="33" t="s">
        <v>292</v>
      </c>
      <c r="C758" s="33" t="s">
        <v>302</v>
      </c>
      <c r="D758" s="33" t="s">
        <v>10929</v>
      </c>
      <c r="E758" s="33" t="s">
        <v>302</v>
      </c>
      <c r="F758" s="33" t="s">
        <v>302</v>
      </c>
      <c r="G758" s="33" t="s">
        <v>1206</v>
      </c>
    </row>
    <row r="759" spans="2:7" x14ac:dyDescent="0.25">
      <c r="B759" s="33" t="s">
        <v>292</v>
      </c>
      <c r="C759" s="33" t="s">
        <v>302</v>
      </c>
      <c r="D759" s="33" t="s">
        <v>10930</v>
      </c>
      <c r="E759" s="33" t="s">
        <v>302</v>
      </c>
      <c r="F759" s="33" t="s">
        <v>302</v>
      </c>
      <c r="G759" s="33" t="s">
        <v>593</v>
      </c>
    </row>
    <row r="760" spans="2:7" x14ac:dyDescent="0.25">
      <c r="B760" s="33" t="s">
        <v>292</v>
      </c>
      <c r="C760" s="33" t="s">
        <v>302</v>
      </c>
      <c r="D760" s="33" t="s">
        <v>10931</v>
      </c>
      <c r="E760" s="33" t="s">
        <v>302</v>
      </c>
      <c r="F760" s="33" t="s">
        <v>302</v>
      </c>
      <c r="G760" s="33" t="s">
        <v>1352</v>
      </c>
    </row>
    <row r="761" spans="2:7" x14ac:dyDescent="0.25">
      <c r="B761" s="33" t="s">
        <v>292</v>
      </c>
      <c r="C761" s="33" t="s">
        <v>302</v>
      </c>
      <c r="D761" s="33" t="s">
        <v>10932</v>
      </c>
      <c r="E761" s="33" t="s">
        <v>302</v>
      </c>
      <c r="F761" s="33" t="s">
        <v>302</v>
      </c>
      <c r="G761" s="33" t="s">
        <v>960</v>
      </c>
    </row>
    <row r="762" spans="2:7" x14ac:dyDescent="0.25">
      <c r="B762" s="33" t="s">
        <v>292</v>
      </c>
      <c r="C762" s="33" t="s">
        <v>302</v>
      </c>
      <c r="D762" s="33" t="s">
        <v>10933</v>
      </c>
      <c r="E762" s="33" t="s">
        <v>302</v>
      </c>
      <c r="F762" s="33" t="s">
        <v>302</v>
      </c>
      <c r="G762" s="33" t="s">
        <v>1105</v>
      </c>
    </row>
    <row r="763" spans="2:7" x14ac:dyDescent="0.25">
      <c r="B763" s="33" t="s">
        <v>292</v>
      </c>
      <c r="C763" s="33" t="s">
        <v>302</v>
      </c>
      <c r="D763" s="33" t="s">
        <v>10934</v>
      </c>
      <c r="E763" s="33" t="s">
        <v>302</v>
      </c>
      <c r="F763" s="33" t="s">
        <v>302</v>
      </c>
      <c r="G763" s="33" t="s">
        <v>1347</v>
      </c>
    </row>
    <row r="764" spans="2:7" x14ac:dyDescent="0.25">
      <c r="B764" s="33" t="s">
        <v>292</v>
      </c>
      <c r="C764" s="33" t="s">
        <v>302</v>
      </c>
      <c r="D764" s="33" t="s">
        <v>10935</v>
      </c>
      <c r="E764" s="33" t="s">
        <v>302</v>
      </c>
      <c r="F764" s="33" t="s">
        <v>302</v>
      </c>
      <c r="G764" s="33" t="s">
        <v>1110</v>
      </c>
    </row>
    <row r="765" spans="2:7" x14ac:dyDescent="0.25">
      <c r="B765" s="33" t="s">
        <v>292</v>
      </c>
      <c r="C765" s="33" t="s">
        <v>302</v>
      </c>
      <c r="D765" s="33" t="s">
        <v>10936</v>
      </c>
      <c r="E765" s="33" t="s">
        <v>302</v>
      </c>
      <c r="F765" s="33" t="s">
        <v>302</v>
      </c>
      <c r="G765" s="33" t="s">
        <v>647</v>
      </c>
    </row>
    <row r="766" spans="2:7" x14ac:dyDescent="0.25">
      <c r="B766" s="33" t="s">
        <v>292</v>
      </c>
      <c r="C766" s="33" t="s">
        <v>302</v>
      </c>
      <c r="D766" s="33" t="s">
        <v>10937</v>
      </c>
      <c r="E766" s="33" t="s">
        <v>302</v>
      </c>
      <c r="F766" s="33" t="s">
        <v>302</v>
      </c>
      <c r="G766" s="33" t="s">
        <v>1096</v>
      </c>
    </row>
    <row r="767" spans="2:7" x14ac:dyDescent="0.25">
      <c r="B767" s="33" t="s">
        <v>292</v>
      </c>
      <c r="C767" s="33" t="s">
        <v>302</v>
      </c>
      <c r="D767" s="33" t="s">
        <v>10938</v>
      </c>
      <c r="E767" s="33" t="s">
        <v>302</v>
      </c>
      <c r="F767" s="33" t="s">
        <v>302</v>
      </c>
      <c r="G767" s="33" t="s">
        <v>560</v>
      </c>
    </row>
    <row r="768" spans="2:7" x14ac:dyDescent="0.25">
      <c r="B768" s="33" t="s">
        <v>292</v>
      </c>
      <c r="C768" s="33" t="s">
        <v>302</v>
      </c>
      <c r="D768" s="33" t="s">
        <v>10939</v>
      </c>
      <c r="E768" s="33" t="s">
        <v>302</v>
      </c>
      <c r="F768" s="33" t="s">
        <v>302</v>
      </c>
      <c r="G768" s="33" t="s">
        <v>581</v>
      </c>
    </row>
    <row r="769" spans="2:7" x14ac:dyDescent="0.25">
      <c r="B769" s="33" t="s">
        <v>292</v>
      </c>
      <c r="C769" s="33" t="s">
        <v>302</v>
      </c>
      <c r="D769" s="33" t="s">
        <v>10940</v>
      </c>
      <c r="E769" s="33" t="s">
        <v>302</v>
      </c>
      <c r="F769" s="33" t="s">
        <v>302</v>
      </c>
      <c r="G769" s="33" t="s">
        <v>983</v>
      </c>
    </row>
    <row r="770" spans="2:7" x14ac:dyDescent="0.25">
      <c r="B770" s="33" t="s">
        <v>292</v>
      </c>
      <c r="C770" s="33" t="s">
        <v>302</v>
      </c>
      <c r="D770" s="33" t="s">
        <v>10941</v>
      </c>
      <c r="E770" s="33" t="s">
        <v>302</v>
      </c>
      <c r="F770" s="33" t="s">
        <v>302</v>
      </c>
      <c r="G770" s="33" t="s">
        <v>806</v>
      </c>
    </row>
    <row r="771" spans="2:7" x14ac:dyDescent="0.25">
      <c r="B771" s="33" t="s">
        <v>292</v>
      </c>
      <c r="C771" s="33" t="s">
        <v>302</v>
      </c>
      <c r="D771" s="33" t="s">
        <v>10942</v>
      </c>
      <c r="E771" s="33" t="s">
        <v>302</v>
      </c>
      <c r="F771" s="33" t="s">
        <v>302</v>
      </c>
      <c r="G771" s="33" t="s">
        <v>580</v>
      </c>
    </row>
    <row r="772" spans="2:7" x14ac:dyDescent="0.25">
      <c r="B772" s="33" t="s">
        <v>292</v>
      </c>
      <c r="C772" s="33" t="s">
        <v>302</v>
      </c>
      <c r="D772" s="33" t="s">
        <v>10943</v>
      </c>
      <c r="E772" s="33" t="s">
        <v>302</v>
      </c>
      <c r="F772" s="33" t="s">
        <v>302</v>
      </c>
      <c r="G772" s="33" t="s">
        <v>318</v>
      </c>
    </row>
    <row r="773" spans="2:7" x14ac:dyDescent="0.25">
      <c r="B773" s="33" t="s">
        <v>292</v>
      </c>
      <c r="C773" s="33" t="s">
        <v>302</v>
      </c>
      <c r="D773" s="33" t="s">
        <v>10944</v>
      </c>
      <c r="E773" s="33" t="s">
        <v>302</v>
      </c>
      <c r="F773" s="33" t="s">
        <v>302</v>
      </c>
      <c r="G773" s="33" t="s">
        <v>659</v>
      </c>
    </row>
    <row r="774" spans="2:7" x14ac:dyDescent="0.25">
      <c r="B774" s="33" t="s">
        <v>292</v>
      </c>
      <c r="C774" s="33" t="s">
        <v>302</v>
      </c>
      <c r="D774" s="33" t="s">
        <v>10945</v>
      </c>
      <c r="E774" s="33" t="s">
        <v>302</v>
      </c>
      <c r="F774" s="33" t="s">
        <v>302</v>
      </c>
      <c r="G774" s="33" t="s">
        <v>837</v>
      </c>
    </row>
    <row r="775" spans="2:7" x14ac:dyDescent="0.25">
      <c r="B775" s="33" t="s">
        <v>292</v>
      </c>
      <c r="C775" s="33" t="s">
        <v>302</v>
      </c>
      <c r="D775" s="33" t="s">
        <v>10946</v>
      </c>
      <c r="E775" s="33" t="s">
        <v>302</v>
      </c>
      <c r="F775" s="33" t="s">
        <v>302</v>
      </c>
      <c r="G775" s="33" t="s">
        <v>1067</v>
      </c>
    </row>
    <row r="776" spans="2:7" x14ac:dyDescent="0.25">
      <c r="B776" s="33" t="s">
        <v>292</v>
      </c>
      <c r="C776" s="33" t="s">
        <v>302</v>
      </c>
      <c r="D776" s="33" t="s">
        <v>10947</v>
      </c>
      <c r="E776" s="33" t="s">
        <v>302</v>
      </c>
      <c r="F776" s="33" t="s">
        <v>302</v>
      </c>
      <c r="G776" s="33" t="s">
        <v>420</v>
      </c>
    </row>
    <row r="777" spans="2:7" x14ac:dyDescent="0.25">
      <c r="B777" s="33" t="s">
        <v>292</v>
      </c>
      <c r="C777" s="33" t="s">
        <v>302</v>
      </c>
      <c r="D777" s="33" t="s">
        <v>10948</v>
      </c>
      <c r="E777" s="33" t="s">
        <v>302</v>
      </c>
      <c r="F777" s="33" t="s">
        <v>302</v>
      </c>
      <c r="G777" s="33" t="s">
        <v>1192</v>
      </c>
    </row>
    <row r="778" spans="2:7" x14ac:dyDescent="0.25">
      <c r="B778" s="33" t="s">
        <v>292</v>
      </c>
      <c r="C778" s="33" t="s">
        <v>302</v>
      </c>
      <c r="D778" s="33" t="s">
        <v>10949</v>
      </c>
      <c r="E778" s="33" t="s">
        <v>302</v>
      </c>
      <c r="F778" s="33" t="s">
        <v>302</v>
      </c>
      <c r="G778" s="33" t="s">
        <v>914</v>
      </c>
    </row>
    <row r="779" spans="2:7" x14ac:dyDescent="0.25">
      <c r="B779" s="33" t="s">
        <v>292</v>
      </c>
      <c r="C779" s="33" t="s">
        <v>302</v>
      </c>
      <c r="D779" s="33" t="s">
        <v>10950</v>
      </c>
      <c r="E779" s="33" t="s">
        <v>302</v>
      </c>
      <c r="F779" s="33" t="s">
        <v>302</v>
      </c>
      <c r="G779" s="33" t="s">
        <v>1360</v>
      </c>
    </row>
    <row r="780" spans="2:7" x14ac:dyDescent="0.25">
      <c r="B780" s="33" t="s">
        <v>292</v>
      </c>
      <c r="C780" s="33" t="s">
        <v>302</v>
      </c>
      <c r="D780" s="33" t="s">
        <v>10951</v>
      </c>
      <c r="E780" s="33" t="s">
        <v>302</v>
      </c>
      <c r="F780" s="33" t="s">
        <v>302</v>
      </c>
      <c r="G780" s="33" t="s">
        <v>906</v>
      </c>
    </row>
    <row r="781" spans="2:7" x14ac:dyDescent="0.25">
      <c r="B781" s="33" t="s">
        <v>292</v>
      </c>
      <c r="C781" s="33" t="s">
        <v>302</v>
      </c>
      <c r="D781" s="33" t="s">
        <v>10952</v>
      </c>
      <c r="E781" s="33" t="s">
        <v>302</v>
      </c>
      <c r="F781" s="33" t="s">
        <v>302</v>
      </c>
      <c r="G781" s="33" t="s">
        <v>637</v>
      </c>
    </row>
    <row r="782" spans="2:7" x14ac:dyDescent="0.25">
      <c r="B782" s="33" t="s">
        <v>292</v>
      </c>
      <c r="C782" s="33" t="s">
        <v>302</v>
      </c>
      <c r="D782" s="33" t="s">
        <v>10953</v>
      </c>
      <c r="E782" s="33" t="s">
        <v>302</v>
      </c>
      <c r="F782" s="33" t="s">
        <v>302</v>
      </c>
      <c r="G782" s="33" t="s">
        <v>444</v>
      </c>
    </row>
    <row r="783" spans="2:7" x14ac:dyDescent="0.25">
      <c r="B783" s="33" t="s">
        <v>292</v>
      </c>
      <c r="C783" s="33" t="s">
        <v>302</v>
      </c>
      <c r="D783" s="33" t="s">
        <v>10954</v>
      </c>
      <c r="E783" s="33" t="s">
        <v>302</v>
      </c>
      <c r="F783" s="33" t="s">
        <v>302</v>
      </c>
      <c r="G783" s="33" t="s">
        <v>1140</v>
      </c>
    </row>
    <row r="784" spans="2:7" x14ac:dyDescent="0.25">
      <c r="B784" s="33" t="s">
        <v>292</v>
      </c>
      <c r="C784" s="33" t="s">
        <v>302</v>
      </c>
      <c r="D784" s="33" t="s">
        <v>10955</v>
      </c>
      <c r="E784" s="33" t="s">
        <v>302</v>
      </c>
      <c r="F784" s="33" t="s">
        <v>302</v>
      </c>
      <c r="G784" s="33" t="s">
        <v>376</v>
      </c>
    </row>
    <row r="785" spans="2:7" x14ac:dyDescent="0.25">
      <c r="B785" s="33" t="s">
        <v>292</v>
      </c>
      <c r="C785" s="33" t="s">
        <v>302</v>
      </c>
      <c r="D785" s="33" t="s">
        <v>10956</v>
      </c>
      <c r="E785" s="33" t="s">
        <v>302</v>
      </c>
      <c r="F785" s="33" t="s">
        <v>302</v>
      </c>
      <c r="G785" s="33" t="s">
        <v>842</v>
      </c>
    </row>
    <row r="786" spans="2:7" x14ac:dyDescent="0.25">
      <c r="B786" s="33" t="s">
        <v>292</v>
      </c>
      <c r="C786" s="33" t="s">
        <v>302</v>
      </c>
      <c r="D786" s="33" t="s">
        <v>10957</v>
      </c>
      <c r="E786" s="33" t="s">
        <v>302</v>
      </c>
      <c r="F786" s="33" t="s">
        <v>302</v>
      </c>
      <c r="G786" s="33" t="s">
        <v>979</v>
      </c>
    </row>
    <row r="787" spans="2:7" x14ac:dyDescent="0.25">
      <c r="B787" s="33" t="s">
        <v>292</v>
      </c>
      <c r="C787" s="33" t="s">
        <v>302</v>
      </c>
      <c r="D787" s="33" t="s">
        <v>10958</v>
      </c>
      <c r="E787" s="33" t="s">
        <v>302</v>
      </c>
      <c r="F787" s="33" t="s">
        <v>302</v>
      </c>
      <c r="G787" s="33" t="s">
        <v>1103</v>
      </c>
    </row>
    <row r="788" spans="2:7" x14ac:dyDescent="0.25">
      <c r="B788" s="33" t="s">
        <v>292</v>
      </c>
      <c r="C788" s="33" t="s">
        <v>302</v>
      </c>
      <c r="D788" s="33" t="s">
        <v>10959</v>
      </c>
      <c r="E788" s="33" t="s">
        <v>302</v>
      </c>
      <c r="F788" s="33" t="s">
        <v>302</v>
      </c>
      <c r="G788" s="33" t="s">
        <v>589</v>
      </c>
    </row>
    <row r="789" spans="2:7" x14ac:dyDescent="0.25">
      <c r="B789" s="33" t="s">
        <v>292</v>
      </c>
      <c r="C789" s="33" t="s">
        <v>302</v>
      </c>
      <c r="D789" s="33" t="s">
        <v>10960</v>
      </c>
      <c r="E789" s="33" t="s">
        <v>302</v>
      </c>
      <c r="F789" s="33" t="s">
        <v>302</v>
      </c>
      <c r="G789" s="33" t="s">
        <v>553</v>
      </c>
    </row>
    <row r="790" spans="2:7" x14ac:dyDescent="0.25">
      <c r="B790" s="33" t="s">
        <v>292</v>
      </c>
      <c r="C790" s="33" t="s">
        <v>302</v>
      </c>
      <c r="D790" s="33" t="s">
        <v>10961</v>
      </c>
      <c r="E790" s="33" t="s">
        <v>302</v>
      </c>
      <c r="F790" s="33" t="s">
        <v>302</v>
      </c>
      <c r="G790" s="33" t="s">
        <v>1071</v>
      </c>
    </row>
    <row r="791" spans="2:7" x14ac:dyDescent="0.25">
      <c r="B791" s="33" t="s">
        <v>292</v>
      </c>
      <c r="C791" s="33" t="s">
        <v>302</v>
      </c>
      <c r="D791" s="33" t="s">
        <v>10962</v>
      </c>
      <c r="E791" s="33" t="s">
        <v>302</v>
      </c>
      <c r="F791" s="33" t="s">
        <v>302</v>
      </c>
      <c r="G791" s="33" t="s">
        <v>1029</v>
      </c>
    </row>
    <row r="792" spans="2:7" x14ac:dyDescent="0.25">
      <c r="B792" s="33" t="s">
        <v>292</v>
      </c>
      <c r="C792" s="33" t="s">
        <v>302</v>
      </c>
      <c r="D792" s="33" t="s">
        <v>10963</v>
      </c>
      <c r="E792" s="33" t="s">
        <v>302</v>
      </c>
      <c r="F792" s="33" t="s">
        <v>302</v>
      </c>
      <c r="G792" s="33" t="s">
        <v>1150</v>
      </c>
    </row>
    <row r="793" spans="2:7" x14ac:dyDescent="0.25">
      <c r="B793" s="33" t="s">
        <v>292</v>
      </c>
      <c r="C793" s="33" t="s">
        <v>302</v>
      </c>
      <c r="D793" s="33" t="s">
        <v>10964</v>
      </c>
      <c r="E793" s="33" t="s">
        <v>302</v>
      </c>
      <c r="F793" s="33" t="s">
        <v>302</v>
      </c>
      <c r="G793" s="33" t="s">
        <v>458</v>
      </c>
    </row>
    <row r="794" spans="2:7" x14ac:dyDescent="0.25">
      <c r="B794" s="33" t="s">
        <v>292</v>
      </c>
      <c r="C794" s="33" t="s">
        <v>302</v>
      </c>
      <c r="D794" s="33" t="s">
        <v>10965</v>
      </c>
      <c r="E794" s="33" t="s">
        <v>302</v>
      </c>
      <c r="F794" s="33" t="s">
        <v>302</v>
      </c>
      <c r="G794" s="33" t="s">
        <v>820</v>
      </c>
    </row>
    <row r="795" spans="2:7" x14ac:dyDescent="0.25">
      <c r="B795" s="33" t="s">
        <v>292</v>
      </c>
      <c r="C795" s="33" t="s">
        <v>302</v>
      </c>
      <c r="D795" s="33" t="s">
        <v>10966</v>
      </c>
      <c r="E795" s="33" t="s">
        <v>302</v>
      </c>
      <c r="F795" s="33" t="s">
        <v>302</v>
      </c>
      <c r="G795" s="33" t="s">
        <v>1118</v>
      </c>
    </row>
    <row r="796" spans="2:7" x14ac:dyDescent="0.25">
      <c r="B796" s="33" t="s">
        <v>292</v>
      </c>
      <c r="C796" s="33" t="s">
        <v>302</v>
      </c>
      <c r="D796" s="33" t="s">
        <v>10967</v>
      </c>
      <c r="E796" s="33" t="s">
        <v>302</v>
      </c>
      <c r="F796" s="33" t="s">
        <v>302</v>
      </c>
      <c r="G796" s="33" t="s">
        <v>781</v>
      </c>
    </row>
    <row r="797" spans="2:7" x14ac:dyDescent="0.25">
      <c r="B797" s="33" t="s">
        <v>292</v>
      </c>
      <c r="C797" s="33" t="s">
        <v>302</v>
      </c>
      <c r="D797" s="33" t="s">
        <v>10968</v>
      </c>
      <c r="E797" s="33" t="s">
        <v>302</v>
      </c>
      <c r="F797" s="33" t="s">
        <v>302</v>
      </c>
      <c r="G797" s="33" t="s">
        <v>567</v>
      </c>
    </row>
    <row r="798" spans="2:7" x14ac:dyDescent="0.25">
      <c r="B798" s="33" t="s">
        <v>292</v>
      </c>
      <c r="C798" s="33" t="s">
        <v>302</v>
      </c>
      <c r="D798" s="33" t="s">
        <v>10969</v>
      </c>
      <c r="E798" s="33" t="s">
        <v>302</v>
      </c>
      <c r="F798" s="33" t="s">
        <v>302</v>
      </c>
      <c r="G798" s="33" t="s">
        <v>844</v>
      </c>
    </row>
    <row r="799" spans="2:7" x14ac:dyDescent="0.25">
      <c r="B799" s="33" t="s">
        <v>292</v>
      </c>
      <c r="C799" s="33" t="s">
        <v>302</v>
      </c>
      <c r="D799" s="33" t="s">
        <v>10970</v>
      </c>
      <c r="E799" s="33" t="s">
        <v>302</v>
      </c>
      <c r="F799" s="33" t="s">
        <v>302</v>
      </c>
      <c r="G799" s="33" t="s">
        <v>1285</v>
      </c>
    </row>
    <row r="800" spans="2:7" x14ac:dyDescent="0.25">
      <c r="B800" s="33" t="s">
        <v>292</v>
      </c>
      <c r="C800" s="33" t="s">
        <v>302</v>
      </c>
      <c r="D800" s="33" t="s">
        <v>10971</v>
      </c>
      <c r="E800" s="33" t="s">
        <v>302</v>
      </c>
      <c r="F800" s="33" t="s">
        <v>302</v>
      </c>
      <c r="G800" s="33" t="s">
        <v>1130</v>
      </c>
    </row>
    <row r="801" spans="2:7" x14ac:dyDescent="0.25">
      <c r="B801" s="33" t="s">
        <v>292</v>
      </c>
      <c r="C801" s="33" t="s">
        <v>302</v>
      </c>
      <c r="D801" s="33" t="s">
        <v>10972</v>
      </c>
      <c r="E801" s="33" t="s">
        <v>302</v>
      </c>
      <c r="F801" s="33" t="s">
        <v>302</v>
      </c>
      <c r="G801" s="33" t="s">
        <v>1116</v>
      </c>
    </row>
    <row r="802" spans="2:7" x14ac:dyDescent="0.25">
      <c r="B802" s="33" t="s">
        <v>292</v>
      </c>
      <c r="C802" s="33" t="s">
        <v>302</v>
      </c>
      <c r="D802" s="33" t="s">
        <v>10973</v>
      </c>
      <c r="E802" s="33" t="s">
        <v>302</v>
      </c>
      <c r="F802" s="33" t="s">
        <v>302</v>
      </c>
      <c r="G802" s="33" t="s">
        <v>1032</v>
      </c>
    </row>
    <row r="803" spans="2:7" x14ac:dyDescent="0.25">
      <c r="B803" s="33" t="s">
        <v>292</v>
      </c>
      <c r="C803" s="33" t="s">
        <v>302</v>
      </c>
      <c r="D803" s="33" t="s">
        <v>10974</v>
      </c>
      <c r="E803" s="33" t="s">
        <v>302</v>
      </c>
      <c r="F803" s="33" t="s">
        <v>302</v>
      </c>
      <c r="G803" s="33" t="s">
        <v>789</v>
      </c>
    </row>
    <row r="804" spans="2:7" x14ac:dyDescent="0.25">
      <c r="B804" s="33" t="s">
        <v>292</v>
      </c>
      <c r="C804" s="33" t="s">
        <v>302</v>
      </c>
      <c r="D804" s="33" t="s">
        <v>10975</v>
      </c>
      <c r="E804" s="33" t="s">
        <v>302</v>
      </c>
      <c r="F804" s="33" t="s">
        <v>302</v>
      </c>
      <c r="G804" s="33" t="s">
        <v>347</v>
      </c>
    </row>
    <row r="805" spans="2:7" x14ac:dyDescent="0.25">
      <c r="B805" s="33" t="s">
        <v>292</v>
      </c>
      <c r="C805" s="33" t="s">
        <v>302</v>
      </c>
      <c r="D805" s="33" t="s">
        <v>10976</v>
      </c>
      <c r="E805" s="33" t="s">
        <v>302</v>
      </c>
      <c r="F805" s="33" t="s">
        <v>302</v>
      </c>
      <c r="G805" s="33" t="s">
        <v>561</v>
      </c>
    </row>
    <row r="806" spans="2:7" x14ac:dyDescent="0.25">
      <c r="B806" s="33" t="s">
        <v>292</v>
      </c>
      <c r="C806" s="33" t="s">
        <v>302</v>
      </c>
      <c r="D806" s="33" t="s">
        <v>10977</v>
      </c>
      <c r="E806" s="33" t="s">
        <v>302</v>
      </c>
      <c r="F806" s="33" t="s">
        <v>302</v>
      </c>
      <c r="G806" s="33" t="s">
        <v>467</v>
      </c>
    </row>
    <row r="807" spans="2:7" x14ac:dyDescent="0.25">
      <c r="B807" s="33" t="s">
        <v>292</v>
      </c>
      <c r="C807" s="33" t="s">
        <v>302</v>
      </c>
      <c r="D807" s="33" t="s">
        <v>10978</v>
      </c>
      <c r="E807" s="33" t="s">
        <v>302</v>
      </c>
      <c r="F807" s="33" t="s">
        <v>302</v>
      </c>
      <c r="G807" s="33" t="s">
        <v>664</v>
      </c>
    </row>
    <row r="808" spans="2:7" x14ac:dyDescent="0.25">
      <c r="B808" s="33" t="s">
        <v>292</v>
      </c>
      <c r="C808" s="33" t="s">
        <v>302</v>
      </c>
      <c r="D808" s="33" t="s">
        <v>10979</v>
      </c>
      <c r="E808" s="33" t="s">
        <v>302</v>
      </c>
      <c r="F808" s="33" t="s">
        <v>302</v>
      </c>
      <c r="G808" s="33" t="s">
        <v>1148</v>
      </c>
    </row>
    <row r="809" spans="2:7" x14ac:dyDescent="0.25">
      <c r="B809" s="33" t="s">
        <v>292</v>
      </c>
      <c r="C809" s="33" t="s">
        <v>302</v>
      </c>
      <c r="D809" s="33" t="s">
        <v>10980</v>
      </c>
      <c r="E809" s="33" t="s">
        <v>302</v>
      </c>
      <c r="F809" s="33" t="s">
        <v>302</v>
      </c>
      <c r="G809" s="33" t="s">
        <v>1031</v>
      </c>
    </row>
    <row r="810" spans="2:7" x14ac:dyDescent="0.25">
      <c r="B810" s="33" t="s">
        <v>292</v>
      </c>
      <c r="C810" s="33" t="s">
        <v>302</v>
      </c>
      <c r="D810" s="33" t="s">
        <v>10981</v>
      </c>
      <c r="E810" s="33" t="s">
        <v>302</v>
      </c>
      <c r="F810" s="33" t="s">
        <v>302</v>
      </c>
      <c r="G810" s="33" t="s">
        <v>1059</v>
      </c>
    </row>
    <row r="811" spans="2:7" x14ac:dyDescent="0.25">
      <c r="B811" s="33" t="s">
        <v>292</v>
      </c>
      <c r="C811" s="33" t="s">
        <v>302</v>
      </c>
      <c r="D811" s="33" t="s">
        <v>10982</v>
      </c>
      <c r="E811" s="33" t="s">
        <v>302</v>
      </c>
      <c r="F811" s="33" t="s">
        <v>302</v>
      </c>
      <c r="G811" s="33" t="s">
        <v>1372</v>
      </c>
    </row>
    <row r="812" spans="2:7" x14ac:dyDescent="0.25">
      <c r="B812" s="33" t="s">
        <v>292</v>
      </c>
      <c r="C812" s="33" t="s">
        <v>302</v>
      </c>
      <c r="D812" s="33" t="s">
        <v>10983</v>
      </c>
      <c r="E812" s="33" t="s">
        <v>302</v>
      </c>
      <c r="F812" s="33" t="s">
        <v>302</v>
      </c>
      <c r="G812" s="33" t="s">
        <v>517</v>
      </c>
    </row>
    <row r="813" spans="2:7" x14ac:dyDescent="0.25">
      <c r="B813" s="33" t="s">
        <v>292</v>
      </c>
      <c r="C813" s="33" t="s">
        <v>302</v>
      </c>
      <c r="D813" s="33" t="s">
        <v>10984</v>
      </c>
      <c r="E813" s="33" t="s">
        <v>302</v>
      </c>
      <c r="F813" s="33" t="s">
        <v>302</v>
      </c>
      <c r="G813" s="33" t="s">
        <v>1281</v>
      </c>
    </row>
    <row r="814" spans="2:7" x14ac:dyDescent="0.25">
      <c r="B814" s="33" t="s">
        <v>292</v>
      </c>
      <c r="C814" s="33" t="s">
        <v>302</v>
      </c>
      <c r="D814" s="33" t="s">
        <v>10985</v>
      </c>
      <c r="E814" s="33" t="s">
        <v>302</v>
      </c>
      <c r="F814" s="33" t="s">
        <v>302</v>
      </c>
      <c r="G814" s="33" t="s">
        <v>763</v>
      </c>
    </row>
    <row r="815" spans="2:7" x14ac:dyDescent="0.25">
      <c r="B815" s="33" t="s">
        <v>292</v>
      </c>
      <c r="C815" s="33" t="s">
        <v>302</v>
      </c>
      <c r="D815" s="33" t="s">
        <v>10986</v>
      </c>
      <c r="E815" s="33" t="s">
        <v>302</v>
      </c>
      <c r="F815" s="33" t="s">
        <v>302</v>
      </c>
      <c r="G815" s="33" t="s">
        <v>631</v>
      </c>
    </row>
    <row r="816" spans="2:7" x14ac:dyDescent="0.25">
      <c r="B816" s="33" t="s">
        <v>292</v>
      </c>
      <c r="C816" s="33" t="s">
        <v>302</v>
      </c>
      <c r="D816" s="33" t="s">
        <v>10987</v>
      </c>
      <c r="E816" s="33" t="s">
        <v>302</v>
      </c>
      <c r="F816" s="33" t="s">
        <v>302</v>
      </c>
      <c r="G816" s="33" t="s">
        <v>846</v>
      </c>
    </row>
    <row r="817" spans="2:7" x14ac:dyDescent="0.25">
      <c r="B817" s="33" t="s">
        <v>292</v>
      </c>
      <c r="C817" s="33" t="s">
        <v>302</v>
      </c>
      <c r="D817" s="33" t="s">
        <v>10988</v>
      </c>
      <c r="E817" s="33" t="s">
        <v>302</v>
      </c>
      <c r="F817" s="33" t="s">
        <v>302</v>
      </c>
      <c r="G817" s="33" t="s">
        <v>881</v>
      </c>
    </row>
    <row r="818" spans="2:7" x14ac:dyDescent="0.25">
      <c r="B818" s="33" t="s">
        <v>292</v>
      </c>
      <c r="C818" s="33" t="s">
        <v>302</v>
      </c>
      <c r="D818" s="33" t="s">
        <v>10989</v>
      </c>
      <c r="E818" s="33" t="s">
        <v>302</v>
      </c>
      <c r="F818" s="33" t="s">
        <v>302</v>
      </c>
      <c r="G818" s="33" t="s">
        <v>701</v>
      </c>
    </row>
    <row r="819" spans="2:7" x14ac:dyDescent="0.25">
      <c r="B819" s="33" t="s">
        <v>292</v>
      </c>
      <c r="C819" s="33" t="s">
        <v>302</v>
      </c>
      <c r="D819" s="33" t="s">
        <v>10990</v>
      </c>
      <c r="E819" s="33" t="s">
        <v>302</v>
      </c>
      <c r="F819" s="33" t="s">
        <v>302</v>
      </c>
      <c r="G819" s="33" t="s">
        <v>583</v>
      </c>
    </row>
    <row r="820" spans="2:7" x14ac:dyDescent="0.25">
      <c r="B820" s="33" t="s">
        <v>292</v>
      </c>
      <c r="C820" s="33" t="s">
        <v>302</v>
      </c>
      <c r="D820" s="33" t="s">
        <v>10991</v>
      </c>
      <c r="E820" s="33" t="s">
        <v>302</v>
      </c>
      <c r="F820" s="33" t="s">
        <v>302</v>
      </c>
      <c r="G820" s="33" t="s">
        <v>1338</v>
      </c>
    </row>
    <row r="821" spans="2:7" x14ac:dyDescent="0.25">
      <c r="B821" s="33" t="s">
        <v>292</v>
      </c>
      <c r="C821" s="33" t="s">
        <v>302</v>
      </c>
      <c r="D821" s="33" t="s">
        <v>10992</v>
      </c>
      <c r="E821" s="33" t="s">
        <v>302</v>
      </c>
      <c r="F821" s="33" t="s">
        <v>302</v>
      </c>
      <c r="G821" s="33" t="s">
        <v>571</v>
      </c>
    </row>
    <row r="822" spans="2:7" x14ac:dyDescent="0.25">
      <c r="B822" s="33" t="s">
        <v>292</v>
      </c>
      <c r="C822" s="33" t="s">
        <v>302</v>
      </c>
      <c r="D822" s="33" t="s">
        <v>10993</v>
      </c>
      <c r="E822" s="33" t="s">
        <v>302</v>
      </c>
      <c r="F822" s="33" t="s">
        <v>302</v>
      </c>
      <c r="G822" s="33" t="s">
        <v>1143</v>
      </c>
    </row>
    <row r="823" spans="2:7" x14ac:dyDescent="0.25">
      <c r="B823" s="33" t="s">
        <v>292</v>
      </c>
      <c r="C823" s="33" t="s">
        <v>302</v>
      </c>
      <c r="D823" s="33" t="s">
        <v>10994</v>
      </c>
      <c r="E823" s="33" t="s">
        <v>302</v>
      </c>
      <c r="F823" s="33" t="s">
        <v>302</v>
      </c>
      <c r="G823" s="33" t="s">
        <v>322</v>
      </c>
    </row>
    <row r="824" spans="2:7" x14ac:dyDescent="0.25">
      <c r="B824" s="33" t="s">
        <v>292</v>
      </c>
      <c r="C824" s="33" t="s">
        <v>302</v>
      </c>
      <c r="D824" s="33" t="s">
        <v>10995</v>
      </c>
      <c r="E824" s="33" t="s">
        <v>302</v>
      </c>
      <c r="F824" s="33" t="s">
        <v>302</v>
      </c>
      <c r="G824" s="33" t="s">
        <v>958</v>
      </c>
    </row>
    <row r="825" spans="2:7" x14ac:dyDescent="0.25">
      <c r="B825" s="33" t="s">
        <v>292</v>
      </c>
      <c r="C825" s="33" t="s">
        <v>302</v>
      </c>
      <c r="D825" s="33" t="s">
        <v>10996</v>
      </c>
      <c r="E825" s="33" t="s">
        <v>302</v>
      </c>
      <c r="F825" s="33" t="s">
        <v>302</v>
      </c>
      <c r="G825" s="33" t="s">
        <v>737</v>
      </c>
    </row>
    <row r="826" spans="2:7" x14ac:dyDescent="0.25">
      <c r="B826" s="33" t="s">
        <v>292</v>
      </c>
      <c r="C826" s="33" t="s">
        <v>302</v>
      </c>
      <c r="D826" s="33" t="s">
        <v>10997</v>
      </c>
      <c r="E826" s="33" t="s">
        <v>302</v>
      </c>
      <c r="F826" s="33" t="s">
        <v>302</v>
      </c>
      <c r="G826" s="33" t="s">
        <v>974</v>
      </c>
    </row>
    <row r="827" spans="2:7" x14ac:dyDescent="0.25">
      <c r="B827" s="33" t="s">
        <v>292</v>
      </c>
      <c r="C827" s="33" t="s">
        <v>302</v>
      </c>
      <c r="D827" s="33" t="s">
        <v>10998</v>
      </c>
      <c r="E827" s="33" t="s">
        <v>302</v>
      </c>
      <c r="F827" s="33" t="s">
        <v>302</v>
      </c>
      <c r="G827" s="33" t="s">
        <v>498</v>
      </c>
    </row>
    <row r="828" spans="2:7" x14ac:dyDescent="0.25">
      <c r="B828" s="33" t="s">
        <v>292</v>
      </c>
      <c r="C828" s="33" t="s">
        <v>302</v>
      </c>
      <c r="D828" s="33" t="s">
        <v>10999</v>
      </c>
      <c r="E828" s="33" t="s">
        <v>302</v>
      </c>
      <c r="F828" s="33" t="s">
        <v>302</v>
      </c>
      <c r="G828" s="33" t="s">
        <v>992</v>
      </c>
    </row>
    <row r="829" spans="2:7" x14ac:dyDescent="0.25">
      <c r="B829" s="33" t="s">
        <v>292</v>
      </c>
      <c r="C829" s="33" t="s">
        <v>302</v>
      </c>
      <c r="D829" s="33" t="s">
        <v>11000</v>
      </c>
      <c r="E829" s="33" t="s">
        <v>302</v>
      </c>
      <c r="F829" s="33" t="s">
        <v>302</v>
      </c>
      <c r="G829" s="33" t="s">
        <v>1020</v>
      </c>
    </row>
    <row r="830" spans="2:7" x14ac:dyDescent="0.25">
      <c r="B830" s="33" t="s">
        <v>292</v>
      </c>
      <c r="C830" s="33" t="s">
        <v>302</v>
      </c>
      <c r="D830" s="33" t="s">
        <v>11001</v>
      </c>
      <c r="E830" s="33" t="s">
        <v>302</v>
      </c>
      <c r="F830" s="33" t="s">
        <v>302</v>
      </c>
      <c r="G830" s="33" t="s">
        <v>507</v>
      </c>
    </row>
    <row r="831" spans="2:7" x14ac:dyDescent="0.25">
      <c r="B831" s="33" t="s">
        <v>292</v>
      </c>
      <c r="C831" s="33" t="s">
        <v>302</v>
      </c>
      <c r="D831" s="33" t="s">
        <v>11002</v>
      </c>
      <c r="E831" s="33" t="s">
        <v>302</v>
      </c>
      <c r="F831" s="33" t="s">
        <v>302</v>
      </c>
      <c r="G831" s="33" t="s">
        <v>301</v>
      </c>
    </row>
    <row r="832" spans="2:7" x14ac:dyDescent="0.25">
      <c r="B832" s="33" t="s">
        <v>292</v>
      </c>
      <c r="C832" s="33" t="s">
        <v>302</v>
      </c>
      <c r="D832" s="33" t="s">
        <v>11003</v>
      </c>
      <c r="E832" s="33" t="s">
        <v>302</v>
      </c>
      <c r="F832" s="33" t="s">
        <v>302</v>
      </c>
      <c r="G832" s="33" t="s">
        <v>732</v>
      </c>
    </row>
    <row r="833" spans="2:7" x14ac:dyDescent="0.25">
      <c r="B833" s="33" t="s">
        <v>292</v>
      </c>
      <c r="C833" s="33" t="s">
        <v>302</v>
      </c>
      <c r="D833" s="33" t="s">
        <v>11004</v>
      </c>
      <c r="E833" s="33" t="s">
        <v>302</v>
      </c>
      <c r="F833" s="33" t="s">
        <v>302</v>
      </c>
      <c r="G833" s="33" t="s">
        <v>1264</v>
      </c>
    </row>
    <row r="834" spans="2:7" x14ac:dyDescent="0.25">
      <c r="B834" s="33" t="s">
        <v>292</v>
      </c>
      <c r="C834" s="33" t="s">
        <v>302</v>
      </c>
      <c r="D834" s="33" t="s">
        <v>11005</v>
      </c>
      <c r="E834" s="33" t="s">
        <v>302</v>
      </c>
      <c r="F834" s="33" t="s">
        <v>302</v>
      </c>
      <c r="G834" s="33" t="s">
        <v>1242</v>
      </c>
    </row>
    <row r="835" spans="2:7" x14ac:dyDescent="0.25">
      <c r="B835" s="33" t="s">
        <v>292</v>
      </c>
      <c r="C835" s="33" t="s">
        <v>302</v>
      </c>
      <c r="D835" s="33" t="s">
        <v>11006</v>
      </c>
      <c r="E835" s="33" t="s">
        <v>302</v>
      </c>
      <c r="F835" s="33" t="s">
        <v>302</v>
      </c>
      <c r="G835" s="33" t="s">
        <v>639</v>
      </c>
    </row>
    <row r="836" spans="2:7" x14ac:dyDescent="0.25">
      <c r="B836" s="33" t="s">
        <v>292</v>
      </c>
      <c r="C836" s="33" t="s">
        <v>302</v>
      </c>
      <c r="D836" s="33" t="s">
        <v>11007</v>
      </c>
      <c r="E836" s="33" t="s">
        <v>302</v>
      </c>
      <c r="F836" s="33" t="s">
        <v>302</v>
      </c>
      <c r="G836" s="33" t="s">
        <v>401</v>
      </c>
    </row>
    <row r="837" spans="2:7" x14ac:dyDescent="0.25">
      <c r="B837" s="33" t="s">
        <v>292</v>
      </c>
      <c r="C837" s="33" t="s">
        <v>302</v>
      </c>
      <c r="D837" s="33" t="s">
        <v>11008</v>
      </c>
      <c r="E837" s="33" t="s">
        <v>302</v>
      </c>
      <c r="F837" s="33" t="s">
        <v>302</v>
      </c>
      <c r="G837" s="33" t="s">
        <v>1216</v>
      </c>
    </row>
    <row r="838" spans="2:7" x14ac:dyDescent="0.25">
      <c r="B838" s="33" t="s">
        <v>292</v>
      </c>
      <c r="C838" s="33" t="s">
        <v>302</v>
      </c>
      <c r="D838" s="33" t="s">
        <v>11009</v>
      </c>
      <c r="E838" s="33" t="s">
        <v>302</v>
      </c>
      <c r="F838" s="33" t="s">
        <v>302</v>
      </c>
      <c r="G838" s="33" t="s">
        <v>790</v>
      </c>
    </row>
    <row r="839" spans="2:7" x14ac:dyDescent="0.25">
      <c r="B839" s="33" t="s">
        <v>292</v>
      </c>
      <c r="C839" s="33" t="s">
        <v>302</v>
      </c>
      <c r="D839" s="33" t="s">
        <v>11010</v>
      </c>
      <c r="E839" s="33" t="s">
        <v>302</v>
      </c>
      <c r="F839" s="33" t="s">
        <v>302</v>
      </c>
      <c r="G839" s="33" t="s">
        <v>1043</v>
      </c>
    </row>
    <row r="840" spans="2:7" x14ac:dyDescent="0.25">
      <c r="B840" s="33" t="s">
        <v>292</v>
      </c>
      <c r="C840" s="33" t="s">
        <v>302</v>
      </c>
      <c r="D840" s="33" t="s">
        <v>11011</v>
      </c>
      <c r="E840" s="33" t="s">
        <v>302</v>
      </c>
      <c r="F840" s="33" t="s">
        <v>302</v>
      </c>
      <c r="G840" s="33" t="s">
        <v>817</v>
      </c>
    </row>
    <row r="841" spans="2:7" x14ac:dyDescent="0.25">
      <c r="B841" s="33" t="s">
        <v>292</v>
      </c>
      <c r="C841" s="33" t="s">
        <v>302</v>
      </c>
      <c r="D841" s="33" t="s">
        <v>11012</v>
      </c>
      <c r="E841" s="33" t="s">
        <v>302</v>
      </c>
      <c r="F841" s="33" t="s">
        <v>302</v>
      </c>
      <c r="G841" s="33" t="s">
        <v>344</v>
      </c>
    </row>
    <row r="842" spans="2:7" x14ac:dyDescent="0.25">
      <c r="B842" s="33" t="s">
        <v>292</v>
      </c>
      <c r="C842" s="33" t="s">
        <v>302</v>
      </c>
      <c r="D842" s="33" t="s">
        <v>11013</v>
      </c>
      <c r="E842" s="33" t="s">
        <v>302</v>
      </c>
      <c r="F842" s="33" t="s">
        <v>302</v>
      </c>
      <c r="G842" s="33" t="s">
        <v>623</v>
      </c>
    </row>
    <row r="843" spans="2:7" x14ac:dyDescent="0.25">
      <c r="B843" s="33" t="s">
        <v>292</v>
      </c>
      <c r="C843" s="33" t="s">
        <v>302</v>
      </c>
      <c r="D843" s="33" t="s">
        <v>11014</v>
      </c>
      <c r="E843" s="33" t="s">
        <v>302</v>
      </c>
      <c r="F843" s="33" t="s">
        <v>302</v>
      </c>
      <c r="G843" s="33" t="s">
        <v>377</v>
      </c>
    </row>
    <row r="844" spans="2:7" x14ac:dyDescent="0.25">
      <c r="B844" s="33" t="s">
        <v>293</v>
      </c>
      <c r="C844" s="33" t="s">
        <v>302</v>
      </c>
      <c r="D844" s="33" t="s">
        <v>1423</v>
      </c>
      <c r="E844" s="33" t="s">
        <v>302</v>
      </c>
      <c r="F844" s="33" t="s">
        <v>302</v>
      </c>
      <c r="G844" s="33" t="s">
        <v>268</v>
      </c>
    </row>
    <row r="845" spans="2:7" x14ac:dyDescent="0.25">
      <c r="B845" s="33" t="s">
        <v>294</v>
      </c>
      <c r="C845" s="33" t="s">
        <v>302</v>
      </c>
      <c r="D845" s="33" t="s">
        <v>1423</v>
      </c>
      <c r="E845" s="33" t="s">
        <v>302</v>
      </c>
      <c r="F845" s="33" t="s">
        <v>302</v>
      </c>
      <c r="G845" s="33" t="s">
        <v>268</v>
      </c>
    </row>
    <row r="846" spans="2:7" x14ac:dyDescent="0.25">
      <c r="B846" s="33" t="s">
        <v>292</v>
      </c>
      <c r="C846" s="33" t="s">
        <v>302</v>
      </c>
      <c r="D846" s="33" t="s">
        <v>11015</v>
      </c>
      <c r="E846" s="33" t="s">
        <v>302</v>
      </c>
      <c r="F846" s="33" t="s">
        <v>302</v>
      </c>
      <c r="G846" s="33" t="s">
        <v>1367</v>
      </c>
    </row>
    <row r="847" spans="2:7" x14ac:dyDescent="0.25">
      <c r="B847" s="33" t="s">
        <v>292</v>
      </c>
      <c r="C847" s="33" t="s">
        <v>302</v>
      </c>
      <c r="D847" s="33" t="s">
        <v>11016</v>
      </c>
      <c r="E847" s="33" t="s">
        <v>302</v>
      </c>
      <c r="F847" s="33" t="s">
        <v>302</v>
      </c>
      <c r="G847" s="33" t="s">
        <v>651</v>
      </c>
    </row>
    <row r="848" spans="2:7" x14ac:dyDescent="0.25">
      <c r="B848" s="33" t="s">
        <v>292</v>
      </c>
      <c r="C848" s="33" t="s">
        <v>302</v>
      </c>
      <c r="D848" s="33" t="s">
        <v>11017</v>
      </c>
      <c r="E848" s="33" t="s">
        <v>302</v>
      </c>
      <c r="F848" s="33" t="s">
        <v>302</v>
      </c>
      <c r="G848" s="33" t="s">
        <v>360</v>
      </c>
    </row>
    <row r="849" spans="2:7" x14ac:dyDescent="0.25">
      <c r="B849" s="33" t="s">
        <v>292</v>
      </c>
      <c r="C849" s="33" t="s">
        <v>302</v>
      </c>
      <c r="D849" s="33" t="s">
        <v>11018</v>
      </c>
      <c r="E849" s="33" t="s">
        <v>302</v>
      </c>
      <c r="F849" s="33" t="s">
        <v>302</v>
      </c>
      <c r="G849" s="33" t="s">
        <v>476</v>
      </c>
    </row>
    <row r="850" spans="2:7" x14ac:dyDescent="0.25">
      <c r="B850" s="33" t="s">
        <v>292</v>
      </c>
      <c r="C850" s="33" t="s">
        <v>302</v>
      </c>
      <c r="D850" s="33" t="s">
        <v>11019</v>
      </c>
      <c r="E850" s="33" t="s">
        <v>302</v>
      </c>
      <c r="F850" s="33" t="s">
        <v>302</v>
      </c>
      <c r="G850" s="33" t="s">
        <v>1322</v>
      </c>
    </row>
    <row r="851" spans="2:7" x14ac:dyDescent="0.25">
      <c r="B851" s="33" t="s">
        <v>292</v>
      </c>
      <c r="C851" s="33" t="s">
        <v>302</v>
      </c>
      <c r="D851" s="33" t="s">
        <v>11020</v>
      </c>
      <c r="E851" s="33" t="s">
        <v>302</v>
      </c>
      <c r="F851" s="33" t="s">
        <v>302</v>
      </c>
      <c r="G851" s="33" t="s">
        <v>1040</v>
      </c>
    </row>
    <row r="852" spans="2:7" x14ac:dyDescent="0.25">
      <c r="B852" s="33" t="s">
        <v>292</v>
      </c>
      <c r="C852" s="33" t="s">
        <v>302</v>
      </c>
      <c r="D852" s="33" t="s">
        <v>11021</v>
      </c>
      <c r="E852" s="33" t="s">
        <v>302</v>
      </c>
      <c r="F852" s="33" t="s">
        <v>302</v>
      </c>
      <c r="G852" s="33" t="s">
        <v>1310</v>
      </c>
    </row>
    <row r="853" spans="2:7" x14ac:dyDescent="0.25">
      <c r="B853" s="33" t="s">
        <v>292</v>
      </c>
      <c r="C853" s="33" t="s">
        <v>302</v>
      </c>
      <c r="D853" s="33" t="s">
        <v>11022</v>
      </c>
      <c r="E853" s="33" t="s">
        <v>302</v>
      </c>
      <c r="F853" s="33" t="s">
        <v>302</v>
      </c>
      <c r="G853" s="33" t="s">
        <v>1097</v>
      </c>
    </row>
    <row r="854" spans="2:7" x14ac:dyDescent="0.25">
      <c r="B854" s="33" t="s">
        <v>292</v>
      </c>
      <c r="C854" s="33" t="s">
        <v>302</v>
      </c>
      <c r="D854" s="33" t="s">
        <v>11023</v>
      </c>
      <c r="E854" s="33" t="s">
        <v>302</v>
      </c>
      <c r="F854" s="33" t="s">
        <v>302</v>
      </c>
      <c r="G854" s="33" t="s">
        <v>932</v>
      </c>
    </row>
    <row r="855" spans="2:7" x14ac:dyDescent="0.25">
      <c r="B855" s="33" t="s">
        <v>292</v>
      </c>
      <c r="C855" s="33" t="s">
        <v>302</v>
      </c>
      <c r="D855" s="33" t="s">
        <v>11024</v>
      </c>
      <c r="E855" s="33" t="s">
        <v>302</v>
      </c>
      <c r="F855" s="33" t="s">
        <v>302</v>
      </c>
      <c r="G855" s="33" t="s">
        <v>1013</v>
      </c>
    </row>
    <row r="856" spans="2:7" x14ac:dyDescent="0.25">
      <c r="B856" s="33" t="s">
        <v>292</v>
      </c>
      <c r="C856" s="33" t="s">
        <v>302</v>
      </c>
      <c r="D856" s="33" t="s">
        <v>11025</v>
      </c>
      <c r="E856" s="33" t="s">
        <v>302</v>
      </c>
      <c r="F856" s="33" t="s">
        <v>302</v>
      </c>
      <c r="G856" s="33" t="s">
        <v>615</v>
      </c>
    </row>
    <row r="857" spans="2:7" x14ac:dyDescent="0.25">
      <c r="B857" s="33" t="s">
        <v>292</v>
      </c>
      <c r="C857" s="33" t="s">
        <v>302</v>
      </c>
      <c r="D857" s="33" t="s">
        <v>11026</v>
      </c>
      <c r="E857" s="33" t="s">
        <v>302</v>
      </c>
      <c r="F857" s="33" t="s">
        <v>302</v>
      </c>
      <c r="G857" s="33" t="s">
        <v>1313</v>
      </c>
    </row>
    <row r="858" spans="2:7" x14ac:dyDescent="0.25">
      <c r="B858" s="33" t="s">
        <v>292</v>
      </c>
      <c r="C858" s="33" t="s">
        <v>302</v>
      </c>
      <c r="D858" s="33" t="s">
        <v>11027</v>
      </c>
      <c r="E858" s="33" t="s">
        <v>302</v>
      </c>
      <c r="F858" s="33" t="s">
        <v>302</v>
      </c>
      <c r="G858" s="33" t="s">
        <v>1138</v>
      </c>
    </row>
    <row r="859" spans="2:7" x14ac:dyDescent="0.25">
      <c r="B859" s="33" t="s">
        <v>292</v>
      </c>
      <c r="C859" s="33" t="s">
        <v>302</v>
      </c>
      <c r="D859" s="33" t="s">
        <v>11028</v>
      </c>
      <c r="E859" s="33" t="s">
        <v>302</v>
      </c>
      <c r="F859" s="33" t="s">
        <v>302</v>
      </c>
      <c r="G859" s="33" t="s">
        <v>475</v>
      </c>
    </row>
    <row r="860" spans="2:7" x14ac:dyDescent="0.25">
      <c r="B860" s="33" t="s">
        <v>292</v>
      </c>
      <c r="C860" s="33" t="s">
        <v>302</v>
      </c>
      <c r="D860" s="33" t="s">
        <v>11029</v>
      </c>
      <c r="E860" s="33" t="s">
        <v>302</v>
      </c>
      <c r="F860" s="33" t="s">
        <v>302</v>
      </c>
      <c r="G860" s="33" t="s">
        <v>627</v>
      </c>
    </row>
    <row r="861" spans="2:7" x14ac:dyDescent="0.25">
      <c r="B861" s="33" t="s">
        <v>292</v>
      </c>
      <c r="C861" s="33" t="s">
        <v>302</v>
      </c>
      <c r="D861" s="33" t="s">
        <v>11030</v>
      </c>
      <c r="E861" s="33" t="s">
        <v>302</v>
      </c>
      <c r="F861" s="33" t="s">
        <v>302</v>
      </c>
      <c r="G861" s="33" t="s">
        <v>1250</v>
      </c>
    </row>
    <row r="862" spans="2:7" x14ac:dyDescent="0.25">
      <c r="B862" s="33" t="s">
        <v>292</v>
      </c>
      <c r="C862" s="33" t="s">
        <v>302</v>
      </c>
      <c r="D862" s="33" t="s">
        <v>11031</v>
      </c>
      <c r="E862" s="33" t="s">
        <v>302</v>
      </c>
      <c r="F862" s="33" t="s">
        <v>302</v>
      </c>
      <c r="G862" s="33" t="s">
        <v>331</v>
      </c>
    </row>
    <row r="863" spans="2:7" x14ac:dyDescent="0.25">
      <c r="B863" s="33" t="s">
        <v>292</v>
      </c>
      <c r="C863" s="33" t="s">
        <v>302</v>
      </c>
      <c r="D863" s="33" t="s">
        <v>11032</v>
      </c>
      <c r="E863" s="33" t="s">
        <v>302</v>
      </c>
      <c r="F863" s="33" t="s">
        <v>302</v>
      </c>
      <c r="G863" s="33" t="s">
        <v>663</v>
      </c>
    </row>
    <row r="864" spans="2:7" x14ac:dyDescent="0.25">
      <c r="B864" s="33" t="s">
        <v>292</v>
      </c>
      <c r="C864" s="33" t="s">
        <v>302</v>
      </c>
      <c r="D864" s="33" t="s">
        <v>11033</v>
      </c>
      <c r="E864" s="33" t="s">
        <v>302</v>
      </c>
      <c r="F864" s="33" t="s">
        <v>302</v>
      </c>
      <c r="G864" s="33" t="s">
        <v>1149</v>
      </c>
    </row>
    <row r="865" spans="2:7" x14ac:dyDescent="0.25">
      <c r="B865" s="33" t="s">
        <v>292</v>
      </c>
      <c r="C865" s="33" t="s">
        <v>302</v>
      </c>
      <c r="D865" s="33" t="s">
        <v>11034</v>
      </c>
      <c r="E865" s="33" t="s">
        <v>302</v>
      </c>
      <c r="F865" s="33" t="s">
        <v>302</v>
      </c>
      <c r="G865" s="33" t="s">
        <v>784</v>
      </c>
    </row>
    <row r="866" spans="2:7" x14ac:dyDescent="0.25">
      <c r="B866" s="33" t="s">
        <v>292</v>
      </c>
      <c r="C866" s="33" t="s">
        <v>302</v>
      </c>
      <c r="D866" s="33" t="s">
        <v>11035</v>
      </c>
      <c r="E866" s="33" t="s">
        <v>302</v>
      </c>
      <c r="F866" s="33" t="s">
        <v>302</v>
      </c>
      <c r="G866" s="33" t="s">
        <v>351</v>
      </c>
    </row>
    <row r="867" spans="2:7" x14ac:dyDescent="0.25">
      <c r="B867" s="33" t="s">
        <v>292</v>
      </c>
      <c r="C867" s="33" t="s">
        <v>302</v>
      </c>
      <c r="D867" s="33" t="s">
        <v>11036</v>
      </c>
      <c r="E867" s="33" t="s">
        <v>302</v>
      </c>
      <c r="F867" s="33" t="s">
        <v>302</v>
      </c>
      <c r="G867" s="33" t="s">
        <v>1045</v>
      </c>
    </row>
    <row r="868" spans="2:7" x14ac:dyDescent="0.25">
      <c r="B868" s="33" t="s">
        <v>292</v>
      </c>
      <c r="C868" s="33" t="s">
        <v>302</v>
      </c>
      <c r="D868" s="33" t="s">
        <v>11037</v>
      </c>
      <c r="E868" s="33" t="s">
        <v>302</v>
      </c>
      <c r="F868" s="33" t="s">
        <v>302</v>
      </c>
      <c r="G868" s="33" t="s">
        <v>816</v>
      </c>
    </row>
    <row r="869" spans="2:7" x14ac:dyDescent="0.25">
      <c r="B869" s="33" t="s">
        <v>293</v>
      </c>
      <c r="C869" s="33" t="s">
        <v>302</v>
      </c>
      <c r="D869" s="33" t="s">
        <v>1383</v>
      </c>
      <c r="E869" s="33" t="s">
        <v>302</v>
      </c>
      <c r="F869" s="33" t="s">
        <v>302</v>
      </c>
      <c r="G869" s="33" t="s">
        <v>289</v>
      </c>
    </row>
    <row r="870" spans="2:7" x14ac:dyDescent="0.25">
      <c r="B870" s="33" t="s">
        <v>294</v>
      </c>
      <c r="C870" s="33" t="s">
        <v>302</v>
      </c>
      <c r="D870" s="33" t="s">
        <v>1383</v>
      </c>
      <c r="E870" s="33" t="s">
        <v>302</v>
      </c>
      <c r="F870" s="33" t="s">
        <v>302</v>
      </c>
      <c r="G870" s="33" t="s">
        <v>289</v>
      </c>
    </row>
    <row r="871" spans="2:7" x14ac:dyDescent="0.25">
      <c r="B871" s="33" t="s">
        <v>292</v>
      </c>
      <c r="C871" s="33" t="s">
        <v>302</v>
      </c>
      <c r="D871" s="33" t="s">
        <v>11038</v>
      </c>
      <c r="E871" s="33" t="s">
        <v>302</v>
      </c>
      <c r="F871" s="33" t="s">
        <v>302</v>
      </c>
      <c r="G871" s="33" t="s">
        <v>950</v>
      </c>
    </row>
    <row r="872" spans="2:7" x14ac:dyDescent="0.25">
      <c r="B872" s="33" t="s">
        <v>292</v>
      </c>
      <c r="C872" s="33" t="s">
        <v>302</v>
      </c>
      <c r="D872" s="33" t="s">
        <v>11039</v>
      </c>
      <c r="E872" s="33" t="s">
        <v>302</v>
      </c>
      <c r="F872" s="33" t="s">
        <v>302</v>
      </c>
      <c r="G872" s="33" t="s">
        <v>1353</v>
      </c>
    </row>
    <row r="873" spans="2:7" x14ac:dyDescent="0.25">
      <c r="B873" s="33" t="s">
        <v>292</v>
      </c>
      <c r="C873" s="33" t="s">
        <v>302</v>
      </c>
      <c r="D873" s="33" t="s">
        <v>11040</v>
      </c>
      <c r="E873" s="33" t="s">
        <v>302</v>
      </c>
      <c r="F873" s="33" t="s">
        <v>302</v>
      </c>
      <c r="G873" s="33" t="s">
        <v>537</v>
      </c>
    </row>
    <row r="874" spans="2:7" x14ac:dyDescent="0.25">
      <c r="B874" s="33" t="s">
        <v>292</v>
      </c>
      <c r="C874" s="33" t="s">
        <v>302</v>
      </c>
      <c r="D874" s="33" t="s">
        <v>11041</v>
      </c>
      <c r="E874" s="33" t="s">
        <v>302</v>
      </c>
      <c r="F874" s="33" t="s">
        <v>302</v>
      </c>
      <c r="G874" s="33" t="s">
        <v>516</v>
      </c>
    </row>
    <row r="875" spans="2:7" x14ac:dyDescent="0.25">
      <c r="B875" s="33" t="s">
        <v>292</v>
      </c>
      <c r="C875" s="33" t="s">
        <v>302</v>
      </c>
      <c r="D875" s="33" t="s">
        <v>11042</v>
      </c>
      <c r="E875" s="33" t="s">
        <v>302</v>
      </c>
      <c r="F875" s="33" t="s">
        <v>302</v>
      </c>
      <c r="G875" s="33" t="s">
        <v>955</v>
      </c>
    </row>
    <row r="876" spans="2:7" x14ac:dyDescent="0.25">
      <c r="B876" s="33" t="s">
        <v>292</v>
      </c>
      <c r="C876" s="33" t="s">
        <v>302</v>
      </c>
      <c r="D876" s="33" t="s">
        <v>11043</v>
      </c>
      <c r="E876" s="33" t="s">
        <v>302</v>
      </c>
      <c r="F876" s="33" t="s">
        <v>302</v>
      </c>
      <c r="G876" s="33" t="s">
        <v>315</v>
      </c>
    </row>
    <row r="877" spans="2:7" x14ac:dyDescent="0.25">
      <c r="B877" s="33" t="s">
        <v>292</v>
      </c>
      <c r="C877" s="33" t="s">
        <v>302</v>
      </c>
      <c r="D877" s="33" t="s">
        <v>11044</v>
      </c>
      <c r="E877" s="33" t="s">
        <v>302</v>
      </c>
      <c r="F877" s="33" t="s">
        <v>302</v>
      </c>
      <c r="G877" s="33" t="s">
        <v>1212</v>
      </c>
    </row>
    <row r="878" spans="2:7" x14ac:dyDescent="0.25">
      <c r="B878" s="33" t="s">
        <v>292</v>
      </c>
      <c r="C878" s="33" t="s">
        <v>302</v>
      </c>
      <c r="D878" s="33" t="s">
        <v>11045</v>
      </c>
      <c r="E878" s="33" t="s">
        <v>302</v>
      </c>
      <c r="F878" s="33" t="s">
        <v>302</v>
      </c>
      <c r="G878" s="33" t="s">
        <v>547</v>
      </c>
    </row>
    <row r="879" spans="2:7" x14ac:dyDescent="0.25">
      <c r="B879" s="33" t="s">
        <v>10188</v>
      </c>
      <c r="C879" s="33" t="s">
        <v>302</v>
      </c>
      <c r="D879" s="33" t="s">
        <v>11046</v>
      </c>
      <c r="E879" s="33" t="s">
        <v>302</v>
      </c>
      <c r="F879" s="33" t="s">
        <v>302</v>
      </c>
      <c r="G879" s="33" t="s">
        <v>11332</v>
      </c>
    </row>
    <row r="880" spans="2:7" x14ac:dyDescent="0.25">
      <c r="B880" s="33" t="s">
        <v>292</v>
      </c>
      <c r="C880" s="33" t="s">
        <v>302</v>
      </c>
      <c r="D880" s="33" t="s">
        <v>11047</v>
      </c>
      <c r="E880" s="33" t="s">
        <v>302</v>
      </c>
      <c r="F880" s="33" t="s">
        <v>302</v>
      </c>
      <c r="G880" s="33" t="s">
        <v>829</v>
      </c>
    </row>
    <row r="881" spans="2:7" x14ac:dyDescent="0.25">
      <c r="B881" s="33" t="s">
        <v>292</v>
      </c>
      <c r="C881" s="33" t="s">
        <v>302</v>
      </c>
      <c r="D881" s="33" t="s">
        <v>11048</v>
      </c>
      <c r="E881" s="33" t="s">
        <v>302</v>
      </c>
      <c r="F881" s="33" t="s">
        <v>302</v>
      </c>
      <c r="G881" s="33" t="s">
        <v>926</v>
      </c>
    </row>
    <row r="882" spans="2:7" x14ac:dyDescent="0.25">
      <c r="B882" s="33" t="s">
        <v>292</v>
      </c>
      <c r="C882" s="33" t="s">
        <v>302</v>
      </c>
      <c r="D882" s="33" t="s">
        <v>11049</v>
      </c>
      <c r="E882" s="33" t="s">
        <v>302</v>
      </c>
      <c r="F882" s="33" t="s">
        <v>302</v>
      </c>
      <c r="G882" s="33" t="s">
        <v>973</v>
      </c>
    </row>
    <row r="883" spans="2:7" x14ac:dyDescent="0.25">
      <c r="B883" s="33" t="s">
        <v>292</v>
      </c>
      <c r="C883" s="33" t="s">
        <v>302</v>
      </c>
      <c r="D883" s="33" t="s">
        <v>11050</v>
      </c>
      <c r="E883" s="33" t="s">
        <v>302</v>
      </c>
      <c r="F883" s="33" t="s">
        <v>302</v>
      </c>
      <c r="G883" s="33" t="s">
        <v>749</v>
      </c>
    </row>
    <row r="884" spans="2:7" x14ac:dyDescent="0.25">
      <c r="B884" s="33" t="s">
        <v>292</v>
      </c>
      <c r="C884" s="33" t="s">
        <v>302</v>
      </c>
      <c r="D884" s="33" t="s">
        <v>11051</v>
      </c>
      <c r="E884" s="33" t="s">
        <v>302</v>
      </c>
      <c r="F884" s="33" t="s">
        <v>302</v>
      </c>
      <c r="G884" s="33" t="s">
        <v>1198</v>
      </c>
    </row>
    <row r="885" spans="2:7" x14ac:dyDescent="0.25">
      <c r="B885" s="33" t="s">
        <v>292</v>
      </c>
      <c r="C885" s="33" t="s">
        <v>302</v>
      </c>
      <c r="D885" s="33" t="s">
        <v>11052</v>
      </c>
      <c r="E885" s="33" t="s">
        <v>302</v>
      </c>
      <c r="F885" s="33" t="s">
        <v>302</v>
      </c>
      <c r="G885" s="33" t="s">
        <v>691</v>
      </c>
    </row>
    <row r="886" spans="2:7" x14ac:dyDescent="0.25">
      <c r="B886" s="33" t="s">
        <v>292</v>
      </c>
      <c r="C886" s="33" t="s">
        <v>302</v>
      </c>
      <c r="D886" s="33" t="s">
        <v>11053</v>
      </c>
      <c r="E886" s="33" t="s">
        <v>302</v>
      </c>
      <c r="F886" s="33" t="s">
        <v>302</v>
      </c>
      <c r="G886" s="33" t="s">
        <v>905</v>
      </c>
    </row>
    <row r="887" spans="2:7" x14ac:dyDescent="0.25">
      <c r="B887" s="33" t="s">
        <v>292</v>
      </c>
      <c r="C887" s="33" t="s">
        <v>302</v>
      </c>
      <c r="D887" s="33" t="s">
        <v>11054</v>
      </c>
      <c r="E887" s="33" t="s">
        <v>302</v>
      </c>
      <c r="F887" s="33" t="s">
        <v>302</v>
      </c>
      <c r="G887" s="33" t="s">
        <v>848</v>
      </c>
    </row>
    <row r="888" spans="2:7" x14ac:dyDescent="0.25">
      <c r="B888" s="33" t="s">
        <v>292</v>
      </c>
      <c r="C888" s="33" t="s">
        <v>302</v>
      </c>
      <c r="D888" s="33" t="s">
        <v>11055</v>
      </c>
      <c r="E888" s="33" t="s">
        <v>302</v>
      </c>
      <c r="F888" s="33" t="s">
        <v>302</v>
      </c>
      <c r="G888" s="33" t="s">
        <v>591</v>
      </c>
    </row>
    <row r="889" spans="2:7" x14ac:dyDescent="0.25">
      <c r="B889" s="33" t="s">
        <v>292</v>
      </c>
      <c r="C889" s="33" t="s">
        <v>302</v>
      </c>
      <c r="D889" s="33" t="s">
        <v>11056</v>
      </c>
      <c r="E889" s="33" t="s">
        <v>302</v>
      </c>
      <c r="F889" s="33" t="s">
        <v>302</v>
      </c>
      <c r="G889" s="33" t="s">
        <v>743</v>
      </c>
    </row>
    <row r="890" spans="2:7" x14ac:dyDescent="0.25">
      <c r="B890" s="33" t="s">
        <v>292</v>
      </c>
      <c r="C890" s="33" t="s">
        <v>302</v>
      </c>
      <c r="D890" s="33" t="s">
        <v>11057</v>
      </c>
      <c r="E890" s="33" t="s">
        <v>302</v>
      </c>
      <c r="F890" s="33" t="s">
        <v>302</v>
      </c>
      <c r="G890" s="33" t="s">
        <v>735</v>
      </c>
    </row>
    <row r="891" spans="2:7" x14ac:dyDescent="0.25">
      <c r="B891" s="33" t="s">
        <v>292</v>
      </c>
      <c r="C891" s="33" t="s">
        <v>302</v>
      </c>
      <c r="D891" s="33" t="s">
        <v>11058</v>
      </c>
      <c r="E891" s="33" t="s">
        <v>302</v>
      </c>
      <c r="F891" s="33" t="s">
        <v>302</v>
      </c>
      <c r="G891" s="33" t="s">
        <v>1053</v>
      </c>
    </row>
    <row r="892" spans="2:7" x14ac:dyDescent="0.25">
      <c r="B892" s="33" t="s">
        <v>292</v>
      </c>
      <c r="C892" s="33" t="s">
        <v>302</v>
      </c>
      <c r="D892" s="33" t="s">
        <v>11059</v>
      </c>
      <c r="E892" s="33" t="s">
        <v>302</v>
      </c>
      <c r="F892" s="33" t="s">
        <v>302</v>
      </c>
      <c r="G892" s="33" t="s">
        <v>442</v>
      </c>
    </row>
    <row r="893" spans="2:7" x14ac:dyDescent="0.25">
      <c r="B893" s="33" t="s">
        <v>292</v>
      </c>
      <c r="C893" s="33" t="s">
        <v>302</v>
      </c>
      <c r="D893" s="33" t="s">
        <v>11060</v>
      </c>
      <c r="E893" s="33" t="s">
        <v>302</v>
      </c>
      <c r="F893" s="33" t="s">
        <v>302</v>
      </c>
      <c r="G893" s="33" t="s">
        <v>374</v>
      </c>
    </row>
    <row r="894" spans="2:7" x14ac:dyDescent="0.25">
      <c r="B894" s="33" t="s">
        <v>292</v>
      </c>
      <c r="C894" s="33" t="s">
        <v>302</v>
      </c>
      <c r="D894" s="33" t="s">
        <v>11061</v>
      </c>
      <c r="E894" s="33" t="s">
        <v>302</v>
      </c>
      <c r="F894" s="33" t="s">
        <v>302</v>
      </c>
      <c r="G894" s="33" t="s">
        <v>1093</v>
      </c>
    </row>
    <row r="895" spans="2:7" x14ac:dyDescent="0.25">
      <c r="B895" s="33" t="s">
        <v>292</v>
      </c>
      <c r="C895" s="33" t="s">
        <v>302</v>
      </c>
      <c r="D895" s="33" t="s">
        <v>11062</v>
      </c>
      <c r="E895" s="33" t="s">
        <v>302</v>
      </c>
      <c r="F895" s="33" t="s">
        <v>302</v>
      </c>
      <c r="G895" s="33" t="s">
        <v>1131</v>
      </c>
    </row>
    <row r="896" spans="2:7" x14ac:dyDescent="0.25">
      <c r="B896" s="33" t="s">
        <v>292</v>
      </c>
      <c r="C896" s="33" t="s">
        <v>302</v>
      </c>
      <c r="D896" s="33" t="s">
        <v>11063</v>
      </c>
      <c r="E896" s="33" t="s">
        <v>302</v>
      </c>
      <c r="F896" s="33" t="s">
        <v>302</v>
      </c>
      <c r="G896" s="33" t="s">
        <v>871</v>
      </c>
    </row>
    <row r="897" spans="2:7" x14ac:dyDescent="0.25">
      <c r="B897" s="33" t="s">
        <v>292</v>
      </c>
      <c r="C897" s="33" t="s">
        <v>302</v>
      </c>
      <c r="D897" s="33" t="s">
        <v>11064</v>
      </c>
      <c r="E897" s="33" t="s">
        <v>302</v>
      </c>
      <c r="F897" s="33" t="s">
        <v>302</v>
      </c>
      <c r="G897" s="33" t="s">
        <v>599</v>
      </c>
    </row>
    <row r="898" spans="2:7" x14ac:dyDescent="0.25">
      <c r="B898" s="33" t="s">
        <v>292</v>
      </c>
      <c r="C898" s="33" t="s">
        <v>302</v>
      </c>
      <c r="D898" s="33" t="s">
        <v>11065</v>
      </c>
      <c r="E898" s="33" t="s">
        <v>302</v>
      </c>
      <c r="F898" s="33" t="s">
        <v>302</v>
      </c>
      <c r="G898" s="33" t="s">
        <v>329</v>
      </c>
    </row>
    <row r="899" spans="2:7" x14ac:dyDescent="0.25">
      <c r="B899" s="33" t="s">
        <v>292</v>
      </c>
      <c r="C899" s="33" t="s">
        <v>302</v>
      </c>
      <c r="D899" s="33" t="s">
        <v>11066</v>
      </c>
      <c r="E899" s="33" t="s">
        <v>302</v>
      </c>
      <c r="F899" s="33" t="s">
        <v>302</v>
      </c>
      <c r="G899" s="33" t="s">
        <v>447</v>
      </c>
    </row>
    <row r="900" spans="2:7" x14ac:dyDescent="0.25">
      <c r="B900" s="33" t="s">
        <v>292</v>
      </c>
      <c r="C900" s="33" t="s">
        <v>302</v>
      </c>
      <c r="D900" s="33" t="s">
        <v>11067</v>
      </c>
      <c r="E900" s="33" t="s">
        <v>302</v>
      </c>
      <c r="F900" s="33" t="s">
        <v>302</v>
      </c>
      <c r="G900" s="33" t="s">
        <v>867</v>
      </c>
    </row>
    <row r="901" spans="2:7" x14ac:dyDescent="0.25">
      <c r="B901" s="33" t="s">
        <v>292</v>
      </c>
      <c r="C901" s="33" t="s">
        <v>302</v>
      </c>
      <c r="D901" s="33" t="s">
        <v>11068</v>
      </c>
      <c r="E901" s="33" t="s">
        <v>302</v>
      </c>
      <c r="F901" s="33" t="s">
        <v>302</v>
      </c>
      <c r="G901" s="33" t="s">
        <v>346</v>
      </c>
    </row>
    <row r="902" spans="2:7" x14ac:dyDescent="0.25">
      <c r="B902" s="33" t="s">
        <v>292</v>
      </c>
      <c r="C902" s="33" t="s">
        <v>302</v>
      </c>
      <c r="D902" s="33" t="s">
        <v>11069</v>
      </c>
      <c r="E902" s="33" t="s">
        <v>302</v>
      </c>
      <c r="F902" s="33" t="s">
        <v>302</v>
      </c>
      <c r="G902" s="33" t="s">
        <v>919</v>
      </c>
    </row>
    <row r="903" spans="2:7" x14ac:dyDescent="0.25">
      <c r="B903" s="33" t="s">
        <v>292</v>
      </c>
      <c r="C903" s="33" t="s">
        <v>302</v>
      </c>
      <c r="D903" s="33" t="s">
        <v>11070</v>
      </c>
      <c r="E903" s="33" t="s">
        <v>302</v>
      </c>
      <c r="F903" s="33" t="s">
        <v>302</v>
      </c>
      <c r="G903" s="33" t="s">
        <v>899</v>
      </c>
    </row>
    <row r="904" spans="2:7" x14ac:dyDescent="0.25">
      <c r="B904" s="33" t="s">
        <v>292</v>
      </c>
      <c r="C904" s="33" t="s">
        <v>302</v>
      </c>
      <c r="D904" s="33" t="s">
        <v>11071</v>
      </c>
      <c r="E904" s="33" t="s">
        <v>302</v>
      </c>
      <c r="F904" s="33" t="s">
        <v>302</v>
      </c>
      <c r="G904" s="33" t="s">
        <v>915</v>
      </c>
    </row>
    <row r="905" spans="2:7" x14ac:dyDescent="0.25">
      <c r="B905" s="33" t="s">
        <v>292</v>
      </c>
      <c r="C905" s="33" t="s">
        <v>302</v>
      </c>
      <c r="D905" s="33" t="s">
        <v>11072</v>
      </c>
      <c r="E905" s="33" t="s">
        <v>302</v>
      </c>
      <c r="F905" s="33" t="s">
        <v>302</v>
      </c>
      <c r="G905" s="33" t="s">
        <v>1042</v>
      </c>
    </row>
    <row r="906" spans="2:7" x14ac:dyDescent="0.25">
      <c r="B906" s="33" t="s">
        <v>292</v>
      </c>
      <c r="C906" s="33" t="s">
        <v>302</v>
      </c>
      <c r="D906" s="33" t="s">
        <v>11073</v>
      </c>
      <c r="E906" s="33" t="s">
        <v>302</v>
      </c>
      <c r="F906" s="33" t="s">
        <v>302</v>
      </c>
      <c r="G906" s="33" t="s">
        <v>1259</v>
      </c>
    </row>
    <row r="907" spans="2:7" x14ac:dyDescent="0.25">
      <c r="B907" s="33" t="s">
        <v>292</v>
      </c>
      <c r="C907" s="33" t="s">
        <v>302</v>
      </c>
      <c r="D907" s="33" t="s">
        <v>11074</v>
      </c>
      <c r="E907" s="33" t="s">
        <v>302</v>
      </c>
      <c r="F907" s="33" t="s">
        <v>302</v>
      </c>
      <c r="G907" s="33" t="s">
        <v>397</v>
      </c>
    </row>
    <row r="908" spans="2:7" x14ac:dyDescent="0.25">
      <c r="B908" s="33" t="s">
        <v>292</v>
      </c>
      <c r="C908" s="33" t="s">
        <v>302</v>
      </c>
      <c r="D908" s="33" t="s">
        <v>11075</v>
      </c>
      <c r="E908" s="33" t="s">
        <v>302</v>
      </c>
      <c r="F908" s="33" t="s">
        <v>302</v>
      </c>
      <c r="G908" s="33" t="s">
        <v>373</v>
      </c>
    </row>
    <row r="909" spans="2:7" x14ac:dyDescent="0.25">
      <c r="B909" s="33" t="s">
        <v>292</v>
      </c>
      <c r="C909" s="33" t="s">
        <v>302</v>
      </c>
      <c r="D909" s="33" t="s">
        <v>11076</v>
      </c>
      <c r="E909" s="33" t="s">
        <v>302</v>
      </c>
      <c r="F909" s="33" t="s">
        <v>302</v>
      </c>
      <c r="G909" s="33" t="s">
        <v>629</v>
      </c>
    </row>
    <row r="910" spans="2:7" x14ac:dyDescent="0.25">
      <c r="B910" s="33" t="s">
        <v>292</v>
      </c>
      <c r="C910" s="33" t="s">
        <v>302</v>
      </c>
      <c r="D910" s="33" t="s">
        <v>11077</v>
      </c>
      <c r="E910" s="33" t="s">
        <v>302</v>
      </c>
      <c r="F910" s="33" t="s">
        <v>302</v>
      </c>
      <c r="G910" s="33" t="s">
        <v>1351</v>
      </c>
    </row>
    <row r="911" spans="2:7" x14ac:dyDescent="0.25">
      <c r="B911" s="33" t="s">
        <v>292</v>
      </c>
      <c r="C911" s="33" t="s">
        <v>302</v>
      </c>
      <c r="D911" s="33" t="s">
        <v>11078</v>
      </c>
      <c r="E911" s="33" t="s">
        <v>302</v>
      </c>
      <c r="F911" s="33" t="s">
        <v>302</v>
      </c>
      <c r="G911" s="33" t="s">
        <v>870</v>
      </c>
    </row>
    <row r="912" spans="2:7" x14ac:dyDescent="0.25">
      <c r="B912" s="33" t="s">
        <v>292</v>
      </c>
      <c r="C912" s="33" t="s">
        <v>302</v>
      </c>
      <c r="D912" s="33" t="s">
        <v>11079</v>
      </c>
      <c r="E912" s="33" t="s">
        <v>302</v>
      </c>
      <c r="F912" s="33" t="s">
        <v>302</v>
      </c>
      <c r="G912" s="33" t="s">
        <v>783</v>
      </c>
    </row>
    <row r="913" spans="2:7" x14ac:dyDescent="0.25">
      <c r="B913" s="33" t="s">
        <v>292</v>
      </c>
      <c r="C913" s="33" t="s">
        <v>302</v>
      </c>
      <c r="D913" s="33" t="s">
        <v>11080</v>
      </c>
      <c r="E913" s="33" t="s">
        <v>302</v>
      </c>
      <c r="F913" s="33" t="s">
        <v>302</v>
      </c>
      <c r="G913" s="33" t="s">
        <v>679</v>
      </c>
    </row>
    <row r="914" spans="2:7" x14ac:dyDescent="0.25">
      <c r="B914" s="33" t="s">
        <v>292</v>
      </c>
      <c r="C914" s="33" t="s">
        <v>302</v>
      </c>
      <c r="D914" s="33" t="s">
        <v>11081</v>
      </c>
      <c r="E914" s="33" t="s">
        <v>302</v>
      </c>
      <c r="F914" s="33" t="s">
        <v>302</v>
      </c>
      <c r="G914" s="33" t="s">
        <v>928</v>
      </c>
    </row>
    <row r="915" spans="2:7" x14ac:dyDescent="0.25">
      <c r="B915" s="33" t="s">
        <v>292</v>
      </c>
      <c r="C915" s="33" t="s">
        <v>302</v>
      </c>
      <c r="D915" s="33" t="s">
        <v>11082</v>
      </c>
      <c r="E915" s="33" t="s">
        <v>302</v>
      </c>
      <c r="F915" s="33" t="s">
        <v>302</v>
      </c>
      <c r="G915" s="33" t="s">
        <v>1319</v>
      </c>
    </row>
    <row r="916" spans="2:7" x14ac:dyDescent="0.25">
      <c r="B916" s="33" t="s">
        <v>292</v>
      </c>
      <c r="C916" s="33" t="s">
        <v>302</v>
      </c>
      <c r="D916" s="33" t="s">
        <v>11083</v>
      </c>
      <c r="E916" s="33" t="s">
        <v>302</v>
      </c>
      <c r="F916" s="33" t="s">
        <v>302</v>
      </c>
      <c r="G916" s="33" t="s">
        <v>971</v>
      </c>
    </row>
    <row r="917" spans="2:7" x14ac:dyDescent="0.25">
      <c r="B917" s="33" t="s">
        <v>292</v>
      </c>
      <c r="C917" s="33" t="s">
        <v>302</v>
      </c>
      <c r="D917" s="33" t="s">
        <v>11084</v>
      </c>
      <c r="E917" s="33" t="s">
        <v>302</v>
      </c>
      <c r="F917" s="33" t="s">
        <v>302</v>
      </c>
      <c r="G917" s="33" t="s">
        <v>772</v>
      </c>
    </row>
    <row r="918" spans="2:7" x14ac:dyDescent="0.25">
      <c r="B918" s="33" t="s">
        <v>292</v>
      </c>
      <c r="C918" s="33" t="s">
        <v>302</v>
      </c>
      <c r="D918" s="33" t="s">
        <v>11086</v>
      </c>
      <c r="E918" s="33" t="s">
        <v>302</v>
      </c>
      <c r="F918" s="33" t="s">
        <v>302</v>
      </c>
      <c r="G918" s="33" t="s">
        <v>528</v>
      </c>
    </row>
    <row r="919" spans="2:7" x14ac:dyDescent="0.25">
      <c r="B919" s="33" t="s">
        <v>292</v>
      </c>
      <c r="C919" s="33" t="s">
        <v>302</v>
      </c>
      <c r="D919" s="33" t="s">
        <v>11087</v>
      </c>
      <c r="E919" s="33" t="s">
        <v>302</v>
      </c>
      <c r="F919" s="33" t="s">
        <v>302</v>
      </c>
      <c r="G919" s="33" t="s">
        <v>882</v>
      </c>
    </row>
    <row r="920" spans="2:7" x14ac:dyDescent="0.25">
      <c r="B920" s="33" t="s">
        <v>293</v>
      </c>
      <c r="C920" s="33" t="s">
        <v>302</v>
      </c>
      <c r="D920" s="33" t="s">
        <v>11088</v>
      </c>
      <c r="E920" s="33" t="s">
        <v>302</v>
      </c>
      <c r="F920" s="33" t="s">
        <v>302</v>
      </c>
      <c r="G920" s="33" t="s">
        <v>11333</v>
      </c>
    </row>
    <row r="921" spans="2:7" x14ac:dyDescent="0.25">
      <c r="B921" s="33" t="s">
        <v>292</v>
      </c>
      <c r="C921" s="33" t="s">
        <v>302</v>
      </c>
      <c r="D921" s="33" t="s">
        <v>11089</v>
      </c>
      <c r="E921" s="33" t="s">
        <v>302</v>
      </c>
      <c r="F921" s="33" t="s">
        <v>302</v>
      </c>
      <c r="G921" s="33" t="s">
        <v>972</v>
      </c>
    </row>
    <row r="922" spans="2:7" x14ac:dyDescent="0.25">
      <c r="B922" s="33" t="s">
        <v>292</v>
      </c>
      <c r="C922" s="33" t="s">
        <v>302</v>
      </c>
      <c r="D922" s="33" t="s">
        <v>11090</v>
      </c>
      <c r="E922" s="33" t="s">
        <v>302</v>
      </c>
      <c r="F922" s="33" t="s">
        <v>302</v>
      </c>
      <c r="G922" s="33" t="s">
        <v>912</v>
      </c>
    </row>
    <row r="923" spans="2:7" x14ac:dyDescent="0.25">
      <c r="B923" s="33" t="s">
        <v>292</v>
      </c>
      <c r="C923" s="33" t="s">
        <v>302</v>
      </c>
      <c r="D923" s="33" t="s">
        <v>11091</v>
      </c>
      <c r="E923" s="33" t="s">
        <v>302</v>
      </c>
      <c r="F923" s="33" t="s">
        <v>302</v>
      </c>
      <c r="G923" s="33" t="s">
        <v>474</v>
      </c>
    </row>
    <row r="924" spans="2:7" x14ac:dyDescent="0.25">
      <c r="B924" s="33" t="s">
        <v>292</v>
      </c>
      <c r="C924" s="33" t="s">
        <v>302</v>
      </c>
      <c r="D924" s="33" t="s">
        <v>11092</v>
      </c>
      <c r="E924" s="33" t="s">
        <v>302</v>
      </c>
      <c r="F924" s="33" t="s">
        <v>302</v>
      </c>
      <c r="G924" s="33" t="s">
        <v>1158</v>
      </c>
    </row>
    <row r="925" spans="2:7" x14ac:dyDescent="0.25">
      <c r="B925" s="33" t="s">
        <v>292</v>
      </c>
      <c r="C925" s="33" t="s">
        <v>302</v>
      </c>
      <c r="D925" s="33" t="s">
        <v>11093</v>
      </c>
      <c r="E925" s="33" t="s">
        <v>302</v>
      </c>
      <c r="F925" s="33" t="s">
        <v>302</v>
      </c>
      <c r="G925" s="33" t="s">
        <v>994</v>
      </c>
    </row>
    <row r="926" spans="2:7" x14ac:dyDescent="0.25">
      <c r="B926" s="33" t="s">
        <v>292</v>
      </c>
      <c r="C926" s="33" t="s">
        <v>302</v>
      </c>
      <c r="D926" s="33" t="s">
        <v>11094</v>
      </c>
      <c r="E926" s="33" t="s">
        <v>302</v>
      </c>
      <c r="F926" s="33" t="s">
        <v>302</v>
      </c>
      <c r="G926" s="33" t="s">
        <v>740</v>
      </c>
    </row>
    <row r="927" spans="2:7" x14ac:dyDescent="0.25">
      <c r="B927" s="33" t="s">
        <v>292</v>
      </c>
      <c r="C927" s="33" t="s">
        <v>302</v>
      </c>
      <c r="D927" s="33" t="s">
        <v>11095</v>
      </c>
      <c r="E927" s="33" t="s">
        <v>302</v>
      </c>
      <c r="F927" s="33" t="s">
        <v>302</v>
      </c>
      <c r="G927" s="33" t="s">
        <v>1098</v>
      </c>
    </row>
    <row r="928" spans="2:7" x14ac:dyDescent="0.25">
      <c r="B928" s="33" t="s">
        <v>292</v>
      </c>
      <c r="C928" s="33" t="s">
        <v>302</v>
      </c>
      <c r="D928" s="33" t="s">
        <v>11096</v>
      </c>
      <c r="E928" s="33" t="s">
        <v>302</v>
      </c>
      <c r="F928" s="33" t="s">
        <v>302</v>
      </c>
      <c r="G928" s="33" t="s">
        <v>661</v>
      </c>
    </row>
    <row r="929" spans="2:7" x14ac:dyDescent="0.25">
      <c r="B929" s="33" t="s">
        <v>292</v>
      </c>
      <c r="C929" s="33" t="s">
        <v>302</v>
      </c>
      <c r="D929" s="33" t="s">
        <v>11097</v>
      </c>
      <c r="E929" s="33" t="s">
        <v>302</v>
      </c>
      <c r="F929" s="33" t="s">
        <v>302</v>
      </c>
      <c r="G929" s="33" t="s">
        <v>309</v>
      </c>
    </row>
    <row r="930" spans="2:7" x14ac:dyDescent="0.25">
      <c r="B930" s="33" t="s">
        <v>292</v>
      </c>
      <c r="C930" s="33" t="s">
        <v>302</v>
      </c>
      <c r="D930" s="33" t="s">
        <v>11098</v>
      </c>
      <c r="E930" s="33" t="s">
        <v>302</v>
      </c>
      <c r="F930" s="33" t="s">
        <v>302</v>
      </c>
      <c r="G930" s="33" t="s">
        <v>948</v>
      </c>
    </row>
    <row r="931" spans="2:7" x14ac:dyDescent="0.25">
      <c r="B931" s="33" t="s">
        <v>292</v>
      </c>
      <c r="C931" s="33" t="s">
        <v>302</v>
      </c>
      <c r="D931" s="33" t="s">
        <v>11099</v>
      </c>
      <c r="E931" s="33" t="s">
        <v>302</v>
      </c>
      <c r="F931" s="33" t="s">
        <v>302</v>
      </c>
      <c r="G931" s="33" t="s">
        <v>1010</v>
      </c>
    </row>
    <row r="932" spans="2:7" x14ac:dyDescent="0.25">
      <c r="B932" s="33" t="s">
        <v>292</v>
      </c>
      <c r="C932" s="33" t="s">
        <v>302</v>
      </c>
      <c r="D932" s="33" t="s">
        <v>11100</v>
      </c>
      <c r="E932" s="33" t="s">
        <v>302</v>
      </c>
      <c r="F932" s="33" t="s">
        <v>302</v>
      </c>
      <c r="G932" s="33" t="s">
        <v>1062</v>
      </c>
    </row>
    <row r="933" spans="2:7" x14ac:dyDescent="0.25">
      <c r="B933" s="33" t="s">
        <v>292</v>
      </c>
      <c r="C933" s="33" t="s">
        <v>302</v>
      </c>
      <c r="D933" s="33" t="s">
        <v>11101</v>
      </c>
      <c r="E933" s="33" t="s">
        <v>302</v>
      </c>
      <c r="F933" s="33" t="s">
        <v>302</v>
      </c>
      <c r="G933" s="33" t="s">
        <v>605</v>
      </c>
    </row>
    <row r="934" spans="2:7" x14ac:dyDescent="0.25">
      <c r="B934" s="33" t="s">
        <v>292</v>
      </c>
      <c r="C934" s="33" t="s">
        <v>302</v>
      </c>
      <c r="D934" s="33" t="s">
        <v>11102</v>
      </c>
      <c r="E934" s="33" t="s">
        <v>302</v>
      </c>
      <c r="F934" s="33" t="s">
        <v>302</v>
      </c>
      <c r="G934" s="33" t="s">
        <v>959</v>
      </c>
    </row>
    <row r="935" spans="2:7" x14ac:dyDescent="0.25">
      <c r="B935" s="33" t="s">
        <v>294</v>
      </c>
      <c r="C935" s="33" t="s">
        <v>302</v>
      </c>
      <c r="D935" s="33" t="s">
        <v>11103</v>
      </c>
      <c r="E935" s="33" t="s">
        <v>302</v>
      </c>
      <c r="F935" s="33" t="s">
        <v>302</v>
      </c>
      <c r="G935" s="33" t="s">
        <v>11334</v>
      </c>
    </row>
    <row r="936" spans="2:7" x14ac:dyDescent="0.25">
      <c r="B936" s="33" t="s">
        <v>292</v>
      </c>
      <c r="C936" s="33" t="s">
        <v>302</v>
      </c>
      <c r="D936" s="33" t="s">
        <v>11104</v>
      </c>
      <c r="E936" s="33" t="s">
        <v>302</v>
      </c>
      <c r="F936" s="33" t="s">
        <v>302</v>
      </c>
      <c r="G936" s="33" t="s">
        <v>372</v>
      </c>
    </row>
    <row r="937" spans="2:7" x14ac:dyDescent="0.25">
      <c r="B937" s="33" t="s">
        <v>292</v>
      </c>
      <c r="C937" s="33" t="s">
        <v>302</v>
      </c>
      <c r="D937" s="33" t="s">
        <v>11105</v>
      </c>
      <c r="E937" s="33" t="s">
        <v>302</v>
      </c>
      <c r="F937" s="33" t="s">
        <v>302</v>
      </c>
      <c r="G937" s="33" t="s">
        <v>998</v>
      </c>
    </row>
    <row r="938" spans="2:7" x14ac:dyDescent="0.25">
      <c r="B938" s="33" t="s">
        <v>292</v>
      </c>
      <c r="C938" s="33" t="s">
        <v>302</v>
      </c>
      <c r="D938" s="33" t="s">
        <v>11106</v>
      </c>
      <c r="E938" s="33" t="s">
        <v>302</v>
      </c>
      <c r="F938" s="33" t="s">
        <v>302</v>
      </c>
      <c r="G938" s="33" t="s">
        <v>1312</v>
      </c>
    </row>
    <row r="939" spans="2:7" x14ac:dyDescent="0.25">
      <c r="B939" s="33" t="s">
        <v>292</v>
      </c>
      <c r="C939" s="33" t="s">
        <v>302</v>
      </c>
      <c r="D939" s="33" t="s">
        <v>11107</v>
      </c>
      <c r="E939" s="33" t="s">
        <v>302</v>
      </c>
      <c r="F939" s="33" t="s">
        <v>302</v>
      </c>
      <c r="G939" s="33" t="s">
        <v>1129</v>
      </c>
    </row>
    <row r="940" spans="2:7" x14ac:dyDescent="0.25">
      <c r="B940" s="33" t="s">
        <v>292</v>
      </c>
      <c r="C940" s="33" t="s">
        <v>302</v>
      </c>
      <c r="D940" s="33" t="s">
        <v>11108</v>
      </c>
      <c r="E940" s="33" t="s">
        <v>302</v>
      </c>
      <c r="F940" s="33" t="s">
        <v>302</v>
      </c>
      <c r="G940" s="33" t="s">
        <v>604</v>
      </c>
    </row>
    <row r="941" spans="2:7" x14ac:dyDescent="0.25">
      <c r="B941" s="33" t="s">
        <v>292</v>
      </c>
      <c r="C941" s="33" t="s">
        <v>302</v>
      </c>
      <c r="D941" s="33" t="s">
        <v>11109</v>
      </c>
      <c r="E941" s="33" t="s">
        <v>302</v>
      </c>
      <c r="F941" s="33" t="s">
        <v>302</v>
      </c>
      <c r="G941" s="33" t="s">
        <v>493</v>
      </c>
    </row>
    <row r="942" spans="2:7" x14ac:dyDescent="0.25">
      <c r="B942" s="33" t="s">
        <v>292</v>
      </c>
      <c r="C942" s="33" t="s">
        <v>302</v>
      </c>
      <c r="D942" s="33" t="s">
        <v>11110</v>
      </c>
      <c r="E942" s="33" t="s">
        <v>302</v>
      </c>
      <c r="F942" s="33" t="s">
        <v>302</v>
      </c>
      <c r="G942" s="33" t="s">
        <v>1333</v>
      </c>
    </row>
    <row r="943" spans="2:7" x14ac:dyDescent="0.25">
      <c r="B943" s="33" t="s">
        <v>292</v>
      </c>
      <c r="C943" s="33" t="s">
        <v>302</v>
      </c>
      <c r="D943" s="33" t="s">
        <v>11111</v>
      </c>
      <c r="E943" s="33" t="s">
        <v>302</v>
      </c>
      <c r="F943" s="33" t="s">
        <v>302</v>
      </c>
      <c r="G943" s="33" t="s">
        <v>765</v>
      </c>
    </row>
    <row r="944" spans="2:7" x14ac:dyDescent="0.25">
      <c r="B944" s="33" t="s">
        <v>292</v>
      </c>
      <c r="C944" s="33" t="s">
        <v>302</v>
      </c>
      <c r="D944" s="33" t="s">
        <v>11112</v>
      </c>
      <c r="E944" s="33" t="s">
        <v>302</v>
      </c>
      <c r="F944" s="33" t="s">
        <v>302</v>
      </c>
      <c r="G944" s="33" t="s">
        <v>1299</v>
      </c>
    </row>
    <row r="945" spans="2:7" x14ac:dyDescent="0.25">
      <c r="B945" s="33" t="s">
        <v>292</v>
      </c>
      <c r="C945" s="33" t="s">
        <v>302</v>
      </c>
      <c r="D945" s="33" t="s">
        <v>11113</v>
      </c>
      <c r="E945" s="33" t="s">
        <v>302</v>
      </c>
      <c r="F945" s="33" t="s">
        <v>302</v>
      </c>
      <c r="G945" s="33" t="s">
        <v>705</v>
      </c>
    </row>
    <row r="946" spans="2:7" x14ac:dyDescent="0.25">
      <c r="B946" s="33" t="s">
        <v>292</v>
      </c>
      <c r="C946" s="33" t="s">
        <v>302</v>
      </c>
      <c r="D946" s="33" t="s">
        <v>11114</v>
      </c>
      <c r="E946" s="33" t="s">
        <v>302</v>
      </c>
      <c r="F946" s="33" t="s">
        <v>302</v>
      </c>
      <c r="G946" s="33" t="s">
        <v>582</v>
      </c>
    </row>
    <row r="947" spans="2:7" x14ac:dyDescent="0.25">
      <c r="B947" s="33" t="s">
        <v>292</v>
      </c>
      <c r="C947" s="33" t="s">
        <v>302</v>
      </c>
      <c r="D947" s="33" t="s">
        <v>11115</v>
      </c>
      <c r="E947" s="33" t="s">
        <v>302</v>
      </c>
      <c r="F947" s="33" t="s">
        <v>302</v>
      </c>
      <c r="G947" s="33" t="s">
        <v>1195</v>
      </c>
    </row>
    <row r="948" spans="2:7" x14ac:dyDescent="0.25">
      <c r="B948" s="33" t="s">
        <v>292</v>
      </c>
      <c r="C948" s="33" t="s">
        <v>302</v>
      </c>
      <c r="D948" s="33" t="s">
        <v>11116</v>
      </c>
      <c r="E948" s="33" t="s">
        <v>302</v>
      </c>
      <c r="F948" s="33" t="s">
        <v>302</v>
      </c>
      <c r="G948" s="33" t="s">
        <v>1057</v>
      </c>
    </row>
    <row r="949" spans="2:7" x14ac:dyDescent="0.25">
      <c r="B949" s="33" t="s">
        <v>292</v>
      </c>
      <c r="C949" s="33" t="s">
        <v>302</v>
      </c>
      <c r="D949" s="33" t="s">
        <v>11117</v>
      </c>
      <c r="E949" s="33" t="s">
        <v>302</v>
      </c>
      <c r="F949" s="33" t="s">
        <v>302</v>
      </c>
      <c r="G949" s="33" t="s">
        <v>1311</v>
      </c>
    </row>
    <row r="950" spans="2:7" x14ac:dyDescent="0.25">
      <c r="B950" s="33" t="s">
        <v>292</v>
      </c>
      <c r="C950" s="33" t="s">
        <v>302</v>
      </c>
      <c r="D950" s="33" t="s">
        <v>11118</v>
      </c>
      <c r="E950" s="33" t="s">
        <v>302</v>
      </c>
      <c r="F950" s="33" t="s">
        <v>302</v>
      </c>
      <c r="G950" s="33" t="s">
        <v>970</v>
      </c>
    </row>
    <row r="951" spans="2:7" x14ac:dyDescent="0.25">
      <c r="B951" s="33" t="s">
        <v>292</v>
      </c>
      <c r="C951" s="33" t="s">
        <v>302</v>
      </c>
      <c r="D951" s="33" t="s">
        <v>11119</v>
      </c>
      <c r="E951" s="33" t="s">
        <v>302</v>
      </c>
      <c r="F951" s="33" t="s">
        <v>302</v>
      </c>
      <c r="G951" s="33" t="s">
        <v>1237</v>
      </c>
    </row>
    <row r="952" spans="2:7" x14ac:dyDescent="0.25">
      <c r="B952" s="33" t="s">
        <v>292</v>
      </c>
      <c r="C952" s="33" t="s">
        <v>302</v>
      </c>
      <c r="D952" s="33" t="s">
        <v>11120</v>
      </c>
      <c r="E952" s="33" t="s">
        <v>302</v>
      </c>
      <c r="F952" s="33" t="s">
        <v>302</v>
      </c>
      <c r="G952" s="33" t="s">
        <v>1290</v>
      </c>
    </row>
    <row r="953" spans="2:7" x14ac:dyDescent="0.25">
      <c r="B953" s="33" t="s">
        <v>292</v>
      </c>
      <c r="C953" s="33" t="s">
        <v>302</v>
      </c>
      <c r="D953" s="33" t="s">
        <v>11121</v>
      </c>
      <c r="E953" s="33" t="s">
        <v>302</v>
      </c>
      <c r="F953" s="33" t="s">
        <v>302</v>
      </c>
      <c r="G953" s="33" t="s">
        <v>557</v>
      </c>
    </row>
    <row r="954" spans="2:7" x14ac:dyDescent="0.25">
      <c r="B954" s="33" t="s">
        <v>292</v>
      </c>
      <c r="C954" s="33" t="s">
        <v>302</v>
      </c>
      <c r="D954" s="33" t="s">
        <v>11122</v>
      </c>
      <c r="E954" s="33" t="s">
        <v>302</v>
      </c>
      <c r="F954" s="33" t="s">
        <v>302</v>
      </c>
      <c r="G954" s="33" t="s">
        <v>1086</v>
      </c>
    </row>
    <row r="955" spans="2:7" x14ac:dyDescent="0.25">
      <c r="B955" s="33" t="s">
        <v>292</v>
      </c>
      <c r="C955" s="33" t="s">
        <v>302</v>
      </c>
      <c r="D955" s="33" t="s">
        <v>11123</v>
      </c>
      <c r="E955" s="33" t="s">
        <v>302</v>
      </c>
      <c r="F955" s="33" t="s">
        <v>302</v>
      </c>
      <c r="G955" s="33" t="s">
        <v>597</v>
      </c>
    </row>
    <row r="956" spans="2:7" x14ac:dyDescent="0.25">
      <c r="B956" s="33" t="s">
        <v>292</v>
      </c>
      <c r="C956" s="33" t="s">
        <v>302</v>
      </c>
      <c r="D956" s="33" t="s">
        <v>11124</v>
      </c>
      <c r="E956" s="33" t="s">
        <v>302</v>
      </c>
      <c r="F956" s="33" t="s">
        <v>302</v>
      </c>
      <c r="G956" s="33" t="s">
        <v>1247</v>
      </c>
    </row>
    <row r="957" spans="2:7" x14ac:dyDescent="0.25">
      <c r="B957" s="33" t="s">
        <v>292</v>
      </c>
      <c r="C957" s="33" t="s">
        <v>302</v>
      </c>
      <c r="D957" s="33" t="s">
        <v>11125</v>
      </c>
      <c r="E957" s="33" t="s">
        <v>302</v>
      </c>
      <c r="F957" s="33" t="s">
        <v>302</v>
      </c>
      <c r="G957" s="33" t="s">
        <v>990</v>
      </c>
    </row>
    <row r="958" spans="2:7" x14ac:dyDescent="0.25">
      <c r="B958" s="33" t="s">
        <v>292</v>
      </c>
      <c r="C958" s="33" t="s">
        <v>302</v>
      </c>
      <c r="D958" s="33" t="s">
        <v>11126</v>
      </c>
      <c r="E958" s="33" t="s">
        <v>302</v>
      </c>
      <c r="F958" s="33" t="s">
        <v>302</v>
      </c>
      <c r="G958" s="33" t="s">
        <v>1169</v>
      </c>
    </row>
    <row r="959" spans="2:7" x14ac:dyDescent="0.25">
      <c r="B959" s="33" t="s">
        <v>292</v>
      </c>
      <c r="C959" s="33" t="s">
        <v>302</v>
      </c>
      <c r="D959" s="33" t="s">
        <v>11127</v>
      </c>
      <c r="E959" s="33" t="s">
        <v>302</v>
      </c>
      <c r="F959" s="33" t="s">
        <v>302</v>
      </c>
      <c r="G959" s="33" t="s">
        <v>355</v>
      </c>
    </row>
    <row r="960" spans="2:7" x14ac:dyDescent="0.25">
      <c r="B960" s="33" t="s">
        <v>292</v>
      </c>
      <c r="C960" s="33" t="s">
        <v>302</v>
      </c>
      <c r="D960" s="33" t="s">
        <v>11128</v>
      </c>
      <c r="E960" s="33" t="s">
        <v>302</v>
      </c>
      <c r="F960" s="33" t="s">
        <v>302</v>
      </c>
      <c r="G960" s="33" t="s">
        <v>515</v>
      </c>
    </row>
    <row r="961" spans="2:7" x14ac:dyDescent="0.25">
      <c r="B961" s="33" t="s">
        <v>292</v>
      </c>
      <c r="C961" s="33" t="s">
        <v>302</v>
      </c>
      <c r="D961" s="33" t="s">
        <v>11129</v>
      </c>
      <c r="E961" s="33" t="s">
        <v>302</v>
      </c>
      <c r="F961" s="33" t="s">
        <v>302</v>
      </c>
      <c r="G961" s="33" t="s">
        <v>968</v>
      </c>
    </row>
    <row r="962" spans="2:7" x14ac:dyDescent="0.25">
      <c r="B962" s="33" t="s">
        <v>293</v>
      </c>
      <c r="C962" s="33" t="s">
        <v>302</v>
      </c>
      <c r="D962" s="33" t="s">
        <v>1487</v>
      </c>
      <c r="E962" s="33" t="s">
        <v>302</v>
      </c>
      <c r="F962" s="33" t="s">
        <v>302</v>
      </c>
      <c r="G962" s="33" t="s">
        <v>221</v>
      </c>
    </row>
    <row r="963" spans="2:7" x14ac:dyDescent="0.25">
      <c r="B963" s="33" t="s">
        <v>294</v>
      </c>
      <c r="C963" s="33" t="s">
        <v>302</v>
      </c>
      <c r="D963" s="33" t="s">
        <v>1487</v>
      </c>
      <c r="E963" s="33" t="s">
        <v>302</v>
      </c>
      <c r="F963" s="33" t="s">
        <v>302</v>
      </c>
      <c r="G963" s="33" t="s">
        <v>221</v>
      </c>
    </row>
    <row r="964" spans="2:7" x14ac:dyDescent="0.25">
      <c r="B964" s="33" t="s">
        <v>294</v>
      </c>
      <c r="C964" s="33" t="s">
        <v>302</v>
      </c>
      <c r="D964" s="33" t="s">
        <v>11130</v>
      </c>
      <c r="E964" s="33" t="s">
        <v>302</v>
      </c>
      <c r="F964" s="33" t="s">
        <v>302</v>
      </c>
      <c r="G964" s="33" t="s">
        <v>11335</v>
      </c>
    </row>
    <row r="965" spans="2:7" x14ac:dyDescent="0.25">
      <c r="B965" s="33" t="s">
        <v>292</v>
      </c>
      <c r="C965" s="33" t="s">
        <v>302</v>
      </c>
      <c r="D965" s="33" t="s">
        <v>11131</v>
      </c>
      <c r="E965" s="33" t="s">
        <v>302</v>
      </c>
      <c r="F965" s="33" t="s">
        <v>302</v>
      </c>
      <c r="G965" s="33" t="s">
        <v>1291</v>
      </c>
    </row>
    <row r="966" spans="2:7" x14ac:dyDescent="0.25">
      <c r="B966" s="33" t="s">
        <v>292</v>
      </c>
      <c r="C966" s="33" t="s">
        <v>302</v>
      </c>
      <c r="D966" s="33" t="s">
        <v>11132</v>
      </c>
      <c r="E966" s="33" t="s">
        <v>302</v>
      </c>
      <c r="F966" s="33" t="s">
        <v>302</v>
      </c>
      <c r="G966" s="33" t="s">
        <v>471</v>
      </c>
    </row>
    <row r="967" spans="2:7" x14ac:dyDescent="0.25">
      <c r="B967" s="33" t="s">
        <v>292</v>
      </c>
      <c r="C967" s="33" t="s">
        <v>302</v>
      </c>
      <c r="D967" s="33" t="s">
        <v>11133</v>
      </c>
      <c r="E967" s="33" t="s">
        <v>302</v>
      </c>
      <c r="F967" s="33" t="s">
        <v>302</v>
      </c>
      <c r="G967" s="33" t="s">
        <v>1144</v>
      </c>
    </row>
    <row r="968" spans="2:7" x14ac:dyDescent="0.25">
      <c r="B968" s="33" t="s">
        <v>292</v>
      </c>
      <c r="C968" s="33" t="s">
        <v>302</v>
      </c>
      <c r="D968" s="33" t="s">
        <v>11134</v>
      </c>
      <c r="E968" s="33" t="s">
        <v>302</v>
      </c>
      <c r="F968" s="33" t="s">
        <v>302</v>
      </c>
      <c r="G968" s="33" t="s">
        <v>662</v>
      </c>
    </row>
    <row r="969" spans="2:7" x14ac:dyDescent="0.25">
      <c r="B969" s="33" t="s">
        <v>292</v>
      </c>
      <c r="C969" s="33" t="s">
        <v>302</v>
      </c>
      <c r="D969" s="33" t="s">
        <v>11135</v>
      </c>
      <c r="E969" s="33" t="s">
        <v>302</v>
      </c>
      <c r="F969" s="33" t="s">
        <v>302</v>
      </c>
      <c r="G969" s="33" t="s">
        <v>967</v>
      </c>
    </row>
    <row r="970" spans="2:7" x14ac:dyDescent="0.25">
      <c r="B970" s="33" t="s">
        <v>292</v>
      </c>
      <c r="C970" s="33" t="s">
        <v>302</v>
      </c>
      <c r="D970" s="33" t="s">
        <v>11136</v>
      </c>
      <c r="E970" s="33" t="s">
        <v>302</v>
      </c>
      <c r="F970" s="33" t="s">
        <v>302</v>
      </c>
      <c r="G970" s="33" t="s">
        <v>702</v>
      </c>
    </row>
    <row r="971" spans="2:7" x14ac:dyDescent="0.25">
      <c r="B971" s="33" t="s">
        <v>292</v>
      </c>
      <c r="C971" s="33" t="s">
        <v>302</v>
      </c>
      <c r="D971" s="33" t="s">
        <v>11137</v>
      </c>
      <c r="E971" s="33" t="s">
        <v>302</v>
      </c>
      <c r="F971" s="33" t="s">
        <v>302</v>
      </c>
      <c r="G971" s="33" t="s">
        <v>1279</v>
      </c>
    </row>
    <row r="972" spans="2:7" x14ac:dyDescent="0.25">
      <c r="B972" s="33" t="s">
        <v>292</v>
      </c>
      <c r="C972" s="33" t="s">
        <v>302</v>
      </c>
      <c r="D972" s="33" t="s">
        <v>11138</v>
      </c>
      <c r="E972" s="33" t="s">
        <v>302</v>
      </c>
      <c r="F972" s="33" t="s">
        <v>302</v>
      </c>
      <c r="G972" s="33" t="s">
        <v>1361</v>
      </c>
    </row>
    <row r="973" spans="2:7" x14ac:dyDescent="0.25">
      <c r="B973" s="33" t="s">
        <v>292</v>
      </c>
      <c r="C973" s="33" t="s">
        <v>302</v>
      </c>
      <c r="D973" s="33" t="s">
        <v>11139</v>
      </c>
      <c r="E973" s="33" t="s">
        <v>302</v>
      </c>
      <c r="F973" s="33" t="s">
        <v>302</v>
      </c>
      <c r="G973" s="33" t="s">
        <v>425</v>
      </c>
    </row>
    <row r="974" spans="2:7" x14ac:dyDescent="0.25">
      <c r="B974" s="33" t="s">
        <v>292</v>
      </c>
      <c r="C974" s="33" t="s">
        <v>302</v>
      </c>
      <c r="D974" s="33" t="s">
        <v>11140</v>
      </c>
      <c r="E974" s="33" t="s">
        <v>302</v>
      </c>
      <c r="F974" s="33" t="s">
        <v>302</v>
      </c>
      <c r="G974" s="33" t="s">
        <v>922</v>
      </c>
    </row>
    <row r="975" spans="2:7" x14ac:dyDescent="0.25">
      <c r="B975" s="33" t="s">
        <v>292</v>
      </c>
      <c r="C975" s="33" t="s">
        <v>302</v>
      </c>
      <c r="D975" s="33" t="s">
        <v>11141</v>
      </c>
      <c r="E975" s="33" t="s">
        <v>302</v>
      </c>
      <c r="F975" s="33" t="s">
        <v>302</v>
      </c>
      <c r="G975" s="33" t="s">
        <v>824</v>
      </c>
    </row>
    <row r="976" spans="2:7" x14ac:dyDescent="0.25">
      <c r="B976" s="33" t="s">
        <v>292</v>
      </c>
      <c r="C976" s="33" t="s">
        <v>302</v>
      </c>
      <c r="D976" s="33" t="s">
        <v>11142</v>
      </c>
      <c r="E976" s="33" t="s">
        <v>302</v>
      </c>
      <c r="F976" s="33" t="s">
        <v>302</v>
      </c>
      <c r="G976" s="33" t="s">
        <v>1033</v>
      </c>
    </row>
    <row r="977" spans="2:7" x14ac:dyDescent="0.25">
      <c r="B977" s="33" t="s">
        <v>292</v>
      </c>
      <c r="C977" s="33" t="s">
        <v>302</v>
      </c>
      <c r="D977" s="33" t="s">
        <v>11143</v>
      </c>
      <c r="E977" s="33" t="s">
        <v>302</v>
      </c>
      <c r="F977" s="33" t="s">
        <v>302</v>
      </c>
      <c r="G977" s="33" t="s">
        <v>601</v>
      </c>
    </row>
    <row r="978" spans="2:7" x14ac:dyDescent="0.25">
      <c r="B978" s="33" t="s">
        <v>292</v>
      </c>
      <c r="C978" s="33" t="s">
        <v>302</v>
      </c>
      <c r="D978" s="33" t="s">
        <v>11144</v>
      </c>
      <c r="E978" s="33" t="s">
        <v>302</v>
      </c>
      <c r="F978" s="33" t="s">
        <v>302</v>
      </c>
      <c r="G978" s="33" t="s">
        <v>1224</v>
      </c>
    </row>
    <row r="979" spans="2:7" x14ac:dyDescent="0.25">
      <c r="B979" s="33" t="s">
        <v>292</v>
      </c>
      <c r="C979" s="33" t="s">
        <v>302</v>
      </c>
      <c r="D979" s="33" t="s">
        <v>11145</v>
      </c>
      <c r="E979" s="33" t="s">
        <v>302</v>
      </c>
      <c r="F979" s="33" t="s">
        <v>302</v>
      </c>
      <c r="G979" s="33" t="s">
        <v>378</v>
      </c>
    </row>
    <row r="980" spans="2:7" x14ac:dyDescent="0.25">
      <c r="B980" s="33" t="s">
        <v>292</v>
      </c>
      <c r="C980" s="33" t="s">
        <v>302</v>
      </c>
      <c r="D980" s="33" t="s">
        <v>11146</v>
      </c>
      <c r="E980" s="33" t="s">
        <v>302</v>
      </c>
      <c r="F980" s="33" t="s">
        <v>302</v>
      </c>
      <c r="G980" s="33" t="s">
        <v>1070</v>
      </c>
    </row>
    <row r="981" spans="2:7" x14ac:dyDescent="0.25">
      <c r="B981" s="33" t="s">
        <v>292</v>
      </c>
      <c r="C981" s="33" t="s">
        <v>302</v>
      </c>
      <c r="D981" s="33" t="s">
        <v>11147</v>
      </c>
      <c r="E981" s="33" t="s">
        <v>302</v>
      </c>
      <c r="F981" s="33" t="s">
        <v>302</v>
      </c>
      <c r="G981" s="33" t="s">
        <v>1036</v>
      </c>
    </row>
    <row r="982" spans="2:7" x14ac:dyDescent="0.25">
      <c r="B982" s="33" t="s">
        <v>292</v>
      </c>
      <c r="C982" s="33" t="s">
        <v>302</v>
      </c>
      <c r="D982" s="33" t="s">
        <v>11148</v>
      </c>
      <c r="E982" s="33" t="s">
        <v>302</v>
      </c>
      <c r="F982" s="33" t="s">
        <v>302</v>
      </c>
      <c r="G982" s="33" t="s">
        <v>712</v>
      </c>
    </row>
    <row r="983" spans="2:7" x14ac:dyDescent="0.25">
      <c r="B983" s="33" t="s">
        <v>292</v>
      </c>
      <c r="C983" s="33" t="s">
        <v>302</v>
      </c>
      <c r="D983" s="33" t="s">
        <v>11149</v>
      </c>
      <c r="E983" s="33" t="s">
        <v>302</v>
      </c>
      <c r="F983" s="33" t="s">
        <v>302</v>
      </c>
      <c r="G983" s="33" t="s">
        <v>1111</v>
      </c>
    </row>
    <row r="984" spans="2:7" x14ac:dyDescent="0.25">
      <c r="B984" s="33" t="s">
        <v>292</v>
      </c>
      <c r="C984" s="33" t="s">
        <v>302</v>
      </c>
      <c r="D984" s="33" t="s">
        <v>11150</v>
      </c>
      <c r="E984" s="33" t="s">
        <v>302</v>
      </c>
      <c r="F984" s="33" t="s">
        <v>302</v>
      </c>
      <c r="G984" s="33" t="s">
        <v>997</v>
      </c>
    </row>
    <row r="985" spans="2:7" x14ac:dyDescent="0.25">
      <c r="B985" s="33" t="s">
        <v>292</v>
      </c>
      <c r="C985" s="33" t="s">
        <v>302</v>
      </c>
      <c r="D985" s="33" t="s">
        <v>11151</v>
      </c>
      <c r="E985" s="33" t="s">
        <v>302</v>
      </c>
      <c r="F985" s="33" t="s">
        <v>302</v>
      </c>
      <c r="G985" s="33" t="s">
        <v>449</v>
      </c>
    </row>
    <row r="986" spans="2:7" x14ac:dyDescent="0.25">
      <c r="B986" s="33" t="s">
        <v>292</v>
      </c>
      <c r="C986" s="33" t="s">
        <v>302</v>
      </c>
      <c r="D986" s="33" t="s">
        <v>11152</v>
      </c>
      <c r="E986" s="33" t="s">
        <v>302</v>
      </c>
      <c r="F986" s="33" t="s">
        <v>302</v>
      </c>
      <c r="G986" s="33" t="s">
        <v>644</v>
      </c>
    </row>
    <row r="987" spans="2:7" x14ac:dyDescent="0.25">
      <c r="B987" s="33" t="s">
        <v>292</v>
      </c>
      <c r="C987" s="33" t="s">
        <v>302</v>
      </c>
      <c r="D987" s="33" t="s">
        <v>11153</v>
      </c>
      <c r="E987" s="33" t="s">
        <v>302</v>
      </c>
      <c r="F987" s="33" t="s">
        <v>302</v>
      </c>
      <c r="G987" s="33" t="s">
        <v>1092</v>
      </c>
    </row>
    <row r="988" spans="2:7" x14ac:dyDescent="0.25">
      <c r="B988" s="33" t="s">
        <v>292</v>
      </c>
      <c r="C988" s="33" t="s">
        <v>302</v>
      </c>
      <c r="D988" s="33" t="s">
        <v>11154</v>
      </c>
      <c r="E988" s="33" t="s">
        <v>302</v>
      </c>
      <c r="F988" s="33" t="s">
        <v>302</v>
      </c>
      <c r="G988" s="33" t="s">
        <v>673</v>
      </c>
    </row>
    <row r="989" spans="2:7" x14ac:dyDescent="0.25">
      <c r="B989" s="33" t="s">
        <v>292</v>
      </c>
      <c r="C989" s="33" t="s">
        <v>302</v>
      </c>
      <c r="D989" s="33" t="s">
        <v>11155</v>
      </c>
      <c r="E989" s="33" t="s">
        <v>302</v>
      </c>
      <c r="F989" s="33" t="s">
        <v>302</v>
      </c>
      <c r="G989" s="33" t="s">
        <v>398</v>
      </c>
    </row>
    <row r="990" spans="2:7" x14ac:dyDescent="0.25">
      <c r="B990" s="33" t="s">
        <v>292</v>
      </c>
      <c r="C990" s="33" t="s">
        <v>302</v>
      </c>
      <c r="D990" s="33" t="s">
        <v>11156</v>
      </c>
      <c r="E990" s="33" t="s">
        <v>302</v>
      </c>
      <c r="F990" s="33" t="s">
        <v>302</v>
      </c>
      <c r="G990" s="33" t="s">
        <v>984</v>
      </c>
    </row>
    <row r="991" spans="2:7" x14ac:dyDescent="0.25">
      <c r="B991" s="33" t="s">
        <v>292</v>
      </c>
      <c r="C991" s="33" t="s">
        <v>302</v>
      </c>
      <c r="D991" s="33" t="s">
        <v>11157</v>
      </c>
      <c r="E991" s="33" t="s">
        <v>302</v>
      </c>
      <c r="F991" s="33" t="s">
        <v>302</v>
      </c>
      <c r="G991" s="33" t="s">
        <v>1072</v>
      </c>
    </row>
    <row r="992" spans="2:7" x14ac:dyDescent="0.25">
      <c r="B992" s="33" t="s">
        <v>292</v>
      </c>
      <c r="C992" s="33" t="s">
        <v>302</v>
      </c>
      <c r="D992" s="33" t="s">
        <v>11160</v>
      </c>
      <c r="E992" s="33" t="s">
        <v>302</v>
      </c>
      <c r="F992" s="33" t="s">
        <v>302</v>
      </c>
      <c r="G992" s="33" t="s">
        <v>1191</v>
      </c>
    </row>
    <row r="993" spans="2:7" x14ac:dyDescent="0.25">
      <c r="B993" s="33" t="s">
        <v>292</v>
      </c>
      <c r="C993" s="33" t="s">
        <v>302</v>
      </c>
      <c r="D993" s="33" t="s">
        <v>11161</v>
      </c>
      <c r="E993" s="33" t="s">
        <v>302</v>
      </c>
      <c r="F993" s="33" t="s">
        <v>302</v>
      </c>
      <c r="G993" s="33" t="s">
        <v>762</v>
      </c>
    </row>
    <row r="994" spans="2:7" x14ac:dyDescent="0.25">
      <c r="B994" s="33" t="s">
        <v>292</v>
      </c>
      <c r="C994" s="33" t="s">
        <v>302</v>
      </c>
      <c r="D994" s="33" t="s">
        <v>11162</v>
      </c>
      <c r="E994" s="33" t="s">
        <v>302</v>
      </c>
      <c r="F994" s="33" t="s">
        <v>302</v>
      </c>
      <c r="G994" s="33" t="s">
        <v>874</v>
      </c>
    </row>
    <row r="995" spans="2:7" x14ac:dyDescent="0.25">
      <c r="B995" s="33" t="s">
        <v>292</v>
      </c>
      <c r="C995" s="33" t="s">
        <v>302</v>
      </c>
      <c r="D995" s="33" t="s">
        <v>11163</v>
      </c>
      <c r="E995" s="33" t="s">
        <v>302</v>
      </c>
      <c r="F995" s="33" t="s">
        <v>302</v>
      </c>
      <c r="G995" s="33" t="s">
        <v>394</v>
      </c>
    </row>
    <row r="996" spans="2:7" x14ac:dyDescent="0.25">
      <c r="B996" s="33" t="s">
        <v>292</v>
      </c>
      <c r="C996" s="33" t="s">
        <v>302</v>
      </c>
      <c r="D996" s="33" t="s">
        <v>11164</v>
      </c>
      <c r="E996" s="33" t="s">
        <v>302</v>
      </c>
      <c r="F996" s="33" t="s">
        <v>302</v>
      </c>
      <c r="G996" s="33" t="s">
        <v>630</v>
      </c>
    </row>
    <row r="997" spans="2:7" x14ac:dyDescent="0.25">
      <c r="B997" s="33" t="s">
        <v>292</v>
      </c>
      <c r="C997" s="33" t="s">
        <v>302</v>
      </c>
      <c r="D997" s="33" t="s">
        <v>11165</v>
      </c>
      <c r="E997" s="33" t="s">
        <v>302</v>
      </c>
      <c r="F997" s="33" t="s">
        <v>302</v>
      </c>
      <c r="G997" s="33" t="s">
        <v>345</v>
      </c>
    </row>
    <row r="998" spans="2:7" x14ac:dyDescent="0.25">
      <c r="B998" s="33" t="s">
        <v>292</v>
      </c>
      <c r="C998" s="33" t="s">
        <v>302</v>
      </c>
      <c r="D998" s="33" t="s">
        <v>11166</v>
      </c>
      <c r="E998" s="33" t="s">
        <v>302</v>
      </c>
      <c r="F998" s="33" t="s">
        <v>302</v>
      </c>
      <c r="G998" s="33" t="s">
        <v>1016</v>
      </c>
    </row>
    <row r="999" spans="2:7" x14ac:dyDescent="0.25">
      <c r="B999" s="33" t="s">
        <v>292</v>
      </c>
      <c r="C999" s="33" t="s">
        <v>302</v>
      </c>
      <c r="D999" s="33" t="s">
        <v>11167</v>
      </c>
      <c r="E999" s="33" t="s">
        <v>302</v>
      </c>
      <c r="F999" s="33" t="s">
        <v>302</v>
      </c>
      <c r="G999" s="33" t="s">
        <v>543</v>
      </c>
    </row>
    <row r="1000" spans="2:7" x14ac:dyDescent="0.25">
      <c r="B1000" s="33" t="s">
        <v>292</v>
      </c>
      <c r="C1000" s="33" t="s">
        <v>302</v>
      </c>
      <c r="D1000" s="33" t="s">
        <v>11168</v>
      </c>
      <c r="E1000" s="33" t="s">
        <v>302</v>
      </c>
      <c r="F1000" s="33" t="s">
        <v>302</v>
      </c>
      <c r="G1000" s="33" t="s">
        <v>477</v>
      </c>
    </row>
    <row r="1001" spans="2:7" x14ac:dyDescent="0.25">
      <c r="B1001" s="33" t="s">
        <v>292</v>
      </c>
      <c r="C1001" s="33" t="s">
        <v>302</v>
      </c>
      <c r="D1001" s="33" t="s">
        <v>11169</v>
      </c>
      <c r="E1001" s="33" t="s">
        <v>302</v>
      </c>
      <c r="F1001" s="33" t="s">
        <v>302</v>
      </c>
      <c r="G1001" s="33" t="s">
        <v>495</v>
      </c>
    </row>
    <row r="1002" spans="2:7" x14ac:dyDescent="0.25">
      <c r="B1002" s="33" t="s">
        <v>292</v>
      </c>
      <c r="C1002" s="33" t="s">
        <v>302</v>
      </c>
      <c r="D1002" s="33" t="s">
        <v>11170</v>
      </c>
      <c r="E1002" s="33" t="s">
        <v>302</v>
      </c>
      <c r="F1002" s="33" t="s">
        <v>302</v>
      </c>
      <c r="G1002" s="33" t="s">
        <v>548</v>
      </c>
    </row>
    <row r="1003" spans="2:7" x14ac:dyDescent="0.25">
      <c r="B1003" s="33" t="s">
        <v>292</v>
      </c>
      <c r="C1003" s="33" t="s">
        <v>302</v>
      </c>
      <c r="D1003" s="33" t="s">
        <v>11171</v>
      </c>
      <c r="E1003" s="33" t="s">
        <v>302</v>
      </c>
      <c r="F1003" s="33" t="s">
        <v>302</v>
      </c>
      <c r="G1003" s="33" t="s">
        <v>700</v>
      </c>
    </row>
    <row r="1004" spans="2:7" x14ac:dyDescent="0.25">
      <c r="B1004" s="33" t="s">
        <v>292</v>
      </c>
      <c r="C1004" s="33" t="s">
        <v>302</v>
      </c>
      <c r="D1004" s="33" t="s">
        <v>11172</v>
      </c>
      <c r="E1004" s="33" t="s">
        <v>302</v>
      </c>
      <c r="F1004" s="33" t="s">
        <v>302</v>
      </c>
      <c r="G1004" s="33" t="s">
        <v>612</v>
      </c>
    </row>
    <row r="1005" spans="2:7" x14ac:dyDescent="0.25">
      <c r="B1005" s="33" t="s">
        <v>292</v>
      </c>
      <c r="C1005" s="33" t="s">
        <v>302</v>
      </c>
      <c r="D1005" s="33" t="s">
        <v>11173</v>
      </c>
      <c r="E1005" s="33" t="s">
        <v>302</v>
      </c>
      <c r="F1005" s="33" t="s">
        <v>302</v>
      </c>
      <c r="G1005" s="33" t="s">
        <v>1027</v>
      </c>
    </row>
    <row r="1006" spans="2:7" x14ac:dyDescent="0.25">
      <c r="B1006" s="33" t="s">
        <v>292</v>
      </c>
      <c r="C1006" s="33" t="s">
        <v>302</v>
      </c>
      <c r="D1006" s="33" t="s">
        <v>11174</v>
      </c>
      <c r="E1006" s="33" t="s">
        <v>302</v>
      </c>
      <c r="F1006" s="33" t="s">
        <v>302</v>
      </c>
      <c r="G1006" s="33" t="s">
        <v>490</v>
      </c>
    </row>
    <row r="1007" spans="2:7" x14ac:dyDescent="0.25">
      <c r="B1007" s="33" t="s">
        <v>292</v>
      </c>
      <c r="C1007" s="33" t="s">
        <v>302</v>
      </c>
      <c r="D1007" s="33" t="s">
        <v>11175</v>
      </c>
      <c r="E1007" s="33" t="s">
        <v>302</v>
      </c>
      <c r="F1007" s="33" t="s">
        <v>302</v>
      </c>
      <c r="G1007" s="33" t="s">
        <v>1368</v>
      </c>
    </row>
    <row r="1008" spans="2:7" x14ac:dyDescent="0.25">
      <c r="B1008" s="33" t="s">
        <v>292</v>
      </c>
      <c r="C1008" s="33" t="s">
        <v>302</v>
      </c>
      <c r="D1008" s="33" t="s">
        <v>11176</v>
      </c>
      <c r="E1008" s="33" t="s">
        <v>302</v>
      </c>
      <c r="F1008" s="33" t="s">
        <v>302</v>
      </c>
      <c r="G1008" s="33" t="s">
        <v>751</v>
      </c>
    </row>
    <row r="1009" spans="2:7" x14ac:dyDescent="0.25">
      <c r="B1009" s="33" t="s">
        <v>292</v>
      </c>
      <c r="C1009" s="33" t="s">
        <v>302</v>
      </c>
      <c r="D1009" s="33" t="s">
        <v>11177</v>
      </c>
      <c r="E1009" s="33" t="s">
        <v>302</v>
      </c>
      <c r="F1009" s="33" t="s">
        <v>302</v>
      </c>
      <c r="G1009" s="33" t="s">
        <v>1009</v>
      </c>
    </row>
    <row r="1010" spans="2:7" x14ac:dyDescent="0.25">
      <c r="B1010" s="33" t="s">
        <v>292</v>
      </c>
      <c r="C1010" s="33" t="s">
        <v>302</v>
      </c>
      <c r="D1010" s="33" t="s">
        <v>11178</v>
      </c>
      <c r="E1010" s="33" t="s">
        <v>302</v>
      </c>
      <c r="F1010" s="33" t="s">
        <v>302</v>
      </c>
      <c r="G1010" s="33" t="s">
        <v>825</v>
      </c>
    </row>
    <row r="1011" spans="2:7" x14ac:dyDescent="0.25">
      <c r="B1011" s="33" t="s">
        <v>292</v>
      </c>
      <c r="C1011" s="33" t="s">
        <v>302</v>
      </c>
      <c r="D1011" s="33" t="s">
        <v>11179</v>
      </c>
      <c r="E1011" s="33" t="s">
        <v>302</v>
      </c>
      <c r="F1011" s="33" t="s">
        <v>302</v>
      </c>
      <c r="G1011" s="33" t="s">
        <v>607</v>
      </c>
    </row>
    <row r="1012" spans="2:7" x14ac:dyDescent="0.25">
      <c r="B1012" s="33" t="s">
        <v>292</v>
      </c>
      <c r="C1012" s="33" t="s">
        <v>302</v>
      </c>
      <c r="D1012" s="33" t="s">
        <v>11180</v>
      </c>
      <c r="E1012" s="33" t="s">
        <v>302</v>
      </c>
      <c r="F1012" s="33" t="s">
        <v>302</v>
      </c>
      <c r="G1012" s="33" t="s">
        <v>1028</v>
      </c>
    </row>
    <row r="1013" spans="2:7" x14ac:dyDescent="0.25">
      <c r="B1013" s="33" t="s">
        <v>292</v>
      </c>
      <c r="C1013" s="33" t="s">
        <v>302</v>
      </c>
      <c r="D1013" s="33" t="s">
        <v>11181</v>
      </c>
      <c r="E1013" s="33" t="s">
        <v>302</v>
      </c>
      <c r="F1013" s="33" t="s">
        <v>302</v>
      </c>
      <c r="G1013" s="33" t="s">
        <v>954</v>
      </c>
    </row>
    <row r="1014" spans="2:7" x14ac:dyDescent="0.25">
      <c r="B1014" s="33" t="s">
        <v>292</v>
      </c>
      <c r="C1014" s="33" t="s">
        <v>302</v>
      </c>
      <c r="D1014" s="33" t="s">
        <v>11182</v>
      </c>
      <c r="E1014" s="33" t="s">
        <v>302</v>
      </c>
      <c r="F1014" s="33" t="s">
        <v>302</v>
      </c>
      <c r="G1014" s="33" t="s">
        <v>939</v>
      </c>
    </row>
    <row r="1015" spans="2:7" x14ac:dyDescent="0.25">
      <c r="B1015" s="33" t="s">
        <v>292</v>
      </c>
      <c r="C1015" s="33" t="s">
        <v>302</v>
      </c>
      <c r="D1015" s="33" t="s">
        <v>11183</v>
      </c>
      <c r="E1015" s="33" t="s">
        <v>302</v>
      </c>
      <c r="F1015" s="33" t="s">
        <v>302</v>
      </c>
      <c r="G1015" s="33" t="s">
        <v>1024</v>
      </c>
    </row>
    <row r="1016" spans="2:7" x14ac:dyDescent="0.25">
      <c r="B1016" s="33" t="s">
        <v>292</v>
      </c>
      <c r="C1016" s="33" t="s">
        <v>302</v>
      </c>
      <c r="D1016" s="33" t="s">
        <v>11184</v>
      </c>
      <c r="E1016" s="33" t="s">
        <v>302</v>
      </c>
      <c r="F1016" s="33" t="s">
        <v>302</v>
      </c>
      <c r="G1016" s="33" t="s">
        <v>573</v>
      </c>
    </row>
    <row r="1017" spans="2:7" x14ac:dyDescent="0.25">
      <c r="B1017" s="33" t="s">
        <v>292</v>
      </c>
      <c r="C1017" s="33" t="s">
        <v>302</v>
      </c>
      <c r="D1017" s="33" t="s">
        <v>11185</v>
      </c>
      <c r="E1017" s="33" t="s">
        <v>302</v>
      </c>
      <c r="F1017" s="33" t="s">
        <v>302</v>
      </c>
      <c r="G1017" s="33" t="s">
        <v>497</v>
      </c>
    </row>
    <row r="1018" spans="2:7" x14ac:dyDescent="0.25">
      <c r="B1018" s="33" t="s">
        <v>292</v>
      </c>
      <c r="C1018" s="33" t="s">
        <v>302</v>
      </c>
      <c r="D1018" s="33" t="s">
        <v>11186</v>
      </c>
      <c r="E1018" s="33" t="s">
        <v>302</v>
      </c>
      <c r="F1018" s="33" t="s">
        <v>302</v>
      </c>
      <c r="G1018" s="33" t="s">
        <v>864</v>
      </c>
    </row>
    <row r="1019" spans="2:7" x14ac:dyDescent="0.25">
      <c r="B1019" s="33" t="s">
        <v>292</v>
      </c>
      <c r="C1019" s="33" t="s">
        <v>302</v>
      </c>
      <c r="D1019" s="33" t="s">
        <v>11187</v>
      </c>
      <c r="E1019" s="33" t="s">
        <v>302</v>
      </c>
      <c r="F1019" s="33" t="s">
        <v>302</v>
      </c>
      <c r="G1019" s="33" t="s">
        <v>851</v>
      </c>
    </row>
    <row r="1020" spans="2:7" x14ac:dyDescent="0.25">
      <c r="B1020" s="33" t="s">
        <v>292</v>
      </c>
      <c r="C1020" s="33" t="s">
        <v>302</v>
      </c>
      <c r="D1020" s="33" t="s">
        <v>11188</v>
      </c>
      <c r="E1020" s="33" t="s">
        <v>302</v>
      </c>
      <c r="F1020" s="33" t="s">
        <v>302</v>
      </c>
      <c r="G1020" s="33" t="s">
        <v>1249</v>
      </c>
    </row>
    <row r="1021" spans="2:7" x14ac:dyDescent="0.25">
      <c r="B1021" s="33" t="s">
        <v>292</v>
      </c>
      <c r="C1021" s="33" t="s">
        <v>302</v>
      </c>
      <c r="D1021" s="33" t="s">
        <v>11189</v>
      </c>
      <c r="E1021" s="33" t="s">
        <v>302</v>
      </c>
      <c r="F1021" s="33" t="s">
        <v>302</v>
      </c>
      <c r="G1021" s="33" t="s">
        <v>1187</v>
      </c>
    </row>
    <row r="1022" spans="2:7" x14ac:dyDescent="0.25">
      <c r="B1022" s="33" t="s">
        <v>292</v>
      </c>
      <c r="C1022" s="33" t="s">
        <v>302</v>
      </c>
      <c r="D1022" s="33" t="s">
        <v>11190</v>
      </c>
      <c r="E1022" s="33" t="s">
        <v>302</v>
      </c>
      <c r="F1022" s="33" t="s">
        <v>302</v>
      </c>
      <c r="G1022" s="33" t="s">
        <v>1343</v>
      </c>
    </row>
    <row r="1023" spans="2:7" x14ac:dyDescent="0.25">
      <c r="B1023" s="33" t="s">
        <v>292</v>
      </c>
      <c r="C1023" s="33" t="s">
        <v>302</v>
      </c>
      <c r="D1023" s="33" t="s">
        <v>11191</v>
      </c>
      <c r="E1023" s="33" t="s">
        <v>302</v>
      </c>
      <c r="F1023" s="33" t="s">
        <v>302</v>
      </c>
      <c r="G1023" s="33" t="s">
        <v>868</v>
      </c>
    </row>
    <row r="1024" spans="2:7" x14ac:dyDescent="0.25">
      <c r="B1024" s="33" t="s">
        <v>292</v>
      </c>
      <c r="C1024" s="33" t="s">
        <v>302</v>
      </c>
      <c r="D1024" s="33" t="s">
        <v>11192</v>
      </c>
      <c r="E1024" s="33" t="s">
        <v>302</v>
      </c>
      <c r="F1024" s="33" t="s">
        <v>302</v>
      </c>
      <c r="G1024" s="33" t="s">
        <v>945</v>
      </c>
    </row>
    <row r="1025" spans="2:7" x14ac:dyDescent="0.25">
      <c r="B1025" s="33" t="s">
        <v>292</v>
      </c>
      <c r="C1025" s="33" t="s">
        <v>302</v>
      </c>
      <c r="D1025" s="33" t="s">
        <v>11193</v>
      </c>
      <c r="E1025" s="33" t="s">
        <v>302</v>
      </c>
      <c r="F1025" s="33" t="s">
        <v>302</v>
      </c>
      <c r="G1025" s="33" t="s">
        <v>616</v>
      </c>
    </row>
    <row r="1026" spans="2:7" x14ac:dyDescent="0.25">
      <c r="B1026" s="33" t="s">
        <v>294</v>
      </c>
      <c r="C1026" s="33" t="s">
        <v>302</v>
      </c>
      <c r="D1026" s="33" t="s">
        <v>1475</v>
      </c>
      <c r="E1026" s="33" t="s">
        <v>302</v>
      </c>
      <c r="F1026" s="33" t="s">
        <v>302</v>
      </c>
      <c r="G1026" s="33" t="s">
        <v>271</v>
      </c>
    </row>
    <row r="1027" spans="2:7" x14ac:dyDescent="0.25">
      <c r="B1027" s="33" t="s">
        <v>293</v>
      </c>
      <c r="C1027" s="33" t="s">
        <v>302</v>
      </c>
      <c r="D1027" s="33" t="s">
        <v>1475</v>
      </c>
      <c r="E1027" s="33" t="s">
        <v>302</v>
      </c>
      <c r="F1027" s="33" t="s">
        <v>302</v>
      </c>
      <c r="G1027" s="33" t="s">
        <v>271</v>
      </c>
    </row>
    <row r="1028" spans="2:7" x14ac:dyDescent="0.25">
      <c r="B1028" s="33" t="s">
        <v>292</v>
      </c>
      <c r="C1028" s="33" t="s">
        <v>302</v>
      </c>
      <c r="D1028" s="33" t="s">
        <v>11194</v>
      </c>
      <c r="E1028" s="33" t="s">
        <v>302</v>
      </c>
      <c r="F1028" s="33" t="s">
        <v>302</v>
      </c>
      <c r="G1028" s="33" t="s">
        <v>975</v>
      </c>
    </row>
    <row r="1029" spans="2:7" x14ac:dyDescent="0.25">
      <c r="B1029" s="33" t="s">
        <v>292</v>
      </c>
      <c r="C1029" s="33" t="s">
        <v>302</v>
      </c>
      <c r="D1029" s="33" t="s">
        <v>11195</v>
      </c>
      <c r="E1029" s="33" t="s">
        <v>302</v>
      </c>
      <c r="F1029" s="33" t="s">
        <v>302</v>
      </c>
      <c r="G1029" s="33" t="s">
        <v>454</v>
      </c>
    </row>
    <row r="1030" spans="2:7" x14ac:dyDescent="0.25">
      <c r="B1030" s="33" t="s">
        <v>292</v>
      </c>
      <c r="C1030" s="33" t="s">
        <v>302</v>
      </c>
      <c r="D1030" s="33" t="s">
        <v>11196</v>
      </c>
      <c r="E1030" s="33" t="s">
        <v>302</v>
      </c>
      <c r="F1030" s="33" t="s">
        <v>302</v>
      </c>
      <c r="G1030" s="33" t="s">
        <v>381</v>
      </c>
    </row>
    <row r="1031" spans="2:7" x14ac:dyDescent="0.25">
      <c r="B1031" s="33" t="s">
        <v>292</v>
      </c>
      <c r="C1031" s="33" t="s">
        <v>302</v>
      </c>
      <c r="D1031" s="33" t="s">
        <v>11197</v>
      </c>
      <c r="E1031" s="33" t="s">
        <v>302</v>
      </c>
      <c r="F1031" s="33" t="s">
        <v>302</v>
      </c>
      <c r="G1031" s="33" t="s">
        <v>1184</v>
      </c>
    </row>
    <row r="1032" spans="2:7" x14ac:dyDescent="0.25">
      <c r="B1032" s="33" t="s">
        <v>292</v>
      </c>
      <c r="C1032" s="33" t="s">
        <v>302</v>
      </c>
      <c r="D1032" s="33" t="s">
        <v>11198</v>
      </c>
      <c r="E1032" s="33" t="s">
        <v>302</v>
      </c>
      <c r="F1032" s="33" t="s">
        <v>302</v>
      </c>
      <c r="G1032" s="33" t="s">
        <v>532</v>
      </c>
    </row>
    <row r="1033" spans="2:7" x14ac:dyDescent="0.25">
      <c r="B1033" s="33" t="s">
        <v>292</v>
      </c>
      <c r="C1033" s="33" t="s">
        <v>302</v>
      </c>
      <c r="D1033" s="33" t="s">
        <v>11199</v>
      </c>
      <c r="E1033" s="33" t="s">
        <v>302</v>
      </c>
      <c r="F1033" s="33" t="s">
        <v>302</v>
      </c>
      <c r="G1033" s="33" t="s">
        <v>488</v>
      </c>
    </row>
    <row r="1034" spans="2:7" x14ac:dyDescent="0.25">
      <c r="B1034" s="33" t="s">
        <v>292</v>
      </c>
      <c r="C1034" s="33" t="s">
        <v>302</v>
      </c>
      <c r="D1034" s="33" t="s">
        <v>11200</v>
      </c>
      <c r="E1034" s="33" t="s">
        <v>302</v>
      </c>
      <c r="F1034" s="33" t="s">
        <v>302</v>
      </c>
      <c r="G1034" s="33" t="s">
        <v>1014</v>
      </c>
    </row>
    <row r="1035" spans="2:7" x14ac:dyDescent="0.25">
      <c r="B1035" s="33" t="s">
        <v>292</v>
      </c>
      <c r="C1035" s="33" t="s">
        <v>302</v>
      </c>
      <c r="D1035" s="33" t="s">
        <v>11201</v>
      </c>
      <c r="E1035" s="33" t="s">
        <v>302</v>
      </c>
      <c r="F1035" s="33" t="s">
        <v>302</v>
      </c>
      <c r="G1035" s="33" t="s">
        <v>884</v>
      </c>
    </row>
    <row r="1036" spans="2:7" x14ac:dyDescent="0.25">
      <c r="B1036" s="33" t="s">
        <v>292</v>
      </c>
      <c r="C1036" s="33" t="s">
        <v>302</v>
      </c>
      <c r="D1036" s="33" t="s">
        <v>11202</v>
      </c>
      <c r="E1036" s="33" t="s">
        <v>302</v>
      </c>
      <c r="F1036" s="33" t="s">
        <v>302</v>
      </c>
      <c r="G1036" s="33" t="s">
        <v>1171</v>
      </c>
    </row>
    <row r="1037" spans="2:7" x14ac:dyDescent="0.25">
      <c r="B1037" s="33" t="s">
        <v>292</v>
      </c>
      <c r="C1037" s="33" t="s">
        <v>302</v>
      </c>
      <c r="D1037" s="33" t="s">
        <v>11203</v>
      </c>
      <c r="E1037" s="33" t="s">
        <v>302</v>
      </c>
      <c r="F1037" s="33" t="s">
        <v>302</v>
      </c>
      <c r="G1037" s="33" t="s">
        <v>952</v>
      </c>
    </row>
    <row r="1038" spans="2:7" x14ac:dyDescent="0.25">
      <c r="B1038" s="33" t="s">
        <v>292</v>
      </c>
      <c r="C1038" s="33" t="s">
        <v>302</v>
      </c>
      <c r="D1038" s="33" t="s">
        <v>11204</v>
      </c>
      <c r="E1038" s="33" t="s">
        <v>302</v>
      </c>
      <c r="F1038" s="33" t="s">
        <v>302</v>
      </c>
      <c r="G1038" s="33" t="s">
        <v>858</v>
      </c>
    </row>
    <row r="1039" spans="2:7" x14ac:dyDescent="0.25">
      <c r="B1039" s="33" t="s">
        <v>293</v>
      </c>
      <c r="C1039" s="33" t="s">
        <v>302</v>
      </c>
      <c r="D1039" s="33" t="s">
        <v>1434</v>
      </c>
      <c r="E1039" s="33" t="s">
        <v>302</v>
      </c>
      <c r="F1039" s="33" t="s">
        <v>302</v>
      </c>
      <c r="G1039" s="33" t="s">
        <v>276</v>
      </c>
    </row>
    <row r="1040" spans="2:7" x14ac:dyDescent="0.25">
      <c r="B1040" s="33" t="s">
        <v>294</v>
      </c>
      <c r="C1040" s="33" t="s">
        <v>302</v>
      </c>
      <c r="D1040" s="33" t="s">
        <v>1434</v>
      </c>
      <c r="E1040" s="33" t="s">
        <v>302</v>
      </c>
      <c r="F1040" s="33" t="s">
        <v>302</v>
      </c>
      <c r="G1040" s="33" t="s">
        <v>276</v>
      </c>
    </row>
    <row r="1041" spans="2:7" x14ac:dyDescent="0.25">
      <c r="B1041" s="33" t="s">
        <v>294</v>
      </c>
      <c r="C1041" s="33" t="s">
        <v>302</v>
      </c>
      <c r="D1041" s="33" t="s">
        <v>1395</v>
      </c>
      <c r="E1041" s="33" t="s">
        <v>302</v>
      </c>
      <c r="F1041" s="33" t="s">
        <v>302</v>
      </c>
      <c r="G1041" s="33" t="s">
        <v>249</v>
      </c>
    </row>
    <row r="1042" spans="2:7" x14ac:dyDescent="0.25">
      <c r="B1042" s="33" t="s">
        <v>293</v>
      </c>
      <c r="C1042" s="33" t="s">
        <v>302</v>
      </c>
      <c r="D1042" s="33" t="s">
        <v>1395</v>
      </c>
      <c r="E1042" s="33" t="s">
        <v>302</v>
      </c>
      <c r="F1042" s="33" t="s">
        <v>302</v>
      </c>
      <c r="G1042" s="33" t="s">
        <v>249</v>
      </c>
    </row>
    <row r="1043" spans="2:7" x14ac:dyDescent="0.25">
      <c r="B1043" s="33" t="s">
        <v>294</v>
      </c>
      <c r="C1043" s="33" t="s">
        <v>302</v>
      </c>
      <c r="D1043" s="33" t="s">
        <v>1419</v>
      </c>
      <c r="E1043" s="33" t="s">
        <v>302</v>
      </c>
      <c r="F1043" s="33" t="s">
        <v>302</v>
      </c>
      <c r="G1043" s="33" t="s">
        <v>240</v>
      </c>
    </row>
    <row r="1044" spans="2:7" x14ac:dyDescent="0.25">
      <c r="B1044" s="33" t="s">
        <v>293</v>
      </c>
      <c r="C1044" s="33" t="s">
        <v>302</v>
      </c>
      <c r="D1044" s="33" t="s">
        <v>1419</v>
      </c>
      <c r="E1044" s="33" t="s">
        <v>302</v>
      </c>
      <c r="F1044" s="33" t="s">
        <v>302</v>
      </c>
      <c r="G1044" s="33" t="s">
        <v>240</v>
      </c>
    </row>
    <row r="1045" spans="2:7" x14ac:dyDescent="0.25">
      <c r="B1045" s="33" t="s">
        <v>293</v>
      </c>
      <c r="C1045" s="33" t="s">
        <v>302</v>
      </c>
      <c r="D1045" s="33" t="s">
        <v>1384</v>
      </c>
      <c r="E1045" s="33" t="s">
        <v>302</v>
      </c>
      <c r="F1045" s="33" t="s">
        <v>302</v>
      </c>
      <c r="G1045" s="33" t="s">
        <v>264</v>
      </c>
    </row>
    <row r="1046" spans="2:7" x14ac:dyDescent="0.25">
      <c r="B1046" s="33" t="s">
        <v>294</v>
      </c>
      <c r="C1046" s="33" t="s">
        <v>302</v>
      </c>
      <c r="D1046" s="33" t="s">
        <v>1384</v>
      </c>
      <c r="E1046" s="33" t="s">
        <v>302</v>
      </c>
      <c r="F1046" s="33" t="s">
        <v>302</v>
      </c>
      <c r="G1046" s="33" t="s">
        <v>264</v>
      </c>
    </row>
    <row r="1047" spans="2:7" x14ac:dyDescent="0.25">
      <c r="B1047" s="33" t="s">
        <v>292</v>
      </c>
      <c r="C1047" s="33" t="s">
        <v>302</v>
      </c>
      <c r="D1047" s="33" t="s">
        <v>11205</v>
      </c>
      <c r="E1047" s="33" t="s">
        <v>302</v>
      </c>
      <c r="F1047" s="33" t="s">
        <v>302</v>
      </c>
      <c r="G1047" s="33" t="s">
        <v>782</v>
      </c>
    </row>
    <row r="1048" spans="2:7" x14ac:dyDescent="0.25">
      <c r="B1048" s="33" t="s">
        <v>292</v>
      </c>
      <c r="C1048" s="33" t="s">
        <v>302</v>
      </c>
      <c r="D1048" s="33" t="s">
        <v>11206</v>
      </c>
      <c r="E1048" s="33" t="s">
        <v>302</v>
      </c>
      <c r="F1048" s="33" t="s">
        <v>302</v>
      </c>
      <c r="G1048" s="33" t="s">
        <v>690</v>
      </c>
    </row>
    <row r="1049" spans="2:7" x14ac:dyDescent="0.25">
      <c r="B1049" s="33" t="s">
        <v>292</v>
      </c>
      <c r="C1049" s="33" t="s">
        <v>302</v>
      </c>
      <c r="D1049" s="33" t="s">
        <v>11207</v>
      </c>
      <c r="E1049" s="33" t="s">
        <v>302</v>
      </c>
      <c r="F1049" s="33" t="s">
        <v>302</v>
      </c>
      <c r="G1049" s="33" t="s">
        <v>412</v>
      </c>
    </row>
    <row r="1050" spans="2:7" x14ac:dyDescent="0.25">
      <c r="B1050" s="33" t="s">
        <v>294</v>
      </c>
      <c r="C1050" s="33" t="s">
        <v>302</v>
      </c>
      <c r="D1050" s="33" t="s">
        <v>1407</v>
      </c>
      <c r="E1050" s="33" t="s">
        <v>302</v>
      </c>
      <c r="F1050" s="33" t="s">
        <v>302</v>
      </c>
      <c r="G1050" s="33" t="s">
        <v>280</v>
      </c>
    </row>
    <row r="1051" spans="2:7" x14ac:dyDescent="0.25">
      <c r="B1051" s="33" t="s">
        <v>293</v>
      </c>
      <c r="C1051" s="33" t="s">
        <v>302</v>
      </c>
      <c r="D1051" s="33" t="s">
        <v>1407</v>
      </c>
      <c r="E1051" s="33" t="s">
        <v>302</v>
      </c>
      <c r="F1051" s="33" t="s">
        <v>302</v>
      </c>
      <c r="G1051" s="33" t="s">
        <v>280</v>
      </c>
    </row>
    <row r="1052" spans="2:7" x14ac:dyDescent="0.25">
      <c r="B1052" s="33" t="s">
        <v>294</v>
      </c>
      <c r="C1052" s="33" t="s">
        <v>302</v>
      </c>
      <c r="D1052" s="33" t="s">
        <v>1437</v>
      </c>
      <c r="E1052" s="33" t="s">
        <v>302</v>
      </c>
      <c r="F1052" s="33" t="s">
        <v>302</v>
      </c>
      <c r="G1052" s="33" t="s">
        <v>217</v>
      </c>
    </row>
    <row r="1053" spans="2:7" x14ac:dyDescent="0.25">
      <c r="B1053" s="33" t="s">
        <v>293</v>
      </c>
      <c r="C1053" s="33" t="s">
        <v>302</v>
      </c>
      <c r="D1053" s="33" t="s">
        <v>1437</v>
      </c>
      <c r="E1053" s="33" t="s">
        <v>302</v>
      </c>
      <c r="F1053" s="33" t="s">
        <v>302</v>
      </c>
      <c r="G1053" s="33" t="s">
        <v>217</v>
      </c>
    </row>
    <row r="1054" spans="2:7" x14ac:dyDescent="0.25">
      <c r="B1054" s="33" t="s">
        <v>293</v>
      </c>
      <c r="C1054" s="33" t="s">
        <v>302</v>
      </c>
      <c r="D1054" s="33" t="s">
        <v>11208</v>
      </c>
      <c r="E1054" s="33" t="s">
        <v>302</v>
      </c>
      <c r="F1054" s="33" t="s">
        <v>302</v>
      </c>
      <c r="G1054" s="33" t="s">
        <v>11336</v>
      </c>
    </row>
    <row r="1055" spans="2:7" x14ac:dyDescent="0.25">
      <c r="B1055" s="33" t="s">
        <v>293</v>
      </c>
      <c r="C1055" s="33" t="s">
        <v>302</v>
      </c>
      <c r="D1055" s="33" t="s">
        <v>11209</v>
      </c>
      <c r="E1055" s="33" t="s">
        <v>302</v>
      </c>
      <c r="F1055" s="33" t="s">
        <v>302</v>
      </c>
      <c r="G1055" s="33" t="s">
        <v>11337</v>
      </c>
    </row>
    <row r="1056" spans="2:7" x14ac:dyDescent="0.25">
      <c r="B1056" s="33" t="s">
        <v>293</v>
      </c>
      <c r="C1056" s="33" t="s">
        <v>302</v>
      </c>
      <c r="D1056" s="33" t="s">
        <v>11210</v>
      </c>
      <c r="E1056" s="33" t="s">
        <v>302</v>
      </c>
      <c r="F1056" s="33" t="s">
        <v>302</v>
      </c>
      <c r="G1056" s="33" t="s">
        <v>11338</v>
      </c>
    </row>
    <row r="1057" spans="2:7" x14ac:dyDescent="0.25">
      <c r="B1057" s="33" t="s">
        <v>293</v>
      </c>
      <c r="C1057" s="33" t="s">
        <v>302</v>
      </c>
      <c r="D1057" s="33" t="s">
        <v>11211</v>
      </c>
      <c r="E1057" s="33" t="s">
        <v>302</v>
      </c>
      <c r="F1057" s="33" t="s">
        <v>302</v>
      </c>
      <c r="G1057" s="33" t="s">
        <v>11339</v>
      </c>
    </row>
    <row r="1058" spans="2:7" x14ac:dyDescent="0.25">
      <c r="B1058" s="33" t="s">
        <v>293</v>
      </c>
      <c r="C1058" s="33" t="s">
        <v>302</v>
      </c>
      <c r="D1058" s="33" t="s">
        <v>11212</v>
      </c>
      <c r="E1058" s="33" t="s">
        <v>302</v>
      </c>
      <c r="F1058" s="33" t="s">
        <v>302</v>
      </c>
      <c r="G1058" s="33" t="s">
        <v>11340</v>
      </c>
    </row>
    <row r="1059" spans="2:7" x14ac:dyDescent="0.25">
      <c r="B1059" s="33" t="s">
        <v>293</v>
      </c>
      <c r="C1059" s="33" t="s">
        <v>302</v>
      </c>
      <c r="D1059" s="33" t="s">
        <v>11213</v>
      </c>
      <c r="E1059" s="33" t="s">
        <v>302</v>
      </c>
      <c r="F1059" s="33" t="s">
        <v>302</v>
      </c>
      <c r="G1059" s="33" t="s">
        <v>11341</v>
      </c>
    </row>
    <row r="1060" spans="2:7" x14ac:dyDescent="0.25">
      <c r="B1060" s="33" t="s">
        <v>293</v>
      </c>
      <c r="C1060" s="33" t="s">
        <v>302</v>
      </c>
      <c r="D1060" s="33" t="s">
        <v>1482</v>
      </c>
      <c r="E1060" s="33" t="s">
        <v>302</v>
      </c>
      <c r="F1060" s="33" t="s">
        <v>302</v>
      </c>
      <c r="G1060" s="33" t="s">
        <v>228</v>
      </c>
    </row>
    <row r="1061" spans="2:7" x14ac:dyDescent="0.25">
      <c r="B1061" s="33" t="s">
        <v>294</v>
      </c>
      <c r="C1061" s="33" t="s">
        <v>302</v>
      </c>
      <c r="D1061" s="33" t="s">
        <v>1482</v>
      </c>
      <c r="E1061" s="33" t="s">
        <v>302</v>
      </c>
      <c r="F1061" s="33" t="s">
        <v>302</v>
      </c>
      <c r="G1061" s="33" t="s">
        <v>228</v>
      </c>
    </row>
    <row r="1062" spans="2:7" x14ac:dyDescent="0.25">
      <c r="B1062" s="33" t="s">
        <v>294</v>
      </c>
      <c r="C1062" s="33" t="s">
        <v>302</v>
      </c>
      <c r="D1062" s="33" t="s">
        <v>1457</v>
      </c>
      <c r="E1062" s="33" t="s">
        <v>302</v>
      </c>
      <c r="F1062" s="33" t="s">
        <v>302</v>
      </c>
      <c r="G1062" s="33" t="s">
        <v>242</v>
      </c>
    </row>
    <row r="1063" spans="2:7" x14ac:dyDescent="0.25">
      <c r="B1063" s="33" t="s">
        <v>293</v>
      </c>
      <c r="C1063" s="33" t="s">
        <v>302</v>
      </c>
      <c r="D1063" s="33" t="s">
        <v>1457</v>
      </c>
      <c r="E1063" s="33" t="s">
        <v>302</v>
      </c>
      <c r="F1063" s="33" t="s">
        <v>302</v>
      </c>
      <c r="G1063" s="33" t="s">
        <v>242</v>
      </c>
    </row>
    <row r="1064" spans="2:7" x14ac:dyDescent="0.25">
      <c r="B1064" s="33" t="s">
        <v>293</v>
      </c>
      <c r="C1064" s="33" t="s">
        <v>302</v>
      </c>
      <c r="D1064" s="33" t="s">
        <v>11214</v>
      </c>
      <c r="E1064" s="33" t="s">
        <v>302</v>
      </c>
      <c r="F1064" s="33" t="s">
        <v>302</v>
      </c>
      <c r="G1064" s="33" t="s">
        <v>11342</v>
      </c>
    </row>
    <row r="1065" spans="2:7" x14ac:dyDescent="0.25">
      <c r="B1065" s="33" t="s">
        <v>293</v>
      </c>
      <c r="C1065" s="33" t="s">
        <v>302</v>
      </c>
      <c r="D1065" s="33" t="s">
        <v>11215</v>
      </c>
      <c r="E1065" s="33" t="s">
        <v>302</v>
      </c>
      <c r="F1065" s="33" t="s">
        <v>302</v>
      </c>
      <c r="G1065" s="33" t="s">
        <v>11343</v>
      </c>
    </row>
    <row r="1066" spans="2:7" x14ac:dyDescent="0.25">
      <c r="B1066" s="33" t="s">
        <v>293</v>
      </c>
      <c r="C1066" s="33" t="s">
        <v>302</v>
      </c>
      <c r="D1066" s="33" t="s">
        <v>11216</v>
      </c>
      <c r="E1066" s="33" t="s">
        <v>302</v>
      </c>
      <c r="F1066" s="33" t="s">
        <v>302</v>
      </c>
      <c r="G1066" s="33" t="s">
        <v>11344</v>
      </c>
    </row>
    <row r="1067" spans="2:7" x14ac:dyDescent="0.25">
      <c r="B1067" s="33" t="s">
        <v>293</v>
      </c>
      <c r="C1067" s="33" t="s">
        <v>302</v>
      </c>
      <c r="D1067" s="33" t="s">
        <v>11217</v>
      </c>
      <c r="E1067" s="33" t="s">
        <v>302</v>
      </c>
      <c r="F1067" s="33" t="s">
        <v>302</v>
      </c>
      <c r="G1067" s="33" t="s">
        <v>11345</v>
      </c>
    </row>
    <row r="1068" spans="2:7" x14ac:dyDescent="0.25">
      <c r="B1068" s="33" t="s">
        <v>293</v>
      </c>
      <c r="C1068" s="33" t="s">
        <v>302</v>
      </c>
      <c r="D1068" s="33" t="s">
        <v>1452</v>
      </c>
      <c r="E1068" s="33" t="s">
        <v>302</v>
      </c>
      <c r="F1068" s="33" t="s">
        <v>302</v>
      </c>
      <c r="G1068" s="33" t="s">
        <v>270</v>
      </c>
    </row>
    <row r="1069" spans="2:7" x14ac:dyDescent="0.25">
      <c r="B1069" s="33" t="s">
        <v>294</v>
      </c>
      <c r="C1069" s="33" t="s">
        <v>302</v>
      </c>
      <c r="D1069" s="33" t="s">
        <v>1452</v>
      </c>
      <c r="E1069" s="33" t="s">
        <v>302</v>
      </c>
      <c r="F1069" s="33" t="s">
        <v>302</v>
      </c>
      <c r="G1069" s="33" t="s">
        <v>270</v>
      </c>
    </row>
    <row r="1070" spans="2:7" x14ac:dyDescent="0.25">
      <c r="B1070" s="33" t="s">
        <v>293</v>
      </c>
      <c r="C1070" s="33" t="s">
        <v>302</v>
      </c>
      <c r="D1070" s="33" t="s">
        <v>11218</v>
      </c>
      <c r="E1070" s="33" t="s">
        <v>302</v>
      </c>
      <c r="F1070" s="33" t="s">
        <v>302</v>
      </c>
      <c r="G1070" s="33" t="s">
        <v>11346</v>
      </c>
    </row>
    <row r="1071" spans="2:7" x14ac:dyDescent="0.25">
      <c r="B1071" s="33" t="s">
        <v>294</v>
      </c>
      <c r="C1071" s="33" t="s">
        <v>302</v>
      </c>
      <c r="D1071" s="33" t="s">
        <v>1427</v>
      </c>
      <c r="E1071" s="33" t="s">
        <v>302</v>
      </c>
      <c r="F1071" s="33" t="s">
        <v>302</v>
      </c>
      <c r="G1071" s="33" t="s">
        <v>237</v>
      </c>
    </row>
    <row r="1072" spans="2:7" x14ac:dyDescent="0.25">
      <c r="B1072" s="33" t="s">
        <v>293</v>
      </c>
      <c r="C1072" s="33" t="s">
        <v>302</v>
      </c>
      <c r="D1072" s="33" t="s">
        <v>1427</v>
      </c>
      <c r="E1072" s="33" t="s">
        <v>302</v>
      </c>
      <c r="F1072" s="33" t="s">
        <v>302</v>
      </c>
      <c r="G1072" s="33" t="s">
        <v>237</v>
      </c>
    </row>
    <row r="1073" spans="2:7" x14ac:dyDescent="0.25">
      <c r="B1073" s="33" t="s">
        <v>293</v>
      </c>
      <c r="C1073" s="33" t="s">
        <v>302</v>
      </c>
      <c r="D1073" s="33" t="s">
        <v>11219</v>
      </c>
      <c r="E1073" s="33" t="s">
        <v>302</v>
      </c>
      <c r="F1073" s="33" t="s">
        <v>302</v>
      </c>
      <c r="G1073" s="33" t="s">
        <v>11347</v>
      </c>
    </row>
    <row r="1074" spans="2:7" x14ac:dyDescent="0.25">
      <c r="B1074" s="33" t="s">
        <v>293</v>
      </c>
      <c r="C1074" s="33" t="s">
        <v>302</v>
      </c>
      <c r="D1074" s="33" t="s">
        <v>11220</v>
      </c>
      <c r="E1074" s="33" t="s">
        <v>302</v>
      </c>
      <c r="F1074" s="33" t="s">
        <v>302</v>
      </c>
      <c r="G1074" s="33" t="s">
        <v>11348</v>
      </c>
    </row>
    <row r="1075" spans="2:7" x14ac:dyDescent="0.25">
      <c r="B1075" s="33" t="s">
        <v>294</v>
      </c>
      <c r="C1075" s="33" t="s">
        <v>302</v>
      </c>
      <c r="D1075" s="33" t="s">
        <v>1396</v>
      </c>
      <c r="E1075" s="33" t="s">
        <v>302</v>
      </c>
      <c r="F1075" s="33" t="s">
        <v>302</v>
      </c>
      <c r="G1075" s="33" t="s">
        <v>199</v>
      </c>
    </row>
    <row r="1076" spans="2:7" x14ac:dyDescent="0.25">
      <c r="B1076" s="33" t="s">
        <v>293</v>
      </c>
      <c r="C1076" s="33" t="s">
        <v>302</v>
      </c>
      <c r="D1076" s="33" t="s">
        <v>1396</v>
      </c>
      <c r="E1076" s="33" t="s">
        <v>302</v>
      </c>
      <c r="F1076" s="33" t="s">
        <v>302</v>
      </c>
      <c r="G1076" s="33" t="s">
        <v>199</v>
      </c>
    </row>
    <row r="1077" spans="2:7" x14ac:dyDescent="0.25">
      <c r="B1077" s="33" t="s">
        <v>294</v>
      </c>
      <c r="C1077" s="33" t="s">
        <v>302</v>
      </c>
      <c r="D1077" s="33" t="s">
        <v>11221</v>
      </c>
      <c r="E1077" s="33" t="s">
        <v>302</v>
      </c>
      <c r="F1077" s="33" t="s">
        <v>302</v>
      </c>
      <c r="G1077" s="33" t="s">
        <v>11349</v>
      </c>
    </row>
    <row r="1078" spans="2:7" x14ac:dyDescent="0.25">
      <c r="B1078" s="33" t="s">
        <v>294</v>
      </c>
      <c r="C1078" s="33" t="s">
        <v>302</v>
      </c>
      <c r="D1078" s="33" t="s">
        <v>11222</v>
      </c>
      <c r="E1078" s="33" t="s">
        <v>302</v>
      </c>
      <c r="F1078" s="33" t="s">
        <v>302</v>
      </c>
      <c r="G1078" s="33" t="s">
        <v>11350</v>
      </c>
    </row>
    <row r="1079" spans="2:7" x14ac:dyDescent="0.25">
      <c r="B1079" s="33" t="s">
        <v>294</v>
      </c>
      <c r="C1079" s="33" t="s">
        <v>302</v>
      </c>
      <c r="D1079" s="33" t="s">
        <v>11223</v>
      </c>
      <c r="E1079" s="33" t="s">
        <v>302</v>
      </c>
      <c r="F1079" s="33" t="s">
        <v>302</v>
      </c>
      <c r="G1079" s="33" t="s">
        <v>11351</v>
      </c>
    </row>
    <row r="1080" spans="2:7" x14ac:dyDescent="0.25">
      <c r="B1080" s="33" t="s">
        <v>294</v>
      </c>
      <c r="C1080" s="33" t="s">
        <v>302</v>
      </c>
      <c r="D1080" s="33" t="s">
        <v>11224</v>
      </c>
      <c r="E1080" s="33" t="s">
        <v>302</v>
      </c>
      <c r="F1080" s="33" t="s">
        <v>302</v>
      </c>
      <c r="G1080" s="33" t="s">
        <v>11352</v>
      </c>
    </row>
    <row r="1081" spans="2:7" x14ac:dyDescent="0.25">
      <c r="B1081" s="33" t="s">
        <v>294</v>
      </c>
      <c r="C1081" s="33" t="s">
        <v>302</v>
      </c>
      <c r="D1081" s="33" t="s">
        <v>11225</v>
      </c>
      <c r="E1081" s="33" t="s">
        <v>302</v>
      </c>
      <c r="F1081" s="33" t="s">
        <v>302</v>
      </c>
      <c r="G1081" s="33" t="s">
        <v>11353</v>
      </c>
    </row>
    <row r="1082" spans="2:7" x14ac:dyDescent="0.25">
      <c r="B1082" s="33" t="s">
        <v>294</v>
      </c>
      <c r="C1082" s="33" t="s">
        <v>302</v>
      </c>
      <c r="D1082" s="33" t="s">
        <v>11226</v>
      </c>
      <c r="E1082" s="33" t="s">
        <v>302</v>
      </c>
      <c r="F1082" s="33" t="s">
        <v>302</v>
      </c>
      <c r="G1082" s="33" t="s">
        <v>11354</v>
      </c>
    </row>
    <row r="1083" spans="2:7" x14ac:dyDescent="0.25">
      <c r="B1083" s="33" t="s">
        <v>294</v>
      </c>
      <c r="C1083" s="33" t="s">
        <v>302</v>
      </c>
      <c r="D1083" s="33" t="s">
        <v>11227</v>
      </c>
      <c r="E1083" s="33" t="s">
        <v>302</v>
      </c>
      <c r="F1083" s="33" t="s">
        <v>302</v>
      </c>
      <c r="G1083" s="33" t="s">
        <v>11355</v>
      </c>
    </row>
    <row r="1084" spans="2:7" x14ac:dyDescent="0.25">
      <c r="B1084" s="33" t="s">
        <v>294</v>
      </c>
      <c r="C1084" s="33" t="s">
        <v>302</v>
      </c>
      <c r="D1084" s="33" t="s">
        <v>11228</v>
      </c>
      <c r="E1084" s="33" t="s">
        <v>302</v>
      </c>
      <c r="F1084" s="33" t="s">
        <v>302</v>
      </c>
      <c r="G1084" s="33" t="s">
        <v>11356</v>
      </c>
    </row>
    <row r="1085" spans="2:7" x14ac:dyDescent="0.25">
      <c r="B1085" s="33" t="s">
        <v>294</v>
      </c>
      <c r="C1085" s="33" t="s">
        <v>302</v>
      </c>
      <c r="D1085" s="33" t="s">
        <v>11229</v>
      </c>
      <c r="E1085" s="33" t="s">
        <v>302</v>
      </c>
      <c r="F1085" s="33" t="s">
        <v>302</v>
      </c>
      <c r="G1085" s="33" t="s">
        <v>11357</v>
      </c>
    </row>
    <row r="1086" spans="2:7" x14ac:dyDescent="0.25">
      <c r="B1086" s="33" t="s">
        <v>294</v>
      </c>
      <c r="C1086" s="33" t="s">
        <v>302</v>
      </c>
      <c r="D1086" s="33" t="s">
        <v>11230</v>
      </c>
      <c r="E1086" s="33" t="s">
        <v>302</v>
      </c>
      <c r="F1086" s="33" t="s">
        <v>302</v>
      </c>
      <c r="G1086" s="33" t="s">
        <v>11358</v>
      </c>
    </row>
    <row r="1087" spans="2:7" x14ac:dyDescent="0.25">
      <c r="B1087" s="33" t="s">
        <v>296</v>
      </c>
      <c r="C1087" s="33" t="s">
        <v>302</v>
      </c>
      <c r="D1087" s="33" t="s">
        <v>11231</v>
      </c>
      <c r="E1087" s="33" t="s">
        <v>302</v>
      </c>
      <c r="F1087" s="33" t="s">
        <v>302</v>
      </c>
      <c r="G1087" s="33" t="s">
        <v>11359</v>
      </c>
    </row>
    <row r="1088" spans="2:7" x14ac:dyDescent="0.25">
      <c r="B1088" s="33" t="s">
        <v>294</v>
      </c>
      <c r="C1088" s="33" t="s">
        <v>302</v>
      </c>
      <c r="D1088" s="33" t="s">
        <v>11232</v>
      </c>
      <c r="E1088" s="33" t="s">
        <v>302</v>
      </c>
      <c r="F1088" s="33" t="s">
        <v>302</v>
      </c>
      <c r="G1088" s="33" t="s">
        <v>11360</v>
      </c>
    </row>
    <row r="1089" spans="2:7" x14ac:dyDescent="0.25">
      <c r="B1089" s="33" t="s">
        <v>294</v>
      </c>
      <c r="C1089" s="33" t="s">
        <v>302</v>
      </c>
      <c r="D1089" s="33" t="s">
        <v>11233</v>
      </c>
      <c r="E1089" s="33" t="s">
        <v>302</v>
      </c>
      <c r="F1089" s="33" t="s">
        <v>302</v>
      </c>
      <c r="G1089" s="33" t="s">
        <v>11361</v>
      </c>
    </row>
    <row r="1090" spans="2:7" x14ac:dyDescent="0.25">
      <c r="B1090" s="33" t="s">
        <v>294</v>
      </c>
      <c r="C1090" s="33" t="s">
        <v>302</v>
      </c>
      <c r="D1090" s="33" t="s">
        <v>11234</v>
      </c>
      <c r="E1090" s="33" t="s">
        <v>302</v>
      </c>
      <c r="F1090" s="33" t="s">
        <v>302</v>
      </c>
      <c r="G1090" s="33" t="s">
        <v>11362</v>
      </c>
    </row>
    <row r="1091" spans="2:7" x14ac:dyDescent="0.25">
      <c r="B1091" s="33" t="s">
        <v>294</v>
      </c>
      <c r="C1091" s="33" t="s">
        <v>302</v>
      </c>
      <c r="D1091" s="33" t="s">
        <v>11235</v>
      </c>
      <c r="E1091" s="33" t="s">
        <v>302</v>
      </c>
      <c r="F1091" s="33" t="s">
        <v>302</v>
      </c>
      <c r="G1091" s="33" t="s">
        <v>11363</v>
      </c>
    </row>
    <row r="1092" spans="2:7" x14ac:dyDescent="0.25">
      <c r="B1092" s="33" t="s">
        <v>294</v>
      </c>
      <c r="C1092" s="33" t="s">
        <v>302</v>
      </c>
      <c r="D1092" s="33" t="s">
        <v>11236</v>
      </c>
      <c r="E1092" s="33" t="s">
        <v>302</v>
      </c>
      <c r="F1092" s="33" t="s">
        <v>302</v>
      </c>
      <c r="G1092" s="33" t="s">
        <v>11364</v>
      </c>
    </row>
    <row r="1093" spans="2:7" x14ac:dyDescent="0.25">
      <c r="B1093" s="33" t="s">
        <v>294</v>
      </c>
      <c r="C1093" s="33" t="s">
        <v>302</v>
      </c>
      <c r="D1093" s="33" t="s">
        <v>11237</v>
      </c>
      <c r="E1093" s="33" t="s">
        <v>302</v>
      </c>
      <c r="F1093" s="33" t="s">
        <v>302</v>
      </c>
      <c r="G1093" s="33" t="s">
        <v>11365</v>
      </c>
    </row>
    <row r="1094" spans="2:7" x14ac:dyDescent="0.25">
      <c r="B1094" s="33" t="s">
        <v>294</v>
      </c>
      <c r="C1094" s="33" t="s">
        <v>302</v>
      </c>
      <c r="D1094" s="33" t="s">
        <v>11238</v>
      </c>
      <c r="E1094" s="33" t="s">
        <v>302</v>
      </c>
      <c r="F1094" s="33" t="s">
        <v>302</v>
      </c>
      <c r="G1094" s="33" t="s">
        <v>11366</v>
      </c>
    </row>
    <row r="1095" spans="2:7" x14ac:dyDescent="0.25">
      <c r="B1095" s="33" t="s">
        <v>294</v>
      </c>
      <c r="C1095" s="33" t="s">
        <v>302</v>
      </c>
      <c r="D1095" s="33" t="s">
        <v>11239</v>
      </c>
      <c r="E1095" s="33" t="s">
        <v>302</v>
      </c>
      <c r="F1095" s="33" t="s">
        <v>302</v>
      </c>
      <c r="G1095" s="33" t="s">
        <v>11367</v>
      </c>
    </row>
    <row r="1096" spans="2:7" x14ac:dyDescent="0.25">
      <c r="B1096" s="33" t="s">
        <v>294</v>
      </c>
      <c r="C1096" s="33" t="s">
        <v>302</v>
      </c>
      <c r="D1096" s="33" t="s">
        <v>11240</v>
      </c>
      <c r="E1096" s="33" t="s">
        <v>302</v>
      </c>
      <c r="F1096" s="33" t="s">
        <v>302</v>
      </c>
      <c r="G1096" s="33" t="s">
        <v>11368</v>
      </c>
    </row>
    <row r="1097" spans="2:7" x14ac:dyDescent="0.25">
      <c r="B1097" s="33" t="s">
        <v>294</v>
      </c>
      <c r="C1097" s="33" t="s">
        <v>302</v>
      </c>
      <c r="D1097" s="33" t="s">
        <v>11241</v>
      </c>
      <c r="E1097" s="33" t="s">
        <v>302</v>
      </c>
      <c r="F1097" s="33" t="s">
        <v>302</v>
      </c>
      <c r="G1097" s="33" t="s">
        <v>11369</v>
      </c>
    </row>
    <row r="1098" spans="2:7" x14ac:dyDescent="0.25">
      <c r="B1098" s="33" t="s">
        <v>296</v>
      </c>
      <c r="C1098" s="33" t="s">
        <v>302</v>
      </c>
      <c r="D1098" s="33" t="s">
        <v>11242</v>
      </c>
      <c r="E1098" s="33" t="s">
        <v>302</v>
      </c>
      <c r="F1098" s="33" t="s">
        <v>302</v>
      </c>
      <c r="G1098" s="33" t="s">
        <v>11370</v>
      </c>
    </row>
    <row r="1099" spans="2:7" x14ac:dyDescent="0.25">
      <c r="B1099" s="33" t="s">
        <v>294</v>
      </c>
      <c r="C1099" s="33" t="s">
        <v>302</v>
      </c>
      <c r="D1099" s="33" t="s">
        <v>11243</v>
      </c>
      <c r="E1099" s="33" t="s">
        <v>302</v>
      </c>
      <c r="F1099" s="33" t="s">
        <v>302</v>
      </c>
      <c r="G1099" s="33" t="s">
        <v>11371</v>
      </c>
    </row>
    <row r="1100" spans="2:7" x14ac:dyDescent="0.25">
      <c r="B1100" s="33" t="s">
        <v>296</v>
      </c>
      <c r="C1100" s="33" t="s">
        <v>302</v>
      </c>
      <c r="D1100" s="33" t="s">
        <v>11244</v>
      </c>
      <c r="E1100" s="33" t="s">
        <v>302</v>
      </c>
      <c r="F1100" s="33" t="s">
        <v>302</v>
      </c>
      <c r="G1100" s="33" t="s">
        <v>11372</v>
      </c>
    </row>
    <row r="1101" spans="2:7" x14ac:dyDescent="0.25">
      <c r="B1101" s="33" t="s">
        <v>296</v>
      </c>
      <c r="C1101" s="33" t="s">
        <v>302</v>
      </c>
      <c r="D1101" s="33" t="s">
        <v>11245</v>
      </c>
      <c r="E1101" s="33" t="s">
        <v>302</v>
      </c>
      <c r="F1101" s="33" t="s">
        <v>302</v>
      </c>
      <c r="G1101" s="33" t="s">
        <v>11373</v>
      </c>
    </row>
    <row r="1102" spans="2:7" x14ac:dyDescent="0.25">
      <c r="B1102" s="33" t="s">
        <v>296</v>
      </c>
      <c r="C1102" s="33" t="s">
        <v>302</v>
      </c>
      <c r="D1102" s="33" t="s">
        <v>11246</v>
      </c>
      <c r="E1102" s="33" t="s">
        <v>302</v>
      </c>
      <c r="F1102" s="33" t="s">
        <v>302</v>
      </c>
      <c r="G1102" s="33" t="s">
        <v>11374</v>
      </c>
    </row>
    <row r="1103" spans="2:7" x14ac:dyDescent="0.25">
      <c r="B1103" s="33" t="s">
        <v>296</v>
      </c>
      <c r="C1103" s="33" t="s">
        <v>302</v>
      </c>
      <c r="D1103" s="33" t="s">
        <v>11247</v>
      </c>
      <c r="E1103" s="33" t="s">
        <v>302</v>
      </c>
      <c r="F1103" s="33" t="s">
        <v>302</v>
      </c>
      <c r="G1103" s="33" t="s">
        <v>11375</v>
      </c>
    </row>
    <row r="1104" spans="2:7" x14ac:dyDescent="0.25">
      <c r="B1104" s="33" t="s">
        <v>296</v>
      </c>
      <c r="C1104" s="33" t="s">
        <v>302</v>
      </c>
      <c r="D1104" s="33" t="s">
        <v>11248</v>
      </c>
      <c r="E1104" s="33" t="s">
        <v>302</v>
      </c>
      <c r="F1104" s="33" t="s">
        <v>302</v>
      </c>
      <c r="G1104" s="33" t="s">
        <v>11376</v>
      </c>
    </row>
    <row r="1105" spans="2:7" x14ac:dyDescent="0.25">
      <c r="B1105" s="33" t="s">
        <v>296</v>
      </c>
      <c r="C1105" s="33" t="s">
        <v>302</v>
      </c>
      <c r="D1105" s="33" t="s">
        <v>11249</v>
      </c>
      <c r="E1105" s="33" t="s">
        <v>302</v>
      </c>
      <c r="F1105" s="33" t="s">
        <v>302</v>
      </c>
      <c r="G1105" s="33" t="s">
        <v>11377</v>
      </c>
    </row>
    <row r="1106" spans="2:7" x14ac:dyDescent="0.25">
      <c r="B1106" s="33" t="s">
        <v>296</v>
      </c>
      <c r="C1106" s="33" t="s">
        <v>302</v>
      </c>
      <c r="D1106" s="33" t="s">
        <v>11250</v>
      </c>
      <c r="E1106" s="33" t="s">
        <v>302</v>
      </c>
      <c r="F1106" s="33" t="s">
        <v>302</v>
      </c>
      <c r="G1106" s="33" t="s">
        <v>11378</v>
      </c>
    </row>
    <row r="1107" spans="2:7" x14ac:dyDescent="0.25">
      <c r="B1107" s="33" t="s">
        <v>296</v>
      </c>
      <c r="C1107" s="33" t="s">
        <v>302</v>
      </c>
      <c r="D1107" s="33" t="s">
        <v>11251</v>
      </c>
      <c r="E1107" s="33" t="s">
        <v>302</v>
      </c>
      <c r="F1107" s="33" t="s">
        <v>302</v>
      </c>
      <c r="G1107" s="33" t="s">
        <v>11379</v>
      </c>
    </row>
    <row r="1108" spans="2:7" x14ac:dyDescent="0.25">
      <c r="B1108" s="33" t="s">
        <v>296</v>
      </c>
      <c r="C1108" s="33" t="s">
        <v>302</v>
      </c>
      <c r="D1108" s="33" t="s">
        <v>11252</v>
      </c>
      <c r="E1108" s="33" t="s">
        <v>302</v>
      </c>
      <c r="F1108" s="33" t="s">
        <v>302</v>
      </c>
      <c r="G1108" s="33" t="s">
        <v>11380</v>
      </c>
    </row>
    <row r="1109" spans="2:7" x14ac:dyDescent="0.25">
      <c r="B1109" s="33" t="s">
        <v>296</v>
      </c>
      <c r="C1109" s="33" t="s">
        <v>302</v>
      </c>
      <c r="D1109" s="33" t="s">
        <v>11253</v>
      </c>
      <c r="E1109" s="33" t="s">
        <v>302</v>
      </c>
      <c r="F1109" s="33" t="s">
        <v>302</v>
      </c>
      <c r="G1109" s="33" t="s">
        <v>11381</v>
      </c>
    </row>
    <row r="1110" spans="2:7" x14ac:dyDescent="0.25">
      <c r="B1110" s="33" t="s">
        <v>296</v>
      </c>
      <c r="C1110" s="33" t="s">
        <v>302</v>
      </c>
      <c r="D1110" s="33" t="s">
        <v>11254</v>
      </c>
      <c r="E1110" s="33" t="s">
        <v>302</v>
      </c>
      <c r="F1110" s="33" t="s">
        <v>302</v>
      </c>
      <c r="G1110" s="33" t="s">
        <v>11382</v>
      </c>
    </row>
    <row r="1111" spans="2:7" x14ac:dyDescent="0.25">
      <c r="B1111" s="33" t="s">
        <v>296</v>
      </c>
      <c r="C1111" s="33" t="s">
        <v>302</v>
      </c>
      <c r="D1111" s="33" t="s">
        <v>11255</v>
      </c>
      <c r="E1111" s="33" t="s">
        <v>302</v>
      </c>
      <c r="F1111" s="33" t="s">
        <v>302</v>
      </c>
      <c r="G1111" s="33" t="s">
        <v>11383</v>
      </c>
    </row>
    <row r="1112" spans="2:7" x14ac:dyDescent="0.25">
      <c r="B1112" s="33" t="s">
        <v>296</v>
      </c>
      <c r="C1112" s="33" t="s">
        <v>302</v>
      </c>
      <c r="D1112" s="33" t="s">
        <v>11256</v>
      </c>
      <c r="E1112" s="33" t="s">
        <v>302</v>
      </c>
      <c r="F1112" s="33" t="s">
        <v>302</v>
      </c>
      <c r="G1112" s="33" t="s">
        <v>11384</v>
      </c>
    </row>
    <row r="1113" spans="2:7" x14ac:dyDescent="0.25">
      <c r="B1113" s="33" t="s">
        <v>296</v>
      </c>
      <c r="C1113" s="33" t="s">
        <v>302</v>
      </c>
      <c r="D1113" s="33" t="s">
        <v>11257</v>
      </c>
      <c r="E1113" s="33" t="s">
        <v>302</v>
      </c>
      <c r="F1113" s="33" t="s">
        <v>302</v>
      </c>
      <c r="G1113" s="33" t="s">
        <v>11385</v>
      </c>
    </row>
    <row r="1114" spans="2:7" x14ac:dyDescent="0.25">
      <c r="B1114" s="33" t="s">
        <v>296</v>
      </c>
      <c r="C1114" s="33" t="s">
        <v>302</v>
      </c>
      <c r="D1114" s="33" t="s">
        <v>11258</v>
      </c>
      <c r="E1114" s="33" t="s">
        <v>302</v>
      </c>
      <c r="F1114" s="33" t="s">
        <v>302</v>
      </c>
      <c r="G1114" s="33" t="s">
        <v>11386</v>
      </c>
    </row>
    <row r="1115" spans="2:7" x14ac:dyDescent="0.25">
      <c r="B1115" s="33" t="s">
        <v>296</v>
      </c>
      <c r="C1115" s="33" t="s">
        <v>302</v>
      </c>
      <c r="D1115" s="33" t="s">
        <v>11259</v>
      </c>
      <c r="E1115" s="33" t="s">
        <v>302</v>
      </c>
      <c r="F1115" s="33" t="s">
        <v>302</v>
      </c>
      <c r="G1115" s="33" t="s">
        <v>11387</v>
      </c>
    </row>
    <row r="1116" spans="2:7" x14ac:dyDescent="0.25">
      <c r="B1116" s="33" t="s">
        <v>296</v>
      </c>
      <c r="C1116" s="33" t="s">
        <v>302</v>
      </c>
      <c r="D1116" s="33" t="s">
        <v>11260</v>
      </c>
      <c r="E1116" s="33" t="s">
        <v>302</v>
      </c>
      <c r="F1116" s="33" t="s">
        <v>302</v>
      </c>
      <c r="G1116" s="33" t="s">
        <v>11388</v>
      </c>
    </row>
    <row r="1117" spans="2:7" x14ac:dyDescent="0.25">
      <c r="B1117" s="33" t="s">
        <v>296</v>
      </c>
      <c r="C1117" s="33" t="s">
        <v>302</v>
      </c>
      <c r="D1117" s="33" t="s">
        <v>11261</v>
      </c>
      <c r="E1117" s="33" t="s">
        <v>302</v>
      </c>
      <c r="F1117" s="33" t="s">
        <v>302</v>
      </c>
      <c r="G1117" s="33" t="s">
        <v>11389</v>
      </c>
    </row>
    <row r="1118" spans="2:7" x14ac:dyDescent="0.25">
      <c r="B1118" s="33" t="s">
        <v>296</v>
      </c>
      <c r="C1118" s="33" t="s">
        <v>302</v>
      </c>
      <c r="D1118" s="33" t="s">
        <v>11262</v>
      </c>
      <c r="E1118" s="33" t="s">
        <v>302</v>
      </c>
      <c r="F1118" s="33" t="s">
        <v>302</v>
      </c>
      <c r="G1118" s="33" t="s">
        <v>11390</v>
      </c>
    </row>
    <row r="1119" spans="2:7" x14ac:dyDescent="0.25">
      <c r="B1119" s="33" t="s">
        <v>296</v>
      </c>
      <c r="C1119" s="33" t="s">
        <v>302</v>
      </c>
      <c r="D1119" s="33" t="s">
        <v>11263</v>
      </c>
      <c r="E1119" s="33" t="s">
        <v>302</v>
      </c>
      <c r="F1119" s="33" t="s">
        <v>302</v>
      </c>
      <c r="G1119" s="33" t="s">
        <v>11391</v>
      </c>
    </row>
    <row r="1120" spans="2:7" x14ac:dyDescent="0.25">
      <c r="B1120" s="33" t="s">
        <v>296</v>
      </c>
      <c r="C1120" s="33" t="s">
        <v>302</v>
      </c>
      <c r="D1120" s="33" t="s">
        <v>11264</v>
      </c>
      <c r="E1120" s="33" t="s">
        <v>302</v>
      </c>
      <c r="F1120" s="33" t="s">
        <v>302</v>
      </c>
      <c r="G1120" s="33" t="s">
        <v>11392</v>
      </c>
    </row>
    <row r="1121" spans="2:7" x14ac:dyDescent="0.25">
      <c r="B1121" s="33" t="s">
        <v>296</v>
      </c>
      <c r="C1121" s="33" t="s">
        <v>302</v>
      </c>
      <c r="D1121" s="33" t="s">
        <v>11265</v>
      </c>
      <c r="E1121" s="33" t="s">
        <v>302</v>
      </c>
      <c r="F1121" s="33" t="s">
        <v>302</v>
      </c>
      <c r="G1121" s="33" t="s">
        <v>11393</v>
      </c>
    </row>
    <row r="1122" spans="2:7" x14ac:dyDescent="0.25">
      <c r="B1122" s="33" t="s">
        <v>296</v>
      </c>
      <c r="C1122" s="33" t="s">
        <v>302</v>
      </c>
      <c r="D1122" s="33" t="s">
        <v>11266</v>
      </c>
      <c r="E1122" s="33" t="s">
        <v>302</v>
      </c>
      <c r="F1122" s="33" t="s">
        <v>302</v>
      </c>
      <c r="G1122" s="33" t="s">
        <v>11394</v>
      </c>
    </row>
    <row r="1123" spans="2:7" x14ac:dyDescent="0.25">
      <c r="B1123" s="33" t="s">
        <v>296</v>
      </c>
      <c r="C1123" s="33" t="s">
        <v>302</v>
      </c>
      <c r="D1123" s="33" t="s">
        <v>11267</v>
      </c>
      <c r="E1123" s="33" t="s">
        <v>302</v>
      </c>
      <c r="F1123" s="33" t="s">
        <v>302</v>
      </c>
      <c r="G1123" s="33" t="s">
        <v>11395</v>
      </c>
    </row>
    <row r="1124" spans="2:7" x14ac:dyDescent="0.25">
      <c r="B1124" s="33" t="s">
        <v>296</v>
      </c>
      <c r="C1124" s="33" t="s">
        <v>302</v>
      </c>
      <c r="D1124" s="33" t="s">
        <v>11268</v>
      </c>
      <c r="E1124" s="33" t="s">
        <v>302</v>
      </c>
      <c r="F1124" s="33" t="s">
        <v>302</v>
      </c>
      <c r="G1124" s="33" t="s">
        <v>11396</v>
      </c>
    </row>
    <row r="1125" spans="2:7" x14ac:dyDescent="0.25">
      <c r="B1125" s="33" t="s">
        <v>10188</v>
      </c>
      <c r="C1125" s="33" t="s">
        <v>302</v>
      </c>
      <c r="D1125" s="33" t="s">
        <v>11269</v>
      </c>
      <c r="E1125" s="33" t="s">
        <v>302</v>
      </c>
      <c r="F1125" s="33" t="s">
        <v>302</v>
      </c>
      <c r="G1125" s="33" t="s">
        <v>11397</v>
      </c>
    </row>
    <row r="1126" spans="2:7" x14ac:dyDescent="0.25">
      <c r="B1126" s="33" t="s">
        <v>10188</v>
      </c>
      <c r="C1126" s="33" t="s">
        <v>302</v>
      </c>
      <c r="D1126" s="33" t="s">
        <v>11270</v>
      </c>
      <c r="E1126" s="33" t="s">
        <v>302</v>
      </c>
      <c r="F1126" s="33" t="s">
        <v>302</v>
      </c>
      <c r="G1126" s="33" t="s">
        <v>11398</v>
      </c>
    </row>
    <row r="1127" spans="2:7" x14ac:dyDescent="0.25">
      <c r="B1127" s="33" t="s">
        <v>10188</v>
      </c>
      <c r="C1127" s="33" t="s">
        <v>302</v>
      </c>
      <c r="D1127" s="33" t="s">
        <v>11271</v>
      </c>
      <c r="E1127" s="33" t="s">
        <v>302</v>
      </c>
      <c r="F1127" s="33" t="s">
        <v>302</v>
      </c>
      <c r="G1127" s="33" t="s">
        <v>11399</v>
      </c>
    </row>
    <row r="1128" spans="2:7" x14ac:dyDescent="0.25">
      <c r="B1128" s="33" t="s">
        <v>10188</v>
      </c>
      <c r="C1128" s="33" t="s">
        <v>302</v>
      </c>
      <c r="D1128" s="33" t="s">
        <v>11272</v>
      </c>
      <c r="E1128" s="33" t="s">
        <v>302</v>
      </c>
      <c r="F1128" s="33" t="s">
        <v>302</v>
      </c>
      <c r="G1128" s="33" t="s">
        <v>11400</v>
      </c>
    </row>
    <row r="1129" spans="2:7" x14ac:dyDescent="0.25">
      <c r="B1129" s="33" t="s">
        <v>10188</v>
      </c>
      <c r="C1129" s="33" t="s">
        <v>302</v>
      </c>
      <c r="D1129" s="33" t="s">
        <v>11273</v>
      </c>
      <c r="E1129" s="33" t="s">
        <v>302</v>
      </c>
      <c r="F1129" s="33" t="s">
        <v>302</v>
      </c>
      <c r="G1129" s="33" t="s">
        <v>11401</v>
      </c>
    </row>
    <row r="1130" spans="2:7" x14ac:dyDescent="0.25">
      <c r="B1130" s="33" t="s">
        <v>10188</v>
      </c>
      <c r="C1130" s="33" t="s">
        <v>302</v>
      </c>
      <c r="D1130" s="33" t="s">
        <v>11274</v>
      </c>
      <c r="E1130" s="33" t="s">
        <v>302</v>
      </c>
      <c r="F1130" s="33" t="s">
        <v>302</v>
      </c>
      <c r="G1130" s="33" t="s">
        <v>11402</v>
      </c>
    </row>
    <row r="1131" spans="2:7" x14ac:dyDescent="0.25">
      <c r="B1131" s="33" t="s">
        <v>10188</v>
      </c>
      <c r="C1131" s="33" t="s">
        <v>302</v>
      </c>
      <c r="D1131" s="33" t="s">
        <v>11275</v>
      </c>
      <c r="E1131" s="33" t="s">
        <v>302</v>
      </c>
      <c r="F1131" s="33" t="s">
        <v>302</v>
      </c>
      <c r="G1131" s="33" t="s">
        <v>11403</v>
      </c>
    </row>
    <row r="1132" spans="2:7" x14ac:dyDescent="0.25">
      <c r="B1132" s="33" t="s">
        <v>10188</v>
      </c>
      <c r="C1132" s="33" t="s">
        <v>302</v>
      </c>
      <c r="D1132" s="33" t="s">
        <v>11276</v>
      </c>
      <c r="E1132" s="33" t="s">
        <v>302</v>
      </c>
      <c r="F1132" s="33" t="s">
        <v>302</v>
      </c>
      <c r="G1132" s="33" t="s">
        <v>11404</v>
      </c>
    </row>
    <row r="1133" spans="2:7" x14ac:dyDescent="0.25">
      <c r="B1133" s="33" t="s">
        <v>10188</v>
      </c>
      <c r="C1133" s="33" t="s">
        <v>302</v>
      </c>
      <c r="D1133" s="33" t="s">
        <v>11277</v>
      </c>
      <c r="E1133" s="33" t="s">
        <v>302</v>
      </c>
      <c r="F1133" s="33" t="s">
        <v>302</v>
      </c>
      <c r="G1133" s="33" t="s">
        <v>11405</v>
      </c>
    </row>
    <row r="1134" spans="2:7" x14ac:dyDescent="0.25">
      <c r="B1134" s="33" t="s">
        <v>10188</v>
      </c>
      <c r="C1134" s="33" t="s">
        <v>302</v>
      </c>
      <c r="D1134" s="33" t="s">
        <v>11278</v>
      </c>
      <c r="E1134" s="33" t="s">
        <v>302</v>
      </c>
      <c r="F1134" s="33" t="s">
        <v>302</v>
      </c>
      <c r="G1134" s="33" t="s">
        <v>11406</v>
      </c>
    </row>
    <row r="1135" spans="2:7" x14ac:dyDescent="0.25">
      <c r="B1135" s="33" t="s">
        <v>10188</v>
      </c>
      <c r="C1135" s="33" t="s">
        <v>302</v>
      </c>
      <c r="D1135" s="33" t="s">
        <v>11279</v>
      </c>
      <c r="E1135" s="33" t="s">
        <v>302</v>
      </c>
      <c r="F1135" s="33" t="s">
        <v>302</v>
      </c>
      <c r="G1135" s="33" t="s">
        <v>11407</v>
      </c>
    </row>
    <row r="1136" spans="2:7" x14ac:dyDescent="0.25">
      <c r="B1136" s="33" t="s">
        <v>292</v>
      </c>
      <c r="C1136" s="33" t="s">
        <v>302</v>
      </c>
      <c r="D1136" s="33" t="s">
        <v>11310</v>
      </c>
      <c r="E1136" s="33" t="s">
        <v>302</v>
      </c>
      <c r="F1136" s="33" t="s">
        <v>302</v>
      </c>
      <c r="G1136" s="33" t="s">
        <v>808</v>
      </c>
    </row>
    <row r="1137" spans="2:7" x14ac:dyDescent="0.25">
      <c r="B1137" s="33" t="s">
        <v>292</v>
      </c>
      <c r="C1137" s="33" t="s">
        <v>302</v>
      </c>
      <c r="D1137" s="33" t="s">
        <v>11311</v>
      </c>
      <c r="E1137" s="33" t="s">
        <v>302</v>
      </c>
      <c r="F1137" s="33" t="s">
        <v>302</v>
      </c>
      <c r="G1137" s="33" t="s">
        <v>396</v>
      </c>
    </row>
    <row r="1138" spans="2:7" x14ac:dyDescent="0.25">
      <c r="B1138" s="33" t="s">
        <v>292</v>
      </c>
      <c r="C1138" s="33" t="s">
        <v>302</v>
      </c>
      <c r="D1138" s="33" t="s">
        <v>11158</v>
      </c>
      <c r="E1138" s="33" t="s">
        <v>302</v>
      </c>
      <c r="F1138" s="33" t="s">
        <v>302</v>
      </c>
      <c r="G1138" s="33" t="s">
        <v>890</v>
      </c>
    </row>
    <row r="1139" spans="2:7" x14ac:dyDescent="0.25">
      <c r="B1139" s="33" t="s">
        <v>292</v>
      </c>
      <c r="C1139" s="33" t="s">
        <v>302</v>
      </c>
      <c r="D1139" s="33" t="s">
        <v>11159</v>
      </c>
      <c r="E1139" s="33" t="s">
        <v>302</v>
      </c>
      <c r="F1139" s="33" t="s">
        <v>302</v>
      </c>
      <c r="G1139" s="33" t="s">
        <v>641</v>
      </c>
    </row>
    <row r="1140" spans="2:7" x14ac:dyDescent="0.25">
      <c r="B1140" s="33" t="s">
        <v>296</v>
      </c>
      <c r="C1140" s="33" t="s">
        <v>302</v>
      </c>
      <c r="D1140" s="33" t="s">
        <v>10187</v>
      </c>
      <c r="E1140" s="33" t="s">
        <v>302</v>
      </c>
      <c r="F1140" s="33" t="s">
        <v>302</v>
      </c>
      <c r="G1140" s="33" t="s">
        <v>11317</v>
      </c>
    </row>
    <row r="1141" spans="2:7" x14ac:dyDescent="0.25">
      <c r="B1141" s="33" t="s">
        <v>10188</v>
      </c>
      <c r="C1141" s="33" t="s">
        <v>302</v>
      </c>
      <c r="D1141" s="33" t="s">
        <v>10189</v>
      </c>
      <c r="E1141" s="33" t="s">
        <v>302</v>
      </c>
      <c r="F1141" s="33" t="s">
        <v>302</v>
      </c>
      <c r="G1141" s="33" t="s">
        <v>11318</v>
      </c>
    </row>
    <row r="1142" spans="2:7" x14ac:dyDescent="0.25">
      <c r="B1142" s="33" t="s">
        <v>10188</v>
      </c>
      <c r="C1142" s="33" t="s">
        <v>302</v>
      </c>
      <c r="D1142" s="33" t="s">
        <v>10190</v>
      </c>
      <c r="E1142" s="33" t="s">
        <v>302</v>
      </c>
      <c r="F1142" s="33" t="s">
        <v>302</v>
      </c>
      <c r="G1142" s="33" t="s">
        <v>11319</v>
      </c>
    </row>
    <row r="1143" spans="2:7" x14ac:dyDescent="0.25">
      <c r="B1143" s="33" t="s">
        <v>294</v>
      </c>
      <c r="C1143" s="33" t="s">
        <v>302</v>
      </c>
      <c r="D1143" s="33" t="s">
        <v>10191</v>
      </c>
      <c r="E1143" s="33" t="s">
        <v>302</v>
      </c>
      <c r="F1143" s="33" t="s">
        <v>302</v>
      </c>
      <c r="G1143" s="33" t="s">
        <v>11320</v>
      </c>
    </row>
    <row r="1144" spans="2:7" x14ac:dyDescent="0.25">
      <c r="B1144" s="33" t="s">
        <v>294</v>
      </c>
      <c r="C1144" s="33" t="s">
        <v>302</v>
      </c>
      <c r="D1144" s="33" t="s">
        <v>10192</v>
      </c>
      <c r="E1144" s="33" t="s">
        <v>302</v>
      </c>
      <c r="F1144" s="33" t="s">
        <v>302</v>
      </c>
      <c r="G1144" s="33" t="s">
        <v>11321</v>
      </c>
    </row>
    <row r="1145" spans="2:7" x14ac:dyDescent="0.25">
      <c r="B1145" s="33" t="s">
        <v>296</v>
      </c>
      <c r="C1145" s="33" t="s">
        <v>302</v>
      </c>
      <c r="D1145" s="33" t="s">
        <v>11289</v>
      </c>
      <c r="E1145" s="33" t="s">
        <v>302</v>
      </c>
      <c r="F1145" s="33" t="s">
        <v>302</v>
      </c>
      <c r="G1145" s="33" t="s">
        <v>11411</v>
      </c>
    </row>
    <row r="1146" spans="2:7" x14ac:dyDescent="0.25">
      <c r="B1146" s="33" t="s">
        <v>293</v>
      </c>
      <c r="C1146" s="33" t="s">
        <v>302</v>
      </c>
      <c r="D1146" s="33" t="s">
        <v>10255</v>
      </c>
      <c r="E1146" s="33" t="s">
        <v>302</v>
      </c>
      <c r="F1146" s="33" t="s">
        <v>302</v>
      </c>
      <c r="G1146" s="33" t="s">
        <v>11322</v>
      </c>
    </row>
    <row r="1147" spans="2:7" x14ac:dyDescent="0.25">
      <c r="B1147" s="33" t="s">
        <v>293</v>
      </c>
      <c r="C1147" s="33" t="s">
        <v>302</v>
      </c>
      <c r="D1147" s="33" t="s">
        <v>10355</v>
      </c>
      <c r="E1147" s="33" t="s">
        <v>302</v>
      </c>
      <c r="F1147" s="33" t="s">
        <v>302</v>
      </c>
      <c r="G1147" s="33" t="s">
        <v>11324</v>
      </c>
    </row>
    <row r="1148" spans="2:7" x14ac:dyDescent="0.25">
      <c r="B1148" s="33" t="s">
        <v>293</v>
      </c>
      <c r="C1148" s="33" t="s">
        <v>302</v>
      </c>
      <c r="D1148" s="33" t="s">
        <v>10356</v>
      </c>
      <c r="E1148" s="33" t="s">
        <v>302</v>
      </c>
      <c r="F1148" s="33" t="s">
        <v>302</v>
      </c>
      <c r="G1148" s="33" t="s">
        <v>11325</v>
      </c>
    </row>
    <row r="1149" spans="2:7" x14ac:dyDescent="0.25">
      <c r="B1149" s="33" t="s">
        <v>10188</v>
      </c>
      <c r="C1149" s="33" t="s">
        <v>302</v>
      </c>
      <c r="D1149" s="33" t="s">
        <v>10357</v>
      </c>
      <c r="E1149" s="33" t="s">
        <v>302</v>
      </c>
      <c r="F1149" s="33" t="s">
        <v>302</v>
      </c>
      <c r="G1149" s="33" t="s">
        <v>11326</v>
      </c>
    </row>
    <row r="1150" spans="2:7" x14ac:dyDescent="0.25">
      <c r="B1150" s="33" t="s">
        <v>296</v>
      </c>
      <c r="C1150" s="33" t="s">
        <v>302</v>
      </c>
      <c r="D1150" s="33" t="s">
        <v>10358</v>
      </c>
      <c r="E1150" s="33" t="s">
        <v>302</v>
      </c>
      <c r="F1150" s="33" t="s">
        <v>302</v>
      </c>
      <c r="G1150" s="33" t="s">
        <v>11327</v>
      </c>
    </row>
    <row r="1151" spans="2:7" x14ac:dyDescent="0.25">
      <c r="B1151" s="33" t="s">
        <v>294</v>
      </c>
      <c r="C1151" s="33" t="s">
        <v>302</v>
      </c>
      <c r="D1151" s="33" t="s">
        <v>11282</v>
      </c>
      <c r="E1151" s="33" t="s">
        <v>302</v>
      </c>
      <c r="F1151" s="33" t="s">
        <v>302</v>
      </c>
      <c r="G1151" s="33" t="s">
        <v>11408</v>
      </c>
    </row>
    <row r="1152" spans="2:7" x14ac:dyDescent="0.25">
      <c r="B1152" s="33" t="s">
        <v>294</v>
      </c>
      <c r="C1152" s="33" t="s">
        <v>302</v>
      </c>
      <c r="D1152" s="33" t="s">
        <v>11283</v>
      </c>
      <c r="E1152" s="33" t="s">
        <v>302</v>
      </c>
      <c r="F1152" s="33" t="s">
        <v>302</v>
      </c>
      <c r="G1152" s="33" t="s">
        <v>11409</v>
      </c>
    </row>
    <row r="1153" spans="2:7" x14ac:dyDescent="0.25">
      <c r="B1153" s="33" t="s">
        <v>10188</v>
      </c>
      <c r="C1153" s="33" t="s">
        <v>302</v>
      </c>
      <c r="D1153" s="33" t="s">
        <v>11285</v>
      </c>
      <c r="E1153" s="33" t="s">
        <v>302</v>
      </c>
      <c r="F1153" s="33" t="s">
        <v>302</v>
      </c>
      <c r="G1153" s="33" t="s">
        <v>11410</v>
      </c>
    </row>
    <row r="1154" spans="2:7" x14ac:dyDescent="0.25">
      <c r="B1154" s="33" t="s">
        <v>10188</v>
      </c>
      <c r="C1154" s="33" t="s">
        <v>302</v>
      </c>
      <c r="D1154" s="33" t="s">
        <v>11296</v>
      </c>
      <c r="E1154" s="33" t="s">
        <v>302</v>
      </c>
      <c r="F1154" s="33" t="s">
        <v>302</v>
      </c>
      <c r="G1154" s="33" t="s">
        <v>11412</v>
      </c>
    </row>
    <row r="1155" spans="2:7" x14ac:dyDescent="0.25">
      <c r="B1155" s="33" t="s">
        <v>294</v>
      </c>
      <c r="C1155" s="33" t="s">
        <v>302</v>
      </c>
      <c r="D1155" s="33" t="s">
        <v>11299</v>
      </c>
      <c r="E1155" s="33" t="s">
        <v>302</v>
      </c>
      <c r="F1155" s="33" t="s">
        <v>302</v>
      </c>
      <c r="G1155" s="33" t="s">
        <v>11415</v>
      </c>
    </row>
    <row r="1156" spans="2:7" x14ac:dyDescent="0.25">
      <c r="B1156" s="33" t="s">
        <v>294</v>
      </c>
      <c r="C1156" s="33" t="s">
        <v>302</v>
      </c>
      <c r="D1156" s="33" t="s">
        <v>11300</v>
      </c>
      <c r="E1156" s="33" t="s">
        <v>302</v>
      </c>
      <c r="F1156" s="33" t="s">
        <v>302</v>
      </c>
      <c r="G1156" s="33" t="s">
        <v>11416</v>
      </c>
    </row>
    <row r="1157" spans="2:7" x14ac:dyDescent="0.25">
      <c r="B1157" s="33" t="s">
        <v>294</v>
      </c>
      <c r="C1157" s="33" t="s">
        <v>302</v>
      </c>
      <c r="D1157" s="33" t="s">
        <v>11301</v>
      </c>
      <c r="E1157" s="33" t="s">
        <v>302</v>
      </c>
      <c r="F1157" s="33" t="s">
        <v>302</v>
      </c>
      <c r="G1157" s="33" t="s">
        <v>11417</v>
      </c>
    </row>
    <row r="1158" spans="2:7" x14ac:dyDescent="0.25">
      <c r="B1158" s="33" t="s">
        <v>10188</v>
      </c>
      <c r="C1158" s="33" t="s">
        <v>302</v>
      </c>
      <c r="D1158" s="33" t="s">
        <v>11302</v>
      </c>
      <c r="E1158" s="33" t="s">
        <v>302</v>
      </c>
      <c r="F1158" s="33" t="s">
        <v>302</v>
      </c>
      <c r="G1158" s="33" t="s">
        <v>11418</v>
      </c>
    </row>
    <row r="1159" spans="2:7" x14ac:dyDescent="0.25">
      <c r="B1159" s="33" t="s">
        <v>293</v>
      </c>
      <c r="C1159" s="33" t="s">
        <v>302</v>
      </c>
      <c r="D1159" s="33" t="s">
        <v>11303</v>
      </c>
      <c r="E1159" s="33" t="s">
        <v>302</v>
      </c>
      <c r="F1159" s="33" t="s">
        <v>302</v>
      </c>
      <c r="G1159" s="33" t="s">
        <v>11419</v>
      </c>
    </row>
    <row r="1160" spans="2:7" x14ac:dyDescent="0.25">
      <c r="B1160" s="33" t="s">
        <v>296</v>
      </c>
      <c r="C1160" s="33" t="s">
        <v>302</v>
      </c>
      <c r="D1160" s="33" t="s">
        <v>11306</v>
      </c>
      <c r="E1160" s="33" t="s">
        <v>302</v>
      </c>
      <c r="F1160" s="33" t="s">
        <v>302</v>
      </c>
      <c r="G1160" s="33" t="s">
        <v>11421</v>
      </c>
    </row>
    <row r="1161" spans="2:7" x14ac:dyDescent="0.25">
      <c r="B1161" s="33" t="s">
        <v>294</v>
      </c>
      <c r="C1161" s="33" t="s">
        <v>302</v>
      </c>
      <c r="D1161" s="33" t="s">
        <v>11307</v>
      </c>
      <c r="E1161" s="33" t="s">
        <v>302</v>
      </c>
      <c r="F1161" s="33" t="s">
        <v>302</v>
      </c>
      <c r="G1161" s="33" t="s">
        <v>11422</v>
      </c>
    </row>
    <row r="1162" spans="2:7" x14ac:dyDescent="0.25">
      <c r="B1162" s="33" t="s">
        <v>293</v>
      </c>
      <c r="C1162" s="33" t="s">
        <v>302</v>
      </c>
      <c r="D1162" s="33" t="s">
        <v>11308</v>
      </c>
      <c r="E1162" s="33" t="s">
        <v>302</v>
      </c>
      <c r="F1162" s="33" t="s">
        <v>302</v>
      </c>
      <c r="G1162" s="33" t="s">
        <v>11423</v>
      </c>
    </row>
    <row r="1163" spans="2:7" x14ac:dyDescent="0.25">
      <c r="B1163" s="33" t="s">
        <v>294</v>
      </c>
      <c r="C1163" s="33" t="s">
        <v>302</v>
      </c>
      <c r="D1163" s="33" t="s">
        <v>10256</v>
      </c>
      <c r="E1163" s="33" t="s">
        <v>302</v>
      </c>
      <c r="F1163" s="33" t="s">
        <v>302</v>
      </c>
      <c r="G1163" s="33" t="s">
        <v>11323</v>
      </c>
    </row>
    <row r="1164" spans="2:7" x14ac:dyDescent="0.25">
      <c r="B1164" s="33" t="s">
        <v>296</v>
      </c>
      <c r="C1164" s="33" t="s">
        <v>302</v>
      </c>
      <c r="D1164" s="33" t="s">
        <v>10359</v>
      </c>
      <c r="E1164" s="33" t="s">
        <v>302</v>
      </c>
      <c r="F1164" s="33" t="s">
        <v>302</v>
      </c>
      <c r="G1164" s="33" t="s">
        <v>11328</v>
      </c>
    </row>
    <row r="1165" spans="2:7" x14ac:dyDescent="0.25">
      <c r="B1165" s="33" t="s">
        <v>296</v>
      </c>
      <c r="C1165" s="33" t="s">
        <v>302</v>
      </c>
      <c r="D1165" s="33" t="s">
        <v>10360</v>
      </c>
      <c r="E1165" s="33" t="s">
        <v>302</v>
      </c>
      <c r="F1165" s="33" t="s">
        <v>302</v>
      </c>
      <c r="G1165" s="33" t="s">
        <v>11329</v>
      </c>
    </row>
    <row r="1166" spans="2:7" x14ac:dyDescent="0.25">
      <c r="B1166" s="33" t="s">
        <v>294</v>
      </c>
      <c r="C1166" s="33" t="s">
        <v>302</v>
      </c>
      <c r="D1166" s="33" t="s">
        <v>11297</v>
      </c>
      <c r="E1166" s="33" t="s">
        <v>302</v>
      </c>
      <c r="F1166" s="33" t="s">
        <v>302</v>
      </c>
      <c r="G1166" s="33" t="s">
        <v>11413</v>
      </c>
    </row>
    <row r="1167" spans="2:7" x14ac:dyDescent="0.25">
      <c r="B1167" s="33" t="s">
        <v>294</v>
      </c>
      <c r="C1167" s="33" t="s">
        <v>302</v>
      </c>
      <c r="D1167" s="33" t="s">
        <v>11298</v>
      </c>
      <c r="E1167" s="33" t="s">
        <v>302</v>
      </c>
      <c r="F1167" s="33" t="s">
        <v>302</v>
      </c>
      <c r="G1167" s="33" t="s">
        <v>11414</v>
      </c>
    </row>
    <row r="1168" spans="2:7" x14ac:dyDescent="0.25">
      <c r="B1168" s="33" t="s">
        <v>294</v>
      </c>
      <c r="C1168" s="33" t="s">
        <v>302</v>
      </c>
      <c r="D1168" s="33" t="s">
        <v>11305</v>
      </c>
      <c r="E1168" s="33" t="s">
        <v>302</v>
      </c>
      <c r="F1168" s="33" t="s">
        <v>302</v>
      </c>
      <c r="G1168" s="33" t="s">
        <v>11420</v>
      </c>
    </row>
    <row r="1169" spans="2:7" x14ac:dyDescent="0.25">
      <c r="B1169" s="33" t="s">
        <v>292</v>
      </c>
      <c r="C1169" s="33" t="s">
        <v>302</v>
      </c>
      <c r="D1169" s="33" t="s">
        <v>10133</v>
      </c>
      <c r="E1169" s="33" t="s">
        <v>302</v>
      </c>
      <c r="F1169" s="33" t="s">
        <v>302</v>
      </c>
      <c r="G1169" s="33" t="s">
        <v>1240</v>
      </c>
    </row>
    <row r="1170" spans="2:7" x14ac:dyDescent="0.25">
      <c r="B1170" s="33" t="s">
        <v>292</v>
      </c>
      <c r="C1170" s="33" t="s">
        <v>302</v>
      </c>
      <c r="D1170" s="33" t="s">
        <v>10134</v>
      </c>
      <c r="E1170" s="33" t="s">
        <v>302</v>
      </c>
      <c r="F1170" s="33" t="s">
        <v>302</v>
      </c>
      <c r="G1170" s="33" t="s">
        <v>1365</v>
      </c>
    </row>
    <row r="1171" spans="2:7" x14ac:dyDescent="0.25">
      <c r="B1171" s="33" t="s">
        <v>292</v>
      </c>
      <c r="C1171" s="33" t="s">
        <v>302</v>
      </c>
      <c r="D1171" s="33" t="s">
        <v>10135</v>
      </c>
      <c r="E1171" s="33" t="s">
        <v>302</v>
      </c>
      <c r="F1171" s="33" t="s">
        <v>302</v>
      </c>
      <c r="G1171" s="33" t="s">
        <v>434</v>
      </c>
    </row>
    <row r="1172" spans="2:7" x14ac:dyDescent="0.25">
      <c r="B1172" s="33" t="s">
        <v>292</v>
      </c>
      <c r="C1172" s="33" t="s">
        <v>302</v>
      </c>
      <c r="D1172" s="33" t="s">
        <v>10136</v>
      </c>
      <c r="E1172" s="33" t="s">
        <v>302</v>
      </c>
      <c r="F1172" s="33" t="s">
        <v>302</v>
      </c>
      <c r="G1172" s="33" t="s">
        <v>1204</v>
      </c>
    </row>
    <row r="1173" spans="2:7" x14ac:dyDescent="0.25">
      <c r="B1173" s="33" t="s">
        <v>292</v>
      </c>
      <c r="C1173" s="33" t="s">
        <v>302</v>
      </c>
      <c r="D1173" s="33" t="s">
        <v>10137</v>
      </c>
      <c r="E1173" s="33" t="s">
        <v>302</v>
      </c>
      <c r="F1173" s="33" t="s">
        <v>302</v>
      </c>
      <c r="G1173" s="33" t="s">
        <v>455</v>
      </c>
    </row>
    <row r="1174" spans="2:7" x14ac:dyDescent="0.25">
      <c r="B1174" s="33" t="s">
        <v>292</v>
      </c>
      <c r="C1174" s="33" t="s">
        <v>302</v>
      </c>
      <c r="D1174" s="33" t="s">
        <v>10138</v>
      </c>
      <c r="E1174" s="33" t="s">
        <v>302</v>
      </c>
      <c r="F1174" s="33" t="s">
        <v>302</v>
      </c>
      <c r="G1174" s="33" t="s">
        <v>707</v>
      </c>
    </row>
    <row r="1175" spans="2:7" x14ac:dyDescent="0.25">
      <c r="B1175" s="33" t="s">
        <v>292</v>
      </c>
      <c r="C1175" s="33" t="s">
        <v>302</v>
      </c>
      <c r="D1175" s="33" t="s">
        <v>10139</v>
      </c>
      <c r="E1175" s="33" t="s">
        <v>302</v>
      </c>
      <c r="F1175" s="33" t="s">
        <v>302</v>
      </c>
      <c r="G1175" s="33" t="s">
        <v>860</v>
      </c>
    </row>
    <row r="1176" spans="2:7" x14ac:dyDescent="0.25">
      <c r="B1176" s="33" t="s">
        <v>292</v>
      </c>
      <c r="C1176" s="33" t="s">
        <v>302</v>
      </c>
      <c r="D1176" s="33" t="s">
        <v>10140</v>
      </c>
      <c r="E1176" s="33" t="s">
        <v>302</v>
      </c>
      <c r="F1176" s="33" t="s">
        <v>302</v>
      </c>
      <c r="G1176" s="33" t="s">
        <v>1245</v>
      </c>
    </row>
    <row r="1177" spans="2:7" x14ac:dyDescent="0.25">
      <c r="B1177" s="33" t="s">
        <v>292</v>
      </c>
      <c r="C1177" s="33" t="s">
        <v>302</v>
      </c>
      <c r="D1177" s="33" t="s">
        <v>10141</v>
      </c>
      <c r="E1177" s="33" t="s">
        <v>302</v>
      </c>
      <c r="F1177" s="33" t="s">
        <v>302</v>
      </c>
      <c r="G1177" s="33" t="s">
        <v>459</v>
      </c>
    </row>
    <row r="1178" spans="2:7" x14ac:dyDescent="0.25">
      <c r="B1178" s="33" t="s">
        <v>292</v>
      </c>
      <c r="C1178" s="33" t="s">
        <v>302</v>
      </c>
      <c r="D1178" s="33" t="s">
        <v>10142</v>
      </c>
      <c r="E1178" s="33" t="s">
        <v>302</v>
      </c>
      <c r="F1178" s="33" t="s">
        <v>302</v>
      </c>
      <c r="G1178" s="33" t="s">
        <v>720</v>
      </c>
    </row>
    <row r="1179" spans="2:7" x14ac:dyDescent="0.25">
      <c r="B1179" s="33" t="s">
        <v>292</v>
      </c>
      <c r="C1179" s="33" t="s">
        <v>302</v>
      </c>
      <c r="D1179" s="33" t="s">
        <v>10143</v>
      </c>
      <c r="E1179" s="33" t="s">
        <v>302</v>
      </c>
      <c r="F1179" s="33" t="s">
        <v>302</v>
      </c>
      <c r="G1179" s="33" t="s">
        <v>503</v>
      </c>
    </row>
    <row r="1180" spans="2:7" x14ac:dyDescent="0.25">
      <c r="B1180" s="33" t="s">
        <v>292</v>
      </c>
      <c r="C1180" s="33" t="s">
        <v>302</v>
      </c>
      <c r="D1180" s="33" t="s">
        <v>10144</v>
      </c>
      <c r="E1180" s="33" t="s">
        <v>302</v>
      </c>
      <c r="F1180" s="33" t="s">
        <v>302</v>
      </c>
      <c r="G1180" s="33" t="s">
        <v>1303</v>
      </c>
    </row>
    <row r="1181" spans="2:7" x14ac:dyDescent="0.25">
      <c r="B1181" s="33" t="s">
        <v>292</v>
      </c>
      <c r="C1181" s="33" t="s">
        <v>302</v>
      </c>
      <c r="D1181" s="33" t="s">
        <v>10145</v>
      </c>
      <c r="E1181" s="33" t="s">
        <v>302</v>
      </c>
      <c r="F1181" s="33" t="s">
        <v>302</v>
      </c>
      <c r="G1181" s="33" t="s">
        <v>965</v>
      </c>
    </row>
    <row r="1182" spans="2:7" x14ac:dyDescent="0.25">
      <c r="B1182" s="33" t="s">
        <v>292</v>
      </c>
      <c r="C1182" s="33" t="s">
        <v>302</v>
      </c>
      <c r="D1182" s="33" t="s">
        <v>10148</v>
      </c>
      <c r="E1182" s="33" t="s">
        <v>302</v>
      </c>
      <c r="F1182" s="33" t="s">
        <v>302</v>
      </c>
      <c r="G1182" s="33" t="s">
        <v>1218</v>
      </c>
    </row>
    <row r="1183" spans="2:7" x14ac:dyDescent="0.25">
      <c r="B1183" s="33" t="s">
        <v>292</v>
      </c>
      <c r="C1183" s="33" t="s">
        <v>302</v>
      </c>
      <c r="D1183" s="33" t="s">
        <v>10149</v>
      </c>
      <c r="E1183" s="33" t="s">
        <v>302</v>
      </c>
      <c r="F1183" s="33" t="s">
        <v>302</v>
      </c>
      <c r="G1183" s="33" t="s">
        <v>1052</v>
      </c>
    </row>
    <row r="1184" spans="2:7" x14ac:dyDescent="0.25">
      <c r="B1184" s="33" t="s">
        <v>292</v>
      </c>
      <c r="C1184" s="33" t="s">
        <v>302</v>
      </c>
      <c r="D1184" s="33" t="s">
        <v>10150</v>
      </c>
      <c r="E1184" s="33" t="s">
        <v>302</v>
      </c>
      <c r="F1184" s="33" t="s">
        <v>302</v>
      </c>
      <c r="G1184" s="33" t="s">
        <v>429</v>
      </c>
    </row>
    <row r="1185" spans="2:7" x14ac:dyDescent="0.25">
      <c r="B1185" s="33" t="s">
        <v>292</v>
      </c>
      <c r="C1185" s="33" t="s">
        <v>302</v>
      </c>
      <c r="D1185" s="33" t="s">
        <v>10151</v>
      </c>
      <c r="E1185" s="33" t="s">
        <v>302</v>
      </c>
      <c r="F1185" s="33" t="s">
        <v>302</v>
      </c>
      <c r="G1185" s="33" t="s">
        <v>1056</v>
      </c>
    </row>
    <row r="1186" spans="2:7" x14ac:dyDescent="0.25">
      <c r="B1186" s="33" t="s">
        <v>292</v>
      </c>
      <c r="C1186" s="33" t="s">
        <v>302</v>
      </c>
      <c r="D1186" s="33" t="s">
        <v>10152</v>
      </c>
      <c r="E1186" s="33" t="s">
        <v>302</v>
      </c>
      <c r="F1186" s="33" t="s">
        <v>302</v>
      </c>
      <c r="G1186" s="33" t="s">
        <v>1288</v>
      </c>
    </row>
    <row r="1187" spans="2:7" x14ac:dyDescent="0.25">
      <c r="B1187" s="33" t="s">
        <v>292</v>
      </c>
      <c r="C1187" s="33" t="s">
        <v>302</v>
      </c>
      <c r="D1187" s="33" t="s">
        <v>10153</v>
      </c>
      <c r="E1187" s="33" t="s">
        <v>302</v>
      </c>
      <c r="F1187" s="33" t="s">
        <v>302</v>
      </c>
      <c r="G1187" s="33" t="s">
        <v>419</v>
      </c>
    </row>
    <row r="1188" spans="2:7" x14ac:dyDescent="0.25">
      <c r="B1188" s="33" t="s">
        <v>292</v>
      </c>
      <c r="C1188" s="33" t="s">
        <v>302</v>
      </c>
      <c r="D1188" s="33" t="s">
        <v>10154</v>
      </c>
      <c r="E1188" s="33" t="s">
        <v>302</v>
      </c>
      <c r="F1188" s="33" t="s">
        <v>302</v>
      </c>
      <c r="G1188" s="33" t="s">
        <v>465</v>
      </c>
    </row>
    <row r="1189" spans="2:7" x14ac:dyDescent="0.25">
      <c r="B1189" s="33" t="s">
        <v>292</v>
      </c>
      <c r="C1189" s="33" t="s">
        <v>302</v>
      </c>
      <c r="D1189" s="33" t="s">
        <v>10155</v>
      </c>
      <c r="E1189" s="33" t="s">
        <v>302</v>
      </c>
      <c r="F1189" s="33" t="s">
        <v>302</v>
      </c>
      <c r="G1189" s="33" t="s">
        <v>554</v>
      </c>
    </row>
    <row r="1190" spans="2:7" x14ac:dyDescent="0.25">
      <c r="B1190" s="33" t="s">
        <v>292</v>
      </c>
      <c r="C1190" s="33" t="s">
        <v>302</v>
      </c>
      <c r="D1190" s="33" t="s">
        <v>10156</v>
      </c>
      <c r="E1190" s="33" t="s">
        <v>302</v>
      </c>
      <c r="F1190" s="33" t="s">
        <v>302</v>
      </c>
      <c r="G1190" s="33" t="s">
        <v>556</v>
      </c>
    </row>
    <row r="1191" spans="2:7" x14ac:dyDescent="0.25">
      <c r="B1191" s="33" t="s">
        <v>292</v>
      </c>
      <c r="C1191" s="33" t="s">
        <v>302</v>
      </c>
      <c r="D1191" s="33" t="s">
        <v>10157</v>
      </c>
      <c r="E1191" s="33" t="s">
        <v>302</v>
      </c>
      <c r="F1191" s="33" t="s">
        <v>302</v>
      </c>
      <c r="G1191" s="33" t="s">
        <v>518</v>
      </c>
    </row>
    <row r="1192" spans="2:7" x14ac:dyDescent="0.25">
      <c r="B1192" s="33" t="s">
        <v>292</v>
      </c>
      <c r="C1192" s="33" t="s">
        <v>302</v>
      </c>
      <c r="D1192" s="33" t="s">
        <v>10158</v>
      </c>
      <c r="E1192" s="33" t="s">
        <v>302</v>
      </c>
      <c r="F1192" s="33" t="s">
        <v>302</v>
      </c>
      <c r="G1192" s="33" t="s">
        <v>643</v>
      </c>
    </row>
    <row r="1193" spans="2:7" x14ac:dyDescent="0.25">
      <c r="B1193" s="33" t="s">
        <v>292</v>
      </c>
      <c r="C1193" s="33" t="s">
        <v>302</v>
      </c>
      <c r="D1193" s="33" t="s">
        <v>10159</v>
      </c>
      <c r="E1193" s="33" t="s">
        <v>302</v>
      </c>
      <c r="F1193" s="33" t="s">
        <v>302</v>
      </c>
      <c r="G1193" s="33" t="s">
        <v>572</v>
      </c>
    </row>
    <row r="1194" spans="2:7" x14ac:dyDescent="0.25">
      <c r="B1194" s="33" t="s">
        <v>292</v>
      </c>
      <c r="C1194" s="33" t="s">
        <v>302</v>
      </c>
      <c r="D1194" s="33" t="s">
        <v>10160</v>
      </c>
      <c r="E1194" s="33" t="s">
        <v>302</v>
      </c>
      <c r="F1194" s="33" t="s">
        <v>302</v>
      </c>
      <c r="G1194" s="33" t="s">
        <v>898</v>
      </c>
    </row>
    <row r="1195" spans="2:7" x14ac:dyDescent="0.25">
      <c r="B1195" s="33" t="s">
        <v>292</v>
      </c>
      <c r="C1195" s="33" t="s">
        <v>302</v>
      </c>
      <c r="D1195" s="33" t="s">
        <v>10161</v>
      </c>
      <c r="E1195" s="33" t="s">
        <v>302</v>
      </c>
      <c r="F1195" s="33" t="s">
        <v>302</v>
      </c>
      <c r="G1195" s="33" t="s">
        <v>387</v>
      </c>
    </row>
    <row r="1196" spans="2:7" x14ac:dyDescent="0.25">
      <c r="B1196" s="33" t="s">
        <v>292</v>
      </c>
      <c r="C1196" s="33" t="s">
        <v>302</v>
      </c>
      <c r="D1196" s="33" t="s">
        <v>10162</v>
      </c>
      <c r="E1196" s="33" t="s">
        <v>302</v>
      </c>
      <c r="F1196" s="33" t="s">
        <v>302</v>
      </c>
      <c r="G1196" s="33" t="s">
        <v>752</v>
      </c>
    </row>
    <row r="1197" spans="2:7" x14ac:dyDescent="0.25">
      <c r="B1197" s="33" t="s">
        <v>292</v>
      </c>
      <c r="C1197" s="33" t="s">
        <v>302</v>
      </c>
      <c r="D1197" s="33" t="s">
        <v>10163</v>
      </c>
      <c r="E1197" s="33" t="s">
        <v>302</v>
      </c>
      <c r="F1197" s="33" t="s">
        <v>302</v>
      </c>
      <c r="G1197" s="33" t="s">
        <v>794</v>
      </c>
    </row>
    <row r="1198" spans="2:7" x14ac:dyDescent="0.25">
      <c r="B1198" s="33" t="s">
        <v>292</v>
      </c>
      <c r="C1198" s="33" t="s">
        <v>302</v>
      </c>
      <c r="D1198" s="33" t="s">
        <v>10166</v>
      </c>
      <c r="E1198" s="33" t="s">
        <v>302</v>
      </c>
      <c r="F1198" s="33" t="s">
        <v>302</v>
      </c>
      <c r="G1198" s="33" t="s">
        <v>431</v>
      </c>
    </row>
    <row r="1199" spans="2:7" x14ac:dyDescent="0.25">
      <c r="B1199" s="33" t="s">
        <v>292</v>
      </c>
      <c r="C1199" s="33" t="s">
        <v>302</v>
      </c>
      <c r="D1199" s="33" t="s">
        <v>10167</v>
      </c>
      <c r="E1199" s="33" t="s">
        <v>302</v>
      </c>
      <c r="F1199" s="33" t="s">
        <v>302</v>
      </c>
      <c r="G1199" s="33" t="s">
        <v>909</v>
      </c>
    </row>
    <row r="1200" spans="2:7" x14ac:dyDescent="0.25">
      <c r="B1200" s="33" t="s">
        <v>292</v>
      </c>
      <c r="C1200" s="33" t="s">
        <v>302</v>
      </c>
      <c r="D1200" s="33" t="s">
        <v>10168</v>
      </c>
      <c r="E1200" s="33" t="s">
        <v>302</v>
      </c>
      <c r="F1200" s="33" t="s">
        <v>302</v>
      </c>
      <c r="G1200" s="33" t="s">
        <v>1145</v>
      </c>
    </row>
    <row r="1201" spans="2:7" x14ac:dyDescent="0.25">
      <c r="B1201" s="33" t="s">
        <v>292</v>
      </c>
      <c r="C1201" s="33" t="s">
        <v>302</v>
      </c>
      <c r="D1201" s="33" t="s">
        <v>10169</v>
      </c>
      <c r="E1201" s="33" t="s">
        <v>302</v>
      </c>
      <c r="F1201" s="33" t="s">
        <v>302</v>
      </c>
      <c r="G1201" s="33" t="s">
        <v>1302</v>
      </c>
    </row>
    <row r="1202" spans="2:7" x14ac:dyDescent="0.25">
      <c r="B1202" s="33" t="s">
        <v>292</v>
      </c>
      <c r="C1202" s="33" t="s">
        <v>302</v>
      </c>
      <c r="D1202" s="33" t="s">
        <v>10170</v>
      </c>
      <c r="E1202" s="33" t="s">
        <v>302</v>
      </c>
      <c r="F1202" s="33" t="s">
        <v>302</v>
      </c>
      <c r="G1202" s="33" t="s">
        <v>1180</v>
      </c>
    </row>
    <row r="1203" spans="2:7" x14ac:dyDescent="0.25">
      <c r="B1203" s="33" t="s">
        <v>292</v>
      </c>
      <c r="C1203" s="33" t="s">
        <v>302</v>
      </c>
      <c r="D1203" s="33" t="s">
        <v>10171</v>
      </c>
      <c r="E1203" s="33" t="s">
        <v>302</v>
      </c>
      <c r="F1203" s="33" t="s">
        <v>302</v>
      </c>
      <c r="G1203" s="33" t="s">
        <v>1297</v>
      </c>
    </row>
    <row r="1204" spans="2:7" x14ac:dyDescent="0.25">
      <c r="B1204" s="33" t="s">
        <v>292</v>
      </c>
      <c r="C1204" s="33" t="s">
        <v>302</v>
      </c>
      <c r="D1204" s="33" t="s">
        <v>10172</v>
      </c>
      <c r="E1204" s="33" t="s">
        <v>302</v>
      </c>
      <c r="F1204" s="33" t="s">
        <v>302</v>
      </c>
      <c r="G1204" s="33" t="s">
        <v>1235</v>
      </c>
    </row>
    <row r="1205" spans="2:7" x14ac:dyDescent="0.25">
      <c r="B1205" s="33" t="s">
        <v>292</v>
      </c>
      <c r="C1205" s="33" t="s">
        <v>302</v>
      </c>
      <c r="D1205" s="33" t="s">
        <v>10173</v>
      </c>
      <c r="E1205" s="33" t="s">
        <v>302</v>
      </c>
      <c r="F1205" s="33" t="s">
        <v>302</v>
      </c>
      <c r="G1205" s="33" t="s">
        <v>334</v>
      </c>
    </row>
    <row r="1206" spans="2:7" x14ac:dyDescent="0.25">
      <c r="B1206" s="33" t="s">
        <v>292</v>
      </c>
      <c r="C1206" s="33" t="s">
        <v>302</v>
      </c>
      <c r="D1206" s="33" t="s">
        <v>10174</v>
      </c>
      <c r="E1206" s="33" t="s">
        <v>302</v>
      </c>
      <c r="F1206" s="33" t="s">
        <v>302</v>
      </c>
      <c r="G1206" s="33" t="s">
        <v>713</v>
      </c>
    </row>
    <row r="1207" spans="2:7" x14ac:dyDescent="0.25">
      <c r="B1207" s="33" t="s">
        <v>292</v>
      </c>
      <c r="C1207" s="33" t="s">
        <v>302</v>
      </c>
      <c r="D1207" s="33" t="s">
        <v>10175</v>
      </c>
      <c r="E1207" s="33" t="s">
        <v>302</v>
      </c>
      <c r="F1207" s="33" t="s">
        <v>302</v>
      </c>
      <c r="G1207" s="33" t="s">
        <v>481</v>
      </c>
    </row>
    <row r="1208" spans="2:7" x14ac:dyDescent="0.25">
      <c r="B1208" s="33" t="s">
        <v>292</v>
      </c>
      <c r="C1208" s="33" t="s">
        <v>302</v>
      </c>
      <c r="D1208" s="33" t="s">
        <v>10176</v>
      </c>
      <c r="E1208" s="33" t="s">
        <v>302</v>
      </c>
      <c r="F1208" s="33" t="s">
        <v>302</v>
      </c>
      <c r="G1208" s="33" t="s">
        <v>325</v>
      </c>
    </row>
    <row r="1209" spans="2:7" x14ac:dyDescent="0.25">
      <c r="B1209" s="33" t="s">
        <v>292</v>
      </c>
      <c r="C1209" s="33" t="s">
        <v>302</v>
      </c>
      <c r="D1209" s="33" t="s">
        <v>10177</v>
      </c>
      <c r="E1209" s="33" t="s">
        <v>302</v>
      </c>
      <c r="F1209" s="33" t="s">
        <v>302</v>
      </c>
      <c r="G1209" s="33" t="s">
        <v>1061</v>
      </c>
    </row>
    <row r="1210" spans="2:7" x14ac:dyDescent="0.25">
      <c r="B1210" s="33" t="s">
        <v>292</v>
      </c>
      <c r="C1210" s="33" t="s">
        <v>302</v>
      </c>
      <c r="D1210" s="33" t="s">
        <v>10178</v>
      </c>
      <c r="E1210" s="33" t="s">
        <v>302</v>
      </c>
      <c r="F1210" s="33" t="s">
        <v>302</v>
      </c>
      <c r="G1210" s="33" t="s">
        <v>755</v>
      </c>
    </row>
    <row r="1211" spans="2:7" x14ac:dyDescent="0.25">
      <c r="B1211" s="33" t="s">
        <v>292</v>
      </c>
      <c r="C1211" s="33" t="s">
        <v>302</v>
      </c>
      <c r="D1211" s="33" t="s">
        <v>10179</v>
      </c>
      <c r="E1211" s="33" t="s">
        <v>302</v>
      </c>
      <c r="F1211" s="33" t="s">
        <v>302</v>
      </c>
      <c r="G1211" s="33" t="s">
        <v>1007</v>
      </c>
    </row>
    <row r="1212" spans="2:7" x14ac:dyDescent="0.25">
      <c r="B1212" s="33" t="s">
        <v>292</v>
      </c>
      <c r="C1212" s="33" t="s">
        <v>302</v>
      </c>
      <c r="D1212" s="33" t="s">
        <v>10180</v>
      </c>
      <c r="E1212" s="33" t="s">
        <v>302</v>
      </c>
      <c r="F1212" s="33" t="s">
        <v>302</v>
      </c>
      <c r="G1212" s="33" t="s">
        <v>1165</v>
      </c>
    </row>
    <row r="1213" spans="2:7" x14ac:dyDescent="0.25">
      <c r="B1213" s="33" t="s">
        <v>292</v>
      </c>
      <c r="C1213" s="33" t="s">
        <v>302</v>
      </c>
      <c r="D1213" s="33" t="s">
        <v>10181</v>
      </c>
      <c r="E1213" s="33" t="s">
        <v>302</v>
      </c>
      <c r="F1213" s="33" t="s">
        <v>302</v>
      </c>
      <c r="G1213" s="33" t="s">
        <v>489</v>
      </c>
    </row>
    <row r="1214" spans="2:7" x14ac:dyDescent="0.25">
      <c r="B1214" s="33" t="s">
        <v>292</v>
      </c>
      <c r="C1214" s="33" t="s">
        <v>302</v>
      </c>
      <c r="D1214" s="33" t="s">
        <v>10182</v>
      </c>
      <c r="E1214" s="33" t="s">
        <v>302</v>
      </c>
      <c r="F1214" s="33" t="s">
        <v>302</v>
      </c>
      <c r="G1214" s="33" t="s">
        <v>895</v>
      </c>
    </row>
    <row r="1215" spans="2:7" x14ac:dyDescent="0.25">
      <c r="B1215" s="33" t="s">
        <v>292</v>
      </c>
      <c r="C1215" s="33" t="s">
        <v>302</v>
      </c>
      <c r="D1215" s="33" t="s">
        <v>10183</v>
      </c>
      <c r="E1215" s="33" t="s">
        <v>302</v>
      </c>
      <c r="F1215" s="33" t="s">
        <v>302</v>
      </c>
      <c r="G1215" s="33" t="s">
        <v>1315</v>
      </c>
    </row>
    <row r="1216" spans="2:7" x14ac:dyDescent="0.25">
      <c r="B1216" s="33" t="s">
        <v>292</v>
      </c>
      <c r="C1216" s="33" t="s">
        <v>302</v>
      </c>
      <c r="D1216" s="33" t="s">
        <v>10184</v>
      </c>
      <c r="E1216" s="33" t="s">
        <v>302</v>
      </c>
      <c r="F1216" s="33" t="s">
        <v>302</v>
      </c>
      <c r="G1216" s="33" t="s">
        <v>332</v>
      </c>
    </row>
    <row r="1217" spans="2:7" x14ac:dyDescent="0.25">
      <c r="B1217" s="33" t="s">
        <v>292</v>
      </c>
      <c r="C1217" s="33" t="s">
        <v>302</v>
      </c>
      <c r="D1217" s="33" t="s">
        <v>10185</v>
      </c>
      <c r="E1217" s="33" t="s">
        <v>302</v>
      </c>
      <c r="F1217" s="33" t="s">
        <v>302</v>
      </c>
      <c r="G1217" s="33" t="s">
        <v>500</v>
      </c>
    </row>
    <row r="1218" spans="2:7" x14ac:dyDescent="0.25">
      <c r="B1218" s="33" t="s">
        <v>292</v>
      </c>
      <c r="C1218" s="33" t="s">
        <v>302</v>
      </c>
      <c r="D1218" s="33" t="s">
        <v>10186</v>
      </c>
      <c r="E1218" s="33" t="s">
        <v>302</v>
      </c>
      <c r="F1218" s="33" t="s">
        <v>302</v>
      </c>
      <c r="G1218" s="33" t="s">
        <v>1317</v>
      </c>
    </row>
    <row r="1219" spans="2:7" x14ac:dyDescent="0.25">
      <c r="B1219" s="33" t="s">
        <v>292</v>
      </c>
      <c r="C1219" s="33" t="s">
        <v>302</v>
      </c>
      <c r="D1219" s="33" t="s">
        <v>11287</v>
      </c>
      <c r="E1219" s="33" t="s">
        <v>302</v>
      </c>
      <c r="F1219" s="33" t="s">
        <v>302</v>
      </c>
      <c r="G1219" s="33" t="s">
        <v>726</v>
      </c>
    </row>
    <row r="1220" spans="2:7" x14ac:dyDescent="0.25">
      <c r="B1220" s="33" t="s">
        <v>292</v>
      </c>
      <c r="C1220" s="33" t="s">
        <v>302</v>
      </c>
      <c r="D1220" s="33" t="s">
        <v>10146</v>
      </c>
      <c r="E1220" s="33" t="s">
        <v>302</v>
      </c>
      <c r="F1220" s="33" t="s">
        <v>302</v>
      </c>
      <c r="G1220" s="33" t="s">
        <v>603</v>
      </c>
    </row>
    <row r="1221" spans="2:7" x14ac:dyDescent="0.25">
      <c r="B1221" s="33" t="s">
        <v>292</v>
      </c>
      <c r="C1221" s="33" t="s">
        <v>302</v>
      </c>
      <c r="D1221" s="33" t="s">
        <v>10147</v>
      </c>
      <c r="E1221" s="33" t="s">
        <v>302</v>
      </c>
      <c r="F1221" s="33" t="s">
        <v>302</v>
      </c>
      <c r="G1221" s="33" t="s">
        <v>1233</v>
      </c>
    </row>
    <row r="1222" spans="2:7" x14ac:dyDescent="0.25">
      <c r="B1222" s="33" t="s">
        <v>292</v>
      </c>
      <c r="C1222" s="33" t="s">
        <v>302</v>
      </c>
      <c r="D1222" s="33" t="s">
        <v>10164</v>
      </c>
      <c r="E1222" s="33" t="s">
        <v>302</v>
      </c>
      <c r="F1222" s="33" t="s">
        <v>302</v>
      </c>
      <c r="G1222" s="33" t="s">
        <v>996</v>
      </c>
    </row>
    <row r="1223" spans="2:7" x14ac:dyDescent="0.25">
      <c r="B1223" s="33" t="s">
        <v>292</v>
      </c>
      <c r="C1223" s="33" t="s">
        <v>302</v>
      </c>
      <c r="D1223" s="33" t="s">
        <v>10165</v>
      </c>
      <c r="E1223" s="33" t="s">
        <v>302</v>
      </c>
      <c r="F1223" s="33" t="s">
        <v>302</v>
      </c>
      <c r="G1223" s="33" t="s">
        <v>1362</v>
      </c>
    </row>
    <row r="1224" spans="2:7" x14ac:dyDescent="0.25"/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EC92C7-7DCE-42F7-A001-B00A20807690}"/>
</file>

<file path=customXml/itemProps2.xml><?xml version="1.0" encoding="utf-8"?>
<ds:datastoreItem xmlns:ds="http://schemas.openxmlformats.org/officeDocument/2006/customXml" ds:itemID="{4DC2EF89-5BAC-4038-81DE-E1C220C60C1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683c779-04fc-4b63-89c9-6c25ffa1c0a4"/>
    <ds:schemaRef ds:uri="6ea7b29d-57ec-408d-9ea9-cf73b04f66d5"/>
  </ds:schemaRefs>
</ds:datastoreItem>
</file>

<file path=customXml/itemProps3.xml><?xml version="1.0" encoding="utf-8"?>
<ds:datastoreItem xmlns:ds="http://schemas.openxmlformats.org/officeDocument/2006/customXml" ds:itemID="{7342E85E-B43F-44B2-ADC1-D4BF478DB2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1. Análise</vt:lpstr>
      <vt:lpstr>2. Pressupostos </vt:lpstr>
      <vt:lpstr>3. Incidências &gt;&gt;</vt:lpstr>
      <vt:lpstr>1A_Aux1</vt:lpstr>
      <vt:lpstr>1A_Aux2</vt:lpstr>
      <vt:lpstr>1A_Aux3</vt:lpstr>
      <vt:lpstr>2A_Aux1</vt:lpstr>
      <vt:lpstr>2B_Aux1</vt:lpstr>
      <vt:lpstr>2C_Aux1</vt:lpstr>
      <vt:lpstr>3_Aux1</vt:lpstr>
      <vt:lpstr>3_Aux2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2025-02-11T17:14:47Z</dcterms:created>
  <dcterms:modified xsi:type="dcterms:W3CDTF">2025-11-06T01:29:47Z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2025-02-11T21:42:34Z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ad816d5a-0833-4e0d-8314-c4393fb31d83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0x010100AE0148DB1B66DA499B9393429ED53FDC</vt:lpwstr>
  </property>
  <property fmtid="{D5CDD505-2E9C-101B-9397-08002B2CF9AE}" pid="10" name="SV_QUERY_LIST_4F35BF76-6C0D-4D9B-82B2-816C12CF3733">
    <vt:lpwstr>empty_477D106A-C0D6-4607-AEBD-E2C9D60EA279</vt:lpwstr>
  </property>
  <property fmtid="{D5CDD505-2E9C-101B-9397-08002B2CF9AE}" pid="11" name="SV_HIDDEN_GRID_QUERY_LIST_4F35BF76-6C0D-4D9B-82B2-816C12CF3733">
    <vt:lpwstr>empty_477D106A-C0D6-4607-AEBD-E2C9D60EA279</vt:lpwstr>
  </property>
</Properties>
</file>