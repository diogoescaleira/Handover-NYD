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808873\Desktop\05. Análises\14. Parametrização DTT\"/>
    </mc:Choice>
  </mc:AlternateContent>
  <bookViews>
    <workbookView xWindow="0" yWindow="0" windowWidth="28800" windowHeight="12180" activeTab="2"/>
  </bookViews>
  <sheets>
    <sheet name="Sheet" sheetId="1" r:id="rId1"/>
    <sheet name="Sheet1" sheetId="2" r:id="rId2"/>
    <sheet name="Sheet2" sheetId="3" r:id="rId3"/>
  </sheets>
  <definedNames>
    <definedName name="_xlnm._FilterDatabase" localSheetId="0" hidden="1">Sheet!$A$1:$D$96</definedName>
    <definedName name="_xlnm._FilterDatabase" localSheetId="1" hidden="1">Sheet1!$A$1:$E$266</definedName>
    <definedName name="_xlnm._FilterDatabase" localSheetId="2" hidden="1">Sheet2!$A$1:$C$88</definedName>
  </definedNames>
  <calcPr calcId="162913"/>
</workbook>
</file>

<file path=xl/calcChain.xml><?xml version="1.0" encoding="utf-8"?>
<calcChain xmlns="http://schemas.openxmlformats.org/spreadsheetml/2006/main">
  <c r="F86" i="3" l="1"/>
  <c r="G86" i="3" s="1"/>
  <c r="F85" i="3"/>
  <c r="G85" i="3" s="1"/>
  <c r="F84" i="3"/>
  <c r="G84" i="3" s="1"/>
  <c r="F83" i="3"/>
  <c r="G83" i="3" s="1"/>
  <c r="F82" i="3"/>
  <c r="G82" i="3" s="1"/>
  <c r="F81" i="3"/>
  <c r="G81" i="3" s="1"/>
  <c r="F80" i="3"/>
  <c r="G80" i="3" s="1"/>
  <c r="F79" i="3"/>
  <c r="G79" i="3" s="1"/>
  <c r="F78" i="3"/>
  <c r="G78" i="3" s="1"/>
  <c r="F77" i="3"/>
  <c r="G77" i="3" s="1"/>
  <c r="F76" i="3"/>
  <c r="G76" i="3" s="1"/>
  <c r="F75" i="3"/>
  <c r="G75" i="3" s="1"/>
  <c r="F74" i="3"/>
  <c r="G74" i="3" s="1"/>
  <c r="F73" i="3"/>
  <c r="G73" i="3" s="1"/>
  <c r="F72" i="3"/>
  <c r="G72" i="3" s="1"/>
  <c r="F71" i="3"/>
  <c r="G71" i="3" s="1"/>
  <c r="F70" i="3"/>
  <c r="G70" i="3" s="1"/>
  <c r="F69" i="3"/>
  <c r="G69" i="3" s="1"/>
  <c r="F68" i="3"/>
  <c r="G68" i="3" s="1"/>
  <c r="F67" i="3"/>
  <c r="G67" i="3" s="1"/>
  <c r="F66" i="3"/>
  <c r="G66" i="3" s="1"/>
  <c r="F65" i="3"/>
  <c r="G65" i="3" s="1"/>
  <c r="F64" i="3"/>
  <c r="G64" i="3" s="1"/>
  <c r="F63" i="3"/>
  <c r="G63" i="3" s="1"/>
  <c r="F62" i="3"/>
  <c r="G62" i="3" s="1"/>
  <c r="F61" i="3"/>
  <c r="G61" i="3" s="1"/>
  <c r="F60" i="3"/>
  <c r="G60" i="3" s="1"/>
  <c r="F59" i="3"/>
  <c r="G59" i="3" s="1"/>
  <c r="F58" i="3"/>
  <c r="G58" i="3" s="1"/>
  <c r="F57" i="3"/>
  <c r="G57" i="3" s="1"/>
  <c r="F56" i="3"/>
  <c r="G56" i="3" s="1"/>
  <c r="F55" i="3"/>
  <c r="G55" i="3" s="1"/>
  <c r="F54" i="3"/>
  <c r="G54" i="3" s="1"/>
  <c r="F53" i="3"/>
  <c r="G53" i="3" s="1"/>
  <c r="F52" i="3"/>
  <c r="G52" i="3" s="1"/>
  <c r="F51" i="3"/>
  <c r="G51" i="3" s="1"/>
  <c r="F50" i="3"/>
  <c r="G50" i="3" s="1"/>
  <c r="F49" i="3"/>
  <c r="G49" i="3" s="1"/>
  <c r="F48" i="3"/>
  <c r="G48" i="3" s="1"/>
  <c r="F47" i="3"/>
  <c r="G47" i="3" s="1"/>
  <c r="F46" i="3"/>
  <c r="G46" i="3" s="1"/>
  <c r="F45" i="3"/>
  <c r="G45" i="3" s="1"/>
  <c r="F44" i="3"/>
  <c r="G44" i="3" s="1"/>
  <c r="F43" i="3"/>
  <c r="G43" i="3" s="1"/>
  <c r="F42" i="3"/>
  <c r="G42" i="3" s="1"/>
  <c r="F41" i="3"/>
  <c r="G41" i="3" s="1"/>
  <c r="F40" i="3"/>
  <c r="G40" i="3" s="1"/>
  <c r="F39" i="3"/>
  <c r="G39" i="3" s="1"/>
  <c r="F38" i="3"/>
  <c r="G38" i="3" s="1"/>
  <c r="F37" i="3"/>
  <c r="G37" i="3" s="1"/>
  <c r="F36" i="3"/>
  <c r="G36" i="3" s="1"/>
  <c r="F35" i="3"/>
  <c r="G35" i="3" s="1"/>
  <c r="F34" i="3"/>
  <c r="G34" i="3" s="1"/>
  <c r="F33" i="3"/>
  <c r="G33" i="3" s="1"/>
  <c r="F32" i="3"/>
  <c r="G32" i="3" s="1"/>
  <c r="F31" i="3"/>
  <c r="G31" i="3" s="1"/>
  <c r="F30" i="3"/>
  <c r="G30" i="3" s="1"/>
  <c r="F29" i="3"/>
  <c r="G29" i="3" s="1"/>
  <c r="F28" i="3"/>
  <c r="G28" i="3" s="1"/>
  <c r="F27" i="3"/>
  <c r="G27" i="3" s="1"/>
  <c r="F26" i="3"/>
  <c r="G26" i="3" s="1"/>
  <c r="F25" i="3"/>
  <c r="G25" i="3" s="1"/>
  <c r="F24" i="3"/>
  <c r="G24" i="3" s="1"/>
  <c r="F23" i="3"/>
  <c r="G23" i="3" s="1"/>
  <c r="F22" i="3"/>
  <c r="G22" i="3" s="1"/>
  <c r="F21" i="3"/>
  <c r="G21" i="3" s="1"/>
  <c r="F20" i="3"/>
  <c r="G20" i="3" s="1"/>
  <c r="F19" i="3"/>
  <c r="G19" i="3" s="1"/>
  <c r="F18" i="3"/>
  <c r="G18" i="3" s="1"/>
  <c r="F17" i="3"/>
  <c r="G17" i="3" s="1"/>
  <c r="F16" i="3"/>
  <c r="G16" i="3" s="1"/>
  <c r="F15" i="3"/>
  <c r="G15" i="3" s="1"/>
  <c r="F14" i="3"/>
  <c r="G14" i="3" s="1"/>
  <c r="F13" i="3"/>
  <c r="G13" i="3" s="1"/>
  <c r="F12" i="3"/>
  <c r="G12" i="3" s="1"/>
  <c r="F11" i="3"/>
  <c r="G11" i="3" s="1"/>
  <c r="F10" i="3"/>
  <c r="G10" i="3" s="1"/>
  <c r="F9" i="3"/>
  <c r="G9" i="3" s="1"/>
  <c r="F8" i="3"/>
  <c r="G8" i="3" s="1"/>
  <c r="F7" i="3"/>
  <c r="G7" i="3" s="1"/>
  <c r="F6" i="3"/>
  <c r="G6" i="3" s="1"/>
  <c r="F5" i="3"/>
  <c r="G5" i="3" s="1"/>
  <c r="F4" i="3"/>
  <c r="G4" i="3" s="1"/>
  <c r="F3" i="3"/>
  <c r="G3" i="3" s="1"/>
  <c r="F2" i="3"/>
  <c r="G2" i="3" s="1"/>
  <c r="D80" i="3"/>
  <c r="D71" i="3"/>
  <c r="D70" i="3"/>
  <c r="D65" i="3"/>
  <c r="D62" i="3"/>
  <c r="D2" i="3"/>
  <c r="C80" i="3"/>
  <c r="C73" i="3"/>
  <c r="C71" i="3"/>
  <c r="C70" i="3"/>
  <c r="C65" i="3"/>
  <c r="C62" i="3"/>
  <c r="C43" i="3"/>
  <c r="C34" i="3"/>
  <c r="C2" i="3"/>
  <c r="E266" i="2"/>
  <c r="E265" i="2"/>
  <c r="E264" i="2"/>
  <c r="E263" i="2"/>
  <c r="E262" i="2"/>
  <c r="E261" i="2"/>
  <c r="E260" i="2"/>
  <c r="E259" i="2"/>
  <c r="E258" i="2"/>
  <c r="E257" i="2"/>
  <c r="E256" i="2"/>
  <c r="E255" i="2"/>
  <c r="E254" i="2"/>
  <c r="C81" i="3" s="1"/>
  <c r="E253" i="2"/>
  <c r="E252" i="2"/>
  <c r="E251" i="2"/>
  <c r="E250" i="2"/>
  <c r="E249" i="2"/>
  <c r="E248" i="2"/>
  <c r="E247" i="2"/>
  <c r="E246" i="2"/>
  <c r="E245" i="2"/>
  <c r="D73" i="3" s="1"/>
  <c r="E244" i="2"/>
  <c r="E243" i="2"/>
  <c r="E242" i="2"/>
  <c r="E241" i="2"/>
  <c r="C18" i="3" s="1"/>
  <c r="E240" i="2"/>
  <c r="C38" i="3" s="1"/>
  <c r="E239" i="2"/>
  <c r="E238" i="2"/>
  <c r="E237" i="2"/>
  <c r="C78" i="3" s="1"/>
  <c r="E236" i="2"/>
  <c r="E235" i="2"/>
  <c r="E234" i="2"/>
  <c r="C77" i="3" s="1"/>
  <c r="E233" i="2"/>
  <c r="C76" i="3" s="1"/>
  <c r="E232" i="2"/>
  <c r="C75" i="3" s="1"/>
  <c r="E231" i="2"/>
  <c r="C79" i="3" s="1"/>
  <c r="E230" i="2"/>
  <c r="E229" i="2"/>
  <c r="E228" i="2"/>
  <c r="E227" i="2"/>
  <c r="E226" i="2"/>
  <c r="C74" i="3" s="1"/>
  <c r="E225" i="2"/>
  <c r="C72" i="3" s="1"/>
  <c r="E224" i="2"/>
  <c r="E223" i="2"/>
  <c r="C86" i="3" s="1"/>
  <c r="E222" i="2"/>
  <c r="C13" i="3" s="1"/>
  <c r="E221" i="2"/>
  <c r="E220" i="2"/>
  <c r="E219" i="2"/>
  <c r="E218" i="2"/>
  <c r="E217" i="2"/>
  <c r="E216" i="2"/>
  <c r="E215" i="2"/>
  <c r="E214" i="2"/>
  <c r="C7" i="3" s="1"/>
  <c r="E213" i="2"/>
  <c r="E212" i="2"/>
  <c r="C68" i="3" s="1"/>
  <c r="E211" i="2"/>
  <c r="E210" i="2"/>
  <c r="C27" i="3" s="1"/>
  <c r="E209" i="2"/>
  <c r="E208" i="2"/>
  <c r="C19" i="3" s="1"/>
  <c r="E207" i="2"/>
  <c r="C67" i="3" s="1"/>
  <c r="E206" i="2"/>
  <c r="E205" i="2"/>
  <c r="E204" i="2"/>
  <c r="E203" i="2"/>
  <c r="E202" i="2"/>
  <c r="C66" i="3" s="1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C14" i="3" s="1"/>
  <c r="E188" i="2"/>
  <c r="E187" i="2"/>
  <c r="C64" i="3" s="1"/>
  <c r="E186" i="2"/>
  <c r="E185" i="2"/>
  <c r="E184" i="2"/>
  <c r="E183" i="2"/>
  <c r="C8" i="3" s="1"/>
  <c r="E182" i="2"/>
  <c r="C28" i="3" s="1"/>
  <c r="E181" i="2"/>
  <c r="E180" i="2"/>
  <c r="C63" i="3" s="1"/>
  <c r="E179" i="2"/>
  <c r="E178" i="2"/>
  <c r="E177" i="2"/>
  <c r="E176" i="2"/>
  <c r="E175" i="2"/>
  <c r="C61" i="3" s="1"/>
  <c r="E174" i="2"/>
  <c r="E173" i="2"/>
  <c r="E172" i="2"/>
  <c r="E171" i="2"/>
  <c r="E170" i="2"/>
  <c r="E169" i="2"/>
  <c r="C85" i="3" s="1"/>
  <c r="E168" i="2"/>
  <c r="E167" i="2"/>
  <c r="E166" i="2"/>
  <c r="C59" i="3" s="1"/>
  <c r="E165" i="2"/>
  <c r="E164" i="2"/>
  <c r="E163" i="2"/>
  <c r="C58" i="3" s="1"/>
  <c r="E162" i="2"/>
  <c r="E161" i="2"/>
  <c r="E160" i="2"/>
  <c r="E159" i="2"/>
  <c r="E158" i="2"/>
  <c r="E157" i="2"/>
  <c r="E156" i="2"/>
  <c r="C22" i="3" s="1"/>
  <c r="E155" i="2"/>
  <c r="C57" i="3" s="1"/>
  <c r="E154" i="2"/>
  <c r="E153" i="2"/>
  <c r="E152" i="2"/>
  <c r="C60" i="3" s="1"/>
  <c r="E151" i="2"/>
  <c r="E150" i="2"/>
  <c r="C56" i="3" s="1"/>
  <c r="E149" i="2"/>
  <c r="E148" i="2"/>
  <c r="E147" i="2"/>
  <c r="E146" i="2"/>
  <c r="E145" i="2"/>
  <c r="E144" i="2"/>
  <c r="C55" i="3" s="1"/>
  <c r="E143" i="2"/>
  <c r="E142" i="2"/>
  <c r="C54" i="3" s="1"/>
  <c r="E141" i="2"/>
  <c r="E140" i="2"/>
  <c r="C16" i="3" s="1"/>
  <c r="E139" i="2"/>
  <c r="E138" i="2"/>
  <c r="E137" i="2"/>
  <c r="C53" i="3" s="1"/>
  <c r="E136" i="2"/>
  <c r="E135" i="2"/>
  <c r="E134" i="2"/>
  <c r="E133" i="2"/>
  <c r="C11" i="3" s="1"/>
  <c r="E132" i="2"/>
  <c r="C6" i="3" s="1"/>
  <c r="E131" i="2"/>
  <c r="E130" i="2"/>
  <c r="C52" i="3" s="1"/>
  <c r="E129" i="2"/>
  <c r="E128" i="2"/>
  <c r="C25" i="3" s="1"/>
  <c r="E127" i="2"/>
  <c r="E126" i="2"/>
  <c r="C51" i="3" s="1"/>
  <c r="E125" i="2"/>
  <c r="E124" i="2"/>
  <c r="C50" i="3" s="1"/>
  <c r="E123" i="2"/>
  <c r="C49" i="3" s="1"/>
  <c r="E122" i="2"/>
  <c r="E121" i="2"/>
  <c r="E120" i="2"/>
  <c r="E119" i="2"/>
  <c r="E118" i="2"/>
  <c r="C47" i="3" s="1"/>
  <c r="E117" i="2"/>
  <c r="C48" i="3" s="1"/>
  <c r="E116" i="2"/>
  <c r="C46" i="3" s="1"/>
  <c r="E115" i="2"/>
  <c r="E114" i="2"/>
  <c r="E113" i="2"/>
  <c r="C20" i="3" s="1"/>
  <c r="E112" i="2"/>
  <c r="C45" i="3" s="1"/>
  <c r="E111" i="2"/>
  <c r="C15" i="3" s="1"/>
  <c r="E110" i="2"/>
  <c r="C44" i="3" s="1"/>
  <c r="E109" i="2"/>
  <c r="E108" i="2"/>
  <c r="C42" i="3" s="1"/>
  <c r="E107" i="2"/>
  <c r="C41" i="3" s="1"/>
  <c r="E106" i="2"/>
  <c r="E105" i="2"/>
  <c r="C9" i="3" s="1"/>
  <c r="E104" i="2"/>
  <c r="C40" i="3" s="1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C4" i="3" s="1"/>
  <c r="E89" i="2"/>
  <c r="E88" i="2"/>
  <c r="E87" i="2"/>
  <c r="C39" i="3" s="1"/>
  <c r="E86" i="2"/>
  <c r="C23" i="3" s="1"/>
  <c r="E85" i="2"/>
  <c r="E84" i="2"/>
  <c r="E83" i="2"/>
  <c r="E82" i="2"/>
  <c r="E81" i="2"/>
  <c r="E80" i="2"/>
  <c r="E79" i="2"/>
  <c r="E78" i="2"/>
  <c r="E77" i="2"/>
  <c r="C17" i="3" s="1"/>
  <c r="E76" i="2"/>
  <c r="E75" i="2"/>
  <c r="C12" i="3" s="1"/>
  <c r="E74" i="2"/>
  <c r="E73" i="2"/>
  <c r="E72" i="2"/>
  <c r="E71" i="2"/>
  <c r="E70" i="2"/>
  <c r="C84" i="3" s="1"/>
  <c r="E69" i="2"/>
  <c r="E68" i="2"/>
  <c r="E67" i="2"/>
  <c r="E66" i="2"/>
  <c r="E65" i="2"/>
  <c r="E64" i="2"/>
  <c r="E63" i="2"/>
  <c r="E62" i="2"/>
  <c r="E61" i="2"/>
  <c r="C26" i="3" s="1"/>
  <c r="E60" i="2"/>
  <c r="E59" i="2"/>
  <c r="C21" i="3" s="1"/>
  <c r="E58" i="2"/>
  <c r="C83" i="3" s="1"/>
  <c r="E57" i="2"/>
  <c r="E56" i="2"/>
  <c r="C10" i="3" s="1"/>
  <c r="E55" i="2"/>
  <c r="E54" i="2"/>
  <c r="E53" i="2"/>
  <c r="E52" i="2"/>
  <c r="E51" i="2"/>
  <c r="E50" i="2"/>
  <c r="E49" i="2"/>
  <c r="C37" i="3" s="1"/>
  <c r="E48" i="2"/>
  <c r="E47" i="2"/>
  <c r="E46" i="2"/>
  <c r="E45" i="2"/>
  <c r="C36" i="3" s="1"/>
  <c r="E44" i="2"/>
  <c r="C35" i="3" s="1"/>
  <c r="E43" i="2"/>
  <c r="E42" i="2"/>
  <c r="C69" i="3" s="1"/>
  <c r="E41" i="2"/>
  <c r="E40" i="2"/>
  <c r="E39" i="2"/>
  <c r="E38" i="2"/>
  <c r="C3" i="3" s="1"/>
  <c r="E37" i="2"/>
  <c r="E36" i="2"/>
  <c r="E35" i="2"/>
  <c r="E34" i="2"/>
  <c r="E33" i="2"/>
  <c r="E32" i="2"/>
  <c r="C5" i="3" s="1"/>
  <c r="E31" i="2"/>
  <c r="D34" i="3" s="1"/>
  <c r="E30" i="2"/>
  <c r="E29" i="2"/>
  <c r="E28" i="2"/>
  <c r="E27" i="2"/>
  <c r="E26" i="2"/>
  <c r="C33" i="3" s="1"/>
  <c r="E25" i="2"/>
  <c r="E24" i="2"/>
  <c r="E23" i="2"/>
  <c r="E22" i="2"/>
  <c r="E21" i="2"/>
  <c r="E20" i="2"/>
  <c r="E19" i="2"/>
  <c r="C24" i="3" s="1"/>
  <c r="E18" i="2"/>
  <c r="E17" i="2"/>
  <c r="E16" i="2"/>
  <c r="E15" i="2"/>
  <c r="C32" i="3" s="1"/>
  <c r="E14" i="2"/>
  <c r="E13" i="2"/>
  <c r="C82" i="3" s="1"/>
  <c r="E12" i="2"/>
  <c r="C31" i="3" s="1"/>
  <c r="E11" i="2"/>
  <c r="C30" i="3" s="1"/>
  <c r="E10" i="2"/>
  <c r="E9" i="2"/>
  <c r="E8" i="2"/>
  <c r="E7" i="2"/>
  <c r="E6" i="2"/>
  <c r="E5" i="2"/>
  <c r="C29" i="3" s="1"/>
  <c r="E4" i="2"/>
  <c r="E3" i="2"/>
  <c r="E2" i="2"/>
</calcChain>
</file>

<file path=xl/sharedStrings.xml><?xml version="1.0" encoding="utf-8"?>
<sst xmlns="http://schemas.openxmlformats.org/spreadsheetml/2006/main" count="6149" uniqueCount="2226">
  <si>
    <t>dimensao</t>
  </si>
  <si>
    <t>valor_original</t>
  </si>
  <si>
    <t>valor_mv</t>
  </si>
  <si>
    <t>descritivo_mv</t>
  </si>
  <si>
    <t>tipo_finalidade_bem</t>
  </si>
  <si>
    <t>1_14</t>
  </si>
  <si>
    <t>Retail - shopping center</t>
  </si>
  <si>
    <t>Centro Comercial</t>
  </si>
  <si>
    <t>1_10</t>
  </si>
  <si>
    <t>Non-residential total</t>
  </si>
  <si>
    <t>Não Residencial</t>
  </si>
  <si>
    <t>1_13</t>
  </si>
  <si>
    <t>0_01</t>
  </si>
  <si>
    <t>Residential Total</t>
  </si>
  <si>
    <t>Residencial</t>
  </si>
  <si>
    <t>0_03</t>
  </si>
  <si>
    <t>Office</t>
  </si>
  <si>
    <t>Escritório</t>
  </si>
  <si>
    <t>0_05</t>
  </si>
  <si>
    <t>Non-residential buildings</t>
  </si>
  <si>
    <t>0_02</t>
  </si>
  <si>
    <t>Retail High-street</t>
  </si>
  <si>
    <t>Comércio</t>
  </si>
  <si>
    <t>0_04</t>
  </si>
  <si>
    <t>Retail Warehouse</t>
  </si>
  <si>
    <t>Armazém</t>
  </si>
  <si>
    <t>0_08</t>
  </si>
  <si>
    <t>0_</t>
  </si>
  <si>
    <t>0_07</t>
  </si>
  <si>
    <t>Not applicable</t>
  </si>
  <si>
    <t>Não Aplicável</t>
  </si>
  <si>
    <t>1_01</t>
  </si>
  <si>
    <t>1_03</t>
  </si>
  <si>
    <t>1_05</t>
  </si>
  <si>
    <t>1_02</t>
  </si>
  <si>
    <t>Retail - high street</t>
  </si>
  <si>
    <t>1_04</t>
  </si>
  <si>
    <t>Retail - warehouse</t>
  </si>
  <si>
    <t>1_08</t>
  </si>
  <si>
    <t>tipo_veiculo</t>
  </si>
  <si>
    <t>7110</t>
  </si>
  <si>
    <t>Passenger car</t>
  </si>
  <si>
    <t>Viatura Ligeiro de passageiros</t>
  </si>
  <si>
    <t>7111</t>
  </si>
  <si>
    <t>Outros</t>
  </si>
  <si>
    <t>regiao</t>
  </si>
  <si>
    <t>702</t>
  </si>
  <si>
    <t>Advanced economies</t>
  </si>
  <si>
    <t>Economias Avançadas</t>
  </si>
  <si>
    <t>756</t>
  </si>
  <si>
    <t>158</t>
  </si>
  <si>
    <t>840</t>
  </si>
  <si>
    <t>040</t>
  </si>
  <si>
    <t>EU member states</t>
  </si>
  <si>
    <t>Membros da União Europeia</t>
  </si>
  <si>
    <t>056</t>
  </si>
  <si>
    <t>100</t>
  </si>
  <si>
    <t>191</t>
  </si>
  <si>
    <t>196</t>
  </si>
  <si>
    <t>0_06</t>
  </si>
  <si>
    <t>0_11</t>
  </si>
  <si>
    <t>Healthcare</t>
  </si>
  <si>
    <t>Saúde</t>
  </si>
  <si>
    <t>0_09</t>
  </si>
  <si>
    <t>Hotel</t>
  </si>
  <si>
    <t>0_12</t>
  </si>
  <si>
    <t>Lodge/Leisure</t>
  </si>
  <si>
    <t>Lazer</t>
  </si>
  <si>
    <t>0_14</t>
  </si>
  <si>
    <t>Shopping Center</t>
  </si>
  <si>
    <t>0_10</t>
  </si>
  <si>
    <t>0_13</t>
  </si>
  <si>
    <t>344</t>
  </si>
  <si>
    <t>352</t>
  </si>
  <si>
    <t>376</t>
  </si>
  <si>
    <t>392</t>
  </si>
  <si>
    <t>233</t>
  </si>
  <si>
    <t>246</t>
  </si>
  <si>
    <t>250</t>
  </si>
  <si>
    <t>276</t>
  </si>
  <si>
    <t>300</t>
  </si>
  <si>
    <t>348</t>
  </si>
  <si>
    <t>372</t>
  </si>
  <si>
    <t>380</t>
  </si>
  <si>
    <t>428</t>
  </si>
  <si>
    <t>1_09</t>
  </si>
  <si>
    <t>1_12</t>
  </si>
  <si>
    <t>Leisure/Lodging</t>
  </si>
  <si>
    <t>1_</t>
  </si>
  <si>
    <t>1_07</t>
  </si>
  <si>
    <t>1_06</t>
  </si>
  <si>
    <t>1_11</t>
  </si>
  <si>
    <t>410</t>
  </si>
  <si>
    <t>446</t>
  </si>
  <si>
    <t>554</t>
  </si>
  <si>
    <t>578</t>
  </si>
  <si>
    <t>630</t>
  </si>
  <si>
    <t>674</t>
  </si>
  <si>
    <t>tipo_motor</t>
  </si>
  <si>
    <t>2</t>
  </si>
  <si>
    <t>DIESEL</t>
  </si>
  <si>
    <t>GASOLEO</t>
  </si>
  <si>
    <t>7</t>
  </si>
  <si>
    <t>DIESEL/ELECTRIC</t>
  </si>
  <si>
    <t>HIBRIDO/GASOLEO</t>
  </si>
  <si>
    <t>5</t>
  </si>
  <si>
    <t>4</t>
  </si>
  <si>
    <t>ELECTRIC</t>
  </si>
  <si>
    <t>ELECTRICO</t>
  </si>
  <si>
    <t>3</t>
  </si>
  <si>
    <t>LPG</t>
  </si>
  <si>
    <t>GAZ</t>
  </si>
  <si>
    <t>1</t>
  </si>
  <si>
    <t>PETROL</t>
  </si>
  <si>
    <t>GASOLINA</t>
  </si>
  <si>
    <t>6</t>
  </si>
  <si>
    <t>PETROL/ELECTRIC</t>
  </si>
  <si>
    <t>HIBRIDO/GASOLINA</t>
  </si>
  <si>
    <t>''</t>
  </si>
  <si>
    <t>Average</t>
  </si>
  <si>
    <t>Não Definido</t>
  </si>
  <si>
    <t>7101</t>
  </si>
  <si>
    <t>7102</t>
  </si>
  <si>
    <t>Van</t>
  </si>
  <si>
    <t>Viatura Ligeiro de mercadorias</t>
  </si>
  <si>
    <t>208</t>
  </si>
  <si>
    <t>020</t>
  </si>
  <si>
    <t>036</t>
  </si>
  <si>
    <t>124</t>
  </si>
  <si>
    <t>7103</t>
  </si>
  <si>
    <t>Heavy Vehicle</t>
  </si>
  <si>
    <t>Viatura Pesado de mercadorias</t>
  </si>
  <si>
    <t>7104</t>
  </si>
  <si>
    <t>7105</t>
  </si>
  <si>
    <t>7100</t>
  </si>
  <si>
    <t>7106</t>
  </si>
  <si>
    <t>7107</t>
  </si>
  <si>
    <t>7108</t>
  </si>
  <si>
    <t>7109</t>
  </si>
  <si>
    <t>203</t>
  </si>
  <si>
    <t>440</t>
  </si>
  <si>
    <t>442</t>
  </si>
  <si>
    <t>470</t>
  </si>
  <si>
    <t>528</t>
  </si>
  <si>
    <t>616</t>
  </si>
  <si>
    <t>620</t>
  </si>
  <si>
    <t>642</t>
  </si>
  <si>
    <t>703</t>
  </si>
  <si>
    <t>705</t>
  </si>
  <si>
    <t>724</t>
  </si>
  <si>
    <t>752</t>
  </si>
  <si>
    <t>826</t>
  </si>
  <si>
    <t>tayd91c0_ctabela</t>
  </si>
  <si>
    <t>tayd91c0_celemtab</t>
  </si>
  <si>
    <t>tayd91c0_gelemtab</t>
  </si>
  <si>
    <t>tayd91c0_gelem30</t>
  </si>
  <si>
    <t>tayd91c0_htimest</t>
  </si>
  <si>
    <t>tayd91c0_ckutulmo</t>
  </si>
  <si>
    <t>tayd91c0_nelemc01</t>
  </si>
  <si>
    <t>tayd91c0_nelemc02</t>
  </si>
  <si>
    <t>tayd91c0_nelemc03</t>
  </si>
  <si>
    <t>tayd91c0_nelemc04</t>
  </si>
  <si>
    <t>tayd91c0_nelemc05</t>
  </si>
  <si>
    <t>tayd91c0_nelemc06</t>
  </si>
  <si>
    <t>tayd91c0_nelemc07</t>
  </si>
  <si>
    <t>tayd91c0_nelemc08</t>
  </si>
  <si>
    <t>tayd91c0_nelemc09</t>
  </si>
  <si>
    <t>tayd91c0_nelemc10</t>
  </si>
  <si>
    <t>tayd91c0_nelemc11</t>
  </si>
  <si>
    <t>tayd91c0_nelemc12</t>
  </si>
  <si>
    <t>tayd91c0_nelemc13</t>
  </si>
  <si>
    <t>tayd91c0_nelemc14</t>
  </si>
  <si>
    <t>tayd91c0_nelemc15</t>
  </si>
  <si>
    <t>tayd91c0_nelemc16</t>
  </si>
  <si>
    <t>tayd91c0_nelemc17</t>
  </si>
  <si>
    <t>tayd91c0_nelemc18</t>
  </si>
  <si>
    <t>tayd91c0_nelemc19</t>
  </si>
  <si>
    <t>tayd91c0_nelemc20</t>
  </si>
  <si>
    <t>tayd91c0_cempmarc</t>
  </si>
  <si>
    <t>data_date_part</t>
  </si>
  <si>
    <t>data_timestamp_part</t>
  </si>
  <si>
    <t>AFEGANISTAO</t>
  </si>
  <si>
    <t>AFGHANISTAN</t>
  </si>
  <si>
    <t>2023-11-15-17.02.00.263031</t>
  </si>
  <si>
    <t>ATHTAT91</t>
  </si>
  <si>
    <t>AFG</t>
  </si>
  <si>
    <t>AFAFS</t>
  </si>
  <si>
    <t>S H 04</t>
  </si>
  <si>
    <t>AF</t>
  </si>
  <si>
    <t>S045</t>
  </si>
  <si>
    <t xml:space="preserve">      S</t>
  </si>
  <si>
    <t>000     S</t>
  </si>
  <si>
    <t xml:space="preserve">       S</t>
  </si>
  <si>
    <t>ALBANIA</t>
  </si>
  <si>
    <t>2023-11-15-17.02.00.271984</t>
  </si>
  <si>
    <t>ALB</t>
  </si>
  <si>
    <t>ALALS</t>
  </si>
  <si>
    <t>S H 11</t>
  </si>
  <si>
    <t>S</t>
  </si>
  <si>
    <t>AL</t>
  </si>
  <si>
    <t>S012</t>
  </si>
  <si>
    <t>N</t>
  </si>
  <si>
    <t>0280512 S</t>
  </si>
  <si>
    <t>ANTARTICA</t>
  </si>
  <si>
    <t>ANTARCTICA</t>
  </si>
  <si>
    <t>2023-11-15-17.02.00.272109</t>
  </si>
  <si>
    <t>ATA</t>
  </si>
  <si>
    <t>AQAQS</t>
  </si>
  <si>
    <t xml:space="preserve">  H 11</t>
  </si>
  <si>
    <t>AQ</t>
  </si>
  <si>
    <t>S000</t>
  </si>
  <si>
    <t>ARGELIA</t>
  </si>
  <si>
    <t>ALGERIA</t>
  </si>
  <si>
    <t>2023-11-15-17.02.00.272172</t>
  </si>
  <si>
    <t>DZA</t>
  </si>
  <si>
    <t>DZDZS</t>
  </si>
  <si>
    <t>DZ</t>
  </si>
  <si>
    <t>S005</t>
  </si>
  <si>
    <t xml:space="preserve"> SS06S06</t>
  </si>
  <si>
    <t>SAMOA AMERICANAS</t>
  </si>
  <si>
    <t>AMERICAN SAMOA</t>
  </si>
  <si>
    <t>2025-09-23-15.54.11.589835</t>
  </si>
  <si>
    <t>S612127</t>
  </si>
  <si>
    <t>ASM</t>
  </si>
  <si>
    <t>ASUSS</t>
  </si>
  <si>
    <t xml:space="preserve">  H 10</t>
  </si>
  <si>
    <t>AS</t>
  </si>
  <si>
    <t>N SSSSS</t>
  </si>
  <si>
    <t>0000000 S</t>
  </si>
  <si>
    <t>ANDORRA</t>
  </si>
  <si>
    <t>2023-11-15-17.02.00.276271</t>
  </si>
  <si>
    <t>AND</t>
  </si>
  <si>
    <t>ADADS</t>
  </si>
  <si>
    <t>S H 10</t>
  </si>
  <si>
    <t>E2</t>
  </si>
  <si>
    <t xml:space="preserve">    S</t>
  </si>
  <si>
    <t>AD</t>
  </si>
  <si>
    <t>97AD00AD</t>
  </si>
  <si>
    <t>N SSNS</t>
  </si>
  <si>
    <t>SSS06S03</t>
  </si>
  <si>
    <t>0240512 S</t>
  </si>
  <si>
    <t>ANGOLA</t>
  </si>
  <si>
    <t>2023-11-15-17.02.00.276376</t>
  </si>
  <si>
    <t>AGO</t>
  </si>
  <si>
    <t>AOAOS</t>
  </si>
  <si>
    <t>AO</t>
  </si>
  <si>
    <t>97AO00AO</t>
  </si>
  <si>
    <t xml:space="preserve"> SS06S03</t>
  </si>
  <si>
    <t>NG     S</t>
  </si>
  <si>
    <t>ANTIGUA</t>
  </si>
  <si>
    <t>ANTIGUA AND BARBUDA</t>
  </si>
  <si>
    <t>2025-09-23-15.54.33.557477</t>
  </si>
  <si>
    <t>ATG</t>
  </si>
  <si>
    <t>AGAGS</t>
  </si>
  <si>
    <t>AG</t>
  </si>
  <si>
    <t>AZERBEIJAO</t>
  </si>
  <si>
    <t>AZERBAIJAN</t>
  </si>
  <si>
    <t>2025-09-23-15.54.54.079953</t>
  </si>
  <si>
    <t>AZE</t>
  </si>
  <si>
    <t>AZAZS</t>
  </si>
  <si>
    <t>AZ</t>
  </si>
  <si>
    <t>97AZ00AZ</t>
  </si>
  <si>
    <t>0280508 S</t>
  </si>
  <si>
    <t>ARGENTINA</t>
  </si>
  <si>
    <t>2023-11-15-17.02.00.276553</t>
  </si>
  <si>
    <t>ARG</t>
  </si>
  <si>
    <t>ARARS</t>
  </si>
  <si>
    <t xml:space="preserve">  M 14</t>
  </si>
  <si>
    <t>A2</t>
  </si>
  <si>
    <t>AR</t>
  </si>
  <si>
    <t>97AR00AR</t>
  </si>
  <si>
    <t>AUSTRALIA</t>
  </si>
  <si>
    <t>2023-11-15-17.02.00.276609</t>
  </si>
  <si>
    <t>AUS</t>
  </si>
  <si>
    <t>AUAU</t>
  </si>
  <si>
    <t xml:space="preserve">  L 15</t>
  </si>
  <si>
    <t>AU</t>
  </si>
  <si>
    <t>97AU00AU</t>
  </si>
  <si>
    <t>AUSTRIA</t>
  </si>
  <si>
    <t>2023-11-15-17.02.00.276683</t>
  </si>
  <si>
    <t>AUT</t>
  </si>
  <si>
    <t>ATAT</t>
  </si>
  <si>
    <t>E1</t>
  </si>
  <si>
    <t>CEESS</t>
  </si>
  <si>
    <t>SS</t>
  </si>
  <si>
    <t>AT</t>
  </si>
  <si>
    <t>97AT00AT</t>
  </si>
  <si>
    <t>0200509SS</t>
  </si>
  <si>
    <t>BAHAMAS</t>
  </si>
  <si>
    <t>2025-09-23-15.55.14.829874</t>
  </si>
  <si>
    <t>BHS</t>
  </si>
  <si>
    <t>BSBSS</t>
  </si>
  <si>
    <t>BS</t>
  </si>
  <si>
    <t>97BS00BS</t>
  </si>
  <si>
    <t>BAHREM</t>
  </si>
  <si>
    <t>BAHRAIN</t>
  </si>
  <si>
    <t>2025-09-23-15.55.35.482130</t>
  </si>
  <si>
    <t>BHR</t>
  </si>
  <si>
    <t>BHBHS</t>
  </si>
  <si>
    <t>BH</t>
  </si>
  <si>
    <t>97BH00BH</t>
  </si>
  <si>
    <t>0220508 S</t>
  </si>
  <si>
    <t>BANGLADESH</t>
  </si>
  <si>
    <t>2023-11-15-17.02.00.276852</t>
  </si>
  <si>
    <t>BGD</t>
  </si>
  <si>
    <t>BDBDS</t>
  </si>
  <si>
    <t>BD</t>
  </si>
  <si>
    <t>ARMENIA</t>
  </si>
  <si>
    <t>2025-09-23-15.56.00.046536</t>
  </si>
  <si>
    <t>ARM</t>
  </si>
  <si>
    <t>AMAMS</t>
  </si>
  <si>
    <t>AM</t>
  </si>
  <si>
    <t>BARBADOS</t>
  </si>
  <si>
    <t>2025-09-23-16.01.39.000464</t>
  </si>
  <si>
    <t>BRB</t>
  </si>
  <si>
    <t>BBBBS</t>
  </si>
  <si>
    <t>S H 09</t>
  </si>
  <si>
    <t>BB</t>
  </si>
  <si>
    <t>BELGICA</t>
  </si>
  <si>
    <t>BELGIUM</t>
  </si>
  <si>
    <t>2023-11-15-17.02.00.277025</t>
  </si>
  <si>
    <t>BEL</t>
  </si>
  <si>
    <t>BEBE</t>
  </si>
  <si>
    <t xml:space="preserve"> SL 15</t>
  </si>
  <si>
    <t>BE</t>
  </si>
  <si>
    <t>97BE00BE</t>
  </si>
  <si>
    <t>SSS06S06</t>
  </si>
  <si>
    <t>0160507SS</t>
  </si>
  <si>
    <t>BERMUDAS</t>
  </si>
  <si>
    <t>BERMUDA</t>
  </si>
  <si>
    <t>2023-11-15-17.02.00.277080</t>
  </si>
  <si>
    <t>BMU</t>
  </si>
  <si>
    <t>BMBMS</t>
  </si>
  <si>
    <t>BM</t>
  </si>
  <si>
    <t>97BM00BM</t>
  </si>
  <si>
    <t>BUTAO</t>
  </si>
  <si>
    <t>BHUTAN</t>
  </si>
  <si>
    <t>2023-11-15-17.02.00.277157</t>
  </si>
  <si>
    <t>BTN</t>
  </si>
  <si>
    <t>BTBTS</t>
  </si>
  <si>
    <t>BT</t>
  </si>
  <si>
    <t>BOLIVIA</t>
  </si>
  <si>
    <t>2023-11-15-17.02.00.277219</t>
  </si>
  <si>
    <t>BOL</t>
  </si>
  <si>
    <t>BOBOS</t>
  </si>
  <si>
    <t>BO</t>
  </si>
  <si>
    <t>97BO00BO</t>
  </si>
  <si>
    <t>BOSNIA E HERZEGOVINA</t>
  </si>
  <si>
    <t>BOSNIA AND HERZEGOVINA</t>
  </si>
  <si>
    <t>2025-09-23-16.02.00.314549</t>
  </si>
  <si>
    <t>BIH</t>
  </si>
  <si>
    <t>BABAS</t>
  </si>
  <si>
    <t>S H 07</t>
  </si>
  <si>
    <t>BA</t>
  </si>
  <si>
    <t>97BA00BA</t>
  </si>
  <si>
    <t>N     S</t>
  </si>
  <si>
    <t>0200510 S</t>
  </si>
  <si>
    <t>BOTSWANA</t>
  </si>
  <si>
    <t>2023-11-15-17.02.00.277349</t>
  </si>
  <si>
    <t>BWA</t>
  </si>
  <si>
    <t>BWBWS</t>
  </si>
  <si>
    <t>S M 14</t>
  </si>
  <si>
    <t>BW</t>
  </si>
  <si>
    <t>97BW00BW</t>
  </si>
  <si>
    <t>BOUVET,ILHA</t>
  </si>
  <si>
    <t>BOUVET ISLAND</t>
  </si>
  <si>
    <t>2025-09-23-16.02.21.272426</t>
  </si>
  <si>
    <t>BVT</t>
  </si>
  <si>
    <t>BVNOS</t>
  </si>
  <si>
    <t>BV</t>
  </si>
  <si>
    <t>0150000 S</t>
  </si>
  <si>
    <t>BRASIL</t>
  </si>
  <si>
    <t>BRAZIL</t>
  </si>
  <si>
    <t>2025-09-23-16.02.41.182793</t>
  </si>
  <si>
    <t>BRA</t>
  </si>
  <si>
    <t>BRBRS</t>
  </si>
  <si>
    <t>BR</t>
  </si>
  <si>
    <t>97BR00BR</t>
  </si>
  <si>
    <t>0290512 S</t>
  </si>
  <si>
    <t>BELIZE</t>
  </si>
  <si>
    <t>2023-11-15-17.02.00.277511</t>
  </si>
  <si>
    <t>BLZ</t>
  </si>
  <si>
    <t>BZBZS</t>
  </si>
  <si>
    <t>BZ</t>
  </si>
  <si>
    <t>97BZ00BZ</t>
  </si>
  <si>
    <t>OCEANO INDICO,TER. BRIT.DO</t>
  </si>
  <si>
    <t>BRITISH INDIAN OCEAN TERRITORY</t>
  </si>
  <si>
    <t>2023-11-15-17.02.00.277582</t>
  </si>
  <si>
    <t>IOT</t>
  </si>
  <si>
    <t>IOIOS</t>
  </si>
  <si>
    <t>IO</t>
  </si>
  <si>
    <t>SALOMAN,ILHAS</t>
  </si>
  <si>
    <t>SALOMON ISLANDS</t>
  </si>
  <si>
    <t>2023-11-15-17.02.00.277643</t>
  </si>
  <si>
    <t>SLB</t>
  </si>
  <si>
    <t>SBSBS</t>
  </si>
  <si>
    <t>SB</t>
  </si>
  <si>
    <t>ILHAS VIRGENS (BRITANICAS)</t>
  </si>
  <si>
    <t>VIRGIN ISLANDS, BRITISH</t>
  </si>
  <si>
    <t>2023-11-15-17.02.00.277727</t>
  </si>
  <si>
    <t>VGB</t>
  </si>
  <si>
    <t>VG1ZS</t>
  </si>
  <si>
    <t>VG</t>
  </si>
  <si>
    <t>0240508 S</t>
  </si>
  <si>
    <t>BRUNEI</t>
  </si>
  <si>
    <t>BRUNEI DARUSSALAM</t>
  </si>
  <si>
    <t>2023-11-15-17.02.00.277950</t>
  </si>
  <si>
    <t>BRN</t>
  </si>
  <si>
    <t>BNBNS</t>
  </si>
  <si>
    <t>BN</t>
  </si>
  <si>
    <t>BULGARIA</t>
  </si>
  <si>
    <t>2023-11-15-17.02.00.278003</t>
  </si>
  <si>
    <t>BGR</t>
  </si>
  <si>
    <t>BGBGS</t>
  </si>
  <si>
    <t xml:space="preserve">   SS</t>
  </si>
  <si>
    <t>BG</t>
  </si>
  <si>
    <t>97BG00BG</t>
  </si>
  <si>
    <t>0220512SS</t>
  </si>
  <si>
    <t>MYANMAR</t>
  </si>
  <si>
    <t>2025-09-23-16.03.00.785500</t>
  </si>
  <si>
    <t>MMR</t>
  </si>
  <si>
    <t>MMMMS</t>
  </si>
  <si>
    <t xml:space="preserve">  H 04</t>
  </si>
  <si>
    <t>MM</t>
  </si>
  <si>
    <t>N SS SS</t>
  </si>
  <si>
    <t>BURUNDI</t>
  </si>
  <si>
    <t>2023-11-15-17.02.00.278124</t>
  </si>
  <si>
    <t>BDI</t>
  </si>
  <si>
    <t>BIBIS</t>
  </si>
  <si>
    <t xml:space="preserve">  H 07</t>
  </si>
  <si>
    <t>BI</t>
  </si>
  <si>
    <t>BELARUS</t>
  </si>
  <si>
    <t>2023-11-15-17.02.00.278182</t>
  </si>
  <si>
    <t>BLR</t>
  </si>
  <si>
    <t>BYBYS</t>
  </si>
  <si>
    <t>S HR03</t>
  </si>
  <si>
    <t>E3</t>
  </si>
  <si>
    <t>BY</t>
  </si>
  <si>
    <t>CAMBODIA</t>
  </si>
  <si>
    <t>2023-11-15-17.02.00.278275</t>
  </si>
  <si>
    <t>KHM</t>
  </si>
  <si>
    <t>KHKHS</t>
  </si>
  <si>
    <t>KH</t>
  </si>
  <si>
    <t>CAMAROES</t>
  </si>
  <si>
    <t>CAMEROON</t>
  </si>
  <si>
    <t>2025-09-23-16.04.09.334170</t>
  </si>
  <si>
    <t>CMR</t>
  </si>
  <si>
    <t>CMCMS</t>
  </si>
  <si>
    <t>CM</t>
  </si>
  <si>
    <t>CANADA</t>
  </si>
  <si>
    <t>2023-11-15-17.02.00.278380</t>
  </si>
  <si>
    <t>CAN</t>
  </si>
  <si>
    <t>CACA</t>
  </si>
  <si>
    <t>A1</t>
  </si>
  <si>
    <t>CA</t>
  </si>
  <si>
    <t>CC</t>
  </si>
  <si>
    <t>97CA00CA</t>
  </si>
  <si>
    <t>CABO VERDE</t>
  </si>
  <si>
    <t>2023-11-15-17.02.00.278452</t>
  </si>
  <si>
    <t>CPV</t>
  </si>
  <si>
    <t>CVCVS</t>
  </si>
  <si>
    <t>CV</t>
  </si>
  <si>
    <t>97CV00CV</t>
  </si>
  <si>
    <t>N SS S</t>
  </si>
  <si>
    <t xml:space="preserve"> SS03S03</t>
  </si>
  <si>
    <t>CAIMANS, ILHAS</t>
  </si>
  <si>
    <t>CAYMAN ISLANDS</t>
  </si>
  <si>
    <t>2023-11-15-17.02.00.278506</t>
  </si>
  <si>
    <t>CYM</t>
  </si>
  <si>
    <t>KYKYS</t>
  </si>
  <si>
    <t>S H 08</t>
  </si>
  <si>
    <t>KY</t>
  </si>
  <si>
    <t>97KY00KY</t>
  </si>
  <si>
    <t>CENTRO-AFRICANA,REPUBLICA</t>
  </si>
  <si>
    <t>CENTRAL AFRICAN REPUBLIC</t>
  </si>
  <si>
    <t>2023-11-15-17.02.00.278557</t>
  </si>
  <si>
    <t>CAF</t>
  </si>
  <si>
    <t>CFCFS</t>
  </si>
  <si>
    <t>CF</t>
  </si>
  <si>
    <t>SRI LANKA</t>
  </si>
  <si>
    <t>2025-09-23-16.04.29.998860</t>
  </si>
  <si>
    <t>LKA</t>
  </si>
  <si>
    <t>LKLKS</t>
  </si>
  <si>
    <t>LK</t>
  </si>
  <si>
    <t>97LK00LK</t>
  </si>
  <si>
    <t>CHADE</t>
  </si>
  <si>
    <t>CHAD</t>
  </si>
  <si>
    <t>2023-11-15-17.02.00.278684</t>
  </si>
  <si>
    <t>TCD</t>
  </si>
  <si>
    <t>TDTDS</t>
  </si>
  <si>
    <t>TD</t>
  </si>
  <si>
    <t>CHILE</t>
  </si>
  <si>
    <t>2023-11-15-17.02.00.278935</t>
  </si>
  <si>
    <t>CHL</t>
  </si>
  <si>
    <t>CLCLS</t>
  </si>
  <si>
    <t>S L 15</t>
  </si>
  <si>
    <t>CL</t>
  </si>
  <si>
    <t>97CL00CL</t>
  </si>
  <si>
    <t>CHINA, REPUBLICA POPULAR DA</t>
  </si>
  <si>
    <t>CHINA</t>
  </si>
  <si>
    <t>2023-11-15-17.02.00.279010</t>
  </si>
  <si>
    <t>CHN</t>
  </si>
  <si>
    <t>CNCNS</t>
  </si>
  <si>
    <t>CN</t>
  </si>
  <si>
    <t>97CN00CN</t>
  </si>
  <si>
    <t>TAIWAN (FORMOSA)</t>
  </si>
  <si>
    <t>TAIWAN</t>
  </si>
  <si>
    <t>2023-11-15-17.02.00.279069</t>
  </si>
  <si>
    <t>TWN</t>
  </si>
  <si>
    <t>TWTWS</t>
  </si>
  <si>
    <t>TW</t>
  </si>
  <si>
    <t>97TW00TW</t>
  </si>
  <si>
    <t>CHRISTMAS,ILHA</t>
  </si>
  <si>
    <t>CHRISTMAS ISLAND</t>
  </si>
  <si>
    <t>2025-09-23-16.05.53.770282</t>
  </si>
  <si>
    <t>CXR</t>
  </si>
  <si>
    <t>CXAUS</t>
  </si>
  <si>
    <t>CX</t>
  </si>
  <si>
    <t>COCOS (KEELING),ILHA DOS</t>
  </si>
  <si>
    <t>COCOS (KEELING) ISLANDS</t>
  </si>
  <si>
    <t>2025-09-23-16.06.12.740358</t>
  </si>
  <si>
    <t>CCK</t>
  </si>
  <si>
    <t>CCAUS</t>
  </si>
  <si>
    <t>COLOMBIA</t>
  </si>
  <si>
    <t>2023-11-15-17.02.00.279262</t>
  </si>
  <si>
    <t>COL</t>
  </si>
  <si>
    <t>COCOS</t>
  </si>
  <si>
    <t>CO</t>
  </si>
  <si>
    <t>97CO00CO</t>
  </si>
  <si>
    <t>COMORES</t>
  </si>
  <si>
    <t>COMOROS</t>
  </si>
  <si>
    <t>2023-11-15-17.02.00.279313</t>
  </si>
  <si>
    <t>COM</t>
  </si>
  <si>
    <t>KMKMS</t>
  </si>
  <si>
    <t>KM</t>
  </si>
  <si>
    <t>MAYOTTE</t>
  </si>
  <si>
    <t>2023-11-15-17.02.00.279411</t>
  </si>
  <si>
    <t>MYT</t>
  </si>
  <si>
    <t>YTFRS</t>
  </si>
  <si>
    <t>YT</t>
  </si>
  <si>
    <t>0270514SS</t>
  </si>
  <si>
    <t>CONGO</t>
  </si>
  <si>
    <t>2023-11-15-17.02.00.279463</t>
  </si>
  <si>
    <t>COG</t>
  </si>
  <si>
    <t>CGCGS</t>
  </si>
  <si>
    <t>CG</t>
  </si>
  <si>
    <t>REPUBLICA DEMOCRATICA DO CONGO</t>
  </si>
  <si>
    <t>CONGO, DEMOCRATIC REPUBLIC OF</t>
  </si>
  <si>
    <t>2023-11-15-17.02.00.279513</t>
  </si>
  <si>
    <t>COD</t>
  </si>
  <si>
    <t>CDCDS</t>
  </si>
  <si>
    <t>CD</t>
  </si>
  <si>
    <t>COOK, ILHAS</t>
  </si>
  <si>
    <t>COOK ISLANDS</t>
  </si>
  <si>
    <t>2023-11-15-17.02.00.279568</t>
  </si>
  <si>
    <t>COK</t>
  </si>
  <si>
    <t>CKNZS</t>
  </si>
  <si>
    <t>CK</t>
  </si>
  <si>
    <t>COSTA RICA</t>
  </si>
  <si>
    <t>2023-11-15-17.02.00.279620</t>
  </si>
  <si>
    <t>CRI</t>
  </si>
  <si>
    <t>CRCRS</t>
  </si>
  <si>
    <t>A3</t>
  </si>
  <si>
    <t>CR</t>
  </si>
  <si>
    <t>97CR00CR</t>
  </si>
  <si>
    <t>CROACIA</t>
  </si>
  <si>
    <t>CROATIA</t>
  </si>
  <si>
    <t>2023-11-15-17.02.00.279673</t>
  </si>
  <si>
    <t>HRV</t>
  </si>
  <si>
    <t>HRHRS</t>
  </si>
  <si>
    <t>HR</t>
  </si>
  <si>
    <t>0210511SS</t>
  </si>
  <si>
    <t>CUBA</t>
  </si>
  <si>
    <t>2025-09-23-16.06.32.339629</t>
  </si>
  <si>
    <t>CUB</t>
  </si>
  <si>
    <t>CUCUS</t>
  </si>
  <si>
    <t xml:space="preserve">  HR03</t>
  </si>
  <si>
    <t>CU</t>
  </si>
  <si>
    <t>97CU00CU</t>
  </si>
  <si>
    <t>CHIPRE</t>
  </si>
  <si>
    <t>CYPRUS</t>
  </si>
  <si>
    <t>2023-11-15-17.02.00.281512</t>
  </si>
  <si>
    <t>CYP</t>
  </si>
  <si>
    <t>CYCYS</t>
  </si>
  <si>
    <t>S M 13</t>
  </si>
  <si>
    <t>CY</t>
  </si>
  <si>
    <t>97CY00CY</t>
  </si>
  <si>
    <t>SSS03S03</t>
  </si>
  <si>
    <t>0280512SS</t>
  </si>
  <si>
    <t>REPUBLICA CHECA</t>
  </si>
  <si>
    <t>CZECH REPUBLIC</t>
  </si>
  <si>
    <t>2023-11-15-17.02.00.281779</t>
  </si>
  <si>
    <t>CZE</t>
  </si>
  <si>
    <t>CZCZS</t>
  </si>
  <si>
    <t>CZ</t>
  </si>
  <si>
    <t>97CZ00CZ</t>
  </si>
  <si>
    <t>0240508SS</t>
  </si>
  <si>
    <t>BENIN</t>
  </si>
  <si>
    <t>2025-09-23-16.06.52.085786</t>
  </si>
  <si>
    <t>BEN</t>
  </si>
  <si>
    <t>BJBJS</t>
  </si>
  <si>
    <t>BJ</t>
  </si>
  <si>
    <t>DINAMARCA</t>
  </si>
  <si>
    <t>DENMARK</t>
  </si>
  <si>
    <t>2023-11-15-17.02.00.283038</t>
  </si>
  <si>
    <t>DNK</t>
  </si>
  <si>
    <t>DKDK</t>
  </si>
  <si>
    <t>DK</t>
  </si>
  <si>
    <t>97DK00DK</t>
  </si>
  <si>
    <t>0180508SS</t>
  </si>
  <si>
    <t>DOMINICA</t>
  </si>
  <si>
    <t>2023-11-15-17.02.00.283111</t>
  </si>
  <si>
    <t>DMA</t>
  </si>
  <si>
    <t>DMDMS</t>
  </si>
  <si>
    <t>DM</t>
  </si>
  <si>
    <t>97DM00DM</t>
  </si>
  <si>
    <t>DOMINICANA,REPUBLICA</t>
  </si>
  <si>
    <t>DOMINICAN REPUBLIC</t>
  </si>
  <si>
    <t>2025-09-23-16.07.11.893438</t>
  </si>
  <si>
    <t>DOM</t>
  </si>
  <si>
    <t>DODOS</t>
  </si>
  <si>
    <t>DO</t>
  </si>
  <si>
    <t>Z.FC.MADEIRA</t>
  </si>
  <si>
    <t>2023-11-15-17.02.00.285001</t>
  </si>
  <si>
    <t>QRA</t>
  </si>
  <si>
    <t>QRQRS</t>
  </si>
  <si>
    <t>QR</t>
  </si>
  <si>
    <t>EQUADOR</t>
  </si>
  <si>
    <t>ECUADOR</t>
  </si>
  <si>
    <t>2023-11-15-17.02.00.285363</t>
  </si>
  <si>
    <t>ECU</t>
  </si>
  <si>
    <t>ECECS</t>
  </si>
  <si>
    <t>EC</t>
  </si>
  <si>
    <t>97EC00EC</t>
  </si>
  <si>
    <t>EL SALVADOR</t>
  </si>
  <si>
    <t>2023-11-15-17.02.00.285939</t>
  </si>
  <si>
    <t>SLV</t>
  </si>
  <si>
    <t>SVSVS</t>
  </si>
  <si>
    <t>SV</t>
  </si>
  <si>
    <t>97SV00SV</t>
  </si>
  <si>
    <t>GUINE EQUATORIAL</t>
  </si>
  <si>
    <t>EQUATORIAL GUINEA</t>
  </si>
  <si>
    <t>2023-11-15-17.02.00.286318</t>
  </si>
  <si>
    <t>GNQ</t>
  </si>
  <si>
    <t>GQGQS</t>
  </si>
  <si>
    <t>GQ</t>
  </si>
  <si>
    <t>ETIOPIA</t>
  </si>
  <si>
    <t>ETHIOPIA</t>
  </si>
  <si>
    <t>2023-11-15-17.02.00.287824</t>
  </si>
  <si>
    <t>ETH</t>
  </si>
  <si>
    <t>ETETS</t>
  </si>
  <si>
    <t>ET</t>
  </si>
  <si>
    <t>THE STATE OF ERITREA</t>
  </si>
  <si>
    <t>ERITREA</t>
  </si>
  <si>
    <t>2023-11-15-17.02.00.288400</t>
  </si>
  <si>
    <t>ERI</t>
  </si>
  <si>
    <t>ERERS</t>
  </si>
  <si>
    <t>ER</t>
  </si>
  <si>
    <t>ESTONIA</t>
  </si>
  <si>
    <t>2023-11-15-17.02.00.288573</t>
  </si>
  <si>
    <t>EST</t>
  </si>
  <si>
    <t>EEEES</t>
  </si>
  <si>
    <t>EE</t>
  </si>
  <si>
    <t>97ET00ET</t>
  </si>
  <si>
    <t>0200506SS</t>
  </si>
  <si>
    <t>FEROE,ILHAS</t>
  </si>
  <si>
    <t>FAROE ISLANDS</t>
  </si>
  <si>
    <t>2023-11-15-17.02.00.289467</t>
  </si>
  <si>
    <t>FRO</t>
  </si>
  <si>
    <t>FOFOS</t>
  </si>
  <si>
    <t>FO</t>
  </si>
  <si>
    <t xml:space="preserve"> S</t>
  </si>
  <si>
    <t>0180508 S</t>
  </si>
  <si>
    <t>FALKLANDS,ILHAS (MALVINAS)</t>
  </si>
  <si>
    <t>FALKLAND ISLANDS (MALVINAS)</t>
  </si>
  <si>
    <t>2023-11-15-17.02.00.292311</t>
  </si>
  <si>
    <t>FLK</t>
  </si>
  <si>
    <t>FKFKS</t>
  </si>
  <si>
    <t>FK</t>
  </si>
  <si>
    <t>GEORGIA DO SUL E ILHAS SAND.SUL</t>
  </si>
  <si>
    <t>SOUTH GEORGIA &amp; S.SANDWICH I.</t>
  </si>
  <si>
    <t>2023-11-15-17.02.00.292385</t>
  </si>
  <si>
    <t>SGS</t>
  </si>
  <si>
    <t>GSGSS</t>
  </si>
  <si>
    <t>GS</t>
  </si>
  <si>
    <t>N  S S</t>
  </si>
  <si>
    <t>FIDJI</t>
  </si>
  <si>
    <t>FIJI</t>
  </si>
  <si>
    <t>2023-11-15-17.02.00.294115</t>
  </si>
  <si>
    <t>FJI</t>
  </si>
  <si>
    <t>FJFJS</t>
  </si>
  <si>
    <t>FJ</t>
  </si>
  <si>
    <t>97FJ00FJ</t>
  </si>
  <si>
    <t>FINLANDIA</t>
  </si>
  <si>
    <t>FINLAND</t>
  </si>
  <si>
    <t>2023-11-15-17.02.00.294807</t>
  </si>
  <si>
    <t>FIN</t>
  </si>
  <si>
    <t>FIFI</t>
  </si>
  <si>
    <t>FI</t>
  </si>
  <si>
    <t>97FI00FI</t>
  </si>
  <si>
    <t>0180507SS</t>
  </si>
  <si>
    <t>ALAND ISLANDS</t>
  </si>
  <si>
    <t>2023-11-15-17.02.00.294894</t>
  </si>
  <si>
    <t>ALA</t>
  </si>
  <si>
    <t>AXAX</t>
  </si>
  <si>
    <t xml:space="preserve">   N</t>
  </si>
  <si>
    <t>AX</t>
  </si>
  <si>
    <t>0180510NS</t>
  </si>
  <si>
    <t>FRANCA</t>
  </si>
  <si>
    <t>FRANCE</t>
  </si>
  <si>
    <t>2023-11-15-17.02.00.295221</t>
  </si>
  <si>
    <t>FRA</t>
  </si>
  <si>
    <t>FRFR</t>
  </si>
  <si>
    <t>FR</t>
  </si>
  <si>
    <t>97FR00FR</t>
  </si>
  <si>
    <t>SSS06S04</t>
  </si>
  <si>
    <t>GUIANA FRANCESA</t>
  </si>
  <si>
    <t>FRENCH GUIANA</t>
  </si>
  <si>
    <t>2023-11-15-17.02.00.295375</t>
  </si>
  <si>
    <t>GUF</t>
  </si>
  <si>
    <t>GFFRS</t>
  </si>
  <si>
    <t>GF</t>
  </si>
  <si>
    <t>POLINESIA FRANCESA</t>
  </si>
  <si>
    <t>FRENCH POLYNESIA</t>
  </si>
  <si>
    <t>2023-11-15-17.02.00.295510</t>
  </si>
  <si>
    <t>PYF</t>
  </si>
  <si>
    <t>PFPFS</t>
  </si>
  <si>
    <t>PF</t>
  </si>
  <si>
    <t>97PF00PF</t>
  </si>
  <si>
    <t>TERRITORIOS FRANCESES DO SUL</t>
  </si>
  <si>
    <t>FRENCH SOUTHERN TERRITORIES</t>
  </si>
  <si>
    <t>2025-09-23-16.07.30.652818</t>
  </si>
  <si>
    <t>ATF</t>
  </si>
  <si>
    <t>TFFRS</t>
  </si>
  <si>
    <t>TF</t>
  </si>
  <si>
    <t>0270514 S</t>
  </si>
  <si>
    <t>DJIBOUTI</t>
  </si>
  <si>
    <t>2023-11-15-17.02.00.296790</t>
  </si>
  <si>
    <t>DJI</t>
  </si>
  <si>
    <t>DJDJS</t>
  </si>
  <si>
    <t>DJ</t>
  </si>
  <si>
    <t>GABAO</t>
  </si>
  <si>
    <t>GABON</t>
  </si>
  <si>
    <t>2025-09-23-16.07.49.656259</t>
  </si>
  <si>
    <t>GAB</t>
  </si>
  <si>
    <t>GAGAS</t>
  </si>
  <si>
    <t>GA</t>
  </si>
  <si>
    <t>97GA00GA</t>
  </si>
  <si>
    <t>GEORGIA</t>
  </si>
  <si>
    <t>2025-09-23-16.08.08.688456</t>
  </si>
  <si>
    <t>GEO</t>
  </si>
  <si>
    <t>GEGES</t>
  </si>
  <si>
    <t>GE</t>
  </si>
  <si>
    <t>0220506 S</t>
  </si>
  <si>
    <t>GAMBIA</t>
  </si>
  <si>
    <t>2023-11-15-17.02.00.298605</t>
  </si>
  <si>
    <t>GMB</t>
  </si>
  <si>
    <t>GMGMS</t>
  </si>
  <si>
    <t>GM</t>
  </si>
  <si>
    <t>PALESTINE STATE OFF</t>
  </si>
  <si>
    <t>PALESTINE, STATE OF</t>
  </si>
  <si>
    <t>2023-11-15-17.02.00.299112</t>
  </si>
  <si>
    <t>PSE</t>
  </si>
  <si>
    <t>PSPSS</t>
  </si>
  <si>
    <t>PS</t>
  </si>
  <si>
    <t>0290508 S</t>
  </si>
  <si>
    <t>ALEMANHA</t>
  </si>
  <si>
    <t>GERMANY</t>
  </si>
  <si>
    <t>2023-11-15-17.02.00.299174</t>
  </si>
  <si>
    <t>DEU</t>
  </si>
  <si>
    <t>DEDE</t>
  </si>
  <si>
    <t>DE</t>
  </si>
  <si>
    <t>BL</t>
  </si>
  <si>
    <t>97DE00DE</t>
  </si>
  <si>
    <t>GANA</t>
  </si>
  <si>
    <t>GHANA</t>
  </si>
  <si>
    <t>2023-11-15-17.02.00.299364</t>
  </si>
  <si>
    <t>GHA</t>
  </si>
  <si>
    <t>GHGHS</t>
  </si>
  <si>
    <t>GH</t>
  </si>
  <si>
    <t>97GH00GH</t>
  </si>
  <si>
    <t>GILBRALTAR</t>
  </si>
  <si>
    <t>GIBRALTAR</t>
  </si>
  <si>
    <t>2023-11-15-17.02.00.299432</t>
  </si>
  <si>
    <t>GIB</t>
  </si>
  <si>
    <t>GIGIS</t>
  </si>
  <si>
    <t>GI</t>
  </si>
  <si>
    <t>0230508SS</t>
  </si>
  <si>
    <t>KIRIBATI</t>
  </si>
  <si>
    <t>2023-11-15-17.02.00.299613</t>
  </si>
  <si>
    <t>KIR</t>
  </si>
  <si>
    <t>KIKIS</t>
  </si>
  <si>
    <t>KI</t>
  </si>
  <si>
    <t>GRECIA</t>
  </si>
  <si>
    <t>GREECE</t>
  </si>
  <si>
    <t>2023-11-15-17.02.00.299691</t>
  </si>
  <si>
    <t>GRC</t>
  </si>
  <si>
    <t>GRGR</t>
  </si>
  <si>
    <t>GR</t>
  </si>
  <si>
    <t>97GR00GR</t>
  </si>
  <si>
    <t>0270511SS</t>
  </si>
  <si>
    <t>DELAWARE (TERRITORIO US E CORRESPONDE A UM CODIGO DE AREA)</t>
  </si>
  <si>
    <t>DELAWARE</t>
  </si>
  <si>
    <t>2023-11-17-14.58.10.216675</t>
  </si>
  <si>
    <t>C605464</t>
  </si>
  <si>
    <t>ZDZD</t>
  </si>
  <si>
    <t>ZD</t>
  </si>
  <si>
    <t xml:space="preserve">   S S</t>
  </si>
  <si>
    <t>GRONELANDIA</t>
  </si>
  <si>
    <t>GREENLAND</t>
  </si>
  <si>
    <t>2023-11-15-17.02.00.299763</t>
  </si>
  <si>
    <t>GRL</t>
  </si>
  <si>
    <t>GLGLS</t>
  </si>
  <si>
    <t>GL</t>
  </si>
  <si>
    <t>WYOMING (TERRITORIO US E CORRESPONDE A UM CODIGO DE AREA)</t>
  </si>
  <si>
    <t>WYOMING</t>
  </si>
  <si>
    <t>2023-11-17-14.59.38.634023</t>
  </si>
  <si>
    <t>ZYZY</t>
  </si>
  <si>
    <t>ZY</t>
  </si>
  <si>
    <t>GRANADA</t>
  </si>
  <si>
    <t>GRENADA</t>
  </si>
  <si>
    <t>2023-11-15-17.02.00.299818</t>
  </si>
  <si>
    <t>GRD</t>
  </si>
  <si>
    <t>GDGDS</t>
  </si>
  <si>
    <t>GD</t>
  </si>
  <si>
    <t>GUADALUPE</t>
  </si>
  <si>
    <t>GUADELOUPE</t>
  </si>
  <si>
    <t>2023-11-15-17.02.00.299904</t>
  </si>
  <si>
    <t>GLP</t>
  </si>
  <si>
    <t>GPFRS</t>
  </si>
  <si>
    <t>GP</t>
  </si>
  <si>
    <t>GUAM</t>
  </si>
  <si>
    <t>2025-09-23-16.08.27.649791</t>
  </si>
  <si>
    <t>GUM</t>
  </si>
  <si>
    <t>GUGUS</t>
  </si>
  <si>
    <t>GU</t>
  </si>
  <si>
    <t>GUATEMALA</t>
  </si>
  <si>
    <t>2025-09-23-16.08.46.763154</t>
  </si>
  <si>
    <t>GTM</t>
  </si>
  <si>
    <t>GTGTS</t>
  </si>
  <si>
    <t>GT</t>
  </si>
  <si>
    <t>97GU00GU</t>
  </si>
  <si>
    <t>GUINE</t>
  </si>
  <si>
    <t>GUINEA</t>
  </si>
  <si>
    <t>2023-11-15-17.02.00.300117</t>
  </si>
  <si>
    <t>GIN</t>
  </si>
  <si>
    <t>GNGNS</t>
  </si>
  <si>
    <t>GN</t>
  </si>
  <si>
    <t>GUIANA</t>
  </si>
  <si>
    <t>GUYANA</t>
  </si>
  <si>
    <t>2025-09-23-16.09.05.248849</t>
  </si>
  <si>
    <t>GUY</t>
  </si>
  <si>
    <t>GYGYS</t>
  </si>
  <si>
    <t>GY</t>
  </si>
  <si>
    <t>HAITI</t>
  </si>
  <si>
    <t>2023-11-15-17.02.00.300223</t>
  </si>
  <si>
    <t>HTI</t>
  </si>
  <si>
    <t>HTHTS</t>
  </si>
  <si>
    <t xml:space="preserve">  H 09</t>
  </si>
  <si>
    <t>HT</t>
  </si>
  <si>
    <t>HEARD E MCDONALD,ILHAS</t>
  </si>
  <si>
    <t>HEARD AND MCDONALD ISLANDS</t>
  </si>
  <si>
    <t>2025-09-23-16.09.24.183858</t>
  </si>
  <si>
    <t>HMD</t>
  </si>
  <si>
    <t>HMAUS</t>
  </si>
  <si>
    <t>HM</t>
  </si>
  <si>
    <t>VATICANO</t>
  </si>
  <si>
    <t>HOLY SEE (VATICAN CITY STATE)</t>
  </si>
  <si>
    <t>2025-02-05-10.08.17.074316</t>
  </si>
  <si>
    <t>T506522</t>
  </si>
  <si>
    <t>VAT</t>
  </si>
  <si>
    <t>VAVAS</t>
  </si>
  <si>
    <t>VA</t>
  </si>
  <si>
    <t>0220507SS</t>
  </si>
  <si>
    <t>HONDURAS</t>
  </si>
  <si>
    <t>2025-09-23-16.09.43.034867</t>
  </si>
  <si>
    <t>HND</t>
  </si>
  <si>
    <t>HNHNS</t>
  </si>
  <si>
    <t>HN</t>
  </si>
  <si>
    <t>97HN00HN</t>
  </si>
  <si>
    <t>HONG KONG</t>
  </si>
  <si>
    <t>2023-11-15-17.02.00.300510</t>
  </si>
  <si>
    <t>HKG</t>
  </si>
  <si>
    <t>HKHKS</t>
  </si>
  <si>
    <t>S M 12</t>
  </si>
  <si>
    <t>HK</t>
  </si>
  <si>
    <t>97HK00HK</t>
  </si>
  <si>
    <t>HUNGRIA</t>
  </si>
  <si>
    <t>HUNGARY</t>
  </si>
  <si>
    <t>2023-11-15-17.02.00.300594</t>
  </si>
  <si>
    <t>HUN</t>
  </si>
  <si>
    <t>HUHUS</t>
  </si>
  <si>
    <t>HU</t>
  </si>
  <si>
    <t>97HU00HU</t>
  </si>
  <si>
    <t>0280511SS</t>
  </si>
  <si>
    <t>ISLANDIA</t>
  </si>
  <si>
    <t>ICELAND</t>
  </si>
  <si>
    <t>2025-01-03-09.54.39.440353</t>
  </si>
  <si>
    <t>ISL</t>
  </si>
  <si>
    <t>ISIS</t>
  </si>
  <si>
    <t xml:space="preserve">   NS</t>
  </si>
  <si>
    <t>IS</t>
  </si>
  <si>
    <t>97IS00IS</t>
  </si>
  <si>
    <t>0260508SS</t>
  </si>
  <si>
    <t>INDIA</t>
  </si>
  <si>
    <t>2025-09-23-16.10.02.832863</t>
  </si>
  <si>
    <t>IND</t>
  </si>
  <si>
    <t>ININS</t>
  </si>
  <si>
    <t>IN</t>
  </si>
  <si>
    <t>97IN00IN</t>
  </si>
  <si>
    <t>INDONESIA</t>
  </si>
  <si>
    <t>2025-09-23-16.10.22.605093</t>
  </si>
  <si>
    <t>IDN</t>
  </si>
  <si>
    <t>IDIDS</t>
  </si>
  <si>
    <t>ID</t>
  </si>
  <si>
    <t>97ID00ID</t>
  </si>
  <si>
    <t>IRAO</t>
  </si>
  <si>
    <t>IRAN (ISLAMIC REPUBLIC OF)</t>
  </si>
  <si>
    <t>2025-09-23-16.10.41.602013</t>
  </si>
  <si>
    <t>IRN</t>
  </si>
  <si>
    <t>IRIRS</t>
  </si>
  <si>
    <t>S P 01</t>
  </si>
  <si>
    <t>IR</t>
  </si>
  <si>
    <t>97IR00IR</t>
  </si>
  <si>
    <t>N  SSSS</t>
  </si>
  <si>
    <t>IRAQUE</t>
  </si>
  <si>
    <t>IRAQ</t>
  </si>
  <si>
    <t>2025-09-23-16.11.00.222421</t>
  </si>
  <si>
    <t>IRQ</t>
  </si>
  <si>
    <t>IQIQS</t>
  </si>
  <si>
    <t>S H 05</t>
  </si>
  <si>
    <t>IQ</t>
  </si>
  <si>
    <t>IRLANDA</t>
  </si>
  <si>
    <t>IRELAND</t>
  </si>
  <si>
    <t>2023-11-15-17.02.00.301276</t>
  </si>
  <si>
    <t>IRL</t>
  </si>
  <si>
    <t>IEIE</t>
  </si>
  <si>
    <t>IE</t>
  </si>
  <si>
    <t>97IE00IE</t>
  </si>
  <si>
    <t>0220514SS</t>
  </si>
  <si>
    <t>ISRAEL</t>
  </si>
  <si>
    <t>2023-11-15-17.02.00.301338</t>
  </si>
  <si>
    <t>ISR</t>
  </si>
  <si>
    <t>ILILS</t>
  </si>
  <si>
    <t>IL</t>
  </si>
  <si>
    <t>97IL00IL</t>
  </si>
  <si>
    <t>0230510 S</t>
  </si>
  <si>
    <t>ITALIA</t>
  </si>
  <si>
    <t>ITALY</t>
  </si>
  <si>
    <t>2023-11-15-17.02.00.301394</t>
  </si>
  <si>
    <t>ITA</t>
  </si>
  <si>
    <t>ITIT</t>
  </si>
  <si>
    <t>IT</t>
  </si>
  <si>
    <t>97IT00IT</t>
  </si>
  <si>
    <t>0270615SS</t>
  </si>
  <si>
    <t>COSTA DO MARFIM</t>
  </si>
  <si>
    <t>COTE D'IVOIRE</t>
  </si>
  <si>
    <t>2025-09-23-16.11.18.713420</t>
  </si>
  <si>
    <t>CIV</t>
  </si>
  <si>
    <t>CICIS</t>
  </si>
  <si>
    <t>CI</t>
  </si>
  <si>
    <t>JAMAICA</t>
  </si>
  <si>
    <t>2025-09-23-16.11.37.901814</t>
  </si>
  <si>
    <t>JAM</t>
  </si>
  <si>
    <t>JMJMS</t>
  </si>
  <si>
    <t>JM</t>
  </si>
  <si>
    <t>97JM00JM</t>
  </si>
  <si>
    <t>JAPAO</t>
  </si>
  <si>
    <t>JAPAN</t>
  </si>
  <si>
    <t>2023-11-15-17.02.00.304197</t>
  </si>
  <si>
    <t>JPN</t>
  </si>
  <si>
    <t>JPJP</t>
  </si>
  <si>
    <t>JP</t>
  </si>
  <si>
    <t>97JP00JP</t>
  </si>
  <si>
    <t>KAZAQUISTAO</t>
  </si>
  <si>
    <t>KAZAKHSTAN</t>
  </si>
  <si>
    <t>2025-09-23-16.11.57.028496</t>
  </si>
  <si>
    <t>KAZ</t>
  </si>
  <si>
    <t>KZKZS</t>
  </si>
  <si>
    <t>KZ</t>
  </si>
  <si>
    <t>0200507 S</t>
  </si>
  <si>
    <t>JORDANIA</t>
  </si>
  <si>
    <t>JORDAN</t>
  </si>
  <si>
    <t>2023-11-15-17.02.00.304322</t>
  </si>
  <si>
    <t>JOR</t>
  </si>
  <si>
    <t>JOJOS</t>
  </si>
  <si>
    <t>JO</t>
  </si>
  <si>
    <t>97JO00JO</t>
  </si>
  <si>
    <t>0300512 S</t>
  </si>
  <si>
    <t>QUENIA</t>
  </si>
  <si>
    <t>KENYA</t>
  </si>
  <si>
    <t>2023-11-15-17.02.00.304378</t>
  </si>
  <si>
    <t>KEN</t>
  </si>
  <si>
    <t>KEKES</t>
  </si>
  <si>
    <t>KE</t>
  </si>
  <si>
    <t>97KE00KE</t>
  </si>
  <si>
    <t>OKLAHOMA (TERRITORIO US E CORRESPONDE A UM CODIGO DE AREA)</t>
  </si>
  <si>
    <t>OKLAHOMA</t>
  </si>
  <si>
    <t>2023-11-17-15.00.06.229471</t>
  </si>
  <si>
    <t>ZOZO</t>
  </si>
  <si>
    <t>ZO</t>
  </si>
  <si>
    <t>COREIA, REP.POP.DEMOCRATICA DA</t>
  </si>
  <si>
    <t>KOREA, DEMOC.PEOPLE'S REPUB.OF</t>
  </si>
  <si>
    <t>2025-09-23-16.12.15.933522</t>
  </si>
  <si>
    <t>PRK</t>
  </si>
  <si>
    <t>KPKPS</t>
  </si>
  <si>
    <t xml:space="preserve">  P 01</t>
  </si>
  <si>
    <t>KP</t>
  </si>
  <si>
    <t>COREIA, REPUBLICA DA</t>
  </si>
  <si>
    <t>KOREA, REPUBLIC OF</t>
  </si>
  <si>
    <t>2023-11-15-17.02.00.304487</t>
  </si>
  <si>
    <t>KOR</t>
  </si>
  <si>
    <t>KRKRS</t>
  </si>
  <si>
    <t>KR</t>
  </si>
  <si>
    <t>97KR00KR</t>
  </si>
  <si>
    <t>KOWEIT</t>
  </si>
  <si>
    <t>KUWAIT</t>
  </si>
  <si>
    <t>2023-11-15-17.02.00.304544</t>
  </si>
  <si>
    <t>KWT</t>
  </si>
  <si>
    <t>KWKWS</t>
  </si>
  <si>
    <t>KW</t>
  </si>
  <si>
    <t>97KW00KW</t>
  </si>
  <si>
    <t>0300508 S</t>
  </si>
  <si>
    <t>KYRGYZSTAN</t>
  </si>
  <si>
    <t>2025-09-23-16.12.35.542567</t>
  </si>
  <si>
    <t>KGZ</t>
  </si>
  <si>
    <t>KGKGS</t>
  </si>
  <si>
    <t>KG</t>
  </si>
  <si>
    <t>LAOS</t>
  </si>
  <si>
    <t>LAO PEOPLE'S DEMOCRATIC REPUB.</t>
  </si>
  <si>
    <t>2023-11-15-17.02.00.304650</t>
  </si>
  <si>
    <t>LAO</t>
  </si>
  <si>
    <t>LALAS</t>
  </si>
  <si>
    <t>LA</t>
  </si>
  <si>
    <t>LIBANO</t>
  </si>
  <si>
    <t>LEBANON</t>
  </si>
  <si>
    <t>2025-09-23-16.12.55.208601</t>
  </si>
  <si>
    <t>LBN</t>
  </si>
  <si>
    <t>LBLBS</t>
  </si>
  <si>
    <t>S H 06</t>
  </si>
  <si>
    <t>LB</t>
  </si>
  <si>
    <t>97LB00LB</t>
  </si>
  <si>
    <t>LESOTO</t>
  </si>
  <si>
    <t>LESOTHO</t>
  </si>
  <si>
    <t>2023-11-15-17.02.00.304767</t>
  </si>
  <si>
    <t>LSO</t>
  </si>
  <si>
    <t>LSLSS</t>
  </si>
  <si>
    <t>LS</t>
  </si>
  <si>
    <t>LATVIA</t>
  </si>
  <si>
    <t>2023-11-15-17.02.00.304819</t>
  </si>
  <si>
    <t>LVA</t>
  </si>
  <si>
    <t>LVLVS</t>
  </si>
  <si>
    <t>LV</t>
  </si>
  <si>
    <t>0210508SS</t>
  </si>
  <si>
    <t>LIBERIA</t>
  </si>
  <si>
    <t>2023-11-15-17.02.00.304874</t>
  </si>
  <si>
    <t>LBR</t>
  </si>
  <si>
    <t>LRLRS</t>
  </si>
  <si>
    <t>LR</t>
  </si>
  <si>
    <t>97LR00LR</t>
  </si>
  <si>
    <t>LIBIA</t>
  </si>
  <si>
    <t>LIBYA</t>
  </si>
  <si>
    <t>2025-09-23-16.13.13.781628</t>
  </si>
  <si>
    <t>LBY</t>
  </si>
  <si>
    <t>LYLYS</t>
  </si>
  <si>
    <t>LY</t>
  </si>
  <si>
    <t>97LY00LY</t>
  </si>
  <si>
    <t>LIECHTENSTEIN</t>
  </si>
  <si>
    <t>2025-01-03-09.56.42.124895</t>
  </si>
  <si>
    <t>LIE</t>
  </si>
  <si>
    <t>LILIS</t>
  </si>
  <si>
    <t>S   00</t>
  </si>
  <si>
    <t>LI</t>
  </si>
  <si>
    <t>97LI00LI</t>
  </si>
  <si>
    <t>0210509SS</t>
  </si>
  <si>
    <t>LITUANIA</t>
  </si>
  <si>
    <t>LITHUANIA</t>
  </si>
  <si>
    <t>2023-11-15-17.02.00.305383</t>
  </si>
  <si>
    <t>LTU</t>
  </si>
  <si>
    <t>LTLTS</t>
  </si>
  <si>
    <t>LT</t>
  </si>
  <si>
    <t>97LT00LT</t>
  </si>
  <si>
    <t>LUXEMBURGO</t>
  </si>
  <si>
    <t>LUXEMBOURG</t>
  </si>
  <si>
    <t>2023-11-15-17.02.00.305438</t>
  </si>
  <si>
    <t>LUX</t>
  </si>
  <si>
    <t>LULU</t>
  </si>
  <si>
    <t>SSM 14</t>
  </si>
  <si>
    <t>LU</t>
  </si>
  <si>
    <t>97LU00LU</t>
  </si>
  <si>
    <t>0200507SS</t>
  </si>
  <si>
    <t>MACAU</t>
  </si>
  <si>
    <t>MACAO</t>
  </si>
  <si>
    <t>2023-11-15-17.02.00.305490</t>
  </si>
  <si>
    <t>MAC</t>
  </si>
  <si>
    <t>MOMOS</t>
  </si>
  <si>
    <t>MO</t>
  </si>
  <si>
    <t>97MO00MO</t>
  </si>
  <si>
    <t>MADAGASCAR</t>
  </si>
  <si>
    <t>2023-11-15-17.02.00.305545</t>
  </si>
  <si>
    <t>MDG</t>
  </si>
  <si>
    <t>MGMGS</t>
  </si>
  <si>
    <t>MG</t>
  </si>
  <si>
    <t>MALAWI</t>
  </si>
  <si>
    <t>2023-11-15-17.02.00.305602</t>
  </si>
  <si>
    <t>MWI</t>
  </si>
  <si>
    <t>MWMWS</t>
  </si>
  <si>
    <t>MW</t>
  </si>
  <si>
    <t>MALASIA</t>
  </si>
  <si>
    <t>MALAYSIA</t>
  </si>
  <si>
    <t>2023-11-15-17.02.00.305661</t>
  </si>
  <si>
    <t>MYS</t>
  </si>
  <si>
    <t>MYMYS</t>
  </si>
  <si>
    <t>MY</t>
  </si>
  <si>
    <t>97MY00MY</t>
  </si>
  <si>
    <t>MALDIVAS</t>
  </si>
  <si>
    <t>MALDIVES</t>
  </si>
  <si>
    <t>2023-11-15-17.02.00.305714</t>
  </si>
  <si>
    <t>MDV</t>
  </si>
  <si>
    <t>MVMVS</t>
  </si>
  <si>
    <t>MV</t>
  </si>
  <si>
    <t>MALI</t>
  </si>
  <si>
    <t>2023-11-15-17.02.00.305773</t>
  </si>
  <si>
    <t>MLI</t>
  </si>
  <si>
    <t>MLMLS</t>
  </si>
  <si>
    <t>ML</t>
  </si>
  <si>
    <t>MALTA</t>
  </si>
  <si>
    <t>2023-11-15-17.02.00.305830</t>
  </si>
  <si>
    <t>MLT</t>
  </si>
  <si>
    <t>MTMTS</t>
  </si>
  <si>
    <t>MT</t>
  </si>
  <si>
    <t>97MT00MT</t>
  </si>
  <si>
    <t>0310513SS</t>
  </si>
  <si>
    <t>MARTINICA</t>
  </si>
  <si>
    <t>MARTINIQUE</t>
  </si>
  <si>
    <t>2023-11-15-17.02.00.305887</t>
  </si>
  <si>
    <t>MTQ</t>
  </si>
  <si>
    <t>MQFRS</t>
  </si>
  <si>
    <t>MQ</t>
  </si>
  <si>
    <t>MAURITANIA</t>
  </si>
  <si>
    <t>2023-11-15-17.02.00.305955</t>
  </si>
  <si>
    <t>MRT</t>
  </si>
  <si>
    <t>MRMRS</t>
  </si>
  <si>
    <t>MR</t>
  </si>
  <si>
    <t>97MR00MR</t>
  </si>
  <si>
    <t>MAURICIA</t>
  </si>
  <si>
    <t>MAURITIUS</t>
  </si>
  <si>
    <t>2023-11-15-17.02.00.306035</t>
  </si>
  <si>
    <t>MUS</t>
  </si>
  <si>
    <t>MUMUS</t>
  </si>
  <si>
    <t>MU</t>
  </si>
  <si>
    <t>97MU00MU</t>
  </si>
  <si>
    <t>MEXICO</t>
  </si>
  <si>
    <t>2023-11-15-17.02.00.306096</t>
  </si>
  <si>
    <t>MEX</t>
  </si>
  <si>
    <t>MXMXS</t>
  </si>
  <si>
    <t>MX</t>
  </si>
  <si>
    <t>97MX00MX</t>
  </si>
  <si>
    <t>MONACO</t>
  </si>
  <si>
    <t>2023-11-15-17.02.00.306174</t>
  </si>
  <si>
    <t>MCO</t>
  </si>
  <si>
    <t>MCFRS</t>
  </si>
  <si>
    <t>MC</t>
  </si>
  <si>
    <t>MONGOLIA</t>
  </si>
  <si>
    <t>2023-11-15-17.02.00.306245</t>
  </si>
  <si>
    <t>MNG</t>
  </si>
  <si>
    <t>MNMNS</t>
  </si>
  <si>
    <t>MN</t>
  </si>
  <si>
    <t>REPUBLICA DA MOLDOVIA</t>
  </si>
  <si>
    <t>MOLDOVA, REPUBLIC OF</t>
  </si>
  <si>
    <t>2025-09-23-16.13.32.427423</t>
  </si>
  <si>
    <t>MDA</t>
  </si>
  <si>
    <t>MDMDS</t>
  </si>
  <si>
    <t>MD</t>
  </si>
  <si>
    <t>97MD00MD</t>
  </si>
  <si>
    <t>0240506 S</t>
  </si>
  <si>
    <t>MONTENEGRO</t>
  </si>
  <si>
    <t>2025-09-23-16.13.51.405161</t>
  </si>
  <si>
    <t>MNE</t>
  </si>
  <si>
    <t>MEMES</t>
  </si>
  <si>
    <t>ME</t>
  </si>
  <si>
    <t>0220507 S</t>
  </si>
  <si>
    <t>MONTSERRAT</t>
  </si>
  <si>
    <t>2023-11-15-17.02.00.306431</t>
  </si>
  <si>
    <t>MSR</t>
  </si>
  <si>
    <t>MSMSS</t>
  </si>
  <si>
    <t>MS</t>
  </si>
  <si>
    <t>MARROCOS</t>
  </si>
  <si>
    <t>MOROCCO</t>
  </si>
  <si>
    <t>2023-11-15-17.02.00.306485</t>
  </si>
  <si>
    <t>MAR</t>
  </si>
  <si>
    <t>MAMAS</t>
  </si>
  <si>
    <t>MA</t>
  </si>
  <si>
    <t>97MA00MA</t>
  </si>
  <si>
    <t xml:space="preserve"> SS06S04</t>
  </si>
  <si>
    <t>MOCAMBIQUE</t>
  </si>
  <si>
    <t>MOZAMBIQUE</t>
  </si>
  <si>
    <t>2023-11-15-17.02.00.306540</t>
  </si>
  <si>
    <t>MOZ</t>
  </si>
  <si>
    <t>MZMZS</t>
  </si>
  <si>
    <t>MZ</t>
  </si>
  <si>
    <t>97MZ00MZ</t>
  </si>
  <si>
    <t>OMAN</t>
  </si>
  <si>
    <t>2025-09-23-16.14.10.307582</t>
  </si>
  <si>
    <t>OMN</t>
  </si>
  <si>
    <t>OMOMS</t>
  </si>
  <si>
    <t>OM</t>
  </si>
  <si>
    <t>97OM00OM</t>
  </si>
  <si>
    <t>NAMIBIA</t>
  </si>
  <si>
    <t>2023-11-15-17.02.00.306646</t>
  </si>
  <si>
    <t>NAM</t>
  </si>
  <si>
    <t>NANAS</t>
  </si>
  <si>
    <t>NA</t>
  </si>
  <si>
    <t>97NA00NA</t>
  </si>
  <si>
    <t>NAURU</t>
  </si>
  <si>
    <t>2023-11-15-17.02.00.306711</t>
  </si>
  <si>
    <t>NRU</t>
  </si>
  <si>
    <t>NRNRS</t>
  </si>
  <si>
    <t>NR</t>
  </si>
  <si>
    <t>NEPAL</t>
  </si>
  <si>
    <t>2023-11-15-17.02.00.306765</t>
  </si>
  <si>
    <t>NPL</t>
  </si>
  <si>
    <t>NPNPS</t>
  </si>
  <si>
    <t>NP</t>
  </si>
  <si>
    <t>97NP00NP</t>
  </si>
  <si>
    <t>PAISES BAIXOS</t>
  </si>
  <si>
    <t>NETHERLANDS</t>
  </si>
  <si>
    <t>2023-11-15-17.02.00.306825</t>
  </si>
  <si>
    <t>NLD</t>
  </si>
  <si>
    <t>NLNL</t>
  </si>
  <si>
    <t>NL</t>
  </si>
  <si>
    <t>97NL00NL</t>
  </si>
  <si>
    <t>CURACAO</t>
  </si>
  <si>
    <t>2025-09-23-16.14.29.561714</t>
  </si>
  <si>
    <t>CUW</t>
  </si>
  <si>
    <t>CWCWS</t>
  </si>
  <si>
    <t>CW</t>
  </si>
  <si>
    <t>97AN00AN</t>
  </si>
  <si>
    <t>ARUBA</t>
  </si>
  <si>
    <t>2025-09-23-16.14.48.869822</t>
  </si>
  <si>
    <t>ABW</t>
  </si>
  <si>
    <t>AWAWS</t>
  </si>
  <si>
    <t>AW</t>
  </si>
  <si>
    <t>SINT MAARTEN (DUTCH PART)</t>
  </si>
  <si>
    <t>2023-11-15-17.02.00.307375</t>
  </si>
  <si>
    <t>SXM</t>
  </si>
  <si>
    <t>SXSXS</t>
  </si>
  <si>
    <t>SX</t>
  </si>
  <si>
    <t>N SSSS</t>
  </si>
  <si>
    <t>BONAIRE, SAINT EUSTATIUS AND SABA</t>
  </si>
  <si>
    <t>BONAIRE, SINT EUSTATIUS SABA</t>
  </si>
  <si>
    <t>2023-11-22-17.58.39.184705</t>
  </si>
  <si>
    <t>E873124</t>
  </si>
  <si>
    <t>BES</t>
  </si>
  <si>
    <t>BQBQS</t>
  </si>
  <si>
    <t>BQ</t>
  </si>
  <si>
    <t>NOVA CALEDONIA</t>
  </si>
  <si>
    <t>NEW CALEDONIA</t>
  </si>
  <si>
    <t>2023-11-15-17.02.00.307489</t>
  </si>
  <si>
    <t>NCL</t>
  </si>
  <si>
    <t>NCNCS</t>
  </si>
  <si>
    <t>NC</t>
  </si>
  <si>
    <t>97NC00NC</t>
  </si>
  <si>
    <t>VANUATU</t>
  </si>
  <si>
    <t>2023-11-15-17.02.00.307544</t>
  </si>
  <si>
    <t>VUT</t>
  </si>
  <si>
    <t>VUVUS</t>
  </si>
  <si>
    <t>VU</t>
  </si>
  <si>
    <t>NOVA ZELANDIA</t>
  </si>
  <si>
    <t>NEW ZEALAND</t>
  </si>
  <si>
    <t>2023-11-15-17.02.00.307597</t>
  </si>
  <si>
    <t>NZL</t>
  </si>
  <si>
    <t>NZNZ</t>
  </si>
  <si>
    <t>NZ</t>
  </si>
  <si>
    <t>97NZ00NZ</t>
  </si>
  <si>
    <t>NICARAGUA</t>
  </si>
  <si>
    <t>2025-09-23-16.15.08.055858</t>
  </si>
  <si>
    <t>NIC</t>
  </si>
  <si>
    <t>NINIS</t>
  </si>
  <si>
    <t>NI</t>
  </si>
  <si>
    <t>97NI00NI</t>
  </si>
  <si>
    <t>NIGER</t>
  </si>
  <si>
    <t>2023-11-15-17.02.00.307707</t>
  </si>
  <si>
    <t>NER</t>
  </si>
  <si>
    <t>NENES</t>
  </si>
  <si>
    <t>NE</t>
  </si>
  <si>
    <t>NIGERIA</t>
  </si>
  <si>
    <t>2023-11-15-17.02.00.307774</t>
  </si>
  <si>
    <t>NGA</t>
  </si>
  <si>
    <t>NGNGS</t>
  </si>
  <si>
    <t>NG</t>
  </si>
  <si>
    <t>97NG00NG</t>
  </si>
  <si>
    <t>NIUE</t>
  </si>
  <si>
    <t>2025-09-23-16.15.27.233708</t>
  </si>
  <si>
    <t>NIU</t>
  </si>
  <si>
    <t>NUNZS</t>
  </si>
  <si>
    <t>NU</t>
  </si>
  <si>
    <t>NORFOLK,ILHA</t>
  </si>
  <si>
    <t>NORFOLK ISLAND</t>
  </si>
  <si>
    <t>2025-09-23-16.15.46.220636</t>
  </si>
  <si>
    <t>NFK</t>
  </si>
  <si>
    <t>NFAUS</t>
  </si>
  <si>
    <t>NF</t>
  </si>
  <si>
    <t>NORUEGA</t>
  </si>
  <si>
    <t>NORWAY</t>
  </si>
  <si>
    <t>2025-01-02-18.05.51.643755</t>
  </si>
  <si>
    <t>NOR</t>
  </si>
  <si>
    <t>NONO</t>
  </si>
  <si>
    <t>NO</t>
  </si>
  <si>
    <t>97NO00NO</t>
  </si>
  <si>
    <t>0150508SS</t>
  </si>
  <si>
    <t>ILHAS MARIANA DO NORTE</t>
  </si>
  <si>
    <t>NORTHERN MARIANA ISLANDS</t>
  </si>
  <si>
    <t>2023-11-15-17.02.00.308003</t>
  </si>
  <si>
    <t>MNP</t>
  </si>
  <si>
    <t>MPMPS</t>
  </si>
  <si>
    <t>MP</t>
  </si>
  <si>
    <t>ILHAS MENORES AFASTADAS DOS ESTADOS UNIDOS</t>
  </si>
  <si>
    <t>UNITED STAT.MINOR OUTLYING IS.</t>
  </si>
  <si>
    <t>2025-09-23-16.16.04.900920</t>
  </si>
  <si>
    <t>UMI</t>
  </si>
  <si>
    <t>UMUSS</t>
  </si>
  <si>
    <t>UM</t>
  </si>
  <si>
    <t>FEDERACAO ESTADOS DA MICRONESIA</t>
  </si>
  <si>
    <t>MICRONESIA (FEDERAT.STATES OF)</t>
  </si>
  <si>
    <t>2023-11-15-17.02.00.308116</t>
  </si>
  <si>
    <t>FSM</t>
  </si>
  <si>
    <t>FMUSS</t>
  </si>
  <si>
    <t>FM</t>
  </si>
  <si>
    <t>ILHAS MARSHALL</t>
  </si>
  <si>
    <t>MARSHALL ISLANDS</t>
  </si>
  <si>
    <t>2023-11-15-17.02.00.308168</t>
  </si>
  <si>
    <t>MHL</t>
  </si>
  <si>
    <t>MHMHS</t>
  </si>
  <si>
    <t>MH</t>
  </si>
  <si>
    <t>PALAU</t>
  </si>
  <si>
    <t>2023-11-15-17.02.00.308223</t>
  </si>
  <si>
    <t>PLW</t>
  </si>
  <si>
    <t>PWPWS</t>
  </si>
  <si>
    <t>PW</t>
  </si>
  <si>
    <t>PAQUISTAO</t>
  </si>
  <si>
    <t>PAKISTAN</t>
  </si>
  <si>
    <t>2023-11-15-17.02.00.308305</t>
  </si>
  <si>
    <t>PAK</t>
  </si>
  <si>
    <t>PKPKS</t>
  </si>
  <si>
    <t>PK</t>
  </si>
  <si>
    <t>97PK00PK</t>
  </si>
  <si>
    <t>PANAMA</t>
  </si>
  <si>
    <t>2025-09-23-16.16.23.370243</t>
  </si>
  <si>
    <t>PAN</t>
  </si>
  <si>
    <t>PAPAS</t>
  </si>
  <si>
    <t>PA</t>
  </si>
  <si>
    <t>97PA00PA</t>
  </si>
  <si>
    <t>PAPUASIA NOVA GUINE</t>
  </si>
  <si>
    <t>PAPUA NEW GUINEA</t>
  </si>
  <si>
    <t>2023-11-15-17.02.00.308431</t>
  </si>
  <si>
    <t>PNG</t>
  </si>
  <si>
    <t>PGPGS</t>
  </si>
  <si>
    <t>PG</t>
  </si>
  <si>
    <t>PARAGUAI</t>
  </si>
  <si>
    <t>PARAGUAY</t>
  </si>
  <si>
    <t>2025-09-23-16.16.41.695492</t>
  </si>
  <si>
    <t>PRY</t>
  </si>
  <si>
    <t>PYPYS</t>
  </si>
  <si>
    <t>PY</t>
  </si>
  <si>
    <t>97PY00PY</t>
  </si>
  <si>
    <t>PERU</t>
  </si>
  <si>
    <t>2023-11-15-17.02.00.308545</t>
  </si>
  <si>
    <t>PER</t>
  </si>
  <si>
    <t>PEPES</t>
  </si>
  <si>
    <t>PE</t>
  </si>
  <si>
    <t>97PE00PE</t>
  </si>
  <si>
    <t>FILIPINAS</t>
  </si>
  <si>
    <t>PHILIPPINES</t>
  </si>
  <si>
    <t>2025-09-23-16.17.00.912447</t>
  </si>
  <si>
    <t>PHL</t>
  </si>
  <si>
    <t>PHPHS</t>
  </si>
  <si>
    <t>PH</t>
  </si>
  <si>
    <t>97PH00PH</t>
  </si>
  <si>
    <t>PITCAIRN,ILHA</t>
  </si>
  <si>
    <t>PITCAIRN</t>
  </si>
  <si>
    <t>2025-09-23-16.17.19.420235</t>
  </si>
  <si>
    <t>PCN</t>
  </si>
  <si>
    <t>PNPNS</t>
  </si>
  <si>
    <t>PN</t>
  </si>
  <si>
    <t>POLONIA</t>
  </si>
  <si>
    <t>POLAND</t>
  </si>
  <si>
    <t>2023-11-15-17.02.00.308920</t>
  </si>
  <si>
    <t>POL</t>
  </si>
  <si>
    <t>PLPLS</t>
  </si>
  <si>
    <t>PL</t>
  </si>
  <si>
    <t>97PL00PL</t>
  </si>
  <si>
    <t>PORTUGAL</t>
  </si>
  <si>
    <t>2023-11-15-17.02.00.309002</t>
  </si>
  <si>
    <t>PRT</t>
  </si>
  <si>
    <t>POPT</t>
  </si>
  <si>
    <t>PT</t>
  </si>
  <si>
    <t>97PT00PT</t>
  </si>
  <si>
    <t>0250512SS</t>
  </si>
  <si>
    <t>GUINE BISSAU</t>
  </si>
  <si>
    <t>GUINEA-BISSAU</t>
  </si>
  <si>
    <t>2023-11-15-17.02.00.309057</t>
  </si>
  <si>
    <t>GNB</t>
  </si>
  <si>
    <t>GWGWS</t>
  </si>
  <si>
    <t>GW</t>
  </si>
  <si>
    <t>97GW00GW</t>
  </si>
  <si>
    <t>TIMOR LESTE</t>
  </si>
  <si>
    <t>TIMOR-LESTE</t>
  </si>
  <si>
    <t>2023-11-15-17.02.00.309112</t>
  </si>
  <si>
    <t>TLS</t>
  </si>
  <si>
    <t>TLTLS</t>
  </si>
  <si>
    <t>TL</t>
  </si>
  <si>
    <t>PORTO RICO</t>
  </si>
  <si>
    <t>PUERTO RICO</t>
  </si>
  <si>
    <t>2023-11-15-17.02.00.309180</t>
  </si>
  <si>
    <t>PRI</t>
  </si>
  <si>
    <t>PRUSS</t>
  </si>
  <si>
    <t>PR</t>
  </si>
  <si>
    <t>97PR00PR</t>
  </si>
  <si>
    <t>CATAR</t>
  </si>
  <si>
    <t>QATAR</t>
  </si>
  <si>
    <t>2023-11-15-17.02.00.309236</t>
  </si>
  <si>
    <t>QAT</t>
  </si>
  <si>
    <t>QAQAS</t>
  </si>
  <si>
    <t>QA</t>
  </si>
  <si>
    <t>97QA00QA</t>
  </si>
  <si>
    <t>REUNION</t>
  </si>
  <si>
    <t>2023-11-15-17.02.00.309312</t>
  </si>
  <si>
    <t>REU</t>
  </si>
  <si>
    <t>REFRS</t>
  </si>
  <si>
    <t>RE</t>
  </si>
  <si>
    <t>ROMENIA</t>
  </si>
  <si>
    <t>ROMANIA</t>
  </si>
  <si>
    <t>2023-11-15-17.02.00.309364</t>
  </si>
  <si>
    <t>ROU</t>
  </si>
  <si>
    <t>ROROS</t>
  </si>
  <si>
    <t>RO</t>
  </si>
  <si>
    <t>97RO00RO</t>
  </si>
  <si>
    <t>RUSSIAN FEDERATION</t>
  </si>
  <si>
    <t>2025-09-23-16.17.38.108710</t>
  </si>
  <si>
    <t>RUS</t>
  </si>
  <si>
    <t>RURUS</t>
  </si>
  <si>
    <t>RU</t>
  </si>
  <si>
    <t>97RU00RU</t>
  </si>
  <si>
    <t>RUANDA</t>
  </si>
  <si>
    <t>RWANDA</t>
  </si>
  <si>
    <t>2025-09-23-16.17.56.987935</t>
  </si>
  <si>
    <t>RWA</t>
  </si>
  <si>
    <t>RWRWS</t>
  </si>
  <si>
    <t>RW</t>
  </si>
  <si>
    <t>ST. BARTHELEMY</t>
  </si>
  <si>
    <t>2023-11-15-17.02.00.309696</t>
  </si>
  <si>
    <t>BLM</t>
  </si>
  <si>
    <t>BLBL</t>
  </si>
  <si>
    <t>0270514NS</t>
  </si>
  <si>
    <t>SANTA HELENA</t>
  </si>
  <si>
    <t>SAINT HELENA</t>
  </si>
  <si>
    <t>2023-11-15-17.02.00.309816</t>
  </si>
  <si>
    <t>SHN</t>
  </si>
  <si>
    <t>SHSHS</t>
  </si>
  <si>
    <t>SH</t>
  </si>
  <si>
    <t>SAINT KITTS AND NEVIS</t>
  </si>
  <si>
    <t>2023-11-15-17.02.00.309887</t>
  </si>
  <si>
    <t>KNA</t>
  </si>
  <si>
    <t>KN5MS</t>
  </si>
  <si>
    <t>KN</t>
  </si>
  <si>
    <t>97KN00KN</t>
  </si>
  <si>
    <t>ANGUILLA</t>
  </si>
  <si>
    <t>2025-09-23-16.18.16.088021</t>
  </si>
  <si>
    <t>AIA</t>
  </si>
  <si>
    <t>AISXS</t>
  </si>
  <si>
    <t>AI</t>
  </si>
  <si>
    <t>SANTA LUCIA</t>
  </si>
  <si>
    <t>SAINT LUCIA</t>
  </si>
  <si>
    <t>2023-11-15-17.02.00.310010</t>
  </si>
  <si>
    <t>LCA</t>
  </si>
  <si>
    <t>LCLCS</t>
  </si>
  <si>
    <t>LC</t>
  </si>
  <si>
    <t>0320509 S</t>
  </si>
  <si>
    <t>ST. MARTIN</t>
  </si>
  <si>
    <t>2023-11-15-17.02.00.310081</t>
  </si>
  <si>
    <t>MAF</t>
  </si>
  <si>
    <t>MFFRS</t>
  </si>
  <si>
    <t>MF</t>
  </si>
  <si>
    <t>SAO PEDRO E MICUELON</t>
  </si>
  <si>
    <t>SAINT PIERRE AND MIQUELON</t>
  </si>
  <si>
    <t>2023-11-15-17.02.00.310133</t>
  </si>
  <si>
    <t>SPM</t>
  </si>
  <si>
    <t>PMPMS</t>
  </si>
  <si>
    <t>PM</t>
  </si>
  <si>
    <t>SAO VICENTE E GRANADINAS</t>
  </si>
  <si>
    <t>SAINT VICENT AND THE GRENADIN.</t>
  </si>
  <si>
    <t>2023-11-15-17.02.00.310192</t>
  </si>
  <si>
    <t>VCT</t>
  </si>
  <si>
    <t>VCVCS</t>
  </si>
  <si>
    <t>VC</t>
  </si>
  <si>
    <t>SAO MARINHO</t>
  </si>
  <si>
    <t>SAN MARINO</t>
  </si>
  <si>
    <t>2023-11-15-17.02.00.310256</t>
  </si>
  <si>
    <t>SMR</t>
  </si>
  <si>
    <t>SMSMS</t>
  </si>
  <si>
    <t>SM</t>
  </si>
  <si>
    <t>SAO TOME E PRINCIPE</t>
  </si>
  <si>
    <t>SAO TOME AND PRINCIPE</t>
  </si>
  <si>
    <t>2023-11-15-17.02.00.310366</t>
  </si>
  <si>
    <t>STP</t>
  </si>
  <si>
    <t>STSTS</t>
  </si>
  <si>
    <t>ST</t>
  </si>
  <si>
    <t>0250512 S</t>
  </si>
  <si>
    <t>ARABIA SAUDITA</t>
  </si>
  <si>
    <t>SAUDI ARABIA</t>
  </si>
  <si>
    <t>2023-11-15-17.02.00.310428</t>
  </si>
  <si>
    <t>SAU</t>
  </si>
  <si>
    <t>SASAS</t>
  </si>
  <si>
    <t>SA</t>
  </si>
  <si>
    <t>97SA00SA</t>
  </si>
  <si>
    <t>SENEGAL</t>
  </si>
  <si>
    <t>2023-11-15-17.02.00.310503</t>
  </si>
  <si>
    <t>SEN</t>
  </si>
  <si>
    <t>SNSNS</t>
  </si>
  <si>
    <t>SN</t>
  </si>
  <si>
    <t>97SN00SN</t>
  </si>
  <si>
    <t>SERVIA</t>
  </si>
  <si>
    <t>SERBIA</t>
  </si>
  <si>
    <t>2025-09-23-16.18.34.515662</t>
  </si>
  <si>
    <t>SRB</t>
  </si>
  <si>
    <t>RSRSS</t>
  </si>
  <si>
    <t>RS</t>
  </si>
  <si>
    <t>SEYCHELLES</t>
  </si>
  <si>
    <t>2025-09-23-16.18.53.492796</t>
  </si>
  <si>
    <t>SYC</t>
  </si>
  <si>
    <t>SCSCS</t>
  </si>
  <si>
    <t>SC</t>
  </si>
  <si>
    <t>0310512NS</t>
  </si>
  <si>
    <t>SERRA LEOA</t>
  </si>
  <si>
    <t>SIERRA LEONE</t>
  </si>
  <si>
    <t>2023-11-15-17.02.00.349703</t>
  </si>
  <si>
    <t>SLE</t>
  </si>
  <si>
    <t>SLSLS</t>
  </si>
  <si>
    <t>SL</t>
  </si>
  <si>
    <t>SINGAPURA</t>
  </si>
  <si>
    <t>SINGAPORE</t>
  </si>
  <si>
    <t>2023-11-15-17.02.00.349823</t>
  </si>
  <si>
    <t>SGP</t>
  </si>
  <si>
    <t>SGSGS</t>
  </si>
  <si>
    <t>SG</t>
  </si>
  <si>
    <t>97SG00SG</t>
  </si>
  <si>
    <t>REPUBLICA ESLOVACA</t>
  </si>
  <si>
    <t>SLOVAKIA</t>
  </si>
  <si>
    <t>2023-11-15-17.02.00.349943</t>
  </si>
  <si>
    <t>SVK</t>
  </si>
  <si>
    <t>SKSKS</t>
  </si>
  <si>
    <t>SK</t>
  </si>
  <si>
    <t>97SK00SK</t>
  </si>
  <si>
    <t>VIETNAME</t>
  </si>
  <si>
    <t>VIET NAM</t>
  </si>
  <si>
    <t>2025-09-23-16.19.12.101853</t>
  </si>
  <si>
    <t>VNM</t>
  </si>
  <si>
    <t>VNVNS</t>
  </si>
  <si>
    <t>VN</t>
  </si>
  <si>
    <t>ESLOVENIA</t>
  </si>
  <si>
    <t>SLOVENIA</t>
  </si>
  <si>
    <t>2023-11-15-17.02.00.350101</t>
  </si>
  <si>
    <t>SVN</t>
  </si>
  <si>
    <t>SISIS</t>
  </si>
  <si>
    <t>SI</t>
  </si>
  <si>
    <t>97SI00SI</t>
  </si>
  <si>
    <t>0190509SS</t>
  </si>
  <si>
    <t>SOMALIA</t>
  </si>
  <si>
    <t>2025-09-23-16.19.30.948235</t>
  </si>
  <si>
    <t>SOM</t>
  </si>
  <si>
    <t>SOSOS</t>
  </si>
  <si>
    <t>SO</t>
  </si>
  <si>
    <t>AFRICA DO SUL</t>
  </si>
  <si>
    <t>SOUTH AFRICA</t>
  </si>
  <si>
    <t>2023-11-15-17.02.00.350322</t>
  </si>
  <si>
    <t>ZAF</t>
  </si>
  <si>
    <t>ZAZAS</t>
  </si>
  <si>
    <t>ZA</t>
  </si>
  <si>
    <t xml:space="preserve"> O</t>
  </si>
  <si>
    <t>SL6791 S</t>
  </si>
  <si>
    <t>ZIMBABWE</t>
  </si>
  <si>
    <t>2025-09-23-16.19.49.722023</t>
  </si>
  <si>
    <t>ZWE</t>
  </si>
  <si>
    <t>ZWZWS</t>
  </si>
  <si>
    <t>ZW</t>
  </si>
  <si>
    <t>ESPANHA</t>
  </si>
  <si>
    <t>SPAIN</t>
  </si>
  <si>
    <t>2023-11-15-17.02.00.350444</t>
  </si>
  <si>
    <t>ESP</t>
  </si>
  <si>
    <t>ESES</t>
  </si>
  <si>
    <t>ES</t>
  </si>
  <si>
    <t>97ES00ES</t>
  </si>
  <si>
    <t>0240512SS</t>
  </si>
  <si>
    <t>NEVADA (TERRITORIO US E CORRESPONDE A UM CODIGO DE AREA)</t>
  </si>
  <si>
    <t>NEVADA</t>
  </si>
  <si>
    <t>2023-11-17-15.00.24.864112</t>
  </si>
  <si>
    <t>ZNZN</t>
  </si>
  <si>
    <t>ZN</t>
  </si>
  <si>
    <t>SUDAO DO SUL</t>
  </si>
  <si>
    <t>SOUTH SUDAN</t>
  </si>
  <si>
    <t>2023-11-15-17.02.00.350502</t>
  </si>
  <si>
    <t>SSD</t>
  </si>
  <si>
    <t>SSSSS</t>
  </si>
  <si>
    <t>S HR02</t>
  </si>
  <si>
    <t>N      S</t>
  </si>
  <si>
    <t>SUDAO</t>
  </si>
  <si>
    <t>2025-09-23-16.20.08.362129</t>
  </si>
  <si>
    <t>SDN</t>
  </si>
  <si>
    <t>SDSDS</t>
  </si>
  <si>
    <t>SD</t>
  </si>
  <si>
    <t>SAARA OCIDENTAL</t>
  </si>
  <si>
    <t>WESTERN SAHARA</t>
  </si>
  <si>
    <t>2025-09-23-16.20.26.412442</t>
  </si>
  <si>
    <t>ESH</t>
  </si>
  <si>
    <t>EHEHS</t>
  </si>
  <si>
    <t>EH</t>
  </si>
  <si>
    <t>SURINAME</t>
  </si>
  <si>
    <t>2023-11-15-17.02.00.350672</t>
  </si>
  <si>
    <t>SUR</t>
  </si>
  <si>
    <t>SRSRS</t>
  </si>
  <si>
    <t>SR</t>
  </si>
  <si>
    <t>SVALBARD E ILHA MAYEN</t>
  </si>
  <si>
    <t>SVALBARD AND JAN MAYEN</t>
  </si>
  <si>
    <t>2025-09-23-16.20.44.966107</t>
  </si>
  <si>
    <t>SJM</t>
  </si>
  <si>
    <t>SJNOS</t>
  </si>
  <si>
    <t>SJ</t>
  </si>
  <si>
    <t>SUAZILANDIA</t>
  </si>
  <si>
    <t>SWAZILAND</t>
  </si>
  <si>
    <t>2023-11-15-17.02.00.350797</t>
  </si>
  <si>
    <t>SWZ</t>
  </si>
  <si>
    <t>SZSZS</t>
  </si>
  <si>
    <t>SZ</t>
  </si>
  <si>
    <t>SUECIA</t>
  </si>
  <si>
    <t>SWEDEN</t>
  </si>
  <si>
    <t>2023-11-15-17.02.00.362919</t>
  </si>
  <si>
    <t>SWE</t>
  </si>
  <si>
    <t>SESE</t>
  </si>
  <si>
    <t>SE</t>
  </si>
  <si>
    <t>97SE00SE</t>
  </si>
  <si>
    <t>0240507SS</t>
  </si>
  <si>
    <t>SUICA</t>
  </si>
  <si>
    <t>SWITZERLAND</t>
  </si>
  <si>
    <t>2023-11-15-17.02.00.363002</t>
  </si>
  <si>
    <t>CHE</t>
  </si>
  <si>
    <t>CHCH</t>
  </si>
  <si>
    <t>CH</t>
  </si>
  <si>
    <t>97CH00CH</t>
  </si>
  <si>
    <t>SIRIA</t>
  </si>
  <si>
    <t>SYRIAN ARAB REPUBLIC</t>
  </si>
  <si>
    <t>2023-11-15-17.02.00.363109</t>
  </si>
  <si>
    <t>SYR</t>
  </si>
  <si>
    <t>SYSYS</t>
  </si>
  <si>
    <t>SY</t>
  </si>
  <si>
    <t>97SY00SY</t>
  </si>
  <si>
    <t>TAJAQUISTAO</t>
  </si>
  <si>
    <t>TAJIKISTAN</t>
  </si>
  <si>
    <t>2025-09-23-16.21.04.212157</t>
  </si>
  <si>
    <t>TJK</t>
  </si>
  <si>
    <t>TJTJS</t>
  </si>
  <si>
    <t>TJ</t>
  </si>
  <si>
    <t>TAILANDIA</t>
  </si>
  <si>
    <t>THAILAND</t>
  </si>
  <si>
    <t>2023-11-15-17.02.00.363250</t>
  </si>
  <si>
    <t>THA</t>
  </si>
  <si>
    <t>THTHS</t>
  </si>
  <si>
    <t>TH</t>
  </si>
  <si>
    <t>97TH00TH</t>
  </si>
  <si>
    <t>TOGO</t>
  </si>
  <si>
    <t>2025-09-23-16.21.23.347354</t>
  </si>
  <si>
    <t>TGO</t>
  </si>
  <si>
    <t>TGTGS</t>
  </si>
  <si>
    <t>TG</t>
  </si>
  <si>
    <t>TOKELAU</t>
  </si>
  <si>
    <t>2023-11-15-17.02.00.363367</t>
  </si>
  <si>
    <t>TKL</t>
  </si>
  <si>
    <t>TKNZS</t>
  </si>
  <si>
    <t>TK</t>
  </si>
  <si>
    <t>TONGA</t>
  </si>
  <si>
    <t>2023-11-15-17.02.00.363418</t>
  </si>
  <si>
    <t>TON</t>
  </si>
  <si>
    <t>TOTOS</t>
  </si>
  <si>
    <t>TO</t>
  </si>
  <si>
    <t>TRINDADE E TOBAGO</t>
  </si>
  <si>
    <t>TRINIDAD AND TOBAGO</t>
  </si>
  <si>
    <t>2023-11-15-17.02.00.363678</t>
  </si>
  <si>
    <t>TTO</t>
  </si>
  <si>
    <t>TTTTS</t>
  </si>
  <si>
    <t>TT</t>
  </si>
  <si>
    <t>97TT00TT</t>
  </si>
  <si>
    <t>EMIRATOS ARABES UNIDOS</t>
  </si>
  <si>
    <t>UNITED ARAB EMIRATES</t>
  </si>
  <si>
    <t>2023-11-15-17.02.00.364331</t>
  </si>
  <si>
    <t>ARE</t>
  </si>
  <si>
    <t>AEAES</t>
  </si>
  <si>
    <t>AE</t>
  </si>
  <si>
    <t>97AE00AE</t>
  </si>
  <si>
    <t>0230507 S</t>
  </si>
  <si>
    <t>TUNISIA</t>
  </si>
  <si>
    <t>2025-09-23-16.21.41.967516</t>
  </si>
  <si>
    <t>TUN</t>
  </si>
  <si>
    <t>TNTNS</t>
  </si>
  <si>
    <t xml:space="preserve">  M 12</t>
  </si>
  <si>
    <t>TN</t>
  </si>
  <si>
    <t>97TN00TN</t>
  </si>
  <si>
    <t>0240509 S</t>
  </si>
  <si>
    <t>TURQUIA</t>
  </si>
  <si>
    <t>TURKEY</t>
  </si>
  <si>
    <t>2025-09-23-16.22.00.939962</t>
  </si>
  <si>
    <t>TUR</t>
  </si>
  <si>
    <t>TRTRS</t>
  </si>
  <si>
    <t>TR</t>
  </si>
  <si>
    <t>97TR00TR</t>
  </si>
  <si>
    <t>0260509 S</t>
  </si>
  <si>
    <t>TURKMENISTAN</t>
  </si>
  <si>
    <t>2025-09-23-16.22.19.830535</t>
  </si>
  <si>
    <t>TKM</t>
  </si>
  <si>
    <t>TMTMS</t>
  </si>
  <si>
    <t>TM</t>
  </si>
  <si>
    <t>TURCAS E CAIQUES, ILHAS</t>
  </si>
  <si>
    <t>TURKS AND CAICOS ISLANDS</t>
  </si>
  <si>
    <t>2023-11-15-17.02.00.364552</t>
  </si>
  <si>
    <t>TCA</t>
  </si>
  <si>
    <t>TCTCS</t>
  </si>
  <si>
    <t>TC</t>
  </si>
  <si>
    <t>TUVALU</t>
  </si>
  <si>
    <t>2023-11-15-17.02.00.364607</t>
  </si>
  <si>
    <t>TUV</t>
  </si>
  <si>
    <t>TVTVS</t>
  </si>
  <si>
    <t>TV</t>
  </si>
  <si>
    <t>UGANDA</t>
  </si>
  <si>
    <t>2025-09-23-16.22.38.966303</t>
  </si>
  <si>
    <t>UGA</t>
  </si>
  <si>
    <t>UGUGS</t>
  </si>
  <si>
    <t>UG</t>
  </si>
  <si>
    <t>UCRANIA</t>
  </si>
  <si>
    <t>UKRAINE</t>
  </si>
  <si>
    <t>2023-11-15-17.02.00.364710</t>
  </si>
  <si>
    <t>UKR</t>
  </si>
  <si>
    <t>UAUAS</t>
  </si>
  <si>
    <t>UA</t>
  </si>
  <si>
    <t>MACEDONIA</t>
  </si>
  <si>
    <t>2025-09-23-16.22.57.862618</t>
  </si>
  <si>
    <t>MKD</t>
  </si>
  <si>
    <t>MKMKS</t>
  </si>
  <si>
    <t>MK</t>
  </si>
  <si>
    <t>0190507 S</t>
  </si>
  <si>
    <t>EGIPTO</t>
  </si>
  <si>
    <t>EGYPT</t>
  </si>
  <si>
    <t>2025-09-23-16.23.16.297010</t>
  </si>
  <si>
    <t>EGY</t>
  </si>
  <si>
    <t>EGEGS</t>
  </si>
  <si>
    <t>EG</t>
  </si>
  <si>
    <t>97EG00EG</t>
  </si>
  <si>
    <t>REINO UNIDO</t>
  </si>
  <si>
    <t>UNITED KINGDOM</t>
  </si>
  <si>
    <t>2023-11-15-17.02.00.364966</t>
  </si>
  <si>
    <t>GBR</t>
  </si>
  <si>
    <t>GBGB</t>
  </si>
  <si>
    <t xml:space="preserve">   NN</t>
  </si>
  <si>
    <t>GB</t>
  </si>
  <si>
    <t>97GB00GB</t>
  </si>
  <si>
    <t>GUERNESY</t>
  </si>
  <si>
    <t>GUERNSEY</t>
  </si>
  <si>
    <t>2023-11-22-17.59.01.046294</t>
  </si>
  <si>
    <t>GGY</t>
  </si>
  <si>
    <t>GGGG</t>
  </si>
  <si>
    <t>GG</t>
  </si>
  <si>
    <t>S SSSSS</t>
  </si>
  <si>
    <t>0220514 S</t>
  </si>
  <si>
    <t>JERSEY</t>
  </si>
  <si>
    <t>2023-11-22-17.59.20.254871</t>
  </si>
  <si>
    <t>JEY</t>
  </si>
  <si>
    <t>JEJE</t>
  </si>
  <si>
    <t>JE</t>
  </si>
  <si>
    <t>ISLA OF MAN</t>
  </si>
  <si>
    <t>ISLE OF MAN</t>
  </si>
  <si>
    <t>2023-11-15-17.02.00.365146</t>
  </si>
  <si>
    <t>IMN</t>
  </si>
  <si>
    <t>IMIM</t>
  </si>
  <si>
    <t>IM</t>
  </si>
  <si>
    <t>TANZANIA</t>
  </si>
  <si>
    <t>TANZANIA, UNITED REPUBLIC OF</t>
  </si>
  <si>
    <t>2025-09-23-16.23.34.599176</t>
  </si>
  <si>
    <t>TZA</t>
  </si>
  <si>
    <t>TZTZS</t>
  </si>
  <si>
    <t>TZ</t>
  </si>
  <si>
    <t>97TZ00TZ</t>
  </si>
  <si>
    <t>ESTADOS UNIDOS</t>
  </si>
  <si>
    <t>UNITED STATES</t>
  </si>
  <si>
    <t>2023-11-15-17.02.00.365275</t>
  </si>
  <si>
    <t>USA</t>
  </si>
  <si>
    <t>USUS</t>
  </si>
  <si>
    <t>US</t>
  </si>
  <si>
    <t>FW</t>
  </si>
  <si>
    <t>97US00US</t>
  </si>
  <si>
    <t>VIRGENS AMERICANAS,ILHAS</t>
  </si>
  <si>
    <t>VIRGIN ISLANDS, U.S.</t>
  </si>
  <si>
    <t>2023-11-15-17.02.00.365342</t>
  </si>
  <si>
    <t>VIR</t>
  </si>
  <si>
    <t>VIUSS</t>
  </si>
  <si>
    <t>VI</t>
  </si>
  <si>
    <t>BURKINA FASO</t>
  </si>
  <si>
    <t>2023-11-15-17.02.00.365397</t>
  </si>
  <si>
    <t>BFA</t>
  </si>
  <si>
    <t>BFBFS</t>
  </si>
  <si>
    <t>BF</t>
  </si>
  <si>
    <t>URUGUAI</t>
  </si>
  <si>
    <t>URUGUAY</t>
  </si>
  <si>
    <t>2025-09-23-16.23.53.683121</t>
  </si>
  <si>
    <t>URY</t>
  </si>
  <si>
    <t>UYUYS</t>
  </si>
  <si>
    <t>UY</t>
  </si>
  <si>
    <t>97UY00UY</t>
  </si>
  <si>
    <t>UZBEKISTAN</t>
  </si>
  <si>
    <t>2025-09-23-16.24.13.084354</t>
  </si>
  <si>
    <t>UZB</t>
  </si>
  <si>
    <t>UZUZS</t>
  </si>
  <si>
    <t>UZ</t>
  </si>
  <si>
    <t>97UZ00UZ</t>
  </si>
  <si>
    <t>VENEZUELA</t>
  </si>
  <si>
    <t>2023-11-15-17.02.00.365617</t>
  </si>
  <si>
    <t>VEN</t>
  </si>
  <si>
    <t>VEVES</t>
  </si>
  <si>
    <t>VE</t>
  </si>
  <si>
    <t>97VE00VE</t>
  </si>
  <si>
    <t>SL6780 S</t>
  </si>
  <si>
    <t>WALLIS E FUTUNA,ILHAS</t>
  </si>
  <si>
    <t>WALLIS AND FUTUNA</t>
  </si>
  <si>
    <t>2023-11-15-17.02.00.365904</t>
  </si>
  <si>
    <t>WLF</t>
  </si>
  <si>
    <t>WFWFS</t>
  </si>
  <si>
    <t>WF</t>
  </si>
  <si>
    <t>SAMOA</t>
  </si>
  <si>
    <t>2023-11-15-17.02.00.365964</t>
  </si>
  <si>
    <t>WSM</t>
  </si>
  <si>
    <t>WSWSS</t>
  </si>
  <si>
    <t>WS</t>
  </si>
  <si>
    <t>YEMEN</t>
  </si>
  <si>
    <t>2023-11-22-17.59.44.320884</t>
  </si>
  <si>
    <t>YEM</t>
  </si>
  <si>
    <t>YEYES</t>
  </si>
  <si>
    <t>YE</t>
  </si>
  <si>
    <t>97YE00YE</t>
  </si>
  <si>
    <t>ZAMBIA</t>
  </si>
  <si>
    <t>2023-11-15-17.02.00.366150</t>
  </si>
  <si>
    <t>ZMB</t>
  </si>
  <si>
    <t>ZMZMS</t>
  </si>
  <si>
    <t>ZM</t>
  </si>
  <si>
    <t>CE - COMUNIDADE EUROPEIA</t>
  </si>
  <si>
    <t>2020-03-09-11.57.18.886540</t>
  </si>
  <si>
    <t>XAA</t>
  </si>
  <si>
    <t>XAXAS</t>
  </si>
  <si>
    <t>XA</t>
  </si>
  <si>
    <t>PAISES NAO DESIGNADOS</t>
  </si>
  <si>
    <t>2020-03-09-11.57.32.081708</t>
  </si>
  <si>
    <t>XAL</t>
  </si>
  <si>
    <t>XL5M</t>
  </si>
  <si>
    <t xml:space="preserve">       N</t>
  </si>
  <si>
    <t>BANCO EUROPEU DE INVESTIMENTO (BEI)</t>
  </si>
  <si>
    <t>BANCO EUROPEU DE INVESTIMENTO</t>
  </si>
  <si>
    <t>2020-03-09-11.57.46.259976</t>
  </si>
  <si>
    <t>XAU</t>
  </si>
  <si>
    <t>XUXUS</t>
  </si>
  <si>
    <t>XU</t>
  </si>
  <si>
    <t>ORGANIZACAO DO TRATADO DO ATLANTICO NORTE (NORTE)</t>
  </si>
  <si>
    <t>ORG.TRATADO DO ATLANTICO NORTE</t>
  </si>
  <si>
    <t>2020-03-09-11.57.59.532619</t>
  </si>
  <si>
    <t>QMA</t>
  </si>
  <si>
    <t>OTOTS</t>
  </si>
  <si>
    <t>OT</t>
  </si>
  <si>
    <t>EUROFIMA</t>
  </si>
  <si>
    <t>2020-03-09-11.58.13.735303</t>
  </si>
  <si>
    <t>QQA</t>
  </si>
  <si>
    <t>QQQQS</t>
  </si>
  <si>
    <t>QQ</t>
  </si>
  <si>
    <t>OUTROS ORGANISMOS INTERNACIONAIS</t>
  </si>
  <si>
    <t>OUTROS ORGANISM.INTERNACIONAIS</t>
  </si>
  <si>
    <t>2023-12-12-15.51.23.579455</t>
  </si>
  <si>
    <t>AAB</t>
  </si>
  <si>
    <t>AB5M</t>
  </si>
  <si>
    <t>BANCO CENTRAL EUROPEU</t>
  </si>
  <si>
    <t>2020-03-09-11.58.26.991135</t>
  </si>
  <si>
    <t>EUB</t>
  </si>
  <si>
    <t>EUEUS</t>
  </si>
  <si>
    <t>EU</t>
  </si>
  <si>
    <t>COMUNIDADE FINANCEIRA AFRICANA</t>
  </si>
  <si>
    <t>2020-03-09-11.58.40.171276</t>
  </si>
  <si>
    <t>CFA</t>
  </si>
  <si>
    <t>XOXOS</t>
  </si>
  <si>
    <t>XO</t>
  </si>
  <si>
    <t>E.C.U.</t>
  </si>
  <si>
    <t>2020-03-09-11.58.53.324897</t>
  </si>
  <si>
    <t>CEE</t>
  </si>
  <si>
    <t>CECES</t>
  </si>
  <si>
    <t>CE</t>
  </si>
  <si>
    <t>CONSELHO UNICO DE RESOLUCAO</t>
  </si>
  <si>
    <t>2020-03-09-11.59.06.134885</t>
  </si>
  <si>
    <t>XRB</t>
  </si>
  <si>
    <t>RB9B</t>
  </si>
  <si>
    <t>RB</t>
  </si>
  <si>
    <t>KOSOVO</t>
  </si>
  <si>
    <t>2023-11-15-17.02.00.366430</t>
  </si>
  <si>
    <t>XKA</t>
  </si>
  <si>
    <t>XKXK</t>
  </si>
  <si>
    <t>XK</t>
  </si>
  <si>
    <t>015</t>
  </si>
  <si>
    <t>004</t>
  </si>
  <si>
    <t>00000</t>
  </si>
  <si>
    <t xml:space="preserve"> 000</t>
  </si>
  <si>
    <t>2025-09-24</t>
  </si>
  <si>
    <t>20250924232237</t>
  </si>
  <si>
    <t>008</t>
  </si>
  <si>
    <t>010</t>
  </si>
  <si>
    <t>012</t>
  </si>
  <si>
    <t>016</t>
  </si>
  <si>
    <t>024</t>
  </si>
  <si>
    <t>028</t>
  </si>
  <si>
    <t>031</t>
  </si>
  <si>
    <t>032</t>
  </si>
  <si>
    <t>044</t>
  </si>
  <si>
    <t>048</t>
  </si>
  <si>
    <t>050</t>
  </si>
  <si>
    <t>051</t>
  </si>
  <si>
    <t>052</t>
  </si>
  <si>
    <t>060</t>
  </si>
  <si>
    <t>064</t>
  </si>
  <si>
    <t>068</t>
  </si>
  <si>
    <t>070</t>
  </si>
  <si>
    <t>072</t>
  </si>
  <si>
    <t>074</t>
  </si>
  <si>
    <t>076</t>
  </si>
  <si>
    <t>084</t>
  </si>
  <si>
    <t>086</t>
  </si>
  <si>
    <t>090</t>
  </si>
  <si>
    <t>092</t>
  </si>
  <si>
    <t>096</t>
  </si>
  <si>
    <t>104</t>
  </si>
  <si>
    <t>108</t>
  </si>
  <si>
    <t>112</t>
  </si>
  <si>
    <t>116</t>
  </si>
  <si>
    <t>120</t>
  </si>
  <si>
    <t>132</t>
  </si>
  <si>
    <t>136</t>
  </si>
  <si>
    <t>140</t>
  </si>
  <si>
    <t>144</t>
  </si>
  <si>
    <t>148</t>
  </si>
  <si>
    <t>152</t>
  </si>
  <si>
    <t>156</t>
  </si>
  <si>
    <t>162</t>
  </si>
  <si>
    <t>166</t>
  </si>
  <si>
    <t>170</t>
  </si>
  <si>
    <t>174</t>
  </si>
  <si>
    <t>175</t>
  </si>
  <si>
    <t>178</t>
  </si>
  <si>
    <t>180</t>
  </si>
  <si>
    <t>184</t>
  </si>
  <si>
    <t>188</t>
  </si>
  <si>
    <t>192</t>
  </si>
  <si>
    <t>204</t>
  </si>
  <si>
    <t>212</t>
  </si>
  <si>
    <t>214</t>
  </si>
  <si>
    <t>216</t>
  </si>
  <si>
    <t>218</t>
  </si>
  <si>
    <t>222</t>
  </si>
  <si>
    <t>226</t>
  </si>
  <si>
    <t>231</t>
  </si>
  <si>
    <t>232</t>
  </si>
  <si>
    <t>234</t>
  </si>
  <si>
    <t>238</t>
  </si>
  <si>
    <t>239</t>
  </si>
  <si>
    <t>242</t>
  </si>
  <si>
    <t>248</t>
  </si>
  <si>
    <t>254</t>
  </si>
  <si>
    <t>258</t>
  </si>
  <si>
    <t>260</t>
  </si>
  <si>
    <t>262</t>
  </si>
  <si>
    <t>266</t>
  </si>
  <si>
    <t>268</t>
  </si>
  <si>
    <t>270</t>
  </si>
  <si>
    <t>275</t>
  </si>
  <si>
    <t>288</t>
  </si>
  <si>
    <t>292</t>
  </si>
  <si>
    <t>296</t>
  </si>
  <si>
    <t>302</t>
  </si>
  <si>
    <t xml:space="preserve">    00</t>
  </si>
  <si>
    <t>000</t>
  </si>
  <si>
    <t>304</t>
  </si>
  <si>
    <t>307</t>
  </si>
  <si>
    <t>308</t>
  </si>
  <si>
    <t>312</t>
  </si>
  <si>
    <t>316</t>
  </si>
  <si>
    <t>320</t>
  </si>
  <si>
    <t>324</t>
  </si>
  <si>
    <t>328</t>
  </si>
  <si>
    <t>332</t>
  </si>
  <si>
    <t>334</t>
  </si>
  <si>
    <t>336</t>
  </si>
  <si>
    <t>340</t>
  </si>
  <si>
    <t>356</t>
  </si>
  <si>
    <t>360</t>
  </si>
  <si>
    <t>364</t>
  </si>
  <si>
    <t>368</t>
  </si>
  <si>
    <t>384</t>
  </si>
  <si>
    <t>388</t>
  </si>
  <si>
    <t>398</t>
  </si>
  <si>
    <t>400</t>
  </si>
  <si>
    <t>404</t>
  </si>
  <si>
    <t>405</t>
  </si>
  <si>
    <t>408</t>
  </si>
  <si>
    <t>414</t>
  </si>
  <si>
    <t>417</t>
  </si>
  <si>
    <t>418</t>
  </si>
  <si>
    <t>422</t>
  </si>
  <si>
    <t>426</t>
  </si>
  <si>
    <t>430</t>
  </si>
  <si>
    <t>434</t>
  </si>
  <si>
    <t>438</t>
  </si>
  <si>
    <t>450</t>
  </si>
  <si>
    <t>454</t>
  </si>
  <si>
    <t>458</t>
  </si>
  <si>
    <t>462</t>
  </si>
  <si>
    <t>466</t>
  </si>
  <si>
    <t>474</t>
  </si>
  <si>
    <t>478</t>
  </si>
  <si>
    <t>480</t>
  </si>
  <si>
    <t>484</t>
  </si>
  <si>
    <t>492</t>
  </si>
  <si>
    <t>496</t>
  </si>
  <si>
    <t>498</t>
  </si>
  <si>
    <t>499</t>
  </si>
  <si>
    <t>500</t>
  </si>
  <si>
    <t>504</t>
  </si>
  <si>
    <t>508</t>
  </si>
  <si>
    <t>512</t>
  </si>
  <si>
    <t>516</t>
  </si>
  <si>
    <t>520</t>
  </si>
  <si>
    <t>524</t>
  </si>
  <si>
    <t>531</t>
  </si>
  <si>
    <t>533</t>
  </si>
  <si>
    <t>534</t>
  </si>
  <si>
    <t>535</t>
  </si>
  <si>
    <t>540</t>
  </si>
  <si>
    <t>548</t>
  </si>
  <si>
    <t>558</t>
  </si>
  <si>
    <t>562</t>
  </si>
  <si>
    <t>566</t>
  </si>
  <si>
    <t>570</t>
  </si>
  <si>
    <t>574</t>
  </si>
  <si>
    <t>580</t>
  </si>
  <si>
    <t>581</t>
  </si>
  <si>
    <t>583</t>
  </si>
  <si>
    <t>584</t>
  </si>
  <si>
    <t>585</t>
  </si>
  <si>
    <t>586</t>
  </si>
  <si>
    <t>591</t>
  </si>
  <si>
    <t>598</t>
  </si>
  <si>
    <t>600</t>
  </si>
  <si>
    <t>604</t>
  </si>
  <si>
    <t>608</t>
  </si>
  <si>
    <t>612</t>
  </si>
  <si>
    <t>10000</t>
  </si>
  <si>
    <t>624</t>
  </si>
  <si>
    <t>626</t>
  </si>
  <si>
    <t>634</t>
  </si>
  <si>
    <t>638</t>
  </si>
  <si>
    <t>643</t>
  </si>
  <si>
    <t>646</t>
  </si>
  <si>
    <t>652</t>
  </si>
  <si>
    <t>654</t>
  </si>
  <si>
    <t>659</t>
  </si>
  <si>
    <t>660</t>
  </si>
  <si>
    <t>662</t>
  </si>
  <si>
    <t>663</t>
  </si>
  <si>
    <t>666</t>
  </si>
  <si>
    <t>670</t>
  </si>
  <si>
    <t>678</t>
  </si>
  <si>
    <t>682</t>
  </si>
  <si>
    <t>686</t>
  </si>
  <si>
    <t>688</t>
  </si>
  <si>
    <t>690</t>
  </si>
  <si>
    <t>694</t>
  </si>
  <si>
    <t>704</t>
  </si>
  <si>
    <t>706</t>
  </si>
  <si>
    <t>710</t>
  </si>
  <si>
    <t>716</t>
  </si>
  <si>
    <t>725</t>
  </si>
  <si>
    <t>728</t>
  </si>
  <si>
    <t>729</t>
  </si>
  <si>
    <t>732</t>
  </si>
  <si>
    <t>740</t>
  </si>
  <si>
    <t>744</t>
  </si>
  <si>
    <t>748</t>
  </si>
  <si>
    <t>760</t>
  </si>
  <si>
    <t>762</t>
  </si>
  <si>
    <t>764</t>
  </si>
  <si>
    <t>768</t>
  </si>
  <si>
    <t>772</t>
  </si>
  <si>
    <t>776</t>
  </si>
  <si>
    <t>780</t>
  </si>
  <si>
    <t>784</t>
  </si>
  <si>
    <t>788</t>
  </si>
  <si>
    <t>792</t>
  </si>
  <si>
    <t>795</t>
  </si>
  <si>
    <t>796</t>
  </si>
  <si>
    <t>798</t>
  </si>
  <si>
    <t>800</t>
  </si>
  <si>
    <t>804</t>
  </si>
  <si>
    <t>807</t>
  </si>
  <si>
    <t>818</t>
  </si>
  <si>
    <t>831</t>
  </si>
  <si>
    <t>832</t>
  </si>
  <si>
    <t>833</t>
  </si>
  <si>
    <t>834</t>
  </si>
  <si>
    <t>850</t>
  </si>
  <si>
    <t>854</t>
  </si>
  <si>
    <t>858</t>
  </si>
  <si>
    <t>860</t>
  </si>
  <si>
    <t>862</t>
  </si>
  <si>
    <t>876</t>
  </si>
  <si>
    <t>882</t>
  </si>
  <si>
    <t>887</t>
  </si>
  <si>
    <t>894</t>
  </si>
  <si>
    <t>900</t>
  </si>
  <si>
    <t>910</t>
  </si>
  <si>
    <t>0000000</t>
  </si>
  <si>
    <t>918</t>
  </si>
  <si>
    <t>924</t>
  </si>
  <si>
    <t>928</t>
  </si>
  <si>
    <t>943</t>
  </si>
  <si>
    <t>950</t>
  </si>
  <si>
    <t>952</t>
  </si>
  <si>
    <t>954</t>
  </si>
  <si>
    <t>976</t>
  </si>
  <si>
    <t>999</t>
  </si>
  <si>
    <t>United States of America</t>
  </si>
  <si>
    <t>Canada</t>
  </si>
  <si>
    <t>Greece</t>
  </si>
  <si>
    <t>Bulgaria</t>
  </si>
  <si>
    <t>Lithuania</t>
  </si>
  <si>
    <t>Spain</t>
  </si>
  <si>
    <t>Portugal</t>
  </si>
  <si>
    <t>Hungary</t>
  </si>
  <si>
    <t>Croatia</t>
  </si>
  <si>
    <t>Luxembourg</t>
  </si>
  <si>
    <t>Finland</t>
  </si>
  <si>
    <t>Sweden</t>
  </si>
  <si>
    <t>Romania</t>
  </si>
  <si>
    <t>Ireland</t>
  </si>
  <si>
    <t>Malta</t>
  </si>
  <si>
    <t>France</t>
  </si>
  <si>
    <t>United Kingdom</t>
  </si>
  <si>
    <t>Slovakia</t>
  </si>
  <si>
    <t>Italy</t>
  </si>
  <si>
    <t>Czech Republic</t>
  </si>
  <si>
    <t>Netherlands</t>
  </si>
  <si>
    <t>Germany</t>
  </si>
  <si>
    <t>Belgium</t>
  </si>
  <si>
    <t>Latvia</t>
  </si>
  <si>
    <t>Denmark</t>
  </si>
  <si>
    <t>Slovenia</t>
  </si>
  <si>
    <t>Poland</t>
  </si>
  <si>
    <t>Algeria</t>
  </si>
  <si>
    <t>Argentina</t>
  </si>
  <si>
    <t>Australia</t>
  </si>
  <si>
    <t>Bahrain</t>
  </si>
  <si>
    <t>Brazil</t>
  </si>
  <si>
    <t>Brunei</t>
  </si>
  <si>
    <t>Chile</t>
  </si>
  <si>
    <t>China</t>
  </si>
  <si>
    <t>Colombia</t>
  </si>
  <si>
    <t>Egypt</t>
  </si>
  <si>
    <t>Ghana</t>
  </si>
  <si>
    <t>Hong Kong</t>
  </si>
  <si>
    <t>India</t>
  </si>
  <si>
    <t>Indonesia</t>
  </si>
  <si>
    <t>Iran</t>
  </si>
  <si>
    <t>Iraq</t>
  </si>
  <si>
    <t>Israel</t>
  </si>
  <si>
    <t>Japan</t>
  </si>
  <si>
    <t>Jordan</t>
  </si>
  <si>
    <t>Kazakhstan</t>
  </si>
  <si>
    <t>Kuwait</t>
  </si>
  <si>
    <t>Kyrgyzstan</t>
  </si>
  <si>
    <t>Lebanon</t>
  </si>
  <si>
    <t>Libya</t>
  </si>
  <si>
    <t>Malaysia</t>
  </si>
  <si>
    <t>Mauritania</t>
  </si>
  <si>
    <t>Mexico</t>
  </si>
  <si>
    <t>Morocco</t>
  </si>
  <si>
    <t>Nepal</t>
  </si>
  <si>
    <t>New Zealand</t>
  </si>
  <si>
    <t>Nigeria</t>
  </si>
  <si>
    <t>Oman</t>
  </si>
  <si>
    <t>Pakistan</t>
  </si>
  <si>
    <t>Palestine</t>
  </si>
  <si>
    <t>Philippines</t>
  </si>
  <si>
    <t>Qatar</t>
  </si>
  <si>
    <t>Russia</t>
  </si>
  <si>
    <t>Saudi Arabia</t>
  </si>
  <si>
    <t>Singapore</t>
  </si>
  <si>
    <t>South Africa</t>
  </si>
  <si>
    <t>Sri Lanka</t>
  </si>
  <si>
    <t>Syria</t>
  </si>
  <si>
    <t>Taiwan, China</t>
  </si>
  <si>
    <t>Tajikistan</t>
  </si>
  <si>
    <t>Tanzania</t>
  </si>
  <si>
    <t>Thailand</t>
  </si>
  <si>
    <t>Tunisia</t>
  </si>
  <si>
    <t>Turkey</t>
  </si>
  <si>
    <t>Turkmenistan</t>
  </si>
  <si>
    <t>Uganda</t>
  </si>
  <si>
    <t>United Arab Emirates</t>
  </si>
  <si>
    <t>Vietnam</t>
  </si>
  <si>
    <t>Yemen</t>
  </si>
  <si>
    <t>Austria</t>
  </si>
  <si>
    <t>Cyprus</t>
  </si>
  <si>
    <t>Estonia</t>
  </si>
  <si>
    <t>Norway</t>
  </si>
  <si>
    <t>Switzerland</t>
  </si>
  <si>
    <t>a</t>
  </si>
  <si>
    <t>s</t>
  </si>
  <si>
    <t>European Union</t>
  </si>
  <si>
    <t>South Korea</t>
  </si>
  <si>
    <t>411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</si>
</sst>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2" borderId="0" xfId="0" applyFill="1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"/>
  <sheetViews>
    <sheetView topLeftCell="A62" workbookViewId="0">
      <selection activeCell="A97" sqref="A97"/>
    </sheetView>
  </sheetViews>
  <sheetFormatPr defaultColWidth="11.425781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45</v>
      </c>
      <c r="B2" t="s">
        <v>46</v>
      </c>
      <c r="C2" t="s">
        <v>47</v>
      </c>
      <c r="D2" t="s">
        <v>48</v>
      </c>
    </row>
    <row r="3" spans="1:4" x14ac:dyDescent="0.25">
      <c r="A3" t="s">
        <v>45</v>
      </c>
      <c r="B3" t="s">
        <v>49</v>
      </c>
      <c r="C3" t="s">
        <v>47</v>
      </c>
      <c r="D3" t="s">
        <v>48</v>
      </c>
    </row>
    <row r="4" spans="1:4" x14ac:dyDescent="0.25">
      <c r="A4" t="s">
        <v>45</v>
      </c>
      <c r="B4" t="s">
        <v>50</v>
      </c>
      <c r="C4" t="s">
        <v>47</v>
      </c>
      <c r="D4" t="s">
        <v>48</v>
      </c>
    </row>
    <row r="5" spans="1:4" x14ac:dyDescent="0.25">
      <c r="A5" t="s">
        <v>45</v>
      </c>
      <c r="B5" t="s">
        <v>51</v>
      </c>
      <c r="C5" t="s">
        <v>47</v>
      </c>
      <c r="D5" t="s">
        <v>48</v>
      </c>
    </row>
    <row r="6" spans="1:4" x14ac:dyDescent="0.25">
      <c r="A6" t="s">
        <v>45</v>
      </c>
      <c r="B6" t="s">
        <v>52</v>
      </c>
      <c r="C6" t="s">
        <v>53</v>
      </c>
      <c r="D6" t="s">
        <v>54</v>
      </c>
    </row>
    <row r="7" spans="1:4" x14ac:dyDescent="0.25">
      <c r="A7" t="s">
        <v>45</v>
      </c>
      <c r="B7" t="s">
        <v>55</v>
      </c>
      <c r="C7" t="s">
        <v>53</v>
      </c>
      <c r="D7" t="s">
        <v>54</v>
      </c>
    </row>
    <row r="8" spans="1:4" x14ac:dyDescent="0.25">
      <c r="A8" t="s">
        <v>45</v>
      </c>
      <c r="B8" t="s">
        <v>56</v>
      </c>
      <c r="C8" t="s">
        <v>53</v>
      </c>
      <c r="D8" t="s">
        <v>54</v>
      </c>
    </row>
    <row r="9" spans="1:4" x14ac:dyDescent="0.25">
      <c r="A9" t="s">
        <v>45</v>
      </c>
      <c r="B9" t="s">
        <v>57</v>
      </c>
      <c r="C9" t="s">
        <v>53</v>
      </c>
      <c r="D9" t="s">
        <v>54</v>
      </c>
    </row>
    <row r="10" spans="1:4" x14ac:dyDescent="0.25">
      <c r="A10" t="s">
        <v>45</v>
      </c>
      <c r="B10" t="s">
        <v>58</v>
      </c>
      <c r="C10" t="s">
        <v>53</v>
      </c>
      <c r="D10" t="s">
        <v>54</v>
      </c>
    </row>
    <row r="11" spans="1:4" x14ac:dyDescent="0.25">
      <c r="A11" t="s">
        <v>45</v>
      </c>
      <c r="B11" t="s">
        <v>72</v>
      </c>
      <c r="C11" t="s">
        <v>47</v>
      </c>
      <c r="D11" t="s">
        <v>48</v>
      </c>
    </row>
    <row r="12" spans="1:4" x14ac:dyDescent="0.25">
      <c r="A12" t="s">
        <v>45</v>
      </c>
      <c r="B12" t="s">
        <v>73</v>
      </c>
      <c r="C12" t="s">
        <v>47</v>
      </c>
      <c r="D12" t="s">
        <v>48</v>
      </c>
    </row>
    <row r="13" spans="1:4" x14ac:dyDescent="0.25">
      <c r="A13" t="s">
        <v>45</v>
      </c>
      <c r="B13" t="s">
        <v>74</v>
      </c>
      <c r="C13" t="s">
        <v>47</v>
      </c>
      <c r="D13" t="s">
        <v>48</v>
      </c>
    </row>
    <row r="14" spans="1:4" x14ac:dyDescent="0.25">
      <c r="A14" t="s">
        <v>45</v>
      </c>
      <c r="B14" t="s">
        <v>75</v>
      </c>
      <c r="C14" t="s">
        <v>47</v>
      </c>
      <c r="D14" t="s">
        <v>48</v>
      </c>
    </row>
    <row r="15" spans="1:4" x14ac:dyDescent="0.25">
      <c r="A15" t="s">
        <v>45</v>
      </c>
      <c r="B15" t="s">
        <v>76</v>
      </c>
      <c r="C15" t="s">
        <v>53</v>
      </c>
      <c r="D15" t="s">
        <v>54</v>
      </c>
    </row>
    <row r="16" spans="1:4" x14ac:dyDescent="0.25">
      <c r="A16" t="s">
        <v>45</v>
      </c>
      <c r="B16" t="s">
        <v>77</v>
      </c>
      <c r="C16" t="s">
        <v>53</v>
      </c>
      <c r="D16" t="s">
        <v>54</v>
      </c>
    </row>
    <row r="17" spans="1:4" x14ac:dyDescent="0.25">
      <c r="A17" t="s">
        <v>45</v>
      </c>
      <c r="B17" t="s">
        <v>78</v>
      </c>
      <c r="C17" t="s">
        <v>53</v>
      </c>
      <c r="D17" t="s">
        <v>54</v>
      </c>
    </row>
    <row r="18" spans="1:4" x14ac:dyDescent="0.25">
      <c r="A18" t="s">
        <v>45</v>
      </c>
      <c r="B18" t="s">
        <v>79</v>
      </c>
      <c r="C18" t="s">
        <v>53</v>
      </c>
      <c r="D18" t="s">
        <v>54</v>
      </c>
    </row>
    <row r="19" spans="1:4" x14ac:dyDescent="0.25">
      <c r="A19" t="s">
        <v>45</v>
      </c>
      <c r="B19" t="s">
        <v>80</v>
      </c>
      <c r="C19" t="s">
        <v>53</v>
      </c>
      <c r="D19" t="s">
        <v>54</v>
      </c>
    </row>
    <row r="20" spans="1:4" x14ac:dyDescent="0.25">
      <c r="A20" t="s">
        <v>45</v>
      </c>
      <c r="B20" t="s">
        <v>81</v>
      </c>
      <c r="C20" t="s">
        <v>53</v>
      </c>
      <c r="D20" t="s">
        <v>54</v>
      </c>
    </row>
    <row r="21" spans="1:4" x14ac:dyDescent="0.25">
      <c r="A21" t="s">
        <v>45</v>
      </c>
      <c r="B21" t="s">
        <v>82</v>
      </c>
      <c r="C21" t="s">
        <v>53</v>
      </c>
      <c r="D21" t="s">
        <v>54</v>
      </c>
    </row>
    <row r="22" spans="1:4" x14ac:dyDescent="0.25">
      <c r="A22" t="s">
        <v>45</v>
      </c>
      <c r="B22" t="s">
        <v>83</v>
      </c>
      <c r="C22" t="s">
        <v>53</v>
      </c>
      <c r="D22" t="s">
        <v>54</v>
      </c>
    </row>
    <row r="23" spans="1:4" x14ac:dyDescent="0.25">
      <c r="A23" t="s">
        <v>45</v>
      </c>
      <c r="B23" t="s">
        <v>84</v>
      </c>
      <c r="C23" t="s">
        <v>53</v>
      </c>
      <c r="D23" t="s">
        <v>54</v>
      </c>
    </row>
    <row r="24" spans="1:4" x14ac:dyDescent="0.25">
      <c r="A24" t="s">
        <v>45</v>
      </c>
      <c r="B24" t="s">
        <v>92</v>
      </c>
      <c r="C24" t="s">
        <v>47</v>
      </c>
      <c r="D24" t="s">
        <v>48</v>
      </c>
    </row>
    <row r="25" spans="1:4" x14ac:dyDescent="0.25">
      <c r="A25" t="s">
        <v>45</v>
      </c>
      <c r="B25" t="s">
        <v>93</v>
      </c>
      <c r="C25" t="s">
        <v>47</v>
      </c>
      <c r="D25" t="s">
        <v>48</v>
      </c>
    </row>
    <row r="26" spans="1:4" x14ac:dyDescent="0.25">
      <c r="A26" t="s">
        <v>45</v>
      </c>
      <c r="B26" t="s">
        <v>94</v>
      </c>
      <c r="C26" t="s">
        <v>47</v>
      </c>
      <c r="D26" t="s">
        <v>48</v>
      </c>
    </row>
    <row r="27" spans="1:4" x14ac:dyDescent="0.25">
      <c r="A27" t="s">
        <v>45</v>
      </c>
      <c r="B27" t="s">
        <v>95</v>
      </c>
      <c r="C27" t="s">
        <v>47</v>
      </c>
      <c r="D27" t="s">
        <v>48</v>
      </c>
    </row>
    <row r="28" spans="1:4" x14ac:dyDescent="0.25">
      <c r="A28" t="s">
        <v>45</v>
      </c>
      <c r="B28" t="s">
        <v>96</v>
      </c>
      <c r="C28" t="s">
        <v>47</v>
      </c>
      <c r="D28" t="s">
        <v>48</v>
      </c>
    </row>
    <row r="29" spans="1:4" x14ac:dyDescent="0.25">
      <c r="A29" t="s">
        <v>45</v>
      </c>
      <c r="B29" t="s">
        <v>97</v>
      </c>
      <c r="C29" t="s">
        <v>47</v>
      </c>
      <c r="D29" t="s">
        <v>48</v>
      </c>
    </row>
    <row r="30" spans="1:4" x14ac:dyDescent="0.25">
      <c r="A30" t="s">
        <v>45</v>
      </c>
      <c r="B30" t="s">
        <v>125</v>
      </c>
      <c r="C30" t="s">
        <v>53</v>
      </c>
      <c r="D30" t="s">
        <v>54</v>
      </c>
    </row>
    <row r="31" spans="1:4" x14ac:dyDescent="0.25">
      <c r="A31" t="s">
        <v>45</v>
      </c>
      <c r="B31" t="s">
        <v>126</v>
      </c>
      <c r="C31" t="s">
        <v>47</v>
      </c>
      <c r="D31" t="s">
        <v>48</v>
      </c>
    </row>
    <row r="32" spans="1:4" x14ac:dyDescent="0.25">
      <c r="A32" t="s">
        <v>45</v>
      </c>
      <c r="B32" t="s">
        <v>127</v>
      </c>
      <c r="C32" t="s">
        <v>47</v>
      </c>
      <c r="D32" t="s">
        <v>48</v>
      </c>
    </row>
    <row r="33" spans="1:4" x14ac:dyDescent="0.25">
      <c r="A33" t="s">
        <v>45</v>
      </c>
      <c r="B33" t="s">
        <v>128</v>
      </c>
      <c r="C33" t="s">
        <v>47</v>
      </c>
      <c r="D33" t="s">
        <v>48</v>
      </c>
    </row>
    <row r="34" spans="1:4" x14ac:dyDescent="0.25">
      <c r="A34" t="s">
        <v>45</v>
      </c>
      <c r="B34" t="s">
        <v>139</v>
      </c>
      <c r="C34" t="s">
        <v>53</v>
      </c>
      <c r="D34" t="s">
        <v>54</v>
      </c>
    </row>
    <row r="35" spans="1:4" x14ac:dyDescent="0.25">
      <c r="A35" t="s">
        <v>45</v>
      </c>
      <c r="B35" t="s">
        <v>140</v>
      </c>
      <c r="C35" t="s">
        <v>53</v>
      </c>
      <c r="D35" t="s">
        <v>54</v>
      </c>
    </row>
    <row r="36" spans="1:4" x14ac:dyDescent="0.25">
      <c r="A36" t="s">
        <v>45</v>
      </c>
      <c r="B36" t="s">
        <v>141</v>
      </c>
      <c r="C36" t="s">
        <v>53</v>
      </c>
      <c r="D36" t="s">
        <v>54</v>
      </c>
    </row>
    <row r="37" spans="1:4" x14ac:dyDescent="0.25">
      <c r="A37" t="s">
        <v>45</v>
      </c>
      <c r="B37" t="s">
        <v>142</v>
      </c>
      <c r="C37" t="s">
        <v>53</v>
      </c>
      <c r="D37" t="s">
        <v>54</v>
      </c>
    </row>
    <row r="38" spans="1:4" x14ac:dyDescent="0.25">
      <c r="A38" t="s">
        <v>45</v>
      </c>
      <c r="B38" t="s">
        <v>143</v>
      </c>
      <c r="C38" t="s">
        <v>53</v>
      </c>
      <c r="D38" t="s">
        <v>54</v>
      </c>
    </row>
    <row r="39" spans="1:4" x14ac:dyDescent="0.25">
      <c r="A39" t="s">
        <v>45</v>
      </c>
      <c r="B39" t="s">
        <v>144</v>
      </c>
      <c r="C39" t="s">
        <v>53</v>
      </c>
      <c r="D39" t="s">
        <v>54</v>
      </c>
    </row>
    <row r="40" spans="1:4" x14ac:dyDescent="0.25">
      <c r="A40" t="s">
        <v>45</v>
      </c>
      <c r="B40" t="s">
        <v>145</v>
      </c>
      <c r="C40" t="s">
        <v>53</v>
      </c>
      <c r="D40" t="s">
        <v>54</v>
      </c>
    </row>
    <row r="41" spans="1:4" x14ac:dyDescent="0.25">
      <c r="A41" t="s">
        <v>45</v>
      </c>
      <c r="B41" t="s">
        <v>146</v>
      </c>
      <c r="C41" t="s">
        <v>53</v>
      </c>
      <c r="D41" t="s">
        <v>54</v>
      </c>
    </row>
    <row r="42" spans="1:4" x14ac:dyDescent="0.25">
      <c r="A42" t="s">
        <v>45</v>
      </c>
      <c r="B42" t="s">
        <v>147</v>
      </c>
      <c r="C42" t="s">
        <v>53</v>
      </c>
      <c r="D42" t="s">
        <v>54</v>
      </c>
    </row>
    <row r="43" spans="1:4" x14ac:dyDescent="0.25">
      <c r="A43" t="s">
        <v>45</v>
      </c>
      <c r="B43" t="s">
        <v>148</v>
      </c>
      <c r="C43" t="s">
        <v>53</v>
      </c>
      <c r="D43" t="s">
        <v>54</v>
      </c>
    </row>
    <row r="44" spans="1:4" x14ac:dyDescent="0.25">
      <c r="A44" t="s">
        <v>45</v>
      </c>
      <c r="B44" t="s">
        <v>149</v>
      </c>
      <c r="C44" t="s">
        <v>53</v>
      </c>
      <c r="D44" t="s">
        <v>54</v>
      </c>
    </row>
    <row r="45" spans="1:4" x14ac:dyDescent="0.25">
      <c r="A45" t="s">
        <v>45</v>
      </c>
      <c r="B45" t="s">
        <v>150</v>
      </c>
      <c r="C45" t="s">
        <v>53</v>
      </c>
      <c r="D45" t="s">
        <v>54</v>
      </c>
    </row>
    <row r="46" spans="1:4" x14ac:dyDescent="0.25">
      <c r="A46" t="s">
        <v>45</v>
      </c>
      <c r="B46" t="s">
        <v>151</v>
      </c>
      <c r="C46" t="s">
        <v>53</v>
      </c>
      <c r="D46" t="s">
        <v>54</v>
      </c>
    </row>
    <row r="47" spans="1:4" x14ac:dyDescent="0.25">
      <c r="A47" t="s">
        <v>4</v>
      </c>
      <c r="B47" t="s">
        <v>5</v>
      </c>
      <c r="C47" t="s">
        <v>6</v>
      </c>
      <c r="D47" t="s">
        <v>7</v>
      </c>
    </row>
    <row r="48" spans="1:4" x14ac:dyDescent="0.25">
      <c r="A48" t="s">
        <v>4</v>
      </c>
      <c r="B48" t="s">
        <v>8</v>
      </c>
      <c r="C48" t="s">
        <v>9</v>
      </c>
      <c r="D48" t="s">
        <v>10</v>
      </c>
    </row>
    <row r="49" spans="1:4" x14ac:dyDescent="0.25">
      <c r="A49" t="s">
        <v>4</v>
      </c>
      <c r="B49" t="s">
        <v>11</v>
      </c>
      <c r="C49" t="s">
        <v>9</v>
      </c>
      <c r="D49" t="s">
        <v>10</v>
      </c>
    </row>
    <row r="50" spans="1:4" x14ac:dyDescent="0.25">
      <c r="A50" t="s">
        <v>4</v>
      </c>
      <c r="B50" t="s">
        <v>12</v>
      </c>
      <c r="C50" t="s">
        <v>13</v>
      </c>
      <c r="D50" t="s">
        <v>14</v>
      </c>
    </row>
    <row r="51" spans="1:4" x14ac:dyDescent="0.25">
      <c r="A51" t="s">
        <v>4</v>
      </c>
      <c r="B51" t="s">
        <v>15</v>
      </c>
      <c r="C51" t="s">
        <v>16</v>
      </c>
      <c r="D51" t="s">
        <v>17</v>
      </c>
    </row>
    <row r="52" spans="1:4" x14ac:dyDescent="0.25">
      <c r="A52" t="s">
        <v>4</v>
      </c>
      <c r="B52" t="s">
        <v>18</v>
      </c>
      <c r="C52" t="s">
        <v>19</v>
      </c>
      <c r="D52" t="s">
        <v>10</v>
      </c>
    </row>
    <row r="53" spans="1:4" x14ac:dyDescent="0.25">
      <c r="A53" t="s">
        <v>4</v>
      </c>
      <c r="B53" t="s">
        <v>20</v>
      </c>
      <c r="C53" t="s">
        <v>21</v>
      </c>
      <c r="D53" t="s">
        <v>22</v>
      </c>
    </row>
    <row r="54" spans="1:4" x14ac:dyDescent="0.25">
      <c r="A54" t="s">
        <v>4</v>
      </c>
      <c r="B54" t="s">
        <v>23</v>
      </c>
      <c r="C54" t="s">
        <v>24</v>
      </c>
      <c r="D54" t="s">
        <v>25</v>
      </c>
    </row>
    <row r="55" spans="1:4" x14ac:dyDescent="0.25">
      <c r="A55" t="s">
        <v>4</v>
      </c>
      <c r="B55" t="s">
        <v>26</v>
      </c>
      <c r="C55" t="s">
        <v>19</v>
      </c>
      <c r="D55" t="s">
        <v>10</v>
      </c>
    </row>
    <row r="56" spans="1:4" x14ac:dyDescent="0.25">
      <c r="A56" t="s">
        <v>4</v>
      </c>
      <c r="B56" t="s">
        <v>27</v>
      </c>
      <c r="C56" t="s">
        <v>19</v>
      </c>
      <c r="D56" t="s">
        <v>10</v>
      </c>
    </row>
    <row r="57" spans="1:4" x14ac:dyDescent="0.25">
      <c r="A57" t="s">
        <v>4</v>
      </c>
      <c r="B57" t="s">
        <v>28</v>
      </c>
      <c r="C57" t="s">
        <v>29</v>
      </c>
      <c r="D57" t="s">
        <v>30</v>
      </c>
    </row>
    <row r="58" spans="1:4" x14ac:dyDescent="0.25">
      <c r="A58" t="s">
        <v>4</v>
      </c>
      <c r="B58" t="s">
        <v>31</v>
      </c>
      <c r="C58" t="s">
        <v>13</v>
      </c>
      <c r="D58" t="s">
        <v>14</v>
      </c>
    </row>
    <row r="59" spans="1:4" x14ac:dyDescent="0.25">
      <c r="A59" t="s">
        <v>4</v>
      </c>
      <c r="B59" t="s">
        <v>32</v>
      </c>
      <c r="C59" t="s">
        <v>16</v>
      </c>
      <c r="D59" t="s">
        <v>17</v>
      </c>
    </row>
    <row r="60" spans="1:4" x14ac:dyDescent="0.25">
      <c r="A60" t="s">
        <v>4</v>
      </c>
      <c r="B60" t="s">
        <v>33</v>
      </c>
      <c r="C60" t="s">
        <v>9</v>
      </c>
      <c r="D60" t="s">
        <v>10</v>
      </c>
    </row>
    <row r="61" spans="1:4" x14ac:dyDescent="0.25">
      <c r="A61" t="s">
        <v>4</v>
      </c>
      <c r="B61" t="s">
        <v>34</v>
      </c>
      <c r="C61" t="s">
        <v>35</v>
      </c>
      <c r="D61" t="s">
        <v>22</v>
      </c>
    </row>
    <row r="62" spans="1:4" x14ac:dyDescent="0.25">
      <c r="A62" t="s">
        <v>4</v>
      </c>
      <c r="B62" t="s">
        <v>36</v>
      </c>
      <c r="C62" t="s">
        <v>37</v>
      </c>
      <c r="D62" t="s">
        <v>25</v>
      </c>
    </row>
    <row r="63" spans="1:4" x14ac:dyDescent="0.25">
      <c r="A63" t="s">
        <v>4</v>
      </c>
      <c r="B63" t="s">
        <v>38</v>
      </c>
      <c r="C63" t="s">
        <v>9</v>
      </c>
      <c r="D63" t="s">
        <v>10</v>
      </c>
    </row>
    <row r="64" spans="1:4" x14ac:dyDescent="0.25">
      <c r="A64" t="s">
        <v>4</v>
      </c>
      <c r="B64" t="s">
        <v>59</v>
      </c>
      <c r="C64" t="s">
        <v>29</v>
      </c>
      <c r="D64" t="s">
        <v>30</v>
      </c>
    </row>
    <row r="65" spans="1:4" x14ac:dyDescent="0.25">
      <c r="A65" t="s">
        <v>4</v>
      </c>
      <c r="B65" t="s">
        <v>60</v>
      </c>
      <c r="C65" t="s">
        <v>61</v>
      </c>
      <c r="D65" t="s">
        <v>62</v>
      </c>
    </row>
    <row r="66" spans="1:4" x14ac:dyDescent="0.25">
      <c r="A66" t="s">
        <v>4</v>
      </c>
      <c r="B66" t="s">
        <v>63</v>
      </c>
      <c r="C66" t="s">
        <v>64</v>
      </c>
      <c r="D66" t="s">
        <v>64</v>
      </c>
    </row>
    <row r="67" spans="1:4" x14ac:dyDescent="0.25">
      <c r="A67" t="s">
        <v>4</v>
      </c>
      <c r="B67" t="s">
        <v>65</v>
      </c>
      <c r="C67" t="s">
        <v>66</v>
      </c>
      <c r="D67" t="s">
        <v>67</v>
      </c>
    </row>
    <row r="68" spans="1:4" x14ac:dyDescent="0.25">
      <c r="A68" t="s">
        <v>4</v>
      </c>
      <c r="B68" t="s">
        <v>68</v>
      </c>
      <c r="C68" t="s">
        <v>69</v>
      </c>
      <c r="D68" t="s">
        <v>7</v>
      </c>
    </row>
    <row r="69" spans="1:4" x14ac:dyDescent="0.25">
      <c r="A69" t="s">
        <v>4</v>
      </c>
      <c r="B69" t="s">
        <v>70</v>
      </c>
      <c r="C69" t="s">
        <v>19</v>
      </c>
      <c r="D69" t="s">
        <v>10</v>
      </c>
    </row>
    <row r="70" spans="1:4" x14ac:dyDescent="0.25">
      <c r="A70" t="s">
        <v>4</v>
      </c>
      <c r="B70" t="s">
        <v>71</v>
      </c>
      <c r="C70" t="s">
        <v>19</v>
      </c>
      <c r="D70" t="s">
        <v>10</v>
      </c>
    </row>
    <row r="71" spans="1:4" x14ac:dyDescent="0.25">
      <c r="A71" t="s">
        <v>4</v>
      </c>
      <c r="B71" t="s">
        <v>85</v>
      </c>
      <c r="C71" t="s">
        <v>64</v>
      </c>
      <c r="D71" t="s">
        <v>64</v>
      </c>
    </row>
    <row r="72" spans="1:4" x14ac:dyDescent="0.25">
      <c r="A72" t="s">
        <v>4</v>
      </c>
      <c r="B72" t="s">
        <v>86</v>
      </c>
      <c r="C72" t="s">
        <v>87</v>
      </c>
      <c r="D72" t="s">
        <v>67</v>
      </c>
    </row>
    <row r="73" spans="1:4" x14ac:dyDescent="0.25">
      <c r="A73" t="s">
        <v>4</v>
      </c>
      <c r="B73" t="s">
        <v>88</v>
      </c>
      <c r="C73" t="s">
        <v>9</v>
      </c>
      <c r="D73" t="s">
        <v>10</v>
      </c>
    </row>
    <row r="74" spans="1:4" x14ac:dyDescent="0.25">
      <c r="A74" t="s">
        <v>4</v>
      </c>
      <c r="B74" t="s">
        <v>89</v>
      </c>
      <c r="C74" t="s">
        <v>29</v>
      </c>
      <c r="D74" t="s">
        <v>30</v>
      </c>
    </row>
    <row r="75" spans="1:4" x14ac:dyDescent="0.25">
      <c r="A75" t="s">
        <v>4</v>
      </c>
      <c r="B75" t="s">
        <v>90</v>
      </c>
      <c r="C75" t="s">
        <v>29</v>
      </c>
      <c r="D75" t="s">
        <v>30</v>
      </c>
    </row>
    <row r="76" spans="1:4" x14ac:dyDescent="0.25">
      <c r="A76" t="s">
        <v>4</v>
      </c>
      <c r="B76" t="s">
        <v>91</v>
      </c>
      <c r="C76" t="s">
        <v>61</v>
      </c>
      <c r="D76" t="s">
        <v>62</v>
      </c>
    </row>
    <row r="77" spans="1:4" x14ac:dyDescent="0.25">
      <c r="A77" t="s">
        <v>98</v>
      </c>
      <c r="B77" t="s">
        <v>99</v>
      </c>
      <c r="C77" t="s">
        <v>100</v>
      </c>
      <c r="D77" t="s">
        <v>101</v>
      </c>
    </row>
    <row r="78" spans="1:4" x14ac:dyDescent="0.25">
      <c r="A78" t="s">
        <v>98</v>
      </c>
      <c r="B78" t="s">
        <v>102</v>
      </c>
      <c r="C78" t="s">
        <v>103</v>
      </c>
      <c r="D78" t="s">
        <v>104</v>
      </c>
    </row>
    <row r="79" spans="1:4" x14ac:dyDescent="0.25">
      <c r="A79" t="s">
        <v>98</v>
      </c>
      <c r="B79" t="s">
        <v>105</v>
      </c>
      <c r="C79" t="s">
        <v>100</v>
      </c>
      <c r="D79" t="s">
        <v>101</v>
      </c>
    </row>
    <row r="80" spans="1:4" x14ac:dyDescent="0.25">
      <c r="A80" t="s">
        <v>98</v>
      </c>
      <c r="B80" t="s">
        <v>106</v>
      </c>
      <c r="C80" t="s">
        <v>107</v>
      </c>
      <c r="D80" t="s">
        <v>108</v>
      </c>
    </row>
    <row r="81" spans="1:4" x14ac:dyDescent="0.25">
      <c r="A81" t="s">
        <v>98</v>
      </c>
      <c r="B81" t="s">
        <v>109</v>
      </c>
      <c r="C81" t="s">
        <v>110</v>
      </c>
      <c r="D81" t="s">
        <v>111</v>
      </c>
    </row>
    <row r="82" spans="1:4" x14ac:dyDescent="0.25">
      <c r="A82" t="s">
        <v>98</v>
      </c>
      <c r="B82" t="s">
        <v>112</v>
      </c>
      <c r="C82" t="s">
        <v>113</v>
      </c>
      <c r="D82" t="s">
        <v>114</v>
      </c>
    </row>
    <row r="83" spans="1:4" x14ac:dyDescent="0.25">
      <c r="A83" t="s">
        <v>98</v>
      </c>
      <c r="B83" t="s">
        <v>115</v>
      </c>
      <c r="C83" t="s">
        <v>116</v>
      </c>
      <c r="D83" t="s">
        <v>117</v>
      </c>
    </row>
    <row r="84" spans="1:4" x14ac:dyDescent="0.25">
      <c r="A84" t="s">
        <v>98</v>
      </c>
      <c r="B84" t="s">
        <v>118</v>
      </c>
      <c r="C84" t="s">
        <v>119</v>
      </c>
      <c r="D84" t="s">
        <v>120</v>
      </c>
    </row>
    <row r="85" spans="1:4" x14ac:dyDescent="0.25">
      <c r="A85" t="s">
        <v>39</v>
      </c>
      <c r="B85" t="s">
        <v>40</v>
      </c>
      <c r="C85" t="s">
        <v>41</v>
      </c>
      <c r="D85" t="s">
        <v>42</v>
      </c>
    </row>
    <row r="86" spans="1:4" x14ac:dyDescent="0.25">
      <c r="A86" t="s">
        <v>39</v>
      </c>
      <c r="B86" t="s">
        <v>43</v>
      </c>
      <c r="C86" t="s">
        <v>29</v>
      </c>
      <c r="D86" t="s">
        <v>44</v>
      </c>
    </row>
    <row r="87" spans="1:4" x14ac:dyDescent="0.25">
      <c r="A87" t="s">
        <v>39</v>
      </c>
      <c r="B87" t="s">
        <v>121</v>
      </c>
      <c r="C87" t="s">
        <v>41</v>
      </c>
      <c r="D87" t="s">
        <v>42</v>
      </c>
    </row>
    <row r="88" spans="1:4" x14ac:dyDescent="0.25">
      <c r="A88" t="s">
        <v>39</v>
      </c>
      <c r="B88" t="s">
        <v>122</v>
      </c>
      <c r="C88" t="s">
        <v>123</v>
      </c>
      <c r="D88" t="s">
        <v>124</v>
      </c>
    </row>
    <row r="89" spans="1:4" x14ac:dyDescent="0.25">
      <c r="A89" t="s">
        <v>39</v>
      </c>
      <c r="B89" t="s">
        <v>129</v>
      </c>
      <c r="C89" t="s">
        <v>130</v>
      </c>
      <c r="D89" t="s">
        <v>131</v>
      </c>
    </row>
    <row r="90" spans="1:4" x14ac:dyDescent="0.25">
      <c r="A90" t="s">
        <v>39</v>
      </c>
      <c r="B90" t="s">
        <v>132</v>
      </c>
      <c r="C90" t="s">
        <v>130</v>
      </c>
      <c r="D90" t="s">
        <v>131</v>
      </c>
    </row>
    <row r="91" spans="1:4" x14ac:dyDescent="0.25">
      <c r="A91" t="s">
        <v>39</v>
      </c>
      <c r="B91" t="s">
        <v>133</v>
      </c>
      <c r="C91" t="s">
        <v>41</v>
      </c>
      <c r="D91" t="s">
        <v>42</v>
      </c>
    </row>
    <row r="92" spans="1:4" x14ac:dyDescent="0.25">
      <c r="A92" t="s">
        <v>39</v>
      </c>
      <c r="B92" t="s">
        <v>134</v>
      </c>
      <c r="C92" t="s">
        <v>29</v>
      </c>
      <c r="D92" t="s">
        <v>44</v>
      </c>
    </row>
    <row r="93" spans="1:4" x14ac:dyDescent="0.25">
      <c r="A93" t="s">
        <v>39</v>
      </c>
      <c r="B93" t="s">
        <v>135</v>
      </c>
      <c r="C93" t="s">
        <v>130</v>
      </c>
      <c r="D93" t="s">
        <v>131</v>
      </c>
    </row>
    <row r="94" spans="1:4" x14ac:dyDescent="0.25">
      <c r="A94" t="s">
        <v>39</v>
      </c>
      <c r="B94" t="s">
        <v>136</v>
      </c>
      <c r="C94" t="s">
        <v>130</v>
      </c>
      <c r="D94" t="s">
        <v>131</v>
      </c>
    </row>
    <row r="95" spans="1:4" x14ac:dyDescent="0.25">
      <c r="A95" t="s">
        <v>39</v>
      </c>
      <c r="B95" t="s">
        <v>137</v>
      </c>
      <c r="C95" t="s">
        <v>29</v>
      </c>
      <c r="D95" t="s">
        <v>44</v>
      </c>
    </row>
    <row r="96" spans="1:4" x14ac:dyDescent="0.25">
      <c r="A96" t="s">
        <v>39</v>
      </c>
      <c r="B96" t="s">
        <v>138</v>
      </c>
      <c r="C96" t="s">
        <v>29</v>
      </c>
      <c r="D96" t="s">
        <v>44</v>
      </c>
    </row>
  </sheetData>
  <autoFilter ref="A1:D96">
    <sortState ref="A2:D113">
      <sortCondition ref="A1:A113"/>
    </sortState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E266"/>
  <sheetViews>
    <sheetView workbookViewId="0">
      <selection activeCell="D122" sqref="D122"/>
    </sheetView>
  </sheetViews>
  <sheetFormatPr defaultRowHeight="15" x14ac:dyDescent="0.25"/>
  <cols>
    <col min="2" max="2" width="4" customWidth="1"/>
    <col min="3" max="3" width="33.42578125" bestFit="1" customWidth="1"/>
    <col min="4" max="4" width="33" bestFit="1" customWidth="1"/>
  </cols>
  <sheetData>
    <row r="1" spans="1:31" x14ac:dyDescent="0.25">
      <c r="A1" s="1" t="s">
        <v>152</v>
      </c>
      <c r="B1" s="1" t="s">
        <v>153</v>
      </c>
      <c r="C1" s="1" t="s">
        <v>154</v>
      </c>
      <c r="D1" s="1" t="s">
        <v>155</v>
      </c>
      <c r="E1" s="1"/>
      <c r="F1" s="1"/>
      <c r="G1" s="1" t="s">
        <v>156</v>
      </c>
      <c r="H1" s="1" t="s">
        <v>157</v>
      </c>
      <c r="I1" s="1" t="s">
        <v>158</v>
      </c>
      <c r="J1" s="1" t="s">
        <v>159</v>
      </c>
      <c r="K1" s="1" t="s">
        <v>160</v>
      </c>
      <c r="L1" s="1" t="s">
        <v>161</v>
      </c>
      <c r="M1" s="1" t="s">
        <v>162</v>
      </c>
      <c r="N1" s="1" t="s">
        <v>163</v>
      </c>
      <c r="O1" s="1" t="s">
        <v>164</v>
      </c>
      <c r="P1" s="1" t="s">
        <v>165</v>
      </c>
      <c r="Q1" s="1" t="s">
        <v>166</v>
      </c>
      <c r="R1" s="1" t="s">
        <v>167</v>
      </c>
      <c r="S1" s="1" t="s">
        <v>168</v>
      </c>
      <c r="T1" s="1" t="s">
        <v>169</v>
      </c>
      <c r="U1" s="1" t="s">
        <v>170</v>
      </c>
      <c r="V1" s="1" t="s">
        <v>171</v>
      </c>
      <c r="W1" s="1" t="s">
        <v>172</v>
      </c>
      <c r="X1" s="1" t="s">
        <v>173</v>
      </c>
      <c r="Y1" s="1" t="s">
        <v>174</v>
      </c>
      <c r="Z1" s="1" t="s">
        <v>175</v>
      </c>
      <c r="AA1" s="1" t="s">
        <v>176</v>
      </c>
      <c r="AB1" s="1" t="s">
        <v>177</v>
      </c>
      <c r="AC1" s="1" t="s">
        <v>178</v>
      </c>
      <c r="AD1" s="1" t="s">
        <v>179</v>
      </c>
      <c r="AE1" s="1" t="s">
        <v>180</v>
      </c>
    </row>
    <row r="2" spans="1:31" hidden="1" x14ac:dyDescent="0.25">
      <c r="A2" s="1" t="s">
        <v>1907</v>
      </c>
      <c r="B2" s="1" t="s">
        <v>1908</v>
      </c>
      <c r="C2" s="1" t="s">
        <v>181</v>
      </c>
      <c r="D2" s="1" t="s">
        <v>182</v>
      </c>
      <c r="E2" s="1" t="str">
        <f>+B2</f>
        <v>004</v>
      </c>
      <c r="F2" s="1"/>
      <c r="G2" s="1" t="s">
        <v>183</v>
      </c>
      <c r="H2" s="1" t="s">
        <v>184</v>
      </c>
      <c r="I2" s="1" t="s">
        <v>185</v>
      </c>
      <c r="J2" s="1" t="s">
        <v>186</v>
      </c>
      <c r="K2" s="1" t="s">
        <v>187</v>
      </c>
      <c r="L2" s="1"/>
      <c r="M2" s="1" t="s">
        <v>105</v>
      </c>
      <c r="N2" s="1"/>
      <c r="O2" s="1"/>
      <c r="P2" s="1"/>
      <c r="Q2" s="1" t="s">
        <v>188</v>
      </c>
      <c r="R2" s="1"/>
      <c r="S2" s="1" t="s">
        <v>1909</v>
      </c>
      <c r="T2" s="1"/>
      <c r="U2" s="1" t="s">
        <v>189</v>
      </c>
      <c r="V2" s="1"/>
      <c r="W2" s="1"/>
      <c r="X2" s="1" t="s">
        <v>190</v>
      </c>
      <c r="Y2" s="1"/>
      <c r="Z2" s="1" t="s">
        <v>1910</v>
      </c>
      <c r="AA2" s="1" t="s">
        <v>191</v>
      </c>
      <c r="AB2" s="1" t="s">
        <v>192</v>
      </c>
      <c r="AC2" s="1"/>
      <c r="AD2" s="1" t="s">
        <v>1911</v>
      </c>
      <c r="AE2" s="1" t="s">
        <v>1912</v>
      </c>
    </row>
    <row r="3" spans="1:31" hidden="1" x14ac:dyDescent="0.25">
      <c r="A3" s="1" t="s">
        <v>1907</v>
      </c>
      <c r="B3" s="1" t="s">
        <v>1913</v>
      </c>
      <c r="C3" s="1" t="s">
        <v>193</v>
      </c>
      <c r="D3" s="1" t="s">
        <v>193</v>
      </c>
      <c r="E3" s="1" t="str">
        <f t="shared" ref="E3:E66" si="0">+B3</f>
        <v>008</v>
      </c>
      <c r="F3" s="1"/>
      <c r="G3" s="1" t="s">
        <v>194</v>
      </c>
      <c r="H3" s="1" t="s">
        <v>184</v>
      </c>
      <c r="I3" s="1" t="s">
        <v>195</v>
      </c>
      <c r="J3" s="1" t="s">
        <v>196</v>
      </c>
      <c r="K3" s="1" t="s">
        <v>197</v>
      </c>
      <c r="L3" s="1"/>
      <c r="M3" s="1" t="s">
        <v>106</v>
      </c>
      <c r="N3" s="1"/>
      <c r="O3" s="1"/>
      <c r="P3" s="1" t="s">
        <v>198</v>
      </c>
      <c r="Q3" s="1" t="s">
        <v>199</v>
      </c>
      <c r="R3" s="1"/>
      <c r="S3" s="1" t="s">
        <v>1909</v>
      </c>
      <c r="T3" s="1"/>
      <c r="U3" s="1" t="s">
        <v>200</v>
      </c>
      <c r="V3" s="1"/>
      <c r="W3" s="1" t="s">
        <v>201</v>
      </c>
      <c r="X3" s="1" t="s">
        <v>201</v>
      </c>
      <c r="Y3" s="1"/>
      <c r="Z3" s="1" t="s">
        <v>1910</v>
      </c>
      <c r="AA3" s="1" t="s">
        <v>202</v>
      </c>
      <c r="AB3" s="1" t="s">
        <v>192</v>
      </c>
      <c r="AC3" s="1"/>
      <c r="AD3" s="1" t="s">
        <v>1911</v>
      </c>
      <c r="AE3" s="1" t="s">
        <v>1912</v>
      </c>
    </row>
    <row r="4" spans="1:31" hidden="1" x14ac:dyDescent="0.25">
      <c r="A4" s="1" t="s">
        <v>1907</v>
      </c>
      <c r="B4" s="1" t="s">
        <v>1914</v>
      </c>
      <c r="C4" s="1" t="s">
        <v>203</v>
      </c>
      <c r="D4" s="1" t="s">
        <v>204</v>
      </c>
      <c r="E4" s="1" t="str">
        <f t="shared" si="0"/>
        <v>010</v>
      </c>
      <c r="F4" s="1"/>
      <c r="G4" s="1" t="s">
        <v>205</v>
      </c>
      <c r="H4" s="1" t="s">
        <v>184</v>
      </c>
      <c r="I4" s="1" t="s">
        <v>206</v>
      </c>
      <c r="J4" s="1" t="s">
        <v>207</v>
      </c>
      <c r="K4" s="1" t="s">
        <v>208</v>
      </c>
      <c r="L4" s="1"/>
      <c r="M4" s="1" t="s">
        <v>105</v>
      </c>
      <c r="N4" s="1"/>
      <c r="O4" s="1"/>
      <c r="P4" s="1"/>
      <c r="Q4" s="1" t="s">
        <v>209</v>
      </c>
      <c r="R4" s="1"/>
      <c r="S4" s="1" t="s">
        <v>1909</v>
      </c>
      <c r="T4" s="1"/>
      <c r="U4" s="1" t="s">
        <v>210</v>
      </c>
      <c r="V4" s="1"/>
      <c r="W4" s="1"/>
      <c r="X4" s="1"/>
      <c r="Y4" s="1"/>
      <c r="Z4" s="1" t="s">
        <v>1910</v>
      </c>
      <c r="AA4" s="1" t="s">
        <v>191</v>
      </c>
      <c r="AB4" s="1" t="s">
        <v>192</v>
      </c>
      <c r="AC4" s="1"/>
      <c r="AD4" s="1" t="s">
        <v>1911</v>
      </c>
      <c r="AE4" s="1" t="s">
        <v>1912</v>
      </c>
    </row>
    <row r="5" spans="1:31" hidden="1" x14ac:dyDescent="0.25">
      <c r="A5" s="1" t="s">
        <v>1907</v>
      </c>
      <c r="B5" s="1" t="s">
        <v>1915</v>
      </c>
      <c r="C5" s="1" t="s">
        <v>211</v>
      </c>
      <c r="D5" s="1" t="s">
        <v>212</v>
      </c>
      <c r="E5" s="1" t="str">
        <f t="shared" si="0"/>
        <v>012</v>
      </c>
      <c r="F5" s="1"/>
      <c r="G5" s="1" t="s">
        <v>213</v>
      </c>
      <c r="H5" s="1" t="s">
        <v>184</v>
      </c>
      <c r="I5" s="1" t="s">
        <v>214</v>
      </c>
      <c r="J5" s="1" t="s">
        <v>215</v>
      </c>
      <c r="K5" s="1" t="s">
        <v>197</v>
      </c>
      <c r="L5" s="1"/>
      <c r="M5" s="1" t="s">
        <v>105</v>
      </c>
      <c r="N5" s="1"/>
      <c r="O5" s="1"/>
      <c r="P5" s="1"/>
      <c r="Q5" s="1" t="s">
        <v>216</v>
      </c>
      <c r="R5" s="1"/>
      <c r="S5" s="1" t="s">
        <v>1909</v>
      </c>
      <c r="T5" s="1"/>
      <c r="U5" s="1" t="s">
        <v>217</v>
      </c>
      <c r="V5" s="1"/>
      <c r="W5" s="1"/>
      <c r="X5" s="1"/>
      <c r="Y5" s="1" t="s">
        <v>218</v>
      </c>
      <c r="Z5" s="1" t="s">
        <v>1910</v>
      </c>
      <c r="AA5" s="1" t="s">
        <v>191</v>
      </c>
      <c r="AB5" s="1" t="s">
        <v>192</v>
      </c>
      <c r="AC5" s="1"/>
      <c r="AD5" s="1" t="s">
        <v>1911</v>
      </c>
      <c r="AE5" s="1" t="s">
        <v>1912</v>
      </c>
    </row>
    <row r="6" spans="1:31" hidden="1" x14ac:dyDescent="0.25">
      <c r="A6" s="1" t="s">
        <v>1907</v>
      </c>
      <c r="B6" s="1" t="s">
        <v>1916</v>
      </c>
      <c r="C6" s="1" t="s">
        <v>219</v>
      </c>
      <c r="D6" s="1" t="s">
        <v>220</v>
      </c>
      <c r="E6" s="1" t="str">
        <f t="shared" si="0"/>
        <v>016</v>
      </c>
      <c r="F6" s="1"/>
      <c r="G6" s="1" t="s">
        <v>221</v>
      </c>
      <c r="H6" s="1" t="s">
        <v>222</v>
      </c>
      <c r="I6" s="1" t="s">
        <v>223</v>
      </c>
      <c r="J6" s="1" t="s">
        <v>224</v>
      </c>
      <c r="K6" s="1" t="s">
        <v>225</v>
      </c>
      <c r="L6" s="1"/>
      <c r="M6" s="1" t="s">
        <v>105</v>
      </c>
      <c r="N6" s="1"/>
      <c r="O6" s="1"/>
      <c r="P6" s="1"/>
      <c r="Q6" s="1" t="s">
        <v>226</v>
      </c>
      <c r="R6" s="1"/>
      <c r="S6" s="1" t="s">
        <v>1909</v>
      </c>
      <c r="T6" s="1"/>
      <c r="U6" s="1" t="s">
        <v>189</v>
      </c>
      <c r="V6" s="1"/>
      <c r="W6" s="1" t="s">
        <v>201</v>
      </c>
      <c r="X6" s="1" t="s">
        <v>227</v>
      </c>
      <c r="Y6" s="1"/>
      <c r="Z6" s="1" t="s">
        <v>1910</v>
      </c>
      <c r="AA6" s="1" t="s">
        <v>228</v>
      </c>
      <c r="AB6" s="1" t="s">
        <v>192</v>
      </c>
      <c r="AC6" s="1"/>
      <c r="AD6" s="1" t="s">
        <v>1911</v>
      </c>
      <c r="AE6" s="1" t="s">
        <v>1912</v>
      </c>
    </row>
    <row r="7" spans="1:31" hidden="1" x14ac:dyDescent="0.25">
      <c r="A7" s="1" t="s">
        <v>1907</v>
      </c>
      <c r="B7" s="1" t="s">
        <v>126</v>
      </c>
      <c r="C7" s="1" t="s">
        <v>229</v>
      </c>
      <c r="D7" s="1" t="s">
        <v>229</v>
      </c>
      <c r="E7" s="1" t="str">
        <f t="shared" si="0"/>
        <v>020</v>
      </c>
      <c r="F7" s="1"/>
      <c r="G7" s="1" t="s">
        <v>230</v>
      </c>
      <c r="H7" s="1" t="s">
        <v>184</v>
      </c>
      <c r="I7" s="1" t="s">
        <v>231</v>
      </c>
      <c r="J7" s="1" t="s">
        <v>232</v>
      </c>
      <c r="K7" s="1" t="s">
        <v>233</v>
      </c>
      <c r="L7" s="1"/>
      <c r="M7" s="1" t="s">
        <v>106</v>
      </c>
      <c r="N7" s="1" t="s">
        <v>234</v>
      </c>
      <c r="O7" s="1" t="s">
        <v>235</v>
      </c>
      <c r="P7" s="1" t="s">
        <v>198</v>
      </c>
      <c r="Q7" s="1" t="s">
        <v>236</v>
      </c>
      <c r="R7" s="1"/>
      <c r="S7" s="1" t="s">
        <v>1909</v>
      </c>
      <c r="T7" s="1" t="s">
        <v>237</v>
      </c>
      <c r="U7" s="1" t="s">
        <v>210</v>
      </c>
      <c r="V7" s="1"/>
      <c r="W7" s="1" t="s">
        <v>201</v>
      </c>
      <c r="X7" s="1" t="s">
        <v>238</v>
      </c>
      <c r="Y7" s="1" t="s">
        <v>239</v>
      </c>
      <c r="Z7" s="1" t="s">
        <v>1910</v>
      </c>
      <c r="AA7" s="1" t="s">
        <v>240</v>
      </c>
      <c r="AB7" s="1" t="s">
        <v>192</v>
      </c>
      <c r="AC7" s="1"/>
      <c r="AD7" s="1" t="s">
        <v>1911</v>
      </c>
      <c r="AE7" s="1" t="s">
        <v>1912</v>
      </c>
    </row>
    <row r="8" spans="1:31" hidden="1" x14ac:dyDescent="0.25">
      <c r="A8" s="1" t="s">
        <v>1907</v>
      </c>
      <c r="B8" s="1" t="s">
        <v>1917</v>
      </c>
      <c r="C8" s="1" t="s">
        <v>241</v>
      </c>
      <c r="D8" s="1" t="s">
        <v>241</v>
      </c>
      <c r="E8" s="1" t="str">
        <f t="shared" si="0"/>
        <v>024</v>
      </c>
      <c r="F8" s="1"/>
      <c r="G8" s="1" t="s">
        <v>242</v>
      </c>
      <c r="H8" s="1" t="s">
        <v>184</v>
      </c>
      <c r="I8" s="1" t="s">
        <v>243</v>
      </c>
      <c r="J8" s="1" t="s">
        <v>244</v>
      </c>
      <c r="K8" s="1" t="s">
        <v>197</v>
      </c>
      <c r="L8" s="1" t="s">
        <v>198</v>
      </c>
      <c r="M8" s="1" t="s">
        <v>105</v>
      </c>
      <c r="N8" s="1"/>
      <c r="O8" s="1"/>
      <c r="P8" s="1"/>
      <c r="Q8" s="1" t="s">
        <v>245</v>
      </c>
      <c r="R8" s="1"/>
      <c r="S8" s="1" t="s">
        <v>1909</v>
      </c>
      <c r="T8" s="1" t="s">
        <v>246</v>
      </c>
      <c r="U8" s="1" t="s">
        <v>200</v>
      </c>
      <c r="V8" s="1"/>
      <c r="W8" s="1" t="s">
        <v>201</v>
      </c>
      <c r="X8" s="1" t="s">
        <v>201</v>
      </c>
      <c r="Y8" s="1" t="s">
        <v>247</v>
      </c>
      <c r="Z8" s="1" t="s">
        <v>1910</v>
      </c>
      <c r="AA8" s="1" t="s">
        <v>228</v>
      </c>
      <c r="AB8" s="1" t="s">
        <v>248</v>
      </c>
      <c r="AC8" s="1"/>
      <c r="AD8" s="1" t="s">
        <v>1911</v>
      </c>
      <c r="AE8" s="1" t="s">
        <v>1912</v>
      </c>
    </row>
    <row r="9" spans="1:31" hidden="1" x14ac:dyDescent="0.25">
      <c r="A9" s="1" t="s">
        <v>1907</v>
      </c>
      <c r="B9" s="1" t="s">
        <v>1918</v>
      </c>
      <c r="C9" s="1" t="s">
        <v>249</v>
      </c>
      <c r="D9" s="1" t="s">
        <v>250</v>
      </c>
      <c r="E9" s="1" t="str">
        <f t="shared" si="0"/>
        <v>028</v>
      </c>
      <c r="F9" s="1"/>
      <c r="G9" s="1" t="s">
        <v>251</v>
      </c>
      <c r="H9" s="1" t="s">
        <v>222</v>
      </c>
      <c r="I9" s="1" t="s">
        <v>252</v>
      </c>
      <c r="J9" s="1" t="s">
        <v>253</v>
      </c>
      <c r="K9" s="1" t="s">
        <v>233</v>
      </c>
      <c r="L9" s="1"/>
      <c r="M9" s="1" t="s">
        <v>105</v>
      </c>
      <c r="N9" s="1"/>
      <c r="O9" s="1"/>
      <c r="P9" s="1"/>
      <c r="Q9" s="1" t="s">
        <v>254</v>
      </c>
      <c r="R9" s="1"/>
      <c r="S9" s="1" t="s">
        <v>1909</v>
      </c>
      <c r="T9" s="1"/>
      <c r="U9" s="1" t="s">
        <v>189</v>
      </c>
      <c r="V9" s="1"/>
      <c r="W9" s="1" t="s">
        <v>201</v>
      </c>
      <c r="X9" s="1" t="s">
        <v>227</v>
      </c>
      <c r="Y9" s="1"/>
      <c r="Z9" s="1" t="s">
        <v>1910</v>
      </c>
      <c r="AA9" s="1" t="s">
        <v>191</v>
      </c>
      <c r="AB9" s="1" t="s">
        <v>192</v>
      </c>
      <c r="AC9" s="1"/>
      <c r="AD9" s="1" t="s">
        <v>1911</v>
      </c>
      <c r="AE9" s="1" t="s">
        <v>1912</v>
      </c>
    </row>
    <row r="10" spans="1:31" hidden="1" x14ac:dyDescent="0.25">
      <c r="A10" s="1" t="s">
        <v>1907</v>
      </c>
      <c r="B10" s="1" t="s">
        <v>1919</v>
      </c>
      <c r="C10" s="1" t="s">
        <v>255</v>
      </c>
      <c r="D10" s="1" t="s">
        <v>256</v>
      </c>
      <c r="E10" s="1" t="str">
        <f t="shared" si="0"/>
        <v>031</v>
      </c>
      <c r="F10" s="1"/>
      <c r="G10" s="1" t="s">
        <v>257</v>
      </c>
      <c r="H10" s="1" t="s">
        <v>222</v>
      </c>
      <c r="I10" s="1" t="s">
        <v>258</v>
      </c>
      <c r="J10" s="1" t="s">
        <v>259</v>
      </c>
      <c r="K10" s="1" t="s">
        <v>197</v>
      </c>
      <c r="L10" s="1"/>
      <c r="M10" s="1" t="s">
        <v>105</v>
      </c>
      <c r="N10" s="1"/>
      <c r="O10" s="1"/>
      <c r="P10" s="1"/>
      <c r="Q10" s="1" t="s">
        <v>260</v>
      </c>
      <c r="R10" s="1"/>
      <c r="S10" s="1" t="s">
        <v>1909</v>
      </c>
      <c r="T10" s="1" t="s">
        <v>261</v>
      </c>
      <c r="U10" s="1" t="s">
        <v>217</v>
      </c>
      <c r="V10" s="1"/>
      <c r="W10" s="1"/>
      <c r="X10" s="1"/>
      <c r="Y10" s="1"/>
      <c r="Z10" s="1" t="s">
        <v>1910</v>
      </c>
      <c r="AA10" s="1" t="s">
        <v>262</v>
      </c>
      <c r="AB10" s="1" t="s">
        <v>192</v>
      </c>
      <c r="AC10" s="1"/>
      <c r="AD10" s="1" t="s">
        <v>1911</v>
      </c>
      <c r="AE10" s="1" t="s">
        <v>1912</v>
      </c>
    </row>
    <row r="11" spans="1:31" hidden="1" x14ac:dyDescent="0.25">
      <c r="A11" s="1" t="s">
        <v>1907</v>
      </c>
      <c r="B11" s="1" t="s">
        <v>1920</v>
      </c>
      <c r="C11" s="1" t="s">
        <v>263</v>
      </c>
      <c r="D11" s="1" t="s">
        <v>263</v>
      </c>
      <c r="E11" s="1" t="str">
        <f t="shared" si="0"/>
        <v>032</v>
      </c>
      <c r="F11" s="1"/>
      <c r="G11" s="1" t="s">
        <v>264</v>
      </c>
      <c r="H11" s="1" t="s">
        <v>184</v>
      </c>
      <c r="I11" s="1" t="s">
        <v>265</v>
      </c>
      <c r="J11" s="1" t="s">
        <v>266</v>
      </c>
      <c r="K11" s="1" t="s">
        <v>267</v>
      </c>
      <c r="L11" s="1" t="s">
        <v>198</v>
      </c>
      <c r="M11" s="1" t="s">
        <v>105</v>
      </c>
      <c r="N11" s="1" t="s">
        <v>268</v>
      </c>
      <c r="O11" s="1"/>
      <c r="P11" s="1"/>
      <c r="Q11" s="1" t="s">
        <v>269</v>
      </c>
      <c r="R11" s="1"/>
      <c r="S11" s="1" t="s">
        <v>1909</v>
      </c>
      <c r="T11" s="1" t="s">
        <v>270</v>
      </c>
      <c r="U11" s="1" t="s">
        <v>200</v>
      </c>
      <c r="V11" s="1"/>
      <c r="W11" s="1"/>
      <c r="X11" s="1"/>
      <c r="Y11" s="1"/>
      <c r="Z11" s="1" t="s">
        <v>1910</v>
      </c>
      <c r="AA11" s="1" t="s">
        <v>191</v>
      </c>
      <c r="AB11" s="1" t="s">
        <v>192</v>
      </c>
      <c r="AC11" s="1"/>
      <c r="AD11" s="1" t="s">
        <v>1911</v>
      </c>
      <c r="AE11" s="1" t="s">
        <v>1912</v>
      </c>
    </row>
    <row r="12" spans="1:31" hidden="1" x14ac:dyDescent="0.25">
      <c r="A12" s="1" t="s">
        <v>1907</v>
      </c>
      <c r="B12" s="1" t="s">
        <v>127</v>
      </c>
      <c r="C12" s="1" t="s">
        <v>271</v>
      </c>
      <c r="D12" s="1" t="s">
        <v>271</v>
      </c>
      <c r="E12" s="1" t="str">
        <f t="shared" si="0"/>
        <v>036</v>
      </c>
      <c r="F12" s="1"/>
      <c r="G12" s="1" t="s">
        <v>272</v>
      </c>
      <c r="H12" s="1" t="s">
        <v>184</v>
      </c>
      <c r="I12" s="1" t="s">
        <v>273</v>
      </c>
      <c r="J12" s="1" t="s">
        <v>274</v>
      </c>
      <c r="K12" s="1" t="s">
        <v>275</v>
      </c>
      <c r="L12" s="1"/>
      <c r="M12" s="1" t="s">
        <v>105</v>
      </c>
      <c r="N12" s="1"/>
      <c r="O12" s="1"/>
      <c r="P12" s="1"/>
      <c r="Q12" s="1" t="s">
        <v>276</v>
      </c>
      <c r="R12" s="1" t="s">
        <v>276</v>
      </c>
      <c r="S12" s="1" t="s">
        <v>1909</v>
      </c>
      <c r="T12" s="1" t="s">
        <v>277</v>
      </c>
      <c r="U12" s="1" t="s">
        <v>1910</v>
      </c>
      <c r="V12" s="1"/>
      <c r="W12" s="1"/>
      <c r="X12" s="1"/>
      <c r="Y12" s="1"/>
      <c r="Z12" s="1" t="s">
        <v>1910</v>
      </c>
      <c r="AA12" s="1" t="s">
        <v>191</v>
      </c>
      <c r="AB12" s="1" t="s">
        <v>192</v>
      </c>
      <c r="AC12" s="1"/>
      <c r="AD12" s="1" t="s">
        <v>1911</v>
      </c>
      <c r="AE12" s="1" t="s">
        <v>1912</v>
      </c>
    </row>
    <row r="13" spans="1:31" hidden="1" x14ac:dyDescent="0.25">
      <c r="A13" s="1" t="s">
        <v>1907</v>
      </c>
      <c r="B13" s="1" t="s">
        <v>52</v>
      </c>
      <c r="C13" s="1" t="s">
        <v>278</v>
      </c>
      <c r="D13" s="1" t="s">
        <v>278</v>
      </c>
      <c r="E13" s="1" t="str">
        <f t="shared" si="0"/>
        <v>040</v>
      </c>
      <c r="F13" s="1"/>
      <c r="G13" s="1" t="s">
        <v>279</v>
      </c>
      <c r="H13" s="1" t="s">
        <v>184</v>
      </c>
      <c r="I13" s="1" t="s">
        <v>280</v>
      </c>
      <c r="J13" s="1" t="s">
        <v>281</v>
      </c>
      <c r="K13" s="1" t="s">
        <v>275</v>
      </c>
      <c r="L13" s="1"/>
      <c r="M13" s="1" t="s">
        <v>109</v>
      </c>
      <c r="N13" s="1" t="s">
        <v>282</v>
      </c>
      <c r="O13" s="1" t="s">
        <v>283</v>
      </c>
      <c r="P13" s="1" t="s">
        <v>284</v>
      </c>
      <c r="Q13" s="1" t="s">
        <v>285</v>
      </c>
      <c r="R13" s="1" t="s">
        <v>285</v>
      </c>
      <c r="S13" s="1" t="s">
        <v>1909</v>
      </c>
      <c r="T13" s="1" t="s">
        <v>286</v>
      </c>
      <c r="U13" s="1" t="s">
        <v>1910</v>
      </c>
      <c r="V13" s="1"/>
      <c r="W13" s="1" t="s">
        <v>198</v>
      </c>
      <c r="X13" s="1" t="s">
        <v>284</v>
      </c>
      <c r="Y13" s="1" t="s">
        <v>239</v>
      </c>
      <c r="Z13" s="1" t="s">
        <v>1910</v>
      </c>
      <c r="AA13" s="1" t="s">
        <v>287</v>
      </c>
      <c r="AB13" s="1" t="s">
        <v>192</v>
      </c>
      <c r="AC13" s="1"/>
      <c r="AD13" s="1" t="s">
        <v>1911</v>
      </c>
      <c r="AE13" s="1" t="s">
        <v>1912</v>
      </c>
    </row>
    <row r="14" spans="1:31" hidden="1" x14ac:dyDescent="0.25">
      <c r="A14" s="1" t="s">
        <v>1907</v>
      </c>
      <c r="B14" s="1" t="s">
        <v>1921</v>
      </c>
      <c r="C14" s="1" t="s">
        <v>288</v>
      </c>
      <c r="D14" s="1" t="s">
        <v>288</v>
      </c>
      <c r="E14" s="1" t="str">
        <f t="shared" si="0"/>
        <v>044</v>
      </c>
      <c r="F14" s="1"/>
      <c r="G14" s="1" t="s">
        <v>289</v>
      </c>
      <c r="H14" s="1" t="s">
        <v>222</v>
      </c>
      <c r="I14" s="1" t="s">
        <v>290</v>
      </c>
      <c r="J14" s="1" t="s">
        <v>291</v>
      </c>
      <c r="K14" s="1" t="s">
        <v>233</v>
      </c>
      <c r="L14" s="1"/>
      <c r="M14" s="1" t="s">
        <v>105</v>
      </c>
      <c r="N14" s="1"/>
      <c r="O14" s="1"/>
      <c r="P14" s="1"/>
      <c r="Q14" s="1" t="s">
        <v>292</v>
      </c>
      <c r="R14" s="1"/>
      <c r="S14" s="1" t="s">
        <v>1909</v>
      </c>
      <c r="T14" s="1" t="s">
        <v>293</v>
      </c>
      <c r="U14" s="1" t="s">
        <v>200</v>
      </c>
      <c r="V14" s="1"/>
      <c r="W14" s="1" t="s">
        <v>201</v>
      </c>
      <c r="X14" s="1" t="s">
        <v>227</v>
      </c>
      <c r="Y14" s="1"/>
      <c r="Z14" s="1" t="s">
        <v>1910</v>
      </c>
      <c r="AA14" s="1" t="s">
        <v>191</v>
      </c>
      <c r="AB14" s="1" t="s">
        <v>192</v>
      </c>
      <c r="AC14" s="1"/>
      <c r="AD14" s="1" t="s">
        <v>1911</v>
      </c>
      <c r="AE14" s="1" t="s">
        <v>1912</v>
      </c>
    </row>
    <row r="15" spans="1:31" hidden="1" x14ac:dyDescent="0.25">
      <c r="A15" s="1" t="s">
        <v>1907</v>
      </c>
      <c r="B15" s="1" t="s">
        <v>1922</v>
      </c>
      <c r="C15" s="1" t="s">
        <v>294</v>
      </c>
      <c r="D15" s="1" t="s">
        <v>295</v>
      </c>
      <c r="E15" s="1" t="str">
        <f t="shared" si="0"/>
        <v>048</v>
      </c>
      <c r="F15" s="1"/>
      <c r="G15" s="1" t="s">
        <v>296</v>
      </c>
      <c r="H15" s="1" t="s">
        <v>222</v>
      </c>
      <c r="I15" s="1" t="s">
        <v>297</v>
      </c>
      <c r="J15" s="1" t="s">
        <v>298</v>
      </c>
      <c r="K15" s="1" t="s">
        <v>233</v>
      </c>
      <c r="L15" s="1"/>
      <c r="M15" s="1" t="s">
        <v>105</v>
      </c>
      <c r="N15" s="1"/>
      <c r="O15" s="1"/>
      <c r="P15" s="1"/>
      <c r="Q15" s="1" t="s">
        <v>299</v>
      </c>
      <c r="R15" s="1"/>
      <c r="S15" s="1" t="s">
        <v>1909</v>
      </c>
      <c r="T15" s="1" t="s">
        <v>300</v>
      </c>
      <c r="U15" s="1" t="s">
        <v>200</v>
      </c>
      <c r="V15" s="1"/>
      <c r="W15" s="1" t="s">
        <v>201</v>
      </c>
      <c r="X15" s="1" t="s">
        <v>227</v>
      </c>
      <c r="Y15" s="1" t="s">
        <v>247</v>
      </c>
      <c r="Z15" s="1" t="s">
        <v>1910</v>
      </c>
      <c r="AA15" s="1" t="s">
        <v>301</v>
      </c>
      <c r="AB15" s="1" t="s">
        <v>192</v>
      </c>
      <c r="AC15" s="1"/>
      <c r="AD15" s="1" t="s">
        <v>1911</v>
      </c>
      <c r="AE15" s="1" t="s">
        <v>1912</v>
      </c>
    </row>
    <row r="16" spans="1:31" hidden="1" x14ac:dyDescent="0.25">
      <c r="A16" s="1" t="s">
        <v>1907</v>
      </c>
      <c r="B16" s="1" t="s">
        <v>1923</v>
      </c>
      <c r="C16" s="1" t="s">
        <v>302</v>
      </c>
      <c r="D16" s="1" t="s">
        <v>302</v>
      </c>
      <c r="E16" s="1" t="str">
        <f t="shared" si="0"/>
        <v>050</v>
      </c>
      <c r="F16" s="1"/>
      <c r="G16" s="1" t="s">
        <v>303</v>
      </c>
      <c r="H16" s="1" t="s">
        <v>184</v>
      </c>
      <c r="I16" s="1" t="s">
        <v>304</v>
      </c>
      <c r="J16" s="1" t="s">
        <v>305</v>
      </c>
      <c r="K16" s="1" t="s">
        <v>208</v>
      </c>
      <c r="L16" s="1"/>
      <c r="M16" s="1" t="s">
        <v>105</v>
      </c>
      <c r="N16" s="1"/>
      <c r="O16" s="1"/>
      <c r="P16" s="1"/>
      <c r="Q16" s="1" t="s">
        <v>306</v>
      </c>
      <c r="R16" s="1"/>
      <c r="S16" s="1" t="s">
        <v>1909</v>
      </c>
      <c r="T16" s="1"/>
      <c r="U16" s="1" t="s">
        <v>200</v>
      </c>
      <c r="V16" s="1"/>
      <c r="W16" s="1"/>
      <c r="X16" s="1"/>
      <c r="Y16" s="1"/>
      <c r="Z16" s="1" t="s">
        <v>1910</v>
      </c>
      <c r="AA16" s="1" t="s">
        <v>191</v>
      </c>
      <c r="AB16" s="1" t="s">
        <v>192</v>
      </c>
      <c r="AC16" s="1"/>
      <c r="AD16" s="1" t="s">
        <v>1911</v>
      </c>
      <c r="AE16" s="1" t="s">
        <v>1912</v>
      </c>
    </row>
    <row r="17" spans="1:31" hidden="1" x14ac:dyDescent="0.25">
      <c r="A17" s="1" t="s">
        <v>1907</v>
      </c>
      <c r="B17" s="1" t="s">
        <v>1924</v>
      </c>
      <c r="C17" s="1" t="s">
        <v>307</v>
      </c>
      <c r="D17" s="1" t="s">
        <v>307</v>
      </c>
      <c r="E17" s="1" t="str">
        <f t="shared" si="0"/>
        <v>051</v>
      </c>
      <c r="F17" s="1"/>
      <c r="G17" s="1" t="s">
        <v>308</v>
      </c>
      <c r="H17" s="1" t="s">
        <v>222</v>
      </c>
      <c r="I17" s="1" t="s">
        <v>309</v>
      </c>
      <c r="J17" s="1" t="s">
        <v>310</v>
      </c>
      <c r="K17" s="1" t="s">
        <v>197</v>
      </c>
      <c r="L17" s="1"/>
      <c r="M17" s="1" t="s">
        <v>105</v>
      </c>
      <c r="N17" s="1"/>
      <c r="O17" s="1"/>
      <c r="P17" s="1"/>
      <c r="Q17" s="1" t="s">
        <v>311</v>
      </c>
      <c r="R17" s="1"/>
      <c r="S17" s="1" t="s">
        <v>1909</v>
      </c>
      <c r="T17" s="1"/>
      <c r="U17" s="1" t="s">
        <v>217</v>
      </c>
      <c r="V17" s="1"/>
      <c r="W17" s="1"/>
      <c r="X17" s="1"/>
      <c r="Y17" s="1"/>
      <c r="Z17" s="1" t="s">
        <v>1910</v>
      </c>
      <c r="AA17" s="1" t="s">
        <v>191</v>
      </c>
      <c r="AB17" s="1" t="s">
        <v>192</v>
      </c>
      <c r="AC17" s="1"/>
      <c r="AD17" s="1" t="s">
        <v>1911</v>
      </c>
      <c r="AE17" s="1" t="s">
        <v>1912</v>
      </c>
    </row>
    <row r="18" spans="1:31" hidden="1" x14ac:dyDescent="0.25">
      <c r="A18" s="1" t="s">
        <v>1907</v>
      </c>
      <c r="B18" s="1" t="s">
        <v>1925</v>
      </c>
      <c r="C18" s="1" t="s">
        <v>312</v>
      </c>
      <c r="D18" s="1" t="s">
        <v>312</v>
      </c>
      <c r="E18" s="1" t="str">
        <f t="shared" si="0"/>
        <v>052</v>
      </c>
      <c r="F18" s="1"/>
      <c r="G18" s="1" t="s">
        <v>313</v>
      </c>
      <c r="H18" s="1" t="s">
        <v>222</v>
      </c>
      <c r="I18" s="1" t="s">
        <v>314</v>
      </c>
      <c r="J18" s="1" t="s">
        <v>315</v>
      </c>
      <c r="K18" s="1" t="s">
        <v>316</v>
      </c>
      <c r="L18" s="1"/>
      <c r="M18" s="1" t="s">
        <v>105</v>
      </c>
      <c r="N18" s="1"/>
      <c r="O18" s="1"/>
      <c r="P18" s="1"/>
      <c r="Q18" s="1" t="s">
        <v>317</v>
      </c>
      <c r="R18" s="1"/>
      <c r="S18" s="1" t="s">
        <v>1909</v>
      </c>
      <c r="T18" s="1"/>
      <c r="U18" s="1" t="s">
        <v>200</v>
      </c>
      <c r="V18" s="1"/>
      <c r="W18" s="1" t="s">
        <v>201</v>
      </c>
      <c r="X18" s="1" t="s">
        <v>227</v>
      </c>
      <c r="Y18" s="1" t="s">
        <v>247</v>
      </c>
      <c r="Z18" s="1" t="s">
        <v>1910</v>
      </c>
      <c r="AA18" s="1" t="s">
        <v>191</v>
      </c>
      <c r="AB18" s="1" t="s">
        <v>192</v>
      </c>
      <c r="AC18" s="1"/>
      <c r="AD18" s="1" t="s">
        <v>1911</v>
      </c>
      <c r="AE18" s="1" t="s">
        <v>1912</v>
      </c>
    </row>
    <row r="19" spans="1:31" hidden="1" x14ac:dyDescent="0.25">
      <c r="A19" s="1" t="s">
        <v>1907</v>
      </c>
      <c r="B19" s="1" t="s">
        <v>55</v>
      </c>
      <c r="C19" s="1" t="s">
        <v>318</v>
      </c>
      <c r="D19" s="1" t="s">
        <v>319</v>
      </c>
      <c r="E19" s="1" t="str">
        <f t="shared" si="0"/>
        <v>056</v>
      </c>
      <c r="F19" s="1"/>
      <c r="G19" s="1" t="s">
        <v>320</v>
      </c>
      <c r="H19" s="1" t="s">
        <v>184</v>
      </c>
      <c r="I19" s="1" t="s">
        <v>321</v>
      </c>
      <c r="J19" s="1" t="s">
        <v>322</v>
      </c>
      <c r="K19" s="1" t="s">
        <v>323</v>
      </c>
      <c r="L19" s="1"/>
      <c r="M19" s="1" t="s">
        <v>109</v>
      </c>
      <c r="N19" s="1" t="s">
        <v>282</v>
      </c>
      <c r="O19" s="1" t="s">
        <v>283</v>
      </c>
      <c r="P19" s="1" t="s">
        <v>284</v>
      </c>
      <c r="Q19" s="1" t="s">
        <v>324</v>
      </c>
      <c r="R19" s="1"/>
      <c r="S19" s="1" t="s">
        <v>1909</v>
      </c>
      <c r="T19" s="1" t="s">
        <v>325</v>
      </c>
      <c r="U19" s="1" t="s">
        <v>1910</v>
      </c>
      <c r="V19" s="1"/>
      <c r="W19" s="1" t="s">
        <v>198</v>
      </c>
      <c r="X19" s="1" t="s">
        <v>284</v>
      </c>
      <c r="Y19" s="1" t="s">
        <v>326</v>
      </c>
      <c r="Z19" s="1" t="s">
        <v>1910</v>
      </c>
      <c r="AA19" s="1" t="s">
        <v>327</v>
      </c>
      <c r="AB19" s="1" t="s">
        <v>192</v>
      </c>
      <c r="AC19" s="1"/>
      <c r="AD19" s="1" t="s">
        <v>1911</v>
      </c>
      <c r="AE19" s="1" t="s">
        <v>1912</v>
      </c>
    </row>
    <row r="20" spans="1:31" hidden="1" x14ac:dyDescent="0.25">
      <c r="A20" s="1" t="s">
        <v>1907</v>
      </c>
      <c r="B20" s="1" t="s">
        <v>1926</v>
      </c>
      <c r="C20" s="1" t="s">
        <v>328</v>
      </c>
      <c r="D20" s="1" t="s">
        <v>329</v>
      </c>
      <c r="E20" s="1" t="str">
        <f t="shared" si="0"/>
        <v>060</v>
      </c>
      <c r="F20" s="1"/>
      <c r="G20" s="1" t="s">
        <v>330</v>
      </c>
      <c r="H20" s="1" t="s">
        <v>184</v>
      </c>
      <c r="I20" s="1" t="s">
        <v>331</v>
      </c>
      <c r="J20" s="1" t="s">
        <v>332</v>
      </c>
      <c r="K20" s="1" t="s">
        <v>233</v>
      </c>
      <c r="L20" s="1"/>
      <c r="M20" s="1" t="s">
        <v>105</v>
      </c>
      <c r="N20" s="1"/>
      <c r="O20" s="1"/>
      <c r="P20" s="1"/>
      <c r="Q20" s="1" t="s">
        <v>333</v>
      </c>
      <c r="R20" s="1"/>
      <c r="S20" s="1" t="s">
        <v>1909</v>
      </c>
      <c r="T20" s="1" t="s">
        <v>334</v>
      </c>
      <c r="U20" s="1" t="s">
        <v>210</v>
      </c>
      <c r="V20" s="1"/>
      <c r="W20" s="1" t="s">
        <v>201</v>
      </c>
      <c r="X20" s="1" t="s">
        <v>227</v>
      </c>
      <c r="Y20" s="1"/>
      <c r="Z20" s="1" t="s">
        <v>1910</v>
      </c>
      <c r="AA20" s="1" t="s">
        <v>191</v>
      </c>
      <c r="AB20" s="1" t="s">
        <v>192</v>
      </c>
      <c r="AC20" s="1"/>
      <c r="AD20" s="1" t="s">
        <v>1911</v>
      </c>
      <c r="AE20" s="1" t="s">
        <v>1912</v>
      </c>
    </row>
    <row r="21" spans="1:31" hidden="1" x14ac:dyDescent="0.25">
      <c r="A21" s="1" t="s">
        <v>1907</v>
      </c>
      <c r="B21" s="1" t="s">
        <v>1927</v>
      </c>
      <c r="C21" s="1" t="s">
        <v>335</v>
      </c>
      <c r="D21" s="1" t="s">
        <v>336</v>
      </c>
      <c r="E21" s="1" t="str">
        <f t="shared" si="0"/>
        <v>064</v>
      </c>
      <c r="F21" s="1"/>
      <c r="G21" s="1" t="s">
        <v>337</v>
      </c>
      <c r="H21" s="1" t="s">
        <v>184</v>
      </c>
      <c r="I21" s="1" t="s">
        <v>338</v>
      </c>
      <c r="J21" s="1" t="s">
        <v>339</v>
      </c>
      <c r="K21" s="1" t="s">
        <v>267</v>
      </c>
      <c r="L21" s="1"/>
      <c r="M21" s="1" t="s">
        <v>105</v>
      </c>
      <c r="N21" s="1"/>
      <c r="O21" s="1"/>
      <c r="P21" s="1"/>
      <c r="Q21" s="1" t="s">
        <v>340</v>
      </c>
      <c r="R21" s="1"/>
      <c r="S21" s="1" t="s">
        <v>1909</v>
      </c>
      <c r="T21" s="1"/>
      <c r="U21" s="1" t="s">
        <v>200</v>
      </c>
      <c r="V21" s="1"/>
      <c r="W21" s="1"/>
      <c r="X21" s="1"/>
      <c r="Y21" s="1"/>
      <c r="Z21" s="1" t="s">
        <v>1910</v>
      </c>
      <c r="AA21" s="1" t="s">
        <v>191</v>
      </c>
      <c r="AB21" s="1" t="s">
        <v>192</v>
      </c>
      <c r="AC21" s="1"/>
      <c r="AD21" s="1" t="s">
        <v>1911</v>
      </c>
      <c r="AE21" s="1" t="s">
        <v>1912</v>
      </c>
    </row>
    <row r="22" spans="1:31" hidden="1" x14ac:dyDescent="0.25">
      <c r="A22" s="1" t="s">
        <v>1907</v>
      </c>
      <c r="B22" s="1" t="s">
        <v>1928</v>
      </c>
      <c r="C22" s="1" t="s">
        <v>341</v>
      </c>
      <c r="D22" s="1" t="s">
        <v>341</v>
      </c>
      <c r="E22" s="1" t="str">
        <f t="shared" si="0"/>
        <v>068</v>
      </c>
      <c r="F22" s="1"/>
      <c r="G22" s="1" t="s">
        <v>342</v>
      </c>
      <c r="H22" s="1" t="s">
        <v>184</v>
      </c>
      <c r="I22" s="1" t="s">
        <v>343</v>
      </c>
      <c r="J22" s="1" t="s">
        <v>344</v>
      </c>
      <c r="K22" s="1" t="s">
        <v>197</v>
      </c>
      <c r="L22" s="1" t="s">
        <v>198</v>
      </c>
      <c r="M22" s="1" t="s">
        <v>105</v>
      </c>
      <c r="N22" s="1" t="s">
        <v>268</v>
      </c>
      <c r="O22" s="1"/>
      <c r="P22" s="1"/>
      <c r="Q22" s="1" t="s">
        <v>345</v>
      </c>
      <c r="R22" s="1"/>
      <c r="S22" s="1" t="s">
        <v>1909</v>
      </c>
      <c r="T22" s="1" t="s">
        <v>346</v>
      </c>
      <c r="U22" s="1" t="s">
        <v>189</v>
      </c>
      <c r="V22" s="1"/>
      <c r="W22" s="1" t="s">
        <v>201</v>
      </c>
      <c r="X22" s="1" t="s">
        <v>227</v>
      </c>
      <c r="Y22" s="1"/>
      <c r="Z22" s="1" t="s">
        <v>1910</v>
      </c>
      <c r="AA22" s="1" t="s">
        <v>191</v>
      </c>
      <c r="AB22" s="1" t="s">
        <v>192</v>
      </c>
      <c r="AC22" s="1"/>
      <c r="AD22" s="1" t="s">
        <v>1911</v>
      </c>
      <c r="AE22" s="1" t="s">
        <v>1912</v>
      </c>
    </row>
    <row r="23" spans="1:31" hidden="1" x14ac:dyDescent="0.25">
      <c r="A23" s="1" t="s">
        <v>1907</v>
      </c>
      <c r="B23" s="1" t="s">
        <v>1929</v>
      </c>
      <c r="C23" s="1" t="s">
        <v>347</v>
      </c>
      <c r="D23" s="1" t="s">
        <v>348</v>
      </c>
      <c r="E23" s="1" t="str">
        <f t="shared" si="0"/>
        <v>070</v>
      </c>
      <c r="F23" s="1"/>
      <c r="G23" s="1" t="s">
        <v>349</v>
      </c>
      <c r="H23" s="1" t="s">
        <v>222</v>
      </c>
      <c r="I23" s="1" t="s">
        <v>350</v>
      </c>
      <c r="J23" s="1" t="s">
        <v>351</v>
      </c>
      <c r="K23" s="1" t="s">
        <v>352</v>
      </c>
      <c r="L23" s="1"/>
      <c r="M23" s="1" t="s">
        <v>106</v>
      </c>
      <c r="N23" s="1"/>
      <c r="O23" s="1"/>
      <c r="P23" s="1" t="s">
        <v>198</v>
      </c>
      <c r="Q23" s="1" t="s">
        <v>353</v>
      </c>
      <c r="R23" s="1"/>
      <c r="S23" s="1" t="s">
        <v>1909</v>
      </c>
      <c r="T23" s="1" t="s">
        <v>354</v>
      </c>
      <c r="U23" s="1" t="s">
        <v>200</v>
      </c>
      <c r="V23" s="1"/>
      <c r="W23" s="1" t="s">
        <v>201</v>
      </c>
      <c r="X23" s="1" t="s">
        <v>355</v>
      </c>
      <c r="Y23" s="1"/>
      <c r="Z23" s="1" t="s">
        <v>1910</v>
      </c>
      <c r="AA23" s="1" t="s">
        <v>356</v>
      </c>
      <c r="AB23" s="1" t="s">
        <v>192</v>
      </c>
      <c r="AC23" s="1"/>
      <c r="AD23" s="1" t="s">
        <v>1911</v>
      </c>
      <c r="AE23" s="1" t="s">
        <v>1912</v>
      </c>
    </row>
    <row r="24" spans="1:31" hidden="1" x14ac:dyDescent="0.25">
      <c r="A24" s="1" t="s">
        <v>1907</v>
      </c>
      <c r="B24" s="1" t="s">
        <v>1930</v>
      </c>
      <c r="C24" s="1" t="s">
        <v>357</v>
      </c>
      <c r="D24" s="1" t="s">
        <v>357</v>
      </c>
      <c r="E24" s="1" t="str">
        <f t="shared" si="0"/>
        <v>072</v>
      </c>
      <c r="F24" s="1"/>
      <c r="G24" s="1" t="s">
        <v>358</v>
      </c>
      <c r="H24" s="1" t="s">
        <v>184</v>
      </c>
      <c r="I24" s="1" t="s">
        <v>359</v>
      </c>
      <c r="J24" s="1" t="s">
        <v>360</v>
      </c>
      <c r="K24" s="1" t="s">
        <v>361</v>
      </c>
      <c r="L24" s="1"/>
      <c r="M24" s="1" t="s">
        <v>105</v>
      </c>
      <c r="N24" s="1"/>
      <c r="O24" s="1"/>
      <c r="P24" s="1"/>
      <c r="Q24" s="1" t="s">
        <v>362</v>
      </c>
      <c r="R24" s="1"/>
      <c r="S24" s="1" t="s">
        <v>1909</v>
      </c>
      <c r="T24" s="1" t="s">
        <v>363</v>
      </c>
      <c r="U24" s="1" t="s">
        <v>210</v>
      </c>
      <c r="V24" s="1"/>
      <c r="W24" s="1"/>
      <c r="X24" s="1"/>
      <c r="Y24" s="1"/>
      <c r="Z24" s="1" t="s">
        <v>1910</v>
      </c>
      <c r="AA24" s="1" t="s">
        <v>191</v>
      </c>
      <c r="AB24" s="1" t="s">
        <v>192</v>
      </c>
      <c r="AC24" s="1"/>
      <c r="AD24" s="1" t="s">
        <v>1911</v>
      </c>
      <c r="AE24" s="1" t="s">
        <v>1912</v>
      </c>
    </row>
    <row r="25" spans="1:31" hidden="1" x14ac:dyDescent="0.25">
      <c r="A25" s="1" t="s">
        <v>1907</v>
      </c>
      <c r="B25" s="1" t="s">
        <v>1931</v>
      </c>
      <c r="C25" s="1" t="s">
        <v>364</v>
      </c>
      <c r="D25" s="1" t="s">
        <v>365</v>
      </c>
      <c r="E25" s="1" t="str">
        <f t="shared" si="0"/>
        <v>074</v>
      </c>
      <c r="F25" s="1"/>
      <c r="G25" s="1" t="s">
        <v>366</v>
      </c>
      <c r="H25" s="1" t="s">
        <v>222</v>
      </c>
      <c r="I25" s="1" t="s">
        <v>367</v>
      </c>
      <c r="J25" s="1" t="s">
        <v>368</v>
      </c>
      <c r="K25" s="1" t="s">
        <v>208</v>
      </c>
      <c r="L25" s="1"/>
      <c r="M25" s="1" t="s">
        <v>105</v>
      </c>
      <c r="N25" s="1"/>
      <c r="O25" s="1"/>
      <c r="P25" s="1" t="s">
        <v>198</v>
      </c>
      <c r="Q25" s="1" t="s">
        <v>369</v>
      </c>
      <c r="R25" s="1"/>
      <c r="S25" s="1" t="s">
        <v>1909</v>
      </c>
      <c r="T25" s="1"/>
      <c r="U25" s="1" t="s">
        <v>189</v>
      </c>
      <c r="V25" s="1"/>
      <c r="W25" s="1" t="s">
        <v>201</v>
      </c>
      <c r="X25" s="1" t="s">
        <v>201</v>
      </c>
      <c r="Y25" s="1"/>
      <c r="Z25" s="1" t="s">
        <v>1910</v>
      </c>
      <c r="AA25" s="1" t="s">
        <v>370</v>
      </c>
      <c r="AB25" s="1" t="s">
        <v>192</v>
      </c>
      <c r="AC25" s="1"/>
      <c r="AD25" s="1" t="s">
        <v>1911</v>
      </c>
      <c r="AE25" s="1" t="s">
        <v>1912</v>
      </c>
    </row>
    <row r="26" spans="1:31" hidden="1" x14ac:dyDescent="0.25">
      <c r="A26" s="1" t="s">
        <v>1907</v>
      </c>
      <c r="B26" s="1" t="s">
        <v>1932</v>
      </c>
      <c r="C26" s="1" t="s">
        <v>371</v>
      </c>
      <c r="D26" s="1" t="s">
        <v>372</v>
      </c>
      <c r="E26" s="1" t="str">
        <f t="shared" si="0"/>
        <v>076</v>
      </c>
      <c r="F26" s="1"/>
      <c r="G26" s="1" t="s">
        <v>373</v>
      </c>
      <c r="H26" s="1" t="s">
        <v>222</v>
      </c>
      <c r="I26" s="1" t="s">
        <v>374</v>
      </c>
      <c r="J26" s="1" t="s">
        <v>375</v>
      </c>
      <c r="K26" s="1" t="s">
        <v>361</v>
      </c>
      <c r="L26" s="1" t="s">
        <v>198</v>
      </c>
      <c r="M26" s="1" t="s">
        <v>105</v>
      </c>
      <c r="N26" s="1" t="s">
        <v>268</v>
      </c>
      <c r="O26" s="1"/>
      <c r="P26" s="1" t="s">
        <v>198</v>
      </c>
      <c r="Q26" s="1" t="s">
        <v>376</v>
      </c>
      <c r="R26" s="1"/>
      <c r="S26" s="1" t="s">
        <v>1909</v>
      </c>
      <c r="T26" s="1" t="s">
        <v>377</v>
      </c>
      <c r="U26" s="1" t="s">
        <v>217</v>
      </c>
      <c r="V26" s="1"/>
      <c r="W26" s="1" t="s">
        <v>201</v>
      </c>
      <c r="X26" s="1" t="s">
        <v>201</v>
      </c>
      <c r="Y26" s="1" t="s">
        <v>218</v>
      </c>
      <c r="Z26" s="1" t="s">
        <v>1910</v>
      </c>
      <c r="AA26" s="1" t="s">
        <v>378</v>
      </c>
      <c r="AB26" s="1" t="s">
        <v>248</v>
      </c>
      <c r="AC26" s="1"/>
      <c r="AD26" s="1" t="s">
        <v>1911</v>
      </c>
      <c r="AE26" s="1" t="s">
        <v>1912</v>
      </c>
    </row>
    <row r="27" spans="1:31" hidden="1" x14ac:dyDescent="0.25">
      <c r="A27" s="1" t="s">
        <v>1907</v>
      </c>
      <c r="B27" s="1" t="s">
        <v>1933</v>
      </c>
      <c r="C27" s="1" t="s">
        <v>379</v>
      </c>
      <c r="D27" s="1" t="s">
        <v>379</v>
      </c>
      <c r="E27" s="1" t="str">
        <f t="shared" si="0"/>
        <v>084</v>
      </c>
      <c r="F27" s="1"/>
      <c r="G27" s="1" t="s">
        <v>380</v>
      </c>
      <c r="H27" s="1" t="s">
        <v>184</v>
      </c>
      <c r="I27" s="1" t="s">
        <v>381</v>
      </c>
      <c r="J27" s="1" t="s">
        <v>382</v>
      </c>
      <c r="K27" s="1" t="s">
        <v>233</v>
      </c>
      <c r="L27" s="1"/>
      <c r="M27" s="1" t="s">
        <v>105</v>
      </c>
      <c r="N27" s="1"/>
      <c r="O27" s="1"/>
      <c r="P27" s="1"/>
      <c r="Q27" s="1" t="s">
        <v>383</v>
      </c>
      <c r="R27" s="1"/>
      <c r="S27" s="1" t="s">
        <v>1909</v>
      </c>
      <c r="T27" s="1" t="s">
        <v>384</v>
      </c>
      <c r="U27" s="1" t="s">
        <v>189</v>
      </c>
      <c r="V27" s="1"/>
      <c r="W27" s="1" t="s">
        <v>201</v>
      </c>
      <c r="X27" s="1" t="s">
        <v>227</v>
      </c>
      <c r="Y27" s="1"/>
      <c r="Z27" s="1" t="s">
        <v>1910</v>
      </c>
      <c r="AA27" s="1" t="s">
        <v>191</v>
      </c>
      <c r="AB27" s="1" t="s">
        <v>192</v>
      </c>
      <c r="AC27" s="1"/>
      <c r="AD27" s="1" t="s">
        <v>1911</v>
      </c>
      <c r="AE27" s="1" t="s">
        <v>1912</v>
      </c>
    </row>
    <row r="28" spans="1:31" hidden="1" x14ac:dyDescent="0.25">
      <c r="A28" s="1" t="s">
        <v>1907</v>
      </c>
      <c r="B28" s="1" t="s">
        <v>1934</v>
      </c>
      <c r="C28" s="1" t="s">
        <v>385</v>
      </c>
      <c r="D28" s="1" t="s">
        <v>386</v>
      </c>
      <c r="E28" s="1" t="str">
        <f t="shared" si="0"/>
        <v>086</v>
      </c>
      <c r="F28" s="1"/>
      <c r="G28" s="1" t="s">
        <v>387</v>
      </c>
      <c r="H28" s="1" t="s">
        <v>184</v>
      </c>
      <c r="I28" s="1" t="s">
        <v>388</v>
      </c>
      <c r="J28" s="1" t="s">
        <v>389</v>
      </c>
      <c r="K28" s="1" t="s">
        <v>208</v>
      </c>
      <c r="L28" s="1"/>
      <c r="M28" s="1" t="s">
        <v>105</v>
      </c>
      <c r="N28" s="1"/>
      <c r="O28" s="1"/>
      <c r="P28" s="1"/>
      <c r="Q28" s="1" t="s">
        <v>390</v>
      </c>
      <c r="R28" s="1"/>
      <c r="S28" s="1" t="s">
        <v>1909</v>
      </c>
      <c r="T28" s="1"/>
      <c r="U28" s="1" t="s">
        <v>210</v>
      </c>
      <c r="V28" s="1"/>
      <c r="W28" s="1"/>
      <c r="X28" s="1"/>
      <c r="Y28" s="1"/>
      <c r="Z28" s="1" t="s">
        <v>1910</v>
      </c>
      <c r="AA28" s="1" t="s">
        <v>191</v>
      </c>
      <c r="AB28" s="1" t="s">
        <v>192</v>
      </c>
      <c r="AC28" s="1"/>
      <c r="AD28" s="1" t="s">
        <v>1911</v>
      </c>
      <c r="AE28" s="1" t="s">
        <v>1912</v>
      </c>
    </row>
    <row r="29" spans="1:31" hidden="1" x14ac:dyDescent="0.25">
      <c r="A29" s="1" t="s">
        <v>1907</v>
      </c>
      <c r="B29" s="1" t="s">
        <v>1935</v>
      </c>
      <c r="C29" s="1" t="s">
        <v>391</v>
      </c>
      <c r="D29" s="1" t="s">
        <v>392</v>
      </c>
      <c r="E29" s="1" t="str">
        <f t="shared" si="0"/>
        <v>090</v>
      </c>
      <c r="F29" s="1"/>
      <c r="G29" s="1" t="s">
        <v>393</v>
      </c>
      <c r="H29" s="1" t="s">
        <v>184</v>
      </c>
      <c r="I29" s="1" t="s">
        <v>394</v>
      </c>
      <c r="J29" s="1" t="s">
        <v>395</v>
      </c>
      <c r="K29" s="1" t="s">
        <v>233</v>
      </c>
      <c r="L29" s="1"/>
      <c r="M29" s="1" t="s">
        <v>105</v>
      </c>
      <c r="N29" s="1"/>
      <c r="O29" s="1"/>
      <c r="P29" s="1"/>
      <c r="Q29" s="1" t="s">
        <v>396</v>
      </c>
      <c r="R29" s="1"/>
      <c r="S29" s="1" t="s">
        <v>1909</v>
      </c>
      <c r="T29" s="1"/>
      <c r="U29" s="1" t="s">
        <v>200</v>
      </c>
      <c r="V29" s="1"/>
      <c r="W29" s="1" t="s">
        <v>201</v>
      </c>
      <c r="X29" s="1" t="s">
        <v>227</v>
      </c>
      <c r="Y29" s="1"/>
      <c r="Z29" s="1" t="s">
        <v>1910</v>
      </c>
      <c r="AA29" s="1" t="s">
        <v>191</v>
      </c>
      <c r="AB29" s="1" t="s">
        <v>192</v>
      </c>
      <c r="AC29" s="1"/>
      <c r="AD29" s="1" t="s">
        <v>1911</v>
      </c>
      <c r="AE29" s="1" t="s">
        <v>1912</v>
      </c>
    </row>
    <row r="30" spans="1:31" hidden="1" x14ac:dyDescent="0.25">
      <c r="A30" s="1" t="s">
        <v>1907</v>
      </c>
      <c r="B30" s="1" t="s">
        <v>1936</v>
      </c>
      <c r="C30" s="1" t="s">
        <v>397</v>
      </c>
      <c r="D30" s="1" t="s">
        <v>398</v>
      </c>
      <c r="E30" s="1" t="str">
        <f t="shared" si="0"/>
        <v>092</v>
      </c>
      <c r="F30" s="1"/>
      <c r="G30" s="1" t="s">
        <v>399</v>
      </c>
      <c r="H30" s="1" t="s">
        <v>184</v>
      </c>
      <c r="I30" s="1" t="s">
        <v>400</v>
      </c>
      <c r="J30" s="1" t="s">
        <v>401</v>
      </c>
      <c r="K30" s="1" t="s">
        <v>233</v>
      </c>
      <c r="L30" s="1"/>
      <c r="M30" s="1" t="s">
        <v>105</v>
      </c>
      <c r="N30" s="1"/>
      <c r="O30" s="1"/>
      <c r="P30" s="1"/>
      <c r="Q30" s="1" t="s">
        <v>402</v>
      </c>
      <c r="R30" s="1"/>
      <c r="S30" s="1" t="s">
        <v>1909</v>
      </c>
      <c r="T30" s="1"/>
      <c r="U30" s="1" t="s">
        <v>210</v>
      </c>
      <c r="V30" s="1"/>
      <c r="W30" s="1" t="s">
        <v>201</v>
      </c>
      <c r="X30" s="1" t="s">
        <v>227</v>
      </c>
      <c r="Y30" s="1" t="s">
        <v>198</v>
      </c>
      <c r="Z30" s="1" t="s">
        <v>1910</v>
      </c>
      <c r="AA30" s="1" t="s">
        <v>403</v>
      </c>
      <c r="AB30" s="1" t="s">
        <v>192</v>
      </c>
      <c r="AC30" s="1"/>
      <c r="AD30" s="1" t="s">
        <v>1911</v>
      </c>
      <c r="AE30" s="1" t="s">
        <v>1912</v>
      </c>
    </row>
    <row r="31" spans="1:31" hidden="1" x14ac:dyDescent="0.25">
      <c r="A31" s="1" t="s">
        <v>1907</v>
      </c>
      <c r="B31" s="1" t="s">
        <v>1937</v>
      </c>
      <c r="C31" s="1" t="s">
        <v>404</v>
      </c>
      <c r="D31" s="1" t="s">
        <v>405</v>
      </c>
      <c r="E31" s="1" t="str">
        <f t="shared" si="0"/>
        <v>096</v>
      </c>
      <c r="F31" s="1"/>
      <c r="G31" s="1" t="s">
        <v>406</v>
      </c>
      <c r="H31" s="1" t="s">
        <v>184</v>
      </c>
      <c r="I31" s="1" t="s">
        <v>407</v>
      </c>
      <c r="J31" s="1" t="s">
        <v>408</v>
      </c>
      <c r="K31" s="1" t="s">
        <v>233</v>
      </c>
      <c r="L31" s="1"/>
      <c r="M31" s="1" t="s">
        <v>105</v>
      </c>
      <c r="N31" s="1"/>
      <c r="O31" s="1"/>
      <c r="P31" s="1"/>
      <c r="Q31" s="1" t="s">
        <v>409</v>
      </c>
      <c r="R31" s="1"/>
      <c r="S31" s="1" t="s">
        <v>1909</v>
      </c>
      <c r="T31" s="1"/>
      <c r="U31" s="1" t="s">
        <v>210</v>
      </c>
      <c r="V31" s="1"/>
      <c r="W31" s="1" t="s">
        <v>201</v>
      </c>
      <c r="X31" s="1" t="s">
        <v>227</v>
      </c>
      <c r="Y31" s="1"/>
      <c r="Z31" s="1" t="s">
        <v>1910</v>
      </c>
      <c r="AA31" s="1" t="s">
        <v>191</v>
      </c>
      <c r="AB31" s="1" t="s">
        <v>192</v>
      </c>
      <c r="AC31" s="1"/>
      <c r="AD31" s="1" t="s">
        <v>1911</v>
      </c>
      <c r="AE31" s="1" t="s">
        <v>1912</v>
      </c>
    </row>
    <row r="32" spans="1:31" hidden="1" x14ac:dyDescent="0.25">
      <c r="A32" s="1" t="s">
        <v>1907</v>
      </c>
      <c r="B32" s="1" t="s">
        <v>56</v>
      </c>
      <c r="C32" s="1" t="s">
        <v>410</v>
      </c>
      <c r="D32" s="1" t="s">
        <v>410</v>
      </c>
      <c r="E32" s="1" t="str">
        <f t="shared" si="0"/>
        <v>100</v>
      </c>
      <c r="F32" s="1"/>
      <c r="G32" s="1" t="s">
        <v>411</v>
      </c>
      <c r="H32" s="1" t="s">
        <v>184</v>
      </c>
      <c r="I32" s="1" t="s">
        <v>412</v>
      </c>
      <c r="J32" s="1" t="s">
        <v>413</v>
      </c>
      <c r="K32" s="1" t="s">
        <v>361</v>
      </c>
      <c r="L32" s="1"/>
      <c r="M32" s="1" t="s">
        <v>106</v>
      </c>
      <c r="N32" s="1" t="s">
        <v>282</v>
      </c>
      <c r="O32" s="1" t="s">
        <v>414</v>
      </c>
      <c r="P32" s="1" t="s">
        <v>284</v>
      </c>
      <c r="Q32" s="1" t="s">
        <v>415</v>
      </c>
      <c r="R32" s="1"/>
      <c r="S32" s="1" t="s">
        <v>1909</v>
      </c>
      <c r="T32" s="1" t="s">
        <v>416</v>
      </c>
      <c r="U32" s="1" t="s">
        <v>210</v>
      </c>
      <c r="V32" s="1"/>
      <c r="W32" s="1" t="s">
        <v>198</v>
      </c>
      <c r="X32" s="1" t="s">
        <v>201</v>
      </c>
      <c r="Y32" s="1" t="s">
        <v>239</v>
      </c>
      <c r="Z32" s="1" t="s">
        <v>1910</v>
      </c>
      <c r="AA32" s="1" t="s">
        <v>417</v>
      </c>
      <c r="AB32" s="1" t="s">
        <v>192</v>
      </c>
      <c r="AC32" s="1"/>
      <c r="AD32" s="1" t="s">
        <v>1911</v>
      </c>
      <c r="AE32" s="1" t="s">
        <v>1912</v>
      </c>
    </row>
    <row r="33" spans="1:31" hidden="1" x14ac:dyDescent="0.25">
      <c r="A33" s="1" t="s">
        <v>1907</v>
      </c>
      <c r="B33" s="1" t="s">
        <v>1938</v>
      </c>
      <c r="C33" s="1" t="s">
        <v>418</v>
      </c>
      <c r="D33" s="1" t="s">
        <v>418</v>
      </c>
      <c r="E33" s="1" t="str">
        <f t="shared" si="0"/>
        <v>104</v>
      </c>
      <c r="F33" s="1"/>
      <c r="G33" s="1" t="s">
        <v>419</v>
      </c>
      <c r="H33" s="1" t="s">
        <v>222</v>
      </c>
      <c r="I33" s="1" t="s">
        <v>420</v>
      </c>
      <c r="J33" s="1" t="s">
        <v>421</v>
      </c>
      <c r="K33" s="1" t="s">
        <v>422</v>
      </c>
      <c r="L33" s="1"/>
      <c r="M33" s="1" t="s">
        <v>105</v>
      </c>
      <c r="N33" s="1"/>
      <c r="O33" s="1"/>
      <c r="P33" s="1"/>
      <c r="Q33" s="1" t="s">
        <v>423</v>
      </c>
      <c r="R33" s="1"/>
      <c r="S33" s="1" t="s">
        <v>1909</v>
      </c>
      <c r="T33" s="1"/>
      <c r="U33" s="1" t="s">
        <v>189</v>
      </c>
      <c r="V33" s="1"/>
      <c r="W33" s="1" t="s">
        <v>201</v>
      </c>
      <c r="X33" s="1" t="s">
        <v>424</v>
      </c>
      <c r="Y33" s="1"/>
      <c r="Z33" s="1" t="s">
        <v>1910</v>
      </c>
      <c r="AA33" s="1" t="s">
        <v>191</v>
      </c>
      <c r="AB33" s="1" t="s">
        <v>192</v>
      </c>
      <c r="AC33" s="1"/>
      <c r="AD33" s="1" t="s">
        <v>1911</v>
      </c>
      <c r="AE33" s="1" t="s">
        <v>1912</v>
      </c>
    </row>
    <row r="34" spans="1:31" hidden="1" x14ac:dyDescent="0.25">
      <c r="A34" s="1" t="s">
        <v>1907</v>
      </c>
      <c r="B34" s="1" t="s">
        <v>1939</v>
      </c>
      <c r="C34" s="1" t="s">
        <v>425</v>
      </c>
      <c r="D34" s="1" t="s">
        <v>425</v>
      </c>
      <c r="E34" s="1" t="str">
        <f t="shared" si="0"/>
        <v>108</v>
      </c>
      <c r="F34" s="1"/>
      <c r="G34" s="1" t="s">
        <v>426</v>
      </c>
      <c r="H34" s="1" t="s">
        <v>184</v>
      </c>
      <c r="I34" s="1" t="s">
        <v>427</v>
      </c>
      <c r="J34" s="1" t="s">
        <v>428</v>
      </c>
      <c r="K34" s="1" t="s">
        <v>429</v>
      </c>
      <c r="L34" s="1"/>
      <c r="M34" s="1" t="s">
        <v>105</v>
      </c>
      <c r="N34" s="1"/>
      <c r="O34" s="1"/>
      <c r="P34" s="1"/>
      <c r="Q34" s="1" t="s">
        <v>430</v>
      </c>
      <c r="R34" s="1"/>
      <c r="S34" s="1" t="s">
        <v>1909</v>
      </c>
      <c r="T34" s="1"/>
      <c r="U34" s="1" t="s">
        <v>189</v>
      </c>
      <c r="V34" s="1"/>
      <c r="W34" s="1"/>
      <c r="X34" s="1" t="s">
        <v>190</v>
      </c>
      <c r="Y34" s="1"/>
      <c r="Z34" s="1" t="s">
        <v>1910</v>
      </c>
      <c r="AA34" s="1" t="s">
        <v>191</v>
      </c>
      <c r="AB34" s="1" t="s">
        <v>192</v>
      </c>
      <c r="AC34" s="1"/>
      <c r="AD34" s="1" t="s">
        <v>1911</v>
      </c>
      <c r="AE34" s="1" t="s">
        <v>1912</v>
      </c>
    </row>
    <row r="35" spans="1:31" hidden="1" x14ac:dyDescent="0.25">
      <c r="A35" s="1" t="s">
        <v>1907</v>
      </c>
      <c r="B35" s="1" t="s">
        <v>1940</v>
      </c>
      <c r="C35" s="1" t="s">
        <v>431</v>
      </c>
      <c r="D35" s="1" t="s">
        <v>431</v>
      </c>
      <c r="E35" s="1" t="str">
        <f t="shared" si="0"/>
        <v>112</v>
      </c>
      <c r="F35" s="1"/>
      <c r="G35" s="1" t="s">
        <v>432</v>
      </c>
      <c r="H35" s="1" t="s">
        <v>184</v>
      </c>
      <c r="I35" s="1" t="s">
        <v>433</v>
      </c>
      <c r="J35" s="1" t="s">
        <v>434</v>
      </c>
      <c r="K35" s="1" t="s">
        <v>435</v>
      </c>
      <c r="L35" s="1"/>
      <c r="M35" s="1" t="s">
        <v>105</v>
      </c>
      <c r="N35" s="1" t="s">
        <v>436</v>
      </c>
      <c r="O35" s="1"/>
      <c r="P35" s="1" t="s">
        <v>198</v>
      </c>
      <c r="Q35" s="1" t="s">
        <v>437</v>
      </c>
      <c r="R35" s="1"/>
      <c r="S35" s="1" t="s">
        <v>1909</v>
      </c>
      <c r="T35" s="1"/>
      <c r="U35" s="1" t="s">
        <v>189</v>
      </c>
      <c r="V35" s="1"/>
      <c r="W35" s="1"/>
      <c r="X35" s="1" t="s">
        <v>190</v>
      </c>
      <c r="Y35" s="1"/>
      <c r="Z35" s="1" t="s">
        <v>1910</v>
      </c>
      <c r="AA35" s="1" t="s">
        <v>262</v>
      </c>
      <c r="AB35" s="1" t="s">
        <v>192</v>
      </c>
      <c r="AC35" s="1"/>
      <c r="AD35" s="1" t="s">
        <v>1911</v>
      </c>
      <c r="AE35" s="1" t="s">
        <v>1912</v>
      </c>
    </row>
    <row r="36" spans="1:31" hidden="1" x14ac:dyDescent="0.25">
      <c r="A36" s="1" t="s">
        <v>1907</v>
      </c>
      <c r="B36" s="1" t="s">
        <v>1941</v>
      </c>
      <c r="C36" s="1" t="s">
        <v>438</v>
      </c>
      <c r="D36" s="1" t="s">
        <v>438</v>
      </c>
      <c r="E36" s="1" t="str">
        <f t="shared" si="0"/>
        <v>116</v>
      </c>
      <c r="F36" s="1"/>
      <c r="G36" s="1" t="s">
        <v>439</v>
      </c>
      <c r="H36" s="1" t="s">
        <v>184</v>
      </c>
      <c r="I36" s="1" t="s">
        <v>440</v>
      </c>
      <c r="J36" s="1" t="s">
        <v>441</v>
      </c>
      <c r="K36" s="1" t="s">
        <v>316</v>
      </c>
      <c r="L36" s="1"/>
      <c r="M36" s="1" t="s">
        <v>105</v>
      </c>
      <c r="N36" s="1"/>
      <c r="O36" s="1"/>
      <c r="P36" s="1"/>
      <c r="Q36" s="1" t="s">
        <v>442</v>
      </c>
      <c r="R36" s="1"/>
      <c r="S36" s="1" t="s">
        <v>1909</v>
      </c>
      <c r="T36" s="1"/>
      <c r="U36" s="1" t="s">
        <v>200</v>
      </c>
      <c r="V36" s="1"/>
      <c r="W36" s="1"/>
      <c r="X36" s="1"/>
      <c r="Y36" s="1"/>
      <c r="Z36" s="1" t="s">
        <v>1910</v>
      </c>
      <c r="AA36" s="1" t="s">
        <v>191</v>
      </c>
      <c r="AB36" s="1" t="s">
        <v>192</v>
      </c>
      <c r="AC36" s="1"/>
      <c r="AD36" s="1" t="s">
        <v>1911</v>
      </c>
      <c r="AE36" s="1" t="s">
        <v>1912</v>
      </c>
    </row>
    <row r="37" spans="1:31" hidden="1" x14ac:dyDescent="0.25">
      <c r="A37" s="1" t="s">
        <v>1907</v>
      </c>
      <c r="B37" s="1" t="s">
        <v>1942</v>
      </c>
      <c r="C37" s="1" t="s">
        <v>443</v>
      </c>
      <c r="D37" s="1" t="s">
        <v>444</v>
      </c>
      <c r="E37" s="1" t="str">
        <f t="shared" si="0"/>
        <v>120</v>
      </c>
      <c r="F37" s="1"/>
      <c r="G37" s="1" t="s">
        <v>445</v>
      </c>
      <c r="H37" s="1" t="s">
        <v>222</v>
      </c>
      <c r="I37" s="1" t="s">
        <v>446</v>
      </c>
      <c r="J37" s="1" t="s">
        <v>447</v>
      </c>
      <c r="K37" s="1" t="s">
        <v>197</v>
      </c>
      <c r="L37" s="1"/>
      <c r="M37" s="1" t="s">
        <v>105</v>
      </c>
      <c r="N37" s="1"/>
      <c r="O37" s="1"/>
      <c r="P37" s="1"/>
      <c r="Q37" s="1" t="s">
        <v>448</v>
      </c>
      <c r="R37" s="1"/>
      <c r="S37" s="1" t="s">
        <v>1909</v>
      </c>
      <c r="T37" s="1"/>
      <c r="U37" s="1" t="s">
        <v>200</v>
      </c>
      <c r="V37" s="1"/>
      <c r="W37" s="1"/>
      <c r="X37" s="1"/>
      <c r="Y37" s="1"/>
      <c r="Z37" s="1" t="s">
        <v>1910</v>
      </c>
      <c r="AA37" s="1" t="s">
        <v>191</v>
      </c>
      <c r="AB37" s="1" t="s">
        <v>192</v>
      </c>
      <c r="AC37" s="1"/>
      <c r="AD37" s="1" t="s">
        <v>1911</v>
      </c>
      <c r="AE37" s="1" t="s">
        <v>1912</v>
      </c>
    </row>
    <row r="38" spans="1:31" hidden="1" x14ac:dyDescent="0.25">
      <c r="A38" s="1" t="s">
        <v>1907</v>
      </c>
      <c r="B38" s="1" t="s">
        <v>128</v>
      </c>
      <c r="C38" s="1" t="s">
        <v>449</v>
      </c>
      <c r="D38" s="1" t="s">
        <v>449</v>
      </c>
      <c r="E38" s="1" t="str">
        <f t="shared" si="0"/>
        <v>124</v>
      </c>
      <c r="F38" s="1"/>
      <c r="G38" s="1" t="s">
        <v>450</v>
      </c>
      <c r="H38" s="1" t="s">
        <v>184</v>
      </c>
      <c r="I38" s="1" t="s">
        <v>451</v>
      </c>
      <c r="J38" s="1" t="s">
        <v>452</v>
      </c>
      <c r="K38" s="1" t="s">
        <v>275</v>
      </c>
      <c r="L38" s="1"/>
      <c r="M38" s="1" t="s">
        <v>105</v>
      </c>
      <c r="N38" s="1" t="s">
        <v>453</v>
      </c>
      <c r="O38" s="1"/>
      <c r="P38" s="1"/>
      <c r="Q38" s="1" t="s">
        <v>454</v>
      </c>
      <c r="R38" s="1" t="s">
        <v>455</v>
      </c>
      <c r="S38" s="1" t="s">
        <v>1909</v>
      </c>
      <c r="T38" s="1" t="s">
        <v>456</v>
      </c>
      <c r="U38" s="1" t="s">
        <v>1910</v>
      </c>
      <c r="V38" s="1"/>
      <c r="W38" s="1"/>
      <c r="X38" s="1"/>
      <c r="Y38" s="1" t="s">
        <v>247</v>
      </c>
      <c r="Z38" s="1" t="s">
        <v>1910</v>
      </c>
      <c r="AA38" s="1" t="s">
        <v>191</v>
      </c>
      <c r="AB38" s="1" t="s">
        <v>192</v>
      </c>
      <c r="AC38" s="1"/>
      <c r="AD38" s="1" t="s">
        <v>1911</v>
      </c>
      <c r="AE38" s="1" t="s">
        <v>1912</v>
      </c>
    </row>
    <row r="39" spans="1:31" hidden="1" x14ac:dyDescent="0.25">
      <c r="A39" s="1" t="s">
        <v>1907</v>
      </c>
      <c r="B39" s="1" t="s">
        <v>1943</v>
      </c>
      <c r="C39" s="1" t="s">
        <v>457</v>
      </c>
      <c r="D39" s="1" t="s">
        <v>457</v>
      </c>
      <c r="E39" s="1" t="str">
        <f t="shared" si="0"/>
        <v>132</v>
      </c>
      <c r="F39" s="1"/>
      <c r="G39" s="1" t="s">
        <v>458</v>
      </c>
      <c r="H39" s="1" t="s">
        <v>184</v>
      </c>
      <c r="I39" s="1" t="s">
        <v>459</v>
      </c>
      <c r="J39" s="1" t="s">
        <v>460</v>
      </c>
      <c r="K39" s="1" t="s">
        <v>267</v>
      </c>
      <c r="L39" s="1" t="s">
        <v>198</v>
      </c>
      <c r="M39" s="1" t="s">
        <v>105</v>
      </c>
      <c r="N39" s="1"/>
      <c r="O39" s="1"/>
      <c r="P39" s="1"/>
      <c r="Q39" s="1" t="s">
        <v>461</v>
      </c>
      <c r="R39" s="1"/>
      <c r="S39" s="1" t="s">
        <v>1909</v>
      </c>
      <c r="T39" s="1" t="s">
        <v>462</v>
      </c>
      <c r="U39" s="1" t="s">
        <v>200</v>
      </c>
      <c r="V39" s="1"/>
      <c r="W39" s="1" t="s">
        <v>201</v>
      </c>
      <c r="X39" s="1" t="s">
        <v>463</v>
      </c>
      <c r="Y39" s="1" t="s">
        <v>464</v>
      </c>
      <c r="Z39" s="1" t="s">
        <v>1910</v>
      </c>
      <c r="AA39" s="1" t="s">
        <v>191</v>
      </c>
      <c r="AB39" s="1" t="s">
        <v>192</v>
      </c>
      <c r="AC39" s="1"/>
      <c r="AD39" s="1" t="s">
        <v>1911</v>
      </c>
      <c r="AE39" s="1" t="s">
        <v>1912</v>
      </c>
    </row>
    <row r="40" spans="1:31" hidden="1" x14ac:dyDescent="0.25">
      <c r="A40" s="1" t="s">
        <v>1907</v>
      </c>
      <c r="B40" s="1" t="s">
        <v>1944</v>
      </c>
      <c r="C40" s="1" t="s">
        <v>465</v>
      </c>
      <c r="D40" s="1" t="s">
        <v>466</v>
      </c>
      <c r="E40" s="1" t="str">
        <f t="shared" si="0"/>
        <v>136</v>
      </c>
      <c r="F40" s="1"/>
      <c r="G40" s="1" t="s">
        <v>467</v>
      </c>
      <c r="H40" s="1" t="s">
        <v>184</v>
      </c>
      <c r="I40" s="1" t="s">
        <v>468</v>
      </c>
      <c r="J40" s="1" t="s">
        <v>469</v>
      </c>
      <c r="K40" s="1" t="s">
        <v>470</v>
      </c>
      <c r="L40" s="1"/>
      <c r="M40" s="1" t="s">
        <v>105</v>
      </c>
      <c r="N40" s="1"/>
      <c r="O40" s="1"/>
      <c r="P40" s="1"/>
      <c r="Q40" s="1" t="s">
        <v>471</v>
      </c>
      <c r="R40" s="1"/>
      <c r="S40" s="1" t="s">
        <v>1909</v>
      </c>
      <c r="T40" s="1" t="s">
        <v>472</v>
      </c>
      <c r="U40" s="1" t="s">
        <v>210</v>
      </c>
      <c r="V40" s="1"/>
      <c r="W40" s="1" t="s">
        <v>201</v>
      </c>
      <c r="X40" s="1" t="s">
        <v>227</v>
      </c>
      <c r="Y40" s="1" t="s">
        <v>198</v>
      </c>
      <c r="Z40" s="1" t="s">
        <v>1910</v>
      </c>
      <c r="AA40" s="1" t="s">
        <v>191</v>
      </c>
      <c r="AB40" s="1" t="s">
        <v>192</v>
      </c>
      <c r="AC40" s="1"/>
      <c r="AD40" s="1" t="s">
        <v>1911</v>
      </c>
      <c r="AE40" s="1" t="s">
        <v>1912</v>
      </c>
    </row>
    <row r="41" spans="1:31" hidden="1" x14ac:dyDescent="0.25">
      <c r="A41" s="1" t="s">
        <v>1907</v>
      </c>
      <c r="B41" s="1" t="s">
        <v>1945</v>
      </c>
      <c r="C41" s="1" t="s">
        <v>473</v>
      </c>
      <c r="D41" s="1" t="s">
        <v>474</v>
      </c>
      <c r="E41" s="1" t="str">
        <f t="shared" si="0"/>
        <v>140</v>
      </c>
      <c r="F41" s="1"/>
      <c r="G41" s="1" t="s">
        <v>475</v>
      </c>
      <c r="H41" s="1" t="s">
        <v>184</v>
      </c>
      <c r="I41" s="1" t="s">
        <v>476</v>
      </c>
      <c r="J41" s="1" t="s">
        <v>477</v>
      </c>
      <c r="K41" s="1" t="s">
        <v>429</v>
      </c>
      <c r="L41" s="1"/>
      <c r="M41" s="1" t="s">
        <v>105</v>
      </c>
      <c r="N41" s="1"/>
      <c r="O41" s="1"/>
      <c r="P41" s="1"/>
      <c r="Q41" s="1" t="s">
        <v>478</v>
      </c>
      <c r="R41" s="1"/>
      <c r="S41" s="1" t="s">
        <v>1909</v>
      </c>
      <c r="T41" s="1"/>
      <c r="U41" s="1" t="s">
        <v>189</v>
      </c>
      <c r="V41" s="1"/>
      <c r="W41" s="1"/>
      <c r="X41" s="1" t="s">
        <v>190</v>
      </c>
      <c r="Y41" s="1"/>
      <c r="Z41" s="1" t="s">
        <v>1910</v>
      </c>
      <c r="AA41" s="1" t="s">
        <v>191</v>
      </c>
      <c r="AB41" s="1" t="s">
        <v>192</v>
      </c>
      <c r="AC41" s="1"/>
      <c r="AD41" s="1" t="s">
        <v>1911</v>
      </c>
      <c r="AE41" s="1" t="s">
        <v>1912</v>
      </c>
    </row>
    <row r="42" spans="1:31" hidden="1" x14ac:dyDescent="0.25">
      <c r="A42" s="1" t="s">
        <v>1907</v>
      </c>
      <c r="B42" s="1" t="s">
        <v>1946</v>
      </c>
      <c r="C42" s="1" t="s">
        <v>479</v>
      </c>
      <c r="D42" s="1" t="s">
        <v>479</v>
      </c>
      <c r="E42" s="1" t="str">
        <f t="shared" si="0"/>
        <v>144</v>
      </c>
      <c r="F42" s="1"/>
      <c r="G42" s="1" t="s">
        <v>480</v>
      </c>
      <c r="H42" s="1" t="s">
        <v>222</v>
      </c>
      <c r="I42" s="1" t="s">
        <v>481</v>
      </c>
      <c r="J42" s="1" t="s">
        <v>482</v>
      </c>
      <c r="K42" s="1" t="s">
        <v>208</v>
      </c>
      <c r="L42" s="1"/>
      <c r="M42" s="1" t="s">
        <v>105</v>
      </c>
      <c r="N42" s="1"/>
      <c r="O42" s="1"/>
      <c r="P42" s="1"/>
      <c r="Q42" s="1" t="s">
        <v>483</v>
      </c>
      <c r="R42" s="1"/>
      <c r="S42" s="1" t="s">
        <v>1909</v>
      </c>
      <c r="T42" s="1" t="s">
        <v>484</v>
      </c>
      <c r="U42" s="1" t="s">
        <v>189</v>
      </c>
      <c r="V42" s="1"/>
      <c r="W42" s="1"/>
      <c r="X42" s="1"/>
      <c r="Y42" s="1"/>
      <c r="Z42" s="1" t="s">
        <v>1910</v>
      </c>
      <c r="AA42" s="1" t="s">
        <v>191</v>
      </c>
      <c r="AB42" s="1" t="s">
        <v>192</v>
      </c>
      <c r="AC42" s="1"/>
      <c r="AD42" s="1" t="s">
        <v>1911</v>
      </c>
      <c r="AE42" s="1" t="s">
        <v>1912</v>
      </c>
    </row>
    <row r="43" spans="1:31" hidden="1" x14ac:dyDescent="0.25">
      <c r="A43" s="1" t="s">
        <v>1907</v>
      </c>
      <c r="B43" s="1" t="s">
        <v>1947</v>
      </c>
      <c r="C43" s="1" t="s">
        <v>485</v>
      </c>
      <c r="D43" s="1" t="s">
        <v>486</v>
      </c>
      <c r="E43" s="1" t="str">
        <f t="shared" si="0"/>
        <v>148</v>
      </c>
      <c r="F43" s="1"/>
      <c r="G43" s="1" t="s">
        <v>487</v>
      </c>
      <c r="H43" s="1" t="s">
        <v>184</v>
      </c>
      <c r="I43" s="1" t="s">
        <v>488</v>
      </c>
      <c r="J43" s="1" t="s">
        <v>489</v>
      </c>
      <c r="K43" s="1" t="s">
        <v>208</v>
      </c>
      <c r="L43" s="1"/>
      <c r="M43" s="1" t="s">
        <v>105</v>
      </c>
      <c r="N43" s="1"/>
      <c r="O43" s="1"/>
      <c r="P43" s="1"/>
      <c r="Q43" s="1" t="s">
        <v>490</v>
      </c>
      <c r="R43" s="1"/>
      <c r="S43" s="1" t="s">
        <v>1909</v>
      </c>
      <c r="T43" s="1"/>
      <c r="U43" s="1" t="s">
        <v>189</v>
      </c>
      <c r="V43" s="1"/>
      <c r="W43" s="1"/>
      <c r="X43" s="1"/>
      <c r="Y43" s="1"/>
      <c r="Z43" s="1" t="s">
        <v>1910</v>
      </c>
      <c r="AA43" s="1" t="s">
        <v>191</v>
      </c>
      <c r="AB43" s="1" t="s">
        <v>192</v>
      </c>
      <c r="AC43" s="1"/>
      <c r="AD43" s="1" t="s">
        <v>1911</v>
      </c>
      <c r="AE43" s="1" t="s">
        <v>1912</v>
      </c>
    </row>
    <row r="44" spans="1:31" hidden="1" x14ac:dyDescent="0.25">
      <c r="A44" s="1" t="s">
        <v>1907</v>
      </c>
      <c r="B44" s="1" t="s">
        <v>1948</v>
      </c>
      <c r="C44" s="1" t="s">
        <v>491</v>
      </c>
      <c r="D44" s="1" t="s">
        <v>491</v>
      </c>
      <c r="E44" s="1" t="str">
        <f t="shared" si="0"/>
        <v>152</v>
      </c>
      <c r="F44" s="1"/>
      <c r="G44" s="1" t="s">
        <v>492</v>
      </c>
      <c r="H44" s="1" t="s">
        <v>184</v>
      </c>
      <c r="I44" s="1" t="s">
        <v>493</v>
      </c>
      <c r="J44" s="1" t="s">
        <v>494</v>
      </c>
      <c r="K44" s="1" t="s">
        <v>495</v>
      </c>
      <c r="L44" s="1" t="s">
        <v>198</v>
      </c>
      <c r="M44" s="1" t="s">
        <v>105</v>
      </c>
      <c r="N44" s="1" t="s">
        <v>268</v>
      </c>
      <c r="O44" s="1"/>
      <c r="P44" s="1"/>
      <c r="Q44" s="1" t="s">
        <v>496</v>
      </c>
      <c r="R44" s="1"/>
      <c r="S44" s="1" t="s">
        <v>1909</v>
      </c>
      <c r="T44" s="1" t="s">
        <v>497</v>
      </c>
      <c r="U44" s="1" t="s">
        <v>210</v>
      </c>
      <c r="V44" s="1"/>
      <c r="W44" s="1"/>
      <c r="X44" s="1"/>
      <c r="Y44" s="1" t="s">
        <v>218</v>
      </c>
      <c r="Z44" s="1" t="s">
        <v>1910</v>
      </c>
      <c r="AA44" s="1" t="s">
        <v>191</v>
      </c>
      <c r="AB44" s="1" t="s">
        <v>192</v>
      </c>
      <c r="AC44" s="1"/>
      <c r="AD44" s="1" t="s">
        <v>1911</v>
      </c>
      <c r="AE44" s="1" t="s">
        <v>1912</v>
      </c>
    </row>
    <row r="45" spans="1:31" hidden="1" x14ac:dyDescent="0.25">
      <c r="A45" s="1" t="s">
        <v>1907</v>
      </c>
      <c r="B45" s="1" t="s">
        <v>1949</v>
      </c>
      <c r="C45" s="1" t="s">
        <v>498</v>
      </c>
      <c r="D45" s="1" t="s">
        <v>499</v>
      </c>
      <c r="E45" s="1" t="str">
        <f t="shared" si="0"/>
        <v>156</v>
      </c>
      <c r="F45" s="1"/>
      <c r="G45" s="1" t="s">
        <v>500</v>
      </c>
      <c r="H45" s="1" t="s">
        <v>184</v>
      </c>
      <c r="I45" s="1" t="s">
        <v>501</v>
      </c>
      <c r="J45" s="1" t="s">
        <v>502</v>
      </c>
      <c r="K45" s="1" t="s">
        <v>352</v>
      </c>
      <c r="L45" s="1"/>
      <c r="M45" s="1" t="s">
        <v>105</v>
      </c>
      <c r="N45" s="1"/>
      <c r="O45" s="1"/>
      <c r="P45" s="1"/>
      <c r="Q45" s="1" t="s">
        <v>503</v>
      </c>
      <c r="R45" s="1"/>
      <c r="S45" s="1" t="s">
        <v>1909</v>
      </c>
      <c r="T45" s="1" t="s">
        <v>504</v>
      </c>
      <c r="U45" s="1" t="s">
        <v>210</v>
      </c>
      <c r="V45" s="1"/>
      <c r="W45" s="1"/>
      <c r="X45" s="1"/>
      <c r="Y45" s="1" t="s">
        <v>464</v>
      </c>
      <c r="Z45" s="1" t="s">
        <v>1910</v>
      </c>
      <c r="AA45" s="1" t="s">
        <v>191</v>
      </c>
      <c r="AB45" s="1" t="s">
        <v>192</v>
      </c>
      <c r="AC45" s="1"/>
      <c r="AD45" s="1" t="s">
        <v>1911</v>
      </c>
      <c r="AE45" s="1" t="s">
        <v>1912</v>
      </c>
    </row>
    <row r="46" spans="1:31" hidden="1" x14ac:dyDescent="0.25">
      <c r="A46" s="1" t="s">
        <v>1907</v>
      </c>
      <c r="B46" s="1" t="s">
        <v>50</v>
      </c>
      <c r="C46" s="1" t="s">
        <v>505</v>
      </c>
      <c r="D46" s="1" t="s">
        <v>506</v>
      </c>
      <c r="E46" s="1" t="str">
        <f t="shared" si="0"/>
        <v>158</v>
      </c>
      <c r="F46" s="1"/>
      <c r="G46" s="1" t="s">
        <v>507</v>
      </c>
      <c r="H46" s="1" t="s">
        <v>184</v>
      </c>
      <c r="I46" s="1" t="s">
        <v>508</v>
      </c>
      <c r="J46" s="1" t="s">
        <v>509</v>
      </c>
      <c r="K46" s="1" t="s">
        <v>275</v>
      </c>
      <c r="L46" s="1"/>
      <c r="M46" s="1" t="s">
        <v>105</v>
      </c>
      <c r="N46" s="1"/>
      <c r="O46" s="1"/>
      <c r="P46" s="1"/>
      <c r="Q46" s="1" t="s">
        <v>510</v>
      </c>
      <c r="R46" s="1"/>
      <c r="S46" s="1" t="s">
        <v>1909</v>
      </c>
      <c r="T46" s="1" t="s">
        <v>511</v>
      </c>
      <c r="U46" s="1" t="s">
        <v>210</v>
      </c>
      <c r="V46" s="1"/>
      <c r="W46" s="1"/>
      <c r="X46" s="1"/>
      <c r="Y46" s="1"/>
      <c r="Z46" s="1" t="s">
        <v>1910</v>
      </c>
      <c r="AA46" s="1" t="s">
        <v>191</v>
      </c>
      <c r="AB46" s="1" t="s">
        <v>192</v>
      </c>
      <c r="AC46" s="1"/>
      <c r="AD46" s="1" t="s">
        <v>1911</v>
      </c>
      <c r="AE46" s="1" t="s">
        <v>1912</v>
      </c>
    </row>
    <row r="47" spans="1:31" hidden="1" x14ac:dyDescent="0.25">
      <c r="A47" s="1" t="s">
        <v>1907</v>
      </c>
      <c r="B47" s="1" t="s">
        <v>1950</v>
      </c>
      <c r="C47" s="1" t="s">
        <v>512</v>
      </c>
      <c r="D47" s="1" t="s">
        <v>513</v>
      </c>
      <c r="E47" s="1" t="str">
        <f t="shared" si="0"/>
        <v>162</v>
      </c>
      <c r="F47" s="1"/>
      <c r="G47" s="1" t="s">
        <v>514</v>
      </c>
      <c r="H47" s="1" t="s">
        <v>222</v>
      </c>
      <c r="I47" s="1" t="s">
        <v>515</v>
      </c>
      <c r="J47" s="1" t="s">
        <v>516</v>
      </c>
      <c r="K47" s="1" t="s">
        <v>208</v>
      </c>
      <c r="L47" s="1"/>
      <c r="M47" s="1" t="s">
        <v>105</v>
      </c>
      <c r="N47" s="1"/>
      <c r="O47" s="1"/>
      <c r="P47" s="1"/>
      <c r="Q47" s="1" t="s">
        <v>517</v>
      </c>
      <c r="R47" s="1"/>
      <c r="S47" s="1" t="s">
        <v>1909</v>
      </c>
      <c r="T47" s="1"/>
      <c r="U47" s="1" t="s">
        <v>189</v>
      </c>
      <c r="V47" s="1"/>
      <c r="W47" s="1" t="s">
        <v>201</v>
      </c>
      <c r="X47" s="1" t="s">
        <v>227</v>
      </c>
      <c r="Y47" s="1"/>
      <c r="Z47" s="1" t="s">
        <v>1910</v>
      </c>
      <c r="AA47" s="1" t="s">
        <v>228</v>
      </c>
      <c r="AB47" s="1" t="s">
        <v>192</v>
      </c>
      <c r="AC47" s="1"/>
      <c r="AD47" s="1" t="s">
        <v>1911</v>
      </c>
      <c r="AE47" s="1" t="s">
        <v>1912</v>
      </c>
    </row>
    <row r="48" spans="1:31" hidden="1" x14ac:dyDescent="0.25">
      <c r="A48" s="1" t="s">
        <v>1907</v>
      </c>
      <c r="B48" s="1" t="s">
        <v>1951</v>
      </c>
      <c r="C48" s="1" t="s">
        <v>518</v>
      </c>
      <c r="D48" s="1" t="s">
        <v>519</v>
      </c>
      <c r="E48" s="1" t="str">
        <f t="shared" si="0"/>
        <v>166</v>
      </c>
      <c r="F48" s="1"/>
      <c r="G48" s="1" t="s">
        <v>520</v>
      </c>
      <c r="H48" s="1" t="s">
        <v>222</v>
      </c>
      <c r="I48" s="1" t="s">
        <v>521</v>
      </c>
      <c r="J48" s="1" t="s">
        <v>522</v>
      </c>
      <c r="K48" s="1" t="s">
        <v>208</v>
      </c>
      <c r="L48" s="1"/>
      <c r="M48" s="1" t="s">
        <v>105</v>
      </c>
      <c r="N48" s="1"/>
      <c r="O48" s="1"/>
      <c r="P48" s="1"/>
      <c r="Q48" s="1" t="s">
        <v>455</v>
      </c>
      <c r="R48" s="1"/>
      <c r="S48" s="1" t="s">
        <v>1909</v>
      </c>
      <c r="T48" s="1"/>
      <c r="U48" s="1" t="s">
        <v>189</v>
      </c>
      <c r="V48" s="1"/>
      <c r="W48" s="1" t="s">
        <v>201</v>
      </c>
      <c r="X48" s="1" t="s">
        <v>227</v>
      </c>
      <c r="Y48" s="1"/>
      <c r="Z48" s="1" t="s">
        <v>1910</v>
      </c>
      <c r="AA48" s="1" t="s">
        <v>228</v>
      </c>
      <c r="AB48" s="1" t="s">
        <v>192</v>
      </c>
      <c r="AC48" s="1"/>
      <c r="AD48" s="1" t="s">
        <v>1911</v>
      </c>
      <c r="AE48" s="1" t="s">
        <v>1912</v>
      </c>
    </row>
    <row r="49" spans="1:31" hidden="1" x14ac:dyDescent="0.25">
      <c r="A49" s="1" t="s">
        <v>1907</v>
      </c>
      <c r="B49" s="1" t="s">
        <v>1952</v>
      </c>
      <c r="C49" s="1" t="s">
        <v>523</v>
      </c>
      <c r="D49" s="1" t="s">
        <v>523</v>
      </c>
      <c r="E49" s="1" t="str">
        <f t="shared" si="0"/>
        <v>170</v>
      </c>
      <c r="F49" s="1"/>
      <c r="G49" s="1" t="s">
        <v>524</v>
      </c>
      <c r="H49" s="1" t="s">
        <v>184</v>
      </c>
      <c r="I49" s="1" t="s">
        <v>525</v>
      </c>
      <c r="J49" s="1" t="s">
        <v>526</v>
      </c>
      <c r="K49" s="1" t="s">
        <v>197</v>
      </c>
      <c r="L49" s="1" t="s">
        <v>198</v>
      </c>
      <c r="M49" s="1" t="s">
        <v>105</v>
      </c>
      <c r="N49" s="1" t="s">
        <v>268</v>
      </c>
      <c r="O49" s="1"/>
      <c r="P49" s="1"/>
      <c r="Q49" s="1" t="s">
        <v>527</v>
      </c>
      <c r="R49" s="1"/>
      <c r="S49" s="1" t="s">
        <v>1909</v>
      </c>
      <c r="T49" s="1" t="s">
        <v>528</v>
      </c>
      <c r="U49" s="1" t="s">
        <v>210</v>
      </c>
      <c r="V49" s="1"/>
      <c r="W49" s="1"/>
      <c r="X49" s="1"/>
      <c r="Y49" s="1" t="s">
        <v>464</v>
      </c>
      <c r="Z49" s="1" t="s">
        <v>1910</v>
      </c>
      <c r="AA49" s="1" t="s">
        <v>191</v>
      </c>
      <c r="AB49" s="1" t="s">
        <v>192</v>
      </c>
      <c r="AC49" s="1"/>
      <c r="AD49" s="1" t="s">
        <v>1911</v>
      </c>
      <c r="AE49" s="1" t="s">
        <v>1912</v>
      </c>
    </row>
    <row r="50" spans="1:31" hidden="1" x14ac:dyDescent="0.25">
      <c r="A50" s="1" t="s">
        <v>1907</v>
      </c>
      <c r="B50" s="1" t="s">
        <v>1953</v>
      </c>
      <c r="C50" s="1" t="s">
        <v>529</v>
      </c>
      <c r="D50" s="1" t="s">
        <v>530</v>
      </c>
      <c r="E50" s="1" t="str">
        <f t="shared" si="0"/>
        <v>174</v>
      </c>
      <c r="F50" s="1"/>
      <c r="G50" s="1" t="s">
        <v>531</v>
      </c>
      <c r="H50" s="1" t="s">
        <v>184</v>
      </c>
      <c r="I50" s="1" t="s">
        <v>532</v>
      </c>
      <c r="J50" s="1" t="s">
        <v>533</v>
      </c>
      <c r="K50" s="1" t="s">
        <v>197</v>
      </c>
      <c r="L50" s="1"/>
      <c r="M50" s="1" t="s">
        <v>105</v>
      </c>
      <c r="N50" s="1"/>
      <c r="O50" s="1"/>
      <c r="P50" s="1"/>
      <c r="Q50" s="1" t="s">
        <v>534</v>
      </c>
      <c r="R50" s="1"/>
      <c r="S50" s="1" t="s">
        <v>1909</v>
      </c>
      <c r="T50" s="1"/>
      <c r="U50" s="1" t="s">
        <v>189</v>
      </c>
      <c r="V50" s="1"/>
      <c r="W50" s="1"/>
      <c r="X50" s="1"/>
      <c r="Y50" s="1"/>
      <c r="Z50" s="1" t="s">
        <v>1910</v>
      </c>
      <c r="AA50" s="1" t="s">
        <v>191</v>
      </c>
      <c r="AB50" s="1" t="s">
        <v>192</v>
      </c>
      <c r="AC50" s="1"/>
      <c r="AD50" s="1" t="s">
        <v>1911</v>
      </c>
      <c r="AE50" s="1" t="s">
        <v>1912</v>
      </c>
    </row>
    <row r="51" spans="1:31" hidden="1" x14ac:dyDescent="0.25">
      <c r="A51" s="1" t="s">
        <v>1907</v>
      </c>
      <c r="B51" s="1" t="s">
        <v>1954</v>
      </c>
      <c r="C51" s="1" t="s">
        <v>535</v>
      </c>
      <c r="D51" s="1" t="s">
        <v>535</v>
      </c>
      <c r="E51" s="1" t="str">
        <f t="shared" si="0"/>
        <v>175</v>
      </c>
      <c r="F51" s="1"/>
      <c r="G51" s="1" t="s">
        <v>536</v>
      </c>
      <c r="H51" s="1" t="s">
        <v>184</v>
      </c>
      <c r="I51" s="1" t="s">
        <v>537</v>
      </c>
      <c r="J51" s="1" t="s">
        <v>538</v>
      </c>
      <c r="K51" s="1" t="s">
        <v>208</v>
      </c>
      <c r="L51" s="1"/>
      <c r="M51" s="1" t="s">
        <v>105</v>
      </c>
      <c r="N51" s="1"/>
      <c r="O51" s="1"/>
      <c r="P51" s="1"/>
      <c r="Q51" s="1" t="s">
        <v>539</v>
      </c>
      <c r="R51" s="1"/>
      <c r="S51" s="1" t="s">
        <v>1909</v>
      </c>
      <c r="T51" s="1"/>
      <c r="U51" s="1" t="s">
        <v>210</v>
      </c>
      <c r="V51" s="1"/>
      <c r="W51" s="1" t="s">
        <v>201</v>
      </c>
      <c r="X51" s="1" t="s">
        <v>201</v>
      </c>
      <c r="Y51" s="1"/>
      <c r="Z51" s="1" t="s">
        <v>1910</v>
      </c>
      <c r="AA51" s="1" t="s">
        <v>540</v>
      </c>
      <c r="AB51" s="1" t="s">
        <v>192</v>
      </c>
      <c r="AC51" s="1"/>
      <c r="AD51" s="1" t="s">
        <v>1911</v>
      </c>
      <c r="AE51" s="1" t="s">
        <v>1912</v>
      </c>
    </row>
    <row r="52" spans="1:31" hidden="1" x14ac:dyDescent="0.25">
      <c r="A52" s="1" t="s">
        <v>1907</v>
      </c>
      <c r="B52" s="1" t="s">
        <v>1955</v>
      </c>
      <c r="C52" s="1" t="s">
        <v>541</v>
      </c>
      <c r="D52" s="1" t="s">
        <v>541</v>
      </c>
      <c r="E52" s="1" t="str">
        <f t="shared" si="0"/>
        <v>178</v>
      </c>
      <c r="F52" s="1"/>
      <c r="G52" s="1" t="s">
        <v>542</v>
      </c>
      <c r="H52" s="1" t="s">
        <v>184</v>
      </c>
      <c r="I52" s="1" t="s">
        <v>543</v>
      </c>
      <c r="J52" s="1" t="s">
        <v>544</v>
      </c>
      <c r="K52" s="1" t="s">
        <v>197</v>
      </c>
      <c r="L52" s="1"/>
      <c r="M52" s="1" t="s">
        <v>105</v>
      </c>
      <c r="N52" s="1"/>
      <c r="O52" s="1"/>
      <c r="P52" s="1"/>
      <c r="Q52" s="1" t="s">
        <v>545</v>
      </c>
      <c r="R52" s="1"/>
      <c r="S52" s="1" t="s">
        <v>1909</v>
      </c>
      <c r="T52" s="1"/>
      <c r="U52" s="1" t="s">
        <v>189</v>
      </c>
      <c r="V52" s="1"/>
      <c r="W52" s="1"/>
      <c r="X52" s="1"/>
      <c r="Y52" s="1"/>
      <c r="Z52" s="1" t="s">
        <v>1910</v>
      </c>
      <c r="AA52" s="1" t="s">
        <v>191</v>
      </c>
      <c r="AB52" s="1" t="s">
        <v>192</v>
      </c>
      <c r="AC52" s="1"/>
      <c r="AD52" s="1" t="s">
        <v>1911</v>
      </c>
      <c r="AE52" s="1" t="s">
        <v>1912</v>
      </c>
    </row>
    <row r="53" spans="1:31" hidden="1" x14ac:dyDescent="0.25">
      <c r="A53" s="1" t="s">
        <v>1907</v>
      </c>
      <c r="B53" s="1" t="s">
        <v>1956</v>
      </c>
      <c r="C53" s="1" t="s">
        <v>546</v>
      </c>
      <c r="D53" s="1" t="s">
        <v>547</v>
      </c>
      <c r="E53" s="1" t="str">
        <f t="shared" si="0"/>
        <v>180</v>
      </c>
      <c r="F53" s="1"/>
      <c r="G53" s="1" t="s">
        <v>548</v>
      </c>
      <c r="H53" s="1" t="s">
        <v>184</v>
      </c>
      <c r="I53" s="1" t="s">
        <v>549</v>
      </c>
      <c r="J53" s="1" t="s">
        <v>550</v>
      </c>
      <c r="K53" s="1" t="s">
        <v>352</v>
      </c>
      <c r="L53" s="1" t="s">
        <v>198</v>
      </c>
      <c r="M53" s="1" t="s">
        <v>105</v>
      </c>
      <c r="N53" s="1"/>
      <c r="O53" s="1"/>
      <c r="P53" s="1"/>
      <c r="Q53" s="1" t="s">
        <v>551</v>
      </c>
      <c r="R53" s="1"/>
      <c r="S53" s="1" t="s">
        <v>1909</v>
      </c>
      <c r="T53" s="1"/>
      <c r="U53" s="1" t="s">
        <v>189</v>
      </c>
      <c r="V53" s="1"/>
      <c r="W53" s="1"/>
      <c r="X53" s="1" t="s">
        <v>190</v>
      </c>
      <c r="Y53" s="1"/>
      <c r="Z53" s="1" t="s">
        <v>1910</v>
      </c>
      <c r="AA53" s="1" t="s">
        <v>191</v>
      </c>
      <c r="AB53" s="1" t="s">
        <v>192</v>
      </c>
      <c r="AC53" s="1"/>
      <c r="AD53" s="1" t="s">
        <v>1911</v>
      </c>
      <c r="AE53" s="1" t="s">
        <v>1912</v>
      </c>
    </row>
    <row r="54" spans="1:31" hidden="1" x14ac:dyDescent="0.25">
      <c r="A54" s="1" t="s">
        <v>1907</v>
      </c>
      <c r="B54" s="1" t="s">
        <v>1957</v>
      </c>
      <c r="C54" s="1" t="s">
        <v>552</v>
      </c>
      <c r="D54" s="1" t="s">
        <v>553</v>
      </c>
      <c r="E54" s="1" t="str">
        <f t="shared" si="0"/>
        <v>184</v>
      </c>
      <c r="F54" s="1"/>
      <c r="G54" s="1" t="s">
        <v>554</v>
      </c>
      <c r="H54" s="1" t="s">
        <v>184</v>
      </c>
      <c r="I54" s="1" t="s">
        <v>555</v>
      </c>
      <c r="J54" s="1" t="s">
        <v>556</v>
      </c>
      <c r="K54" s="1" t="s">
        <v>233</v>
      </c>
      <c r="L54" s="1"/>
      <c r="M54" s="1" t="s">
        <v>105</v>
      </c>
      <c r="N54" s="1"/>
      <c r="O54" s="1"/>
      <c r="P54" s="1"/>
      <c r="Q54" s="1" t="s">
        <v>557</v>
      </c>
      <c r="R54" s="1"/>
      <c r="S54" s="1" t="s">
        <v>1909</v>
      </c>
      <c r="T54" s="1"/>
      <c r="U54" s="1" t="s">
        <v>210</v>
      </c>
      <c r="V54" s="1"/>
      <c r="W54" s="1" t="s">
        <v>201</v>
      </c>
      <c r="X54" s="1" t="s">
        <v>227</v>
      </c>
      <c r="Y54" s="1"/>
      <c r="Z54" s="1" t="s">
        <v>1910</v>
      </c>
      <c r="AA54" s="1" t="s">
        <v>228</v>
      </c>
      <c r="AB54" s="1" t="s">
        <v>192</v>
      </c>
      <c r="AC54" s="1"/>
      <c r="AD54" s="1" t="s">
        <v>1911</v>
      </c>
      <c r="AE54" s="1" t="s">
        <v>1912</v>
      </c>
    </row>
    <row r="55" spans="1:31" hidden="1" x14ac:dyDescent="0.25">
      <c r="A55" s="1" t="s">
        <v>1907</v>
      </c>
      <c r="B55" s="1" t="s">
        <v>1958</v>
      </c>
      <c r="C55" s="1" t="s">
        <v>558</v>
      </c>
      <c r="D55" s="1" t="s">
        <v>558</v>
      </c>
      <c r="E55" s="1" t="str">
        <f t="shared" si="0"/>
        <v>188</v>
      </c>
      <c r="F55" s="1"/>
      <c r="G55" s="1" t="s">
        <v>559</v>
      </c>
      <c r="H55" s="1" t="s">
        <v>184</v>
      </c>
      <c r="I55" s="1" t="s">
        <v>560</v>
      </c>
      <c r="J55" s="1" t="s">
        <v>561</v>
      </c>
      <c r="K55" s="1" t="s">
        <v>197</v>
      </c>
      <c r="L55" s="1" t="s">
        <v>198</v>
      </c>
      <c r="M55" s="1" t="s">
        <v>105</v>
      </c>
      <c r="N55" s="1" t="s">
        <v>562</v>
      </c>
      <c r="O55" s="1"/>
      <c r="P55" s="1" t="s">
        <v>198</v>
      </c>
      <c r="Q55" s="1" t="s">
        <v>563</v>
      </c>
      <c r="R55" s="1"/>
      <c r="S55" s="1" t="s">
        <v>1909</v>
      </c>
      <c r="T55" s="1" t="s">
        <v>564</v>
      </c>
      <c r="U55" s="1" t="s">
        <v>217</v>
      </c>
      <c r="V55" s="1"/>
      <c r="W55" s="1" t="s">
        <v>201</v>
      </c>
      <c r="X55" s="1" t="s">
        <v>227</v>
      </c>
      <c r="Y55" s="1"/>
      <c r="Z55" s="1" t="s">
        <v>1910</v>
      </c>
      <c r="AA55" s="1" t="s">
        <v>301</v>
      </c>
      <c r="AB55" s="1" t="s">
        <v>192</v>
      </c>
      <c r="AC55" s="1"/>
      <c r="AD55" s="1" t="s">
        <v>1911</v>
      </c>
      <c r="AE55" s="1" t="s">
        <v>1912</v>
      </c>
    </row>
    <row r="56" spans="1:31" hidden="1" x14ac:dyDescent="0.25">
      <c r="A56" s="1" t="s">
        <v>1907</v>
      </c>
      <c r="B56" s="1" t="s">
        <v>57</v>
      </c>
      <c r="C56" s="1" t="s">
        <v>565</v>
      </c>
      <c r="D56" s="1" t="s">
        <v>566</v>
      </c>
      <c r="E56" s="1" t="str">
        <f t="shared" si="0"/>
        <v>191</v>
      </c>
      <c r="F56" s="1"/>
      <c r="G56" s="1" t="s">
        <v>567</v>
      </c>
      <c r="H56" s="1" t="s">
        <v>184</v>
      </c>
      <c r="I56" s="1" t="s">
        <v>568</v>
      </c>
      <c r="J56" s="1" t="s">
        <v>569</v>
      </c>
      <c r="K56" s="1" t="s">
        <v>495</v>
      </c>
      <c r="L56" s="1"/>
      <c r="M56" s="1" t="s">
        <v>106</v>
      </c>
      <c r="N56" s="1" t="s">
        <v>282</v>
      </c>
      <c r="O56" s="1" t="s">
        <v>283</v>
      </c>
      <c r="P56" s="1" t="s">
        <v>284</v>
      </c>
      <c r="Q56" s="1" t="s">
        <v>570</v>
      </c>
      <c r="R56" s="1"/>
      <c r="S56" s="1" t="s">
        <v>1909</v>
      </c>
      <c r="T56" s="1"/>
      <c r="U56" s="1" t="s">
        <v>210</v>
      </c>
      <c r="V56" s="1"/>
      <c r="W56" s="1" t="s">
        <v>198</v>
      </c>
      <c r="X56" s="1" t="s">
        <v>201</v>
      </c>
      <c r="Y56" s="1" t="s">
        <v>464</v>
      </c>
      <c r="Z56" s="1" t="s">
        <v>1910</v>
      </c>
      <c r="AA56" s="1" t="s">
        <v>571</v>
      </c>
      <c r="AB56" s="1" t="s">
        <v>192</v>
      </c>
      <c r="AC56" s="1"/>
      <c r="AD56" s="1" t="s">
        <v>1911</v>
      </c>
      <c r="AE56" s="1" t="s">
        <v>1912</v>
      </c>
    </row>
    <row r="57" spans="1:31" hidden="1" x14ac:dyDescent="0.25">
      <c r="A57" s="1" t="s">
        <v>1907</v>
      </c>
      <c r="B57" s="1" t="s">
        <v>1959</v>
      </c>
      <c r="C57" s="1" t="s">
        <v>572</v>
      </c>
      <c r="D57" s="1" t="s">
        <v>572</v>
      </c>
      <c r="E57" s="1" t="str">
        <f t="shared" si="0"/>
        <v>192</v>
      </c>
      <c r="F57" s="1"/>
      <c r="G57" s="1" t="s">
        <v>573</v>
      </c>
      <c r="H57" s="1" t="s">
        <v>222</v>
      </c>
      <c r="I57" s="1" t="s">
        <v>574</v>
      </c>
      <c r="J57" s="1" t="s">
        <v>575</v>
      </c>
      <c r="K57" s="1" t="s">
        <v>576</v>
      </c>
      <c r="L57" s="1"/>
      <c r="M57" s="1" t="s">
        <v>105</v>
      </c>
      <c r="N57" s="1" t="s">
        <v>268</v>
      </c>
      <c r="O57" s="1"/>
      <c r="P57" s="1"/>
      <c r="Q57" s="1" t="s">
        <v>577</v>
      </c>
      <c r="R57" s="1"/>
      <c r="S57" s="1" t="s">
        <v>1909</v>
      </c>
      <c r="T57" s="1" t="s">
        <v>578</v>
      </c>
      <c r="U57" s="1" t="s">
        <v>189</v>
      </c>
      <c r="V57" s="1"/>
      <c r="W57" s="1" t="s">
        <v>201</v>
      </c>
      <c r="X57" s="1" t="s">
        <v>201</v>
      </c>
      <c r="Y57" s="1" t="s">
        <v>464</v>
      </c>
      <c r="Z57" s="1" t="s">
        <v>1910</v>
      </c>
      <c r="AA57" s="1" t="s">
        <v>191</v>
      </c>
      <c r="AB57" s="1" t="s">
        <v>192</v>
      </c>
      <c r="AC57" s="1"/>
      <c r="AD57" s="1" t="s">
        <v>1911</v>
      </c>
      <c r="AE57" s="1" t="s">
        <v>1912</v>
      </c>
    </row>
    <row r="58" spans="1:31" hidden="1" x14ac:dyDescent="0.25">
      <c r="A58" s="1" t="s">
        <v>1907</v>
      </c>
      <c r="B58" s="1" t="s">
        <v>58</v>
      </c>
      <c r="C58" s="1" t="s">
        <v>579</v>
      </c>
      <c r="D58" s="1" t="s">
        <v>580</v>
      </c>
      <c r="E58" s="1" t="str">
        <f t="shared" si="0"/>
        <v>196</v>
      </c>
      <c r="F58" s="1"/>
      <c r="G58" s="1" t="s">
        <v>581</v>
      </c>
      <c r="H58" s="1" t="s">
        <v>184</v>
      </c>
      <c r="I58" s="1" t="s">
        <v>582</v>
      </c>
      <c r="J58" s="1" t="s">
        <v>583</v>
      </c>
      <c r="K58" s="1" t="s">
        <v>584</v>
      </c>
      <c r="L58" s="1"/>
      <c r="M58" s="1" t="s">
        <v>105</v>
      </c>
      <c r="N58" s="1" t="s">
        <v>282</v>
      </c>
      <c r="O58" s="1" t="s">
        <v>283</v>
      </c>
      <c r="P58" s="1" t="s">
        <v>284</v>
      </c>
      <c r="Q58" s="1" t="s">
        <v>585</v>
      </c>
      <c r="R58" s="1"/>
      <c r="S58" s="1" t="s">
        <v>1909</v>
      </c>
      <c r="T58" s="1" t="s">
        <v>586</v>
      </c>
      <c r="U58" s="1" t="s">
        <v>210</v>
      </c>
      <c r="V58" s="1"/>
      <c r="W58" s="1" t="s">
        <v>198</v>
      </c>
      <c r="X58" s="1" t="s">
        <v>463</v>
      </c>
      <c r="Y58" s="1" t="s">
        <v>587</v>
      </c>
      <c r="Z58" s="1" t="s">
        <v>1910</v>
      </c>
      <c r="AA58" s="1" t="s">
        <v>588</v>
      </c>
      <c r="AB58" s="1" t="s">
        <v>192</v>
      </c>
      <c r="AC58" s="1"/>
      <c r="AD58" s="1" t="s">
        <v>1911</v>
      </c>
      <c r="AE58" s="1" t="s">
        <v>1912</v>
      </c>
    </row>
    <row r="59" spans="1:31" hidden="1" x14ac:dyDescent="0.25">
      <c r="A59" s="1" t="s">
        <v>1907</v>
      </c>
      <c r="B59" s="1" t="s">
        <v>139</v>
      </c>
      <c r="C59" s="1" t="s">
        <v>589</v>
      </c>
      <c r="D59" s="1" t="s">
        <v>590</v>
      </c>
      <c r="E59" s="1" t="str">
        <f t="shared" si="0"/>
        <v>203</v>
      </c>
      <c r="F59" s="1"/>
      <c r="G59" s="1" t="s">
        <v>591</v>
      </c>
      <c r="H59" s="1" t="s">
        <v>184</v>
      </c>
      <c r="I59" s="1" t="s">
        <v>592</v>
      </c>
      <c r="J59" s="1" t="s">
        <v>593</v>
      </c>
      <c r="K59" s="1" t="s">
        <v>495</v>
      </c>
      <c r="L59" s="1"/>
      <c r="M59" s="1" t="s">
        <v>106</v>
      </c>
      <c r="N59" s="1" t="s">
        <v>282</v>
      </c>
      <c r="O59" s="1" t="s">
        <v>414</v>
      </c>
      <c r="P59" s="1" t="s">
        <v>284</v>
      </c>
      <c r="Q59" s="1" t="s">
        <v>594</v>
      </c>
      <c r="R59" s="1"/>
      <c r="S59" s="1" t="s">
        <v>1909</v>
      </c>
      <c r="T59" s="1" t="s">
        <v>595</v>
      </c>
      <c r="U59" s="1" t="s">
        <v>210</v>
      </c>
      <c r="V59" s="1"/>
      <c r="W59" s="1" t="s">
        <v>198</v>
      </c>
      <c r="X59" s="1" t="s">
        <v>201</v>
      </c>
      <c r="Y59" s="1" t="s">
        <v>239</v>
      </c>
      <c r="Z59" s="1" t="s">
        <v>1910</v>
      </c>
      <c r="AA59" s="1" t="s">
        <v>596</v>
      </c>
      <c r="AB59" s="1" t="s">
        <v>192</v>
      </c>
      <c r="AC59" s="1"/>
      <c r="AD59" s="1" t="s">
        <v>1911</v>
      </c>
      <c r="AE59" s="1" t="s">
        <v>1912</v>
      </c>
    </row>
    <row r="60" spans="1:31" hidden="1" x14ac:dyDescent="0.25">
      <c r="A60" s="1" t="s">
        <v>1907</v>
      </c>
      <c r="B60" s="1" t="s">
        <v>1960</v>
      </c>
      <c r="C60" s="1" t="s">
        <v>597</v>
      </c>
      <c r="D60" s="1" t="s">
        <v>597</v>
      </c>
      <c r="E60" s="1" t="str">
        <f t="shared" si="0"/>
        <v>204</v>
      </c>
      <c r="F60" s="1"/>
      <c r="G60" s="1" t="s">
        <v>598</v>
      </c>
      <c r="H60" s="1" t="s">
        <v>222</v>
      </c>
      <c r="I60" s="1" t="s">
        <v>599</v>
      </c>
      <c r="J60" s="1" t="s">
        <v>600</v>
      </c>
      <c r="K60" s="1" t="s">
        <v>208</v>
      </c>
      <c r="L60" s="1"/>
      <c r="M60" s="1" t="s">
        <v>105</v>
      </c>
      <c r="N60" s="1"/>
      <c r="O60" s="1"/>
      <c r="P60" s="1"/>
      <c r="Q60" s="1" t="s">
        <v>601</v>
      </c>
      <c r="R60" s="1"/>
      <c r="S60" s="1" t="s">
        <v>1909</v>
      </c>
      <c r="T60" s="1"/>
      <c r="U60" s="1" t="s">
        <v>200</v>
      </c>
      <c r="V60" s="1"/>
      <c r="W60" s="1"/>
      <c r="X60" s="1"/>
      <c r="Y60" s="1"/>
      <c r="Z60" s="1" t="s">
        <v>1910</v>
      </c>
      <c r="AA60" s="1" t="s">
        <v>191</v>
      </c>
      <c r="AB60" s="1" t="s">
        <v>192</v>
      </c>
      <c r="AC60" s="1"/>
      <c r="AD60" s="1" t="s">
        <v>1911</v>
      </c>
      <c r="AE60" s="1" t="s">
        <v>1912</v>
      </c>
    </row>
    <row r="61" spans="1:31" hidden="1" x14ac:dyDescent="0.25">
      <c r="A61" s="1" t="s">
        <v>1907</v>
      </c>
      <c r="B61" s="1" t="s">
        <v>125</v>
      </c>
      <c r="C61" s="1" t="s">
        <v>602</v>
      </c>
      <c r="D61" s="1" t="s">
        <v>603</v>
      </c>
      <c r="E61" s="1" t="str">
        <f t="shared" si="0"/>
        <v>208</v>
      </c>
      <c r="F61" s="1"/>
      <c r="G61" s="1" t="s">
        <v>604</v>
      </c>
      <c r="H61" s="1" t="s">
        <v>184</v>
      </c>
      <c r="I61" s="1" t="s">
        <v>605</v>
      </c>
      <c r="J61" s="1" t="s">
        <v>606</v>
      </c>
      <c r="K61" s="1" t="s">
        <v>275</v>
      </c>
      <c r="L61" s="1"/>
      <c r="M61" s="1" t="s">
        <v>109</v>
      </c>
      <c r="N61" s="1" t="s">
        <v>282</v>
      </c>
      <c r="O61" s="1" t="s">
        <v>414</v>
      </c>
      <c r="P61" s="1" t="s">
        <v>284</v>
      </c>
      <c r="Q61" s="1" t="s">
        <v>607</v>
      </c>
      <c r="R61" s="1"/>
      <c r="S61" s="1" t="s">
        <v>1909</v>
      </c>
      <c r="T61" s="1" t="s">
        <v>608</v>
      </c>
      <c r="U61" s="1" t="s">
        <v>1910</v>
      </c>
      <c r="V61" s="1"/>
      <c r="W61" s="1" t="s">
        <v>198</v>
      </c>
      <c r="X61" s="1" t="s">
        <v>198</v>
      </c>
      <c r="Y61" s="1" t="s">
        <v>587</v>
      </c>
      <c r="Z61" s="1" t="s">
        <v>1910</v>
      </c>
      <c r="AA61" s="1" t="s">
        <v>609</v>
      </c>
      <c r="AB61" s="1" t="s">
        <v>192</v>
      </c>
      <c r="AC61" s="1"/>
      <c r="AD61" s="1" t="s">
        <v>1911</v>
      </c>
      <c r="AE61" s="1" t="s">
        <v>1912</v>
      </c>
    </row>
    <row r="62" spans="1:31" hidden="1" x14ac:dyDescent="0.25">
      <c r="A62" s="1" t="s">
        <v>1907</v>
      </c>
      <c r="B62" s="1" t="s">
        <v>1961</v>
      </c>
      <c r="C62" s="1" t="s">
        <v>610</v>
      </c>
      <c r="D62" s="1" t="s">
        <v>610</v>
      </c>
      <c r="E62" s="1" t="str">
        <f t="shared" si="0"/>
        <v>212</v>
      </c>
      <c r="F62" s="1"/>
      <c r="G62" s="1" t="s">
        <v>611</v>
      </c>
      <c r="H62" s="1" t="s">
        <v>184</v>
      </c>
      <c r="I62" s="1" t="s">
        <v>612</v>
      </c>
      <c r="J62" s="1" t="s">
        <v>613</v>
      </c>
      <c r="K62" s="1" t="s">
        <v>225</v>
      </c>
      <c r="L62" s="1"/>
      <c r="M62" s="1" t="s">
        <v>105</v>
      </c>
      <c r="N62" s="1"/>
      <c r="O62" s="1"/>
      <c r="P62" s="1"/>
      <c r="Q62" s="1" t="s">
        <v>614</v>
      </c>
      <c r="R62" s="1"/>
      <c r="S62" s="1" t="s">
        <v>1909</v>
      </c>
      <c r="T62" s="1" t="s">
        <v>615</v>
      </c>
      <c r="U62" s="1" t="s">
        <v>200</v>
      </c>
      <c r="V62" s="1"/>
      <c r="W62" s="1" t="s">
        <v>201</v>
      </c>
      <c r="X62" s="1" t="s">
        <v>227</v>
      </c>
      <c r="Y62" s="1"/>
      <c r="Z62" s="1" t="s">
        <v>1910</v>
      </c>
      <c r="AA62" s="1" t="s">
        <v>191</v>
      </c>
      <c r="AB62" s="1" t="s">
        <v>192</v>
      </c>
      <c r="AC62" s="1"/>
      <c r="AD62" s="1" t="s">
        <v>1911</v>
      </c>
      <c r="AE62" s="1" t="s">
        <v>1912</v>
      </c>
    </row>
    <row r="63" spans="1:31" hidden="1" x14ac:dyDescent="0.25">
      <c r="A63" s="1" t="s">
        <v>1907</v>
      </c>
      <c r="B63" s="1" t="s">
        <v>1962</v>
      </c>
      <c r="C63" s="1" t="s">
        <v>616</v>
      </c>
      <c r="D63" s="1" t="s">
        <v>617</v>
      </c>
      <c r="E63" s="1" t="str">
        <f t="shared" si="0"/>
        <v>214</v>
      </c>
      <c r="F63" s="1"/>
      <c r="G63" s="1" t="s">
        <v>618</v>
      </c>
      <c r="H63" s="1" t="s">
        <v>222</v>
      </c>
      <c r="I63" s="1" t="s">
        <v>619</v>
      </c>
      <c r="J63" s="1" t="s">
        <v>620</v>
      </c>
      <c r="K63" s="1" t="s">
        <v>197</v>
      </c>
      <c r="L63" s="1" t="s">
        <v>198</v>
      </c>
      <c r="M63" s="1" t="s">
        <v>105</v>
      </c>
      <c r="N63" s="1" t="s">
        <v>268</v>
      </c>
      <c r="O63" s="1"/>
      <c r="P63" s="1"/>
      <c r="Q63" s="1" t="s">
        <v>621</v>
      </c>
      <c r="R63" s="1"/>
      <c r="S63" s="1" t="s">
        <v>1909</v>
      </c>
      <c r="T63" s="1"/>
      <c r="U63" s="1" t="s">
        <v>217</v>
      </c>
      <c r="V63" s="1"/>
      <c r="W63" s="1"/>
      <c r="X63" s="1"/>
      <c r="Y63" s="1"/>
      <c r="Z63" s="1" t="s">
        <v>1910</v>
      </c>
      <c r="AA63" s="1" t="s">
        <v>262</v>
      </c>
      <c r="AB63" s="1" t="s">
        <v>192</v>
      </c>
      <c r="AC63" s="1"/>
      <c r="AD63" s="1" t="s">
        <v>1911</v>
      </c>
      <c r="AE63" s="1" t="s">
        <v>1912</v>
      </c>
    </row>
    <row r="64" spans="1:31" hidden="1" x14ac:dyDescent="0.25">
      <c r="A64" s="1" t="s">
        <v>1907</v>
      </c>
      <c r="B64" s="1" t="s">
        <v>1963</v>
      </c>
      <c r="C64" s="1" t="s">
        <v>622</v>
      </c>
      <c r="D64" s="1" t="s">
        <v>622</v>
      </c>
      <c r="E64" s="1" t="str">
        <f t="shared" si="0"/>
        <v>216</v>
      </c>
      <c r="F64" s="1"/>
      <c r="G64" s="1" t="s">
        <v>623</v>
      </c>
      <c r="H64" s="1" t="s">
        <v>184</v>
      </c>
      <c r="I64" s="1" t="s">
        <v>624</v>
      </c>
      <c r="J64" s="1" t="s">
        <v>625</v>
      </c>
      <c r="K64" s="1"/>
      <c r="L64" s="1"/>
      <c r="M64" s="1" t="s">
        <v>112</v>
      </c>
      <c r="N64" s="1"/>
      <c r="O64" s="1"/>
      <c r="P64" s="1"/>
      <c r="Q64" s="1" t="s">
        <v>626</v>
      </c>
      <c r="R64" s="1"/>
      <c r="S64" s="1" t="s">
        <v>1909</v>
      </c>
      <c r="T64" s="1"/>
      <c r="U64" s="1" t="s">
        <v>210</v>
      </c>
      <c r="V64" s="1"/>
      <c r="W64" s="1" t="s">
        <v>201</v>
      </c>
      <c r="X64" s="1" t="s">
        <v>201</v>
      </c>
      <c r="Y64" s="1"/>
      <c r="Z64" s="1" t="s">
        <v>1910</v>
      </c>
      <c r="AA64" s="1" t="s">
        <v>191</v>
      </c>
      <c r="AB64" s="1"/>
      <c r="AC64" s="1"/>
      <c r="AD64" s="1" t="s">
        <v>1911</v>
      </c>
      <c r="AE64" s="1" t="s">
        <v>1912</v>
      </c>
    </row>
    <row r="65" spans="1:31" hidden="1" x14ac:dyDescent="0.25">
      <c r="A65" s="1" t="s">
        <v>1907</v>
      </c>
      <c r="B65" s="1" t="s">
        <v>1964</v>
      </c>
      <c r="C65" s="1" t="s">
        <v>627</v>
      </c>
      <c r="D65" s="1" t="s">
        <v>628</v>
      </c>
      <c r="E65" s="1" t="str">
        <f t="shared" si="0"/>
        <v>218</v>
      </c>
      <c r="F65" s="1"/>
      <c r="G65" s="1" t="s">
        <v>629</v>
      </c>
      <c r="H65" s="1" t="s">
        <v>184</v>
      </c>
      <c r="I65" s="1" t="s">
        <v>630</v>
      </c>
      <c r="J65" s="1" t="s">
        <v>631</v>
      </c>
      <c r="K65" s="1" t="s">
        <v>197</v>
      </c>
      <c r="L65" s="1" t="s">
        <v>198</v>
      </c>
      <c r="M65" s="1" t="s">
        <v>105</v>
      </c>
      <c r="N65" s="1" t="s">
        <v>562</v>
      </c>
      <c r="O65" s="1"/>
      <c r="P65" s="1" t="s">
        <v>99</v>
      </c>
      <c r="Q65" s="1" t="s">
        <v>632</v>
      </c>
      <c r="R65" s="1"/>
      <c r="S65" s="1" t="s">
        <v>1909</v>
      </c>
      <c r="T65" s="1" t="s">
        <v>633</v>
      </c>
      <c r="U65" s="1" t="s">
        <v>189</v>
      </c>
      <c r="V65" s="1"/>
      <c r="W65" s="1"/>
      <c r="X65" s="1"/>
      <c r="Y65" s="1"/>
      <c r="Z65" s="1" t="s">
        <v>1910</v>
      </c>
      <c r="AA65" s="1" t="s">
        <v>191</v>
      </c>
      <c r="AB65" s="1" t="s">
        <v>192</v>
      </c>
      <c r="AC65" s="1"/>
      <c r="AD65" s="1" t="s">
        <v>1911</v>
      </c>
      <c r="AE65" s="1" t="s">
        <v>1912</v>
      </c>
    </row>
    <row r="66" spans="1:31" hidden="1" x14ac:dyDescent="0.25">
      <c r="A66" s="1" t="s">
        <v>1907</v>
      </c>
      <c r="B66" s="1" t="s">
        <v>1965</v>
      </c>
      <c r="C66" s="1" t="s">
        <v>634</v>
      </c>
      <c r="D66" s="1" t="s">
        <v>634</v>
      </c>
      <c r="E66" s="1" t="str">
        <f t="shared" si="0"/>
        <v>222</v>
      </c>
      <c r="F66" s="1"/>
      <c r="G66" s="1" t="s">
        <v>635</v>
      </c>
      <c r="H66" s="1" t="s">
        <v>184</v>
      </c>
      <c r="I66" s="1" t="s">
        <v>636</v>
      </c>
      <c r="J66" s="1" t="s">
        <v>637</v>
      </c>
      <c r="K66" s="1" t="s">
        <v>208</v>
      </c>
      <c r="L66" s="1" t="s">
        <v>198</v>
      </c>
      <c r="M66" s="1" t="s">
        <v>105</v>
      </c>
      <c r="N66" s="1" t="s">
        <v>268</v>
      </c>
      <c r="O66" s="1"/>
      <c r="P66" s="1" t="s">
        <v>198</v>
      </c>
      <c r="Q66" s="1" t="s">
        <v>638</v>
      </c>
      <c r="R66" s="1"/>
      <c r="S66" s="1" t="s">
        <v>1909</v>
      </c>
      <c r="T66" s="1" t="s">
        <v>639</v>
      </c>
      <c r="U66" s="1" t="s">
        <v>200</v>
      </c>
      <c r="V66" s="1"/>
      <c r="W66" s="1"/>
      <c r="X66" s="1"/>
      <c r="Y66" s="1"/>
      <c r="Z66" s="1" t="s">
        <v>1910</v>
      </c>
      <c r="AA66" s="1" t="s">
        <v>262</v>
      </c>
      <c r="AB66" s="1" t="s">
        <v>192</v>
      </c>
      <c r="AC66" s="1"/>
      <c r="AD66" s="1" t="s">
        <v>1911</v>
      </c>
      <c r="AE66" s="1" t="s">
        <v>1912</v>
      </c>
    </row>
    <row r="67" spans="1:31" hidden="1" x14ac:dyDescent="0.25">
      <c r="A67" s="1" t="s">
        <v>1907</v>
      </c>
      <c r="B67" s="1" t="s">
        <v>1966</v>
      </c>
      <c r="C67" s="1" t="s">
        <v>640</v>
      </c>
      <c r="D67" s="1" t="s">
        <v>641</v>
      </c>
      <c r="E67" s="1" t="str">
        <f t="shared" ref="E67:E130" si="1">+B67</f>
        <v>226</v>
      </c>
      <c r="F67" s="1"/>
      <c r="G67" s="1" t="s">
        <v>642</v>
      </c>
      <c r="H67" s="1" t="s">
        <v>184</v>
      </c>
      <c r="I67" s="1" t="s">
        <v>643</v>
      </c>
      <c r="J67" s="1" t="s">
        <v>644</v>
      </c>
      <c r="K67" s="1" t="s">
        <v>197</v>
      </c>
      <c r="L67" s="1"/>
      <c r="M67" s="1" t="s">
        <v>105</v>
      </c>
      <c r="N67" s="1"/>
      <c r="O67" s="1"/>
      <c r="P67" s="1"/>
      <c r="Q67" s="1" t="s">
        <v>645</v>
      </c>
      <c r="R67" s="1"/>
      <c r="S67" s="1" t="s">
        <v>1909</v>
      </c>
      <c r="T67" s="1"/>
      <c r="U67" s="1" t="s">
        <v>189</v>
      </c>
      <c r="V67" s="1"/>
      <c r="W67" s="1"/>
      <c r="X67" s="1"/>
      <c r="Y67" s="1"/>
      <c r="Z67" s="1" t="s">
        <v>1910</v>
      </c>
      <c r="AA67" s="1" t="s">
        <v>191</v>
      </c>
      <c r="AB67" s="1" t="s">
        <v>192</v>
      </c>
      <c r="AC67" s="1"/>
      <c r="AD67" s="1" t="s">
        <v>1911</v>
      </c>
      <c r="AE67" s="1" t="s">
        <v>1912</v>
      </c>
    </row>
    <row r="68" spans="1:31" hidden="1" x14ac:dyDescent="0.25">
      <c r="A68" s="1" t="s">
        <v>1907</v>
      </c>
      <c r="B68" s="1" t="s">
        <v>1967</v>
      </c>
      <c r="C68" s="1" t="s">
        <v>646</v>
      </c>
      <c r="D68" s="1" t="s">
        <v>647</v>
      </c>
      <c r="E68" s="1" t="str">
        <f t="shared" si="1"/>
        <v>231</v>
      </c>
      <c r="F68" s="1"/>
      <c r="G68" s="1" t="s">
        <v>648</v>
      </c>
      <c r="H68" s="1" t="s">
        <v>184</v>
      </c>
      <c r="I68" s="1" t="s">
        <v>649</v>
      </c>
      <c r="J68" s="1" t="s">
        <v>650</v>
      </c>
      <c r="K68" s="1" t="s">
        <v>429</v>
      </c>
      <c r="L68" s="1"/>
      <c r="M68" s="1" t="s">
        <v>105</v>
      </c>
      <c r="N68" s="1"/>
      <c r="O68" s="1"/>
      <c r="P68" s="1"/>
      <c r="Q68" s="1" t="s">
        <v>651</v>
      </c>
      <c r="R68" s="1"/>
      <c r="S68" s="1" t="s">
        <v>1909</v>
      </c>
      <c r="T68" s="1"/>
      <c r="U68" s="1" t="s">
        <v>189</v>
      </c>
      <c r="V68" s="1"/>
      <c r="W68" s="1"/>
      <c r="X68" s="1"/>
      <c r="Y68" s="1" t="s">
        <v>464</v>
      </c>
      <c r="Z68" s="1" t="s">
        <v>1910</v>
      </c>
      <c r="AA68" s="1" t="s">
        <v>191</v>
      </c>
      <c r="AB68" s="1" t="s">
        <v>192</v>
      </c>
      <c r="AC68" s="1"/>
      <c r="AD68" s="1" t="s">
        <v>1911</v>
      </c>
      <c r="AE68" s="1" t="s">
        <v>1912</v>
      </c>
    </row>
    <row r="69" spans="1:31" hidden="1" x14ac:dyDescent="0.25">
      <c r="A69" s="1" t="s">
        <v>1907</v>
      </c>
      <c r="B69" s="1" t="s">
        <v>1968</v>
      </c>
      <c r="C69" s="1" t="s">
        <v>652</v>
      </c>
      <c r="D69" s="1" t="s">
        <v>653</v>
      </c>
      <c r="E69" s="1" t="str">
        <f t="shared" si="1"/>
        <v>232</v>
      </c>
      <c r="F69" s="1"/>
      <c r="G69" s="1" t="s">
        <v>654</v>
      </c>
      <c r="H69" s="1" t="s">
        <v>184</v>
      </c>
      <c r="I69" s="1" t="s">
        <v>655</v>
      </c>
      <c r="J69" s="1" t="s">
        <v>656</v>
      </c>
      <c r="K69" s="1" t="s">
        <v>208</v>
      </c>
      <c r="L69" s="1"/>
      <c r="M69" s="1" t="s">
        <v>105</v>
      </c>
      <c r="N69" s="1"/>
      <c r="O69" s="1"/>
      <c r="P69" s="1"/>
      <c r="Q69" s="1" t="s">
        <v>657</v>
      </c>
      <c r="R69" s="1"/>
      <c r="S69" s="1" t="s">
        <v>1909</v>
      </c>
      <c r="T69" s="1"/>
      <c r="U69" s="1" t="s">
        <v>189</v>
      </c>
      <c r="V69" s="1"/>
      <c r="W69" s="1"/>
      <c r="X69" s="1" t="s">
        <v>190</v>
      </c>
      <c r="Y69" s="1"/>
      <c r="Z69" s="1" t="s">
        <v>1910</v>
      </c>
      <c r="AA69" s="1" t="s">
        <v>191</v>
      </c>
      <c r="AB69" s="1" t="s">
        <v>192</v>
      </c>
      <c r="AC69" s="1"/>
      <c r="AD69" s="1" t="s">
        <v>1911</v>
      </c>
      <c r="AE69" s="1" t="s">
        <v>1912</v>
      </c>
    </row>
    <row r="70" spans="1:31" hidden="1" x14ac:dyDescent="0.25">
      <c r="A70" s="1" t="s">
        <v>1907</v>
      </c>
      <c r="B70" s="1" t="s">
        <v>76</v>
      </c>
      <c r="C70" s="1" t="s">
        <v>658</v>
      </c>
      <c r="D70" s="1" t="s">
        <v>658</v>
      </c>
      <c r="E70" s="1" t="str">
        <f t="shared" si="1"/>
        <v>233</v>
      </c>
      <c r="F70" s="1"/>
      <c r="G70" s="1" t="s">
        <v>659</v>
      </c>
      <c r="H70" s="1" t="s">
        <v>184</v>
      </c>
      <c r="I70" s="1" t="s">
        <v>660</v>
      </c>
      <c r="J70" s="1" t="s">
        <v>661</v>
      </c>
      <c r="K70" s="1" t="s">
        <v>197</v>
      </c>
      <c r="L70" s="1"/>
      <c r="M70" s="1" t="s">
        <v>106</v>
      </c>
      <c r="N70" s="1" t="s">
        <v>282</v>
      </c>
      <c r="O70" s="1" t="s">
        <v>283</v>
      </c>
      <c r="P70" s="1" t="s">
        <v>284</v>
      </c>
      <c r="Q70" s="1" t="s">
        <v>662</v>
      </c>
      <c r="R70" s="1"/>
      <c r="S70" s="1" t="s">
        <v>1909</v>
      </c>
      <c r="T70" s="1" t="s">
        <v>663</v>
      </c>
      <c r="U70" s="1" t="s">
        <v>210</v>
      </c>
      <c r="V70" s="1"/>
      <c r="W70" s="1" t="s">
        <v>198</v>
      </c>
      <c r="X70" s="1" t="s">
        <v>201</v>
      </c>
      <c r="Y70" s="1" t="s">
        <v>587</v>
      </c>
      <c r="Z70" s="1" t="s">
        <v>1910</v>
      </c>
      <c r="AA70" s="1" t="s">
        <v>664</v>
      </c>
      <c r="AB70" s="1" t="s">
        <v>192</v>
      </c>
      <c r="AC70" s="1"/>
      <c r="AD70" s="1" t="s">
        <v>1911</v>
      </c>
      <c r="AE70" s="1" t="s">
        <v>1912</v>
      </c>
    </row>
    <row r="71" spans="1:31" hidden="1" x14ac:dyDescent="0.25">
      <c r="A71" s="1" t="s">
        <v>1907</v>
      </c>
      <c r="B71" s="1" t="s">
        <v>1969</v>
      </c>
      <c r="C71" s="1" t="s">
        <v>665</v>
      </c>
      <c r="D71" s="1" t="s">
        <v>666</v>
      </c>
      <c r="E71" s="1" t="str">
        <f t="shared" si="1"/>
        <v>234</v>
      </c>
      <c r="F71" s="1"/>
      <c r="G71" s="1" t="s">
        <v>667</v>
      </c>
      <c r="H71" s="1" t="s">
        <v>184</v>
      </c>
      <c r="I71" s="1" t="s">
        <v>668</v>
      </c>
      <c r="J71" s="1" t="s">
        <v>669</v>
      </c>
      <c r="K71" s="1" t="s">
        <v>208</v>
      </c>
      <c r="L71" s="1"/>
      <c r="M71" s="1" t="s">
        <v>105</v>
      </c>
      <c r="N71" s="1"/>
      <c r="O71" s="1"/>
      <c r="P71" s="1"/>
      <c r="Q71" s="1" t="s">
        <v>670</v>
      </c>
      <c r="R71" s="1"/>
      <c r="S71" s="1" t="s">
        <v>1909</v>
      </c>
      <c r="T71" s="1" t="s">
        <v>671</v>
      </c>
      <c r="U71" s="1" t="s">
        <v>210</v>
      </c>
      <c r="V71" s="1"/>
      <c r="W71" s="1"/>
      <c r="X71" s="1"/>
      <c r="Y71" s="1"/>
      <c r="Z71" s="1" t="s">
        <v>1910</v>
      </c>
      <c r="AA71" s="1" t="s">
        <v>672</v>
      </c>
      <c r="AB71" s="1" t="s">
        <v>192</v>
      </c>
      <c r="AC71" s="1"/>
      <c r="AD71" s="1" t="s">
        <v>1911</v>
      </c>
      <c r="AE71" s="1" t="s">
        <v>1912</v>
      </c>
    </row>
    <row r="72" spans="1:31" hidden="1" x14ac:dyDescent="0.25">
      <c r="A72" s="1" t="s">
        <v>1907</v>
      </c>
      <c r="B72" s="1" t="s">
        <v>1970</v>
      </c>
      <c r="C72" s="1" t="s">
        <v>673</v>
      </c>
      <c r="D72" s="1" t="s">
        <v>674</v>
      </c>
      <c r="E72" s="1" t="str">
        <f t="shared" si="1"/>
        <v>238</v>
      </c>
      <c r="F72" s="1"/>
      <c r="G72" s="1" t="s">
        <v>675</v>
      </c>
      <c r="H72" s="1" t="s">
        <v>184</v>
      </c>
      <c r="I72" s="1" t="s">
        <v>676</v>
      </c>
      <c r="J72" s="1" t="s">
        <v>677</v>
      </c>
      <c r="K72" s="1" t="s">
        <v>233</v>
      </c>
      <c r="L72" s="1"/>
      <c r="M72" s="1" t="s">
        <v>105</v>
      </c>
      <c r="N72" s="1"/>
      <c r="O72" s="1"/>
      <c r="P72" s="1"/>
      <c r="Q72" s="1" t="s">
        <v>678</v>
      </c>
      <c r="R72" s="1"/>
      <c r="S72" s="1" t="s">
        <v>1909</v>
      </c>
      <c r="T72" s="1"/>
      <c r="U72" s="1" t="s">
        <v>200</v>
      </c>
      <c r="V72" s="1"/>
      <c r="W72" s="1" t="s">
        <v>201</v>
      </c>
      <c r="X72" s="1" t="s">
        <v>227</v>
      </c>
      <c r="Y72" s="1"/>
      <c r="Z72" s="1" t="s">
        <v>1910</v>
      </c>
      <c r="AA72" s="1" t="s">
        <v>191</v>
      </c>
      <c r="AB72" s="1" t="s">
        <v>192</v>
      </c>
      <c r="AC72" s="1"/>
      <c r="AD72" s="1" t="s">
        <v>1911</v>
      </c>
      <c r="AE72" s="1" t="s">
        <v>1912</v>
      </c>
    </row>
    <row r="73" spans="1:31" hidden="1" x14ac:dyDescent="0.25">
      <c r="A73" s="1" t="s">
        <v>1907</v>
      </c>
      <c r="B73" s="1" t="s">
        <v>1971</v>
      </c>
      <c r="C73" s="1" t="s">
        <v>679</v>
      </c>
      <c r="D73" s="1" t="s">
        <v>680</v>
      </c>
      <c r="E73" s="1" t="str">
        <f t="shared" si="1"/>
        <v>239</v>
      </c>
      <c r="F73" s="1"/>
      <c r="G73" s="1" t="s">
        <v>681</v>
      </c>
      <c r="H73" s="1" t="s">
        <v>184</v>
      </c>
      <c r="I73" s="1" t="s">
        <v>682</v>
      </c>
      <c r="J73" s="1" t="s">
        <v>683</v>
      </c>
      <c r="K73" s="1" t="s">
        <v>208</v>
      </c>
      <c r="L73" s="1"/>
      <c r="M73" s="1" t="s">
        <v>105</v>
      </c>
      <c r="N73" s="1"/>
      <c r="O73" s="1"/>
      <c r="P73" s="1"/>
      <c r="Q73" s="1" t="s">
        <v>684</v>
      </c>
      <c r="R73" s="1"/>
      <c r="S73" s="1" t="s">
        <v>1909</v>
      </c>
      <c r="T73" s="1"/>
      <c r="U73" s="1" t="s">
        <v>210</v>
      </c>
      <c r="V73" s="1"/>
      <c r="W73" s="1" t="s">
        <v>201</v>
      </c>
      <c r="X73" s="1" t="s">
        <v>685</v>
      </c>
      <c r="Y73" s="1"/>
      <c r="Z73" s="1" t="s">
        <v>1910</v>
      </c>
      <c r="AA73" s="1" t="s">
        <v>191</v>
      </c>
      <c r="AB73" s="1" t="s">
        <v>192</v>
      </c>
      <c r="AC73" s="1"/>
      <c r="AD73" s="1" t="s">
        <v>1911</v>
      </c>
      <c r="AE73" s="1" t="s">
        <v>1912</v>
      </c>
    </row>
    <row r="74" spans="1:31" hidden="1" x14ac:dyDescent="0.25">
      <c r="A74" s="1" t="s">
        <v>1907</v>
      </c>
      <c r="B74" s="1" t="s">
        <v>1972</v>
      </c>
      <c r="C74" s="1" t="s">
        <v>686</v>
      </c>
      <c r="D74" s="1" t="s">
        <v>687</v>
      </c>
      <c r="E74" s="1" t="str">
        <f t="shared" si="1"/>
        <v>242</v>
      </c>
      <c r="F74" s="1"/>
      <c r="G74" s="1" t="s">
        <v>688</v>
      </c>
      <c r="H74" s="1" t="s">
        <v>184</v>
      </c>
      <c r="I74" s="1" t="s">
        <v>689</v>
      </c>
      <c r="J74" s="1" t="s">
        <v>690</v>
      </c>
      <c r="K74" s="1" t="s">
        <v>233</v>
      </c>
      <c r="L74" s="1"/>
      <c r="M74" s="1" t="s">
        <v>105</v>
      </c>
      <c r="N74" s="1"/>
      <c r="O74" s="1"/>
      <c r="P74" s="1"/>
      <c r="Q74" s="1" t="s">
        <v>691</v>
      </c>
      <c r="R74" s="1"/>
      <c r="S74" s="1" t="s">
        <v>1909</v>
      </c>
      <c r="T74" s="1" t="s">
        <v>692</v>
      </c>
      <c r="U74" s="1" t="s">
        <v>189</v>
      </c>
      <c r="V74" s="1"/>
      <c r="W74" s="1" t="s">
        <v>201</v>
      </c>
      <c r="X74" s="1" t="s">
        <v>227</v>
      </c>
      <c r="Y74" s="1"/>
      <c r="Z74" s="1" t="s">
        <v>1910</v>
      </c>
      <c r="AA74" s="1" t="s">
        <v>191</v>
      </c>
      <c r="AB74" s="1" t="s">
        <v>192</v>
      </c>
      <c r="AC74" s="1"/>
      <c r="AD74" s="1" t="s">
        <v>1911</v>
      </c>
      <c r="AE74" s="1" t="s">
        <v>1912</v>
      </c>
    </row>
    <row r="75" spans="1:31" hidden="1" x14ac:dyDescent="0.25">
      <c r="A75" s="1" t="s">
        <v>1907</v>
      </c>
      <c r="B75" s="1" t="s">
        <v>77</v>
      </c>
      <c r="C75" s="1" t="s">
        <v>693</v>
      </c>
      <c r="D75" s="1" t="s">
        <v>694</v>
      </c>
      <c r="E75" s="1" t="str">
        <f t="shared" si="1"/>
        <v>246</v>
      </c>
      <c r="F75" s="1"/>
      <c r="G75" s="1" t="s">
        <v>695</v>
      </c>
      <c r="H75" s="1" t="s">
        <v>184</v>
      </c>
      <c r="I75" s="1" t="s">
        <v>696</v>
      </c>
      <c r="J75" s="1" t="s">
        <v>697</v>
      </c>
      <c r="K75" s="1" t="s">
        <v>275</v>
      </c>
      <c r="L75" s="1"/>
      <c r="M75" s="1" t="s">
        <v>109</v>
      </c>
      <c r="N75" s="1" t="s">
        <v>282</v>
      </c>
      <c r="O75" s="1" t="s">
        <v>283</v>
      </c>
      <c r="P75" s="1" t="s">
        <v>284</v>
      </c>
      <c r="Q75" s="1" t="s">
        <v>698</v>
      </c>
      <c r="R75" s="1"/>
      <c r="S75" s="1" t="s">
        <v>1909</v>
      </c>
      <c r="T75" s="1" t="s">
        <v>699</v>
      </c>
      <c r="U75" s="1" t="s">
        <v>1910</v>
      </c>
      <c r="V75" s="1"/>
      <c r="W75" s="1" t="s">
        <v>198</v>
      </c>
      <c r="X75" s="1" t="s">
        <v>198</v>
      </c>
      <c r="Y75" s="1" t="s">
        <v>198</v>
      </c>
      <c r="Z75" s="1" t="s">
        <v>1910</v>
      </c>
      <c r="AA75" s="1" t="s">
        <v>700</v>
      </c>
      <c r="AB75" s="1" t="s">
        <v>192</v>
      </c>
      <c r="AC75" s="1"/>
      <c r="AD75" s="1" t="s">
        <v>1911</v>
      </c>
      <c r="AE75" s="1" t="s">
        <v>1912</v>
      </c>
    </row>
    <row r="76" spans="1:31" hidden="1" x14ac:dyDescent="0.25">
      <c r="A76" s="1" t="s">
        <v>1907</v>
      </c>
      <c r="B76" s="1" t="s">
        <v>1973</v>
      </c>
      <c r="C76" s="1" t="s">
        <v>701</v>
      </c>
      <c r="D76" s="1" t="s">
        <v>701</v>
      </c>
      <c r="E76" s="1" t="str">
        <f t="shared" si="1"/>
        <v>248</v>
      </c>
      <c r="F76" s="1"/>
      <c r="G76" s="1" t="s">
        <v>702</v>
      </c>
      <c r="H76" s="1" t="s">
        <v>184</v>
      </c>
      <c r="I76" s="1" t="s">
        <v>703</v>
      </c>
      <c r="J76" s="1" t="s">
        <v>704</v>
      </c>
      <c r="K76" s="1" t="s">
        <v>208</v>
      </c>
      <c r="L76" s="1"/>
      <c r="M76" s="1" t="s">
        <v>109</v>
      </c>
      <c r="N76" s="1" t="s">
        <v>282</v>
      </c>
      <c r="O76" s="1" t="s">
        <v>705</v>
      </c>
      <c r="P76" s="1" t="s">
        <v>198</v>
      </c>
      <c r="Q76" s="1" t="s">
        <v>706</v>
      </c>
      <c r="R76" s="1"/>
      <c r="S76" s="1" t="s">
        <v>1909</v>
      </c>
      <c r="T76" s="1"/>
      <c r="U76" s="1" t="s">
        <v>1910</v>
      </c>
      <c r="V76" s="1"/>
      <c r="W76" s="1" t="s">
        <v>201</v>
      </c>
      <c r="X76" s="1" t="s">
        <v>201</v>
      </c>
      <c r="Y76" s="1"/>
      <c r="Z76" s="1" t="s">
        <v>1910</v>
      </c>
      <c r="AA76" s="1" t="s">
        <v>707</v>
      </c>
      <c r="AB76" s="1" t="s">
        <v>192</v>
      </c>
      <c r="AC76" s="1"/>
      <c r="AD76" s="1" t="s">
        <v>1911</v>
      </c>
      <c r="AE76" s="1" t="s">
        <v>1912</v>
      </c>
    </row>
    <row r="77" spans="1:31" hidden="1" x14ac:dyDescent="0.25">
      <c r="A77" s="1" t="s">
        <v>1907</v>
      </c>
      <c r="B77" s="1" t="s">
        <v>78</v>
      </c>
      <c r="C77" s="1" t="s">
        <v>708</v>
      </c>
      <c r="D77" s="1" t="s">
        <v>709</v>
      </c>
      <c r="E77" s="1" t="str">
        <f t="shared" si="1"/>
        <v>250</v>
      </c>
      <c r="F77" s="1"/>
      <c r="G77" s="1" t="s">
        <v>710</v>
      </c>
      <c r="H77" s="1" t="s">
        <v>184</v>
      </c>
      <c r="I77" s="1" t="s">
        <v>711</v>
      </c>
      <c r="J77" s="1" t="s">
        <v>712</v>
      </c>
      <c r="K77" s="1" t="s">
        <v>323</v>
      </c>
      <c r="L77" s="1"/>
      <c r="M77" s="1" t="s">
        <v>109</v>
      </c>
      <c r="N77" s="1" t="s">
        <v>282</v>
      </c>
      <c r="O77" s="1" t="s">
        <v>283</v>
      </c>
      <c r="P77" s="1" t="s">
        <v>284</v>
      </c>
      <c r="Q77" s="1" t="s">
        <v>713</v>
      </c>
      <c r="R77" s="1"/>
      <c r="S77" s="1" t="s">
        <v>1909</v>
      </c>
      <c r="T77" s="1" t="s">
        <v>714</v>
      </c>
      <c r="U77" s="1" t="s">
        <v>1910</v>
      </c>
      <c r="V77" s="1"/>
      <c r="W77" s="1" t="s">
        <v>198</v>
      </c>
      <c r="X77" s="1" t="s">
        <v>284</v>
      </c>
      <c r="Y77" s="1" t="s">
        <v>715</v>
      </c>
      <c r="Z77" s="1" t="s">
        <v>1910</v>
      </c>
      <c r="AA77" s="1" t="s">
        <v>540</v>
      </c>
      <c r="AB77" s="1" t="s">
        <v>192</v>
      </c>
      <c r="AC77" s="1"/>
      <c r="AD77" s="1" t="s">
        <v>1911</v>
      </c>
      <c r="AE77" s="1" t="s">
        <v>1912</v>
      </c>
    </row>
    <row r="78" spans="1:31" hidden="1" x14ac:dyDescent="0.25">
      <c r="A78" s="1" t="s">
        <v>1907</v>
      </c>
      <c r="B78" s="1" t="s">
        <v>1974</v>
      </c>
      <c r="C78" s="1" t="s">
        <v>716</v>
      </c>
      <c r="D78" s="1" t="s">
        <v>717</v>
      </c>
      <c r="E78" s="1" t="str">
        <f t="shared" si="1"/>
        <v>254</v>
      </c>
      <c r="F78" s="1"/>
      <c r="G78" s="1" t="s">
        <v>718</v>
      </c>
      <c r="H78" s="1" t="s">
        <v>184</v>
      </c>
      <c r="I78" s="1" t="s">
        <v>719</v>
      </c>
      <c r="J78" s="1" t="s">
        <v>720</v>
      </c>
      <c r="K78" s="1" t="s">
        <v>208</v>
      </c>
      <c r="L78" s="1"/>
      <c r="M78" s="1" t="s">
        <v>105</v>
      </c>
      <c r="N78" s="1"/>
      <c r="O78" s="1"/>
      <c r="P78" s="1" t="s">
        <v>671</v>
      </c>
      <c r="Q78" s="1" t="s">
        <v>721</v>
      </c>
      <c r="R78" s="1"/>
      <c r="S78" s="1" t="s">
        <v>1909</v>
      </c>
      <c r="T78" s="1"/>
      <c r="U78" s="1" t="s">
        <v>210</v>
      </c>
      <c r="V78" s="1"/>
      <c r="W78" s="1" t="s">
        <v>198</v>
      </c>
      <c r="X78" s="1" t="s">
        <v>201</v>
      </c>
      <c r="Y78" s="1"/>
      <c r="Z78" s="1" t="s">
        <v>1910</v>
      </c>
      <c r="AA78" s="1" t="s">
        <v>540</v>
      </c>
      <c r="AB78" s="1" t="s">
        <v>192</v>
      </c>
      <c r="AC78" s="1"/>
      <c r="AD78" s="1" t="s">
        <v>1911</v>
      </c>
      <c r="AE78" s="1" t="s">
        <v>1912</v>
      </c>
    </row>
    <row r="79" spans="1:31" hidden="1" x14ac:dyDescent="0.25">
      <c r="A79" s="1" t="s">
        <v>1907</v>
      </c>
      <c r="B79" s="1" t="s">
        <v>1975</v>
      </c>
      <c r="C79" s="1" t="s">
        <v>722</v>
      </c>
      <c r="D79" s="1" t="s">
        <v>723</v>
      </c>
      <c r="E79" s="1" t="str">
        <f t="shared" si="1"/>
        <v>258</v>
      </c>
      <c r="F79" s="1"/>
      <c r="G79" s="1" t="s">
        <v>724</v>
      </c>
      <c r="H79" s="1" t="s">
        <v>184</v>
      </c>
      <c r="I79" s="1" t="s">
        <v>725</v>
      </c>
      <c r="J79" s="1" t="s">
        <v>726</v>
      </c>
      <c r="K79" s="1" t="s">
        <v>208</v>
      </c>
      <c r="L79" s="1"/>
      <c r="M79" s="1" t="s">
        <v>105</v>
      </c>
      <c r="N79" s="1"/>
      <c r="O79" s="1"/>
      <c r="P79" s="1"/>
      <c r="Q79" s="1" t="s">
        <v>727</v>
      </c>
      <c r="R79" s="1"/>
      <c r="S79" s="1" t="s">
        <v>1909</v>
      </c>
      <c r="T79" s="1" t="s">
        <v>728</v>
      </c>
      <c r="U79" s="1" t="s">
        <v>210</v>
      </c>
      <c r="V79" s="1"/>
      <c r="W79" s="1" t="s">
        <v>201</v>
      </c>
      <c r="X79" s="1" t="s">
        <v>227</v>
      </c>
      <c r="Y79" s="1"/>
      <c r="Z79" s="1" t="s">
        <v>1910</v>
      </c>
      <c r="AA79" s="1" t="s">
        <v>540</v>
      </c>
      <c r="AB79" s="1" t="s">
        <v>192</v>
      </c>
      <c r="AC79" s="1"/>
      <c r="AD79" s="1" t="s">
        <v>1911</v>
      </c>
      <c r="AE79" s="1" t="s">
        <v>1912</v>
      </c>
    </row>
    <row r="80" spans="1:31" hidden="1" x14ac:dyDescent="0.25">
      <c r="A80" s="1" t="s">
        <v>1907</v>
      </c>
      <c r="B80" s="1" t="s">
        <v>1976</v>
      </c>
      <c r="C80" s="1" t="s">
        <v>729</v>
      </c>
      <c r="D80" s="1" t="s">
        <v>730</v>
      </c>
      <c r="E80" s="1" t="str">
        <f t="shared" si="1"/>
        <v>260</v>
      </c>
      <c r="F80" s="1"/>
      <c r="G80" s="1" t="s">
        <v>731</v>
      </c>
      <c r="H80" s="1" t="s">
        <v>222</v>
      </c>
      <c r="I80" s="1" t="s">
        <v>732</v>
      </c>
      <c r="J80" s="1" t="s">
        <v>733</v>
      </c>
      <c r="K80" s="1" t="s">
        <v>208</v>
      </c>
      <c r="L80" s="1"/>
      <c r="M80" s="1" t="s">
        <v>105</v>
      </c>
      <c r="N80" s="1"/>
      <c r="O80" s="1"/>
      <c r="P80" s="1" t="s">
        <v>198</v>
      </c>
      <c r="Q80" s="1" t="s">
        <v>734</v>
      </c>
      <c r="R80" s="1"/>
      <c r="S80" s="1" t="s">
        <v>1909</v>
      </c>
      <c r="T80" s="1"/>
      <c r="U80" s="1" t="s">
        <v>189</v>
      </c>
      <c r="V80" s="1"/>
      <c r="W80" s="1" t="s">
        <v>201</v>
      </c>
      <c r="X80" s="1" t="s">
        <v>201</v>
      </c>
      <c r="Y80" s="1"/>
      <c r="Z80" s="1" t="s">
        <v>1910</v>
      </c>
      <c r="AA80" s="1" t="s">
        <v>735</v>
      </c>
      <c r="AB80" s="1" t="s">
        <v>192</v>
      </c>
      <c r="AC80" s="1"/>
      <c r="AD80" s="1" t="s">
        <v>1911</v>
      </c>
      <c r="AE80" s="1" t="s">
        <v>1912</v>
      </c>
    </row>
    <row r="81" spans="1:31" hidden="1" x14ac:dyDescent="0.25">
      <c r="A81" s="1" t="s">
        <v>1907</v>
      </c>
      <c r="B81" s="1" t="s">
        <v>1977</v>
      </c>
      <c r="C81" s="1" t="s">
        <v>736</v>
      </c>
      <c r="D81" s="1" t="s">
        <v>736</v>
      </c>
      <c r="E81" s="1" t="str">
        <f t="shared" si="1"/>
        <v>262</v>
      </c>
      <c r="F81" s="1"/>
      <c r="G81" s="1" t="s">
        <v>737</v>
      </c>
      <c r="H81" s="1" t="s">
        <v>184</v>
      </c>
      <c r="I81" s="1" t="s">
        <v>738</v>
      </c>
      <c r="J81" s="1" t="s">
        <v>739</v>
      </c>
      <c r="K81" s="1" t="s">
        <v>208</v>
      </c>
      <c r="L81" s="1"/>
      <c r="M81" s="1" t="s">
        <v>105</v>
      </c>
      <c r="N81" s="1"/>
      <c r="O81" s="1"/>
      <c r="P81" s="1"/>
      <c r="Q81" s="1" t="s">
        <v>740</v>
      </c>
      <c r="R81" s="1"/>
      <c r="S81" s="1" t="s">
        <v>1909</v>
      </c>
      <c r="T81" s="1"/>
      <c r="U81" s="1" t="s">
        <v>200</v>
      </c>
      <c r="V81" s="1"/>
      <c r="W81" s="1" t="s">
        <v>201</v>
      </c>
      <c r="X81" s="1" t="s">
        <v>227</v>
      </c>
      <c r="Y81" s="1"/>
      <c r="Z81" s="1" t="s">
        <v>1910</v>
      </c>
      <c r="AA81" s="1" t="s">
        <v>191</v>
      </c>
      <c r="AB81" s="1" t="s">
        <v>192</v>
      </c>
      <c r="AC81" s="1"/>
      <c r="AD81" s="1" t="s">
        <v>1911</v>
      </c>
      <c r="AE81" s="1" t="s">
        <v>1912</v>
      </c>
    </row>
    <row r="82" spans="1:31" hidden="1" x14ac:dyDescent="0.25">
      <c r="A82" s="1" t="s">
        <v>1907</v>
      </c>
      <c r="B82" s="1" t="s">
        <v>1978</v>
      </c>
      <c r="C82" s="1" t="s">
        <v>741</v>
      </c>
      <c r="D82" s="1" t="s">
        <v>742</v>
      </c>
      <c r="E82" s="1" t="str">
        <f t="shared" si="1"/>
        <v>266</v>
      </c>
      <c r="F82" s="1"/>
      <c r="G82" s="1" t="s">
        <v>743</v>
      </c>
      <c r="H82" s="1" t="s">
        <v>222</v>
      </c>
      <c r="I82" s="1" t="s">
        <v>744</v>
      </c>
      <c r="J82" s="1" t="s">
        <v>745</v>
      </c>
      <c r="K82" s="1" t="s">
        <v>197</v>
      </c>
      <c r="L82" s="1"/>
      <c r="M82" s="1" t="s">
        <v>105</v>
      </c>
      <c r="N82" s="1"/>
      <c r="O82" s="1"/>
      <c r="P82" s="1"/>
      <c r="Q82" s="1" t="s">
        <v>746</v>
      </c>
      <c r="R82" s="1"/>
      <c r="S82" s="1" t="s">
        <v>1909</v>
      </c>
      <c r="T82" s="1" t="s">
        <v>747</v>
      </c>
      <c r="U82" s="1" t="s">
        <v>189</v>
      </c>
      <c r="V82" s="1"/>
      <c r="W82" s="1"/>
      <c r="X82" s="1"/>
      <c r="Y82" s="1"/>
      <c r="Z82" s="1" t="s">
        <v>1910</v>
      </c>
      <c r="AA82" s="1" t="s">
        <v>191</v>
      </c>
      <c r="AB82" s="1" t="s">
        <v>192</v>
      </c>
      <c r="AC82" s="1"/>
      <c r="AD82" s="1" t="s">
        <v>1911</v>
      </c>
      <c r="AE82" s="1" t="s">
        <v>1912</v>
      </c>
    </row>
    <row r="83" spans="1:31" hidden="1" x14ac:dyDescent="0.25">
      <c r="A83" s="1" t="s">
        <v>1907</v>
      </c>
      <c r="B83" s="1" t="s">
        <v>1979</v>
      </c>
      <c r="C83" s="1" t="s">
        <v>748</v>
      </c>
      <c r="D83" s="1" t="s">
        <v>748</v>
      </c>
      <c r="E83" s="1" t="str">
        <f t="shared" si="1"/>
        <v>268</v>
      </c>
      <c r="F83" s="1"/>
      <c r="G83" s="1" t="s">
        <v>749</v>
      </c>
      <c r="H83" s="1" t="s">
        <v>222</v>
      </c>
      <c r="I83" s="1" t="s">
        <v>750</v>
      </c>
      <c r="J83" s="1" t="s">
        <v>751</v>
      </c>
      <c r="K83" s="1" t="s">
        <v>361</v>
      </c>
      <c r="L83" s="1"/>
      <c r="M83" s="1" t="s">
        <v>105</v>
      </c>
      <c r="N83" s="1" t="s">
        <v>436</v>
      </c>
      <c r="O83" s="1"/>
      <c r="P83" s="1"/>
      <c r="Q83" s="1" t="s">
        <v>752</v>
      </c>
      <c r="R83" s="1"/>
      <c r="S83" s="1" t="s">
        <v>1909</v>
      </c>
      <c r="T83" s="1"/>
      <c r="U83" s="1" t="s">
        <v>217</v>
      </c>
      <c r="V83" s="1"/>
      <c r="W83" s="1"/>
      <c r="X83" s="1"/>
      <c r="Y83" s="1" t="s">
        <v>464</v>
      </c>
      <c r="Z83" s="1" t="s">
        <v>1910</v>
      </c>
      <c r="AA83" s="1" t="s">
        <v>753</v>
      </c>
      <c r="AB83" s="1" t="s">
        <v>192</v>
      </c>
      <c r="AC83" s="1"/>
      <c r="AD83" s="1" t="s">
        <v>1911</v>
      </c>
      <c r="AE83" s="1" t="s">
        <v>1912</v>
      </c>
    </row>
    <row r="84" spans="1:31" hidden="1" x14ac:dyDescent="0.25">
      <c r="A84" s="1" t="s">
        <v>1907</v>
      </c>
      <c r="B84" s="1" t="s">
        <v>1980</v>
      </c>
      <c r="C84" s="1" t="s">
        <v>754</v>
      </c>
      <c r="D84" s="1" t="s">
        <v>754</v>
      </c>
      <c r="E84" s="1" t="str">
        <f t="shared" si="1"/>
        <v>270</v>
      </c>
      <c r="F84" s="1"/>
      <c r="G84" s="1" t="s">
        <v>755</v>
      </c>
      <c r="H84" s="1" t="s">
        <v>184</v>
      </c>
      <c r="I84" s="1" t="s">
        <v>756</v>
      </c>
      <c r="J84" s="1" t="s">
        <v>757</v>
      </c>
      <c r="K84" s="1" t="s">
        <v>197</v>
      </c>
      <c r="L84" s="1"/>
      <c r="M84" s="1" t="s">
        <v>105</v>
      </c>
      <c r="N84" s="1"/>
      <c r="O84" s="1"/>
      <c r="P84" s="1"/>
      <c r="Q84" s="1" t="s">
        <v>758</v>
      </c>
      <c r="R84" s="1"/>
      <c r="S84" s="1" t="s">
        <v>1909</v>
      </c>
      <c r="T84" s="1"/>
      <c r="U84" s="1" t="s">
        <v>189</v>
      </c>
      <c r="V84" s="1"/>
      <c r="W84" s="1" t="s">
        <v>201</v>
      </c>
      <c r="X84" s="1" t="s">
        <v>227</v>
      </c>
      <c r="Y84" s="1"/>
      <c r="Z84" s="1" t="s">
        <v>1910</v>
      </c>
      <c r="AA84" s="1" t="s">
        <v>191</v>
      </c>
      <c r="AB84" s="1" t="s">
        <v>192</v>
      </c>
      <c r="AC84" s="1"/>
      <c r="AD84" s="1" t="s">
        <v>1911</v>
      </c>
      <c r="AE84" s="1" t="s">
        <v>1912</v>
      </c>
    </row>
    <row r="85" spans="1:31" hidden="1" x14ac:dyDescent="0.25">
      <c r="A85" s="1" t="s">
        <v>1907</v>
      </c>
      <c r="B85" s="1" t="s">
        <v>1981</v>
      </c>
      <c r="C85" s="1" t="s">
        <v>759</v>
      </c>
      <c r="D85" s="1" t="s">
        <v>760</v>
      </c>
      <c r="E85" s="1" t="str">
        <f t="shared" si="1"/>
        <v>275</v>
      </c>
      <c r="F85" s="1"/>
      <c r="G85" s="1" t="s">
        <v>761</v>
      </c>
      <c r="H85" s="1" t="s">
        <v>184</v>
      </c>
      <c r="I85" s="1" t="s">
        <v>762</v>
      </c>
      <c r="J85" s="1" t="s">
        <v>763</v>
      </c>
      <c r="K85" s="1" t="s">
        <v>197</v>
      </c>
      <c r="L85" s="1"/>
      <c r="M85" s="1" t="s">
        <v>105</v>
      </c>
      <c r="N85" s="1"/>
      <c r="O85" s="1"/>
      <c r="P85" s="1"/>
      <c r="Q85" s="1" t="s">
        <v>764</v>
      </c>
      <c r="R85" s="1"/>
      <c r="S85" s="1" t="s">
        <v>1909</v>
      </c>
      <c r="T85" s="1"/>
      <c r="U85" s="1" t="s">
        <v>189</v>
      </c>
      <c r="V85" s="1"/>
      <c r="W85" s="1"/>
      <c r="X85" s="1"/>
      <c r="Y85" s="1"/>
      <c r="Z85" s="1" t="s">
        <v>1910</v>
      </c>
      <c r="AA85" s="1" t="s">
        <v>765</v>
      </c>
      <c r="AB85" s="1" t="s">
        <v>192</v>
      </c>
      <c r="AC85" s="1"/>
      <c r="AD85" s="1" t="s">
        <v>1911</v>
      </c>
      <c r="AE85" s="1" t="s">
        <v>1912</v>
      </c>
    </row>
    <row r="86" spans="1:31" hidden="1" x14ac:dyDescent="0.25">
      <c r="A86" s="1" t="s">
        <v>1907</v>
      </c>
      <c r="B86" s="1" t="s">
        <v>79</v>
      </c>
      <c r="C86" s="1" t="s">
        <v>766</v>
      </c>
      <c r="D86" s="1" t="s">
        <v>767</v>
      </c>
      <c r="E86" s="1" t="str">
        <f t="shared" si="1"/>
        <v>276</v>
      </c>
      <c r="F86" s="1"/>
      <c r="G86" s="1" t="s">
        <v>768</v>
      </c>
      <c r="H86" s="1" t="s">
        <v>184</v>
      </c>
      <c r="I86" s="1" t="s">
        <v>769</v>
      </c>
      <c r="J86" s="1" t="s">
        <v>770</v>
      </c>
      <c r="K86" s="1" t="s">
        <v>323</v>
      </c>
      <c r="L86" s="1"/>
      <c r="M86" s="1" t="s">
        <v>109</v>
      </c>
      <c r="N86" s="1" t="s">
        <v>282</v>
      </c>
      <c r="O86" s="1" t="s">
        <v>283</v>
      </c>
      <c r="P86" s="1" t="s">
        <v>284</v>
      </c>
      <c r="Q86" s="1" t="s">
        <v>771</v>
      </c>
      <c r="R86" s="1" t="s">
        <v>772</v>
      </c>
      <c r="S86" s="1" t="s">
        <v>1909</v>
      </c>
      <c r="T86" s="1" t="s">
        <v>773</v>
      </c>
      <c r="U86" s="1" t="s">
        <v>1910</v>
      </c>
      <c r="V86" s="1"/>
      <c r="W86" s="1" t="s">
        <v>198</v>
      </c>
      <c r="X86" s="1" t="s">
        <v>284</v>
      </c>
      <c r="Y86" s="1" t="s">
        <v>326</v>
      </c>
      <c r="Z86" s="1" t="s">
        <v>1910</v>
      </c>
      <c r="AA86" s="1" t="s">
        <v>417</v>
      </c>
      <c r="AB86" s="1" t="s">
        <v>192</v>
      </c>
      <c r="AC86" s="1"/>
      <c r="AD86" s="1" t="s">
        <v>1911</v>
      </c>
      <c r="AE86" s="1" t="s">
        <v>1912</v>
      </c>
    </row>
    <row r="87" spans="1:31" hidden="1" x14ac:dyDescent="0.25">
      <c r="A87" s="1" t="s">
        <v>1907</v>
      </c>
      <c r="B87" s="1" t="s">
        <v>1982</v>
      </c>
      <c r="C87" s="1" t="s">
        <v>774</v>
      </c>
      <c r="D87" s="1" t="s">
        <v>775</v>
      </c>
      <c r="E87" s="1" t="str">
        <f t="shared" si="1"/>
        <v>288</v>
      </c>
      <c r="F87" s="1"/>
      <c r="G87" s="1" t="s">
        <v>776</v>
      </c>
      <c r="H87" s="1" t="s">
        <v>184</v>
      </c>
      <c r="I87" s="1" t="s">
        <v>777</v>
      </c>
      <c r="J87" s="1" t="s">
        <v>778</v>
      </c>
      <c r="K87" s="1" t="s">
        <v>361</v>
      </c>
      <c r="L87" s="1"/>
      <c r="M87" s="1" t="s">
        <v>105</v>
      </c>
      <c r="N87" s="1"/>
      <c r="O87" s="1"/>
      <c r="P87" s="1"/>
      <c r="Q87" s="1" t="s">
        <v>779</v>
      </c>
      <c r="R87" s="1"/>
      <c r="S87" s="1" t="s">
        <v>1909</v>
      </c>
      <c r="T87" s="1" t="s">
        <v>780</v>
      </c>
      <c r="U87" s="1" t="s">
        <v>189</v>
      </c>
      <c r="V87" s="1"/>
      <c r="W87" s="1"/>
      <c r="X87" s="1"/>
      <c r="Y87" s="1"/>
      <c r="Z87" s="1" t="s">
        <v>1910</v>
      </c>
      <c r="AA87" s="1" t="s">
        <v>191</v>
      </c>
      <c r="AB87" s="1" t="s">
        <v>192</v>
      </c>
      <c r="AC87" s="1"/>
      <c r="AD87" s="1" t="s">
        <v>1911</v>
      </c>
      <c r="AE87" s="1" t="s">
        <v>1912</v>
      </c>
    </row>
    <row r="88" spans="1:31" hidden="1" x14ac:dyDescent="0.25">
      <c r="A88" s="1" t="s">
        <v>1907</v>
      </c>
      <c r="B88" s="1" t="s">
        <v>1983</v>
      </c>
      <c r="C88" s="1" t="s">
        <v>781</v>
      </c>
      <c r="D88" s="1" t="s">
        <v>782</v>
      </c>
      <c r="E88" s="1" t="str">
        <f t="shared" si="1"/>
        <v>292</v>
      </c>
      <c r="F88" s="1"/>
      <c r="G88" s="1" t="s">
        <v>783</v>
      </c>
      <c r="H88" s="1" t="s">
        <v>184</v>
      </c>
      <c r="I88" s="1" t="s">
        <v>784</v>
      </c>
      <c r="J88" s="1" t="s">
        <v>785</v>
      </c>
      <c r="K88" s="1" t="s">
        <v>233</v>
      </c>
      <c r="L88" s="1"/>
      <c r="M88" s="1" t="s">
        <v>105</v>
      </c>
      <c r="N88" s="1" t="s">
        <v>234</v>
      </c>
      <c r="O88" s="1"/>
      <c r="P88" s="1" t="s">
        <v>198</v>
      </c>
      <c r="Q88" s="1" t="s">
        <v>786</v>
      </c>
      <c r="R88" s="1"/>
      <c r="S88" s="1" t="s">
        <v>1909</v>
      </c>
      <c r="T88" s="1"/>
      <c r="U88" s="1" t="s">
        <v>210</v>
      </c>
      <c r="V88" s="1"/>
      <c r="W88" s="1" t="s">
        <v>198</v>
      </c>
      <c r="X88" s="1" t="s">
        <v>227</v>
      </c>
      <c r="Y88" s="1"/>
      <c r="Z88" s="1" t="s">
        <v>1910</v>
      </c>
      <c r="AA88" s="1" t="s">
        <v>787</v>
      </c>
      <c r="AB88" s="1" t="s">
        <v>192</v>
      </c>
      <c r="AC88" s="1"/>
      <c r="AD88" s="1" t="s">
        <v>1911</v>
      </c>
      <c r="AE88" s="1" t="s">
        <v>1912</v>
      </c>
    </row>
    <row r="89" spans="1:31" hidden="1" x14ac:dyDescent="0.25">
      <c r="A89" s="1" t="s">
        <v>1907</v>
      </c>
      <c r="B89" s="1" t="s">
        <v>1984</v>
      </c>
      <c r="C89" s="1" t="s">
        <v>788</v>
      </c>
      <c r="D89" s="1" t="s">
        <v>788</v>
      </c>
      <c r="E89" s="1" t="str">
        <f t="shared" si="1"/>
        <v>296</v>
      </c>
      <c r="F89" s="1"/>
      <c r="G89" s="1" t="s">
        <v>789</v>
      </c>
      <c r="H89" s="1" t="s">
        <v>184</v>
      </c>
      <c r="I89" s="1" t="s">
        <v>790</v>
      </c>
      <c r="J89" s="1" t="s">
        <v>791</v>
      </c>
      <c r="K89" s="1" t="s">
        <v>208</v>
      </c>
      <c r="L89" s="1"/>
      <c r="M89" s="1" t="s">
        <v>105</v>
      </c>
      <c r="N89" s="1"/>
      <c r="O89" s="1"/>
      <c r="P89" s="1"/>
      <c r="Q89" s="1" t="s">
        <v>792</v>
      </c>
      <c r="R89" s="1"/>
      <c r="S89" s="1" t="s">
        <v>1909</v>
      </c>
      <c r="T89" s="1"/>
      <c r="U89" s="1" t="s">
        <v>200</v>
      </c>
      <c r="V89" s="1"/>
      <c r="W89" s="1" t="s">
        <v>201</v>
      </c>
      <c r="X89" s="1" t="s">
        <v>227</v>
      </c>
      <c r="Y89" s="1"/>
      <c r="Z89" s="1" t="s">
        <v>1910</v>
      </c>
      <c r="AA89" s="1" t="s">
        <v>191</v>
      </c>
      <c r="AB89" s="1" t="s">
        <v>192</v>
      </c>
      <c r="AC89" s="1"/>
      <c r="AD89" s="1" t="s">
        <v>1911</v>
      </c>
      <c r="AE89" s="1" t="s">
        <v>1912</v>
      </c>
    </row>
    <row r="90" spans="1:31" hidden="1" x14ac:dyDescent="0.25">
      <c r="A90" s="1" t="s">
        <v>1907</v>
      </c>
      <c r="B90" s="1" t="s">
        <v>80</v>
      </c>
      <c r="C90" s="1" t="s">
        <v>793</v>
      </c>
      <c r="D90" s="1" t="s">
        <v>794</v>
      </c>
      <c r="E90" s="1" t="str">
        <f t="shared" si="1"/>
        <v>300</v>
      </c>
      <c r="F90" s="1"/>
      <c r="G90" s="1" t="s">
        <v>795</v>
      </c>
      <c r="H90" s="1" t="s">
        <v>184</v>
      </c>
      <c r="I90" s="1" t="s">
        <v>796</v>
      </c>
      <c r="J90" s="1" t="s">
        <v>797</v>
      </c>
      <c r="K90" s="1" t="s">
        <v>275</v>
      </c>
      <c r="L90" s="1"/>
      <c r="M90" s="1" t="s">
        <v>109</v>
      </c>
      <c r="N90" s="1" t="s">
        <v>282</v>
      </c>
      <c r="O90" s="1" t="s">
        <v>283</v>
      </c>
      <c r="P90" s="1" t="s">
        <v>284</v>
      </c>
      <c r="Q90" s="1" t="s">
        <v>798</v>
      </c>
      <c r="R90" s="1"/>
      <c r="S90" s="1" t="s">
        <v>1909</v>
      </c>
      <c r="T90" s="1" t="s">
        <v>799</v>
      </c>
      <c r="U90" s="1" t="s">
        <v>1910</v>
      </c>
      <c r="V90" s="1"/>
      <c r="W90" s="1" t="s">
        <v>198</v>
      </c>
      <c r="X90" s="1" t="s">
        <v>198</v>
      </c>
      <c r="Y90" s="1" t="s">
        <v>326</v>
      </c>
      <c r="Z90" s="1" t="s">
        <v>1910</v>
      </c>
      <c r="AA90" s="1" t="s">
        <v>800</v>
      </c>
      <c r="AB90" s="1" t="s">
        <v>192</v>
      </c>
      <c r="AC90" s="1"/>
      <c r="AD90" s="1" t="s">
        <v>1911</v>
      </c>
      <c r="AE90" s="1" t="s">
        <v>1912</v>
      </c>
    </row>
    <row r="91" spans="1:31" hidden="1" x14ac:dyDescent="0.25">
      <c r="A91" s="1" t="s">
        <v>1907</v>
      </c>
      <c r="B91" s="1" t="s">
        <v>1985</v>
      </c>
      <c r="C91" s="1" t="s">
        <v>801</v>
      </c>
      <c r="D91" s="1" t="s">
        <v>802</v>
      </c>
      <c r="E91" s="1" t="str">
        <f t="shared" si="1"/>
        <v>302</v>
      </c>
      <c r="F91" s="1"/>
      <c r="G91" s="1" t="s">
        <v>803</v>
      </c>
      <c r="H91" s="1" t="s">
        <v>804</v>
      </c>
      <c r="I91" s="1" t="s">
        <v>1985</v>
      </c>
      <c r="J91" s="1" t="s">
        <v>805</v>
      </c>
      <c r="K91" s="1" t="s">
        <v>1986</v>
      </c>
      <c r="L91" s="1"/>
      <c r="M91" s="1" t="s">
        <v>105</v>
      </c>
      <c r="N91" s="1"/>
      <c r="O91" s="1"/>
      <c r="P91" s="1"/>
      <c r="Q91" s="1" t="s">
        <v>806</v>
      </c>
      <c r="R91" s="1"/>
      <c r="S91" s="1" t="s">
        <v>1909</v>
      </c>
      <c r="T91" s="1"/>
      <c r="U91" s="1" t="s">
        <v>1910</v>
      </c>
      <c r="V91" s="1"/>
      <c r="W91" s="1"/>
      <c r="X91" s="1" t="s">
        <v>807</v>
      </c>
      <c r="Y91" s="1"/>
      <c r="Z91" s="1" t="s">
        <v>1910</v>
      </c>
      <c r="AA91" s="1" t="s">
        <v>1987</v>
      </c>
      <c r="AB91" s="1"/>
      <c r="AC91" s="1"/>
      <c r="AD91" s="1" t="s">
        <v>1911</v>
      </c>
      <c r="AE91" s="1" t="s">
        <v>1912</v>
      </c>
    </row>
    <row r="92" spans="1:31" hidden="1" x14ac:dyDescent="0.25">
      <c r="A92" s="1" t="s">
        <v>1907</v>
      </c>
      <c r="B92" s="1" t="s">
        <v>1988</v>
      </c>
      <c r="C92" s="1" t="s">
        <v>808</v>
      </c>
      <c r="D92" s="1" t="s">
        <v>809</v>
      </c>
      <c r="E92" s="1" t="str">
        <f t="shared" si="1"/>
        <v>304</v>
      </c>
      <c r="F92" s="1"/>
      <c r="G92" s="1" t="s">
        <v>810</v>
      </c>
      <c r="H92" s="1" t="s">
        <v>184</v>
      </c>
      <c r="I92" s="1" t="s">
        <v>811</v>
      </c>
      <c r="J92" s="1" t="s">
        <v>812</v>
      </c>
      <c r="K92" s="1" t="s">
        <v>208</v>
      </c>
      <c r="L92" s="1"/>
      <c r="M92" s="1" t="s">
        <v>105</v>
      </c>
      <c r="N92" s="1"/>
      <c r="O92" s="1"/>
      <c r="P92" s="1"/>
      <c r="Q92" s="1" t="s">
        <v>813</v>
      </c>
      <c r="R92" s="1"/>
      <c r="S92" s="1" t="s">
        <v>1909</v>
      </c>
      <c r="T92" s="1"/>
      <c r="U92" s="1" t="s">
        <v>210</v>
      </c>
      <c r="V92" s="1"/>
      <c r="W92" s="1"/>
      <c r="X92" s="1"/>
      <c r="Y92" s="1"/>
      <c r="Z92" s="1" t="s">
        <v>1910</v>
      </c>
      <c r="AA92" s="1" t="s">
        <v>672</v>
      </c>
      <c r="AB92" s="1" t="s">
        <v>192</v>
      </c>
      <c r="AC92" s="1"/>
      <c r="AD92" s="1" t="s">
        <v>1911</v>
      </c>
      <c r="AE92" s="1" t="s">
        <v>1912</v>
      </c>
    </row>
    <row r="93" spans="1:31" hidden="1" x14ac:dyDescent="0.25">
      <c r="A93" s="1" t="s">
        <v>1907</v>
      </c>
      <c r="B93" s="1" t="s">
        <v>1989</v>
      </c>
      <c r="C93" s="1" t="s">
        <v>814</v>
      </c>
      <c r="D93" s="1" t="s">
        <v>815</v>
      </c>
      <c r="E93" s="1" t="str">
        <f t="shared" si="1"/>
        <v>307</v>
      </c>
      <c r="F93" s="1"/>
      <c r="G93" s="1" t="s">
        <v>816</v>
      </c>
      <c r="H93" s="1" t="s">
        <v>804</v>
      </c>
      <c r="I93" s="1" t="s">
        <v>1989</v>
      </c>
      <c r="J93" s="1" t="s">
        <v>817</v>
      </c>
      <c r="K93" s="1" t="s">
        <v>1986</v>
      </c>
      <c r="L93" s="1"/>
      <c r="M93" s="1" t="s">
        <v>105</v>
      </c>
      <c r="N93" s="1"/>
      <c r="O93" s="1"/>
      <c r="P93" s="1"/>
      <c r="Q93" s="1" t="s">
        <v>818</v>
      </c>
      <c r="R93" s="1"/>
      <c r="S93" s="1" t="s">
        <v>1909</v>
      </c>
      <c r="T93" s="1"/>
      <c r="U93" s="1" t="s">
        <v>1910</v>
      </c>
      <c r="V93" s="1"/>
      <c r="W93" s="1"/>
      <c r="X93" s="1" t="s">
        <v>807</v>
      </c>
      <c r="Y93" s="1"/>
      <c r="Z93" s="1" t="s">
        <v>1910</v>
      </c>
      <c r="AA93" s="1" t="s">
        <v>1987</v>
      </c>
      <c r="AB93" s="1"/>
      <c r="AC93" s="1"/>
      <c r="AD93" s="1" t="s">
        <v>1911</v>
      </c>
      <c r="AE93" s="1" t="s">
        <v>1912</v>
      </c>
    </row>
    <row r="94" spans="1:31" hidden="1" x14ac:dyDescent="0.25">
      <c r="A94" s="1" t="s">
        <v>1907</v>
      </c>
      <c r="B94" s="1" t="s">
        <v>1990</v>
      </c>
      <c r="C94" s="1" t="s">
        <v>819</v>
      </c>
      <c r="D94" s="1" t="s">
        <v>820</v>
      </c>
      <c r="E94" s="1" t="str">
        <f t="shared" si="1"/>
        <v>308</v>
      </c>
      <c r="F94" s="1"/>
      <c r="G94" s="1" t="s">
        <v>821</v>
      </c>
      <c r="H94" s="1" t="s">
        <v>184</v>
      </c>
      <c r="I94" s="1" t="s">
        <v>822</v>
      </c>
      <c r="J94" s="1" t="s">
        <v>823</v>
      </c>
      <c r="K94" s="1" t="s">
        <v>233</v>
      </c>
      <c r="L94" s="1"/>
      <c r="M94" s="1" t="s">
        <v>105</v>
      </c>
      <c r="N94" s="1" t="s">
        <v>562</v>
      </c>
      <c r="O94" s="1"/>
      <c r="P94" s="1"/>
      <c r="Q94" s="1" t="s">
        <v>824</v>
      </c>
      <c r="R94" s="1"/>
      <c r="S94" s="1" t="s">
        <v>1909</v>
      </c>
      <c r="T94" s="1"/>
      <c r="U94" s="1" t="s">
        <v>189</v>
      </c>
      <c r="V94" s="1"/>
      <c r="W94" s="1" t="s">
        <v>201</v>
      </c>
      <c r="X94" s="1" t="s">
        <v>227</v>
      </c>
      <c r="Y94" s="1"/>
      <c r="Z94" s="1" t="s">
        <v>1910</v>
      </c>
      <c r="AA94" s="1" t="s">
        <v>191</v>
      </c>
      <c r="AB94" s="1" t="s">
        <v>192</v>
      </c>
      <c r="AC94" s="1"/>
      <c r="AD94" s="1" t="s">
        <v>1911</v>
      </c>
      <c r="AE94" s="1" t="s">
        <v>1912</v>
      </c>
    </row>
    <row r="95" spans="1:31" hidden="1" x14ac:dyDescent="0.25">
      <c r="A95" s="1" t="s">
        <v>1907</v>
      </c>
      <c r="B95" s="1" t="s">
        <v>1991</v>
      </c>
      <c r="C95" s="1" t="s">
        <v>825</v>
      </c>
      <c r="D95" s="1" t="s">
        <v>826</v>
      </c>
      <c r="E95" s="1" t="str">
        <f t="shared" si="1"/>
        <v>312</v>
      </c>
      <c r="F95" s="1"/>
      <c r="G95" s="1" t="s">
        <v>827</v>
      </c>
      <c r="H95" s="1" t="s">
        <v>184</v>
      </c>
      <c r="I95" s="1" t="s">
        <v>828</v>
      </c>
      <c r="J95" s="1" t="s">
        <v>829</v>
      </c>
      <c r="K95" s="1" t="s">
        <v>197</v>
      </c>
      <c r="L95" s="1"/>
      <c r="M95" s="1" t="s">
        <v>105</v>
      </c>
      <c r="N95" s="1"/>
      <c r="O95" s="1"/>
      <c r="P95" s="1" t="s">
        <v>284</v>
      </c>
      <c r="Q95" s="1" t="s">
        <v>830</v>
      </c>
      <c r="R95" s="1"/>
      <c r="S95" s="1" t="s">
        <v>1909</v>
      </c>
      <c r="T95" s="1"/>
      <c r="U95" s="1" t="s">
        <v>210</v>
      </c>
      <c r="V95" s="1"/>
      <c r="W95" s="1" t="s">
        <v>198</v>
      </c>
      <c r="X95" s="1" t="s">
        <v>201</v>
      </c>
      <c r="Y95" s="1"/>
      <c r="Z95" s="1" t="s">
        <v>1910</v>
      </c>
      <c r="AA95" s="1" t="s">
        <v>540</v>
      </c>
      <c r="AB95" s="1" t="s">
        <v>192</v>
      </c>
      <c r="AC95" s="1"/>
      <c r="AD95" s="1" t="s">
        <v>1911</v>
      </c>
      <c r="AE95" s="1" t="s">
        <v>1912</v>
      </c>
    </row>
    <row r="96" spans="1:31" hidden="1" x14ac:dyDescent="0.25">
      <c r="A96" s="1" t="s">
        <v>1907</v>
      </c>
      <c r="B96" s="1" t="s">
        <v>1992</v>
      </c>
      <c r="C96" s="1" t="s">
        <v>831</v>
      </c>
      <c r="D96" s="1" t="s">
        <v>831</v>
      </c>
      <c r="E96" s="1" t="str">
        <f t="shared" si="1"/>
        <v>316</v>
      </c>
      <c r="F96" s="1"/>
      <c r="G96" s="1" t="s">
        <v>832</v>
      </c>
      <c r="H96" s="1" t="s">
        <v>222</v>
      </c>
      <c r="I96" s="1" t="s">
        <v>833</v>
      </c>
      <c r="J96" s="1" t="s">
        <v>834</v>
      </c>
      <c r="K96" s="1" t="s">
        <v>225</v>
      </c>
      <c r="L96" s="1"/>
      <c r="M96" s="1" t="s">
        <v>105</v>
      </c>
      <c r="N96" s="1"/>
      <c r="O96" s="1"/>
      <c r="P96" s="1"/>
      <c r="Q96" s="1" t="s">
        <v>835</v>
      </c>
      <c r="R96" s="1"/>
      <c r="S96" s="1" t="s">
        <v>1909</v>
      </c>
      <c r="T96" s="1"/>
      <c r="U96" s="1" t="s">
        <v>189</v>
      </c>
      <c r="V96" s="1"/>
      <c r="W96" s="1" t="s">
        <v>201</v>
      </c>
      <c r="X96" s="1" t="s">
        <v>227</v>
      </c>
      <c r="Y96" s="1"/>
      <c r="Z96" s="1" t="s">
        <v>1910</v>
      </c>
      <c r="AA96" s="1" t="s">
        <v>191</v>
      </c>
      <c r="AB96" s="1" t="s">
        <v>192</v>
      </c>
      <c r="AC96" s="1"/>
      <c r="AD96" s="1" t="s">
        <v>1911</v>
      </c>
      <c r="AE96" s="1" t="s">
        <v>1912</v>
      </c>
    </row>
    <row r="97" spans="1:31" hidden="1" x14ac:dyDescent="0.25">
      <c r="A97" s="1" t="s">
        <v>1907</v>
      </c>
      <c r="B97" s="1" t="s">
        <v>1993</v>
      </c>
      <c r="C97" s="1" t="s">
        <v>836</v>
      </c>
      <c r="D97" s="1" t="s">
        <v>836</v>
      </c>
      <c r="E97" s="1" t="str">
        <f t="shared" si="1"/>
        <v>320</v>
      </c>
      <c r="F97" s="1"/>
      <c r="G97" s="1" t="s">
        <v>837</v>
      </c>
      <c r="H97" s="1" t="s">
        <v>222</v>
      </c>
      <c r="I97" s="1" t="s">
        <v>838</v>
      </c>
      <c r="J97" s="1" t="s">
        <v>839</v>
      </c>
      <c r="K97" s="1" t="s">
        <v>197</v>
      </c>
      <c r="L97" s="1"/>
      <c r="M97" s="1" t="s">
        <v>105</v>
      </c>
      <c r="N97" s="1" t="s">
        <v>268</v>
      </c>
      <c r="O97" s="1"/>
      <c r="P97" s="1"/>
      <c r="Q97" s="1" t="s">
        <v>840</v>
      </c>
      <c r="R97" s="1"/>
      <c r="S97" s="1" t="s">
        <v>1909</v>
      </c>
      <c r="T97" s="1" t="s">
        <v>841</v>
      </c>
      <c r="U97" s="1" t="s">
        <v>217</v>
      </c>
      <c r="V97" s="1"/>
      <c r="W97" s="1" t="s">
        <v>201</v>
      </c>
      <c r="X97" s="1" t="s">
        <v>463</v>
      </c>
      <c r="Y97" s="1"/>
      <c r="Z97" s="1" t="s">
        <v>1910</v>
      </c>
      <c r="AA97" s="1" t="s">
        <v>262</v>
      </c>
      <c r="AB97" s="1" t="s">
        <v>192</v>
      </c>
      <c r="AC97" s="1"/>
      <c r="AD97" s="1" t="s">
        <v>1911</v>
      </c>
      <c r="AE97" s="1" t="s">
        <v>1912</v>
      </c>
    </row>
    <row r="98" spans="1:31" hidden="1" x14ac:dyDescent="0.25">
      <c r="A98" s="1" t="s">
        <v>1907</v>
      </c>
      <c r="B98" s="1" t="s">
        <v>1994</v>
      </c>
      <c r="C98" s="1" t="s">
        <v>842</v>
      </c>
      <c r="D98" s="1" t="s">
        <v>843</v>
      </c>
      <c r="E98" s="1" t="str">
        <f t="shared" si="1"/>
        <v>324</v>
      </c>
      <c r="F98" s="1"/>
      <c r="G98" s="1" t="s">
        <v>844</v>
      </c>
      <c r="H98" s="1" t="s">
        <v>184</v>
      </c>
      <c r="I98" s="1" t="s">
        <v>845</v>
      </c>
      <c r="J98" s="1" t="s">
        <v>846</v>
      </c>
      <c r="K98" s="1" t="s">
        <v>352</v>
      </c>
      <c r="L98" s="1"/>
      <c r="M98" s="1" t="s">
        <v>105</v>
      </c>
      <c r="N98" s="1"/>
      <c r="O98" s="1"/>
      <c r="P98" s="1"/>
      <c r="Q98" s="1" t="s">
        <v>847</v>
      </c>
      <c r="R98" s="1"/>
      <c r="S98" s="1" t="s">
        <v>1909</v>
      </c>
      <c r="T98" s="1"/>
      <c r="U98" s="1" t="s">
        <v>189</v>
      </c>
      <c r="V98" s="1"/>
      <c r="W98" s="1"/>
      <c r="X98" s="1" t="s">
        <v>190</v>
      </c>
      <c r="Y98" s="1"/>
      <c r="Z98" s="1" t="s">
        <v>1910</v>
      </c>
      <c r="AA98" s="1" t="s">
        <v>191</v>
      </c>
      <c r="AB98" s="1" t="s">
        <v>192</v>
      </c>
      <c r="AC98" s="1"/>
      <c r="AD98" s="1" t="s">
        <v>1911</v>
      </c>
      <c r="AE98" s="1" t="s">
        <v>1912</v>
      </c>
    </row>
    <row r="99" spans="1:31" hidden="1" x14ac:dyDescent="0.25">
      <c r="A99" s="1" t="s">
        <v>1907</v>
      </c>
      <c r="B99" s="1" t="s">
        <v>1995</v>
      </c>
      <c r="C99" s="1" t="s">
        <v>848</v>
      </c>
      <c r="D99" s="1" t="s">
        <v>849</v>
      </c>
      <c r="E99" s="1" t="str">
        <f t="shared" si="1"/>
        <v>328</v>
      </c>
      <c r="F99" s="1"/>
      <c r="G99" s="1" t="s">
        <v>850</v>
      </c>
      <c r="H99" s="1" t="s">
        <v>222</v>
      </c>
      <c r="I99" s="1" t="s">
        <v>851</v>
      </c>
      <c r="J99" s="1" t="s">
        <v>852</v>
      </c>
      <c r="K99" s="1" t="s">
        <v>267</v>
      </c>
      <c r="L99" s="1"/>
      <c r="M99" s="1" t="s">
        <v>105</v>
      </c>
      <c r="N99" s="1"/>
      <c r="O99" s="1"/>
      <c r="P99" s="1"/>
      <c r="Q99" s="1" t="s">
        <v>853</v>
      </c>
      <c r="R99" s="1"/>
      <c r="S99" s="1" t="s">
        <v>1909</v>
      </c>
      <c r="T99" s="1"/>
      <c r="U99" s="1" t="s">
        <v>200</v>
      </c>
      <c r="V99" s="1"/>
      <c r="W99" s="1" t="s">
        <v>201</v>
      </c>
      <c r="X99" s="1" t="s">
        <v>227</v>
      </c>
      <c r="Y99" s="1"/>
      <c r="Z99" s="1" t="s">
        <v>1910</v>
      </c>
      <c r="AA99" s="1" t="s">
        <v>191</v>
      </c>
      <c r="AB99" s="1" t="s">
        <v>192</v>
      </c>
      <c r="AC99" s="1"/>
      <c r="AD99" s="1" t="s">
        <v>1911</v>
      </c>
      <c r="AE99" s="1" t="s">
        <v>1912</v>
      </c>
    </row>
    <row r="100" spans="1:31" hidden="1" x14ac:dyDescent="0.25">
      <c r="A100" s="1" t="s">
        <v>1907</v>
      </c>
      <c r="B100" s="1" t="s">
        <v>1996</v>
      </c>
      <c r="C100" s="1" t="s">
        <v>854</v>
      </c>
      <c r="D100" s="1" t="s">
        <v>854</v>
      </c>
      <c r="E100" s="1" t="str">
        <f t="shared" si="1"/>
        <v>332</v>
      </c>
      <c r="F100" s="1"/>
      <c r="G100" s="1" t="s">
        <v>855</v>
      </c>
      <c r="H100" s="1" t="s">
        <v>184</v>
      </c>
      <c r="I100" s="1" t="s">
        <v>856</v>
      </c>
      <c r="J100" s="1" t="s">
        <v>857</v>
      </c>
      <c r="K100" s="1" t="s">
        <v>858</v>
      </c>
      <c r="L100" s="1"/>
      <c r="M100" s="1" t="s">
        <v>105</v>
      </c>
      <c r="N100" s="1"/>
      <c r="O100" s="1"/>
      <c r="P100" s="1"/>
      <c r="Q100" s="1" t="s">
        <v>859</v>
      </c>
      <c r="R100" s="1"/>
      <c r="S100" s="1" t="s">
        <v>1909</v>
      </c>
      <c r="T100" s="1"/>
      <c r="U100" s="1" t="s">
        <v>189</v>
      </c>
      <c r="V100" s="1"/>
      <c r="W100" s="1" t="s">
        <v>201</v>
      </c>
      <c r="X100" s="1" t="s">
        <v>355</v>
      </c>
      <c r="Y100" s="1"/>
      <c r="Z100" s="1" t="s">
        <v>1910</v>
      </c>
      <c r="AA100" s="1" t="s">
        <v>191</v>
      </c>
      <c r="AB100" s="1" t="s">
        <v>192</v>
      </c>
      <c r="AC100" s="1"/>
      <c r="AD100" s="1" t="s">
        <v>1911</v>
      </c>
      <c r="AE100" s="1" t="s">
        <v>1912</v>
      </c>
    </row>
    <row r="101" spans="1:31" hidden="1" x14ac:dyDescent="0.25">
      <c r="A101" s="1" t="s">
        <v>1907</v>
      </c>
      <c r="B101" s="1" t="s">
        <v>1997</v>
      </c>
      <c r="C101" s="1" t="s">
        <v>860</v>
      </c>
      <c r="D101" s="1" t="s">
        <v>861</v>
      </c>
      <c r="E101" s="1" t="str">
        <f t="shared" si="1"/>
        <v>334</v>
      </c>
      <c r="F101" s="1"/>
      <c r="G101" s="1" t="s">
        <v>862</v>
      </c>
      <c r="H101" s="1" t="s">
        <v>222</v>
      </c>
      <c r="I101" s="1" t="s">
        <v>863</v>
      </c>
      <c r="J101" s="1" t="s">
        <v>864</v>
      </c>
      <c r="K101" s="1" t="s">
        <v>208</v>
      </c>
      <c r="L101" s="1"/>
      <c r="M101" s="1" t="s">
        <v>105</v>
      </c>
      <c r="N101" s="1"/>
      <c r="O101" s="1"/>
      <c r="P101" s="1"/>
      <c r="Q101" s="1" t="s">
        <v>865</v>
      </c>
      <c r="R101" s="1"/>
      <c r="S101" s="1" t="s">
        <v>1909</v>
      </c>
      <c r="T101" s="1"/>
      <c r="U101" s="1" t="s">
        <v>189</v>
      </c>
      <c r="V101" s="1"/>
      <c r="W101" s="1" t="s">
        <v>201</v>
      </c>
      <c r="X101" s="1" t="s">
        <v>201</v>
      </c>
      <c r="Y101" s="1"/>
      <c r="Z101" s="1" t="s">
        <v>1910</v>
      </c>
      <c r="AA101" s="1" t="s">
        <v>228</v>
      </c>
      <c r="AB101" s="1" t="s">
        <v>192</v>
      </c>
      <c r="AC101" s="1"/>
      <c r="AD101" s="1" t="s">
        <v>1911</v>
      </c>
      <c r="AE101" s="1" t="s">
        <v>1912</v>
      </c>
    </row>
    <row r="102" spans="1:31" hidden="1" x14ac:dyDescent="0.25">
      <c r="A102" s="1" t="s">
        <v>1907</v>
      </c>
      <c r="B102" s="1" t="s">
        <v>1998</v>
      </c>
      <c r="C102" s="1" t="s">
        <v>866</v>
      </c>
      <c r="D102" s="1" t="s">
        <v>867</v>
      </c>
      <c r="E102" s="1" t="str">
        <f t="shared" si="1"/>
        <v>336</v>
      </c>
      <c r="F102" s="1"/>
      <c r="G102" s="1" t="s">
        <v>868</v>
      </c>
      <c r="H102" s="1" t="s">
        <v>869</v>
      </c>
      <c r="I102" s="1" t="s">
        <v>870</v>
      </c>
      <c r="J102" s="1" t="s">
        <v>871</v>
      </c>
      <c r="K102" s="1" t="s">
        <v>208</v>
      </c>
      <c r="L102" s="1"/>
      <c r="M102" s="1" t="s">
        <v>106</v>
      </c>
      <c r="N102" s="1" t="s">
        <v>234</v>
      </c>
      <c r="O102" s="1" t="s">
        <v>235</v>
      </c>
      <c r="P102" s="1" t="s">
        <v>198</v>
      </c>
      <c r="Q102" s="1" t="s">
        <v>872</v>
      </c>
      <c r="R102" s="1"/>
      <c r="S102" s="1" t="s">
        <v>1909</v>
      </c>
      <c r="T102" s="1"/>
      <c r="U102" s="1" t="s">
        <v>210</v>
      </c>
      <c r="V102" s="1"/>
      <c r="W102" s="1" t="s">
        <v>198</v>
      </c>
      <c r="X102" s="1"/>
      <c r="Y102" s="1"/>
      <c r="Z102" s="1" t="s">
        <v>1910</v>
      </c>
      <c r="AA102" s="1" t="s">
        <v>873</v>
      </c>
      <c r="AB102" s="1" t="s">
        <v>192</v>
      </c>
      <c r="AC102" s="1"/>
      <c r="AD102" s="1" t="s">
        <v>1911</v>
      </c>
      <c r="AE102" s="1" t="s">
        <v>1912</v>
      </c>
    </row>
    <row r="103" spans="1:31" hidden="1" x14ac:dyDescent="0.25">
      <c r="A103" s="1" t="s">
        <v>1907</v>
      </c>
      <c r="B103" s="1" t="s">
        <v>1999</v>
      </c>
      <c r="C103" s="1" t="s">
        <v>874</v>
      </c>
      <c r="D103" s="1" t="s">
        <v>874</v>
      </c>
      <c r="E103" s="1" t="str">
        <f t="shared" si="1"/>
        <v>340</v>
      </c>
      <c r="F103" s="1"/>
      <c r="G103" s="1" t="s">
        <v>875</v>
      </c>
      <c r="H103" s="1" t="s">
        <v>222</v>
      </c>
      <c r="I103" s="1" t="s">
        <v>876</v>
      </c>
      <c r="J103" s="1" t="s">
        <v>877</v>
      </c>
      <c r="K103" s="1" t="s">
        <v>197</v>
      </c>
      <c r="L103" s="1"/>
      <c r="M103" s="1" t="s">
        <v>105</v>
      </c>
      <c r="N103" s="1" t="s">
        <v>268</v>
      </c>
      <c r="O103" s="1"/>
      <c r="P103" s="1"/>
      <c r="Q103" s="1" t="s">
        <v>878</v>
      </c>
      <c r="R103" s="1"/>
      <c r="S103" s="1" t="s">
        <v>1909</v>
      </c>
      <c r="T103" s="1" t="s">
        <v>879</v>
      </c>
      <c r="U103" s="1" t="s">
        <v>200</v>
      </c>
      <c r="V103" s="1"/>
      <c r="W103" s="1" t="s">
        <v>201</v>
      </c>
      <c r="X103" s="1" t="s">
        <v>227</v>
      </c>
      <c r="Y103" s="1"/>
      <c r="Z103" s="1" t="s">
        <v>1910</v>
      </c>
      <c r="AA103" s="1" t="s">
        <v>191</v>
      </c>
      <c r="AB103" s="1" t="s">
        <v>192</v>
      </c>
      <c r="AC103" s="1"/>
      <c r="AD103" s="1" t="s">
        <v>1911</v>
      </c>
      <c r="AE103" s="1" t="s">
        <v>1912</v>
      </c>
    </row>
    <row r="104" spans="1:31" hidden="1" x14ac:dyDescent="0.25">
      <c r="A104" s="1" t="s">
        <v>1907</v>
      </c>
      <c r="B104" s="1" t="s">
        <v>72</v>
      </c>
      <c r="C104" s="1" t="s">
        <v>880</v>
      </c>
      <c r="D104" s="1" t="s">
        <v>880</v>
      </c>
      <c r="E104" s="1" t="str">
        <f t="shared" si="1"/>
        <v>344</v>
      </c>
      <c r="F104" s="1"/>
      <c r="G104" s="1" t="s">
        <v>881</v>
      </c>
      <c r="H104" s="1" t="s">
        <v>184</v>
      </c>
      <c r="I104" s="1" t="s">
        <v>882</v>
      </c>
      <c r="J104" s="1" t="s">
        <v>883</v>
      </c>
      <c r="K104" s="1" t="s">
        <v>884</v>
      </c>
      <c r="L104" s="1"/>
      <c r="M104" s="1" t="s">
        <v>105</v>
      </c>
      <c r="N104" s="1"/>
      <c r="O104" s="1"/>
      <c r="P104" s="1"/>
      <c r="Q104" s="1" t="s">
        <v>885</v>
      </c>
      <c r="R104" s="1" t="s">
        <v>885</v>
      </c>
      <c r="S104" s="1" t="s">
        <v>1909</v>
      </c>
      <c r="T104" s="1" t="s">
        <v>886</v>
      </c>
      <c r="U104" s="1" t="s">
        <v>210</v>
      </c>
      <c r="V104" s="1"/>
      <c r="W104" s="1" t="s">
        <v>201</v>
      </c>
      <c r="X104" s="1" t="s">
        <v>227</v>
      </c>
      <c r="Y104" s="1" t="s">
        <v>464</v>
      </c>
      <c r="Z104" s="1" t="s">
        <v>1910</v>
      </c>
      <c r="AA104" s="1" t="s">
        <v>191</v>
      </c>
      <c r="AB104" s="1" t="s">
        <v>192</v>
      </c>
      <c r="AC104" s="1"/>
      <c r="AD104" s="1" t="s">
        <v>1911</v>
      </c>
      <c r="AE104" s="1" t="s">
        <v>1912</v>
      </c>
    </row>
    <row r="105" spans="1:31" hidden="1" x14ac:dyDescent="0.25">
      <c r="A105" s="1" t="s">
        <v>1907</v>
      </c>
      <c r="B105" s="1" t="s">
        <v>81</v>
      </c>
      <c r="C105" s="1" t="s">
        <v>887</v>
      </c>
      <c r="D105" s="1" t="s">
        <v>888</v>
      </c>
      <c r="E105" s="1" t="str">
        <f t="shared" si="1"/>
        <v>348</v>
      </c>
      <c r="F105" s="1"/>
      <c r="G105" s="1" t="s">
        <v>889</v>
      </c>
      <c r="H105" s="1" t="s">
        <v>184</v>
      </c>
      <c r="I105" s="1" t="s">
        <v>890</v>
      </c>
      <c r="J105" s="1" t="s">
        <v>891</v>
      </c>
      <c r="K105" s="1" t="s">
        <v>495</v>
      </c>
      <c r="L105" s="1"/>
      <c r="M105" s="1" t="s">
        <v>105</v>
      </c>
      <c r="N105" s="1" t="s">
        <v>282</v>
      </c>
      <c r="O105" s="1" t="s">
        <v>414</v>
      </c>
      <c r="P105" s="1" t="s">
        <v>284</v>
      </c>
      <c r="Q105" s="1" t="s">
        <v>892</v>
      </c>
      <c r="R105" s="1"/>
      <c r="S105" s="1" t="s">
        <v>1909</v>
      </c>
      <c r="T105" s="1" t="s">
        <v>893</v>
      </c>
      <c r="U105" s="1" t="s">
        <v>210</v>
      </c>
      <c r="V105" s="1"/>
      <c r="W105" s="1" t="s">
        <v>198</v>
      </c>
      <c r="X105" s="1" t="s">
        <v>201</v>
      </c>
      <c r="Y105" s="1" t="s">
        <v>239</v>
      </c>
      <c r="Z105" s="1" t="s">
        <v>1910</v>
      </c>
      <c r="AA105" s="1" t="s">
        <v>894</v>
      </c>
      <c r="AB105" s="1" t="s">
        <v>192</v>
      </c>
      <c r="AC105" s="1"/>
      <c r="AD105" s="1" t="s">
        <v>1911</v>
      </c>
      <c r="AE105" s="1" t="s">
        <v>1912</v>
      </c>
    </row>
    <row r="106" spans="1:31" hidden="1" x14ac:dyDescent="0.25">
      <c r="A106" s="1" t="s">
        <v>1907</v>
      </c>
      <c r="B106" s="1" t="s">
        <v>73</v>
      </c>
      <c r="C106" s="1" t="s">
        <v>895</v>
      </c>
      <c r="D106" s="1" t="s">
        <v>896</v>
      </c>
      <c r="E106" s="1" t="str">
        <f t="shared" si="1"/>
        <v>352</v>
      </c>
      <c r="F106" s="1"/>
      <c r="G106" s="1" t="s">
        <v>897</v>
      </c>
      <c r="H106" s="1" t="s">
        <v>869</v>
      </c>
      <c r="I106" s="1" t="s">
        <v>898</v>
      </c>
      <c r="J106" s="1" t="s">
        <v>899</v>
      </c>
      <c r="K106" s="1" t="s">
        <v>1986</v>
      </c>
      <c r="L106" s="1"/>
      <c r="M106" s="1" t="s">
        <v>105</v>
      </c>
      <c r="N106" s="1" t="s">
        <v>234</v>
      </c>
      <c r="O106" s="1" t="s">
        <v>900</v>
      </c>
      <c r="P106" s="1" t="s">
        <v>284</v>
      </c>
      <c r="Q106" s="1" t="s">
        <v>901</v>
      </c>
      <c r="R106" s="1"/>
      <c r="S106" s="1" t="s">
        <v>1909</v>
      </c>
      <c r="T106" s="1" t="s">
        <v>902</v>
      </c>
      <c r="U106" s="1" t="s">
        <v>1910</v>
      </c>
      <c r="V106" s="1"/>
      <c r="W106" s="1" t="s">
        <v>198</v>
      </c>
      <c r="X106" s="1" t="s">
        <v>201</v>
      </c>
      <c r="Y106" s="1" t="s">
        <v>247</v>
      </c>
      <c r="Z106" s="1" t="s">
        <v>1910</v>
      </c>
      <c r="AA106" s="1" t="s">
        <v>903</v>
      </c>
      <c r="AB106" s="1" t="s">
        <v>192</v>
      </c>
      <c r="AC106" s="1"/>
      <c r="AD106" s="1" t="s">
        <v>1911</v>
      </c>
      <c r="AE106" s="1" t="s">
        <v>1912</v>
      </c>
    </row>
    <row r="107" spans="1:31" hidden="1" x14ac:dyDescent="0.25">
      <c r="A107" s="1" t="s">
        <v>1907</v>
      </c>
      <c r="B107" s="1" t="s">
        <v>2000</v>
      </c>
      <c r="C107" s="1" t="s">
        <v>904</v>
      </c>
      <c r="D107" s="1" t="s">
        <v>904</v>
      </c>
      <c r="E107" s="1" t="str">
        <f t="shared" si="1"/>
        <v>356</v>
      </c>
      <c r="F107" s="1"/>
      <c r="G107" s="1" t="s">
        <v>905</v>
      </c>
      <c r="H107" s="1" t="s">
        <v>222</v>
      </c>
      <c r="I107" s="1" t="s">
        <v>906</v>
      </c>
      <c r="J107" s="1" t="s">
        <v>907</v>
      </c>
      <c r="K107" s="1" t="s">
        <v>208</v>
      </c>
      <c r="L107" s="1"/>
      <c r="M107" s="1" t="s">
        <v>105</v>
      </c>
      <c r="N107" s="1"/>
      <c r="O107" s="1"/>
      <c r="P107" s="1"/>
      <c r="Q107" s="1" t="s">
        <v>908</v>
      </c>
      <c r="R107" s="1"/>
      <c r="S107" s="1" t="s">
        <v>1909</v>
      </c>
      <c r="T107" s="1" t="s">
        <v>909</v>
      </c>
      <c r="U107" s="1" t="s">
        <v>210</v>
      </c>
      <c r="V107" s="1"/>
      <c r="W107" s="1"/>
      <c r="X107" s="1"/>
      <c r="Y107" s="1" t="s">
        <v>247</v>
      </c>
      <c r="Z107" s="1" t="s">
        <v>1910</v>
      </c>
      <c r="AA107" s="1" t="s">
        <v>191</v>
      </c>
      <c r="AB107" s="1" t="s">
        <v>192</v>
      </c>
      <c r="AC107" s="1"/>
      <c r="AD107" s="1" t="s">
        <v>1911</v>
      </c>
      <c r="AE107" s="1" t="s">
        <v>1912</v>
      </c>
    </row>
    <row r="108" spans="1:31" hidden="1" x14ac:dyDescent="0.25">
      <c r="A108" s="1" t="s">
        <v>1907</v>
      </c>
      <c r="B108" s="1" t="s">
        <v>2001</v>
      </c>
      <c r="C108" s="1" t="s">
        <v>910</v>
      </c>
      <c r="D108" s="1" t="s">
        <v>910</v>
      </c>
      <c r="E108" s="1" t="str">
        <f t="shared" si="1"/>
        <v>360</v>
      </c>
      <c r="F108" s="1"/>
      <c r="G108" s="1" t="s">
        <v>911</v>
      </c>
      <c r="H108" s="1" t="s">
        <v>222</v>
      </c>
      <c r="I108" s="1" t="s">
        <v>912</v>
      </c>
      <c r="J108" s="1" t="s">
        <v>913</v>
      </c>
      <c r="K108" s="1" t="s">
        <v>208</v>
      </c>
      <c r="L108" s="1"/>
      <c r="M108" s="1" t="s">
        <v>105</v>
      </c>
      <c r="N108" s="1"/>
      <c r="O108" s="1"/>
      <c r="P108" s="1"/>
      <c r="Q108" s="1" t="s">
        <v>914</v>
      </c>
      <c r="R108" s="1"/>
      <c r="S108" s="1" t="s">
        <v>1909</v>
      </c>
      <c r="T108" s="1" t="s">
        <v>915</v>
      </c>
      <c r="U108" s="1" t="s">
        <v>210</v>
      </c>
      <c r="V108" s="1"/>
      <c r="W108" s="1" t="s">
        <v>201</v>
      </c>
      <c r="X108" s="1" t="s">
        <v>463</v>
      </c>
      <c r="Y108" s="1" t="s">
        <v>464</v>
      </c>
      <c r="Z108" s="1" t="s">
        <v>1910</v>
      </c>
      <c r="AA108" s="1" t="s">
        <v>191</v>
      </c>
      <c r="AB108" s="1" t="s">
        <v>192</v>
      </c>
      <c r="AC108" s="1"/>
      <c r="AD108" s="1" t="s">
        <v>1911</v>
      </c>
      <c r="AE108" s="1" t="s">
        <v>1912</v>
      </c>
    </row>
    <row r="109" spans="1:31" hidden="1" x14ac:dyDescent="0.25">
      <c r="A109" s="1" t="s">
        <v>1907</v>
      </c>
      <c r="B109" s="1" t="s">
        <v>2002</v>
      </c>
      <c r="C109" s="1" t="s">
        <v>916</v>
      </c>
      <c r="D109" s="1" t="s">
        <v>917</v>
      </c>
      <c r="E109" s="1" t="str">
        <f t="shared" si="1"/>
        <v>364</v>
      </c>
      <c r="F109" s="1"/>
      <c r="G109" s="1" t="s">
        <v>918</v>
      </c>
      <c r="H109" s="1" t="s">
        <v>222</v>
      </c>
      <c r="I109" s="1" t="s">
        <v>919</v>
      </c>
      <c r="J109" s="1" t="s">
        <v>920</v>
      </c>
      <c r="K109" s="1" t="s">
        <v>921</v>
      </c>
      <c r="L109" s="1"/>
      <c r="M109" s="1" t="s">
        <v>105</v>
      </c>
      <c r="N109" s="1"/>
      <c r="O109" s="1"/>
      <c r="P109" s="1"/>
      <c r="Q109" s="1" t="s">
        <v>922</v>
      </c>
      <c r="R109" s="1"/>
      <c r="S109" s="1" t="s">
        <v>1909</v>
      </c>
      <c r="T109" s="1" t="s">
        <v>923</v>
      </c>
      <c r="U109" s="1" t="s">
        <v>200</v>
      </c>
      <c r="V109" s="1"/>
      <c r="W109" s="1" t="s">
        <v>201</v>
      </c>
      <c r="X109" s="1" t="s">
        <v>924</v>
      </c>
      <c r="Y109" s="1"/>
      <c r="Z109" s="1" t="s">
        <v>1910</v>
      </c>
      <c r="AA109" s="1" t="s">
        <v>191</v>
      </c>
      <c r="AB109" s="1" t="s">
        <v>192</v>
      </c>
      <c r="AC109" s="1"/>
      <c r="AD109" s="1" t="s">
        <v>1911</v>
      </c>
      <c r="AE109" s="1" t="s">
        <v>1912</v>
      </c>
    </row>
    <row r="110" spans="1:31" hidden="1" x14ac:dyDescent="0.25">
      <c r="A110" s="1" t="s">
        <v>1907</v>
      </c>
      <c r="B110" s="1" t="s">
        <v>2003</v>
      </c>
      <c r="C110" s="1" t="s">
        <v>925</v>
      </c>
      <c r="D110" s="1" t="s">
        <v>926</v>
      </c>
      <c r="E110" s="1" t="str">
        <f t="shared" si="1"/>
        <v>368</v>
      </c>
      <c r="F110" s="1"/>
      <c r="G110" s="1" t="s">
        <v>927</v>
      </c>
      <c r="H110" s="1" t="s">
        <v>222</v>
      </c>
      <c r="I110" s="1" t="s">
        <v>928</v>
      </c>
      <c r="J110" s="1" t="s">
        <v>929</v>
      </c>
      <c r="K110" s="1" t="s">
        <v>930</v>
      </c>
      <c r="L110" s="1"/>
      <c r="M110" s="1" t="s">
        <v>105</v>
      </c>
      <c r="N110" s="1"/>
      <c r="O110" s="1"/>
      <c r="P110" s="1"/>
      <c r="Q110" s="1" t="s">
        <v>931</v>
      </c>
      <c r="R110" s="1"/>
      <c r="S110" s="1" t="s">
        <v>1909</v>
      </c>
      <c r="T110" s="1"/>
      <c r="U110" s="1" t="s">
        <v>200</v>
      </c>
      <c r="V110" s="1"/>
      <c r="W110" s="1" t="s">
        <v>201</v>
      </c>
      <c r="X110" s="1" t="s">
        <v>355</v>
      </c>
      <c r="Y110" s="1"/>
      <c r="Z110" s="1" t="s">
        <v>1910</v>
      </c>
      <c r="AA110" s="1" t="s">
        <v>191</v>
      </c>
      <c r="AB110" s="1" t="s">
        <v>192</v>
      </c>
      <c r="AC110" s="1"/>
      <c r="AD110" s="1" t="s">
        <v>1911</v>
      </c>
      <c r="AE110" s="1" t="s">
        <v>1912</v>
      </c>
    </row>
    <row r="111" spans="1:31" hidden="1" x14ac:dyDescent="0.25">
      <c r="A111" s="1" t="s">
        <v>1907</v>
      </c>
      <c r="B111" s="1" t="s">
        <v>82</v>
      </c>
      <c r="C111" s="1" t="s">
        <v>932</v>
      </c>
      <c r="D111" s="1" t="s">
        <v>933</v>
      </c>
      <c r="E111" s="1" t="str">
        <f t="shared" si="1"/>
        <v>372</v>
      </c>
      <c r="F111" s="1"/>
      <c r="G111" s="1" t="s">
        <v>934</v>
      </c>
      <c r="H111" s="1" t="s">
        <v>184</v>
      </c>
      <c r="I111" s="1" t="s">
        <v>935</v>
      </c>
      <c r="J111" s="1" t="s">
        <v>936</v>
      </c>
      <c r="K111" s="1" t="s">
        <v>275</v>
      </c>
      <c r="L111" s="1"/>
      <c r="M111" s="1" t="s">
        <v>109</v>
      </c>
      <c r="N111" s="1" t="s">
        <v>282</v>
      </c>
      <c r="O111" s="1" t="s">
        <v>283</v>
      </c>
      <c r="P111" s="1" t="s">
        <v>284</v>
      </c>
      <c r="Q111" s="1" t="s">
        <v>937</v>
      </c>
      <c r="R111" s="1" t="s">
        <v>937</v>
      </c>
      <c r="S111" s="1" t="s">
        <v>1909</v>
      </c>
      <c r="T111" s="1" t="s">
        <v>938</v>
      </c>
      <c r="U111" s="1" t="s">
        <v>1910</v>
      </c>
      <c r="V111" s="1"/>
      <c r="W111" s="1" t="s">
        <v>198</v>
      </c>
      <c r="X111" s="1" t="s">
        <v>198</v>
      </c>
      <c r="Y111" s="1" t="s">
        <v>326</v>
      </c>
      <c r="Z111" s="1" t="s">
        <v>1910</v>
      </c>
      <c r="AA111" s="1" t="s">
        <v>939</v>
      </c>
      <c r="AB111" s="1" t="s">
        <v>192</v>
      </c>
      <c r="AC111" s="1"/>
      <c r="AD111" s="1" t="s">
        <v>1911</v>
      </c>
      <c r="AE111" s="1" t="s">
        <v>1912</v>
      </c>
    </row>
    <row r="112" spans="1:31" hidden="1" x14ac:dyDescent="0.25">
      <c r="A112" s="1" t="s">
        <v>1907</v>
      </c>
      <c r="B112" s="1" t="s">
        <v>74</v>
      </c>
      <c r="C112" s="1" t="s">
        <v>940</v>
      </c>
      <c r="D112" s="1" t="s">
        <v>940</v>
      </c>
      <c r="E112" s="1" t="str">
        <f t="shared" si="1"/>
        <v>376</v>
      </c>
      <c r="F112" s="1"/>
      <c r="G112" s="1" t="s">
        <v>941</v>
      </c>
      <c r="H112" s="1" t="s">
        <v>184</v>
      </c>
      <c r="I112" s="1" t="s">
        <v>942</v>
      </c>
      <c r="J112" s="1" t="s">
        <v>943</v>
      </c>
      <c r="K112" s="1" t="s">
        <v>361</v>
      </c>
      <c r="L112" s="1"/>
      <c r="M112" s="1" t="s">
        <v>105</v>
      </c>
      <c r="N112" s="1"/>
      <c r="O112" s="1"/>
      <c r="P112" s="1" t="s">
        <v>198</v>
      </c>
      <c r="Q112" s="1" t="s">
        <v>944</v>
      </c>
      <c r="R112" s="1"/>
      <c r="S112" s="1" t="s">
        <v>1909</v>
      </c>
      <c r="T112" s="1" t="s">
        <v>945</v>
      </c>
      <c r="U112" s="1" t="s">
        <v>210</v>
      </c>
      <c r="V112" s="1"/>
      <c r="W112" s="1" t="s">
        <v>201</v>
      </c>
      <c r="X112" s="1" t="s">
        <v>201</v>
      </c>
      <c r="Y112" s="1" t="s">
        <v>247</v>
      </c>
      <c r="Z112" s="1" t="s">
        <v>1910</v>
      </c>
      <c r="AA112" s="1" t="s">
        <v>946</v>
      </c>
      <c r="AB112" s="1" t="s">
        <v>192</v>
      </c>
      <c r="AC112" s="1"/>
      <c r="AD112" s="1" t="s">
        <v>1911</v>
      </c>
      <c r="AE112" s="1" t="s">
        <v>1912</v>
      </c>
    </row>
    <row r="113" spans="1:31" hidden="1" x14ac:dyDescent="0.25">
      <c r="A113" s="1" t="s">
        <v>1907</v>
      </c>
      <c r="B113" s="1" t="s">
        <v>83</v>
      </c>
      <c r="C113" s="1" t="s">
        <v>947</v>
      </c>
      <c r="D113" s="1" t="s">
        <v>948</v>
      </c>
      <c r="E113" s="1" t="str">
        <f t="shared" si="1"/>
        <v>380</v>
      </c>
      <c r="F113" s="1"/>
      <c r="G113" s="1" t="s">
        <v>949</v>
      </c>
      <c r="H113" s="1" t="s">
        <v>184</v>
      </c>
      <c r="I113" s="1" t="s">
        <v>950</v>
      </c>
      <c r="J113" s="1" t="s">
        <v>951</v>
      </c>
      <c r="K113" s="1" t="s">
        <v>275</v>
      </c>
      <c r="L113" s="1"/>
      <c r="M113" s="1" t="s">
        <v>109</v>
      </c>
      <c r="N113" s="1" t="s">
        <v>282</v>
      </c>
      <c r="O113" s="1" t="s">
        <v>283</v>
      </c>
      <c r="P113" s="1" t="s">
        <v>284</v>
      </c>
      <c r="Q113" s="1" t="s">
        <v>952</v>
      </c>
      <c r="R113" s="1" t="s">
        <v>952</v>
      </c>
      <c r="S113" s="1" t="s">
        <v>1909</v>
      </c>
      <c r="T113" s="1" t="s">
        <v>953</v>
      </c>
      <c r="U113" s="1" t="s">
        <v>1910</v>
      </c>
      <c r="V113" s="1"/>
      <c r="W113" s="1" t="s">
        <v>198</v>
      </c>
      <c r="X113" s="1" t="s">
        <v>284</v>
      </c>
      <c r="Y113" s="1" t="s">
        <v>198</v>
      </c>
      <c r="Z113" s="1" t="s">
        <v>1910</v>
      </c>
      <c r="AA113" s="1" t="s">
        <v>954</v>
      </c>
      <c r="AB113" s="1" t="s">
        <v>192</v>
      </c>
      <c r="AC113" s="1"/>
      <c r="AD113" s="1" t="s">
        <v>1911</v>
      </c>
      <c r="AE113" s="1" t="s">
        <v>1912</v>
      </c>
    </row>
    <row r="114" spans="1:31" hidden="1" x14ac:dyDescent="0.25">
      <c r="A114" s="1" t="s">
        <v>1907</v>
      </c>
      <c r="B114" s="1" t="s">
        <v>2004</v>
      </c>
      <c r="C114" s="1" t="s">
        <v>955</v>
      </c>
      <c r="D114" s="1" t="s">
        <v>956</v>
      </c>
      <c r="E114" s="1" t="str">
        <f t="shared" si="1"/>
        <v>384</v>
      </c>
      <c r="F114" s="1"/>
      <c r="G114" s="1" t="s">
        <v>957</v>
      </c>
      <c r="H114" s="1" t="s">
        <v>222</v>
      </c>
      <c r="I114" s="1" t="s">
        <v>958</v>
      </c>
      <c r="J114" s="1" t="s">
        <v>959</v>
      </c>
      <c r="K114" s="1" t="s">
        <v>197</v>
      </c>
      <c r="L114" s="1"/>
      <c r="M114" s="1" t="s">
        <v>105</v>
      </c>
      <c r="N114" s="1"/>
      <c r="O114" s="1"/>
      <c r="P114" s="1"/>
      <c r="Q114" s="1" t="s">
        <v>960</v>
      </c>
      <c r="R114" s="1"/>
      <c r="S114" s="1" t="s">
        <v>1909</v>
      </c>
      <c r="T114" s="1"/>
      <c r="U114" s="1" t="s">
        <v>200</v>
      </c>
      <c r="V114" s="1"/>
      <c r="W114" s="1" t="s">
        <v>201</v>
      </c>
      <c r="X114" s="1" t="s">
        <v>201</v>
      </c>
      <c r="Y114" s="1" t="s">
        <v>464</v>
      </c>
      <c r="Z114" s="1" t="s">
        <v>1910</v>
      </c>
      <c r="AA114" s="1" t="s">
        <v>191</v>
      </c>
      <c r="AB114" s="1" t="s">
        <v>192</v>
      </c>
      <c r="AC114" s="1"/>
      <c r="AD114" s="1" t="s">
        <v>1911</v>
      </c>
      <c r="AE114" s="1" t="s">
        <v>1912</v>
      </c>
    </row>
    <row r="115" spans="1:31" hidden="1" x14ac:dyDescent="0.25">
      <c r="A115" s="1" t="s">
        <v>1907</v>
      </c>
      <c r="B115" s="1" t="s">
        <v>2005</v>
      </c>
      <c r="C115" s="1" t="s">
        <v>961</v>
      </c>
      <c r="D115" s="1" t="s">
        <v>961</v>
      </c>
      <c r="E115" s="1" t="str">
        <f t="shared" si="1"/>
        <v>388</v>
      </c>
      <c r="F115" s="1"/>
      <c r="G115" s="1" t="s">
        <v>962</v>
      </c>
      <c r="H115" s="1" t="s">
        <v>222</v>
      </c>
      <c r="I115" s="1" t="s">
        <v>963</v>
      </c>
      <c r="J115" s="1" t="s">
        <v>964</v>
      </c>
      <c r="K115" s="1" t="s">
        <v>316</v>
      </c>
      <c r="L115" s="1"/>
      <c r="M115" s="1" t="s">
        <v>105</v>
      </c>
      <c r="N115" s="1" t="s">
        <v>562</v>
      </c>
      <c r="O115" s="1"/>
      <c r="P115" s="1"/>
      <c r="Q115" s="1" t="s">
        <v>965</v>
      </c>
      <c r="R115" s="1"/>
      <c r="S115" s="1" t="s">
        <v>1909</v>
      </c>
      <c r="T115" s="1" t="s">
        <v>966</v>
      </c>
      <c r="U115" s="1" t="s">
        <v>200</v>
      </c>
      <c r="V115" s="1"/>
      <c r="W115" s="1" t="s">
        <v>201</v>
      </c>
      <c r="X115" s="1" t="s">
        <v>227</v>
      </c>
      <c r="Y115" s="1"/>
      <c r="Z115" s="1" t="s">
        <v>1910</v>
      </c>
      <c r="AA115" s="1" t="s">
        <v>191</v>
      </c>
      <c r="AB115" s="1" t="s">
        <v>192</v>
      </c>
      <c r="AC115" s="1"/>
      <c r="AD115" s="1" t="s">
        <v>1911</v>
      </c>
      <c r="AE115" s="1" t="s">
        <v>1912</v>
      </c>
    </row>
    <row r="116" spans="1:31" hidden="1" x14ac:dyDescent="0.25">
      <c r="A116" s="1" t="s">
        <v>1907</v>
      </c>
      <c r="B116" s="1" t="s">
        <v>75</v>
      </c>
      <c r="C116" s="1" t="s">
        <v>967</v>
      </c>
      <c r="D116" s="1" t="s">
        <v>968</v>
      </c>
      <c r="E116" s="1" t="str">
        <f t="shared" si="1"/>
        <v>392</v>
      </c>
      <c r="F116" s="1"/>
      <c r="G116" s="1" t="s">
        <v>969</v>
      </c>
      <c r="H116" s="1" t="s">
        <v>184</v>
      </c>
      <c r="I116" s="1" t="s">
        <v>970</v>
      </c>
      <c r="J116" s="1" t="s">
        <v>971</v>
      </c>
      <c r="K116" s="1" t="s">
        <v>275</v>
      </c>
      <c r="L116" s="1"/>
      <c r="M116" s="1" t="s">
        <v>105</v>
      </c>
      <c r="N116" s="1"/>
      <c r="O116" s="1"/>
      <c r="P116" s="1"/>
      <c r="Q116" s="1" t="s">
        <v>972</v>
      </c>
      <c r="R116" s="1"/>
      <c r="S116" s="1" t="s">
        <v>1909</v>
      </c>
      <c r="T116" s="1" t="s">
        <v>973</v>
      </c>
      <c r="U116" s="1" t="s">
        <v>1910</v>
      </c>
      <c r="V116" s="1"/>
      <c r="W116" s="1"/>
      <c r="X116" s="1"/>
      <c r="Y116" s="1" t="s">
        <v>464</v>
      </c>
      <c r="Z116" s="1" t="s">
        <v>1910</v>
      </c>
      <c r="AA116" s="1" t="s">
        <v>191</v>
      </c>
      <c r="AB116" s="1" t="s">
        <v>192</v>
      </c>
      <c r="AC116" s="1"/>
      <c r="AD116" s="1" t="s">
        <v>1911</v>
      </c>
      <c r="AE116" s="1" t="s">
        <v>1912</v>
      </c>
    </row>
    <row r="117" spans="1:31" hidden="1" x14ac:dyDescent="0.25">
      <c r="A117" s="1" t="s">
        <v>1907</v>
      </c>
      <c r="B117" s="1" t="s">
        <v>2006</v>
      </c>
      <c r="C117" s="1" t="s">
        <v>974</v>
      </c>
      <c r="D117" s="1" t="s">
        <v>975</v>
      </c>
      <c r="E117" s="1" t="str">
        <f t="shared" si="1"/>
        <v>398</v>
      </c>
      <c r="F117" s="1"/>
      <c r="G117" s="1" t="s">
        <v>976</v>
      </c>
      <c r="H117" s="1" t="s">
        <v>222</v>
      </c>
      <c r="I117" s="1" t="s">
        <v>977</v>
      </c>
      <c r="J117" s="1" t="s">
        <v>978</v>
      </c>
      <c r="K117" s="1" t="s">
        <v>197</v>
      </c>
      <c r="L117" s="1"/>
      <c r="M117" s="1" t="s">
        <v>105</v>
      </c>
      <c r="N117" s="1"/>
      <c r="O117" s="1"/>
      <c r="P117" s="1"/>
      <c r="Q117" s="1" t="s">
        <v>979</v>
      </c>
      <c r="R117" s="1"/>
      <c r="S117" s="1" t="s">
        <v>1909</v>
      </c>
      <c r="T117" s="1"/>
      <c r="U117" s="1" t="s">
        <v>210</v>
      </c>
      <c r="V117" s="1"/>
      <c r="W117" s="1"/>
      <c r="X117" s="1"/>
      <c r="Y117" s="1"/>
      <c r="Z117" s="1" t="s">
        <v>1910</v>
      </c>
      <c r="AA117" s="1" t="s">
        <v>980</v>
      </c>
      <c r="AB117" s="1" t="s">
        <v>192</v>
      </c>
      <c r="AC117" s="1"/>
      <c r="AD117" s="1" t="s">
        <v>1911</v>
      </c>
      <c r="AE117" s="1" t="s">
        <v>1912</v>
      </c>
    </row>
    <row r="118" spans="1:31" hidden="1" x14ac:dyDescent="0.25">
      <c r="A118" s="1" t="s">
        <v>1907</v>
      </c>
      <c r="B118" s="1" t="s">
        <v>2007</v>
      </c>
      <c r="C118" s="1" t="s">
        <v>981</v>
      </c>
      <c r="D118" s="1" t="s">
        <v>982</v>
      </c>
      <c r="E118" s="1" t="str">
        <f t="shared" si="1"/>
        <v>400</v>
      </c>
      <c r="F118" s="1"/>
      <c r="G118" s="1" t="s">
        <v>983</v>
      </c>
      <c r="H118" s="1" t="s">
        <v>184</v>
      </c>
      <c r="I118" s="1" t="s">
        <v>984</v>
      </c>
      <c r="J118" s="1" t="s">
        <v>985</v>
      </c>
      <c r="K118" s="1" t="s">
        <v>470</v>
      </c>
      <c r="L118" s="1"/>
      <c r="M118" s="1" t="s">
        <v>105</v>
      </c>
      <c r="N118" s="1"/>
      <c r="O118" s="1"/>
      <c r="P118" s="1" t="s">
        <v>198</v>
      </c>
      <c r="Q118" s="1" t="s">
        <v>986</v>
      </c>
      <c r="R118" s="1"/>
      <c r="S118" s="1" t="s">
        <v>1909</v>
      </c>
      <c r="T118" s="1" t="s">
        <v>987</v>
      </c>
      <c r="U118" s="1" t="s">
        <v>200</v>
      </c>
      <c r="V118" s="1"/>
      <c r="W118" s="1" t="s">
        <v>201</v>
      </c>
      <c r="X118" s="1" t="s">
        <v>227</v>
      </c>
      <c r="Y118" s="1"/>
      <c r="Z118" s="1" t="s">
        <v>1910</v>
      </c>
      <c r="AA118" s="1" t="s">
        <v>988</v>
      </c>
      <c r="AB118" s="1" t="s">
        <v>192</v>
      </c>
      <c r="AC118" s="1"/>
      <c r="AD118" s="1" t="s">
        <v>1911</v>
      </c>
      <c r="AE118" s="1" t="s">
        <v>1912</v>
      </c>
    </row>
    <row r="119" spans="1:31" hidden="1" x14ac:dyDescent="0.25">
      <c r="A119" s="1" t="s">
        <v>1907</v>
      </c>
      <c r="B119" s="1" t="s">
        <v>2008</v>
      </c>
      <c r="C119" s="1" t="s">
        <v>989</v>
      </c>
      <c r="D119" s="1" t="s">
        <v>990</v>
      </c>
      <c r="E119" s="1" t="str">
        <f t="shared" si="1"/>
        <v>404</v>
      </c>
      <c r="F119" s="1"/>
      <c r="G119" s="1" t="s">
        <v>991</v>
      </c>
      <c r="H119" s="1" t="s">
        <v>184</v>
      </c>
      <c r="I119" s="1" t="s">
        <v>992</v>
      </c>
      <c r="J119" s="1" t="s">
        <v>993</v>
      </c>
      <c r="K119" s="1" t="s">
        <v>197</v>
      </c>
      <c r="L119" s="1"/>
      <c r="M119" s="1" t="s">
        <v>105</v>
      </c>
      <c r="N119" s="1"/>
      <c r="O119" s="1"/>
      <c r="P119" s="1"/>
      <c r="Q119" s="1" t="s">
        <v>994</v>
      </c>
      <c r="R119" s="1"/>
      <c r="S119" s="1" t="s">
        <v>1909</v>
      </c>
      <c r="T119" s="1" t="s">
        <v>995</v>
      </c>
      <c r="U119" s="1" t="s">
        <v>200</v>
      </c>
      <c r="V119" s="1"/>
      <c r="W119" s="1"/>
      <c r="X119" s="1"/>
      <c r="Y119" s="1" t="s">
        <v>464</v>
      </c>
      <c r="Z119" s="1" t="s">
        <v>1910</v>
      </c>
      <c r="AA119" s="1" t="s">
        <v>191</v>
      </c>
      <c r="AB119" s="1" t="s">
        <v>192</v>
      </c>
      <c r="AC119" s="1"/>
      <c r="AD119" s="1" t="s">
        <v>1911</v>
      </c>
      <c r="AE119" s="1" t="s">
        <v>1912</v>
      </c>
    </row>
    <row r="120" spans="1:31" hidden="1" x14ac:dyDescent="0.25">
      <c r="A120" s="1" t="s">
        <v>1907</v>
      </c>
      <c r="B120" s="1" t="s">
        <v>2009</v>
      </c>
      <c r="C120" s="1" t="s">
        <v>996</v>
      </c>
      <c r="D120" s="1" t="s">
        <v>997</v>
      </c>
      <c r="E120" s="1" t="str">
        <f t="shared" si="1"/>
        <v>405</v>
      </c>
      <c r="F120" s="1"/>
      <c r="G120" s="1" t="s">
        <v>998</v>
      </c>
      <c r="H120" s="1" t="s">
        <v>804</v>
      </c>
      <c r="I120" s="1" t="s">
        <v>2009</v>
      </c>
      <c r="J120" s="1" t="s">
        <v>999</v>
      </c>
      <c r="K120" s="1" t="s">
        <v>1986</v>
      </c>
      <c r="L120" s="1"/>
      <c r="M120" s="1" t="s">
        <v>105</v>
      </c>
      <c r="N120" s="1"/>
      <c r="O120" s="1"/>
      <c r="P120" s="1"/>
      <c r="Q120" s="1" t="s">
        <v>1000</v>
      </c>
      <c r="R120" s="1"/>
      <c r="S120" s="1" t="s">
        <v>1909</v>
      </c>
      <c r="T120" s="1"/>
      <c r="U120" s="1" t="s">
        <v>1910</v>
      </c>
      <c r="V120" s="1"/>
      <c r="W120" s="1"/>
      <c r="X120" s="1" t="s">
        <v>807</v>
      </c>
      <c r="Y120" s="1"/>
      <c r="Z120" s="1" t="s">
        <v>1910</v>
      </c>
      <c r="AA120" s="1" t="s">
        <v>1987</v>
      </c>
      <c r="AB120" s="1"/>
      <c r="AC120" s="1"/>
      <c r="AD120" s="1" t="s">
        <v>1911</v>
      </c>
      <c r="AE120" s="1" t="s">
        <v>1912</v>
      </c>
    </row>
    <row r="121" spans="1:31" x14ac:dyDescent="0.25">
      <c r="A121" s="1" t="s">
        <v>1907</v>
      </c>
      <c r="B121" s="1" t="s">
        <v>2010</v>
      </c>
      <c r="C121" s="1" t="s">
        <v>1001</v>
      </c>
      <c r="D121" s="1" t="s">
        <v>1002</v>
      </c>
      <c r="E121" s="1" t="str">
        <f t="shared" si="1"/>
        <v>408</v>
      </c>
      <c r="F121" s="1"/>
      <c r="G121" s="1" t="s">
        <v>1003</v>
      </c>
      <c r="H121" s="1" t="s">
        <v>222</v>
      </c>
      <c r="I121" s="1" t="s">
        <v>1004</v>
      </c>
      <c r="J121" s="1" t="s">
        <v>1005</v>
      </c>
      <c r="K121" s="1" t="s">
        <v>1006</v>
      </c>
      <c r="L121" s="1"/>
      <c r="M121" s="1" t="s">
        <v>105</v>
      </c>
      <c r="N121" s="1"/>
      <c r="O121" s="1"/>
      <c r="P121" s="1"/>
      <c r="Q121" s="1" t="s">
        <v>1007</v>
      </c>
      <c r="R121" s="1"/>
      <c r="S121" s="1" t="s">
        <v>1909</v>
      </c>
      <c r="T121" s="1"/>
      <c r="U121" s="1" t="s">
        <v>189</v>
      </c>
      <c r="V121" s="1"/>
      <c r="W121" s="1" t="s">
        <v>201</v>
      </c>
      <c r="X121" s="1" t="s">
        <v>355</v>
      </c>
      <c r="Y121" s="1"/>
      <c r="Z121" s="1" t="s">
        <v>1910</v>
      </c>
      <c r="AA121" s="1" t="s">
        <v>191</v>
      </c>
      <c r="AB121" s="1" t="s">
        <v>192</v>
      </c>
      <c r="AC121" s="1"/>
      <c r="AD121" s="1" t="s">
        <v>1911</v>
      </c>
      <c r="AE121" s="1" t="s">
        <v>1912</v>
      </c>
    </row>
    <row r="122" spans="1:31" x14ac:dyDescent="0.25">
      <c r="A122" s="1" t="s">
        <v>1907</v>
      </c>
      <c r="B122" s="1" t="s">
        <v>92</v>
      </c>
      <c r="C122" s="1" t="s">
        <v>1008</v>
      </c>
      <c r="D122" s="1" t="s">
        <v>1009</v>
      </c>
      <c r="E122" s="1" t="str">
        <f t="shared" si="1"/>
        <v>410</v>
      </c>
      <c r="F122" s="1"/>
      <c r="G122" s="1" t="s">
        <v>1010</v>
      </c>
      <c r="H122" s="1" t="s">
        <v>184</v>
      </c>
      <c r="I122" s="1" t="s">
        <v>1011</v>
      </c>
      <c r="J122" s="1" t="s">
        <v>1012</v>
      </c>
      <c r="K122" s="1" t="s">
        <v>275</v>
      </c>
      <c r="L122" s="1"/>
      <c r="M122" s="1" t="s">
        <v>105</v>
      </c>
      <c r="N122" s="1"/>
      <c r="O122" s="1"/>
      <c r="P122" s="1"/>
      <c r="Q122" s="1" t="s">
        <v>1013</v>
      </c>
      <c r="R122" s="1"/>
      <c r="S122" s="1" t="s">
        <v>1909</v>
      </c>
      <c r="T122" s="1" t="s">
        <v>1014</v>
      </c>
      <c r="U122" s="1" t="s">
        <v>210</v>
      </c>
      <c r="V122" s="1"/>
      <c r="W122" s="1"/>
      <c r="X122" s="1"/>
      <c r="Y122" s="1" t="s">
        <v>218</v>
      </c>
      <c r="Z122" s="1" t="s">
        <v>1910</v>
      </c>
      <c r="AA122" s="1" t="s">
        <v>191</v>
      </c>
      <c r="AB122" s="1" t="s">
        <v>192</v>
      </c>
      <c r="AC122" s="1"/>
      <c r="AD122" s="1" t="s">
        <v>1911</v>
      </c>
      <c r="AE122" s="1" t="s">
        <v>1912</v>
      </c>
    </row>
    <row r="123" spans="1:31" hidden="1" x14ac:dyDescent="0.25">
      <c r="A123" s="1" t="s">
        <v>1907</v>
      </c>
      <c r="B123" s="1" t="s">
        <v>2011</v>
      </c>
      <c r="C123" s="1" t="s">
        <v>1015</v>
      </c>
      <c r="D123" s="1" t="s">
        <v>1016</v>
      </c>
      <c r="E123" s="1" t="str">
        <f t="shared" si="1"/>
        <v>414</v>
      </c>
      <c r="F123" s="1"/>
      <c r="G123" s="1" t="s">
        <v>1017</v>
      </c>
      <c r="H123" s="1" t="s">
        <v>184</v>
      </c>
      <c r="I123" s="1" t="s">
        <v>1018</v>
      </c>
      <c r="J123" s="1" t="s">
        <v>1019</v>
      </c>
      <c r="K123" s="1" t="s">
        <v>361</v>
      </c>
      <c r="L123" s="1"/>
      <c r="M123" s="1" t="s">
        <v>105</v>
      </c>
      <c r="N123" s="1"/>
      <c r="O123" s="1"/>
      <c r="P123" s="1"/>
      <c r="Q123" s="1" t="s">
        <v>1020</v>
      </c>
      <c r="R123" s="1"/>
      <c r="S123" s="1" t="s">
        <v>1909</v>
      </c>
      <c r="T123" s="1" t="s">
        <v>1021</v>
      </c>
      <c r="U123" s="1" t="s">
        <v>210</v>
      </c>
      <c r="V123" s="1"/>
      <c r="W123" s="1" t="s">
        <v>201</v>
      </c>
      <c r="X123" s="1" t="s">
        <v>227</v>
      </c>
      <c r="Y123" s="1" t="s">
        <v>464</v>
      </c>
      <c r="Z123" s="1" t="s">
        <v>1910</v>
      </c>
      <c r="AA123" s="1" t="s">
        <v>1022</v>
      </c>
      <c r="AB123" s="1" t="s">
        <v>192</v>
      </c>
      <c r="AC123" s="1"/>
      <c r="AD123" s="1" t="s">
        <v>1911</v>
      </c>
      <c r="AE123" s="1" t="s">
        <v>1912</v>
      </c>
    </row>
    <row r="124" spans="1:31" hidden="1" x14ac:dyDescent="0.25">
      <c r="A124" s="1" t="s">
        <v>1907</v>
      </c>
      <c r="B124" s="1" t="s">
        <v>2012</v>
      </c>
      <c r="C124" s="1" t="s">
        <v>1023</v>
      </c>
      <c r="D124" s="1" t="s">
        <v>1023</v>
      </c>
      <c r="E124" s="1" t="str">
        <f t="shared" si="1"/>
        <v>417</v>
      </c>
      <c r="F124" s="1"/>
      <c r="G124" s="1" t="s">
        <v>1024</v>
      </c>
      <c r="H124" s="1" t="s">
        <v>222</v>
      </c>
      <c r="I124" s="1" t="s">
        <v>1025</v>
      </c>
      <c r="J124" s="1" t="s">
        <v>1026</v>
      </c>
      <c r="K124" s="1" t="s">
        <v>197</v>
      </c>
      <c r="L124" s="1"/>
      <c r="M124" s="1" t="s">
        <v>105</v>
      </c>
      <c r="N124" s="1"/>
      <c r="O124" s="1"/>
      <c r="P124" s="1"/>
      <c r="Q124" s="1" t="s">
        <v>1027</v>
      </c>
      <c r="R124" s="1"/>
      <c r="S124" s="1" t="s">
        <v>1909</v>
      </c>
      <c r="T124" s="1"/>
      <c r="U124" s="1" t="s">
        <v>200</v>
      </c>
      <c r="V124" s="1"/>
      <c r="W124" s="1"/>
      <c r="X124" s="1"/>
      <c r="Y124" s="1"/>
      <c r="Z124" s="1" t="s">
        <v>1910</v>
      </c>
      <c r="AA124" s="1" t="s">
        <v>191</v>
      </c>
      <c r="AB124" s="1" t="s">
        <v>192</v>
      </c>
      <c r="AC124" s="1"/>
      <c r="AD124" s="1" t="s">
        <v>1911</v>
      </c>
      <c r="AE124" s="1" t="s">
        <v>1912</v>
      </c>
    </row>
    <row r="125" spans="1:31" hidden="1" x14ac:dyDescent="0.25">
      <c r="A125" s="1" t="s">
        <v>1907</v>
      </c>
      <c r="B125" s="1" t="s">
        <v>2013</v>
      </c>
      <c r="C125" s="1" t="s">
        <v>1028</v>
      </c>
      <c r="D125" s="1" t="s">
        <v>1029</v>
      </c>
      <c r="E125" s="1" t="str">
        <f t="shared" si="1"/>
        <v>418</v>
      </c>
      <c r="F125" s="1"/>
      <c r="G125" s="1" t="s">
        <v>1030</v>
      </c>
      <c r="H125" s="1" t="s">
        <v>184</v>
      </c>
      <c r="I125" s="1" t="s">
        <v>1031</v>
      </c>
      <c r="J125" s="1" t="s">
        <v>1032</v>
      </c>
      <c r="K125" s="1" t="s">
        <v>197</v>
      </c>
      <c r="L125" s="1"/>
      <c r="M125" s="1" t="s">
        <v>105</v>
      </c>
      <c r="N125" s="1"/>
      <c r="O125" s="1"/>
      <c r="P125" s="1"/>
      <c r="Q125" s="1" t="s">
        <v>1033</v>
      </c>
      <c r="R125" s="1"/>
      <c r="S125" s="1" t="s">
        <v>1909</v>
      </c>
      <c r="T125" s="1"/>
      <c r="U125" s="1" t="s">
        <v>189</v>
      </c>
      <c r="V125" s="1"/>
      <c r="W125" s="1"/>
      <c r="X125" s="1"/>
      <c r="Y125" s="1"/>
      <c r="Z125" s="1" t="s">
        <v>1910</v>
      </c>
      <c r="AA125" s="1" t="s">
        <v>191</v>
      </c>
      <c r="AB125" s="1" t="s">
        <v>192</v>
      </c>
      <c r="AC125" s="1"/>
      <c r="AD125" s="1" t="s">
        <v>1911</v>
      </c>
      <c r="AE125" s="1" t="s">
        <v>1912</v>
      </c>
    </row>
    <row r="126" spans="1:31" hidden="1" x14ac:dyDescent="0.25">
      <c r="A126" s="1" t="s">
        <v>1907</v>
      </c>
      <c r="B126" s="1" t="s">
        <v>2014</v>
      </c>
      <c r="C126" s="1" t="s">
        <v>1034</v>
      </c>
      <c r="D126" s="1" t="s">
        <v>1035</v>
      </c>
      <c r="E126" s="1" t="str">
        <f t="shared" si="1"/>
        <v>422</v>
      </c>
      <c r="F126" s="1"/>
      <c r="G126" s="1" t="s">
        <v>1036</v>
      </c>
      <c r="H126" s="1" t="s">
        <v>222</v>
      </c>
      <c r="I126" s="1" t="s">
        <v>1037</v>
      </c>
      <c r="J126" s="1" t="s">
        <v>1038</v>
      </c>
      <c r="K126" s="1" t="s">
        <v>1039</v>
      </c>
      <c r="L126" s="1"/>
      <c r="M126" s="1" t="s">
        <v>105</v>
      </c>
      <c r="N126" s="1"/>
      <c r="O126" s="1"/>
      <c r="P126" s="1" t="s">
        <v>198</v>
      </c>
      <c r="Q126" s="1" t="s">
        <v>1040</v>
      </c>
      <c r="R126" s="1"/>
      <c r="S126" s="1" t="s">
        <v>1909</v>
      </c>
      <c r="T126" s="1" t="s">
        <v>1041</v>
      </c>
      <c r="U126" s="1" t="s">
        <v>189</v>
      </c>
      <c r="V126" s="1"/>
      <c r="W126" s="1" t="s">
        <v>201</v>
      </c>
      <c r="X126" s="1" t="s">
        <v>227</v>
      </c>
      <c r="Y126" s="1"/>
      <c r="Z126" s="1" t="s">
        <v>1910</v>
      </c>
      <c r="AA126" s="1" t="s">
        <v>262</v>
      </c>
      <c r="AB126" s="1" t="s">
        <v>192</v>
      </c>
      <c r="AC126" s="1"/>
      <c r="AD126" s="1" t="s">
        <v>1911</v>
      </c>
      <c r="AE126" s="1" t="s">
        <v>1912</v>
      </c>
    </row>
    <row r="127" spans="1:31" hidden="1" x14ac:dyDescent="0.25">
      <c r="A127" s="1" t="s">
        <v>1907</v>
      </c>
      <c r="B127" s="1" t="s">
        <v>2015</v>
      </c>
      <c r="C127" s="1" t="s">
        <v>1042</v>
      </c>
      <c r="D127" s="1" t="s">
        <v>1043</v>
      </c>
      <c r="E127" s="1" t="str">
        <f t="shared" si="1"/>
        <v>426</v>
      </c>
      <c r="F127" s="1"/>
      <c r="G127" s="1" t="s">
        <v>1044</v>
      </c>
      <c r="H127" s="1" t="s">
        <v>184</v>
      </c>
      <c r="I127" s="1" t="s">
        <v>1045</v>
      </c>
      <c r="J127" s="1" t="s">
        <v>1046</v>
      </c>
      <c r="K127" s="1" t="s">
        <v>208</v>
      </c>
      <c r="L127" s="1"/>
      <c r="M127" s="1" t="s">
        <v>105</v>
      </c>
      <c r="N127" s="1"/>
      <c r="O127" s="1"/>
      <c r="P127" s="1"/>
      <c r="Q127" s="1" t="s">
        <v>1047</v>
      </c>
      <c r="R127" s="1"/>
      <c r="S127" s="1" t="s">
        <v>1909</v>
      </c>
      <c r="T127" s="1"/>
      <c r="U127" s="1" t="s">
        <v>200</v>
      </c>
      <c r="V127" s="1"/>
      <c r="W127" s="1"/>
      <c r="X127" s="1"/>
      <c r="Y127" s="1"/>
      <c r="Z127" s="1" t="s">
        <v>1910</v>
      </c>
      <c r="AA127" s="1" t="s">
        <v>191</v>
      </c>
      <c r="AB127" s="1" t="s">
        <v>192</v>
      </c>
      <c r="AC127" s="1"/>
      <c r="AD127" s="1" t="s">
        <v>1911</v>
      </c>
      <c r="AE127" s="1" t="s">
        <v>1912</v>
      </c>
    </row>
    <row r="128" spans="1:31" hidden="1" x14ac:dyDescent="0.25">
      <c r="A128" s="1" t="s">
        <v>1907</v>
      </c>
      <c r="B128" s="1" t="s">
        <v>84</v>
      </c>
      <c r="C128" s="1" t="s">
        <v>1048</v>
      </c>
      <c r="D128" s="1" t="s">
        <v>1048</v>
      </c>
      <c r="E128" s="1" t="str">
        <f t="shared" si="1"/>
        <v>428</v>
      </c>
      <c r="F128" s="1"/>
      <c r="G128" s="1" t="s">
        <v>1049</v>
      </c>
      <c r="H128" s="1" t="s">
        <v>184</v>
      </c>
      <c r="I128" s="1" t="s">
        <v>1050</v>
      </c>
      <c r="J128" s="1" t="s">
        <v>1051</v>
      </c>
      <c r="K128" s="1" t="s">
        <v>197</v>
      </c>
      <c r="L128" s="1"/>
      <c r="M128" s="1" t="s">
        <v>106</v>
      </c>
      <c r="N128" s="1" t="s">
        <v>282</v>
      </c>
      <c r="O128" s="1" t="s">
        <v>283</v>
      </c>
      <c r="P128" s="1" t="s">
        <v>284</v>
      </c>
      <c r="Q128" s="1" t="s">
        <v>1052</v>
      </c>
      <c r="R128" s="1"/>
      <c r="S128" s="1" t="s">
        <v>1909</v>
      </c>
      <c r="T128" s="1"/>
      <c r="U128" s="1" t="s">
        <v>210</v>
      </c>
      <c r="V128" s="1"/>
      <c r="W128" s="1" t="s">
        <v>198</v>
      </c>
      <c r="X128" s="1" t="s">
        <v>201</v>
      </c>
      <c r="Y128" s="1" t="s">
        <v>587</v>
      </c>
      <c r="Z128" s="1" t="s">
        <v>1910</v>
      </c>
      <c r="AA128" s="1" t="s">
        <v>1053</v>
      </c>
      <c r="AB128" s="1" t="s">
        <v>192</v>
      </c>
      <c r="AC128" s="1"/>
      <c r="AD128" s="1" t="s">
        <v>1911</v>
      </c>
      <c r="AE128" s="1" t="s">
        <v>1912</v>
      </c>
    </row>
    <row r="129" spans="1:31" hidden="1" x14ac:dyDescent="0.25">
      <c r="A129" s="1" t="s">
        <v>1907</v>
      </c>
      <c r="B129" s="1" t="s">
        <v>2016</v>
      </c>
      <c r="C129" s="1" t="s">
        <v>1054</v>
      </c>
      <c r="D129" s="1" t="s">
        <v>1054</v>
      </c>
      <c r="E129" s="1" t="str">
        <f t="shared" si="1"/>
        <v>430</v>
      </c>
      <c r="F129" s="1"/>
      <c r="G129" s="1" t="s">
        <v>1055</v>
      </c>
      <c r="H129" s="1" t="s">
        <v>184</v>
      </c>
      <c r="I129" s="1" t="s">
        <v>1056</v>
      </c>
      <c r="J129" s="1" t="s">
        <v>1057</v>
      </c>
      <c r="K129" s="1" t="s">
        <v>233</v>
      </c>
      <c r="L129" s="1"/>
      <c r="M129" s="1" t="s">
        <v>105</v>
      </c>
      <c r="N129" s="1"/>
      <c r="O129" s="1"/>
      <c r="P129" s="1"/>
      <c r="Q129" s="1" t="s">
        <v>1058</v>
      </c>
      <c r="R129" s="1"/>
      <c r="S129" s="1" t="s">
        <v>1909</v>
      </c>
      <c r="T129" s="1" t="s">
        <v>1059</v>
      </c>
      <c r="U129" s="1" t="s">
        <v>189</v>
      </c>
      <c r="V129" s="1"/>
      <c r="W129" s="1" t="s">
        <v>201</v>
      </c>
      <c r="X129" s="1" t="s">
        <v>227</v>
      </c>
      <c r="Y129" s="1"/>
      <c r="Z129" s="1" t="s">
        <v>1910</v>
      </c>
      <c r="AA129" s="1" t="s">
        <v>191</v>
      </c>
      <c r="AB129" s="1" t="s">
        <v>192</v>
      </c>
      <c r="AC129" s="1"/>
      <c r="AD129" s="1" t="s">
        <v>1911</v>
      </c>
      <c r="AE129" s="1" t="s">
        <v>1912</v>
      </c>
    </row>
    <row r="130" spans="1:31" hidden="1" x14ac:dyDescent="0.25">
      <c r="A130" s="1" t="s">
        <v>1907</v>
      </c>
      <c r="B130" s="1" t="s">
        <v>2017</v>
      </c>
      <c r="C130" s="1" t="s">
        <v>1060</v>
      </c>
      <c r="D130" s="1" t="s">
        <v>1061</v>
      </c>
      <c r="E130" s="1" t="str">
        <f t="shared" si="1"/>
        <v>434</v>
      </c>
      <c r="F130" s="1"/>
      <c r="G130" s="1" t="s">
        <v>1062</v>
      </c>
      <c r="H130" s="1" t="s">
        <v>222</v>
      </c>
      <c r="I130" s="1" t="s">
        <v>1063</v>
      </c>
      <c r="J130" s="1" t="s">
        <v>1064</v>
      </c>
      <c r="K130" s="1" t="s">
        <v>429</v>
      </c>
      <c r="L130" s="1"/>
      <c r="M130" s="1" t="s">
        <v>105</v>
      </c>
      <c r="N130" s="1"/>
      <c r="O130" s="1"/>
      <c r="P130" s="1"/>
      <c r="Q130" s="1" t="s">
        <v>1065</v>
      </c>
      <c r="R130" s="1"/>
      <c r="S130" s="1" t="s">
        <v>1909</v>
      </c>
      <c r="T130" s="1" t="s">
        <v>1066</v>
      </c>
      <c r="U130" s="1" t="s">
        <v>189</v>
      </c>
      <c r="V130" s="1"/>
      <c r="W130" s="1"/>
      <c r="X130" s="1" t="s">
        <v>190</v>
      </c>
      <c r="Y130" s="1"/>
      <c r="Z130" s="1" t="s">
        <v>1910</v>
      </c>
      <c r="AA130" s="1" t="s">
        <v>191</v>
      </c>
      <c r="AB130" s="1" t="s">
        <v>192</v>
      </c>
      <c r="AC130" s="1"/>
      <c r="AD130" s="1" t="s">
        <v>1911</v>
      </c>
      <c r="AE130" s="1" t="s">
        <v>1912</v>
      </c>
    </row>
    <row r="131" spans="1:31" hidden="1" x14ac:dyDescent="0.25">
      <c r="A131" s="1" t="s">
        <v>1907</v>
      </c>
      <c r="B131" s="1" t="s">
        <v>2018</v>
      </c>
      <c r="C131" s="1" t="s">
        <v>1067</v>
      </c>
      <c r="D131" s="1" t="s">
        <v>1067</v>
      </c>
      <c r="E131" s="1" t="str">
        <f t="shared" ref="E131:E194" si="2">+B131</f>
        <v>438</v>
      </c>
      <c r="F131" s="1"/>
      <c r="G131" s="1" t="s">
        <v>1068</v>
      </c>
      <c r="H131" s="1" t="s">
        <v>869</v>
      </c>
      <c r="I131" s="1" t="s">
        <v>1069</v>
      </c>
      <c r="J131" s="1" t="s">
        <v>1070</v>
      </c>
      <c r="K131" s="1" t="s">
        <v>1071</v>
      </c>
      <c r="L131" s="1"/>
      <c r="M131" s="1" t="s">
        <v>106</v>
      </c>
      <c r="N131" s="1" t="s">
        <v>436</v>
      </c>
      <c r="O131" s="1" t="s">
        <v>900</v>
      </c>
      <c r="P131" s="1" t="s">
        <v>284</v>
      </c>
      <c r="Q131" s="1" t="s">
        <v>1072</v>
      </c>
      <c r="R131" s="1"/>
      <c r="S131" s="1" t="s">
        <v>1909</v>
      </c>
      <c r="T131" s="1" t="s">
        <v>1073</v>
      </c>
      <c r="U131" s="1" t="s">
        <v>210</v>
      </c>
      <c r="V131" s="1"/>
      <c r="W131" s="1" t="s">
        <v>198</v>
      </c>
      <c r="X131" s="1" t="s">
        <v>227</v>
      </c>
      <c r="Y131" s="1" t="s">
        <v>198</v>
      </c>
      <c r="Z131" s="1" t="s">
        <v>1910</v>
      </c>
      <c r="AA131" s="1" t="s">
        <v>1074</v>
      </c>
      <c r="AB131" s="1" t="s">
        <v>192</v>
      </c>
      <c r="AC131" s="1"/>
      <c r="AD131" s="1" t="s">
        <v>1911</v>
      </c>
      <c r="AE131" s="1" t="s">
        <v>1912</v>
      </c>
    </row>
    <row r="132" spans="1:31" hidden="1" x14ac:dyDescent="0.25">
      <c r="A132" s="1" t="s">
        <v>1907</v>
      </c>
      <c r="B132" s="1" t="s">
        <v>140</v>
      </c>
      <c r="C132" s="1" t="s">
        <v>1075</v>
      </c>
      <c r="D132" s="1" t="s">
        <v>1076</v>
      </c>
      <c r="E132" s="1" t="str">
        <f t="shared" si="2"/>
        <v>440</v>
      </c>
      <c r="F132" s="1"/>
      <c r="G132" s="1" t="s">
        <v>1077</v>
      </c>
      <c r="H132" s="1" t="s">
        <v>184</v>
      </c>
      <c r="I132" s="1" t="s">
        <v>1078</v>
      </c>
      <c r="J132" s="1" t="s">
        <v>1079</v>
      </c>
      <c r="K132" s="1" t="s">
        <v>495</v>
      </c>
      <c r="L132" s="1"/>
      <c r="M132" s="1" t="s">
        <v>106</v>
      </c>
      <c r="N132" s="1" t="s">
        <v>282</v>
      </c>
      <c r="O132" s="1" t="s">
        <v>283</v>
      </c>
      <c r="P132" s="1" t="s">
        <v>284</v>
      </c>
      <c r="Q132" s="1" t="s">
        <v>1080</v>
      </c>
      <c r="R132" s="1"/>
      <c r="S132" s="1" t="s">
        <v>1909</v>
      </c>
      <c r="T132" s="1" t="s">
        <v>1081</v>
      </c>
      <c r="U132" s="1" t="s">
        <v>210</v>
      </c>
      <c r="V132" s="1"/>
      <c r="W132" s="1" t="s">
        <v>198</v>
      </c>
      <c r="X132" s="1" t="s">
        <v>201</v>
      </c>
      <c r="Y132" s="1" t="s">
        <v>587</v>
      </c>
      <c r="Z132" s="1" t="s">
        <v>1910</v>
      </c>
      <c r="AA132" s="1" t="s">
        <v>287</v>
      </c>
      <c r="AB132" s="1" t="s">
        <v>192</v>
      </c>
      <c r="AC132" s="1"/>
      <c r="AD132" s="1" t="s">
        <v>1911</v>
      </c>
      <c r="AE132" s="1" t="s">
        <v>1912</v>
      </c>
    </row>
    <row r="133" spans="1:31" hidden="1" x14ac:dyDescent="0.25">
      <c r="A133" s="1" t="s">
        <v>1907</v>
      </c>
      <c r="B133" s="1" t="s">
        <v>141</v>
      </c>
      <c r="C133" s="1" t="s">
        <v>1082</v>
      </c>
      <c r="D133" s="1" t="s">
        <v>1083</v>
      </c>
      <c r="E133" s="1" t="str">
        <f t="shared" si="2"/>
        <v>442</v>
      </c>
      <c r="F133" s="1"/>
      <c r="G133" s="1" t="s">
        <v>1084</v>
      </c>
      <c r="H133" s="1" t="s">
        <v>184</v>
      </c>
      <c r="I133" s="1" t="s">
        <v>1085</v>
      </c>
      <c r="J133" s="1" t="s">
        <v>1086</v>
      </c>
      <c r="K133" s="1" t="s">
        <v>1087</v>
      </c>
      <c r="L133" s="1"/>
      <c r="M133" s="1" t="s">
        <v>109</v>
      </c>
      <c r="N133" s="1" t="s">
        <v>282</v>
      </c>
      <c r="O133" s="1" t="s">
        <v>283</v>
      </c>
      <c r="P133" s="1" t="s">
        <v>284</v>
      </c>
      <c r="Q133" s="1" t="s">
        <v>1088</v>
      </c>
      <c r="R133" s="1"/>
      <c r="S133" s="1" t="s">
        <v>1909</v>
      </c>
      <c r="T133" s="1" t="s">
        <v>1089</v>
      </c>
      <c r="U133" s="1" t="s">
        <v>1910</v>
      </c>
      <c r="V133" s="1"/>
      <c r="W133" s="1" t="s">
        <v>198</v>
      </c>
      <c r="X133" s="1" t="s">
        <v>198</v>
      </c>
      <c r="Y133" s="1" t="s">
        <v>326</v>
      </c>
      <c r="Z133" s="1" t="s">
        <v>1910</v>
      </c>
      <c r="AA133" s="1" t="s">
        <v>1090</v>
      </c>
      <c r="AB133" s="1" t="s">
        <v>192</v>
      </c>
      <c r="AC133" s="1"/>
      <c r="AD133" s="1" t="s">
        <v>1911</v>
      </c>
      <c r="AE133" s="1" t="s">
        <v>1912</v>
      </c>
    </row>
    <row r="134" spans="1:31" hidden="1" x14ac:dyDescent="0.25">
      <c r="A134" s="1" t="s">
        <v>1907</v>
      </c>
      <c r="B134" s="1" t="s">
        <v>93</v>
      </c>
      <c r="C134" s="1" t="s">
        <v>1091</v>
      </c>
      <c r="D134" s="1" t="s">
        <v>1092</v>
      </c>
      <c r="E134" s="1" t="str">
        <f t="shared" si="2"/>
        <v>446</v>
      </c>
      <c r="F134" s="1"/>
      <c r="G134" s="1" t="s">
        <v>1093</v>
      </c>
      <c r="H134" s="1" t="s">
        <v>184</v>
      </c>
      <c r="I134" s="1" t="s">
        <v>1094</v>
      </c>
      <c r="J134" s="1" t="s">
        <v>1095</v>
      </c>
      <c r="K134" s="1" t="s">
        <v>233</v>
      </c>
      <c r="L134" s="1"/>
      <c r="M134" s="1" t="s">
        <v>105</v>
      </c>
      <c r="N134" s="1"/>
      <c r="O134" s="1"/>
      <c r="P134" s="1"/>
      <c r="Q134" s="1" t="s">
        <v>1096</v>
      </c>
      <c r="R134" s="1"/>
      <c r="S134" s="1" t="s">
        <v>1909</v>
      </c>
      <c r="T134" s="1" t="s">
        <v>1097</v>
      </c>
      <c r="U134" s="1" t="s">
        <v>210</v>
      </c>
      <c r="V134" s="1"/>
      <c r="W134" s="1" t="s">
        <v>201</v>
      </c>
      <c r="X134" s="1" t="s">
        <v>463</v>
      </c>
      <c r="Y134" s="1" t="s">
        <v>464</v>
      </c>
      <c r="Z134" s="1" t="s">
        <v>1910</v>
      </c>
      <c r="AA134" s="1" t="s">
        <v>228</v>
      </c>
      <c r="AB134" s="1" t="s">
        <v>192</v>
      </c>
      <c r="AC134" s="1"/>
      <c r="AD134" s="1" t="s">
        <v>1911</v>
      </c>
      <c r="AE134" s="1" t="s">
        <v>1912</v>
      </c>
    </row>
    <row r="135" spans="1:31" hidden="1" x14ac:dyDescent="0.25">
      <c r="A135" s="1" t="s">
        <v>1907</v>
      </c>
      <c r="B135" s="1" t="s">
        <v>2019</v>
      </c>
      <c r="C135" s="1" t="s">
        <v>1098</v>
      </c>
      <c r="D135" s="1" t="s">
        <v>1098</v>
      </c>
      <c r="E135" s="1" t="str">
        <f t="shared" si="2"/>
        <v>450</v>
      </c>
      <c r="F135" s="1"/>
      <c r="G135" s="1" t="s">
        <v>1099</v>
      </c>
      <c r="H135" s="1" t="s">
        <v>184</v>
      </c>
      <c r="I135" s="1" t="s">
        <v>1100</v>
      </c>
      <c r="J135" s="1" t="s">
        <v>1101</v>
      </c>
      <c r="K135" s="1" t="s">
        <v>208</v>
      </c>
      <c r="L135" s="1"/>
      <c r="M135" s="1" t="s">
        <v>105</v>
      </c>
      <c r="N135" s="1"/>
      <c r="O135" s="1"/>
      <c r="P135" s="1"/>
      <c r="Q135" s="1" t="s">
        <v>1102</v>
      </c>
      <c r="R135" s="1"/>
      <c r="S135" s="1" t="s">
        <v>1909</v>
      </c>
      <c r="T135" s="1"/>
      <c r="U135" s="1" t="s">
        <v>189</v>
      </c>
      <c r="V135" s="1"/>
      <c r="W135" s="1"/>
      <c r="X135" s="1"/>
      <c r="Y135" s="1"/>
      <c r="Z135" s="1" t="s">
        <v>1910</v>
      </c>
      <c r="AA135" s="1" t="s">
        <v>191</v>
      </c>
      <c r="AB135" s="1" t="s">
        <v>192</v>
      </c>
      <c r="AC135" s="1"/>
      <c r="AD135" s="1" t="s">
        <v>1911</v>
      </c>
      <c r="AE135" s="1" t="s">
        <v>1912</v>
      </c>
    </row>
    <row r="136" spans="1:31" hidden="1" x14ac:dyDescent="0.25">
      <c r="A136" s="1" t="s">
        <v>1907</v>
      </c>
      <c r="B136" s="1" t="s">
        <v>2020</v>
      </c>
      <c r="C136" s="1" t="s">
        <v>1103</v>
      </c>
      <c r="D136" s="1" t="s">
        <v>1103</v>
      </c>
      <c r="E136" s="1" t="str">
        <f t="shared" si="2"/>
        <v>454</v>
      </c>
      <c r="F136" s="1"/>
      <c r="G136" s="1" t="s">
        <v>1104</v>
      </c>
      <c r="H136" s="1" t="s">
        <v>184</v>
      </c>
      <c r="I136" s="1" t="s">
        <v>1105</v>
      </c>
      <c r="J136" s="1" t="s">
        <v>1106</v>
      </c>
      <c r="K136" s="1" t="s">
        <v>197</v>
      </c>
      <c r="L136" s="1" t="s">
        <v>198</v>
      </c>
      <c r="M136" s="1" t="s">
        <v>105</v>
      </c>
      <c r="N136" s="1"/>
      <c r="O136" s="1"/>
      <c r="P136" s="1"/>
      <c r="Q136" s="1" t="s">
        <v>1107</v>
      </c>
      <c r="R136" s="1"/>
      <c r="S136" s="1" t="s">
        <v>1909</v>
      </c>
      <c r="T136" s="1"/>
      <c r="U136" s="1" t="s">
        <v>189</v>
      </c>
      <c r="V136" s="1"/>
      <c r="W136" s="1"/>
      <c r="X136" s="1"/>
      <c r="Y136" s="1"/>
      <c r="Z136" s="1" t="s">
        <v>1910</v>
      </c>
      <c r="AA136" s="1" t="s">
        <v>191</v>
      </c>
      <c r="AB136" s="1" t="s">
        <v>192</v>
      </c>
      <c r="AC136" s="1"/>
      <c r="AD136" s="1" t="s">
        <v>1911</v>
      </c>
      <c r="AE136" s="1" t="s">
        <v>1912</v>
      </c>
    </row>
    <row r="137" spans="1:31" hidden="1" x14ac:dyDescent="0.25">
      <c r="A137" s="1" t="s">
        <v>1907</v>
      </c>
      <c r="B137" s="1" t="s">
        <v>2021</v>
      </c>
      <c r="C137" s="1" t="s">
        <v>1108</v>
      </c>
      <c r="D137" s="1" t="s">
        <v>1109</v>
      </c>
      <c r="E137" s="1" t="str">
        <f t="shared" si="2"/>
        <v>458</v>
      </c>
      <c r="F137" s="1"/>
      <c r="G137" s="1" t="s">
        <v>1110</v>
      </c>
      <c r="H137" s="1" t="s">
        <v>184</v>
      </c>
      <c r="I137" s="1" t="s">
        <v>1111</v>
      </c>
      <c r="J137" s="1" t="s">
        <v>1112</v>
      </c>
      <c r="K137" s="1" t="s">
        <v>225</v>
      </c>
      <c r="L137" s="1"/>
      <c r="M137" s="1" t="s">
        <v>105</v>
      </c>
      <c r="N137" s="1"/>
      <c r="O137" s="1"/>
      <c r="P137" s="1"/>
      <c r="Q137" s="1" t="s">
        <v>1113</v>
      </c>
      <c r="R137" s="1"/>
      <c r="S137" s="1" t="s">
        <v>1909</v>
      </c>
      <c r="T137" s="1" t="s">
        <v>1114</v>
      </c>
      <c r="U137" s="1" t="s">
        <v>210</v>
      </c>
      <c r="V137" s="1"/>
      <c r="W137" s="1" t="s">
        <v>201</v>
      </c>
      <c r="X137" s="1" t="s">
        <v>227</v>
      </c>
      <c r="Y137" s="1"/>
      <c r="Z137" s="1" t="s">
        <v>1910</v>
      </c>
      <c r="AA137" s="1" t="s">
        <v>191</v>
      </c>
      <c r="AB137" s="1" t="s">
        <v>192</v>
      </c>
      <c r="AC137" s="1"/>
      <c r="AD137" s="1" t="s">
        <v>1911</v>
      </c>
      <c r="AE137" s="1" t="s">
        <v>1912</v>
      </c>
    </row>
    <row r="138" spans="1:31" hidden="1" x14ac:dyDescent="0.25">
      <c r="A138" s="1" t="s">
        <v>1907</v>
      </c>
      <c r="B138" s="1" t="s">
        <v>2022</v>
      </c>
      <c r="C138" s="1" t="s">
        <v>1115</v>
      </c>
      <c r="D138" s="1" t="s">
        <v>1116</v>
      </c>
      <c r="E138" s="1" t="str">
        <f t="shared" si="2"/>
        <v>462</v>
      </c>
      <c r="F138" s="1"/>
      <c r="G138" s="1" t="s">
        <v>1117</v>
      </c>
      <c r="H138" s="1" t="s">
        <v>184</v>
      </c>
      <c r="I138" s="1" t="s">
        <v>1118</v>
      </c>
      <c r="J138" s="1" t="s">
        <v>1119</v>
      </c>
      <c r="K138" s="1" t="s">
        <v>267</v>
      </c>
      <c r="L138" s="1"/>
      <c r="M138" s="1" t="s">
        <v>105</v>
      </c>
      <c r="N138" s="1"/>
      <c r="O138" s="1"/>
      <c r="P138" s="1"/>
      <c r="Q138" s="1" t="s">
        <v>1120</v>
      </c>
      <c r="R138" s="1"/>
      <c r="S138" s="1" t="s">
        <v>1909</v>
      </c>
      <c r="T138" s="1"/>
      <c r="U138" s="1" t="s">
        <v>189</v>
      </c>
      <c r="V138" s="1"/>
      <c r="W138" s="1" t="s">
        <v>201</v>
      </c>
      <c r="X138" s="1" t="s">
        <v>227</v>
      </c>
      <c r="Y138" s="1"/>
      <c r="Z138" s="1" t="s">
        <v>1910</v>
      </c>
      <c r="AA138" s="1" t="s">
        <v>191</v>
      </c>
      <c r="AB138" s="1" t="s">
        <v>192</v>
      </c>
      <c r="AC138" s="1"/>
      <c r="AD138" s="1" t="s">
        <v>1911</v>
      </c>
      <c r="AE138" s="1" t="s">
        <v>1912</v>
      </c>
    </row>
    <row r="139" spans="1:31" hidden="1" x14ac:dyDescent="0.25">
      <c r="A139" s="1" t="s">
        <v>1907</v>
      </c>
      <c r="B139" s="1" t="s">
        <v>2023</v>
      </c>
      <c r="C139" s="1" t="s">
        <v>1121</v>
      </c>
      <c r="D139" s="1" t="s">
        <v>1121</v>
      </c>
      <c r="E139" s="1" t="str">
        <f t="shared" si="2"/>
        <v>466</v>
      </c>
      <c r="F139" s="1"/>
      <c r="G139" s="1" t="s">
        <v>1122</v>
      </c>
      <c r="H139" s="1" t="s">
        <v>184</v>
      </c>
      <c r="I139" s="1" t="s">
        <v>1123</v>
      </c>
      <c r="J139" s="1" t="s">
        <v>1124</v>
      </c>
      <c r="K139" s="1" t="s">
        <v>187</v>
      </c>
      <c r="L139" s="1"/>
      <c r="M139" s="1" t="s">
        <v>105</v>
      </c>
      <c r="N139" s="1"/>
      <c r="O139" s="1"/>
      <c r="P139" s="1"/>
      <c r="Q139" s="1" t="s">
        <v>1125</v>
      </c>
      <c r="R139" s="1"/>
      <c r="S139" s="1" t="s">
        <v>1909</v>
      </c>
      <c r="T139" s="1"/>
      <c r="U139" s="1" t="s">
        <v>189</v>
      </c>
      <c r="V139" s="1"/>
      <c r="W139" s="1"/>
      <c r="X139" s="1" t="s">
        <v>190</v>
      </c>
      <c r="Y139" s="1"/>
      <c r="Z139" s="1" t="s">
        <v>1910</v>
      </c>
      <c r="AA139" s="1" t="s">
        <v>191</v>
      </c>
      <c r="AB139" s="1" t="s">
        <v>192</v>
      </c>
      <c r="AC139" s="1"/>
      <c r="AD139" s="1" t="s">
        <v>1911</v>
      </c>
      <c r="AE139" s="1" t="s">
        <v>1912</v>
      </c>
    </row>
    <row r="140" spans="1:31" hidden="1" x14ac:dyDescent="0.25">
      <c r="A140" s="1" t="s">
        <v>1907</v>
      </c>
      <c r="B140" s="1" t="s">
        <v>142</v>
      </c>
      <c r="C140" s="1" t="s">
        <v>1126</v>
      </c>
      <c r="D140" s="1" t="s">
        <v>1126</v>
      </c>
      <c r="E140" s="1" t="str">
        <f t="shared" si="2"/>
        <v>470</v>
      </c>
      <c r="F140" s="1"/>
      <c r="G140" s="1" t="s">
        <v>1127</v>
      </c>
      <c r="H140" s="1" t="s">
        <v>184</v>
      </c>
      <c r="I140" s="1" t="s">
        <v>1128</v>
      </c>
      <c r="J140" s="1" t="s">
        <v>1129</v>
      </c>
      <c r="K140" s="1" t="s">
        <v>197</v>
      </c>
      <c r="L140" s="1"/>
      <c r="M140" s="1" t="s">
        <v>106</v>
      </c>
      <c r="N140" s="1" t="s">
        <v>282</v>
      </c>
      <c r="O140" s="1" t="s">
        <v>283</v>
      </c>
      <c r="P140" s="1" t="s">
        <v>284</v>
      </c>
      <c r="Q140" s="1" t="s">
        <v>1130</v>
      </c>
      <c r="R140" s="1"/>
      <c r="S140" s="1" t="s">
        <v>1909</v>
      </c>
      <c r="T140" s="1" t="s">
        <v>1131</v>
      </c>
      <c r="U140" s="1" t="s">
        <v>210</v>
      </c>
      <c r="V140" s="1"/>
      <c r="W140" s="1" t="s">
        <v>198</v>
      </c>
      <c r="X140" s="1" t="s">
        <v>201</v>
      </c>
      <c r="Y140" s="1" t="s">
        <v>239</v>
      </c>
      <c r="Z140" s="1" t="s">
        <v>1910</v>
      </c>
      <c r="AA140" s="1" t="s">
        <v>1132</v>
      </c>
      <c r="AB140" s="1" t="s">
        <v>192</v>
      </c>
      <c r="AC140" s="1"/>
      <c r="AD140" s="1" t="s">
        <v>1911</v>
      </c>
      <c r="AE140" s="1" t="s">
        <v>1912</v>
      </c>
    </row>
    <row r="141" spans="1:31" hidden="1" x14ac:dyDescent="0.25">
      <c r="A141" s="1" t="s">
        <v>1907</v>
      </c>
      <c r="B141" s="1" t="s">
        <v>2024</v>
      </c>
      <c r="C141" s="1" t="s">
        <v>1133</v>
      </c>
      <c r="D141" s="1" t="s">
        <v>1134</v>
      </c>
      <c r="E141" s="1" t="str">
        <f t="shared" si="2"/>
        <v>474</v>
      </c>
      <c r="F141" s="1"/>
      <c r="G141" s="1" t="s">
        <v>1135</v>
      </c>
      <c r="H141" s="1" t="s">
        <v>184</v>
      </c>
      <c r="I141" s="1" t="s">
        <v>1136</v>
      </c>
      <c r="J141" s="1" t="s">
        <v>1137</v>
      </c>
      <c r="K141" s="1" t="s">
        <v>197</v>
      </c>
      <c r="L141" s="1"/>
      <c r="M141" s="1" t="s">
        <v>105</v>
      </c>
      <c r="N141" s="1"/>
      <c r="O141" s="1"/>
      <c r="P141" s="1" t="s">
        <v>284</v>
      </c>
      <c r="Q141" s="1" t="s">
        <v>1138</v>
      </c>
      <c r="R141" s="1"/>
      <c r="S141" s="1" t="s">
        <v>1909</v>
      </c>
      <c r="T141" s="1"/>
      <c r="U141" s="1" t="s">
        <v>210</v>
      </c>
      <c r="V141" s="1"/>
      <c r="W141" s="1" t="s">
        <v>198</v>
      </c>
      <c r="X141" s="1" t="s">
        <v>201</v>
      </c>
      <c r="Y141" s="1"/>
      <c r="Z141" s="1" t="s">
        <v>1910</v>
      </c>
      <c r="AA141" s="1" t="s">
        <v>540</v>
      </c>
      <c r="AB141" s="1" t="s">
        <v>192</v>
      </c>
      <c r="AC141" s="1"/>
      <c r="AD141" s="1" t="s">
        <v>1911</v>
      </c>
      <c r="AE141" s="1" t="s">
        <v>1912</v>
      </c>
    </row>
    <row r="142" spans="1:31" hidden="1" x14ac:dyDescent="0.25">
      <c r="A142" s="1" t="s">
        <v>1907</v>
      </c>
      <c r="B142" s="1" t="s">
        <v>2025</v>
      </c>
      <c r="C142" s="1" t="s">
        <v>1139</v>
      </c>
      <c r="D142" s="1" t="s">
        <v>1139</v>
      </c>
      <c r="E142" s="1" t="str">
        <f t="shared" si="2"/>
        <v>478</v>
      </c>
      <c r="F142" s="1"/>
      <c r="G142" s="1" t="s">
        <v>1140</v>
      </c>
      <c r="H142" s="1" t="s">
        <v>184</v>
      </c>
      <c r="I142" s="1" t="s">
        <v>1141</v>
      </c>
      <c r="J142" s="1" t="s">
        <v>1142</v>
      </c>
      <c r="K142" s="1" t="s">
        <v>197</v>
      </c>
      <c r="L142" s="1"/>
      <c r="M142" s="1" t="s">
        <v>105</v>
      </c>
      <c r="N142" s="1"/>
      <c r="O142" s="1"/>
      <c r="P142" s="1"/>
      <c r="Q142" s="1" t="s">
        <v>1143</v>
      </c>
      <c r="R142" s="1"/>
      <c r="S142" s="1" t="s">
        <v>1909</v>
      </c>
      <c r="T142" s="1" t="s">
        <v>1144</v>
      </c>
      <c r="U142" s="1" t="s">
        <v>189</v>
      </c>
      <c r="V142" s="1"/>
      <c r="W142" s="1"/>
      <c r="X142" s="1"/>
      <c r="Y142" s="1"/>
      <c r="Z142" s="1" t="s">
        <v>1910</v>
      </c>
      <c r="AA142" s="1" t="s">
        <v>735</v>
      </c>
      <c r="AB142" s="1" t="s">
        <v>192</v>
      </c>
      <c r="AC142" s="1"/>
      <c r="AD142" s="1" t="s">
        <v>1911</v>
      </c>
      <c r="AE142" s="1" t="s">
        <v>1912</v>
      </c>
    </row>
    <row r="143" spans="1:31" hidden="1" x14ac:dyDescent="0.25">
      <c r="A143" s="1" t="s">
        <v>1907</v>
      </c>
      <c r="B143" s="1" t="s">
        <v>2026</v>
      </c>
      <c r="C143" s="1" t="s">
        <v>1145</v>
      </c>
      <c r="D143" s="1" t="s">
        <v>1146</v>
      </c>
      <c r="E143" s="1" t="str">
        <f t="shared" si="2"/>
        <v>480</v>
      </c>
      <c r="F143" s="1"/>
      <c r="G143" s="1" t="s">
        <v>1147</v>
      </c>
      <c r="H143" s="1" t="s">
        <v>184</v>
      </c>
      <c r="I143" s="1" t="s">
        <v>1148</v>
      </c>
      <c r="J143" s="1" t="s">
        <v>1149</v>
      </c>
      <c r="K143" s="1" t="s">
        <v>233</v>
      </c>
      <c r="L143" s="1"/>
      <c r="M143" s="1" t="s">
        <v>105</v>
      </c>
      <c r="N143" s="1"/>
      <c r="O143" s="1"/>
      <c r="P143" s="1" t="s">
        <v>198</v>
      </c>
      <c r="Q143" s="1" t="s">
        <v>1150</v>
      </c>
      <c r="R143" s="1"/>
      <c r="S143" s="1" t="s">
        <v>1909</v>
      </c>
      <c r="T143" s="1" t="s">
        <v>1151</v>
      </c>
      <c r="U143" s="1" t="s">
        <v>210</v>
      </c>
      <c r="V143" s="1"/>
      <c r="W143" s="1" t="s">
        <v>201</v>
      </c>
      <c r="X143" s="1" t="s">
        <v>227</v>
      </c>
      <c r="Y143" s="1"/>
      <c r="Z143" s="1" t="s">
        <v>1910</v>
      </c>
      <c r="AA143" s="1" t="s">
        <v>988</v>
      </c>
      <c r="AB143" s="1" t="s">
        <v>192</v>
      </c>
      <c r="AC143" s="1"/>
      <c r="AD143" s="1" t="s">
        <v>1911</v>
      </c>
      <c r="AE143" s="1" t="s">
        <v>1912</v>
      </c>
    </row>
    <row r="144" spans="1:31" hidden="1" x14ac:dyDescent="0.25">
      <c r="A144" s="1" t="s">
        <v>1907</v>
      </c>
      <c r="B144" s="1" t="s">
        <v>2027</v>
      </c>
      <c r="C144" s="1" t="s">
        <v>1152</v>
      </c>
      <c r="D144" s="1" t="s">
        <v>1152</v>
      </c>
      <c r="E144" s="1" t="str">
        <f t="shared" si="2"/>
        <v>484</v>
      </c>
      <c r="F144" s="1"/>
      <c r="G144" s="1" t="s">
        <v>1153</v>
      </c>
      <c r="H144" s="1" t="s">
        <v>184</v>
      </c>
      <c r="I144" s="1" t="s">
        <v>1154</v>
      </c>
      <c r="J144" s="1" t="s">
        <v>1155</v>
      </c>
      <c r="K144" s="1" t="s">
        <v>197</v>
      </c>
      <c r="L144" s="1"/>
      <c r="M144" s="1" t="s">
        <v>105</v>
      </c>
      <c r="N144" s="1" t="s">
        <v>562</v>
      </c>
      <c r="O144" s="1"/>
      <c r="P144" s="1"/>
      <c r="Q144" s="1" t="s">
        <v>1156</v>
      </c>
      <c r="R144" s="1"/>
      <c r="S144" s="1" t="s">
        <v>1909</v>
      </c>
      <c r="T144" s="1" t="s">
        <v>1157</v>
      </c>
      <c r="U144" s="1" t="s">
        <v>210</v>
      </c>
      <c r="V144" s="1"/>
      <c r="W144" s="1"/>
      <c r="X144" s="1"/>
      <c r="Y144" s="1" t="s">
        <v>464</v>
      </c>
      <c r="Z144" s="1" t="s">
        <v>1910</v>
      </c>
      <c r="AA144" s="1" t="s">
        <v>191</v>
      </c>
      <c r="AB144" s="1" t="s">
        <v>192</v>
      </c>
      <c r="AC144" s="1"/>
      <c r="AD144" s="1" t="s">
        <v>1911</v>
      </c>
      <c r="AE144" s="1" t="s">
        <v>1912</v>
      </c>
    </row>
    <row r="145" spans="1:31" hidden="1" x14ac:dyDescent="0.25">
      <c r="A145" s="1" t="s">
        <v>1907</v>
      </c>
      <c r="B145" s="1" t="s">
        <v>2028</v>
      </c>
      <c r="C145" s="1" t="s">
        <v>1158</v>
      </c>
      <c r="D145" s="1" t="s">
        <v>1158</v>
      </c>
      <c r="E145" s="1" t="str">
        <f t="shared" si="2"/>
        <v>492</v>
      </c>
      <c r="F145" s="1"/>
      <c r="G145" s="1" t="s">
        <v>1159</v>
      </c>
      <c r="H145" s="1" t="s">
        <v>184</v>
      </c>
      <c r="I145" s="1" t="s">
        <v>1160</v>
      </c>
      <c r="J145" s="1" t="s">
        <v>1161</v>
      </c>
      <c r="K145" s="1" t="s">
        <v>233</v>
      </c>
      <c r="L145" s="1"/>
      <c r="M145" s="1" t="s">
        <v>106</v>
      </c>
      <c r="N145" s="1" t="s">
        <v>234</v>
      </c>
      <c r="O145" s="1"/>
      <c r="P145" s="1" t="s">
        <v>284</v>
      </c>
      <c r="Q145" s="1" t="s">
        <v>1162</v>
      </c>
      <c r="R145" s="1"/>
      <c r="S145" s="1" t="s">
        <v>1909</v>
      </c>
      <c r="T145" s="1"/>
      <c r="U145" s="1" t="s">
        <v>210</v>
      </c>
      <c r="V145" s="1"/>
      <c r="W145" s="1" t="s">
        <v>201</v>
      </c>
      <c r="X145" s="1" t="s">
        <v>227</v>
      </c>
      <c r="Y145" s="1" t="s">
        <v>198</v>
      </c>
      <c r="Z145" s="1" t="s">
        <v>1910</v>
      </c>
      <c r="AA145" s="1" t="s">
        <v>540</v>
      </c>
      <c r="AB145" s="1" t="s">
        <v>192</v>
      </c>
      <c r="AC145" s="1"/>
      <c r="AD145" s="1" t="s">
        <v>1911</v>
      </c>
      <c r="AE145" s="1" t="s">
        <v>1912</v>
      </c>
    </row>
    <row r="146" spans="1:31" hidden="1" x14ac:dyDescent="0.25">
      <c r="A146" s="1" t="s">
        <v>1907</v>
      </c>
      <c r="B146" s="1" t="s">
        <v>2029</v>
      </c>
      <c r="C146" s="1" t="s">
        <v>1163</v>
      </c>
      <c r="D146" s="1" t="s">
        <v>1163</v>
      </c>
      <c r="E146" s="1" t="str">
        <f t="shared" si="2"/>
        <v>496</v>
      </c>
      <c r="F146" s="1"/>
      <c r="G146" s="1" t="s">
        <v>1164</v>
      </c>
      <c r="H146" s="1" t="s">
        <v>184</v>
      </c>
      <c r="I146" s="1" t="s">
        <v>1165</v>
      </c>
      <c r="J146" s="1" t="s">
        <v>1166</v>
      </c>
      <c r="K146" s="1" t="s">
        <v>267</v>
      </c>
      <c r="L146" s="1"/>
      <c r="M146" s="1" t="s">
        <v>105</v>
      </c>
      <c r="N146" s="1"/>
      <c r="O146" s="1"/>
      <c r="P146" s="1"/>
      <c r="Q146" s="1" t="s">
        <v>1167</v>
      </c>
      <c r="R146" s="1"/>
      <c r="S146" s="1" t="s">
        <v>1909</v>
      </c>
      <c r="T146" s="1"/>
      <c r="U146" s="1" t="s">
        <v>200</v>
      </c>
      <c r="V146" s="1"/>
      <c r="W146" s="1"/>
      <c r="X146" s="1"/>
      <c r="Y146" s="1"/>
      <c r="Z146" s="1" t="s">
        <v>1910</v>
      </c>
      <c r="AA146" s="1" t="s">
        <v>191</v>
      </c>
      <c r="AB146" s="1" t="s">
        <v>192</v>
      </c>
      <c r="AC146" s="1"/>
      <c r="AD146" s="1" t="s">
        <v>1911</v>
      </c>
      <c r="AE146" s="1" t="s">
        <v>1912</v>
      </c>
    </row>
    <row r="147" spans="1:31" hidden="1" x14ac:dyDescent="0.25">
      <c r="A147" s="1" t="s">
        <v>1907</v>
      </c>
      <c r="B147" s="1" t="s">
        <v>2030</v>
      </c>
      <c r="C147" s="1" t="s">
        <v>1168</v>
      </c>
      <c r="D147" s="1" t="s">
        <v>1169</v>
      </c>
      <c r="E147" s="1" t="str">
        <f t="shared" si="2"/>
        <v>498</v>
      </c>
      <c r="F147" s="1"/>
      <c r="G147" s="1" t="s">
        <v>1170</v>
      </c>
      <c r="H147" s="1" t="s">
        <v>222</v>
      </c>
      <c r="I147" s="1" t="s">
        <v>1171</v>
      </c>
      <c r="J147" s="1" t="s">
        <v>1172</v>
      </c>
      <c r="K147" s="1" t="s">
        <v>197</v>
      </c>
      <c r="L147" s="1"/>
      <c r="M147" s="1" t="s">
        <v>105</v>
      </c>
      <c r="N147" s="1"/>
      <c r="O147" s="1"/>
      <c r="P147" s="1"/>
      <c r="Q147" s="1" t="s">
        <v>1173</v>
      </c>
      <c r="R147" s="1"/>
      <c r="S147" s="1" t="s">
        <v>1909</v>
      </c>
      <c r="T147" s="1" t="s">
        <v>1174</v>
      </c>
      <c r="U147" s="1" t="s">
        <v>200</v>
      </c>
      <c r="V147" s="1"/>
      <c r="W147" s="1"/>
      <c r="X147" s="1" t="s">
        <v>190</v>
      </c>
      <c r="Y147" s="1" t="s">
        <v>464</v>
      </c>
      <c r="Z147" s="1" t="s">
        <v>1910</v>
      </c>
      <c r="AA147" s="1" t="s">
        <v>1175</v>
      </c>
      <c r="AB147" s="1" t="s">
        <v>192</v>
      </c>
      <c r="AC147" s="1"/>
      <c r="AD147" s="1" t="s">
        <v>1911</v>
      </c>
      <c r="AE147" s="1" t="s">
        <v>1912</v>
      </c>
    </row>
    <row r="148" spans="1:31" hidden="1" x14ac:dyDescent="0.25">
      <c r="A148" s="1" t="s">
        <v>1907</v>
      </c>
      <c r="B148" s="1" t="s">
        <v>2031</v>
      </c>
      <c r="C148" s="1" t="s">
        <v>1176</v>
      </c>
      <c r="D148" s="1" t="s">
        <v>1176</v>
      </c>
      <c r="E148" s="1" t="str">
        <f t="shared" si="2"/>
        <v>499</v>
      </c>
      <c r="F148" s="1"/>
      <c r="G148" s="1" t="s">
        <v>1177</v>
      </c>
      <c r="H148" s="1" t="s">
        <v>222</v>
      </c>
      <c r="I148" s="1" t="s">
        <v>1178</v>
      </c>
      <c r="J148" s="1" t="s">
        <v>1179</v>
      </c>
      <c r="K148" s="1" t="s">
        <v>884</v>
      </c>
      <c r="L148" s="1"/>
      <c r="M148" s="1" t="s">
        <v>106</v>
      </c>
      <c r="N148" s="1"/>
      <c r="O148" s="1"/>
      <c r="P148" s="1" t="s">
        <v>198</v>
      </c>
      <c r="Q148" s="1" t="s">
        <v>1180</v>
      </c>
      <c r="R148" s="1"/>
      <c r="S148" s="1" t="s">
        <v>1909</v>
      </c>
      <c r="T148" s="1"/>
      <c r="U148" s="1" t="s">
        <v>200</v>
      </c>
      <c r="V148" s="1"/>
      <c r="W148" s="1" t="s">
        <v>201</v>
      </c>
      <c r="X148" s="1" t="s">
        <v>355</v>
      </c>
      <c r="Y148" s="1" t="s">
        <v>464</v>
      </c>
      <c r="Z148" s="1" t="s">
        <v>1910</v>
      </c>
      <c r="AA148" s="1" t="s">
        <v>1181</v>
      </c>
      <c r="AB148" s="1" t="s">
        <v>192</v>
      </c>
      <c r="AC148" s="1"/>
      <c r="AD148" s="1" t="s">
        <v>1911</v>
      </c>
      <c r="AE148" s="1" t="s">
        <v>1912</v>
      </c>
    </row>
    <row r="149" spans="1:31" hidden="1" x14ac:dyDescent="0.25">
      <c r="A149" s="1" t="s">
        <v>1907</v>
      </c>
      <c r="B149" s="1" t="s">
        <v>2032</v>
      </c>
      <c r="C149" s="1" t="s">
        <v>1182</v>
      </c>
      <c r="D149" s="1" t="s">
        <v>1182</v>
      </c>
      <c r="E149" s="1" t="str">
        <f t="shared" si="2"/>
        <v>500</v>
      </c>
      <c r="F149" s="1"/>
      <c r="G149" s="1" t="s">
        <v>1183</v>
      </c>
      <c r="H149" s="1" t="s">
        <v>184</v>
      </c>
      <c r="I149" s="1" t="s">
        <v>1184</v>
      </c>
      <c r="J149" s="1" t="s">
        <v>1185</v>
      </c>
      <c r="K149" s="1" t="s">
        <v>233</v>
      </c>
      <c r="L149" s="1"/>
      <c r="M149" s="1" t="s">
        <v>105</v>
      </c>
      <c r="N149" s="1"/>
      <c r="O149" s="1"/>
      <c r="P149" s="1"/>
      <c r="Q149" s="1" t="s">
        <v>1186</v>
      </c>
      <c r="R149" s="1"/>
      <c r="S149" s="1" t="s">
        <v>1909</v>
      </c>
      <c r="T149" s="1"/>
      <c r="U149" s="1" t="s">
        <v>210</v>
      </c>
      <c r="V149" s="1"/>
      <c r="W149" s="1" t="s">
        <v>201</v>
      </c>
      <c r="X149" s="1" t="s">
        <v>227</v>
      </c>
      <c r="Y149" s="1" t="s">
        <v>198</v>
      </c>
      <c r="Z149" s="1" t="s">
        <v>1910</v>
      </c>
      <c r="AA149" s="1" t="s">
        <v>191</v>
      </c>
      <c r="AB149" s="1" t="s">
        <v>192</v>
      </c>
      <c r="AC149" s="1"/>
      <c r="AD149" s="1" t="s">
        <v>1911</v>
      </c>
      <c r="AE149" s="1" t="s">
        <v>1912</v>
      </c>
    </row>
    <row r="150" spans="1:31" hidden="1" x14ac:dyDescent="0.25">
      <c r="A150" s="1" t="s">
        <v>1907</v>
      </c>
      <c r="B150" s="1" t="s">
        <v>2033</v>
      </c>
      <c r="C150" s="1" t="s">
        <v>1187</v>
      </c>
      <c r="D150" s="1" t="s">
        <v>1188</v>
      </c>
      <c r="E150" s="1" t="str">
        <f t="shared" si="2"/>
        <v>504</v>
      </c>
      <c r="F150" s="1"/>
      <c r="G150" s="1" t="s">
        <v>1189</v>
      </c>
      <c r="H150" s="1" t="s">
        <v>184</v>
      </c>
      <c r="I150" s="1" t="s">
        <v>1190</v>
      </c>
      <c r="J150" s="1" t="s">
        <v>1191</v>
      </c>
      <c r="K150" s="1" t="s">
        <v>316</v>
      </c>
      <c r="L150" s="1"/>
      <c r="M150" s="1" t="s">
        <v>105</v>
      </c>
      <c r="N150" s="1"/>
      <c r="O150" s="1"/>
      <c r="P150" s="1"/>
      <c r="Q150" s="1" t="s">
        <v>1192</v>
      </c>
      <c r="R150" s="1"/>
      <c r="S150" s="1" t="s">
        <v>1909</v>
      </c>
      <c r="T150" s="1" t="s">
        <v>1193</v>
      </c>
      <c r="U150" s="1" t="s">
        <v>217</v>
      </c>
      <c r="V150" s="1"/>
      <c r="W150" s="1"/>
      <c r="X150" s="1"/>
      <c r="Y150" s="1" t="s">
        <v>1194</v>
      </c>
      <c r="Z150" s="1" t="s">
        <v>1910</v>
      </c>
      <c r="AA150" s="1" t="s">
        <v>191</v>
      </c>
      <c r="AB150" s="1" t="s">
        <v>192</v>
      </c>
      <c r="AC150" s="1"/>
      <c r="AD150" s="1" t="s">
        <v>1911</v>
      </c>
      <c r="AE150" s="1" t="s">
        <v>1912</v>
      </c>
    </row>
    <row r="151" spans="1:31" hidden="1" x14ac:dyDescent="0.25">
      <c r="A151" s="1" t="s">
        <v>1907</v>
      </c>
      <c r="B151" s="1" t="s">
        <v>2034</v>
      </c>
      <c r="C151" s="1" t="s">
        <v>1195</v>
      </c>
      <c r="D151" s="1" t="s">
        <v>1196</v>
      </c>
      <c r="E151" s="1" t="str">
        <f t="shared" si="2"/>
        <v>508</v>
      </c>
      <c r="F151" s="1"/>
      <c r="G151" s="1" t="s">
        <v>1197</v>
      </c>
      <c r="H151" s="1" t="s">
        <v>184</v>
      </c>
      <c r="I151" s="1" t="s">
        <v>1198</v>
      </c>
      <c r="J151" s="1" t="s">
        <v>1199</v>
      </c>
      <c r="K151" s="1" t="s">
        <v>197</v>
      </c>
      <c r="L151" s="1" t="s">
        <v>198</v>
      </c>
      <c r="M151" s="1" t="s">
        <v>105</v>
      </c>
      <c r="N151" s="1"/>
      <c r="O151" s="1"/>
      <c r="P151" s="1"/>
      <c r="Q151" s="1" t="s">
        <v>1200</v>
      </c>
      <c r="R151" s="1"/>
      <c r="S151" s="1" t="s">
        <v>1909</v>
      </c>
      <c r="T151" s="1" t="s">
        <v>1201</v>
      </c>
      <c r="U151" s="1" t="s">
        <v>189</v>
      </c>
      <c r="V151" s="1"/>
      <c r="W151" s="1"/>
      <c r="X151" s="1" t="s">
        <v>190</v>
      </c>
      <c r="Y151" s="1" t="s">
        <v>464</v>
      </c>
      <c r="Z151" s="1" t="s">
        <v>1910</v>
      </c>
      <c r="AA151" s="1" t="s">
        <v>191</v>
      </c>
      <c r="AB151" s="1" t="s">
        <v>192</v>
      </c>
      <c r="AC151" s="1"/>
      <c r="AD151" s="1" t="s">
        <v>1911</v>
      </c>
      <c r="AE151" s="1" t="s">
        <v>1912</v>
      </c>
    </row>
    <row r="152" spans="1:31" hidden="1" x14ac:dyDescent="0.25">
      <c r="A152" s="1" t="s">
        <v>1907</v>
      </c>
      <c r="B152" s="1" t="s">
        <v>2035</v>
      </c>
      <c r="C152" s="1" t="s">
        <v>1202</v>
      </c>
      <c r="D152" s="1" t="s">
        <v>1202</v>
      </c>
      <c r="E152" s="1" t="str">
        <f t="shared" si="2"/>
        <v>512</v>
      </c>
      <c r="F152" s="1"/>
      <c r="G152" s="1" t="s">
        <v>1203</v>
      </c>
      <c r="H152" s="1" t="s">
        <v>222</v>
      </c>
      <c r="I152" s="1" t="s">
        <v>1204</v>
      </c>
      <c r="J152" s="1" t="s">
        <v>1205</v>
      </c>
      <c r="K152" s="1" t="s">
        <v>361</v>
      </c>
      <c r="L152" s="1"/>
      <c r="M152" s="1" t="s">
        <v>105</v>
      </c>
      <c r="N152" s="1"/>
      <c r="O152" s="1"/>
      <c r="P152" s="1"/>
      <c r="Q152" s="1" t="s">
        <v>1206</v>
      </c>
      <c r="R152" s="1"/>
      <c r="S152" s="1" t="s">
        <v>1909</v>
      </c>
      <c r="T152" s="1" t="s">
        <v>1207</v>
      </c>
      <c r="U152" s="1" t="s">
        <v>217</v>
      </c>
      <c r="V152" s="1"/>
      <c r="W152" s="1" t="s">
        <v>201</v>
      </c>
      <c r="X152" s="1" t="s">
        <v>227</v>
      </c>
      <c r="Y152" s="1" t="s">
        <v>247</v>
      </c>
      <c r="Z152" s="1" t="s">
        <v>1910</v>
      </c>
      <c r="AA152" s="1" t="s">
        <v>191</v>
      </c>
      <c r="AB152" s="1" t="s">
        <v>192</v>
      </c>
      <c r="AC152" s="1"/>
      <c r="AD152" s="1" t="s">
        <v>1911</v>
      </c>
      <c r="AE152" s="1" t="s">
        <v>1912</v>
      </c>
    </row>
    <row r="153" spans="1:31" hidden="1" x14ac:dyDescent="0.25">
      <c r="A153" s="1" t="s">
        <v>1907</v>
      </c>
      <c r="B153" s="1" t="s">
        <v>2036</v>
      </c>
      <c r="C153" s="1" t="s">
        <v>1208</v>
      </c>
      <c r="D153" s="1" t="s">
        <v>1208</v>
      </c>
      <c r="E153" s="1" t="str">
        <f t="shared" si="2"/>
        <v>516</v>
      </c>
      <c r="F153" s="1"/>
      <c r="G153" s="1" t="s">
        <v>1209</v>
      </c>
      <c r="H153" s="1" t="s">
        <v>184</v>
      </c>
      <c r="I153" s="1" t="s">
        <v>1210</v>
      </c>
      <c r="J153" s="1" t="s">
        <v>1211</v>
      </c>
      <c r="K153" s="1" t="s">
        <v>361</v>
      </c>
      <c r="L153" s="1" t="s">
        <v>198</v>
      </c>
      <c r="M153" s="1" t="s">
        <v>105</v>
      </c>
      <c r="N153" s="1"/>
      <c r="O153" s="1"/>
      <c r="P153" s="1"/>
      <c r="Q153" s="1" t="s">
        <v>1212</v>
      </c>
      <c r="R153" s="1"/>
      <c r="S153" s="1" t="s">
        <v>1909</v>
      </c>
      <c r="T153" s="1" t="s">
        <v>1213</v>
      </c>
      <c r="U153" s="1" t="s">
        <v>217</v>
      </c>
      <c r="V153" s="1"/>
      <c r="W153" s="1"/>
      <c r="X153" s="1"/>
      <c r="Y153" s="1"/>
      <c r="Z153" s="1" t="s">
        <v>1910</v>
      </c>
      <c r="AA153" s="1" t="s">
        <v>191</v>
      </c>
      <c r="AB153" s="1" t="s">
        <v>192</v>
      </c>
      <c r="AC153" s="1"/>
      <c r="AD153" s="1" t="s">
        <v>1911</v>
      </c>
      <c r="AE153" s="1" t="s">
        <v>1912</v>
      </c>
    </row>
    <row r="154" spans="1:31" hidden="1" x14ac:dyDescent="0.25">
      <c r="A154" s="1" t="s">
        <v>1907</v>
      </c>
      <c r="B154" s="1" t="s">
        <v>2037</v>
      </c>
      <c r="C154" s="1" t="s">
        <v>1214</v>
      </c>
      <c r="D154" s="1" t="s">
        <v>1214</v>
      </c>
      <c r="E154" s="1" t="str">
        <f t="shared" si="2"/>
        <v>520</v>
      </c>
      <c r="F154" s="1"/>
      <c r="G154" s="1" t="s">
        <v>1215</v>
      </c>
      <c r="H154" s="1" t="s">
        <v>184</v>
      </c>
      <c r="I154" s="1" t="s">
        <v>1216</v>
      </c>
      <c r="J154" s="1" t="s">
        <v>1217</v>
      </c>
      <c r="K154" s="1" t="s">
        <v>233</v>
      </c>
      <c r="L154" s="1"/>
      <c r="M154" s="1" t="s">
        <v>105</v>
      </c>
      <c r="N154" s="1"/>
      <c r="O154" s="1"/>
      <c r="P154" s="1"/>
      <c r="Q154" s="1" t="s">
        <v>1218</v>
      </c>
      <c r="R154" s="1"/>
      <c r="S154" s="1" t="s">
        <v>1909</v>
      </c>
      <c r="T154" s="1"/>
      <c r="U154" s="1" t="s">
        <v>210</v>
      </c>
      <c r="V154" s="1"/>
      <c r="W154" s="1" t="s">
        <v>201</v>
      </c>
      <c r="X154" s="1" t="s">
        <v>227</v>
      </c>
      <c r="Y154" s="1"/>
      <c r="Z154" s="1" t="s">
        <v>1910</v>
      </c>
      <c r="AA154" s="1" t="s">
        <v>191</v>
      </c>
      <c r="AB154" s="1" t="s">
        <v>192</v>
      </c>
      <c r="AC154" s="1"/>
      <c r="AD154" s="1" t="s">
        <v>1911</v>
      </c>
      <c r="AE154" s="1" t="s">
        <v>1912</v>
      </c>
    </row>
    <row r="155" spans="1:31" hidden="1" x14ac:dyDescent="0.25">
      <c r="A155" s="1" t="s">
        <v>1907</v>
      </c>
      <c r="B155" s="1" t="s">
        <v>2038</v>
      </c>
      <c r="C155" s="1" t="s">
        <v>1219</v>
      </c>
      <c r="D155" s="1" t="s">
        <v>1219</v>
      </c>
      <c r="E155" s="1" t="str">
        <f t="shared" si="2"/>
        <v>524</v>
      </c>
      <c r="F155" s="1"/>
      <c r="G155" s="1" t="s">
        <v>1220</v>
      </c>
      <c r="H155" s="1" t="s">
        <v>184</v>
      </c>
      <c r="I155" s="1" t="s">
        <v>1221</v>
      </c>
      <c r="J155" s="1" t="s">
        <v>1222</v>
      </c>
      <c r="K155" s="1" t="s">
        <v>208</v>
      </c>
      <c r="L155" s="1"/>
      <c r="M155" s="1" t="s">
        <v>105</v>
      </c>
      <c r="N155" s="1"/>
      <c r="O155" s="1"/>
      <c r="P155" s="1"/>
      <c r="Q155" s="1" t="s">
        <v>1223</v>
      </c>
      <c r="R155" s="1"/>
      <c r="S155" s="1" t="s">
        <v>1909</v>
      </c>
      <c r="T155" s="1" t="s">
        <v>1224</v>
      </c>
      <c r="U155" s="1" t="s">
        <v>200</v>
      </c>
      <c r="V155" s="1"/>
      <c r="W155" s="1"/>
      <c r="X155" s="1"/>
      <c r="Y155" s="1"/>
      <c r="Z155" s="1" t="s">
        <v>1910</v>
      </c>
      <c r="AA155" s="1" t="s">
        <v>191</v>
      </c>
      <c r="AB155" s="1" t="s">
        <v>192</v>
      </c>
      <c r="AC155" s="1"/>
      <c r="AD155" s="1" t="s">
        <v>1911</v>
      </c>
      <c r="AE155" s="1" t="s">
        <v>1912</v>
      </c>
    </row>
    <row r="156" spans="1:31" hidden="1" x14ac:dyDescent="0.25">
      <c r="A156" s="1" t="s">
        <v>1907</v>
      </c>
      <c r="B156" s="1" t="s">
        <v>143</v>
      </c>
      <c r="C156" s="1" t="s">
        <v>1225</v>
      </c>
      <c r="D156" s="1" t="s">
        <v>1226</v>
      </c>
      <c r="E156" s="1" t="str">
        <f t="shared" si="2"/>
        <v>528</v>
      </c>
      <c r="F156" s="1"/>
      <c r="G156" s="1" t="s">
        <v>1227</v>
      </c>
      <c r="H156" s="1" t="s">
        <v>184</v>
      </c>
      <c r="I156" s="1" t="s">
        <v>1228</v>
      </c>
      <c r="J156" s="1" t="s">
        <v>1229</v>
      </c>
      <c r="K156" s="1" t="s">
        <v>323</v>
      </c>
      <c r="L156" s="1"/>
      <c r="M156" s="1" t="s">
        <v>109</v>
      </c>
      <c r="N156" s="1" t="s">
        <v>282</v>
      </c>
      <c r="O156" s="1" t="s">
        <v>283</v>
      </c>
      <c r="P156" s="1" t="s">
        <v>284</v>
      </c>
      <c r="Q156" s="1" t="s">
        <v>1230</v>
      </c>
      <c r="R156" s="1"/>
      <c r="S156" s="1" t="s">
        <v>1909</v>
      </c>
      <c r="T156" s="1" t="s">
        <v>1231</v>
      </c>
      <c r="U156" s="1" t="s">
        <v>1910</v>
      </c>
      <c r="V156" s="1"/>
      <c r="W156" s="1" t="s">
        <v>198</v>
      </c>
      <c r="X156" s="1" t="s">
        <v>198</v>
      </c>
      <c r="Y156" s="1" t="s">
        <v>587</v>
      </c>
      <c r="Z156" s="1" t="s">
        <v>1910</v>
      </c>
      <c r="AA156" s="1" t="s">
        <v>609</v>
      </c>
      <c r="AB156" s="1" t="s">
        <v>192</v>
      </c>
      <c r="AC156" s="1"/>
      <c r="AD156" s="1" t="s">
        <v>1911</v>
      </c>
      <c r="AE156" s="1" t="s">
        <v>1912</v>
      </c>
    </row>
    <row r="157" spans="1:31" hidden="1" x14ac:dyDescent="0.25">
      <c r="A157" s="1" t="s">
        <v>1907</v>
      </c>
      <c r="B157" s="1" t="s">
        <v>2039</v>
      </c>
      <c r="C157" s="1" t="s">
        <v>1232</v>
      </c>
      <c r="D157" s="1" t="s">
        <v>1232</v>
      </c>
      <c r="E157" s="1" t="str">
        <f t="shared" si="2"/>
        <v>531</v>
      </c>
      <c r="F157" s="1"/>
      <c r="G157" s="1" t="s">
        <v>1233</v>
      </c>
      <c r="H157" s="1" t="s">
        <v>222</v>
      </c>
      <c r="I157" s="1" t="s">
        <v>1234</v>
      </c>
      <c r="J157" s="1" t="s">
        <v>1235</v>
      </c>
      <c r="K157" s="1" t="s">
        <v>197</v>
      </c>
      <c r="L157" s="1"/>
      <c r="M157" s="1" t="s">
        <v>105</v>
      </c>
      <c r="N157" s="1"/>
      <c r="O157" s="1"/>
      <c r="P157" s="1" t="s">
        <v>105</v>
      </c>
      <c r="Q157" s="1" t="s">
        <v>1236</v>
      </c>
      <c r="R157" s="1" t="s">
        <v>1236</v>
      </c>
      <c r="S157" s="1" t="s">
        <v>1909</v>
      </c>
      <c r="T157" s="1" t="s">
        <v>1237</v>
      </c>
      <c r="U157" s="1" t="s">
        <v>210</v>
      </c>
      <c r="V157" s="1"/>
      <c r="W157" s="1" t="s">
        <v>201</v>
      </c>
      <c r="X157" s="1" t="s">
        <v>227</v>
      </c>
      <c r="Y157" s="1" t="s">
        <v>198</v>
      </c>
      <c r="Z157" s="1" t="s">
        <v>1910</v>
      </c>
      <c r="AA157" s="1" t="s">
        <v>191</v>
      </c>
      <c r="AB157" s="1"/>
      <c r="AC157" s="1"/>
      <c r="AD157" s="1" t="s">
        <v>1911</v>
      </c>
      <c r="AE157" s="1" t="s">
        <v>1912</v>
      </c>
    </row>
    <row r="158" spans="1:31" hidden="1" x14ac:dyDescent="0.25">
      <c r="A158" s="1" t="s">
        <v>1907</v>
      </c>
      <c r="B158" s="1" t="s">
        <v>2040</v>
      </c>
      <c r="C158" s="1" t="s">
        <v>1238</v>
      </c>
      <c r="D158" s="1" t="s">
        <v>1238</v>
      </c>
      <c r="E158" s="1" t="str">
        <f t="shared" si="2"/>
        <v>533</v>
      </c>
      <c r="F158" s="1"/>
      <c r="G158" s="1" t="s">
        <v>1239</v>
      </c>
      <c r="H158" s="1" t="s">
        <v>222</v>
      </c>
      <c r="I158" s="1" t="s">
        <v>1240</v>
      </c>
      <c r="J158" s="1" t="s">
        <v>1241</v>
      </c>
      <c r="K158" s="1" t="s">
        <v>225</v>
      </c>
      <c r="L158" s="1"/>
      <c r="M158" s="1" t="s">
        <v>105</v>
      </c>
      <c r="N158" s="1"/>
      <c r="O158" s="1"/>
      <c r="P158" s="1"/>
      <c r="Q158" s="1" t="s">
        <v>1242</v>
      </c>
      <c r="R158" s="1"/>
      <c r="S158" s="1" t="s">
        <v>1909</v>
      </c>
      <c r="T158" s="1"/>
      <c r="U158" s="1" t="s">
        <v>210</v>
      </c>
      <c r="V158" s="1"/>
      <c r="W158" s="1" t="s">
        <v>201</v>
      </c>
      <c r="X158" s="1" t="s">
        <v>227</v>
      </c>
      <c r="Y158" s="1" t="s">
        <v>198</v>
      </c>
      <c r="Z158" s="1" t="s">
        <v>1910</v>
      </c>
      <c r="AA158" s="1" t="s">
        <v>191</v>
      </c>
      <c r="AB158" s="1" t="s">
        <v>192</v>
      </c>
      <c r="AC158" s="1"/>
      <c r="AD158" s="1" t="s">
        <v>1911</v>
      </c>
      <c r="AE158" s="1" t="s">
        <v>1912</v>
      </c>
    </row>
    <row r="159" spans="1:31" hidden="1" x14ac:dyDescent="0.25">
      <c r="A159" s="1" t="s">
        <v>1907</v>
      </c>
      <c r="B159" s="1" t="s">
        <v>2041</v>
      </c>
      <c r="C159" s="1" t="s">
        <v>1243</v>
      </c>
      <c r="D159" s="1" t="s">
        <v>1243</v>
      </c>
      <c r="E159" s="1" t="str">
        <f t="shared" si="2"/>
        <v>534</v>
      </c>
      <c r="F159" s="1"/>
      <c r="G159" s="1" t="s">
        <v>1244</v>
      </c>
      <c r="H159" s="1" t="s">
        <v>184</v>
      </c>
      <c r="I159" s="1" t="s">
        <v>1245</v>
      </c>
      <c r="J159" s="1" t="s">
        <v>1246</v>
      </c>
      <c r="K159" s="1" t="s">
        <v>197</v>
      </c>
      <c r="L159" s="1"/>
      <c r="M159" s="1" t="s">
        <v>105</v>
      </c>
      <c r="N159" s="1"/>
      <c r="O159" s="1"/>
      <c r="P159" s="1" t="s">
        <v>105</v>
      </c>
      <c r="Q159" s="1" t="s">
        <v>1247</v>
      </c>
      <c r="R159" s="1" t="s">
        <v>1247</v>
      </c>
      <c r="S159" s="1" t="s">
        <v>1909</v>
      </c>
      <c r="T159" s="1" t="s">
        <v>1237</v>
      </c>
      <c r="U159" s="1" t="s">
        <v>217</v>
      </c>
      <c r="V159" s="1"/>
      <c r="W159" s="1" t="s">
        <v>201</v>
      </c>
      <c r="X159" s="1" t="s">
        <v>1248</v>
      </c>
      <c r="Y159" s="1" t="s">
        <v>198</v>
      </c>
      <c r="Z159" s="1" t="s">
        <v>1910</v>
      </c>
      <c r="AA159" s="1" t="s">
        <v>191</v>
      </c>
      <c r="AB159" s="1"/>
      <c r="AC159" s="1"/>
      <c r="AD159" s="1" t="s">
        <v>1911</v>
      </c>
      <c r="AE159" s="1" t="s">
        <v>1912</v>
      </c>
    </row>
    <row r="160" spans="1:31" hidden="1" x14ac:dyDescent="0.25">
      <c r="A160" s="1" t="s">
        <v>1907</v>
      </c>
      <c r="B160" s="1" t="s">
        <v>2042</v>
      </c>
      <c r="C160" s="1" t="s">
        <v>1249</v>
      </c>
      <c r="D160" s="1" t="s">
        <v>1250</v>
      </c>
      <c r="E160" s="1" t="str">
        <f t="shared" si="2"/>
        <v>535</v>
      </c>
      <c r="F160" s="1"/>
      <c r="G160" s="1" t="s">
        <v>1251</v>
      </c>
      <c r="H160" s="1" t="s">
        <v>1252</v>
      </c>
      <c r="I160" s="1" t="s">
        <v>1253</v>
      </c>
      <c r="J160" s="1" t="s">
        <v>1254</v>
      </c>
      <c r="K160" s="1" t="s">
        <v>197</v>
      </c>
      <c r="L160" s="1"/>
      <c r="M160" s="1" t="s">
        <v>105</v>
      </c>
      <c r="N160" s="1"/>
      <c r="O160" s="1"/>
      <c r="P160" s="1" t="s">
        <v>105</v>
      </c>
      <c r="Q160" s="1" t="s">
        <v>1255</v>
      </c>
      <c r="R160" s="1" t="s">
        <v>1255</v>
      </c>
      <c r="S160" s="1" t="s">
        <v>1909</v>
      </c>
      <c r="T160" s="1" t="s">
        <v>1237</v>
      </c>
      <c r="U160" s="1" t="s">
        <v>217</v>
      </c>
      <c r="V160" s="1"/>
      <c r="W160" s="1" t="s">
        <v>201</v>
      </c>
      <c r="X160" s="1" t="s">
        <v>227</v>
      </c>
      <c r="Y160" s="1" t="s">
        <v>198</v>
      </c>
      <c r="Z160" s="1" t="s">
        <v>1910</v>
      </c>
      <c r="AA160" s="1" t="s">
        <v>191</v>
      </c>
      <c r="AB160" s="1"/>
      <c r="AC160" s="1"/>
      <c r="AD160" s="1" t="s">
        <v>1911</v>
      </c>
      <c r="AE160" s="1" t="s">
        <v>1912</v>
      </c>
    </row>
    <row r="161" spans="1:31" hidden="1" x14ac:dyDescent="0.25">
      <c r="A161" s="1" t="s">
        <v>1907</v>
      </c>
      <c r="B161" s="1" t="s">
        <v>2043</v>
      </c>
      <c r="C161" s="1" t="s">
        <v>1256</v>
      </c>
      <c r="D161" s="1" t="s">
        <v>1257</v>
      </c>
      <c r="E161" s="1" t="str">
        <f t="shared" si="2"/>
        <v>540</v>
      </c>
      <c r="F161" s="1"/>
      <c r="G161" s="1" t="s">
        <v>1258</v>
      </c>
      <c r="H161" s="1" t="s">
        <v>184</v>
      </c>
      <c r="I161" s="1" t="s">
        <v>1259</v>
      </c>
      <c r="J161" s="1" t="s">
        <v>1260</v>
      </c>
      <c r="K161" s="1" t="s">
        <v>208</v>
      </c>
      <c r="L161" s="1"/>
      <c r="M161" s="1" t="s">
        <v>105</v>
      </c>
      <c r="N161" s="1"/>
      <c r="O161" s="1"/>
      <c r="P161" s="1"/>
      <c r="Q161" s="1" t="s">
        <v>1261</v>
      </c>
      <c r="R161" s="1"/>
      <c r="S161" s="1" t="s">
        <v>1909</v>
      </c>
      <c r="T161" s="1" t="s">
        <v>1262</v>
      </c>
      <c r="U161" s="1" t="s">
        <v>210</v>
      </c>
      <c r="V161" s="1"/>
      <c r="W161" s="1"/>
      <c r="X161" s="1"/>
      <c r="Y161" s="1"/>
      <c r="Z161" s="1" t="s">
        <v>1910</v>
      </c>
      <c r="AA161" s="1" t="s">
        <v>540</v>
      </c>
      <c r="AB161" s="1" t="s">
        <v>192</v>
      </c>
      <c r="AC161" s="1"/>
      <c r="AD161" s="1" t="s">
        <v>1911</v>
      </c>
      <c r="AE161" s="1" t="s">
        <v>1912</v>
      </c>
    </row>
    <row r="162" spans="1:31" hidden="1" x14ac:dyDescent="0.25">
      <c r="A162" s="1" t="s">
        <v>1907</v>
      </c>
      <c r="B162" s="1" t="s">
        <v>2044</v>
      </c>
      <c r="C162" s="1" t="s">
        <v>1263</v>
      </c>
      <c r="D162" s="1" t="s">
        <v>1263</v>
      </c>
      <c r="E162" s="1" t="str">
        <f t="shared" si="2"/>
        <v>548</v>
      </c>
      <c r="F162" s="1"/>
      <c r="G162" s="1" t="s">
        <v>1264</v>
      </c>
      <c r="H162" s="1" t="s">
        <v>184</v>
      </c>
      <c r="I162" s="1" t="s">
        <v>1265</v>
      </c>
      <c r="J162" s="1" t="s">
        <v>1266</v>
      </c>
      <c r="K162" s="1" t="s">
        <v>470</v>
      </c>
      <c r="L162" s="1"/>
      <c r="M162" s="1" t="s">
        <v>105</v>
      </c>
      <c r="N162" s="1"/>
      <c r="O162" s="1"/>
      <c r="P162" s="1"/>
      <c r="Q162" s="1" t="s">
        <v>1267</v>
      </c>
      <c r="R162" s="1"/>
      <c r="S162" s="1" t="s">
        <v>1909</v>
      </c>
      <c r="T162" s="1"/>
      <c r="U162" s="1" t="s">
        <v>210</v>
      </c>
      <c r="V162" s="1"/>
      <c r="W162" s="1" t="s">
        <v>201</v>
      </c>
      <c r="X162" s="1" t="s">
        <v>227</v>
      </c>
      <c r="Y162" s="1"/>
      <c r="Z162" s="1" t="s">
        <v>1910</v>
      </c>
      <c r="AA162" s="1" t="s">
        <v>191</v>
      </c>
      <c r="AB162" s="1" t="s">
        <v>192</v>
      </c>
      <c r="AC162" s="1"/>
      <c r="AD162" s="1" t="s">
        <v>1911</v>
      </c>
      <c r="AE162" s="1" t="s">
        <v>1912</v>
      </c>
    </row>
    <row r="163" spans="1:31" hidden="1" x14ac:dyDescent="0.25">
      <c r="A163" s="1" t="s">
        <v>1907</v>
      </c>
      <c r="B163" s="1" t="s">
        <v>94</v>
      </c>
      <c r="C163" s="1" t="s">
        <v>1268</v>
      </c>
      <c r="D163" s="1" t="s">
        <v>1269</v>
      </c>
      <c r="E163" s="1" t="str">
        <f t="shared" si="2"/>
        <v>554</v>
      </c>
      <c r="F163" s="1"/>
      <c r="G163" s="1" t="s">
        <v>1270</v>
      </c>
      <c r="H163" s="1" t="s">
        <v>184</v>
      </c>
      <c r="I163" s="1" t="s">
        <v>1271</v>
      </c>
      <c r="J163" s="1" t="s">
        <v>1272</v>
      </c>
      <c r="K163" s="1" t="s">
        <v>275</v>
      </c>
      <c r="L163" s="1"/>
      <c r="M163" s="1" t="s">
        <v>105</v>
      </c>
      <c r="N163" s="1"/>
      <c r="O163" s="1"/>
      <c r="P163" s="1"/>
      <c r="Q163" s="1" t="s">
        <v>1273</v>
      </c>
      <c r="R163" s="1" t="s">
        <v>1273</v>
      </c>
      <c r="S163" s="1" t="s">
        <v>1909</v>
      </c>
      <c r="T163" s="1" t="s">
        <v>1274</v>
      </c>
      <c r="U163" s="1" t="s">
        <v>1910</v>
      </c>
      <c r="V163" s="1"/>
      <c r="W163" s="1"/>
      <c r="X163" s="1"/>
      <c r="Y163" s="1"/>
      <c r="Z163" s="1" t="s">
        <v>1910</v>
      </c>
      <c r="AA163" s="1" t="s">
        <v>191</v>
      </c>
      <c r="AB163" s="1" t="s">
        <v>192</v>
      </c>
      <c r="AC163" s="1"/>
      <c r="AD163" s="1" t="s">
        <v>1911</v>
      </c>
      <c r="AE163" s="1" t="s">
        <v>1912</v>
      </c>
    </row>
    <row r="164" spans="1:31" hidden="1" x14ac:dyDescent="0.25">
      <c r="A164" s="1" t="s">
        <v>1907</v>
      </c>
      <c r="B164" s="1" t="s">
        <v>2045</v>
      </c>
      <c r="C164" s="1" t="s">
        <v>1275</v>
      </c>
      <c r="D164" s="1" t="s">
        <v>1275</v>
      </c>
      <c r="E164" s="1" t="str">
        <f t="shared" si="2"/>
        <v>558</v>
      </c>
      <c r="F164" s="1"/>
      <c r="G164" s="1" t="s">
        <v>1276</v>
      </c>
      <c r="H164" s="1" t="s">
        <v>222</v>
      </c>
      <c r="I164" s="1" t="s">
        <v>1277</v>
      </c>
      <c r="J164" s="1" t="s">
        <v>1278</v>
      </c>
      <c r="K164" s="1" t="s">
        <v>187</v>
      </c>
      <c r="L164" s="1" t="s">
        <v>198</v>
      </c>
      <c r="M164" s="1" t="s">
        <v>105</v>
      </c>
      <c r="N164" s="1" t="s">
        <v>268</v>
      </c>
      <c r="O164" s="1"/>
      <c r="P164" s="1"/>
      <c r="Q164" s="1" t="s">
        <v>1279</v>
      </c>
      <c r="R164" s="1"/>
      <c r="S164" s="1" t="s">
        <v>1909</v>
      </c>
      <c r="T164" s="1" t="s">
        <v>1280</v>
      </c>
      <c r="U164" s="1" t="s">
        <v>200</v>
      </c>
      <c r="V164" s="1"/>
      <c r="W164" s="1"/>
      <c r="X164" s="1" t="s">
        <v>190</v>
      </c>
      <c r="Y164" s="1"/>
      <c r="Z164" s="1" t="s">
        <v>1910</v>
      </c>
      <c r="AA164" s="1" t="s">
        <v>191</v>
      </c>
      <c r="AB164" s="1" t="s">
        <v>192</v>
      </c>
      <c r="AC164" s="1"/>
      <c r="AD164" s="1" t="s">
        <v>1911</v>
      </c>
      <c r="AE164" s="1" t="s">
        <v>1912</v>
      </c>
    </row>
    <row r="165" spans="1:31" hidden="1" x14ac:dyDescent="0.25">
      <c r="A165" s="1" t="s">
        <v>1907</v>
      </c>
      <c r="B165" s="1" t="s">
        <v>2046</v>
      </c>
      <c r="C165" s="1" t="s">
        <v>1281</v>
      </c>
      <c r="D165" s="1" t="s">
        <v>1281</v>
      </c>
      <c r="E165" s="1" t="str">
        <f t="shared" si="2"/>
        <v>562</v>
      </c>
      <c r="F165" s="1"/>
      <c r="G165" s="1" t="s">
        <v>1282</v>
      </c>
      <c r="H165" s="1" t="s">
        <v>184</v>
      </c>
      <c r="I165" s="1" t="s">
        <v>1283</v>
      </c>
      <c r="J165" s="1" t="s">
        <v>1284</v>
      </c>
      <c r="K165" s="1" t="s">
        <v>208</v>
      </c>
      <c r="L165" s="1"/>
      <c r="M165" s="1" t="s">
        <v>105</v>
      </c>
      <c r="N165" s="1"/>
      <c r="O165" s="1"/>
      <c r="P165" s="1"/>
      <c r="Q165" s="1" t="s">
        <v>1285</v>
      </c>
      <c r="R165" s="1"/>
      <c r="S165" s="1" t="s">
        <v>1909</v>
      </c>
      <c r="T165" s="1"/>
      <c r="U165" s="1" t="s">
        <v>189</v>
      </c>
      <c r="V165" s="1"/>
      <c r="W165" s="1"/>
      <c r="X165" s="1"/>
      <c r="Y165" s="1"/>
      <c r="Z165" s="1" t="s">
        <v>1910</v>
      </c>
      <c r="AA165" s="1" t="s">
        <v>191</v>
      </c>
      <c r="AB165" s="1" t="s">
        <v>192</v>
      </c>
      <c r="AC165" s="1"/>
      <c r="AD165" s="1" t="s">
        <v>1911</v>
      </c>
      <c r="AE165" s="1" t="s">
        <v>1912</v>
      </c>
    </row>
    <row r="166" spans="1:31" hidden="1" x14ac:dyDescent="0.25">
      <c r="A166" s="1" t="s">
        <v>1907</v>
      </c>
      <c r="B166" s="1" t="s">
        <v>2047</v>
      </c>
      <c r="C166" s="1" t="s">
        <v>1286</v>
      </c>
      <c r="D166" s="1" t="s">
        <v>1286</v>
      </c>
      <c r="E166" s="1" t="str">
        <f t="shared" si="2"/>
        <v>566</v>
      </c>
      <c r="F166" s="1"/>
      <c r="G166" s="1" t="s">
        <v>1287</v>
      </c>
      <c r="H166" s="1" t="s">
        <v>184</v>
      </c>
      <c r="I166" s="1" t="s">
        <v>1288</v>
      </c>
      <c r="J166" s="1" t="s">
        <v>1289</v>
      </c>
      <c r="K166" s="1" t="s">
        <v>197</v>
      </c>
      <c r="L166" s="1" t="s">
        <v>198</v>
      </c>
      <c r="M166" s="1" t="s">
        <v>105</v>
      </c>
      <c r="N166" s="1"/>
      <c r="O166" s="1"/>
      <c r="P166" s="1"/>
      <c r="Q166" s="1" t="s">
        <v>1290</v>
      </c>
      <c r="R166" s="1"/>
      <c r="S166" s="1" t="s">
        <v>1909</v>
      </c>
      <c r="T166" s="1" t="s">
        <v>1291</v>
      </c>
      <c r="U166" s="1" t="s">
        <v>189</v>
      </c>
      <c r="V166" s="1"/>
      <c r="W166" s="1" t="s">
        <v>201</v>
      </c>
      <c r="X166" s="1" t="s">
        <v>424</v>
      </c>
      <c r="Y166" s="1"/>
      <c r="Z166" s="1" t="s">
        <v>1910</v>
      </c>
      <c r="AA166" s="1" t="s">
        <v>191</v>
      </c>
      <c r="AB166" s="1" t="s">
        <v>192</v>
      </c>
      <c r="AC166" s="1"/>
      <c r="AD166" s="1" t="s">
        <v>1911</v>
      </c>
      <c r="AE166" s="1" t="s">
        <v>1912</v>
      </c>
    </row>
    <row r="167" spans="1:31" hidden="1" x14ac:dyDescent="0.25">
      <c r="A167" s="1" t="s">
        <v>1907</v>
      </c>
      <c r="B167" s="1" t="s">
        <v>2048</v>
      </c>
      <c r="C167" s="1" t="s">
        <v>1292</v>
      </c>
      <c r="D167" s="1" t="s">
        <v>1292</v>
      </c>
      <c r="E167" s="1" t="str">
        <f t="shared" si="2"/>
        <v>570</v>
      </c>
      <c r="F167" s="1"/>
      <c r="G167" s="1" t="s">
        <v>1293</v>
      </c>
      <c r="H167" s="1" t="s">
        <v>222</v>
      </c>
      <c r="I167" s="1" t="s">
        <v>1294</v>
      </c>
      <c r="J167" s="1" t="s">
        <v>1295</v>
      </c>
      <c r="K167" s="1" t="s">
        <v>208</v>
      </c>
      <c r="L167" s="1"/>
      <c r="M167" s="1" t="s">
        <v>105</v>
      </c>
      <c r="N167" s="1"/>
      <c r="O167" s="1"/>
      <c r="P167" s="1"/>
      <c r="Q167" s="1" t="s">
        <v>1296</v>
      </c>
      <c r="R167" s="1"/>
      <c r="S167" s="1" t="s">
        <v>1909</v>
      </c>
      <c r="T167" s="1"/>
      <c r="U167" s="1" t="s">
        <v>189</v>
      </c>
      <c r="V167" s="1"/>
      <c r="W167" s="1" t="s">
        <v>201</v>
      </c>
      <c r="X167" s="1" t="s">
        <v>227</v>
      </c>
      <c r="Y167" s="1"/>
      <c r="Z167" s="1" t="s">
        <v>1910</v>
      </c>
      <c r="AA167" s="1" t="s">
        <v>228</v>
      </c>
      <c r="AB167" s="1" t="s">
        <v>192</v>
      </c>
      <c r="AC167" s="1"/>
      <c r="AD167" s="1" t="s">
        <v>1911</v>
      </c>
      <c r="AE167" s="1" t="s">
        <v>1912</v>
      </c>
    </row>
    <row r="168" spans="1:31" hidden="1" x14ac:dyDescent="0.25">
      <c r="A168" s="1" t="s">
        <v>1907</v>
      </c>
      <c r="B168" s="1" t="s">
        <v>2049</v>
      </c>
      <c r="C168" s="1" t="s">
        <v>1297</v>
      </c>
      <c r="D168" s="1" t="s">
        <v>1298</v>
      </c>
      <c r="E168" s="1" t="str">
        <f t="shared" si="2"/>
        <v>574</v>
      </c>
      <c r="F168" s="1"/>
      <c r="G168" s="1" t="s">
        <v>1299</v>
      </c>
      <c r="H168" s="1" t="s">
        <v>222</v>
      </c>
      <c r="I168" s="1" t="s">
        <v>1300</v>
      </c>
      <c r="J168" s="1" t="s">
        <v>1301</v>
      </c>
      <c r="K168" s="1" t="s">
        <v>208</v>
      </c>
      <c r="L168" s="1"/>
      <c r="M168" s="1" t="s">
        <v>105</v>
      </c>
      <c r="N168" s="1"/>
      <c r="O168" s="1"/>
      <c r="P168" s="1"/>
      <c r="Q168" s="1" t="s">
        <v>1302</v>
      </c>
      <c r="R168" s="1"/>
      <c r="S168" s="1" t="s">
        <v>1909</v>
      </c>
      <c r="T168" s="1"/>
      <c r="U168" s="1" t="s">
        <v>189</v>
      </c>
      <c r="V168" s="1"/>
      <c r="W168" s="1" t="s">
        <v>201</v>
      </c>
      <c r="X168" s="1" t="s">
        <v>227</v>
      </c>
      <c r="Y168" s="1"/>
      <c r="Z168" s="1" t="s">
        <v>1910</v>
      </c>
      <c r="AA168" s="1" t="s">
        <v>228</v>
      </c>
      <c r="AB168" s="1" t="s">
        <v>192</v>
      </c>
      <c r="AC168" s="1"/>
      <c r="AD168" s="1" t="s">
        <v>1911</v>
      </c>
      <c r="AE168" s="1" t="s">
        <v>1912</v>
      </c>
    </row>
    <row r="169" spans="1:31" hidden="1" x14ac:dyDescent="0.25">
      <c r="A169" s="1" t="s">
        <v>1907</v>
      </c>
      <c r="B169" s="1" t="s">
        <v>95</v>
      </c>
      <c r="C169" s="1" t="s">
        <v>1303</v>
      </c>
      <c r="D169" s="1" t="s">
        <v>1304</v>
      </c>
      <c r="E169" s="1" t="str">
        <f t="shared" si="2"/>
        <v>578</v>
      </c>
      <c r="F169" s="1"/>
      <c r="G169" s="1" t="s">
        <v>1305</v>
      </c>
      <c r="H169" s="1" t="s">
        <v>1252</v>
      </c>
      <c r="I169" s="1" t="s">
        <v>1306</v>
      </c>
      <c r="J169" s="1" t="s">
        <v>1307</v>
      </c>
      <c r="K169" s="1" t="s">
        <v>1986</v>
      </c>
      <c r="L169" s="1"/>
      <c r="M169" s="1" t="s">
        <v>106</v>
      </c>
      <c r="N169" s="1" t="s">
        <v>234</v>
      </c>
      <c r="O169" s="1" t="s">
        <v>900</v>
      </c>
      <c r="P169" s="1" t="s">
        <v>284</v>
      </c>
      <c r="Q169" s="1" t="s">
        <v>1308</v>
      </c>
      <c r="R169" s="1"/>
      <c r="S169" s="1" t="s">
        <v>1909</v>
      </c>
      <c r="T169" s="1" t="s">
        <v>1309</v>
      </c>
      <c r="U169" s="1" t="s">
        <v>1910</v>
      </c>
      <c r="V169" s="1"/>
      <c r="W169" s="1" t="s">
        <v>198</v>
      </c>
      <c r="X169" s="1" t="s">
        <v>201</v>
      </c>
      <c r="Y169" s="1" t="s">
        <v>247</v>
      </c>
      <c r="Z169" s="1" t="s">
        <v>1910</v>
      </c>
      <c r="AA169" s="1" t="s">
        <v>1310</v>
      </c>
      <c r="AB169" s="1" t="s">
        <v>192</v>
      </c>
      <c r="AC169" s="1"/>
      <c r="AD169" s="1" t="s">
        <v>1911</v>
      </c>
      <c r="AE169" s="1" t="s">
        <v>1912</v>
      </c>
    </row>
    <row r="170" spans="1:31" hidden="1" x14ac:dyDescent="0.25">
      <c r="A170" s="1" t="s">
        <v>1907</v>
      </c>
      <c r="B170" s="1" t="s">
        <v>2050</v>
      </c>
      <c r="C170" s="1" t="s">
        <v>1311</v>
      </c>
      <c r="D170" s="1" t="s">
        <v>1312</v>
      </c>
      <c r="E170" s="1" t="str">
        <f t="shared" si="2"/>
        <v>580</v>
      </c>
      <c r="F170" s="1"/>
      <c r="G170" s="1" t="s">
        <v>1313</v>
      </c>
      <c r="H170" s="1" t="s">
        <v>184</v>
      </c>
      <c r="I170" s="1" t="s">
        <v>1314</v>
      </c>
      <c r="J170" s="1" t="s">
        <v>1315</v>
      </c>
      <c r="K170" s="1" t="s">
        <v>225</v>
      </c>
      <c r="L170" s="1"/>
      <c r="M170" s="1" t="s">
        <v>105</v>
      </c>
      <c r="N170" s="1"/>
      <c r="O170" s="1"/>
      <c r="P170" s="1"/>
      <c r="Q170" s="1" t="s">
        <v>1316</v>
      </c>
      <c r="R170" s="1"/>
      <c r="S170" s="1" t="s">
        <v>1909</v>
      </c>
      <c r="T170" s="1"/>
      <c r="U170" s="1" t="s">
        <v>210</v>
      </c>
      <c r="V170" s="1"/>
      <c r="W170" s="1" t="s">
        <v>201</v>
      </c>
      <c r="X170" s="1" t="s">
        <v>227</v>
      </c>
      <c r="Y170" s="1"/>
      <c r="Z170" s="1" t="s">
        <v>1910</v>
      </c>
      <c r="AA170" s="1" t="s">
        <v>191</v>
      </c>
      <c r="AB170" s="1" t="s">
        <v>192</v>
      </c>
      <c r="AC170" s="1"/>
      <c r="AD170" s="1" t="s">
        <v>1911</v>
      </c>
      <c r="AE170" s="1" t="s">
        <v>1912</v>
      </c>
    </row>
    <row r="171" spans="1:31" hidden="1" x14ac:dyDescent="0.25">
      <c r="A171" s="1" t="s">
        <v>1907</v>
      </c>
      <c r="B171" s="1" t="s">
        <v>2051</v>
      </c>
      <c r="C171" s="1" t="s">
        <v>1317</v>
      </c>
      <c r="D171" s="1" t="s">
        <v>1318</v>
      </c>
      <c r="E171" s="1" t="str">
        <f t="shared" si="2"/>
        <v>581</v>
      </c>
      <c r="F171" s="1"/>
      <c r="G171" s="1" t="s">
        <v>1319</v>
      </c>
      <c r="H171" s="1" t="s">
        <v>222</v>
      </c>
      <c r="I171" s="1" t="s">
        <v>1320</v>
      </c>
      <c r="J171" s="1" t="s">
        <v>1321</v>
      </c>
      <c r="K171" s="1" t="s">
        <v>208</v>
      </c>
      <c r="L171" s="1"/>
      <c r="M171" s="1" t="s">
        <v>105</v>
      </c>
      <c r="N171" s="1"/>
      <c r="O171" s="1"/>
      <c r="P171" s="1"/>
      <c r="Q171" s="1" t="s">
        <v>1322</v>
      </c>
      <c r="R171" s="1"/>
      <c r="S171" s="1" t="s">
        <v>1909</v>
      </c>
      <c r="T171" s="1"/>
      <c r="U171" s="1" t="s">
        <v>189</v>
      </c>
      <c r="V171" s="1"/>
      <c r="W171" s="1" t="s">
        <v>201</v>
      </c>
      <c r="X171" s="1" t="s">
        <v>463</v>
      </c>
      <c r="Y171" s="1"/>
      <c r="Z171" s="1" t="s">
        <v>1910</v>
      </c>
      <c r="AA171" s="1" t="s">
        <v>228</v>
      </c>
      <c r="AB171" s="1" t="s">
        <v>192</v>
      </c>
      <c r="AC171" s="1"/>
      <c r="AD171" s="1" t="s">
        <v>1911</v>
      </c>
      <c r="AE171" s="1" t="s">
        <v>1912</v>
      </c>
    </row>
    <row r="172" spans="1:31" hidden="1" x14ac:dyDescent="0.25">
      <c r="A172" s="1" t="s">
        <v>1907</v>
      </c>
      <c r="B172" s="1" t="s">
        <v>2052</v>
      </c>
      <c r="C172" s="1" t="s">
        <v>1323</v>
      </c>
      <c r="D172" s="1" t="s">
        <v>1324</v>
      </c>
      <c r="E172" s="1" t="str">
        <f t="shared" si="2"/>
        <v>583</v>
      </c>
      <c r="F172" s="1"/>
      <c r="G172" s="1" t="s">
        <v>1325</v>
      </c>
      <c r="H172" s="1" t="s">
        <v>184</v>
      </c>
      <c r="I172" s="1" t="s">
        <v>1326</v>
      </c>
      <c r="J172" s="1" t="s">
        <v>1327</v>
      </c>
      <c r="K172" s="1" t="s">
        <v>275</v>
      </c>
      <c r="L172" s="1"/>
      <c r="M172" s="1" t="s">
        <v>105</v>
      </c>
      <c r="N172" s="1"/>
      <c r="O172" s="1"/>
      <c r="P172" s="1"/>
      <c r="Q172" s="1" t="s">
        <v>1328</v>
      </c>
      <c r="R172" s="1"/>
      <c r="S172" s="1" t="s">
        <v>1909</v>
      </c>
      <c r="T172" s="1"/>
      <c r="U172" s="1" t="s">
        <v>200</v>
      </c>
      <c r="V172" s="1"/>
      <c r="W172" s="1" t="s">
        <v>201</v>
      </c>
      <c r="X172" s="1" t="s">
        <v>227</v>
      </c>
      <c r="Y172" s="1"/>
      <c r="Z172" s="1" t="s">
        <v>1910</v>
      </c>
      <c r="AA172" s="1" t="s">
        <v>228</v>
      </c>
      <c r="AB172" s="1" t="s">
        <v>192</v>
      </c>
      <c r="AC172" s="1"/>
      <c r="AD172" s="1" t="s">
        <v>1911</v>
      </c>
      <c r="AE172" s="1" t="s">
        <v>1912</v>
      </c>
    </row>
    <row r="173" spans="1:31" hidden="1" x14ac:dyDescent="0.25">
      <c r="A173" s="1" t="s">
        <v>1907</v>
      </c>
      <c r="B173" s="1" t="s">
        <v>2053</v>
      </c>
      <c r="C173" s="1" t="s">
        <v>1329</v>
      </c>
      <c r="D173" s="1" t="s">
        <v>1330</v>
      </c>
      <c r="E173" s="1" t="str">
        <f t="shared" si="2"/>
        <v>584</v>
      </c>
      <c r="F173" s="1"/>
      <c r="G173" s="1" t="s">
        <v>1331</v>
      </c>
      <c r="H173" s="1" t="s">
        <v>184</v>
      </c>
      <c r="I173" s="1" t="s">
        <v>1332</v>
      </c>
      <c r="J173" s="1" t="s">
        <v>1333</v>
      </c>
      <c r="K173" s="1" t="s">
        <v>267</v>
      </c>
      <c r="L173" s="1"/>
      <c r="M173" s="1" t="s">
        <v>105</v>
      </c>
      <c r="N173" s="1"/>
      <c r="O173" s="1"/>
      <c r="P173" s="1" t="s">
        <v>112</v>
      </c>
      <c r="Q173" s="1" t="s">
        <v>1334</v>
      </c>
      <c r="R173" s="1"/>
      <c r="S173" s="1" t="s">
        <v>1909</v>
      </c>
      <c r="T173" s="1"/>
      <c r="U173" s="1" t="s">
        <v>200</v>
      </c>
      <c r="V173" s="1"/>
      <c r="W173" s="1" t="s">
        <v>201</v>
      </c>
      <c r="X173" s="1" t="s">
        <v>227</v>
      </c>
      <c r="Y173" s="1"/>
      <c r="Z173" s="1" t="s">
        <v>1910</v>
      </c>
      <c r="AA173" s="1" t="s">
        <v>191</v>
      </c>
      <c r="AB173" s="1" t="s">
        <v>192</v>
      </c>
      <c r="AC173" s="1"/>
      <c r="AD173" s="1" t="s">
        <v>1911</v>
      </c>
      <c r="AE173" s="1" t="s">
        <v>1912</v>
      </c>
    </row>
    <row r="174" spans="1:31" hidden="1" x14ac:dyDescent="0.25">
      <c r="A174" s="1" t="s">
        <v>1907</v>
      </c>
      <c r="B174" s="1" t="s">
        <v>2054</v>
      </c>
      <c r="C174" s="1" t="s">
        <v>1335</v>
      </c>
      <c r="D174" s="1" t="s">
        <v>1335</v>
      </c>
      <c r="E174" s="1" t="str">
        <f t="shared" si="2"/>
        <v>585</v>
      </c>
      <c r="F174" s="1"/>
      <c r="G174" s="1" t="s">
        <v>1336</v>
      </c>
      <c r="H174" s="1" t="s">
        <v>184</v>
      </c>
      <c r="I174" s="1" t="s">
        <v>1337</v>
      </c>
      <c r="J174" s="1" t="s">
        <v>1338</v>
      </c>
      <c r="K174" s="1" t="s">
        <v>225</v>
      </c>
      <c r="L174" s="1"/>
      <c r="M174" s="1" t="s">
        <v>105</v>
      </c>
      <c r="N174" s="1"/>
      <c r="O174" s="1"/>
      <c r="P174" s="1"/>
      <c r="Q174" s="1" t="s">
        <v>1339</v>
      </c>
      <c r="R174" s="1"/>
      <c r="S174" s="1" t="s">
        <v>1909</v>
      </c>
      <c r="T174" s="1"/>
      <c r="U174" s="1" t="s">
        <v>210</v>
      </c>
      <c r="V174" s="1"/>
      <c r="W174" s="1" t="s">
        <v>201</v>
      </c>
      <c r="X174" s="1" t="s">
        <v>227</v>
      </c>
      <c r="Y174" s="1"/>
      <c r="Z174" s="1" t="s">
        <v>1910</v>
      </c>
      <c r="AA174" s="1" t="s">
        <v>191</v>
      </c>
      <c r="AB174" s="1" t="s">
        <v>192</v>
      </c>
      <c r="AC174" s="1"/>
      <c r="AD174" s="1" t="s">
        <v>1911</v>
      </c>
      <c r="AE174" s="1" t="s">
        <v>1912</v>
      </c>
    </row>
    <row r="175" spans="1:31" hidden="1" x14ac:dyDescent="0.25">
      <c r="A175" s="1" t="s">
        <v>1907</v>
      </c>
      <c r="B175" s="1" t="s">
        <v>2055</v>
      </c>
      <c r="C175" s="1" t="s">
        <v>1340</v>
      </c>
      <c r="D175" s="1" t="s">
        <v>1341</v>
      </c>
      <c r="E175" s="1" t="str">
        <f t="shared" si="2"/>
        <v>586</v>
      </c>
      <c r="F175" s="1"/>
      <c r="G175" s="1" t="s">
        <v>1342</v>
      </c>
      <c r="H175" s="1" t="s">
        <v>184</v>
      </c>
      <c r="I175" s="1" t="s">
        <v>1343</v>
      </c>
      <c r="J175" s="1" t="s">
        <v>1344</v>
      </c>
      <c r="K175" s="1" t="s">
        <v>316</v>
      </c>
      <c r="L175" s="1"/>
      <c r="M175" s="1" t="s">
        <v>105</v>
      </c>
      <c r="N175" s="1"/>
      <c r="O175" s="1"/>
      <c r="P175" s="1" t="s">
        <v>198</v>
      </c>
      <c r="Q175" s="1" t="s">
        <v>1345</v>
      </c>
      <c r="R175" s="1"/>
      <c r="S175" s="1" t="s">
        <v>1909</v>
      </c>
      <c r="T175" s="1" t="s">
        <v>1346</v>
      </c>
      <c r="U175" s="1" t="s">
        <v>189</v>
      </c>
      <c r="V175" s="1"/>
      <c r="W175" s="1" t="s">
        <v>201</v>
      </c>
      <c r="X175" s="1" t="s">
        <v>463</v>
      </c>
      <c r="Y175" s="1" t="s">
        <v>247</v>
      </c>
      <c r="Z175" s="1" t="s">
        <v>1910</v>
      </c>
      <c r="AA175" s="1" t="s">
        <v>403</v>
      </c>
      <c r="AB175" s="1" t="s">
        <v>192</v>
      </c>
      <c r="AC175" s="1"/>
      <c r="AD175" s="1" t="s">
        <v>1911</v>
      </c>
      <c r="AE175" s="1" t="s">
        <v>1912</v>
      </c>
    </row>
    <row r="176" spans="1:31" hidden="1" x14ac:dyDescent="0.25">
      <c r="A176" s="1" t="s">
        <v>1907</v>
      </c>
      <c r="B176" s="1" t="s">
        <v>2056</v>
      </c>
      <c r="C176" s="1" t="s">
        <v>1347</v>
      </c>
      <c r="D176" s="1" t="s">
        <v>1347</v>
      </c>
      <c r="E176" s="1" t="str">
        <f t="shared" si="2"/>
        <v>591</v>
      </c>
      <c r="F176" s="1"/>
      <c r="G176" s="1" t="s">
        <v>1348</v>
      </c>
      <c r="H176" s="1" t="s">
        <v>222</v>
      </c>
      <c r="I176" s="1" t="s">
        <v>1349</v>
      </c>
      <c r="J176" s="1" t="s">
        <v>1350</v>
      </c>
      <c r="K176" s="1" t="s">
        <v>470</v>
      </c>
      <c r="L176" s="1" t="s">
        <v>198</v>
      </c>
      <c r="M176" s="1" t="s">
        <v>105</v>
      </c>
      <c r="N176" s="1" t="s">
        <v>562</v>
      </c>
      <c r="O176" s="1"/>
      <c r="P176" s="1"/>
      <c r="Q176" s="1" t="s">
        <v>1351</v>
      </c>
      <c r="R176" s="1"/>
      <c r="S176" s="1" t="s">
        <v>1909</v>
      </c>
      <c r="T176" s="1" t="s">
        <v>1352</v>
      </c>
      <c r="U176" s="1" t="s">
        <v>210</v>
      </c>
      <c r="V176" s="1"/>
      <c r="W176" s="1" t="s">
        <v>201</v>
      </c>
      <c r="X176" s="1" t="s">
        <v>227</v>
      </c>
      <c r="Y176" s="1" t="s">
        <v>247</v>
      </c>
      <c r="Z176" s="1" t="s">
        <v>1910</v>
      </c>
      <c r="AA176" s="1" t="s">
        <v>191</v>
      </c>
      <c r="AB176" s="1" t="s">
        <v>192</v>
      </c>
      <c r="AC176" s="1"/>
      <c r="AD176" s="1" t="s">
        <v>1911</v>
      </c>
      <c r="AE176" s="1" t="s">
        <v>1912</v>
      </c>
    </row>
    <row r="177" spans="1:31" hidden="1" x14ac:dyDescent="0.25">
      <c r="A177" s="1" t="s">
        <v>1907</v>
      </c>
      <c r="B177" s="1" t="s">
        <v>2057</v>
      </c>
      <c r="C177" s="1" t="s">
        <v>1353</v>
      </c>
      <c r="D177" s="1" t="s">
        <v>1354</v>
      </c>
      <c r="E177" s="1" t="str">
        <f t="shared" si="2"/>
        <v>598</v>
      </c>
      <c r="F177" s="1"/>
      <c r="G177" s="1" t="s">
        <v>1355</v>
      </c>
      <c r="H177" s="1" t="s">
        <v>184</v>
      </c>
      <c r="I177" s="1" t="s">
        <v>1356</v>
      </c>
      <c r="J177" s="1" t="s">
        <v>1357</v>
      </c>
      <c r="K177" s="1" t="s">
        <v>208</v>
      </c>
      <c r="L177" s="1"/>
      <c r="M177" s="1" t="s">
        <v>105</v>
      </c>
      <c r="N177" s="1"/>
      <c r="O177" s="1"/>
      <c r="P177" s="1"/>
      <c r="Q177" s="1" t="s">
        <v>1358</v>
      </c>
      <c r="R177" s="1"/>
      <c r="S177" s="1" t="s">
        <v>1909</v>
      </c>
      <c r="T177" s="1"/>
      <c r="U177" s="1" t="s">
        <v>200</v>
      </c>
      <c r="V177" s="1"/>
      <c r="W177" s="1"/>
      <c r="X177" s="1"/>
      <c r="Y177" s="1"/>
      <c r="Z177" s="1" t="s">
        <v>1910</v>
      </c>
      <c r="AA177" s="1" t="s">
        <v>191</v>
      </c>
      <c r="AB177" s="1" t="s">
        <v>192</v>
      </c>
      <c r="AC177" s="1"/>
      <c r="AD177" s="1" t="s">
        <v>1911</v>
      </c>
      <c r="AE177" s="1" t="s">
        <v>1912</v>
      </c>
    </row>
    <row r="178" spans="1:31" hidden="1" x14ac:dyDescent="0.25">
      <c r="A178" s="1" t="s">
        <v>1907</v>
      </c>
      <c r="B178" s="1" t="s">
        <v>2058</v>
      </c>
      <c r="C178" s="1" t="s">
        <v>1359</v>
      </c>
      <c r="D178" s="1" t="s">
        <v>1360</v>
      </c>
      <c r="E178" s="1" t="str">
        <f t="shared" si="2"/>
        <v>600</v>
      </c>
      <c r="F178" s="1"/>
      <c r="G178" s="1" t="s">
        <v>1361</v>
      </c>
      <c r="H178" s="1" t="s">
        <v>222</v>
      </c>
      <c r="I178" s="1" t="s">
        <v>1362</v>
      </c>
      <c r="J178" s="1" t="s">
        <v>1363</v>
      </c>
      <c r="K178" s="1" t="s">
        <v>197</v>
      </c>
      <c r="L178" s="1" t="s">
        <v>198</v>
      </c>
      <c r="M178" s="1" t="s">
        <v>105</v>
      </c>
      <c r="N178" s="1" t="s">
        <v>268</v>
      </c>
      <c r="O178" s="1"/>
      <c r="P178" s="1"/>
      <c r="Q178" s="1" t="s">
        <v>1364</v>
      </c>
      <c r="R178" s="1"/>
      <c r="S178" s="1" t="s">
        <v>1909</v>
      </c>
      <c r="T178" s="1" t="s">
        <v>1365</v>
      </c>
      <c r="U178" s="1" t="s">
        <v>210</v>
      </c>
      <c r="V178" s="1"/>
      <c r="W178" s="1"/>
      <c r="X178" s="1"/>
      <c r="Y178" s="1"/>
      <c r="Z178" s="1" t="s">
        <v>1910</v>
      </c>
      <c r="AA178" s="1" t="s">
        <v>191</v>
      </c>
      <c r="AB178" s="1" t="s">
        <v>192</v>
      </c>
      <c r="AC178" s="1"/>
      <c r="AD178" s="1" t="s">
        <v>1911</v>
      </c>
      <c r="AE178" s="1" t="s">
        <v>1912</v>
      </c>
    </row>
    <row r="179" spans="1:31" hidden="1" x14ac:dyDescent="0.25">
      <c r="A179" s="1" t="s">
        <v>1907</v>
      </c>
      <c r="B179" s="1" t="s">
        <v>2059</v>
      </c>
      <c r="C179" s="1" t="s">
        <v>1366</v>
      </c>
      <c r="D179" s="1" t="s">
        <v>1366</v>
      </c>
      <c r="E179" s="1" t="str">
        <f t="shared" si="2"/>
        <v>604</v>
      </c>
      <c r="F179" s="1"/>
      <c r="G179" s="1" t="s">
        <v>1367</v>
      </c>
      <c r="H179" s="1" t="s">
        <v>184</v>
      </c>
      <c r="I179" s="1" t="s">
        <v>1368</v>
      </c>
      <c r="J179" s="1" t="s">
        <v>1369</v>
      </c>
      <c r="K179" s="1" t="s">
        <v>197</v>
      </c>
      <c r="L179" s="1" t="s">
        <v>198</v>
      </c>
      <c r="M179" s="1" t="s">
        <v>105</v>
      </c>
      <c r="N179" s="1" t="s">
        <v>562</v>
      </c>
      <c r="O179" s="1"/>
      <c r="P179" s="1"/>
      <c r="Q179" s="1" t="s">
        <v>1370</v>
      </c>
      <c r="R179" s="1"/>
      <c r="S179" s="1" t="s">
        <v>1909</v>
      </c>
      <c r="T179" s="1" t="s">
        <v>1371</v>
      </c>
      <c r="U179" s="1" t="s">
        <v>210</v>
      </c>
      <c r="V179" s="1"/>
      <c r="W179" s="1"/>
      <c r="X179" s="1"/>
      <c r="Y179" s="1" t="s">
        <v>218</v>
      </c>
      <c r="Z179" s="1" t="s">
        <v>1910</v>
      </c>
      <c r="AA179" s="1" t="s">
        <v>191</v>
      </c>
      <c r="AB179" s="1" t="s">
        <v>192</v>
      </c>
      <c r="AC179" s="1"/>
      <c r="AD179" s="1" t="s">
        <v>1911</v>
      </c>
      <c r="AE179" s="1" t="s">
        <v>1912</v>
      </c>
    </row>
    <row r="180" spans="1:31" hidden="1" x14ac:dyDescent="0.25">
      <c r="A180" s="1" t="s">
        <v>1907</v>
      </c>
      <c r="B180" s="1" t="s">
        <v>2060</v>
      </c>
      <c r="C180" s="1" t="s">
        <v>1372</v>
      </c>
      <c r="D180" s="1" t="s">
        <v>1373</v>
      </c>
      <c r="E180" s="1" t="str">
        <f t="shared" si="2"/>
        <v>608</v>
      </c>
      <c r="F180" s="1"/>
      <c r="G180" s="1" t="s">
        <v>1374</v>
      </c>
      <c r="H180" s="1" t="s">
        <v>222</v>
      </c>
      <c r="I180" s="1" t="s">
        <v>1375</v>
      </c>
      <c r="J180" s="1" t="s">
        <v>1376</v>
      </c>
      <c r="K180" s="1" t="s">
        <v>858</v>
      </c>
      <c r="L180" s="1"/>
      <c r="M180" s="1" t="s">
        <v>105</v>
      </c>
      <c r="N180" s="1"/>
      <c r="O180" s="1"/>
      <c r="P180" s="1"/>
      <c r="Q180" s="1" t="s">
        <v>1377</v>
      </c>
      <c r="R180" s="1"/>
      <c r="S180" s="1" t="s">
        <v>1909</v>
      </c>
      <c r="T180" s="1" t="s">
        <v>1378</v>
      </c>
      <c r="U180" s="1" t="s">
        <v>210</v>
      </c>
      <c r="V180" s="1"/>
      <c r="W180" s="1" t="s">
        <v>201</v>
      </c>
      <c r="X180" s="1" t="s">
        <v>424</v>
      </c>
      <c r="Y180" s="1"/>
      <c r="Z180" s="1" t="s">
        <v>1910</v>
      </c>
      <c r="AA180" s="1" t="s">
        <v>191</v>
      </c>
      <c r="AB180" s="1" t="s">
        <v>192</v>
      </c>
      <c r="AC180" s="1"/>
      <c r="AD180" s="1" t="s">
        <v>1911</v>
      </c>
      <c r="AE180" s="1" t="s">
        <v>1912</v>
      </c>
    </row>
    <row r="181" spans="1:31" hidden="1" x14ac:dyDescent="0.25">
      <c r="A181" s="1" t="s">
        <v>1907</v>
      </c>
      <c r="B181" s="1" t="s">
        <v>2061</v>
      </c>
      <c r="C181" s="1" t="s">
        <v>1379</v>
      </c>
      <c r="D181" s="1" t="s">
        <v>1380</v>
      </c>
      <c r="E181" s="1" t="str">
        <f t="shared" si="2"/>
        <v>612</v>
      </c>
      <c r="F181" s="1"/>
      <c r="G181" s="1" t="s">
        <v>1381</v>
      </c>
      <c r="H181" s="1" t="s">
        <v>222</v>
      </c>
      <c r="I181" s="1" t="s">
        <v>1382</v>
      </c>
      <c r="J181" s="1" t="s">
        <v>1383</v>
      </c>
      <c r="K181" s="1" t="s">
        <v>208</v>
      </c>
      <c r="L181" s="1"/>
      <c r="M181" s="1" t="s">
        <v>105</v>
      </c>
      <c r="N181" s="1"/>
      <c r="O181" s="1"/>
      <c r="P181" s="1"/>
      <c r="Q181" s="1" t="s">
        <v>1384</v>
      </c>
      <c r="R181" s="1"/>
      <c r="S181" s="1" t="s">
        <v>1909</v>
      </c>
      <c r="T181" s="1"/>
      <c r="U181" s="1" t="s">
        <v>189</v>
      </c>
      <c r="V181" s="1"/>
      <c r="W181" s="1" t="s">
        <v>201</v>
      </c>
      <c r="X181" s="1" t="s">
        <v>227</v>
      </c>
      <c r="Y181" s="1"/>
      <c r="Z181" s="1" t="s">
        <v>1910</v>
      </c>
      <c r="AA181" s="1" t="s">
        <v>191</v>
      </c>
      <c r="AB181" s="1" t="s">
        <v>192</v>
      </c>
      <c r="AC181" s="1"/>
      <c r="AD181" s="1" t="s">
        <v>1911</v>
      </c>
      <c r="AE181" s="1" t="s">
        <v>1912</v>
      </c>
    </row>
    <row r="182" spans="1:31" hidden="1" x14ac:dyDescent="0.25">
      <c r="A182" s="1" t="s">
        <v>1907</v>
      </c>
      <c r="B182" s="1" t="s">
        <v>144</v>
      </c>
      <c r="C182" s="1" t="s">
        <v>1385</v>
      </c>
      <c r="D182" s="1" t="s">
        <v>1386</v>
      </c>
      <c r="E182" s="1" t="str">
        <f t="shared" si="2"/>
        <v>616</v>
      </c>
      <c r="F182" s="1"/>
      <c r="G182" s="1" t="s">
        <v>1387</v>
      </c>
      <c r="H182" s="1" t="s">
        <v>184</v>
      </c>
      <c r="I182" s="1" t="s">
        <v>1388</v>
      </c>
      <c r="J182" s="1" t="s">
        <v>1389</v>
      </c>
      <c r="K182" s="1" t="s">
        <v>275</v>
      </c>
      <c r="L182" s="1"/>
      <c r="M182" s="1" t="s">
        <v>105</v>
      </c>
      <c r="N182" s="1" t="s">
        <v>282</v>
      </c>
      <c r="O182" s="1" t="s">
        <v>414</v>
      </c>
      <c r="P182" s="1" t="s">
        <v>284</v>
      </c>
      <c r="Q182" s="1" t="s">
        <v>1390</v>
      </c>
      <c r="R182" s="1"/>
      <c r="S182" s="1" t="s">
        <v>1909</v>
      </c>
      <c r="T182" s="1" t="s">
        <v>1391</v>
      </c>
      <c r="U182" s="1" t="s">
        <v>210</v>
      </c>
      <c r="V182" s="1"/>
      <c r="W182" s="1" t="s">
        <v>198</v>
      </c>
      <c r="X182" s="1" t="s">
        <v>198</v>
      </c>
      <c r="Y182" s="1" t="s">
        <v>239</v>
      </c>
      <c r="Z182" s="1" t="s">
        <v>1910</v>
      </c>
      <c r="AA182" s="1" t="s">
        <v>588</v>
      </c>
      <c r="AB182" s="1" t="s">
        <v>192</v>
      </c>
      <c r="AC182" s="1"/>
      <c r="AD182" s="1" t="s">
        <v>1911</v>
      </c>
      <c r="AE182" s="1" t="s">
        <v>1912</v>
      </c>
    </row>
    <row r="183" spans="1:31" hidden="1" x14ac:dyDescent="0.25">
      <c r="A183" s="1" t="s">
        <v>1907</v>
      </c>
      <c r="B183" s="1" t="s">
        <v>145</v>
      </c>
      <c r="C183" s="1" t="s">
        <v>1392</v>
      </c>
      <c r="D183" s="1" t="s">
        <v>1392</v>
      </c>
      <c r="E183" s="1" t="str">
        <f t="shared" si="2"/>
        <v>620</v>
      </c>
      <c r="F183" s="1"/>
      <c r="G183" s="1" t="s">
        <v>1393</v>
      </c>
      <c r="H183" s="1" t="s">
        <v>184</v>
      </c>
      <c r="I183" s="1" t="s">
        <v>1394</v>
      </c>
      <c r="J183" s="1" t="s">
        <v>1395</v>
      </c>
      <c r="K183" s="1" t="s">
        <v>275</v>
      </c>
      <c r="L183" s="1"/>
      <c r="M183" s="1" t="s">
        <v>112</v>
      </c>
      <c r="N183" s="1" t="s">
        <v>282</v>
      </c>
      <c r="O183" s="1" t="s">
        <v>283</v>
      </c>
      <c r="P183" s="1" t="s">
        <v>284</v>
      </c>
      <c r="Q183" s="1" t="s">
        <v>1396</v>
      </c>
      <c r="R183" s="1" t="s">
        <v>1396</v>
      </c>
      <c r="S183" s="1" t="s">
        <v>2062</v>
      </c>
      <c r="T183" s="1" t="s">
        <v>1397</v>
      </c>
      <c r="U183" s="1" t="s">
        <v>1910</v>
      </c>
      <c r="V183" s="1"/>
      <c r="W183" s="1" t="s">
        <v>198</v>
      </c>
      <c r="X183" s="1" t="s">
        <v>201</v>
      </c>
      <c r="Y183" s="1"/>
      <c r="Z183" s="1" t="s">
        <v>1910</v>
      </c>
      <c r="AA183" s="1" t="s">
        <v>1398</v>
      </c>
      <c r="AB183" s="1" t="s">
        <v>192</v>
      </c>
      <c r="AC183" s="1"/>
      <c r="AD183" s="1" t="s">
        <v>1911</v>
      </c>
      <c r="AE183" s="1" t="s">
        <v>1912</v>
      </c>
    </row>
    <row r="184" spans="1:31" hidden="1" x14ac:dyDescent="0.25">
      <c r="A184" s="1" t="s">
        <v>1907</v>
      </c>
      <c r="B184" s="1" t="s">
        <v>2063</v>
      </c>
      <c r="C184" s="1" t="s">
        <v>1399</v>
      </c>
      <c r="D184" s="1" t="s">
        <v>1400</v>
      </c>
      <c r="E184" s="1" t="str">
        <f t="shared" si="2"/>
        <v>624</v>
      </c>
      <c r="F184" s="1"/>
      <c r="G184" s="1" t="s">
        <v>1401</v>
      </c>
      <c r="H184" s="1" t="s">
        <v>184</v>
      </c>
      <c r="I184" s="1" t="s">
        <v>1402</v>
      </c>
      <c r="J184" s="1" t="s">
        <v>1403</v>
      </c>
      <c r="K184" s="1" t="s">
        <v>352</v>
      </c>
      <c r="L184" s="1" t="s">
        <v>198</v>
      </c>
      <c r="M184" s="1" t="s">
        <v>105</v>
      </c>
      <c r="N184" s="1"/>
      <c r="O184" s="1"/>
      <c r="P184" s="1"/>
      <c r="Q184" s="1" t="s">
        <v>1404</v>
      </c>
      <c r="R184" s="1"/>
      <c r="S184" s="1" t="s">
        <v>1909</v>
      </c>
      <c r="T184" s="1" t="s">
        <v>1405</v>
      </c>
      <c r="U184" s="1" t="s">
        <v>189</v>
      </c>
      <c r="V184" s="1"/>
      <c r="W184" s="1"/>
      <c r="X184" s="1" t="s">
        <v>190</v>
      </c>
      <c r="Y184" s="1" t="s">
        <v>464</v>
      </c>
      <c r="Z184" s="1" t="s">
        <v>1910</v>
      </c>
      <c r="AA184" s="1" t="s">
        <v>191</v>
      </c>
      <c r="AB184" s="1" t="s">
        <v>192</v>
      </c>
      <c r="AC184" s="1"/>
      <c r="AD184" s="1" t="s">
        <v>1911</v>
      </c>
      <c r="AE184" s="1" t="s">
        <v>1912</v>
      </c>
    </row>
    <row r="185" spans="1:31" hidden="1" x14ac:dyDescent="0.25">
      <c r="A185" s="1" t="s">
        <v>1907</v>
      </c>
      <c r="B185" s="1" t="s">
        <v>2064</v>
      </c>
      <c r="C185" s="1" t="s">
        <v>1406</v>
      </c>
      <c r="D185" s="1" t="s">
        <v>1407</v>
      </c>
      <c r="E185" s="1" t="str">
        <f t="shared" si="2"/>
        <v>626</v>
      </c>
      <c r="F185" s="1"/>
      <c r="G185" s="1" t="s">
        <v>1408</v>
      </c>
      <c r="H185" s="1" t="s">
        <v>184</v>
      </c>
      <c r="I185" s="1" t="s">
        <v>1409</v>
      </c>
      <c r="J185" s="1" t="s">
        <v>1410</v>
      </c>
      <c r="K185" s="1" t="s">
        <v>208</v>
      </c>
      <c r="L185" s="1"/>
      <c r="M185" s="1" t="s">
        <v>105</v>
      </c>
      <c r="N185" s="1"/>
      <c r="O185" s="1"/>
      <c r="P185" s="1"/>
      <c r="Q185" s="1" t="s">
        <v>1411</v>
      </c>
      <c r="R185" s="1"/>
      <c r="S185" s="1" t="s">
        <v>1909</v>
      </c>
      <c r="T185" s="1"/>
      <c r="U185" s="1" t="s">
        <v>189</v>
      </c>
      <c r="V185" s="1"/>
      <c r="W185" s="1"/>
      <c r="X185" s="1"/>
      <c r="Y185" s="1" t="s">
        <v>247</v>
      </c>
      <c r="Z185" s="1" t="s">
        <v>1910</v>
      </c>
      <c r="AA185" s="1" t="s">
        <v>191</v>
      </c>
      <c r="AB185" s="1" t="s">
        <v>192</v>
      </c>
      <c r="AC185" s="1"/>
      <c r="AD185" s="1" t="s">
        <v>1911</v>
      </c>
      <c r="AE185" s="1" t="s">
        <v>1912</v>
      </c>
    </row>
    <row r="186" spans="1:31" hidden="1" x14ac:dyDescent="0.25">
      <c r="A186" s="1" t="s">
        <v>1907</v>
      </c>
      <c r="B186" s="1" t="s">
        <v>96</v>
      </c>
      <c r="C186" s="1" t="s">
        <v>1412</v>
      </c>
      <c r="D186" s="1" t="s">
        <v>1413</v>
      </c>
      <c r="E186" s="1" t="str">
        <f t="shared" si="2"/>
        <v>630</v>
      </c>
      <c r="F186" s="1"/>
      <c r="G186" s="1" t="s">
        <v>1414</v>
      </c>
      <c r="H186" s="1" t="s">
        <v>184</v>
      </c>
      <c r="I186" s="1" t="s">
        <v>1415</v>
      </c>
      <c r="J186" s="1" t="s">
        <v>1416</v>
      </c>
      <c r="K186" s="1" t="s">
        <v>495</v>
      </c>
      <c r="L186" s="1" t="s">
        <v>198</v>
      </c>
      <c r="M186" s="1" t="s">
        <v>105</v>
      </c>
      <c r="N186" s="1" t="s">
        <v>268</v>
      </c>
      <c r="O186" s="1"/>
      <c r="P186" s="1" t="s">
        <v>99</v>
      </c>
      <c r="Q186" s="1" t="s">
        <v>1417</v>
      </c>
      <c r="R186" s="1"/>
      <c r="S186" s="1" t="s">
        <v>1909</v>
      </c>
      <c r="T186" s="1" t="s">
        <v>1418</v>
      </c>
      <c r="U186" s="1" t="s">
        <v>200</v>
      </c>
      <c r="V186" s="1"/>
      <c r="W186" s="1" t="s">
        <v>201</v>
      </c>
      <c r="X186" s="1" t="s">
        <v>227</v>
      </c>
      <c r="Y186" s="1"/>
      <c r="Z186" s="1" t="s">
        <v>1910</v>
      </c>
      <c r="AA186" s="1" t="s">
        <v>228</v>
      </c>
      <c r="AB186" s="1" t="s">
        <v>192</v>
      </c>
      <c r="AC186" s="1"/>
      <c r="AD186" s="1" t="s">
        <v>1911</v>
      </c>
      <c r="AE186" s="1" t="s">
        <v>1912</v>
      </c>
    </row>
    <row r="187" spans="1:31" hidden="1" x14ac:dyDescent="0.25">
      <c r="A187" s="1" t="s">
        <v>1907</v>
      </c>
      <c r="B187" s="1" t="s">
        <v>2065</v>
      </c>
      <c r="C187" s="1" t="s">
        <v>1419</v>
      </c>
      <c r="D187" s="1" t="s">
        <v>1420</v>
      </c>
      <c r="E187" s="1" t="str">
        <f t="shared" si="2"/>
        <v>634</v>
      </c>
      <c r="F187" s="1"/>
      <c r="G187" s="1" t="s">
        <v>1421</v>
      </c>
      <c r="H187" s="1" t="s">
        <v>184</v>
      </c>
      <c r="I187" s="1" t="s">
        <v>1422</v>
      </c>
      <c r="J187" s="1" t="s">
        <v>1423</v>
      </c>
      <c r="K187" s="1" t="s">
        <v>208</v>
      </c>
      <c r="L187" s="1"/>
      <c r="M187" s="1" t="s">
        <v>105</v>
      </c>
      <c r="N187" s="1"/>
      <c r="O187" s="1"/>
      <c r="P187" s="1" t="s">
        <v>198</v>
      </c>
      <c r="Q187" s="1" t="s">
        <v>1424</v>
      </c>
      <c r="R187" s="1"/>
      <c r="S187" s="1" t="s">
        <v>1909</v>
      </c>
      <c r="T187" s="1" t="s">
        <v>1425</v>
      </c>
      <c r="U187" s="1" t="s">
        <v>210</v>
      </c>
      <c r="V187" s="1"/>
      <c r="W187" s="1" t="s">
        <v>201</v>
      </c>
      <c r="X187" s="1" t="s">
        <v>227</v>
      </c>
      <c r="Y187" s="1" t="s">
        <v>464</v>
      </c>
      <c r="Z187" s="1" t="s">
        <v>1910</v>
      </c>
      <c r="AA187" s="1" t="s">
        <v>765</v>
      </c>
      <c r="AB187" s="1" t="s">
        <v>192</v>
      </c>
      <c r="AC187" s="1"/>
      <c r="AD187" s="1" t="s">
        <v>1911</v>
      </c>
      <c r="AE187" s="1" t="s">
        <v>1912</v>
      </c>
    </row>
    <row r="188" spans="1:31" hidden="1" x14ac:dyDescent="0.25">
      <c r="A188" s="1" t="s">
        <v>1907</v>
      </c>
      <c r="B188" s="1" t="s">
        <v>2066</v>
      </c>
      <c r="C188" s="1" t="s">
        <v>1426</v>
      </c>
      <c r="D188" s="1" t="s">
        <v>1426</v>
      </c>
      <c r="E188" s="1" t="str">
        <f t="shared" si="2"/>
        <v>638</v>
      </c>
      <c r="F188" s="1"/>
      <c r="G188" s="1" t="s">
        <v>1427</v>
      </c>
      <c r="H188" s="1" t="s">
        <v>184</v>
      </c>
      <c r="I188" s="1" t="s">
        <v>1428</v>
      </c>
      <c r="J188" s="1" t="s">
        <v>1429</v>
      </c>
      <c r="K188" s="1" t="s">
        <v>208</v>
      </c>
      <c r="L188" s="1"/>
      <c r="M188" s="1" t="s">
        <v>105</v>
      </c>
      <c r="N188" s="1"/>
      <c r="O188" s="1"/>
      <c r="P188" s="1" t="s">
        <v>284</v>
      </c>
      <c r="Q188" s="1" t="s">
        <v>1430</v>
      </c>
      <c r="R188" s="1"/>
      <c r="S188" s="1" t="s">
        <v>1909</v>
      </c>
      <c r="T188" s="1"/>
      <c r="U188" s="1" t="s">
        <v>210</v>
      </c>
      <c r="V188" s="1"/>
      <c r="W188" s="1" t="s">
        <v>198</v>
      </c>
      <c r="X188" s="1" t="s">
        <v>201</v>
      </c>
      <c r="Y188" s="1"/>
      <c r="Z188" s="1" t="s">
        <v>1910</v>
      </c>
      <c r="AA188" s="1" t="s">
        <v>540</v>
      </c>
      <c r="AB188" s="1" t="s">
        <v>192</v>
      </c>
      <c r="AC188" s="1"/>
      <c r="AD188" s="1" t="s">
        <v>1911</v>
      </c>
      <c r="AE188" s="1" t="s">
        <v>1912</v>
      </c>
    </row>
    <row r="189" spans="1:31" hidden="1" x14ac:dyDescent="0.25">
      <c r="A189" s="1" t="s">
        <v>1907</v>
      </c>
      <c r="B189" s="1" t="s">
        <v>146</v>
      </c>
      <c r="C189" s="1" t="s">
        <v>1431</v>
      </c>
      <c r="D189" s="1" t="s">
        <v>1432</v>
      </c>
      <c r="E189" s="1" t="str">
        <f t="shared" si="2"/>
        <v>642</v>
      </c>
      <c r="F189" s="1"/>
      <c r="G189" s="1" t="s">
        <v>1433</v>
      </c>
      <c r="H189" s="1" t="s">
        <v>184</v>
      </c>
      <c r="I189" s="1" t="s">
        <v>1434</v>
      </c>
      <c r="J189" s="1" t="s">
        <v>1435</v>
      </c>
      <c r="K189" s="1" t="s">
        <v>495</v>
      </c>
      <c r="L189" s="1"/>
      <c r="M189" s="1" t="s">
        <v>106</v>
      </c>
      <c r="N189" s="1" t="s">
        <v>282</v>
      </c>
      <c r="O189" s="1" t="s">
        <v>414</v>
      </c>
      <c r="P189" s="1" t="s">
        <v>284</v>
      </c>
      <c r="Q189" s="1" t="s">
        <v>1436</v>
      </c>
      <c r="R189" s="1"/>
      <c r="S189" s="1" t="s">
        <v>1909</v>
      </c>
      <c r="T189" s="1" t="s">
        <v>1437</v>
      </c>
      <c r="U189" s="1" t="s">
        <v>210</v>
      </c>
      <c r="V189" s="1"/>
      <c r="W189" s="1" t="s">
        <v>198</v>
      </c>
      <c r="X189" s="1" t="s">
        <v>201</v>
      </c>
      <c r="Y189" s="1" t="s">
        <v>239</v>
      </c>
      <c r="Z189" s="1" t="s">
        <v>1910</v>
      </c>
      <c r="AA189" s="1" t="s">
        <v>596</v>
      </c>
      <c r="AB189" s="1" t="s">
        <v>192</v>
      </c>
      <c r="AC189" s="1"/>
      <c r="AD189" s="1" t="s">
        <v>1911</v>
      </c>
      <c r="AE189" s="1" t="s">
        <v>1912</v>
      </c>
    </row>
    <row r="190" spans="1:31" hidden="1" x14ac:dyDescent="0.25">
      <c r="A190" s="1" t="s">
        <v>1907</v>
      </c>
      <c r="B190" s="1" t="s">
        <v>2067</v>
      </c>
      <c r="C190" s="1" t="s">
        <v>1438</v>
      </c>
      <c r="D190" s="1" t="s">
        <v>1438</v>
      </c>
      <c r="E190" s="1" t="str">
        <f t="shared" si="2"/>
        <v>643</v>
      </c>
      <c r="F190" s="1"/>
      <c r="G190" s="1" t="s">
        <v>1439</v>
      </c>
      <c r="H190" s="1" t="s">
        <v>222</v>
      </c>
      <c r="I190" s="1" t="s">
        <v>1440</v>
      </c>
      <c r="J190" s="1" t="s">
        <v>1441</v>
      </c>
      <c r="K190" s="1" t="s">
        <v>435</v>
      </c>
      <c r="L190" s="1"/>
      <c r="M190" s="1" t="s">
        <v>105</v>
      </c>
      <c r="N190" s="1" t="s">
        <v>436</v>
      </c>
      <c r="O190" s="1"/>
      <c r="P190" s="1"/>
      <c r="Q190" s="1" t="s">
        <v>1442</v>
      </c>
      <c r="R190" s="1"/>
      <c r="S190" s="1" t="s">
        <v>1909</v>
      </c>
      <c r="T190" s="1" t="s">
        <v>1443</v>
      </c>
      <c r="U190" s="1" t="s">
        <v>189</v>
      </c>
      <c r="V190" s="1"/>
      <c r="W190" s="1"/>
      <c r="X190" s="1" t="s">
        <v>190</v>
      </c>
      <c r="Y190" s="1" t="s">
        <v>247</v>
      </c>
      <c r="Z190" s="1" t="s">
        <v>1910</v>
      </c>
      <c r="AA190" s="1" t="s">
        <v>191</v>
      </c>
      <c r="AB190" s="1" t="s">
        <v>192</v>
      </c>
      <c r="AC190" s="1"/>
      <c r="AD190" s="1" t="s">
        <v>1911</v>
      </c>
      <c r="AE190" s="1" t="s">
        <v>1912</v>
      </c>
    </row>
    <row r="191" spans="1:31" hidden="1" x14ac:dyDescent="0.25">
      <c r="A191" s="1" t="s">
        <v>1907</v>
      </c>
      <c r="B191" s="1" t="s">
        <v>2068</v>
      </c>
      <c r="C191" s="1" t="s">
        <v>1444</v>
      </c>
      <c r="D191" s="1" t="s">
        <v>1445</v>
      </c>
      <c r="E191" s="1" t="str">
        <f t="shared" si="2"/>
        <v>646</v>
      </c>
      <c r="F191" s="1"/>
      <c r="G191" s="1" t="s">
        <v>1446</v>
      </c>
      <c r="H191" s="1" t="s">
        <v>222</v>
      </c>
      <c r="I191" s="1" t="s">
        <v>1447</v>
      </c>
      <c r="J191" s="1" t="s">
        <v>1448</v>
      </c>
      <c r="K191" s="1" t="s">
        <v>267</v>
      </c>
      <c r="L191" s="1"/>
      <c r="M191" s="1" t="s">
        <v>105</v>
      </c>
      <c r="N191" s="1"/>
      <c r="O191" s="1"/>
      <c r="P191" s="1"/>
      <c r="Q191" s="1" t="s">
        <v>1449</v>
      </c>
      <c r="R191" s="1"/>
      <c r="S191" s="1" t="s">
        <v>1909</v>
      </c>
      <c r="T191" s="1"/>
      <c r="U191" s="1" t="s">
        <v>200</v>
      </c>
      <c r="V191" s="1"/>
      <c r="W191" s="1"/>
      <c r="X191" s="1"/>
      <c r="Y191" s="1"/>
      <c r="Z191" s="1" t="s">
        <v>1910</v>
      </c>
      <c r="AA191" s="1" t="s">
        <v>191</v>
      </c>
      <c r="AB191" s="1" t="s">
        <v>192</v>
      </c>
      <c r="AC191" s="1"/>
      <c r="AD191" s="1" t="s">
        <v>1911</v>
      </c>
      <c r="AE191" s="1" t="s">
        <v>1912</v>
      </c>
    </row>
    <row r="192" spans="1:31" hidden="1" x14ac:dyDescent="0.25">
      <c r="A192" s="1" t="s">
        <v>1907</v>
      </c>
      <c r="B192" s="1" t="s">
        <v>2069</v>
      </c>
      <c r="C192" s="1" t="s">
        <v>1450</v>
      </c>
      <c r="D192" s="1" t="s">
        <v>1450</v>
      </c>
      <c r="E192" s="1" t="str">
        <f t="shared" si="2"/>
        <v>652</v>
      </c>
      <c r="F192" s="1"/>
      <c r="G192" s="1" t="s">
        <v>1451</v>
      </c>
      <c r="H192" s="1" t="s">
        <v>184</v>
      </c>
      <c r="I192" s="1" t="s">
        <v>1452</v>
      </c>
      <c r="J192" s="1" t="s">
        <v>1453</v>
      </c>
      <c r="K192" s="1" t="s">
        <v>208</v>
      </c>
      <c r="L192" s="1"/>
      <c r="M192" s="1" t="s">
        <v>105</v>
      </c>
      <c r="N192" s="1" t="s">
        <v>453</v>
      </c>
      <c r="O192" s="1"/>
      <c r="P192" s="1" t="s">
        <v>198</v>
      </c>
      <c r="Q192" s="1" t="s">
        <v>772</v>
      </c>
      <c r="R192" s="1"/>
      <c r="S192" s="1" t="s">
        <v>1909</v>
      </c>
      <c r="T192" s="1"/>
      <c r="U192" s="1" t="s">
        <v>1910</v>
      </c>
      <c r="V192" s="1"/>
      <c r="W192" s="1" t="s">
        <v>201</v>
      </c>
      <c r="X192" s="1" t="s">
        <v>201</v>
      </c>
      <c r="Y192" s="1"/>
      <c r="Z192" s="1" t="s">
        <v>1910</v>
      </c>
      <c r="AA192" s="1" t="s">
        <v>1454</v>
      </c>
      <c r="AB192" s="1" t="s">
        <v>192</v>
      </c>
      <c r="AC192" s="1"/>
      <c r="AD192" s="1" t="s">
        <v>1911</v>
      </c>
      <c r="AE192" s="1" t="s">
        <v>1912</v>
      </c>
    </row>
    <row r="193" spans="1:31" hidden="1" x14ac:dyDescent="0.25">
      <c r="A193" s="1" t="s">
        <v>1907</v>
      </c>
      <c r="B193" s="1" t="s">
        <v>2070</v>
      </c>
      <c r="C193" s="1" t="s">
        <v>1455</v>
      </c>
      <c r="D193" s="1" t="s">
        <v>1456</v>
      </c>
      <c r="E193" s="1" t="str">
        <f t="shared" si="2"/>
        <v>654</v>
      </c>
      <c r="F193" s="1"/>
      <c r="G193" s="1" t="s">
        <v>1457</v>
      </c>
      <c r="H193" s="1" t="s">
        <v>184</v>
      </c>
      <c r="I193" s="1" t="s">
        <v>1458</v>
      </c>
      <c r="J193" s="1" t="s">
        <v>1459</v>
      </c>
      <c r="K193" s="1" t="s">
        <v>208</v>
      </c>
      <c r="L193" s="1"/>
      <c r="M193" s="1" t="s">
        <v>105</v>
      </c>
      <c r="N193" s="1"/>
      <c r="O193" s="1"/>
      <c r="P193" s="1"/>
      <c r="Q193" s="1" t="s">
        <v>1460</v>
      </c>
      <c r="R193" s="1"/>
      <c r="S193" s="1" t="s">
        <v>1909</v>
      </c>
      <c r="T193" s="1"/>
      <c r="U193" s="1" t="s">
        <v>210</v>
      </c>
      <c r="V193" s="1"/>
      <c r="W193" s="1" t="s">
        <v>201</v>
      </c>
      <c r="X193" s="1" t="s">
        <v>227</v>
      </c>
      <c r="Y193" s="1"/>
      <c r="Z193" s="1" t="s">
        <v>1910</v>
      </c>
      <c r="AA193" s="1" t="s">
        <v>191</v>
      </c>
      <c r="AB193" s="1" t="s">
        <v>192</v>
      </c>
      <c r="AC193" s="1"/>
      <c r="AD193" s="1" t="s">
        <v>1911</v>
      </c>
      <c r="AE193" s="1" t="s">
        <v>1912</v>
      </c>
    </row>
    <row r="194" spans="1:31" hidden="1" x14ac:dyDescent="0.25">
      <c r="A194" s="1" t="s">
        <v>1907</v>
      </c>
      <c r="B194" s="1" t="s">
        <v>2071</v>
      </c>
      <c r="C194" s="1" t="s">
        <v>1461</v>
      </c>
      <c r="D194" s="1" t="s">
        <v>1461</v>
      </c>
      <c r="E194" s="1" t="str">
        <f t="shared" si="2"/>
        <v>659</v>
      </c>
      <c r="F194" s="1"/>
      <c r="G194" s="1" t="s">
        <v>1462</v>
      </c>
      <c r="H194" s="1" t="s">
        <v>184</v>
      </c>
      <c r="I194" s="1" t="s">
        <v>1463</v>
      </c>
      <c r="J194" s="1" t="s">
        <v>1464</v>
      </c>
      <c r="K194" s="1" t="s">
        <v>267</v>
      </c>
      <c r="L194" s="1"/>
      <c r="M194" s="1" t="s">
        <v>105</v>
      </c>
      <c r="N194" s="1"/>
      <c r="O194" s="1"/>
      <c r="P194" s="1"/>
      <c r="Q194" s="1" t="s">
        <v>1465</v>
      </c>
      <c r="R194" s="1"/>
      <c r="S194" s="1" t="s">
        <v>1909</v>
      </c>
      <c r="T194" s="1" t="s">
        <v>1466</v>
      </c>
      <c r="U194" s="1" t="s">
        <v>189</v>
      </c>
      <c r="V194" s="1"/>
      <c r="W194" s="1" t="s">
        <v>201</v>
      </c>
      <c r="X194" s="1" t="s">
        <v>227</v>
      </c>
      <c r="Y194" s="1"/>
      <c r="Z194" s="1" t="s">
        <v>1910</v>
      </c>
      <c r="AA194" s="1" t="s">
        <v>228</v>
      </c>
      <c r="AB194" s="1" t="s">
        <v>192</v>
      </c>
      <c r="AC194" s="1"/>
      <c r="AD194" s="1" t="s">
        <v>1911</v>
      </c>
      <c r="AE194" s="1" t="s">
        <v>1912</v>
      </c>
    </row>
    <row r="195" spans="1:31" hidden="1" x14ac:dyDescent="0.25">
      <c r="A195" s="1" t="s">
        <v>1907</v>
      </c>
      <c r="B195" s="1" t="s">
        <v>2072</v>
      </c>
      <c r="C195" s="1" t="s">
        <v>1467</v>
      </c>
      <c r="D195" s="1" t="s">
        <v>1467</v>
      </c>
      <c r="E195" s="1" t="str">
        <f t="shared" ref="E195:E258" si="3">+B195</f>
        <v>660</v>
      </c>
      <c r="F195" s="1"/>
      <c r="G195" s="1" t="s">
        <v>1468</v>
      </c>
      <c r="H195" s="1" t="s">
        <v>222</v>
      </c>
      <c r="I195" s="1" t="s">
        <v>1469</v>
      </c>
      <c r="J195" s="1" t="s">
        <v>1470</v>
      </c>
      <c r="K195" s="1" t="s">
        <v>233</v>
      </c>
      <c r="L195" s="1"/>
      <c r="M195" s="1" t="s">
        <v>105</v>
      </c>
      <c r="N195" s="1"/>
      <c r="O195" s="1"/>
      <c r="P195" s="1"/>
      <c r="Q195" s="1" t="s">
        <v>1471</v>
      </c>
      <c r="R195" s="1"/>
      <c r="S195" s="1" t="s">
        <v>1909</v>
      </c>
      <c r="T195" s="1"/>
      <c r="U195" s="1" t="s">
        <v>210</v>
      </c>
      <c r="V195" s="1"/>
      <c r="W195" s="1" t="s">
        <v>201</v>
      </c>
      <c r="X195" s="1" t="s">
        <v>227</v>
      </c>
      <c r="Y195" s="1" t="s">
        <v>198</v>
      </c>
      <c r="Z195" s="1" t="s">
        <v>1910</v>
      </c>
      <c r="AA195" s="1" t="s">
        <v>228</v>
      </c>
      <c r="AB195" s="1" t="s">
        <v>192</v>
      </c>
      <c r="AC195" s="1"/>
      <c r="AD195" s="1" t="s">
        <v>1911</v>
      </c>
      <c r="AE195" s="1" t="s">
        <v>1912</v>
      </c>
    </row>
    <row r="196" spans="1:31" hidden="1" x14ac:dyDescent="0.25">
      <c r="A196" s="1" t="s">
        <v>1907</v>
      </c>
      <c r="B196" s="1" t="s">
        <v>2073</v>
      </c>
      <c r="C196" s="1" t="s">
        <v>1472</v>
      </c>
      <c r="D196" s="1" t="s">
        <v>1473</v>
      </c>
      <c r="E196" s="1" t="str">
        <f t="shared" si="3"/>
        <v>662</v>
      </c>
      <c r="F196" s="1"/>
      <c r="G196" s="1" t="s">
        <v>1474</v>
      </c>
      <c r="H196" s="1" t="s">
        <v>184</v>
      </c>
      <c r="I196" s="1" t="s">
        <v>1475</v>
      </c>
      <c r="J196" s="1" t="s">
        <v>1476</v>
      </c>
      <c r="K196" s="1" t="s">
        <v>233</v>
      </c>
      <c r="L196" s="1"/>
      <c r="M196" s="1" t="s">
        <v>105</v>
      </c>
      <c r="N196" s="1" t="s">
        <v>268</v>
      </c>
      <c r="O196" s="1"/>
      <c r="P196" s="1" t="s">
        <v>198</v>
      </c>
      <c r="Q196" s="1" t="s">
        <v>1477</v>
      </c>
      <c r="R196" s="1"/>
      <c r="S196" s="1" t="s">
        <v>1909</v>
      </c>
      <c r="T196" s="1"/>
      <c r="U196" s="1" t="s">
        <v>217</v>
      </c>
      <c r="V196" s="1"/>
      <c r="W196" s="1" t="s">
        <v>201</v>
      </c>
      <c r="X196" s="1" t="s">
        <v>227</v>
      </c>
      <c r="Y196" s="1"/>
      <c r="Z196" s="1" t="s">
        <v>1910</v>
      </c>
      <c r="AA196" s="1" t="s">
        <v>1478</v>
      </c>
      <c r="AB196" s="1" t="s">
        <v>192</v>
      </c>
      <c r="AC196" s="1"/>
      <c r="AD196" s="1" t="s">
        <v>1911</v>
      </c>
      <c r="AE196" s="1" t="s">
        <v>1912</v>
      </c>
    </row>
    <row r="197" spans="1:31" hidden="1" x14ac:dyDescent="0.25">
      <c r="A197" s="1" t="s">
        <v>1907</v>
      </c>
      <c r="B197" s="1" t="s">
        <v>2074</v>
      </c>
      <c r="C197" s="1" t="s">
        <v>1479</v>
      </c>
      <c r="D197" s="1" t="s">
        <v>1479</v>
      </c>
      <c r="E197" s="1" t="str">
        <f t="shared" si="3"/>
        <v>663</v>
      </c>
      <c r="F197" s="1"/>
      <c r="G197" s="1" t="s">
        <v>1480</v>
      </c>
      <c r="H197" s="1" t="s">
        <v>184</v>
      </c>
      <c r="I197" s="1" t="s">
        <v>1481</v>
      </c>
      <c r="J197" s="1" t="s">
        <v>1482</v>
      </c>
      <c r="K197" s="1" t="s">
        <v>208</v>
      </c>
      <c r="L197" s="1"/>
      <c r="M197" s="1" t="s">
        <v>105</v>
      </c>
      <c r="N197" s="1" t="s">
        <v>268</v>
      </c>
      <c r="O197" s="1"/>
      <c r="P197" s="1" t="s">
        <v>284</v>
      </c>
      <c r="Q197" s="1" t="s">
        <v>1483</v>
      </c>
      <c r="R197" s="1"/>
      <c r="S197" s="1" t="s">
        <v>1909</v>
      </c>
      <c r="T197" s="1" t="s">
        <v>578</v>
      </c>
      <c r="U197" s="1" t="s">
        <v>210</v>
      </c>
      <c r="V197" s="1"/>
      <c r="W197" s="1" t="s">
        <v>201</v>
      </c>
      <c r="X197" s="1" t="s">
        <v>201</v>
      </c>
      <c r="Y197" s="1"/>
      <c r="Z197" s="1" t="s">
        <v>1910</v>
      </c>
      <c r="AA197" s="1" t="s">
        <v>735</v>
      </c>
      <c r="AB197" s="1" t="s">
        <v>192</v>
      </c>
      <c r="AC197" s="1"/>
      <c r="AD197" s="1" t="s">
        <v>1911</v>
      </c>
      <c r="AE197" s="1" t="s">
        <v>1912</v>
      </c>
    </row>
    <row r="198" spans="1:31" hidden="1" x14ac:dyDescent="0.25">
      <c r="A198" s="1" t="s">
        <v>1907</v>
      </c>
      <c r="B198" s="1" t="s">
        <v>2075</v>
      </c>
      <c r="C198" s="1" t="s">
        <v>1484</v>
      </c>
      <c r="D198" s="1" t="s">
        <v>1485</v>
      </c>
      <c r="E198" s="1" t="str">
        <f t="shared" si="3"/>
        <v>666</v>
      </c>
      <c r="F198" s="1"/>
      <c r="G198" s="1" t="s">
        <v>1486</v>
      </c>
      <c r="H198" s="1" t="s">
        <v>184</v>
      </c>
      <c r="I198" s="1" t="s">
        <v>1487</v>
      </c>
      <c r="J198" s="1" t="s">
        <v>1488</v>
      </c>
      <c r="K198" s="1" t="s">
        <v>208</v>
      </c>
      <c r="L198" s="1"/>
      <c r="M198" s="1" t="s">
        <v>105</v>
      </c>
      <c r="N198" s="1"/>
      <c r="O198" s="1"/>
      <c r="P198" s="1" t="s">
        <v>198</v>
      </c>
      <c r="Q198" s="1" t="s">
        <v>1489</v>
      </c>
      <c r="R198" s="1"/>
      <c r="S198" s="1" t="s">
        <v>1909</v>
      </c>
      <c r="T198" s="1"/>
      <c r="U198" s="1" t="s">
        <v>210</v>
      </c>
      <c r="V198" s="1"/>
      <c r="W198" s="1" t="s">
        <v>201</v>
      </c>
      <c r="X198" s="1" t="s">
        <v>227</v>
      </c>
      <c r="Y198" s="1"/>
      <c r="Z198" s="1" t="s">
        <v>1910</v>
      </c>
      <c r="AA198" s="1" t="s">
        <v>540</v>
      </c>
      <c r="AB198" s="1" t="s">
        <v>192</v>
      </c>
      <c r="AC198" s="1"/>
      <c r="AD198" s="1" t="s">
        <v>1911</v>
      </c>
      <c r="AE198" s="1" t="s">
        <v>1912</v>
      </c>
    </row>
    <row r="199" spans="1:31" hidden="1" x14ac:dyDescent="0.25">
      <c r="A199" s="1" t="s">
        <v>1907</v>
      </c>
      <c r="B199" s="1" t="s">
        <v>2076</v>
      </c>
      <c r="C199" s="1" t="s">
        <v>1490</v>
      </c>
      <c r="D199" s="1" t="s">
        <v>1491</v>
      </c>
      <c r="E199" s="1" t="str">
        <f t="shared" si="3"/>
        <v>670</v>
      </c>
      <c r="F199" s="1"/>
      <c r="G199" s="1" t="s">
        <v>1492</v>
      </c>
      <c r="H199" s="1" t="s">
        <v>184</v>
      </c>
      <c r="I199" s="1" t="s">
        <v>1493</v>
      </c>
      <c r="J199" s="1" t="s">
        <v>1494</v>
      </c>
      <c r="K199" s="1" t="s">
        <v>233</v>
      </c>
      <c r="L199" s="1"/>
      <c r="M199" s="1" t="s">
        <v>105</v>
      </c>
      <c r="N199" s="1"/>
      <c r="O199" s="1"/>
      <c r="P199" s="1"/>
      <c r="Q199" s="1" t="s">
        <v>1495</v>
      </c>
      <c r="R199" s="1"/>
      <c r="S199" s="1" t="s">
        <v>1909</v>
      </c>
      <c r="T199" s="1"/>
      <c r="U199" s="1" t="s">
        <v>217</v>
      </c>
      <c r="V199" s="1"/>
      <c r="W199" s="1" t="s">
        <v>201</v>
      </c>
      <c r="X199" s="1" t="s">
        <v>227</v>
      </c>
      <c r="Y199" s="1"/>
      <c r="Z199" s="1" t="s">
        <v>1910</v>
      </c>
      <c r="AA199" s="1" t="s">
        <v>191</v>
      </c>
      <c r="AB199" s="1" t="s">
        <v>192</v>
      </c>
      <c r="AC199" s="1"/>
      <c r="AD199" s="1" t="s">
        <v>1911</v>
      </c>
      <c r="AE199" s="1" t="s">
        <v>1912</v>
      </c>
    </row>
    <row r="200" spans="1:31" hidden="1" x14ac:dyDescent="0.25">
      <c r="A200" s="1" t="s">
        <v>1907</v>
      </c>
      <c r="B200" s="1" t="s">
        <v>97</v>
      </c>
      <c r="C200" s="1" t="s">
        <v>1496</v>
      </c>
      <c r="D200" s="1" t="s">
        <v>1497</v>
      </c>
      <c r="E200" s="1" t="str">
        <f t="shared" si="3"/>
        <v>674</v>
      </c>
      <c r="F200" s="1"/>
      <c r="G200" s="1" t="s">
        <v>1498</v>
      </c>
      <c r="H200" s="1" t="s">
        <v>184</v>
      </c>
      <c r="I200" s="1" t="s">
        <v>1499</v>
      </c>
      <c r="J200" s="1" t="s">
        <v>1500</v>
      </c>
      <c r="K200" s="1" t="s">
        <v>197</v>
      </c>
      <c r="L200" s="1"/>
      <c r="M200" s="1" t="s">
        <v>105</v>
      </c>
      <c r="N200" s="1" t="s">
        <v>234</v>
      </c>
      <c r="O200" s="1"/>
      <c r="P200" s="1" t="s">
        <v>198</v>
      </c>
      <c r="Q200" s="1" t="s">
        <v>1501</v>
      </c>
      <c r="R200" s="1"/>
      <c r="S200" s="1" t="s">
        <v>1909</v>
      </c>
      <c r="T200" s="1"/>
      <c r="U200" s="1" t="s">
        <v>210</v>
      </c>
      <c r="V200" s="1"/>
      <c r="W200" s="1" t="s">
        <v>201</v>
      </c>
      <c r="X200" s="1" t="s">
        <v>227</v>
      </c>
      <c r="Y200" s="1" t="s">
        <v>239</v>
      </c>
      <c r="Z200" s="1" t="s">
        <v>1910</v>
      </c>
      <c r="AA200" s="1" t="s">
        <v>954</v>
      </c>
      <c r="AB200" s="1" t="s">
        <v>192</v>
      </c>
      <c r="AC200" s="1"/>
      <c r="AD200" s="1" t="s">
        <v>1911</v>
      </c>
      <c r="AE200" s="1" t="s">
        <v>1912</v>
      </c>
    </row>
    <row r="201" spans="1:31" hidden="1" x14ac:dyDescent="0.25">
      <c r="A201" s="1" t="s">
        <v>1907</v>
      </c>
      <c r="B201" s="1" t="s">
        <v>2077</v>
      </c>
      <c r="C201" s="1" t="s">
        <v>1502</v>
      </c>
      <c r="D201" s="1" t="s">
        <v>1503</v>
      </c>
      <c r="E201" s="1" t="str">
        <f t="shared" si="3"/>
        <v>678</v>
      </c>
      <c r="F201" s="1"/>
      <c r="G201" s="1" t="s">
        <v>1504</v>
      </c>
      <c r="H201" s="1" t="s">
        <v>184</v>
      </c>
      <c r="I201" s="1" t="s">
        <v>1505</v>
      </c>
      <c r="J201" s="1" t="s">
        <v>1506</v>
      </c>
      <c r="K201" s="1" t="s">
        <v>361</v>
      </c>
      <c r="L201" s="1"/>
      <c r="M201" s="1" t="s">
        <v>105</v>
      </c>
      <c r="N201" s="1"/>
      <c r="O201" s="1"/>
      <c r="P201" s="1" t="s">
        <v>198</v>
      </c>
      <c r="Q201" s="1" t="s">
        <v>1507</v>
      </c>
      <c r="R201" s="1"/>
      <c r="S201" s="1" t="s">
        <v>1909</v>
      </c>
      <c r="T201" s="1"/>
      <c r="U201" s="1" t="s">
        <v>189</v>
      </c>
      <c r="V201" s="1"/>
      <c r="W201" s="1" t="s">
        <v>201</v>
      </c>
      <c r="X201" s="1" t="s">
        <v>463</v>
      </c>
      <c r="Y201" s="1" t="s">
        <v>247</v>
      </c>
      <c r="Z201" s="1" t="s">
        <v>1910</v>
      </c>
      <c r="AA201" s="1" t="s">
        <v>1508</v>
      </c>
      <c r="AB201" s="1" t="s">
        <v>192</v>
      </c>
      <c r="AC201" s="1"/>
      <c r="AD201" s="1" t="s">
        <v>1911</v>
      </c>
      <c r="AE201" s="1" t="s">
        <v>1912</v>
      </c>
    </row>
    <row r="202" spans="1:31" hidden="1" x14ac:dyDescent="0.25">
      <c r="A202" s="1" t="s">
        <v>1907</v>
      </c>
      <c r="B202" s="1" t="s">
        <v>2078</v>
      </c>
      <c r="C202" s="1" t="s">
        <v>1509</v>
      </c>
      <c r="D202" s="1" t="s">
        <v>1510</v>
      </c>
      <c r="E202" s="1" t="str">
        <f t="shared" si="3"/>
        <v>682</v>
      </c>
      <c r="F202" s="1"/>
      <c r="G202" s="1" t="s">
        <v>1511</v>
      </c>
      <c r="H202" s="1" t="s">
        <v>184</v>
      </c>
      <c r="I202" s="1" t="s">
        <v>1512</v>
      </c>
      <c r="J202" s="1" t="s">
        <v>1513</v>
      </c>
      <c r="K202" s="1" t="s">
        <v>197</v>
      </c>
      <c r="L202" s="1"/>
      <c r="M202" s="1" t="s">
        <v>105</v>
      </c>
      <c r="N202" s="1"/>
      <c r="O202" s="1"/>
      <c r="P202" s="1" t="s">
        <v>198</v>
      </c>
      <c r="Q202" s="1" t="s">
        <v>1514</v>
      </c>
      <c r="R202" s="1"/>
      <c r="S202" s="1" t="s">
        <v>1909</v>
      </c>
      <c r="T202" s="1" t="s">
        <v>1515</v>
      </c>
      <c r="U202" s="1" t="s">
        <v>210</v>
      </c>
      <c r="V202" s="1"/>
      <c r="W202" s="1" t="s">
        <v>201</v>
      </c>
      <c r="X202" s="1" t="s">
        <v>201</v>
      </c>
      <c r="Y202" s="1" t="s">
        <v>464</v>
      </c>
      <c r="Z202" s="1" t="s">
        <v>1910</v>
      </c>
      <c r="AA202" s="1" t="s">
        <v>1175</v>
      </c>
      <c r="AB202" s="1" t="s">
        <v>192</v>
      </c>
      <c r="AC202" s="1"/>
      <c r="AD202" s="1" t="s">
        <v>1911</v>
      </c>
      <c r="AE202" s="1" t="s">
        <v>1912</v>
      </c>
    </row>
    <row r="203" spans="1:31" hidden="1" x14ac:dyDescent="0.25">
      <c r="A203" s="1" t="s">
        <v>1907</v>
      </c>
      <c r="B203" s="1" t="s">
        <v>2079</v>
      </c>
      <c r="C203" s="1" t="s">
        <v>1516</v>
      </c>
      <c r="D203" s="1" t="s">
        <v>1516</v>
      </c>
      <c r="E203" s="1" t="str">
        <f t="shared" si="3"/>
        <v>686</v>
      </c>
      <c r="F203" s="1"/>
      <c r="G203" s="1" t="s">
        <v>1517</v>
      </c>
      <c r="H203" s="1" t="s">
        <v>184</v>
      </c>
      <c r="I203" s="1" t="s">
        <v>1518</v>
      </c>
      <c r="J203" s="1" t="s">
        <v>1519</v>
      </c>
      <c r="K203" s="1" t="s">
        <v>316</v>
      </c>
      <c r="L203" s="1"/>
      <c r="M203" s="1" t="s">
        <v>105</v>
      </c>
      <c r="N203" s="1"/>
      <c r="O203" s="1"/>
      <c r="P203" s="1"/>
      <c r="Q203" s="1" t="s">
        <v>1520</v>
      </c>
      <c r="R203" s="1"/>
      <c r="S203" s="1" t="s">
        <v>1909</v>
      </c>
      <c r="T203" s="1" t="s">
        <v>1521</v>
      </c>
      <c r="U203" s="1" t="s">
        <v>189</v>
      </c>
      <c r="V203" s="1"/>
      <c r="W203" s="1"/>
      <c r="X203" s="1" t="s">
        <v>190</v>
      </c>
      <c r="Y203" s="1" t="s">
        <v>464</v>
      </c>
      <c r="Z203" s="1" t="s">
        <v>1910</v>
      </c>
      <c r="AA203" s="1" t="s">
        <v>191</v>
      </c>
      <c r="AB203" s="1" t="s">
        <v>192</v>
      </c>
      <c r="AC203" s="1"/>
      <c r="AD203" s="1" t="s">
        <v>1911</v>
      </c>
      <c r="AE203" s="1" t="s">
        <v>1912</v>
      </c>
    </row>
    <row r="204" spans="1:31" hidden="1" x14ac:dyDescent="0.25">
      <c r="A204" s="1" t="s">
        <v>1907</v>
      </c>
      <c r="B204" s="1" t="s">
        <v>2080</v>
      </c>
      <c r="C204" s="1" t="s">
        <v>1522</v>
      </c>
      <c r="D204" s="1" t="s">
        <v>1523</v>
      </c>
      <c r="E204" s="1" t="str">
        <f t="shared" si="3"/>
        <v>688</v>
      </c>
      <c r="F204" s="1"/>
      <c r="G204" s="1" t="s">
        <v>1524</v>
      </c>
      <c r="H204" s="1" t="s">
        <v>222</v>
      </c>
      <c r="I204" s="1" t="s">
        <v>1525</v>
      </c>
      <c r="J204" s="1" t="s">
        <v>1526</v>
      </c>
      <c r="K204" s="1" t="s">
        <v>884</v>
      </c>
      <c r="L204" s="1"/>
      <c r="M204" s="1" t="s">
        <v>106</v>
      </c>
      <c r="N204" s="1"/>
      <c r="O204" s="1"/>
      <c r="P204" s="1" t="s">
        <v>198</v>
      </c>
      <c r="Q204" s="1" t="s">
        <v>1527</v>
      </c>
      <c r="R204" s="1"/>
      <c r="S204" s="1" t="s">
        <v>1909</v>
      </c>
      <c r="T204" s="1"/>
      <c r="U204" s="1" t="s">
        <v>217</v>
      </c>
      <c r="V204" s="1"/>
      <c r="W204" s="1" t="s">
        <v>201</v>
      </c>
      <c r="X204" s="1" t="s">
        <v>355</v>
      </c>
      <c r="Y204" s="1"/>
      <c r="Z204" s="1" t="s">
        <v>1910</v>
      </c>
      <c r="AA204" s="1" t="s">
        <v>1181</v>
      </c>
      <c r="AB204" s="1" t="s">
        <v>192</v>
      </c>
      <c r="AC204" s="1"/>
      <c r="AD204" s="1" t="s">
        <v>1911</v>
      </c>
      <c r="AE204" s="1" t="s">
        <v>1912</v>
      </c>
    </row>
    <row r="205" spans="1:31" hidden="1" x14ac:dyDescent="0.25">
      <c r="A205" s="1" t="s">
        <v>1907</v>
      </c>
      <c r="B205" s="1" t="s">
        <v>2081</v>
      </c>
      <c r="C205" s="1" t="s">
        <v>1528</v>
      </c>
      <c r="D205" s="1" t="s">
        <v>1528</v>
      </c>
      <c r="E205" s="1" t="str">
        <f t="shared" si="3"/>
        <v>690</v>
      </c>
      <c r="F205" s="1"/>
      <c r="G205" s="1" t="s">
        <v>1529</v>
      </c>
      <c r="H205" s="1" t="s">
        <v>222</v>
      </c>
      <c r="I205" s="1" t="s">
        <v>1530</v>
      </c>
      <c r="J205" s="1" t="s">
        <v>1531</v>
      </c>
      <c r="K205" s="1" t="s">
        <v>233</v>
      </c>
      <c r="L205" s="1"/>
      <c r="M205" s="1" t="s">
        <v>105</v>
      </c>
      <c r="N205" s="1"/>
      <c r="O205" s="1"/>
      <c r="P205" s="1" t="s">
        <v>198</v>
      </c>
      <c r="Q205" s="1" t="s">
        <v>1532</v>
      </c>
      <c r="R205" s="1"/>
      <c r="S205" s="1" t="s">
        <v>1909</v>
      </c>
      <c r="T205" s="1"/>
      <c r="U205" s="1" t="s">
        <v>217</v>
      </c>
      <c r="V205" s="1"/>
      <c r="W205" s="1" t="s">
        <v>201</v>
      </c>
      <c r="X205" s="1" t="s">
        <v>227</v>
      </c>
      <c r="Y205" s="1"/>
      <c r="Z205" s="1" t="s">
        <v>1910</v>
      </c>
      <c r="AA205" s="1" t="s">
        <v>1533</v>
      </c>
      <c r="AB205" s="1" t="s">
        <v>192</v>
      </c>
      <c r="AC205" s="1"/>
      <c r="AD205" s="1" t="s">
        <v>1911</v>
      </c>
      <c r="AE205" s="1" t="s">
        <v>1912</v>
      </c>
    </row>
    <row r="206" spans="1:31" hidden="1" x14ac:dyDescent="0.25">
      <c r="A206" s="1" t="s">
        <v>1907</v>
      </c>
      <c r="B206" s="1" t="s">
        <v>2082</v>
      </c>
      <c r="C206" s="1" t="s">
        <v>1534</v>
      </c>
      <c r="D206" s="1" t="s">
        <v>1535</v>
      </c>
      <c r="E206" s="1" t="str">
        <f t="shared" si="3"/>
        <v>694</v>
      </c>
      <c r="F206" s="1"/>
      <c r="G206" s="1" t="s">
        <v>1536</v>
      </c>
      <c r="H206" s="1" t="s">
        <v>184</v>
      </c>
      <c r="I206" s="1" t="s">
        <v>1537</v>
      </c>
      <c r="J206" s="1" t="s">
        <v>1538</v>
      </c>
      <c r="K206" s="1" t="s">
        <v>208</v>
      </c>
      <c r="L206" s="1"/>
      <c r="M206" s="1" t="s">
        <v>105</v>
      </c>
      <c r="N206" s="1"/>
      <c r="O206" s="1"/>
      <c r="P206" s="1"/>
      <c r="Q206" s="1" t="s">
        <v>1539</v>
      </c>
      <c r="R206" s="1"/>
      <c r="S206" s="1" t="s">
        <v>1909</v>
      </c>
      <c r="T206" s="1"/>
      <c r="U206" s="1" t="s">
        <v>189</v>
      </c>
      <c r="V206" s="1"/>
      <c r="W206" s="1" t="s">
        <v>201</v>
      </c>
      <c r="X206" s="1" t="s">
        <v>201</v>
      </c>
      <c r="Y206" s="1"/>
      <c r="Z206" s="1" t="s">
        <v>1910</v>
      </c>
      <c r="AA206" s="1" t="s">
        <v>191</v>
      </c>
      <c r="AB206" s="1" t="s">
        <v>192</v>
      </c>
      <c r="AC206" s="1"/>
      <c r="AD206" s="1" t="s">
        <v>1911</v>
      </c>
      <c r="AE206" s="1" t="s">
        <v>1912</v>
      </c>
    </row>
    <row r="207" spans="1:31" hidden="1" x14ac:dyDescent="0.25">
      <c r="A207" s="1" t="s">
        <v>1907</v>
      </c>
      <c r="B207" s="1" t="s">
        <v>46</v>
      </c>
      <c r="C207" s="1" t="s">
        <v>1540</v>
      </c>
      <c r="D207" s="1" t="s">
        <v>1541</v>
      </c>
      <c r="E207" s="1" t="str">
        <f t="shared" si="3"/>
        <v>702</v>
      </c>
      <c r="F207" s="1"/>
      <c r="G207" s="1" t="s">
        <v>1542</v>
      </c>
      <c r="H207" s="1" t="s">
        <v>184</v>
      </c>
      <c r="I207" s="1" t="s">
        <v>1543</v>
      </c>
      <c r="J207" s="1" t="s">
        <v>1544</v>
      </c>
      <c r="K207" s="1" t="s">
        <v>495</v>
      </c>
      <c r="L207" s="1"/>
      <c r="M207" s="1" t="s">
        <v>105</v>
      </c>
      <c r="N207" s="1"/>
      <c r="O207" s="1"/>
      <c r="P207" s="1"/>
      <c r="Q207" s="1" t="s">
        <v>1545</v>
      </c>
      <c r="R207" s="1"/>
      <c r="S207" s="1" t="s">
        <v>1909</v>
      </c>
      <c r="T207" s="1" t="s">
        <v>1546</v>
      </c>
      <c r="U207" s="1" t="s">
        <v>210</v>
      </c>
      <c r="V207" s="1"/>
      <c r="W207" s="1" t="s">
        <v>201</v>
      </c>
      <c r="X207" s="1" t="s">
        <v>463</v>
      </c>
      <c r="Y207" s="1" t="s">
        <v>464</v>
      </c>
      <c r="Z207" s="1" t="s">
        <v>1910</v>
      </c>
      <c r="AA207" s="1" t="s">
        <v>191</v>
      </c>
      <c r="AB207" s="1" t="s">
        <v>192</v>
      </c>
      <c r="AC207" s="1"/>
      <c r="AD207" s="1" t="s">
        <v>1911</v>
      </c>
      <c r="AE207" s="1" t="s">
        <v>1912</v>
      </c>
    </row>
    <row r="208" spans="1:31" hidden="1" x14ac:dyDescent="0.25">
      <c r="A208" s="1" t="s">
        <v>1907</v>
      </c>
      <c r="B208" s="1" t="s">
        <v>147</v>
      </c>
      <c r="C208" s="1" t="s">
        <v>1547</v>
      </c>
      <c r="D208" s="1" t="s">
        <v>1548</v>
      </c>
      <c r="E208" s="1" t="str">
        <f t="shared" si="3"/>
        <v>703</v>
      </c>
      <c r="F208" s="1"/>
      <c r="G208" s="1" t="s">
        <v>1549</v>
      </c>
      <c r="H208" s="1" t="s">
        <v>184</v>
      </c>
      <c r="I208" s="1" t="s">
        <v>1550</v>
      </c>
      <c r="J208" s="1" t="s">
        <v>1551</v>
      </c>
      <c r="K208" s="1" t="s">
        <v>495</v>
      </c>
      <c r="L208" s="1"/>
      <c r="M208" s="1" t="s">
        <v>106</v>
      </c>
      <c r="N208" s="1" t="s">
        <v>282</v>
      </c>
      <c r="O208" s="1" t="s">
        <v>283</v>
      </c>
      <c r="P208" s="1" t="s">
        <v>284</v>
      </c>
      <c r="Q208" s="1" t="s">
        <v>1552</v>
      </c>
      <c r="R208" s="1"/>
      <c r="S208" s="1" t="s">
        <v>1909</v>
      </c>
      <c r="T208" s="1" t="s">
        <v>1553</v>
      </c>
      <c r="U208" s="1" t="s">
        <v>210</v>
      </c>
      <c r="V208" s="1"/>
      <c r="W208" s="1" t="s">
        <v>198</v>
      </c>
      <c r="X208" s="1" t="s">
        <v>201</v>
      </c>
      <c r="Y208" s="1" t="s">
        <v>239</v>
      </c>
      <c r="Z208" s="1" t="s">
        <v>1910</v>
      </c>
      <c r="AA208" s="1" t="s">
        <v>596</v>
      </c>
      <c r="AB208" s="1" t="s">
        <v>192</v>
      </c>
      <c r="AC208" s="1"/>
      <c r="AD208" s="1" t="s">
        <v>1911</v>
      </c>
      <c r="AE208" s="1" t="s">
        <v>1912</v>
      </c>
    </row>
    <row r="209" spans="1:31" hidden="1" x14ac:dyDescent="0.25">
      <c r="A209" s="1" t="s">
        <v>1907</v>
      </c>
      <c r="B209" s="1" t="s">
        <v>2083</v>
      </c>
      <c r="C209" s="1" t="s">
        <v>1554</v>
      </c>
      <c r="D209" s="1" t="s">
        <v>1555</v>
      </c>
      <c r="E209" s="1" t="str">
        <f t="shared" si="3"/>
        <v>704</v>
      </c>
      <c r="F209" s="1"/>
      <c r="G209" s="1" t="s">
        <v>1556</v>
      </c>
      <c r="H209" s="1" t="s">
        <v>222</v>
      </c>
      <c r="I209" s="1" t="s">
        <v>1557</v>
      </c>
      <c r="J209" s="1" t="s">
        <v>1558</v>
      </c>
      <c r="K209" s="1" t="s">
        <v>208</v>
      </c>
      <c r="L209" s="1"/>
      <c r="M209" s="1" t="s">
        <v>105</v>
      </c>
      <c r="N209" s="1"/>
      <c r="O209" s="1"/>
      <c r="P209" s="1"/>
      <c r="Q209" s="1" t="s">
        <v>1559</v>
      </c>
      <c r="R209" s="1"/>
      <c r="S209" s="1" t="s">
        <v>1909</v>
      </c>
      <c r="T209" s="1"/>
      <c r="U209" s="1" t="s">
        <v>217</v>
      </c>
      <c r="V209" s="1"/>
      <c r="W209" s="1"/>
      <c r="X209" s="1"/>
      <c r="Y209" s="1" t="s">
        <v>247</v>
      </c>
      <c r="Z209" s="1" t="s">
        <v>1910</v>
      </c>
      <c r="AA209" s="1" t="s">
        <v>191</v>
      </c>
      <c r="AB209" s="1" t="s">
        <v>192</v>
      </c>
      <c r="AC209" s="1"/>
      <c r="AD209" s="1" t="s">
        <v>1911</v>
      </c>
      <c r="AE209" s="1" t="s">
        <v>1912</v>
      </c>
    </row>
    <row r="210" spans="1:31" hidden="1" x14ac:dyDescent="0.25">
      <c r="A210" s="1" t="s">
        <v>1907</v>
      </c>
      <c r="B210" s="1" t="s">
        <v>148</v>
      </c>
      <c r="C210" s="1" t="s">
        <v>1560</v>
      </c>
      <c r="D210" s="1" t="s">
        <v>1561</v>
      </c>
      <c r="E210" s="1" t="str">
        <f t="shared" si="3"/>
        <v>705</v>
      </c>
      <c r="F210" s="1"/>
      <c r="G210" s="1" t="s">
        <v>1562</v>
      </c>
      <c r="H210" s="1" t="s">
        <v>184</v>
      </c>
      <c r="I210" s="1" t="s">
        <v>1563</v>
      </c>
      <c r="J210" s="1" t="s">
        <v>1564</v>
      </c>
      <c r="K210" s="1" t="s">
        <v>495</v>
      </c>
      <c r="L210" s="1"/>
      <c r="M210" s="1" t="s">
        <v>106</v>
      </c>
      <c r="N210" s="1" t="s">
        <v>282</v>
      </c>
      <c r="O210" s="1" t="s">
        <v>283</v>
      </c>
      <c r="P210" s="1" t="s">
        <v>284</v>
      </c>
      <c r="Q210" s="1" t="s">
        <v>1565</v>
      </c>
      <c r="R210" s="1"/>
      <c r="S210" s="1" t="s">
        <v>1909</v>
      </c>
      <c r="T210" s="1" t="s">
        <v>1566</v>
      </c>
      <c r="U210" s="1" t="s">
        <v>210</v>
      </c>
      <c r="V210" s="1"/>
      <c r="W210" s="1" t="s">
        <v>198</v>
      </c>
      <c r="X210" s="1" t="s">
        <v>201</v>
      </c>
      <c r="Y210" s="1" t="s">
        <v>239</v>
      </c>
      <c r="Z210" s="1" t="s">
        <v>1910</v>
      </c>
      <c r="AA210" s="1" t="s">
        <v>1567</v>
      </c>
      <c r="AB210" s="1" t="s">
        <v>192</v>
      </c>
      <c r="AC210" s="1"/>
      <c r="AD210" s="1" t="s">
        <v>1911</v>
      </c>
      <c r="AE210" s="1" t="s">
        <v>1912</v>
      </c>
    </row>
    <row r="211" spans="1:31" hidden="1" x14ac:dyDescent="0.25">
      <c r="A211" s="1" t="s">
        <v>1907</v>
      </c>
      <c r="B211" s="1" t="s">
        <v>2084</v>
      </c>
      <c r="C211" s="1" t="s">
        <v>1568</v>
      </c>
      <c r="D211" s="1" t="s">
        <v>1568</v>
      </c>
      <c r="E211" s="1" t="str">
        <f t="shared" si="3"/>
        <v>706</v>
      </c>
      <c r="F211" s="1"/>
      <c r="G211" s="1" t="s">
        <v>1569</v>
      </c>
      <c r="H211" s="1" t="s">
        <v>222</v>
      </c>
      <c r="I211" s="1" t="s">
        <v>1570</v>
      </c>
      <c r="J211" s="1" t="s">
        <v>1571</v>
      </c>
      <c r="K211" s="1" t="s">
        <v>930</v>
      </c>
      <c r="L211" s="1"/>
      <c r="M211" s="1" t="s">
        <v>105</v>
      </c>
      <c r="N211" s="1"/>
      <c r="O211" s="1"/>
      <c r="P211" s="1"/>
      <c r="Q211" s="1" t="s">
        <v>1572</v>
      </c>
      <c r="R211" s="1"/>
      <c r="S211" s="1" t="s">
        <v>1909</v>
      </c>
      <c r="T211" s="1"/>
      <c r="U211" s="1" t="s">
        <v>189</v>
      </c>
      <c r="V211" s="1"/>
      <c r="W211" s="1" t="s">
        <v>201</v>
      </c>
      <c r="X211" s="1" t="s">
        <v>355</v>
      </c>
      <c r="Y211" s="1"/>
      <c r="Z211" s="1" t="s">
        <v>1910</v>
      </c>
      <c r="AA211" s="1" t="s">
        <v>191</v>
      </c>
      <c r="AB211" s="1" t="s">
        <v>192</v>
      </c>
      <c r="AC211" s="1"/>
      <c r="AD211" s="1" t="s">
        <v>1911</v>
      </c>
      <c r="AE211" s="1" t="s">
        <v>1912</v>
      </c>
    </row>
    <row r="212" spans="1:31" hidden="1" x14ac:dyDescent="0.25">
      <c r="A212" s="1" t="s">
        <v>1907</v>
      </c>
      <c r="B212" s="1" t="s">
        <v>2085</v>
      </c>
      <c r="C212" s="1" t="s">
        <v>1573</v>
      </c>
      <c r="D212" s="1" t="s">
        <v>1574</v>
      </c>
      <c r="E212" s="1" t="str">
        <f t="shared" si="3"/>
        <v>710</v>
      </c>
      <c r="F212" s="1"/>
      <c r="G212" s="1" t="s">
        <v>1575</v>
      </c>
      <c r="H212" s="1" t="s">
        <v>184</v>
      </c>
      <c r="I212" s="1" t="s">
        <v>1576</v>
      </c>
      <c r="J212" s="1" t="s">
        <v>1577</v>
      </c>
      <c r="K212" s="1" t="s">
        <v>361</v>
      </c>
      <c r="L212" s="1" t="s">
        <v>198</v>
      </c>
      <c r="M212" s="1" t="s">
        <v>105</v>
      </c>
      <c r="N212" s="1"/>
      <c r="O212" s="1"/>
      <c r="P212" s="1"/>
      <c r="Q212" s="1" t="s">
        <v>1578</v>
      </c>
      <c r="R212" s="1" t="s">
        <v>1578</v>
      </c>
      <c r="S212" s="1" t="s">
        <v>1909</v>
      </c>
      <c r="T212" s="1"/>
      <c r="U212" s="1" t="s">
        <v>217</v>
      </c>
      <c r="V212" s="1" t="s">
        <v>1579</v>
      </c>
      <c r="W212" s="1" t="s">
        <v>201</v>
      </c>
      <c r="X212" s="1" t="s">
        <v>355</v>
      </c>
      <c r="Y212" s="1" t="s">
        <v>247</v>
      </c>
      <c r="Z212" s="1" t="s">
        <v>1910</v>
      </c>
      <c r="AA212" s="1" t="s">
        <v>191</v>
      </c>
      <c r="AB212" s="1" t="s">
        <v>1580</v>
      </c>
      <c r="AC212" s="1"/>
      <c r="AD212" s="1" t="s">
        <v>1911</v>
      </c>
      <c r="AE212" s="1" t="s">
        <v>1912</v>
      </c>
    </row>
    <row r="213" spans="1:31" hidden="1" x14ac:dyDescent="0.25">
      <c r="A213" s="1" t="s">
        <v>1907</v>
      </c>
      <c r="B213" s="1" t="s">
        <v>2086</v>
      </c>
      <c r="C213" s="1" t="s">
        <v>1581</v>
      </c>
      <c r="D213" s="1" t="s">
        <v>1581</v>
      </c>
      <c r="E213" s="1" t="str">
        <f t="shared" si="3"/>
        <v>716</v>
      </c>
      <c r="F213" s="1"/>
      <c r="G213" s="1" t="s">
        <v>1582</v>
      </c>
      <c r="H213" s="1" t="s">
        <v>222</v>
      </c>
      <c r="I213" s="1" t="s">
        <v>1583</v>
      </c>
      <c r="J213" s="1" t="s">
        <v>1584</v>
      </c>
      <c r="K213" s="1" t="s">
        <v>187</v>
      </c>
      <c r="L213" s="1" t="s">
        <v>198</v>
      </c>
      <c r="M213" s="1" t="s">
        <v>105</v>
      </c>
      <c r="N213" s="1"/>
      <c r="O213" s="1"/>
      <c r="P213" s="1"/>
      <c r="Q213" s="1" t="s">
        <v>1585</v>
      </c>
      <c r="R213" s="1"/>
      <c r="S213" s="1" t="s">
        <v>1909</v>
      </c>
      <c r="T213" s="1"/>
      <c r="U213" s="1" t="s">
        <v>189</v>
      </c>
      <c r="V213" s="1"/>
      <c r="W213" s="1"/>
      <c r="X213" s="1" t="s">
        <v>190</v>
      </c>
      <c r="Y213" s="1"/>
      <c r="Z213" s="1" t="s">
        <v>1910</v>
      </c>
      <c r="AA213" s="1" t="s">
        <v>191</v>
      </c>
      <c r="AB213" s="1" t="s">
        <v>192</v>
      </c>
      <c r="AC213" s="1"/>
      <c r="AD213" s="1" t="s">
        <v>1911</v>
      </c>
      <c r="AE213" s="1" t="s">
        <v>1912</v>
      </c>
    </row>
    <row r="214" spans="1:31" hidden="1" x14ac:dyDescent="0.25">
      <c r="A214" s="1" t="s">
        <v>1907</v>
      </c>
      <c r="B214" s="1" t="s">
        <v>149</v>
      </c>
      <c r="C214" s="1" t="s">
        <v>1586</v>
      </c>
      <c r="D214" s="1" t="s">
        <v>1587</v>
      </c>
      <c r="E214" s="1" t="str">
        <f t="shared" si="3"/>
        <v>724</v>
      </c>
      <c r="F214" s="1"/>
      <c r="G214" s="1" t="s">
        <v>1588</v>
      </c>
      <c r="H214" s="1" t="s">
        <v>184</v>
      </c>
      <c r="I214" s="1" t="s">
        <v>1589</v>
      </c>
      <c r="J214" s="1" t="s">
        <v>1590</v>
      </c>
      <c r="K214" s="1" t="s">
        <v>275</v>
      </c>
      <c r="L214" s="1"/>
      <c r="M214" s="1" t="s">
        <v>99</v>
      </c>
      <c r="N214" s="1" t="s">
        <v>282</v>
      </c>
      <c r="O214" s="1" t="s">
        <v>283</v>
      </c>
      <c r="P214" s="1" t="s">
        <v>284</v>
      </c>
      <c r="Q214" s="1" t="s">
        <v>1591</v>
      </c>
      <c r="R214" s="1" t="s">
        <v>1591</v>
      </c>
      <c r="S214" s="1" t="s">
        <v>1909</v>
      </c>
      <c r="T214" s="1" t="s">
        <v>1592</v>
      </c>
      <c r="U214" s="1" t="s">
        <v>1910</v>
      </c>
      <c r="V214" s="1"/>
      <c r="W214" s="1" t="s">
        <v>198</v>
      </c>
      <c r="X214" s="1" t="s">
        <v>284</v>
      </c>
      <c r="Y214" s="1" t="s">
        <v>326</v>
      </c>
      <c r="Z214" s="1" t="s">
        <v>1910</v>
      </c>
      <c r="AA214" s="1" t="s">
        <v>1593</v>
      </c>
      <c r="AB214" s="1" t="s">
        <v>192</v>
      </c>
      <c r="AC214" s="1"/>
      <c r="AD214" s="1" t="s">
        <v>1911</v>
      </c>
      <c r="AE214" s="1" t="s">
        <v>1912</v>
      </c>
    </row>
    <row r="215" spans="1:31" hidden="1" x14ac:dyDescent="0.25">
      <c r="A215" s="1" t="s">
        <v>1907</v>
      </c>
      <c r="B215" s="1" t="s">
        <v>2087</v>
      </c>
      <c r="C215" s="1" t="s">
        <v>1594</v>
      </c>
      <c r="D215" s="1" t="s">
        <v>1595</v>
      </c>
      <c r="E215" s="1" t="str">
        <f t="shared" si="3"/>
        <v>725</v>
      </c>
      <c r="F215" s="1"/>
      <c r="G215" s="1" t="s">
        <v>1596</v>
      </c>
      <c r="H215" s="1" t="s">
        <v>804</v>
      </c>
      <c r="I215" s="1" t="s">
        <v>2087</v>
      </c>
      <c r="J215" s="1" t="s">
        <v>1597</v>
      </c>
      <c r="K215" s="1" t="s">
        <v>1986</v>
      </c>
      <c r="L215" s="1"/>
      <c r="M215" s="1" t="s">
        <v>105</v>
      </c>
      <c r="N215" s="1"/>
      <c r="O215" s="1"/>
      <c r="P215" s="1"/>
      <c r="Q215" s="1" t="s">
        <v>1598</v>
      </c>
      <c r="R215" s="1"/>
      <c r="S215" s="1" t="s">
        <v>1909</v>
      </c>
      <c r="T215" s="1"/>
      <c r="U215" s="1" t="s">
        <v>1910</v>
      </c>
      <c r="V215" s="1"/>
      <c r="W215" s="1"/>
      <c r="X215" s="1" t="s">
        <v>807</v>
      </c>
      <c r="Y215" s="1"/>
      <c r="Z215" s="1" t="s">
        <v>1910</v>
      </c>
      <c r="AA215" s="1" t="s">
        <v>1987</v>
      </c>
      <c r="AB215" s="1"/>
      <c r="AC215" s="1"/>
      <c r="AD215" s="1" t="s">
        <v>1911</v>
      </c>
      <c r="AE215" s="1" t="s">
        <v>1912</v>
      </c>
    </row>
    <row r="216" spans="1:31" hidden="1" x14ac:dyDescent="0.25">
      <c r="A216" s="1" t="s">
        <v>1907</v>
      </c>
      <c r="B216" s="1" t="s">
        <v>2088</v>
      </c>
      <c r="C216" s="1" t="s">
        <v>1599</v>
      </c>
      <c r="D216" s="1" t="s">
        <v>1600</v>
      </c>
      <c r="E216" s="1" t="str">
        <f t="shared" si="3"/>
        <v>728</v>
      </c>
      <c r="F216" s="1"/>
      <c r="G216" s="1" t="s">
        <v>1601</v>
      </c>
      <c r="H216" s="1" t="s">
        <v>184</v>
      </c>
      <c r="I216" s="1" t="s">
        <v>1602</v>
      </c>
      <c r="J216" s="1" t="s">
        <v>1603</v>
      </c>
      <c r="K216" s="1" t="s">
        <v>1604</v>
      </c>
      <c r="L216" s="1"/>
      <c r="M216" s="1" t="s">
        <v>105</v>
      </c>
      <c r="N216" s="1"/>
      <c r="O216" s="1"/>
      <c r="P216" s="1"/>
      <c r="Q216" s="1" t="s">
        <v>284</v>
      </c>
      <c r="R216" s="1"/>
      <c r="S216" s="1" t="s">
        <v>1909</v>
      </c>
      <c r="T216" s="1"/>
      <c r="U216" s="1" t="s">
        <v>189</v>
      </c>
      <c r="V216" s="1"/>
      <c r="W216" s="1" t="s">
        <v>201</v>
      </c>
      <c r="X216" s="1" t="s">
        <v>355</v>
      </c>
      <c r="Y216" s="1"/>
      <c r="Z216" s="1" t="s">
        <v>1910</v>
      </c>
      <c r="AA216" s="1" t="s">
        <v>191</v>
      </c>
      <c r="AB216" s="1" t="s">
        <v>1605</v>
      </c>
      <c r="AC216" s="1"/>
      <c r="AD216" s="1" t="s">
        <v>1911</v>
      </c>
      <c r="AE216" s="1" t="s">
        <v>1912</v>
      </c>
    </row>
    <row r="217" spans="1:31" hidden="1" x14ac:dyDescent="0.25">
      <c r="A217" s="1" t="s">
        <v>1907</v>
      </c>
      <c r="B217" s="1" t="s">
        <v>2089</v>
      </c>
      <c r="C217" s="1" t="s">
        <v>1606</v>
      </c>
      <c r="D217" s="1" t="s">
        <v>1606</v>
      </c>
      <c r="E217" s="1" t="str">
        <f t="shared" si="3"/>
        <v>729</v>
      </c>
      <c r="F217" s="1"/>
      <c r="G217" s="1" t="s">
        <v>1607</v>
      </c>
      <c r="H217" s="1" t="s">
        <v>222</v>
      </c>
      <c r="I217" s="1" t="s">
        <v>1608</v>
      </c>
      <c r="J217" s="1" t="s">
        <v>1609</v>
      </c>
      <c r="K217" s="1" t="s">
        <v>435</v>
      </c>
      <c r="L217" s="1"/>
      <c r="M217" s="1" t="s">
        <v>105</v>
      </c>
      <c r="N217" s="1"/>
      <c r="O217" s="1"/>
      <c r="P217" s="1"/>
      <c r="Q217" s="1" t="s">
        <v>1610</v>
      </c>
      <c r="R217" s="1"/>
      <c r="S217" s="1" t="s">
        <v>1909</v>
      </c>
      <c r="T217" s="1"/>
      <c r="U217" s="1" t="s">
        <v>189</v>
      </c>
      <c r="V217" s="1"/>
      <c r="W217" s="1" t="s">
        <v>201</v>
      </c>
      <c r="X217" s="1" t="s">
        <v>355</v>
      </c>
      <c r="Y217" s="1"/>
      <c r="Z217" s="1" t="s">
        <v>1910</v>
      </c>
      <c r="AA217" s="1" t="s">
        <v>191</v>
      </c>
      <c r="AB217" s="1" t="s">
        <v>201</v>
      </c>
      <c r="AC217" s="1"/>
      <c r="AD217" s="1" t="s">
        <v>1911</v>
      </c>
      <c r="AE217" s="1" t="s">
        <v>1912</v>
      </c>
    </row>
    <row r="218" spans="1:31" hidden="1" x14ac:dyDescent="0.25">
      <c r="A218" s="1" t="s">
        <v>1907</v>
      </c>
      <c r="B218" s="1" t="s">
        <v>2090</v>
      </c>
      <c r="C218" s="1" t="s">
        <v>1611</v>
      </c>
      <c r="D218" s="1" t="s">
        <v>1612</v>
      </c>
      <c r="E218" s="1" t="str">
        <f t="shared" si="3"/>
        <v>732</v>
      </c>
      <c r="F218" s="1"/>
      <c r="G218" s="1" t="s">
        <v>1613</v>
      </c>
      <c r="H218" s="1" t="s">
        <v>222</v>
      </c>
      <c r="I218" s="1" t="s">
        <v>1614</v>
      </c>
      <c r="J218" s="1" t="s">
        <v>1615</v>
      </c>
      <c r="K218" s="1" t="s">
        <v>208</v>
      </c>
      <c r="L218" s="1"/>
      <c r="M218" s="1" t="s">
        <v>105</v>
      </c>
      <c r="N218" s="1"/>
      <c r="O218" s="1"/>
      <c r="P218" s="1"/>
      <c r="Q218" s="1" t="s">
        <v>1616</v>
      </c>
      <c r="R218" s="1"/>
      <c r="S218" s="1" t="s">
        <v>1909</v>
      </c>
      <c r="T218" s="1"/>
      <c r="U218" s="1" t="s">
        <v>189</v>
      </c>
      <c r="V218" s="1"/>
      <c r="W218" s="1"/>
      <c r="X218" s="1"/>
      <c r="Y218" s="1"/>
      <c r="Z218" s="1" t="s">
        <v>1910</v>
      </c>
      <c r="AA218" s="1" t="s">
        <v>191</v>
      </c>
      <c r="AB218" s="1" t="s">
        <v>192</v>
      </c>
      <c r="AC218" s="1"/>
      <c r="AD218" s="1" t="s">
        <v>1911</v>
      </c>
      <c r="AE218" s="1" t="s">
        <v>1912</v>
      </c>
    </row>
    <row r="219" spans="1:31" hidden="1" x14ac:dyDescent="0.25">
      <c r="A219" s="1" t="s">
        <v>1907</v>
      </c>
      <c r="B219" s="1" t="s">
        <v>2091</v>
      </c>
      <c r="C219" s="1" t="s">
        <v>1617</v>
      </c>
      <c r="D219" s="1" t="s">
        <v>1617</v>
      </c>
      <c r="E219" s="1" t="str">
        <f t="shared" si="3"/>
        <v>740</v>
      </c>
      <c r="F219" s="1"/>
      <c r="G219" s="1" t="s">
        <v>1618</v>
      </c>
      <c r="H219" s="1" t="s">
        <v>184</v>
      </c>
      <c r="I219" s="1" t="s">
        <v>1619</v>
      </c>
      <c r="J219" s="1" t="s">
        <v>1620</v>
      </c>
      <c r="K219" s="1" t="s">
        <v>267</v>
      </c>
      <c r="L219" s="1"/>
      <c r="M219" s="1" t="s">
        <v>105</v>
      </c>
      <c r="N219" s="1"/>
      <c r="O219" s="1"/>
      <c r="P219" s="1"/>
      <c r="Q219" s="1" t="s">
        <v>1621</v>
      </c>
      <c r="R219" s="1"/>
      <c r="S219" s="1" t="s">
        <v>1909</v>
      </c>
      <c r="T219" s="1"/>
      <c r="U219" s="1" t="s">
        <v>200</v>
      </c>
      <c r="V219" s="1"/>
      <c r="W219" s="1"/>
      <c r="X219" s="1"/>
      <c r="Y219" s="1"/>
      <c r="Z219" s="1" t="s">
        <v>1910</v>
      </c>
      <c r="AA219" s="1" t="s">
        <v>191</v>
      </c>
      <c r="AB219" s="1" t="s">
        <v>192</v>
      </c>
      <c r="AC219" s="1"/>
      <c r="AD219" s="1" t="s">
        <v>1911</v>
      </c>
      <c r="AE219" s="1" t="s">
        <v>1912</v>
      </c>
    </row>
    <row r="220" spans="1:31" hidden="1" x14ac:dyDescent="0.25">
      <c r="A220" s="1" t="s">
        <v>1907</v>
      </c>
      <c r="B220" s="1" t="s">
        <v>2092</v>
      </c>
      <c r="C220" s="1" t="s">
        <v>1622</v>
      </c>
      <c r="D220" s="1" t="s">
        <v>1623</v>
      </c>
      <c r="E220" s="1" t="str">
        <f t="shared" si="3"/>
        <v>744</v>
      </c>
      <c r="F220" s="1"/>
      <c r="G220" s="1" t="s">
        <v>1624</v>
      </c>
      <c r="H220" s="1" t="s">
        <v>222</v>
      </c>
      <c r="I220" s="1" t="s">
        <v>1625</v>
      </c>
      <c r="J220" s="1" t="s">
        <v>1626</v>
      </c>
      <c r="K220" s="1" t="s">
        <v>208</v>
      </c>
      <c r="L220" s="1"/>
      <c r="M220" s="1" t="s">
        <v>105</v>
      </c>
      <c r="N220" s="1"/>
      <c r="O220" s="1"/>
      <c r="P220" s="1" t="s">
        <v>198</v>
      </c>
      <c r="Q220" s="1" t="s">
        <v>1627</v>
      </c>
      <c r="R220" s="1"/>
      <c r="S220" s="1" t="s">
        <v>1909</v>
      </c>
      <c r="T220" s="1"/>
      <c r="U220" s="1" t="s">
        <v>189</v>
      </c>
      <c r="V220" s="1"/>
      <c r="W220" s="1" t="s">
        <v>201</v>
      </c>
      <c r="X220" s="1" t="s">
        <v>227</v>
      </c>
      <c r="Y220" s="1"/>
      <c r="Z220" s="1" t="s">
        <v>1910</v>
      </c>
      <c r="AA220" s="1" t="s">
        <v>370</v>
      </c>
      <c r="AB220" s="1" t="s">
        <v>192</v>
      </c>
      <c r="AC220" s="1"/>
      <c r="AD220" s="1" t="s">
        <v>1911</v>
      </c>
      <c r="AE220" s="1" t="s">
        <v>1912</v>
      </c>
    </row>
    <row r="221" spans="1:31" hidden="1" x14ac:dyDescent="0.25">
      <c r="A221" s="1" t="s">
        <v>1907</v>
      </c>
      <c r="B221" s="1" t="s">
        <v>2093</v>
      </c>
      <c r="C221" s="1" t="s">
        <v>1628</v>
      </c>
      <c r="D221" s="1" t="s">
        <v>1629</v>
      </c>
      <c r="E221" s="1" t="str">
        <f t="shared" si="3"/>
        <v>748</v>
      </c>
      <c r="F221" s="1"/>
      <c r="G221" s="1" t="s">
        <v>1630</v>
      </c>
      <c r="H221" s="1" t="s">
        <v>184</v>
      </c>
      <c r="I221" s="1" t="s">
        <v>1631</v>
      </c>
      <c r="J221" s="1" t="s">
        <v>1632</v>
      </c>
      <c r="K221" s="1" t="s">
        <v>197</v>
      </c>
      <c r="L221" s="1"/>
      <c r="M221" s="1" t="s">
        <v>105</v>
      </c>
      <c r="N221" s="1"/>
      <c r="O221" s="1"/>
      <c r="P221" s="1"/>
      <c r="Q221" s="1" t="s">
        <v>1633</v>
      </c>
      <c r="R221" s="1"/>
      <c r="S221" s="1" t="s">
        <v>1909</v>
      </c>
      <c r="T221" s="1"/>
      <c r="U221" s="1" t="s">
        <v>200</v>
      </c>
      <c r="V221" s="1"/>
      <c r="W221" s="1" t="s">
        <v>201</v>
      </c>
      <c r="X221" s="1" t="s">
        <v>227</v>
      </c>
      <c r="Y221" s="1"/>
      <c r="Z221" s="1" t="s">
        <v>1910</v>
      </c>
      <c r="AA221" s="1" t="s">
        <v>191</v>
      </c>
      <c r="AB221" s="1" t="s">
        <v>192</v>
      </c>
      <c r="AC221" s="1"/>
      <c r="AD221" s="1" t="s">
        <v>1911</v>
      </c>
      <c r="AE221" s="1" t="s">
        <v>1912</v>
      </c>
    </row>
    <row r="222" spans="1:31" hidden="1" x14ac:dyDescent="0.25">
      <c r="A222" s="1" t="s">
        <v>1907</v>
      </c>
      <c r="B222" s="1" t="s">
        <v>150</v>
      </c>
      <c r="C222" s="1" t="s">
        <v>1634</v>
      </c>
      <c r="D222" s="1" t="s">
        <v>1635</v>
      </c>
      <c r="E222" s="1" t="str">
        <f t="shared" si="3"/>
        <v>752</v>
      </c>
      <c r="F222" s="1"/>
      <c r="G222" s="1" t="s">
        <v>1636</v>
      </c>
      <c r="H222" s="1" t="s">
        <v>184</v>
      </c>
      <c r="I222" s="1" t="s">
        <v>1637</v>
      </c>
      <c r="J222" s="1" t="s">
        <v>1638</v>
      </c>
      <c r="K222" s="1" t="s">
        <v>323</v>
      </c>
      <c r="L222" s="1"/>
      <c r="M222" s="1" t="s">
        <v>109</v>
      </c>
      <c r="N222" s="1" t="s">
        <v>282</v>
      </c>
      <c r="O222" s="1" t="s">
        <v>414</v>
      </c>
      <c r="P222" s="1" t="s">
        <v>284</v>
      </c>
      <c r="Q222" s="1" t="s">
        <v>1639</v>
      </c>
      <c r="R222" s="1"/>
      <c r="S222" s="1" t="s">
        <v>1909</v>
      </c>
      <c r="T222" s="1" t="s">
        <v>1640</v>
      </c>
      <c r="U222" s="1" t="s">
        <v>1910</v>
      </c>
      <c r="V222" s="1"/>
      <c r="W222" s="1" t="s">
        <v>198</v>
      </c>
      <c r="X222" s="1" t="s">
        <v>198</v>
      </c>
      <c r="Y222" s="1" t="s">
        <v>198</v>
      </c>
      <c r="Z222" s="1" t="s">
        <v>1910</v>
      </c>
      <c r="AA222" s="1" t="s">
        <v>1641</v>
      </c>
      <c r="AB222" s="1" t="s">
        <v>192</v>
      </c>
      <c r="AC222" s="1"/>
      <c r="AD222" s="1" t="s">
        <v>1911</v>
      </c>
      <c r="AE222" s="1" t="s">
        <v>1912</v>
      </c>
    </row>
    <row r="223" spans="1:31" hidden="1" x14ac:dyDescent="0.25">
      <c r="A223" s="1" t="s">
        <v>1907</v>
      </c>
      <c r="B223" s="1" t="s">
        <v>49</v>
      </c>
      <c r="C223" s="1" t="s">
        <v>1642</v>
      </c>
      <c r="D223" s="1" t="s">
        <v>1643</v>
      </c>
      <c r="E223" s="1" t="str">
        <f t="shared" si="3"/>
        <v>756</v>
      </c>
      <c r="F223" s="1"/>
      <c r="G223" s="1" t="s">
        <v>1644</v>
      </c>
      <c r="H223" s="1" t="s">
        <v>184</v>
      </c>
      <c r="I223" s="1" t="s">
        <v>1645</v>
      </c>
      <c r="J223" s="1" t="s">
        <v>1646</v>
      </c>
      <c r="K223" s="1" t="s">
        <v>1087</v>
      </c>
      <c r="L223" s="1"/>
      <c r="M223" s="1" t="s">
        <v>106</v>
      </c>
      <c r="N223" s="1" t="s">
        <v>234</v>
      </c>
      <c r="O223" s="1"/>
      <c r="P223" s="1" t="s">
        <v>284</v>
      </c>
      <c r="Q223" s="1" t="s">
        <v>1647</v>
      </c>
      <c r="R223" s="1"/>
      <c r="S223" s="1" t="s">
        <v>1909</v>
      </c>
      <c r="T223" s="1" t="s">
        <v>1648</v>
      </c>
      <c r="U223" s="1" t="s">
        <v>1910</v>
      </c>
      <c r="V223" s="1"/>
      <c r="W223" s="1" t="s">
        <v>201</v>
      </c>
      <c r="X223" s="1" t="s">
        <v>463</v>
      </c>
      <c r="Y223" s="1" t="s">
        <v>239</v>
      </c>
      <c r="Z223" s="1" t="s">
        <v>1910</v>
      </c>
      <c r="AA223" s="1" t="s">
        <v>1074</v>
      </c>
      <c r="AB223" s="1" t="s">
        <v>192</v>
      </c>
      <c r="AC223" s="1"/>
      <c r="AD223" s="1" t="s">
        <v>1911</v>
      </c>
      <c r="AE223" s="1" t="s">
        <v>1912</v>
      </c>
    </row>
    <row r="224" spans="1:31" hidden="1" x14ac:dyDescent="0.25">
      <c r="A224" s="1" t="s">
        <v>1907</v>
      </c>
      <c r="B224" s="1" t="s">
        <v>2094</v>
      </c>
      <c r="C224" s="1" t="s">
        <v>1649</v>
      </c>
      <c r="D224" s="1" t="s">
        <v>1650</v>
      </c>
      <c r="E224" s="1" t="str">
        <f t="shared" si="3"/>
        <v>760</v>
      </c>
      <c r="F224" s="1"/>
      <c r="G224" s="1" t="s">
        <v>1651</v>
      </c>
      <c r="H224" s="1" t="s">
        <v>184</v>
      </c>
      <c r="I224" s="1" t="s">
        <v>1652</v>
      </c>
      <c r="J224" s="1" t="s">
        <v>1653</v>
      </c>
      <c r="K224" s="1" t="s">
        <v>1006</v>
      </c>
      <c r="L224" s="1"/>
      <c r="M224" s="1" t="s">
        <v>105</v>
      </c>
      <c r="N224" s="1"/>
      <c r="O224" s="1"/>
      <c r="P224" s="1"/>
      <c r="Q224" s="1" t="s">
        <v>1654</v>
      </c>
      <c r="R224" s="1"/>
      <c r="S224" s="1" t="s">
        <v>1909</v>
      </c>
      <c r="T224" s="1" t="s">
        <v>1655</v>
      </c>
      <c r="U224" s="1" t="s">
        <v>189</v>
      </c>
      <c r="V224" s="1"/>
      <c r="W224" s="1" t="s">
        <v>201</v>
      </c>
      <c r="X224" s="1" t="s">
        <v>355</v>
      </c>
      <c r="Y224" s="1"/>
      <c r="Z224" s="1" t="s">
        <v>1910</v>
      </c>
      <c r="AA224" s="1" t="s">
        <v>191</v>
      </c>
      <c r="AB224" s="1" t="s">
        <v>192</v>
      </c>
      <c r="AC224" s="1"/>
      <c r="AD224" s="1" t="s">
        <v>1911</v>
      </c>
      <c r="AE224" s="1" t="s">
        <v>1912</v>
      </c>
    </row>
    <row r="225" spans="1:31" hidden="1" x14ac:dyDescent="0.25">
      <c r="A225" s="1" t="s">
        <v>1907</v>
      </c>
      <c r="B225" s="1" t="s">
        <v>2095</v>
      </c>
      <c r="C225" s="1" t="s">
        <v>1656</v>
      </c>
      <c r="D225" s="1" t="s">
        <v>1657</v>
      </c>
      <c r="E225" s="1" t="str">
        <f t="shared" si="3"/>
        <v>762</v>
      </c>
      <c r="F225" s="1"/>
      <c r="G225" s="1" t="s">
        <v>1658</v>
      </c>
      <c r="H225" s="1" t="s">
        <v>222</v>
      </c>
      <c r="I225" s="1" t="s">
        <v>1659</v>
      </c>
      <c r="J225" s="1" t="s">
        <v>1660</v>
      </c>
      <c r="K225" s="1" t="s">
        <v>208</v>
      </c>
      <c r="L225" s="1"/>
      <c r="M225" s="1" t="s">
        <v>105</v>
      </c>
      <c r="N225" s="1"/>
      <c r="O225" s="1"/>
      <c r="P225" s="1"/>
      <c r="Q225" s="1" t="s">
        <v>1661</v>
      </c>
      <c r="R225" s="1"/>
      <c r="S225" s="1" t="s">
        <v>1909</v>
      </c>
      <c r="T225" s="1"/>
      <c r="U225" s="1" t="s">
        <v>200</v>
      </c>
      <c r="V225" s="1"/>
      <c r="W225" s="1"/>
      <c r="X225" s="1"/>
      <c r="Y225" s="1"/>
      <c r="Z225" s="1" t="s">
        <v>1910</v>
      </c>
      <c r="AA225" s="1" t="s">
        <v>191</v>
      </c>
      <c r="AB225" s="1" t="s">
        <v>192</v>
      </c>
      <c r="AC225" s="1"/>
      <c r="AD225" s="1" t="s">
        <v>1911</v>
      </c>
      <c r="AE225" s="1" t="s">
        <v>1912</v>
      </c>
    </row>
    <row r="226" spans="1:31" hidden="1" x14ac:dyDescent="0.25">
      <c r="A226" s="1" t="s">
        <v>1907</v>
      </c>
      <c r="B226" s="1" t="s">
        <v>2096</v>
      </c>
      <c r="C226" s="1" t="s">
        <v>1662</v>
      </c>
      <c r="D226" s="1" t="s">
        <v>1663</v>
      </c>
      <c r="E226" s="1" t="str">
        <f t="shared" si="3"/>
        <v>764</v>
      </c>
      <c r="F226" s="1"/>
      <c r="G226" s="1" t="s">
        <v>1664</v>
      </c>
      <c r="H226" s="1" t="s">
        <v>184</v>
      </c>
      <c r="I226" s="1" t="s">
        <v>1665</v>
      </c>
      <c r="J226" s="1" t="s">
        <v>1666</v>
      </c>
      <c r="K226" s="1" t="s">
        <v>197</v>
      </c>
      <c r="L226" s="1"/>
      <c r="M226" s="1" t="s">
        <v>105</v>
      </c>
      <c r="N226" s="1"/>
      <c r="O226" s="1"/>
      <c r="P226" s="1"/>
      <c r="Q226" s="1" t="s">
        <v>1667</v>
      </c>
      <c r="R226" s="1"/>
      <c r="S226" s="1" t="s">
        <v>1909</v>
      </c>
      <c r="T226" s="1" t="s">
        <v>1668</v>
      </c>
      <c r="U226" s="1" t="s">
        <v>210</v>
      </c>
      <c r="V226" s="1"/>
      <c r="W226" s="1"/>
      <c r="X226" s="1"/>
      <c r="Y226" s="1"/>
      <c r="Z226" s="1" t="s">
        <v>1910</v>
      </c>
      <c r="AA226" s="1" t="s">
        <v>191</v>
      </c>
      <c r="AB226" s="1" t="s">
        <v>192</v>
      </c>
      <c r="AC226" s="1"/>
      <c r="AD226" s="1" t="s">
        <v>1911</v>
      </c>
      <c r="AE226" s="1" t="s">
        <v>1912</v>
      </c>
    </row>
    <row r="227" spans="1:31" hidden="1" x14ac:dyDescent="0.25">
      <c r="A227" s="1" t="s">
        <v>1907</v>
      </c>
      <c r="B227" s="1" t="s">
        <v>2097</v>
      </c>
      <c r="C227" s="1" t="s">
        <v>1669</v>
      </c>
      <c r="D227" s="1" t="s">
        <v>1669</v>
      </c>
      <c r="E227" s="1" t="str">
        <f t="shared" si="3"/>
        <v>768</v>
      </c>
      <c r="F227" s="1"/>
      <c r="G227" s="1" t="s">
        <v>1670</v>
      </c>
      <c r="H227" s="1" t="s">
        <v>222</v>
      </c>
      <c r="I227" s="1" t="s">
        <v>1671</v>
      </c>
      <c r="J227" s="1" t="s">
        <v>1672</v>
      </c>
      <c r="K227" s="1" t="s">
        <v>197</v>
      </c>
      <c r="L227" s="1"/>
      <c r="M227" s="1" t="s">
        <v>105</v>
      </c>
      <c r="N227" s="1"/>
      <c r="O227" s="1"/>
      <c r="P227" s="1"/>
      <c r="Q227" s="1" t="s">
        <v>1673</v>
      </c>
      <c r="R227" s="1"/>
      <c r="S227" s="1" t="s">
        <v>1909</v>
      </c>
      <c r="T227" s="1"/>
      <c r="U227" s="1" t="s">
        <v>200</v>
      </c>
      <c r="V227" s="1"/>
      <c r="W227" s="1"/>
      <c r="X227" s="1"/>
      <c r="Y227" s="1"/>
      <c r="Z227" s="1" t="s">
        <v>1910</v>
      </c>
      <c r="AA227" s="1" t="s">
        <v>191</v>
      </c>
      <c r="AB227" s="1" t="s">
        <v>192</v>
      </c>
      <c r="AC227" s="1"/>
      <c r="AD227" s="1" t="s">
        <v>1911</v>
      </c>
      <c r="AE227" s="1" t="s">
        <v>1912</v>
      </c>
    </row>
    <row r="228" spans="1:31" hidden="1" x14ac:dyDescent="0.25">
      <c r="A228" s="1" t="s">
        <v>1907</v>
      </c>
      <c r="B228" s="1" t="s">
        <v>2098</v>
      </c>
      <c r="C228" s="1" t="s">
        <v>1674</v>
      </c>
      <c r="D228" s="1" t="s">
        <v>1674</v>
      </c>
      <c r="E228" s="1" t="str">
        <f t="shared" si="3"/>
        <v>772</v>
      </c>
      <c r="F228" s="1"/>
      <c r="G228" s="1" t="s">
        <v>1675</v>
      </c>
      <c r="H228" s="1" t="s">
        <v>184</v>
      </c>
      <c r="I228" s="1" t="s">
        <v>1676</v>
      </c>
      <c r="J228" s="1" t="s">
        <v>1677</v>
      </c>
      <c r="K228" s="1" t="s">
        <v>208</v>
      </c>
      <c r="L228" s="1"/>
      <c r="M228" s="1" t="s">
        <v>105</v>
      </c>
      <c r="N228" s="1"/>
      <c r="O228" s="1"/>
      <c r="P228" s="1"/>
      <c r="Q228" s="1" t="s">
        <v>1678</v>
      </c>
      <c r="R228" s="1"/>
      <c r="S228" s="1" t="s">
        <v>1909</v>
      </c>
      <c r="T228" s="1"/>
      <c r="U228" s="1" t="s">
        <v>210</v>
      </c>
      <c r="V228" s="1"/>
      <c r="W228" s="1" t="s">
        <v>201</v>
      </c>
      <c r="X228" s="1" t="s">
        <v>227</v>
      </c>
      <c r="Y228" s="1"/>
      <c r="Z228" s="1" t="s">
        <v>1910</v>
      </c>
      <c r="AA228" s="1" t="s">
        <v>228</v>
      </c>
      <c r="AB228" s="1" t="s">
        <v>192</v>
      </c>
      <c r="AC228" s="1"/>
      <c r="AD228" s="1" t="s">
        <v>1911</v>
      </c>
      <c r="AE228" s="1" t="s">
        <v>1912</v>
      </c>
    </row>
    <row r="229" spans="1:31" hidden="1" x14ac:dyDescent="0.25">
      <c r="A229" s="1" t="s">
        <v>1907</v>
      </c>
      <c r="B229" s="1" t="s">
        <v>2099</v>
      </c>
      <c r="C229" s="1" t="s">
        <v>1679</v>
      </c>
      <c r="D229" s="1" t="s">
        <v>1679</v>
      </c>
      <c r="E229" s="1" t="str">
        <f t="shared" si="3"/>
        <v>776</v>
      </c>
      <c r="F229" s="1"/>
      <c r="G229" s="1" t="s">
        <v>1680</v>
      </c>
      <c r="H229" s="1" t="s">
        <v>184</v>
      </c>
      <c r="I229" s="1" t="s">
        <v>1681</v>
      </c>
      <c r="J229" s="1" t="s">
        <v>1682</v>
      </c>
      <c r="K229" s="1" t="s">
        <v>267</v>
      </c>
      <c r="L229" s="1"/>
      <c r="M229" s="1" t="s">
        <v>105</v>
      </c>
      <c r="N229" s="1"/>
      <c r="O229" s="1"/>
      <c r="P229" s="1"/>
      <c r="Q229" s="1" t="s">
        <v>1683</v>
      </c>
      <c r="R229" s="1"/>
      <c r="S229" s="1" t="s">
        <v>1909</v>
      </c>
      <c r="T229" s="1"/>
      <c r="U229" s="1" t="s">
        <v>200</v>
      </c>
      <c r="V229" s="1"/>
      <c r="W229" s="1" t="s">
        <v>201</v>
      </c>
      <c r="X229" s="1" t="s">
        <v>227</v>
      </c>
      <c r="Y229" s="1"/>
      <c r="Z229" s="1" t="s">
        <v>1910</v>
      </c>
      <c r="AA229" s="1" t="s">
        <v>191</v>
      </c>
      <c r="AB229" s="1" t="s">
        <v>192</v>
      </c>
      <c r="AC229" s="1"/>
      <c r="AD229" s="1" t="s">
        <v>1911</v>
      </c>
      <c r="AE229" s="1" t="s">
        <v>1912</v>
      </c>
    </row>
    <row r="230" spans="1:31" hidden="1" x14ac:dyDescent="0.25">
      <c r="A230" s="1" t="s">
        <v>1907</v>
      </c>
      <c r="B230" s="1" t="s">
        <v>2100</v>
      </c>
      <c r="C230" s="1" t="s">
        <v>1684</v>
      </c>
      <c r="D230" s="1" t="s">
        <v>1685</v>
      </c>
      <c r="E230" s="1" t="str">
        <f t="shared" si="3"/>
        <v>780</v>
      </c>
      <c r="F230" s="1"/>
      <c r="G230" s="1" t="s">
        <v>1686</v>
      </c>
      <c r="H230" s="1" t="s">
        <v>184</v>
      </c>
      <c r="I230" s="1" t="s">
        <v>1687</v>
      </c>
      <c r="J230" s="1" t="s">
        <v>1688</v>
      </c>
      <c r="K230" s="1" t="s">
        <v>470</v>
      </c>
      <c r="L230" s="1"/>
      <c r="M230" s="1" t="s">
        <v>105</v>
      </c>
      <c r="N230" s="1"/>
      <c r="O230" s="1"/>
      <c r="P230" s="1"/>
      <c r="Q230" s="1" t="s">
        <v>1689</v>
      </c>
      <c r="R230" s="1"/>
      <c r="S230" s="1" t="s">
        <v>1909</v>
      </c>
      <c r="T230" s="1" t="s">
        <v>1690</v>
      </c>
      <c r="U230" s="1" t="s">
        <v>210</v>
      </c>
      <c r="V230" s="1"/>
      <c r="W230" s="1" t="s">
        <v>201</v>
      </c>
      <c r="X230" s="1" t="s">
        <v>227</v>
      </c>
      <c r="Y230" s="1"/>
      <c r="Z230" s="1" t="s">
        <v>1910</v>
      </c>
      <c r="AA230" s="1" t="s">
        <v>191</v>
      </c>
      <c r="AB230" s="1" t="s">
        <v>192</v>
      </c>
      <c r="AC230" s="1"/>
      <c r="AD230" s="1" t="s">
        <v>1911</v>
      </c>
      <c r="AE230" s="1" t="s">
        <v>1912</v>
      </c>
    </row>
    <row r="231" spans="1:31" hidden="1" x14ac:dyDescent="0.25">
      <c r="A231" s="1" t="s">
        <v>1907</v>
      </c>
      <c r="B231" s="1" t="s">
        <v>2101</v>
      </c>
      <c r="C231" s="1" t="s">
        <v>1691</v>
      </c>
      <c r="D231" s="1" t="s">
        <v>1692</v>
      </c>
      <c r="E231" s="1" t="str">
        <f t="shared" si="3"/>
        <v>784</v>
      </c>
      <c r="F231" s="1"/>
      <c r="G231" s="1" t="s">
        <v>1693</v>
      </c>
      <c r="H231" s="1" t="s">
        <v>184</v>
      </c>
      <c r="I231" s="1" t="s">
        <v>1694</v>
      </c>
      <c r="J231" s="1" t="s">
        <v>1695</v>
      </c>
      <c r="K231" s="1" t="s">
        <v>429</v>
      </c>
      <c r="L231" s="1"/>
      <c r="M231" s="1" t="s">
        <v>105</v>
      </c>
      <c r="N231" s="1"/>
      <c r="O231" s="1"/>
      <c r="P231" s="1" t="s">
        <v>198</v>
      </c>
      <c r="Q231" s="1" t="s">
        <v>1696</v>
      </c>
      <c r="R231" s="1"/>
      <c r="S231" s="1" t="s">
        <v>1909</v>
      </c>
      <c r="T231" s="1" t="s">
        <v>1697</v>
      </c>
      <c r="U231" s="1" t="s">
        <v>210</v>
      </c>
      <c r="V231" s="1"/>
      <c r="W231" s="1" t="s">
        <v>201</v>
      </c>
      <c r="X231" s="1" t="s">
        <v>227</v>
      </c>
      <c r="Y231" s="1" t="s">
        <v>247</v>
      </c>
      <c r="Z231" s="1" t="s">
        <v>1910</v>
      </c>
      <c r="AA231" s="1" t="s">
        <v>1698</v>
      </c>
      <c r="AB231" s="1" t="s">
        <v>192</v>
      </c>
      <c r="AC231" s="1"/>
      <c r="AD231" s="1" t="s">
        <v>1911</v>
      </c>
      <c r="AE231" s="1" t="s">
        <v>1912</v>
      </c>
    </row>
    <row r="232" spans="1:31" hidden="1" x14ac:dyDescent="0.25">
      <c r="A232" s="1" t="s">
        <v>1907</v>
      </c>
      <c r="B232" s="1" t="s">
        <v>2102</v>
      </c>
      <c r="C232" s="1" t="s">
        <v>1699</v>
      </c>
      <c r="D232" s="1" t="s">
        <v>1699</v>
      </c>
      <c r="E232" s="1" t="str">
        <f t="shared" si="3"/>
        <v>788</v>
      </c>
      <c r="F232" s="1"/>
      <c r="G232" s="1" t="s">
        <v>1700</v>
      </c>
      <c r="H232" s="1" t="s">
        <v>222</v>
      </c>
      <c r="I232" s="1" t="s">
        <v>1701</v>
      </c>
      <c r="J232" s="1" t="s">
        <v>1702</v>
      </c>
      <c r="K232" s="1" t="s">
        <v>1703</v>
      </c>
      <c r="L232" s="1"/>
      <c r="M232" s="1" t="s">
        <v>105</v>
      </c>
      <c r="N232" s="1"/>
      <c r="O232" s="1"/>
      <c r="P232" s="1" t="s">
        <v>198</v>
      </c>
      <c r="Q232" s="1" t="s">
        <v>1704</v>
      </c>
      <c r="R232" s="1"/>
      <c r="S232" s="1" t="s">
        <v>1909</v>
      </c>
      <c r="T232" s="1" t="s">
        <v>1705</v>
      </c>
      <c r="U232" s="1" t="s">
        <v>189</v>
      </c>
      <c r="V232" s="1"/>
      <c r="W232" s="1" t="s">
        <v>201</v>
      </c>
      <c r="X232" s="1" t="s">
        <v>355</v>
      </c>
      <c r="Y232" s="1" t="s">
        <v>218</v>
      </c>
      <c r="Z232" s="1" t="s">
        <v>1910</v>
      </c>
      <c r="AA232" s="1" t="s">
        <v>1706</v>
      </c>
      <c r="AB232" s="1" t="s">
        <v>192</v>
      </c>
      <c r="AC232" s="1"/>
      <c r="AD232" s="1" t="s">
        <v>1911</v>
      </c>
      <c r="AE232" s="1" t="s">
        <v>1912</v>
      </c>
    </row>
    <row r="233" spans="1:31" hidden="1" x14ac:dyDescent="0.25">
      <c r="A233" s="1" t="s">
        <v>1907</v>
      </c>
      <c r="B233" s="1" t="s">
        <v>2103</v>
      </c>
      <c r="C233" s="1" t="s">
        <v>1707</v>
      </c>
      <c r="D233" s="1" t="s">
        <v>1708</v>
      </c>
      <c r="E233" s="1" t="str">
        <f t="shared" si="3"/>
        <v>792</v>
      </c>
      <c r="F233" s="1"/>
      <c r="G233" s="1" t="s">
        <v>1709</v>
      </c>
      <c r="H233" s="1" t="s">
        <v>222</v>
      </c>
      <c r="I233" s="1" t="s">
        <v>1710</v>
      </c>
      <c r="J233" s="1" t="s">
        <v>1711</v>
      </c>
      <c r="K233" s="1" t="s">
        <v>352</v>
      </c>
      <c r="L233" s="1"/>
      <c r="M233" s="1" t="s">
        <v>105</v>
      </c>
      <c r="N233" s="1"/>
      <c r="O233" s="1"/>
      <c r="P233" s="1" t="s">
        <v>198</v>
      </c>
      <c r="Q233" s="1" t="s">
        <v>1712</v>
      </c>
      <c r="R233" s="1"/>
      <c r="S233" s="1" t="s">
        <v>1909</v>
      </c>
      <c r="T233" s="1" t="s">
        <v>1713</v>
      </c>
      <c r="U233" s="1" t="s">
        <v>217</v>
      </c>
      <c r="V233" s="1"/>
      <c r="W233" s="1" t="s">
        <v>201</v>
      </c>
      <c r="X233" s="1" t="s">
        <v>355</v>
      </c>
      <c r="Y233" s="1" t="s">
        <v>218</v>
      </c>
      <c r="Z233" s="1" t="s">
        <v>1910</v>
      </c>
      <c r="AA233" s="1" t="s">
        <v>1714</v>
      </c>
      <c r="AB233" s="1" t="s">
        <v>192</v>
      </c>
      <c r="AC233" s="1"/>
      <c r="AD233" s="1" t="s">
        <v>1911</v>
      </c>
      <c r="AE233" s="1" t="s">
        <v>1912</v>
      </c>
    </row>
    <row r="234" spans="1:31" hidden="1" x14ac:dyDescent="0.25">
      <c r="A234" s="1" t="s">
        <v>1907</v>
      </c>
      <c r="B234" s="1" t="s">
        <v>2104</v>
      </c>
      <c r="C234" s="1" t="s">
        <v>1715</v>
      </c>
      <c r="D234" s="1" t="s">
        <v>1715</v>
      </c>
      <c r="E234" s="1" t="str">
        <f t="shared" si="3"/>
        <v>795</v>
      </c>
      <c r="F234" s="1"/>
      <c r="G234" s="1" t="s">
        <v>1716</v>
      </c>
      <c r="H234" s="1" t="s">
        <v>222</v>
      </c>
      <c r="I234" s="1" t="s">
        <v>1717</v>
      </c>
      <c r="J234" s="1" t="s">
        <v>1718</v>
      </c>
      <c r="K234" s="1" t="s">
        <v>208</v>
      </c>
      <c r="L234" s="1"/>
      <c r="M234" s="1" t="s">
        <v>105</v>
      </c>
      <c r="N234" s="1"/>
      <c r="O234" s="1"/>
      <c r="P234" s="1"/>
      <c r="Q234" s="1" t="s">
        <v>1719</v>
      </c>
      <c r="R234" s="1"/>
      <c r="S234" s="1" t="s">
        <v>1909</v>
      </c>
      <c r="T234" s="1"/>
      <c r="U234" s="1" t="s">
        <v>217</v>
      </c>
      <c r="V234" s="1"/>
      <c r="W234" s="1" t="s">
        <v>201</v>
      </c>
      <c r="X234" s="1" t="s">
        <v>463</v>
      </c>
      <c r="Y234" s="1"/>
      <c r="Z234" s="1" t="s">
        <v>1910</v>
      </c>
      <c r="AA234" s="1" t="s">
        <v>191</v>
      </c>
      <c r="AB234" s="1" t="s">
        <v>192</v>
      </c>
      <c r="AC234" s="1"/>
      <c r="AD234" s="1" t="s">
        <v>1911</v>
      </c>
      <c r="AE234" s="1" t="s">
        <v>1912</v>
      </c>
    </row>
    <row r="235" spans="1:31" hidden="1" x14ac:dyDescent="0.25">
      <c r="A235" s="1" t="s">
        <v>1907</v>
      </c>
      <c r="B235" s="1" t="s">
        <v>2105</v>
      </c>
      <c r="C235" s="1" t="s">
        <v>1720</v>
      </c>
      <c r="D235" s="1" t="s">
        <v>1721</v>
      </c>
      <c r="E235" s="1" t="str">
        <f t="shared" si="3"/>
        <v>796</v>
      </c>
      <c r="F235" s="1"/>
      <c r="G235" s="1" t="s">
        <v>1722</v>
      </c>
      <c r="H235" s="1" t="s">
        <v>184</v>
      </c>
      <c r="I235" s="1" t="s">
        <v>1723</v>
      </c>
      <c r="J235" s="1" t="s">
        <v>1724</v>
      </c>
      <c r="K235" s="1" t="s">
        <v>233</v>
      </c>
      <c r="L235" s="1"/>
      <c r="M235" s="1" t="s">
        <v>105</v>
      </c>
      <c r="N235" s="1"/>
      <c r="O235" s="1"/>
      <c r="P235" s="1"/>
      <c r="Q235" s="1" t="s">
        <v>1725</v>
      </c>
      <c r="R235" s="1"/>
      <c r="S235" s="1" t="s">
        <v>1909</v>
      </c>
      <c r="T235" s="1"/>
      <c r="U235" s="1" t="s">
        <v>210</v>
      </c>
      <c r="V235" s="1"/>
      <c r="W235" s="1" t="s">
        <v>201</v>
      </c>
      <c r="X235" s="1" t="s">
        <v>227</v>
      </c>
      <c r="Y235" s="1" t="s">
        <v>198</v>
      </c>
      <c r="Z235" s="1" t="s">
        <v>1910</v>
      </c>
      <c r="AA235" s="1" t="s">
        <v>191</v>
      </c>
      <c r="AB235" s="1" t="s">
        <v>192</v>
      </c>
      <c r="AC235" s="1"/>
      <c r="AD235" s="1" t="s">
        <v>1911</v>
      </c>
      <c r="AE235" s="1" t="s">
        <v>1912</v>
      </c>
    </row>
    <row r="236" spans="1:31" hidden="1" x14ac:dyDescent="0.25">
      <c r="A236" s="1" t="s">
        <v>1907</v>
      </c>
      <c r="B236" s="1" t="s">
        <v>2106</v>
      </c>
      <c r="C236" s="1" t="s">
        <v>1726</v>
      </c>
      <c r="D236" s="1" t="s">
        <v>1726</v>
      </c>
      <c r="E236" s="1" t="str">
        <f t="shared" si="3"/>
        <v>798</v>
      </c>
      <c r="F236" s="1"/>
      <c r="G236" s="1" t="s">
        <v>1727</v>
      </c>
      <c r="H236" s="1" t="s">
        <v>184</v>
      </c>
      <c r="I236" s="1" t="s">
        <v>1728</v>
      </c>
      <c r="J236" s="1" t="s">
        <v>1729</v>
      </c>
      <c r="K236" s="1" t="s">
        <v>208</v>
      </c>
      <c r="L236" s="1"/>
      <c r="M236" s="1" t="s">
        <v>105</v>
      </c>
      <c r="N236" s="1"/>
      <c r="O236" s="1"/>
      <c r="P236" s="1"/>
      <c r="Q236" s="1" t="s">
        <v>1730</v>
      </c>
      <c r="R236" s="1"/>
      <c r="S236" s="1" t="s">
        <v>1909</v>
      </c>
      <c r="T236" s="1"/>
      <c r="U236" s="1" t="s">
        <v>200</v>
      </c>
      <c r="V236" s="1"/>
      <c r="W236" s="1" t="s">
        <v>201</v>
      </c>
      <c r="X236" s="1" t="s">
        <v>227</v>
      </c>
      <c r="Y236" s="1"/>
      <c r="Z236" s="1" t="s">
        <v>1910</v>
      </c>
      <c r="AA236" s="1" t="s">
        <v>191</v>
      </c>
      <c r="AB236" s="1" t="s">
        <v>192</v>
      </c>
      <c r="AC236" s="1"/>
      <c r="AD236" s="1" t="s">
        <v>1911</v>
      </c>
      <c r="AE236" s="1" t="s">
        <v>1912</v>
      </c>
    </row>
    <row r="237" spans="1:31" hidden="1" x14ac:dyDescent="0.25">
      <c r="A237" s="1" t="s">
        <v>1907</v>
      </c>
      <c r="B237" s="1" t="s">
        <v>2107</v>
      </c>
      <c r="C237" s="1" t="s">
        <v>1731</v>
      </c>
      <c r="D237" s="1" t="s">
        <v>1731</v>
      </c>
      <c r="E237" s="1" t="str">
        <f t="shared" si="3"/>
        <v>800</v>
      </c>
      <c r="F237" s="1"/>
      <c r="G237" s="1" t="s">
        <v>1732</v>
      </c>
      <c r="H237" s="1" t="s">
        <v>222</v>
      </c>
      <c r="I237" s="1" t="s">
        <v>1733</v>
      </c>
      <c r="J237" s="1" t="s">
        <v>1734</v>
      </c>
      <c r="K237" s="1" t="s">
        <v>858</v>
      </c>
      <c r="L237" s="1"/>
      <c r="M237" s="1" t="s">
        <v>105</v>
      </c>
      <c r="N237" s="1"/>
      <c r="O237" s="1"/>
      <c r="P237" s="1"/>
      <c r="Q237" s="1" t="s">
        <v>1735</v>
      </c>
      <c r="R237" s="1"/>
      <c r="S237" s="1" t="s">
        <v>1909</v>
      </c>
      <c r="T237" s="1"/>
      <c r="U237" s="1" t="s">
        <v>200</v>
      </c>
      <c r="V237" s="1"/>
      <c r="W237" s="1"/>
      <c r="X237" s="1" t="s">
        <v>190</v>
      </c>
      <c r="Y237" s="1"/>
      <c r="Z237" s="1" t="s">
        <v>1910</v>
      </c>
      <c r="AA237" s="1" t="s">
        <v>191</v>
      </c>
      <c r="AB237" s="1" t="s">
        <v>192</v>
      </c>
      <c r="AC237" s="1"/>
      <c r="AD237" s="1" t="s">
        <v>1911</v>
      </c>
      <c r="AE237" s="1" t="s">
        <v>1912</v>
      </c>
    </row>
    <row r="238" spans="1:31" hidden="1" x14ac:dyDescent="0.25">
      <c r="A238" s="1" t="s">
        <v>1907</v>
      </c>
      <c r="B238" s="1" t="s">
        <v>2108</v>
      </c>
      <c r="C238" s="1" t="s">
        <v>1736</v>
      </c>
      <c r="D238" s="1" t="s">
        <v>1737</v>
      </c>
      <c r="E238" s="1" t="str">
        <f t="shared" si="3"/>
        <v>804</v>
      </c>
      <c r="F238" s="1"/>
      <c r="G238" s="1" t="s">
        <v>1738</v>
      </c>
      <c r="H238" s="1" t="s">
        <v>184</v>
      </c>
      <c r="I238" s="1" t="s">
        <v>1739</v>
      </c>
      <c r="J238" s="1" t="s">
        <v>1740</v>
      </c>
      <c r="K238" s="1" t="s">
        <v>930</v>
      </c>
      <c r="L238" s="1"/>
      <c r="M238" s="1" t="s">
        <v>106</v>
      </c>
      <c r="N238" s="1" t="s">
        <v>436</v>
      </c>
      <c r="O238" s="1"/>
      <c r="P238" s="1"/>
      <c r="Q238" s="1" t="s">
        <v>1741</v>
      </c>
      <c r="R238" s="1"/>
      <c r="S238" s="1" t="s">
        <v>1909</v>
      </c>
      <c r="T238" s="1"/>
      <c r="U238" s="1" t="s">
        <v>189</v>
      </c>
      <c r="V238" s="1"/>
      <c r="W238" s="1" t="s">
        <v>201</v>
      </c>
      <c r="X238" s="1" t="s">
        <v>424</v>
      </c>
      <c r="Y238" s="1" t="s">
        <v>247</v>
      </c>
      <c r="Z238" s="1" t="s">
        <v>1910</v>
      </c>
      <c r="AA238" s="1" t="s">
        <v>191</v>
      </c>
      <c r="AB238" s="1" t="s">
        <v>192</v>
      </c>
      <c r="AC238" s="1"/>
      <c r="AD238" s="1" t="s">
        <v>1911</v>
      </c>
      <c r="AE238" s="1" t="s">
        <v>1912</v>
      </c>
    </row>
    <row r="239" spans="1:31" hidden="1" x14ac:dyDescent="0.25">
      <c r="A239" s="1" t="s">
        <v>1907</v>
      </c>
      <c r="B239" s="1" t="s">
        <v>2109</v>
      </c>
      <c r="C239" s="1" t="s">
        <v>1742</v>
      </c>
      <c r="D239" s="1" t="s">
        <v>1742</v>
      </c>
      <c r="E239" s="1" t="str">
        <f t="shared" si="3"/>
        <v>807</v>
      </c>
      <c r="F239" s="1"/>
      <c r="G239" s="1" t="s">
        <v>1743</v>
      </c>
      <c r="H239" s="1" t="s">
        <v>222</v>
      </c>
      <c r="I239" s="1" t="s">
        <v>1744</v>
      </c>
      <c r="J239" s="1" t="s">
        <v>1745</v>
      </c>
      <c r="K239" s="1" t="s">
        <v>267</v>
      </c>
      <c r="L239" s="1"/>
      <c r="M239" s="1" t="s">
        <v>105</v>
      </c>
      <c r="N239" s="1"/>
      <c r="O239" s="1"/>
      <c r="P239" s="1" t="s">
        <v>198</v>
      </c>
      <c r="Q239" s="1" t="s">
        <v>1746</v>
      </c>
      <c r="R239" s="1"/>
      <c r="S239" s="1" t="s">
        <v>1909</v>
      </c>
      <c r="T239" s="1"/>
      <c r="U239" s="1" t="s">
        <v>189</v>
      </c>
      <c r="V239" s="1"/>
      <c r="W239" s="1" t="s">
        <v>201</v>
      </c>
      <c r="X239" s="1" t="s">
        <v>201</v>
      </c>
      <c r="Y239" s="1"/>
      <c r="Z239" s="1" t="s">
        <v>1910</v>
      </c>
      <c r="AA239" s="1" t="s">
        <v>1747</v>
      </c>
      <c r="AB239" s="1" t="s">
        <v>192</v>
      </c>
      <c r="AC239" s="1"/>
      <c r="AD239" s="1" t="s">
        <v>1911</v>
      </c>
      <c r="AE239" s="1" t="s">
        <v>1912</v>
      </c>
    </row>
    <row r="240" spans="1:31" hidden="1" x14ac:dyDescent="0.25">
      <c r="A240" s="1" t="s">
        <v>1907</v>
      </c>
      <c r="B240" s="1" t="s">
        <v>2110</v>
      </c>
      <c r="C240" s="1" t="s">
        <v>1748</v>
      </c>
      <c r="D240" s="1" t="s">
        <v>1749</v>
      </c>
      <c r="E240" s="1" t="str">
        <f t="shared" si="3"/>
        <v>818</v>
      </c>
      <c r="F240" s="1"/>
      <c r="G240" s="1" t="s">
        <v>1750</v>
      </c>
      <c r="H240" s="1" t="s">
        <v>222</v>
      </c>
      <c r="I240" s="1" t="s">
        <v>1751</v>
      </c>
      <c r="J240" s="1" t="s">
        <v>1752</v>
      </c>
      <c r="K240" s="1" t="s">
        <v>429</v>
      </c>
      <c r="L240" s="1"/>
      <c r="M240" s="1" t="s">
        <v>105</v>
      </c>
      <c r="N240" s="1"/>
      <c r="O240" s="1"/>
      <c r="P240" s="1"/>
      <c r="Q240" s="1" t="s">
        <v>1753</v>
      </c>
      <c r="R240" s="1"/>
      <c r="S240" s="1" t="s">
        <v>1909</v>
      </c>
      <c r="T240" s="1" t="s">
        <v>1754</v>
      </c>
      <c r="U240" s="1" t="s">
        <v>200</v>
      </c>
      <c r="V240" s="1"/>
      <c r="W240" s="1" t="s">
        <v>201</v>
      </c>
      <c r="X240" s="1" t="s">
        <v>424</v>
      </c>
      <c r="Y240" s="1"/>
      <c r="Z240" s="1" t="s">
        <v>1910</v>
      </c>
      <c r="AA240" s="1" t="s">
        <v>191</v>
      </c>
      <c r="AB240" s="1" t="s">
        <v>192</v>
      </c>
      <c r="AC240" s="1"/>
      <c r="AD240" s="1" t="s">
        <v>1911</v>
      </c>
      <c r="AE240" s="1" t="s">
        <v>1912</v>
      </c>
    </row>
    <row r="241" spans="1:31" hidden="1" x14ac:dyDescent="0.25">
      <c r="A241" s="1" t="s">
        <v>1907</v>
      </c>
      <c r="B241" s="1" t="s">
        <v>151</v>
      </c>
      <c r="C241" s="1" t="s">
        <v>1755</v>
      </c>
      <c r="D241" s="1" t="s">
        <v>1756</v>
      </c>
      <c r="E241" s="1" t="str">
        <f t="shared" si="3"/>
        <v>826</v>
      </c>
      <c r="F241" s="1"/>
      <c r="G241" s="1" t="s">
        <v>1757</v>
      </c>
      <c r="H241" s="1" t="s">
        <v>184</v>
      </c>
      <c r="I241" s="1" t="s">
        <v>1758</v>
      </c>
      <c r="J241" s="1" t="s">
        <v>1759</v>
      </c>
      <c r="K241" s="1" t="s">
        <v>323</v>
      </c>
      <c r="L241" s="1"/>
      <c r="M241" s="1" t="s">
        <v>109</v>
      </c>
      <c r="N241" s="1" t="s">
        <v>282</v>
      </c>
      <c r="O241" s="1" t="s">
        <v>1760</v>
      </c>
      <c r="P241" s="1" t="s">
        <v>1520</v>
      </c>
      <c r="Q241" s="1" t="s">
        <v>1761</v>
      </c>
      <c r="R241" s="1" t="s">
        <v>1532</v>
      </c>
      <c r="S241" s="1" t="s">
        <v>1909</v>
      </c>
      <c r="T241" s="1" t="s">
        <v>1762</v>
      </c>
      <c r="U241" s="1" t="s">
        <v>1910</v>
      </c>
      <c r="V241" s="1"/>
      <c r="W241" s="1" t="s">
        <v>201</v>
      </c>
      <c r="X241" s="1" t="s">
        <v>198</v>
      </c>
      <c r="Y241" s="1" t="s">
        <v>239</v>
      </c>
      <c r="Z241" s="1" t="s">
        <v>1910</v>
      </c>
      <c r="AA241" s="1" t="s">
        <v>939</v>
      </c>
      <c r="AB241" s="1" t="s">
        <v>192</v>
      </c>
      <c r="AC241" s="1"/>
      <c r="AD241" s="1" t="s">
        <v>1911</v>
      </c>
      <c r="AE241" s="1" t="s">
        <v>1912</v>
      </c>
    </row>
    <row r="242" spans="1:31" hidden="1" x14ac:dyDescent="0.25">
      <c r="A242" s="1" t="s">
        <v>1907</v>
      </c>
      <c r="B242" s="1" t="s">
        <v>2111</v>
      </c>
      <c r="C242" s="1" t="s">
        <v>1763</v>
      </c>
      <c r="D242" s="1" t="s">
        <v>1764</v>
      </c>
      <c r="E242" s="1" t="str">
        <f t="shared" si="3"/>
        <v>831</v>
      </c>
      <c r="F242" s="1"/>
      <c r="G242" s="1" t="s">
        <v>1765</v>
      </c>
      <c r="H242" s="1" t="s">
        <v>1252</v>
      </c>
      <c r="I242" s="1" t="s">
        <v>1766</v>
      </c>
      <c r="J242" s="1" t="s">
        <v>1767</v>
      </c>
      <c r="K242" s="1" t="s">
        <v>225</v>
      </c>
      <c r="L242" s="1"/>
      <c r="M242" s="1" t="s">
        <v>109</v>
      </c>
      <c r="N242" s="1" t="s">
        <v>234</v>
      </c>
      <c r="O242" s="1"/>
      <c r="P242" s="1"/>
      <c r="Q242" s="1" t="s">
        <v>1768</v>
      </c>
      <c r="R242" s="1"/>
      <c r="S242" s="1" t="s">
        <v>1909</v>
      </c>
      <c r="T242" s="1"/>
      <c r="U242" s="1" t="s">
        <v>1910</v>
      </c>
      <c r="V242" s="1"/>
      <c r="W242" s="1" t="s">
        <v>201</v>
      </c>
      <c r="X242" s="1" t="s">
        <v>1769</v>
      </c>
      <c r="Y242" s="1" t="s">
        <v>198</v>
      </c>
      <c r="Z242" s="1" t="s">
        <v>1910</v>
      </c>
      <c r="AA242" s="1" t="s">
        <v>1770</v>
      </c>
      <c r="AB242" s="1" t="s">
        <v>192</v>
      </c>
      <c r="AC242" s="1"/>
      <c r="AD242" s="1" t="s">
        <v>1911</v>
      </c>
      <c r="AE242" s="1" t="s">
        <v>1912</v>
      </c>
    </row>
    <row r="243" spans="1:31" hidden="1" x14ac:dyDescent="0.25">
      <c r="A243" s="1" t="s">
        <v>1907</v>
      </c>
      <c r="B243" s="1" t="s">
        <v>2112</v>
      </c>
      <c r="C243" s="1" t="s">
        <v>1771</v>
      </c>
      <c r="D243" s="1" t="s">
        <v>1771</v>
      </c>
      <c r="E243" s="1" t="str">
        <f t="shared" si="3"/>
        <v>832</v>
      </c>
      <c r="F243" s="1"/>
      <c r="G243" s="1" t="s">
        <v>1772</v>
      </c>
      <c r="H243" s="1" t="s">
        <v>1252</v>
      </c>
      <c r="I243" s="1" t="s">
        <v>1773</v>
      </c>
      <c r="J243" s="1" t="s">
        <v>1774</v>
      </c>
      <c r="K243" s="1" t="s">
        <v>225</v>
      </c>
      <c r="L243" s="1"/>
      <c r="M243" s="1" t="s">
        <v>109</v>
      </c>
      <c r="N243" s="1" t="s">
        <v>234</v>
      </c>
      <c r="O243" s="1"/>
      <c r="P243" s="1"/>
      <c r="Q243" s="1" t="s">
        <v>1775</v>
      </c>
      <c r="R243" s="1"/>
      <c r="S243" s="1" t="s">
        <v>1909</v>
      </c>
      <c r="T243" s="1"/>
      <c r="U243" s="1" t="s">
        <v>1910</v>
      </c>
      <c r="V243" s="1"/>
      <c r="W243" s="1" t="s">
        <v>201</v>
      </c>
      <c r="X243" s="1" t="s">
        <v>1769</v>
      </c>
      <c r="Y243" s="1" t="s">
        <v>198</v>
      </c>
      <c r="Z243" s="1" t="s">
        <v>1910</v>
      </c>
      <c r="AA243" s="1" t="s">
        <v>1770</v>
      </c>
      <c r="AB243" s="1" t="s">
        <v>192</v>
      </c>
      <c r="AC243" s="1"/>
      <c r="AD243" s="1" t="s">
        <v>1911</v>
      </c>
      <c r="AE243" s="1" t="s">
        <v>1912</v>
      </c>
    </row>
    <row r="244" spans="1:31" hidden="1" x14ac:dyDescent="0.25">
      <c r="A244" s="1" t="s">
        <v>1907</v>
      </c>
      <c r="B244" s="1" t="s">
        <v>2113</v>
      </c>
      <c r="C244" s="1" t="s">
        <v>1776</v>
      </c>
      <c r="D244" s="1" t="s">
        <v>1777</v>
      </c>
      <c r="E244" s="1" t="str">
        <f t="shared" si="3"/>
        <v>833</v>
      </c>
      <c r="F244" s="1"/>
      <c r="G244" s="1" t="s">
        <v>1778</v>
      </c>
      <c r="H244" s="1" t="s">
        <v>184</v>
      </c>
      <c r="I244" s="1" t="s">
        <v>1779</v>
      </c>
      <c r="J244" s="1" t="s">
        <v>1780</v>
      </c>
      <c r="K244" s="1" t="s">
        <v>225</v>
      </c>
      <c r="L244" s="1"/>
      <c r="M244" s="1" t="s">
        <v>109</v>
      </c>
      <c r="N244" s="1" t="s">
        <v>234</v>
      </c>
      <c r="O244" s="1"/>
      <c r="P244" s="1" t="s">
        <v>198</v>
      </c>
      <c r="Q244" s="1" t="s">
        <v>1781</v>
      </c>
      <c r="R244" s="1"/>
      <c r="S244" s="1" t="s">
        <v>1909</v>
      </c>
      <c r="T244" s="1"/>
      <c r="U244" s="1" t="s">
        <v>1910</v>
      </c>
      <c r="V244" s="1"/>
      <c r="W244" s="1" t="s">
        <v>201</v>
      </c>
      <c r="X244" s="1" t="s">
        <v>1769</v>
      </c>
      <c r="Y244" s="1" t="s">
        <v>198</v>
      </c>
      <c r="Z244" s="1" t="s">
        <v>1910</v>
      </c>
      <c r="AA244" s="1" t="s">
        <v>1770</v>
      </c>
      <c r="AB244" s="1" t="s">
        <v>192</v>
      </c>
      <c r="AC244" s="1"/>
      <c r="AD244" s="1" t="s">
        <v>1911</v>
      </c>
      <c r="AE244" s="1" t="s">
        <v>1912</v>
      </c>
    </row>
    <row r="245" spans="1:31" hidden="1" x14ac:dyDescent="0.25">
      <c r="A245" s="1" t="s">
        <v>1907</v>
      </c>
      <c r="B245" s="1" t="s">
        <v>2114</v>
      </c>
      <c r="C245" s="1" t="s">
        <v>1782</v>
      </c>
      <c r="D245" s="1" t="s">
        <v>1783</v>
      </c>
      <c r="E245" s="1" t="str">
        <f t="shared" si="3"/>
        <v>834</v>
      </c>
      <c r="F245" s="1"/>
      <c r="G245" s="1" t="s">
        <v>1784</v>
      </c>
      <c r="H245" s="1" t="s">
        <v>222</v>
      </c>
      <c r="I245" s="1" t="s">
        <v>1785</v>
      </c>
      <c r="J245" s="1" t="s">
        <v>1786</v>
      </c>
      <c r="K245" s="1" t="s">
        <v>208</v>
      </c>
      <c r="L245" s="1"/>
      <c r="M245" s="1" t="s">
        <v>105</v>
      </c>
      <c r="N245" s="1"/>
      <c r="O245" s="1"/>
      <c r="P245" s="1"/>
      <c r="Q245" s="1" t="s">
        <v>1787</v>
      </c>
      <c r="R245" s="1"/>
      <c r="S245" s="1" t="s">
        <v>1909</v>
      </c>
      <c r="T245" s="1" t="s">
        <v>1788</v>
      </c>
      <c r="U245" s="1" t="s">
        <v>200</v>
      </c>
      <c r="V245" s="1"/>
      <c r="W245" s="1"/>
      <c r="X245" s="1" t="s">
        <v>190</v>
      </c>
      <c r="Y245" s="1"/>
      <c r="Z245" s="1" t="s">
        <v>1910</v>
      </c>
      <c r="AA245" s="1" t="s">
        <v>191</v>
      </c>
      <c r="AB245" s="1" t="s">
        <v>192</v>
      </c>
      <c r="AC245" s="1"/>
      <c r="AD245" s="1" t="s">
        <v>1911</v>
      </c>
      <c r="AE245" s="1" t="s">
        <v>1912</v>
      </c>
    </row>
    <row r="246" spans="1:31" hidden="1" x14ac:dyDescent="0.25">
      <c r="A246" s="1" t="s">
        <v>1907</v>
      </c>
      <c r="B246" s="1" t="s">
        <v>51</v>
      </c>
      <c r="C246" s="1" t="s">
        <v>1789</v>
      </c>
      <c r="D246" s="1" t="s">
        <v>1790</v>
      </c>
      <c r="E246" s="1" t="str">
        <f t="shared" si="3"/>
        <v>840</v>
      </c>
      <c r="F246" s="1"/>
      <c r="G246" s="1" t="s">
        <v>1791</v>
      </c>
      <c r="H246" s="1" t="s">
        <v>184</v>
      </c>
      <c r="I246" s="1" t="s">
        <v>1792</v>
      </c>
      <c r="J246" s="1" t="s">
        <v>1793</v>
      </c>
      <c r="K246" s="1" t="s">
        <v>495</v>
      </c>
      <c r="L246" s="1"/>
      <c r="M246" s="1" t="s">
        <v>105</v>
      </c>
      <c r="N246" s="1" t="s">
        <v>453</v>
      </c>
      <c r="O246" s="1"/>
      <c r="P246" s="1"/>
      <c r="Q246" s="1" t="s">
        <v>1794</v>
      </c>
      <c r="R246" s="1" t="s">
        <v>1795</v>
      </c>
      <c r="S246" s="1" t="s">
        <v>1909</v>
      </c>
      <c r="T246" s="1" t="s">
        <v>1796</v>
      </c>
      <c r="U246" s="1" t="s">
        <v>1910</v>
      </c>
      <c r="V246" s="1"/>
      <c r="W246" s="1" t="s">
        <v>201</v>
      </c>
      <c r="X246" s="1"/>
      <c r="Y246" s="1" t="s">
        <v>247</v>
      </c>
      <c r="Z246" s="1" t="s">
        <v>1910</v>
      </c>
      <c r="AA246" s="1" t="s">
        <v>191</v>
      </c>
      <c r="AB246" s="1" t="s">
        <v>192</v>
      </c>
      <c r="AC246" s="1"/>
      <c r="AD246" s="1" t="s">
        <v>1911</v>
      </c>
      <c r="AE246" s="1" t="s">
        <v>1912</v>
      </c>
    </row>
    <row r="247" spans="1:31" hidden="1" x14ac:dyDescent="0.25">
      <c r="A247" s="1" t="s">
        <v>1907</v>
      </c>
      <c r="B247" s="1" t="s">
        <v>2115</v>
      </c>
      <c r="C247" s="1" t="s">
        <v>1797</v>
      </c>
      <c r="D247" s="1" t="s">
        <v>1798</v>
      </c>
      <c r="E247" s="1" t="str">
        <f t="shared" si="3"/>
        <v>850</v>
      </c>
      <c r="F247" s="1"/>
      <c r="G247" s="1" t="s">
        <v>1799</v>
      </c>
      <c r="H247" s="1" t="s">
        <v>184</v>
      </c>
      <c r="I247" s="1" t="s">
        <v>1800</v>
      </c>
      <c r="J247" s="1" t="s">
        <v>1801</v>
      </c>
      <c r="K247" s="1" t="s">
        <v>233</v>
      </c>
      <c r="L247" s="1"/>
      <c r="M247" s="1" t="s">
        <v>105</v>
      </c>
      <c r="N247" s="1"/>
      <c r="O247" s="1"/>
      <c r="P247" s="1"/>
      <c r="Q247" s="1" t="s">
        <v>1802</v>
      </c>
      <c r="R247" s="1"/>
      <c r="S247" s="1" t="s">
        <v>1909</v>
      </c>
      <c r="T247" s="1"/>
      <c r="U247" s="1" t="s">
        <v>210</v>
      </c>
      <c r="V247" s="1"/>
      <c r="W247" s="1" t="s">
        <v>201</v>
      </c>
      <c r="X247" s="1" t="s">
        <v>227</v>
      </c>
      <c r="Y247" s="1"/>
      <c r="Z247" s="1" t="s">
        <v>1910</v>
      </c>
      <c r="AA247" s="1" t="s">
        <v>228</v>
      </c>
      <c r="AB247" s="1" t="s">
        <v>192</v>
      </c>
      <c r="AC247" s="1"/>
      <c r="AD247" s="1" t="s">
        <v>1911</v>
      </c>
      <c r="AE247" s="1" t="s">
        <v>1912</v>
      </c>
    </row>
    <row r="248" spans="1:31" hidden="1" x14ac:dyDescent="0.25">
      <c r="A248" s="1" t="s">
        <v>1907</v>
      </c>
      <c r="B248" s="1" t="s">
        <v>2116</v>
      </c>
      <c r="C248" s="1" t="s">
        <v>1803</v>
      </c>
      <c r="D248" s="1" t="s">
        <v>1803</v>
      </c>
      <c r="E248" s="1" t="str">
        <f t="shared" si="3"/>
        <v>854</v>
      </c>
      <c r="F248" s="1"/>
      <c r="G248" s="1" t="s">
        <v>1804</v>
      </c>
      <c r="H248" s="1" t="s">
        <v>184</v>
      </c>
      <c r="I248" s="1" t="s">
        <v>1805</v>
      </c>
      <c r="J248" s="1" t="s">
        <v>1806</v>
      </c>
      <c r="K248" s="1" t="s">
        <v>858</v>
      </c>
      <c r="L248" s="1"/>
      <c r="M248" s="1" t="s">
        <v>105</v>
      </c>
      <c r="N248" s="1"/>
      <c r="O248" s="1"/>
      <c r="P248" s="1"/>
      <c r="Q248" s="1" t="s">
        <v>1807</v>
      </c>
      <c r="R248" s="1"/>
      <c r="S248" s="1" t="s">
        <v>1909</v>
      </c>
      <c r="T248" s="1"/>
      <c r="U248" s="1" t="s">
        <v>189</v>
      </c>
      <c r="V248" s="1"/>
      <c r="W248" s="1"/>
      <c r="X248" s="1" t="s">
        <v>190</v>
      </c>
      <c r="Y248" s="1"/>
      <c r="Z248" s="1" t="s">
        <v>1910</v>
      </c>
      <c r="AA248" s="1" t="s">
        <v>191</v>
      </c>
      <c r="AB248" s="1" t="s">
        <v>192</v>
      </c>
      <c r="AC248" s="1"/>
      <c r="AD248" s="1" t="s">
        <v>1911</v>
      </c>
      <c r="AE248" s="1" t="s">
        <v>1912</v>
      </c>
    </row>
    <row r="249" spans="1:31" hidden="1" x14ac:dyDescent="0.25">
      <c r="A249" s="1" t="s">
        <v>1907</v>
      </c>
      <c r="B249" s="1" t="s">
        <v>2117</v>
      </c>
      <c r="C249" s="1" t="s">
        <v>1808</v>
      </c>
      <c r="D249" s="1" t="s">
        <v>1809</v>
      </c>
      <c r="E249" s="1" t="str">
        <f t="shared" si="3"/>
        <v>858</v>
      </c>
      <c r="F249" s="1"/>
      <c r="G249" s="1" t="s">
        <v>1810</v>
      </c>
      <c r="H249" s="1" t="s">
        <v>222</v>
      </c>
      <c r="I249" s="1" t="s">
        <v>1811</v>
      </c>
      <c r="J249" s="1" t="s">
        <v>1812</v>
      </c>
      <c r="K249" s="1" t="s">
        <v>361</v>
      </c>
      <c r="L249" s="1"/>
      <c r="M249" s="1" t="s">
        <v>105</v>
      </c>
      <c r="N249" s="1" t="s">
        <v>268</v>
      </c>
      <c r="O249" s="1"/>
      <c r="P249" s="1"/>
      <c r="Q249" s="1" t="s">
        <v>1813</v>
      </c>
      <c r="R249" s="1"/>
      <c r="S249" s="1" t="s">
        <v>1909</v>
      </c>
      <c r="T249" s="1" t="s">
        <v>1814</v>
      </c>
      <c r="U249" s="1" t="s">
        <v>210</v>
      </c>
      <c r="V249" s="1"/>
      <c r="W249" s="1" t="s">
        <v>201</v>
      </c>
      <c r="X249" s="1" t="s">
        <v>227</v>
      </c>
      <c r="Y249" s="1" t="s">
        <v>464</v>
      </c>
      <c r="Z249" s="1" t="s">
        <v>1910</v>
      </c>
      <c r="AA249" s="1" t="s">
        <v>228</v>
      </c>
      <c r="AB249" s="1" t="s">
        <v>192</v>
      </c>
      <c r="AC249" s="1"/>
      <c r="AD249" s="1" t="s">
        <v>1911</v>
      </c>
      <c r="AE249" s="1" t="s">
        <v>1912</v>
      </c>
    </row>
    <row r="250" spans="1:31" hidden="1" x14ac:dyDescent="0.25">
      <c r="A250" s="1" t="s">
        <v>1907</v>
      </c>
      <c r="B250" s="1" t="s">
        <v>2118</v>
      </c>
      <c r="C250" s="1" t="s">
        <v>1815</v>
      </c>
      <c r="D250" s="1" t="s">
        <v>1815</v>
      </c>
      <c r="E250" s="1" t="str">
        <f t="shared" si="3"/>
        <v>860</v>
      </c>
      <c r="F250" s="1"/>
      <c r="G250" s="1" t="s">
        <v>1816</v>
      </c>
      <c r="H250" s="1" t="s">
        <v>222</v>
      </c>
      <c r="I250" s="1" t="s">
        <v>1817</v>
      </c>
      <c r="J250" s="1" t="s">
        <v>1818</v>
      </c>
      <c r="K250" s="1" t="s">
        <v>208</v>
      </c>
      <c r="L250" s="1"/>
      <c r="M250" s="1" t="s">
        <v>105</v>
      </c>
      <c r="N250" s="1"/>
      <c r="O250" s="1"/>
      <c r="P250" s="1"/>
      <c r="Q250" s="1" t="s">
        <v>1819</v>
      </c>
      <c r="R250" s="1"/>
      <c r="S250" s="1" t="s">
        <v>1909</v>
      </c>
      <c r="T250" s="1" t="s">
        <v>1820</v>
      </c>
      <c r="U250" s="1" t="s">
        <v>217</v>
      </c>
      <c r="V250" s="1"/>
      <c r="W250" s="1" t="s">
        <v>201</v>
      </c>
      <c r="X250" s="1" t="s">
        <v>463</v>
      </c>
      <c r="Y250" s="1"/>
      <c r="Z250" s="1" t="s">
        <v>1910</v>
      </c>
      <c r="AA250" s="1" t="s">
        <v>191</v>
      </c>
      <c r="AB250" s="1" t="s">
        <v>192</v>
      </c>
      <c r="AC250" s="1"/>
      <c r="AD250" s="1" t="s">
        <v>1911</v>
      </c>
      <c r="AE250" s="1" t="s">
        <v>1912</v>
      </c>
    </row>
    <row r="251" spans="1:31" hidden="1" x14ac:dyDescent="0.25">
      <c r="A251" s="1" t="s">
        <v>1907</v>
      </c>
      <c r="B251" s="1" t="s">
        <v>2119</v>
      </c>
      <c r="C251" s="1" t="s">
        <v>1821</v>
      </c>
      <c r="D251" s="1" t="s">
        <v>1821</v>
      </c>
      <c r="E251" s="1" t="str">
        <f t="shared" si="3"/>
        <v>862</v>
      </c>
      <c r="F251" s="1"/>
      <c r="G251" s="1" t="s">
        <v>1822</v>
      </c>
      <c r="H251" s="1" t="s">
        <v>184</v>
      </c>
      <c r="I251" s="1" t="s">
        <v>1823</v>
      </c>
      <c r="J251" s="1" t="s">
        <v>1824</v>
      </c>
      <c r="K251" s="1" t="s">
        <v>435</v>
      </c>
      <c r="L251" s="1" t="s">
        <v>198</v>
      </c>
      <c r="M251" s="1" t="s">
        <v>105</v>
      </c>
      <c r="N251" s="1"/>
      <c r="O251" s="1"/>
      <c r="P251" s="1"/>
      <c r="Q251" s="1" t="s">
        <v>1825</v>
      </c>
      <c r="R251" s="1"/>
      <c r="S251" s="1" t="s">
        <v>1909</v>
      </c>
      <c r="T251" s="1" t="s">
        <v>1826</v>
      </c>
      <c r="U251" s="1" t="s">
        <v>189</v>
      </c>
      <c r="V251" s="1" t="s">
        <v>1579</v>
      </c>
      <c r="W251" s="1" t="s">
        <v>201</v>
      </c>
      <c r="X251" s="1" t="s">
        <v>355</v>
      </c>
      <c r="Y251" s="1" t="s">
        <v>464</v>
      </c>
      <c r="Z251" s="1" t="s">
        <v>1910</v>
      </c>
      <c r="AA251" s="1" t="s">
        <v>191</v>
      </c>
      <c r="AB251" s="1" t="s">
        <v>1827</v>
      </c>
      <c r="AC251" s="1"/>
      <c r="AD251" s="1" t="s">
        <v>1911</v>
      </c>
      <c r="AE251" s="1" t="s">
        <v>1912</v>
      </c>
    </row>
    <row r="252" spans="1:31" hidden="1" x14ac:dyDescent="0.25">
      <c r="A252" s="1" t="s">
        <v>1907</v>
      </c>
      <c r="B252" s="1" t="s">
        <v>2120</v>
      </c>
      <c r="C252" s="1" t="s">
        <v>1828</v>
      </c>
      <c r="D252" s="1" t="s">
        <v>1829</v>
      </c>
      <c r="E252" s="1" t="str">
        <f t="shared" si="3"/>
        <v>876</v>
      </c>
      <c r="F252" s="1"/>
      <c r="G252" s="1" t="s">
        <v>1830</v>
      </c>
      <c r="H252" s="1" t="s">
        <v>184</v>
      </c>
      <c r="I252" s="1" t="s">
        <v>1831</v>
      </c>
      <c r="J252" s="1" t="s">
        <v>1832</v>
      </c>
      <c r="K252" s="1" t="s">
        <v>208</v>
      </c>
      <c r="L252" s="1"/>
      <c r="M252" s="1" t="s">
        <v>105</v>
      </c>
      <c r="N252" s="1"/>
      <c r="O252" s="1"/>
      <c r="P252" s="1"/>
      <c r="Q252" s="1" t="s">
        <v>1833</v>
      </c>
      <c r="R252" s="1"/>
      <c r="S252" s="1" t="s">
        <v>1909</v>
      </c>
      <c r="T252" s="1"/>
      <c r="U252" s="1" t="s">
        <v>210</v>
      </c>
      <c r="V252" s="1"/>
      <c r="W252" s="1"/>
      <c r="X252" s="1"/>
      <c r="Y252" s="1"/>
      <c r="Z252" s="1" t="s">
        <v>1910</v>
      </c>
      <c r="AA252" s="1" t="s">
        <v>540</v>
      </c>
      <c r="AB252" s="1" t="s">
        <v>192</v>
      </c>
      <c r="AC252" s="1"/>
      <c r="AD252" s="1" t="s">
        <v>1911</v>
      </c>
      <c r="AE252" s="1" t="s">
        <v>1912</v>
      </c>
    </row>
    <row r="253" spans="1:31" hidden="1" x14ac:dyDescent="0.25">
      <c r="A253" s="1" t="s">
        <v>1907</v>
      </c>
      <c r="B253" s="1" t="s">
        <v>2121</v>
      </c>
      <c r="C253" s="1" t="s">
        <v>1834</v>
      </c>
      <c r="D253" s="1" t="s">
        <v>1834</v>
      </c>
      <c r="E253" s="1" t="str">
        <f t="shared" si="3"/>
        <v>882</v>
      </c>
      <c r="F253" s="1"/>
      <c r="G253" s="1" t="s">
        <v>1835</v>
      </c>
      <c r="H253" s="1" t="s">
        <v>184</v>
      </c>
      <c r="I253" s="1" t="s">
        <v>1836</v>
      </c>
      <c r="J253" s="1" t="s">
        <v>1837</v>
      </c>
      <c r="K253" s="1" t="s">
        <v>225</v>
      </c>
      <c r="L253" s="1"/>
      <c r="M253" s="1" t="s">
        <v>105</v>
      </c>
      <c r="N253" s="1"/>
      <c r="O253" s="1"/>
      <c r="P253" s="1"/>
      <c r="Q253" s="1" t="s">
        <v>1838</v>
      </c>
      <c r="R253" s="1"/>
      <c r="S253" s="1" t="s">
        <v>1909</v>
      </c>
      <c r="T253" s="1"/>
      <c r="U253" s="1" t="s">
        <v>200</v>
      </c>
      <c r="V253" s="1"/>
      <c r="W253" s="1" t="s">
        <v>201</v>
      </c>
      <c r="X253" s="1" t="s">
        <v>227</v>
      </c>
      <c r="Y253" s="1"/>
      <c r="Z253" s="1" t="s">
        <v>1910</v>
      </c>
      <c r="AA253" s="1" t="s">
        <v>191</v>
      </c>
      <c r="AB253" s="1" t="s">
        <v>192</v>
      </c>
      <c r="AC253" s="1"/>
      <c r="AD253" s="1" t="s">
        <v>1911</v>
      </c>
      <c r="AE253" s="1" t="s">
        <v>1912</v>
      </c>
    </row>
    <row r="254" spans="1:31" hidden="1" x14ac:dyDescent="0.25">
      <c r="A254" s="1" t="s">
        <v>1907</v>
      </c>
      <c r="B254" s="1" t="s">
        <v>2122</v>
      </c>
      <c r="C254" s="1" t="s">
        <v>1839</v>
      </c>
      <c r="D254" s="1" t="s">
        <v>1839</v>
      </c>
      <c r="E254" s="1" t="str">
        <f t="shared" si="3"/>
        <v>887</v>
      </c>
      <c r="F254" s="1"/>
      <c r="G254" s="1" t="s">
        <v>1840</v>
      </c>
      <c r="H254" s="1" t="s">
        <v>1252</v>
      </c>
      <c r="I254" s="1" t="s">
        <v>1841</v>
      </c>
      <c r="J254" s="1" t="s">
        <v>1842</v>
      </c>
      <c r="K254" s="1" t="s">
        <v>422</v>
      </c>
      <c r="L254" s="1"/>
      <c r="M254" s="1" t="s">
        <v>105</v>
      </c>
      <c r="N254" s="1"/>
      <c r="O254" s="1"/>
      <c r="P254" s="1"/>
      <c r="Q254" s="1" t="s">
        <v>1843</v>
      </c>
      <c r="R254" s="1"/>
      <c r="S254" s="1" t="s">
        <v>1909</v>
      </c>
      <c r="T254" s="1" t="s">
        <v>1844</v>
      </c>
      <c r="U254" s="1" t="s">
        <v>189</v>
      </c>
      <c r="V254" s="1"/>
      <c r="W254" s="1" t="s">
        <v>201</v>
      </c>
      <c r="X254" s="1" t="s">
        <v>227</v>
      </c>
      <c r="Y254" s="1"/>
      <c r="Z254" s="1" t="s">
        <v>1910</v>
      </c>
      <c r="AA254" s="1" t="s">
        <v>191</v>
      </c>
      <c r="AB254" s="1" t="s">
        <v>192</v>
      </c>
      <c r="AC254" s="1"/>
      <c r="AD254" s="1" t="s">
        <v>1911</v>
      </c>
      <c r="AE254" s="1" t="s">
        <v>1912</v>
      </c>
    </row>
    <row r="255" spans="1:31" hidden="1" x14ac:dyDescent="0.25">
      <c r="A255" s="1" t="s">
        <v>1907</v>
      </c>
      <c r="B255" s="1" t="s">
        <v>2123</v>
      </c>
      <c r="C255" s="1" t="s">
        <v>1845</v>
      </c>
      <c r="D255" s="1" t="s">
        <v>1845</v>
      </c>
      <c r="E255" s="1" t="str">
        <f t="shared" si="3"/>
        <v>894</v>
      </c>
      <c r="F255" s="1"/>
      <c r="G255" s="1" t="s">
        <v>1846</v>
      </c>
      <c r="H255" s="1" t="s">
        <v>184</v>
      </c>
      <c r="I255" s="1" t="s">
        <v>1847</v>
      </c>
      <c r="J255" s="1" t="s">
        <v>1848</v>
      </c>
      <c r="K255" s="1" t="s">
        <v>197</v>
      </c>
      <c r="L255" s="1"/>
      <c r="M255" s="1" t="s">
        <v>105</v>
      </c>
      <c r="N255" s="1"/>
      <c r="O255" s="1"/>
      <c r="P255" s="1"/>
      <c r="Q255" s="1" t="s">
        <v>1849</v>
      </c>
      <c r="R255" s="1"/>
      <c r="S255" s="1" t="s">
        <v>1909</v>
      </c>
      <c r="T255" s="1"/>
      <c r="U255" s="1" t="s">
        <v>189</v>
      </c>
      <c r="V255" s="1"/>
      <c r="W255" s="1"/>
      <c r="X255" s="1"/>
      <c r="Y255" s="1"/>
      <c r="Z255" s="1" t="s">
        <v>1910</v>
      </c>
      <c r="AA255" s="1" t="s">
        <v>191</v>
      </c>
      <c r="AB255" s="1" t="s">
        <v>192</v>
      </c>
      <c r="AC255" s="1"/>
      <c r="AD255" s="1" t="s">
        <v>1911</v>
      </c>
      <c r="AE255" s="1" t="s">
        <v>1912</v>
      </c>
    </row>
    <row r="256" spans="1:31" hidden="1" x14ac:dyDescent="0.25">
      <c r="A256" s="1" t="s">
        <v>1907</v>
      </c>
      <c r="B256" s="1" t="s">
        <v>2124</v>
      </c>
      <c r="C256" s="1" t="s">
        <v>1850</v>
      </c>
      <c r="D256" s="1" t="s">
        <v>1850</v>
      </c>
      <c r="E256" s="1" t="str">
        <f t="shared" si="3"/>
        <v>900</v>
      </c>
      <c r="F256" s="1"/>
      <c r="G256" s="1" t="s">
        <v>1851</v>
      </c>
      <c r="H256" s="1" t="s">
        <v>869</v>
      </c>
      <c r="I256" s="1" t="s">
        <v>1852</v>
      </c>
      <c r="J256" s="1" t="s">
        <v>1853</v>
      </c>
      <c r="K256" s="1"/>
      <c r="L256" s="1"/>
      <c r="M256" s="1" t="s">
        <v>109</v>
      </c>
      <c r="N256" s="1"/>
      <c r="O256" s="1"/>
      <c r="P256" s="1"/>
      <c r="Q256" s="1" t="s">
        <v>1854</v>
      </c>
      <c r="R256" s="1"/>
      <c r="S256" s="1" t="s">
        <v>1909</v>
      </c>
      <c r="T256" s="1"/>
      <c r="U256" s="1" t="s">
        <v>210</v>
      </c>
      <c r="V256" s="1"/>
      <c r="W256" s="1" t="s">
        <v>201</v>
      </c>
      <c r="X256" s="1" t="s">
        <v>201</v>
      </c>
      <c r="Y256" s="1"/>
      <c r="Z256" s="1" t="s">
        <v>1910</v>
      </c>
      <c r="AA256" s="1" t="s">
        <v>1987</v>
      </c>
      <c r="AB256" s="1"/>
      <c r="AC256" s="1"/>
      <c r="AD256" s="1" t="s">
        <v>1911</v>
      </c>
      <c r="AE256" s="1" t="s">
        <v>1912</v>
      </c>
    </row>
    <row r="257" spans="1:31" hidden="1" x14ac:dyDescent="0.25">
      <c r="A257" s="1" t="s">
        <v>1907</v>
      </c>
      <c r="B257" s="1" t="s">
        <v>2125</v>
      </c>
      <c r="C257" s="1" t="s">
        <v>1855</v>
      </c>
      <c r="D257" s="1" t="s">
        <v>1855</v>
      </c>
      <c r="E257" s="1" t="str">
        <f t="shared" si="3"/>
        <v>910</v>
      </c>
      <c r="F257" s="1"/>
      <c r="G257" s="1" t="s">
        <v>1856</v>
      </c>
      <c r="H257" s="1" t="s">
        <v>869</v>
      </c>
      <c r="I257" s="1" t="s">
        <v>1857</v>
      </c>
      <c r="J257" s="1" t="s">
        <v>1858</v>
      </c>
      <c r="K257" s="1"/>
      <c r="L257" s="1"/>
      <c r="M257" s="1" t="s">
        <v>112</v>
      </c>
      <c r="N257" s="1"/>
      <c r="O257" s="1"/>
      <c r="P257" s="1"/>
      <c r="Q257" s="1"/>
      <c r="R257" s="1"/>
      <c r="S257" s="1" t="s">
        <v>1909</v>
      </c>
      <c r="T257" s="1"/>
      <c r="U257" s="1" t="s">
        <v>1910</v>
      </c>
      <c r="V257" s="1"/>
      <c r="W257" s="1" t="s">
        <v>201</v>
      </c>
      <c r="X257" s="1" t="s">
        <v>201</v>
      </c>
      <c r="Y257" s="1"/>
      <c r="Z257" s="1" t="s">
        <v>1910</v>
      </c>
      <c r="AA257" s="1" t="s">
        <v>2126</v>
      </c>
      <c r="AB257" s="1" t="s">
        <v>1859</v>
      </c>
      <c r="AC257" s="1"/>
      <c r="AD257" s="1" t="s">
        <v>1911</v>
      </c>
      <c r="AE257" s="1" t="s">
        <v>1912</v>
      </c>
    </row>
    <row r="258" spans="1:31" hidden="1" x14ac:dyDescent="0.25">
      <c r="A258" s="1" t="s">
        <v>1907</v>
      </c>
      <c r="B258" s="1" t="s">
        <v>2127</v>
      </c>
      <c r="C258" s="1" t="s">
        <v>1860</v>
      </c>
      <c r="D258" s="1" t="s">
        <v>1861</v>
      </c>
      <c r="E258" s="1" t="str">
        <f t="shared" si="3"/>
        <v>918</v>
      </c>
      <c r="F258" s="1"/>
      <c r="G258" s="1" t="s">
        <v>1862</v>
      </c>
      <c r="H258" s="1" t="s">
        <v>869</v>
      </c>
      <c r="I258" s="1" t="s">
        <v>1863</v>
      </c>
      <c r="J258" s="1" t="s">
        <v>1864</v>
      </c>
      <c r="K258" s="1"/>
      <c r="L258" s="1"/>
      <c r="M258" s="1" t="s">
        <v>106</v>
      </c>
      <c r="N258" s="1"/>
      <c r="O258" s="1"/>
      <c r="P258" s="1"/>
      <c r="Q258" s="1" t="s">
        <v>1865</v>
      </c>
      <c r="R258" s="1"/>
      <c r="S258" s="1" t="s">
        <v>1909</v>
      </c>
      <c r="T258" s="1"/>
      <c r="U258" s="1" t="s">
        <v>210</v>
      </c>
      <c r="V258" s="1"/>
      <c r="W258" s="1"/>
      <c r="X258" s="1"/>
      <c r="Y258" s="1"/>
      <c r="Z258" s="1" t="s">
        <v>1910</v>
      </c>
      <c r="AA258" s="1" t="s">
        <v>1987</v>
      </c>
      <c r="AB258" s="1"/>
      <c r="AC258" s="1"/>
      <c r="AD258" s="1" t="s">
        <v>1911</v>
      </c>
      <c r="AE258" s="1" t="s">
        <v>1912</v>
      </c>
    </row>
    <row r="259" spans="1:31" hidden="1" x14ac:dyDescent="0.25">
      <c r="A259" s="1" t="s">
        <v>1907</v>
      </c>
      <c r="B259" s="1" t="s">
        <v>2128</v>
      </c>
      <c r="C259" s="1" t="s">
        <v>1866</v>
      </c>
      <c r="D259" s="1" t="s">
        <v>1867</v>
      </c>
      <c r="E259" s="1" t="str">
        <f t="shared" ref="E259:E266" si="4">+B259</f>
        <v>924</v>
      </c>
      <c r="F259" s="1"/>
      <c r="G259" s="1" t="s">
        <v>1868</v>
      </c>
      <c r="H259" s="1" t="s">
        <v>869</v>
      </c>
      <c r="I259" s="1" t="s">
        <v>1869</v>
      </c>
      <c r="J259" s="1" t="s">
        <v>1870</v>
      </c>
      <c r="K259" s="1"/>
      <c r="L259" s="1"/>
      <c r="M259" s="1" t="s">
        <v>106</v>
      </c>
      <c r="N259" s="1"/>
      <c r="O259" s="1"/>
      <c r="P259" s="1"/>
      <c r="Q259" s="1" t="s">
        <v>1871</v>
      </c>
      <c r="R259" s="1"/>
      <c r="S259" s="1" t="s">
        <v>1909</v>
      </c>
      <c r="T259" s="1"/>
      <c r="U259" s="1" t="s">
        <v>210</v>
      </c>
      <c r="V259" s="1"/>
      <c r="W259" s="1"/>
      <c r="X259" s="1"/>
      <c r="Y259" s="1"/>
      <c r="Z259" s="1" t="s">
        <v>1910</v>
      </c>
      <c r="AA259" s="1" t="s">
        <v>1987</v>
      </c>
      <c r="AB259" s="1"/>
      <c r="AC259" s="1"/>
      <c r="AD259" s="1" t="s">
        <v>1911</v>
      </c>
      <c r="AE259" s="1" t="s">
        <v>1912</v>
      </c>
    </row>
    <row r="260" spans="1:31" hidden="1" x14ac:dyDescent="0.25">
      <c r="A260" s="1" t="s">
        <v>1907</v>
      </c>
      <c r="B260" s="1" t="s">
        <v>2129</v>
      </c>
      <c r="C260" s="1" t="s">
        <v>1872</v>
      </c>
      <c r="D260" s="1" t="s">
        <v>1872</v>
      </c>
      <c r="E260" s="1" t="str">
        <f t="shared" si="4"/>
        <v>928</v>
      </c>
      <c r="F260" s="1"/>
      <c r="G260" s="1" t="s">
        <v>1873</v>
      </c>
      <c r="H260" s="1" t="s">
        <v>869</v>
      </c>
      <c r="I260" s="1" t="s">
        <v>1874</v>
      </c>
      <c r="J260" s="1" t="s">
        <v>1875</v>
      </c>
      <c r="K260" s="1"/>
      <c r="L260" s="1"/>
      <c r="M260" s="1" t="s">
        <v>106</v>
      </c>
      <c r="N260" s="1"/>
      <c r="O260" s="1"/>
      <c r="P260" s="1"/>
      <c r="Q260" s="1" t="s">
        <v>1876</v>
      </c>
      <c r="R260" s="1"/>
      <c r="S260" s="1" t="s">
        <v>1909</v>
      </c>
      <c r="T260" s="1"/>
      <c r="U260" s="1" t="s">
        <v>210</v>
      </c>
      <c r="V260" s="1"/>
      <c r="W260" s="1"/>
      <c r="X260" s="1"/>
      <c r="Y260" s="1"/>
      <c r="Z260" s="1" t="s">
        <v>1910</v>
      </c>
      <c r="AA260" s="1" t="s">
        <v>1987</v>
      </c>
      <c r="AB260" s="1"/>
      <c r="AC260" s="1"/>
      <c r="AD260" s="1" t="s">
        <v>1911</v>
      </c>
      <c r="AE260" s="1" t="s">
        <v>1912</v>
      </c>
    </row>
    <row r="261" spans="1:31" hidden="1" x14ac:dyDescent="0.25">
      <c r="A261" s="1" t="s">
        <v>1907</v>
      </c>
      <c r="B261" s="1" t="s">
        <v>2130</v>
      </c>
      <c r="C261" s="1" t="s">
        <v>1877</v>
      </c>
      <c r="D261" s="1" t="s">
        <v>1878</v>
      </c>
      <c r="E261" s="1" t="str">
        <f t="shared" si="4"/>
        <v>943</v>
      </c>
      <c r="F261" s="1"/>
      <c r="G261" s="1" t="s">
        <v>1879</v>
      </c>
      <c r="H261" s="1" t="s">
        <v>804</v>
      </c>
      <c r="I261" s="1" t="s">
        <v>1880</v>
      </c>
      <c r="J261" s="1" t="s">
        <v>1881</v>
      </c>
      <c r="K261" s="1" t="s">
        <v>1986</v>
      </c>
      <c r="L261" s="1"/>
      <c r="M261" s="1" t="s">
        <v>112</v>
      </c>
      <c r="N261" s="1"/>
      <c r="O261" s="1"/>
      <c r="P261" s="1"/>
      <c r="Q261" s="1"/>
      <c r="R261" s="1"/>
      <c r="S261" s="1" t="s">
        <v>1909</v>
      </c>
      <c r="T261" s="1"/>
      <c r="U261" s="1" t="s">
        <v>1910</v>
      </c>
      <c r="V261" s="1"/>
      <c r="W261" s="1" t="s">
        <v>201</v>
      </c>
      <c r="X261" s="1" t="s">
        <v>201</v>
      </c>
      <c r="Y261" s="1"/>
      <c r="Z261" s="1" t="s">
        <v>1910</v>
      </c>
      <c r="AA261" s="1" t="s">
        <v>2126</v>
      </c>
      <c r="AB261" s="1" t="s">
        <v>1859</v>
      </c>
      <c r="AC261" s="1"/>
      <c r="AD261" s="1" t="s">
        <v>1911</v>
      </c>
      <c r="AE261" s="1" t="s">
        <v>1912</v>
      </c>
    </row>
    <row r="262" spans="1:31" hidden="1" x14ac:dyDescent="0.25">
      <c r="A262" s="1" t="s">
        <v>1907</v>
      </c>
      <c r="B262" s="1" t="s">
        <v>2131</v>
      </c>
      <c r="C262" s="1" t="s">
        <v>1882</v>
      </c>
      <c r="D262" s="1" t="s">
        <v>1882</v>
      </c>
      <c r="E262" s="1" t="str">
        <f t="shared" si="4"/>
        <v>950</v>
      </c>
      <c r="F262" s="1"/>
      <c r="G262" s="1" t="s">
        <v>1883</v>
      </c>
      <c r="H262" s="1" t="s">
        <v>869</v>
      </c>
      <c r="I262" s="1" t="s">
        <v>1884</v>
      </c>
      <c r="J262" s="1" t="s">
        <v>1885</v>
      </c>
      <c r="K262" s="1"/>
      <c r="L262" s="1"/>
      <c r="M262" s="1" t="s">
        <v>109</v>
      </c>
      <c r="N262" s="1"/>
      <c r="O262" s="1"/>
      <c r="P262" s="1"/>
      <c r="Q262" s="1" t="s">
        <v>1886</v>
      </c>
      <c r="R262" s="1"/>
      <c r="S262" s="1" t="s">
        <v>1909</v>
      </c>
      <c r="T262" s="1"/>
      <c r="U262" s="1" t="s">
        <v>210</v>
      </c>
      <c r="V262" s="1"/>
      <c r="W262" s="1" t="s">
        <v>201</v>
      </c>
      <c r="X262" s="1" t="s">
        <v>201</v>
      </c>
      <c r="Y262" s="1"/>
      <c r="Z262" s="1" t="s">
        <v>1910</v>
      </c>
      <c r="AA262" s="1" t="s">
        <v>1987</v>
      </c>
      <c r="AB262" s="1"/>
      <c r="AC262" s="1"/>
      <c r="AD262" s="1" t="s">
        <v>1911</v>
      </c>
      <c r="AE262" s="1" t="s">
        <v>1912</v>
      </c>
    </row>
    <row r="263" spans="1:31" hidden="1" x14ac:dyDescent="0.25">
      <c r="A263" s="1" t="s">
        <v>1907</v>
      </c>
      <c r="B263" s="1" t="s">
        <v>2132</v>
      </c>
      <c r="C263" s="1" t="s">
        <v>1887</v>
      </c>
      <c r="D263" s="1" t="s">
        <v>1887</v>
      </c>
      <c r="E263" s="1" t="str">
        <f t="shared" si="4"/>
        <v>952</v>
      </c>
      <c r="F263" s="1"/>
      <c r="G263" s="1" t="s">
        <v>1888</v>
      </c>
      <c r="H263" s="1" t="s">
        <v>869</v>
      </c>
      <c r="I263" s="1" t="s">
        <v>1889</v>
      </c>
      <c r="J263" s="1" t="s">
        <v>1890</v>
      </c>
      <c r="K263" s="1"/>
      <c r="L263" s="1"/>
      <c r="M263" s="1" t="s">
        <v>105</v>
      </c>
      <c r="N263" s="1"/>
      <c r="O263" s="1"/>
      <c r="P263" s="1"/>
      <c r="Q263" s="1" t="s">
        <v>1891</v>
      </c>
      <c r="R263" s="1"/>
      <c r="S263" s="1" t="s">
        <v>1909</v>
      </c>
      <c r="T263" s="1"/>
      <c r="U263" s="1" t="s">
        <v>210</v>
      </c>
      <c r="V263" s="1"/>
      <c r="W263" s="1"/>
      <c r="X263" s="1"/>
      <c r="Y263" s="1"/>
      <c r="Z263" s="1" t="s">
        <v>1910</v>
      </c>
      <c r="AA263" s="1" t="s">
        <v>1987</v>
      </c>
      <c r="AB263" s="1"/>
      <c r="AC263" s="1"/>
      <c r="AD263" s="1" t="s">
        <v>1911</v>
      </c>
      <c r="AE263" s="1" t="s">
        <v>1912</v>
      </c>
    </row>
    <row r="264" spans="1:31" hidden="1" x14ac:dyDescent="0.25">
      <c r="A264" s="1" t="s">
        <v>1907</v>
      </c>
      <c r="B264" s="1" t="s">
        <v>2133</v>
      </c>
      <c r="C264" s="1" t="s">
        <v>1892</v>
      </c>
      <c r="D264" s="1" t="s">
        <v>1892</v>
      </c>
      <c r="E264" s="1" t="str">
        <f t="shared" si="4"/>
        <v>954</v>
      </c>
      <c r="F264" s="1"/>
      <c r="G264" s="1" t="s">
        <v>1893</v>
      </c>
      <c r="H264" s="1" t="s">
        <v>869</v>
      </c>
      <c r="I264" s="1" t="s">
        <v>1894</v>
      </c>
      <c r="J264" s="1" t="s">
        <v>1895</v>
      </c>
      <c r="K264" s="1"/>
      <c r="L264" s="1"/>
      <c r="M264" s="1" t="s">
        <v>105</v>
      </c>
      <c r="N264" s="1"/>
      <c r="O264" s="1"/>
      <c r="P264" s="1"/>
      <c r="Q264" s="1" t="s">
        <v>1896</v>
      </c>
      <c r="R264" s="1"/>
      <c r="S264" s="1" t="s">
        <v>1909</v>
      </c>
      <c r="T264" s="1"/>
      <c r="U264" s="1" t="s">
        <v>210</v>
      </c>
      <c r="V264" s="1"/>
      <c r="W264" s="1" t="s">
        <v>201</v>
      </c>
      <c r="X264" s="1" t="s">
        <v>201</v>
      </c>
      <c r="Y264" s="1"/>
      <c r="Z264" s="1" t="s">
        <v>1910</v>
      </c>
      <c r="AA264" s="1" t="s">
        <v>1987</v>
      </c>
      <c r="AB264" s="1"/>
      <c r="AC264" s="1"/>
      <c r="AD264" s="1" t="s">
        <v>1911</v>
      </c>
      <c r="AE264" s="1" t="s">
        <v>1912</v>
      </c>
    </row>
    <row r="265" spans="1:31" hidden="1" x14ac:dyDescent="0.25">
      <c r="A265" s="1" t="s">
        <v>1907</v>
      </c>
      <c r="B265" s="1" t="s">
        <v>2134</v>
      </c>
      <c r="C265" s="1" t="s">
        <v>1897</v>
      </c>
      <c r="D265" s="1" t="s">
        <v>1897</v>
      </c>
      <c r="E265" s="1" t="str">
        <f t="shared" si="4"/>
        <v>976</v>
      </c>
      <c r="F265" s="1"/>
      <c r="G265" s="1" t="s">
        <v>1898</v>
      </c>
      <c r="H265" s="1" t="s">
        <v>869</v>
      </c>
      <c r="I265" s="1" t="s">
        <v>1899</v>
      </c>
      <c r="J265" s="1" t="s">
        <v>1900</v>
      </c>
      <c r="K265" s="1"/>
      <c r="L265" s="1"/>
      <c r="M265" s="1" t="s">
        <v>106</v>
      </c>
      <c r="N265" s="1"/>
      <c r="O265" s="1"/>
      <c r="P265" s="1"/>
      <c r="Q265" s="1" t="s">
        <v>1901</v>
      </c>
      <c r="R265" s="1"/>
      <c r="S265" s="1" t="s">
        <v>1909</v>
      </c>
      <c r="T265" s="1"/>
      <c r="U265" s="1" t="s">
        <v>1910</v>
      </c>
      <c r="V265" s="1"/>
      <c r="W265" s="1" t="s">
        <v>201</v>
      </c>
      <c r="X265" s="1" t="s">
        <v>201</v>
      </c>
      <c r="Y265" s="1"/>
      <c r="Z265" s="1" t="s">
        <v>1910</v>
      </c>
      <c r="AA265" s="1" t="s">
        <v>2126</v>
      </c>
      <c r="AB265" s="1"/>
      <c r="AC265" s="1"/>
      <c r="AD265" s="1" t="s">
        <v>1911</v>
      </c>
      <c r="AE265" s="1" t="s">
        <v>1912</v>
      </c>
    </row>
    <row r="266" spans="1:31" hidden="1" x14ac:dyDescent="0.25">
      <c r="A266" s="1" t="s">
        <v>1907</v>
      </c>
      <c r="B266" s="1" t="s">
        <v>2135</v>
      </c>
      <c r="C266" s="1" t="s">
        <v>1902</v>
      </c>
      <c r="D266" s="1" t="s">
        <v>1902</v>
      </c>
      <c r="E266" s="1" t="str">
        <f t="shared" si="4"/>
        <v>999</v>
      </c>
      <c r="F266" s="1"/>
      <c r="G266" s="1" t="s">
        <v>1903</v>
      </c>
      <c r="H266" s="1" t="s">
        <v>184</v>
      </c>
      <c r="I266" s="1" t="s">
        <v>1904</v>
      </c>
      <c r="J266" s="1" t="s">
        <v>1905</v>
      </c>
      <c r="K266" s="1" t="s">
        <v>208</v>
      </c>
      <c r="L266" s="1"/>
      <c r="M266" s="1" t="s">
        <v>106</v>
      </c>
      <c r="N266" s="1" t="s">
        <v>234</v>
      </c>
      <c r="O266" s="1"/>
      <c r="P266" s="1"/>
      <c r="Q266" s="1" t="s">
        <v>1906</v>
      </c>
      <c r="R266" s="1" t="s">
        <v>1906</v>
      </c>
      <c r="S266" s="1" t="s">
        <v>1909</v>
      </c>
      <c r="T266" s="1"/>
      <c r="U266" s="1" t="s">
        <v>1910</v>
      </c>
      <c r="V266" s="1"/>
      <c r="W266" s="1" t="s">
        <v>201</v>
      </c>
      <c r="X266" s="1" t="s">
        <v>201</v>
      </c>
      <c r="Y266" s="1"/>
      <c r="Z266" s="1" t="s">
        <v>1910</v>
      </c>
      <c r="AA266" s="1" t="s">
        <v>191</v>
      </c>
      <c r="AB266" s="1"/>
      <c r="AC266" s="1"/>
      <c r="AD266" s="1" t="s">
        <v>1911</v>
      </c>
      <c r="AE266" s="1" t="s">
        <v>1912</v>
      </c>
    </row>
  </sheetData>
  <autoFilter ref="A1:E266">
    <filterColumn colId="3">
      <filters>
        <filter val="KOREA, DEMOC.PEOPLE'S REPUB.OF"/>
        <filter val="KOREA, REPUBLIC OF"/>
      </filters>
    </filterColumn>
  </autoFilter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8"/>
  <sheetViews>
    <sheetView tabSelected="1" workbookViewId="0">
      <selection activeCell="A88" sqref="A2:A88"/>
    </sheetView>
  </sheetViews>
  <sheetFormatPr defaultRowHeight="15" x14ac:dyDescent="0.25"/>
  <cols>
    <col min="1" max="1" width="23.28515625" bestFit="1" customWidth="1"/>
    <col min="2" max="2" width="23.28515625" customWidth="1"/>
  </cols>
  <sheetData>
    <row r="1" spans="1:7" x14ac:dyDescent="0.25">
      <c r="A1" t="s">
        <v>2221</v>
      </c>
      <c r="C1" t="s">
        <v>2222</v>
      </c>
    </row>
    <row r="2" spans="1:7" x14ac:dyDescent="0.25">
      <c r="A2" t="s">
        <v>2136</v>
      </c>
      <c r="B2" s="1" t="s">
        <v>1789</v>
      </c>
      <c r="C2" t="e">
        <f>+VLOOKUP(A2,Sheet1!D:E,2,FALSE)</f>
        <v>#N/A</v>
      </c>
      <c r="D2" t="e">
        <f>+VLOOKUP(A2,Sheet1!C:E,3,FALSE)</f>
        <v>#N/A</v>
      </c>
      <c r="E2" t="s">
        <v>51</v>
      </c>
      <c r="F2" t="str">
        <f>+VLOOKUP(E2,Sheet1!B:C,2,FALSE)</f>
        <v>ESTADOS UNIDOS</v>
      </c>
      <c r="G2" t="str">
        <f>+LEFT(F2,1)&amp;LOWER(RIGHT(F2,LEN(F2)-1))</f>
        <v>Estados unidos</v>
      </c>
    </row>
    <row r="3" spans="1:7" x14ac:dyDescent="0.25">
      <c r="A3" t="s">
        <v>2137</v>
      </c>
      <c r="C3" t="str">
        <f>+VLOOKUP(A3,Sheet1!D:E,2,FALSE)</f>
        <v>124</v>
      </c>
      <c r="E3" t="s">
        <v>128</v>
      </c>
      <c r="F3" t="str">
        <f>+VLOOKUP(E3,Sheet1!B:C,2,FALSE)</f>
        <v>CANADA</v>
      </c>
      <c r="G3" t="str">
        <f t="shared" ref="G3:G66" si="0">+LEFT(F3,1)&amp;LOWER(RIGHT(F3,LEN(F3)-1))</f>
        <v>Canada</v>
      </c>
    </row>
    <row r="4" spans="1:7" x14ac:dyDescent="0.25">
      <c r="A4" t="s">
        <v>2138</v>
      </c>
      <c r="C4" t="str">
        <f>+VLOOKUP(A4,Sheet1!D:E,2,FALSE)</f>
        <v>300</v>
      </c>
      <c r="E4" t="s">
        <v>80</v>
      </c>
      <c r="F4" t="str">
        <f>+VLOOKUP(E4,Sheet1!B:C,2,FALSE)</f>
        <v>GRECIA</v>
      </c>
      <c r="G4" t="str">
        <f t="shared" si="0"/>
        <v>Grecia</v>
      </c>
    </row>
    <row r="5" spans="1:7" x14ac:dyDescent="0.25">
      <c r="A5" t="s">
        <v>2139</v>
      </c>
      <c r="C5" t="str">
        <f>+VLOOKUP(A5,Sheet1!D:E,2,FALSE)</f>
        <v>100</v>
      </c>
      <c r="E5" t="s">
        <v>56</v>
      </c>
      <c r="F5" t="str">
        <f>+VLOOKUP(E5,Sheet1!B:C,2,FALSE)</f>
        <v>BULGARIA</v>
      </c>
      <c r="G5" t="str">
        <f t="shared" si="0"/>
        <v>Bulgaria</v>
      </c>
    </row>
    <row r="6" spans="1:7" x14ac:dyDescent="0.25">
      <c r="A6" t="s">
        <v>2140</v>
      </c>
      <c r="C6" t="str">
        <f>+VLOOKUP(A6,Sheet1!D:E,2,FALSE)</f>
        <v>440</v>
      </c>
      <c r="E6" t="s">
        <v>140</v>
      </c>
      <c r="F6" t="str">
        <f>+VLOOKUP(E6,Sheet1!B:C,2,FALSE)</f>
        <v>LITUANIA</v>
      </c>
      <c r="G6" t="str">
        <f t="shared" si="0"/>
        <v>Lituania</v>
      </c>
    </row>
    <row r="7" spans="1:7" x14ac:dyDescent="0.25">
      <c r="A7" t="s">
        <v>2141</v>
      </c>
      <c r="C7" t="str">
        <f>+VLOOKUP(A7,Sheet1!D:E,2,FALSE)</f>
        <v>724</v>
      </c>
      <c r="E7" t="s">
        <v>149</v>
      </c>
      <c r="F7" t="str">
        <f>+VLOOKUP(E7,Sheet1!B:C,2,FALSE)</f>
        <v>ESPANHA</v>
      </c>
      <c r="G7" t="str">
        <f t="shared" si="0"/>
        <v>Espanha</v>
      </c>
    </row>
    <row r="8" spans="1:7" x14ac:dyDescent="0.25">
      <c r="A8" t="s">
        <v>2142</v>
      </c>
      <c r="C8" t="str">
        <f>+VLOOKUP(A8,Sheet1!D:E,2,FALSE)</f>
        <v>620</v>
      </c>
      <c r="E8" t="s">
        <v>145</v>
      </c>
      <c r="F8" t="str">
        <f>+VLOOKUP(E8,Sheet1!B:C,2,FALSE)</f>
        <v>PORTUGAL</v>
      </c>
      <c r="G8" t="str">
        <f t="shared" si="0"/>
        <v>Portugal</v>
      </c>
    </row>
    <row r="9" spans="1:7" x14ac:dyDescent="0.25">
      <c r="A9" t="s">
        <v>2143</v>
      </c>
      <c r="C9" t="str">
        <f>+VLOOKUP(A9,Sheet1!D:E,2,FALSE)</f>
        <v>348</v>
      </c>
      <c r="E9" t="s">
        <v>81</v>
      </c>
      <c r="F9" t="str">
        <f>+VLOOKUP(E9,Sheet1!B:C,2,FALSE)</f>
        <v>HUNGRIA</v>
      </c>
      <c r="G9" t="str">
        <f t="shared" si="0"/>
        <v>Hungria</v>
      </c>
    </row>
    <row r="10" spans="1:7" x14ac:dyDescent="0.25">
      <c r="A10" t="s">
        <v>2144</v>
      </c>
      <c r="C10" t="str">
        <f>+VLOOKUP(A10,Sheet1!D:E,2,FALSE)</f>
        <v>191</v>
      </c>
      <c r="E10" t="s">
        <v>57</v>
      </c>
      <c r="F10" t="str">
        <f>+VLOOKUP(E10,Sheet1!B:C,2,FALSE)</f>
        <v>CROACIA</v>
      </c>
      <c r="G10" t="str">
        <f t="shared" si="0"/>
        <v>Croacia</v>
      </c>
    </row>
    <row r="11" spans="1:7" x14ac:dyDescent="0.25">
      <c r="A11" t="s">
        <v>2145</v>
      </c>
      <c r="C11" t="str">
        <f>+VLOOKUP(A11,Sheet1!D:E,2,FALSE)</f>
        <v>442</v>
      </c>
      <c r="E11" t="s">
        <v>141</v>
      </c>
      <c r="F11" t="str">
        <f>+VLOOKUP(E11,Sheet1!B:C,2,FALSE)</f>
        <v>LUXEMBURGO</v>
      </c>
      <c r="G11" t="str">
        <f t="shared" si="0"/>
        <v>Luxemburgo</v>
      </c>
    </row>
    <row r="12" spans="1:7" x14ac:dyDescent="0.25">
      <c r="A12" t="s">
        <v>2146</v>
      </c>
      <c r="C12" t="str">
        <f>+VLOOKUP(A12,Sheet1!D:E,2,FALSE)</f>
        <v>246</v>
      </c>
      <c r="E12" t="s">
        <v>77</v>
      </c>
      <c r="F12" t="str">
        <f>+VLOOKUP(E12,Sheet1!B:C,2,FALSE)</f>
        <v>FINLANDIA</v>
      </c>
      <c r="G12" t="str">
        <f t="shared" si="0"/>
        <v>Finlandia</v>
      </c>
    </row>
    <row r="13" spans="1:7" x14ac:dyDescent="0.25">
      <c r="A13" t="s">
        <v>2147</v>
      </c>
      <c r="C13" t="str">
        <f>+VLOOKUP(A13,Sheet1!D:E,2,FALSE)</f>
        <v>752</v>
      </c>
      <c r="E13" t="s">
        <v>150</v>
      </c>
      <c r="F13" t="str">
        <f>+VLOOKUP(E13,Sheet1!B:C,2,FALSE)</f>
        <v>SUECIA</v>
      </c>
      <c r="G13" t="str">
        <f t="shared" si="0"/>
        <v>Suecia</v>
      </c>
    </row>
    <row r="14" spans="1:7" x14ac:dyDescent="0.25">
      <c r="A14" t="s">
        <v>2148</v>
      </c>
      <c r="C14" t="str">
        <f>+VLOOKUP(A14,Sheet1!D:E,2,FALSE)</f>
        <v>642</v>
      </c>
      <c r="E14" t="s">
        <v>146</v>
      </c>
      <c r="F14" t="str">
        <f>+VLOOKUP(E14,Sheet1!B:C,2,FALSE)</f>
        <v>ROMENIA</v>
      </c>
      <c r="G14" t="str">
        <f t="shared" si="0"/>
        <v>Romenia</v>
      </c>
    </row>
    <row r="15" spans="1:7" x14ac:dyDescent="0.25">
      <c r="A15" t="s">
        <v>2149</v>
      </c>
      <c r="C15" t="str">
        <f>+VLOOKUP(A15,Sheet1!D:E,2,FALSE)</f>
        <v>372</v>
      </c>
      <c r="E15" t="s">
        <v>82</v>
      </c>
      <c r="F15" t="str">
        <f>+VLOOKUP(E15,Sheet1!B:C,2,FALSE)</f>
        <v>IRLANDA</v>
      </c>
      <c r="G15" t="str">
        <f t="shared" si="0"/>
        <v>Irlanda</v>
      </c>
    </row>
    <row r="16" spans="1:7" x14ac:dyDescent="0.25">
      <c r="A16" t="s">
        <v>2150</v>
      </c>
      <c r="C16" t="str">
        <f>+VLOOKUP(A16,Sheet1!D:E,2,FALSE)</f>
        <v>470</v>
      </c>
      <c r="E16" t="s">
        <v>142</v>
      </c>
      <c r="F16" t="str">
        <f>+VLOOKUP(E16,Sheet1!B:C,2,FALSE)</f>
        <v>MALTA</v>
      </c>
      <c r="G16" t="str">
        <f t="shared" si="0"/>
        <v>Malta</v>
      </c>
    </row>
    <row r="17" spans="1:7" x14ac:dyDescent="0.25">
      <c r="A17" t="s">
        <v>2151</v>
      </c>
      <c r="C17" t="str">
        <f>+VLOOKUP(A17,Sheet1!D:E,2,FALSE)</f>
        <v>250</v>
      </c>
      <c r="E17" t="s">
        <v>78</v>
      </c>
      <c r="F17" t="str">
        <f>+VLOOKUP(E17,Sheet1!B:C,2,FALSE)</f>
        <v>FRANCA</v>
      </c>
      <c r="G17" t="str">
        <f t="shared" si="0"/>
        <v>Franca</v>
      </c>
    </row>
    <row r="18" spans="1:7" x14ac:dyDescent="0.25">
      <c r="A18" t="s">
        <v>2152</v>
      </c>
      <c r="C18" t="str">
        <f>+VLOOKUP(A18,Sheet1!D:E,2,FALSE)</f>
        <v>826</v>
      </c>
      <c r="E18" t="s">
        <v>151</v>
      </c>
      <c r="F18" t="str">
        <f>+VLOOKUP(E18,Sheet1!B:C,2,FALSE)</f>
        <v>REINO UNIDO</v>
      </c>
      <c r="G18" t="str">
        <f t="shared" si="0"/>
        <v>Reino unido</v>
      </c>
    </row>
    <row r="19" spans="1:7" x14ac:dyDescent="0.25">
      <c r="A19" t="s">
        <v>2153</v>
      </c>
      <c r="C19" t="str">
        <f>+VLOOKUP(A19,Sheet1!D:E,2,FALSE)</f>
        <v>703</v>
      </c>
      <c r="E19" t="s">
        <v>147</v>
      </c>
      <c r="F19" t="str">
        <f>+VLOOKUP(E19,Sheet1!B:C,2,FALSE)</f>
        <v>REPUBLICA ESLOVACA</v>
      </c>
      <c r="G19" t="str">
        <f t="shared" si="0"/>
        <v>Republica eslovaca</v>
      </c>
    </row>
    <row r="20" spans="1:7" x14ac:dyDescent="0.25">
      <c r="A20" t="s">
        <v>2154</v>
      </c>
      <c r="C20" t="str">
        <f>+VLOOKUP(A20,Sheet1!D:E,2,FALSE)</f>
        <v>380</v>
      </c>
      <c r="E20" t="s">
        <v>83</v>
      </c>
      <c r="F20" t="str">
        <f>+VLOOKUP(E20,Sheet1!B:C,2,FALSE)</f>
        <v>ITALIA</v>
      </c>
      <c r="G20" t="str">
        <f t="shared" si="0"/>
        <v>Italia</v>
      </c>
    </row>
    <row r="21" spans="1:7" x14ac:dyDescent="0.25">
      <c r="A21" t="s">
        <v>2155</v>
      </c>
      <c r="C21" t="str">
        <f>+VLOOKUP(A21,Sheet1!D:E,2,FALSE)</f>
        <v>203</v>
      </c>
      <c r="E21" t="s">
        <v>139</v>
      </c>
      <c r="F21" t="str">
        <f>+VLOOKUP(E21,Sheet1!B:C,2,FALSE)</f>
        <v>REPUBLICA CHECA</v>
      </c>
      <c r="G21" t="str">
        <f t="shared" si="0"/>
        <v>Republica checa</v>
      </c>
    </row>
    <row r="22" spans="1:7" x14ac:dyDescent="0.25">
      <c r="A22" t="s">
        <v>2156</v>
      </c>
      <c r="C22" t="str">
        <f>+VLOOKUP(A22,Sheet1!D:E,2,FALSE)</f>
        <v>528</v>
      </c>
      <c r="E22" t="s">
        <v>143</v>
      </c>
      <c r="F22" t="str">
        <f>+VLOOKUP(E22,Sheet1!B:C,2,FALSE)</f>
        <v>PAISES BAIXOS</v>
      </c>
      <c r="G22" t="str">
        <f t="shared" si="0"/>
        <v>Paises baixos</v>
      </c>
    </row>
    <row r="23" spans="1:7" x14ac:dyDescent="0.25">
      <c r="A23" t="s">
        <v>2157</v>
      </c>
      <c r="C23" t="str">
        <f>+VLOOKUP(A23,Sheet1!D:E,2,FALSE)</f>
        <v>276</v>
      </c>
      <c r="E23" t="s">
        <v>79</v>
      </c>
      <c r="F23" t="str">
        <f>+VLOOKUP(E23,Sheet1!B:C,2,FALSE)</f>
        <v>ALEMANHA</v>
      </c>
      <c r="G23" t="str">
        <f t="shared" si="0"/>
        <v>Alemanha</v>
      </c>
    </row>
    <row r="24" spans="1:7" x14ac:dyDescent="0.25">
      <c r="A24" t="s">
        <v>2158</v>
      </c>
      <c r="C24" t="str">
        <f>+VLOOKUP(A24,Sheet1!D:E,2,FALSE)</f>
        <v>056</v>
      </c>
      <c r="E24" t="s">
        <v>55</v>
      </c>
      <c r="F24" t="str">
        <f>+VLOOKUP(E24,Sheet1!B:C,2,FALSE)</f>
        <v>BELGICA</v>
      </c>
      <c r="G24" t="str">
        <f t="shared" si="0"/>
        <v>Belgica</v>
      </c>
    </row>
    <row r="25" spans="1:7" x14ac:dyDescent="0.25">
      <c r="A25" t="s">
        <v>2159</v>
      </c>
      <c r="C25" t="str">
        <f>+VLOOKUP(A25,Sheet1!D:E,2,FALSE)</f>
        <v>428</v>
      </c>
      <c r="E25" t="s">
        <v>84</v>
      </c>
      <c r="F25" t="str">
        <f>+VLOOKUP(E25,Sheet1!B:C,2,FALSE)</f>
        <v>LATVIA</v>
      </c>
      <c r="G25" t="str">
        <f t="shared" si="0"/>
        <v>Latvia</v>
      </c>
    </row>
    <row r="26" spans="1:7" x14ac:dyDescent="0.25">
      <c r="A26" t="s">
        <v>2160</v>
      </c>
      <c r="C26" t="str">
        <f>+VLOOKUP(A26,Sheet1!D:E,2,FALSE)</f>
        <v>208</v>
      </c>
      <c r="E26" t="s">
        <v>125</v>
      </c>
      <c r="F26" t="str">
        <f>+VLOOKUP(E26,Sheet1!B:C,2,FALSE)</f>
        <v>DINAMARCA</v>
      </c>
      <c r="G26" t="str">
        <f t="shared" si="0"/>
        <v>Dinamarca</v>
      </c>
    </row>
    <row r="27" spans="1:7" x14ac:dyDescent="0.25">
      <c r="A27" t="s">
        <v>2161</v>
      </c>
      <c r="C27" t="str">
        <f>+VLOOKUP(A27,Sheet1!D:E,2,FALSE)</f>
        <v>705</v>
      </c>
      <c r="E27" t="s">
        <v>148</v>
      </c>
      <c r="F27" t="str">
        <f>+VLOOKUP(E27,Sheet1!B:C,2,FALSE)</f>
        <v>ESLOVENIA</v>
      </c>
      <c r="G27" t="str">
        <f t="shared" si="0"/>
        <v>Eslovenia</v>
      </c>
    </row>
    <row r="28" spans="1:7" x14ac:dyDescent="0.25">
      <c r="A28" t="s">
        <v>2162</v>
      </c>
      <c r="C28" t="str">
        <f>+VLOOKUP(A28,Sheet1!D:E,2,FALSE)</f>
        <v>616</v>
      </c>
      <c r="E28" t="s">
        <v>144</v>
      </c>
      <c r="F28" t="str">
        <f>+VLOOKUP(E28,Sheet1!B:C,2,FALSE)</f>
        <v>POLONIA</v>
      </c>
      <c r="G28" t="str">
        <f t="shared" si="0"/>
        <v>Polonia</v>
      </c>
    </row>
    <row r="29" spans="1:7" x14ac:dyDescent="0.25">
      <c r="A29" t="s">
        <v>2163</v>
      </c>
      <c r="C29" t="str">
        <f>+VLOOKUP(A29,Sheet1!D:E,2,FALSE)</f>
        <v>012</v>
      </c>
      <c r="E29" t="s">
        <v>1915</v>
      </c>
      <c r="F29" t="str">
        <f>+VLOOKUP(E29,Sheet1!B:C,2,FALSE)</f>
        <v>ARGELIA</v>
      </c>
      <c r="G29" t="str">
        <f t="shared" si="0"/>
        <v>Argelia</v>
      </c>
    </row>
    <row r="30" spans="1:7" x14ac:dyDescent="0.25">
      <c r="A30" t="s">
        <v>2164</v>
      </c>
      <c r="C30" t="str">
        <f>+VLOOKUP(A30,Sheet1!D:E,2,FALSE)</f>
        <v>032</v>
      </c>
      <c r="E30" t="s">
        <v>1920</v>
      </c>
      <c r="F30" t="str">
        <f>+VLOOKUP(E30,Sheet1!B:C,2,FALSE)</f>
        <v>ARGENTINA</v>
      </c>
      <c r="G30" t="str">
        <f t="shared" si="0"/>
        <v>Argentina</v>
      </c>
    </row>
    <row r="31" spans="1:7" x14ac:dyDescent="0.25">
      <c r="A31" t="s">
        <v>2165</v>
      </c>
      <c r="C31" t="str">
        <f>+VLOOKUP(A31,Sheet1!D:E,2,FALSE)</f>
        <v>036</v>
      </c>
      <c r="E31" t="s">
        <v>127</v>
      </c>
      <c r="F31" t="str">
        <f>+VLOOKUP(E31,Sheet1!B:C,2,FALSE)</f>
        <v>AUSTRALIA</v>
      </c>
      <c r="G31" t="str">
        <f t="shared" si="0"/>
        <v>Australia</v>
      </c>
    </row>
    <row r="32" spans="1:7" x14ac:dyDescent="0.25">
      <c r="A32" t="s">
        <v>2166</v>
      </c>
      <c r="C32" t="str">
        <f>+VLOOKUP(A32,Sheet1!D:E,2,FALSE)</f>
        <v>048</v>
      </c>
      <c r="E32" t="s">
        <v>1922</v>
      </c>
      <c r="F32" t="str">
        <f>+VLOOKUP(E32,Sheet1!B:C,2,FALSE)</f>
        <v>BAHREM</v>
      </c>
      <c r="G32" t="str">
        <f t="shared" si="0"/>
        <v>Bahrem</v>
      </c>
    </row>
    <row r="33" spans="1:7" x14ac:dyDescent="0.25">
      <c r="A33" t="s">
        <v>2167</v>
      </c>
      <c r="C33" t="str">
        <f>+VLOOKUP(A33,Sheet1!D:E,2,FALSE)</f>
        <v>076</v>
      </c>
      <c r="E33" t="s">
        <v>1932</v>
      </c>
      <c r="F33" t="str">
        <f>+VLOOKUP(E33,Sheet1!B:C,2,FALSE)</f>
        <v>BRASIL</v>
      </c>
      <c r="G33" t="str">
        <f t="shared" si="0"/>
        <v>Brasil</v>
      </c>
    </row>
    <row r="34" spans="1:7" x14ac:dyDescent="0.25">
      <c r="A34" t="s">
        <v>2168</v>
      </c>
      <c r="B34" s="1" t="s">
        <v>404</v>
      </c>
      <c r="C34" t="e">
        <f>+VLOOKUP(A34,Sheet1!D:E,2,FALSE)</f>
        <v>#N/A</v>
      </c>
      <c r="D34" t="str">
        <f>+VLOOKUP(A34,Sheet1!C:E,3,FALSE)</f>
        <v>096</v>
      </c>
      <c r="E34" t="s">
        <v>1937</v>
      </c>
      <c r="F34" t="str">
        <f>+VLOOKUP(E34,Sheet1!B:C,2,FALSE)</f>
        <v>BRUNEI</v>
      </c>
      <c r="G34" t="str">
        <f t="shared" si="0"/>
        <v>Brunei</v>
      </c>
    </row>
    <row r="35" spans="1:7" x14ac:dyDescent="0.25">
      <c r="A35" t="s">
        <v>2169</v>
      </c>
      <c r="C35" t="str">
        <f>+VLOOKUP(A35,Sheet1!D:E,2,FALSE)</f>
        <v>152</v>
      </c>
      <c r="E35" t="s">
        <v>1948</v>
      </c>
      <c r="F35" t="str">
        <f>+VLOOKUP(E35,Sheet1!B:C,2,FALSE)</f>
        <v>CHILE</v>
      </c>
      <c r="G35" t="str">
        <f t="shared" si="0"/>
        <v>Chile</v>
      </c>
    </row>
    <row r="36" spans="1:7" x14ac:dyDescent="0.25">
      <c r="A36" s="2" t="s">
        <v>2170</v>
      </c>
      <c r="C36" t="str">
        <f>+VLOOKUP(A36,Sheet1!D:E,2,FALSE)</f>
        <v>156</v>
      </c>
      <c r="E36" t="s">
        <v>1949</v>
      </c>
      <c r="F36" t="str">
        <f>+VLOOKUP(E36,Sheet1!B:C,2,FALSE)</f>
        <v>CHINA, REPUBLICA POPULAR DA</v>
      </c>
      <c r="G36" t="str">
        <f t="shared" si="0"/>
        <v>China, republica popular da</v>
      </c>
    </row>
    <row r="37" spans="1:7" x14ac:dyDescent="0.25">
      <c r="A37" t="s">
        <v>2171</v>
      </c>
      <c r="C37" t="str">
        <f>+VLOOKUP(A37,Sheet1!D:E,2,FALSE)</f>
        <v>170</v>
      </c>
      <c r="E37" t="s">
        <v>1952</v>
      </c>
      <c r="F37" t="str">
        <f>+VLOOKUP(E37,Sheet1!B:C,2,FALSE)</f>
        <v>COLOMBIA</v>
      </c>
      <c r="G37" t="str">
        <f t="shared" si="0"/>
        <v>Colombia</v>
      </c>
    </row>
    <row r="38" spans="1:7" x14ac:dyDescent="0.25">
      <c r="A38" t="s">
        <v>2172</v>
      </c>
      <c r="C38" t="str">
        <f>+VLOOKUP(A38,Sheet1!D:E,2,FALSE)</f>
        <v>818</v>
      </c>
      <c r="E38" t="s">
        <v>2110</v>
      </c>
      <c r="F38" t="str">
        <f>+VLOOKUP(E38,Sheet1!B:C,2,FALSE)</f>
        <v>EGIPTO</v>
      </c>
      <c r="G38" t="str">
        <f t="shared" si="0"/>
        <v>Egipto</v>
      </c>
    </row>
    <row r="39" spans="1:7" x14ac:dyDescent="0.25">
      <c r="A39" t="s">
        <v>2173</v>
      </c>
      <c r="C39" t="str">
        <f>+VLOOKUP(A39,Sheet1!D:E,2,FALSE)</f>
        <v>288</v>
      </c>
      <c r="E39" t="s">
        <v>1982</v>
      </c>
      <c r="F39" t="str">
        <f>+VLOOKUP(E39,Sheet1!B:C,2,FALSE)</f>
        <v>GANA</v>
      </c>
      <c r="G39" t="str">
        <f t="shared" si="0"/>
        <v>Gana</v>
      </c>
    </row>
    <row r="40" spans="1:7" x14ac:dyDescent="0.25">
      <c r="A40" t="s">
        <v>2174</v>
      </c>
      <c r="C40" t="str">
        <f>+VLOOKUP(A40,Sheet1!D:E,2,FALSE)</f>
        <v>344</v>
      </c>
      <c r="E40" t="s">
        <v>72</v>
      </c>
      <c r="F40" t="str">
        <f>+VLOOKUP(E40,Sheet1!B:C,2,FALSE)</f>
        <v>HONG KONG</v>
      </c>
      <c r="G40" t="str">
        <f t="shared" si="0"/>
        <v>Hong kong</v>
      </c>
    </row>
    <row r="41" spans="1:7" x14ac:dyDescent="0.25">
      <c r="A41" t="s">
        <v>2175</v>
      </c>
      <c r="C41" t="str">
        <f>+VLOOKUP(A41,Sheet1!D:E,2,FALSE)</f>
        <v>356</v>
      </c>
      <c r="E41" t="s">
        <v>2000</v>
      </c>
      <c r="F41" t="str">
        <f>+VLOOKUP(E41,Sheet1!B:C,2,FALSE)</f>
        <v>INDIA</v>
      </c>
      <c r="G41" t="str">
        <f t="shared" si="0"/>
        <v>India</v>
      </c>
    </row>
    <row r="42" spans="1:7" x14ac:dyDescent="0.25">
      <c r="A42" t="s">
        <v>2176</v>
      </c>
      <c r="C42" t="str">
        <f>+VLOOKUP(A42,Sheet1!D:E,2,FALSE)</f>
        <v>360</v>
      </c>
      <c r="E42" t="s">
        <v>2001</v>
      </c>
      <c r="F42" t="str">
        <f>+VLOOKUP(E42,Sheet1!B:C,2,FALSE)</f>
        <v>INDONESIA</v>
      </c>
      <c r="G42" t="str">
        <f t="shared" si="0"/>
        <v>Indonesia</v>
      </c>
    </row>
    <row r="43" spans="1:7" x14ac:dyDescent="0.25">
      <c r="A43" t="s">
        <v>2177</v>
      </c>
      <c r="B43" s="1" t="s">
        <v>916</v>
      </c>
      <c r="C43" t="e">
        <f>+VLOOKUP(A43,Sheet1!D:E,2,FALSE)</f>
        <v>#N/A</v>
      </c>
      <c r="D43">
        <v>364</v>
      </c>
      <c r="E43" t="s">
        <v>2002</v>
      </c>
      <c r="F43" t="str">
        <f>+VLOOKUP(E43,Sheet1!B:C,2,FALSE)</f>
        <v>IRAO</v>
      </c>
      <c r="G43" t="str">
        <f t="shared" si="0"/>
        <v>Irao</v>
      </c>
    </row>
    <row r="44" spans="1:7" x14ac:dyDescent="0.25">
      <c r="A44" t="s">
        <v>2178</v>
      </c>
      <c r="C44" t="str">
        <f>+VLOOKUP(A44,Sheet1!D:E,2,FALSE)</f>
        <v>368</v>
      </c>
      <c r="E44" t="s">
        <v>2003</v>
      </c>
      <c r="F44" t="str">
        <f>+VLOOKUP(E44,Sheet1!B:C,2,FALSE)</f>
        <v>IRAQUE</v>
      </c>
      <c r="G44" t="str">
        <f t="shared" si="0"/>
        <v>Iraque</v>
      </c>
    </row>
    <row r="45" spans="1:7" x14ac:dyDescent="0.25">
      <c r="A45" t="s">
        <v>2179</v>
      </c>
      <c r="C45" t="str">
        <f>+VLOOKUP(A45,Sheet1!D:E,2,FALSE)</f>
        <v>376</v>
      </c>
      <c r="E45" t="s">
        <v>74</v>
      </c>
      <c r="F45" t="str">
        <f>+VLOOKUP(E45,Sheet1!B:C,2,FALSE)</f>
        <v>ISRAEL</v>
      </c>
      <c r="G45" t="str">
        <f t="shared" si="0"/>
        <v>Israel</v>
      </c>
    </row>
    <row r="46" spans="1:7" x14ac:dyDescent="0.25">
      <c r="A46" t="s">
        <v>2180</v>
      </c>
      <c r="C46" t="str">
        <f>+VLOOKUP(A46,Sheet1!D:E,2,FALSE)</f>
        <v>392</v>
      </c>
      <c r="E46" t="s">
        <v>75</v>
      </c>
      <c r="F46" t="str">
        <f>+VLOOKUP(E46,Sheet1!B:C,2,FALSE)</f>
        <v>JAPAO</v>
      </c>
      <c r="G46" t="str">
        <f t="shared" si="0"/>
        <v>Japao</v>
      </c>
    </row>
    <row r="47" spans="1:7" x14ac:dyDescent="0.25">
      <c r="A47" t="s">
        <v>2181</v>
      </c>
      <c r="C47" t="str">
        <f>+VLOOKUP(A47,Sheet1!D:E,2,FALSE)</f>
        <v>400</v>
      </c>
      <c r="E47" t="s">
        <v>2007</v>
      </c>
      <c r="F47" t="str">
        <f>+VLOOKUP(E47,Sheet1!B:C,2,FALSE)</f>
        <v>JORDANIA</v>
      </c>
      <c r="G47" t="str">
        <f t="shared" si="0"/>
        <v>Jordania</v>
      </c>
    </row>
    <row r="48" spans="1:7" x14ac:dyDescent="0.25">
      <c r="A48" t="s">
        <v>2182</v>
      </c>
      <c r="C48" t="str">
        <f>+VLOOKUP(A48,Sheet1!D:E,2,FALSE)</f>
        <v>398</v>
      </c>
      <c r="E48" t="s">
        <v>2006</v>
      </c>
      <c r="F48" t="str">
        <f>+VLOOKUP(E48,Sheet1!B:C,2,FALSE)</f>
        <v>KAZAQUISTAO</v>
      </c>
      <c r="G48" t="str">
        <f t="shared" si="0"/>
        <v>Kazaquistao</v>
      </c>
    </row>
    <row r="49" spans="1:7" x14ac:dyDescent="0.25">
      <c r="A49" t="s">
        <v>2183</v>
      </c>
      <c r="C49" t="str">
        <f>+VLOOKUP(A49,Sheet1!D:E,2,FALSE)</f>
        <v>414</v>
      </c>
      <c r="E49" t="s">
        <v>2011</v>
      </c>
      <c r="F49" t="str">
        <f>+VLOOKUP(E49,Sheet1!B:C,2,FALSE)</f>
        <v>KOWEIT</v>
      </c>
      <c r="G49" t="str">
        <f t="shared" si="0"/>
        <v>Koweit</v>
      </c>
    </row>
    <row r="50" spans="1:7" x14ac:dyDescent="0.25">
      <c r="A50" t="s">
        <v>2184</v>
      </c>
      <c r="C50" t="str">
        <f>+VLOOKUP(A50,Sheet1!D:E,2,FALSE)</f>
        <v>417</v>
      </c>
      <c r="E50" t="s">
        <v>2012</v>
      </c>
      <c r="F50" t="str">
        <f>+VLOOKUP(E50,Sheet1!B:C,2,FALSE)</f>
        <v>KYRGYZSTAN</v>
      </c>
      <c r="G50" t="str">
        <f t="shared" si="0"/>
        <v>Kyrgyzstan</v>
      </c>
    </row>
    <row r="51" spans="1:7" x14ac:dyDescent="0.25">
      <c r="A51" t="s">
        <v>2185</v>
      </c>
      <c r="C51" t="str">
        <f>+VLOOKUP(A51,Sheet1!D:E,2,FALSE)</f>
        <v>422</v>
      </c>
      <c r="E51" t="s">
        <v>2014</v>
      </c>
      <c r="F51" t="str">
        <f>+VLOOKUP(E51,Sheet1!B:C,2,FALSE)</f>
        <v>LIBANO</v>
      </c>
      <c r="G51" t="str">
        <f t="shared" si="0"/>
        <v>Libano</v>
      </c>
    </row>
    <row r="52" spans="1:7" x14ac:dyDescent="0.25">
      <c r="A52" t="s">
        <v>2186</v>
      </c>
      <c r="C52" t="str">
        <f>+VLOOKUP(A52,Sheet1!D:E,2,FALSE)</f>
        <v>434</v>
      </c>
      <c r="E52" t="s">
        <v>2017</v>
      </c>
      <c r="F52" t="str">
        <f>+VLOOKUP(E52,Sheet1!B:C,2,FALSE)</f>
        <v>LIBIA</v>
      </c>
      <c r="G52" t="str">
        <f t="shared" si="0"/>
        <v>Libia</v>
      </c>
    </row>
    <row r="53" spans="1:7" x14ac:dyDescent="0.25">
      <c r="A53" t="s">
        <v>2187</v>
      </c>
      <c r="C53" t="str">
        <f>+VLOOKUP(A53,Sheet1!D:E,2,FALSE)</f>
        <v>458</v>
      </c>
      <c r="E53" t="s">
        <v>2021</v>
      </c>
      <c r="F53" t="str">
        <f>+VLOOKUP(E53,Sheet1!B:C,2,FALSE)</f>
        <v>MALASIA</v>
      </c>
      <c r="G53" t="str">
        <f t="shared" si="0"/>
        <v>Malasia</v>
      </c>
    </row>
    <row r="54" spans="1:7" x14ac:dyDescent="0.25">
      <c r="A54" t="s">
        <v>2188</v>
      </c>
      <c r="C54" t="str">
        <f>+VLOOKUP(A54,Sheet1!D:E,2,FALSE)</f>
        <v>478</v>
      </c>
      <c r="E54" t="s">
        <v>2025</v>
      </c>
      <c r="F54" t="str">
        <f>+VLOOKUP(E54,Sheet1!B:C,2,FALSE)</f>
        <v>MAURITANIA</v>
      </c>
      <c r="G54" t="str">
        <f t="shared" si="0"/>
        <v>Mauritania</v>
      </c>
    </row>
    <row r="55" spans="1:7" x14ac:dyDescent="0.25">
      <c r="A55" t="s">
        <v>2189</v>
      </c>
      <c r="C55" t="str">
        <f>+VLOOKUP(A55,Sheet1!D:E,2,FALSE)</f>
        <v>484</v>
      </c>
      <c r="E55" t="s">
        <v>2027</v>
      </c>
      <c r="F55" t="str">
        <f>+VLOOKUP(E55,Sheet1!B:C,2,FALSE)</f>
        <v>MEXICO</v>
      </c>
      <c r="G55" t="str">
        <f t="shared" si="0"/>
        <v>Mexico</v>
      </c>
    </row>
    <row r="56" spans="1:7" x14ac:dyDescent="0.25">
      <c r="A56" t="s">
        <v>2190</v>
      </c>
      <c r="C56" t="str">
        <f>+VLOOKUP(A56,Sheet1!D:E,2,FALSE)</f>
        <v>504</v>
      </c>
      <c r="E56" t="s">
        <v>2033</v>
      </c>
      <c r="F56" t="str">
        <f>+VLOOKUP(E56,Sheet1!B:C,2,FALSE)</f>
        <v>MARROCOS</v>
      </c>
      <c r="G56" t="str">
        <f t="shared" si="0"/>
        <v>Marrocos</v>
      </c>
    </row>
    <row r="57" spans="1:7" x14ac:dyDescent="0.25">
      <c r="A57" t="s">
        <v>2191</v>
      </c>
      <c r="C57" t="str">
        <f>+VLOOKUP(A57,Sheet1!D:E,2,FALSE)</f>
        <v>524</v>
      </c>
      <c r="E57" t="s">
        <v>2038</v>
      </c>
      <c r="F57" t="str">
        <f>+VLOOKUP(E57,Sheet1!B:C,2,FALSE)</f>
        <v>NEPAL</v>
      </c>
      <c r="G57" t="str">
        <f t="shared" si="0"/>
        <v>Nepal</v>
      </c>
    </row>
    <row r="58" spans="1:7" x14ac:dyDescent="0.25">
      <c r="A58" t="s">
        <v>2192</v>
      </c>
      <c r="C58" t="str">
        <f>+VLOOKUP(A58,Sheet1!D:E,2,FALSE)</f>
        <v>554</v>
      </c>
      <c r="E58" t="s">
        <v>94</v>
      </c>
      <c r="F58" t="str">
        <f>+VLOOKUP(E58,Sheet1!B:C,2,FALSE)</f>
        <v>NOVA ZELANDIA</v>
      </c>
      <c r="G58" t="str">
        <f t="shared" si="0"/>
        <v>Nova zelandia</v>
      </c>
    </row>
    <row r="59" spans="1:7" x14ac:dyDescent="0.25">
      <c r="A59" t="s">
        <v>2193</v>
      </c>
      <c r="C59" t="str">
        <f>+VLOOKUP(A59,Sheet1!D:E,2,FALSE)</f>
        <v>566</v>
      </c>
      <c r="E59" t="s">
        <v>2047</v>
      </c>
      <c r="F59" t="str">
        <f>+VLOOKUP(E59,Sheet1!B:C,2,FALSE)</f>
        <v>NIGERIA</v>
      </c>
      <c r="G59" t="str">
        <f t="shared" si="0"/>
        <v>Nigeria</v>
      </c>
    </row>
    <row r="60" spans="1:7" x14ac:dyDescent="0.25">
      <c r="A60" t="s">
        <v>2194</v>
      </c>
      <c r="C60" t="str">
        <f>+VLOOKUP(A60,Sheet1!D:E,2,FALSE)</f>
        <v>512</v>
      </c>
      <c r="E60" t="s">
        <v>2035</v>
      </c>
      <c r="F60" t="str">
        <f>+VLOOKUP(E60,Sheet1!B:C,2,FALSE)</f>
        <v>OMAN</v>
      </c>
      <c r="G60" t="str">
        <f t="shared" si="0"/>
        <v>Oman</v>
      </c>
    </row>
    <row r="61" spans="1:7" x14ac:dyDescent="0.25">
      <c r="A61" t="s">
        <v>2195</v>
      </c>
      <c r="C61" t="str">
        <f>+VLOOKUP(A61,Sheet1!D:E,2,FALSE)</f>
        <v>586</v>
      </c>
      <c r="E61" t="s">
        <v>2055</v>
      </c>
      <c r="F61" t="str">
        <f>+VLOOKUP(E61,Sheet1!B:C,2,FALSE)</f>
        <v>PAQUISTAO</v>
      </c>
      <c r="G61" t="str">
        <f t="shared" si="0"/>
        <v>Paquistao</v>
      </c>
    </row>
    <row r="62" spans="1:7" x14ac:dyDescent="0.25">
      <c r="A62" t="s">
        <v>2196</v>
      </c>
      <c r="B62" s="1" t="s">
        <v>759</v>
      </c>
      <c r="C62" t="e">
        <f>+VLOOKUP(A62,Sheet1!D:E,2,FALSE)</f>
        <v>#N/A</v>
      </c>
      <c r="D62" t="e">
        <f>+VLOOKUP(A62,Sheet1!C:E,3,FALSE)</f>
        <v>#N/A</v>
      </c>
      <c r="E62" t="s">
        <v>1981</v>
      </c>
      <c r="F62" t="str">
        <f>+VLOOKUP(E62,Sheet1!B:C,2,FALSE)</f>
        <v>PALESTINE STATE OFF</v>
      </c>
      <c r="G62" t="str">
        <f t="shared" si="0"/>
        <v>Palestine state off</v>
      </c>
    </row>
    <row r="63" spans="1:7" x14ac:dyDescent="0.25">
      <c r="A63" t="s">
        <v>2197</v>
      </c>
      <c r="C63" t="str">
        <f>+VLOOKUP(A63,Sheet1!D:E,2,FALSE)</f>
        <v>608</v>
      </c>
      <c r="E63" t="s">
        <v>2060</v>
      </c>
      <c r="F63" t="str">
        <f>+VLOOKUP(E63,Sheet1!B:C,2,FALSE)</f>
        <v>FILIPINAS</v>
      </c>
      <c r="G63" t="str">
        <f t="shared" si="0"/>
        <v>Filipinas</v>
      </c>
    </row>
    <row r="64" spans="1:7" x14ac:dyDescent="0.25">
      <c r="A64" t="s">
        <v>2198</v>
      </c>
      <c r="C64" t="str">
        <f>+VLOOKUP(A64,Sheet1!D:E,2,FALSE)</f>
        <v>634</v>
      </c>
      <c r="E64" t="s">
        <v>2065</v>
      </c>
      <c r="F64" t="str">
        <f>+VLOOKUP(E64,Sheet1!B:C,2,FALSE)</f>
        <v>CATAR</v>
      </c>
      <c r="G64" t="str">
        <f t="shared" si="0"/>
        <v>Catar</v>
      </c>
    </row>
    <row r="65" spans="1:7" x14ac:dyDescent="0.25">
      <c r="A65" t="s">
        <v>2199</v>
      </c>
      <c r="B65" s="1" t="s">
        <v>1438</v>
      </c>
      <c r="C65" t="e">
        <f>+VLOOKUP(A65,Sheet1!D:E,2,FALSE)</f>
        <v>#N/A</v>
      </c>
      <c r="D65" t="e">
        <f>+VLOOKUP(A65,Sheet1!C:E,3,FALSE)</f>
        <v>#N/A</v>
      </c>
      <c r="E65" t="s">
        <v>2067</v>
      </c>
      <c r="F65" t="str">
        <f>+VLOOKUP(E65,Sheet1!B:C,2,FALSE)</f>
        <v>RUSSIAN FEDERATION</v>
      </c>
      <c r="G65" t="str">
        <f t="shared" si="0"/>
        <v>Russian federation</v>
      </c>
    </row>
    <row r="66" spans="1:7" x14ac:dyDescent="0.25">
      <c r="A66" t="s">
        <v>2200</v>
      </c>
      <c r="C66" t="str">
        <f>+VLOOKUP(A66,Sheet1!D:E,2,FALSE)</f>
        <v>682</v>
      </c>
      <c r="E66" t="s">
        <v>2078</v>
      </c>
      <c r="F66" t="str">
        <f>+VLOOKUP(E66,Sheet1!B:C,2,FALSE)</f>
        <v>ARABIA SAUDITA</v>
      </c>
      <c r="G66" t="str">
        <f t="shared" si="0"/>
        <v>Arabia saudita</v>
      </c>
    </row>
    <row r="67" spans="1:7" x14ac:dyDescent="0.25">
      <c r="A67" t="s">
        <v>2201</v>
      </c>
      <c r="C67" t="str">
        <f>+VLOOKUP(A67,Sheet1!D:E,2,FALSE)</f>
        <v>702</v>
      </c>
      <c r="E67" t="s">
        <v>46</v>
      </c>
      <c r="F67" t="str">
        <f>+VLOOKUP(E67,Sheet1!B:C,2,FALSE)</f>
        <v>SINGAPURA</v>
      </c>
      <c r="G67" t="str">
        <f t="shared" ref="G67:G86" si="1">+LEFT(F67,1)&amp;LOWER(RIGHT(F67,LEN(F67)-1))</f>
        <v>Singapura</v>
      </c>
    </row>
    <row r="68" spans="1:7" x14ac:dyDescent="0.25">
      <c r="A68" t="s">
        <v>2202</v>
      </c>
      <c r="C68" t="str">
        <f>+VLOOKUP(A68,Sheet1!D:E,2,FALSE)</f>
        <v>710</v>
      </c>
      <c r="E68" t="s">
        <v>2085</v>
      </c>
      <c r="F68" t="str">
        <f>+VLOOKUP(E68,Sheet1!B:C,2,FALSE)</f>
        <v>AFRICA DO SUL</v>
      </c>
      <c r="G68" t="str">
        <f t="shared" si="1"/>
        <v>Africa do sul</v>
      </c>
    </row>
    <row r="69" spans="1:7" x14ac:dyDescent="0.25">
      <c r="A69" t="s">
        <v>2203</v>
      </c>
      <c r="C69" t="str">
        <f>+VLOOKUP(A69,Sheet1!D:E,2,FALSE)</f>
        <v>144</v>
      </c>
      <c r="E69" t="s">
        <v>1946</v>
      </c>
      <c r="F69" t="str">
        <f>+VLOOKUP(E69,Sheet1!B:C,2,FALSE)</f>
        <v>SRI LANKA</v>
      </c>
      <c r="G69" t="str">
        <f t="shared" si="1"/>
        <v>Sri lanka</v>
      </c>
    </row>
    <row r="70" spans="1:7" x14ac:dyDescent="0.25">
      <c r="A70" t="s">
        <v>2204</v>
      </c>
      <c r="B70" s="1" t="s">
        <v>1649</v>
      </c>
      <c r="C70" t="e">
        <f>+VLOOKUP(A70,Sheet1!D:E,2,FALSE)</f>
        <v>#N/A</v>
      </c>
      <c r="D70" t="e">
        <f>+VLOOKUP(A70,Sheet1!C:E,3,FALSE)</f>
        <v>#N/A</v>
      </c>
      <c r="E70" t="s">
        <v>2094</v>
      </c>
      <c r="F70" t="str">
        <f>+VLOOKUP(E70,Sheet1!B:C,2,FALSE)</f>
        <v>SIRIA</v>
      </c>
      <c r="G70" t="str">
        <f t="shared" si="1"/>
        <v>Siria</v>
      </c>
    </row>
    <row r="71" spans="1:7" x14ac:dyDescent="0.25">
      <c r="A71" s="2" t="s">
        <v>2205</v>
      </c>
      <c r="B71" s="1" t="s">
        <v>498</v>
      </c>
      <c r="C71" t="e">
        <f>+VLOOKUP(A71,Sheet1!D:E,2,FALSE)</f>
        <v>#N/A</v>
      </c>
      <c r="D71" t="e">
        <f>+VLOOKUP(A71,Sheet1!C:E,3,FALSE)</f>
        <v>#N/A</v>
      </c>
      <c r="E71">
        <v>158</v>
      </c>
      <c r="F71" t="e">
        <f>+VLOOKUP(E71,Sheet1!B:C,2,FALSE)</f>
        <v>#N/A</v>
      </c>
      <c r="G71" t="e">
        <f t="shared" si="1"/>
        <v>#N/A</v>
      </c>
    </row>
    <row r="72" spans="1:7" x14ac:dyDescent="0.25">
      <c r="A72" t="s">
        <v>2206</v>
      </c>
      <c r="B72" s="1" t="s">
        <v>1656</v>
      </c>
      <c r="C72" t="str">
        <f>+VLOOKUP(A72,Sheet1!D:E,2,FALSE)</f>
        <v>762</v>
      </c>
      <c r="E72" t="s">
        <v>2095</v>
      </c>
      <c r="F72" t="str">
        <f>+VLOOKUP(E72,Sheet1!B:C,2,FALSE)</f>
        <v>TAJAQUISTAO</v>
      </c>
      <c r="G72" t="str">
        <f t="shared" si="1"/>
        <v>Tajaquistao</v>
      </c>
    </row>
    <row r="73" spans="1:7" x14ac:dyDescent="0.25">
      <c r="A73" t="s">
        <v>2207</v>
      </c>
      <c r="B73" s="1" t="s">
        <v>1782</v>
      </c>
      <c r="C73" t="e">
        <f>+VLOOKUP(A73,Sheet1!D:E,2,FALSE)</f>
        <v>#N/A</v>
      </c>
      <c r="D73" t="str">
        <f>+VLOOKUP(A73,Sheet1!C:E,3,FALSE)</f>
        <v>834</v>
      </c>
      <c r="E73" t="s">
        <v>2114</v>
      </c>
      <c r="F73" t="str">
        <f>+VLOOKUP(E73,Sheet1!B:C,2,FALSE)</f>
        <v>TANZANIA</v>
      </c>
      <c r="G73" t="str">
        <f t="shared" si="1"/>
        <v>Tanzania</v>
      </c>
    </row>
    <row r="74" spans="1:7" x14ac:dyDescent="0.25">
      <c r="A74" t="s">
        <v>2208</v>
      </c>
      <c r="C74" t="str">
        <f>+VLOOKUP(A74,Sheet1!D:E,2,FALSE)</f>
        <v>764</v>
      </c>
      <c r="E74" t="s">
        <v>2096</v>
      </c>
      <c r="F74" t="str">
        <f>+VLOOKUP(E74,Sheet1!B:C,2,FALSE)</f>
        <v>TAILANDIA</v>
      </c>
      <c r="G74" t="str">
        <f t="shared" si="1"/>
        <v>Tailandia</v>
      </c>
    </row>
    <row r="75" spans="1:7" x14ac:dyDescent="0.25">
      <c r="A75" t="s">
        <v>2209</v>
      </c>
      <c r="C75" t="str">
        <f>+VLOOKUP(A75,Sheet1!D:E,2,FALSE)</f>
        <v>788</v>
      </c>
      <c r="E75" t="s">
        <v>2102</v>
      </c>
      <c r="F75" t="str">
        <f>+VLOOKUP(E75,Sheet1!B:C,2,FALSE)</f>
        <v>TUNISIA</v>
      </c>
      <c r="G75" t="str">
        <f t="shared" si="1"/>
        <v>Tunisia</v>
      </c>
    </row>
    <row r="76" spans="1:7" x14ac:dyDescent="0.25">
      <c r="A76" t="s">
        <v>2210</v>
      </c>
      <c r="C76" t="str">
        <f>+VLOOKUP(A76,Sheet1!D:E,2,FALSE)</f>
        <v>792</v>
      </c>
      <c r="E76" t="s">
        <v>2103</v>
      </c>
      <c r="F76" t="str">
        <f>+VLOOKUP(E76,Sheet1!B:C,2,FALSE)</f>
        <v>TURQUIA</v>
      </c>
      <c r="G76" t="str">
        <f t="shared" si="1"/>
        <v>Turquia</v>
      </c>
    </row>
    <row r="77" spans="1:7" x14ac:dyDescent="0.25">
      <c r="A77" t="s">
        <v>2211</v>
      </c>
      <c r="C77" t="str">
        <f>+VLOOKUP(A77,Sheet1!D:E,2,FALSE)</f>
        <v>795</v>
      </c>
      <c r="E77" t="s">
        <v>2104</v>
      </c>
      <c r="F77" t="str">
        <f>+VLOOKUP(E77,Sheet1!B:C,2,FALSE)</f>
        <v>TURKMENISTAN</v>
      </c>
      <c r="G77" t="str">
        <f t="shared" si="1"/>
        <v>Turkmenistan</v>
      </c>
    </row>
    <row r="78" spans="1:7" x14ac:dyDescent="0.25">
      <c r="A78" t="s">
        <v>2212</v>
      </c>
      <c r="C78" t="str">
        <f>+VLOOKUP(A78,Sheet1!D:E,2,FALSE)</f>
        <v>800</v>
      </c>
      <c r="E78" t="s">
        <v>2107</v>
      </c>
      <c r="F78" t="str">
        <f>+VLOOKUP(E78,Sheet1!B:C,2,FALSE)</f>
        <v>UGANDA</v>
      </c>
      <c r="G78" t="str">
        <f t="shared" si="1"/>
        <v>Uganda</v>
      </c>
    </row>
    <row r="79" spans="1:7" x14ac:dyDescent="0.25">
      <c r="A79" t="s">
        <v>2213</v>
      </c>
      <c r="C79" t="str">
        <f>+VLOOKUP(A79,Sheet1!D:E,2,FALSE)</f>
        <v>784</v>
      </c>
      <c r="E79" t="s">
        <v>2101</v>
      </c>
      <c r="F79" t="str">
        <f>+VLOOKUP(E79,Sheet1!B:C,2,FALSE)</f>
        <v>EMIRATOS ARABES UNIDOS</v>
      </c>
      <c r="G79" t="str">
        <f t="shared" si="1"/>
        <v>Emiratos arabes unidos</v>
      </c>
    </row>
    <row r="80" spans="1:7" x14ac:dyDescent="0.25">
      <c r="A80" t="s">
        <v>2214</v>
      </c>
      <c r="B80" s="1" t="s">
        <v>1554</v>
      </c>
      <c r="C80" t="e">
        <f>+VLOOKUP(A80,Sheet1!D:E,2,FALSE)</f>
        <v>#N/A</v>
      </c>
      <c r="D80" t="e">
        <f>+VLOOKUP(A80,Sheet1!C:E,3,FALSE)</f>
        <v>#N/A</v>
      </c>
      <c r="E80" t="s">
        <v>2083</v>
      </c>
      <c r="F80" t="str">
        <f>+VLOOKUP(E80,Sheet1!B:C,2,FALSE)</f>
        <v>VIETNAME</v>
      </c>
      <c r="G80" t="str">
        <f t="shared" si="1"/>
        <v>Vietname</v>
      </c>
    </row>
    <row r="81" spans="1:7" x14ac:dyDescent="0.25">
      <c r="A81" t="s">
        <v>2215</v>
      </c>
      <c r="C81" t="str">
        <f>+VLOOKUP(A81,Sheet1!D:E,2,FALSE)</f>
        <v>887</v>
      </c>
      <c r="E81" t="s">
        <v>2122</v>
      </c>
      <c r="F81" t="str">
        <f>+VLOOKUP(E81,Sheet1!B:C,2,FALSE)</f>
        <v>YEMEN</v>
      </c>
      <c r="G81" t="str">
        <f t="shared" si="1"/>
        <v>Yemen</v>
      </c>
    </row>
    <row r="82" spans="1:7" x14ac:dyDescent="0.25">
      <c r="A82" t="s">
        <v>2216</v>
      </c>
      <c r="C82" t="str">
        <f>+VLOOKUP(A82,Sheet1!D:E,2,FALSE)</f>
        <v>040</v>
      </c>
      <c r="E82" t="s">
        <v>52</v>
      </c>
      <c r="F82" t="str">
        <f>+VLOOKUP(E82,Sheet1!B:C,2,FALSE)</f>
        <v>AUSTRIA</v>
      </c>
      <c r="G82" t="str">
        <f t="shared" si="1"/>
        <v>Austria</v>
      </c>
    </row>
    <row r="83" spans="1:7" x14ac:dyDescent="0.25">
      <c r="A83" t="s">
        <v>2217</v>
      </c>
      <c r="C83" t="str">
        <f>+VLOOKUP(A83,Sheet1!D:E,2,FALSE)</f>
        <v>196</v>
      </c>
      <c r="E83" t="s">
        <v>58</v>
      </c>
      <c r="F83" t="str">
        <f>+VLOOKUP(E83,Sheet1!B:C,2,FALSE)</f>
        <v>CHIPRE</v>
      </c>
      <c r="G83" t="str">
        <f t="shared" si="1"/>
        <v>Chipre</v>
      </c>
    </row>
    <row r="84" spans="1:7" x14ac:dyDescent="0.25">
      <c r="A84" t="s">
        <v>2218</v>
      </c>
      <c r="C84" t="str">
        <f>+VLOOKUP(A84,Sheet1!D:E,2,FALSE)</f>
        <v>233</v>
      </c>
      <c r="E84" t="s">
        <v>76</v>
      </c>
      <c r="F84" t="str">
        <f>+VLOOKUP(E84,Sheet1!B:C,2,FALSE)</f>
        <v>ESTONIA</v>
      </c>
      <c r="G84" t="str">
        <f t="shared" si="1"/>
        <v>Estonia</v>
      </c>
    </row>
    <row r="85" spans="1:7" x14ac:dyDescent="0.25">
      <c r="A85" t="s">
        <v>2219</v>
      </c>
      <c r="C85" t="str">
        <f>+VLOOKUP(A85,Sheet1!D:E,2,FALSE)</f>
        <v>578</v>
      </c>
      <c r="E85" t="s">
        <v>95</v>
      </c>
      <c r="F85" t="str">
        <f>+VLOOKUP(E85,Sheet1!B:C,2,FALSE)</f>
        <v>NORUEGA</v>
      </c>
      <c r="G85" t="str">
        <f t="shared" si="1"/>
        <v>Noruega</v>
      </c>
    </row>
    <row r="86" spans="1:7" x14ac:dyDescent="0.25">
      <c r="A86" t="s">
        <v>2220</v>
      </c>
      <c r="C86" t="str">
        <f>+VLOOKUP(A86,Sheet1!D:E,2,FALSE)</f>
        <v>756</v>
      </c>
      <c r="E86" t="s">
        <v>49</v>
      </c>
      <c r="F86" t="str">
        <f>+VLOOKUP(E86,Sheet1!B:C,2,FALSE)</f>
        <v>SUICA</v>
      </c>
      <c r="G86" t="str">
        <f t="shared" si="1"/>
        <v>Suica</v>
      </c>
    </row>
    <row r="87" spans="1:7" x14ac:dyDescent="0.25">
      <c r="A87" s="2" t="s">
        <v>2223</v>
      </c>
    </row>
    <row r="88" spans="1:7" x14ac:dyDescent="0.25">
      <c r="A88" s="2" t="s">
        <v>2224</v>
      </c>
      <c r="E88" s="3" t="s">
        <v>2225</v>
      </c>
    </row>
  </sheetData>
  <autoFilter ref="A1:C88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E0148DB1B66DA499B9393429ED53FDC" ma:contentTypeVersion="10" ma:contentTypeDescription="Criar um novo documento." ma:contentTypeScope="" ma:versionID="ecfdfd14f0df8c1a99a227e0dc8cc6fd">
  <xsd:schema xmlns:xsd="http://www.w3.org/2001/XMLSchema" xmlns:xs="http://www.w3.org/2001/XMLSchema" xmlns:p="http://schemas.microsoft.com/office/2006/metadata/properties" xmlns:ns1="http://schemas.microsoft.com/sharepoint/v3" xmlns:ns2="0273747b-dca1-4d55-aa99-3e8d5a2b08f3" targetNamespace="http://schemas.microsoft.com/office/2006/metadata/properties" ma:root="true" ma:fieldsID="a8fd8de08d5357c2321d147be1138355" ns1:_="" ns2:_="">
    <xsd:import namespace="http://schemas.microsoft.com/sharepoint/v3"/>
    <xsd:import namespace="0273747b-dca1-4d55-aa99-3e8d5a2b08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73747b-dca1-4d55-aa99-3e8d5a2b08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A7B7210A-E4B4-4546-BE80-D55000D4CBF3}"/>
</file>

<file path=customXml/itemProps2.xml><?xml version="1.0" encoding="utf-8"?>
<ds:datastoreItem xmlns:ds="http://schemas.openxmlformats.org/officeDocument/2006/customXml" ds:itemID="{96AA5453-176B-4DC3-9259-C8D5066EADF1}"/>
</file>

<file path=customXml/itemProps3.xml><?xml version="1.0" encoding="utf-8"?>
<ds:datastoreItem xmlns:ds="http://schemas.openxmlformats.org/officeDocument/2006/customXml" ds:itemID="{043AA716-18C6-42E6-91E1-8E9F2FCA409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Hélder Filipe Felicidade Fernandes</cp:lastModifiedBy>
  <cp:revision/>
  <dcterms:created xsi:type="dcterms:W3CDTF">2025-09-21T04:24:34Z</dcterms:created>
  <dcterms:modified xsi:type="dcterms:W3CDTF">2025-09-25T15:15:31Z</dcterms:modified>
  <cp:category/>
  <dc:identifier/>
  <cp:contentStatus/>
  <dc:language/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2025-09-24T12:48:42Z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0d441505-9fb8-428c-bb13-c6ebb3a4f8db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0x010100AE0148DB1B66DA499B9393429ED53FDC</vt:lpwstr>
  </property>
</Properties>
</file>